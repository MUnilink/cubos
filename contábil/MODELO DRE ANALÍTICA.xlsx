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noel\Documents\github-repo\cubos\contábil\"/>
    </mc:Choice>
  </mc:AlternateContent>
  <bookViews>
    <workbookView xWindow="0" yWindow="0" windowWidth="21600" windowHeight="9015"/>
  </bookViews>
  <sheets>
    <sheet name="1. (CTB) DRE analítico por c..." sheetId="1" r:id="rId1"/>
  </sheets>
  <definedNames>
    <definedName name="_xlnm.Print_Titles" localSheetId="0">'1. (CTB) DRE analítico por c...'!$A:$A,'1. (CTB) DRE analítico por c...'!$1:$2</definedName>
  </definedNames>
  <calcPr calcId="152511"/>
</workbook>
</file>

<file path=xl/calcChain.xml><?xml version="1.0" encoding="utf-8"?>
<calcChain xmlns="http://schemas.openxmlformats.org/spreadsheetml/2006/main">
  <c r="B7" i="1" l="1"/>
  <c r="C7" i="1"/>
  <c r="D7" i="1"/>
  <c r="E7" i="1"/>
  <c r="F7" i="1"/>
  <c r="G7" i="1"/>
  <c r="H7" i="1"/>
  <c r="I7" i="1"/>
  <c r="J7" i="1"/>
  <c r="K7" i="1"/>
  <c r="L7" i="1"/>
  <c r="M7" i="1"/>
</calcChain>
</file>

<file path=xl/sharedStrings.xml><?xml version="1.0" encoding="utf-8"?>
<sst xmlns="http://schemas.openxmlformats.org/spreadsheetml/2006/main" count="81" uniqueCount="70">
  <si>
    <t>Descrição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</si>
  <si>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</si>
  <si>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</si>
  <si>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</si>
  <si>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</si>
  <si>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</si>
  <si>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</si>
  <si>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</si>
  <si>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</si>
  <si>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</si>
  <si>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</si>
  <si>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</si>
  <si>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</si>
  <si>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Código e descrição da conta contábil 04</t>
  </si>
  <si>
    <t>Valor</t>
  </si>
  <si>
    <t>310101               - RECEITA BRUTA DE TRANSPORTES</t>
  </si>
  <si>
    <t>310102               - RECEITA BRUTA DE OPERACOES PORTUARIAS</t>
  </si>
  <si>
    <t>310109               - ( - ) DEDUCOES DA RECEITA BRUTA</t>
  </si>
  <si>
    <t>310901               - OUTRAS RECEITAS</t>
  </si>
  <si>
    <t>320101               - REMUNERACOES</t>
  </si>
  <si>
    <t>320102               - ENCARGOS SOCIAIS</t>
  </si>
  <si>
    <t>320103               - BENEFICIOS</t>
  </si>
  <si>
    <t>320104               - OUTROS GASTOS COM PESSOAL</t>
  </si>
  <si>
    <t>320201               - SERVICOS DE TERCEIROS - PJ</t>
  </si>
  <si>
    <t>320202               - SERVICOS DE TERCEIROS - PF</t>
  </si>
  <si>
    <t>320301               - CUSTO COM FROTA E EQUIPAMENTO</t>
  </si>
  <si>
    <t>320401               - ALUGUEIS, ARREND. E CONDOMINIOS</t>
  </si>
  <si>
    <t>320402               - UTILIDADES</t>
  </si>
  <si>
    <t>320403               - COMUNICACAO</t>
  </si>
  <si>
    <t>320404               - INFORMATICA</t>
  </si>
  <si>
    <t>320405               - PREMIO DE SEGUROS</t>
  </si>
  <si>
    <t>320406               - MANUTENCAO E CONSERVACAO</t>
  </si>
  <si>
    <t>320407               - VIAGENS E REPRESENTACAO</t>
  </si>
  <si>
    <t>320408               - IMPOSTOS, MULTAS E TAXAS DIVERSAS</t>
  </si>
  <si>
    <t>320409               - CUSTOS GERAIS</t>
  </si>
  <si>
    <t>320410               - MARKETING</t>
  </si>
  <si>
    <t>320501               - DEPRECIACOES E AMORTIZACOES</t>
  </si>
  <si>
    <t>320601               - CUSTOS DIRETOS OPERACIONAIS PORTUARIOS</t>
  </si>
  <si>
    <t>321801002            - CONSUMO DIVERSOS - MATERIAIS</t>
  </si>
  <si>
    <t>330101               - REMUNERACOES</t>
  </si>
  <si>
    <t>330102               - ENCARGOS SOCIAIS</t>
  </si>
  <si>
    <t>330103               - BENEFICIOS</t>
  </si>
  <si>
    <t>330104               - OUTROS GASTOS COM PESSOAL</t>
  </si>
  <si>
    <t>330201               - SERVICOS DE TERCEIROS - PJ</t>
  </si>
  <si>
    <t>330202               - SERVICOS DE TERCEIROS - PF</t>
  </si>
  <si>
    <t>330301               - DESPESA COM FROTA E EQUIPAMENTO</t>
  </si>
  <si>
    <t>330401               - ALUGUEIS, ARREND. E CONDOMINIOS</t>
  </si>
  <si>
    <t>330402               - UTILIDADES</t>
  </si>
  <si>
    <t>330403               - COMUNICACAO</t>
  </si>
  <si>
    <t>330404               - INFORMATICA</t>
  </si>
  <si>
    <t>330405               - PREMIOS DE SEGUROS</t>
  </si>
  <si>
    <t>330406               - MANUTENCAO E CONSERVACAO</t>
  </si>
  <si>
    <t>330407               - VIAGENS E REPRESENTACAO</t>
  </si>
  <si>
    <t>330408               - IMPOSTOS, MULTAS E TAXAS DIVERSAS</t>
  </si>
  <si>
    <t>330409               - DESPESAS GERAIS</t>
  </si>
  <si>
    <t>330410               - MARKETING</t>
  </si>
  <si>
    <t>330501               - DEPRECIACOES E AMORTIZACOES</t>
  </si>
  <si>
    <t>330601               - DESPESAS VARIAVEIS DE VENDAS</t>
  </si>
  <si>
    <t>330701               - DESPESAS TRIBUTARIAS</t>
  </si>
  <si>
    <t>331802               - CONSUMO DIVERSOS - MATERIAIS</t>
  </si>
  <si>
    <t>331803               - CUSTO DE BENS ALIENADOS/BAIXADOS</t>
  </si>
  <si>
    <t>380101               - RECEITAS FINANCEIRAS</t>
  </si>
  <si>
    <t>380201               - DESPESAS FINANCEIRAS</t>
  </si>
  <si>
    <t>380301               - DESPESAS INDEDUTIVEIS</t>
  </si>
  <si>
    <t>RECEITA OPERACIONAL LIQUIDA</t>
  </si>
  <si>
    <t>LUCRO BRUTO</t>
  </si>
  <si>
    <t>RESULTADO DA ATIVIDADE</t>
  </si>
  <si>
    <t>RESULTADO OPERACIONAL</t>
  </si>
  <si>
    <t>LUCRO LIQUIDO ANTES DE IR E CSLL</t>
  </si>
  <si>
    <t>LUCRO LIQIDO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</si>
</sst>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&quot;R$&quot;#.0,\ &quot;K&quot;;&quot;R$&quot;#.0,\ &quot;K&quot;"/>
    <numFmt numFmtId="165" formatCode="&quot;-R$&quot;#.0,,\ &quot;M&quot;;&quot;-R$&quot;#.0,,\ &quot;M&quot;"/>
    <numFmt numFmtId="166" formatCode="&quot;R$&quot;#.0,,\ &quot;M&quot;;&quot;R$&quot;#.0,,\ &quot;M&quot;"/>
    <numFmt numFmtId="167" formatCode="&quot;-R$&quot;#.0,\ &quot;K&quot;;&quot;-R$&quot;#.0,\ &quot;K&quot;"/>
    <numFmt numFmtId="168" formatCode="&quot;R$&quot;#,##0;&quot;R$&quot;#,##0"/>
    <numFmt numFmtId="169" formatCode="&quot;-R$&quot;#,##0;&quot;-R$&quot;#,##0"/>
  </numFmts>
  <fonts count="5" x14ac:knownFonts="1">
    <font>
      <sz val="11"/>
      <color theme="1"/>
      <name val="Calibri"/>
      <family val="2"/>
      <scheme val="minor"/>
    </font>
    <font>
      <sz val="8"/>
      <color rgb="FF000000"/>
      <name val="Verdana"/>
      <family val="2"/>
    </font>
    <font>
      <sz val="8"/>
      <color rgb="FF808080"/>
      <name val="Verdana"/>
      <family val="2"/>
    </font>
    <font>
      <sz val="8"/>
      <color rgb="FFFFFFFF"/>
      <name val="Verdana"/>
      <family val="2"/>
    </font>
    <font>
      <sz val="8"/>
      <color theme="1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rgb="FF808080"/>
      </left>
      <right style="medium">
        <color rgb="FF000000"/>
      </right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808080"/>
      </right>
      <top/>
      <bottom style="medium">
        <color rgb="FF000000"/>
      </bottom>
      <diagonal/>
    </border>
    <border>
      <left style="thin">
        <color rgb="FF808080"/>
      </left>
      <right style="medium">
        <color rgb="FF000000"/>
      </right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49" fontId="2" fillId="2" borderId="2" xfId="0" applyNumberFormat="1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49" fontId="3" fillId="3" borderId="4" xfId="0" applyNumberFormat="1" applyFont="1" applyFill="1" applyBorder="1" applyAlignment="1">
      <alignment horizontal="left" vertical="center"/>
    </xf>
    <xf numFmtId="49" fontId="2" fillId="4" borderId="5" xfId="0" applyNumberFormat="1" applyFont="1" applyFill="1" applyBorder="1" applyAlignment="1">
      <alignment horizontal="left" vertical="top"/>
    </xf>
    <xf numFmtId="164" fontId="4" fillId="4" borderId="6" xfId="0" applyNumberFormat="1" applyFont="1" applyFill="1" applyBorder="1" applyAlignment="1">
      <alignment horizontal="right" vertical="center"/>
    </xf>
    <xf numFmtId="165" fontId="4" fillId="4" borderId="6" xfId="0" applyNumberFormat="1" applyFont="1" applyFill="1" applyBorder="1" applyAlignment="1">
      <alignment horizontal="right" vertical="center"/>
    </xf>
    <xf numFmtId="166" fontId="4" fillId="4" borderId="6" xfId="0" applyNumberFormat="1" applyFont="1" applyFill="1" applyBorder="1" applyAlignment="1">
      <alignment horizontal="right" vertical="center"/>
    </xf>
    <xf numFmtId="0" fontId="0" fillId="4" borderId="0" xfId="0" applyFill="1"/>
    <xf numFmtId="49" fontId="2" fillId="5" borderId="5" xfId="0" applyNumberFormat="1" applyFont="1" applyFill="1" applyBorder="1" applyAlignment="1">
      <alignment horizontal="left" vertical="top"/>
    </xf>
    <xf numFmtId="164" fontId="4" fillId="5" borderId="6" xfId="0" applyNumberFormat="1" applyFont="1" applyFill="1" applyBorder="1" applyAlignment="1">
      <alignment horizontal="right" vertical="center"/>
    </xf>
    <xf numFmtId="0" fontId="0" fillId="5" borderId="0" xfId="0" applyFill="1"/>
    <xf numFmtId="49" fontId="2" fillId="6" borderId="5" xfId="0" applyNumberFormat="1" applyFont="1" applyFill="1" applyBorder="1" applyAlignment="1">
      <alignment horizontal="left" vertical="top"/>
    </xf>
    <xf numFmtId="164" fontId="4" fillId="6" borderId="6" xfId="0" applyNumberFormat="1" applyFont="1" applyFill="1" applyBorder="1" applyAlignment="1">
      <alignment horizontal="right" vertical="center"/>
    </xf>
    <xf numFmtId="165" fontId="4" fillId="6" borderId="6" xfId="0" applyNumberFormat="1" applyFont="1" applyFill="1" applyBorder="1" applyAlignment="1">
      <alignment horizontal="right" vertical="center"/>
    </xf>
    <xf numFmtId="166" fontId="4" fillId="6" borderId="6" xfId="0" applyNumberFormat="1" applyFont="1" applyFill="1" applyBorder="1" applyAlignment="1">
      <alignment horizontal="right" vertical="center"/>
    </xf>
    <xf numFmtId="0" fontId="0" fillId="6" borderId="0" xfId="0" applyFill="1"/>
    <xf numFmtId="167" fontId="4" fillId="4" borderId="6" xfId="0" applyNumberFormat="1" applyFont="1" applyFill="1" applyBorder="1" applyAlignment="1">
      <alignment horizontal="right" vertical="center"/>
    </xf>
    <xf numFmtId="168" fontId="4" fillId="4" borderId="6" xfId="0" applyNumberFormat="1" applyFont="1" applyFill="1" applyBorder="1" applyAlignment="1">
      <alignment horizontal="right" vertical="center"/>
    </xf>
    <xf numFmtId="169" fontId="4" fillId="4" borderId="6" xfId="0" applyNumberFormat="1" applyFont="1" applyFill="1" applyBorder="1" applyAlignment="1">
      <alignment horizontal="right" vertical="center"/>
    </xf>
    <xf numFmtId="168" fontId="4" fillId="6" borderId="6" xfId="0" applyNumberFormat="1" applyFont="1" applyFill="1" applyBorder="1" applyAlignment="1">
      <alignment horizontal="right" vertical="center"/>
    </xf>
    <xf numFmtId="169" fontId="4" fillId="6" borderId="6" xfId="0" applyNumberFormat="1" applyFont="1" applyFill="1" applyBorder="1" applyAlignment="1">
      <alignment horizontal="right" vertical="center"/>
    </xf>
    <xf numFmtId="167" fontId="4" fillId="6" borderId="6" xfId="0" applyNumberFormat="1" applyFont="1" applyFill="1" applyBorder="1" applyAlignment="1">
      <alignment horizontal="right" vertical="center"/>
    </xf>
    <xf numFmtId="167" fontId="4" fillId="5" borderId="6" xfId="0" applyNumberFormat="1" applyFont="1" applyFill="1" applyBorder="1" applyAlignment="1">
      <alignment horizontal="right" vertical="center"/>
    </xf>
    <xf numFmtId="168" fontId="4" fillId="5" borderId="6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7"/>
  <sheetViews>
    <sheetView tabSelected="1" workbookViewId="0">
      <selection activeCell="C5" sqref="C5"/>
    </sheetView>
  </sheetViews>
  <sheetFormatPr defaultRowHeight="15" x14ac:dyDescent="0.25"/>
  <cols>
    <col min="1" max="1" width="58.85546875" bestFit="1" customWidth="1"/>
    <col min="2" max="13" width="16.42578125" customWidth="1"/>
  </cols>
  <sheetData>
    <row r="1" spans="1:13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25">
      <c r="A2" s="3" t="s">
        <v>13</v>
      </c>
      <c r="B2" s="4" t="s">
        <v>14</v>
      </c>
      <c r="C2" s="4" t="s">
        <v>14</v>
      </c>
      <c r="D2" s="4" t="s">
        <v>14</v>
      </c>
      <c r="E2" s="4" t="s">
        <v>14</v>
      </c>
      <c r="F2" s="4" t="s">
        <v>14</v>
      </c>
      <c r="G2" s="4" t="s">
        <v>14</v>
      </c>
      <c r="H2" s="4" t="s">
        <v>14</v>
      </c>
      <c r="I2" s="4" t="s">
        <v>14</v>
      </c>
      <c r="J2" s="4" t="s">
        <v>14</v>
      </c>
      <c r="K2" s="4" t="s">
        <v>14</v>
      </c>
      <c r="L2" s="4" t="s">
        <v>14</v>
      </c>
      <c r="M2" s="4" t="s">
        <v>14</v>
      </c>
    </row>
    <row r="3" spans="1:13" s="9" customFormat="1" x14ac:dyDescent="0.25">
      <c r="A3" s="5" t="s">
        <v>15</v>
      </c>
      <c r="B3" s="6">
        <v>595449.98</v>
      </c>
      <c r="C3" s="6">
        <v>668030.77</v>
      </c>
      <c r="D3" s="7">
        <v>-1263480.75</v>
      </c>
      <c r="E3" s="6">
        <v>817913.21</v>
      </c>
      <c r="F3" s="8">
        <v>1165336.8799999999</v>
      </c>
      <c r="G3" s="7">
        <v>-1983250.09</v>
      </c>
      <c r="H3" s="8">
        <v>1455589.72</v>
      </c>
      <c r="I3" s="8">
        <v>1316310.1100000001</v>
      </c>
      <c r="J3" s="7">
        <v>-2771899.83</v>
      </c>
      <c r="K3" s="8">
        <v>1396096.27</v>
      </c>
      <c r="L3" s="8">
        <v>1603688.25</v>
      </c>
      <c r="M3" s="8">
        <v>1382599.27</v>
      </c>
    </row>
    <row r="4" spans="1:13" s="9" customFormat="1" x14ac:dyDescent="0.25">
      <c r="A4" s="5" t="s">
        <v>16</v>
      </c>
      <c r="B4" s="8">
        <v>9175205.0800000001</v>
      </c>
      <c r="C4" s="8">
        <v>8315355.1600000001</v>
      </c>
      <c r="D4" s="7">
        <v>-17490560.239999998</v>
      </c>
      <c r="E4" s="8">
        <v>9903790.5700000003</v>
      </c>
      <c r="F4" s="8">
        <v>10238855.560000001</v>
      </c>
      <c r="G4" s="7">
        <v>-20142646.129999999</v>
      </c>
      <c r="H4" s="8">
        <v>8762051.7899999991</v>
      </c>
      <c r="I4" s="8">
        <v>9541674.2100000009</v>
      </c>
      <c r="J4" s="7">
        <v>-18303726</v>
      </c>
      <c r="K4" s="8">
        <v>10513855.58</v>
      </c>
      <c r="L4" s="8">
        <v>8543538.6400000006</v>
      </c>
      <c r="M4" s="8">
        <v>8824829.2699999996</v>
      </c>
    </row>
    <row r="5" spans="1:13" s="9" customFormat="1" x14ac:dyDescent="0.25">
      <c r="A5" s="5" t="s">
        <v>17</v>
      </c>
      <c r="B5" s="7">
        <v>-1508134.81</v>
      </c>
      <c r="C5" s="7">
        <v>-1375171.64</v>
      </c>
      <c r="D5" s="8">
        <v>2883306.45</v>
      </c>
      <c r="E5" s="7">
        <v>-1704353.69</v>
      </c>
      <c r="F5" s="7">
        <v>-1737811.32</v>
      </c>
      <c r="G5" s="8">
        <v>3442165.01</v>
      </c>
      <c r="H5" s="7">
        <v>-1585623.74</v>
      </c>
      <c r="I5" s="7">
        <v>-1701019.94</v>
      </c>
      <c r="J5" s="8">
        <v>3286643.68</v>
      </c>
      <c r="K5" s="7">
        <v>-1830571.67</v>
      </c>
      <c r="L5" s="7">
        <v>-1585705.54</v>
      </c>
      <c r="M5" s="7">
        <v>-1477524.37</v>
      </c>
    </row>
    <row r="6" spans="1:13" s="17" customFormat="1" x14ac:dyDescent="0.25">
      <c r="A6" s="13" t="s">
        <v>18</v>
      </c>
      <c r="B6" s="14">
        <v>524806.61</v>
      </c>
      <c r="C6" s="14">
        <v>481761.62</v>
      </c>
      <c r="D6" s="15">
        <v>-1006568.23</v>
      </c>
      <c r="E6" s="14">
        <v>518954.36</v>
      </c>
      <c r="F6" s="14">
        <v>501070.51</v>
      </c>
      <c r="G6" s="15">
        <v>-1020024.87</v>
      </c>
      <c r="H6" s="16">
        <v>1841482.38</v>
      </c>
      <c r="I6" s="16">
        <v>2917462.46</v>
      </c>
      <c r="J6" s="15">
        <v>-4758944.84</v>
      </c>
      <c r="K6" s="16">
        <v>1919755.89</v>
      </c>
      <c r="L6" s="14">
        <v>599391.48</v>
      </c>
      <c r="M6" s="14">
        <v>725404.37</v>
      </c>
    </row>
    <row r="7" spans="1:13" s="17" customFormat="1" x14ac:dyDescent="0.25">
      <c r="A7" s="13" t="s">
        <v>64</v>
      </c>
      <c r="B7" s="14">
        <f t="shared" ref="B7:L7" si="0">SUM(B3:B5)</f>
        <v>8262520.25</v>
      </c>
      <c r="C7" s="14">
        <f t="shared" si="0"/>
        <v>7608214.29</v>
      </c>
      <c r="D7" s="14">
        <f t="shared" si="0"/>
        <v>-15870734.539999999</v>
      </c>
      <c r="E7" s="14">
        <f t="shared" si="0"/>
        <v>9017350.0900000017</v>
      </c>
      <c r="F7" s="14">
        <f t="shared" si="0"/>
        <v>9666381.120000001</v>
      </c>
      <c r="G7" s="14">
        <f t="shared" si="0"/>
        <v>-18683731.210000001</v>
      </c>
      <c r="H7" s="14">
        <f t="shared" si="0"/>
        <v>8632017.7699999996</v>
      </c>
      <c r="I7" s="14">
        <f t="shared" si="0"/>
        <v>9156964.3800000008</v>
      </c>
      <c r="J7" s="14">
        <f t="shared" si="0"/>
        <v>-17788982.149999999</v>
      </c>
      <c r="K7" s="14">
        <f t="shared" si="0"/>
        <v>10079380.18</v>
      </c>
      <c r="L7" s="14">
        <f t="shared" si="0"/>
        <v>8561521.3500000015</v>
      </c>
      <c r="M7" s="14">
        <f>SUM(M3:M5)</f>
        <v>8729904.1699999981</v>
      </c>
    </row>
    <row r="8" spans="1:13" s="9" customFormat="1" x14ac:dyDescent="0.25">
      <c r="A8" s="5" t="s">
        <v>19</v>
      </c>
      <c r="B8" s="7">
        <v>-2284774.33</v>
      </c>
      <c r="C8" s="7">
        <v>-1341420.53</v>
      </c>
      <c r="D8" s="8">
        <v>3626194.86</v>
      </c>
      <c r="E8" s="7">
        <v>-1610063.17</v>
      </c>
      <c r="F8" s="7">
        <v>-1331895.99</v>
      </c>
      <c r="G8" s="8">
        <v>2941959.16</v>
      </c>
      <c r="H8" s="7">
        <v>-1435994.68</v>
      </c>
      <c r="I8" s="7">
        <v>-1483852.18</v>
      </c>
      <c r="J8" s="8">
        <v>2919846.86</v>
      </c>
      <c r="K8" s="7">
        <v>-1485322.31</v>
      </c>
      <c r="L8" s="7">
        <v>-1559828.41</v>
      </c>
      <c r="M8" s="7">
        <v>-1877617.71</v>
      </c>
    </row>
    <row r="9" spans="1:13" s="9" customFormat="1" x14ac:dyDescent="0.25">
      <c r="A9" s="5" t="s">
        <v>20</v>
      </c>
      <c r="B9" s="18">
        <v>-416506.25</v>
      </c>
      <c r="C9" s="18">
        <v>-210328.02</v>
      </c>
      <c r="D9" s="6">
        <v>626834.27</v>
      </c>
      <c r="E9" s="18">
        <v>-254692.18</v>
      </c>
      <c r="F9" s="18">
        <v>-229699.7</v>
      </c>
      <c r="G9" s="6">
        <v>484391.88</v>
      </c>
      <c r="H9" s="18">
        <v>-246393.82</v>
      </c>
      <c r="I9" s="18">
        <v>-243919.42</v>
      </c>
      <c r="J9" s="6">
        <v>490313.24</v>
      </c>
      <c r="K9" s="18">
        <v>-250140.4</v>
      </c>
      <c r="L9" s="18">
        <v>-255268.99</v>
      </c>
      <c r="M9" s="18">
        <v>-354064.89</v>
      </c>
    </row>
    <row r="10" spans="1:13" s="9" customFormat="1" x14ac:dyDescent="0.25">
      <c r="A10" s="5" t="s">
        <v>21</v>
      </c>
      <c r="B10" s="18">
        <v>-376291.98</v>
      </c>
      <c r="C10" s="18">
        <v>-358041.57</v>
      </c>
      <c r="D10" s="6">
        <v>734333.55</v>
      </c>
      <c r="E10" s="18">
        <v>-428182.38</v>
      </c>
      <c r="F10" s="18">
        <v>-360633.21</v>
      </c>
      <c r="G10" s="6">
        <v>788815.59</v>
      </c>
      <c r="H10" s="18">
        <v>-190178.25</v>
      </c>
      <c r="I10" s="18">
        <v>-475091</v>
      </c>
      <c r="J10" s="6">
        <v>665269.25</v>
      </c>
      <c r="K10" s="18">
        <v>-360979.98</v>
      </c>
      <c r="L10" s="18">
        <v>-393502.33</v>
      </c>
      <c r="M10" s="18">
        <v>-379326.53</v>
      </c>
    </row>
    <row r="11" spans="1:13" s="9" customFormat="1" x14ac:dyDescent="0.25">
      <c r="A11" s="5" t="s">
        <v>22</v>
      </c>
      <c r="B11" s="18">
        <v>-27612.06</v>
      </c>
      <c r="C11" s="18">
        <v>-39298.26</v>
      </c>
      <c r="D11" s="6">
        <v>66910.320000000007</v>
      </c>
      <c r="E11" s="18">
        <v>-28047.33</v>
      </c>
      <c r="F11" s="18">
        <v>-38357.519999999997</v>
      </c>
      <c r="G11" s="6">
        <v>66404.850000000006</v>
      </c>
      <c r="H11" s="18">
        <v>-42489.31</v>
      </c>
      <c r="I11" s="18">
        <v>-33426.089999999997</v>
      </c>
      <c r="J11" s="6">
        <v>75915.399999999994</v>
      </c>
      <c r="K11" s="18">
        <v>-35033.769999999997</v>
      </c>
      <c r="L11" s="18">
        <v>-31983.58</v>
      </c>
      <c r="M11" s="18">
        <v>-36287.910000000003</v>
      </c>
    </row>
    <row r="12" spans="1:13" s="9" customFormat="1" x14ac:dyDescent="0.25">
      <c r="A12" s="5" t="s">
        <v>23</v>
      </c>
      <c r="B12" s="7">
        <v>-1086429.7</v>
      </c>
      <c r="C12" s="18">
        <v>-732661.64</v>
      </c>
      <c r="D12" s="8">
        <v>1819091.34</v>
      </c>
      <c r="E12" s="18">
        <v>-964073.69</v>
      </c>
      <c r="F12" s="7">
        <v>-1287461.78</v>
      </c>
      <c r="G12" s="8">
        <v>2251535.4700000002</v>
      </c>
      <c r="H12" s="18">
        <v>-973996.35</v>
      </c>
      <c r="I12" s="18">
        <v>-969814.34</v>
      </c>
      <c r="J12" s="8">
        <v>1943810.69</v>
      </c>
      <c r="K12" s="7">
        <v>-1076320.8</v>
      </c>
      <c r="L12" s="18">
        <v>-851813.02</v>
      </c>
      <c r="M12" s="18">
        <v>-839891.35</v>
      </c>
    </row>
    <row r="13" spans="1:13" s="9" customFormat="1" x14ac:dyDescent="0.25">
      <c r="A13" s="5" t="s">
        <v>24</v>
      </c>
      <c r="B13" s="18">
        <v>-6815.32</v>
      </c>
      <c r="C13" s="18">
        <v>-4725</v>
      </c>
      <c r="D13" s="6">
        <v>11540.32</v>
      </c>
      <c r="E13" s="18">
        <v>-5870.1</v>
      </c>
      <c r="F13" s="18">
        <v>-3560</v>
      </c>
      <c r="G13" s="6">
        <v>9430.1</v>
      </c>
      <c r="H13" s="19"/>
      <c r="I13" s="18">
        <v>-2280</v>
      </c>
      <c r="J13" s="6">
        <v>2280</v>
      </c>
      <c r="K13" s="18">
        <v>-7200</v>
      </c>
      <c r="L13" s="18">
        <v>-4935</v>
      </c>
      <c r="M13" s="18">
        <v>-2600</v>
      </c>
    </row>
    <row r="14" spans="1:13" s="9" customFormat="1" x14ac:dyDescent="0.25">
      <c r="A14" s="5" t="s">
        <v>25</v>
      </c>
      <c r="B14" s="7">
        <v>-1415347.11</v>
      </c>
      <c r="C14" s="7">
        <v>-1034633.06</v>
      </c>
      <c r="D14" s="8">
        <v>2449980.17</v>
      </c>
      <c r="E14" s="7">
        <v>-1107233.55</v>
      </c>
      <c r="F14" s="7">
        <v>-1324571.1399999999</v>
      </c>
      <c r="G14" s="8">
        <v>2431804.69</v>
      </c>
      <c r="H14" s="7">
        <v>-1533066.52</v>
      </c>
      <c r="I14" s="7">
        <v>-1613568.44</v>
      </c>
      <c r="J14" s="8">
        <v>3146634.96</v>
      </c>
      <c r="K14" s="7">
        <v>-1504249.19</v>
      </c>
      <c r="L14" s="7">
        <v>-2042026.32</v>
      </c>
      <c r="M14" s="7">
        <v>-1550179.69</v>
      </c>
    </row>
    <row r="15" spans="1:13" s="9" customFormat="1" x14ac:dyDescent="0.25">
      <c r="A15" s="5" t="s">
        <v>26</v>
      </c>
      <c r="B15" s="18">
        <v>-47900.35</v>
      </c>
      <c r="C15" s="18">
        <v>-43750.7</v>
      </c>
      <c r="D15" s="6">
        <v>91651.05</v>
      </c>
      <c r="E15" s="18">
        <v>-60350.63</v>
      </c>
      <c r="F15" s="18">
        <v>-63447.77</v>
      </c>
      <c r="G15" s="6">
        <v>123798.39999999999</v>
      </c>
      <c r="H15" s="18">
        <v>-65193.06</v>
      </c>
      <c r="I15" s="18">
        <v>-124919.98</v>
      </c>
      <c r="J15" s="6">
        <v>190113.04</v>
      </c>
      <c r="K15" s="18">
        <v>-75041.149999999994</v>
      </c>
      <c r="L15" s="18">
        <v>-112357.79</v>
      </c>
      <c r="M15" s="18">
        <v>-109571.59</v>
      </c>
    </row>
    <row r="16" spans="1:13" s="9" customFormat="1" x14ac:dyDescent="0.25">
      <c r="A16" s="5" t="s">
        <v>27</v>
      </c>
      <c r="B16" s="18">
        <v>-12392.89</v>
      </c>
      <c r="C16" s="18">
        <v>-11800.26</v>
      </c>
      <c r="D16" s="6">
        <v>24193.15</v>
      </c>
      <c r="E16" s="18">
        <v>-11594.4</v>
      </c>
      <c r="F16" s="18">
        <v>-11343.23</v>
      </c>
      <c r="G16" s="6">
        <v>22937.63</v>
      </c>
      <c r="H16" s="18">
        <v>-12982.14</v>
      </c>
      <c r="I16" s="18">
        <v>-12867.51</v>
      </c>
      <c r="J16" s="6">
        <v>25849.65</v>
      </c>
      <c r="K16" s="18">
        <v>-28563.360000000001</v>
      </c>
      <c r="L16" s="18">
        <v>-24807.81</v>
      </c>
      <c r="M16" s="18">
        <v>-23670.7</v>
      </c>
    </row>
    <row r="17" spans="1:13" s="9" customFormat="1" x14ac:dyDescent="0.25">
      <c r="A17" s="5" t="s">
        <v>28</v>
      </c>
      <c r="B17" s="18">
        <v>-1700</v>
      </c>
      <c r="C17" s="20">
        <v>-596.86</v>
      </c>
      <c r="D17" s="6">
        <v>2296.86</v>
      </c>
      <c r="E17" s="18">
        <v>-1499.34</v>
      </c>
      <c r="F17" s="18">
        <v>-9311.2800000000007</v>
      </c>
      <c r="G17" s="6">
        <v>10810.62</v>
      </c>
      <c r="H17" s="18">
        <v>-4869.88</v>
      </c>
      <c r="I17" s="18">
        <v>-2230.15</v>
      </c>
      <c r="J17" s="6">
        <v>7100.03</v>
      </c>
      <c r="K17" s="18">
        <v>-2281.23</v>
      </c>
      <c r="L17" s="18">
        <v>-2125.41</v>
      </c>
      <c r="M17" s="18">
        <v>-2962.57</v>
      </c>
    </row>
    <row r="18" spans="1:13" s="9" customFormat="1" x14ac:dyDescent="0.25">
      <c r="A18" s="5" t="s">
        <v>29</v>
      </c>
      <c r="B18" s="20">
        <v>-480.21</v>
      </c>
      <c r="C18" s="18">
        <v>-1241</v>
      </c>
      <c r="D18" s="6">
        <v>1721.21</v>
      </c>
      <c r="E18" s="19"/>
      <c r="F18" s="19"/>
      <c r="G18" s="19">
        <v>0</v>
      </c>
      <c r="H18" s="19"/>
      <c r="I18" s="20">
        <v>-227.56</v>
      </c>
      <c r="J18" s="19">
        <v>227.56</v>
      </c>
      <c r="K18" s="19"/>
      <c r="L18" s="20">
        <v>-499.5</v>
      </c>
      <c r="M18" s="19"/>
    </row>
    <row r="19" spans="1:13" s="9" customFormat="1" x14ac:dyDescent="0.25">
      <c r="A19" s="5" t="s">
        <v>30</v>
      </c>
      <c r="B19" s="18">
        <v>-43199.91</v>
      </c>
      <c r="C19" s="18">
        <v>-43199.91</v>
      </c>
      <c r="D19" s="6">
        <v>86399.82</v>
      </c>
      <c r="E19" s="18">
        <v>-43199.91</v>
      </c>
      <c r="F19" s="18">
        <v>-50222.49</v>
      </c>
      <c r="G19" s="6">
        <v>93422.399999999994</v>
      </c>
      <c r="H19" s="18">
        <v>-27776.66</v>
      </c>
      <c r="I19" s="18">
        <v>-53900.13</v>
      </c>
      <c r="J19" s="6">
        <v>81676.789999999994</v>
      </c>
      <c r="K19" s="18">
        <v>-54441.05</v>
      </c>
      <c r="L19" s="18">
        <v>-54441.04</v>
      </c>
      <c r="M19" s="18">
        <v>-54441.01</v>
      </c>
    </row>
    <row r="20" spans="1:13" s="9" customFormat="1" x14ac:dyDescent="0.25">
      <c r="A20" s="5" t="s">
        <v>31</v>
      </c>
      <c r="B20" s="18">
        <v>-4764.8500000000004</v>
      </c>
      <c r="C20" s="18">
        <v>-1179.6600000000001</v>
      </c>
      <c r="D20" s="6">
        <v>5944.51</v>
      </c>
      <c r="E20" s="18">
        <v>-1125.98</v>
      </c>
      <c r="F20" s="20">
        <v>-174.79</v>
      </c>
      <c r="G20" s="6">
        <v>1300.77</v>
      </c>
      <c r="H20" s="18">
        <v>-7854.77</v>
      </c>
      <c r="I20" s="18">
        <v>-3633.61</v>
      </c>
      <c r="J20" s="6">
        <v>11488.38</v>
      </c>
      <c r="K20" s="18">
        <v>-1271.01</v>
      </c>
      <c r="L20" s="18">
        <v>-2362.46</v>
      </c>
      <c r="M20" s="18">
        <v>-8702.7900000000009</v>
      </c>
    </row>
    <row r="21" spans="1:13" s="9" customFormat="1" x14ac:dyDescent="0.25">
      <c r="A21" s="5" t="s">
        <v>32</v>
      </c>
      <c r="B21" s="19"/>
      <c r="C21" s="19"/>
      <c r="D21" s="19"/>
      <c r="E21" s="19"/>
      <c r="F21" s="19"/>
      <c r="G21" s="19"/>
      <c r="H21" s="19"/>
      <c r="I21" s="19"/>
      <c r="J21" s="19"/>
      <c r="K21" s="18">
        <v>-1433</v>
      </c>
      <c r="L21" s="20">
        <v>-85</v>
      </c>
      <c r="M21" s="20">
        <v>-43</v>
      </c>
    </row>
    <row r="22" spans="1:13" s="9" customFormat="1" x14ac:dyDescent="0.25">
      <c r="A22" s="5" t="s">
        <v>33</v>
      </c>
      <c r="B22" s="18">
        <v>-38650.839999999997</v>
      </c>
      <c r="C22" s="19"/>
      <c r="D22" s="6">
        <v>38650.839999999997</v>
      </c>
      <c r="E22" s="19"/>
      <c r="F22" s="19"/>
      <c r="G22" s="19"/>
      <c r="H22" s="19"/>
      <c r="I22" s="19"/>
      <c r="J22" s="19"/>
      <c r="K22" s="19"/>
      <c r="L22" s="18">
        <v>-3914.41</v>
      </c>
      <c r="M22" s="18">
        <v>-3624.41</v>
      </c>
    </row>
    <row r="23" spans="1:13" s="9" customFormat="1" x14ac:dyDescent="0.25">
      <c r="A23" s="5" t="s">
        <v>34</v>
      </c>
      <c r="B23" s="18">
        <v>-14742.27</v>
      </c>
      <c r="C23" s="18">
        <v>-22729.759999999998</v>
      </c>
      <c r="D23" s="6">
        <v>37472.03</v>
      </c>
      <c r="E23" s="18">
        <v>-11074.86</v>
      </c>
      <c r="F23" s="18">
        <v>-15628.85</v>
      </c>
      <c r="G23" s="6">
        <v>26703.71</v>
      </c>
      <c r="H23" s="18">
        <v>-23455.69</v>
      </c>
      <c r="I23" s="18">
        <v>-17099.490000000002</v>
      </c>
      <c r="J23" s="6">
        <v>40555.18</v>
      </c>
      <c r="K23" s="18">
        <v>-30933.34</v>
      </c>
      <c r="L23" s="18">
        <v>-16321.46</v>
      </c>
      <c r="M23" s="18">
        <v>-17199.150000000001</v>
      </c>
    </row>
    <row r="24" spans="1:13" s="9" customFormat="1" x14ac:dyDescent="0.25">
      <c r="A24" s="5" t="s">
        <v>35</v>
      </c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8">
        <v>-58512</v>
      </c>
    </row>
    <row r="25" spans="1:13" s="9" customFormat="1" x14ac:dyDescent="0.25">
      <c r="A25" s="5" t="s">
        <v>36</v>
      </c>
      <c r="B25" s="18">
        <v>-507063.16</v>
      </c>
      <c r="C25" s="18">
        <v>-511323.1</v>
      </c>
      <c r="D25" s="8">
        <v>1018386.26</v>
      </c>
      <c r="E25" s="18">
        <v>-511844.5</v>
      </c>
      <c r="F25" s="18">
        <v>-512200.81</v>
      </c>
      <c r="G25" s="8">
        <v>1024045.31</v>
      </c>
      <c r="H25" s="18">
        <v>-186165.98</v>
      </c>
      <c r="I25" s="18">
        <v>-524394.32999999996</v>
      </c>
      <c r="J25" s="6">
        <v>710560.31</v>
      </c>
      <c r="K25" s="18">
        <v>-524943.23</v>
      </c>
      <c r="L25" s="18">
        <v>-513800.71</v>
      </c>
      <c r="M25" s="18">
        <v>-512083.44</v>
      </c>
    </row>
    <row r="26" spans="1:13" s="9" customFormat="1" x14ac:dyDescent="0.25">
      <c r="A26" s="5" t="s">
        <v>37</v>
      </c>
      <c r="B26" s="7">
        <v>-1320687.8899999999</v>
      </c>
      <c r="C26" s="18">
        <v>-724636.59</v>
      </c>
      <c r="D26" s="8">
        <v>2045324.48</v>
      </c>
      <c r="E26" s="7">
        <v>-1280512.8600000001</v>
      </c>
      <c r="F26" s="7">
        <v>-1206696.74</v>
      </c>
      <c r="G26" s="8">
        <v>2487209.6</v>
      </c>
      <c r="H26" s="7">
        <v>-1204729.27</v>
      </c>
      <c r="I26" s="7">
        <v>-1186911.44</v>
      </c>
      <c r="J26" s="8">
        <v>2391640.71</v>
      </c>
      <c r="K26" s="7">
        <v>-1391643.7</v>
      </c>
      <c r="L26" s="7">
        <v>-1531439.74</v>
      </c>
      <c r="M26" s="7">
        <v>-1438496.89</v>
      </c>
    </row>
    <row r="27" spans="1:13" s="17" customFormat="1" x14ac:dyDescent="0.25">
      <c r="A27" s="13" t="s">
        <v>38</v>
      </c>
      <c r="B27" s="21"/>
      <c r="C27" s="21"/>
      <c r="D27" s="21"/>
      <c r="E27" s="21"/>
      <c r="F27" s="21"/>
      <c r="G27" s="21"/>
      <c r="H27" s="21"/>
      <c r="I27" s="21"/>
      <c r="J27" s="21"/>
      <c r="K27" s="22">
        <v>-438.8</v>
      </c>
      <c r="L27" s="22">
        <v>-93</v>
      </c>
      <c r="M27" s="22">
        <v>-256.91000000000003</v>
      </c>
    </row>
    <row r="28" spans="1:13" s="17" customFormat="1" x14ac:dyDescent="0.25">
      <c r="A28" s="13" t="s">
        <v>65</v>
      </c>
      <c r="B28" s="21"/>
      <c r="C28" s="21"/>
      <c r="D28" s="21"/>
      <c r="E28" s="21"/>
      <c r="F28" s="21"/>
      <c r="G28" s="21"/>
      <c r="H28" s="21"/>
      <c r="I28" s="21"/>
      <c r="J28" s="21"/>
      <c r="K28" s="22"/>
      <c r="L28" s="22"/>
      <c r="M28" s="22"/>
    </row>
    <row r="29" spans="1:13" s="9" customFormat="1" x14ac:dyDescent="0.25">
      <c r="A29" s="5" t="s">
        <v>39</v>
      </c>
      <c r="B29" s="18">
        <v>-210810.23</v>
      </c>
      <c r="C29" s="18">
        <v>-173582.65</v>
      </c>
      <c r="D29" s="6">
        <v>384392.88</v>
      </c>
      <c r="E29" s="18">
        <v>-176730.18</v>
      </c>
      <c r="F29" s="18">
        <v>-179666.91</v>
      </c>
      <c r="G29" s="6">
        <v>356397.09</v>
      </c>
      <c r="H29" s="18">
        <v>-190359.25</v>
      </c>
      <c r="I29" s="18">
        <v>-200899.76</v>
      </c>
      <c r="J29" s="6">
        <v>391259.01</v>
      </c>
      <c r="K29" s="18">
        <v>-223312.76</v>
      </c>
      <c r="L29" s="18">
        <v>-217170.19</v>
      </c>
      <c r="M29" s="18">
        <v>-207745.01</v>
      </c>
    </row>
    <row r="30" spans="1:13" s="9" customFormat="1" x14ac:dyDescent="0.25">
      <c r="A30" s="5" t="s">
        <v>40</v>
      </c>
      <c r="B30" s="18">
        <v>-27825.919999999998</v>
      </c>
      <c r="C30" s="18">
        <v>-26011.01</v>
      </c>
      <c r="D30" s="6">
        <v>53836.93</v>
      </c>
      <c r="E30" s="18">
        <v>-26760.52</v>
      </c>
      <c r="F30" s="18">
        <v>-27026.73</v>
      </c>
      <c r="G30" s="6">
        <v>53787.25</v>
      </c>
      <c r="H30" s="18">
        <v>-28971.360000000001</v>
      </c>
      <c r="I30" s="18">
        <v>-29227.56</v>
      </c>
      <c r="J30" s="6">
        <v>58198.92</v>
      </c>
      <c r="K30" s="18">
        <v>-29910.41</v>
      </c>
      <c r="L30" s="18">
        <v>-29887.52</v>
      </c>
      <c r="M30" s="18">
        <v>-42194.75</v>
      </c>
    </row>
    <row r="31" spans="1:13" s="9" customFormat="1" x14ac:dyDescent="0.25">
      <c r="A31" s="5" t="s">
        <v>41</v>
      </c>
      <c r="B31" s="18">
        <v>-69256.69</v>
      </c>
      <c r="C31" s="18">
        <v>-69009.45</v>
      </c>
      <c r="D31" s="6">
        <v>138266.14000000001</v>
      </c>
      <c r="E31" s="18">
        <v>-58766.75</v>
      </c>
      <c r="F31" s="18">
        <v>-62573.16</v>
      </c>
      <c r="G31" s="6">
        <v>121339.91</v>
      </c>
      <c r="H31" s="18">
        <v>-45609.14</v>
      </c>
      <c r="I31" s="18">
        <v>-60952.3</v>
      </c>
      <c r="J31" s="6">
        <v>106561.44</v>
      </c>
      <c r="K31" s="18">
        <v>-59191.77</v>
      </c>
      <c r="L31" s="18">
        <v>-66551.72</v>
      </c>
      <c r="M31" s="18">
        <v>-62978.63</v>
      </c>
    </row>
    <row r="32" spans="1:13" s="9" customFormat="1" x14ac:dyDescent="0.25">
      <c r="A32" s="5" t="s">
        <v>42</v>
      </c>
      <c r="B32" s="18">
        <v>-2686.34</v>
      </c>
      <c r="C32" s="18">
        <v>-5064.04</v>
      </c>
      <c r="D32" s="6">
        <v>7750.38</v>
      </c>
      <c r="E32" s="18">
        <v>-2418.9499999999998</v>
      </c>
      <c r="F32" s="18">
        <v>-2129.2800000000002</v>
      </c>
      <c r="G32" s="6">
        <v>4548.2299999999996</v>
      </c>
      <c r="H32" s="18">
        <v>-1439.84</v>
      </c>
      <c r="I32" s="18">
        <v>-2164.5300000000002</v>
      </c>
      <c r="J32" s="6">
        <v>3604.37</v>
      </c>
      <c r="K32" s="18">
        <v>-158386.18</v>
      </c>
      <c r="L32" s="20">
        <v>-931.09</v>
      </c>
      <c r="M32" s="18">
        <v>-1761.45</v>
      </c>
    </row>
    <row r="33" spans="1:13" s="9" customFormat="1" x14ac:dyDescent="0.25">
      <c r="A33" s="5" t="s">
        <v>43</v>
      </c>
      <c r="B33" s="18">
        <v>-214333.67</v>
      </c>
      <c r="C33" s="18">
        <v>-363788.56</v>
      </c>
      <c r="D33" s="6">
        <v>578122.23</v>
      </c>
      <c r="E33" s="18">
        <v>-221869.58</v>
      </c>
      <c r="F33" s="18">
        <v>-391542.85</v>
      </c>
      <c r="G33" s="6">
        <v>613412.43000000005</v>
      </c>
      <c r="H33" s="18">
        <v>-301221.40000000002</v>
      </c>
      <c r="I33" s="18">
        <v>-213927.56</v>
      </c>
      <c r="J33" s="6">
        <v>515148.96</v>
      </c>
      <c r="K33" s="18">
        <v>-182299.28</v>
      </c>
      <c r="L33" s="18">
        <v>-151266.54</v>
      </c>
      <c r="M33" s="18">
        <v>-313879.93</v>
      </c>
    </row>
    <row r="34" spans="1:13" s="9" customFormat="1" x14ac:dyDescent="0.25">
      <c r="A34" s="5" t="s">
        <v>44</v>
      </c>
      <c r="B34" s="18">
        <v>-160138.12</v>
      </c>
      <c r="C34" s="18">
        <v>-117797.85</v>
      </c>
      <c r="D34" s="6">
        <v>277935.96999999997</v>
      </c>
      <c r="E34" s="18">
        <v>-133653.23000000001</v>
      </c>
      <c r="F34" s="18">
        <v>-330104.21000000002</v>
      </c>
      <c r="G34" s="6">
        <v>463757.44</v>
      </c>
      <c r="H34" s="18">
        <v>-154801.01</v>
      </c>
      <c r="I34" s="18">
        <v>-275559.78999999998</v>
      </c>
      <c r="J34" s="6">
        <v>430360.8</v>
      </c>
      <c r="K34" s="18">
        <v>-126444.72</v>
      </c>
      <c r="L34" s="18">
        <v>-317213.56</v>
      </c>
      <c r="M34" s="18">
        <v>-276422.28999999998</v>
      </c>
    </row>
    <row r="35" spans="1:13" s="9" customFormat="1" x14ac:dyDescent="0.25">
      <c r="A35" s="5" t="s">
        <v>45</v>
      </c>
      <c r="B35" s="18">
        <v>-167949.29</v>
      </c>
      <c r="C35" s="18">
        <v>-35538.980000000003</v>
      </c>
      <c r="D35" s="6">
        <v>203488.27</v>
      </c>
      <c r="E35" s="18">
        <v>-34154.75</v>
      </c>
      <c r="F35" s="18">
        <v>-65247.15</v>
      </c>
      <c r="G35" s="6">
        <v>99401.9</v>
      </c>
      <c r="H35" s="18">
        <v>-47652.08</v>
      </c>
      <c r="I35" s="18">
        <v>-87023.44</v>
      </c>
      <c r="J35" s="6">
        <v>134675.51999999999</v>
      </c>
      <c r="K35" s="18">
        <v>-84346.46</v>
      </c>
      <c r="L35" s="18">
        <v>-66356.160000000003</v>
      </c>
      <c r="M35" s="18">
        <v>-43197.599999999999</v>
      </c>
    </row>
    <row r="36" spans="1:13" s="9" customFormat="1" x14ac:dyDescent="0.25">
      <c r="A36" s="5" t="s">
        <v>46</v>
      </c>
      <c r="B36" s="18">
        <v>-20000</v>
      </c>
      <c r="C36" s="18">
        <v>-20000</v>
      </c>
      <c r="D36" s="6">
        <v>40000</v>
      </c>
      <c r="E36" s="18">
        <v>-20429.28</v>
      </c>
      <c r="F36" s="18">
        <v>-20443.3</v>
      </c>
      <c r="G36" s="6">
        <v>40872.58</v>
      </c>
      <c r="H36" s="18">
        <v>-24483.65</v>
      </c>
      <c r="I36" s="18">
        <v>-20000</v>
      </c>
      <c r="J36" s="6">
        <v>44483.65</v>
      </c>
      <c r="K36" s="18">
        <v>-20000</v>
      </c>
      <c r="L36" s="18">
        <v>-20000</v>
      </c>
      <c r="M36" s="18">
        <v>-20000</v>
      </c>
    </row>
    <row r="37" spans="1:13" s="9" customFormat="1" x14ac:dyDescent="0.25">
      <c r="A37" s="5" t="s">
        <v>47</v>
      </c>
      <c r="B37" s="19"/>
      <c r="C37" s="19"/>
      <c r="D37" s="19">
        <v>0</v>
      </c>
      <c r="E37" s="19"/>
      <c r="F37" s="19"/>
      <c r="G37" s="19">
        <v>0</v>
      </c>
      <c r="H37" s="18">
        <v>-4468.58</v>
      </c>
      <c r="I37" s="18">
        <v>-5010.1499999999996</v>
      </c>
      <c r="J37" s="6">
        <v>9478.73</v>
      </c>
      <c r="K37" s="18">
        <v>-3528.62</v>
      </c>
      <c r="L37" s="18">
        <v>-2273.12</v>
      </c>
      <c r="M37" s="18">
        <v>-4114.1099999999997</v>
      </c>
    </row>
    <row r="38" spans="1:13" s="9" customFormat="1" x14ac:dyDescent="0.25">
      <c r="A38" s="5" t="s">
        <v>48</v>
      </c>
      <c r="B38" s="18">
        <v>-14281.34</v>
      </c>
      <c r="C38" s="18">
        <v>-13808.65</v>
      </c>
      <c r="D38" s="6">
        <v>28089.99</v>
      </c>
      <c r="E38" s="18">
        <v>-13020.22</v>
      </c>
      <c r="F38" s="18">
        <v>-11160.2</v>
      </c>
      <c r="G38" s="6">
        <v>24180.42</v>
      </c>
      <c r="H38" s="18">
        <v>-10791.81</v>
      </c>
      <c r="I38" s="18">
        <v>-12723.06</v>
      </c>
      <c r="J38" s="6">
        <v>23514.87</v>
      </c>
      <c r="K38" s="18">
        <v>-11325.1</v>
      </c>
      <c r="L38" s="18">
        <v>-12996.71</v>
      </c>
      <c r="M38" s="18">
        <v>-27203.11</v>
      </c>
    </row>
    <row r="39" spans="1:13" s="9" customFormat="1" x14ac:dyDescent="0.25">
      <c r="A39" s="5" t="s">
        <v>49</v>
      </c>
      <c r="B39" s="18">
        <v>-1111.04</v>
      </c>
      <c r="C39" s="18">
        <v>-2126</v>
      </c>
      <c r="D39" s="6">
        <v>3237.04</v>
      </c>
      <c r="E39" s="20">
        <v>-89.9</v>
      </c>
      <c r="F39" s="20">
        <v>-832.9</v>
      </c>
      <c r="G39" s="19">
        <v>922.8</v>
      </c>
      <c r="H39" s="20">
        <v>-699.89</v>
      </c>
      <c r="I39" s="18">
        <v>-1391.05</v>
      </c>
      <c r="J39" s="6">
        <v>2090.94</v>
      </c>
      <c r="K39" s="18">
        <v>-1293.7</v>
      </c>
      <c r="L39" s="20">
        <v>-619.6</v>
      </c>
      <c r="M39" s="19"/>
    </row>
    <row r="40" spans="1:13" s="9" customFormat="1" x14ac:dyDescent="0.25">
      <c r="A40" s="5" t="s">
        <v>50</v>
      </c>
      <c r="B40" s="18">
        <v>-4830.28</v>
      </c>
      <c r="C40" s="18">
        <v>-4830.28</v>
      </c>
      <c r="D40" s="6">
        <v>9660.56</v>
      </c>
      <c r="E40" s="20">
        <v>-428.35</v>
      </c>
      <c r="F40" s="20">
        <v>-428.35</v>
      </c>
      <c r="G40" s="19">
        <v>856.7</v>
      </c>
      <c r="H40" s="20">
        <v>-428.35</v>
      </c>
      <c r="I40" s="19"/>
      <c r="J40" s="19">
        <v>428.35</v>
      </c>
      <c r="K40" s="19"/>
      <c r="L40" s="19"/>
      <c r="M40" s="19"/>
    </row>
    <row r="41" spans="1:13" s="9" customFormat="1" x14ac:dyDescent="0.25">
      <c r="A41" s="5" t="s">
        <v>51</v>
      </c>
      <c r="B41" s="18">
        <v>-2045.35</v>
      </c>
      <c r="C41" s="18">
        <v>-1164</v>
      </c>
      <c r="D41" s="6">
        <v>3209.35</v>
      </c>
      <c r="E41" s="18">
        <v>-7866.1</v>
      </c>
      <c r="F41" s="18">
        <v>-3012.69</v>
      </c>
      <c r="G41" s="6">
        <v>10878.79</v>
      </c>
      <c r="H41" s="18">
        <v>-6519.35</v>
      </c>
      <c r="I41" s="20">
        <v>-2</v>
      </c>
      <c r="J41" s="6">
        <v>6521.35</v>
      </c>
      <c r="K41" s="18">
        <v>-1523.17</v>
      </c>
      <c r="L41" s="20">
        <v>-134</v>
      </c>
      <c r="M41" s="20">
        <v>-294.61</v>
      </c>
    </row>
    <row r="42" spans="1:13" s="9" customFormat="1" x14ac:dyDescent="0.25">
      <c r="A42" s="5" t="s">
        <v>52</v>
      </c>
      <c r="B42" s="19"/>
      <c r="C42" s="18">
        <v>-10294.98</v>
      </c>
      <c r="D42" s="6">
        <v>10294.98</v>
      </c>
      <c r="E42" s="19"/>
      <c r="F42" s="19"/>
      <c r="G42" s="19"/>
      <c r="H42" s="18">
        <v>-12927.44</v>
      </c>
      <c r="I42" s="18">
        <v>-13759.4</v>
      </c>
      <c r="J42" s="6">
        <v>26686.84</v>
      </c>
      <c r="K42" s="18">
        <v>-20965.189999999999</v>
      </c>
      <c r="L42" s="18">
        <v>-12759.96</v>
      </c>
      <c r="M42" s="18">
        <v>-9005.4699999999993</v>
      </c>
    </row>
    <row r="43" spans="1:13" s="9" customFormat="1" x14ac:dyDescent="0.25">
      <c r="A43" s="5" t="s">
        <v>53</v>
      </c>
      <c r="B43" s="18">
        <v>-4676.0600000000004</v>
      </c>
      <c r="C43" s="18">
        <v>-9730.11</v>
      </c>
      <c r="D43" s="6">
        <v>14406.17</v>
      </c>
      <c r="E43" s="20">
        <v>-930.49</v>
      </c>
      <c r="F43" s="18">
        <v>-45969.279999999999</v>
      </c>
      <c r="G43" s="6">
        <v>46899.77</v>
      </c>
      <c r="H43" s="18">
        <v>-8250.92</v>
      </c>
      <c r="I43" s="18">
        <v>-9174.41</v>
      </c>
      <c r="J43" s="6">
        <v>17425.330000000002</v>
      </c>
      <c r="K43" s="18">
        <v>-12581</v>
      </c>
      <c r="L43" s="18">
        <v>-3375.75</v>
      </c>
      <c r="M43" s="18">
        <v>-2510.89</v>
      </c>
    </row>
    <row r="44" spans="1:13" s="9" customFormat="1" x14ac:dyDescent="0.25">
      <c r="A44" s="5" t="s">
        <v>54</v>
      </c>
      <c r="B44" s="18">
        <v>-13119.96</v>
      </c>
      <c r="C44" s="18">
        <v>-15684.06</v>
      </c>
      <c r="D44" s="6">
        <v>28804.02</v>
      </c>
      <c r="E44" s="18">
        <v>-10062.18</v>
      </c>
      <c r="F44" s="18">
        <v>-21908.47</v>
      </c>
      <c r="G44" s="6">
        <v>31970.65</v>
      </c>
      <c r="H44" s="18">
        <v>-31920.67</v>
      </c>
      <c r="I44" s="18">
        <v>-12266.05</v>
      </c>
      <c r="J44" s="6">
        <v>44186.720000000001</v>
      </c>
      <c r="K44" s="18">
        <v>-106445.42</v>
      </c>
      <c r="L44" s="18">
        <v>-63797.919999999998</v>
      </c>
      <c r="M44" s="18">
        <v>-10822.65</v>
      </c>
    </row>
    <row r="45" spans="1:13" s="9" customFormat="1" x14ac:dyDescent="0.25">
      <c r="A45" s="5" t="s">
        <v>55</v>
      </c>
      <c r="B45" s="19"/>
      <c r="C45" s="19"/>
      <c r="D45" s="19">
        <v>0</v>
      </c>
      <c r="E45" s="19"/>
      <c r="F45" s="19"/>
      <c r="G45" s="19"/>
      <c r="H45" s="18">
        <v>-11374.82</v>
      </c>
      <c r="I45" s="18">
        <v>-13598</v>
      </c>
      <c r="J45" s="6">
        <v>24972.82</v>
      </c>
      <c r="K45" s="18">
        <v>-4330.66</v>
      </c>
      <c r="L45" s="19"/>
      <c r="M45" s="18">
        <v>-42413.09</v>
      </c>
    </row>
    <row r="46" spans="1:13" s="9" customFormat="1" x14ac:dyDescent="0.25">
      <c r="A46" s="5" t="s">
        <v>56</v>
      </c>
      <c r="B46" s="18">
        <v>-41354.980000000003</v>
      </c>
      <c r="C46" s="18">
        <v>-41435.14</v>
      </c>
      <c r="D46" s="6">
        <v>82790.12</v>
      </c>
      <c r="E46" s="18">
        <v>-41450.69</v>
      </c>
      <c r="F46" s="18">
        <v>-41409.440000000002</v>
      </c>
      <c r="G46" s="6">
        <v>82860.13</v>
      </c>
      <c r="H46" s="18">
        <v>-41372.74</v>
      </c>
      <c r="I46" s="18">
        <v>-41692.730000000003</v>
      </c>
      <c r="J46" s="6">
        <v>83065.47</v>
      </c>
      <c r="K46" s="18">
        <v>-41334.269999999997</v>
      </c>
      <c r="L46" s="18">
        <v>-40562.080000000002</v>
      </c>
      <c r="M46" s="18">
        <v>-42682.39</v>
      </c>
    </row>
    <row r="47" spans="1:13" s="12" customFormat="1" x14ac:dyDescent="0.25">
      <c r="A47" s="10" t="s">
        <v>57</v>
      </c>
      <c r="B47" s="25"/>
      <c r="C47" s="25"/>
      <c r="D47" s="25"/>
      <c r="E47" s="25"/>
      <c r="F47" s="25"/>
      <c r="G47" s="25"/>
      <c r="H47" s="24">
        <v>-50579.02</v>
      </c>
      <c r="I47" s="24">
        <v>-92098.42</v>
      </c>
      <c r="J47" s="11">
        <v>142677.44</v>
      </c>
      <c r="K47" s="24">
        <v>-31450.93</v>
      </c>
      <c r="L47" s="24">
        <v>-4284.45</v>
      </c>
      <c r="M47" s="24">
        <v>-17517.28</v>
      </c>
    </row>
    <row r="48" spans="1:13" s="12" customFormat="1" x14ac:dyDescent="0.25">
      <c r="A48" s="10" t="s">
        <v>58</v>
      </c>
      <c r="B48" s="24">
        <v>-54383.38</v>
      </c>
      <c r="C48" s="24">
        <v>-87658.69</v>
      </c>
      <c r="D48" s="11">
        <v>142042.07</v>
      </c>
      <c r="E48" s="24">
        <v>-40560.339999999997</v>
      </c>
      <c r="F48" s="24">
        <v>-73452.990000000005</v>
      </c>
      <c r="G48" s="11">
        <v>114013.33</v>
      </c>
      <c r="H48" s="24">
        <v>-59836.41</v>
      </c>
      <c r="I48" s="24">
        <v>-266137.31</v>
      </c>
      <c r="J48" s="11">
        <v>325973.71999999997</v>
      </c>
      <c r="K48" s="24">
        <v>-52848.41</v>
      </c>
      <c r="L48" s="24">
        <v>-53199.24</v>
      </c>
      <c r="M48" s="24">
        <v>-31406.91</v>
      </c>
    </row>
    <row r="49" spans="1:13" s="9" customFormat="1" x14ac:dyDescent="0.25">
      <c r="A49" s="5" t="s">
        <v>59</v>
      </c>
      <c r="B49" s="18">
        <v>-28295.21</v>
      </c>
      <c r="C49" s="19"/>
      <c r="D49" s="6">
        <v>28295.21</v>
      </c>
      <c r="E49" s="19"/>
      <c r="F49" s="6">
        <v>420000</v>
      </c>
      <c r="G49" s="18">
        <v>-420000</v>
      </c>
      <c r="H49" s="6">
        <v>457000</v>
      </c>
      <c r="I49" s="18">
        <v>-247000</v>
      </c>
      <c r="J49" s="18">
        <v>-210000</v>
      </c>
      <c r="K49" s="18">
        <v>-1618.53</v>
      </c>
      <c r="L49" s="20">
        <v>-759.76</v>
      </c>
      <c r="M49" s="18">
        <v>-1099.74</v>
      </c>
    </row>
    <row r="50" spans="1:13" s="9" customFormat="1" x14ac:dyDescent="0.25">
      <c r="A50" s="5" t="s">
        <v>60</v>
      </c>
      <c r="B50" s="18">
        <v>-66879.58</v>
      </c>
      <c r="C50" s="19"/>
      <c r="D50" s="6">
        <v>66879.58</v>
      </c>
      <c r="E50" s="19"/>
      <c r="F50" s="18">
        <v>-523135.76</v>
      </c>
      <c r="G50" s="6">
        <v>523135.76</v>
      </c>
      <c r="H50" s="18">
        <v>-210000</v>
      </c>
      <c r="I50" s="19"/>
      <c r="J50" s="6">
        <v>210000</v>
      </c>
      <c r="K50" s="19"/>
      <c r="L50" s="19"/>
      <c r="M50" s="19"/>
    </row>
    <row r="51" spans="1:13" s="17" customFormat="1" x14ac:dyDescent="0.25">
      <c r="A51" s="13" t="s">
        <v>66</v>
      </c>
      <c r="B51" s="23"/>
      <c r="C51" s="21"/>
      <c r="D51" s="14"/>
      <c r="E51" s="21"/>
      <c r="F51" s="23"/>
      <c r="G51" s="14"/>
      <c r="H51" s="23"/>
      <c r="I51" s="21"/>
      <c r="J51" s="14"/>
      <c r="K51" s="21"/>
      <c r="L51" s="21"/>
      <c r="M51" s="21"/>
    </row>
    <row r="52" spans="1:13" s="9" customFormat="1" x14ac:dyDescent="0.25">
      <c r="A52" s="5" t="s">
        <v>61</v>
      </c>
      <c r="B52" s="8">
        <v>1165597.81</v>
      </c>
      <c r="C52" s="8">
        <v>1458983.59</v>
      </c>
      <c r="D52" s="7">
        <v>-2624581.4</v>
      </c>
      <c r="E52" s="6">
        <v>107615.8</v>
      </c>
      <c r="F52" s="8">
        <v>1741615.36</v>
      </c>
      <c r="G52" s="7">
        <v>-1849231.16</v>
      </c>
      <c r="H52" s="6">
        <v>498399.12</v>
      </c>
      <c r="I52" s="6">
        <v>248811.07</v>
      </c>
      <c r="J52" s="18">
        <v>-747210.19</v>
      </c>
      <c r="K52" s="6">
        <v>261811.48</v>
      </c>
      <c r="L52" s="6">
        <v>50440.88</v>
      </c>
      <c r="M52" s="6">
        <v>351234.5</v>
      </c>
    </row>
    <row r="53" spans="1:13" s="9" customFormat="1" x14ac:dyDescent="0.25">
      <c r="A53" s="5" t="s">
        <v>62</v>
      </c>
      <c r="B53" s="18">
        <v>-288164.18</v>
      </c>
      <c r="C53" s="18">
        <v>-342304.02</v>
      </c>
      <c r="D53" s="6">
        <v>630468.19999999995</v>
      </c>
      <c r="E53" s="18">
        <v>-224754.29</v>
      </c>
      <c r="F53" s="18">
        <v>-245646.65</v>
      </c>
      <c r="G53" s="6">
        <v>470400.94</v>
      </c>
      <c r="H53" s="18">
        <v>-382696.67</v>
      </c>
      <c r="I53" s="18">
        <v>-218284.92</v>
      </c>
      <c r="J53" s="6">
        <v>600981.59</v>
      </c>
      <c r="K53" s="18">
        <v>-526283.44999999995</v>
      </c>
      <c r="L53" s="18">
        <v>-684143.05</v>
      </c>
      <c r="M53" s="18">
        <v>-359476.82</v>
      </c>
    </row>
    <row r="54" spans="1:13" s="9" customFormat="1" x14ac:dyDescent="0.25">
      <c r="A54" s="5" t="s">
        <v>63</v>
      </c>
      <c r="B54" s="18">
        <v>-16668.97</v>
      </c>
      <c r="C54" s="18">
        <v>-14506.3</v>
      </c>
      <c r="D54" s="6">
        <v>31175.27</v>
      </c>
      <c r="E54" s="18">
        <v>-7720.27</v>
      </c>
      <c r="F54" s="18">
        <v>-11530.37</v>
      </c>
      <c r="G54" s="6">
        <v>19250.64</v>
      </c>
      <c r="H54" s="18">
        <v>-16333.03</v>
      </c>
      <c r="I54" s="18">
        <v>-20389.310000000001</v>
      </c>
      <c r="J54" s="6">
        <v>36722.339999999997</v>
      </c>
      <c r="K54" s="18">
        <v>-1232.71</v>
      </c>
      <c r="L54" s="20">
        <v>-517.23</v>
      </c>
      <c r="M54" s="20">
        <v>-490</v>
      </c>
    </row>
    <row r="55" spans="1:13" s="17" customFormat="1" x14ac:dyDescent="0.25">
      <c r="A55" s="13" t="s">
        <v>67</v>
      </c>
    </row>
    <row r="56" spans="1:13" s="17" customFormat="1" x14ac:dyDescent="0.25">
      <c r="A56" s="13" t="s">
        <v>68</v>
      </c>
    </row>
    <row r="57" spans="1:13" s="17" customFormat="1" x14ac:dyDescent="0.25">
      <c r="A57" s="13" t="s">
        <v>69</v>
      </c>
    </row>
  </sheetData>
  <pageMargins left="0.7" right="0.7" top="0.75" bottom="0.75" header="0.45" footer="0.45"/>
  <pageSetup paperSize="9" orientation="portrait"/>
  <headerFooter>
    <oddHeader>&amp;L&amp;20[CTB] DRE analítico por contas N3&amp;R&amp;D</oddHeader>
    <oddFooter>&amp;RPage 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1. (CTB) DRE analítico por c...</vt:lpstr>
      <vt:lpstr>'1. (CTB) DRE analítico por c...'!Titulos_de_impressao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Manoel</dc:creator>
  <cp:lastModifiedBy>Manoel</cp:lastModifiedBy>
  <dcterms:created xsi:type="dcterms:W3CDTF">2023-02-16T13:21:46Z</dcterms:created>
  <dcterms:modified xsi:type="dcterms:W3CDTF">2023-02-16T14:40:07Z</dcterms:modified>
</cp:coreProperties>
</file>