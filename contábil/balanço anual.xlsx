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el\Documents\github-repo\cubos\contábil\"/>
    </mc:Choice>
  </mc:AlternateContent>
  <bookViews>
    <workbookView xWindow="0" yWindow="0" windowWidth="20490" windowHeight="7635"/>
  </bookViews>
  <sheets>
    <sheet name="1. TESTES (CTB) Balanço Patr..." sheetId="1" r:id="rId1"/>
  </sheets>
  <definedNames>
    <definedName name="_xlnm.Print_Titles" localSheetId="0">'1. TESTES (CTB) Balanço Patr...'!$A:$A,'1. TESTES (CTB) Balanço Patr...'!$1:$2</definedName>
  </definedNames>
  <calcPr calcId="152511"/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B14" i="1"/>
</calcChain>
</file>

<file path=xl/sharedStrings.xml><?xml version="1.0" encoding="utf-8"?>
<sst xmlns="http://schemas.openxmlformats.org/spreadsheetml/2006/main" count="25" uniqueCount="18">
  <si>
    <t>Year (Data)</t>
  </si>
  <si>
    <t>2020</t>
  </si>
  <si>
    <t>2021</t>
  </si>
  <si>
    <t>2022</t>
  </si>
  <si>
    <t>Conta contábil 03</t>
  </si>
  <si>
    <t>Atual</t>
  </si>
  <si>
    <t>Anterior</t>
  </si>
  <si>
    <t>2101                 - EMPRESTIMOS E FINANCIAMENTOS</t>
  </si>
  <si>
    <t>2102                 - FORNECEDORES</t>
  </si>
  <si>
    <t>2103                 - OBRIGACOES TRIBUTARIAS</t>
  </si>
  <si>
    <t>2104                 - OBRIGACOES TRABALHISTAS E PREVIDENCIARIA</t>
  </si>
  <si>
    <t>2105                 - OBRIGACOES RETIDAS DE TERCEIROS</t>
  </si>
  <si>
    <t>2106                 - OUTRAS OBRIGACOES</t>
  </si>
  <si>
    <t>2107                 - AJUSTES DE FORNECEDORES NACIONAIS</t>
  </si>
  <si>
    <t>2201                 - EMPRESTIMOS E FINANCIAMENTOS</t>
  </si>
  <si>
    <t>2202                 - CREDITOS DE EMPRESAS LIGADAS</t>
  </si>
  <si>
    <t>2203                 - SOCIEDADE P/CONTA DE PARTICIPACAO  - SCP</t>
  </si>
  <si>
    <t>2204                 - FORNECEDORES LONGO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</si>
</sst>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  <font>
      <sz val="8"/>
      <color theme="1"/>
      <name val="Verdan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/>
      <right style="dashed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4" fontId="4" fillId="4" borderId="7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4" fontId="4" fillId="2" borderId="7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4" borderId="7" xfId="0" applyNumberFormat="1" applyFont="1" applyFill="1" applyBorder="1" applyAlignment="1">
      <alignment horizontal="right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A11" sqref="A11"/>
    </sheetView>
  </sheetViews>
  <sheetFormatPr defaultRowHeight="15" x14ac:dyDescent="0.25"/>
  <cols>
    <col min="1" max="1" width="59.140625" bestFit="1" customWidth="1"/>
    <col min="2" max="7" width="16.42578125" customWidth="1"/>
  </cols>
  <sheetData>
    <row r="1" spans="1:7" x14ac:dyDescent="0.25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</row>
    <row r="2" spans="1:7" x14ac:dyDescent="0.25">
      <c r="A2" s="3" t="s">
        <v>4</v>
      </c>
      <c r="B2" s="4" t="s">
        <v>5</v>
      </c>
      <c r="C2" s="4" t="s">
        <v>6</v>
      </c>
      <c r="D2" s="4" t="s">
        <v>5</v>
      </c>
      <c r="E2" s="4" t="s">
        <v>6</v>
      </c>
      <c r="F2" s="4" t="s">
        <v>5</v>
      </c>
      <c r="G2" s="4" t="s">
        <v>6</v>
      </c>
    </row>
    <row r="3" spans="1:7" x14ac:dyDescent="0.25">
      <c r="A3" s="5" t="s">
        <v>7</v>
      </c>
      <c r="B3" s="6">
        <v>18027166.07</v>
      </c>
      <c r="C3" s="7">
        <v>0</v>
      </c>
      <c r="D3" s="6">
        <v>2429664.48</v>
      </c>
      <c r="E3" s="7">
        <v>18994952.039999999</v>
      </c>
      <c r="F3" s="6">
        <v>826962.11</v>
      </c>
      <c r="G3" s="7">
        <v>2288840.62</v>
      </c>
    </row>
    <row r="4" spans="1:7" x14ac:dyDescent="0.25">
      <c r="A4" s="5" t="s">
        <v>8</v>
      </c>
      <c r="B4" s="8">
        <v>9253770.9299999997</v>
      </c>
      <c r="C4" s="9">
        <v>0</v>
      </c>
      <c r="D4" s="8">
        <v>1386513</v>
      </c>
      <c r="E4" s="9">
        <v>11824858.49</v>
      </c>
      <c r="F4" s="8">
        <v>4729636.84</v>
      </c>
      <c r="G4" s="9">
        <v>772036.28</v>
      </c>
    </row>
    <row r="5" spans="1:7" x14ac:dyDescent="0.25">
      <c r="A5" s="5" t="s">
        <v>9</v>
      </c>
      <c r="B5" s="6">
        <v>2966828.46</v>
      </c>
      <c r="C5" s="7">
        <v>0</v>
      </c>
      <c r="D5" s="6">
        <v>3302902.17</v>
      </c>
      <c r="E5" s="7">
        <v>5384308.5499999998</v>
      </c>
      <c r="F5" s="6">
        <v>2224265.62</v>
      </c>
      <c r="G5" s="7">
        <v>1338843.54</v>
      </c>
    </row>
    <row r="6" spans="1:7" x14ac:dyDescent="0.25">
      <c r="A6" s="5" t="s">
        <v>10</v>
      </c>
      <c r="B6" s="8">
        <v>1713404.78</v>
      </c>
      <c r="C6" s="9">
        <v>0</v>
      </c>
      <c r="D6" s="8">
        <v>3389130.41</v>
      </c>
      <c r="E6" s="9">
        <v>6481580.04</v>
      </c>
      <c r="F6" s="8">
        <v>1973345.77</v>
      </c>
      <c r="G6" s="9">
        <v>594300.92000000004</v>
      </c>
    </row>
    <row r="7" spans="1:7" x14ac:dyDescent="0.25">
      <c r="A7" s="5" t="s">
        <v>11</v>
      </c>
      <c r="B7" s="6">
        <v>35001.68</v>
      </c>
      <c r="C7" s="7">
        <v>0</v>
      </c>
      <c r="D7" s="6">
        <v>12943.8</v>
      </c>
      <c r="E7" s="7">
        <v>43822.82</v>
      </c>
      <c r="F7" s="6">
        <v>8137.91</v>
      </c>
      <c r="G7" s="7">
        <v>12260.57</v>
      </c>
    </row>
    <row r="8" spans="1:7" x14ac:dyDescent="0.25">
      <c r="A8" s="5" t="s">
        <v>12</v>
      </c>
      <c r="B8" s="8">
        <v>1470069.76</v>
      </c>
      <c r="C8" s="9">
        <v>0</v>
      </c>
      <c r="D8" s="8">
        <v>251338.43</v>
      </c>
      <c r="E8" s="9">
        <v>1020752.67</v>
      </c>
      <c r="F8" s="8">
        <v>197703.89</v>
      </c>
      <c r="G8" s="9">
        <v>274.77</v>
      </c>
    </row>
    <row r="9" spans="1:7" x14ac:dyDescent="0.25">
      <c r="A9" s="5" t="s">
        <v>13</v>
      </c>
      <c r="B9" s="10"/>
      <c r="C9" s="11"/>
      <c r="D9" s="6">
        <v>0</v>
      </c>
      <c r="E9" s="7">
        <v>0</v>
      </c>
      <c r="F9" s="10"/>
      <c r="G9" s="11"/>
    </row>
    <row r="10" spans="1:7" x14ac:dyDescent="0.25">
      <c r="A10" s="5" t="s">
        <v>14</v>
      </c>
      <c r="B10" s="8">
        <v>15842184.66</v>
      </c>
      <c r="C10" s="9">
        <v>0</v>
      </c>
      <c r="D10" s="8">
        <v>19784026.98</v>
      </c>
      <c r="E10" s="9">
        <v>34436716.729999997</v>
      </c>
      <c r="F10" s="8">
        <v>9673667.4100000001</v>
      </c>
      <c r="G10" s="9">
        <v>8484172.5</v>
      </c>
    </row>
    <row r="11" spans="1:7" x14ac:dyDescent="0.25">
      <c r="A11" s="5" t="s">
        <v>15</v>
      </c>
      <c r="B11" s="6">
        <v>104289.44</v>
      </c>
      <c r="C11" s="7">
        <v>0</v>
      </c>
      <c r="D11" s="6">
        <v>0</v>
      </c>
      <c r="E11" s="7">
        <v>104289.44</v>
      </c>
      <c r="F11" s="6">
        <v>0</v>
      </c>
      <c r="G11" s="7">
        <v>0</v>
      </c>
    </row>
    <row r="12" spans="1:7" x14ac:dyDescent="0.25">
      <c r="A12" s="5" t="s">
        <v>16</v>
      </c>
      <c r="B12" s="8">
        <v>1590791.12</v>
      </c>
      <c r="C12" s="9">
        <v>0</v>
      </c>
      <c r="D12" s="8">
        <v>0</v>
      </c>
      <c r="E12" s="9">
        <v>1590791.12</v>
      </c>
      <c r="F12" s="8">
        <v>0</v>
      </c>
      <c r="G12" s="9">
        <v>0</v>
      </c>
    </row>
    <row r="13" spans="1:7" x14ac:dyDescent="0.25">
      <c r="A13" s="5" t="s">
        <v>17</v>
      </c>
      <c r="B13" s="10"/>
      <c r="C13" s="11"/>
      <c r="D13" s="6">
        <v>0</v>
      </c>
      <c r="E13" s="7">
        <v>0</v>
      </c>
      <c r="F13" s="6">
        <v>0</v>
      </c>
      <c r="G13" s="7">
        <v>0</v>
      </c>
    </row>
    <row r="14" spans="1:7" x14ac:dyDescent="0.25">
      <c r="B14" s="12">
        <f>SUM(B$3:B$13)</f>
        <v>51003506.899999999</v>
      </c>
      <c r="C14" s="12">
        <f t="shared" ref="C14:G14" si="0">SUM(C$3:C$13)</f>
        <v>0</v>
      </c>
      <c r="D14" s="12">
        <f t="shared" si="0"/>
        <v>30556519.270000003</v>
      </c>
      <c r="E14" s="12">
        <f t="shared" si="0"/>
        <v>79882071.900000006</v>
      </c>
      <c r="F14" s="12">
        <f t="shared" si="0"/>
        <v>19633719.550000001</v>
      </c>
      <c r="G14" s="12">
        <f t="shared" si="0"/>
        <v>13490729.199999999</v>
      </c>
    </row>
  </sheetData>
  <pageMargins left="0.7" right="0.7" top="0.75" bottom="0.75" header="0.45" footer="0.45"/>
  <pageSetup paperSize="9" orientation="portrait"/>
  <headerFooter>
    <oddHeader>&amp;L&amp;20TESTES [CTB] Balanço Patrimonial - Passivo&amp;R&amp;D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TESTES (CTB) Balanço Patr...</vt:lpstr>
      <vt:lpstr>'1. TESTES (CTB) Balanço Patr...'!Titulos_de_impressao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2022-10-15T11:44:21Z</dcterms:created>
  <dcterms:modified xsi:type="dcterms:W3CDTF">2022-10-15T14:41:27Z</dcterms:modified>
</cp:coreProperties>
</file>