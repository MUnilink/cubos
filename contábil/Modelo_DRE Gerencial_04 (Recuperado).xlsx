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ário\Documents\repositório\cubos\contábil\"/>
    </mc:Choice>
  </mc:AlternateContent>
  <bookViews>
    <workbookView xWindow="0" yWindow="0" windowWidth="20490" windowHeight="7035"/>
  </bookViews>
  <sheets>
    <sheet name="Modelo_DR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59" i="1" l="1"/>
  <c r="I407" i="1" l="1"/>
  <c r="I406" i="1"/>
  <c r="H406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<sst xmlns="http://schemas.openxmlformats.org/spreadsheetml/2006/main" count="2037" uniqueCount="1304">
  <si>
    <t>Conta</t>
  </si>
  <si>
    <t>Descricao</t>
  </si>
  <si>
    <t>Saldo anterior</t>
  </si>
  <si>
    <t>Debito</t>
  </si>
  <si>
    <t>Credito</t>
  </si>
  <si>
    <t>Mov  periodo</t>
  </si>
  <si>
    <t>Saldo atual</t>
  </si>
  <si>
    <t>ROB</t>
  </si>
  <si>
    <t>RECEITA OPERACIONAL BRUTA (ROB)</t>
  </si>
  <si>
    <t>165.176.684,19 C</t>
  </si>
  <si>
    <t>10.721.703,78 C</t>
  </si>
  <si>
    <t>175.898.387,97 C</t>
  </si>
  <si>
    <t>310101</t>
  </si>
  <si>
    <t>RECEITA BRUTA DE TRANSPORTES</t>
  </si>
  <si>
    <t>15.453.002,06 C</t>
  </si>
  <si>
    <t>817.913,21 C</t>
  </si>
  <si>
    <t>16.270.915,27 C</t>
  </si>
  <si>
    <t>310101001</t>
  </si>
  <si>
    <t>TRANSPORTE DE CARGA NACIONAL</t>
  </si>
  <si>
    <t>11.522.089,76 C</t>
  </si>
  <si>
    <t>754.817,19 C</t>
  </si>
  <si>
    <t>12.276.906,95 C</t>
  </si>
  <si>
    <t>310101002</t>
  </si>
  <si>
    <t>TRANSPORTE DE CARGA PARA EXPORTACAO</t>
  </si>
  <si>
    <t>3.930.912,30 C</t>
  </si>
  <si>
    <t>63.096,02 C</t>
  </si>
  <si>
    <t>3.994.008,32 C</t>
  </si>
  <si>
    <t>310102</t>
  </si>
  <si>
    <t>RECEITA BRUTA DE OPERACOES PORTUARIAS</t>
  </si>
  <si>
    <t>149.723.682,13 C</t>
  </si>
  <si>
    <t>9.903.790,57 C</t>
  </si>
  <si>
    <t>159.627.472,70 C</t>
  </si>
  <si>
    <t>310102001</t>
  </si>
  <si>
    <t>OPERACOES PORTUARIAS NACIONAIS</t>
  </si>
  <si>
    <t>137.607.501,19 C</t>
  </si>
  <si>
    <t>9.802.410,57 C</t>
  </si>
  <si>
    <t>147.409.911,76 C</t>
  </si>
  <si>
    <t>310102002</t>
  </si>
  <si>
    <t>OPERACOES PORTUARIAS PARA EXPORTACAO</t>
  </si>
  <si>
    <t>2.765.485,28 C</t>
  </si>
  <si>
    <t>0,00</t>
  </si>
  <si>
    <t>310102003</t>
  </si>
  <si>
    <t>OPERACOES PORTUARIAS ISENTA DE PIS/CO</t>
  </si>
  <si>
    <t>9.350.695,66 C</t>
  </si>
  <si>
    <t>101.380,00 C</t>
  </si>
  <si>
    <t>9.452.075,66 C</t>
  </si>
  <si>
    <t>DV</t>
  </si>
  <si>
    <t>DEDUCOES DA RECEITA BRUTA (DV)</t>
  </si>
  <si>
    <t>24.596.958,99 D</t>
  </si>
  <si>
    <t>1.704.353,69 D</t>
  </si>
  <si>
    <t>26.301.312,68 D</t>
  </si>
  <si>
    <t>310109</t>
  </si>
  <si>
    <t>( - ) DEDUCOES DA RECEITA BRUTA</t>
  </si>
  <si>
    <t>310109001</t>
  </si>
  <si>
    <t>( - ) ICMS SOBRE VENDAS</t>
  </si>
  <si>
    <t>1.127.136,11 D</t>
  </si>
  <si>
    <t>83.784,92 D</t>
  </si>
  <si>
    <t>1.210.921,03 D</t>
  </si>
  <si>
    <t>310109002</t>
  </si>
  <si>
    <t>( - ) ISS SOBRE VENDAS</t>
  </si>
  <si>
    <t>7.351.684,05 D</t>
  </si>
  <si>
    <t>482.429,05 D</t>
  </si>
  <si>
    <t>7.834.113,10 D</t>
  </si>
  <si>
    <t>310109003</t>
  </si>
  <si>
    <t>( - ) PIS SOBRE VENDAS</t>
  </si>
  <si>
    <t>2.438.496,34 D</t>
  </si>
  <si>
    <t>174.482,22 D</t>
  </si>
  <si>
    <t>2.612.978,56 D</t>
  </si>
  <si>
    <t>310109004</t>
  </si>
  <si>
    <t>( - ) COFINS SOBRE VENDAS</t>
  </si>
  <si>
    <t>11.231.868,09 D</t>
  </si>
  <si>
    <t>803.677,92 D</t>
  </si>
  <si>
    <t>12.035.546,01 D</t>
  </si>
  <si>
    <t>310109005</t>
  </si>
  <si>
    <t>( - ) CANCELAMENTO E DEVOLUCOES</t>
  </si>
  <si>
    <t>82.801,57 D</t>
  </si>
  <si>
    <t>310109006</t>
  </si>
  <si>
    <t>( - ) DESCONTOS INCONDICIONAIS</t>
  </si>
  <si>
    <t>310109007</t>
  </si>
  <si>
    <t>( - ) INSS DESONERACAO DA FOLHA</t>
  </si>
  <si>
    <t>2.364.972,83 D</t>
  </si>
  <si>
    <t>159.979,58 D</t>
  </si>
  <si>
    <t>2.524.952,41 D</t>
  </si>
  <si>
    <t>ROL</t>
  </si>
  <si>
    <t>RECEITA OPERACIONAL LIQUIDA (ROL=ROB-DV)</t>
  </si>
  <si>
    <t>140.579.725,20 C</t>
  </si>
  <si>
    <t>9.017.350,09 C</t>
  </si>
  <si>
    <t>149.597.075,29 C</t>
  </si>
  <si>
    <t>DVV</t>
  </si>
  <si>
    <t>DESPESA VARIAVEL DE VENDA (DVV)</t>
  </si>
  <si>
    <t>198.650,61 D</t>
  </si>
  <si>
    <t>330601</t>
  </si>
  <si>
    <t>DESPESAS VARIAVEIS DE VENDAS</t>
  </si>
  <si>
    <t>330601001</t>
  </si>
  <si>
    <t>COMISSAO DE VENDA</t>
  </si>
  <si>
    <t>CSP</t>
  </si>
  <si>
    <t>CUSTO DOS SERVICOS PRESTADOS (CSP)</t>
  </si>
  <si>
    <t>98.795.414,48 D</t>
  </si>
  <si>
    <t>6.319.364,88 D</t>
  </si>
  <si>
    <t>105.114.779,36 D</t>
  </si>
  <si>
    <t>3201</t>
  </si>
  <si>
    <t>CUSTOS COM PESSOAL</t>
  </si>
  <si>
    <t>33.208.836,51 D</t>
  </si>
  <si>
    <t>2.320.985,06 D</t>
  </si>
  <si>
    <t>35.529.821,57 D</t>
  </si>
  <si>
    <t>320101</t>
  </si>
  <si>
    <t>REMUNERACOES</t>
  </si>
  <si>
    <t>21.315.641,57 D</t>
  </si>
  <si>
    <t>1.610.063,17 D</t>
  </si>
  <si>
    <t>22.925.704,74 D</t>
  </si>
  <si>
    <t>320101001</t>
  </si>
  <si>
    <t>SALARIOS E ORDENADOS</t>
  </si>
  <si>
    <t>11.288.401,50 D</t>
  </si>
  <si>
    <t>844.321,25 D</t>
  </si>
  <si>
    <t>12.132.722,75 D</t>
  </si>
  <si>
    <t>320101002</t>
  </si>
  <si>
    <t>BOLSA SALARIO</t>
  </si>
  <si>
    <t>33.001,23 D</t>
  </si>
  <si>
    <t>2.075,00 D</t>
  </si>
  <si>
    <t>35.076,23 D</t>
  </si>
  <si>
    <t>320101003</t>
  </si>
  <si>
    <t>HORAS EXTRAS</t>
  </si>
  <si>
    <t>292.659,22 D</t>
  </si>
  <si>
    <t>20.655,00 D</t>
  </si>
  <si>
    <t>313.314,22 D</t>
  </si>
  <si>
    <t>320101004</t>
  </si>
  <si>
    <t>ADICIONAL NOTURNO</t>
  </si>
  <si>
    <t>424.653,98 D</t>
  </si>
  <si>
    <t>34.528,75 D</t>
  </si>
  <si>
    <t>459.182,73 D</t>
  </si>
  <si>
    <t>320101005</t>
  </si>
  <si>
    <t>ADICIONAL DE RISCO</t>
  </si>
  <si>
    <t>2.875.058,94 D</t>
  </si>
  <si>
    <t>243.642,79 D</t>
  </si>
  <si>
    <t>3.118.701,73 D</t>
  </si>
  <si>
    <t>320101006</t>
  </si>
  <si>
    <t>PERICULOSIDADE</t>
  </si>
  <si>
    <t>74.073,81 D</t>
  </si>
  <si>
    <t>2.434,68 D</t>
  </si>
  <si>
    <t>76.508,49 D</t>
  </si>
  <si>
    <t>320101007</t>
  </si>
  <si>
    <t>INSALUBRIDADE</t>
  </si>
  <si>
    <t>22.709,93 D</t>
  </si>
  <si>
    <t>1.939,20 D</t>
  </si>
  <si>
    <t>24.649,13 D</t>
  </si>
  <si>
    <t>320101008</t>
  </si>
  <si>
    <t>13. SALARIO</t>
  </si>
  <si>
    <t>19.059,00 D</t>
  </si>
  <si>
    <t>1.656,67 D</t>
  </si>
  <si>
    <t>20.715,67 D</t>
  </si>
  <si>
    <t>320101009</t>
  </si>
  <si>
    <t>FERIAS</t>
  </si>
  <si>
    <t>78.684,19 D</t>
  </si>
  <si>
    <t>11.659,37 D</t>
  </si>
  <si>
    <t>90.343,56 D</t>
  </si>
  <si>
    <t>320101010</t>
  </si>
  <si>
    <t>PROVISAO DE 13. SALARIO</t>
  </si>
  <si>
    <t>1.086.198,62 D</t>
  </si>
  <si>
    <t>82.218,07 D</t>
  </si>
  <si>
    <t>1.168.416,69 D</t>
  </si>
  <si>
    <t>320101011</t>
  </si>
  <si>
    <t>PROVISAO DE FERIAS</t>
  </si>
  <si>
    <t>3.026.627,50 D</t>
  </si>
  <si>
    <t>166.582,53 D</t>
  </si>
  <si>
    <t>3.193.210,03 D</t>
  </si>
  <si>
    <t>320101012</t>
  </si>
  <si>
    <t>ABONO PECUNIARIO DE FERIAS</t>
  </si>
  <si>
    <t>200.819,08 D</t>
  </si>
  <si>
    <t>42.761,73 D</t>
  </si>
  <si>
    <t>243.580,81 D</t>
  </si>
  <si>
    <t>320101013</t>
  </si>
  <si>
    <t>PTS SINDICAM</t>
  </si>
  <si>
    <t>22.785,22 D</t>
  </si>
  <si>
    <t>1.348,65 D</t>
  </si>
  <si>
    <t>24.133,87 D</t>
  </si>
  <si>
    <t>320101014</t>
  </si>
  <si>
    <t>AJUDA DE CUSTOS</t>
  </si>
  <si>
    <t>225.516,63 D</t>
  </si>
  <si>
    <t>14.895,98 D</t>
  </si>
  <si>
    <t>240.412,61 D</t>
  </si>
  <si>
    <t>320101015</t>
  </si>
  <si>
    <t>DIARIAS DE VIAGEM</t>
  </si>
  <si>
    <t>573.923,00 D</t>
  </si>
  <si>
    <t>24.661,00 D</t>
  </si>
  <si>
    <t>598.584,00 D</t>
  </si>
  <si>
    <t>320101016</t>
  </si>
  <si>
    <t>PRO LABORE</t>
  </si>
  <si>
    <t>320101017</t>
  </si>
  <si>
    <t>RESCISOES E INDENIZACOES</t>
  </si>
  <si>
    <t>339.956,86 D</t>
  </si>
  <si>
    <t>41.721,48 D</t>
  </si>
  <si>
    <t>381.678,34 D</t>
  </si>
  <si>
    <t>320101018</t>
  </si>
  <si>
    <t>AVISO PREVIO</t>
  </si>
  <si>
    <t>188.227,11 D</t>
  </si>
  <si>
    <t>26.531,64 D</t>
  </si>
  <si>
    <t>214.758,75 D</t>
  </si>
  <si>
    <t>320101019</t>
  </si>
  <si>
    <t>MULTAS RESCISORIAS</t>
  </si>
  <si>
    <t>299.719,52 D</t>
  </si>
  <si>
    <t>35.065,89 D</t>
  </si>
  <si>
    <t>334.785,41 D</t>
  </si>
  <si>
    <t>320101020</t>
  </si>
  <si>
    <t>CUSTAS TRABALHISTAS</t>
  </si>
  <si>
    <t>320101021</t>
  </si>
  <si>
    <t>AUXILIO DOENCA</t>
  </si>
  <si>
    <t>201.424,45 D</t>
  </si>
  <si>
    <t>11.363,49 D</t>
  </si>
  <si>
    <t>212.787,94 D</t>
  </si>
  <si>
    <t>320101022</t>
  </si>
  <si>
    <t>ABONO CCT 2020</t>
  </si>
  <si>
    <t>42.096,77 D</t>
  </si>
  <si>
    <t>320101023</t>
  </si>
  <si>
    <t>AUXILIO MATERNIDADE</t>
  </si>
  <si>
    <t>45,01 D</t>
  </si>
  <si>
    <t>320102</t>
  </si>
  <si>
    <t>ENCARGOS SOCIAIS</t>
  </si>
  <si>
    <t>4.614.754,58 D</t>
  </si>
  <si>
    <t>254.692,18 D</t>
  </si>
  <si>
    <t>4.869.446,76 D</t>
  </si>
  <si>
    <t>320102001</t>
  </si>
  <si>
    <t>INSS</t>
  </si>
  <si>
    <t>2.401.699,90 D</t>
  </si>
  <si>
    <t>107.916,86 D</t>
  </si>
  <si>
    <t>2.509.616,76 D</t>
  </si>
  <si>
    <t>320102002</t>
  </si>
  <si>
    <t>FGTS</t>
  </si>
  <si>
    <t>1.257.117,87 D</t>
  </si>
  <si>
    <t>97.630,59 D</t>
  </si>
  <si>
    <t>1.354.748,46 D</t>
  </si>
  <si>
    <t>320102003</t>
  </si>
  <si>
    <t>INSS- PROVISAO DE 13. SALARIO</t>
  </si>
  <si>
    <t>124.660,67 D</t>
  </si>
  <si>
    <t>9.541,09 D</t>
  </si>
  <si>
    <t>134.201,76 D</t>
  </si>
  <si>
    <t>320102004</t>
  </si>
  <si>
    <t>INSS - PROVISAO DE FERIAS</t>
  </si>
  <si>
    <t>247.778,29 D</t>
  </si>
  <si>
    <t>16.212,05 D</t>
  </si>
  <si>
    <t>263.990,34 D</t>
  </si>
  <si>
    <t>320102005</t>
  </si>
  <si>
    <t>FGTS - PROVISAO DE 13. SALARIO</t>
  </si>
  <si>
    <t>139.824,72 D</t>
  </si>
  <si>
    <t>8.693,74 D</t>
  </si>
  <si>
    <t>148.518,46 D</t>
  </si>
  <si>
    <t>320102006</t>
  </si>
  <si>
    <t>FGTS - PROVISAO DE FERIAS</t>
  </si>
  <si>
    <t>443.673,13 D</t>
  </si>
  <si>
    <t>14.697,85 D</t>
  </si>
  <si>
    <t>458.370,98 D</t>
  </si>
  <si>
    <t>320103</t>
  </si>
  <si>
    <t>BENEFICIOS</t>
  </si>
  <si>
    <t>6.903.640,33 D</t>
  </si>
  <si>
    <t>428.182,38 D</t>
  </si>
  <si>
    <t>7.331.822,71 D</t>
  </si>
  <si>
    <t>320103001</t>
  </si>
  <si>
    <t>VALE ALIMENTACAO E VALE REFEICAO</t>
  </si>
  <si>
    <t>5.114.800,23 D</t>
  </si>
  <si>
    <t>285.234,42 D</t>
  </si>
  <si>
    <t>5.400.034,65 D</t>
  </si>
  <si>
    <t>320103002</t>
  </si>
  <si>
    <t>ASSISTENCIA MEDICA E ODONTOLOGICA</t>
  </si>
  <si>
    <t>1.311.370,85 D</t>
  </si>
  <si>
    <t>125.256,56 D</t>
  </si>
  <si>
    <t>1.436.627,41 D</t>
  </si>
  <si>
    <t>320103003</t>
  </si>
  <si>
    <t>SEGURO DE VIDA EM GRUPO</t>
  </si>
  <si>
    <t>320103004</t>
  </si>
  <si>
    <t>VALE TRANSPORTE</t>
  </si>
  <si>
    <t>112.688,82 D</t>
  </si>
  <si>
    <t>4.942,94 D</t>
  </si>
  <si>
    <t>117.631,76 D</t>
  </si>
  <si>
    <t>320103005</t>
  </si>
  <si>
    <t>BOLSA EDUCACIONAL E AUXILIO ESTUDANT</t>
  </si>
  <si>
    <t>320103006</t>
  </si>
  <si>
    <t>CESTAS BASICAS E NATALINAS</t>
  </si>
  <si>
    <t>364.780,43 D</t>
  </si>
  <si>
    <t>12.748,46 D</t>
  </si>
  <si>
    <t>377.528,89 D</t>
  </si>
  <si>
    <t>320103007</t>
  </si>
  <si>
    <t>OUTROS BENEFICIOS - EMPRESTIMOS</t>
  </si>
  <si>
    <t>320104</t>
  </si>
  <si>
    <t>OUTROS GASTOS COM PESSOAL</t>
  </si>
  <si>
    <t>374.800,03 D</t>
  </si>
  <si>
    <t>28.047,33 D</t>
  </si>
  <si>
    <t>402.847,36 D</t>
  </si>
  <si>
    <t>320104001</t>
  </si>
  <si>
    <t>EQUIPAMENTO INDIVIDUAL DE PROTECAO</t>
  </si>
  <si>
    <t>238.543,76 D</t>
  </si>
  <si>
    <t>19.988,84 D</t>
  </si>
  <si>
    <t>258.532,60 D</t>
  </si>
  <si>
    <t>320104002</t>
  </si>
  <si>
    <t>MEDICAMENTOS/FARMACIA</t>
  </si>
  <si>
    <t>1.397,19 D</t>
  </si>
  <si>
    <t>320104003</t>
  </si>
  <si>
    <t>RECRUTAMENTO E SELECAO</t>
  </si>
  <si>
    <t>117,00 D</t>
  </si>
  <si>
    <t>320104004</t>
  </si>
  <si>
    <t>CANTINA/REFEITORIO</t>
  </si>
  <si>
    <t>17,94 D</t>
  </si>
  <si>
    <t>320104005</t>
  </si>
  <si>
    <t>TREINAMENTO DE EMPREGADOS</t>
  </si>
  <si>
    <t>320104006</t>
  </si>
  <si>
    <t>UNIFORMES PROFISSIONAIS</t>
  </si>
  <si>
    <t>126.625,70 D</t>
  </si>
  <si>
    <t>8.058,49 D</t>
  </si>
  <si>
    <t>134.684,19 D</t>
  </si>
  <si>
    <t>320104007</t>
  </si>
  <si>
    <t>ASSISTENCIA SOCIAL, CULTURAL E RECRE</t>
  </si>
  <si>
    <t>320104008</t>
  </si>
  <si>
    <t>EXAMES MEDICOS</t>
  </si>
  <si>
    <t>320104009</t>
  </si>
  <si>
    <t>CONTRIBUICAO PATRONAL</t>
  </si>
  <si>
    <t>320104010</t>
  </si>
  <si>
    <t>OUTROS GASTOS C/PESSOAL</t>
  </si>
  <si>
    <t>8.098,44 D</t>
  </si>
  <si>
    <t>320105</t>
  </si>
  <si>
    <t>( - ) INSS DESONERACAO</t>
  </si>
  <si>
    <t>320105001</t>
  </si>
  <si>
    <t>3202</t>
  </si>
  <si>
    <t>SERVICOS DE TERCEIROS</t>
  </si>
  <si>
    <t>22.176.770,13 D</t>
  </si>
  <si>
    <t>969.943,79 D</t>
  </si>
  <si>
    <t>23.146.713,92 D</t>
  </si>
  <si>
    <t>320201</t>
  </si>
  <si>
    <t>SERVICOS DE TERCEIROS - PJ</t>
  </si>
  <si>
    <t>22.109.658,35 D</t>
  </si>
  <si>
    <t>964.073,69 D</t>
  </si>
  <si>
    <t>23.073.732,04 D</t>
  </si>
  <si>
    <t>320201001</t>
  </si>
  <si>
    <t>PJ-CONSULTORIA E ASSESSORIA</t>
  </si>
  <si>
    <t>69.403,63 D</t>
  </si>
  <si>
    <t>96,00 D</t>
  </si>
  <si>
    <t>69.499,63 D</t>
  </si>
  <si>
    <t>320201002</t>
  </si>
  <si>
    <t>PJ-HONORARIOS ADVOCATICIOS</t>
  </si>
  <si>
    <t>320201003</t>
  </si>
  <si>
    <t>PJ-SEGURANCA PATRIMONIAL</t>
  </si>
  <si>
    <t>320201004</t>
  </si>
  <si>
    <t>PJ-LOCACAO DE MAQUINAS E EQUIPAMENTO</t>
  </si>
  <si>
    <t>8.652.142,51 D</t>
  </si>
  <si>
    <t>450.583,56 D</t>
  </si>
  <si>
    <t>9.102.726,07 D</t>
  </si>
  <si>
    <t>320201005</t>
  </si>
  <si>
    <t>PJ-MAO-DE-OBRA TERCEIRIZADA</t>
  </si>
  <si>
    <t>6.750,00 D</t>
  </si>
  <si>
    <t>320201006</t>
  </si>
  <si>
    <t>PJ-OUTROS SERVICOS CONTRATADOS-PJ</t>
  </si>
  <si>
    <t>13.381.362,21 D</t>
  </si>
  <si>
    <t>513.394,13 D</t>
  </si>
  <si>
    <t>13.894.756,34 D</t>
  </si>
  <si>
    <t>320202</t>
  </si>
  <si>
    <t>SERVICOS DE TERCEIROS - PF</t>
  </si>
  <si>
    <t>67.111,78 D</t>
  </si>
  <si>
    <t>5.870,10 D</t>
  </si>
  <si>
    <t>72.981,88 D</t>
  </si>
  <si>
    <t>320202001</t>
  </si>
  <si>
    <t>PF-CONSULTORIA E ASSESSORIA</t>
  </si>
  <si>
    <t>320202002</t>
  </si>
  <si>
    <t>PF-MAO-DE-OBRA TERCEIRIZADA</t>
  </si>
  <si>
    <t>320202003</t>
  </si>
  <si>
    <t>PF-OUTROS SERVICOS CONTRATADOS-PF</t>
  </si>
  <si>
    <t>3203</t>
  </si>
  <si>
    <t>CUSTO COM FROTA E EQUIPAMENTO</t>
  </si>
  <si>
    <t>16.746.128,36 D</t>
  </si>
  <si>
    <t>1.107.233,55 D</t>
  </si>
  <si>
    <t>17.853.361,91 D</t>
  </si>
  <si>
    <t>320301</t>
  </si>
  <si>
    <t>320301001</t>
  </si>
  <si>
    <t>COMBUSTIVEIS</t>
  </si>
  <si>
    <t>8.737.203,91 D</t>
  </si>
  <si>
    <t>479.801,01 D</t>
  </si>
  <si>
    <t>9.217.004,92 D</t>
  </si>
  <si>
    <t>320301002</t>
  </si>
  <si>
    <t>LUBRIFICANTES</t>
  </si>
  <si>
    <t>132.264,00 D</t>
  </si>
  <si>
    <t>15.487,70 D</t>
  </si>
  <si>
    <t>147.751,70 D</t>
  </si>
  <si>
    <t>320301003</t>
  </si>
  <si>
    <t>PNEUS E RECAPAGENS</t>
  </si>
  <si>
    <t>1.043.699,65 D</t>
  </si>
  <si>
    <t>1.589,37 D</t>
  </si>
  <si>
    <t>1.045.289,02 D</t>
  </si>
  <si>
    <t>320301004</t>
  </si>
  <si>
    <t>PECAS E ACESSORIOS</t>
  </si>
  <si>
    <t>2.818.396,85 D</t>
  </si>
  <si>
    <t>343.405,71 D</t>
  </si>
  <si>
    <t>3.161.802,56 D</t>
  </si>
  <si>
    <t>320301005</t>
  </si>
  <si>
    <t>FERRAMENTAS</t>
  </si>
  <si>
    <t>1.319.682,71 D</t>
  </si>
  <si>
    <t>89.561,80 D</t>
  </si>
  <si>
    <t>1.409.244,51 D</t>
  </si>
  <si>
    <t>320301006</t>
  </si>
  <si>
    <t>SERVICOS E MANUTENCAO DE VEICULOS EQ</t>
  </si>
  <si>
    <t>1.942.663,67 D</t>
  </si>
  <si>
    <t>162.266,79 D</t>
  </si>
  <si>
    <t>2.104.930,46 D</t>
  </si>
  <si>
    <t>320301007</t>
  </si>
  <si>
    <t>LICENCIAMENTO - IPVA - DPVAT</t>
  </si>
  <si>
    <t>557.022,08 D</t>
  </si>
  <si>
    <t>4.176,73 D</t>
  </si>
  <si>
    <t>561.198,81 D</t>
  </si>
  <si>
    <t>320301008</t>
  </si>
  <si>
    <t>MULTAS DE TRANSITO</t>
  </si>
  <si>
    <t>3.892,87 D</t>
  </si>
  <si>
    <t>423,35 D</t>
  </si>
  <si>
    <t>4.316,22 D</t>
  </si>
  <si>
    <t>320301009</t>
  </si>
  <si>
    <t>RASTREAMENTO</t>
  </si>
  <si>
    <t>4.670,48 D</t>
  </si>
  <si>
    <t>320301010</t>
  </si>
  <si>
    <t>PEDAGIO</t>
  </si>
  <si>
    <t>320301011</t>
  </si>
  <si>
    <t>GERENCIAMENTO DE RISCO</t>
  </si>
  <si>
    <t>186.632,14 D</t>
  </si>
  <si>
    <t>10.521,09 D</t>
  </si>
  <si>
    <t>197.153,23 D</t>
  </si>
  <si>
    <t>3204</t>
  </si>
  <si>
    <t>CUSTO DE FUNCIONAMENTO</t>
  </si>
  <si>
    <t>2.128.664,66 D</t>
  </si>
  <si>
    <t>128.845,12 D</t>
  </si>
  <si>
    <t>2.257.509,78 D</t>
  </si>
  <si>
    <t>320401</t>
  </si>
  <si>
    <t>ALUGUEIS, ARREND. E CONDOMINIOS</t>
  </si>
  <si>
    <t>955.776,36 D</t>
  </si>
  <si>
    <t>60.350,63 D</t>
  </si>
  <si>
    <t>1.016.126,99 D</t>
  </si>
  <si>
    <t>320401001</t>
  </si>
  <si>
    <t>ALUGUEIS DE IMOVEIS</t>
  </si>
  <si>
    <t>794.461,17 D</t>
  </si>
  <si>
    <t>43.360,44 D</t>
  </si>
  <si>
    <t>837.821,61 D</t>
  </si>
  <si>
    <t>320401002</t>
  </si>
  <si>
    <t>ALUGUEIS DE VEICULOS</t>
  </si>
  <si>
    <t>161.315,19 D</t>
  </si>
  <si>
    <t>16.990,19 D</t>
  </si>
  <si>
    <t>178.305,38 D</t>
  </si>
  <si>
    <t>320402</t>
  </si>
  <si>
    <t>UTILIDADES</t>
  </si>
  <si>
    <t>142.179,75 D</t>
  </si>
  <si>
    <t>11.594,40 D</t>
  </si>
  <si>
    <t>153.774,15 D</t>
  </si>
  <si>
    <t>320402001</t>
  </si>
  <si>
    <t>AGUA E ESGOTO</t>
  </si>
  <si>
    <t>320402002</t>
  </si>
  <si>
    <t>ENERGIA ELETRICA</t>
  </si>
  <si>
    <t>320403</t>
  </si>
  <si>
    <t>COMUNICACAO</t>
  </si>
  <si>
    <t>49.221,06 D</t>
  </si>
  <si>
    <t>1.499,34 D</t>
  </si>
  <si>
    <t>50.720,40 D</t>
  </si>
  <si>
    <t>320403002</t>
  </si>
  <si>
    <t>CORREIOS, TELEGRAMAS E MALOTES</t>
  </si>
  <si>
    <t>320403003</t>
  </si>
  <si>
    <t>TELEFONIA MOVEL</t>
  </si>
  <si>
    <t>688,62 D</t>
  </si>
  <si>
    <t>135,30 D</t>
  </si>
  <si>
    <t>823,92 D</t>
  </si>
  <si>
    <t>320403004</t>
  </si>
  <si>
    <t>TELEFONIA FIXA/INTERNET</t>
  </si>
  <si>
    <t>48.532,44 D</t>
  </si>
  <si>
    <t>1.364,04 D</t>
  </si>
  <si>
    <t>49.896,48 D</t>
  </si>
  <si>
    <t>320404</t>
  </si>
  <si>
    <t>INFORMATICA</t>
  </si>
  <si>
    <t>20.809,14 D</t>
  </si>
  <si>
    <t>320404001</t>
  </si>
  <si>
    <t>MANUTENCAO EQUIPAMENTOS DE INFORMATI</t>
  </si>
  <si>
    <t>90,00 D</t>
  </si>
  <si>
    <t>320404002</t>
  </si>
  <si>
    <t>MANUTENCAO DE SISTEMAS</t>
  </si>
  <si>
    <t>1.565,67 D</t>
  </si>
  <si>
    <t>320404003</t>
  </si>
  <si>
    <t>LICENCA DE USO DE SOFTWARE</t>
  </si>
  <si>
    <t>10.821,88 D</t>
  </si>
  <si>
    <t>320404004</t>
  </si>
  <si>
    <t>MATERIAL DE INFORMATICA</t>
  </si>
  <si>
    <t>8.331,59 D</t>
  </si>
  <si>
    <t>320405</t>
  </si>
  <si>
    <t>PREMIO DE SEGUROS</t>
  </si>
  <si>
    <t>648.429,21 D</t>
  </si>
  <si>
    <t>43.199,91 D</t>
  </si>
  <si>
    <t>691.629,12 D</t>
  </si>
  <si>
    <t>320405001</t>
  </si>
  <si>
    <t>SEGUROS DE CARGA</t>
  </si>
  <si>
    <t>8.760,99 D</t>
  </si>
  <si>
    <t>320405002</t>
  </si>
  <si>
    <t>SEGUROS DE VEICULOS</t>
  </si>
  <si>
    <t>376.505,30 D</t>
  </si>
  <si>
    <t>20.829,08 D</t>
  </si>
  <si>
    <t>397.334,38 D</t>
  </si>
  <si>
    <t>320405003</t>
  </si>
  <si>
    <t>SEGUROS DE EQUIPAMENTOS</t>
  </si>
  <si>
    <t>320405004</t>
  </si>
  <si>
    <t>SEGUROS DE OPERADOR PORTUARIO</t>
  </si>
  <si>
    <t>262.581,29 D</t>
  </si>
  <si>
    <t>22.370,83 D</t>
  </si>
  <si>
    <t>284.952,12 D</t>
  </si>
  <si>
    <t>320405005</t>
  </si>
  <si>
    <t>OUTROS SEGUROS</t>
  </si>
  <si>
    <t>581,63 D</t>
  </si>
  <si>
    <t>320406</t>
  </si>
  <si>
    <t>MANUTENCAO E CONSERVACAO</t>
  </si>
  <si>
    <t>33.058,36 D</t>
  </si>
  <si>
    <t>1.125,98 D</t>
  </si>
  <si>
    <t>34.184,34 D</t>
  </si>
  <si>
    <t>320406001</t>
  </si>
  <si>
    <t>CONSERVACAO E LIMPEZA</t>
  </si>
  <si>
    <t>13,00 D</t>
  </si>
  <si>
    <t>320406002</t>
  </si>
  <si>
    <t>MANUTENCAO DE EDIFICIOS E INSTALACOE</t>
  </si>
  <si>
    <t>347,44 D</t>
  </si>
  <si>
    <t>320406003</t>
  </si>
  <si>
    <t>MANUTENCAO DE MOVEIS E UTENSILIOS</t>
  </si>
  <si>
    <t>32.697,92 D</t>
  </si>
  <si>
    <t>33.823,90 D</t>
  </si>
  <si>
    <t>320407</t>
  </si>
  <si>
    <t>VIAGENS E REPRESENTACAO</t>
  </si>
  <si>
    <t>35.605,61 D</t>
  </si>
  <si>
    <t>320407001</t>
  </si>
  <si>
    <t>PASSAGEM</t>
  </si>
  <si>
    <t>320407002</t>
  </si>
  <si>
    <t>HOSPEDAGEM</t>
  </si>
  <si>
    <t>320407003</t>
  </si>
  <si>
    <t>REFEICAO E REPRESENTACAO</t>
  </si>
  <si>
    <t>320407004</t>
  </si>
  <si>
    <t>TAXI E TRANSPORTE COLETIVO</t>
  </si>
  <si>
    <t>320407005</t>
  </si>
  <si>
    <t>ESTACIONAMENTO E PEDAGIO</t>
  </si>
  <si>
    <t>320407006</t>
  </si>
  <si>
    <t>OUTROS GASTOS COM VIAGENS</t>
  </si>
  <si>
    <t>320408</t>
  </si>
  <si>
    <t>IMPOSTOS, MULTAS E TAXAS DIVERSAS</t>
  </si>
  <si>
    <t>51.363,20 D</t>
  </si>
  <si>
    <t>320408001</t>
  </si>
  <si>
    <t>IPTU</t>
  </si>
  <si>
    <t>42.063,46 D</t>
  </si>
  <si>
    <t>320408002</t>
  </si>
  <si>
    <t>MULTAS E MORAS CONTRATUAIS</t>
  </si>
  <si>
    <t>320408003</t>
  </si>
  <si>
    <t>MULTAS DEDUTIVEIS - ATRASO</t>
  </si>
  <si>
    <t>320408004</t>
  </si>
  <si>
    <t>TAXAS CARTORIAIS</t>
  </si>
  <si>
    <t>320408005</t>
  </si>
  <si>
    <t>IMPOSTOS E TAXAS DIVERSAS</t>
  </si>
  <si>
    <t>9.299,74 D</t>
  </si>
  <si>
    <t>320408006</t>
  </si>
  <si>
    <t>AUTO DE INFRACAO</t>
  </si>
  <si>
    <t>320409</t>
  </si>
  <si>
    <t>DESPESAS GERAIS</t>
  </si>
  <si>
    <t>192.221,97 D</t>
  </si>
  <si>
    <t>11.074,86 D</t>
  </si>
  <si>
    <t>203.296,83 D</t>
  </si>
  <si>
    <t>320409001</t>
  </si>
  <si>
    <t>CONTRIBUICOES E ASSOCIACOES DE CLASS</t>
  </si>
  <si>
    <t>320409002</t>
  </si>
  <si>
    <t>COPIAS E REPRODUCOES</t>
  </si>
  <si>
    <t>20,00 D</t>
  </si>
  <si>
    <t>320409003</t>
  </si>
  <si>
    <t>DOACOES</t>
  </si>
  <si>
    <t>320409004</t>
  </si>
  <si>
    <t>PATROCINIOS</t>
  </si>
  <si>
    <t>320409005</t>
  </si>
  <si>
    <t>TARIFAS PORTUARIAS</t>
  </si>
  <si>
    <t>320409006</t>
  </si>
  <si>
    <t>MATERIAL DE EXPEDIENTE</t>
  </si>
  <si>
    <t>23.547,52 D</t>
  </si>
  <si>
    <t>4.565,78 D</t>
  </si>
  <si>
    <t>28.113,30 D</t>
  </si>
  <si>
    <t>320409007</t>
  </si>
  <si>
    <t>MATERIAL DE CONSUMO</t>
  </si>
  <si>
    <t>101.419,58 D</t>
  </si>
  <si>
    <t>4.722,16 D</t>
  </si>
  <si>
    <t>106.141,74 D</t>
  </si>
  <si>
    <t>320409008</t>
  </si>
  <si>
    <t>MATERIAL DE LIMPEZA</t>
  </si>
  <si>
    <t>22.361,88 D</t>
  </si>
  <si>
    <t>1.786,92 D</t>
  </si>
  <si>
    <t>24.148,80 D</t>
  </si>
  <si>
    <t>320409009</t>
  </si>
  <si>
    <t>JORNAIS,REVISTAS E LIVROS TECNICOS</t>
  </si>
  <si>
    <t>320409010</t>
  </si>
  <si>
    <t>FRETES E CARRETOS DIVERSOS</t>
  </si>
  <si>
    <t>6.483,75 D</t>
  </si>
  <si>
    <t>320409011</t>
  </si>
  <si>
    <t>INDENIZACOES/RESSARCIMENTOS A TERCEI</t>
  </si>
  <si>
    <t>320409012</t>
  </si>
  <si>
    <t>BENS DE PEQUENO VALOR</t>
  </si>
  <si>
    <t>11.524,60 D</t>
  </si>
  <si>
    <t>320409013</t>
  </si>
  <si>
    <t>PERICIA, EXAMES E ANALISES</t>
  </si>
  <si>
    <t>26.732,98 D</t>
  </si>
  <si>
    <t>320409014</t>
  </si>
  <si>
    <t>DESP. LEGAIS E JUDICIAIS</t>
  </si>
  <si>
    <t>111,66 D</t>
  </si>
  <si>
    <t>320409015</t>
  </si>
  <si>
    <t>MANUTENCAO E REPAROS</t>
  </si>
  <si>
    <t>3205</t>
  </si>
  <si>
    <t>DEPRECIACOES E AMORTIZACOES</t>
  </si>
  <si>
    <t>8.379.473,16 D</t>
  </si>
  <si>
    <t>511.844,50 D</t>
  </si>
  <si>
    <t>8.891.317,66 D</t>
  </si>
  <si>
    <t>320501</t>
  </si>
  <si>
    <t>320501001</t>
  </si>
  <si>
    <t>EDIFICIOS</t>
  </si>
  <si>
    <t>320501002</t>
  </si>
  <si>
    <t>INSTALACOES</t>
  </si>
  <si>
    <t>320501003</t>
  </si>
  <si>
    <t>MAQUINAS E EQUIPAMENTOS</t>
  </si>
  <si>
    <t>3.733.536,88 D</t>
  </si>
  <si>
    <t>251.304,87 D</t>
  </si>
  <si>
    <t>3.984.841,75 D</t>
  </si>
  <si>
    <t>320501004</t>
  </si>
  <si>
    <t>EQUIPAMENTOS DE INFORMATICA</t>
  </si>
  <si>
    <t>6.931,64 D</t>
  </si>
  <si>
    <t>977,81 D</t>
  </si>
  <si>
    <t>7.909,45 D</t>
  </si>
  <si>
    <t>320501005</t>
  </si>
  <si>
    <t>MOVEIS E UTENSILIOS</t>
  </si>
  <si>
    <t>16.564,44 D</t>
  </si>
  <si>
    <t>831,23 D</t>
  </si>
  <si>
    <t>17.395,67 D</t>
  </si>
  <si>
    <t>320501006</t>
  </si>
  <si>
    <t>VEICULOS</t>
  </si>
  <si>
    <t>4.622.440,20 D</t>
  </si>
  <si>
    <t>258.730,59 D</t>
  </si>
  <si>
    <t>4.881.170,79 D</t>
  </si>
  <si>
    <t>320501007</t>
  </si>
  <si>
    <t>MAQUINAS E EQUIPAMENTOS - ARREND.</t>
  </si>
  <si>
    <t>320501008</t>
  </si>
  <si>
    <t>VEICULOS - ARREND. MERCANTIL FINANC.</t>
  </si>
  <si>
    <t>320501009</t>
  </si>
  <si>
    <t>AMORTIZACAO SOFTWARE</t>
  </si>
  <si>
    <t>3206</t>
  </si>
  <si>
    <t>CUSTOS DIRETOS OPER. PORTUÁRIAS</t>
  </si>
  <si>
    <t>15.742.995,10 D</t>
  </si>
  <si>
    <t>1.280.512,86 D</t>
  </si>
  <si>
    <t>17.023.507,96 D</t>
  </si>
  <si>
    <t>320601</t>
  </si>
  <si>
    <t>CUSTOS DIRETOS OPERACIONAIS PORTUÁRIO</t>
  </si>
  <si>
    <t>320601001</t>
  </si>
  <si>
    <t>MATERIAIS DIRETOS</t>
  </si>
  <si>
    <t>5.875.557,33 D</t>
  </si>
  <si>
    <t>612.558,14 D</t>
  </si>
  <si>
    <t>6.488.115,47 D</t>
  </si>
  <si>
    <t>320601002</t>
  </si>
  <si>
    <t>TARIFAS PORTUÁRIAS</t>
  </si>
  <si>
    <t>9.867.437,77 D</t>
  </si>
  <si>
    <t>667.954,72 D</t>
  </si>
  <si>
    <t>10.535.392,49 D</t>
  </si>
  <si>
    <t>3218</t>
  </si>
  <si>
    <t>OUTROS CUSTOS</t>
  </si>
  <si>
    <t>2.861.280,08 D</t>
  </si>
  <si>
    <t>321801</t>
  </si>
  <si>
    <t>321801001</t>
  </si>
  <si>
    <t>GANHOS/PERDAS NA TRANSF. DE INVENTAR</t>
  </si>
  <si>
    <t>2.861.051,18 D</t>
  </si>
  <si>
    <t>321801002</t>
  </si>
  <si>
    <t>CONSUMO DIVERSOS - MATERIAIS</t>
  </si>
  <si>
    <t>228,90 D</t>
  </si>
  <si>
    <t>3219</t>
  </si>
  <si>
    <t>( - ) CREDITOS FISCAIS</t>
  </si>
  <si>
    <t>2.448.733,52 C</t>
  </si>
  <si>
    <t>321901</t>
  </si>
  <si>
    <t>321901001</t>
  </si>
  <si>
    <t>PIS</t>
  </si>
  <si>
    <t>465.664,45 C</t>
  </si>
  <si>
    <t>321901002</t>
  </si>
  <si>
    <t>COFINS</t>
  </si>
  <si>
    <t>1.983.069,07 C</t>
  </si>
  <si>
    <t>LB</t>
  </si>
  <si>
    <t>LUCRO BRUTO (LB=ROL-DVV-CSP)</t>
  </si>
  <si>
    <t>41.585.660,11 C</t>
  </si>
  <si>
    <t>2.697.985,21 C</t>
  </si>
  <si>
    <t>44.283.645,32 C</t>
  </si>
  <si>
    <t>DOP</t>
  </si>
  <si>
    <t>DESPESAS OPERACIONAIS (DOP)</t>
  </si>
  <si>
    <t>25.490.752,36 D</t>
  </si>
  <si>
    <t>789.191,51 D</t>
  </si>
  <si>
    <t>26.279.943,87 D</t>
  </si>
  <si>
    <t>3301</t>
  </si>
  <si>
    <t>DESPESAS COM PESSOAL</t>
  </si>
  <si>
    <t>4.370.882,67 D</t>
  </si>
  <si>
    <t>264.676,40 D</t>
  </si>
  <si>
    <t>4.635.559,07 D</t>
  </si>
  <si>
    <t>330101</t>
  </si>
  <si>
    <t>2.771.957,08 D</t>
  </si>
  <si>
    <t>176.730,18 D</t>
  </si>
  <si>
    <t>2.948.687,26 D</t>
  </si>
  <si>
    <t>330101001</t>
  </si>
  <si>
    <t>1.681.747,67 D</t>
  </si>
  <si>
    <t>124.864,98 D</t>
  </si>
  <si>
    <t>1.806.612,65 D</t>
  </si>
  <si>
    <t>330101002</t>
  </si>
  <si>
    <t>5.233,33 D</t>
  </si>
  <si>
    <t>1.000,00 D</t>
  </si>
  <si>
    <t>6.233,33 D</t>
  </si>
  <si>
    <t>330101003</t>
  </si>
  <si>
    <t>45.150,82 D</t>
  </si>
  <si>
    <t>1.142,52 D</t>
  </si>
  <si>
    <t>46.293,34 D</t>
  </si>
  <si>
    <t>330101004</t>
  </si>
  <si>
    <t>3.194,47 D</t>
  </si>
  <si>
    <t>346,19 D</t>
  </si>
  <si>
    <t>3.540,66 D</t>
  </si>
  <si>
    <t>330101005</t>
  </si>
  <si>
    <t>29.669,66 D</t>
  </si>
  <si>
    <t>2.206,87 D</t>
  </si>
  <si>
    <t>31.876,53 D</t>
  </si>
  <si>
    <t>330101006</t>
  </si>
  <si>
    <t>15.745,35 D</t>
  </si>
  <si>
    <t>39,95 D</t>
  </si>
  <si>
    <t>15.785,30 D</t>
  </si>
  <si>
    <t>330101007</t>
  </si>
  <si>
    <t>330101008</t>
  </si>
  <si>
    <t>4.546,57 D</t>
  </si>
  <si>
    <t>330101009</t>
  </si>
  <si>
    <t>4.986,58 D</t>
  </si>
  <si>
    <t>421,33 D</t>
  </si>
  <si>
    <t>5.407,91 D</t>
  </si>
  <si>
    <t>330101010</t>
  </si>
  <si>
    <t>161.503,89 D</t>
  </si>
  <si>
    <t>11.039,51 D</t>
  </si>
  <si>
    <t>172.543,40 D</t>
  </si>
  <si>
    <t>330101011</t>
  </si>
  <si>
    <t>387.592,52 D</t>
  </si>
  <si>
    <t>15.679,75 D</t>
  </si>
  <si>
    <t>403.272,27 D</t>
  </si>
  <si>
    <t>330101012</t>
  </si>
  <si>
    <t>59.542,82 D</t>
  </si>
  <si>
    <t>4.022,21 D</t>
  </si>
  <si>
    <t>63.565,03 D</t>
  </si>
  <si>
    <t>330101013</t>
  </si>
  <si>
    <t>15.366,71 D</t>
  </si>
  <si>
    <t>971,11 D</t>
  </si>
  <si>
    <t>16.337,82 D</t>
  </si>
  <si>
    <t>330101014</t>
  </si>
  <si>
    <t>1.280,00 D</t>
  </si>
  <si>
    <t>200,00 D</t>
  </si>
  <si>
    <t>1.480,00 D</t>
  </si>
  <si>
    <t>330101015</t>
  </si>
  <si>
    <t>330101016</t>
  </si>
  <si>
    <t>192.591,75 D</t>
  </si>
  <si>
    <t>12.839,45 D</t>
  </si>
  <si>
    <t>205.431,20 D</t>
  </si>
  <si>
    <t>330101017</t>
  </si>
  <si>
    <t>50.590,83 D</t>
  </si>
  <si>
    <t>1.449,00 D</t>
  </si>
  <si>
    <t>52.039,83 D</t>
  </si>
  <si>
    <t>330101018</t>
  </si>
  <si>
    <t>26.663,86 D</t>
  </si>
  <si>
    <t>330101019</t>
  </si>
  <si>
    <t>42.229,33 D</t>
  </si>
  <si>
    <t>330101020</t>
  </si>
  <si>
    <t>330101021</t>
  </si>
  <si>
    <t>27.587,70 D</t>
  </si>
  <si>
    <t>507,31 D</t>
  </si>
  <si>
    <t>28.095,01 D</t>
  </si>
  <si>
    <t>330101022</t>
  </si>
  <si>
    <t>8.809,09 D</t>
  </si>
  <si>
    <t>330101023</t>
  </si>
  <si>
    <t>7.924,13 D</t>
  </si>
  <si>
    <t>330102</t>
  </si>
  <si>
    <t>554.772,43 D</t>
  </si>
  <si>
    <t>26.760,52 D</t>
  </si>
  <si>
    <t>581.532,95 D</t>
  </si>
  <si>
    <t>330102001</t>
  </si>
  <si>
    <t>320.562,48 D</t>
  </si>
  <si>
    <t>12.081,50 D</t>
  </si>
  <si>
    <t>332.643,98 D</t>
  </si>
  <si>
    <t>330102002</t>
  </si>
  <si>
    <t>145.657,02 D</t>
  </si>
  <si>
    <t>10.650,72 D</t>
  </si>
  <si>
    <t>156.307,74 D</t>
  </si>
  <si>
    <t>330102003</t>
  </si>
  <si>
    <t>14.051,94 D</t>
  </si>
  <si>
    <t>1.018,62 D</t>
  </si>
  <si>
    <t>15.070,56 D</t>
  </si>
  <si>
    <t>330102004</t>
  </si>
  <si>
    <t>18.585,73 D</t>
  </si>
  <si>
    <t>1.153,63 D</t>
  </si>
  <si>
    <t>19.739,36 D</t>
  </si>
  <si>
    <t>330102005</t>
  </si>
  <si>
    <t>16.263,90 D</t>
  </si>
  <si>
    <t>877,12 D</t>
  </si>
  <si>
    <t>17.141,02 D</t>
  </si>
  <si>
    <t>330102006</t>
  </si>
  <si>
    <t>39.651,36 D</t>
  </si>
  <si>
    <t>978,93 D</t>
  </si>
  <si>
    <t>40.630,29 D</t>
  </si>
  <si>
    <t>330103</t>
  </si>
  <si>
    <t>998.573,12 D</t>
  </si>
  <si>
    <t>58.766,75 D</t>
  </si>
  <si>
    <t>1.057.339,87 D</t>
  </si>
  <si>
    <t>330103001</t>
  </si>
  <si>
    <t>291.048,08 D</t>
  </si>
  <si>
    <t>15.571,78 D</t>
  </si>
  <si>
    <t>306.619,86 D</t>
  </si>
  <si>
    <t>330103002</t>
  </si>
  <si>
    <t>510.358,14 D</t>
  </si>
  <si>
    <t>32.435,30 D</t>
  </si>
  <si>
    <t>542.793,44 D</t>
  </si>
  <si>
    <t>330103003</t>
  </si>
  <si>
    <t>2.085,62 D</t>
  </si>
  <si>
    <t>330103004</t>
  </si>
  <si>
    <t>39.957,48 D</t>
  </si>
  <si>
    <t>2.907,02 D</t>
  </si>
  <si>
    <t>42.864,50 D</t>
  </si>
  <si>
    <t>330103005</t>
  </si>
  <si>
    <t>203,67 D</t>
  </si>
  <si>
    <t>330103006</t>
  </si>
  <si>
    <t>155.123,80 D</t>
  </si>
  <si>
    <t>7.648,98 D</t>
  </si>
  <si>
    <t>162.772,78 D</t>
  </si>
  <si>
    <t>330103007</t>
  </si>
  <si>
    <t>330104</t>
  </si>
  <si>
    <t>45.580,04 D</t>
  </si>
  <si>
    <t>2.418,95 D</t>
  </si>
  <si>
    <t>47.998,99 D</t>
  </si>
  <si>
    <t>330104001</t>
  </si>
  <si>
    <t>16.193,09 D</t>
  </si>
  <si>
    <t>875,47 D</t>
  </si>
  <si>
    <t>17.068,56 D</t>
  </si>
  <si>
    <t>330104002</t>
  </si>
  <si>
    <t>398,80 D</t>
  </si>
  <si>
    <t>330104003</t>
  </si>
  <si>
    <t>330104004</t>
  </si>
  <si>
    <t>273,25 D</t>
  </si>
  <si>
    <t>330104005</t>
  </si>
  <si>
    <t>1.018,35 D</t>
  </si>
  <si>
    <t>330104006</t>
  </si>
  <si>
    <t>25.619,95 D</t>
  </si>
  <si>
    <t>1.298,48 D</t>
  </si>
  <si>
    <t>26.918,43 D</t>
  </si>
  <si>
    <t>330104007</t>
  </si>
  <si>
    <t>330104008</t>
  </si>
  <si>
    <t>330104009</t>
  </si>
  <si>
    <t>330104010</t>
  </si>
  <si>
    <t>2.076,60 D</t>
  </si>
  <si>
    <t>245,00 D</t>
  </si>
  <si>
    <t>2.321,60 D</t>
  </si>
  <si>
    <t>330105</t>
  </si>
  <si>
    <t>330105001</t>
  </si>
  <si>
    <t>3302</t>
  </si>
  <si>
    <t>6.536.147,30 D</t>
  </si>
  <si>
    <t>355.522,81 D</t>
  </si>
  <si>
    <t>6.891.670,11 D</t>
  </si>
  <si>
    <t>330201</t>
  </si>
  <si>
    <t>5.655.964,08 D</t>
  </si>
  <si>
    <t>221.869,58 D</t>
  </si>
  <si>
    <t>5.877.833,66 D</t>
  </si>
  <si>
    <t>330201001</t>
  </si>
  <si>
    <t>20.048,65 D</t>
  </si>
  <si>
    <t>7.350,00 D</t>
  </si>
  <si>
    <t>27.398,65 D</t>
  </si>
  <si>
    <t>330201002</t>
  </si>
  <si>
    <t>44,00 D</t>
  </si>
  <si>
    <t>330201003</t>
  </si>
  <si>
    <t>330201004</t>
  </si>
  <si>
    <t>146.325,48 D</t>
  </si>
  <si>
    <t>4.468,92 D</t>
  </si>
  <si>
    <t>150.794,40 D</t>
  </si>
  <si>
    <t>330201005</t>
  </si>
  <si>
    <t>330201006</t>
  </si>
  <si>
    <t>5.489.545,95 D</t>
  </si>
  <si>
    <t>210.050,66 D</t>
  </si>
  <si>
    <t>5.699.596,61 D</t>
  </si>
  <si>
    <t>330202</t>
  </si>
  <si>
    <t>880.183,22 D</t>
  </si>
  <si>
    <t>133.653,23 D</t>
  </si>
  <si>
    <t>1.013.836,45 D</t>
  </si>
  <si>
    <t>330202001</t>
  </si>
  <si>
    <t>879.343,22 D</t>
  </si>
  <si>
    <t>1.012.996,45 D</t>
  </si>
  <si>
    <t>330202003</t>
  </si>
  <si>
    <t>840,00 D</t>
  </si>
  <si>
    <t>3303</t>
  </si>
  <si>
    <t>DESPESAS COM FROTA E EQUIPAMENTO</t>
  </si>
  <si>
    <t>773.601,41 D</t>
  </si>
  <si>
    <t>34.154,75 D</t>
  </si>
  <si>
    <t>807.756,16 D</t>
  </si>
  <si>
    <t>330301</t>
  </si>
  <si>
    <t>330301001</t>
  </si>
  <si>
    <t>296.240,61 D</t>
  </si>
  <si>
    <t>2.353,16 D</t>
  </si>
  <si>
    <t>298.593,77 D</t>
  </si>
  <si>
    <t>330301002</t>
  </si>
  <si>
    <t>4.166,72 D</t>
  </si>
  <si>
    <t>330301003</t>
  </si>
  <si>
    <t>3.038,96 D</t>
  </si>
  <si>
    <t>330301004</t>
  </si>
  <si>
    <t>180.004,51 D</t>
  </si>
  <si>
    <t>28.648,42 D</t>
  </si>
  <si>
    <t>208.652,93 D</t>
  </si>
  <si>
    <t>330301005</t>
  </si>
  <si>
    <t>37.139,48 D</t>
  </si>
  <si>
    <t>2.971,65 D</t>
  </si>
  <si>
    <t>40.111,13 D</t>
  </si>
  <si>
    <t>330301006</t>
  </si>
  <si>
    <t>495,00 D</t>
  </si>
  <si>
    <t>330301007</t>
  </si>
  <si>
    <t>247.795,23 D</t>
  </si>
  <si>
    <t>181,52 D</t>
  </si>
  <si>
    <t>247.976,75 D</t>
  </si>
  <si>
    <t>330301008</t>
  </si>
  <si>
    <t>4.720,90 D</t>
  </si>
  <si>
    <t>330301009</t>
  </si>
  <si>
    <t>330301010</t>
  </si>
  <si>
    <t>3304</t>
  </si>
  <si>
    <t>DESPESAS ADMINISTRATIVA</t>
  </si>
  <si>
    <t>1.615.053,02 D</t>
  </si>
  <si>
    <t>52.826,52 D</t>
  </si>
  <si>
    <t>1.667.879,54 D</t>
  </si>
  <si>
    <t>330401</t>
  </si>
  <si>
    <t>280.829,46 D</t>
  </si>
  <si>
    <t>20.429,28 D</t>
  </si>
  <si>
    <t>301.258,74 D</t>
  </si>
  <si>
    <t>330401001</t>
  </si>
  <si>
    <t>330401002</t>
  </si>
  <si>
    <t>330402</t>
  </si>
  <si>
    <t>10.140,08 D</t>
  </si>
  <si>
    <t>330402001</t>
  </si>
  <si>
    <t>330402002</t>
  </si>
  <si>
    <t>330403</t>
  </si>
  <si>
    <t>134.532,60 D</t>
  </si>
  <si>
    <t>13.020,22 D</t>
  </si>
  <si>
    <t>147.552,82 D</t>
  </si>
  <si>
    <t>330403001</t>
  </si>
  <si>
    <t>REDE DE COMUNICACOES</t>
  </si>
  <si>
    <t>330403002</t>
  </si>
  <si>
    <t>500,00 D</t>
  </si>
  <si>
    <t>330403003</t>
  </si>
  <si>
    <t>23.216,53 D</t>
  </si>
  <si>
    <t>5.295,89 D</t>
  </si>
  <si>
    <t>28.512,42 D</t>
  </si>
  <si>
    <t>330403004</t>
  </si>
  <si>
    <t>110.816,07 D</t>
  </si>
  <si>
    <t>7.724,33 D</t>
  </si>
  <si>
    <t>118.540,40 D</t>
  </si>
  <si>
    <t>330404</t>
  </si>
  <si>
    <t>80.006,30 D</t>
  </si>
  <si>
    <t>89,90 D</t>
  </si>
  <si>
    <t>80.096,20 D</t>
  </si>
  <si>
    <t>330404001</t>
  </si>
  <si>
    <t>330404002</t>
  </si>
  <si>
    <t>3.772,93 D</t>
  </si>
  <si>
    <t>330404003</t>
  </si>
  <si>
    <t>52.443,82 D</t>
  </si>
  <si>
    <t>330404004</t>
  </si>
  <si>
    <t>23.789,55 D</t>
  </si>
  <si>
    <t>23.879,45 D</t>
  </si>
  <si>
    <t>330405</t>
  </si>
  <si>
    <t>78.932,93 D</t>
  </si>
  <si>
    <t>428,35 D</t>
  </si>
  <si>
    <t>79.361,28 D</t>
  </si>
  <si>
    <t>330405001</t>
  </si>
  <si>
    <t>330405002</t>
  </si>
  <si>
    <t>330405003</t>
  </si>
  <si>
    <t>330405004</t>
  </si>
  <si>
    <t>330405005</t>
  </si>
  <si>
    <t>330406</t>
  </si>
  <si>
    <t>89.102,91 D</t>
  </si>
  <si>
    <t>7.866,10 D</t>
  </si>
  <si>
    <t>96.969,01 D</t>
  </si>
  <si>
    <t>330406001</t>
  </si>
  <si>
    <t>402,98 D</t>
  </si>
  <si>
    <t>330406002</t>
  </si>
  <si>
    <t>410,00 D</t>
  </si>
  <si>
    <t>330406003</t>
  </si>
  <si>
    <t>88.699,93 D</t>
  </si>
  <si>
    <t>7.456,10 D</t>
  </si>
  <si>
    <t>96.156,03 D</t>
  </si>
  <si>
    <t>330407</t>
  </si>
  <si>
    <t>39.217,07 D</t>
  </si>
  <si>
    <t>330407001</t>
  </si>
  <si>
    <t>330407002</t>
  </si>
  <si>
    <t>330407003</t>
  </si>
  <si>
    <t>1.310,04 D</t>
  </si>
  <si>
    <t>330407004</t>
  </si>
  <si>
    <t>1.150,75 D</t>
  </si>
  <si>
    <t>330407005</t>
  </si>
  <si>
    <t>46,85 D</t>
  </si>
  <si>
    <t>330407006</t>
  </si>
  <si>
    <t>36.709,43 D</t>
  </si>
  <si>
    <t>330408</t>
  </si>
  <si>
    <t>154.378,28 D</t>
  </si>
  <si>
    <t>930,49 D</t>
  </si>
  <si>
    <t>155.308,77 D</t>
  </si>
  <si>
    <t>330408001</t>
  </si>
  <si>
    <t>1.217,79 D</t>
  </si>
  <si>
    <t>330408002</t>
  </si>
  <si>
    <t>330408003</t>
  </si>
  <si>
    <t>330408004</t>
  </si>
  <si>
    <t>7.649,92 D</t>
  </si>
  <si>
    <t>330408005</t>
  </si>
  <si>
    <t>145.510,57 D</t>
  </si>
  <si>
    <t>146.441,06 D</t>
  </si>
  <si>
    <t>330408006</t>
  </si>
  <si>
    <t>330409</t>
  </si>
  <si>
    <t>686.825,09 D</t>
  </si>
  <si>
    <t>10.062,18 D</t>
  </si>
  <si>
    <t>696.887,27 D</t>
  </si>
  <si>
    <t>330409001</t>
  </si>
  <si>
    <t>110.962,88 D</t>
  </si>
  <si>
    <t>5.799,20 D</t>
  </si>
  <si>
    <t>116.762,08 D</t>
  </si>
  <si>
    <t>330409002</t>
  </si>
  <si>
    <t>330409003</t>
  </si>
  <si>
    <t>330409004</t>
  </si>
  <si>
    <t>330409005</t>
  </si>
  <si>
    <t>330409006</t>
  </si>
  <si>
    <t>27.647,42 D</t>
  </si>
  <si>
    <t>1.605,27 D</t>
  </si>
  <si>
    <t>29.252,69 D</t>
  </si>
  <si>
    <t>330409007</t>
  </si>
  <si>
    <t>104.027,94 D</t>
  </si>
  <si>
    <t>1.146,36 D</t>
  </si>
  <si>
    <t>105.174,30 D</t>
  </si>
  <si>
    <t>330409008</t>
  </si>
  <si>
    <t>13.916,32 D</t>
  </si>
  <si>
    <t>715,03 D</t>
  </si>
  <si>
    <t>14.631,35 D</t>
  </si>
  <si>
    <t>330409009</t>
  </si>
  <si>
    <t>5.024,53 D</t>
  </si>
  <si>
    <t>99,00 D</t>
  </si>
  <si>
    <t>5.123,53 D</t>
  </si>
  <si>
    <t>330409010</t>
  </si>
  <si>
    <t>330409011</t>
  </si>
  <si>
    <t>403.546,83 D</t>
  </si>
  <si>
    <t>330409012</t>
  </si>
  <si>
    <t>21.616,01 D</t>
  </si>
  <si>
    <t>697,32 D</t>
  </si>
  <si>
    <t>22.313,33 D</t>
  </si>
  <si>
    <t>330409013</t>
  </si>
  <si>
    <t>330409014</t>
  </si>
  <si>
    <t>83,16 D</t>
  </si>
  <si>
    <t>330410</t>
  </si>
  <si>
    <t>MARKETING</t>
  </si>
  <si>
    <t>61.088,30 D</t>
  </si>
  <si>
    <t>330410001</t>
  </si>
  <si>
    <t>COMUNICACAO VISUAL</t>
  </si>
  <si>
    <t>330410002</t>
  </si>
  <si>
    <t>BRINDES</t>
  </si>
  <si>
    <t>330410003</t>
  </si>
  <si>
    <t>PROPAGANDA E MATERIAL INSTITUCIONAL</t>
  </si>
  <si>
    <t>330410004</t>
  </si>
  <si>
    <t>OUTROS GASTOS COM PROPAGANDA</t>
  </si>
  <si>
    <t>3305</t>
  </si>
  <si>
    <t>399.735,37 D</t>
  </si>
  <si>
    <t>41.450,69 D</t>
  </si>
  <si>
    <t>441.186,06 D</t>
  </si>
  <si>
    <t>330501</t>
  </si>
  <si>
    <t>330501001</t>
  </si>
  <si>
    <t>330501002</t>
  </si>
  <si>
    <t>52.856,85 D</t>
  </si>
  <si>
    <t>3.523,79 D</t>
  </si>
  <si>
    <t>56.380,64 D</t>
  </si>
  <si>
    <t>330501003</t>
  </si>
  <si>
    <t>330501004</t>
  </si>
  <si>
    <t>150.938,39 D</t>
  </si>
  <si>
    <t>10.282,27 D</t>
  </si>
  <si>
    <t>161.220,66 D</t>
  </si>
  <si>
    <t>330501005</t>
  </si>
  <si>
    <t>72.647,18 D</t>
  </si>
  <si>
    <t>5.512,80 D</t>
  </si>
  <si>
    <t>78.159,98 D</t>
  </si>
  <si>
    <t>330501006</t>
  </si>
  <si>
    <t>123.292,95 D</t>
  </si>
  <si>
    <t>22.131,83 D</t>
  </si>
  <si>
    <t>145.424,78 D</t>
  </si>
  <si>
    <t>330501007</t>
  </si>
  <si>
    <t>330501008</t>
  </si>
  <si>
    <t>330501009</t>
  </si>
  <si>
    <t>3307</t>
  </si>
  <si>
    <t>DESPESAS TRIBUTARIAS</t>
  </si>
  <si>
    <t>11.737.035,33 D</t>
  </si>
  <si>
    <t>40.560,34 D</t>
  </si>
  <si>
    <t>11.777.595,67 D</t>
  </si>
  <si>
    <t>330701</t>
  </si>
  <si>
    <t>330701001</t>
  </si>
  <si>
    <t>IMPOSTO IMPORTACAO</t>
  </si>
  <si>
    <t>330701002</t>
  </si>
  <si>
    <t>PIS OUTRAS RECEITAS E FINANCEIRAS</t>
  </si>
  <si>
    <t>330701003</t>
  </si>
  <si>
    <t>COFINS OUTRAS RECEITAS E FINANCEIRAS</t>
  </si>
  <si>
    <t>330701004</t>
  </si>
  <si>
    <t>ICMS</t>
  </si>
  <si>
    <t>53.016,59 D</t>
  </si>
  <si>
    <t>5.545,81 D</t>
  </si>
  <si>
    <t>58.562,40 D</t>
  </si>
  <si>
    <t>330701005</t>
  </si>
  <si>
    <t>ISS</t>
  </si>
  <si>
    <t>330701006</t>
  </si>
  <si>
    <t>IR - CONTRATO DE CAMBIO</t>
  </si>
  <si>
    <t>61.574,74 D</t>
  </si>
  <si>
    <t>330701007</t>
  </si>
  <si>
    <t>OUTROS IMPOSTOS E TAXAS</t>
  </si>
  <si>
    <t>8.477,93 D</t>
  </si>
  <si>
    <t>330701008</t>
  </si>
  <si>
    <t>ICMS DIF. DE ALIQUOTA</t>
  </si>
  <si>
    <t>896.755,00 D</t>
  </si>
  <si>
    <t>35.014,53 D</t>
  </si>
  <si>
    <t>931.769,53 D</t>
  </si>
  <si>
    <t>330701009</t>
  </si>
  <si>
    <t>IR - PJ</t>
  </si>
  <si>
    <t>7.821.255,99 D</t>
  </si>
  <si>
    <t>330701010</t>
  </si>
  <si>
    <t>CSLL</t>
  </si>
  <si>
    <t>2.895.955,08 D</t>
  </si>
  <si>
    <t>3318</t>
  </si>
  <si>
    <t>OUTRAS DESPESAS</t>
  </si>
  <si>
    <t>94.583,12 D</t>
  </si>
  <si>
    <t>331801</t>
  </si>
  <si>
    <t>GANHOS/PERDAS NA TRANSFERENCIA DE INV</t>
  </si>
  <si>
    <t>331801001</t>
  </si>
  <si>
    <t>GANHOS/PERDAS NA TRANSFERENCIA DE IN</t>
  </si>
  <si>
    <t>331802</t>
  </si>
  <si>
    <t>5.143,98 D</t>
  </si>
  <si>
    <t>331802001</t>
  </si>
  <si>
    <t>331803</t>
  </si>
  <si>
    <t>CUSTO DE BENS ALIENADOS/BAIXADOS</t>
  </si>
  <si>
    <t>89.439,14 D</t>
  </si>
  <si>
    <t>331803001</t>
  </si>
  <si>
    <t>PERDA NA ALIENACAO DE IMOBILIZADO</t>
  </si>
  <si>
    <t>331803002</t>
  </si>
  <si>
    <t>PERDA NA BAIXA DE ATIVOS IMOBILIZADO</t>
  </si>
  <si>
    <t>100.840,13 D</t>
  </si>
  <si>
    <t>331803003</t>
  </si>
  <si>
    <t>( - ) CUSTO/RECEITA NA BAIXA DE ATIV</t>
  </si>
  <si>
    <t>11.400,99 C</t>
  </si>
  <si>
    <t>331804</t>
  </si>
  <si>
    <t>RESULTADOS NA EQUIVALENCIA PATRIMONIA</t>
  </si>
  <si>
    <t>331804001</t>
  </si>
  <si>
    <t>EQUIVALENCIA PATRIMONIAL</t>
  </si>
  <si>
    <t>331804002</t>
  </si>
  <si>
    <t>PERDAS EQUIVALENCIA PATRIMONIAL-SCP</t>
  </si>
  <si>
    <t>3319</t>
  </si>
  <si>
    <t>36.285,86 C</t>
  </si>
  <si>
    <t>331901</t>
  </si>
  <si>
    <t>331901001</t>
  </si>
  <si>
    <t>2.591,61 C</t>
  </si>
  <si>
    <t>331901002</t>
  </si>
  <si>
    <t>33.694,25 C</t>
  </si>
  <si>
    <t>EBT1</t>
  </si>
  <si>
    <t>RESULTADO DA ATIVIDADE (EBT1=LB-DOP)</t>
  </si>
  <si>
    <t>16.094.907,75 C</t>
  </si>
  <si>
    <t>1.908.793,70 C</t>
  </si>
  <si>
    <t>18.003.701,45 C</t>
  </si>
  <si>
    <t>OT</t>
  </si>
  <si>
    <t>OUTRAS RECEITAS (DESPESA) OPERACIONAL</t>
  </si>
  <si>
    <t>4.232.980,77 C</t>
  </si>
  <si>
    <t>511.234,09 C</t>
  </si>
  <si>
    <t>4.744.214,86 C</t>
  </si>
  <si>
    <t>310901</t>
  </si>
  <si>
    <t>OUTRAS RECEITAS</t>
  </si>
  <si>
    <t>4.410.681,38 C</t>
  </si>
  <si>
    <t>518.954,36 C</t>
  </si>
  <si>
    <t>4.929.635,74 C</t>
  </si>
  <si>
    <t>310901001</t>
  </si>
  <si>
    <t>RESULTADO DE SINISTRO COM VEICULOS</t>
  </si>
  <si>
    <t>44.239,98 C</t>
  </si>
  <si>
    <t>310901002</t>
  </si>
  <si>
    <t>310901003</t>
  </si>
  <si>
    <t>DIVIDENDOS RECEBIDOS</t>
  </si>
  <si>
    <t>310901004</t>
  </si>
  <si>
    <t>RECUPERACAO DE CREDITOS</t>
  </si>
  <si>
    <t>3.889.426,69 C</t>
  </si>
  <si>
    <t>474.714,38 C</t>
  </si>
  <si>
    <t>4.364.141,07 C</t>
  </si>
  <si>
    <t>310901005</t>
  </si>
  <si>
    <t>RECEITA DE VENDA DE ATIVO</t>
  </si>
  <si>
    <t>512.214,69 C</t>
  </si>
  <si>
    <t>310901006</t>
  </si>
  <si>
    <t>VENDA DE OLEO USADO E/OU CONTAMINADO</t>
  </si>
  <si>
    <t>950,00 C</t>
  </si>
  <si>
    <t>310901007</t>
  </si>
  <si>
    <t>VENDA DE SUCATA/PNEUS</t>
  </si>
  <si>
    <t>8.090,00 C</t>
  </si>
  <si>
    <t>310901008</t>
  </si>
  <si>
    <t>380301</t>
  </si>
  <si>
    <t>DESPESAS INDEDUTIVEIS</t>
  </si>
  <si>
    <t>177.700,61 D</t>
  </si>
  <si>
    <t>7.720,27 D</t>
  </si>
  <si>
    <t>185.420,88 D</t>
  </si>
  <si>
    <t>380301001</t>
  </si>
  <si>
    <t>DESPESAS INABEIS</t>
  </si>
  <si>
    <t>81</t>
  </si>
  <si>
    <t>CONTAS TRANSITORIAS</t>
  </si>
  <si>
    <t>810101001</t>
  </si>
  <si>
    <t>CONTAS A DETALHAR</t>
  </si>
  <si>
    <t>810201001</t>
  </si>
  <si>
    <t>BALANCO DE ABERTURA</t>
  </si>
  <si>
    <t>EBT2</t>
  </si>
  <si>
    <t>RESULTADO OPERACIONAL (EBT2=EBT1-OT)</t>
  </si>
  <si>
    <t>20.327.888,52 C</t>
  </si>
  <si>
    <t>2.420.027,79 C</t>
  </si>
  <si>
    <t>22.747.916,31 C</t>
  </si>
  <si>
    <t>RF</t>
  </si>
  <si>
    <t>RESULTADO FINANCEIRO LIQUIDO (RF)</t>
  </si>
  <si>
    <t>1.357.829,85 C</t>
  </si>
  <si>
    <t>117.138,49 D</t>
  </si>
  <si>
    <t>1.240.691,36 C</t>
  </si>
  <si>
    <t>380101</t>
  </si>
  <si>
    <t>RECEITAS FINANCEIRAS</t>
  </si>
  <si>
    <t>5.153.397,90 C</t>
  </si>
  <si>
    <t>107.615,80 C</t>
  </si>
  <si>
    <t>5.261.013,70 C</t>
  </si>
  <si>
    <t>380101001</t>
  </si>
  <si>
    <t>JUROS RECEBIDOS</t>
  </si>
  <si>
    <t>370.818,99 C</t>
  </si>
  <si>
    <t>380101002</t>
  </si>
  <si>
    <t>DESCONTOS FINANCEIROS OBTIDOS</t>
  </si>
  <si>
    <t>99.805,09 C</t>
  </si>
  <si>
    <t>1.089,26 C</t>
  </si>
  <si>
    <t>100.894,35 C</t>
  </si>
  <si>
    <t>380101003</t>
  </si>
  <si>
    <t>VARIACAO CAMBIAL ATIVA</t>
  </si>
  <si>
    <t>4.029.979,72 C</t>
  </si>
  <si>
    <t>380101004</t>
  </si>
  <si>
    <t>RENDIMENTOS DE APLICACOES FINANCEIRAS</t>
  </si>
  <si>
    <t>652.765,03 C</t>
  </si>
  <si>
    <t>106.526,54 C</t>
  </si>
  <si>
    <t>759.291,57 C</t>
  </si>
  <si>
    <t>380101005</t>
  </si>
  <si>
    <t>OUTRAS RECEITAS FINANCEIRAS</t>
  </si>
  <si>
    <t>29,07 C</t>
  </si>
  <si>
    <t>380201</t>
  </si>
  <si>
    <t>DESPESAS FINANCEIRAS</t>
  </si>
  <si>
    <t>3.795.568,05 D</t>
  </si>
  <si>
    <t>224.754,29 D</t>
  </si>
  <si>
    <t>4.020.322,34 D</t>
  </si>
  <si>
    <t>380201001</t>
  </si>
  <si>
    <t>JUROS PASSIVOS</t>
  </si>
  <si>
    <t>818.118,17 D</t>
  </si>
  <si>
    <t>31.172,47 D</t>
  </si>
  <si>
    <t>849.290,64 D</t>
  </si>
  <si>
    <t>380201002</t>
  </si>
  <si>
    <t>JUROS FINAME</t>
  </si>
  <si>
    <t>100.243,59 D</t>
  </si>
  <si>
    <t>8.037,20 D</t>
  </si>
  <si>
    <t>108.280,79 D</t>
  </si>
  <si>
    <t>380201003</t>
  </si>
  <si>
    <t>JUROS CDC</t>
  </si>
  <si>
    <t>1.964.529,36 D</t>
  </si>
  <si>
    <t>140.492,19 D</t>
  </si>
  <si>
    <t>2.105.021,55 D</t>
  </si>
  <si>
    <t>380201004</t>
  </si>
  <si>
    <t>JUROS LEASING</t>
  </si>
  <si>
    <t>380201005</t>
  </si>
  <si>
    <t>JUROS CAPITAL DE GIRO E CHEQUE ESPECI</t>
  </si>
  <si>
    <t>288,09 D</t>
  </si>
  <si>
    <t>380201006</t>
  </si>
  <si>
    <t>VARIACAO CAMBIAL PASSIVA</t>
  </si>
  <si>
    <t>699.675,49 D</t>
  </si>
  <si>
    <t>380201007</t>
  </si>
  <si>
    <t>TAXAS E DESESAS BANCARIAS</t>
  </si>
  <si>
    <t>78.051,58 D</t>
  </si>
  <si>
    <t>33.982,55 D</t>
  </si>
  <si>
    <t>112.034,13 D</t>
  </si>
  <si>
    <t>380201008</t>
  </si>
  <si>
    <t>DESCONTOS CONCEDIDOS</t>
  </si>
  <si>
    <t>22.168,38 D</t>
  </si>
  <si>
    <t>380201009</t>
  </si>
  <si>
    <t>IOF</t>
  </si>
  <si>
    <t>388,84 D</t>
  </si>
  <si>
    <t>380201010</t>
  </si>
  <si>
    <t>MULTAS</t>
  </si>
  <si>
    <t>112.104,55 D</t>
  </si>
  <si>
    <t>11.069,88 D</t>
  </si>
  <si>
    <t>123.174,43 D</t>
  </si>
  <si>
    <t>380201011</t>
  </si>
  <si>
    <t>IR - PESSOA JURIDICA</t>
  </si>
  <si>
    <t>380201012</t>
  </si>
  <si>
    <t>LAIR</t>
  </si>
  <si>
    <t>LUCRO ANTES DO IR E CSLL (LAIR=EBT2+RF)</t>
  </si>
  <si>
    <t>21.685.718,37 C</t>
  </si>
  <si>
    <t>2.302.889,30 C</t>
  </si>
  <si>
    <t>23.988.607,67 C</t>
  </si>
  <si>
    <t>TAX</t>
  </si>
  <si>
    <t>IR E CSLL (TAX)</t>
  </si>
  <si>
    <t>910101</t>
  </si>
  <si>
    <t>910101001</t>
  </si>
  <si>
    <t>IMPOSTO DE RENDA</t>
  </si>
  <si>
    <t>910101002</t>
  </si>
  <si>
    <t>CONTRIBUICAO SOCIAL</t>
  </si>
  <si>
    <t>LL</t>
  </si>
  <si>
    <t>LUCRO LIQUIDO (LL=LAIR-TAX)</t>
  </si>
  <si>
    <t>Saldo Mês</t>
  </si>
  <si>
    <t>BI</t>
  </si>
  <si>
    <t>OK</t>
  </si>
  <si>
    <t>É possível puxar as contas 0?</t>
  </si>
  <si>
    <t>Observações</t>
  </si>
  <si>
    <t>Ordenar as contas de acordo com os códigos</t>
  </si>
  <si>
    <t>CUSTOS DAS VENDAS</t>
  </si>
  <si>
    <t>RESULTADO OPERACIONAL BRUTO</t>
  </si>
  <si>
    <t>CRIAR VARIÁVEIS</t>
  </si>
  <si>
    <t>DESPESAS FINANCEIRAS LÍQUIDAS</t>
  </si>
  <si>
    <t>DESPESAS INÁBEIS</t>
  </si>
  <si>
    <t>CRIAR MÉTRICA - ok</t>
  </si>
  <si>
    <t>CRIAR VARIÁVEIS - ok</t>
  </si>
  <si>
    <t>CRIAR VARIÁVEIS DESPESAS - ok</t>
  </si>
  <si>
    <t>RESULTADO LÍQUIDO DO EXERCÍCIO</t>
  </si>
  <si>
    <t>criar EBT2+RF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</si>
</sst>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9"/>
      <name val="Courier New"/>
      <family val="2"/>
    </font>
    <font>
      <sz val="10"/>
      <color indexed="8"/>
      <name val="Courier New"/>
      <family val="2"/>
    </font>
    <font>
      <sz val="11"/>
      <color theme="1"/>
      <name val="Calibri"/>
      <family val="2"/>
      <scheme val="minor"/>
    </font>
    <font>
      <sz val="9"/>
      <color indexed="8"/>
      <name val="Courier New"/>
      <family val="2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  <border>
      <left/>
      <right style="thin">
        <color rgb="FF4F81BD"/>
      </right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0" fillId="0" borderId="0" xfId="0" applyFont="1"/>
    <xf numFmtId="0" fontId="2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/>
    <xf numFmtId="4" fontId="0" fillId="0" borderId="0" xfId="0" applyNumberFormat="1"/>
    <xf numFmtId="44" fontId="0" fillId="0" borderId="0" xfId="1" applyFont="1"/>
    <xf numFmtId="4" fontId="0" fillId="0" borderId="0" xfId="0" applyNumberFormat="1" applyAlignment="1">
      <alignment horizontal="center"/>
    </xf>
    <xf numFmtId="4" fontId="5" fillId="3" borderId="2" xfId="0" applyNumberFormat="1" applyFont="1" applyFill="1" applyBorder="1" applyAlignment="1">
      <alignment horizontal="left"/>
    </xf>
    <xf numFmtId="4" fontId="5" fillId="4" borderId="3" xfId="0" applyNumberFormat="1" applyFont="1" applyFill="1" applyBorder="1" applyAlignment="1">
      <alignment horizontal="left"/>
    </xf>
    <xf numFmtId="4" fontId="6" fillId="5" borderId="0" xfId="0" applyNumberFormat="1" applyFont="1" applyFill="1"/>
    <xf numFmtId="0" fontId="7" fillId="0" borderId="0" xfId="0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407"/>
  <sheetViews>
    <sheetView showGridLines="0" tabSelected="1" topLeftCell="H1" zoomScaleNormal="100" workbookViewId="0">
      <pane ySplit="1" topLeftCell="A2" activePane="bottomLeft" state="frozen"/>
      <selection pane="bottomLeft" activeCell="J396" sqref="J396"/>
    </sheetView>
  </sheetViews>
  <sheetFormatPr defaultRowHeight="15" outlineLevelRow="3" outlineLevelCol="1" x14ac:dyDescent="0.25"/>
  <cols>
    <col min="1" max="1" width="11.28515625" bestFit="1" customWidth="1"/>
    <col min="2" max="2" width="48" bestFit="1" customWidth="1" collapsed="1"/>
    <col min="3" max="3" width="19.5703125" hidden="1" customWidth="1" outlineLevel="1"/>
    <col min="4" max="4" width="14.85546875" hidden="1" customWidth="1"/>
    <col min="5" max="5" width="16" hidden="1" customWidth="1" collapsed="1"/>
    <col min="6" max="6" width="18.42578125" hidden="1" customWidth="1" outlineLevel="1"/>
    <col min="7" max="7" width="19.5703125" hidden="1" customWidth="1" outlineLevel="1"/>
    <col min="8" max="8" width="24.85546875" customWidth="1"/>
    <col min="9" max="9" width="26.7109375" style="6" customWidth="1"/>
    <col min="10" max="10" width="11.7109375" bestFit="1" customWidth="1"/>
    <col min="14" max="14" width="51.28515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1288</v>
      </c>
      <c r="I1" s="5" t="s">
        <v>1289</v>
      </c>
      <c r="N1" s="8" t="s">
        <v>1292</v>
      </c>
    </row>
    <row r="2" spans="1:14" ht="15.75" collapsed="1" x14ac:dyDescent="0.25">
      <c r="A2" s="2" t="s">
        <v>7</v>
      </c>
      <c r="B2" s="2" t="s">
        <v>8</v>
      </c>
      <c r="C2" s="2" t="s">
        <v>9</v>
      </c>
      <c r="D2" s="12">
        <v>0</v>
      </c>
      <c r="E2" s="12">
        <v>10721703.779999999</v>
      </c>
      <c r="F2" s="2" t="s">
        <v>10</v>
      </c>
      <c r="G2" s="2" t="s">
        <v>11</v>
      </c>
      <c r="H2" s="14">
        <f>E2-D2</f>
        <v>10721703.779999999</v>
      </c>
      <c r="I2" s="6" t="s">
        <v>1290</v>
      </c>
      <c r="M2">
        <v>1</v>
      </c>
      <c r="N2" t="s">
        <v>1291</v>
      </c>
    </row>
    <row r="3" spans="1:14" ht="15.75" hidden="1" outlineLevel="1" collapsed="1" x14ac:dyDescent="0.25">
      <c r="A3" s="3" t="s">
        <v>12</v>
      </c>
      <c r="B3" s="3" t="s">
        <v>13</v>
      </c>
      <c r="C3" s="3" t="s">
        <v>14</v>
      </c>
      <c r="D3" s="13">
        <v>0</v>
      </c>
      <c r="E3" s="13">
        <v>817913.21</v>
      </c>
      <c r="F3" s="3" t="s">
        <v>15</v>
      </c>
      <c r="G3" s="3" t="s">
        <v>16</v>
      </c>
      <c r="H3" s="14">
        <f t="shared" ref="H3:H66" si="0">E3-D3</f>
        <v>817913.21</v>
      </c>
      <c r="I3" s="6" t="s">
        <v>1290</v>
      </c>
      <c r="M3">
        <v>2</v>
      </c>
      <c r="N3" t="s">
        <v>1293</v>
      </c>
    </row>
    <row r="4" spans="1:14" s="4" customFormat="1" ht="15.75" hidden="1" outlineLevel="2" x14ac:dyDescent="0.25">
      <c r="A4" s="2" t="s">
        <v>17</v>
      </c>
      <c r="B4" s="2" t="s">
        <v>18</v>
      </c>
      <c r="C4" s="2" t="s">
        <v>19</v>
      </c>
      <c r="D4" s="12">
        <v>0</v>
      </c>
      <c r="E4" s="12">
        <v>754817.19</v>
      </c>
      <c r="F4" s="2" t="s">
        <v>20</v>
      </c>
      <c r="G4" s="2" t="s">
        <v>21</v>
      </c>
      <c r="H4" s="14">
        <f t="shared" si="0"/>
        <v>754817.19</v>
      </c>
      <c r="I4" s="7"/>
    </row>
    <row r="5" spans="1:14" s="4" customFormat="1" ht="15.75" hidden="1" outlineLevel="2" x14ac:dyDescent="0.25">
      <c r="A5" s="3" t="s">
        <v>22</v>
      </c>
      <c r="B5" s="3" t="s">
        <v>23</v>
      </c>
      <c r="C5" s="3" t="s">
        <v>24</v>
      </c>
      <c r="D5" s="13">
        <v>0</v>
      </c>
      <c r="E5" s="13">
        <v>63096.02</v>
      </c>
      <c r="F5" s="3" t="s">
        <v>25</v>
      </c>
      <c r="G5" s="3" t="s">
        <v>26</v>
      </c>
      <c r="H5" s="14">
        <f t="shared" si="0"/>
        <v>63096.02</v>
      </c>
      <c r="I5" s="7"/>
    </row>
    <row r="6" spans="1:14" ht="15.75" hidden="1" outlineLevel="1" collapsed="1" x14ac:dyDescent="0.25">
      <c r="A6" s="2" t="s">
        <v>27</v>
      </c>
      <c r="B6" s="2" t="s">
        <v>28</v>
      </c>
      <c r="C6" s="2" t="s">
        <v>29</v>
      </c>
      <c r="D6" s="12">
        <v>0</v>
      </c>
      <c r="E6" s="12">
        <v>9903790.5700000003</v>
      </c>
      <c r="F6" s="2" t="s">
        <v>30</v>
      </c>
      <c r="G6" s="2" t="s">
        <v>31</v>
      </c>
      <c r="H6" s="14">
        <f t="shared" si="0"/>
        <v>9903790.5700000003</v>
      </c>
      <c r="I6" s="6" t="s">
        <v>1290</v>
      </c>
    </row>
    <row r="7" spans="1:14" ht="15.75" hidden="1" outlineLevel="2" x14ac:dyDescent="0.25">
      <c r="A7" s="3" t="s">
        <v>32</v>
      </c>
      <c r="B7" s="3" t="s">
        <v>33</v>
      </c>
      <c r="C7" s="3" t="s">
        <v>34</v>
      </c>
      <c r="D7" s="13">
        <v>0</v>
      </c>
      <c r="E7" s="13">
        <v>9802410.5700000003</v>
      </c>
      <c r="F7" s="3" t="s">
        <v>35</v>
      </c>
      <c r="G7" s="3" t="s">
        <v>36</v>
      </c>
      <c r="H7" s="14">
        <f t="shared" si="0"/>
        <v>9802410.5700000003</v>
      </c>
    </row>
    <row r="8" spans="1:14" ht="15.75" hidden="1" outlineLevel="2" x14ac:dyDescent="0.25">
      <c r="A8" s="2" t="s">
        <v>37</v>
      </c>
      <c r="B8" s="2" t="s">
        <v>38</v>
      </c>
      <c r="C8" s="2" t="s">
        <v>39</v>
      </c>
      <c r="D8" s="12">
        <v>0</v>
      </c>
      <c r="E8" s="12">
        <v>0</v>
      </c>
      <c r="F8" s="2" t="s">
        <v>40</v>
      </c>
      <c r="G8" s="2" t="s">
        <v>39</v>
      </c>
      <c r="H8" s="14">
        <f t="shared" si="0"/>
        <v>0</v>
      </c>
    </row>
    <row r="9" spans="1:14" ht="15.75" hidden="1" outlineLevel="2" x14ac:dyDescent="0.25">
      <c r="A9" s="3" t="s">
        <v>41</v>
      </c>
      <c r="B9" s="3" t="s">
        <v>42</v>
      </c>
      <c r="C9" s="3" t="s">
        <v>43</v>
      </c>
      <c r="D9" s="13">
        <v>0</v>
      </c>
      <c r="E9" s="13">
        <v>101380</v>
      </c>
      <c r="F9" s="3" t="s">
        <v>44</v>
      </c>
      <c r="G9" s="3" t="s">
        <v>45</v>
      </c>
      <c r="H9" s="14">
        <f t="shared" si="0"/>
        <v>101380</v>
      </c>
    </row>
    <row r="10" spans="1:14" ht="15.75" collapsed="1" x14ac:dyDescent="0.25">
      <c r="A10" s="2" t="s">
        <v>46</v>
      </c>
      <c r="B10" s="2" t="s">
        <v>47</v>
      </c>
      <c r="C10" s="2" t="s">
        <v>48</v>
      </c>
      <c r="D10" s="12">
        <v>1704353.69</v>
      </c>
      <c r="E10" s="12">
        <v>0</v>
      </c>
      <c r="F10" s="2" t="s">
        <v>49</v>
      </c>
      <c r="G10" s="2" t="s">
        <v>50</v>
      </c>
      <c r="H10" s="14">
        <f t="shared" si="0"/>
        <v>-1704353.69</v>
      </c>
      <c r="I10" s="6" t="s">
        <v>1290</v>
      </c>
    </row>
    <row r="11" spans="1:14" ht="15.75" hidden="1" outlineLevel="1" collapsed="1" x14ac:dyDescent="0.25">
      <c r="A11" s="3" t="s">
        <v>51</v>
      </c>
      <c r="B11" s="3" t="s">
        <v>52</v>
      </c>
      <c r="C11" s="3" t="s">
        <v>48</v>
      </c>
      <c r="D11" s="13">
        <v>1704353.69</v>
      </c>
      <c r="E11" s="13">
        <v>0</v>
      </c>
      <c r="F11" s="3" t="s">
        <v>49</v>
      </c>
      <c r="G11" s="3" t="s">
        <v>50</v>
      </c>
      <c r="H11" s="14">
        <f t="shared" si="0"/>
        <v>-1704353.69</v>
      </c>
      <c r="I11" s="6" t="s">
        <v>1290</v>
      </c>
    </row>
    <row r="12" spans="1:14" ht="15.75" hidden="1" outlineLevel="2" x14ac:dyDescent="0.25">
      <c r="A12" s="2" t="s">
        <v>53</v>
      </c>
      <c r="B12" s="2" t="s">
        <v>54</v>
      </c>
      <c r="C12" s="2" t="s">
        <v>55</v>
      </c>
      <c r="D12" s="12">
        <v>83784.92</v>
      </c>
      <c r="E12" s="12">
        <v>0</v>
      </c>
      <c r="F12" s="2" t="s">
        <v>56</v>
      </c>
      <c r="G12" s="2" t="s">
        <v>57</v>
      </c>
      <c r="H12" s="14">
        <f t="shared" si="0"/>
        <v>-83784.92</v>
      </c>
      <c r="I12" s="6" t="s">
        <v>1290</v>
      </c>
    </row>
    <row r="13" spans="1:14" ht="15.75" hidden="1" outlineLevel="2" x14ac:dyDescent="0.25">
      <c r="A13" s="3" t="s">
        <v>58</v>
      </c>
      <c r="B13" s="3" t="s">
        <v>59</v>
      </c>
      <c r="C13" s="3" t="s">
        <v>60</v>
      </c>
      <c r="D13" s="13">
        <v>482429.05</v>
      </c>
      <c r="E13" s="13">
        <v>0</v>
      </c>
      <c r="F13" s="3" t="s">
        <v>61</v>
      </c>
      <c r="G13" s="3" t="s">
        <v>62</v>
      </c>
      <c r="H13" s="14">
        <f t="shared" si="0"/>
        <v>-482429.05</v>
      </c>
      <c r="I13" s="6" t="s">
        <v>1290</v>
      </c>
    </row>
    <row r="14" spans="1:14" ht="15.75" hidden="1" outlineLevel="2" x14ac:dyDescent="0.25">
      <c r="A14" s="2" t="s">
        <v>63</v>
      </c>
      <c r="B14" s="2" t="s">
        <v>64</v>
      </c>
      <c r="C14" s="2" t="s">
        <v>65</v>
      </c>
      <c r="D14" s="12">
        <v>174482.22</v>
      </c>
      <c r="E14" s="12">
        <v>0</v>
      </c>
      <c r="F14" s="2" t="s">
        <v>66</v>
      </c>
      <c r="G14" s="2" t="s">
        <v>67</v>
      </c>
      <c r="H14" s="14">
        <f t="shared" si="0"/>
        <v>-174482.22</v>
      </c>
      <c r="I14" s="6" t="s">
        <v>1290</v>
      </c>
    </row>
    <row r="15" spans="1:14" ht="15.75" hidden="1" outlineLevel="2" x14ac:dyDescent="0.25">
      <c r="A15" s="3" t="s">
        <v>68</v>
      </c>
      <c r="B15" s="3" t="s">
        <v>69</v>
      </c>
      <c r="C15" s="3" t="s">
        <v>70</v>
      </c>
      <c r="D15" s="13">
        <v>803677.92</v>
      </c>
      <c r="E15" s="13">
        <v>0</v>
      </c>
      <c r="F15" s="3" t="s">
        <v>71</v>
      </c>
      <c r="G15" s="3" t="s">
        <v>72</v>
      </c>
      <c r="H15" s="14">
        <f t="shared" si="0"/>
        <v>-803677.92</v>
      </c>
      <c r="I15" s="6" t="s">
        <v>1290</v>
      </c>
    </row>
    <row r="16" spans="1:14" ht="15.75" hidden="1" outlineLevel="2" x14ac:dyDescent="0.25">
      <c r="A16" s="2" t="s">
        <v>73</v>
      </c>
      <c r="B16" s="2" t="s">
        <v>74</v>
      </c>
      <c r="C16" s="2" t="s">
        <v>75</v>
      </c>
      <c r="D16" s="12">
        <v>0</v>
      </c>
      <c r="E16" s="12">
        <v>0</v>
      </c>
      <c r="F16" s="2" t="s">
        <v>40</v>
      </c>
      <c r="G16" s="2" t="s">
        <v>75</v>
      </c>
      <c r="H16" s="14">
        <f t="shared" si="0"/>
        <v>0</v>
      </c>
    </row>
    <row r="17" spans="1:10" ht="15.75" hidden="1" outlineLevel="2" x14ac:dyDescent="0.25">
      <c r="A17" s="3" t="s">
        <v>76</v>
      </c>
      <c r="B17" s="3" t="s">
        <v>77</v>
      </c>
      <c r="C17" s="3" t="s">
        <v>40</v>
      </c>
      <c r="D17" s="13">
        <v>0</v>
      </c>
      <c r="E17" s="13">
        <v>0</v>
      </c>
      <c r="F17" s="3" t="s">
        <v>40</v>
      </c>
      <c r="G17" s="3" t="s">
        <v>40</v>
      </c>
      <c r="H17" s="14">
        <f t="shared" si="0"/>
        <v>0</v>
      </c>
    </row>
    <row r="18" spans="1:10" ht="15.75" hidden="1" outlineLevel="2" x14ac:dyDescent="0.25">
      <c r="A18" s="2" t="s">
        <v>78</v>
      </c>
      <c r="B18" s="2" t="s">
        <v>79</v>
      </c>
      <c r="C18" s="2" t="s">
        <v>80</v>
      </c>
      <c r="D18" s="12">
        <v>159979.57999999999</v>
      </c>
      <c r="E18" s="12">
        <v>0</v>
      </c>
      <c r="F18" s="2" t="s">
        <v>81</v>
      </c>
      <c r="G18" s="2" t="s">
        <v>82</v>
      </c>
      <c r="H18" s="14">
        <f t="shared" si="0"/>
        <v>-159979.57999999999</v>
      </c>
      <c r="I18" s="6" t="s">
        <v>1290</v>
      </c>
    </row>
    <row r="19" spans="1:10" ht="15.75" x14ac:dyDescent="0.25">
      <c r="A19" s="3" t="s">
        <v>83</v>
      </c>
      <c r="B19" s="3" t="s">
        <v>84</v>
      </c>
      <c r="C19" s="3" t="s">
        <v>85</v>
      </c>
      <c r="D19" s="13">
        <v>1704353.69</v>
      </c>
      <c r="E19" s="13">
        <v>10721703.779999999</v>
      </c>
      <c r="F19" s="3" t="s">
        <v>86</v>
      </c>
      <c r="G19" s="3" t="s">
        <v>87</v>
      </c>
      <c r="H19" s="14">
        <f t="shared" si="0"/>
        <v>9017350.0899999999</v>
      </c>
      <c r="I19" s="6" t="s">
        <v>1290</v>
      </c>
    </row>
    <row r="20" spans="1:10" ht="15.75" collapsed="1" x14ac:dyDescent="0.25">
      <c r="A20" s="2" t="s">
        <v>88</v>
      </c>
      <c r="B20" s="2" t="s">
        <v>89</v>
      </c>
      <c r="C20" s="2" t="s">
        <v>90</v>
      </c>
      <c r="D20" s="12">
        <v>0</v>
      </c>
      <c r="E20" s="12">
        <v>0</v>
      </c>
      <c r="F20" s="2" t="s">
        <v>40</v>
      </c>
      <c r="G20" s="2" t="s">
        <v>90</v>
      </c>
      <c r="H20" s="14">
        <f t="shared" si="0"/>
        <v>0</v>
      </c>
      <c r="I20" s="6" t="s">
        <v>1300</v>
      </c>
    </row>
    <row r="21" spans="1:10" ht="15.75" hidden="1" outlineLevel="1" collapsed="1" x14ac:dyDescent="0.25">
      <c r="A21" s="3" t="s">
        <v>91</v>
      </c>
      <c r="B21" s="3" t="s">
        <v>92</v>
      </c>
      <c r="C21" s="3" t="s">
        <v>90</v>
      </c>
      <c r="D21" s="13">
        <v>0</v>
      </c>
      <c r="E21" s="13">
        <v>0</v>
      </c>
      <c r="F21" s="3" t="s">
        <v>40</v>
      </c>
      <c r="G21" s="3" t="s">
        <v>90</v>
      </c>
      <c r="H21" s="14">
        <f t="shared" si="0"/>
        <v>0</v>
      </c>
    </row>
    <row r="22" spans="1:10" ht="15.75" hidden="1" outlineLevel="1" x14ac:dyDescent="0.25">
      <c r="A22" s="2" t="s">
        <v>93</v>
      </c>
      <c r="B22" s="2" t="s">
        <v>94</v>
      </c>
      <c r="C22" s="2" t="s">
        <v>90</v>
      </c>
      <c r="D22" s="12">
        <v>0</v>
      </c>
      <c r="E22" s="12">
        <v>0</v>
      </c>
      <c r="F22" s="2" t="s">
        <v>40</v>
      </c>
      <c r="G22" s="2" t="s">
        <v>90</v>
      </c>
      <c r="H22" s="14">
        <f t="shared" si="0"/>
        <v>0</v>
      </c>
    </row>
    <row r="23" spans="1:10" ht="15.75" collapsed="1" x14ac:dyDescent="0.25">
      <c r="A23" s="3" t="s">
        <v>95</v>
      </c>
      <c r="B23" s="3" t="s">
        <v>96</v>
      </c>
      <c r="C23" s="3" t="s">
        <v>97</v>
      </c>
      <c r="D23" s="13">
        <v>6888694.7699999996</v>
      </c>
      <c r="E23" s="13">
        <v>569329.89</v>
      </c>
      <c r="F23" s="3" t="s">
        <v>98</v>
      </c>
      <c r="G23" s="3" t="s">
        <v>99</v>
      </c>
      <c r="H23" s="14">
        <f t="shared" si="0"/>
        <v>-6319364.8799999999</v>
      </c>
      <c r="I23" s="6" t="s">
        <v>1290</v>
      </c>
      <c r="J23" t="s">
        <v>1294</v>
      </c>
    </row>
    <row r="24" spans="1:10" ht="15.75" hidden="1" outlineLevel="1" x14ac:dyDescent="0.25">
      <c r="A24" s="2" t="s">
        <v>100</v>
      </c>
      <c r="B24" s="2" t="s">
        <v>101</v>
      </c>
      <c r="C24" s="2" t="s">
        <v>102</v>
      </c>
      <c r="D24" s="12">
        <v>2483881.31</v>
      </c>
      <c r="E24" s="12">
        <v>162896.25</v>
      </c>
      <c r="F24" s="2" t="s">
        <v>103</v>
      </c>
      <c r="G24" s="2" t="s">
        <v>104</v>
      </c>
      <c r="H24" s="14">
        <f t="shared" si="0"/>
        <v>-2320985.06</v>
      </c>
    </row>
    <row r="25" spans="1:10" ht="15.75" hidden="1" outlineLevel="2" collapsed="1" x14ac:dyDescent="0.25">
      <c r="A25" s="3" t="s">
        <v>105</v>
      </c>
      <c r="B25" s="3" t="s">
        <v>106</v>
      </c>
      <c r="C25" s="3" t="s">
        <v>107</v>
      </c>
      <c r="D25" s="13">
        <v>1640341.66</v>
      </c>
      <c r="E25" s="13">
        <v>30278.49</v>
      </c>
      <c r="F25" s="3" t="s">
        <v>108</v>
      </c>
      <c r="G25" s="3" t="s">
        <v>109</v>
      </c>
      <c r="H25" s="14">
        <f t="shared" si="0"/>
        <v>-1610063.17</v>
      </c>
    </row>
    <row r="26" spans="1:10" ht="15.75" hidden="1" outlineLevel="3" x14ac:dyDescent="0.25">
      <c r="A26" s="2" t="s">
        <v>110</v>
      </c>
      <c r="B26" s="2" t="s">
        <v>111</v>
      </c>
      <c r="C26" s="2" t="s">
        <v>112</v>
      </c>
      <c r="D26" s="12">
        <v>864903.47</v>
      </c>
      <c r="E26" s="12">
        <v>20582.22</v>
      </c>
      <c r="F26" s="2" t="s">
        <v>113</v>
      </c>
      <c r="G26" s="2" t="s">
        <v>114</v>
      </c>
      <c r="H26" s="14">
        <f t="shared" si="0"/>
        <v>-844321.25</v>
      </c>
    </row>
    <row r="27" spans="1:10" ht="15.75" hidden="1" outlineLevel="3" x14ac:dyDescent="0.25">
      <c r="A27" s="3" t="s">
        <v>115</v>
      </c>
      <c r="B27" s="3" t="s">
        <v>116</v>
      </c>
      <c r="C27" s="3" t="s">
        <v>117</v>
      </c>
      <c r="D27" s="13">
        <v>2075</v>
      </c>
      <c r="E27" s="13">
        <v>0</v>
      </c>
      <c r="F27" s="3" t="s">
        <v>118</v>
      </c>
      <c r="G27" s="3" t="s">
        <v>119</v>
      </c>
      <c r="H27" s="14">
        <f t="shared" si="0"/>
        <v>-2075</v>
      </c>
    </row>
    <row r="28" spans="1:10" ht="15.75" hidden="1" outlineLevel="3" x14ac:dyDescent="0.25">
      <c r="A28" s="2" t="s">
        <v>120</v>
      </c>
      <c r="B28" s="2" t="s">
        <v>121</v>
      </c>
      <c r="C28" s="2" t="s">
        <v>122</v>
      </c>
      <c r="D28" s="12">
        <v>20655</v>
      </c>
      <c r="E28" s="12">
        <v>0</v>
      </c>
      <c r="F28" s="2" t="s">
        <v>123</v>
      </c>
      <c r="G28" s="2" t="s">
        <v>124</v>
      </c>
      <c r="H28" s="14">
        <f t="shared" si="0"/>
        <v>-20655</v>
      </c>
    </row>
    <row r="29" spans="1:10" ht="15.75" hidden="1" outlineLevel="3" x14ac:dyDescent="0.25">
      <c r="A29" s="3" t="s">
        <v>125</v>
      </c>
      <c r="B29" s="3" t="s">
        <v>126</v>
      </c>
      <c r="C29" s="3" t="s">
        <v>127</v>
      </c>
      <c r="D29" s="13">
        <v>34528.75</v>
      </c>
      <c r="E29" s="13">
        <v>0</v>
      </c>
      <c r="F29" s="3" t="s">
        <v>128</v>
      </c>
      <c r="G29" s="3" t="s">
        <v>129</v>
      </c>
      <c r="H29" s="14">
        <f t="shared" si="0"/>
        <v>-34528.75</v>
      </c>
    </row>
    <row r="30" spans="1:10" ht="15.75" hidden="1" outlineLevel="3" x14ac:dyDescent="0.25">
      <c r="A30" s="2" t="s">
        <v>130</v>
      </c>
      <c r="B30" s="2" t="s">
        <v>131</v>
      </c>
      <c r="C30" s="2" t="s">
        <v>132</v>
      </c>
      <c r="D30" s="12">
        <v>243642.79</v>
      </c>
      <c r="E30" s="12">
        <v>0</v>
      </c>
      <c r="F30" s="2" t="s">
        <v>133</v>
      </c>
      <c r="G30" s="2" t="s">
        <v>134</v>
      </c>
      <c r="H30" s="14">
        <f t="shared" si="0"/>
        <v>-243642.79</v>
      </c>
    </row>
    <row r="31" spans="1:10" ht="15.75" hidden="1" outlineLevel="3" x14ac:dyDescent="0.25">
      <c r="A31" s="3" t="s">
        <v>135</v>
      </c>
      <c r="B31" s="3" t="s">
        <v>136</v>
      </c>
      <c r="C31" s="3" t="s">
        <v>137</v>
      </c>
      <c r="D31" s="13">
        <v>2434.6799999999998</v>
      </c>
      <c r="E31" s="13">
        <v>0</v>
      </c>
      <c r="F31" s="3" t="s">
        <v>138</v>
      </c>
      <c r="G31" s="3" t="s">
        <v>139</v>
      </c>
      <c r="H31" s="14">
        <f t="shared" si="0"/>
        <v>-2434.6799999999998</v>
      </c>
    </row>
    <row r="32" spans="1:10" ht="15.75" hidden="1" outlineLevel="3" x14ac:dyDescent="0.25">
      <c r="A32" s="2" t="s">
        <v>140</v>
      </c>
      <c r="B32" s="2" t="s">
        <v>141</v>
      </c>
      <c r="C32" s="2" t="s">
        <v>142</v>
      </c>
      <c r="D32" s="12">
        <v>1939.2</v>
      </c>
      <c r="E32" s="12">
        <v>0</v>
      </c>
      <c r="F32" s="2" t="s">
        <v>143</v>
      </c>
      <c r="G32" s="2" t="s">
        <v>144</v>
      </c>
      <c r="H32" s="14">
        <f t="shared" si="0"/>
        <v>-1939.2</v>
      </c>
    </row>
    <row r="33" spans="1:8" ht="15.75" hidden="1" outlineLevel="3" x14ac:dyDescent="0.25">
      <c r="A33" s="3" t="s">
        <v>145</v>
      </c>
      <c r="B33" s="3" t="s">
        <v>146</v>
      </c>
      <c r="C33" s="3" t="s">
        <v>147</v>
      </c>
      <c r="D33" s="13">
        <v>1656.67</v>
      </c>
      <c r="E33" s="13">
        <v>0</v>
      </c>
      <c r="F33" s="3" t="s">
        <v>148</v>
      </c>
      <c r="G33" s="3" t="s">
        <v>149</v>
      </c>
      <c r="H33" s="14">
        <f t="shared" si="0"/>
        <v>-1656.67</v>
      </c>
    </row>
    <row r="34" spans="1:8" ht="15.75" hidden="1" outlineLevel="3" x14ac:dyDescent="0.25">
      <c r="A34" s="2" t="s">
        <v>150</v>
      </c>
      <c r="B34" s="2" t="s">
        <v>151</v>
      </c>
      <c r="C34" s="2" t="s">
        <v>152</v>
      </c>
      <c r="D34" s="12">
        <v>11659.37</v>
      </c>
      <c r="E34" s="12">
        <v>0</v>
      </c>
      <c r="F34" s="2" t="s">
        <v>153</v>
      </c>
      <c r="G34" s="2" t="s">
        <v>154</v>
      </c>
      <c r="H34" s="14">
        <f t="shared" si="0"/>
        <v>-11659.37</v>
      </c>
    </row>
    <row r="35" spans="1:8" ht="15.75" hidden="1" outlineLevel="3" x14ac:dyDescent="0.25">
      <c r="A35" s="3" t="s">
        <v>155</v>
      </c>
      <c r="B35" s="3" t="s">
        <v>156</v>
      </c>
      <c r="C35" s="3" t="s">
        <v>157</v>
      </c>
      <c r="D35" s="13">
        <v>82218.070000000007</v>
      </c>
      <c r="E35" s="13">
        <v>0</v>
      </c>
      <c r="F35" s="3" t="s">
        <v>158</v>
      </c>
      <c r="G35" s="3" t="s">
        <v>159</v>
      </c>
      <c r="H35" s="14">
        <f t="shared" si="0"/>
        <v>-82218.070000000007</v>
      </c>
    </row>
    <row r="36" spans="1:8" ht="15.75" hidden="1" outlineLevel="3" x14ac:dyDescent="0.25">
      <c r="A36" s="2" t="s">
        <v>160</v>
      </c>
      <c r="B36" s="2" t="s">
        <v>161</v>
      </c>
      <c r="C36" s="2" t="s">
        <v>162</v>
      </c>
      <c r="D36" s="12">
        <v>166582.53</v>
      </c>
      <c r="E36" s="12">
        <v>0</v>
      </c>
      <c r="F36" s="2" t="s">
        <v>163</v>
      </c>
      <c r="G36" s="2" t="s">
        <v>164</v>
      </c>
      <c r="H36" s="14">
        <f t="shared" si="0"/>
        <v>-166582.53</v>
      </c>
    </row>
    <row r="37" spans="1:8" ht="15.75" hidden="1" outlineLevel="3" x14ac:dyDescent="0.25">
      <c r="A37" s="3" t="s">
        <v>165</v>
      </c>
      <c r="B37" s="3" t="s">
        <v>166</v>
      </c>
      <c r="C37" s="3" t="s">
        <v>167</v>
      </c>
      <c r="D37" s="13">
        <v>52458</v>
      </c>
      <c r="E37" s="13">
        <v>9696.27</v>
      </c>
      <c r="F37" s="3" t="s">
        <v>168</v>
      </c>
      <c r="G37" s="3" t="s">
        <v>169</v>
      </c>
      <c r="H37" s="14">
        <f t="shared" si="0"/>
        <v>-42761.729999999996</v>
      </c>
    </row>
    <row r="38" spans="1:8" ht="15.75" hidden="1" outlineLevel="3" x14ac:dyDescent="0.25">
      <c r="A38" s="2" t="s">
        <v>170</v>
      </c>
      <c r="B38" s="2" t="s">
        <v>171</v>
      </c>
      <c r="C38" s="2" t="s">
        <v>172</v>
      </c>
      <c r="D38" s="12">
        <v>1348.65</v>
      </c>
      <c r="E38" s="12">
        <v>0</v>
      </c>
      <c r="F38" s="2" t="s">
        <v>173</v>
      </c>
      <c r="G38" s="2" t="s">
        <v>174</v>
      </c>
      <c r="H38" s="14">
        <f t="shared" si="0"/>
        <v>-1348.65</v>
      </c>
    </row>
    <row r="39" spans="1:8" ht="15.75" hidden="1" outlineLevel="3" x14ac:dyDescent="0.25">
      <c r="A39" s="3" t="s">
        <v>175</v>
      </c>
      <c r="B39" s="3" t="s">
        <v>176</v>
      </c>
      <c r="C39" s="3" t="s">
        <v>177</v>
      </c>
      <c r="D39" s="13">
        <v>14895.98</v>
      </c>
      <c r="E39" s="13">
        <v>0</v>
      </c>
      <c r="F39" s="3" t="s">
        <v>178</v>
      </c>
      <c r="G39" s="3" t="s">
        <v>179</v>
      </c>
      <c r="H39" s="14">
        <f t="shared" si="0"/>
        <v>-14895.98</v>
      </c>
    </row>
    <row r="40" spans="1:8" ht="15.75" hidden="1" outlineLevel="3" x14ac:dyDescent="0.25">
      <c r="A40" s="2" t="s">
        <v>180</v>
      </c>
      <c r="B40" s="2" t="s">
        <v>181</v>
      </c>
      <c r="C40" s="2" t="s">
        <v>182</v>
      </c>
      <c r="D40" s="12">
        <v>24661</v>
      </c>
      <c r="E40" s="12">
        <v>0</v>
      </c>
      <c r="F40" s="2" t="s">
        <v>183</v>
      </c>
      <c r="G40" s="2" t="s">
        <v>184</v>
      </c>
      <c r="H40" s="14">
        <f t="shared" si="0"/>
        <v>-24661</v>
      </c>
    </row>
    <row r="41" spans="1:8" ht="15.75" hidden="1" outlineLevel="3" x14ac:dyDescent="0.25">
      <c r="A41" s="3" t="s">
        <v>185</v>
      </c>
      <c r="B41" s="3" t="s">
        <v>186</v>
      </c>
      <c r="C41" s="3" t="s">
        <v>40</v>
      </c>
      <c r="D41" s="13">
        <v>0</v>
      </c>
      <c r="E41" s="13">
        <v>0</v>
      </c>
      <c r="F41" s="3" t="s">
        <v>40</v>
      </c>
      <c r="G41" s="3" t="s">
        <v>40</v>
      </c>
      <c r="H41" s="14">
        <f t="shared" si="0"/>
        <v>0</v>
      </c>
    </row>
    <row r="42" spans="1:8" ht="15.75" hidden="1" outlineLevel="3" x14ac:dyDescent="0.25">
      <c r="A42" s="2" t="s">
        <v>187</v>
      </c>
      <c r="B42" s="2" t="s">
        <v>188</v>
      </c>
      <c r="C42" s="2" t="s">
        <v>189</v>
      </c>
      <c r="D42" s="12">
        <v>41721.480000000003</v>
      </c>
      <c r="E42" s="12">
        <v>0</v>
      </c>
      <c r="F42" s="2" t="s">
        <v>190</v>
      </c>
      <c r="G42" s="2" t="s">
        <v>191</v>
      </c>
      <c r="H42" s="14">
        <f t="shared" si="0"/>
        <v>-41721.480000000003</v>
      </c>
    </row>
    <row r="43" spans="1:8" ht="15.75" hidden="1" outlineLevel="3" x14ac:dyDescent="0.25">
      <c r="A43" s="3" t="s">
        <v>192</v>
      </c>
      <c r="B43" s="3" t="s">
        <v>193</v>
      </c>
      <c r="C43" s="3" t="s">
        <v>194</v>
      </c>
      <c r="D43" s="13">
        <v>26531.64</v>
      </c>
      <c r="E43" s="13">
        <v>0</v>
      </c>
      <c r="F43" s="3" t="s">
        <v>195</v>
      </c>
      <c r="G43" s="3" t="s">
        <v>196</v>
      </c>
      <c r="H43" s="14">
        <f t="shared" si="0"/>
        <v>-26531.64</v>
      </c>
    </row>
    <row r="44" spans="1:8" ht="15.75" hidden="1" outlineLevel="3" x14ac:dyDescent="0.25">
      <c r="A44" s="2" t="s">
        <v>197</v>
      </c>
      <c r="B44" s="2" t="s">
        <v>198</v>
      </c>
      <c r="C44" s="2" t="s">
        <v>199</v>
      </c>
      <c r="D44" s="12">
        <v>35065.89</v>
      </c>
      <c r="E44" s="12">
        <v>0</v>
      </c>
      <c r="F44" s="2" t="s">
        <v>200</v>
      </c>
      <c r="G44" s="2" t="s">
        <v>201</v>
      </c>
      <c r="H44" s="14">
        <f t="shared" si="0"/>
        <v>-35065.89</v>
      </c>
    </row>
    <row r="45" spans="1:8" ht="15.75" hidden="1" outlineLevel="3" x14ac:dyDescent="0.25">
      <c r="A45" s="3" t="s">
        <v>202</v>
      </c>
      <c r="B45" s="3" t="s">
        <v>203</v>
      </c>
      <c r="C45" s="3" t="s">
        <v>40</v>
      </c>
      <c r="D45" s="13">
        <v>0</v>
      </c>
      <c r="E45" s="13">
        <v>0</v>
      </c>
      <c r="F45" s="3" t="s">
        <v>40</v>
      </c>
      <c r="G45" s="3" t="s">
        <v>40</v>
      </c>
      <c r="H45" s="14">
        <f t="shared" si="0"/>
        <v>0</v>
      </c>
    </row>
    <row r="46" spans="1:8" ht="15.75" hidden="1" outlineLevel="3" x14ac:dyDescent="0.25">
      <c r="A46" s="2" t="s">
        <v>204</v>
      </c>
      <c r="B46" s="2" t="s">
        <v>205</v>
      </c>
      <c r="C46" s="2" t="s">
        <v>206</v>
      </c>
      <c r="D46" s="12">
        <v>11363.49</v>
      </c>
      <c r="E46" s="12">
        <v>0</v>
      </c>
      <c r="F46" s="2" t="s">
        <v>207</v>
      </c>
      <c r="G46" s="2" t="s">
        <v>208</v>
      </c>
      <c r="H46" s="14">
        <f t="shared" si="0"/>
        <v>-11363.49</v>
      </c>
    </row>
    <row r="47" spans="1:8" ht="15.75" hidden="1" outlineLevel="3" x14ac:dyDescent="0.25">
      <c r="A47" s="3" t="s">
        <v>209</v>
      </c>
      <c r="B47" s="3" t="s">
        <v>210</v>
      </c>
      <c r="C47" s="3" t="s">
        <v>211</v>
      </c>
      <c r="D47" s="13">
        <v>0</v>
      </c>
      <c r="E47" s="13">
        <v>0</v>
      </c>
      <c r="F47" s="3" t="s">
        <v>40</v>
      </c>
      <c r="G47" s="3" t="s">
        <v>211</v>
      </c>
      <c r="H47" s="14">
        <f t="shared" si="0"/>
        <v>0</v>
      </c>
    </row>
    <row r="48" spans="1:8" ht="15.75" hidden="1" outlineLevel="3" x14ac:dyDescent="0.25">
      <c r="A48" s="2" t="s">
        <v>212</v>
      </c>
      <c r="B48" s="2" t="s">
        <v>213</v>
      </c>
      <c r="C48" s="2" t="s">
        <v>214</v>
      </c>
      <c r="D48" s="12">
        <v>0</v>
      </c>
      <c r="E48" s="12">
        <v>0</v>
      </c>
      <c r="F48" s="2" t="s">
        <v>40</v>
      </c>
      <c r="G48" s="2" t="s">
        <v>214</v>
      </c>
      <c r="H48" s="14">
        <f t="shared" si="0"/>
        <v>0</v>
      </c>
    </row>
    <row r="49" spans="1:8" ht="15.75" hidden="1" outlineLevel="2" collapsed="1" x14ac:dyDescent="0.25">
      <c r="A49" s="3" t="s">
        <v>215</v>
      </c>
      <c r="B49" s="3" t="s">
        <v>216</v>
      </c>
      <c r="C49" s="3" t="s">
        <v>217</v>
      </c>
      <c r="D49" s="13">
        <v>349725.54</v>
      </c>
      <c r="E49" s="13">
        <v>95033.36</v>
      </c>
      <c r="F49" s="3" t="s">
        <v>218</v>
      </c>
      <c r="G49" s="3" t="s">
        <v>219</v>
      </c>
      <c r="H49" s="14">
        <f t="shared" si="0"/>
        <v>-254692.18</v>
      </c>
    </row>
    <row r="50" spans="1:8" ht="15.75" hidden="1" outlineLevel="3" x14ac:dyDescent="0.25">
      <c r="A50" s="2" t="s">
        <v>220</v>
      </c>
      <c r="B50" s="2" t="s">
        <v>221</v>
      </c>
      <c r="C50" s="2" t="s">
        <v>222</v>
      </c>
      <c r="D50" s="12">
        <v>202950.22</v>
      </c>
      <c r="E50" s="12">
        <v>95033.36</v>
      </c>
      <c r="F50" s="2" t="s">
        <v>223</v>
      </c>
      <c r="G50" s="2" t="s">
        <v>224</v>
      </c>
      <c r="H50" s="14">
        <f t="shared" si="0"/>
        <v>-107916.86</v>
      </c>
    </row>
    <row r="51" spans="1:8" ht="15.75" hidden="1" outlineLevel="3" x14ac:dyDescent="0.25">
      <c r="A51" s="3" t="s">
        <v>225</v>
      </c>
      <c r="B51" s="3" t="s">
        <v>226</v>
      </c>
      <c r="C51" s="3" t="s">
        <v>227</v>
      </c>
      <c r="D51" s="13">
        <v>97630.59</v>
      </c>
      <c r="E51" s="13">
        <v>0</v>
      </c>
      <c r="F51" s="3" t="s">
        <v>228</v>
      </c>
      <c r="G51" s="3" t="s">
        <v>229</v>
      </c>
      <c r="H51" s="14">
        <f t="shared" si="0"/>
        <v>-97630.59</v>
      </c>
    </row>
    <row r="52" spans="1:8" ht="15.75" hidden="1" outlineLevel="3" x14ac:dyDescent="0.25">
      <c r="A52" s="2" t="s">
        <v>230</v>
      </c>
      <c r="B52" s="2" t="s">
        <v>231</v>
      </c>
      <c r="C52" s="2" t="s">
        <v>232</v>
      </c>
      <c r="D52" s="12">
        <v>9541.09</v>
      </c>
      <c r="E52" s="12">
        <v>0</v>
      </c>
      <c r="F52" s="2" t="s">
        <v>233</v>
      </c>
      <c r="G52" s="2" t="s">
        <v>234</v>
      </c>
      <c r="H52" s="14">
        <f t="shared" si="0"/>
        <v>-9541.09</v>
      </c>
    </row>
    <row r="53" spans="1:8" ht="15.75" hidden="1" outlineLevel="3" x14ac:dyDescent="0.25">
      <c r="A53" s="3" t="s">
        <v>235</v>
      </c>
      <c r="B53" s="3" t="s">
        <v>236</v>
      </c>
      <c r="C53" s="3" t="s">
        <v>237</v>
      </c>
      <c r="D53" s="13">
        <v>16212.05</v>
      </c>
      <c r="E53" s="13">
        <v>0</v>
      </c>
      <c r="F53" s="3" t="s">
        <v>238</v>
      </c>
      <c r="G53" s="3" t="s">
        <v>239</v>
      </c>
      <c r="H53" s="14">
        <f t="shared" si="0"/>
        <v>-16212.05</v>
      </c>
    </row>
    <row r="54" spans="1:8" ht="15.75" hidden="1" outlineLevel="3" x14ac:dyDescent="0.25">
      <c r="A54" s="2" t="s">
        <v>240</v>
      </c>
      <c r="B54" s="2" t="s">
        <v>241</v>
      </c>
      <c r="C54" s="2" t="s">
        <v>242</v>
      </c>
      <c r="D54" s="12">
        <v>8693.74</v>
      </c>
      <c r="E54" s="12">
        <v>0</v>
      </c>
      <c r="F54" s="2" t="s">
        <v>243</v>
      </c>
      <c r="G54" s="2" t="s">
        <v>244</v>
      </c>
      <c r="H54" s="14">
        <f t="shared" si="0"/>
        <v>-8693.74</v>
      </c>
    </row>
    <row r="55" spans="1:8" ht="15.75" hidden="1" outlineLevel="3" x14ac:dyDescent="0.25">
      <c r="A55" s="3" t="s">
        <v>245</v>
      </c>
      <c r="B55" s="3" t="s">
        <v>246</v>
      </c>
      <c r="C55" s="3" t="s">
        <v>247</v>
      </c>
      <c r="D55" s="13">
        <v>14697.85</v>
      </c>
      <c r="E55" s="13">
        <v>0</v>
      </c>
      <c r="F55" s="3" t="s">
        <v>248</v>
      </c>
      <c r="G55" s="3" t="s">
        <v>249</v>
      </c>
      <c r="H55" s="14">
        <f t="shared" si="0"/>
        <v>-14697.85</v>
      </c>
    </row>
    <row r="56" spans="1:8" ht="15.75" hidden="1" outlineLevel="2" collapsed="1" x14ac:dyDescent="0.25">
      <c r="A56" s="2" t="s">
        <v>250</v>
      </c>
      <c r="B56" s="2" t="s">
        <v>251</v>
      </c>
      <c r="C56" s="2" t="s">
        <v>252</v>
      </c>
      <c r="D56" s="12">
        <v>465766.78</v>
      </c>
      <c r="E56" s="12">
        <v>37584.400000000001</v>
      </c>
      <c r="F56" s="2" t="s">
        <v>253</v>
      </c>
      <c r="G56" s="2" t="s">
        <v>254</v>
      </c>
      <c r="H56" s="14">
        <f t="shared" si="0"/>
        <v>-428182.38</v>
      </c>
    </row>
    <row r="57" spans="1:8" ht="15.75" hidden="1" outlineLevel="3" x14ac:dyDescent="0.25">
      <c r="A57" s="3" t="s">
        <v>255</v>
      </c>
      <c r="B57" s="3" t="s">
        <v>256</v>
      </c>
      <c r="C57" s="3" t="s">
        <v>257</v>
      </c>
      <c r="D57" s="13">
        <v>288066.15000000002</v>
      </c>
      <c r="E57" s="13">
        <v>2831.73</v>
      </c>
      <c r="F57" s="3" t="s">
        <v>258</v>
      </c>
      <c r="G57" s="3" t="s">
        <v>259</v>
      </c>
      <c r="H57" s="14">
        <f t="shared" si="0"/>
        <v>-285234.42000000004</v>
      </c>
    </row>
    <row r="58" spans="1:8" ht="15.75" hidden="1" outlineLevel="3" x14ac:dyDescent="0.25">
      <c r="A58" s="2" t="s">
        <v>260</v>
      </c>
      <c r="B58" s="2" t="s">
        <v>261</v>
      </c>
      <c r="C58" s="2" t="s">
        <v>262</v>
      </c>
      <c r="D58" s="12">
        <v>157245.56</v>
      </c>
      <c r="E58" s="12">
        <v>31989</v>
      </c>
      <c r="F58" s="2" t="s">
        <v>263</v>
      </c>
      <c r="G58" s="2" t="s">
        <v>264</v>
      </c>
      <c r="H58" s="14">
        <f t="shared" si="0"/>
        <v>-125256.56</v>
      </c>
    </row>
    <row r="59" spans="1:8" ht="15.75" hidden="1" outlineLevel="3" x14ac:dyDescent="0.25">
      <c r="A59" s="3" t="s">
        <v>265</v>
      </c>
      <c r="B59" s="3" t="s">
        <v>266</v>
      </c>
      <c r="C59" s="3" t="s">
        <v>40</v>
      </c>
      <c r="D59" s="13">
        <v>0</v>
      </c>
      <c r="E59" s="13">
        <v>0</v>
      </c>
      <c r="F59" s="3" t="s">
        <v>40</v>
      </c>
      <c r="G59" s="3" t="s">
        <v>40</v>
      </c>
      <c r="H59" s="14">
        <f t="shared" si="0"/>
        <v>0</v>
      </c>
    </row>
    <row r="60" spans="1:8" ht="15.75" hidden="1" outlineLevel="3" x14ac:dyDescent="0.25">
      <c r="A60" s="2" t="s">
        <v>267</v>
      </c>
      <c r="B60" s="2" t="s">
        <v>268</v>
      </c>
      <c r="C60" s="2" t="s">
        <v>269</v>
      </c>
      <c r="D60" s="12">
        <v>7705.77</v>
      </c>
      <c r="E60" s="12">
        <v>2762.83</v>
      </c>
      <c r="F60" s="2" t="s">
        <v>270</v>
      </c>
      <c r="G60" s="2" t="s">
        <v>271</v>
      </c>
      <c r="H60" s="14">
        <f t="shared" si="0"/>
        <v>-4942.9400000000005</v>
      </c>
    </row>
    <row r="61" spans="1:8" ht="15.75" hidden="1" outlineLevel="3" x14ac:dyDescent="0.25">
      <c r="A61" s="3" t="s">
        <v>272</v>
      </c>
      <c r="B61" s="3" t="s">
        <v>273</v>
      </c>
      <c r="C61" s="3" t="s">
        <v>40</v>
      </c>
      <c r="D61" s="13">
        <v>0</v>
      </c>
      <c r="E61" s="13">
        <v>0</v>
      </c>
      <c r="F61" s="3" t="s">
        <v>40</v>
      </c>
      <c r="G61" s="3" t="s">
        <v>40</v>
      </c>
      <c r="H61" s="14">
        <f t="shared" si="0"/>
        <v>0</v>
      </c>
    </row>
    <row r="62" spans="1:8" ht="15.75" hidden="1" outlineLevel="3" x14ac:dyDescent="0.25">
      <c r="A62" s="2" t="s">
        <v>274</v>
      </c>
      <c r="B62" s="2" t="s">
        <v>275</v>
      </c>
      <c r="C62" s="2" t="s">
        <v>276</v>
      </c>
      <c r="D62" s="12">
        <v>12749.3</v>
      </c>
      <c r="E62" s="12">
        <v>0.84</v>
      </c>
      <c r="F62" s="2" t="s">
        <v>277</v>
      </c>
      <c r="G62" s="2" t="s">
        <v>278</v>
      </c>
      <c r="H62" s="14">
        <f t="shared" si="0"/>
        <v>-12748.46</v>
      </c>
    </row>
    <row r="63" spans="1:8" ht="15.75" hidden="1" outlineLevel="3" x14ac:dyDescent="0.25">
      <c r="A63" s="3" t="s">
        <v>279</v>
      </c>
      <c r="B63" s="3" t="s">
        <v>280</v>
      </c>
      <c r="C63" s="3" t="s">
        <v>40</v>
      </c>
      <c r="D63" s="13">
        <v>0</v>
      </c>
      <c r="E63" s="13">
        <v>0</v>
      </c>
      <c r="F63" s="3" t="s">
        <v>40</v>
      </c>
      <c r="G63" s="3" t="s">
        <v>40</v>
      </c>
      <c r="H63" s="14">
        <f t="shared" si="0"/>
        <v>0</v>
      </c>
    </row>
    <row r="64" spans="1:8" ht="15.75" hidden="1" outlineLevel="2" collapsed="1" x14ac:dyDescent="0.25">
      <c r="A64" s="2" t="s">
        <v>281</v>
      </c>
      <c r="B64" s="2" t="s">
        <v>282</v>
      </c>
      <c r="C64" s="2" t="s">
        <v>283</v>
      </c>
      <c r="D64" s="12">
        <v>28047.33</v>
      </c>
      <c r="E64" s="12">
        <v>0</v>
      </c>
      <c r="F64" s="2" t="s">
        <v>284</v>
      </c>
      <c r="G64" s="2" t="s">
        <v>285</v>
      </c>
      <c r="H64" s="14">
        <f t="shared" si="0"/>
        <v>-28047.33</v>
      </c>
    </row>
    <row r="65" spans="1:8" ht="15.75" hidden="1" outlineLevel="3" x14ac:dyDescent="0.25">
      <c r="A65" s="3" t="s">
        <v>286</v>
      </c>
      <c r="B65" s="3" t="s">
        <v>287</v>
      </c>
      <c r="C65" s="3" t="s">
        <v>288</v>
      </c>
      <c r="D65" s="13">
        <v>19988.84</v>
      </c>
      <c r="E65" s="13">
        <v>0</v>
      </c>
      <c r="F65" s="3" t="s">
        <v>289</v>
      </c>
      <c r="G65" s="3" t="s">
        <v>290</v>
      </c>
      <c r="H65" s="14">
        <f t="shared" si="0"/>
        <v>-19988.84</v>
      </c>
    </row>
    <row r="66" spans="1:8" ht="15.75" hidden="1" outlineLevel="3" x14ac:dyDescent="0.25">
      <c r="A66" s="2" t="s">
        <v>291</v>
      </c>
      <c r="B66" s="2" t="s">
        <v>292</v>
      </c>
      <c r="C66" s="2" t="s">
        <v>293</v>
      </c>
      <c r="D66" s="12">
        <v>0</v>
      </c>
      <c r="E66" s="12">
        <v>0</v>
      </c>
      <c r="F66" s="2" t="s">
        <v>40</v>
      </c>
      <c r="G66" s="2" t="s">
        <v>293</v>
      </c>
      <c r="H66" s="14">
        <f t="shared" si="0"/>
        <v>0</v>
      </c>
    </row>
    <row r="67" spans="1:8" ht="15.75" hidden="1" outlineLevel="3" x14ac:dyDescent="0.25">
      <c r="A67" s="3" t="s">
        <v>294</v>
      </c>
      <c r="B67" s="3" t="s">
        <v>295</v>
      </c>
      <c r="C67" s="3" t="s">
        <v>296</v>
      </c>
      <c r="D67" s="13">
        <v>0</v>
      </c>
      <c r="E67" s="13">
        <v>0</v>
      </c>
      <c r="F67" s="3" t="s">
        <v>40</v>
      </c>
      <c r="G67" s="3" t="s">
        <v>296</v>
      </c>
      <c r="H67" s="14">
        <f t="shared" ref="H67:H130" si="1">E67-D67</f>
        <v>0</v>
      </c>
    </row>
    <row r="68" spans="1:8" ht="15.75" hidden="1" outlineLevel="3" x14ac:dyDescent="0.25">
      <c r="A68" s="2" t="s">
        <v>297</v>
      </c>
      <c r="B68" s="2" t="s">
        <v>298</v>
      </c>
      <c r="C68" s="2" t="s">
        <v>299</v>
      </c>
      <c r="D68" s="12">
        <v>0</v>
      </c>
      <c r="E68" s="12">
        <v>0</v>
      </c>
      <c r="F68" s="2" t="s">
        <v>40</v>
      </c>
      <c r="G68" s="2" t="s">
        <v>299</v>
      </c>
      <c r="H68" s="14">
        <f t="shared" si="1"/>
        <v>0</v>
      </c>
    </row>
    <row r="69" spans="1:8" ht="15.75" hidden="1" outlineLevel="3" x14ac:dyDescent="0.25">
      <c r="A69" s="3" t="s">
        <v>300</v>
      </c>
      <c r="B69" s="3" t="s">
        <v>301</v>
      </c>
      <c r="C69" s="3" t="s">
        <v>40</v>
      </c>
      <c r="D69" s="13">
        <v>0</v>
      </c>
      <c r="E69" s="13">
        <v>0</v>
      </c>
      <c r="F69" s="3" t="s">
        <v>40</v>
      </c>
      <c r="G69" s="3" t="s">
        <v>40</v>
      </c>
      <c r="H69" s="14">
        <f t="shared" si="1"/>
        <v>0</v>
      </c>
    </row>
    <row r="70" spans="1:8" ht="15.75" hidden="1" outlineLevel="3" x14ac:dyDescent="0.25">
      <c r="A70" s="2" t="s">
        <v>302</v>
      </c>
      <c r="B70" s="2" t="s">
        <v>303</v>
      </c>
      <c r="C70" s="2" t="s">
        <v>304</v>
      </c>
      <c r="D70" s="12">
        <v>8058.49</v>
      </c>
      <c r="E70" s="12">
        <v>0</v>
      </c>
      <c r="F70" s="2" t="s">
        <v>305</v>
      </c>
      <c r="G70" s="2" t="s">
        <v>306</v>
      </c>
      <c r="H70" s="14">
        <f t="shared" si="1"/>
        <v>-8058.49</v>
      </c>
    </row>
    <row r="71" spans="1:8" ht="15.75" hidden="1" outlineLevel="3" x14ac:dyDescent="0.25">
      <c r="A71" s="3" t="s">
        <v>307</v>
      </c>
      <c r="B71" s="3" t="s">
        <v>308</v>
      </c>
      <c r="C71" s="3" t="s">
        <v>40</v>
      </c>
      <c r="D71" s="13">
        <v>0</v>
      </c>
      <c r="E71" s="13">
        <v>0</v>
      </c>
      <c r="F71" s="3" t="s">
        <v>40</v>
      </c>
      <c r="G71" s="3" t="s">
        <v>40</v>
      </c>
      <c r="H71" s="14">
        <f t="shared" si="1"/>
        <v>0</v>
      </c>
    </row>
    <row r="72" spans="1:8" ht="15.75" hidden="1" outlineLevel="3" x14ac:dyDescent="0.25">
      <c r="A72" s="2" t="s">
        <v>309</v>
      </c>
      <c r="B72" s="2" t="s">
        <v>310</v>
      </c>
      <c r="C72" s="2" t="s">
        <v>40</v>
      </c>
      <c r="D72" s="12">
        <v>0</v>
      </c>
      <c r="E72" s="12">
        <v>0</v>
      </c>
      <c r="F72" s="2" t="s">
        <v>40</v>
      </c>
      <c r="G72" s="2" t="s">
        <v>40</v>
      </c>
      <c r="H72" s="14">
        <f t="shared" si="1"/>
        <v>0</v>
      </c>
    </row>
    <row r="73" spans="1:8" ht="15.75" hidden="1" outlineLevel="3" x14ac:dyDescent="0.25">
      <c r="A73" s="3" t="s">
        <v>311</v>
      </c>
      <c r="B73" s="3" t="s">
        <v>312</v>
      </c>
      <c r="C73" s="3" t="s">
        <v>40</v>
      </c>
      <c r="D73" s="13">
        <v>0</v>
      </c>
      <c r="E73" s="13">
        <v>0</v>
      </c>
      <c r="F73" s="3" t="s">
        <v>40</v>
      </c>
      <c r="G73" s="3" t="s">
        <v>40</v>
      </c>
      <c r="H73" s="14">
        <f t="shared" si="1"/>
        <v>0</v>
      </c>
    </row>
    <row r="74" spans="1:8" ht="15.75" hidden="1" outlineLevel="3" x14ac:dyDescent="0.25">
      <c r="A74" s="2" t="s">
        <v>313</v>
      </c>
      <c r="B74" s="2" t="s">
        <v>314</v>
      </c>
      <c r="C74" s="2" t="s">
        <v>315</v>
      </c>
      <c r="D74" s="12">
        <v>0</v>
      </c>
      <c r="E74" s="12">
        <v>0</v>
      </c>
      <c r="F74" s="2" t="s">
        <v>40</v>
      </c>
      <c r="G74" s="2" t="s">
        <v>315</v>
      </c>
      <c r="H74" s="14">
        <f t="shared" si="1"/>
        <v>0</v>
      </c>
    </row>
    <row r="75" spans="1:8" ht="15.75" hidden="1" outlineLevel="2" x14ac:dyDescent="0.25">
      <c r="A75" s="3" t="s">
        <v>316</v>
      </c>
      <c r="B75" s="3" t="s">
        <v>317</v>
      </c>
      <c r="C75" s="3" t="s">
        <v>40</v>
      </c>
      <c r="D75" s="13">
        <v>0</v>
      </c>
      <c r="E75" s="13">
        <v>0</v>
      </c>
      <c r="F75" s="3" t="s">
        <v>40</v>
      </c>
      <c r="G75" s="3" t="s">
        <v>40</v>
      </c>
      <c r="H75" s="14">
        <f t="shared" si="1"/>
        <v>0</v>
      </c>
    </row>
    <row r="76" spans="1:8" ht="15.75" hidden="1" outlineLevel="3" x14ac:dyDescent="0.25">
      <c r="A76" s="2" t="s">
        <v>318</v>
      </c>
      <c r="B76" s="2" t="s">
        <v>221</v>
      </c>
      <c r="C76" s="2" t="s">
        <v>40</v>
      </c>
      <c r="D76" s="12">
        <v>0</v>
      </c>
      <c r="E76" s="12">
        <v>0</v>
      </c>
      <c r="F76" s="2" t="s">
        <v>40</v>
      </c>
      <c r="G76" s="2" t="s">
        <v>40</v>
      </c>
      <c r="H76" s="14">
        <f t="shared" si="1"/>
        <v>0</v>
      </c>
    </row>
    <row r="77" spans="1:8" ht="15.75" hidden="1" outlineLevel="1" collapsed="1" x14ac:dyDescent="0.25">
      <c r="A77" s="3" t="s">
        <v>319</v>
      </c>
      <c r="B77" s="3" t="s">
        <v>320</v>
      </c>
      <c r="C77" s="3" t="s">
        <v>321</v>
      </c>
      <c r="D77" s="13">
        <v>1048399.45</v>
      </c>
      <c r="E77" s="13">
        <v>78455.66</v>
      </c>
      <c r="F77" s="3" t="s">
        <v>322</v>
      </c>
      <c r="G77" s="3" t="s">
        <v>323</v>
      </c>
      <c r="H77" s="14">
        <f t="shared" si="1"/>
        <v>-969943.78999999992</v>
      </c>
    </row>
    <row r="78" spans="1:8" ht="15.75" hidden="1" outlineLevel="2" collapsed="1" x14ac:dyDescent="0.25">
      <c r="A78" s="2" t="s">
        <v>324</v>
      </c>
      <c r="B78" s="2" t="s">
        <v>325</v>
      </c>
      <c r="C78" s="2" t="s">
        <v>326</v>
      </c>
      <c r="D78" s="12">
        <v>1042529.35</v>
      </c>
      <c r="E78" s="12">
        <v>78455.66</v>
      </c>
      <c r="F78" s="2" t="s">
        <v>327</v>
      </c>
      <c r="G78" s="2" t="s">
        <v>328</v>
      </c>
      <c r="H78" s="14">
        <f t="shared" si="1"/>
        <v>-964073.69</v>
      </c>
    </row>
    <row r="79" spans="1:8" ht="15.75" hidden="1" outlineLevel="3" x14ac:dyDescent="0.25">
      <c r="A79" s="3" t="s">
        <v>329</v>
      </c>
      <c r="B79" s="3" t="s">
        <v>330</v>
      </c>
      <c r="C79" s="3" t="s">
        <v>331</v>
      </c>
      <c r="D79" s="13">
        <v>96</v>
      </c>
      <c r="E79" s="13">
        <v>0</v>
      </c>
      <c r="F79" s="3" t="s">
        <v>332</v>
      </c>
      <c r="G79" s="3" t="s">
        <v>333</v>
      </c>
      <c r="H79" s="14">
        <f t="shared" si="1"/>
        <v>-96</v>
      </c>
    </row>
    <row r="80" spans="1:8" ht="15.75" hidden="1" outlineLevel="3" x14ac:dyDescent="0.25">
      <c r="A80" s="2" t="s">
        <v>334</v>
      </c>
      <c r="B80" s="2" t="s">
        <v>335</v>
      </c>
      <c r="C80" s="2" t="s">
        <v>40</v>
      </c>
      <c r="D80" s="12">
        <v>0</v>
      </c>
      <c r="E80" s="12">
        <v>0</v>
      </c>
      <c r="F80" s="2" t="s">
        <v>40</v>
      </c>
      <c r="G80" s="2" t="s">
        <v>40</v>
      </c>
      <c r="H80" s="14">
        <f t="shared" si="1"/>
        <v>0</v>
      </c>
    </row>
    <row r="81" spans="1:8" ht="15.75" hidden="1" outlineLevel="3" x14ac:dyDescent="0.25">
      <c r="A81" s="3" t="s">
        <v>336</v>
      </c>
      <c r="B81" s="3" t="s">
        <v>337</v>
      </c>
      <c r="C81" s="3" t="s">
        <v>40</v>
      </c>
      <c r="D81" s="13">
        <v>0</v>
      </c>
      <c r="E81" s="13">
        <v>0</v>
      </c>
      <c r="F81" s="3" t="s">
        <v>40</v>
      </c>
      <c r="G81" s="3" t="s">
        <v>40</v>
      </c>
      <c r="H81" s="14">
        <f t="shared" si="1"/>
        <v>0</v>
      </c>
    </row>
    <row r="82" spans="1:8" ht="15.75" hidden="1" outlineLevel="3" x14ac:dyDescent="0.25">
      <c r="A82" s="2" t="s">
        <v>338</v>
      </c>
      <c r="B82" s="2" t="s">
        <v>339</v>
      </c>
      <c r="C82" s="2" t="s">
        <v>340</v>
      </c>
      <c r="D82" s="12">
        <v>495062.4</v>
      </c>
      <c r="E82" s="12">
        <v>44478.84</v>
      </c>
      <c r="F82" s="2" t="s">
        <v>341</v>
      </c>
      <c r="G82" s="2" t="s">
        <v>342</v>
      </c>
      <c r="H82" s="14">
        <f t="shared" si="1"/>
        <v>-450583.56000000006</v>
      </c>
    </row>
    <row r="83" spans="1:8" ht="15.75" hidden="1" outlineLevel="3" x14ac:dyDescent="0.25">
      <c r="A83" s="3" t="s">
        <v>343</v>
      </c>
      <c r="B83" s="3" t="s">
        <v>344</v>
      </c>
      <c r="C83" s="3" t="s">
        <v>345</v>
      </c>
      <c r="D83" s="13">
        <v>0</v>
      </c>
      <c r="E83" s="13">
        <v>0</v>
      </c>
      <c r="F83" s="3" t="s">
        <v>40</v>
      </c>
      <c r="G83" s="3" t="s">
        <v>345</v>
      </c>
      <c r="H83" s="14">
        <f t="shared" si="1"/>
        <v>0</v>
      </c>
    </row>
    <row r="84" spans="1:8" ht="15.75" hidden="1" outlineLevel="3" x14ac:dyDescent="0.25">
      <c r="A84" s="2" t="s">
        <v>346</v>
      </c>
      <c r="B84" s="2" t="s">
        <v>347</v>
      </c>
      <c r="C84" s="2" t="s">
        <v>348</v>
      </c>
      <c r="D84" s="12">
        <v>547370.94999999995</v>
      </c>
      <c r="E84" s="12">
        <v>33976.82</v>
      </c>
      <c r="F84" s="2" t="s">
        <v>349</v>
      </c>
      <c r="G84" s="2" t="s">
        <v>350</v>
      </c>
      <c r="H84" s="14">
        <f t="shared" si="1"/>
        <v>-513394.12999999995</v>
      </c>
    </row>
    <row r="85" spans="1:8" ht="15.75" hidden="1" outlineLevel="2" collapsed="1" x14ac:dyDescent="0.25">
      <c r="A85" s="3" t="s">
        <v>351</v>
      </c>
      <c r="B85" s="3" t="s">
        <v>352</v>
      </c>
      <c r="C85" s="3" t="s">
        <v>353</v>
      </c>
      <c r="D85" s="13">
        <v>5870.1</v>
      </c>
      <c r="E85" s="13">
        <v>0</v>
      </c>
      <c r="F85" s="3" t="s">
        <v>354</v>
      </c>
      <c r="G85" s="3" t="s">
        <v>355</v>
      </c>
      <c r="H85" s="14">
        <f t="shared" si="1"/>
        <v>-5870.1</v>
      </c>
    </row>
    <row r="86" spans="1:8" ht="15.75" hidden="1" outlineLevel="3" x14ac:dyDescent="0.25">
      <c r="A86" s="2" t="s">
        <v>356</v>
      </c>
      <c r="B86" s="2" t="s">
        <v>357</v>
      </c>
      <c r="C86" s="2" t="s">
        <v>40</v>
      </c>
      <c r="D86" s="12">
        <v>0</v>
      </c>
      <c r="E86" s="12">
        <v>0</v>
      </c>
      <c r="F86" s="2" t="s">
        <v>40</v>
      </c>
      <c r="G86" s="2" t="s">
        <v>40</v>
      </c>
      <c r="H86" s="14">
        <f t="shared" si="1"/>
        <v>0</v>
      </c>
    </row>
    <row r="87" spans="1:8" ht="15.75" hidden="1" outlineLevel="3" x14ac:dyDescent="0.25">
      <c r="A87" s="3" t="s">
        <v>358</v>
      </c>
      <c r="B87" s="3" t="s">
        <v>359</v>
      </c>
      <c r="C87" s="3" t="s">
        <v>40</v>
      </c>
      <c r="D87" s="13">
        <v>0</v>
      </c>
      <c r="E87" s="13">
        <v>0</v>
      </c>
      <c r="F87" s="3" t="s">
        <v>40</v>
      </c>
      <c r="G87" s="3" t="s">
        <v>40</v>
      </c>
      <c r="H87" s="14">
        <f t="shared" si="1"/>
        <v>0</v>
      </c>
    </row>
    <row r="88" spans="1:8" ht="15.75" hidden="1" outlineLevel="3" x14ac:dyDescent="0.25">
      <c r="A88" s="2" t="s">
        <v>360</v>
      </c>
      <c r="B88" s="2" t="s">
        <v>361</v>
      </c>
      <c r="C88" s="2" t="s">
        <v>353</v>
      </c>
      <c r="D88" s="12">
        <v>5870.1</v>
      </c>
      <c r="E88" s="12">
        <v>0</v>
      </c>
      <c r="F88" s="2" t="s">
        <v>354</v>
      </c>
      <c r="G88" s="2" t="s">
        <v>355</v>
      </c>
      <c r="H88" s="14">
        <f t="shared" si="1"/>
        <v>-5870.1</v>
      </c>
    </row>
    <row r="89" spans="1:8" ht="15.75" hidden="1" outlineLevel="1" collapsed="1" x14ac:dyDescent="0.25">
      <c r="A89" s="3" t="s">
        <v>362</v>
      </c>
      <c r="B89" s="3" t="s">
        <v>363</v>
      </c>
      <c r="C89" s="3" t="s">
        <v>364</v>
      </c>
      <c r="D89" s="13">
        <v>1280257.27</v>
      </c>
      <c r="E89" s="13">
        <v>173023.72</v>
      </c>
      <c r="F89" s="3" t="s">
        <v>365</v>
      </c>
      <c r="G89" s="3" t="s">
        <v>366</v>
      </c>
      <c r="H89" s="14">
        <f t="shared" si="1"/>
        <v>-1107233.55</v>
      </c>
    </row>
    <row r="90" spans="1:8" ht="15.75" hidden="1" outlineLevel="2" collapsed="1" x14ac:dyDescent="0.25">
      <c r="A90" s="2" t="s">
        <v>367</v>
      </c>
      <c r="B90" s="2" t="s">
        <v>363</v>
      </c>
      <c r="C90" s="2" t="s">
        <v>364</v>
      </c>
      <c r="D90" s="12">
        <v>1280257.27</v>
      </c>
      <c r="E90" s="12">
        <v>173023.72</v>
      </c>
      <c r="F90" s="2" t="s">
        <v>365</v>
      </c>
      <c r="G90" s="2" t="s">
        <v>366</v>
      </c>
      <c r="H90" s="14">
        <f t="shared" si="1"/>
        <v>-1107233.55</v>
      </c>
    </row>
    <row r="91" spans="1:8" ht="15.75" hidden="1" outlineLevel="2" x14ac:dyDescent="0.25">
      <c r="A91" s="3" t="s">
        <v>368</v>
      </c>
      <c r="B91" s="3" t="s">
        <v>369</v>
      </c>
      <c r="C91" s="3" t="s">
        <v>370</v>
      </c>
      <c r="D91" s="13">
        <v>483730.19</v>
      </c>
      <c r="E91" s="13">
        <v>3929.18</v>
      </c>
      <c r="F91" s="3" t="s">
        <v>371</v>
      </c>
      <c r="G91" s="3" t="s">
        <v>372</v>
      </c>
      <c r="H91" s="14">
        <f t="shared" si="1"/>
        <v>-479801.01</v>
      </c>
    </row>
    <row r="92" spans="1:8" ht="15.75" hidden="1" outlineLevel="2" x14ac:dyDescent="0.25">
      <c r="A92" s="2" t="s">
        <v>373</v>
      </c>
      <c r="B92" s="2" t="s">
        <v>374</v>
      </c>
      <c r="C92" s="2" t="s">
        <v>375</v>
      </c>
      <c r="D92" s="12">
        <v>15593.27</v>
      </c>
      <c r="E92" s="12">
        <v>105.57</v>
      </c>
      <c r="F92" s="2" t="s">
        <v>376</v>
      </c>
      <c r="G92" s="2" t="s">
        <v>377</v>
      </c>
      <c r="H92" s="14">
        <f t="shared" si="1"/>
        <v>-15487.7</v>
      </c>
    </row>
    <row r="93" spans="1:8" ht="15.75" hidden="1" outlineLevel="2" x14ac:dyDescent="0.25">
      <c r="A93" s="3" t="s">
        <v>378</v>
      </c>
      <c r="B93" s="3" t="s">
        <v>379</v>
      </c>
      <c r="C93" s="3" t="s">
        <v>380</v>
      </c>
      <c r="D93" s="13">
        <v>106551.9</v>
      </c>
      <c r="E93" s="13">
        <v>104962.53</v>
      </c>
      <c r="F93" s="3" t="s">
        <v>381</v>
      </c>
      <c r="G93" s="3" t="s">
        <v>382</v>
      </c>
      <c r="H93" s="14">
        <f t="shared" si="1"/>
        <v>-1589.3699999999953</v>
      </c>
    </row>
    <row r="94" spans="1:8" ht="15.75" hidden="1" outlineLevel="2" x14ac:dyDescent="0.25">
      <c r="A94" s="2" t="s">
        <v>383</v>
      </c>
      <c r="B94" s="2" t="s">
        <v>384</v>
      </c>
      <c r="C94" s="2" t="s">
        <v>385</v>
      </c>
      <c r="D94" s="12">
        <v>345479.44</v>
      </c>
      <c r="E94" s="12">
        <v>2073.73</v>
      </c>
      <c r="F94" s="2" t="s">
        <v>386</v>
      </c>
      <c r="G94" s="2" t="s">
        <v>387</v>
      </c>
      <c r="H94" s="14">
        <f t="shared" si="1"/>
        <v>-343405.71</v>
      </c>
    </row>
    <row r="95" spans="1:8" ht="15.75" hidden="1" outlineLevel="2" x14ac:dyDescent="0.25">
      <c r="A95" s="3" t="s">
        <v>388</v>
      </c>
      <c r="B95" s="3" t="s">
        <v>389</v>
      </c>
      <c r="C95" s="3" t="s">
        <v>390</v>
      </c>
      <c r="D95" s="13">
        <v>134210.74</v>
      </c>
      <c r="E95" s="13">
        <v>44648.94</v>
      </c>
      <c r="F95" s="3" t="s">
        <v>391</v>
      </c>
      <c r="G95" s="3" t="s">
        <v>392</v>
      </c>
      <c r="H95" s="14">
        <f t="shared" si="1"/>
        <v>-89561.799999999988</v>
      </c>
    </row>
    <row r="96" spans="1:8" ht="15.75" hidden="1" outlineLevel="2" x14ac:dyDescent="0.25">
      <c r="A96" s="2" t="s">
        <v>393</v>
      </c>
      <c r="B96" s="2" t="s">
        <v>394</v>
      </c>
      <c r="C96" s="2" t="s">
        <v>395</v>
      </c>
      <c r="D96" s="12">
        <v>178344.64</v>
      </c>
      <c r="E96" s="12">
        <v>16077.85</v>
      </c>
      <c r="F96" s="2" t="s">
        <v>396</v>
      </c>
      <c r="G96" s="2" t="s">
        <v>397</v>
      </c>
      <c r="H96" s="14">
        <f t="shared" si="1"/>
        <v>-162266.79</v>
      </c>
    </row>
    <row r="97" spans="1:8" ht="15.75" hidden="1" outlineLevel="2" x14ac:dyDescent="0.25">
      <c r="A97" s="3" t="s">
        <v>398</v>
      </c>
      <c r="B97" s="3" t="s">
        <v>399</v>
      </c>
      <c r="C97" s="3" t="s">
        <v>400</v>
      </c>
      <c r="D97" s="13">
        <v>4176.7299999999996</v>
      </c>
      <c r="E97" s="13">
        <v>0</v>
      </c>
      <c r="F97" s="3" t="s">
        <v>401</v>
      </c>
      <c r="G97" s="3" t="s">
        <v>402</v>
      </c>
      <c r="H97" s="14">
        <f t="shared" si="1"/>
        <v>-4176.7299999999996</v>
      </c>
    </row>
    <row r="98" spans="1:8" ht="15.75" hidden="1" outlineLevel="2" x14ac:dyDescent="0.25">
      <c r="A98" s="2" t="s">
        <v>403</v>
      </c>
      <c r="B98" s="2" t="s">
        <v>404</v>
      </c>
      <c r="C98" s="2" t="s">
        <v>405</v>
      </c>
      <c r="D98" s="12">
        <v>628.24</v>
      </c>
      <c r="E98" s="12">
        <v>204.89</v>
      </c>
      <c r="F98" s="2" t="s">
        <v>406</v>
      </c>
      <c r="G98" s="2" t="s">
        <v>407</v>
      </c>
      <c r="H98" s="14">
        <f t="shared" si="1"/>
        <v>-423.35</v>
      </c>
    </row>
    <row r="99" spans="1:8" ht="15.75" hidden="1" outlineLevel="2" x14ac:dyDescent="0.25">
      <c r="A99" s="3" t="s">
        <v>408</v>
      </c>
      <c r="B99" s="3" t="s">
        <v>409</v>
      </c>
      <c r="C99" s="3" t="s">
        <v>410</v>
      </c>
      <c r="D99" s="13">
        <v>0</v>
      </c>
      <c r="E99" s="13">
        <v>0</v>
      </c>
      <c r="F99" s="3" t="s">
        <v>40</v>
      </c>
      <c r="G99" s="3" t="s">
        <v>410</v>
      </c>
      <c r="H99" s="14">
        <f t="shared" si="1"/>
        <v>0</v>
      </c>
    </row>
    <row r="100" spans="1:8" ht="15.75" hidden="1" outlineLevel="2" x14ac:dyDescent="0.25">
      <c r="A100" s="2" t="s">
        <v>411</v>
      </c>
      <c r="B100" s="2" t="s">
        <v>412</v>
      </c>
      <c r="C100" s="2" t="s">
        <v>40</v>
      </c>
      <c r="D100" s="12">
        <v>0</v>
      </c>
      <c r="E100" s="12">
        <v>0</v>
      </c>
      <c r="F100" s="2" t="s">
        <v>40</v>
      </c>
      <c r="G100" s="2" t="s">
        <v>40</v>
      </c>
      <c r="H100" s="14">
        <f t="shared" si="1"/>
        <v>0</v>
      </c>
    </row>
    <row r="101" spans="1:8" ht="15.75" hidden="1" outlineLevel="2" x14ac:dyDescent="0.25">
      <c r="A101" s="3" t="s">
        <v>413</v>
      </c>
      <c r="B101" s="3" t="s">
        <v>414</v>
      </c>
      <c r="C101" s="3" t="s">
        <v>415</v>
      </c>
      <c r="D101" s="13">
        <v>11542.12</v>
      </c>
      <c r="E101" s="13">
        <v>1021.03</v>
      </c>
      <c r="F101" s="3" t="s">
        <v>416</v>
      </c>
      <c r="G101" s="3" t="s">
        <v>417</v>
      </c>
      <c r="H101" s="14">
        <f t="shared" si="1"/>
        <v>-10521.09</v>
      </c>
    </row>
    <row r="102" spans="1:8" ht="15.75" hidden="1" outlineLevel="1" collapsed="1" x14ac:dyDescent="0.25">
      <c r="A102" s="2" t="s">
        <v>418</v>
      </c>
      <c r="B102" s="2" t="s">
        <v>419</v>
      </c>
      <c r="C102" s="2" t="s">
        <v>420</v>
      </c>
      <c r="D102" s="12">
        <v>135790.17000000001</v>
      </c>
      <c r="E102" s="12">
        <v>6945.05</v>
      </c>
      <c r="F102" s="2" t="s">
        <v>421</v>
      </c>
      <c r="G102" s="2" t="s">
        <v>422</v>
      </c>
      <c r="H102" s="14">
        <f t="shared" si="1"/>
        <v>-128845.12000000001</v>
      </c>
    </row>
    <row r="103" spans="1:8" ht="15.75" hidden="1" outlineLevel="2" collapsed="1" x14ac:dyDescent="0.25">
      <c r="A103" s="3" t="s">
        <v>423</v>
      </c>
      <c r="B103" s="3" t="s">
        <v>424</v>
      </c>
      <c r="C103" s="3" t="s">
        <v>425</v>
      </c>
      <c r="D103" s="13">
        <v>66022.3</v>
      </c>
      <c r="E103" s="13">
        <v>5671.67</v>
      </c>
      <c r="F103" s="3" t="s">
        <v>426</v>
      </c>
      <c r="G103" s="3" t="s">
        <v>427</v>
      </c>
      <c r="H103" s="14">
        <f t="shared" si="1"/>
        <v>-60350.630000000005</v>
      </c>
    </row>
    <row r="104" spans="1:8" ht="15.75" hidden="1" outlineLevel="3" x14ac:dyDescent="0.25">
      <c r="A104" s="2" t="s">
        <v>428</v>
      </c>
      <c r="B104" s="2" t="s">
        <v>429</v>
      </c>
      <c r="C104" s="2" t="s">
        <v>430</v>
      </c>
      <c r="D104" s="12">
        <v>49032.11</v>
      </c>
      <c r="E104" s="12">
        <v>5671.67</v>
      </c>
      <c r="F104" s="2" t="s">
        <v>431</v>
      </c>
      <c r="G104" s="2" t="s">
        <v>432</v>
      </c>
      <c r="H104" s="14">
        <f t="shared" si="1"/>
        <v>-43360.44</v>
      </c>
    </row>
    <row r="105" spans="1:8" ht="15.75" hidden="1" outlineLevel="3" x14ac:dyDescent="0.25">
      <c r="A105" s="3" t="s">
        <v>433</v>
      </c>
      <c r="B105" s="3" t="s">
        <v>434</v>
      </c>
      <c r="C105" s="3" t="s">
        <v>435</v>
      </c>
      <c r="D105" s="13">
        <v>16990.189999999999</v>
      </c>
      <c r="E105" s="13">
        <v>0</v>
      </c>
      <c r="F105" s="3" t="s">
        <v>436</v>
      </c>
      <c r="G105" s="3" t="s">
        <v>437</v>
      </c>
      <c r="H105" s="14">
        <f t="shared" si="1"/>
        <v>-16990.189999999999</v>
      </c>
    </row>
    <row r="106" spans="1:8" ht="15.75" hidden="1" outlineLevel="2" collapsed="1" x14ac:dyDescent="0.25">
      <c r="A106" s="2" t="s">
        <v>438</v>
      </c>
      <c r="B106" s="2" t="s">
        <v>439</v>
      </c>
      <c r="C106" s="2" t="s">
        <v>440</v>
      </c>
      <c r="D106" s="12">
        <v>12776.21</v>
      </c>
      <c r="E106" s="12">
        <v>1181.81</v>
      </c>
      <c r="F106" s="2" t="s">
        <v>441</v>
      </c>
      <c r="G106" s="2" t="s">
        <v>442</v>
      </c>
      <c r="H106" s="14">
        <f t="shared" si="1"/>
        <v>-11594.4</v>
      </c>
    </row>
    <row r="107" spans="1:8" ht="15.75" hidden="1" outlineLevel="3" x14ac:dyDescent="0.25">
      <c r="A107" s="3" t="s">
        <v>443</v>
      </c>
      <c r="B107" s="3" t="s">
        <v>444</v>
      </c>
      <c r="C107" s="3" t="s">
        <v>40</v>
      </c>
      <c r="D107" s="13">
        <v>0</v>
      </c>
      <c r="E107" s="13">
        <v>0</v>
      </c>
      <c r="F107" s="3" t="s">
        <v>40</v>
      </c>
      <c r="G107" s="3" t="s">
        <v>40</v>
      </c>
      <c r="H107" s="14">
        <f t="shared" si="1"/>
        <v>0</v>
      </c>
    </row>
    <row r="108" spans="1:8" ht="15.75" hidden="1" outlineLevel="3" x14ac:dyDescent="0.25">
      <c r="A108" s="2" t="s">
        <v>445</v>
      </c>
      <c r="B108" s="2" t="s">
        <v>446</v>
      </c>
      <c r="C108" s="2" t="s">
        <v>440</v>
      </c>
      <c r="D108" s="12">
        <v>12776.21</v>
      </c>
      <c r="E108" s="12">
        <v>1181.81</v>
      </c>
      <c r="F108" s="2" t="s">
        <v>441</v>
      </c>
      <c r="G108" s="2" t="s">
        <v>442</v>
      </c>
      <c r="H108" s="14">
        <f t="shared" si="1"/>
        <v>-11594.4</v>
      </c>
    </row>
    <row r="109" spans="1:8" ht="15.75" hidden="1" outlineLevel="2" collapsed="1" x14ac:dyDescent="0.25">
      <c r="A109" s="3" t="s">
        <v>447</v>
      </c>
      <c r="B109" s="3" t="s">
        <v>448</v>
      </c>
      <c r="C109" s="3" t="s">
        <v>449</v>
      </c>
      <c r="D109" s="13">
        <v>1499.34</v>
      </c>
      <c r="E109" s="13">
        <v>0</v>
      </c>
      <c r="F109" s="3" t="s">
        <v>450</v>
      </c>
      <c r="G109" s="3" t="s">
        <v>451</v>
      </c>
      <c r="H109" s="14">
        <f t="shared" si="1"/>
        <v>-1499.34</v>
      </c>
    </row>
    <row r="110" spans="1:8" ht="15.75" hidden="1" outlineLevel="3" x14ac:dyDescent="0.25">
      <c r="A110" s="2" t="s">
        <v>452</v>
      </c>
      <c r="B110" s="2" t="s">
        <v>453</v>
      </c>
      <c r="C110" s="2" t="s">
        <v>40</v>
      </c>
      <c r="D110" s="12">
        <v>0</v>
      </c>
      <c r="E110" s="12">
        <v>0</v>
      </c>
      <c r="F110" s="2" t="s">
        <v>40</v>
      </c>
      <c r="G110" s="2" t="s">
        <v>40</v>
      </c>
      <c r="H110" s="14">
        <f t="shared" si="1"/>
        <v>0</v>
      </c>
    </row>
    <row r="111" spans="1:8" ht="15.75" hidden="1" outlineLevel="3" x14ac:dyDescent="0.25">
      <c r="A111" s="3" t="s">
        <v>454</v>
      </c>
      <c r="B111" s="3" t="s">
        <v>455</v>
      </c>
      <c r="C111" s="3" t="s">
        <v>456</v>
      </c>
      <c r="D111" s="13">
        <v>135.30000000000001</v>
      </c>
      <c r="E111" s="13">
        <v>0</v>
      </c>
      <c r="F111" s="3" t="s">
        <v>457</v>
      </c>
      <c r="G111" s="3" t="s">
        <v>458</v>
      </c>
      <c r="H111" s="14">
        <f t="shared" si="1"/>
        <v>-135.30000000000001</v>
      </c>
    </row>
    <row r="112" spans="1:8" ht="15.75" hidden="1" outlineLevel="3" x14ac:dyDescent="0.25">
      <c r="A112" s="2" t="s">
        <v>459</v>
      </c>
      <c r="B112" s="2" t="s">
        <v>460</v>
      </c>
      <c r="C112" s="2" t="s">
        <v>461</v>
      </c>
      <c r="D112" s="12">
        <v>1364.04</v>
      </c>
      <c r="E112" s="12">
        <v>0</v>
      </c>
      <c r="F112" s="2" t="s">
        <v>462</v>
      </c>
      <c r="G112" s="2" t="s">
        <v>463</v>
      </c>
      <c r="H112" s="14">
        <f t="shared" si="1"/>
        <v>-1364.04</v>
      </c>
    </row>
    <row r="113" spans="1:8" ht="15.75" hidden="1" outlineLevel="2" collapsed="1" x14ac:dyDescent="0.25">
      <c r="A113" s="3" t="s">
        <v>464</v>
      </c>
      <c r="B113" s="3" t="s">
        <v>465</v>
      </c>
      <c r="C113" s="3" t="s">
        <v>466</v>
      </c>
      <c r="D113" s="13">
        <v>0</v>
      </c>
      <c r="E113" s="13">
        <v>0</v>
      </c>
      <c r="F113" s="3" t="s">
        <v>40</v>
      </c>
      <c r="G113" s="3" t="s">
        <v>466</v>
      </c>
      <c r="H113" s="14">
        <f t="shared" si="1"/>
        <v>0</v>
      </c>
    </row>
    <row r="114" spans="1:8" ht="15.75" hidden="1" outlineLevel="3" x14ac:dyDescent="0.25">
      <c r="A114" s="2" t="s">
        <v>467</v>
      </c>
      <c r="B114" s="2" t="s">
        <v>468</v>
      </c>
      <c r="C114" s="2" t="s">
        <v>469</v>
      </c>
      <c r="D114" s="12">
        <v>0</v>
      </c>
      <c r="E114" s="12">
        <v>0</v>
      </c>
      <c r="F114" s="2" t="s">
        <v>40</v>
      </c>
      <c r="G114" s="2" t="s">
        <v>469</v>
      </c>
      <c r="H114" s="14">
        <f t="shared" si="1"/>
        <v>0</v>
      </c>
    </row>
    <row r="115" spans="1:8" ht="15.75" hidden="1" outlineLevel="3" x14ac:dyDescent="0.25">
      <c r="A115" s="3" t="s">
        <v>470</v>
      </c>
      <c r="B115" s="3" t="s">
        <v>471</v>
      </c>
      <c r="C115" s="3" t="s">
        <v>472</v>
      </c>
      <c r="D115" s="13">
        <v>0</v>
      </c>
      <c r="E115" s="13">
        <v>0</v>
      </c>
      <c r="F115" s="3" t="s">
        <v>40</v>
      </c>
      <c r="G115" s="3" t="s">
        <v>472</v>
      </c>
      <c r="H115" s="14">
        <f t="shared" si="1"/>
        <v>0</v>
      </c>
    </row>
    <row r="116" spans="1:8" ht="15.75" hidden="1" outlineLevel="3" x14ac:dyDescent="0.25">
      <c r="A116" s="2" t="s">
        <v>473</v>
      </c>
      <c r="B116" s="2" t="s">
        <v>474</v>
      </c>
      <c r="C116" s="2" t="s">
        <v>475</v>
      </c>
      <c r="D116" s="12">
        <v>0</v>
      </c>
      <c r="E116" s="12">
        <v>0</v>
      </c>
      <c r="F116" s="2" t="s">
        <v>40</v>
      </c>
      <c r="G116" s="2" t="s">
        <v>475</v>
      </c>
      <c r="H116" s="14">
        <f t="shared" si="1"/>
        <v>0</v>
      </c>
    </row>
    <row r="117" spans="1:8" ht="15.75" hidden="1" outlineLevel="3" x14ac:dyDescent="0.25">
      <c r="A117" s="3" t="s">
        <v>476</v>
      </c>
      <c r="B117" s="3" t="s">
        <v>477</v>
      </c>
      <c r="C117" s="3" t="s">
        <v>478</v>
      </c>
      <c r="D117" s="13">
        <v>0</v>
      </c>
      <c r="E117" s="13">
        <v>0</v>
      </c>
      <c r="F117" s="3" t="s">
        <v>40</v>
      </c>
      <c r="G117" s="3" t="s">
        <v>478</v>
      </c>
      <c r="H117" s="14">
        <f t="shared" si="1"/>
        <v>0</v>
      </c>
    </row>
    <row r="118" spans="1:8" ht="15.75" hidden="1" outlineLevel="2" collapsed="1" x14ac:dyDescent="0.25">
      <c r="A118" s="2" t="s">
        <v>479</v>
      </c>
      <c r="B118" s="2" t="s">
        <v>480</v>
      </c>
      <c r="C118" s="2" t="s">
        <v>481</v>
      </c>
      <c r="D118" s="12">
        <v>43199.91</v>
      </c>
      <c r="E118" s="12">
        <v>0</v>
      </c>
      <c r="F118" s="2" t="s">
        <v>482</v>
      </c>
      <c r="G118" s="2" t="s">
        <v>483</v>
      </c>
      <c r="H118" s="14">
        <f t="shared" si="1"/>
        <v>-43199.91</v>
      </c>
    </row>
    <row r="119" spans="1:8" ht="15.75" hidden="1" outlineLevel="3" x14ac:dyDescent="0.25">
      <c r="A119" s="3" t="s">
        <v>484</v>
      </c>
      <c r="B119" s="3" t="s">
        <v>485</v>
      </c>
      <c r="C119" s="3" t="s">
        <v>486</v>
      </c>
      <c r="D119" s="13">
        <v>0</v>
      </c>
      <c r="E119" s="13">
        <v>0</v>
      </c>
      <c r="F119" s="3" t="s">
        <v>40</v>
      </c>
      <c r="G119" s="3" t="s">
        <v>486</v>
      </c>
      <c r="H119" s="14">
        <f t="shared" si="1"/>
        <v>0</v>
      </c>
    </row>
    <row r="120" spans="1:8" ht="15.75" hidden="1" outlineLevel="3" x14ac:dyDescent="0.25">
      <c r="A120" s="2" t="s">
        <v>487</v>
      </c>
      <c r="B120" s="2" t="s">
        <v>488</v>
      </c>
      <c r="C120" s="2" t="s">
        <v>489</v>
      </c>
      <c r="D120" s="12">
        <v>20829.080000000002</v>
      </c>
      <c r="E120" s="12">
        <v>0</v>
      </c>
      <c r="F120" s="2" t="s">
        <v>490</v>
      </c>
      <c r="G120" s="2" t="s">
        <v>491</v>
      </c>
      <c r="H120" s="14">
        <f t="shared" si="1"/>
        <v>-20829.080000000002</v>
      </c>
    </row>
    <row r="121" spans="1:8" ht="15.75" hidden="1" outlineLevel="3" x14ac:dyDescent="0.25">
      <c r="A121" s="3" t="s">
        <v>492</v>
      </c>
      <c r="B121" s="3" t="s">
        <v>493</v>
      </c>
      <c r="C121" s="3" t="s">
        <v>40</v>
      </c>
      <c r="D121" s="13">
        <v>0</v>
      </c>
      <c r="E121" s="13">
        <v>0</v>
      </c>
      <c r="F121" s="3" t="s">
        <v>40</v>
      </c>
      <c r="G121" s="3" t="s">
        <v>40</v>
      </c>
      <c r="H121" s="14">
        <f t="shared" si="1"/>
        <v>0</v>
      </c>
    </row>
    <row r="122" spans="1:8" ht="15.75" hidden="1" outlineLevel="3" x14ac:dyDescent="0.25">
      <c r="A122" s="2" t="s">
        <v>494</v>
      </c>
      <c r="B122" s="2" t="s">
        <v>495</v>
      </c>
      <c r="C122" s="2" t="s">
        <v>496</v>
      </c>
      <c r="D122" s="12">
        <v>22370.83</v>
      </c>
      <c r="E122" s="12">
        <v>0</v>
      </c>
      <c r="F122" s="2" t="s">
        <v>497</v>
      </c>
      <c r="G122" s="2" t="s">
        <v>498</v>
      </c>
      <c r="H122" s="14">
        <f t="shared" si="1"/>
        <v>-22370.83</v>
      </c>
    </row>
    <row r="123" spans="1:8" ht="15.75" hidden="1" outlineLevel="3" x14ac:dyDescent="0.25">
      <c r="A123" s="3" t="s">
        <v>499</v>
      </c>
      <c r="B123" s="3" t="s">
        <v>500</v>
      </c>
      <c r="C123" s="3" t="s">
        <v>501</v>
      </c>
      <c r="D123" s="13">
        <v>0</v>
      </c>
      <c r="E123" s="13">
        <v>0</v>
      </c>
      <c r="F123" s="3" t="s">
        <v>40</v>
      </c>
      <c r="G123" s="3" t="s">
        <v>501</v>
      </c>
      <c r="H123" s="14">
        <f t="shared" si="1"/>
        <v>0</v>
      </c>
    </row>
    <row r="124" spans="1:8" ht="15.75" hidden="1" outlineLevel="2" collapsed="1" x14ac:dyDescent="0.25">
      <c r="A124" s="2" t="s">
        <v>502</v>
      </c>
      <c r="B124" s="2" t="s">
        <v>503</v>
      </c>
      <c r="C124" s="2" t="s">
        <v>504</v>
      </c>
      <c r="D124" s="12">
        <v>1125.98</v>
      </c>
      <c r="E124" s="12">
        <v>0</v>
      </c>
      <c r="F124" s="2" t="s">
        <v>505</v>
      </c>
      <c r="G124" s="2" t="s">
        <v>506</v>
      </c>
      <c r="H124" s="14">
        <f t="shared" si="1"/>
        <v>-1125.98</v>
      </c>
    </row>
    <row r="125" spans="1:8" ht="15.75" hidden="1" outlineLevel="3" x14ac:dyDescent="0.25">
      <c r="A125" s="3" t="s">
        <v>507</v>
      </c>
      <c r="B125" s="3" t="s">
        <v>508</v>
      </c>
      <c r="C125" s="3" t="s">
        <v>509</v>
      </c>
      <c r="D125" s="13">
        <v>0</v>
      </c>
      <c r="E125" s="13">
        <v>0</v>
      </c>
      <c r="F125" s="3" t="s">
        <v>40</v>
      </c>
      <c r="G125" s="3" t="s">
        <v>509</v>
      </c>
      <c r="H125" s="14">
        <f t="shared" si="1"/>
        <v>0</v>
      </c>
    </row>
    <row r="126" spans="1:8" ht="15.75" hidden="1" outlineLevel="3" x14ac:dyDescent="0.25">
      <c r="A126" s="2" t="s">
        <v>510</v>
      </c>
      <c r="B126" s="2" t="s">
        <v>511</v>
      </c>
      <c r="C126" s="2" t="s">
        <v>512</v>
      </c>
      <c r="D126" s="12">
        <v>0</v>
      </c>
      <c r="E126" s="12">
        <v>0</v>
      </c>
      <c r="F126" s="2" t="s">
        <v>40</v>
      </c>
      <c r="G126" s="2" t="s">
        <v>512</v>
      </c>
      <c r="H126" s="14">
        <f t="shared" si="1"/>
        <v>0</v>
      </c>
    </row>
    <row r="127" spans="1:8" ht="15.75" hidden="1" outlineLevel="3" x14ac:dyDescent="0.25">
      <c r="A127" s="3" t="s">
        <v>513</v>
      </c>
      <c r="B127" s="3" t="s">
        <v>514</v>
      </c>
      <c r="C127" s="3" t="s">
        <v>515</v>
      </c>
      <c r="D127" s="13">
        <v>1125.98</v>
      </c>
      <c r="E127" s="13">
        <v>0</v>
      </c>
      <c r="F127" s="3" t="s">
        <v>505</v>
      </c>
      <c r="G127" s="3" t="s">
        <v>516</v>
      </c>
      <c r="H127" s="14">
        <f t="shared" si="1"/>
        <v>-1125.98</v>
      </c>
    </row>
    <row r="128" spans="1:8" ht="15.75" hidden="1" outlineLevel="2" collapsed="1" x14ac:dyDescent="0.25">
      <c r="A128" s="2" t="s">
        <v>517</v>
      </c>
      <c r="B128" s="2" t="s">
        <v>518</v>
      </c>
      <c r="C128" s="2" t="s">
        <v>519</v>
      </c>
      <c r="D128" s="12">
        <v>0</v>
      </c>
      <c r="E128" s="12">
        <v>0</v>
      </c>
      <c r="F128" s="2" t="s">
        <v>40</v>
      </c>
      <c r="G128" s="2" t="s">
        <v>519</v>
      </c>
      <c r="H128" s="14">
        <f t="shared" si="1"/>
        <v>0</v>
      </c>
    </row>
    <row r="129" spans="1:8" ht="15.75" hidden="1" outlineLevel="3" x14ac:dyDescent="0.25">
      <c r="A129" s="3" t="s">
        <v>520</v>
      </c>
      <c r="B129" s="3" t="s">
        <v>521</v>
      </c>
      <c r="C129" s="3" t="s">
        <v>40</v>
      </c>
      <c r="D129" s="13">
        <v>0</v>
      </c>
      <c r="E129" s="13">
        <v>0</v>
      </c>
      <c r="F129" s="3" t="s">
        <v>40</v>
      </c>
      <c r="G129" s="3" t="s">
        <v>40</v>
      </c>
      <c r="H129" s="14">
        <f t="shared" si="1"/>
        <v>0</v>
      </c>
    </row>
    <row r="130" spans="1:8" ht="15.75" hidden="1" outlineLevel="3" x14ac:dyDescent="0.25">
      <c r="A130" s="2" t="s">
        <v>522</v>
      </c>
      <c r="B130" s="2" t="s">
        <v>523</v>
      </c>
      <c r="C130" s="2" t="s">
        <v>40</v>
      </c>
      <c r="D130" s="12">
        <v>0</v>
      </c>
      <c r="E130" s="12">
        <v>0</v>
      </c>
      <c r="F130" s="2" t="s">
        <v>40</v>
      </c>
      <c r="G130" s="2" t="s">
        <v>40</v>
      </c>
      <c r="H130" s="14">
        <f t="shared" si="1"/>
        <v>0</v>
      </c>
    </row>
    <row r="131" spans="1:8" ht="15.75" hidden="1" outlineLevel="3" x14ac:dyDescent="0.25">
      <c r="A131" s="3" t="s">
        <v>524</v>
      </c>
      <c r="B131" s="3" t="s">
        <v>525</v>
      </c>
      <c r="C131" s="3" t="s">
        <v>519</v>
      </c>
      <c r="D131" s="13">
        <v>0</v>
      </c>
      <c r="E131" s="13">
        <v>0</v>
      </c>
      <c r="F131" s="3" t="s">
        <v>40</v>
      </c>
      <c r="G131" s="3" t="s">
        <v>519</v>
      </c>
      <c r="H131" s="14">
        <f t="shared" ref="H131:H194" si="2">E131-D131</f>
        <v>0</v>
      </c>
    </row>
    <row r="132" spans="1:8" ht="15.75" hidden="1" outlineLevel="3" x14ac:dyDescent="0.25">
      <c r="A132" s="2" t="s">
        <v>526</v>
      </c>
      <c r="B132" s="2" t="s">
        <v>527</v>
      </c>
      <c r="C132" s="2" t="s">
        <v>40</v>
      </c>
      <c r="D132" s="12">
        <v>0</v>
      </c>
      <c r="E132" s="12">
        <v>0</v>
      </c>
      <c r="F132" s="2" t="s">
        <v>40</v>
      </c>
      <c r="G132" s="2" t="s">
        <v>40</v>
      </c>
      <c r="H132" s="14">
        <f t="shared" si="2"/>
        <v>0</v>
      </c>
    </row>
    <row r="133" spans="1:8" ht="15.75" hidden="1" outlineLevel="3" x14ac:dyDescent="0.25">
      <c r="A133" s="3" t="s">
        <v>528</v>
      </c>
      <c r="B133" s="3" t="s">
        <v>529</v>
      </c>
      <c r="C133" s="3" t="s">
        <v>40</v>
      </c>
      <c r="D133" s="13">
        <v>0</v>
      </c>
      <c r="E133" s="13">
        <v>0</v>
      </c>
      <c r="F133" s="3" t="s">
        <v>40</v>
      </c>
      <c r="G133" s="3" t="s">
        <v>40</v>
      </c>
      <c r="H133" s="14">
        <f t="shared" si="2"/>
        <v>0</v>
      </c>
    </row>
    <row r="134" spans="1:8" ht="15.75" hidden="1" outlineLevel="3" x14ac:dyDescent="0.25">
      <c r="A134" s="2" t="s">
        <v>530</v>
      </c>
      <c r="B134" s="2" t="s">
        <v>531</v>
      </c>
      <c r="C134" s="2" t="s">
        <v>40</v>
      </c>
      <c r="D134" s="12">
        <v>0</v>
      </c>
      <c r="E134" s="12">
        <v>0</v>
      </c>
      <c r="F134" s="2" t="s">
        <v>40</v>
      </c>
      <c r="G134" s="2" t="s">
        <v>40</v>
      </c>
      <c r="H134" s="14">
        <f t="shared" si="2"/>
        <v>0</v>
      </c>
    </row>
    <row r="135" spans="1:8" ht="15.75" hidden="1" outlineLevel="2" collapsed="1" x14ac:dyDescent="0.25">
      <c r="A135" s="3" t="s">
        <v>532</v>
      </c>
      <c r="B135" s="3" t="s">
        <v>533</v>
      </c>
      <c r="C135" s="3" t="s">
        <v>534</v>
      </c>
      <c r="D135" s="13">
        <v>0</v>
      </c>
      <c r="E135" s="13">
        <v>0</v>
      </c>
      <c r="F135" s="3" t="s">
        <v>40</v>
      </c>
      <c r="G135" s="3" t="s">
        <v>534</v>
      </c>
      <c r="H135" s="14">
        <f t="shared" si="2"/>
        <v>0</v>
      </c>
    </row>
    <row r="136" spans="1:8" ht="15.75" hidden="1" outlineLevel="3" x14ac:dyDescent="0.25">
      <c r="A136" s="2" t="s">
        <v>535</v>
      </c>
      <c r="B136" s="2" t="s">
        <v>536</v>
      </c>
      <c r="C136" s="2" t="s">
        <v>537</v>
      </c>
      <c r="D136" s="12">
        <v>0</v>
      </c>
      <c r="E136" s="12">
        <v>0</v>
      </c>
      <c r="F136" s="2" t="s">
        <v>40</v>
      </c>
      <c r="G136" s="2" t="s">
        <v>537</v>
      </c>
      <c r="H136" s="14">
        <f t="shared" si="2"/>
        <v>0</v>
      </c>
    </row>
    <row r="137" spans="1:8" ht="15.75" hidden="1" outlineLevel="3" x14ac:dyDescent="0.25">
      <c r="A137" s="3" t="s">
        <v>538</v>
      </c>
      <c r="B137" s="3" t="s">
        <v>539</v>
      </c>
      <c r="C137" s="3" t="s">
        <v>40</v>
      </c>
      <c r="D137" s="13">
        <v>0</v>
      </c>
      <c r="E137" s="13">
        <v>0</v>
      </c>
      <c r="F137" s="3" t="s">
        <v>40</v>
      </c>
      <c r="G137" s="3" t="s">
        <v>40</v>
      </c>
      <c r="H137" s="14">
        <f t="shared" si="2"/>
        <v>0</v>
      </c>
    </row>
    <row r="138" spans="1:8" ht="15.75" hidden="1" outlineLevel="3" x14ac:dyDescent="0.25">
      <c r="A138" s="2" t="s">
        <v>540</v>
      </c>
      <c r="B138" s="2" t="s">
        <v>541</v>
      </c>
      <c r="C138" s="2" t="s">
        <v>40</v>
      </c>
      <c r="D138" s="12">
        <v>0</v>
      </c>
      <c r="E138" s="12">
        <v>0</v>
      </c>
      <c r="F138" s="2" t="s">
        <v>40</v>
      </c>
      <c r="G138" s="2" t="s">
        <v>40</v>
      </c>
      <c r="H138" s="14">
        <f t="shared" si="2"/>
        <v>0</v>
      </c>
    </row>
    <row r="139" spans="1:8" ht="15.75" hidden="1" outlineLevel="3" x14ac:dyDescent="0.25">
      <c r="A139" s="3" t="s">
        <v>542</v>
      </c>
      <c r="B139" s="3" t="s">
        <v>543</v>
      </c>
      <c r="C139" s="3" t="s">
        <v>40</v>
      </c>
      <c r="D139" s="13">
        <v>0</v>
      </c>
      <c r="E139" s="13">
        <v>0</v>
      </c>
      <c r="F139" s="3" t="s">
        <v>40</v>
      </c>
      <c r="G139" s="3" t="s">
        <v>40</v>
      </c>
      <c r="H139" s="14">
        <f t="shared" si="2"/>
        <v>0</v>
      </c>
    </row>
    <row r="140" spans="1:8" ht="15.75" hidden="1" outlineLevel="3" x14ac:dyDescent="0.25">
      <c r="A140" s="2" t="s">
        <v>544</v>
      </c>
      <c r="B140" s="2" t="s">
        <v>545</v>
      </c>
      <c r="C140" s="2" t="s">
        <v>546</v>
      </c>
      <c r="D140" s="12">
        <v>0</v>
      </c>
      <c r="E140" s="12">
        <v>0</v>
      </c>
      <c r="F140" s="2" t="s">
        <v>40</v>
      </c>
      <c r="G140" s="2" t="s">
        <v>546</v>
      </c>
      <c r="H140" s="14">
        <f t="shared" si="2"/>
        <v>0</v>
      </c>
    </row>
    <row r="141" spans="1:8" ht="15.75" hidden="1" outlineLevel="3" x14ac:dyDescent="0.25">
      <c r="A141" s="3" t="s">
        <v>547</v>
      </c>
      <c r="B141" s="3" t="s">
        <v>548</v>
      </c>
      <c r="C141" s="3" t="s">
        <v>40</v>
      </c>
      <c r="D141" s="13">
        <v>0</v>
      </c>
      <c r="E141" s="13">
        <v>0</v>
      </c>
      <c r="F141" s="3" t="s">
        <v>40</v>
      </c>
      <c r="G141" s="3" t="s">
        <v>40</v>
      </c>
      <c r="H141" s="14">
        <f t="shared" si="2"/>
        <v>0</v>
      </c>
    </row>
    <row r="142" spans="1:8" ht="15.75" hidden="1" outlineLevel="2" collapsed="1" x14ac:dyDescent="0.25">
      <c r="A142" s="2" t="s">
        <v>549</v>
      </c>
      <c r="B142" s="2" t="s">
        <v>550</v>
      </c>
      <c r="C142" s="2" t="s">
        <v>551</v>
      </c>
      <c r="D142" s="12">
        <v>11166.43</v>
      </c>
      <c r="E142" s="12">
        <v>91.57</v>
      </c>
      <c r="F142" s="2" t="s">
        <v>552</v>
      </c>
      <c r="G142" s="2" t="s">
        <v>553</v>
      </c>
      <c r="H142" s="14">
        <f t="shared" si="2"/>
        <v>-11074.86</v>
      </c>
    </row>
    <row r="143" spans="1:8" ht="15.75" hidden="1" outlineLevel="2" x14ac:dyDescent="0.25">
      <c r="A143" s="3" t="s">
        <v>554</v>
      </c>
      <c r="B143" s="3" t="s">
        <v>555</v>
      </c>
      <c r="C143" s="3" t="s">
        <v>40</v>
      </c>
      <c r="D143" s="13">
        <v>0</v>
      </c>
      <c r="E143" s="13">
        <v>0</v>
      </c>
      <c r="F143" s="3" t="s">
        <v>40</v>
      </c>
      <c r="G143" s="3" t="s">
        <v>40</v>
      </c>
      <c r="H143" s="14">
        <f t="shared" si="2"/>
        <v>0</v>
      </c>
    </row>
    <row r="144" spans="1:8" ht="15.75" hidden="1" outlineLevel="2" x14ac:dyDescent="0.25">
      <c r="A144" s="2" t="s">
        <v>556</v>
      </c>
      <c r="B144" s="2" t="s">
        <v>557</v>
      </c>
      <c r="C144" s="2" t="s">
        <v>558</v>
      </c>
      <c r="D144" s="12">
        <v>0</v>
      </c>
      <c r="E144" s="12">
        <v>0</v>
      </c>
      <c r="F144" s="2" t="s">
        <v>40</v>
      </c>
      <c r="G144" s="2" t="s">
        <v>558</v>
      </c>
      <c r="H144" s="14">
        <f t="shared" si="2"/>
        <v>0</v>
      </c>
    </row>
    <row r="145" spans="1:8" ht="15.75" hidden="1" outlineLevel="2" x14ac:dyDescent="0.25">
      <c r="A145" s="3" t="s">
        <v>559</v>
      </c>
      <c r="B145" s="3" t="s">
        <v>560</v>
      </c>
      <c r="C145" s="3" t="s">
        <v>40</v>
      </c>
      <c r="D145" s="13">
        <v>0</v>
      </c>
      <c r="E145" s="13">
        <v>0</v>
      </c>
      <c r="F145" s="3" t="s">
        <v>40</v>
      </c>
      <c r="G145" s="3" t="s">
        <v>40</v>
      </c>
      <c r="H145" s="14">
        <f t="shared" si="2"/>
        <v>0</v>
      </c>
    </row>
    <row r="146" spans="1:8" ht="15.75" hidden="1" outlineLevel="2" x14ac:dyDescent="0.25">
      <c r="A146" s="2" t="s">
        <v>561</v>
      </c>
      <c r="B146" s="2" t="s">
        <v>562</v>
      </c>
      <c r="C146" s="2" t="s">
        <v>40</v>
      </c>
      <c r="D146" s="12">
        <v>0</v>
      </c>
      <c r="E146" s="12">
        <v>0</v>
      </c>
      <c r="F146" s="2" t="s">
        <v>40</v>
      </c>
      <c r="G146" s="2" t="s">
        <v>40</v>
      </c>
      <c r="H146" s="14">
        <f t="shared" si="2"/>
        <v>0</v>
      </c>
    </row>
    <row r="147" spans="1:8" ht="15.75" hidden="1" outlineLevel="2" x14ac:dyDescent="0.25">
      <c r="A147" s="3" t="s">
        <v>563</v>
      </c>
      <c r="B147" s="3" t="s">
        <v>564</v>
      </c>
      <c r="C147" s="3" t="s">
        <v>40</v>
      </c>
      <c r="D147" s="13">
        <v>0</v>
      </c>
      <c r="E147" s="13">
        <v>0</v>
      </c>
      <c r="F147" s="3" t="s">
        <v>40</v>
      </c>
      <c r="G147" s="3" t="s">
        <v>40</v>
      </c>
      <c r="H147" s="14">
        <f t="shared" si="2"/>
        <v>0</v>
      </c>
    </row>
    <row r="148" spans="1:8" ht="15.75" hidden="1" outlineLevel="2" x14ac:dyDescent="0.25">
      <c r="A148" s="2" t="s">
        <v>565</v>
      </c>
      <c r="B148" s="2" t="s">
        <v>566</v>
      </c>
      <c r="C148" s="2" t="s">
        <v>567</v>
      </c>
      <c r="D148" s="12">
        <v>4565.78</v>
      </c>
      <c r="E148" s="12">
        <v>0</v>
      </c>
      <c r="F148" s="2" t="s">
        <v>568</v>
      </c>
      <c r="G148" s="2" t="s">
        <v>569</v>
      </c>
      <c r="H148" s="14">
        <f t="shared" si="2"/>
        <v>-4565.78</v>
      </c>
    </row>
    <row r="149" spans="1:8" ht="15.75" hidden="1" outlineLevel="2" x14ac:dyDescent="0.25">
      <c r="A149" s="3" t="s">
        <v>570</v>
      </c>
      <c r="B149" s="3" t="s">
        <v>571</v>
      </c>
      <c r="C149" s="3" t="s">
        <v>572</v>
      </c>
      <c r="D149" s="13">
        <v>4813.7299999999996</v>
      </c>
      <c r="E149" s="13">
        <v>91.57</v>
      </c>
      <c r="F149" s="3" t="s">
        <v>573</v>
      </c>
      <c r="G149" s="3" t="s">
        <v>574</v>
      </c>
      <c r="H149" s="14">
        <f t="shared" si="2"/>
        <v>-4722.16</v>
      </c>
    </row>
    <row r="150" spans="1:8" ht="15.75" hidden="1" outlineLevel="2" x14ac:dyDescent="0.25">
      <c r="A150" s="2" t="s">
        <v>575</v>
      </c>
      <c r="B150" s="2" t="s">
        <v>576</v>
      </c>
      <c r="C150" s="2" t="s">
        <v>577</v>
      </c>
      <c r="D150" s="12">
        <v>1786.92</v>
      </c>
      <c r="E150" s="12">
        <v>0</v>
      </c>
      <c r="F150" s="2" t="s">
        <v>578</v>
      </c>
      <c r="G150" s="2" t="s">
        <v>579</v>
      </c>
      <c r="H150" s="14">
        <f t="shared" si="2"/>
        <v>-1786.92</v>
      </c>
    </row>
    <row r="151" spans="1:8" ht="15.75" hidden="1" outlineLevel="2" x14ac:dyDescent="0.25">
      <c r="A151" s="3" t="s">
        <v>580</v>
      </c>
      <c r="B151" s="3" t="s">
        <v>581</v>
      </c>
      <c r="C151" s="3" t="s">
        <v>40</v>
      </c>
      <c r="D151" s="13">
        <v>0</v>
      </c>
      <c r="E151" s="13">
        <v>0</v>
      </c>
      <c r="F151" s="3" t="s">
        <v>40</v>
      </c>
      <c r="G151" s="3" t="s">
        <v>40</v>
      </c>
      <c r="H151" s="14">
        <f t="shared" si="2"/>
        <v>0</v>
      </c>
    </row>
    <row r="152" spans="1:8" ht="15.75" hidden="1" outlineLevel="2" x14ac:dyDescent="0.25">
      <c r="A152" s="2" t="s">
        <v>582</v>
      </c>
      <c r="B152" s="2" t="s">
        <v>583</v>
      </c>
      <c r="C152" s="2" t="s">
        <v>584</v>
      </c>
      <c r="D152" s="12">
        <v>0</v>
      </c>
      <c r="E152" s="12">
        <v>0</v>
      </c>
      <c r="F152" s="2" t="s">
        <v>40</v>
      </c>
      <c r="G152" s="2" t="s">
        <v>584</v>
      </c>
      <c r="H152" s="14">
        <f t="shared" si="2"/>
        <v>0</v>
      </c>
    </row>
    <row r="153" spans="1:8" ht="15.75" hidden="1" outlineLevel="2" x14ac:dyDescent="0.25">
      <c r="A153" s="3" t="s">
        <v>585</v>
      </c>
      <c r="B153" s="3" t="s">
        <v>586</v>
      </c>
      <c r="C153" s="3" t="s">
        <v>40</v>
      </c>
      <c r="D153" s="13">
        <v>0</v>
      </c>
      <c r="E153" s="13">
        <v>0</v>
      </c>
      <c r="F153" s="3" t="s">
        <v>40</v>
      </c>
      <c r="G153" s="3" t="s">
        <v>40</v>
      </c>
      <c r="H153" s="14">
        <f t="shared" si="2"/>
        <v>0</v>
      </c>
    </row>
    <row r="154" spans="1:8" ht="15.75" hidden="1" outlineLevel="2" x14ac:dyDescent="0.25">
      <c r="A154" s="2" t="s">
        <v>587</v>
      </c>
      <c r="B154" s="2" t="s">
        <v>588</v>
      </c>
      <c r="C154" s="2" t="s">
        <v>589</v>
      </c>
      <c r="D154" s="12">
        <v>0</v>
      </c>
      <c r="E154" s="12">
        <v>0</v>
      </c>
      <c r="F154" s="2" t="s">
        <v>40</v>
      </c>
      <c r="G154" s="2" t="s">
        <v>589</v>
      </c>
      <c r="H154" s="14">
        <f t="shared" si="2"/>
        <v>0</v>
      </c>
    </row>
    <row r="155" spans="1:8" ht="15.75" hidden="1" outlineLevel="2" x14ac:dyDescent="0.25">
      <c r="A155" s="3" t="s">
        <v>590</v>
      </c>
      <c r="B155" s="3" t="s">
        <v>591</v>
      </c>
      <c r="C155" s="3" t="s">
        <v>592</v>
      </c>
      <c r="D155" s="13">
        <v>0</v>
      </c>
      <c r="E155" s="13">
        <v>0</v>
      </c>
      <c r="F155" s="3" t="s">
        <v>40</v>
      </c>
      <c r="G155" s="3" t="s">
        <v>592</v>
      </c>
      <c r="H155" s="14">
        <f t="shared" si="2"/>
        <v>0</v>
      </c>
    </row>
    <row r="156" spans="1:8" ht="15.75" hidden="1" outlineLevel="2" x14ac:dyDescent="0.25">
      <c r="A156" s="2" t="s">
        <v>593</v>
      </c>
      <c r="B156" s="2" t="s">
        <v>594</v>
      </c>
      <c r="C156" s="2" t="s">
        <v>595</v>
      </c>
      <c r="D156" s="12">
        <v>0</v>
      </c>
      <c r="E156" s="12">
        <v>0</v>
      </c>
      <c r="F156" s="2" t="s">
        <v>40</v>
      </c>
      <c r="G156" s="2" t="s">
        <v>595</v>
      </c>
      <c r="H156" s="14">
        <f t="shared" si="2"/>
        <v>0</v>
      </c>
    </row>
    <row r="157" spans="1:8" ht="15.75" hidden="1" outlineLevel="2" x14ac:dyDescent="0.25">
      <c r="A157" s="3" t="s">
        <v>596</v>
      </c>
      <c r="B157" s="3" t="s">
        <v>597</v>
      </c>
      <c r="C157" s="3" t="s">
        <v>558</v>
      </c>
      <c r="D157" s="13">
        <v>0</v>
      </c>
      <c r="E157" s="13">
        <v>0</v>
      </c>
      <c r="F157" s="3" t="s">
        <v>40</v>
      </c>
      <c r="G157" s="3" t="s">
        <v>558</v>
      </c>
      <c r="H157" s="14">
        <f t="shared" si="2"/>
        <v>0</v>
      </c>
    </row>
    <row r="158" spans="1:8" ht="15.75" hidden="1" outlineLevel="1" collapsed="1" x14ac:dyDescent="0.25">
      <c r="A158" s="2" t="s">
        <v>598</v>
      </c>
      <c r="B158" s="2" t="s">
        <v>599</v>
      </c>
      <c r="C158" s="2" t="s">
        <v>600</v>
      </c>
      <c r="D158" s="12">
        <v>529391.69999999995</v>
      </c>
      <c r="E158" s="12">
        <v>17547.2</v>
      </c>
      <c r="F158" s="2" t="s">
        <v>601</v>
      </c>
      <c r="G158" s="2" t="s">
        <v>602</v>
      </c>
      <c r="H158" s="14">
        <f t="shared" si="2"/>
        <v>-511844.49999999994</v>
      </c>
    </row>
    <row r="159" spans="1:8" ht="15.75" hidden="1" outlineLevel="2" collapsed="1" x14ac:dyDescent="0.25">
      <c r="A159" s="3" t="s">
        <v>603</v>
      </c>
      <c r="B159" s="3" t="s">
        <v>599</v>
      </c>
      <c r="C159" s="3" t="s">
        <v>600</v>
      </c>
      <c r="D159" s="13">
        <v>529391.69999999995</v>
      </c>
      <c r="E159" s="13">
        <v>17547.2</v>
      </c>
      <c r="F159" s="3" t="s">
        <v>601</v>
      </c>
      <c r="G159" s="3" t="s">
        <v>602</v>
      </c>
      <c r="H159" s="14">
        <f t="shared" si="2"/>
        <v>-511844.49999999994</v>
      </c>
    </row>
    <row r="160" spans="1:8" ht="15.75" hidden="1" outlineLevel="2" x14ac:dyDescent="0.25">
      <c r="A160" s="2" t="s">
        <v>604</v>
      </c>
      <c r="B160" s="2" t="s">
        <v>605</v>
      </c>
      <c r="C160" s="2" t="s">
        <v>40</v>
      </c>
      <c r="D160" s="12">
        <v>0</v>
      </c>
      <c r="E160" s="12">
        <v>0</v>
      </c>
      <c r="F160" s="2" t="s">
        <v>40</v>
      </c>
      <c r="G160" s="2" t="s">
        <v>40</v>
      </c>
      <c r="H160" s="14">
        <f t="shared" si="2"/>
        <v>0</v>
      </c>
    </row>
    <row r="161" spans="1:8" ht="15.75" hidden="1" outlineLevel="2" x14ac:dyDescent="0.25">
      <c r="A161" s="3" t="s">
        <v>606</v>
      </c>
      <c r="B161" s="3" t="s">
        <v>607</v>
      </c>
      <c r="C161" s="3" t="s">
        <v>40</v>
      </c>
      <c r="D161" s="13">
        <v>3523.79</v>
      </c>
      <c r="E161" s="13">
        <v>3523.79</v>
      </c>
      <c r="F161" s="3" t="s">
        <v>40</v>
      </c>
      <c r="G161" s="3" t="s">
        <v>40</v>
      </c>
      <c r="H161" s="14">
        <f t="shared" si="2"/>
        <v>0</v>
      </c>
    </row>
    <row r="162" spans="1:8" ht="15.75" hidden="1" outlineLevel="2" x14ac:dyDescent="0.25">
      <c r="A162" s="2" t="s">
        <v>608</v>
      </c>
      <c r="B162" s="2" t="s">
        <v>609</v>
      </c>
      <c r="C162" s="2" t="s">
        <v>610</v>
      </c>
      <c r="D162" s="12">
        <v>251304.87</v>
      </c>
      <c r="E162" s="12">
        <v>0</v>
      </c>
      <c r="F162" s="2" t="s">
        <v>611</v>
      </c>
      <c r="G162" s="2" t="s">
        <v>612</v>
      </c>
      <c r="H162" s="14">
        <f t="shared" si="2"/>
        <v>-251304.87</v>
      </c>
    </row>
    <row r="163" spans="1:8" ht="15.75" hidden="1" outlineLevel="2" x14ac:dyDescent="0.25">
      <c r="A163" s="3" t="s">
        <v>613</v>
      </c>
      <c r="B163" s="3" t="s">
        <v>614</v>
      </c>
      <c r="C163" s="3" t="s">
        <v>615</v>
      </c>
      <c r="D163" s="13">
        <v>9649.24</v>
      </c>
      <c r="E163" s="13">
        <v>8671.43</v>
      </c>
      <c r="F163" s="3" t="s">
        <v>616</v>
      </c>
      <c r="G163" s="3" t="s">
        <v>617</v>
      </c>
      <c r="H163" s="14">
        <f t="shared" si="2"/>
        <v>-977.80999999999949</v>
      </c>
    </row>
    <row r="164" spans="1:8" ht="15.75" hidden="1" outlineLevel="2" x14ac:dyDescent="0.25">
      <c r="A164" s="2" t="s">
        <v>618</v>
      </c>
      <c r="B164" s="2" t="s">
        <v>619</v>
      </c>
      <c r="C164" s="2" t="s">
        <v>620</v>
      </c>
      <c r="D164" s="12">
        <v>6183.21</v>
      </c>
      <c r="E164" s="12">
        <v>5351.98</v>
      </c>
      <c r="F164" s="2" t="s">
        <v>621</v>
      </c>
      <c r="G164" s="2" t="s">
        <v>622</v>
      </c>
      <c r="H164" s="14">
        <f t="shared" si="2"/>
        <v>-831.23000000000047</v>
      </c>
    </row>
    <row r="165" spans="1:8" ht="15.75" hidden="1" outlineLevel="2" x14ac:dyDescent="0.25">
      <c r="A165" s="3" t="s">
        <v>623</v>
      </c>
      <c r="B165" s="3" t="s">
        <v>624</v>
      </c>
      <c r="C165" s="3" t="s">
        <v>625</v>
      </c>
      <c r="D165" s="13">
        <v>258730.59</v>
      </c>
      <c r="E165" s="13">
        <v>0</v>
      </c>
      <c r="F165" s="3" t="s">
        <v>626</v>
      </c>
      <c r="G165" s="3" t="s">
        <v>627</v>
      </c>
      <c r="H165" s="14">
        <f t="shared" si="2"/>
        <v>-258730.59</v>
      </c>
    </row>
    <row r="166" spans="1:8" ht="15.75" hidden="1" outlineLevel="2" x14ac:dyDescent="0.25">
      <c r="A166" s="2" t="s">
        <v>628</v>
      </c>
      <c r="B166" s="2" t="s">
        <v>629</v>
      </c>
      <c r="C166" s="2" t="s">
        <v>40</v>
      </c>
      <c r="D166" s="12">
        <v>0</v>
      </c>
      <c r="E166" s="12">
        <v>0</v>
      </c>
      <c r="F166" s="2" t="s">
        <v>40</v>
      </c>
      <c r="G166" s="2" t="s">
        <v>40</v>
      </c>
      <c r="H166" s="14">
        <f t="shared" si="2"/>
        <v>0</v>
      </c>
    </row>
    <row r="167" spans="1:8" ht="15.75" hidden="1" outlineLevel="2" x14ac:dyDescent="0.25">
      <c r="A167" s="3" t="s">
        <v>630</v>
      </c>
      <c r="B167" s="3" t="s">
        <v>631</v>
      </c>
      <c r="C167" s="3" t="s">
        <v>40</v>
      </c>
      <c r="D167" s="13">
        <v>0</v>
      </c>
      <c r="E167" s="13">
        <v>0</v>
      </c>
      <c r="F167" s="3" t="s">
        <v>40</v>
      </c>
      <c r="G167" s="3" t="s">
        <v>40</v>
      </c>
      <c r="H167" s="14">
        <f t="shared" si="2"/>
        <v>0</v>
      </c>
    </row>
    <row r="168" spans="1:8" ht="15.75" hidden="1" outlineLevel="2" x14ac:dyDescent="0.25">
      <c r="A168" s="2" t="s">
        <v>632</v>
      </c>
      <c r="B168" s="2" t="s">
        <v>633</v>
      </c>
      <c r="C168" s="2" t="s">
        <v>40</v>
      </c>
      <c r="D168" s="12">
        <v>0</v>
      </c>
      <c r="E168" s="12">
        <v>0</v>
      </c>
      <c r="F168" s="2" t="s">
        <v>40</v>
      </c>
      <c r="G168" s="2" t="s">
        <v>40</v>
      </c>
      <c r="H168" s="14">
        <f t="shared" si="2"/>
        <v>0</v>
      </c>
    </row>
    <row r="169" spans="1:8" ht="15.75" hidden="1" outlineLevel="1" collapsed="1" x14ac:dyDescent="0.25">
      <c r="A169" s="3" t="s">
        <v>634</v>
      </c>
      <c r="B169" s="3" t="s">
        <v>635</v>
      </c>
      <c r="C169" s="3" t="s">
        <v>636</v>
      </c>
      <c r="D169" s="13">
        <v>1410974.87</v>
      </c>
      <c r="E169" s="13">
        <v>130462.01</v>
      </c>
      <c r="F169" s="3" t="s">
        <v>637</v>
      </c>
      <c r="G169" s="3" t="s">
        <v>638</v>
      </c>
      <c r="H169" s="14">
        <f t="shared" si="2"/>
        <v>-1280512.8600000001</v>
      </c>
    </row>
    <row r="170" spans="1:8" ht="15.75" hidden="1" outlineLevel="2" collapsed="1" x14ac:dyDescent="0.25">
      <c r="A170" s="2" t="s">
        <v>639</v>
      </c>
      <c r="B170" s="2" t="s">
        <v>640</v>
      </c>
      <c r="C170" s="2" t="s">
        <v>636</v>
      </c>
      <c r="D170" s="12">
        <v>1410974.87</v>
      </c>
      <c r="E170" s="12">
        <v>130462.01</v>
      </c>
      <c r="F170" s="2" t="s">
        <v>637</v>
      </c>
      <c r="G170" s="2" t="s">
        <v>638</v>
      </c>
      <c r="H170" s="14">
        <f t="shared" si="2"/>
        <v>-1280512.8600000001</v>
      </c>
    </row>
    <row r="171" spans="1:8" ht="15.75" hidden="1" outlineLevel="2" x14ac:dyDescent="0.25">
      <c r="A171" s="3" t="s">
        <v>641</v>
      </c>
      <c r="B171" s="3" t="s">
        <v>642</v>
      </c>
      <c r="C171" s="3" t="s">
        <v>643</v>
      </c>
      <c r="D171" s="13">
        <v>674995.19999999995</v>
      </c>
      <c r="E171" s="13">
        <v>62437.06</v>
      </c>
      <c r="F171" s="3" t="s">
        <v>644</v>
      </c>
      <c r="G171" s="3" t="s">
        <v>645</v>
      </c>
      <c r="H171" s="14">
        <f t="shared" si="2"/>
        <v>-612558.1399999999</v>
      </c>
    </row>
    <row r="172" spans="1:8" ht="15.75" hidden="1" outlineLevel="2" x14ac:dyDescent="0.25">
      <c r="A172" s="2" t="s">
        <v>646</v>
      </c>
      <c r="B172" s="2" t="s">
        <v>647</v>
      </c>
      <c r="C172" s="2" t="s">
        <v>648</v>
      </c>
      <c r="D172" s="12">
        <v>735979.67</v>
      </c>
      <c r="E172" s="12">
        <v>68024.95</v>
      </c>
      <c r="F172" s="2" t="s">
        <v>649</v>
      </c>
      <c r="G172" s="2" t="s">
        <v>650</v>
      </c>
      <c r="H172" s="14">
        <f t="shared" si="2"/>
        <v>-667954.72000000009</v>
      </c>
    </row>
    <row r="173" spans="1:8" ht="15.75" hidden="1" outlineLevel="1" collapsed="1" x14ac:dyDescent="0.25">
      <c r="A173" s="3" t="s">
        <v>651</v>
      </c>
      <c r="B173" s="3" t="s">
        <v>652</v>
      </c>
      <c r="C173" s="3" t="s">
        <v>653</v>
      </c>
      <c r="D173" s="13">
        <v>0</v>
      </c>
      <c r="E173" s="13">
        <v>0</v>
      </c>
      <c r="F173" s="3" t="s">
        <v>40</v>
      </c>
      <c r="G173" s="3" t="s">
        <v>653</v>
      </c>
      <c r="H173" s="14">
        <f t="shared" si="2"/>
        <v>0</v>
      </c>
    </row>
    <row r="174" spans="1:8" ht="15.75" hidden="1" outlineLevel="2" collapsed="1" x14ac:dyDescent="0.25">
      <c r="A174" s="2" t="s">
        <v>654</v>
      </c>
      <c r="B174" s="2" t="s">
        <v>652</v>
      </c>
      <c r="C174" s="2" t="s">
        <v>653</v>
      </c>
      <c r="D174" s="12">
        <v>0</v>
      </c>
      <c r="E174" s="12">
        <v>0</v>
      </c>
      <c r="F174" s="2" t="s">
        <v>40</v>
      </c>
      <c r="G174" s="2" t="s">
        <v>653</v>
      </c>
      <c r="H174" s="14">
        <f t="shared" si="2"/>
        <v>0</v>
      </c>
    </row>
    <row r="175" spans="1:8" ht="15.75" hidden="1" outlineLevel="2" x14ac:dyDescent="0.25">
      <c r="A175" s="3" t="s">
        <v>655</v>
      </c>
      <c r="B175" s="3" t="s">
        <v>656</v>
      </c>
      <c r="C175" s="3" t="s">
        <v>657</v>
      </c>
      <c r="D175" s="13">
        <v>0</v>
      </c>
      <c r="E175" s="13">
        <v>0</v>
      </c>
      <c r="F175" s="3" t="s">
        <v>40</v>
      </c>
      <c r="G175" s="3" t="s">
        <v>657</v>
      </c>
      <c r="H175" s="14">
        <f t="shared" si="2"/>
        <v>0</v>
      </c>
    </row>
    <row r="176" spans="1:8" ht="15.75" hidden="1" outlineLevel="2" x14ac:dyDescent="0.25">
      <c r="A176" s="2" t="s">
        <v>658</v>
      </c>
      <c r="B176" s="2" t="s">
        <v>659</v>
      </c>
      <c r="C176" s="2" t="s">
        <v>660</v>
      </c>
      <c r="D176" s="12">
        <v>0</v>
      </c>
      <c r="E176" s="12">
        <v>0</v>
      </c>
      <c r="F176" s="2" t="s">
        <v>40</v>
      </c>
      <c r="G176" s="2" t="s">
        <v>660</v>
      </c>
      <c r="H176" s="14">
        <f t="shared" si="2"/>
        <v>0</v>
      </c>
    </row>
    <row r="177" spans="1:10" ht="15.75" hidden="1" outlineLevel="1" collapsed="1" x14ac:dyDescent="0.25">
      <c r="A177" s="3" t="s">
        <v>661</v>
      </c>
      <c r="B177" s="3" t="s">
        <v>662</v>
      </c>
      <c r="C177" s="3" t="s">
        <v>663</v>
      </c>
      <c r="D177" s="13">
        <v>0</v>
      </c>
      <c r="E177" s="13">
        <v>0</v>
      </c>
      <c r="F177" s="3" t="s">
        <v>40</v>
      </c>
      <c r="G177" s="3" t="s">
        <v>663</v>
      </c>
      <c r="H177" s="14">
        <f t="shared" si="2"/>
        <v>0</v>
      </c>
    </row>
    <row r="178" spans="1:10" ht="15.75" hidden="1" outlineLevel="2" collapsed="1" x14ac:dyDescent="0.25">
      <c r="A178" s="2" t="s">
        <v>664</v>
      </c>
      <c r="B178" s="2" t="s">
        <v>662</v>
      </c>
      <c r="C178" s="2" t="s">
        <v>663</v>
      </c>
      <c r="D178" s="12">
        <v>0</v>
      </c>
      <c r="E178" s="12">
        <v>0</v>
      </c>
      <c r="F178" s="2" t="s">
        <v>40</v>
      </c>
      <c r="G178" s="2" t="s">
        <v>663</v>
      </c>
      <c r="H178" s="14">
        <f t="shared" si="2"/>
        <v>0</v>
      </c>
    </row>
    <row r="179" spans="1:10" ht="15.75" hidden="1" outlineLevel="2" x14ac:dyDescent="0.25">
      <c r="A179" s="3" t="s">
        <v>665</v>
      </c>
      <c r="B179" s="3" t="s">
        <v>666</v>
      </c>
      <c r="C179" s="3" t="s">
        <v>667</v>
      </c>
      <c r="D179" s="13">
        <v>0</v>
      </c>
      <c r="E179" s="13">
        <v>0</v>
      </c>
      <c r="F179" s="3" t="s">
        <v>40</v>
      </c>
      <c r="G179" s="3" t="s">
        <v>667</v>
      </c>
      <c r="H179" s="14">
        <f t="shared" si="2"/>
        <v>0</v>
      </c>
    </row>
    <row r="180" spans="1:10" ht="15.75" hidden="1" outlineLevel="2" x14ac:dyDescent="0.25">
      <c r="A180" s="2" t="s">
        <v>668</v>
      </c>
      <c r="B180" s="2" t="s">
        <v>669</v>
      </c>
      <c r="C180" s="2" t="s">
        <v>670</v>
      </c>
      <c r="D180" s="12">
        <v>0</v>
      </c>
      <c r="E180" s="12">
        <v>0</v>
      </c>
      <c r="F180" s="2" t="s">
        <v>40</v>
      </c>
      <c r="G180" s="2" t="s">
        <v>670</v>
      </c>
      <c r="H180" s="14">
        <f t="shared" si="2"/>
        <v>0</v>
      </c>
    </row>
    <row r="181" spans="1:10" ht="15.75" x14ac:dyDescent="0.25">
      <c r="A181" s="3" t="s">
        <v>671</v>
      </c>
      <c r="B181" s="3" t="s">
        <v>672</v>
      </c>
      <c r="C181" s="3" t="s">
        <v>673</v>
      </c>
      <c r="D181" s="13">
        <v>8593048.4600000009</v>
      </c>
      <c r="E181" s="13">
        <v>11291033.67</v>
      </c>
      <c r="F181" s="3" t="s">
        <v>674</v>
      </c>
      <c r="G181" s="3" t="s">
        <v>675</v>
      </c>
      <c r="H181" s="14">
        <f t="shared" si="2"/>
        <v>2697985.209999999</v>
      </c>
      <c r="I181" s="6" t="s">
        <v>1290</v>
      </c>
      <c r="J181" t="s">
        <v>1295</v>
      </c>
    </row>
    <row r="182" spans="1:10" ht="15.75" collapsed="1" x14ac:dyDescent="0.25">
      <c r="A182" s="2" t="s">
        <v>676</v>
      </c>
      <c r="B182" s="2" t="s">
        <v>677</v>
      </c>
      <c r="C182" s="2" t="s">
        <v>678</v>
      </c>
      <c r="D182" s="12">
        <v>844181.36</v>
      </c>
      <c r="E182" s="12">
        <v>54989.85</v>
      </c>
      <c r="F182" s="2" t="s">
        <v>679</v>
      </c>
      <c r="G182" s="2" t="s">
        <v>680</v>
      </c>
      <c r="H182" s="14">
        <f t="shared" si="2"/>
        <v>-789191.51</v>
      </c>
      <c r="I182" s="6" t="s">
        <v>1290</v>
      </c>
    </row>
    <row r="183" spans="1:10" ht="15.75" hidden="1" outlineLevel="1" x14ac:dyDescent="0.25">
      <c r="A183" s="3" t="s">
        <v>681</v>
      </c>
      <c r="B183" s="3" t="s">
        <v>682</v>
      </c>
      <c r="C183" s="3" t="s">
        <v>683</v>
      </c>
      <c r="D183" s="13">
        <v>287636.7</v>
      </c>
      <c r="E183" s="13">
        <v>22960.3</v>
      </c>
      <c r="F183" s="3" t="s">
        <v>684</v>
      </c>
      <c r="G183" s="3" t="s">
        <v>685</v>
      </c>
      <c r="H183" s="14">
        <f t="shared" si="2"/>
        <v>-264676.40000000002</v>
      </c>
    </row>
    <row r="184" spans="1:10" ht="15.75" hidden="1" outlineLevel="2" x14ac:dyDescent="0.25">
      <c r="A184" s="2" t="s">
        <v>686</v>
      </c>
      <c r="B184" s="2" t="s">
        <v>106</v>
      </c>
      <c r="C184" s="2" t="s">
        <v>687</v>
      </c>
      <c r="D184" s="12">
        <v>179565.49</v>
      </c>
      <c r="E184" s="12">
        <v>2835.31</v>
      </c>
      <c r="F184" s="2" t="s">
        <v>688</v>
      </c>
      <c r="G184" s="2" t="s">
        <v>689</v>
      </c>
      <c r="H184" s="14">
        <f t="shared" si="2"/>
        <v>-176730.18</v>
      </c>
    </row>
    <row r="185" spans="1:10" ht="15.75" hidden="1" outlineLevel="3" x14ac:dyDescent="0.25">
      <c r="A185" s="3" t="s">
        <v>690</v>
      </c>
      <c r="B185" s="3" t="s">
        <v>111</v>
      </c>
      <c r="C185" s="3" t="s">
        <v>691</v>
      </c>
      <c r="D185" s="13">
        <v>125393.61</v>
      </c>
      <c r="E185" s="13">
        <v>528.63</v>
      </c>
      <c r="F185" s="3" t="s">
        <v>692</v>
      </c>
      <c r="G185" s="3" t="s">
        <v>693</v>
      </c>
      <c r="H185" s="14">
        <f t="shared" si="2"/>
        <v>-124864.98</v>
      </c>
    </row>
    <row r="186" spans="1:10" ht="15.75" hidden="1" outlineLevel="3" x14ac:dyDescent="0.25">
      <c r="A186" s="2" t="s">
        <v>694</v>
      </c>
      <c r="B186" s="2" t="s">
        <v>116</v>
      </c>
      <c r="C186" s="2" t="s">
        <v>695</v>
      </c>
      <c r="D186" s="12">
        <v>1000</v>
      </c>
      <c r="E186" s="12">
        <v>0</v>
      </c>
      <c r="F186" s="2" t="s">
        <v>696</v>
      </c>
      <c r="G186" s="2" t="s">
        <v>697</v>
      </c>
      <c r="H186" s="14">
        <f t="shared" si="2"/>
        <v>-1000</v>
      </c>
    </row>
    <row r="187" spans="1:10" ht="15.75" hidden="1" outlineLevel="3" x14ac:dyDescent="0.25">
      <c r="A187" s="3" t="s">
        <v>698</v>
      </c>
      <c r="B187" s="3" t="s">
        <v>121</v>
      </c>
      <c r="C187" s="3" t="s">
        <v>699</v>
      </c>
      <c r="D187" s="13">
        <v>1142.52</v>
      </c>
      <c r="E187" s="13">
        <v>0</v>
      </c>
      <c r="F187" s="3" t="s">
        <v>700</v>
      </c>
      <c r="G187" s="3" t="s">
        <v>701</v>
      </c>
      <c r="H187" s="14">
        <f t="shared" si="2"/>
        <v>-1142.52</v>
      </c>
    </row>
    <row r="188" spans="1:10" ht="15.75" hidden="1" outlineLevel="3" x14ac:dyDescent="0.25">
      <c r="A188" s="2" t="s">
        <v>702</v>
      </c>
      <c r="B188" s="2" t="s">
        <v>126</v>
      </c>
      <c r="C188" s="2" t="s">
        <v>703</v>
      </c>
      <c r="D188" s="12">
        <v>346.19</v>
      </c>
      <c r="E188" s="12">
        <v>0</v>
      </c>
      <c r="F188" s="2" t="s">
        <v>704</v>
      </c>
      <c r="G188" s="2" t="s">
        <v>705</v>
      </c>
      <c r="H188" s="14">
        <f t="shared" si="2"/>
        <v>-346.19</v>
      </c>
    </row>
    <row r="189" spans="1:10" ht="15.75" hidden="1" outlineLevel="3" x14ac:dyDescent="0.25">
      <c r="A189" s="3" t="s">
        <v>706</v>
      </c>
      <c r="B189" s="3" t="s">
        <v>131</v>
      </c>
      <c r="C189" s="3" t="s">
        <v>707</v>
      </c>
      <c r="D189" s="13">
        <v>2206.87</v>
      </c>
      <c r="E189" s="13">
        <v>0</v>
      </c>
      <c r="F189" s="3" t="s">
        <v>708</v>
      </c>
      <c r="G189" s="3" t="s">
        <v>709</v>
      </c>
      <c r="H189" s="14">
        <f t="shared" si="2"/>
        <v>-2206.87</v>
      </c>
    </row>
    <row r="190" spans="1:10" ht="15.75" hidden="1" outlineLevel="3" x14ac:dyDescent="0.25">
      <c r="A190" s="2" t="s">
        <v>710</v>
      </c>
      <c r="B190" s="2" t="s">
        <v>136</v>
      </c>
      <c r="C190" s="2" t="s">
        <v>711</v>
      </c>
      <c r="D190" s="12">
        <v>39.950000000000003</v>
      </c>
      <c r="E190" s="12">
        <v>0</v>
      </c>
      <c r="F190" s="2" t="s">
        <v>712</v>
      </c>
      <c r="G190" s="2" t="s">
        <v>713</v>
      </c>
      <c r="H190" s="14">
        <f t="shared" si="2"/>
        <v>-39.950000000000003</v>
      </c>
    </row>
    <row r="191" spans="1:10" ht="15.75" hidden="1" outlineLevel="3" x14ac:dyDescent="0.25">
      <c r="A191" s="3" t="s">
        <v>714</v>
      </c>
      <c r="B191" s="3" t="s">
        <v>141</v>
      </c>
      <c r="C191" s="3" t="s">
        <v>40</v>
      </c>
      <c r="D191" s="13">
        <v>0</v>
      </c>
      <c r="E191" s="13">
        <v>0</v>
      </c>
      <c r="F191" s="3" t="s">
        <v>40</v>
      </c>
      <c r="G191" s="3" t="s">
        <v>40</v>
      </c>
      <c r="H191" s="14">
        <f t="shared" si="2"/>
        <v>0</v>
      </c>
    </row>
    <row r="192" spans="1:10" ht="15.75" hidden="1" outlineLevel="3" x14ac:dyDescent="0.25">
      <c r="A192" s="2" t="s">
        <v>715</v>
      </c>
      <c r="B192" s="2" t="s">
        <v>146</v>
      </c>
      <c r="C192" s="2" t="s">
        <v>716</v>
      </c>
      <c r="D192" s="12">
        <v>0</v>
      </c>
      <c r="E192" s="12">
        <v>0</v>
      </c>
      <c r="F192" s="2" t="s">
        <v>40</v>
      </c>
      <c r="G192" s="2" t="s">
        <v>716</v>
      </c>
      <c r="H192" s="14">
        <f t="shared" si="2"/>
        <v>0</v>
      </c>
    </row>
    <row r="193" spans="1:8" ht="15.75" hidden="1" outlineLevel="3" x14ac:dyDescent="0.25">
      <c r="A193" s="3" t="s">
        <v>717</v>
      </c>
      <c r="B193" s="3" t="s">
        <v>151</v>
      </c>
      <c r="C193" s="3" t="s">
        <v>718</v>
      </c>
      <c r="D193" s="13">
        <v>421.33</v>
      </c>
      <c r="E193" s="13">
        <v>0</v>
      </c>
      <c r="F193" s="3" t="s">
        <v>719</v>
      </c>
      <c r="G193" s="3" t="s">
        <v>720</v>
      </c>
      <c r="H193" s="14">
        <f t="shared" si="2"/>
        <v>-421.33</v>
      </c>
    </row>
    <row r="194" spans="1:8" ht="15.75" hidden="1" outlineLevel="3" x14ac:dyDescent="0.25">
      <c r="A194" s="2" t="s">
        <v>721</v>
      </c>
      <c r="B194" s="2" t="s">
        <v>156</v>
      </c>
      <c r="C194" s="2" t="s">
        <v>722</v>
      </c>
      <c r="D194" s="12">
        <v>11039.51</v>
      </c>
      <c r="E194" s="12">
        <v>0</v>
      </c>
      <c r="F194" s="2" t="s">
        <v>723</v>
      </c>
      <c r="G194" s="2" t="s">
        <v>724</v>
      </c>
      <c r="H194" s="14">
        <f t="shared" si="2"/>
        <v>-11039.51</v>
      </c>
    </row>
    <row r="195" spans="1:8" ht="15.75" hidden="1" outlineLevel="3" x14ac:dyDescent="0.25">
      <c r="A195" s="3" t="s">
        <v>725</v>
      </c>
      <c r="B195" s="3" t="s">
        <v>161</v>
      </c>
      <c r="C195" s="3" t="s">
        <v>726</v>
      </c>
      <c r="D195" s="13">
        <v>15679.75</v>
      </c>
      <c r="E195" s="13">
        <v>0</v>
      </c>
      <c r="F195" s="3" t="s">
        <v>727</v>
      </c>
      <c r="G195" s="3" t="s">
        <v>728</v>
      </c>
      <c r="H195" s="14">
        <f t="shared" ref="H195:H258" si="3">E195-D195</f>
        <v>-15679.75</v>
      </c>
    </row>
    <row r="196" spans="1:8" ht="15.75" hidden="1" outlineLevel="3" x14ac:dyDescent="0.25">
      <c r="A196" s="2" t="s">
        <v>729</v>
      </c>
      <c r="B196" s="2" t="s">
        <v>166</v>
      </c>
      <c r="C196" s="2" t="s">
        <v>730</v>
      </c>
      <c r="D196" s="12">
        <v>6328.89</v>
      </c>
      <c r="E196" s="12">
        <v>2306.6799999999998</v>
      </c>
      <c r="F196" s="2" t="s">
        <v>731</v>
      </c>
      <c r="G196" s="2" t="s">
        <v>732</v>
      </c>
      <c r="H196" s="14">
        <f t="shared" si="3"/>
        <v>-4022.2100000000005</v>
      </c>
    </row>
    <row r="197" spans="1:8" ht="15.75" hidden="1" outlineLevel="3" x14ac:dyDescent="0.25">
      <c r="A197" s="3" t="s">
        <v>733</v>
      </c>
      <c r="B197" s="3" t="s">
        <v>171</v>
      </c>
      <c r="C197" s="3" t="s">
        <v>734</v>
      </c>
      <c r="D197" s="13">
        <v>971.11</v>
      </c>
      <c r="E197" s="13">
        <v>0</v>
      </c>
      <c r="F197" s="3" t="s">
        <v>735</v>
      </c>
      <c r="G197" s="3" t="s">
        <v>736</v>
      </c>
      <c r="H197" s="14">
        <f t="shared" si="3"/>
        <v>-971.11</v>
      </c>
    </row>
    <row r="198" spans="1:8" ht="15.75" hidden="1" outlineLevel="3" x14ac:dyDescent="0.25">
      <c r="A198" s="2" t="s">
        <v>737</v>
      </c>
      <c r="B198" s="2" t="s">
        <v>176</v>
      </c>
      <c r="C198" s="2" t="s">
        <v>738</v>
      </c>
      <c r="D198" s="12">
        <v>200</v>
      </c>
      <c r="E198" s="12">
        <v>0</v>
      </c>
      <c r="F198" s="2" t="s">
        <v>739</v>
      </c>
      <c r="G198" s="2" t="s">
        <v>740</v>
      </c>
      <c r="H198" s="14">
        <f t="shared" si="3"/>
        <v>-200</v>
      </c>
    </row>
    <row r="199" spans="1:8" ht="15.75" hidden="1" outlineLevel="3" x14ac:dyDescent="0.25">
      <c r="A199" s="3" t="s">
        <v>741</v>
      </c>
      <c r="B199" s="3" t="s">
        <v>181</v>
      </c>
      <c r="C199" s="3" t="s">
        <v>40</v>
      </c>
      <c r="D199" s="13">
        <v>0</v>
      </c>
      <c r="E199" s="13">
        <v>0</v>
      </c>
      <c r="F199" s="3" t="s">
        <v>40</v>
      </c>
      <c r="G199" s="3" t="s">
        <v>40</v>
      </c>
      <c r="H199" s="14">
        <f t="shared" si="3"/>
        <v>0</v>
      </c>
    </row>
    <row r="200" spans="1:8" ht="15.75" hidden="1" outlineLevel="3" x14ac:dyDescent="0.25">
      <c r="A200" s="2" t="s">
        <v>742</v>
      </c>
      <c r="B200" s="2" t="s">
        <v>186</v>
      </c>
      <c r="C200" s="2" t="s">
        <v>743</v>
      </c>
      <c r="D200" s="12">
        <v>12839.45</v>
      </c>
      <c r="E200" s="12">
        <v>0</v>
      </c>
      <c r="F200" s="2" t="s">
        <v>744</v>
      </c>
      <c r="G200" s="2" t="s">
        <v>745</v>
      </c>
      <c r="H200" s="14">
        <f t="shared" si="3"/>
        <v>-12839.45</v>
      </c>
    </row>
    <row r="201" spans="1:8" ht="15.75" hidden="1" outlineLevel="3" x14ac:dyDescent="0.25">
      <c r="A201" s="3" t="s">
        <v>746</v>
      </c>
      <c r="B201" s="3" t="s">
        <v>188</v>
      </c>
      <c r="C201" s="3" t="s">
        <v>747</v>
      </c>
      <c r="D201" s="13">
        <v>1449</v>
      </c>
      <c r="E201" s="13">
        <v>0</v>
      </c>
      <c r="F201" s="3" t="s">
        <v>748</v>
      </c>
      <c r="G201" s="3" t="s">
        <v>749</v>
      </c>
      <c r="H201" s="14">
        <f t="shared" si="3"/>
        <v>-1449</v>
      </c>
    </row>
    <row r="202" spans="1:8" ht="15.75" hidden="1" outlineLevel="3" x14ac:dyDescent="0.25">
      <c r="A202" s="2" t="s">
        <v>750</v>
      </c>
      <c r="B202" s="2" t="s">
        <v>193</v>
      </c>
      <c r="C202" s="2" t="s">
        <v>751</v>
      </c>
      <c r="D202" s="12">
        <v>0</v>
      </c>
      <c r="E202" s="12">
        <v>0</v>
      </c>
      <c r="F202" s="2" t="s">
        <v>40</v>
      </c>
      <c r="G202" s="2" t="s">
        <v>751</v>
      </c>
      <c r="H202" s="14">
        <f t="shared" si="3"/>
        <v>0</v>
      </c>
    </row>
    <row r="203" spans="1:8" ht="15.75" hidden="1" outlineLevel="3" x14ac:dyDescent="0.25">
      <c r="A203" s="3" t="s">
        <v>752</v>
      </c>
      <c r="B203" s="3" t="s">
        <v>198</v>
      </c>
      <c r="C203" s="3" t="s">
        <v>753</v>
      </c>
      <c r="D203" s="13">
        <v>0</v>
      </c>
      <c r="E203" s="13">
        <v>0</v>
      </c>
      <c r="F203" s="3" t="s">
        <v>40</v>
      </c>
      <c r="G203" s="3" t="s">
        <v>753</v>
      </c>
      <c r="H203" s="14">
        <f t="shared" si="3"/>
        <v>0</v>
      </c>
    </row>
    <row r="204" spans="1:8" ht="15.75" hidden="1" outlineLevel="3" x14ac:dyDescent="0.25">
      <c r="A204" s="2" t="s">
        <v>754</v>
      </c>
      <c r="B204" s="2" t="s">
        <v>203</v>
      </c>
      <c r="C204" s="2" t="s">
        <v>40</v>
      </c>
      <c r="D204" s="12">
        <v>0</v>
      </c>
      <c r="E204" s="12">
        <v>0</v>
      </c>
      <c r="F204" s="2" t="s">
        <v>40</v>
      </c>
      <c r="G204" s="2" t="s">
        <v>40</v>
      </c>
      <c r="H204" s="14">
        <f t="shared" si="3"/>
        <v>0</v>
      </c>
    </row>
    <row r="205" spans="1:8" ht="15.75" hidden="1" outlineLevel="3" x14ac:dyDescent="0.25">
      <c r="A205" s="3" t="s">
        <v>755</v>
      </c>
      <c r="B205" s="3" t="s">
        <v>205</v>
      </c>
      <c r="C205" s="3" t="s">
        <v>756</v>
      </c>
      <c r="D205" s="13">
        <v>507.31</v>
      </c>
      <c r="E205" s="13">
        <v>0</v>
      </c>
      <c r="F205" s="3" t="s">
        <v>757</v>
      </c>
      <c r="G205" s="3" t="s">
        <v>758</v>
      </c>
      <c r="H205" s="14">
        <f t="shared" si="3"/>
        <v>-507.31</v>
      </c>
    </row>
    <row r="206" spans="1:8" ht="15.75" hidden="1" outlineLevel="3" x14ac:dyDescent="0.25">
      <c r="A206" s="2" t="s">
        <v>759</v>
      </c>
      <c r="B206" s="2" t="s">
        <v>210</v>
      </c>
      <c r="C206" s="2" t="s">
        <v>760</v>
      </c>
      <c r="D206" s="12">
        <v>0</v>
      </c>
      <c r="E206" s="12">
        <v>0</v>
      </c>
      <c r="F206" s="2" t="s">
        <v>40</v>
      </c>
      <c r="G206" s="2" t="s">
        <v>760</v>
      </c>
      <c r="H206" s="14">
        <f t="shared" si="3"/>
        <v>0</v>
      </c>
    </row>
    <row r="207" spans="1:8" ht="15.75" hidden="1" outlineLevel="3" x14ac:dyDescent="0.25">
      <c r="A207" s="3" t="s">
        <v>761</v>
      </c>
      <c r="B207" s="3" t="s">
        <v>213</v>
      </c>
      <c r="C207" s="3" t="s">
        <v>762</v>
      </c>
      <c r="D207" s="13">
        <v>0</v>
      </c>
      <c r="E207" s="13">
        <v>0</v>
      </c>
      <c r="F207" s="3" t="s">
        <v>40</v>
      </c>
      <c r="G207" s="3" t="s">
        <v>762</v>
      </c>
      <c r="H207" s="14">
        <f t="shared" si="3"/>
        <v>0</v>
      </c>
    </row>
    <row r="208" spans="1:8" ht="15.75" hidden="1" outlineLevel="2" x14ac:dyDescent="0.25">
      <c r="A208" s="2" t="s">
        <v>763</v>
      </c>
      <c r="B208" s="2" t="s">
        <v>216</v>
      </c>
      <c r="C208" s="2" t="s">
        <v>764</v>
      </c>
      <c r="D208" s="12">
        <v>39886.57</v>
      </c>
      <c r="E208" s="12">
        <v>13126.05</v>
      </c>
      <c r="F208" s="2" t="s">
        <v>765</v>
      </c>
      <c r="G208" s="2" t="s">
        <v>766</v>
      </c>
      <c r="H208" s="14">
        <f t="shared" si="3"/>
        <v>-26760.52</v>
      </c>
    </row>
    <row r="209" spans="1:8" ht="15.75" hidden="1" outlineLevel="3" x14ac:dyDescent="0.25">
      <c r="A209" s="3" t="s">
        <v>767</v>
      </c>
      <c r="B209" s="3" t="s">
        <v>221</v>
      </c>
      <c r="C209" s="3" t="s">
        <v>768</v>
      </c>
      <c r="D209" s="13">
        <v>25207.55</v>
      </c>
      <c r="E209" s="13">
        <v>13126.05</v>
      </c>
      <c r="F209" s="3" t="s">
        <v>769</v>
      </c>
      <c r="G209" s="3" t="s">
        <v>770</v>
      </c>
      <c r="H209" s="14">
        <f t="shared" si="3"/>
        <v>-12081.5</v>
      </c>
    </row>
    <row r="210" spans="1:8" ht="15.75" hidden="1" outlineLevel="3" x14ac:dyDescent="0.25">
      <c r="A210" s="2" t="s">
        <v>771</v>
      </c>
      <c r="B210" s="2" t="s">
        <v>226</v>
      </c>
      <c r="C210" s="2" t="s">
        <v>772</v>
      </c>
      <c r="D210" s="12">
        <v>10650.72</v>
      </c>
      <c r="E210" s="12">
        <v>0</v>
      </c>
      <c r="F210" s="2" t="s">
        <v>773</v>
      </c>
      <c r="G210" s="2" t="s">
        <v>774</v>
      </c>
      <c r="H210" s="14">
        <f t="shared" si="3"/>
        <v>-10650.72</v>
      </c>
    </row>
    <row r="211" spans="1:8" ht="15.75" hidden="1" outlineLevel="3" x14ac:dyDescent="0.25">
      <c r="A211" s="3" t="s">
        <v>775</v>
      </c>
      <c r="B211" s="3" t="s">
        <v>231</v>
      </c>
      <c r="C211" s="3" t="s">
        <v>776</v>
      </c>
      <c r="D211" s="13">
        <v>1018.62</v>
      </c>
      <c r="E211" s="13">
        <v>0</v>
      </c>
      <c r="F211" s="3" t="s">
        <v>777</v>
      </c>
      <c r="G211" s="3" t="s">
        <v>778</v>
      </c>
      <c r="H211" s="14">
        <f t="shared" si="3"/>
        <v>-1018.62</v>
      </c>
    </row>
    <row r="212" spans="1:8" ht="15.75" hidden="1" outlineLevel="3" x14ac:dyDescent="0.25">
      <c r="A212" s="2" t="s">
        <v>779</v>
      </c>
      <c r="B212" s="2" t="s">
        <v>236</v>
      </c>
      <c r="C212" s="2" t="s">
        <v>780</v>
      </c>
      <c r="D212" s="12">
        <v>1153.6300000000001</v>
      </c>
      <c r="E212" s="12">
        <v>0</v>
      </c>
      <c r="F212" s="2" t="s">
        <v>781</v>
      </c>
      <c r="G212" s="2" t="s">
        <v>782</v>
      </c>
      <c r="H212" s="14">
        <f t="shared" si="3"/>
        <v>-1153.6300000000001</v>
      </c>
    </row>
    <row r="213" spans="1:8" ht="15.75" hidden="1" outlineLevel="3" x14ac:dyDescent="0.25">
      <c r="A213" s="3" t="s">
        <v>783</v>
      </c>
      <c r="B213" s="3" t="s">
        <v>241</v>
      </c>
      <c r="C213" s="3" t="s">
        <v>784</v>
      </c>
      <c r="D213" s="13">
        <v>877.12</v>
      </c>
      <c r="E213" s="13">
        <v>0</v>
      </c>
      <c r="F213" s="3" t="s">
        <v>785</v>
      </c>
      <c r="G213" s="3" t="s">
        <v>786</v>
      </c>
      <c r="H213" s="14">
        <f t="shared" si="3"/>
        <v>-877.12</v>
      </c>
    </row>
    <row r="214" spans="1:8" ht="15.75" hidden="1" outlineLevel="3" x14ac:dyDescent="0.25">
      <c r="A214" s="2" t="s">
        <v>787</v>
      </c>
      <c r="B214" s="2" t="s">
        <v>246</v>
      </c>
      <c r="C214" s="2" t="s">
        <v>788</v>
      </c>
      <c r="D214" s="12">
        <v>978.93</v>
      </c>
      <c r="E214" s="12">
        <v>0</v>
      </c>
      <c r="F214" s="2" t="s">
        <v>789</v>
      </c>
      <c r="G214" s="2" t="s">
        <v>790</v>
      </c>
      <c r="H214" s="14">
        <f t="shared" si="3"/>
        <v>-978.93</v>
      </c>
    </row>
    <row r="215" spans="1:8" ht="15.75" hidden="1" outlineLevel="2" x14ac:dyDescent="0.25">
      <c r="A215" s="3" t="s">
        <v>791</v>
      </c>
      <c r="B215" s="3" t="s">
        <v>251</v>
      </c>
      <c r="C215" s="3" t="s">
        <v>792</v>
      </c>
      <c r="D215" s="13">
        <v>65765.69</v>
      </c>
      <c r="E215" s="13">
        <v>6998.94</v>
      </c>
      <c r="F215" s="3" t="s">
        <v>793</v>
      </c>
      <c r="G215" s="3" t="s">
        <v>794</v>
      </c>
      <c r="H215" s="14">
        <f t="shared" si="3"/>
        <v>-58766.75</v>
      </c>
    </row>
    <row r="216" spans="1:8" ht="15.75" hidden="1" outlineLevel="3" x14ac:dyDescent="0.25">
      <c r="A216" s="2" t="s">
        <v>795</v>
      </c>
      <c r="B216" s="2" t="s">
        <v>256</v>
      </c>
      <c r="C216" s="2" t="s">
        <v>796</v>
      </c>
      <c r="D216" s="12">
        <v>15657.19</v>
      </c>
      <c r="E216" s="12">
        <v>85.41</v>
      </c>
      <c r="F216" s="2" t="s">
        <v>797</v>
      </c>
      <c r="G216" s="2" t="s">
        <v>798</v>
      </c>
      <c r="H216" s="14">
        <f t="shared" si="3"/>
        <v>-15571.78</v>
      </c>
    </row>
    <row r="217" spans="1:8" ht="15.75" hidden="1" outlineLevel="3" x14ac:dyDescent="0.25">
      <c r="A217" s="3" t="s">
        <v>799</v>
      </c>
      <c r="B217" s="3" t="s">
        <v>261</v>
      </c>
      <c r="C217" s="3" t="s">
        <v>800</v>
      </c>
      <c r="D217" s="13">
        <v>37849.53</v>
      </c>
      <c r="E217" s="13">
        <v>5414.23</v>
      </c>
      <c r="F217" s="3" t="s">
        <v>801</v>
      </c>
      <c r="G217" s="3" t="s">
        <v>802</v>
      </c>
      <c r="H217" s="14">
        <f t="shared" si="3"/>
        <v>-32435.3</v>
      </c>
    </row>
    <row r="218" spans="1:8" ht="15.75" hidden="1" outlineLevel="3" x14ac:dyDescent="0.25">
      <c r="A218" s="2" t="s">
        <v>803</v>
      </c>
      <c r="B218" s="2" t="s">
        <v>266</v>
      </c>
      <c r="C218" s="2" t="s">
        <v>804</v>
      </c>
      <c r="D218" s="12">
        <v>0</v>
      </c>
      <c r="E218" s="12">
        <v>0</v>
      </c>
      <c r="F218" s="2" t="s">
        <v>40</v>
      </c>
      <c r="G218" s="2" t="s">
        <v>804</v>
      </c>
      <c r="H218" s="14">
        <f t="shared" si="3"/>
        <v>0</v>
      </c>
    </row>
    <row r="219" spans="1:8" ht="15.75" hidden="1" outlineLevel="3" x14ac:dyDescent="0.25">
      <c r="A219" s="3" t="s">
        <v>805</v>
      </c>
      <c r="B219" s="3" t="s">
        <v>268</v>
      </c>
      <c r="C219" s="3" t="s">
        <v>806</v>
      </c>
      <c r="D219" s="13">
        <v>4405.8100000000004</v>
      </c>
      <c r="E219" s="13">
        <v>1498.79</v>
      </c>
      <c r="F219" s="3" t="s">
        <v>807</v>
      </c>
      <c r="G219" s="3" t="s">
        <v>808</v>
      </c>
      <c r="H219" s="14">
        <f t="shared" si="3"/>
        <v>-2907.0200000000004</v>
      </c>
    </row>
    <row r="220" spans="1:8" ht="15.75" hidden="1" outlineLevel="3" x14ac:dyDescent="0.25">
      <c r="A220" s="2" t="s">
        <v>809</v>
      </c>
      <c r="B220" s="2" t="s">
        <v>273</v>
      </c>
      <c r="C220" s="2" t="s">
        <v>40</v>
      </c>
      <c r="D220" s="12">
        <v>203.67</v>
      </c>
      <c r="E220" s="12">
        <v>0</v>
      </c>
      <c r="F220" s="2" t="s">
        <v>810</v>
      </c>
      <c r="G220" s="2" t="s">
        <v>810</v>
      </c>
      <c r="H220" s="14">
        <f t="shared" si="3"/>
        <v>-203.67</v>
      </c>
    </row>
    <row r="221" spans="1:8" ht="15.75" hidden="1" outlineLevel="3" x14ac:dyDescent="0.25">
      <c r="A221" s="3" t="s">
        <v>811</v>
      </c>
      <c r="B221" s="3" t="s">
        <v>275</v>
      </c>
      <c r="C221" s="3" t="s">
        <v>812</v>
      </c>
      <c r="D221" s="13">
        <v>7649.49</v>
      </c>
      <c r="E221" s="13">
        <v>0.51</v>
      </c>
      <c r="F221" s="3" t="s">
        <v>813</v>
      </c>
      <c r="G221" s="3" t="s">
        <v>814</v>
      </c>
      <c r="H221" s="14">
        <f t="shared" si="3"/>
        <v>-7648.98</v>
      </c>
    </row>
    <row r="222" spans="1:8" ht="15.75" hidden="1" outlineLevel="3" x14ac:dyDescent="0.25">
      <c r="A222" s="2" t="s">
        <v>815</v>
      </c>
      <c r="B222" s="2" t="s">
        <v>280</v>
      </c>
      <c r="C222" s="2" t="s">
        <v>40</v>
      </c>
      <c r="D222" s="12">
        <v>0</v>
      </c>
      <c r="E222" s="12">
        <v>0</v>
      </c>
      <c r="F222" s="2" t="s">
        <v>40</v>
      </c>
      <c r="G222" s="2" t="s">
        <v>40</v>
      </c>
      <c r="H222" s="14">
        <f t="shared" si="3"/>
        <v>0</v>
      </c>
    </row>
    <row r="223" spans="1:8" ht="15.75" hidden="1" outlineLevel="2" x14ac:dyDescent="0.25">
      <c r="A223" s="3" t="s">
        <v>816</v>
      </c>
      <c r="B223" s="3" t="s">
        <v>282</v>
      </c>
      <c r="C223" s="3" t="s">
        <v>817</v>
      </c>
      <c r="D223" s="13">
        <v>2418.9499999999998</v>
      </c>
      <c r="E223" s="13">
        <v>0</v>
      </c>
      <c r="F223" s="3" t="s">
        <v>818</v>
      </c>
      <c r="G223" s="3" t="s">
        <v>819</v>
      </c>
      <c r="H223" s="14">
        <f t="shared" si="3"/>
        <v>-2418.9499999999998</v>
      </c>
    </row>
    <row r="224" spans="1:8" ht="15.75" hidden="1" outlineLevel="3" x14ac:dyDescent="0.25">
      <c r="A224" s="2" t="s">
        <v>820</v>
      </c>
      <c r="B224" s="2" t="s">
        <v>287</v>
      </c>
      <c r="C224" s="2" t="s">
        <v>821</v>
      </c>
      <c r="D224" s="12">
        <v>875.47</v>
      </c>
      <c r="E224" s="12">
        <v>0</v>
      </c>
      <c r="F224" s="2" t="s">
        <v>822</v>
      </c>
      <c r="G224" s="2" t="s">
        <v>823</v>
      </c>
      <c r="H224" s="14">
        <f t="shared" si="3"/>
        <v>-875.47</v>
      </c>
    </row>
    <row r="225" spans="1:8" ht="15.75" hidden="1" outlineLevel="3" x14ac:dyDescent="0.25">
      <c r="A225" s="3" t="s">
        <v>824</v>
      </c>
      <c r="B225" s="3" t="s">
        <v>292</v>
      </c>
      <c r="C225" s="3" t="s">
        <v>825</v>
      </c>
      <c r="D225" s="13">
        <v>0</v>
      </c>
      <c r="E225" s="13">
        <v>0</v>
      </c>
      <c r="F225" s="3" t="s">
        <v>40</v>
      </c>
      <c r="G225" s="3" t="s">
        <v>825</v>
      </c>
      <c r="H225" s="14">
        <f t="shared" si="3"/>
        <v>0</v>
      </c>
    </row>
    <row r="226" spans="1:8" ht="15.75" hidden="1" outlineLevel="3" x14ac:dyDescent="0.25">
      <c r="A226" s="2" t="s">
        <v>826</v>
      </c>
      <c r="B226" s="2" t="s">
        <v>295</v>
      </c>
      <c r="C226" s="2" t="s">
        <v>40</v>
      </c>
      <c r="D226" s="12">
        <v>0</v>
      </c>
      <c r="E226" s="12">
        <v>0</v>
      </c>
      <c r="F226" s="2" t="s">
        <v>40</v>
      </c>
      <c r="G226" s="2" t="s">
        <v>40</v>
      </c>
      <c r="H226" s="14">
        <f t="shared" si="3"/>
        <v>0</v>
      </c>
    </row>
    <row r="227" spans="1:8" ht="15.75" hidden="1" outlineLevel="3" x14ac:dyDescent="0.25">
      <c r="A227" s="3" t="s">
        <v>827</v>
      </c>
      <c r="B227" s="3" t="s">
        <v>298</v>
      </c>
      <c r="C227" s="3" t="s">
        <v>828</v>
      </c>
      <c r="D227" s="13">
        <v>0</v>
      </c>
      <c r="E227" s="13">
        <v>0</v>
      </c>
      <c r="F227" s="3" t="s">
        <v>40</v>
      </c>
      <c r="G227" s="3" t="s">
        <v>828</v>
      </c>
      <c r="H227" s="14">
        <f t="shared" si="3"/>
        <v>0</v>
      </c>
    </row>
    <row r="228" spans="1:8" ht="15.75" hidden="1" outlineLevel="3" x14ac:dyDescent="0.25">
      <c r="A228" s="2" t="s">
        <v>829</v>
      </c>
      <c r="B228" s="2" t="s">
        <v>301</v>
      </c>
      <c r="C228" s="2" t="s">
        <v>830</v>
      </c>
      <c r="D228" s="12">
        <v>0</v>
      </c>
      <c r="E228" s="12">
        <v>0</v>
      </c>
      <c r="F228" s="2" t="s">
        <v>40</v>
      </c>
      <c r="G228" s="2" t="s">
        <v>830</v>
      </c>
      <c r="H228" s="14">
        <f t="shared" si="3"/>
        <v>0</v>
      </c>
    </row>
    <row r="229" spans="1:8" ht="15.75" hidden="1" outlineLevel="3" x14ac:dyDescent="0.25">
      <c r="A229" s="3" t="s">
        <v>831</v>
      </c>
      <c r="B229" s="3" t="s">
        <v>303</v>
      </c>
      <c r="C229" s="3" t="s">
        <v>832</v>
      </c>
      <c r="D229" s="13">
        <v>1298.48</v>
      </c>
      <c r="E229" s="13">
        <v>0</v>
      </c>
      <c r="F229" s="3" t="s">
        <v>833</v>
      </c>
      <c r="G229" s="3" t="s">
        <v>834</v>
      </c>
      <c r="H229" s="14">
        <f t="shared" si="3"/>
        <v>-1298.48</v>
      </c>
    </row>
    <row r="230" spans="1:8" ht="15.75" hidden="1" outlineLevel="3" x14ac:dyDescent="0.25">
      <c r="A230" s="2" t="s">
        <v>835</v>
      </c>
      <c r="B230" s="2" t="s">
        <v>308</v>
      </c>
      <c r="C230" s="2" t="s">
        <v>40</v>
      </c>
      <c r="D230" s="12">
        <v>0</v>
      </c>
      <c r="E230" s="12">
        <v>0</v>
      </c>
      <c r="F230" s="2" t="s">
        <v>40</v>
      </c>
      <c r="G230" s="2" t="s">
        <v>40</v>
      </c>
      <c r="H230" s="14">
        <f t="shared" si="3"/>
        <v>0</v>
      </c>
    </row>
    <row r="231" spans="1:8" ht="15.75" hidden="1" outlineLevel="3" x14ac:dyDescent="0.25">
      <c r="A231" s="3" t="s">
        <v>836</v>
      </c>
      <c r="B231" s="3" t="s">
        <v>310</v>
      </c>
      <c r="C231" s="3" t="s">
        <v>40</v>
      </c>
      <c r="D231" s="13">
        <v>0</v>
      </c>
      <c r="E231" s="13">
        <v>0</v>
      </c>
      <c r="F231" s="3" t="s">
        <v>40</v>
      </c>
      <c r="G231" s="3" t="s">
        <v>40</v>
      </c>
      <c r="H231" s="14">
        <f t="shared" si="3"/>
        <v>0</v>
      </c>
    </row>
    <row r="232" spans="1:8" ht="15.75" hidden="1" outlineLevel="3" x14ac:dyDescent="0.25">
      <c r="A232" s="2" t="s">
        <v>837</v>
      </c>
      <c r="B232" s="2" t="s">
        <v>312</v>
      </c>
      <c r="C232" s="2" t="s">
        <v>40</v>
      </c>
      <c r="D232" s="12">
        <v>0</v>
      </c>
      <c r="E232" s="12">
        <v>0</v>
      </c>
      <c r="F232" s="2" t="s">
        <v>40</v>
      </c>
      <c r="G232" s="2" t="s">
        <v>40</v>
      </c>
      <c r="H232" s="14">
        <f t="shared" si="3"/>
        <v>0</v>
      </c>
    </row>
    <row r="233" spans="1:8" ht="15.75" hidden="1" outlineLevel="3" x14ac:dyDescent="0.25">
      <c r="A233" s="3" t="s">
        <v>838</v>
      </c>
      <c r="B233" s="3" t="s">
        <v>314</v>
      </c>
      <c r="C233" s="3" t="s">
        <v>839</v>
      </c>
      <c r="D233" s="13">
        <v>245</v>
      </c>
      <c r="E233" s="13">
        <v>0</v>
      </c>
      <c r="F233" s="3" t="s">
        <v>840</v>
      </c>
      <c r="G233" s="3" t="s">
        <v>841</v>
      </c>
      <c r="H233" s="14">
        <f t="shared" si="3"/>
        <v>-245</v>
      </c>
    </row>
    <row r="234" spans="1:8" ht="15.75" hidden="1" outlineLevel="2" collapsed="1" x14ac:dyDescent="0.25">
      <c r="A234" s="2" t="s">
        <v>842</v>
      </c>
      <c r="B234" s="2" t="s">
        <v>317</v>
      </c>
      <c r="C234" s="2" t="s">
        <v>40</v>
      </c>
      <c r="D234" s="12">
        <v>0</v>
      </c>
      <c r="E234" s="12">
        <v>0</v>
      </c>
      <c r="F234" s="2" t="s">
        <v>40</v>
      </c>
      <c r="G234" s="2" t="s">
        <v>40</v>
      </c>
      <c r="H234" s="14">
        <f t="shared" si="3"/>
        <v>0</v>
      </c>
    </row>
    <row r="235" spans="1:8" ht="15.75" hidden="1" outlineLevel="2" x14ac:dyDescent="0.25">
      <c r="A235" s="3" t="s">
        <v>843</v>
      </c>
      <c r="B235" s="3" t="s">
        <v>221</v>
      </c>
      <c r="C235" s="3" t="s">
        <v>40</v>
      </c>
      <c r="D235" s="13">
        <v>0</v>
      </c>
      <c r="E235" s="13">
        <v>0</v>
      </c>
      <c r="F235" s="3" t="s">
        <v>40</v>
      </c>
      <c r="G235" s="3" t="s">
        <v>40</v>
      </c>
      <c r="H235" s="14">
        <f t="shared" si="3"/>
        <v>0</v>
      </c>
    </row>
    <row r="236" spans="1:8" ht="15.75" hidden="1" outlineLevel="1" collapsed="1" x14ac:dyDescent="0.25">
      <c r="A236" s="2" t="s">
        <v>844</v>
      </c>
      <c r="B236" s="2" t="s">
        <v>320</v>
      </c>
      <c r="C236" s="2" t="s">
        <v>845</v>
      </c>
      <c r="D236" s="12">
        <v>357841.21</v>
      </c>
      <c r="E236" s="12">
        <v>2318.4</v>
      </c>
      <c r="F236" s="2" t="s">
        <v>846</v>
      </c>
      <c r="G236" s="2" t="s">
        <v>847</v>
      </c>
      <c r="H236" s="14">
        <f t="shared" si="3"/>
        <v>-355522.81</v>
      </c>
    </row>
    <row r="237" spans="1:8" ht="15.75" hidden="1" outlineLevel="2" x14ac:dyDescent="0.25">
      <c r="A237" s="3" t="s">
        <v>848</v>
      </c>
      <c r="B237" s="3" t="s">
        <v>325</v>
      </c>
      <c r="C237" s="3" t="s">
        <v>849</v>
      </c>
      <c r="D237" s="13">
        <v>224187.98</v>
      </c>
      <c r="E237" s="13">
        <v>2318.4</v>
      </c>
      <c r="F237" s="3" t="s">
        <v>850</v>
      </c>
      <c r="G237" s="3" t="s">
        <v>851</v>
      </c>
      <c r="H237" s="14">
        <f t="shared" si="3"/>
        <v>-221869.58000000002</v>
      </c>
    </row>
    <row r="238" spans="1:8" ht="15.75" hidden="1" outlineLevel="3" x14ac:dyDescent="0.25">
      <c r="A238" s="2" t="s">
        <v>852</v>
      </c>
      <c r="B238" s="2" t="s">
        <v>330</v>
      </c>
      <c r="C238" s="2" t="s">
        <v>853</v>
      </c>
      <c r="D238" s="12">
        <v>7350</v>
      </c>
      <c r="E238" s="12">
        <v>0</v>
      </c>
      <c r="F238" s="2" t="s">
        <v>854</v>
      </c>
      <c r="G238" s="2" t="s">
        <v>855</v>
      </c>
      <c r="H238" s="14">
        <f t="shared" si="3"/>
        <v>-7350</v>
      </c>
    </row>
    <row r="239" spans="1:8" ht="15.75" hidden="1" outlineLevel="3" x14ac:dyDescent="0.25">
      <c r="A239" s="3" t="s">
        <v>856</v>
      </c>
      <c r="B239" s="3" t="s">
        <v>335</v>
      </c>
      <c r="C239" s="3" t="s">
        <v>857</v>
      </c>
      <c r="D239" s="13">
        <v>0</v>
      </c>
      <c r="E239" s="13">
        <v>0</v>
      </c>
      <c r="F239" s="3" t="s">
        <v>40</v>
      </c>
      <c r="G239" s="3" t="s">
        <v>857</v>
      </c>
      <c r="H239" s="14">
        <f t="shared" si="3"/>
        <v>0</v>
      </c>
    </row>
    <row r="240" spans="1:8" ht="15.75" hidden="1" outlineLevel="3" x14ac:dyDescent="0.25">
      <c r="A240" s="2" t="s">
        <v>858</v>
      </c>
      <c r="B240" s="2" t="s">
        <v>337</v>
      </c>
      <c r="C240" s="2" t="s">
        <v>40</v>
      </c>
      <c r="D240" s="12">
        <v>0</v>
      </c>
      <c r="E240" s="12">
        <v>0</v>
      </c>
      <c r="F240" s="2" t="s">
        <v>40</v>
      </c>
      <c r="G240" s="2" t="s">
        <v>40</v>
      </c>
      <c r="H240" s="14">
        <f t="shared" si="3"/>
        <v>0</v>
      </c>
    </row>
    <row r="241" spans="1:8" ht="15.75" hidden="1" outlineLevel="3" x14ac:dyDescent="0.25">
      <c r="A241" s="3" t="s">
        <v>859</v>
      </c>
      <c r="B241" s="3" t="s">
        <v>339</v>
      </c>
      <c r="C241" s="3" t="s">
        <v>860</v>
      </c>
      <c r="D241" s="13">
        <v>4468.92</v>
      </c>
      <c r="E241" s="13">
        <v>0</v>
      </c>
      <c r="F241" s="3" t="s">
        <v>861</v>
      </c>
      <c r="G241" s="3" t="s">
        <v>862</v>
      </c>
      <c r="H241" s="14">
        <f t="shared" si="3"/>
        <v>-4468.92</v>
      </c>
    </row>
    <row r="242" spans="1:8" ht="15.75" hidden="1" outlineLevel="3" x14ac:dyDescent="0.25">
      <c r="A242" s="2" t="s">
        <v>863</v>
      </c>
      <c r="B242" s="2" t="s">
        <v>344</v>
      </c>
      <c r="C242" s="2" t="s">
        <v>40</v>
      </c>
      <c r="D242" s="12">
        <v>0</v>
      </c>
      <c r="E242" s="12">
        <v>0</v>
      </c>
      <c r="F242" s="2" t="s">
        <v>40</v>
      </c>
      <c r="G242" s="2" t="s">
        <v>40</v>
      </c>
      <c r="H242" s="14">
        <f t="shared" si="3"/>
        <v>0</v>
      </c>
    </row>
    <row r="243" spans="1:8" ht="15.75" hidden="1" outlineLevel="3" x14ac:dyDescent="0.25">
      <c r="A243" s="3" t="s">
        <v>864</v>
      </c>
      <c r="B243" s="3" t="s">
        <v>347</v>
      </c>
      <c r="C243" s="3" t="s">
        <v>865</v>
      </c>
      <c r="D243" s="13">
        <v>212369.06</v>
      </c>
      <c r="E243" s="13">
        <v>2318.4</v>
      </c>
      <c r="F243" s="3" t="s">
        <v>866</v>
      </c>
      <c r="G243" s="3" t="s">
        <v>867</v>
      </c>
      <c r="H243" s="14">
        <f t="shared" si="3"/>
        <v>-210050.66</v>
      </c>
    </row>
    <row r="244" spans="1:8" ht="15.75" hidden="1" outlineLevel="2" collapsed="1" x14ac:dyDescent="0.25">
      <c r="A244" s="2" t="s">
        <v>868</v>
      </c>
      <c r="B244" s="2" t="s">
        <v>352</v>
      </c>
      <c r="C244" s="2" t="s">
        <v>869</v>
      </c>
      <c r="D244" s="12">
        <v>133653.23000000001</v>
      </c>
      <c r="E244" s="12">
        <v>0</v>
      </c>
      <c r="F244" s="2" t="s">
        <v>870</v>
      </c>
      <c r="G244" s="2" t="s">
        <v>871</v>
      </c>
      <c r="H244" s="14">
        <f t="shared" si="3"/>
        <v>-133653.23000000001</v>
      </c>
    </row>
    <row r="245" spans="1:8" ht="15.75" hidden="1" outlineLevel="2" x14ac:dyDescent="0.25">
      <c r="A245" s="3" t="s">
        <v>872</v>
      </c>
      <c r="B245" s="3" t="s">
        <v>357</v>
      </c>
      <c r="C245" s="3" t="s">
        <v>873</v>
      </c>
      <c r="D245" s="13">
        <v>133653.23000000001</v>
      </c>
      <c r="E245" s="13">
        <v>0</v>
      </c>
      <c r="F245" s="3" t="s">
        <v>870</v>
      </c>
      <c r="G245" s="3" t="s">
        <v>874</v>
      </c>
      <c r="H245" s="14">
        <f t="shared" si="3"/>
        <v>-133653.23000000001</v>
      </c>
    </row>
    <row r="246" spans="1:8" ht="15.75" hidden="1" outlineLevel="2" x14ac:dyDescent="0.25">
      <c r="A246" s="2" t="s">
        <v>875</v>
      </c>
      <c r="B246" s="2" t="s">
        <v>361</v>
      </c>
      <c r="C246" s="2" t="s">
        <v>876</v>
      </c>
      <c r="D246" s="12">
        <v>0</v>
      </c>
      <c r="E246" s="12">
        <v>0</v>
      </c>
      <c r="F246" s="2" t="s">
        <v>40</v>
      </c>
      <c r="G246" s="2" t="s">
        <v>876</v>
      </c>
      <c r="H246" s="14">
        <f t="shared" si="3"/>
        <v>0</v>
      </c>
    </row>
    <row r="247" spans="1:8" ht="15.75" hidden="1" outlineLevel="1" collapsed="1" x14ac:dyDescent="0.25">
      <c r="A247" s="3" t="s">
        <v>877</v>
      </c>
      <c r="B247" s="3" t="s">
        <v>878</v>
      </c>
      <c r="C247" s="3" t="s">
        <v>879</v>
      </c>
      <c r="D247" s="13">
        <v>63865.9</v>
      </c>
      <c r="E247" s="13">
        <v>29711.15</v>
      </c>
      <c r="F247" s="3" t="s">
        <v>880</v>
      </c>
      <c r="G247" s="3" t="s">
        <v>881</v>
      </c>
      <c r="H247" s="14">
        <f t="shared" si="3"/>
        <v>-34154.75</v>
      </c>
    </row>
    <row r="248" spans="1:8" ht="15.75" hidden="1" outlineLevel="2" collapsed="1" x14ac:dyDescent="0.25">
      <c r="A248" s="2" t="s">
        <v>882</v>
      </c>
      <c r="B248" s="2" t="s">
        <v>878</v>
      </c>
      <c r="C248" s="2" t="s">
        <v>879</v>
      </c>
      <c r="D248" s="12">
        <v>63865.9</v>
      </c>
      <c r="E248" s="12">
        <v>29711.15</v>
      </c>
      <c r="F248" s="2" t="s">
        <v>880</v>
      </c>
      <c r="G248" s="2" t="s">
        <v>881</v>
      </c>
      <c r="H248" s="14">
        <f t="shared" si="3"/>
        <v>-34154.75</v>
      </c>
    </row>
    <row r="249" spans="1:8" ht="15.75" hidden="1" outlineLevel="2" x14ac:dyDescent="0.25">
      <c r="A249" s="3" t="s">
        <v>883</v>
      </c>
      <c r="B249" s="3" t="s">
        <v>369</v>
      </c>
      <c r="C249" s="3" t="s">
        <v>884</v>
      </c>
      <c r="D249" s="13">
        <v>2353.16</v>
      </c>
      <c r="E249" s="13">
        <v>0</v>
      </c>
      <c r="F249" s="3" t="s">
        <v>885</v>
      </c>
      <c r="G249" s="3" t="s">
        <v>886</v>
      </c>
      <c r="H249" s="14">
        <f t="shared" si="3"/>
        <v>-2353.16</v>
      </c>
    </row>
    <row r="250" spans="1:8" ht="15.75" hidden="1" outlineLevel="2" x14ac:dyDescent="0.25">
      <c r="A250" s="2" t="s">
        <v>887</v>
      </c>
      <c r="B250" s="2" t="s">
        <v>374</v>
      </c>
      <c r="C250" s="2" t="s">
        <v>888</v>
      </c>
      <c r="D250" s="12">
        <v>0</v>
      </c>
      <c r="E250" s="12">
        <v>0</v>
      </c>
      <c r="F250" s="2" t="s">
        <v>40</v>
      </c>
      <c r="G250" s="2" t="s">
        <v>888</v>
      </c>
      <c r="H250" s="14">
        <f t="shared" si="3"/>
        <v>0</v>
      </c>
    </row>
    <row r="251" spans="1:8" ht="15.75" hidden="1" outlineLevel="2" x14ac:dyDescent="0.25">
      <c r="A251" s="3" t="s">
        <v>889</v>
      </c>
      <c r="B251" s="3" t="s">
        <v>379</v>
      </c>
      <c r="C251" s="3" t="s">
        <v>890</v>
      </c>
      <c r="D251" s="13">
        <v>29711.15</v>
      </c>
      <c r="E251" s="13">
        <v>29711.15</v>
      </c>
      <c r="F251" s="3" t="s">
        <v>40</v>
      </c>
      <c r="G251" s="3" t="s">
        <v>890</v>
      </c>
      <c r="H251" s="14">
        <f t="shared" si="3"/>
        <v>0</v>
      </c>
    </row>
    <row r="252" spans="1:8" ht="15.75" hidden="1" outlineLevel="2" x14ac:dyDescent="0.25">
      <c r="A252" s="2" t="s">
        <v>891</v>
      </c>
      <c r="B252" s="2" t="s">
        <v>384</v>
      </c>
      <c r="C252" s="2" t="s">
        <v>892</v>
      </c>
      <c r="D252" s="12">
        <v>28648.42</v>
      </c>
      <c r="E252" s="12">
        <v>0</v>
      </c>
      <c r="F252" s="2" t="s">
        <v>893</v>
      </c>
      <c r="G252" s="2" t="s">
        <v>894</v>
      </c>
      <c r="H252" s="14">
        <f t="shared" si="3"/>
        <v>-28648.42</v>
      </c>
    </row>
    <row r="253" spans="1:8" ht="15.75" hidden="1" outlineLevel="2" x14ac:dyDescent="0.25">
      <c r="A253" s="3" t="s">
        <v>895</v>
      </c>
      <c r="B253" s="3" t="s">
        <v>389</v>
      </c>
      <c r="C253" s="3" t="s">
        <v>896</v>
      </c>
      <c r="D253" s="13">
        <v>2971.65</v>
      </c>
      <c r="E253" s="13">
        <v>0</v>
      </c>
      <c r="F253" s="3" t="s">
        <v>897</v>
      </c>
      <c r="G253" s="3" t="s">
        <v>898</v>
      </c>
      <c r="H253" s="14">
        <f t="shared" si="3"/>
        <v>-2971.65</v>
      </c>
    </row>
    <row r="254" spans="1:8" ht="15.75" hidden="1" outlineLevel="2" x14ac:dyDescent="0.25">
      <c r="A254" s="2" t="s">
        <v>899</v>
      </c>
      <c r="B254" s="2" t="s">
        <v>394</v>
      </c>
      <c r="C254" s="2" t="s">
        <v>900</v>
      </c>
      <c r="D254" s="12">
        <v>0</v>
      </c>
      <c r="E254" s="12">
        <v>0</v>
      </c>
      <c r="F254" s="2" t="s">
        <v>40</v>
      </c>
      <c r="G254" s="2" t="s">
        <v>900</v>
      </c>
      <c r="H254" s="14">
        <f t="shared" si="3"/>
        <v>0</v>
      </c>
    </row>
    <row r="255" spans="1:8" ht="15.75" hidden="1" outlineLevel="2" x14ac:dyDescent="0.25">
      <c r="A255" s="3" t="s">
        <v>901</v>
      </c>
      <c r="B255" s="3" t="s">
        <v>399</v>
      </c>
      <c r="C255" s="3" t="s">
        <v>902</v>
      </c>
      <c r="D255" s="13">
        <v>181.52</v>
      </c>
      <c r="E255" s="13">
        <v>0</v>
      </c>
      <c r="F255" s="3" t="s">
        <v>903</v>
      </c>
      <c r="G255" s="3" t="s">
        <v>904</v>
      </c>
      <c r="H255" s="14">
        <f t="shared" si="3"/>
        <v>-181.52</v>
      </c>
    </row>
    <row r="256" spans="1:8" ht="15.75" hidden="1" outlineLevel="2" x14ac:dyDescent="0.25">
      <c r="A256" s="2" t="s">
        <v>905</v>
      </c>
      <c r="B256" s="2" t="s">
        <v>404</v>
      </c>
      <c r="C256" s="2" t="s">
        <v>906</v>
      </c>
      <c r="D256" s="12">
        <v>0</v>
      </c>
      <c r="E256" s="12">
        <v>0</v>
      </c>
      <c r="F256" s="2" t="s">
        <v>40</v>
      </c>
      <c r="G256" s="2" t="s">
        <v>906</v>
      </c>
      <c r="H256" s="14">
        <f t="shared" si="3"/>
        <v>0</v>
      </c>
    </row>
    <row r="257" spans="1:8" ht="15.75" hidden="1" outlineLevel="2" x14ac:dyDescent="0.25">
      <c r="A257" s="3" t="s">
        <v>907</v>
      </c>
      <c r="B257" s="3" t="s">
        <v>409</v>
      </c>
      <c r="C257" s="3" t="s">
        <v>40</v>
      </c>
      <c r="D257" s="13">
        <v>0</v>
      </c>
      <c r="E257" s="13">
        <v>0</v>
      </c>
      <c r="F257" s="3" t="s">
        <v>40</v>
      </c>
      <c r="G257" s="3" t="s">
        <v>40</v>
      </c>
      <c r="H257" s="14">
        <f t="shared" si="3"/>
        <v>0</v>
      </c>
    </row>
    <row r="258" spans="1:8" ht="15.75" hidden="1" outlineLevel="2" x14ac:dyDescent="0.25">
      <c r="A258" s="2" t="s">
        <v>908</v>
      </c>
      <c r="B258" s="2" t="s">
        <v>412</v>
      </c>
      <c r="C258" s="2" t="s">
        <v>40</v>
      </c>
      <c r="D258" s="12">
        <v>0</v>
      </c>
      <c r="E258" s="12">
        <v>0</v>
      </c>
      <c r="F258" s="2" t="s">
        <v>40</v>
      </c>
      <c r="G258" s="2" t="s">
        <v>40</v>
      </c>
      <c r="H258" s="14">
        <f t="shared" si="3"/>
        <v>0</v>
      </c>
    </row>
    <row r="259" spans="1:8" ht="15.75" hidden="1" outlineLevel="1" collapsed="1" x14ac:dyDescent="0.25">
      <c r="A259" s="3" t="s">
        <v>909</v>
      </c>
      <c r="B259" s="3" t="s">
        <v>910</v>
      </c>
      <c r="C259" s="3" t="s">
        <v>911</v>
      </c>
      <c r="D259" s="13">
        <v>52826.52</v>
      </c>
      <c r="E259" s="13">
        <v>0</v>
      </c>
      <c r="F259" s="3" t="s">
        <v>912</v>
      </c>
      <c r="G259" s="3" t="s">
        <v>913</v>
      </c>
      <c r="H259" s="14">
        <f t="shared" ref="H259:H322" si="4">E259-D259</f>
        <v>-52826.52</v>
      </c>
    </row>
    <row r="260" spans="1:8" ht="15.75" hidden="1" outlineLevel="2" x14ac:dyDescent="0.25">
      <c r="A260" s="2" t="s">
        <v>914</v>
      </c>
      <c r="B260" s="2" t="s">
        <v>424</v>
      </c>
      <c r="C260" s="2" t="s">
        <v>915</v>
      </c>
      <c r="D260" s="12">
        <v>20429.28</v>
      </c>
      <c r="E260" s="12">
        <v>0</v>
      </c>
      <c r="F260" s="2" t="s">
        <v>916</v>
      </c>
      <c r="G260" s="2" t="s">
        <v>917</v>
      </c>
      <c r="H260" s="14">
        <f t="shared" si="4"/>
        <v>-20429.28</v>
      </c>
    </row>
    <row r="261" spans="1:8" ht="15.75" hidden="1" outlineLevel="3" x14ac:dyDescent="0.25">
      <c r="A261" s="3" t="s">
        <v>918</v>
      </c>
      <c r="B261" s="3" t="s">
        <v>429</v>
      </c>
      <c r="C261" s="3" t="s">
        <v>915</v>
      </c>
      <c r="D261" s="13">
        <v>20429.28</v>
      </c>
      <c r="E261" s="13">
        <v>0</v>
      </c>
      <c r="F261" s="3" t="s">
        <v>916</v>
      </c>
      <c r="G261" s="3" t="s">
        <v>917</v>
      </c>
      <c r="H261" s="14">
        <f t="shared" si="4"/>
        <v>-20429.28</v>
      </c>
    </row>
    <row r="262" spans="1:8" ht="15.75" hidden="1" outlineLevel="3" x14ac:dyDescent="0.25">
      <c r="A262" s="2" t="s">
        <v>919</v>
      </c>
      <c r="B262" s="2" t="s">
        <v>434</v>
      </c>
      <c r="C262" s="2" t="s">
        <v>40</v>
      </c>
      <c r="D262" s="12">
        <v>0</v>
      </c>
      <c r="E262" s="12">
        <v>0</v>
      </c>
      <c r="F262" s="2" t="s">
        <v>40</v>
      </c>
      <c r="G262" s="2" t="s">
        <v>40</v>
      </c>
      <c r="H262" s="14">
        <f t="shared" si="4"/>
        <v>0</v>
      </c>
    </row>
    <row r="263" spans="1:8" ht="15.75" hidden="1" outlineLevel="2" x14ac:dyDescent="0.25">
      <c r="A263" s="3" t="s">
        <v>920</v>
      </c>
      <c r="B263" s="3" t="s">
        <v>439</v>
      </c>
      <c r="C263" s="3" t="s">
        <v>921</v>
      </c>
      <c r="D263" s="13">
        <v>0</v>
      </c>
      <c r="E263" s="13">
        <v>0</v>
      </c>
      <c r="F263" s="3" t="s">
        <v>40</v>
      </c>
      <c r="G263" s="3" t="s">
        <v>921</v>
      </c>
      <c r="H263" s="14">
        <f t="shared" si="4"/>
        <v>0</v>
      </c>
    </row>
    <row r="264" spans="1:8" ht="15.75" hidden="1" outlineLevel="3" x14ac:dyDescent="0.25">
      <c r="A264" s="2" t="s">
        <v>922</v>
      </c>
      <c r="B264" s="2" t="s">
        <v>444</v>
      </c>
      <c r="C264" s="2" t="s">
        <v>40</v>
      </c>
      <c r="D264" s="12">
        <v>0</v>
      </c>
      <c r="E264" s="12">
        <v>0</v>
      </c>
      <c r="F264" s="2" t="s">
        <v>40</v>
      </c>
      <c r="G264" s="2" t="s">
        <v>40</v>
      </c>
      <c r="H264" s="14">
        <f t="shared" si="4"/>
        <v>0</v>
      </c>
    </row>
    <row r="265" spans="1:8" ht="15.75" hidden="1" outlineLevel="3" x14ac:dyDescent="0.25">
      <c r="A265" s="3" t="s">
        <v>923</v>
      </c>
      <c r="B265" s="3" t="s">
        <v>446</v>
      </c>
      <c r="C265" s="3" t="s">
        <v>921</v>
      </c>
      <c r="D265" s="13">
        <v>0</v>
      </c>
      <c r="E265" s="13">
        <v>0</v>
      </c>
      <c r="F265" s="3" t="s">
        <v>40</v>
      </c>
      <c r="G265" s="3" t="s">
        <v>921</v>
      </c>
      <c r="H265" s="14">
        <f t="shared" si="4"/>
        <v>0</v>
      </c>
    </row>
    <row r="266" spans="1:8" ht="15.75" hidden="1" outlineLevel="2" x14ac:dyDescent="0.25">
      <c r="A266" s="2" t="s">
        <v>924</v>
      </c>
      <c r="B266" s="2" t="s">
        <v>448</v>
      </c>
      <c r="C266" s="2" t="s">
        <v>925</v>
      </c>
      <c r="D266" s="12">
        <v>13020.22</v>
      </c>
      <c r="E266" s="12">
        <v>0</v>
      </c>
      <c r="F266" s="2" t="s">
        <v>926</v>
      </c>
      <c r="G266" s="2" t="s">
        <v>927</v>
      </c>
      <c r="H266" s="14">
        <f t="shared" si="4"/>
        <v>-13020.22</v>
      </c>
    </row>
    <row r="267" spans="1:8" ht="15.75" hidden="1" outlineLevel="3" x14ac:dyDescent="0.25">
      <c r="A267" s="3" t="s">
        <v>928</v>
      </c>
      <c r="B267" s="3" t="s">
        <v>929</v>
      </c>
      <c r="C267" s="3" t="s">
        <v>40</v>
      </c>
      <c r="D267" s="13">
        <v>0</v>
      </c>
      <c r="E267" s="13">
        <v>0</v>
      </c>
      <c r="F267" s="3" t="s">
        <v>40</v>
      </c>
      <c r="G267" s="3" t="s">
        <v>40</v>
      </c>
      <c r="H267" s="14">
        <f t="shared" si="4"/>
        <v>0</v>
      </c>
    </row>
    <row r="268" spans="1:8" ht="15.75" hidden="1" outlineLevel="3" x14ac:dyDescent="0.25">
      <c r="A268" s="2" t="s">
        <v>930</v>
      </c>
      <c r="B268" s="2" t="s">
        <v>453</v>
      </c>
      <c r="C268" s="2" t="s">
        <v>931</v>
      </c>
      <c r="D268" s="12">
        <v>0</v>
      </c>
      <c r="E268" s="12">
        <v>0</v>
      </c>
      <c r="F268" s="2" t="s">
        <v>40</v>
      </c>
      <c r="G268" s="2" t="s">
        <v>931</v>
      </c>
      <c r="H268" s="14">
        <f t="shared" si="4"/>
        <v>0</v>
      </c>
    </row>
    <row r="269" spans="1:8" ht="15.75" hidden="1" outlineLevel="3" x14ac:dyDescent="0.25">
      <c r="A269" s="3" t="s">
        <v>932</v>
      </c>
      <c r="B269" s="3" t="s">
        <v>455</v>
      </c>
      <c r="C269" s="3" t="s">
        <v>933</v>
      </c>
      <c r="D269" s="13">
        <v>5295.89</v>
      </c>
      <c r="E269" s="13">
        <v>0</v>
      </c>
      <c r="F269" s="3" t="s">
        <v>934</v>
      </c>
      <c r="G269" s="3" t="s">
        <v>935</v>
      </c>
      <c r="H269" s="14">
        <f t="shared" si="4"/>
        <v>-5295.89</v>
      </c>
    </row>
    <row r="270" spans="1:8" ht="15.75" hidden="1" outlineLevel="3" x14ac:dyDescent="0.25">
      <c r="A270" s="2" t="s">
        <v>936</v>
      </c>
      <c r="B270" s="2" t="s">
        <v>460</v>
      </c>
      <c r="C270" s="2" t="s">
        <v>937</v>
      </c>
      <c r="D270" s="12">
        <v>7724.33</v>
      </c>
      <c r="E270" s="12">
        <v>0</v>
      </c>
      <c r="F270" s="2" t="s">
        <v>938</v>
      </c>
      <c r="G270" s="2" t="s">
        <v>939</v>
      </c>
      <c r="H270" s="14">
        <f t="shared" si="4"/>
        <v>-7724.33</v>
      </c>
    </row>
    <row r="271" spans="1:8" ht="15.75" hidden="1" outlineLevel="2" x14ac:dyDescent="0.25">
      <c r="A271" s="3" t="s">
        <v>940</v>
      </c>
      <c r="B271" s="3" t="s">
        <v>465</v>
      </c>
      <c r="C271" s="3" t="s">
        <v>941</v>
      </c>
      <c r="D271" s="13">
        <v>89.9</v>
      </c>
      <c r="E271" s="13">
        <v>0</v>
      </c>
      <c r="F271" s="3" t="s">
        <v>942</v>
      </c>
      <c r="G271" s="3" t="s">
        <v>943</v>
      </c>
      <c r="H271" s="14">
        <f t="shared" si="4"/>
        <v>-89.9</v>
      </c>
    </row>
    <row r="272" spans="1:8" ht="15.75" hidden="1" outlineLevel="3" x14ac:dyDescent="0.25">
      <c r="A272" s="2" t="s">
        <v>944</v>
      </c>
      <c r="B272" s="2" t="s">
        <v>468</v>
      </c>
      <c r="C272" s="2" t="s">
        <v>40</v>
      </c>
      <c r="D272" s="12">
        <v>0</v>
      </c>
      <c r="E272" s="12">
        <v>0</v>
      </c>
      <c r="F272" s="2" t="s">
        <v>40</v>
      </c>
      <c r="G272" s="2" t="s">
        <v>40</v>
      </c>
      <c r="H272" s="14">
        <f t="shared" si="4"/>
        <v>0</v>
      </c>
    </row>
    <row r="273" spans="1:8" ht="15.75" hidden="1" outlineLevel="3" x14ac:dyDescent="0.25">
      <c r="A273" s="3" t="s">
        <v>945</v>
      </c>
      <c r="B273" s="3" t="s">
        <v>471</v>
      </c>
      <c r="C273" s="3" t="s">
        <v>946</v>
      </c>
      <c r="D273" s="13">
        <v>0</v>
      </c>
      <c r="E273" s="13">
        <v>0</v>
      </c>
      <c r="F273" s="3" t="s">
        <v>40</v>
      </c>
      <c r="G273" s="3" t="s">
        <v>946</v>
      </c>
      <c r="H273" s="14">
        <f t="shared" si="4"/>
        <v>0</v>
      </c>
    </row>
    <row r="274" spans="1:8" ht="15.75" hidden="1" outlineLevel="3" x14ac:dyDescent="0.25">
      <c r="A274" s="2" t="s">
        <v>947</v>
      </c>
      <c r="B274" s="2" t="s">
        <v>474</v>
      </c>
      <c r="C274" s="2" t="s">
        <v>948</v>
      </c>
      <c r="D274" s="12">
        <v>0</v>
      </c>
      <c r="E274" s="12">
        <v>0</v>
      </c>
      <c r="F274" s="2" t="s">
        <v>40</v>
      </c>
      <c r="G274" s="2" t="s">
        <v>948</v>
      </c>
      <c r="H274" s="14">
        <f t="shared" si="4"/>
        <v>0</v>
      </c>
    </row>
    <row r="275" spans="1:8" ht="15.75" hidden="1" outlineLevel="3" x14ac:dyDescent="0.25">
      <c r="A275" s="3" t="s">
        <v>949</v>
      </c>
      <c r="B275" s="3" t="s">
        <v>477</v>
      </c>
      <c r="C275" s="3" t="s">
        <v>950</v>
      </c>
      <c r="D275" s="13">
        <v>89.9</v>
      </c>
      <c r="E275" s="13">
        <v>0</v>
      </c>
      <c r="F275" s="3" t="s">
        <v>942</v>
      </c>
      <c r="G275" s="3" t="s">
        <v>951</v>
      </c>
      <c r="H275" s="14">
        <f t="shared" si="4"/>
        <v>-89.9</v>
      </c>
    </row>
    <row r="276" spans="1:8" ht="15.75" hidden="1" outlineLevel="2" x14ac:dyDescent="0.25">
      <c r="A276" s="2" t="s">
        <v>952</v>
      </c>
      <c r="B276" s="2" t="s">
        <v>480</v>
      </c>
      <c r="C276" s="2" t="s">
        <v>953</v>
      </c>
      <c r="D276" s="12">
        <v>428.35</v>
      </c>
      <c r="E276" s="12">
        <v>0</v>
      </c>
      <c r="F276" s="2" t="s">
        <v>954</v>
      </c>
      <c r="G276" s="2" t="s">
        <v>955</v>
      </c>
      <c r="H276" s="14">
        <f t="shared" si="4"/>
        <v>-428.35</v>
      </c>
    </row>
    <row r="277" spans="1:8" ht="15.75" hidden="1" outlineLevel="3" x14ac:dyDescent="0.25">
      <c r="A277" s="3" t="s">
        <v>956</v>
      </c>
      <c r="B277" s="3" t="s">
        <v>485</v>
      </c>
      <c r="C277" s="3" t="s">
        <v>40</v>
      </c>
      <c r="D277" s="13">
        <v>0</v>
      </c>
      <c r="E277" s="13">
        <v>0</v>
      </c>
      <c r="F277" s="3" t="s">
        <v>40</v>
      </c>
      <c r="G277" s="3" t="s">
        <v>40</v>
      </c>
      <c r="H277" s="14">
        <f t="shared" si="4"/>
        <v>0</v>
      </c>
    </row>
    <row r="278" spans="1:8" ht="15.75" hidden="1" outlineLevel="3" x14ac:dyDescent="0.25">
      <c r="A278" s="2" t="s">
        <v>957</v>
      </c>
      <c r="B278" s="2" t="s">
        <v>488</v>
      </c>
      <c r="C278" s="2" t="s">
        <v>953</v>
      </c>
      <c r="D278" s="12">
        <v>428.35</v>
      </c>
      <c r="E278" s="12">
        <v>0</v>
      </c>
      <c r="F278" s="2" t="s">
        <v>954</v>
      </c>
      <c r="G278" s="2" t="s">
        <v>955</v>
      </c>
      <c r="H278" s="14">
        <f t="shared" si="4"/>
        <v>-428.35</v>
      </c>
    </row>
    <row r="279" spans="1:8" ht="15.75" hidden="1" outlineLevel="3" x14ac:dyDescent="0.25">
      <c r="A279" s="3" t="s">
        <v>958</v>
      </c>
      <c r="B279" s="3" t="s">
        <v>493</v>
      </c>
      <c r="C279" s="3" t="s">
        <v>40</v>
      </c>
      <c r="D279" s="13">
        <v>0</v>
      </c>
      <c r="E279" s="13">
        <v>0</v>
      </c>
      <c r="F279" s="3" t="s">
        <v>40</v>
      </c>
      <c r="G279" s="3" t="s">
        <v>40</v>
      </c>
      <c r="H279" s="14">
        <f t="shared" si="4"/>
        <v>0</v>
      </c>
    </row>
    <row r="280" spans="1:8" ht="15.75" hidden="1" outlineLevel="3" x14ac:dyDescent="0.25">
      <c r="A280" s="2" t="s">
        <v>959</v>
      </c>
      <c r="B280" s="2" t="s">
        <v>495</v>
      </c>
      <c r="C280" s="2" t="s">
        <v>40</v>
      </c>
      <c r="D280" s="12">
        <v>0</v>
      </c>
      <c r="E280" s="12">
        <v>0</v>
      </c>
      <c r="F280" s="2" t="s">
        <v>40</v>
      </c>
      <c r="G280" s="2" t="s">
        <v>40</v>
      </c>
      <c r="H280" s="14">
        <f t="shared" si="4"/>
        <v>0</v>
      </c>
    </row>
    <row r="281" spans="1:8" ht="15.75" hidden="1" outlineLevel="3" x14ac:dyDescent="0.25">
      <c r="A281" s="3" t="s">
        <v>960</v>
      </c>
      <c r="B281" s="3" t="s">
        <v>500</v>
      </c>
      <c r="C281" s="3" t="s">
        <v>40</v>
      </c>
      <c r="D281" s="13">
        <v>0</v>
      </c>
      <c r="E281" s="13">
        <v>0</v>
      </c>
      <c r="F281" s="3" t="s">
        <v>40</v>
      </c>
      <c r="G281" s="3" t="s">
        <v>40</v>
      </c>
      <c r="H281" s="14">
        <f t="shared" si="4"/>
        <v>0</v>
      </c>
    </row>
    <row r="282" spans="1:8" ht="15.75" hidden="1" outlineLevel="2" x14ac:dyDescent="0.25">
      <c r="A282" s="2" t="s">
        <v>961</v>
      </c>
      <c r="B282" s="2" t="s">
        <v>503</v>
      </c>
      <c r="C282" s="2" t="s">
        <v>962</v>
      </c>
      <c r="D282" s="12">
        <v>7866.1</v>
      </c>
      <c r="E282" s="12">
        <v>0</v>
      </c>
      <c r="F282" s="2" t="s">
        <v>963</v>
      </c>
      <c r="G282" s="2" t="s">
        <v>964</v>
      </c>
      <c r="H282" s="14">
        <f t="shared" si="4"/>
        <v>-7866.1</v>
      </c>
    </row>
    <row r="283" spans="1:8" ht="15.75" hidden="1" outlineLevel="3" x14ac:dyDescent="0.25">
      <c r="A283" s="3" t="s">
        <v>965</v>
      </c>
      <c r="B283" s="3" t="s">
        <v>508</v>
      </c>
      <c r="C283" s="3" t="s">
        <v>966</v>
      </c>
      <c r="D283" s="13">
        <v>0</v>
      </c>
      <c r="E283" s="13">
        <v>0</v>
      </c>
      <c r="F283" s="3" t="s">
        <v>40</v>
      </c>
      <c r="G283" s="3" t="s">
        <v>966</v>
      </c>
      <c r="H283" s="14">
        <f t="shared" si="4"/>
        <v>0</v>
      </c>
    </row>
    <row r="284" spans="1:8" ht="15.75" hidden="1" outlineLevel="3" x14ac:dyDescent="0.25">
      <c r="A284" s="2" t="s">
        <v>967</v>
      </c>
      <c r="B284" s="2" t="s">
        <v>511</v>
      </c>
      <c r="C284" s="2" t="s">
        <v>40</v>
      </c>
      <c r="D284" s="12">
        <v>410</v>
      </c>
      <c r="E284" s="12">
        <v>0</v>
      </c>
      <c r="F284" s="2" t="s">
        <v>968</v>
      </c>
      <c r="G284" s="2" t="s">
        <v>968</v>
      </c>
      <c r="H284" s="14">
        <f t="shared" si="4"/>
        <v>-410</v>
      </c>
    </row>
    <row r="285" spans="1:8" ht="15.75" hidden="1" outlineLevel="3" x14ac:dyDescent="0.25">
      <c r="A285" s="3" t="s">
        <v>969</v>
      </c>
      <c r="B285" s="3" t="s">
        <v>514</v>
      </c>
      <c r="C285" s="3" t="s">
        <v>970</v>
      </c>
      <c r="D285" s="13">
        <v>7456.1</v>
      </c>
      <c r="E285" s="13">
        <v>0</v>
      </c>
      <c r="F285" s="3" t="s">
        <v>971</v>
      </c>
      <c r="G285" s="3" t="s">
        <v>972</v>
      </c>
      <c r="H285" s="14">
        <f t="shared" si="4"/>
        <v>-7456.1</v>
      </c>
    </row>
    <row r="286" spans="1:8" ht="15.75" hidden="1" outlineLevel="2" x14ac:dyDescent="0.25">
      <c r="A286" s="2" t="s">
        <v>973</v>
      </c>
      <c r="B286" s="2" t="s">
        <v>518</v>
      </c>
      <c r="C286" s="2" t="s">
        <v>974</v>
      </c>
      <c r="D286" s="12">
        <v>0</v>
      </c>
      <c r="E286" s="12">
        <v>0</v>
      </c>
      <c r="F286" s="2" t="s">
        <v>40</v>
      </c>
      <c r="G286" s="2" t="s">
        <v>974</v>
      </c>
      <c r="H286" s="14">
        <f t="shared" si="4"/>
        <v>0</v>
      </c>
    </row>
    <row r="287" spans="1:8" ht="15.75" hidden="1" outlineLevel="3" x14ac:dyDescent="0.25">
      <c r="A287" s="3" t="s">
        <v>975</v>
      </c>
      <c r="B287" s="3" t="s">
        <v>521</v>
      </c>
      <c r="C287" s="3" t="s">
        <v>40</v>
      </c>
      <c r="D287" s="13">
        <v>0</v>
      </c>
      <c r="E287" s="13">
        <v>0</v>
      </c>
      <c r="F287" s="3" t="s">
        <v>40</v>
      </c>
      <c r="G287" s="3" t="s">
        <v>40</v>
      </c>
      <c r="H287" s="14">
        <f t="shared" si="4"/>
        <v>0</v>
      </c>
    </row>
    <row r="288" spans="1:8" ht="15.75" hidden="1" outlineLevel="3" x14ac:dyDescent="0.25">
      <c r="A288" s="2" t="s">
        <v>976</v>
      </c>
      <c r="B288" s="2" t="s">
        <v>523</v>
      </c>
      <c r="C288" s="2" t="s">
        <v>40</v>
      </c>
      <c r="D288" s="12">
        <v>0</v>
      </c>
      <c r="E288" s="12">
        <v>0</v>
      </c>
      <c r="F288" s="2" t="s">
        <v>40</v>
      </c>
      <c r="G288" s="2" t="s">
        <v>40</v>
      </c>
      <c r="H288" s="14">
        <f t="shared" si="4"/>
        <v>0</v>
      </c>
    </row>
    <row r="289" spans="1:8" ht="15.75" hidden="1" outlineLevel="3" x14ac:dyDescent="0.25">
      <c r="A289" s="3" t="s">
        <v>977</v>
      </c>
      <c r="B289" s="3" t="s">
        <v>525</v>
      </c>
      <c r="C289" s="3" t="s">
        <v>978</v>
      </c>
      <c r="D289" s="13">
        <v>0</v>
      </c>
      <c r="E289" s="13">
        <v>0</v>
      </c>
      <c r="F289" s="3" t="s">
        <v>40</v>
      </c>
      <c r="G289" s="3" t="s">
        <v>978</v>
      </c>
      <c r="H289" s="14">
        <f t="shared" si="4"/>
        <v>0</v>
      </c>
    </row>
    <row r="290" spans="1:8" ht="15.75" hidden="1" outlineLevel="3" x14ac:dyDescent="0.25">
      <c r="A290" s="2" t="s">
        <v>979</v>
      </c>
      <c r="B290" s="2" t="s">
        <v>527</v>
      </c>
      <c r="C290" s="2" t="s">
        <v>980</v>
      </c>
      <c r="D290" s="12">
        <v>0</v>
      </c>
      <c r="E290" s="12">
        <v>0</v>
      </c>
      <c r="F290" s="2" t="s">
        <v>40</v>
      </c>
      <c r="G290" s="2" t="s">
        <v>980</v>
      </c>
      <c r="H290" s="14">
        <f t="shared" si="4"/>
        <v>0</v>
      </c>
    </row>
    <row r="291" spans="1:8" ht="15.75" hidden="1" outlineLevel="3" x14ac:dyDescent="0.25">
      <c r="A291" s="3" t="s">
        <v>981</v>
      </c>
      <c r="B291" s="3" t="s">
        <v>529</v>
      </c>
      <c r="C291" s="3" t="s">
        <v>982</v>
      </c>
      <c r="D291" s="13">
        <v>0</v>
      </c>
      <c r="E291" s="13">
        <v>0</v>
      </c>
      <c r="F291" s="3" t="s">
        <v>40</v>
      </c>
      <c r="G291" s="3" t="s">
        <v>982</v>
      </c>
      <c r="H291" s="14">
        <f t="shared" si="4"/>
        <v>0</v>
      </c>
    </row>
    <row r="292" spans="1:8" ht="15.75" hidden="1" outlineLevel="3" x14ac:dyDescent="0.25">
      <c r="A292" s="2" t="s">
        <v>983</v>
      </c>
      <c r="B292" s="2" t="s">
        <v>531</v>
      </c>
      <c r="C292" s="2" t="s">
        <v>984</v>
      </c>
      <c r="D292" s="12">
        <v>0</v>
      </c>
      <c r="E292" s="12">
        <v>0</v>
      </c>
      <c r="F292" s="2" t="s">
        <v>40</v>
      </c>
      <c r="G292" s="2" t="s">
        <v>984</v>
      </c>
      <c r="H292" s="14">
        <f t="shared" si="4"/>
        <v>0</v>
      </c>
    </row>
    <row r="293" spans="1:8" ht="15.75" hidden="1" outlineLevel="2" x14ac:dyDescent="0.25">
      <c r="A293" s="3" t="s">
        <v>985</v>
      </c>
      <c r="B293" s="3" t="s">
        <v>533</v>
      </c>
      <c r="C293" s="3" t="s">
        <v>986</v>
      </c>
      <c r="D293" s="13">
        <v>930.49</v>
      </c>
      <c r="E293" s="13">
        <v>0</v>
      </c>
      <c r="F293" s="3" t="s">
        <v>987</v>
      </c>
      <c r="G293" s="3" t="s">
        <v>988</v>
      </c>
      <c r="H293" s="14">
        <f t="shared" si="4"/>
        <v>-930.49</v>
      </c>
    </row>
    <row r="294" spans="1:8" ht="15.75" hidden="1" outlineLevel="3" x14ac:dyDescent="0.25">
      <c r="A294" s="2" t="s">
        <v>989</v>
      </c>
      <c r="B294" s="2" t="s">
        <v>536</v>
      </c>
      <c r="C294" s="2" t="s">
        <v>990</v>
      </c>
      <c r="D294" s="12">
        <v>0</v>
      </c>
      <c r="E294" s="12">
        <v>0</v>
      </c>
      <c r="F294" s="2" t="s">
        <v>40</v>
      </c>
      <c r="G294" s="2" t="s">
        <v>990</v>
      </c>
      <c r="H294" s="14">
        <f t="shared" si="4"/>
        <v>0</v>
      </c>
    </row>
    <row r="295" spans="1:8" ht="15.75" hidden="1" outlineLevel="3" x14ac:dyDescent="0.25">
      <c r="A295" s="3" t="s">
        <v>991</v>
      </c>
      <c r="B295" s="3" t="s">
        <v>539</v>
      </c>
      <c r="C295" s="3" t="s">
        <v>40</v>
      </c>
      <c r="D295" s="13">
        <v>0</v>
      </c>
      <c r="E295" s="13">
        <v>0</v>
      </c>
      <c r="F295" s="3" t="s">
        <v>40</v>
      </c>
      <c r="G295" s="3" t="s">
        <v>40</v>
      </c>
      <c r="H295" s="14">
        <f t="shared" si="4"/>
        <v>0</v>
      </c>
    </row>
    <row r="296" spans="1:8" ht="15.75" hidden="1" outlineLevel="3" x14ac:dyDescent="0.25">
      <c r="A296" s="2" t="s">
        <v>992</v>
      </c>
      <c r="B296" s="2" t="s">
        <v>541</v>
      </c>
      <c r="C296" s="2" t="s">
        <v>40</v>
      </c>
      <c r="D296" s="12">
        <v>0</v>
      </c>
      <c r="E296" s="12">
        <v>0</v>
      </c>
      <c r="F296" s="2" t="s">
        <v>40</v>
      </c>
      <c r="G296" s="2" t="s">
        <v>40</v>
      </c>
      <c r="H296" s="14">
        <f t="shared" si="4"/>
        <v>0</v>
      </c>
    </row>
    <row r="297" spans="1:8" ht="15.75" hidden="1" outlineLevel="3" x14ac:dyDescent="0.25">
      <c r="A297" s="3" t="s">
        <v>993</v>
      </c>
      <c r="B297" s="3" t="s">
        <v>543</v>
      </c>
      <c r="C297" s="3" t="s">
        <v>994</v>
      </c>
      <c r="D297" s="13">
        <v>0</v>
      </c>
      <c r="E297" s="13">
        <v>0</v>
      </c>
      <c r="F297" s="3" t="s">
        <v>40</v>
      </c>
      <c r="G297" s="3" t="s">
        <v>994</v>
      </c>
      <c r="H297" s="14">
        <f t="shared" si="4"/>
        <v>0</v>
      </c>
    </row>
    <row r="298" spans="1:8" ht="15.75" hidden="1" outlineLevel="3" x14ac:dyDescent="0.25">
      <c r="A298" s="2" t="s">
        <v>995</v>
      </c>
      <c r="B298" s="2" t="s">
        <v>545</v>
      </c>
      <c r="C298" s="2" t="s">
        <v>996</v>
      </c>
      <c r="D298" s="12">
        <v>930.49</v>
      </c>
      <c r="E298" s="12">
        <v>0</v>
      </c>
      <c r="F298" s="2" t="s">
        <v>987</v>
      </c>
      <c r="G298" s="2" t="s">
        <v>997</v>
      </c>
      <c r="H298" s="14">
        <f t="shared" si="4"/>
        <v>-930.49</v>
      </c>
    </row>
    <row r="299" spans="1:8" ht="15.75" hidden="1" outlineLevel="3" x14ac:dyDescent="0.25">
      <c r="A299" s="3" t="s">
        <v>998</v>
      </c>
      <c r="B299" s="3" t="s">
        <v>548</v>
      </c>
      <c r="C299" s="3" t="s">
        <v>40</v>
      </c>
      <c r="D299" s="13">
        <v>0</v>
      </c>
      <c r="E299" s="13">
        <v>0</v>
      </c>
      <c r="F299" s="3" t="s">
        <v>40</v>
      </c>
      <c r="G299" s="3" t="s">
        <v>40</v>
      </c>
      <c r="H299" s="14">
        <f t="shared" si="4"/>
        <v>0</v>
      </c>
    </row>
    <row r="300" spans="1:8" ht="15.75" hidden="1" outlineLevel="2" x14ac:dyDescent="0.25">
      <c r="A300" s="2" t="s">
        <v>999</v>
      </c>
      <c r="B300" s="2" t="s">
        <v>550</v>
      </c>
      <c r="C300" s="2" t="s">
        <v>1000</v>
      </c>
      <c r="D300" s="12">
        <v>10062.18</v>
      </c>
      <c r="E300" s="12">
        <v>0</v>
      </c>
      <c r="F300" s="2" t="s">
        <v>1001</v>
      </c>
      <c r="G300" s="2" t="s">
        <v>1002</v>
      </c>
      <c r="H300" s="14">
        <f t="shared" si="4"/>
        <v>-10062.18</v>
      </c>
    </row>
    <row r="301" spans="1:8" ht="15.75" hidden="1" outlineLevel="3" x14ac:dyDescent="0.25">
      <c r="A301" s="3" t="s">
        <v>1003</v>
      </c>
      <c r="B301" s="3" t="s">
        <v>555</v>
      </c>
      <c r="C301" s="3" t="s">
        <v>1004</v>
      </c>
      <c r="D301" s="13">
        <v>5799.2</v>
      </c>
      <c r="E301" s="13">
        <v>0</v>
      </c>
      <c r="F301" s="3" t="s">
        <v>1005</v>
      </c>
      <c r="G301" s="3" t="s">
        <v>1006</v>
      </c>
      <c r="H301" s="14">
        <f t="shared" si="4"/>
        <v>-5799.2</v>
      </c>
    </row>
    <row r="302" spans="1:8" ht="15.75" hidden="1" outlineLevel="3" x14ac:dyDescent="0.25">
      <c r="A302" s="2" t="s">
        <v>1007</v>
      </c>
      <c r="B302" s="2" t="s">
        <v>557</v>
      </c>
      <c r="C302" s="2" t="s">
        <v>40</v>
      </c>
      <c r="D302" s="12">
        <v>0</v>
      </c>
      <c r="E302" s="12">
        <v>0</v>
      </c>
      <c r="F302" s="2" t="s">
        <v>40</v>
      </c>
      <c r="G302" s="2" t="s">
        <v>40</v>
      </c>
      <c r="H302" s="14">
        <f t="shared" si="4"/>
        <v>0</v>
      </c>
    </row>
    <row r="303" spans="1:8" ht="15.75" hidden="1" outlineLevel="3" x14ac:dyDescent="0.25">
      <c r="A303" s="3" t="s">
        <v>1008</v>
      </c>
      <c r="B303" s="3" t="s">
        <v>560</v>
      </c>
      <c r="C303" s="3" t="s">
        <v>40</v>
      </c>
      <c r="D303" s="13">
        <v>0</v>
      </c>
      <c r="E303" s="13">
        <v>0</v>
      </c>
      <c r="F303" s="3" t="s">
        <v>40</v>
      </c>
      <c r="G303" s="3" t="s">
        <v>40</v>
      </c>
      <c r="H303" s="14">
        <f t="shared" si="4"/>
        <v>0</v>
      </c>
    </row>
    <row r="304" spans="1:8" ht="15.75" hidden="1" outlineLevel="3" x14ac:dyDescent="0.25">
      <c r="A304" s="2" t="s">
        <v>1009</v>
      </c>
      <c r="B304" s="2" t="s">
        <v>562</v>
      </c>
      <c r="C304" s="2" t="s">
        <v>40</v>
      </c>
      <c r="D304" s="12">
        <v>0</v>
      </c>
      <c r="E304" s="12">
        <v>0</v>
      </c>
      <c r="F304" s="2" t="s">
        <v>40</v>
      </c>
      <c r="G304" s="2" t="s">
        <v>40</v>
      </c>
      <c r="H304" s="14">
        <f t="shared" si="4"/>
        <v>0</v>
      </c>
    </row>
    <row r="305" spans="1:8" ht="15.75" hidden="1" outlineLevel="3" x14ac:dyDescent="0.25">
      <c r="A305" s="3" t="s">
        <v>1010</v>
      </c>
      <c r="B305" s="3" t="s">
        <v>564</v>
      </c>
      <c r="C305" s="3" t="s">
        <v>40</v>
      </c>
      <c r="D305" s="13">
        <v>0</v>
      </c>
      <c r="E305" s="13">
        <v>0</v>
      </c>
      <c r="F305" s="3" t="s">
        <v>40</v>
      </c>
      <c r="G305" s="3" t="s">
        <v>40</v>
      </c>
      <c r="H305" s="14">
        <f t="shared" si="4"/>
        <v>0</v>
      </c>
    </row>
    <row r="306" spans="1:8" ht="15.75" hidden="1" outlineLevel="3" x14ac:dyDescent="0.25">
      <c r="A306" s="2" t="s">
        <v>1011</v>
      </c>
      <c r="B306" s="2" t="s">
        <v>566</v>
      </c>
      <c r="C306" s="2" t="s">
        <v>1012</v>
      </c>
      <c r="D306" s="12">
        <v>1605.27</v>
      </c>
      <c r="E306" s="12">
        <v>0</v>
      </c>
      <c r="F306" s="2" t="s">
        <v>1013</v>
      </c>
      <c r="G306" s="2" t="s">
        <v>1014</v>
      </c>
      <c r="H306" s="14">
        <f t="shared" si="4"/>
        <v>-1605.27</v>
      </c>
    </row>
    <row r="307" spans="1:8" ht="15.75" hidden="1" outlineLevel="3" x14ac:dyDescent="0.25">
      <c r="A307" s="3" t="s">
        <v>1015</v>
      </c>
      <c r="B307" s="3" t="s">
        <v>571</v>
      </c>
      <c r="C307" s="3" t="s">
        <v>1016</v>
      </c>
      <c r="D307" s="13">
        <v>1146.3599999999999</v>
      </c>
      <c r="E307" s="13">
        <v>0</v>
      </c>
      <c r="F307" s="3" t="s">
        <v>1017</v>
      </c>
      <c r="G307" s="3" t="s">
        <v>1018</v>
      </c>
      <c r="H307" s="14">
        <f t="shared" si="4"/>
        <v>-1146.3599999999999</v>
      </c>
    </row>
    <row r="308" spans="1:8" ht="15.75" hidden="1" outlineLevel="3" x14ac:dyDescent="0.25">
      <c r="A308" s="2" t="s">
        <v>1019</v>
      </c>
      <c r="B308" s="2" t="s">
        <v>576</v>
      </c>
      <c r="C308" s="2" t="s">
        <v>1020</v>
      </c>
      <c r="D308" s="12">
        <v>715.03</v>
      </c>
      <c r="E308" s="12">
        <v>0</v>
      </c>
      <c r="F308" s="2" t="s">
        <v>1021</v>
      </c>
      <c r="G308" s="2" t="s">
        <v>1022</v>
      </c>
      <c r="H308" s="14">
        <f t="shared" si="4"/>
        <v>-715.03</v>
      </c>
    </row>
    <row r="309" spans="1:8" ht="15.75" hidden="1" outlineLevel="3" x14ac:dyDescent="0.25">
      <c r="A309" s="3" t="s">
        <v>1023</v>
      </c>
      <c r="B309" s="3" t="s">
        <v>581</v>
      </c>
      <c r="C309" s="3" t="s">
        <v>1024</v>
      </c>
      <c r="D309" s="13">
        <v>99</v>
      </c>
      <c r="E309" s="13">
        <v>0</v>
      </c>
      <c r="F309" s="3" t="s">
        <v>1025</v>
      </c>
      <c r="G309" s="3" t="s">
        <v>1026</v>
      </c>
      <c r="H309" s="14">
        <f t="shared" si="4"/>
        <v>-99</v>
      </c>
    </row>
    <row r="310" spans="1:8" ht="15.75" hidden="1" outlineLevel="3" x14ac:dyDescent="0.25">
      <c r="A310" s="2" t="s">
        <v>1027</v>
      </c>
      <c r="B310" s="2" t="s">
        <v>583</v>
      </c>
      <c r="C310" s="2" t="s">
        <v>40</v>
      </c>
      <c r="D310" s="12">
        <v>0</v>
      </c>
      <c r="E310" s="12">
        <v>0</v>
      </c>
      <c r="F310" s="2" t="s">
        <v>40</v>
      </c>
      <c r="G310" s="2" t="s">
        <v>40</v>
      </c>
      <c r="H310" s="14">
        <f t="shared" si="4"/>
        <v>0</v>
      </c>
    </row>
    <row r="311" spans="1:8" ht="15.75" hidden="1" outlineLevel="3" x14ac:dyDescent="0.25">
      <c r="A311" s="3" t="s">
        <v>1028</v>
      </c>
      <c r="B311" s="3" t="s">
        <v>586</v>
      </c>
      <c r="C311" s="3" t="s">
        <v>1029</v>
      </c>
      <c r="D311" s="13">
        <v>0</v>
      </c>
      <c r="E311" s="13">
        <v>0</v>
      </c>
      <c r="F311" s="3" t="s">
        <v>40</v>
      </c>
      <c r="G311" s="3" t="s">
        <v>1029</v>
      </c>
      <c r="H311" s="14">
        <f t="shared" si="4"/>
        <v>0</v>
      </c>
    </row>
    <row r="312" spans="1:8" ht="15.75" hidden="1" outlineLevel="3" x14ac:dyDescent="0.25">
      <c r="A312" s="2" t="s">
        <v>1030</v>
      </c>
      <c r="B312" s="2" t="s">
        <v>588</v>
      </c>
      <c r="C312" s="2" t="s">
        <v>1031</v>
      </c>
      <c r="D312" s="12">
        <v>697.32</v>
      </c>
      <c r="E312" s="12">
        <v>0</v>
      </c>
      <c r="F312" s="2" t="s">
        <v>1032</v>
      </c>
      <c r="G312" s="2" t="s">
        <v>1033</v>
      </c>
      <c r="H312" s="14">
        <f t="shared" si="4"/>
        <v>-697.32</v>
      </c>
    </row>
    <row r="313" spans="1:8" ht="15.75" hidden="1" outlineLevel="3" x14ac:dyDescent="0.25">
      <c r="A313" s="3" t="s">
        <v>1034</v>
      </c>
      <c r="B313" s="3" t="s">
        <v>591</v>
      </c>
      <c r="C313" s="3" t="s">
        <v>40</v>
      </c>
      <c r="D313" s="13">
        <v>0</v>
      </c>
      <c r="E313" s="13">
        <v>0</v>
      </c>
      <c r="F313" s="3" t="s">
        <v>40</v>
      </c>
      <c r="G313" s="3" t="s">
        <v>40</v>
      </c>
      <c r="H313" s="14">
        <f t="shared" si="4"/>
        <v>0</v>
      </c>
    </row>
    <row r="314" spans="1:8" ht="15.75" hidden="1" outlineLevel="3" x14ac:dyDescent="0.25">
      <c r="A314" s="2" t="s">
        <v>1035</v>
      </c>
      <c r="B314" s="2" t="s">
        <v>594</v>
      </c>
      <c r="C314" s="2" t="s">
        <v>1036</v>
      </c>
      <c r="D314" s="12">
        <v>0</v>
      </c>
      <c r="E314" s="12">
        <v>0</v>
      </c>
      <c r="F314" s="2" t="s">
        <v>40</v>
      </c>
      <c r="G314" s="2" t="s">
        <v>1036</v>
      </c>
      <c r="H314" s="14">
        <f t="shared" si="4"/>
        <v>0</v>
      </c>
    </row>
    <row r="315" spans="1:8" ht="15.75" hidden="1" outlineLevel="2" collapsed="1" x14ac:dyDescent="0.25">
      <c r="A315" s="3" t="s">
        <v>1037</v>
      </c>
      <c r="B315" s="3" t="s">
        <v>1038</v>
      </c>
      <c r="C315" s="3" t="s">
        <v>1039</v>
      </c>
      <c r="D315" s="13">
        <v>0</v>
      </c>
      <c r="E315" s="13">
        <v>0</v>
      </c>
      <c r="F315" s="3" t="s">
        <v>40</v>
      </c>
      <c r="G315" s="3" t="s">
        <v>1039</v>
      </c>
      <c r="H315" s="14">
        <f t="shared" si="4"/>
        <v>0</v>
      </c>
    </row>
    <row r="316" spans="1:8" ht="15.75" hidden="1" outlineLevel="2" x14ac:dyDescent="0.25">
      <c r="A316" s="2" t="s">
        <v>1040</v>
      </c>
      <c r="B316" s="2" t="s">
        <v>1041</v>
      </c>
      <c r="C316" s="2" t="s">
        <v>40</v>
      </c>
      <c r="D316" s="12">
        <v>0</v>
      </c>
      <c r="E316" s="12">
        <v>0</v>
      </c>
      <c r="F316" s="2" t="s">
        <v>40</v>
      </c>
      <c r="G316" s="2" t="s">
        <v>40</v>
      </c>
      <c r="H316" s="14">
        <f t="shared" si="4"/>
        <v>0</v>
      </c>
    </row>
    <row r="317" spans="1:8" ht="15.75" hidden="1" outlineLevel="2" x14ac:dyDescent="0.25">
      <c r="A317" s="3" t="s">
        <v>1042</v>
      </c>
      <c r="B317" s="3" t="s">
        <v>1043</v>
      </c>
      <c r="C317" s="3" t="s">
        <v>1039</v>
      </c>
      <c r="D317" s="13">
        <v>0</v>
      </c>
      <c r="E317" s="13">
        <v>0</v>
      </c>
      <c r="F317" s="3" t="s">
        <v>40</v>
      </c>
      <c r="G317" s="3" t="s">
        <v>1039</v>
      </c>
      <c r="H317" s="14">
        <f t="shared" si="4"/>
        <v>0</v>
      </c>
    </row>
    <row r="318" spans="1:8" ht="15.75" hidden="1" outlineLevel="2" x14ac:dyDescent="0.25">
      <c r="A318" s="2" t="s">
        <v>1044</v>
      </c>
      <c r="B318" s="2" t="s">
        <v>1045</v>
      </c>
      <c r="C318" s="2" t="s">
        <v>40</v>
      </c>
      <c r="D318" s="12">
        <v>0</v>
      </c>
      <c r="E318" s="12">
        <v>0</v>
      </c>
      <c r="F318" s="2" t="s">
        <v>40</v>
      </c>
      <c r="G318" s="2" t="s">
        <v>40</v>
      </c>
      <c r="H318" s="14">
        <f t="shared" si="4"/>
        <v>0</v>
      </c>
    </row>
    <row r="319" spans="1:8" ht="15.75" hidden="1" outlineLevel="2" x14ac:dyDescent="0.25">
      <c r="A319" s="3" t="s">
        <v>1046</v>
      </c>
      <c r="B319" s="3" t="s">
        <v>1047</v>
      </c>
      <c r="C319" s="3" t="s">
        <v>40</v>
      </c>
      <c r="D319" s="13">
        <v>0</v>
      </c>
      <c r="E319" s="13">
        <v>0</v>
      </c>
      <c r="F319" s="3" t="s">
        <v>40</v>
      </c>
      <c r="G319" s="3" t="s">
        <v>40</v>
      </c>
      <c r="H319" s="14">
        <f t="shared" si="4"/>
        <v>0</v>
      </c>
    </row>
    <row r="320" spans="1:8" ht="15.75" hidden="1" outlineLevel="1" collapsed="1" x14ac:dyDescent="0.25">
      <c r="A320" s="2" t="s">
        <v>1048</v>
      </c>
      <c r="B320" s="2" t="s">
        <v>599</v>
      </c>
      <c r="C320" s="2" t="s">
        <v>1049</v>
      </c>
      <c r="D320" s="12">
        <v>41450.69</v>
      </c>
      <c r="E320" s="12">
        <v>0</v>
      </c>
      <c r="F320" s="2" t="s">
        <v>1050</v>
      </c>
      <c r="G320" s="2" t="s">
        <v>1051</v>
      </c>
      <c r="H320" s="14">
        <f t="shared" si="4"/>
        <v>-41450.69</v>
      </c>
    </row>
    <row r="321" spans="1:8" ht="15.75" hidden="1" outlineLevel="2" collapsed="1" x14ac:dyDescent="0.25">
      <c r="A321" s="3" t="s">
        <v>1052</v>
      </c>
      <c r="B321" s="3" t="s">
        <v>599</v>
      </c>
      <c r="C321" s="3" t="s">
        <v>1049</v>
      </c>
      <c r="D321" s="13">
        <v>41450.69</v>
      </c>
      <c r="E321" s="13">
        <v>0</v>
      </c>
      <c r="F321" s="3" t="s">
        <v>1050</v>
      </c>
      <c r="G321" s="3" t="s">
        <v>1051</v>
      </c>
      <c r="H321" s="14">
        <f t="shared" si="4"/>
        <v>-41450.69</v>
      </c>
    </row>
    <row r="322" spans="1:8" ht="15.75" hidden="1" outlineLevel="2" x14ac:dyDescent="0.25">
      <c r="A322" s="2" t="s">
        <v>1053</v>
      </c>
      <c r="B322" s="2" t="s">
        <v>605</v>
      </c>
      <c r="C322" s="2" t="s">
        <v>40</v>
      </c>
      <c r="D322" s="12">
        <v>0</v>
      </c>
      <c r="E322" s="12">
        <v>0</v>
      </c>
      <c r="F322" s="2" t="s">
        <v>40</v>
      </c>
      <c r="G322" s="2" t="s">
        <v>40</v>
      </c>
      <c r="H322" s="14">
        <f t="shared" si="4"/>
        <v>0</v>
      </c>
    </row>
    <row r="323" spans="1:8" ht="15.75" hidden="1" outlineLevel="2" x14ac:dyDescent="0.25">
      <c r="A323" s="3" t="s">
        <v>1054</v>
      </c>
      <c r="B323" s="3" t="s">
        <v>607</v>
      </c>
      <c r="C323" s="3" t="s">
        <v>1055</v>
      </c>
      <c r="D323" s="13">
        <v>3523.79</v>
      </c>
      <c r="E323" s="13">
        <v>0</v>
      </c>
      <c r="F323" s="3" t="s">
        <v>1056</v>
      </c>
      <c r="G323" s="3" t="s">
        <v>1057</v>
      </c>
      <c r="H323" s="14">
        <f t="shared" ref="H323:H386" si="5">E323-D323</f>
        <v>-3523.79</v>
      </c>
    </row>
    <row r="324" spans="1:8" ht="15.75" hidden="1" outlineLevel="2" x14ac:dyDescent="0.25">
      <c r="A324" s="2" t="s">
        <v>1058</v>
      </c>
      <c r="B324" s="2" t="s">
        <v>609</v>
      </c>
      <c r="C324" s="2" t="s">
        <v>40</v>
      </c>
      <c r="D324" s="12">
        <v>0</v>
      </c>
      <c r="E324" s="12">
        <v>0</v>
      </c>
      <c r="F324" s="2" t="s">
        <v>40</v>
      </c>
      <c r="G324" s="2" t="s">
        <v>40</v>
      </c>
      <c r="H324" s="14">
        <f t="shared" si="5"/>
        <v>0</v>
      </c>
    </row>
    <row r="325" spans="1:8" ht="15.75" hidden="1" outlineLevel="2" x14ac:dyDescent="0.25">
      <c r="A325" s="3" t="s">
        <v>1059</v>
      </c>
      <c r="B325" s="3" t="s">
        <v>614</v>
      </c>
      <c r="C325" s="3" t="s">
        <v>1060</v>
      </c>
      <c r="D325" s="13">
        <v>10282.27</v>
      </c>
      <c r="E325" s="13">
        <v>0</v>
      </c>
      <c r="F325" s="3" t="s">
        <v>1061</v>
      </c>
      <c r="G325" s="3" t="s">
        <v>1062</v>
      </c>
      <c r="H325" s="14">
        <f t="shared" si="5"/>
        <v>-10282.27</v>
      </c>
    </row>
    <row r="326" spans="1:8" ht="15.75" hidden="1" outlineLevel="2" x14ac:dyDescent="0.25">
      <c r="A326" s="2" t="s">
        <v>1063</v>
      </c>
      <c r="B326" s="2" t="s">
        <v>619</v>
      </c>
      <c r="C326" s="2" t="s">
        <v>1064</v>
      </c>
      <c r="D326" s="12">
        <v>5512.8</v>
      </c>
      <c r="E326" s="12">
        <v>0</v>
      </c>
      <c r="F326" s="2" t="s">
        <v>1065</v>
      </c>
      <c r="G326" s="2" t="s">
        <v>1066</v>
      </c>
      <c r="H326" s="14">
        <f t="shared" si="5"/>
        <v>-5512.8</v>
      </c>
    </row>
    <row r="327" spans="1:8" ht="15.75" hidden="1" outlineLevel="2" x14ac:dyDescent="0.25">
      <c r="A327" s="3" t="s">
        <v>1067</v>
      </c>
      <c r="B327" s="3" t="s">
        <v>624</v>
      </c>
      <c r="C327" s="3" t="s">
        <v>1068</v>
      </c>
      <c r="D327" s="13">
        <v>22131.83</v>
      </c>
      <c r="E327" s="13">
        <v>0</v>
      </c>
      <c r="F327" s="3" t="s">
        <v>1069</v>
      </c>
      <c r="G327" s="3" t="s">
        <v>1070</v>
      </c>
      <c r="H327" s="14">
        <f t="shared" si="5"/>
        <v>-22131.83</v>
      </c>
    </row>
    <row r="328" spans="1:8" ht="15.75" hidden="1" outlineLevel="2" x14ac:dyDescent="0.25">
      <c r="A328" s="2" t="s">
        <v>1071</v>
      </c>
      <c r="B328" s="2" t="s">
        <v>609</v>
      </c>
      <c r="C328" s="2" t="s">
        <v>40</v>
      </c>
      <c r="D328" s="12">
        <v>0</v>
      </c>
      <c r="E328" s="12">
        <v>0</v>
      </c>
      <c r="F328" s="2" t="s">
        <v>40</v>
      </c>
      <c r="G328" s="2" t="s">
        <v>40</v>
      </c>
      <c r="H328" s="14">
        <f t="shared" si="5"/>
        <v>0</v>
      </c>
    </row>
    <row r="329" spans="1:8" ht="15.75" hidden="1" outlineLevel="2" x14ac:dyDescent="0.25">
      <c r="A329" s="3" t="s">
        <v>1072</v>
      </c>
      <c r="B329" s="3" t="s">
        <v>631</v>
      </c>
      <c r="C329" s="3" t="s">
        <v>40</v>
      </c>
      <c r="D329" s="13">
        <v>0</v>
      </c>
      <c r="E329" s="13">
        <v>0</v>
      </c>
      <c r="F329" s="3" t="s">
        <v>40</v>
      </c>
      <c r="G329" s="3" t="s">
        <v>40</v>
      </c>
      <c r="H329" s="14">
        <f t="shared" si="5"/>
        <v>0</v>
      </c>
    </row>
    <row r="330" spans="1:8" ht="15.75" hidden="1" outlineLevel="2" x14ac:dyDescent="0.25">
      <c r="A330" s="2" t="s">
        <v>1073</v>
      </c>
      <c r="B330" s="2" t="s">
        <v>633</v>
      </c>
      <c r="C330" s="2" t="s">
        <v>40</v>
      </c>
      <c r="D330" s="12">
        <v>0</v>
      </c>
      <c r="E330" s="12">
        <v>0</v>
      </c>
      <c r="F330" s="2" t="s">
        <v>40</v>
      </c>
      <c r="G330" s="2" t="s">
        <v>40</v>
      </c>
      <c r="H330" s="14">
        <f t="shared" si="5"/>
        <v>0</v>
      </c>
    </row>
    <row r="331" spans="1:8" ht="15.75" hidden="1" outlineLevel="1" collapsed="1" x14ac:dyDescent="0.25">
      <c r="A331" s="3" t="s">
        <v>1074</v>
      </c>
      <c r="B331" s="3" t="s">
        <v>1075</v>
      </c>
      <c r="C331" s="3" t="s">
        <v>1076</v>
      </c>
      <c r="D331" s="13">
        <v>40560.339999999997</v>
      </c>
      <c r="E331" s="13">
        <v>0</v>
      </c>
      <c r="F331" s="3" t="s">
        <v>1077</v>
      </c>
      <c r="G331" s="3" t="s">
        <v>1078</v>
      </c>
      <c r="H331" s="14">
        <f t="shared" si="5"/>
        <v>-40560.339999999997</v>
      </c>
    </row>
    <row r="332" spans="1:8" ht="15.75" hidden="1" outlineLevel="2" collapsed="1" x14ac:dyDescent="0.25">
      <c r="A332" s="2" t="s">
        <v>1079</v>
      </c>
      <c r="B332" s="2" t="s">
        <v>1075</v>
      </c>
      <c r="C332" s="2" t="s">
        <v>1076</v>
      </c>
      <c r="D332" s="12">
        <v>40560.339999999997</v>
      </c>
      <c r="E332" s="12">
        <v>0</v>
      </c>
      <c r="F332" s="2" t="s">
        <v>1077</v>
      </c>
      <c r="G332" s="2" t="s">
        <v>1078</v>
      </c>
      <c r="H332" s="14">
        <f t="shared" si="5"/>
        <v>-40560.339999999997</v>
      </c>
    </row>
    <row r="333" spans="1:8" ht="15.75" hidden="1" outlineLevel="2" x14ac:dyDescent="0.25">
      <c r="A333" s="3" t="s">
        <v>1080</v>
      </c>
      <c r="B333" s="3" t="s">
        <v>1081</v>
      </c>
      <c r="C333" s="3" t="s">
        <v>40</v>
      </c>
      <c r="D333" s="13">
        <v>0</v>
      </c>
      <c r="E333" s="13">
        <v>0</v>
      </c>
      <c r="F333" s="3" t="s">
        <v>40</v>
      </c>
      <c r="G333" s="3" t="s">
        <v>40</v>
      </c>
      <c r="H333" s="14">
        <f t="shared" si="5"/>
        <v>0</v>
      </c>
    </row>
    <row r="334" spans="1:8" ht="15.75" hidden="1" outlineLevel="2" x14ac:dyDescent="0.25">
      <c r="A334" s="2" t="s">
        <v>1082</v>
      </c>
      <c r="B334" s="2" t="s">
        <v>1083</v>
      </c>
      <c r="C334" s="2" t="s">
        <v>40</v>
      </c>
      <c r="D334" s="12">
        <v>0</v>
      </c>
      <c r="E334" s="12">
        <v>0</v>
      </c>
      <c r="F334" s="2" t="s">
        <v>40</v>
      </c>
      <c r="G334" s="2" t="s">
        <v>40</v>
      </c>
      <c r="H334" s="14">
        <f t="shared" si="5"/>
        <v>0</v>
      </c>
    </row>
    <row r="335" spans="1:8" ht="15.75" hidden="1" outlineLevel="2" x14ac:dyDescent="0.25">
      <c r="A335" s="3" t="s">
        <v>1084</v>
      </c>
      <c r="B335" s="3" t="s">
        <v>1085</v>
      </c>
      <c r="C335" s="3" t="s">
        <v>40</v>
      </c>
      <c r="D335" s="13">
        <v>0</v>
      </c>
      <c r="E335" s="13">
        <v>0</v>
      </c>
      <c r="F335" s="3" t="s">
        <v>40</v>
      </c>
      <c r="G335" s="3" t="s">
        <v>40</v>
      </c>
      <c r="H335" s="14">
        <f t="shared" si="5"/>
        <v>0</v>
      </c>
    </row>
    <row r="336" spans="1:8" ht="15.75" hidden="1" outlineLevel="2" x14ac:dyDescent="0.25">
      <c r="A336" s="2" t="s">
        <v>1086</v>
      </c>
      <c r="B336" s="2" t="s">
        <v>1087</v>
      </c>
      <c r="C336" s="2" t="s">
        <v>1088</v>
      </c>
      <c r="D336" s="12">
        <v>5545.81</v>
      </c>
      <c r="E336" s="12">
        <v>0</v>
      </c>
      <c r="F336" s="2" t="s">
        <v>1089</v>
      </c>
      <c r="G336" s="2" t="s">
        <v>1090</v>
      </c>
      <c r="H336" s="14">
        <f t="shared" si="5"/>
        <v>-5545.81</v>
      </c>
    </row>
    <row r="337" spans="1:8" ht="15.75" hidden="1" outlineLevel="2" x14ac:dyDescent="0.25">
      <c r="A337" s="3" t="s">
        <v>1091</v>
      </c>
      <c r="B337" s="3" t="s">
        <v>1092</v>
      </c>
      <c r="C337" s="3" t="s">
        <v>40</v>
      </c>
      <c r="D337" s="13">
        <v>0</v>
      </c>
      <c r="E337" s="13">
        <v>0</v>
      </c>
      <c r="F337" s="3" t="s">
        <v>40</v>
      </c>
      <c r="G337" s="3" t="s">
        <v>40</v>
      </c>
      <c r="H337" s="14">
        <f t="shared" si="5"/>
        <v>0</v>
      </c>
    </row>
    <row r="338" spans="1:8" ht="15.75" hidden="1" outlineLevel="2" x14ac:dyDescent="0.25">
      <c r="A338" s="2" t="s">
        <v>1093</v>
      </c>
      <c r="B338" s="2" t="s">
        <v>1094</v>
      </c>
      <c r="C338" s="2" t="s">
        <v>1095</v>
      </c>
      <c r="D338" s="12">
        <v>0</v>
      </c>
      <c r="E338" s="12">
        <v>0</v>
      </c>
      <c r="F338" s="2" t="s">
        <v>40</v>
      </c>
      <c r="G338" s="2" t="s">
        <v>1095</v>
      </c>
      <c r="H338" s="14">
        <f t="shared" si="5"/>
        <v>0</v>
      </c>
    </row>
    <row r="339" spans="1:8" ht="15.75" hidden="1" outlineLevel="2" x14ac:dyDescent="0.25">
      <c r="A339" s="3" t="s">
        <v>1096</v>
      </c>
      <c r="B339" s="3" t="s">
        <v>1097</v>
      </c>
      <c r="C339" s="3" t="s">
        <v>1098</v>
      </c>
      <c r="D339" s="13">
        <v>0</v>
      </c>
      <c r="E339" s="13">
        <v>0</v>
      </c>
      <c r="F339" s="3" t="s">
        <v>40</v>
      </c>
      <c r="G339" s="3" t="s">
        <v>1098</v>
      </c>
      <c r="H339" s="14">
        <f t="shared" si="5"/>
        <v>0</v>
      </c>
    </row>
    <row r="340" spans="1:8" ht="15.75" hidden="1" outlineLevel="2" x14ac:dyDescent="0.25">
      <c r="A340" s="2" t="s">
        <v>1099</v>
      </c>
      <c r="B340" s="2" t="s">
        <v>1100</v>
      </c>
      <c r="C340" s="2" t="s">
        <v>1101</v>
      </c>
      <c r="D340" s="12">
        <v>35014.53</v>
      </c>
      <c r="E340" s="12">
        <v>0</v>
      </c>
      <c r="F340" s="2" t="s">
        <v>1102</v>
      </c>
      <c r="G340" s="2" t="s">
        <v>1103</v>
      </c>
      <c r="H340" s="14">
        <f t="shared" si="5"/>
        <v>-35014.53</v>
      </c>
    </row>
    <row r="341" spans="1:8" ht="15.75" hidden="1" outlineLevel="2" x14ac:dyDescent="0.25">
      <c r="A341" s="3" t="s">
        <v>1104</v>
      </c>
      <c r="B341" s="3" t="s">
        <v>1105</v>
      </c>
      <c r="C341" s="3" t="s">
        <v>1106</v>
      </c>
      <c r="D341" s="13">
        <v>0</v>
      </c>
      <c r="E341" s="13">
        <v>0</v>
      </c>
      <c r="F341" s="3" t="s">
        <v>40</v>
      </c>
      <c r="G341" s="3" t="s">
        <v>1106</v>
      </c>
      <c r="H341" s="14">
        <f t="shared" si="5"/>
        <v>0</v>
      </c>
    </row>
    <row r="342" spans="1:8" ht="15.75" hidden="1" outlineLevel="2" x14ac:dyDescent="0.25">
      <c r="A342" s="2" t="s">
        <v>1107</v>
      </c>
      <c r="B342" s="2" t="s">
        <v>1108</v>
      </c>
      <c r="C342" s="2" t="s">
        <v>1109</v>
      </c>
      <c r="D342" s="12">
        <v>0</v>
      </c>
      <c r="E342" s="12">
        <v>0</v>
      </c>
      <c r="F342" s="2" t="s">
        <v>40</v>
      </c>
      <c r="G342" s="2" t="s">
        <v>1109</v>
      </c>
      <c r="H342" s="14">
        <f t="shared" si="5"/>
        <v>0</v>
      </c>
    </row>
    <row r="343" spans="1:8" ht="15.75" hidden="1" outlineLevel="1" collapsed="1" x14ac:dyDescent="0.25">
      <c r="A343" s="3" t="s">
        <v>1110</v>
      </c>
      <c r="B343" s="3" t="s">
        <v>1111</v>
      </c>
      <c r="C343" s="3" t="s">
        <v>1112</v>
      </c>
      <c r="D343" s="13">
        <v>0</v>
      </c>
      <c r="E343" s="13">
        <v>0</v>
      </c>
      <c r="F343" s="3" t="s">
        <v>40</v>
      </c>
      <c r="G343" s="3" t="s">
        <v>1112</v>
      </c>
      <c r="H343" s="14">
        <f t="shared" si="5"/>
        <v>0</v>
      </c>
    </row>
    <row r="344" spans="1:8" ht="15.75" hidden="1" outlineLevel="2" x14ac:dyDescent="0.25">
      <c r="A344" s="2" t="s">
        <v>1113</v>
      </c>
      <c r="B344" s="2" t="s">
        <v>1114</v>
      </c>
      <c r="C344" s="2" t="s">
        <v>40</v>
      </c>
      <c r="D344" s="12">
        <v>0</v>
      </c>
      <c r="E344" s="12">
        <v>0</v>
      </c>
      <c r="F344" s="2" t="s">
        <v>40</v>
      </c>
      <c r="G344" s="2" t="s">
        <v>40</v>
      </c>
      <c r="H344" s="14">
        <f t="shared" si="5"/>
        <v>0</v>
      </c>
    </row>
    <row r="345" spans="1:8" ht="15.75" hidden="1" outlineLevel="3" x14ac:dyDescent="0.25">
      <c r="A345" s="3" t="s">
        <v>1115</v>
      </c>
      <c r="B345" s="3" t="s">
        <v>1116</v>
      </c>
      <c r="C345" s="3" t="s">
        <v>40</v>
      </c>
      <c r="D345" s="13">
        <v>0</v>
      </c>
      <c r="E345" s="13">
        <v>0</v>
      </c>
      <c r="F345" s="3" t="s">
        <v>40</v>
      </c>
      <c r="G345" s="3" t="s">
        <v>40</v>
      </c>
      <c r="H345" s="14">
        <f t="shared" si="5"/>
        <v>0</v>
      </c>
    </row>
    <row r="346" spans="1:8" ht="15.75" hidden="1" outlineLevel="2" x14ac:dyDescent="0.25">
      <c r="A346" s="2" t="s">
        <v>1117</v>
      </c>
      <c r="B346" s="2" t="s">
        <v>659</v>
      </c>
      <c r="C346" s="2" t="s">
        <v>1118</v>
      </c>
      <c r="D346" s="12">
        <v>0</v>
      </c>
      <c r="E346" s="12">
        <v>0</v>
      </c>
      <c r="F346" s="2" t="s">
        <v>40</v>
      </c>
      <c r="G346" s="2" t="s">
        <v>1118</v>
      </c>
      <c r="H346" s="14">
        <f t="shared" si="5"/>
        <v>0</v>
      </c>
    </row>
    <row r="347" spans="1:8" ht="15.75" hidden="1" outlineLevel="3" x14ac:dyDescent="0.25">
      <c r="A347" s="3" t="s">
        <v>1119</v>
      </c>
      <c r="B347" s="3" t="s">
        <v>659</v>
      </c>
      <c r="C347" s="3" t="s">
        <v>1118</v>
      </c>
      <c r="D347" s="13">
        <v>0</v>
      </c>
      <c r="E347" s="13">
        <v>0</v>
      </c>
      <c r="F347" s="3" t="s">
        <v>40</v>
      </c>
      <c r="G347" s="3" t="s">
        <v>1118</v>
      </c>
      <c r="H347" s="14">
        <f t="shared" si="5"/>
        <v>0</v>
      </c>
    </row>
    <row r="348" spans="1:8" ht="15.75" hidden="1" outlineLevel="2" x14ac:dyDescent="0.25">
      <c r="A348" s="2" t="s">
        <v>1120</v>
      </c>
      <c r="B348" s="2" t="s">
        <v>1121</v>
      </c>
      <c r="C348" s="2" t="s">
        <v>1122</v>
      </c>
      <c r="D348" s="12">
        <v>0</v>
      </c>
      <c r="E348" s="12">
        <v>0</v>
      </c>
      <c r="F348" s="2" t="s">
        <v>40</v>
      </c>
      <c r="G348" s="2" t="s">
        <v>1122</v>
      </c>
      <c r="H348" s="14">
        <f t="shared" si="5"/>
        <v>0</v>
      </c>
    </row>
    <row r="349" spans="1:8" ht="15.75" hidden="1" outlineLevel="3" x14ac:dyDescent="0.25">
      <c r="A349" s="3" t="s">
        <v>1123</v>
      </c>
      <c r="B349" s="3" t="s">
        <v>1124</v>
      </c>
      <c r="C349" s="3" t="s">
        <v>40</v>
      </c>
      <c r="D349" s="13">
        <v>0</v>
      </c>
      <c r="E349" s="13">
        <v>0</v>
      </c>
      <c r="F349" s="3" t="s">
        <v>40</v>
      </c>
      <c r="G349" s="3" t="s">
        <v>40</v>
      </c>
      <c r="H349" s="14">
        <f t="shared" si="5"/>
        <v>0</v>
      </c>
    </row>
    <row r="350" spans="1:8" ht="15.75" hidden="1" outlineLevel="3" x14ac:dyDescent="0.25">
      <c r="A350" s="2" t="s">
        <v>1125</v>
      </c>
      <c r="B350" s="2" t="s">
        <v>1126</v>
      </c>
      <c r="C350" s="2" t="s">
        <v>1127</v>
      </c>
      <c r="D350" s="12">
        <v>0</v>
      </c>
      <c r="E350" s="12">
        <v>0</v>
      </c>
      <c r="F350" s="2" t="s">
        <v>40</v>
      </c>
      <c r="G350" s="2" t="s">
        <v>1127</v>
      </c>
      <c r="H350" s="14">
        <f t="shared" si="5"/>
        <v>0</v>
      </c>
    </row>
    <row r="351" spans="1:8" ht="15.75" hidden="1" outlineLevel="3" x14ac:dyDescent="0.25">
      <c r="A351" s="3" t="s">
        <v>1128</v>
      </c>
      <c r="B351" s="3" t="s">
        <v>1129</v>
      </c>
      <c r="C351" s="3" t="s">
        <v>1130</v>
      </c>
      <c r="D351" s="13">
        <v>0</v>
      </c>
      <c r="E351" s="13">
        <v>0</v>
      </c>
      <c r="F351" s="3" t="s">
        <v>40</v>
      </c>
      <c r="G351" s="3" t="s">
        <v>1130</v>
      </c>
      <c r="H351" s="14">
        <f t="shared" si="5"/>
        <v>0</v>
      </c>
    </row>
    <row r="352" spans="1:8" ht="15.75" hidden="1" outlineLevel="2" collapsed="1" x14ac:dyDescent="0.25">
      <c r="A352" s="2" t="s">
        <v>1131</v>
      </c>
      <c r="B352" s="2" t="s">
        <v>1132</v>
      </c>
      <c r="C352" s="2" t="s">
        <v>40</v>
      </c>
      <c r="D352" s="12">
        <v>0</v>
      </c>
      <c r="E352" s="12">
        <v>0</v>
      </c>
      <c r="F352" s="2" t="s">
        <v>40</v>
      </c>
      <c r="G352" s="2" t="s">
        <v>40</v>
      </c>
      <c r="H352" s="14">
        <f t="shared" si="5"/>
        <v>0</v>
      </c>
    </row>
    <row r="353" spans="1:10" ht="15.75" hidden="1" outlineLevel="2" x14ac:dyDescent="0.25">
      <c r="A353" s="3" t="s">
        <v>1133</v>
      </c>
      <c r="B353" s="3" t="s">
        <v>1134</v>
      </c>
      <c r="C353" s="3" t="s">
        <v>40</v>
      </c>
      <c r="D353" s="13">
        <v>0</v>
      </c>
      <c r="E353" s="13">
        <v>0</v>
      </c>
      <c r="F353" s="3" t="s">
        <v>40</v>
      </c>
      <c r="G353" s="3" t="s">
        <v>40</v>
      </c>
      <c r="H353" s="14">
        <f t="shared" si="5"/>
        <v>0</v>
      </c>
    </row>
    <row r="354" spans="1:10" ht="15.75" hidden="1" outlineLevel="2" x14ac:dyDescent="0.25">
      <c r="A354" s="2" t="s">
        <v>1135</v>
      </c>
      <c r="B354" s="2" t="s">
        <v>1136</v>
      </c>
      <c r="C354" s="2" t="s">
        <v>40</v>
      </c>
      <c r="D354" s="12">
        <v>0</v>
      </c>
      <c r="E354" s="12">
        <v>0</v>
      </c>
      <c r="F354" s="2" t="s">
        <v>40</v>
      </c>
      <c r="G354" s="2" t="s">
        <v>40</v>
      </c>
      <c r="H354" s="14">
        <f t="shared" si="5"/>
        <v>0</v>
      </c>
    </row>
    <row r="355" spans="1:10" ht="15.75" hidden="1" outlineLevel="1" collapsed="1" x14ac:dyDescent="0.25">
      <c r="A355" s="3" t="s">
        <v>1137</v>
      </c>
      <c r="B355" s="3" t="s">
        <v>662</v>
      </c>
      <c r="C355" s="3" t="s">
        <v>1138</v>
      </c>
      <c r="D355" s="13">
        <v>0</v>
      </c>
      <c r="E355" s="13">
        <v>0</v>
      </c>
      <c r="F355" s="3" t="s">
        <v>40</v>
      </c>
      <c r="G355" s="3" t="s">
        <v>1138</v>
      </c>
      <c r="H355" s="14">
        <f t="shared" si="5"/>
        <v>0</v>
      </c>
    </row>
    <row r="356" spans="1:10" ht="15.75" hidden="1" outlineLevel="1" collapsed="1" x14ac:dyDescent="0.25">
      <c r="A356" s="2" t="s">
        <v>1139</v>
      </c>
      <c r="B356" s="2" t="s">
        <v>662</v>
      </c>
      <c r="C356" s="2" t="s">
        <v>1138</v>
      </c>
      <c r="D356" s="12">
        <v>0</v>
      </c>
      <c r="E356" s="12">
        <v>0</v>
      </c>
      <c r="F356" s="2" t="s">
        <v>40</v>
      </c>
      <c r="G356" s="2" t="s">
        <v>1138</v>
      </c>
      <c r="H356" s="14">
        <f t="shared" si="5"/>
        <v>0</v>
      </c>
    </row>
    <row r="357" spans="1:10" ht="15.75" hidden="1" outlineLevel="1" x14ac:dyDescent="0.25">
      <c r="A357" s="3" t="s">
        <v>1140</v>
      </c>
      <c r="B357" s="3" t="s">
        <v>666</v>
      </c>
      <c r="C357" s="3" t="s">
        <v>1141</v>
      </c>
      <c r="D357" s="13">
        <v>0</v>
      </c>
      <c r="E357" s="13">
        <v>0</v>
      </c>
      <c r="F357" s="3" t="s">
        <v>40</v>
      </c>
      <c r="G357" s="3" t="s">
        <v>1141</v>
      </c>
      <c r="H357" s="14">
        <f t="shared" si="5"/>
        <v>0</v>
      </c>
    </row>
    <row r="358" spans="1:10" ht="15.75" hidden="1" outlineLevel="1" x14ac:dyDescent="0.25">
      <c r="A358" s="2" t="s">
        <v>1142</v>
      </c>
      <c r="B358" s="2" t="s">
        <v>669</v>
      </c>
      <c r="C358" s="2" t="s">
        <v>1143</v>
      </c>
      <c r="D358" s="12">
        <v>0</v>
      </c>
      <c r="E358" s="12">
        <v>0</v>
      </c>
      <c r="F358" s="2" t="s">
        <v>40</v>
      </c>
      <c r="G358" s="2" t="s">
        <v>1143</v>
      </c>
      <c r="H358" s="14">
        <f t="shared" si="5"/>
        <v>0</v>
      </c>
    </row>
    <row r="359" spans="1:10" ht="15.75" x14ac:dyDescent="0.25">
      <c r="A359" s="3" t="s">
        <v>1144</v>
      </c>
      <c r="B359" s="3" t="s">
        <v>1145</v>
      </c>
      <c r="C359" s="3" t="s">
        <v>1146</v>
      </c>
      <c r="D359" s="13">
        <v>9437229.8200000003</v>
      </c>
      <c r="E359" s="13">
        <v>11346023.52</v>
      </c>
      <c r="F359" s="3" t="s">
        <v>1147</v>
      </c>
      <c r="G359" s="3" t="s">
        <v>1148</v>
      </c>
      <c r="H359" s="14">
        <f t="shared" si="5"/>
        <v>1908793.6999999993</v>
      </c>
      <c r="I359" s="6" t="s">
        <v>1299</v>
      </c>
      <c r="J359" s="9">
        <f>H359+789191.51</f>
        <v>2697985.209999999</v>
      </c>
    </row>
    <row r="360" spans="1:10" ht="15.75" collapsed="1" x14ac:dyDescent="0.25">
      <c r="A360" s="2" t="s">
        <v>1149</v>
      </c>
      <c r="B360" s="2" t="s">
        <v>1150</v>
      </c>
      <c r="C360" s="2" t="s">
        <v>1151</v>
      </c>
      <c r="D360" s="12">
        <v>7901.32</v>
      </c>
      <c r="E360" s="12">
        <v>519135.41</v>
      </c>
      <c r="F360" s="2" t="s">
        <v>1152</v>
      </c>
      <c r="G360" s="2" t="s">
        <v>1153</v>
      </c>
      <c r="H360" s="14">
        <f t="shared" si="5"/>
        <v>511234.08999999997</v>
      </c>
      <c r="I360" s="6" t="s">
        <v>1301</v>
      </c>
      <c r="J360" t="s">
        <v>1298</v>
      </c>
    </row>
    <row r="361" spans="1:10" ht="15.75" hidden="1" outlineLevel="1" collapsed="1" x14ac:dyDescent="0.25">
      <c r="A361" s="3" t="s">
        <v>1154</v>
      </c>
      <c r="B361" s="3" t="s">
        <v>1155</v>
      </c>
      <c r="C361" s="3" t="s">
        <v>1156</v>
      </c>
      <c r="D361" s="13">
        <v>0</v>
      </c>
      <c r="E361" s="13">
        <v>518954.36</v>
      </c>
      <c r="F361" s="3" t="s">
        <v>1157</v>
      </c>
      <c r="G361" s="3" t="s">
        <v>1158</v>
      </c>
      <c r="H361" s="14">
        <f t="shared" si="5"/>
        <v>518954.36</v>
      </c>
    </row>
    <row r="362" spans="1:10" ht="15.75" hidden="1" outlineLevel="2" x14ac:dyDescent="0.25">
      <c r="A362" s="2" t="s">
        <v>1159</v>
      </c>
      <c r="B362" s="2" t="s">
        <v>1160</v>
      </c>
      <c r="C362" s="2" t="s">
        <v>40</v>
      </c>
      <c r="D362" s="12">
        <v>0</v>
      </c>
      <c r="E362" s="12">
        <v>44239.98</v>
      </c>
      <c r="F362" s="2" t="s">
        <v>1161</v>
      </c>
      <c r="G362" s="2" t="s">
        <v>1161</v>
      </c>
      <c r="H362" s="14">
        <f t="shared" si="5"/>
        <v>44239.98</v>
      </c>
    </row>
    <row r="363" spans="1:10" ht="15.75" hidden="1" outlineLevel="2" x14ac:dyDescent="0.25">
      <c r="A363" s="3" t="s">
        <v>1162</v>
      </c>
      <c r="B363" s="3" t="s">
        <v>1134</v>
      </c>
      <c r="C363" s="3" t="s">
        <v>40</v>
      </c>
      <c r="D363" s="13">
        <v>0</v>
      </c>
      <c r="E363" s="13">
        <v>0</v>
      </c>
      <c r="F363" s="3" t="s">
        <v>40</v>
      </c>
      <c r="G363" s="3" t="s">
        <v>40</v>
      </c>
      <c r="H363" s="14">
        <f t="shared" si="5"/>
        <v>0</v>
      </c>
    </row>
    <row r="364" spans="1:10" ht="15.75" hidden="1" outlineLevel="2" x14ac:dyDescent="0.25">
      <c r="A364" s="2" t="s">
        <v>1163</v>
      </c>
      <c r="B364" s="2" t="s">
        <v>1164</v>
      </c>
      <c r="C364" s="2" t="s">
        <v>40</v>
      </c>
      <c r="D364" s="12">
        <v>0</v>
      </c>
      <c r="E364" s="12">
        <v>0</v>
      </c>
      <c r="F364" s="2" t="s">
        <v>40</v>
      </c>
      <c r="G364" s="2" t="s">
        <v>40</v>
      </c>
      <c r="H364" s="14">
        <f t="shared" si="5"/>
        <v>0</v>
      </c>
    </row>
    <row r="365" spans="1:10" ht="15.75" hidden="1" outlineLevel="2" x14ac:dyDescent="0.25">
      <c r="A365" s="3" t="s">
        <v>1165</v>
      </c>
      <c r="B365" s="3" t="s">
        <v>1166</v>
      </c>
      <c r="C365" s="3" t="s">
        <v>1167</v>
      </c>
      <c r="D365" s="13">
        <v>0</v>
      </c>
      <c r="E365" s="13">
        <v>474714.38</v>
      </c>
      <c r="F365" s="3" t="s">
        <v>1168</v>
      </c>
      <c r="G365" s="3" t="s">
        <v>1169</v>
      </c>
      <c r="H365" s="14">
        <f t="shared" si="5"/>
        <v>474714.38</v>
      </c>
    </row>
    <row r="366" spans="1:10" ht="15.75" hidden="1" outlineLevel="2" x14ac:dyDescent="0.25">
      <c r="A366" s="2" t="s">
        <v>1170</v>
      </c>
      <c r="B366" s="2" t="s">
        <v>1171</v>
      </c>
      <c r="C366" s="2" t="s">
        <v>1172</v>
      </c>
      <c r="D366" s="12">
        <v>0</v>
      </c>
      <c r="E366" s="12">
        <v>0</v>
      </c>
      <c r="F366" s="2" t="s">
        <v>40</v>
      </c>
      <c r="G366" s="2" t="s">
        <v>1172</v>
      </c>
      <c r="H366" s="14">
        <f t="shared" si="5"/>
        <v>0</v>
      </c>
    </row>
    <row r="367" spans="1:10" ht="15.75" hidden="1" outlineLevel="2" x14ac:dyDescent="0.25">
      <c r="A367" s="3" t="s">
        <v>1173</v>
      </c>
      <c r="B367" s="3" t="s">
        <v>1174</v>
      </c>
      <c r="C367" s="3" t="s">
        <v>1175</v>
      </c>
      <c r="D367" s="13">
        <v>0</v>
      </c>
      <c r="E367" s="13">
        <v>0</v>
      </c>
      <c r="F367" s="3" t="s">
        <v>40</v>
      </c>
      <c r="G367" s="3" t="s">
        <v>1175</v>
      </c>
      <c r="H367" s="14">
        <f t="shared" si="5"/>
        <v>0</v>
      </c>
    </row>
    <row r="368" spans="1:10" ht="15.75" hidden="1" outlineLevel="2" x14ac:dyDescent="0.25">
      <c r="A368" s="2" t="s">
        <v>1176</v>
      </c>
      <c r="B368" s="2" t="s">
        <v>1177</v>
      </c>
      <c r="C368" s="2" t="s">
        <v>1178</v>
      </c>
      <c r="D368" s="12">
        <v>0</v>
      </c>
      <c r="E368" s="12">
        <v>0</v>
      </c>
      <c r="F368" s="2" t="s">
        <v>40</v>
      </c>
      <c r="G368" s="2" t="s">
        <v>1178</v>
      </c>
      <c r="H368" s="14">
        <f t="shared" si="5"/>
        <v>0</v>
      </c>
    </row>
    <row r="369" spans="1:10" ht="15.75" hidden="1" outlineLevel="2" x14ac:dyDescent="0.25">
      <c r="A369" s="3" t="s">
        <v>1179</v>
      </c>
      <c r="B369" s="3" t="s">
        <v>1043</v>
      </c>
      <c r="C369" s="3" t="s">
        <v>40</v>
      </c>
      <c r="D369" s="13">
        <v>0</v>
      </c>
      <c r="E369" s="13">
        <v>0</v>
      </c>
      <c r="F369" s="3" t="s">
        <v>40</v>
      </c>
      <c r="G369" s="3" t="s">
        <v>40</v>
      </c>
      <c r="H369" s="14">
        <f t="shared" si="5"/>
        <v>0</v>
      </c>
    </row>
    <row r="370" spans="1:10" ht="15.75" hidden="1" outlineLevel="1" collapsed="1" x14ac:dyDescent="0.25">
      <c r="A370" s="2" t="s">
        <v>1180</v>
      </c>
      <c r="B370" s="2" t="s">
        <v>1181</v>
      </c>
      <c r="C370" s="2" t="s">
        <v>1182</v>
      </c>
      <c r="D370" s="12">
        <v>7901.32</v>
      </c>
      <c r="E370" s="12">
        <v>181.05</v>
      </c>
      <c r="F370" s="2" t="s">
        <v>1183</v>
      </c>
      <c r="G370" s="2" t="s">
        <v>1184</v>
      </c>
      <c r="H370" s="14">
        <f t="shared" si="5"/>
        <v>-7720.2699999999995</v>
      </c>
    </row>
    <row r="371" spans="1:10" ht="15.75" hidden="1" outlineLevel="1" x14ac:dyDescent="0.25">
      <c r="A371" s="3" t="s">
        <v>1185</v>
      </c>
      <c r="B371" s="3" t="s">
        <v>1186</v>
      </c>
      <c r="C371" s="3" t="s">
        <v>1182</v>
      </c>
      <c r="D371" s="13">
        <v>7901.32</v>
      </c>
      <c r="E371" s="13">
        <v>181.05</v>
      </c>
      <c r="F371" s="3" t="s">
        <v>1183</v>
      </c>
      <c r="G371" s="3" t="s">
        <v>1184</v>
      </c>
      <c r="H371" s="14">
        <f t="shared" si="5"/>
        <v>-7720.2699999999995</v>
      </c>
    </row>
    <row r="372" spans="1:10" ht="15.75" collapsed="1" x14ac:dyDescent="0.25">
      <c r="A372" s="2" t="s">
        <v>1187</v>
      </c>
      <c r="B372" s="2" t="s">
        <v>1188</v>
      </c>
      <c r="C372" s="2" t="s">
        <v>40</v>
      </c>
      <c r="D372" s="12">
        <v>0</v>
      </c>
      <c r="E372" s="12">
        <v>0</v>
      </c>
      <c r="F372" s="2" t="s">
        <v>40</v>
      </c>
      <c r="G372" s="2" t="s">
        <v>40</v>
      </c>
      <c r="H372" s="14">
        <f t="shared" si="5"/>
        <v>0</v>
      </c>
      <c r="I372" s="6" t="s">
        <v>1296</v>
      </c>
    </row>
    <row r="373" spans="1:10" ht="15.75" hidden="1" outlineLevel="1" x14ac:dyDescent="0.25">
      <c r="A373" s="3" t="s">
        <v>1189</v>
      </c>
      <c r="B373" s="3" t="s">
        <v>1190</v>
      </c>
      <c r="C373" s="3" t="s">
        <v>40</v>
      </c>
      <c r="D373" s="13">
        <v>0</v>
      </c>
      <c r="E373" s="13">
        <v>0</v>
      </c>
      <c r="F373" s="3" t="s">
        <v>40</v>
      </c>
      <c r="G373" s="3" t="s">
        <v>40</v>
      </c>
      <c r="H373" s="14">
        <f t="shared" si="5"/>
        <v>0</v>
      </c>
    </row>
    <row r="374" spans="1:10" ht="15.75" hidden="1" outlineLevel="1" x14ac:dyDescent="0.25">
      <c r="A374" s="2" t="s">
        <v>1191</v>
      </c>
      <c r="B374" s="2" t="s">
        <v>1192</v>
      </c>
      <c r="C374" s="2" t="s">
        <v>40</v>
      </c>
      <c r="D374" s="12">
        <v>0</v>
      </c>
      <c r="E374" s="12">
        <v>0</v>
      </c>
      <c r="F374" s="2" t="s">
        <v>40</v>
      </c>
      <c r="G374" s="2" t="s">
        <v>40</v>
      </c>
      <c r="H374" s="14">
        <f t="shared" si="5"/>
        <v>0</v>
      </c>
    </row>
    <row r="375" spans="1:10" ht="15.75" x14ac:dyDescent="0.25">
      <c r="A375" s="3" t="s">
        <v>1193</v>
      </c>
      <c r="B375" s="3" t="s">
        <v>1194</v>
      </c>
      <c r="C375" s="3" t="s">
        <v>1195</v>
      </c>
      <c r="D375" s="13">
        <v>9445131.1400000006</v>
      </c>
      <c r="E375" s="13">
        <v>11865158.93</v>
      </c>
      <c r="F375" s="3" t="s">
        <v>1196</v>
      </c>
      <c r="G375" s="3" t="s">
        <v>1197</v>
      </c>
      <c r="H375" s="14">
        <f t="shared" si="5"/>
        <v>2420027.7899999991</v>
      </c>
      <c r="I375" s="6" t="s">
        <v>1290</v>
      </c>
    </row>
    <row r="376" spans="1:10" ht="15.75" collapsed="1" x14ac:dyDescent="0.25">
      <c r="A376" s="2" t="s">
        <v>1198</v>
      </c>
      <c r="B376" s="2" t="s">
        <v>1199</v>
      </c>
      <c r="C376" s="2" t="s">
        <v>1200</v>
      </c>
      <c r="D376" s="12">
        <v>225707.71</v>
      </c>
      <c r="E376" s="12">
        <v>108569.22</v>
      </c>
      <c r="F376" s="2" t="s">
        <v>1201</v>
      </c>
      <c r="G376" s="2" t="s">
        <v>1202</v>
      </c>
      <c r="H376" s="14">
        <f t="shared" si="5"/>
        <v>-117138.48999999999</v>
      </c>
      <c r="J376" s="6" t="s">
        <v>1297</v>
      </c>
    </row>
    <row r="377" spans="1:10" ht="15.75" hidden="1" outlineLevel="1" collapsed="1" x14ac:dyDescent="0.25">
      <c r="A377" s="3" t="s">
        <v>1203</v>
      </c>
      <c r="B377" s="3" t="s">
        <v>1204</v>
      </c>
      <c r="C377" s="3" t="s">
        <v>1205</v>
      </c>
      <c r="D377" s="13">
        <v>0</v>
      </c>
      <c r="E377" s="13">
        <v>107615.8</v>
      </c>
      <c r="F377" s="3" t="s">
        <v>1206</v>
      </c>
      <c r="G377" s="3" t="s">
        <v>1207</v>
      </c>
      <c r="H377" s="14">
        <f t="shared" si="5"/>
        <v>107615.8</v>
      </c>
    </row>
    <row r="378" spans="1:10" ht="15.75" hidden="1" outlineLevel="2" x14ac:dyDescent="0.25">
      <c r="A378" s="2" t="s">
        <v>1208</v>
      </c>
      <c r="B378" s="2" t="s">
        <v>1209</v>
      </c>
      <c r="C378" s="2" t="s">
        <v>1210</v>
      </c>
      <c r="D378" s="12">
        <v>0</v>
      </c>
      <c r="E378" s="12">
        <v>0</v>
      </c>
      <c r="F378" s="2" t="s">
        <v>40</v>
      </c>
      <c r="G378" s="2" t="s">
        <v>1210</v>
      </c>
      <c r="H378" s="14">
        <f t="shared" si="5"/>
        <v>0</v>
      </c>
    </row>
    <row r="379" spans="1:10" ht="15.75" hidden="1" outlineLevel="2" x14ac:dyDescent="0.25">
      <c r="A379" s="3" t="s">
        <v>1211</v>
      </c>
      <c r="B379" s="3" t="s">
        <v>1212</v>
      </c>
      <c r="C379" s="3" t="s">
        <v>1213</v>
      </c>
      <c r="D379" s="13">
        <v>0</v>
      </c>
      <c r="E379" s="13">
        <v>1089.26</v>
      </c>
      <c r="F379" s="3" t="s">
        <v>1214</v>
      </c>
      <c r="G379" s="3" t="s">
        <v>1215</v>
      </c>
      <c r="H379" s="14">
        <f t="shared" si="5"/>
        <v>1089.26</v>
      </c>
    </row>
    <row r="380" spans="1:10" ht="15.75" hidden="1" outlineLevel="2" x14ac:dyDescent="0.25">
      <c r="A380" s="2" t="s">
        <v>1216</v>
      </c>
      <c r="B380" s="2" t="s">
        <v>1217</v>
      </c>
      <c r="C380" s="2" t="s">
        <v>1218</v>
      </c>
      <c r="D380" s="12">
        <v>0</v>
      </c>
      <c r="E380" s="12">
        <v>0</v>
      </c>
      <c r="F380" s="2" t="s">
        <v>40</v>
      </c>
      <c r="G380" s="2" t="s">
        <v>1218</v>
      </c>
      <c r="H380" s="14">
        <f t="shared" si="5"/>
        <v>0</v>
      </c>
    </row>
    <row r="381" spans="1:10" ht="15.75" hidden="1" outlineLevel="2" x14ac:dyDescent="0.25">
      <c r="A381" s="3" t="s">
        <v>1219</v>
      </c>
      <c r="B381" s="3" t="s">
        <v>1220</v>
      </c>
      <c r="C381" s="3" t="s">
        <v>1221</v>
      </c>
      <c r="D381" s="13">
        <v>0</v>
      </c>
      <c r="E381" s="13">
        <v>106526.54</v>
      </c>
      <c r="F381" s="3" t="s">
        <v>1222</v>
      </c>
      <c r="G381" s="3" t="s">
        <v>1223</v>
      </c>
      <c r="H381" s="14">
        <f t="shared" si="5"/>
        <v>106526.54</v>
      </c>
    </row>
    <row r="382" spans="1:10" ht="15.75" hidden="1" outlineLevel="2" x14ac:dyDescent="0.25">
      <c r="A382" s="2" t="s">
        <v>1224</v>
      </c>
      <c r="B382" s="2" t="s">
        <v>1225</v>
      </c>
      <c r="C382" s="2" t="s">
        <v>1226</v>
      </c>
      <c r="D382" s="12">
        <v>0</v>
      </c>
      <c r="E382" s="12">
        <v>0</v>
      </c>
      <c r="F382" s="2" t="s">
        <v>40</v>
      </c>
      <c r="G382" s="2" t="s">
        <v>1226</v>
      </c>
      <c r="H382" s="14">
        <f t="shared" si="5"/>
        <v>0</v>
      </c>
    </row>
    <row r="383" spans="1:10" ht="15.75" hidden="1" outlineLevel="1" collapsed="1" x14ac:dyDescent="0.25">
      <c r="A383" s="3" t="s">
        <v>1227</v>
      </c>
      <c r="B383" s="3" t="s">
        <v>1228</v>
      </c>
      <c r="C383" s="3" t="s">
        <v>1229</v>
      </c>
      <c r="D383" s="13">
        <v>225707.71</v>
      </c>
      <c r="E383" s="13">
        <v>953.42</v>
      </c>
      <c r="F383" s="3" t="s">
        <v>1230</v>
      </c>
      <c r="G383" s="3" t="s">
        <v>1231</v>
      </c>
      <c r="H383" s="14">
        <f t="shared" si="5"/>
        <v>-224754.28999999998</v>
      </c>
    </row>
    <row r="384" spans="1:10" ht="15.75" hidden="1" outlineLevel="2" x14ac:dyDescent="0.25">
      <c r="A384" s="2" t="s">
        <v>1232</v>
      </c>
      <c r="B384" s="2" t="s">
        <v>1233</v>
      </c>
      <c r="C384" s="2" t="s">
        <v>1234</v>
      </c>
      <c r="D384" s="12">
        <v>31172.47</v>
      </c>
      <c r="E384" s="12">
        <v>0</v>
      </c>
      <c r="F384" s="2" t="s">
        <v>1235</v>
      </c>
      <c r="G384" s="2" t="s">
        <v>1236</v>
      </c>
      <c r="H384" s="14">
        <f t="shared" si="5"/>
        <v>-31172.47</v>
      </c>
    </row>
    <row r="385" spans="1:10" ht="15.75" hidden="1" outlineLevel="2" x14ac:dyDescent="0.25">
      <c r="A385" s="3" t="s">
        <v>1237</v>
      </c>
      <c r="B385" s="3" t="s">
        <v>1238</v>
      </c>
      <c r="C385" s="3" t="s">
        <v>1239</v>
      </c>
      <c r="D385" s="13">
        <v>8037.2</v>
      </c>
      <c r="E385" s="13">
        <v>0</v>
      </c>
      <c r="F385" s="3" t="s">
        <v>1240</v>
      </c>
      <c r="G385" s="3" t="s">
        <v>1241</v>
      </c>
      <c r="H385" s="14">
        <f t="shared" si="5"/>
        <v>-8037.2</v>
      </c>
    </row>
    <row r="386" spans="1:10" ht="15.75" hidden="1" outlineLevel="2" x14ac:dyDescent="0.25">
      <c r="A386" s="2" t="s">
        <v>1242</v>
      </c>
      <c r="B386" s="2" t="s">
        <v>1243</v>
      </c>
      <c r="C386" s="2" t="s">
        <v>1244</v>
      </c>
      <c r="D386" s="12">
        <v>140492.19</v>
      </c>
      <c r="E386" s="12">
        <v>0</v>
      </c>
      <c r="F386" s="2" t="s">
        <v>1245</v>
      </c>
      <c r="G386" s="2" t="s">
        <v>1246</v>
      </c>
      <c r="H386" s="14">
        <f t="shared" si="5"/>
        <v>-140492.19</v>
      </c>
    </row>
    <row r="387" spans="1:10" ht="15.75" hidden="1" outlineLevel="2" x14ac:dyDescent="0.25">
      <c r="A387" s="3" t="s">
        <v>1247</v>
      </c>
      <c r="B387" s="3" t="s">
        <v>1248</v>
      </c>
      <c r="C387" s="3" t="s">
        <v>40</v>
      </c>
      <c r="D387" s="13">
        <v>0</v>
      </c>
      <c r="E387" s="13">
        <v>0</v>
      </c>
      <c r="F387" s="3" t="s">
        <v>40</v>
      </c>
      <c r="G387" s="3" t="s">
        <v>40</v>
      </c>
      <c r="H387" s="14">
        <f t="shared" ref="H387:H401" si="6">E387-D387</f>
        <v>0</v>
      </c>
    </row>
    <row r="388" spans="1:10" ht="15.75" hidden="1" outlineLevel="2" x14ac:dyDescent="0.25">
      <c r="A388" s="2" t="s">
        <v>1249</v>
      </c>
      <c r="B388" s="2" t="s">
        <v>1250</v>
      </c>
      <c r="C388" s="2" t="s">
        <v>1251</v>
      </c>
      <c r="D388" s="12">
        <v>0</v>
      </c>
      <c r="E388" s="12">
        <v>0</v>
      </c>
      <c r="F388" s="2" t="s">
        <v>40</v>
      </c>
      <c r="G388" s="2" t="s">
        <v>1251</v>
      </c>
      <c r="H388" s="14">
        <f t="shared" si="6"/>
        <v>0</v>
      </c>
    </row>
    <row r="389" spans="1:10" ht="15.75" hidden="1" outlineLevel="2" x14ac:dyDescent="0.25">
      <c r="A389" s="3" t="s">
        <v>1252</v>
      </c>
      <c r="B389" s="3" t="s">
        <v>1253</v>
      </c>
      <c r="C389" s="3" t="s">
        <v>1254</v>
      </c>
      <c r="D389" s="13">
        <v>0</v>
      </c>
      <c r="E389" s="13">
        <v>0</v>
      </c>
      <c r="F389" s="3" t="s">
        <v>40</v>
      </c>
      <c r="G389" s="3" t="s">
        <v>1254</v>
      </c>
      <c r="H389" s="14">
        <f t="shared" si="6"/>
        <v>0</v>
      </c>
    </row>
    <row r="390" spans="1:10" ht="15.75" hidden="1" outlineLevel="2" x14ac:dyDescent="0.25">
      <c r="A390" s="2" t="s">
        <v>1255</v>
      </c>
      <c r="B390" s="2" t="s">
        <v>1256</v>
      </c>
      <c r="C390" s="2" t="s">
        <v>1257</v>
      </c>
      <c r="D390" s="12">
        <v>33982.550000000003</v>
      </c>
      <c r="E390" s="12">
        <v>0</v>
      </c>
      <c r="F390" s="2" t="s">
        <v>1258</v>
      </c>
      <c r="G390" s="2" t="s">
        <v>1259</v>
      </c>
      <c r="H390" s="14">
        <f t="shared" si="6"/>
        <v>-33982.550000000003</v>
      </c>
    </row>
    <row r="391" spans="1:10" ht="15.75" hidden="1" outlineLevel="2" x14ac:dyDescent="0.25">
      <c r="A391" s="3" t="s">
        <v>1260</v>
      </c>
      <c r="B391" s="3" t="s">
        <v>1261</v>
      </c>
      <c r="C391" s="3" t="s">
        <v>1262</v>
      </c>
      <c r="D391" s="13">
        <v>953.42</v>
      </c>
      <c r="E391" s="13">
        <v>953.42</v>
      </c>
      <c r="F391" s="3" t="s">
        <v>40</v>
      </c>
      <c r="G391" s="3" t="s">
        <v>1262</v>
      </c>
      <c r="H391" s="14">
        <f t="shared" si="6"/>
        <v>0</v>
      </c>
    </row>
    <row r="392" spans="1:10" ht="15.75" hidden="1" outlineLevel="2" x14ac:dyDescent="0.25">
      <c r="A392" s="2" t="s">
        <v>1263</v>
      </c>
      <c r="B392" s="2" t="s">
        <v>1264</v>
      </c>
      <c r="C392" s="2" t="s">
        <v>1265</v>
      </c>
      <c r="D392" s="12">
        <v>0</v>
      </c>
      <c r="E392" s="12">
        <v>0</v>
      </c>
      <c r="F392" s="2" t="s">
        <v>40</v>
      </c>
      <c r="G392" s="2" t="s">
        <v>1265</v>
      </c>
      <c r="H392" s="14">
        <f t="shared" si="6"/>
        <v>0</v>
      </c>
    </row>
    <row r="393" spans="1:10" ht="15.75" hidden="1" outlineLevel="2" x14ac:dyDescent="0.25">
      <c r="A393" s="3" t="s">
        <v>1266</v>
      </c>
      <c r="B393" s="3" t="s">
        <v>1267</v>
      </c>
      <c r="C393" s="3" t="s">
        <v>1268</v>
      </c>
      <c r="D393" s="13">
        <v>11069.88</v>
      </c>
      <c r="E393" s="13">
        <v>0</v>
      </c>
      <c r="F393" s="3" t="s">
        <v>1269</v>
      </c>
      <c r="G393" s="3" t="s">
        <v>1270</v>
      </c>
      <c r="H393" s="14">
        <f t="shared" si="6"/>
        <v>-11069.88</v>
      </c>
    </row>
    <row r="394" spans="1:10" ht="15.75" hidden="1" outlineLevel="2" x14ac:dyDescent="0.25">
      <c r="A394" s="2" t="s">
        <v>1271</v>
      </c>
      <c r="B394" s="2" t="s">
        <v>1272</v>
      </c>
      <c r="C394" s="2" t="s">
        <v>40</v>
      </c>
      <c r="D394" s="12">
        <v>0</v>
      </c>
      <c r="E394" s="12">
        <v>0</v>
      </c>
      <c r="F394" s="2" t="s">
        <v>40</v>
      </c>
      <c r="G394" s="2" t="s">
        <v>40</v>
      </c>
      <c r="H394" s="14">
        <f t="shared" si="6"/>
        <v>0</v>
      </c>
    </row>
    <row r="395" spans="1:10" ht="15.75" hidden="1" outlineLevel="2" x14ac:dyDescent="0.25">
      <c r="A395" s="3" t="s">
        <v>1273</v>
      </c>
      <c r="B395" s="3" t="s">
        <v>1108</v>
      </c>
      <c r="C395" s="3" t="s">
        <v>40</v>
      </c>
      <c r="D395" s="13">
        <v>0</v>
      </c>
      <c r="E395" s="13">
        <v>0</v>
      </c>
      <c r="F395" s="3" t="s">
        <v>40</v>
      </c>
      <c r="G395" s="3" t="s">
        <v>40</v>
      </c>
      <c r="H395" s="14">
        <f t="shared" si="6"/>
        <v>0</v>
      </c>
    </row>
    <row r="396" spans="1:10" ht="15.75" x14ac:dyDescent="0.25">
      <c r="A396" s="2" t="s">
        <v>1274</v>
      </c>
      <c r="B396" s="2" t="s">
        <v>1275</v>
      </c>
      <c r="C396" s="2" t="s">
        <v>1276</v>
      </c>
      <c r="D396" s="12">
        <v>9670838.8499999996</v>
      </c>
      <c r="E396" s="12">
        <v>11973728.15</v>
      </c>
      <c r="F396" s="2" t="s">
        <v>1277</v>
      </c>
      <c r="G396" s="2" t="s">
        <v>1278</v>
      </c>
      <c r="H396" s="14">
        <f t="shared" si="6"/>
        <v>2302889.3000000007</v>
      </c>
      <c r="J396" s="15" t="s">
        <v>1303</v>
      </c>
    </row>
    <row r="397" spans="1:10" ht="15.75" collapsed="1" x14ac:dyDescent="0.25">
      <c r="A397" s="3" t="s">
        <v>1279</v>
      </c>
      <c r="B397" s="3" t="s">
        <v>1280</v>
      </c>
      <c r="C397" s="3" t="s">
        <v>40</v>
      </c>
      <c r="D397" s="13">
        <v>0</v>
      </c>
      <c r="E397" s="13">
        <v>0</v>
      </c>
      <c r="F397" s="3" t="s">
        <v>40</v>
      </c>
      <c r="G397" s="3" t="s">
        <v>40</v>
      </c>
      <c r="H397" s="14">
        <f t="shared" si="6"/>
        <v>0</v>
      </c>
    </row>
    <row r="398" spans="1:10" ht="15.75" hidden="1" outlineLevel="1" collapsed="1" x14ac:dyDescent="0.25">
      <c r="A398" s="2" t="s">
        <v>1281</v>
      </c>
      <c r="B398" s="2" t="s">
        <v>1280</v>
      </c>
      <c r="C398" s="2" t="s">
        <v>40</v>
      </c>
      <c r="D398" s="12">
        <v>0</v>
      </c>
      <c r="E398" s="12">
        <v>0</v>
      </c>
      <c r="F398" s="2" t="s">
        <v>40</v>
      </c>
      <c r="G398" s="2" t="s">
        <v>40</v>
      </c>
      <c r="H398" s="14">
        <f t="shared" si="6"/>
        <v>0</v>
      </c>
    </row>
    <row r="399" spans="1:10" ht="15.75" hidden="1" outlineLevel="1" x14ac:dyDescent="0.25">
      <c r="A399" s="3" t="s">
        <v>1282</v>
      </c>
      <c r="B399" s="3" t="s">
        <v>1283</v>
      </c>
      <c r="C399" s="3" t="s">
        <v>40</v>
      </c>
      <c r="D399" s="13">
        <v>0</v>
      </c>
      <c r="E399" s="13">
        <v>0</v>
      </c>
      <c r="F399" s="3" t="s">
        <v>40</v>
      </c>
      <c r="G399" s="3" t="s">
        <v>40</v>
      </c>
      <c r="H399" s="14">
        <f t="shared" si="6"/>
        <v>0</v>
      </c>
    </row>
    <row r="400" spans="1:10" ht="15.75" hidden="1" outlineLevel="1" x14ac:dyDescent="0.25">
      <c r="A400" s="2" t="s">
        <v>1284</v>
      </c>
      <c r="B400" s="2" t="s">
        <v>1285</v>
      </c>
      <c r="C400" s="2" t="s">
        <v>40</v>
      </c>
      <c r="D400" s="12">
        <v>0</v>
      </c>
      <c r="E400" s="12">
        <v>0</v>
      </c>
      <c r="F400" s="2" t="s">
        <v>40</v>
      </c>
      <c r="G400" s="2" t="s">
        <v>40</v>
      </c>
      <c r="H400" s="14">
        <f t="shared" si="6"/>
        <v>0</v>
      </c>
    </row>
    <row r="401" spans="1:10" ht="15.75" x14ac:dyDescent="0.25">
      <c r="A401" s="3" t="s">
        <v>1286</v>
      </c>
      <c r="B401" s="3" t="s">
        <v>1287</v>
      </c>
      <c r="C401" s="3" t="s">
        <v>1276</v>
      </c>
      <c r="D401" s="13">
        <v>9670838.8499999996</v>
      </c>
      <c r="E401" s="13">
        <v>11973728.15</v>
      </c>
      <c r="F401" s="3" t="s">
        <v>1277</v>
      </c>
      <c r="G401" s="3" t="s">
        <v>1278</v>
      </c>
      <c r="H401" s="14">
        <f t="shared" si="6"/>
        <v>2302889.3000000007</v>
      </c>
      <c r="J401" t="s">
        <v>1302</v>
      </c>
    </row>
    <row r="405" spans="1:10" x14ac:dyDescent="0.25">
      <c r="H405" s="10">
        <v>2310609.5699999998</v>
      </c>
      <c r="I405" s="10">
        <v>2544886.5499999998</v>
      </c>
    </row>
    <row r="406" spans="1:10" x14ac:dyDescent="0.25">
      <c r="H406" s="9">
        <f>H405-$H$401</f>
        <v>7720.2699999990873</v>
      </c>
      <c r="I406" s="9">
        <f>I405-$H$401</f>
        <v>241997.24999999907</v>
      </c>
    </row>
    <row r="407" spans="1:10" x14ac:dyDescent="0.25">
      <c r="I407" s="11">
        <f>I406-H406</f>
        <v>234276.97999999998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Modelo_DRE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STÊNIO</dc:creator>
  <cp:lastModifiedBy>Usuário</cp:lastModifiedBy>
  <dcterms:created xsi:type="dcterms:W3CDTF">2022-08-19T13:16:06Z</dcterms:created>
  <dcterms:modified xsi:type="dcterms:W3CDTF">2022-08-25T19:08:35Z</dcterms:modified>
</cp:coreProperties>
</file>