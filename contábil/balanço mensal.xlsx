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noel\Documents\github-repo\cubos\contábil\"/>
    </mc:Choice>
  </mc:AlternateContent>
  <bookViews>
    <workbookView xWindow="0" yWindow="0" windowWidth="20490" windowHeight="7635"/>
  </bookViews>
  <sheets>
    <sheet name="1. TESTES (CTB) Balanço Patr..." sheetId="1" r:id="rId1"/>
  </sheets>
  <definedNames>
    <definedName name="_xlnm.Print_Titles" localSheetId="0">'1. TESTES (CTB) Balanço Patr...'!$A:$A,'1. TESTES (CTB) Balanço Patr...'!$1:$2</definedName>
  </definedNames>
  <calcPr calcId="152511"/>
</workbook>
</file>

<file path=xl/calcChain.xml><?xml version="1.0" encoding="utf-8"?>
<calcChain xmlns="http://schemas.openxmlformats.org/spreadsheetml/2006/main">
  <c r="B15" i="1" l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B14" i="1"/>
</calcChain>
</file>

<file path=xl/sharedStrings.xml><?xml version="1.0" encoding="utf-8"?>
<sst xmlns="http://schemas.openxmlformats.org/spreadsheetml/2006/main" count="97" uniqueCount="36">
  <si>
    <t>Month/Year (Data)</t>
  </si>
  <si>
    <t>Dec 2020</t>
  </si>
  <si>
    <t>Jan 2021</t>
  </si>
  <si>
    <t>Feb 2021</t>
  </si>
  <si>
    <t>Mar 2021</t>
  </si>
  <si>
    <t>Apr 2021</t>
  </si>
  <si>
    <t>May 2021</t>
  </si>
  <si>
    <t>Jun 2021</t>
  </si>
  <si>
    <t>Jul 2021</t>
  </si>
  <si>
    <t>Aug 2021</t>
  </si>
  <si>
    <t>Sep 2021</t>
  </si>
  <si>
    <t>Oct 2021</t>
  </si>
  <si>
    <t>Nov 2021</t>
  </si>
  <si>
    <t>Dec 2021</t>
  </si>
  <si>
    <t>Jan 2022</t>
  </si>
  <si>
    <t>Feb 2022</t>
  </si>
  <si>
    <t>Mar 2022</t>
  </si>
  <si>
    <t>Apr 2022</t>
  </si>
  <si>
    <t>May 2022</t>
  </si>
  <si>
    <t>Jun 2022</t>
  </si>
  <si>
    <t>Jul 2022</t>
  </si>
  <si>
    <t>Aug 2022</t>
  </si>
  <si>
    <t>Conta contábil 03</t>
  </si>
  <si>
    <t>Atual</t>
  </si>
  <si>
    <t>Anterior</t>
  </si>
  <si>
    <t>2101                 - EMPRESTIMOS E FINANCIAMENTOS</t>
  </si>
  <si>
    <t>2102                 - FORNECEDORES</t>
  </si>
  <si>
    <t>2103                 - OBRIGACOES TRIBUTARIAS</t>
  </si>
  <si>
    <t>2104                 - OBRIGACOES TRABALHISTAS E PREVIDENCIARIA</t>
  </si>
  <si>
    <t>2105                 - OBRIGACOES RETIDAS DE TERCEIROS</t>
  </si>
  <si>
    <t>2106                 - OUTRAS OBRIGACOES</t>
  </si>
  <si>
    <t>2107                 - AJUSTES DE FORNECEDORES NACIONAIS</t>
  </si>
  <si>
    <t>2201                 - EMPRESTIMOS E FINANCIAMENTOS</t>
  </si>
  <si>
    <t>2202                 - CREDITOS DE EMPRESAS LIGADAS</t>
  </si>
  <si>
    <t>2203                 - SOCIEDADE P/CONTA DE PARTICIPACAO  - SCP</t>
  </si>
  <si>
    <t>2204                 - FORNECEDORES LONGO PRAZO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</si>
</sst>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sz val="8"/>
      <color rgb="FF000000"/>
      <name val="Verdana"/>
      <family val="2"/>
    </font>
    <font>
      <sz val="8"/>
      <color rgb="FF808080"/>
      <name val="Verdana"/>
      <family val="2"/>
    </font>
    <font>
      <sz val="8"/>
      <color rgb="FFFFFFFF"/>
      <name val="Verdana"/>
      <family val="2"/>
    </font>
    <font>
      <sz val="8"/>
      <color theme="1"/>
      <name val="Verdana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EEEEEE"/>
        <bgColor indexed="64"/>
      </patternFill>
    </fill>
  </fills>
  <borders count="8">
    <border>
      <left/>
      <right/>
      <top/>
      <bottom/>
      <diagonal/>
    </border>
    <border>
      <left style="thin">
        <color rgb="FF808080"/>
      </left>
      <right style="medium">
        <color rgb="FF000000"/>
      </right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808080"/>
      </right>
      <top/>
      <bottom style="medium">
        <color rgb="FF000000"/>
      </bottom>
      <diagonal/>
    </border>
    <border>
      <left style="thin">
        <color rgb="FF808080"/>
      </left>
      <right style="medium">
        <color rgb="FF000000"/>
      </right>
      <top/>
      <bottom style="thin">
        <color rgb="FF808080"/>
      </bottom>
      <diagonal/>
    </border>
    <border>
      <left/>
      <right style="dashed">
        <color rgb="FF808080"/>
      </right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2" fillId="2" borderId="2" xfId="0" applyNumberFormat="1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49" fontId="3" fillId="3" borderId="4" xfId="0" applyNumberFormat="1" applyFont="1" applyFill="1" applyBorder="1" applyAlignment="1">
      <alignment horizontal="left" vertical="center"/>
    </xf>
    <xf numFmtId="49" fontId="2" fillId="2" borderId="5" xfId="0" applyNumberFormat="1" applyFont="1" applyFill="1" applyBorder="1" applyAlignment="1">
      <alignment horizontal="left" vertical="top"/>
    </xf>
    <xf numFmtId="4" fontId="4" fillId="4" borderId="6" xfId="0" applyNumberFormat="1" applyFont="1" applyFill="1" applyBorder="1" applyAlignment="1">
      <alignment horizontal="right" vertical="center"/>
    </xf>
    <xf numFmtId="4" fontId="4" fillId="4" borderId="7" xfId="0" applyNumberFormat="1" applyFont="1" applyFill="1" applyBorder="1" applyAlignment="1">
      <alignment horizontal="right" vertical="center"/>
    </xf>
    <xf numFmtId="4" fontId="4" fillId="2" borderId="6" xfId="0" applyNumberFormat="1" applyFont="1" applyFill="1" applyBorder="1" applyAlignment="1">
      <alignment horizontal="right" vertical="center"/>
    </xf>
    <xf numFmtId="4" fontId="4" fillId="2" borderId="7" xfId="0" applyNumberFormat="1" applyFont="1" applyFill="1" applyBorder="1" applyAlignment="1">
      <alignment horizontal="right" vertical="center"/>
    </xf>
    <xf numFmtId="0" fontId="4" fillId="4" borderId="6" xfId="0" applyNumberFormat="1" applyFont="1" applyFill="1" applyBorder="1" applyAlignment="1">
      <alignment horizontal="right" vertical="center"/>
    </xf>
    <xf numFmtId="0" fontId="4" fillId="4" borderId="7" xfId="0" applyNumberFormat="1" applyFont="1" applyFill="1" applyBorder="1" applyAlignment="1">
      <alignment horizontal="right" vertical="center"/>
    </xf>
    <xf numFmtId="4" fontId="0" fillId="0" borderId="0" xfId="0" applyNumberFormat="1"/>
    <xf numFmtId="49" fontId="2" fillId="2" borderId="0" xfId="0" applyNumberFormat="1" applyFont="1" applyFill="1" applyBorder="1" applyAlignment="1">
      <alignment horizontal="left" vertical="top"/>
    </xf>
    <xf numFmtId="44" fontId="0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5"/>
  <sheetViews>
    <sheetView tabSelected="1" workbookViewId="0">
      <pane xSplit="1" topLeftCell="Y1" activePane="topRight" state="frozen"/>
      <selection pane="topRight" activeCell="AA9" sqref="AA9"/>
    </sheetView>
  </sheetViews>
  <sheetFormatPr defaultRowHeight="15" x14ac:dyDescent="0.25"/>
  <cols>
    <col min="1" max="1" width="59.140625" bestFit="1" customWidth="1"/>
    <col min="2" max="43" width="16.42578125" customWidth="1"/>
  </cols>
  <sheetData>
    <row r="1" spans="1:43" x14ac:dyDescent="0.25">
      <c r="A1" s="1" t="s">
        <v>0</v>
      </c>
      <c r="B1" s="2" t="s">
        <v>1</v>
      </c>
      <c r="C1" s="2" t="s">
        <v>1</v>
      </c>
      <c r="D1" s="2" t="s">
        <v>2</v>
      </c>
      <c r="E1" s="2" t="s">
        <v>2</v>
      </c>
      <c r="F1" s="2" t="s">
        <v>3</v>
      </c>
      <c r="G1" s="2" t="s">
        <v>3</v>
      </c>
      <c r="H1" s="2" t="s">
        <v>4</v>
      </c>
      <c r="I1" s="2" t="s">
        <v>4</v>
      </c>
      <c r="J1" s="2" t="s">
        <v>5</v>
      </c>
      <c r="K1" s="2" t="s">
        <v>5</v>
      </c>
      <c r="L1" s="2" t="s">
        <v>6</v>
      </c>
      <c r="M1" s="2" t="s">
        <v>6</v>
      </c>
      <c r="N1" s="2" t="s">
        <v>7</v>
      </c>
      <c r="O1" s="2" t="s">
        <v>7</v>
      </c>
      <c r="P1" s="2" t="s">
        <v>8</v>
      </c>
      <c r="Q1" s="2" t="s">
        <v>8</v>
      </c>
      <c r="R1" s="2" t="s">
        <v>9</v>
      </c>
      <c r="S1" s="2" t="s">
        <v>9</v>
      </c>
      <c r="T1" s="2" t="s">
        <v>10</v>
      </c>
      <c r="U1" s="2" t="s">
        <v>10</v>
      </c>
      <c r="V1" s="2" t="s">
        <v>11</v>
      </c>
      <c r="W1" s="2" t="s">
        <v>11</v>
      </c>
      <c r="X1" s="2" t="s">
        <v>12</v>
      </c>
      <c r="Y1" s="2" t="s">
        <v>12</v>
      </c>
      <c r="Z1" s="2" t="s">
        <v>13</v>
      </c>
      <c r="AA1" s="2" t="s">
        <v>13</v>
      </c>
      <c r="AB1" s="2" t="s">
        <v>14</v>
      </c>
      <c r="AC1" s="2" t="s">
        <v>14</v>
      </c>
      <c r="AD1" s="2" t="s">
        <v>15</v>
      </c>
      <c r="AE1" s="2" t="s">
        <v>15</v>
      </c>
      <c r="AF1" s="2" t="s">
        <v>16</v>
      </c>
      <c r="AG1" s="2" t="s">
        <v>16</v>
      </c>
      <c r="AH1" s="2" t="s">
        <v>17</v>
      </c>
      <c r="AI1" s="2" t="s">
        <v>17</v>
      </c>
      <c r="AJ1" s="2" t="s">
        <v>18</v>
      </c>
      <c r="AK1" s="2" t="s">
        <v>18</v>
      </c>
      <c r="AL1" s="2" t="s">
        <v>19</v>
      </c>
      <c r="AM1" s="2" t="s">
        <v>19</v>
      </c>
      <c r="AN1" s="2" t="s">
        <v>20</v>
      </c>
      <c r="AO1" s="2" t="s">
        <v>20</v>
      </c>
      <c r="AP1" s="2" t="s">
        <v>21</v>
      </c>
      <c r="AQ1" s="2" t="s">
        <v>21</v>
      </c>
    </row>
    <row r="2" spans="1:43" x14ac:dyDescent="0.25">
      <c r="A2" s="3" t="s">
        <v>22</v>
      </c>
      <c r="B2" s="4" t="s">
        <v>23</v>
      </c>
      <c r="C2" s="4" t="s">
        <v>24</v>
      </c>
      <c r="D2" s="4" t="s">
        <v>23</v>
      </c>
      <c r="E2" s="4" t="s">
        <v>24</v>
      </c>
      <c r="F2" s="4" t="s">
        <v>23</v>
      </c>
      <c r="G2" s="4" t="s">
        <v>24</v>
      </c>
      <c r="H2" s="4" t="s">
        <v>23</v>
      </c>
      <c r="I2" s="4" t="s">
        <v>24</v>
      </c>
      <c r="J2" s="4" t="s">
        <v>23</v>
      </c>
      <c r="K2" s="4" t="s">
        <v>24</v>
      </c>
      <c r="L2" s="4" t="s">
        <v>23</v>
      </c>
      <c r="M2" s="4" t="s">
        <v>24</v>
      </c>
      <c r="N2" s="4" t="s">
        <v>23</v>
      </c>
      <c r="O2" s="4" t="s">
        <v>24</v>
      </c>
      <c r="P2" s="4" t="s">
        <v>23</v>
      </c>
      <c r="Q2" s="4" t="s">
        <v>24</v>
      </c>
      <c r="R2" s="4" t="s">
        <v>23</v>
      </c>
      <c r="S2" s="4" t="s">
        <v>24</v>
      </c>
      <c r="T2" s="4" t="s">
        <v>23</v>
      </c>
      <c r="U2" s="4" t="s">
        <v>24</v>
      </c>
      <c r="V2" s="4" t="s">
        <v>23</v>
      </c>
      <c r="W2" s="4" t="s">
        <v>24</v>
      </c>
      <c r="X2" s="4" t="s">
        <v>23</v>
      </c>
      <c r="Y2" s="4" t="s">
        <v>24</v>
      </c>
      <c r="Z2" s="4" t="s">
        <v>23</v>
      </c>
      <c r="AA2" s="4" t="s">
        <v>24</v>
      </c>
      <c r="AB2" s="4" t="s">
        <v>23</v>
      </c>
      <c r="AC2" s="4" t="s">
        <v>24</v>
      </c>
      <c r="AD2" s="4" t="s">
        <v>23</v>
      </c>
      <c r="AE2" s="4" t="s">
        <v>24</v>
      </c>
      <c r="AF2" s="4" t="s">
        <v>23</v>
      </c>
      <c r="AG2" s="4" t="s">
        <v>24</v>
      </c>
      <c r="AH2" s="4" t="s">
        <v>23</v>
      </c>
      <c r="AI2" s="4" t="s">
        <v>24</v>
      </c>
      <c r="AJ2" s="4" t="s">
        <v>23</v>
      </c>
      <c r="AK2" s="4" t="s">
        <v>24</v>
      </c>
      <c r="AL2" s="4" t="s">
        <v>23</v>
      </c>
      <c r="AM2" s="4" t="s">
        <v>24</v>
      </c>
      <c r="AN2" s="4" t="s">
        <v>23</v>
      </c>
      <c r="AO2" s="4" t="s">
        <v>24</v>
      </c>
      <c r="AP2" s="4" t="s">
        <v>23</v>
      </c>
      <c r="AQ2" s="4" t="s">
        <v>24</v>
      </c>
    </row>
    <row r="3" spans="1:43" x14ac:dyDescent="0.25">
      <c r="A3" s="5" t="s">
        <v>25</v>
      </c>
      <c r="B3" s="6">
        <v>18027166.07</v>
      </c>
      <c r="C3" s="7">
        <v>0</v>
      </c>
      <c r="D3" s="6">
        <v>1994531.32</v>
      </c>
      <c r="E3" s="7">
        <v>18027166.07</v>
      </c>
      <c r="F3" s="6">
        <v>667012.01</v>
      </c>
      <c r="G3" s="7">
        <v>1994531.32</v>
      </c>
      <c r="H3" s="6">
        <v>579176.44999999995</v>
      </c>
      <c r="I3" s="7">
        <v>667012.01</v>
      </c>
      <c r="J3" s="6">
        <v>690208.17</v>
      </c>
      <c r="K3" s="7">
        <v>579176.44999999995</v>
      </c>
      <c r="L3" s="6">
        <v>150985.93</v>
      </c>
      <c r="M3" s="7">
        <v>690208.17</v>
      </c>
      <c r="N3" s="6">
        <v>812169.31</v>
      </c>
      <c r="O3" s="7">
        <v>150985.93</v>
      </c>
      <c r="P3" s="6">
        <v>956046.41</v>
      </c>
      <c r="Q3" s="7">
        <v>812169.31</v>
      </c>
      <c r="R3" s="6">
        <v>739039.15</v>
      </c>
      <c r="S3" s="7">
        <v>956046.41</v>
      </c>
      <c r="T3" s="6">
        <v>655354.46</v>
      </c>
      <c r="U3" s="7">
        <v>739039.15</v>
      </c>
      <c r="V3" s="6">
        <v>4390290.1900000004</v>
      </c>
      <c r="W3" s="7">
        <v>655354.46</v>
      </c>
      <c r="X3" s="6">
        <v>167043.65</v>
      </c>
      <c r="Y3" s="7">
        <v>4390290.1900000004</v>
      </c>
      <c r="Z3" s="6">
        <v>1461878.51</v>
      </c>
      <c r="AA3" s="7">
        <v>167043.65</v>
      </c>
      <c r="AB3" s="6">
        <v>8090072.5999999996</v>
      </c>
      <c r="AC3" s="7">
        <v>1461878.51</v>
      </c>
      <c r="AD3" s="6">
        <v>1714835.26</v>
      </c>
      <c r="AE3" s="7">
        <v>8090072.5999999996</v>
      </c>
      <c r="AF3" s="6">
        <v>2658823.64</v>
      </c>
      <c r="AG3" s="7">
        <v>1714835.26</v>
      </c>
      <c r="AH3" s="6">
        <v>2024118.94</v>
      </c>
      <c r="AI3" s="7">
        <v>2658823.64</v>
      </c>
      <c r="AJ3" s="6">
        <v>2168255.2400000002</v>
      </c>
      <c r="AK3" s="7">
        <v>2024118.94</v>
      </c>
      <c r="AL3" s="6">
        <v>1380080.1</v>
      </c>
      <c r="AM3" s="7">
        <v>2168255.2400000002</v>
      </c>
      <c r="AN3" s="6">
        <v>2731311.8</v>
      </c>
      <c r="AO3" s="7">
        <v>1380080.1</v>
      </c>
      <c r="AP3" s="6">
        <v>666823.85</v>
      </c>
      <c r="AQ3" s="7">
        <v>2731311.8</v>
      </c>
    </row>
    <row r="4" spans="1:43" x14ac:dyDescent="0.25">
      <c r="A4" s="5" t="s">
        <v>26</v>
      </c>
      <c r="B4" s="8">
        <v>9253770.9299999997</v>
      </c>
      <c r="C4" s="9">
        <v>0</v>
      </c>
      <c r="D4" s="8">
        <v>746566.44</v>
      </c>
      <c r="E4" s="9">
        <v>9253770.9299999997</v>
      </c>
      <c r="F4" s="8">
        <v>2425375.7799999998</v>
      </c>
      <c r="G4" s="9">
        <v>746566.44</v>
      </c>
      <c r="H4" s="8">
        <v>223399.9</v>
      </c>
      <c r="I4" s="9">
        <v>2425375.7799999998</v>
      </c>
      <c r="J4" s="8">
        <v>377121.08</v>
      </c>
      <c r="K4" s="9">
        <v>223399.9</v>
      </c>
      <c r="L4" s="8">
        <v>2277295.98</v>
      </c>
      <c r="M4" s="9">
        <v>377121.08</v>
      </c>
      <c r="N4" s="8">
        <v>1951881.86</v>
      </c>
      <c r="O4" s="9">
        <v>2277295.98</v>
      </c>
      <c r="P4" s="8">
        <v>1390840.99</v>
      </c>
      <c r="Q4" s="9">
        <v>1951881.86</v>
      </c>
      <c r="R4" s="8">
        <v>514933.77</v>
      </c>
      <c r="S4" s="9">
        <v>1390840.99</v>
      </c>
      <c r="T4" s="8">
        <v>804432.25</v>
      </c>
      <c r="U4" s="9">
        <v>514933.77</v>
      </c>
      <c r="V4" s="8">
        <v>814090.63</v>
      </c>
      <c r="W4" s="9">
        <v>804432.25</v>
      </c>
      <c r="X4" s="8">
        <v>899905.72</v>
      </c>
      <c r="Y4" s="9">
        <v>814090.63</v>
      </c>
      <c r="Z4" s="8">
        <v>3957600.56</v>
      </c>
      <c r="AA4" s="9">
        <v>899905.72</v>
      </c>
      <c r="AB4" s="8">
        <v>1832132.43</v>
      </c>
      <c r="AC4" s="9">
        <v>3957600.56</v>
      </c>
      <c r="AD4" s="8">
        <v>375636.17</v>
      </c>
      <c r="AE4" s="9">
        <v>1832132.43</v>
      </c>
      <c r="AF4" s="8">
        <v>578863.81999999995</v>
      </c>
      <c r="AG4" s="9">
        <v>375636.17</v>
      </c>
      <c r="AH4" s="8">
        <v>1401103.59</v>
      </c>
      <c r="AI4" s="9">
        <v>578863.81999999995</v>
      </c>
      <c r="AJ4" s="8">
        <v>614065.77</v>
      </c>
      <c r="AK4" s="9">
        <v>1401103.59</v>
      </c>
      <c r="AL4" s="8">
        <v>1527477.63</v>
      </c>
      <c r="AM4" s="9">
        <v>614065.77</v>
      </c>
      <c r="AN4" s="8">
        <v>3777187.21</v>
      </c>
      <c r="AO4" s="9">
        <v>1527477.63</v>
      </c>
      <c r="AP4" s="8">
        <v>946423.58</v>
      </c>
      <c r="AQ4" s="9">
        <v>3777187.21</v>
      </c>
    </row>
    <row r="5" spans="1:43" x14ac:dyDescent="0.25">
      <c r="A5" s="5" t="s">
        <v>27</v>
      </c>
      <c r="B5" s="6">
        <v>2966828.46</v>
      </c>
      <c r="C5" s="7">
        <v>0</v>
      </c>
      <c r="D5" s="6">
        <v>609609.5</v>
      </c>
      <c r="E5" s="7">
        <v>2966828.46</v>
      </c>
      <c r="F5" s="6">
        <v>165154.88</v>
      </c>
      <c r="G5" s="7">
        <v>609609.5</v>
      </c>
      <c r="H5" s="6">
        <v>465288.56</v>
      </c>
      <c r="I5" s="7">
        <v>165154.88</v>
      </c>
      <c r="J5" s="6">
        <v>407304.51</v>
      </c>
      <c r="K5" s="7">
        <v>465288.56</v>
      </c>
      <c r="L5" s="6">
        <v>175827.86</v>
      </c>
      <c r="M5" s="7">
        <v>407304.51</v>
      </c>
      <c r="N5" s="6">
        <v>2792945.86</v>
      </c>
      <c r="O5" s="7">
        <v>175827.86</v>
      </c>
      <c r="P5" s="6">
        <v>532422.59</v>
      </c>
      <c r="Q5" s="7">
        <v>2792945.86</v>
      </c>
      <c r="R5" s="6">
        <v>68960.44</v>
      </c>
      <c r="S5" s="7">
        <v>532422.59</v>
      </c>
      <c r="T5" s="6">
        <v>1431081.72</v>
      </c>
      <c r="U5" s="7">
        <v>68960.44</v>
      </c>
      <c r="V5" s="6">
        <v>580096.62</v>
      </c>
      <c r="W5" s="7">
        <v>1431081.72</v>
      </c>
      <c r="X5" s="6">
        <v>84115.37</v>
      </c>
      <c r="Y5" s="7">
        <v>580096.62</v>
      </c>
      <c r="Z5" s="6">
        <v>885422.07999999996</v>
      </c>
      <c r="AA5" s="7">
        <v>84115.37</v>
      </c>
      <c r="AB5" s="6">
        <v>111971.57</v>
      </c>
      <c r="AC5" s="7">
        <v>885422.07999999996</v>
      </c>
      <c r="AD5" s="6">
        <v>2682.57</v>
      </c>
      <c r="AE5" s="7">
        <v>111971.57</v>
      </c>
      <c r="AF5" s="6">
        <v>443317</v>
      </c>
      <c r="AG5" s="7">
        <v>2682.57</v>
      </c>
      <c r="AH5" s="6">
        <v>131538.07999999999</v>
      </c>
      <c r="AI5" s="7">
        <v>443317</v>
      </c>
      <c r="AJ5" s="6">
        <v>617678.21</v>
      </c>
      <c r="AK5" s="7">
        <v>131538.07999999999</v>
      </c>
      <c r="AL5" s="6">
        <v>604354.87</v>
      </c>
      <c r="AM5" s="7">
        <v>617678.21</v>
      </c>
      <c r="AN5" s="6">
        <v>1405518.21</v>
      </c>
      <c r="AO5" s="7">
        <v>604354.87</v>
      </c>
      <c r="AP5" s="6">
        <v>2885889.62</v>
      </c>
      <c r="AQ5" s="7">
        <v>1405518.21</v>
      </c>
    </row>
    <row r="6" spans="1:43" x14ac:dyDescent="0.25">
      <c r="A6" s="5" t="s">
        <v>28</v>
      </c>
      <c r="B6" s="8">
        <v>1713404.78</v>
      </c>
      <c r="C6" s="9">
        <v>0</v>
      </c>
      <c r="D6" s="8">
        <v>1477448.18</v>
      </c>
      <c r="E6" s="9">
        <v>1713404.78</v>
      </c>
      <c r="F6" s="8">
        <v>160935.57999999999</v>
      </c>
      <c r="G6" s="9">
        <v>1477448.18</v>
      </c>
      <c r="H6" s="8">
        <v>285749.39</v>
      </c>
      <c r="I6" s="9">
        <v>160935.57999999999</v>
      </c>
      <c r="J6" s="8">
        <v>781522.49</v>
      </c>
      <c r="K6" s="9">
        <v>285749.39</v>
      </c>
      <c r="L6" s="8">
        <v>395924.26</v>
      </c>
      <c r="M6" s="9">
        <v>781522.49</v>
      </c>
      <c r="N6" s="8">
        <v>443524.99</v>
      </c>
      <c r="O6" s="9">
        <v>395924.26</v>
      </c>
      <c r="P6" s="8">
        <v>461844.66</v>
      </c>
      <c r="Q6" s="9">
        <v>443524.99</v>
      </c>
      <c r="R6" s="8">
        <v>91649.56</v>
      </c>
      <c r="S6" s="9">
        <v>461844.66</v>
      </c>
      <c r="T6" s="8">
        <v>155610.91</v>
      </c>
      <c r="U6" s="9">
        <v>91649.56</v>
      </c>
      <c r="V6" s="8">
        <v>226481.11</v>
      </c>
      <c r="W6" s="9">
        <v>155610.91</v>
      </c>
      <c r="X6" s="8">
        <v>287484.13</v>
      </c>
      <c r="Y6" s="9">
        <v>226481.11</v>
      </c>
      <c r="Z6" s="8">
        <v>1379044.85</v>
      </c>
      <c r="AA6" s="9">
        <v>287484.13</v>
      </c>
      <c r="AB6" s="8">
        <v>739175.15</v>
      </c>
      <c r="AC6" s="9">
        <v>1379044.85</v>
      </c>
      <c r="AD6" s="8">
        <v>388366.4</v>
      </c>
      <c r="AE6" s="9">
        <v>739175.15</v>
      </c>
      <c r="AF6" s="8">
        <v>257754.54</v>
      </c>
      <c r="AG6" s="9">
        <v>388366.4</v>
      </c>
      <c r="AH6" s="8">
        <v>452154.79</v>
      </c>
      <c r="AI6" s="9">
        <v>257754.54</v>
      </c>
      <c r="AJ6" s="8">
        <v>153983.32999999999</v>
      </c>
      <c r="AK6" s="9">
        <v>452154.79</v>
      </c>
      <c r="AL6" s="8">
        <v>290504.31</v>
      </c>
      <c r="AM6" s="9">
        <v>153983.32999999999</v>
      </c>
      <c r="AN6" s="8">
        <v>191891.33</v>
      </c>
      <c r="AO6" s="9">
        <v>290504.31</v>
      </c>
      <c r="AP6" s="8">
        <v>171716.57</v>
      </c>
      <c r="AQ6" s="9">
        <v>191891.33</v>
      </c>
    </row>
    <row r="7" spans="1:43" x14ac:dyDescent="0.25">
      <c r="A7" s="5" t="s">
        <v>29</v>
      </c>
      <c r="B7" s="6">
        <v>35001.68</v>
      </c>
      <c r="C7" s="7">
        <v>0</v>
      </c>
      <c r="D7" s="6">
        <v>6000.6</v>
      </c>
      <c r="E7" s="7">
        <v>35001.68</v>
      </c>
      <c r="F7" s="6">
        <v>1666.3</v>
      </c>
      <c r="G7" s="7">
        <v>6000.6</v>
      </c>
      <c r="H7" s="6">
        <v>33.69</v>
      </c>
      <c r="I7" s="7">
        <v>1666.3</v>
      </c>
      <c r="J7" s="6">
        <v>1217.75</v>
      </c>
      <c r="K7" s="7">
        <v>33.69</v>
      </c>
      <c r="L7" s="6">
        <v>27492.65</v>
      </c>
      <c r="M7" s="7">
        <v>1217.75</v>
      </c>
      <c r="N7" s="6">
        <v>23432.560000000001</v>
      </c>
      <c r="O7" s="7">
        <v>27492.65</v>
      </c>
      <c r="P7" s="6">
        <v>19840.72</v>
      </c>
      <c r="Q7" s="7">
        <v>23432.560000000001</v>
      </c>
      <c r="R7" s="6">
        <v>26981.73</v>
      </c>
      <c r="S7" s="7">
        <v>19840.72</v>
      </c>
      <c r="T7" s="6">
        <v>1913.69</v>
      </c>
      <c r="U7" s="7">
        <v>26981.73</v>
      </c>
      <c r="V7" s="6">
        <v>6675.01</v>
      </c>
      <c r="W7" s="7">
        <v>1913.69</v>
      </c>
      <c r="X7" s="6">
        <v>6329.46</v>
      </c>
      <c r="Y7" s="7">
        <v>6675.01</v>
      </c>
      <c r="Z7" s="6">
        <v>4122.66</v>
      </c>
      <c r="AA7" s="7">
        <v>6329.46</v>
      </c>
      <c r="AB7" s="6">
        <v>2533.5500000000002</v>
      </c>
      <c r="AC7" s="7">
        <v>4122.66</v>
      </c>
      <c r="AD7" s="6">
        <v>4627.0200000000004</v>
      </c>
      <c r="AE7" s="7">
        <v>2533.5500000000002</v>
      </c>
      <c r="AF7" s="6">
        <v>5029.1000000000004</v>
      </c>
      <c r="AG7" s="7">
        <v>4627.0200000000004</v>
      </c>
      <c r="AH7" s="6">
        <v>9942.35</v>
      </c>
      <c r="AI7" s="7">
        <v>5029.1000000000004</v>
      </c>
      <c r="AJ7" s="6">
        <v>610.63</v>
      </c>
      <c r="AK7" s="7">
        <v>9942.35</v>
      </c>
      <c r="AL7" s="6">
        <v>253.28</v>
      </c>
      <c r="AM7" s="7">
        <v>610.63</v>
      </c>
      <c r="AN7" s="6">
        <v>6630.41</v>
      </c>
      <c r="AO7" s="7">
        <v>253.28</v>
      </c>
      <c r="AP7" s="6">
        <v>7534.14</v>
      </c>
      <c r="AQ7" s="7">
        <v>6630.41</v>
      </c>
    </row>
    <row r="8" spans="1:43" x14ac:dyDescent="0.25">
      <c r="A8" s="5" t="s">
        <v>30</v>
      </c>
      <c r="B8" s="8">
        <v>1470069.76</v>
      </c>
      <c r="C8" s="9">
        <v>0</v>
      </c>
      <c r="D8" s="8">
        <v>45323.86</v>
      </c>
      <c r="E8" s="9">
        <v>1470069.76</v>
      </c>
      <c r="F8" s="8">
        <v>55974.31</v>
      </c>
      <c r="G8" s="9">
        <v>45323.86</v>
      </c>
      <c r="H8" s="8">
        <v>58444.69</v>
      </c>
      <c r="I8" s="9">
        <v>55974.31</v>
      </c>
      <c r="J8" s="8">
        <v>193882.59</v>
      </c>
      <c r="K8" s="9">
        <v>58444.69</v>
      </c>
      <c r="L8" s="8">
        <v>81734.84</v>
      </c>
      <c r="M8" s="9">
        <v>193882.59</v>
      </c>
      <c r="N8" s="8">
        <v>25095.75</v>
      </c>
      <c r="O8" s="9">
        <v>81734.84</v>
      </c>
      <c r="P8" s="8">
        <v>66092.160000000003</v>
      </c>
      <c r="Q8" s="9">
        <v>25095.75</v>
      </c>
      <c r="R8" s="8">
        <v>65168.44</v>
      </c>
      <c r="S8" s="9">
        <v>66092.160000000003</v>
      </c>
      <c r="T8" s="8">
        <v>75912.39</v>
      </c>
      <c r="U8" s="9">
        <v>65168.44</v>
      </c>
      <c r="V8" s="8">
        <v>46783.03</v>
      </c>
      <c r="W8" s="9">
        <v>75912.39</v>
      </c>
      <c r="X8" s="8">
        <v>216236.27</v>
      </c>
      <c r="Y8" s="9">
        <v>46783.03</v>
      </c>
      <c r="Z8" s="8">
        <v>197978.66</v>
      </c>
      <c r="AA8" s="9">
        <v>216236.27</v>
      </c>
      <c r="AB8" s="8">
        <v>84300.23</v>
      </c>
      <c r="AC8" s="9">
        <v>197978.66</v>
      </c>
      <c r="AD8" s="8">
        <v>120000</v>
      </c>
      <c r="AE8" s="9">
        <v>84300.23</v>
      </c>
      <c r="AF8" s="8">
        <v>47857.3</v>
      </c>
      <c r="AG8" s="9">
        <v>120000</v>
      </c>
      <c r="AH8" s="8">
        <v>180.64</v>
      </c>
      <c r="AI8" s="9">
        <v>47857.3</v>
      </c>
      <c r="AJ8" s="8">
        <v>128391.16</v>
      </c>
      <c r="AK8" s="9">
        <v>180.64</v>
      </c>
      <c r="AL8" s="8">
        <v>137483.46</v>
      </c>
      <c r="AM8" s="9">
        <v>128391.16</v>
      </c>
      <c r="AN8" s="8">
        <v>19671.71</v>
      </c>
      <c r="AO8" s="9">
        <v>137483.46</v>
      </c>
      <c r="AP8" s="8">
        <v>16531.55</v>
      </c>
      <c r="AQ8" s="9">
        <v>19671.71</v>
      </c>
    </row>
    <row r="9" spans="1:43" x14ac:dyDescent="0.25">
      <c r="A9" s="5" t="s">
        <v>31</v>
      </c>
      <c r="B9" s="10"/>
      <c r="C9" s="11"/>
      <c r="D9" s="6">
        <v>0</v>
      </c>
      <c r="E9" s="7">
        <v>0</v>
      </c>
      <c r="F9" s="10"/>
      <c r="G9" s="11"/>
      <c r="H9" s="10"/>
      <c r="I9" s="11"/>
      <c r="J9" s="10"/>
      <c r="K9" s="11"/>
      <c r="L9" s="10"/>
      <c r="M9" s="11"/>
      <c r="N9" s="10"/>
      <c r="O9" s="11"/>
      <c r="P9" s="10"/>
      <c r="Q9" s="11"/>
      <c r="R9" s="10"/>
      <c r="S9" s="11"/>
      <c r="T9" s="10"/>
      <c r="U9" s="11"/>
      <c r="V9" s="10"/>
      <c r="W9" s="11"/>
      <c r="X9" s="10"/>
      <c r="Y9" s="11"/>
      <c r="Z9" s="10"/>
      <c r="AA9" s="11"/>
      <c r="AB9" s="10"/>
      <c r="AC9" s="11"/>
      <c r="AD9" s="10"/>
      <c r="AE9" s="11"/>
      <c r="AF9" s="10"/>
      <c r="AG9" s="11"/>
      <c r="AH9" s="10"/>
      <c r="AI9" s="11"/>
      <c r="AJ9" s="10"/>
      <c r="AK9" s="11"/>
      <c r="AL9" s="10"/>
      <c r="AM9" s="11"/>
      <c r="AN9" s="10"/>
      <c r="AO9" s="11"/>
      <c r="AP9" s="10"/>
      <c r="AQ9" s="11"/>
    </row>
    <row r="10" spans="1:43" x14ac:dyDescent="0.25">
      <c r="A10" s="5" t="s">
        <v>32</v>
      </c>
      <c r="B10" s="8">
        <v>15842184.66</v>
      </c>
      <c r="C10" s="9">
        <v>0</v>
      </c>
      <c r="D10" s="8">
        <v>2822790.51</v>
      </c>
      <c r="E10" s="9">
        <v>15842184.66</v>
      </c>
      <c r="F10" s="8">
        <v>0</v>
      </c>
      <c r="G10" s="9">
        <v>2822790.51</v>
      </c>
      <c r="H10" s="8">
        <v>31310.76</v>
      </c>
      <c r="I10" s="9">
        <v>0</v>
      </c>
      <c r="J10" s="8">
        <v>40362.400000000001</v>
      </c>
      <c r="K10" s="9">
        <v>31310.76</v>
      </c>
      <c r="L10" s="8">
        <v>815900.39</v>
      </c>
      <c r="M10" s="9">
        <v>40362.400000000001</v>
      </c>
      <c r="N10" s="8">
        <v>150030.82</v>
      </c>
      <c r="O10" s="9">
        <v>815900.39</v>
      </c>
      <c r="P10" s="8">
        <v>6670.75</v>
      </c>
      <c r="Q10" s="9">
        <v>150030.82</v>
      </c>
      <c r="R10" s="8">
        <v>151589.60999999999</v>
      </c>
      <c r="S10" s="9">
        <v>6670.75</v>
      </c>
      <c r="T10" s="8">
        <v>174152.55</v>
      </c>
      <c r="U10" s="9">
        <v>151589.60999999999</v>
      </c>
      <c r="V10" s="8">
        <v>17435824.940000001</v>
      </c>
      <c r="W10" s="9">
        <v>174152.55</v>
      </c>
      <c r="X10" s="8">
        <v>2995384.38</v>
      </c>
      <c r="Y10" s="9">
        <v>17435824.940000001</v>
      </c>
      <c r="Z10" s="8">
        <v>1189494.9099999999</v>
      </c>
      <c r="AA10" s="9">
        <v>2995384.38</v>
      </c>
      <c r="AB10" s="8">
        <v>11033677.880000001</v>
      </c>
      <c r="AC10" s="9">
        <v>1189494.9099999999</v>
      </c>
      <c r="AD10" s="8">
        <v>10240.540000000001</v>
      </c>
      <c r="AE10" s="9">
        <v>11033677.880000001</v>
      </c>
      <c r="AF10" s="8">
        <v>1440278.14</v>
      </c>
      <c r="AG10" s="9">
        <v>10240.540000000001</v>
      </c>
      <c r="AH10" s="8">
        <v>1425000</v>
      </c>
      <c r="AI10" s="9">
        <v>1440278.14</v>
      </c>
      <c r="AJ10" s="8">
        <v>0</v>
      </c>
      <c r="AK10" s="9">
        <v>1425000</v>
      </c>
      <c r="AL10" s="8">
        <v>100000</v>
      </c>
      <c r="AM10" s="9">
        <v>0</v>
      </c>
      <c r="AN10" s="8">
        <v>895000</v>
      </c>
      <c r="AO10" s="9">
        <v>100000</v>
      </c>
      <c r="AP10" s="8">
        <v>1355456.16</v>
      </c>
      <c r="AQ10" s="9">
        <v>895000</v>
      </c>
    </row>
    <row r="11" spans="1:43" x14ac:dyDescent="0.25">
      <c r="A11" s="5" t="s">
        <v>33</v>
      </c>
      <c r="B11" s="6">
        <v>104289.44</v>
      </c>
      <c r="C11" s="7">
        <v>0</v>
      </c>
      <c r="D11" s="6">
        <v>0</v>
      </c>
      <c r="E11" s="7">
        <v>104289.44</v>
      </c>
      <c r="F11" s="6">
        <v>0</v>
      </c>
      <c r="G11" s="7">
        <v>0</v>
      </c>
      <c r="H11" s="6">
        <v>0</v>
      </c>
      <c r="I11" s="7">
        <v>0</v>
      </c>
      <c r="J11" s="6">
        <v>0</v>
      </c>
      <c r="K11" s="7">
        <v>0</v>
      </c>
      <c r="L11" s="6">
        <v>0</v>
      </c>
      <c r="M11" s="7">
        <v>0</v>
      </c>
      <c r="N11" s="6">
        <v>0</v>
      </c>
      <c r="O11" s="7">
        <v>0</v>
      </c>
      <c r="P11" s="6">
        <v>0</v>
      </c>
      <c r="Q11" s="7">
        <v>0</v>
      </c>
      <c r="R11" s="6">
        <v>0</v>
      </c>
      <c r="S11" s="7">
        <v>0</v>
      </c>
      <c r="T11" s="6">
        <v>0</v>
      </c>
      <c r="U11" s="7">
        <v>0</v>
      </c>
      <c r="V11" s="6">
        <v>0</v>
      </c>
      <c r="W11" s="7">
        <v>0</v>
      </c>
      <c r="X11" s="6">
        <v>0</v>
      </c>
      <c r="Y11" s="7">
        <v>0</v>
      </c>
      <c r="Z11" s="6">
        <v>0</v>
      </c>
      <c r="AA11" s="7">
        <v>0</v>
      </c>
      <c r="AB11" s="6">
        <v>0</v>
      </c>
      <c r="AC11" s="7">
        <v>0</v>
      </c>
      <c r="AD11" s="6">
        <v>0</v>
      </c>
      <c r="AE11" s="7">
        <v>0</v>
      </c>
      <c r="AF11" s="6">
        <v>0</v>
      </c>
      <c r="AG11" s="7">
        <v>0</v>
      </c>
      <c r="AH11" s="6">
        <v>0</v>
      </c>
      <c r="AI11" s="7">
        <v>0</v>
      </c>
      <c r="AJ11" s="6">
        <v>0</v>
      </c>
      <c r="AK11" s="7">
        <v>0</v>
      </c>
      <c r="AL11" s="6">
        <v>0</v>
      </c>
      <c r="AM11" s="7">
        <v>0</v>
      </c>
      <c r="AN11" s="6">
        <v>0</v>
      </c>
      <c r="AO11" s="7">
        <v>0</v>
      </c>
      <c r="AP11" s="6">
        <v>0</v>
      </c>
      <c r="AQ11" s="7">
        <v>0</v>
      </c>
    </row>
    <row r="12" spans="1:43" x14ac:dyDescent="0.25">
      <c r="A12" s="5" t="s">
        <v>34</v>
      </c>
      <c r="B12" s="8">
        <v>1590791.12</v>
      </c>
      <c r="C12" s="9">
        <v>0</v>
      </c>
      <c r="D12" s="8">
        <v>0</v>
      </c>
      <c r="E12" s="9">
        <v>1590791.12</v>
      </c>
      <c r="F12" s="8">
        <v>0</v>
      </c>
      <c r="G12" s="9">
        <v>0</v>
      </c>
      <c r="H12" s="8">
        <v>0</v>
      </c>
      <c r="I12" s="9">
        <v>0</v>
      </c>
      <c r="J12" s="8">
        <v>0</v>
      </c>
      <c r="K12" s="9">
        <v>0</v>
      </c>
      <c r="L12" s="8">
        <v>0</v>
      </c>
      <c r="M12" s="9">
        <v>0</v>
      </c>
      <c r="N12" s="8">
        <v>0</v>
      </c>
      <c r="O12" s="9">
        <v>0</v>
      </c>
      <c r="P12" s="8">
        <v>0</v>
      </c>
      <c r="Q12" s="9">
        <v>0</v>
      </c>
      <c r="R12" s="8">
        <v>0</v>
      </c>
      <c r="S12" s="9">
        <v>0</v>
      </c>
      <c r="T12" s="8">
        <v>0</v>
      </c>
      <c r="U12" s="9">
        <v>0</v>
      </c>
      <c r="V12" s="8">
        <v>0</v>
      </c>
      <c r="W12" s="9">
        <v>0</v>
      </c>
      <c r="X12" s="8">
        <v>0</v>
      </c>
      <c r="Y12" s="9">
        <v>0</v>
      </c>
      <c r="Z12" s="8">
        <v>0</v>
      </c>
      <c r="AA12" s="9">
        <v>0</v>
      </c>
      <c r="AB12" s="8">
        <v>0</v>
      </c>
      <c r="AC12" s="9">
        <v>0</v>
      </c>
      <c r="AD12" s="8">
        <v>0</v>
      </c>
      <c r="AE12" s="9">
        <v>0</v>
      </c>
      <c r="AF12" s="8">
        <v>0</v>
      </c>
      <c r="AG12" s="9">
        <v>0</v>
      </c>
      <c r="AH12" s="8">
        <v>0</v>
      </c>
      <c r="AI12" s="9">
        <v>0</v>
      </c>
      <c r="AJ12" s="8">
        <v>0</v>
      </c>
      <c r="AK12" s="9">
        <v>0</v>
      </c>
      <c r="AL12" s="8">
        <v>0</v>
      </c>
      <c r="AM12" s="9">
        <v>0</v>
      </c>
      <c r="AN12" s="8">
        <v>0</v>
      </c>
      <c r="AO12" s="9">
        <v>0</v>
      </c>
      <c r="AP12" s="8">
        <v>0</v>
      </c>
      <c r="AQ12" s="9">
        <v>0</v>
      </c>
    </row>
    <row r="13" spans="1:43" x14ac:dyDescent="0.25">
      <c r="A13" s="5" t="s">
        <v>35</v>
      </c>
      <c r="B13" s="10"/>
      <c r="C13" s="11"/>
      <c r="D13" s="10"/>
      <c r="E13" s="11"/>
      <c r="F13" s="10"/>
      <c r="G13" s="11"/>
      <c r="H13" s="10"/>
      <c r="I13" s="11"/>
      <c r="J13" s="10"/>
      <c r="K13" s="11"/>
      <c r="L13" s="10"/>
      <c r="M13" s="11"/>
      <c r="N13" s="10"/>
      <c r="O13" s="11"/>
      <c r="P13" s="10"/>
      <c r="Q13" s="11"/>
      <c r="R13" s="10"/>
      <c r="S13" s="11"/>
      <c r="T13" s="10"/>
      <c r="U13" s="11"/>
      <c r="V13" s="10"/>
      <c r="W13" s="11"/>
      <c r="X13" s="10"/>
      <c r="Y13" s="11"/>
      <c r="Z13" s="6">
        <v>0</v>
      </c>
      <c r="AA13" s="7">
        <v>0</v>
      </c>
      <c r="AB13" s="6">
        <v>0</v>
      </c>
      <c r="AC13" s="7">
        <v>0</v>
      </c>
      <c r="AD13" s="6">
        <v>0</v>
      </c>
      <c r="AE13" s="7">
        <v>0</v>
      </c>
      <c r="AF13" s="6">
        <v>0</v>
      </c>
      <c r="AG13" s="7">
        <v>0</v>
      </c>
      <c r="AH13" s="6">
        <v>0</v>
      </c>
      <c r="AI13" s="7">
        <v>0</v>
      </c>
      <c r="AJ13" s="6">
        <v>0</v>
      </c>
      <c r="AK13" s="7">
        <v>0</v>
      </c>
      <c r="AL13" s="6">
        <v>0</v>
      </c>
      <c r="AM13" s="7">
        <v>0</v>
      </c>
      <c r="AN13" s="6">
        <v>0</v>
      </c>
      <c r="AO13" s="7">
        <v>0</v>
      </c>
      <c r="AP13" s="6">
        <v>0</v>
      </c>
      <c r="AQ13" s="7">
        <v>0</v>
      </c>
    </row>
    <row r="14" spans="1:43" x14ac:dyDescent="0.25">
      <c r="A14" s="13"/>
      <c r="B14" s="14">
        <f>SUM(B$3:B$13)</f>
        <v>51003506.899999999</v>
      </c>
      <c r="C14" s="14">
        <f t="shared" ref="C14:AQ14" si="0">SUM(C$3:C$13)</f>
        <v>0</v>
      </c>
      <c r="D14" s="14">
        <f t="shared" si="0"/>
        <v>7702270.4099999992</v>
      </c>
      <c r="E14" s="14">
        <f t="shared" si="0"/>
        <v>51003506.899999999</v>
      </c>
      <c r="F14" s="14">
        <f t="shared" si="0"/>
        <v>3476118.86</v>
      </c>
      <c r="G14" s="14">
        <f t="shared" si="0"/>
        <v>7702270.4099999992</v>
      </c>
      <c r="H14" s="14">
        <f t="shared" si="0"/>
        <v>1643403.4399999997</v>
      </c>
      <c r="I14" s="14">
        <f t="shared" si="0"/>
        <v>3476118.86</v>
      </c>
      <c r="J14" s="14">
        <f t="shared" si="0"/>
        <v>2491618.9899999998</v>
      </c>
      <c r="K14" s="14">
        <f t="shared" si="0"/>
        <v>1643403.4399999997</v>
      </c>
      <c r="L14" s="14">
        <f t="shared" si="0"/>
        <v>3925161.91</v>
      </c>
      <c r="M14" s="14">
        <f t="shared" si="0"/>
        <v>2491618.9899999998</v>
      </c>
      <c r="N14" s="14">
        <f t="shared" si="0"/>
        <v>6199081.1499999994</v>
      </c>
      <c r="O14" s="14">
        <f t="shared" si="0"/>
        <v>3925161.91</v>
      </c>
      <c r="P14" s="14">
        <f t="shared" si="0"/>
        <v>3433758.2800000003</v>
      </c>
      <c r="Q14" s="14">
        <f t="shared" si="0"/>
        <v>6199081.1499999994</v>
      </c>
      <c r="R14" s="14">
        <f t="shared" si="0"/>
        <v>1658322.6999999997</v>
      </c>
      <c r="S14" s="14">
        <f t="shared" si="0"/>
        <v>3433758.2800000003</v>
      </c>
      <c r="T14" s="14">
        <f t="shared" si="0"/>
        <v>3298457.9699999997</v>
      </c>
      <c r="U14" s="14">
        <f t="shared" si="0"/>
        <v>1658322.6999999997</v>
      </c>
      <c r="V14" s="14">
        <f t="shared" si="0"/>
        <v>23500241.530000001</v>
      </c>
      <c r="W14" s="14">
        <f t="shared" si="0"/>
        <v>3298457.9699999997</v>
      </c>
      <c r="X14" s="14">
        <f t="shared" si="0"/>
        <v>4656498.9799999995</v>
      </c>
      <c r="Y14" s="14">
        <f t="shared" si="0"/>
        <v>23500241.530000001</v>
      </c>
      <c r="Z14" s="14">
        <f t="shared" si="0"/>
        <v>9075542.2300000004</v>
      </c>
      <c r="AA14" s="14">
        <f t="shared" si="0"/>
        <v>4656498.9799999995</v>
      </c>
      <c r="AB14" s="14">
        <f t="shared" si="0"/>
        <v>21893863.410000004</v>
      </c>
      <c r="AC14" s="14">
        <f t="shared" si="0"/>
        <v>9075542.2300000004</v>
      </c>
      <c r="AD14" s="14">
        <f t="shared" si="0"/>
        <v>2616387.96</v>
      </c>
      <c r="AE14" s="14">
        <f t="shared" si="0"/>
        <v>21893863.410000004</v>
      </c>
      <c r="AF14" s="14">
        <f t="shared" si="0"/>
        <v>5431923.54</v>
      </c>
      <c r="AG14" s="14">
        <f t="shared" si="0"/>
        <v>2616387.96</v>
      </c>
      <c r="AH14" s="14">
        <f t="shared" si="0"/>
        <v>5444038.3900000006</v>
      </c>
      <c r="AI14" s="14">
        <f t="shared" si="0"/>
        <v>5431923.54</v>
      </c>
      <c r="AJ14" s="14">
        <f t="shared" si="0"/>
        <v>3682984.3400000003</v>
      </c>
      <c r="AK14" s="14">
        <f t="shared" si="0"/>
        <v>5444038.3900000006</v>
      </c>
      <c r="AL14" s="14">
        <f t="shared" si="0"/>
        <v>4040153.65</v>
      </c>
      <c r="AM14" s="14">
        <f t="shared" si="0"/>
        <v>3682984.3400000003</v>
      </c>
      <c r="AN14" s="14">
        <f t="shared" si="0"/>
        <v>9027210.6699999999</v>
      </c>
      <c r="AO14" s="14">
        <f t="shared" si="0"/>
        <v>4040153.65</v>
      </c>
      <c r="AP14" s="14">
        <f t="shared" si="0"/>
        <v>6050375.4699999997</v>
      </c>
      <c r="AQ14" s="14">
        <f t="shared" si="0"/>
        <v>9027210.6699999999</v>
      </c>
    </row>
    <row r="15" spans="1:43" x14ac:dyDescent="0.25">
      <c r="B15" s="12" t="e">
        <f>IF(SUM(B$3:B$13)=SUM(#REF!),"ok","nok")</f>
        <v>#REF!</v>
      </c>
      <c r="C15" s="12" t="e">
        <f>IF(SUM(C$3:C$13)=SUM(#REF!),"ok","nok")</f>
        <v>#REF!</v>
      </c>
      <c r="D15" s="12" t="str">
        <f t="shared" ref="D15:AP15" si="1">IF(SUM(D$3:D$13)=SUM(A3:A13),"ok","nok")</f>
        <v>nok</v>
      </c>
      <c r="E15" s="12" t="str">
        <f t="shared" si="1"/>
        <v>ok</v>
      </c>
      <c r="F15" s="12" t="str">
        <f t="shared" si="1"/>
        <v>nok</v>
      </c>
      <c r="G15" s="12" t="str">
        <f t="shared" si="1"/>
        <v>ok</v>
      </c>
      <c r="H15" s="12" t="str">
        <f t="shared" si="1"/>
        <v>nok</v>
      </c>
      <c r="I15" s="12" t="str">
        <f t="shared" si="1"/>
        <v>ok</v>
      </c>
      <c r="J15" s="12" t="str">
        <f t="shared" si="1"/>
        <v>nok</v>
      </c>
      <c r="K15" s="12" t="str">
        <f t="shared" si="1"/>
        <v>ok</v>
      </c>
      <c r="L15" s="12" t="str">
        <f t="shared" si="1"/>
        <v>nok</v>
      </c>
      <c r="M15" s="12" t="str">
        <f t="shared" si="1"/>
        <v>ok</v>
      </c>
      <c r="N15" s="12" t="str">
        <f t="shared" si="1"/>
        <v>nok</v>
      </c>
      <c r="O15" s="12" t="str">
        <f t="shared" si="1"/>
        <v>ok</v>
      </c>
      <c r="P15" s="12" t="str">
        <f t="shared" si="1"/>
        <v>nok</v>
      </c>
      <c r="Q15" s="12" t="str">
        <f t="shared" si="1"/>
        <v>ok</v>
      </c>
      <c r="R15" s="12" t="str">
        <f t="shared" si="1"/>
        <v>nok</v>
      </c>
      <c r="S15" s="12" t="str">
        <f t="shared" si="1"/>
        <v>ok</v>
      </c>
      <c r="T15" s="12" t="str">
        <f t="shared" si="1"/>
        <v>nok</v>
      </c>
      <c r="U15" s="12" t="str">
        <f t="shared" si="1"/>
        <v>ok</v>
      </c>
      <c r="V15" s="12" t="str">
        <f t="shared" si="1"/>
        <v>nok</v>
      </c>
      <c r="W15" s="12" t="str">
        <f t="shared" si="1"/>
        <v>ok</v>
      </c>
      <c r="X15" s="12" t="str">
        <f t="shared" si="1"/>
        <v>nok</v>
      </c>
      <c r="Y15" s="12" t="str">
        <f t="shared" si="1"/>
        <v>ok</v>
      </c>
      <c r="Z15" s="12" t="str">
        <f t="shared" si="1"/>
        <v>nok</v>
      </c>
      <c r="AA15" s="12" t="str">
        <f t="shared" si="1"/>
        <v>ok</v>
      </c>
      <c r="AB15" s="12" t="str">
        <f t="shared" si="1"/>
        <v>nok</v>
      </c>
      <c r="AC15" s="12" t="str">
        <f t="shared" si="1"/>
        <v>ok</v>
      </c>
      <c r="AD15" s="12" t="str">
        <f t="shared" si="1"/>
        <v>nok</v>
      </c>
      <c r="AE15" s="12" t="str">
        <f t="shared" si="1"/>
        <v>ok</v>
      </c>
      <c r="AF15" s="12" t="str">
        <f t="shared" si="1"/>
        <v>nok</v>
      </c>
      <c r="AG15" s="12" t="str">
        <f t="shared" si="1"/>
        <v>ok</v>
      </c>
      <c r="AH15" s="12" t="str">
        <f t="shared" si="1"/>
        <v>nok</v>
      </c>
      <c r="AI15" s="12" t="str">
        <f t="shared" si="1"/>
        <v>ok</v>
      </c>
      <c r="AJ15" s="12" t="str">
        <f t="shared" si="1"/>
        <v>nok</v>
      </c>
      <c r="AK15" s="12" t="str">
        <f t="shared" si="1"/>
        <v>ok</v>
      </c>
      <c r="AL15" s="12" t="str">
        <f t="shared" si="1"/>
        <v>nok</v>
      </c>
      <c r="AM15" s="12" t="str">
        <f t="shared" si="1"/>
        <v>ok</v>
      </c>
      <c r="AN15" s="12" t="str">
        <f t="shared" si="1"/>
        <v>nok</v>
      </c>
      <c r="AO15" s="12" t="str">
        <f t="shared" si="1"/>
        <v>ok</v>
      </c>
      <c r="AP15" s="12" t="str">
        <f t="shared" si="1"/>
        <v>nok</v>
      </c>
      <c r="AQ15" s="12" t="str">
        <f>IF(SUM(AQ$3:AQ$13)=SUM(AN3:AN13),"ok","nok")</f>
        <v>ok</v>
      </c>
    </row>
  </sheetData>
  <pageMargins left="0.7" right="0.7" top="0.75" bottom="0.75" header="0.45" footer="0.45"/>
  <pageSetup paperSize="9" orientation="portrait"/>
  <headerFooter>
    <oddHeader>&amp;L&amp;20TESTES [CTB] Balanço Patrimonial - Passivo&amp;R&amp;D</oddHeader>
    <oddFooter>&amp;RPage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1. TESTES (CTB) Balanço Patr...</vt:lpstr>
      <vt:lpstr>'1. TESTES (CTB) Balanço Patr...'!Titulos_de_impressao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Manoel</dc:creator>
  <cp:lastModifiedBy>Manoel</cp:lastModifiedBy>
  <dcterms:created xsi:type="dcterms:W3CDTF">2022-10-14T19:48:28Z</dcterms:created>
  <dcterms:modified xsi:type="dcterms:W3CDTF">2022-10-15T14:41:32Z</dcterms:modified>
</cp:coreProperties>
</file>