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Orçamento\Orçamento teste\"/>
    </mc:Choice>
  </mc:AlternateContent>
  <xr:revisionPtr revIDLastSave="0" documentId="13_ncr:1_{E750F48E-2E6E-4220-9627-FF8E189916B7}" xr6:coauthVersionLast="47" xr6:coauthVersionMax="47" xr10:uidLastSave="{00000000-0000-0000-0000-000000000000}"/>
  <bookViews>
    <workbookView xWindow="-120" yWindow="-120" windowWidth="20730" windowHeight="11040" activeTab="4" xr2:uid="{37E21A21-8B6D-4393-94A5-341F80884241}"/>
  </bookViews>
  <sheets>
    <sheet name="Contas Orç" sheetId="2" r:id="rId1"/>
    <sheet name="Base_20.12" sheetId="1" r:id="rId2"/>
    <sheet name="Base_24.11" sheetId="3" state="hidden" r:id="rId3"/>
    <sheet name="Planilha1" sheetId="4" state="hidden" r:id="rId4"/>
    <sheet name="Stênio" sheetId="5" r:id="rId5"/>
  </sheets>
  <definedNames>
    <definedName name="_xlnm._FilterDatabase" localSheetId="1" hidden="1">Base_20.12!$A$1:$AB$3875</definedName>
    <definedName name="_xlnm._FilterDatabase" localSheetId="2" hidden="1">Base_24.11!$A$1:$Z$308</definedName>
  </definedNames>
  <calcPr calcId="191029"/>
  <pivotCaches>
    <pivotCache cacheId="5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A3854" i="1"/>
  <c r="B3854" i="1" s="1"/>
  <c r="C3854" i="1"/>
  <c r="A3855" i="1"/>
  <c r="B3855" i="1" s="1"/>
  <c r="C3855" i="1"/>
  <c r="A3856" i="1"/>
  <c r="B3856" i="1" s="1"/>
  <c r="C3856" i="1"/>
  <c r="A3857" i="1"/>
  <c r="B3857" i="1" s="1"/>
  <c r="C3857" i="1"/>
  <c r="A3858" i="1"/>
  <c r="B3858" i="1" s="1"/>
  <c r="C3858" i="1"/>
  <c r="A3859" i="1"/>
  <c r="B3859" i="1" s="1"/>
  <c r="C3859" i="1"/>
  <c r="A3860" i="1"/>
  <c r="B3860" i="1" s="1"/>
  <c r="C3860" i="1"/>
  <c r="A3861" i="1"/>
  <c r="B3861" i="1" s="1"/>
  <c r="C3861" i="1"/>
  <c r="A3862" i="1"/>
  <c r="B3862" i="1" s="1"/>
  <c r="C3862" i="1"/>
  <c r="A3863" i="1"/>
  <c r="B3863" i="1" s="1"/>
  <c r="C3863" i="1"/>
  <c r="A3864" i="1"/>
  <c r="B3864" i="1" s="1"/>
  <c r="C3864" i="1"/>
  <c r="A3865" i="1"/>
  <c r="B3865" i="1" s="1"/>
  <c r="C3865" i="1"/>
  <c r="A3866" i="1"/>
  <c r="B3866" i="1" s="1"/>
  <c r="C3866" i="1"/>
  <c r="A3867" i="1"/>
  <c r="B3867" i="1" s="1"/>
  <c r="C3867" i="1"/>
  <c r="A3868" i="1"/>
  <c r="B3868" i="1" s="1"/>
  <c r="C3868" i="1"/>
  <c r="A3869" i="1"/>
  <c r="B3869" i="1" s="1"/>
  <c r="C3869" i="1"/>
  <c r="A3870" i="1"/>
  <c r="B3870" i="1" s="1"/>
  <c r="C3870" i="1"/>
  <c r="A3871" i="1"/>
  <c r="B3871" i="1" s="1"/>
  <c r="C3871" i="1"/>
  <c r="A3872" i="1"/>
  <c r="B3872" i="1" s="1"/>
  <c r="C3872" i="1"/>
  <c r="A3873" i="1"/>
  <c r="B3873" i="1" s="1"/>
  <c r="C3873" i="1"/>
  <c r="A3874" i="1"/>
  <c r="B3874" i="1" s="1"/>
  <c r="C3874" i="1"/>
  <c r="A3875" i="1"/>
  <c r="B3875" i="1" s="1"/>
  <c r="C3875" i="1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6" i="4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2" i="1"/>
  <c r="A3" i="1"/>
  <c r="B3" i="1" s="1"/>
  <c r="A4" i="1"/>
  <c r="B4" i="1" s="1"/>
  <c r="A5" i="1"/>
  <c r="B5" i="1" s="1"/>
  <c r="A6" i="1"/>
  <c r="B6" i="1" s="1"/>
  <c r="A7" i="1"/>
  <c r="B7" i="1" s="1"/>
  <c r="A8" i="1"/>
  <c r="B8" i="1" s="1"/>
  <c r="A9" i="1"/>
  <c r="B9" i="1" s="1"/>
  <c r="A10" i="1"/>
  <c r="B10" i="1" s="1"/>
  <c r="A11" i="1"/>
  <c r="B11" i="1" s="1"/>
  <c r="A12" i="1"/>
  <c r="B12" i="1" s="1"/>
  <c r="A13" i="1"/>
  <c r="B13" i="1" s="1"/>
  <c r="A14" i="1"/>
  <c r="B14" i="1" s="1"/>
  <c r="A15" i="1"/>
  <c r="B15" i="1" s="1"/>
  <c r="A16" i="1"/>
  <c r="B16" i="1" s="1"/>
  <c r="A17" i="1"/>
  <c r="B17" i="1" s="1"/>
  <c r="A18" i="1"/>
  <c r="B18" i="1" s="1"/>
  <c r="A19" i="1"/>
  <c r="B19" i="1" s="1"/>
  <c r="A20" i="1"/>
  <c r="B20" i="1" s="1"/>
  <c r="A21" i="1"/>
  <c r="B21" i="1" s="1"/>
  <c r="A22" i="1"/>
  <c r="B22" i="1" s="1"/>
  <c r="A23" i="1"/>
  <c r="B23" i="1" s="1"/>
  <c r="A24" i="1"/>
  <c r="B24" i="1" s="1"/>
  <c r="A25" i="1"/>
  <c r="B25" i="1" s="1"/>
  <c r="A26" i="1"/>
  <c r="B26" i="1" s="1"/>
  <c r="A27" i="1"/>
  <c r="B27" i="1" s="1"/>
  <c r="A28" i="1"/>
  <c r="B28" i="1" s="1"/>
  <c r="A29" i="1"/>
  <c r="B29" i="1" s="1"/>
  <c r="A30" i="1"/>
  <c r="B30" i="1" s="1"/>
  <c r="A31" i="1"/>
  <c r="B31" i="1" s="1"/>
  <c r="A32" i="1"/>
  <c r="B32" i="1" s="1"/>
  <c r="A33" i="1"/>
  <c r="B33" i="1" s="1"/>
  <c r="A34" i="1"/>
  <c r="B34" i="1" s="1"/>
  <c r="A35" i="1"/>
  <c r="B35" i="1" s="1"/>
  <c r="A36" i="1"/>
  <c r="B36" i="1" s="1"/>
  <c r="A37" i="1"/>
  <c r="B37" i="1" s="1"/>
  <c r="A38" i="1"/>
  <c r="B38" i="1" s="1"/>
  <c r="A39" i="1"/>
  <c r="B39" i="1" s="1"/>
  <c r="A40" i="1"/>
  <c r="B40" i="1" s="1"/>
  <c r="A41" i="1"/>
  <c r="B41" i="1" s="1"/>
  <c r="A42" i="1"/>
  <c r="B42" i="1" s="1"/>
  <c r="A43" i="1"/>
  <c r="B43" i="1" s="1"/>
  <c r="A44" i="1"/>
  <c r="B44" i="1" s="1"/>
  <c r="A45" i="1"/>
  <c r="B45" i="1" s="1"/>
  <c r="A46" i="1"/>
  <c r="B46" i="1" s="1"/>
  <c r="A47" i="1"/>
  <c r="B47" i="1" s="1"/>
  <c r="A48" i="1"/>
  <c r="B48" i="1" s="1"/>
  <c r="A49" i="1"/>
  <c r="B49" i="1" s="1"/>
  <c r="A50" i="1"/>
  <c r="B50" i="1" s="1"/>
  <c r="A51" i="1"/>
  <c r="B51" i="1" s="1"/>
  <c r="A52" i="1"/>
  <c r="B52" i="1" s="1"/>
  <c r="A53" i="1"/>
  <c r="B53" i="1" s="1"/>
  <c r="A54" i="1"/>
  <c r="B54" i="1" s="1"/>
  <c r="A55" i="1"/>
  <c r="B55" i="1" s="1"/>
  <c r="A56" i="1"/>
  <c r="B56" i="1" s="1"/>
  <c r="A57" i="1"/>
  <c r="B57" i="1" s="1"/>
  <c r="A58" i="1"/>
  <c r="B58" i="1" s="1"/>
  <c r="A59" i="1"/>
  <c r="B59" i="1" s="1"/>
  <c r="A60" i="1"/>
  <c r="B60" i="1" s="1"/>
  <c r="A61" i="1"/>
  <c r="B61" i="1" s="1"/>
  <c r="A62" i="1"/>
  <c r="B62" i="1" s="1"/>
  <c r="A63" i="1"/>
  <c r="B63" i="1" s="1"/>
  <c r="A64" i="1"/>
  <c r="B64" i="1" s="1"/>
  <c r="A65" i="1"/>
  <c r="B65" i="1" s="1"/>
  <c r="A66" i="1"/>
  <c r="B66" i="1" s="1"/>
  <c r="A67" i="1"/>
  <c r="B67" i="1" s="1"/>
  <c r="A68" i="1"/>
  <c r="B68" i="1" s="1"/>
  <c r="A69" i="1"/>
  <c r="B69" i="1" s="1"/>
  <c r="A70" i="1"/>
  <c r="B70" i="1" s="1"/>
  <c r="A71" i="1"/>
  <c r="B71" i="1" s="1"/>
  <c r="A72" i="1"/>
  <c r="B72" i="1" s="1"/>
  <c r="A73" i="1"/>
  <c r="B73" i="1" s="1"/>
  <c r="A74" i="1"/>
  <c r="B74" i="1" s="1"/>
  <c r="A75" i="1"/>
  <c r="B75" i="1" s="1"/>
  <c r="A76" i="1"/>
  <c r="B76" i="1" s="1"/>
  <c r="A77" i="1"/>
  <c r="B77" i="1" s="1"/>
  <c r="A78" i="1"/>
  <c r="B78" i="1" s="1"/>
  <c r="A79" i="1"/>
  <c r="B79" i="1" s="1"/>
  <c r="A80" i="1"/>
  <c r="B80" i="1" s="1"/>
  <c r="A81" i="1"/>
  <c r="B81" i="1" s="1"/>
  <c r="A82" i="1"/>
  <c r="B82" i="1" s="1"/>
  <c r="A83" i="1"/>
  <c r="B83" i="1" s="1"/>
  <c r="A84" i="1"/>
  <c r="B84" i="1" s="1"/>
  <c r="A85" i="1"/>
  <c r="B85" i="1" s="1"/>
  <c r="A86" i="1"/>
  <c r="B86" i="1" s="1"/>
  <c r="A87" i="1"/>
  <c r="B87" i="1" s="1"/>
  <c r="A88" i="1"/>
  <c r="B88" i="1" s="1"/>
  <c r="A89" i="1"/>
  <c r="B89" i="1" s="1"/>
  <c r="A90" i="1"/>
  <c r="B90" i="1" s="1"/>
  <c r="A91" i="1"/>
  <c r="B91" i="1" s="1"/>
  <c r="A92" i="1"/>
  <c r="B92" i="1" s="1"/>
  <c r="A93" i="1"/>
  <c r="B93" i="1" s="1"/>
  <c r="A94" i="1"/>
  <c r="B94" i="1" s="1"/>
  <c r="A95" i="1"/>
  <c r="B95" i="1" s="1"/>
  <c r="A96" i="1"/>
  <c r="B96" i="1" s="1"/>
  <c r="A97" i="1"/>
  <c r="B97" i="1" s="1"/>
  <c r="A98" i="1"/>
  <c r="B98" i="1" s="1"/>
  <c r="A99" i="1"/>
  <c r="B99" i="1" s="1"/>
  <c r="A100" i="1"/>
  <c r="B100" i="1" s="1"/>
  <c r="A101" i="1"/>
  <c r="B101" i="1" s="1"/>
  <c r="A102" i="1"/>
  <c r="B102" i="1" s="1"/>
  <c r="A103" i="1"/>
  <c r="B103" i="1" s="1"/>
  <c r="A104" i="1"/>
  <c r="B104" i="1" s="1"/>
  <c r="A105" i="1"/>
  <c r="B105" i="1" s="1"/>
  <c r="A106" i="1"/>
  <c r="B106" i="1" s="1"/>
  <c r="A107" i="1"/>
  <c r="B107" i="1" s="1"/>
  <c r="A108" i="1"/>
  <c r="B108" i="1" s="1"/>
  <c r="A109" i="1"/>
  <c r="B109" i="1" s="1"/>
  <c r="A110" i="1"/>
  <c r="B110" i="1" s="1"/>
  <c r="A111" i="1"/>
  <c r="B111" i="1" s="1"/>
  <c r="A112" i="1"/>
  <c r="B112" i="1" s="1"/>
  <c r="A113" i="1"/>
  <c r="B113" i="1" s="1"/>
  <c r="A114" i="1"/>
  <c r="B114" i="1" s="1"/>
  <c r="A115" i="1"/>
  <c r="B115" i="1" s="1"/>
  <c r="A116" i="1"/>
  <c r="B116" i="1" s="1"/>
  <c r="A117" i="1"/>
  <c r="B117" i="1" s="1"/>
  <c r="A118" i="1"/>
  <c r="B118" i="1" s="1"/>
  <c r="A119" i="1"/>
  <c r="B119" i="1" s="1"/>
  <c r="A120" i="1"/>
  <c r="B120" i="1" s="1"/>
  <c r="A121" i="1"/>
  <c r="B121" i="1" s="1"/>
  <c r="A122" i="1"/>
  <c r="B122" i="1" s="1"/>
  <c r="A123" i="1"/>
  <c r="B123" i="1" s="1"/>
  <c r="A124" i="1"/>
  <c r="B124" i="1" s="1"/>
  <c r="A125" i="1"/>
  <c r="B125" i="1" s="1"/>
  <c r="A126" i="1"/>
  <c r="B126" i="1" s="1"/>
  <c r="A127" i="1"/>
  <c r="B127" i="1" s="1"/>
  <c r="A128" i="1"/>
  <c r="B128" i="1" s="1"/>
  <c r="A129" i="1"/>
  <c r="B129" i="1" s="1"/>
  <c r="A130" i="1"/>
  <c r="B130" i="1" s="1"/>
  <c r="A131" i="1"/>
  <c r="B131" i="1" s="1"/>
  <c r="A132" i="1"/>
  <c r="B132" i="1" s="1"/>
  <c r="A133" i="1"/>
  <c r="B133" i="1" s="1"/>
  <c r="A134" i="1"/>
  <c r="B134" i="1" s="1"/>
  <c r="A135" i="1"/>
  <c r="B135" i="1" s="1"/>
  <c r="A136" i="1"/>
  <c r="B136" i="1" s="1"/>
  <c r="A137" i="1"/>
  <c r="B137" i="1" s="1"/>
  <c r="A138" i="1"/>
  <c r="B138" i="1" s="1"/>
  <c r="A139" i="1"/>
  <c r="B139" i="1" s="1"/>
  <c r="A140" i="1"/>
  <c r="B140" i="1" s="1"/>
  <c r="A141" i="1"/>
  <c r="B141" i="1" s="1"/>
  <c r="A142" i="1"/>
  <c r="B142" i="1" s="1"/>
  <c r="A143" i="1"/>
  <c r="B143" i="1" s="1"/>
  <c r="A144" i="1"/>
  <c r="B144" i="1" s="1"/>
  <c r="A145" i="1"/>
  <c r="B145" i="1" s="1"/>
  <c r="A146" i="1"/>
  <c r="B146" i="1" s="1"/>
  <c r="A147" i="1"/>
  <c r="B147" i="1" s="1"/>
  <c r="A148" i="1"/>
  <c r="B148" i="1" s="1"/>
  <c r="A149" i="1"/>
  <c r="B149" i="1" s="1"/>
  <c r="A150" i="1"/>
  <c r="B150" i="1" s="1"/>
  <c r="A151" i="1"/>
  <c r="B151" i="1" s="1"/>
  <c r="A152" i="1"/>
  <c r="B152" i="1" s="1"/>
  <c r="A153" i="1"/>
  <c r="B153" i="1" s="1"/>
  <c r="A154" i="1"/>
  <c r="B154" i="1" s="1"/>
  <c r="A155" i="1"/>
  <c r="B155" i="1" s="1"/>
  <c r="A156" i="1"/>
  <c r="B156" i="1" s="1"/>
  <c r="A157" i="1"/>
  <c r="B157" i="1" s="1"/>
  <c r="A158" i="1"/>
  <c r="B158" i="1" s="1"/>
  <c r="A159" i="1"/>
  <c r="B159" i="1" s="1"/>
  <c r="A160" i="1"/>
  <c r="B160" i="1" s="1"/>
  <c r="A161" i="1"/>
  <c r="B161" i="1" s="1"/>
  <c r="A162" i="1"/>
  <c r="B162" i="1" s="1"/>
  <c r="A163" i="1"/>
  <c r="B163" i="1" s="1"/>
  <c r="A164" i="1"/>
  <c r="B164" i="1" s="1"/>
  <c r="A165" i="1"/>
  <c r="B165" i="1" s="1"/>
  <c r="A166" i="1"/>
  <c r="B166" i="1" s="1"/>
  <c r="A167" i="1"/>
  <c r="B167" i="1" s="1"/>
  <c r="A168" i="1"/>
  <c r="B168" i="1" s="1"/>
  <c r="A169" i="1"/>
  <c r="B169" i="1" s="1"/>
  <c r="A170" i="1"/>
  <c r="B170" i="1" s="1"/>
  <c r="A171" i="1"/>
  <c r="B171" i="1" s="1"/>
  <c r="A172" i="1"/>
  <c r="B172" i="1" s="1"/>
  <c r="A173" i="1"/>
  <c r="B173" i="1" s="1"/>
  <c r="A174" i="1"/>
  <c r="B174" i="1" s="1"/>
  <c r="A175" i="1"/>
  <c r="B175" i="1" s="1"/>
  <c r="A176" i="1"/>
  <c r="B176" i="1" s="1"/>
  <c r="A177" i="1"/>
  <c r="B177" i="1" s="1"/>
  <c r="A178" i="1"/>
  <c r="B178" i="1" s="1"/>
  <c r="A179" i="1"/>
  <c r="B179" i="1" s="1"/>
  <c r="A180" i="1"/>
  <c r="B180" i="1" s="1"/>
  <c r="A181" i="1"/>
  <c r="B181" i="1" s="1"/>
  <c r="A182" i="1"/>
  <c r="B182" i="1" s="1"/>
  <c r="A183" i="1"/>
  <c r="B183" i="1" s="1"/>
  <c r="A184" i="1"/>
  <c r="B184" i="1" s="1"/>
  <c r="A185" i="1"/>
  <c r="B185" i="1" s="1"/>
  <c r="A186" i="1"/>
  <c r="B186" i="1" s="1"/>
  <c r="A187" i="1"/>
  <c r="B187" i="1" s="1"/>
  <c r="A188" i="1"/>
  <c r="B188" i="1" s="1"/>
  <c r="A189" i="1"/>
  <c r="B189" i="1" s="1"/>
  <c r="A190" i="1"/>
  <c r="B190" i="1" s="1"/>
  <c r="A191" i="1"/>
  <c r="B191" i="1" s="1"/>
  <c r="A192" i="1"/>
  <c r="B192" i="1" s="1"/>
  <c r="A193" i="1"/>
  <c r="B193" i="1" s="1"/>
  <c r="A194" i="1"/>
  <c r="B194" i="1" s="1"/>
  <c r="A195" i="1"/>
  <c r="B195" i="1" s="1"/>
  <c r="A196" i="1"/>
  <c r="B196" i="1" s="1"/>
  <c r="A197" i="1"/>
  <c r="B197" i="1" s="1"/>
  <c r="A198" i="1"/>
  <c r="B198" i="1" s="1"/>
  <c r="A199" i="1"/>
  <c r="B199" i="1" s="1"/>
  <c r="A200" i="1"/>
  <c r="B200" i="1" s="1"/>
  <c r="A201" i="1"/>
  <c r="B201" i="1" s="1"/>
  <c r="A202" i="1"/>
  <c r="B202" i="1" s="1"/>
  <c r="A203" i="1"/>
  <c r="B203" i="1" s="1"/>
  <c r="A204" i="1"/>
  <c r="B204" i="1" s="1"/>
  <c r="A205" i="1"/>
  <c r="B205" i="1" s="1"/>
  <c r="A206" i="1"/>
  <c r="B206" i="1" s="1"/>
  <c r="A207" i="1"/>
  <c r="B207" i="1" s="1"/>
  <c r="A208" i="1"/>
  <c r="B208" i="1" s="1"/>
  <c r="A209" i="1"/>
  <c r="B209" i="1" s="1"/>
  <c r="A210" i="1"/>
  <c r="B210" i="1" s="1"/>
  <c r="A211" i="1"/>
  <c r="B211" i="1" s="1"/>
  <c r="A212" i="1"/>
  <c r="B212" i="1" s="1"/>
  <c r="A213" i="1"/>
  <c r="B213" i="1" s="1"/>
  <c r="A214" i="1"/>
  <c r="B214" i="1" s="1"/>
  <c r="A215" i="1"/>
  <c r="B215" i="1" s="1"/>
  <c r="A216" i="1"/>
  <c r="B216" i="1" s="1"/>
  <c r="A217" i="1"/>
  <c r="B217" i="1" s="1"/>
  <c r="A218" i="1"/>
  <c r="B218" i="1" s="1"/>
  <c r="A219" i="1"/>
  <c r="B219" i="1" s="1"/>
  <c r="A220" i="1"/>
  <c r="B220" i="1" s="1"/>
  <c r="A221" i="1"/>
  <c r="B221" i="1" s="1"/>
  <c r="A222" i="1"/>
  <c r="B222" i="1" s="1"/>
  <c r="A223" i="1"/>
  <c r="B223" i="1" s="1"/>
  <c r="A224" i="1"/>
  <c r="B224" i="1" s="1"/>
  <c r="A225" i="1"/>
  <c r="B225" i="1" s="1"/>
  <c r="A226" i="1"/>
  <c r="B226" i="1" s="1"/>
  <c r="A227" i="1"/>
  <c r="B227" i="1" s="1"/>
  <c r="A228" i="1"/>
  <c r="B228" i="1" s="1"/>
  <c r="A229" i="1"/>
  <c r="B229" i="1" s="1"/>
  <c r="A230" i="1"/>
  <c r="B230" i="1" s="1"/>
  <c r="A231" i="1"/>
  <c r="B231" i="1" s="1"/>
  <c r="A232" i="1"/>
  <c r="B232" i="1" s="1"/>
  <c r="A233" i="1"/>
  <c r="B233" i="1" s="1"/>
  <c r="A234" i="1"/>
  <c r="B234" i="1" s="1"/>
  <c r="A235" i="1"/>
  <c r="B235" i="1" s="1"/>
  <c r="A236" i="1"/>
  <c r="B236" i="1" s="1"/>
  <c r="A237" i="1"/>
  <c r="B237" i="1" s="1"/>
  <c r="A238" i="1"/>
  <c r="B238" i="1" s="1"/>
  <c r="A239" i="1"/>
  <c r="B239" i="1" s="1"/>
  <c r="A240" i="1"/>
  <c r="B240" i="1" s="1"/>
  <c r="A241" i="1"/>
  <c r="B241" i="1" s="1"/>
  <c r="A242" i="1"/>
  <c r="B242" i="1" s="1"/>
  <c r="A243" i="1"/>
  <c r="B243" i="1" s="1"/>
  <c r="A244" i="1"/>
  <c r="B244" i="1" s="1"/>
  <c r="A245" i="1"/>
  <c r="B245" i="1" s="1"/>
  <c r="A246" i="1"/>
  <c r="B246" i="1" s="1"/>
  <c r="A247" i="1"/>
  <c r="B247" i="1" s="1"/>
  <c r="A248" i="1"/>
  <c r="B248" i="1" s="1"/>
  <c r="A249" i="1"/>
  <c r="B249" i="1" s="1"/>
  <c r="A250" i="1"/>
  <c r="B250" i="1" s="1"/>
  <c r="A251" i="1"/>
  <c r="B251" i="1" s="1"/>
  <c r="A252" i="1"/>
  <c r="B252" i="1" s="1"/>
  <c r="A253" i="1"/>
  <c r="B253" i="1" s="1"/>
  <c r="A254" i="1"/>
  <c r="B254" i="1" s="1"/>
  <c r="A255" i="1"/>
  <c r="B255" i="1" s="1"/>
  <c r="A256" i="1"/>
  <c r="B256" i="1" s="1"/>
  <c r="A257" i="1"/>
  <c r="B257" i="1" s="1"/>
  <c r="A258" i="1"/>
  <c r="B258" i="1" s="1"/>
  <c r="A259" i="1"/>
  <c r="B259" i="1" s="1"/>
  <c r="A260" i="1"/>
  <c r="B260" i="1" s="1"/>
  <c r="A261" i="1"/>
  <c r="B261" i="1" s="1"/>
  <c r="A262" i="1"/>
  <c r="B262" i="1" s="1"/>
  <c r="A263" i="1"/>
  <c r="B263" i="1" s="1"/>
  <c r="A264" i="1"/>
  <c r="B264" i="1" s="1"/>
  <c r="A265" i="1"/>
  <c r="B265" i="1" s="1"/>
  <c r="A266" i="1"/>
  <c r="B266" i="1" s="1"/>
  <c r="A267" i="1"/>
  <c r="B267" i="1" s="1"/>
  <c r="A268" i="1"/>
  <c r="B268" i="1" s="1"/>
  <c r="A269" i="1"/>
  <c r="B269" i="1" s="1"/>
  <c r="A270" i="1"/>
  <c r="B270" i="1" s="1"/>
  <c r="A271" i="1"/>
  <c r="B271" i="1" s="1"/>
  <c r="A272" i="1"/>
  <c r="B272" i="1" s="1"/>
  <c r="A273" i="1"/>
  <c r="B273" i="1" s="1"/>
  <c r="A274" i="1"/>
  <c r="B274" i="1" s="1"/>
  <c r="A275" i="1"/>
  <c r="B275" i="1" s="1"/>
  <c r="A276" i="1"/>
  <c r="B276" i="1" s="1"/>
  <c r="A277" i="1"/>
  <c r="B277" i="1" s="1"/>
  <c r="A278" i="1"/>
  <c r="B278" i="1" s="1"/>
  <c r="A279" i="1"/>
  <c r="B279" i="1" s="1"/>
  <c r="A280" i="1"/>
  <c r="B280" i="1" s="1"/>
  <c r="A281" i="1"/>
  <c r="B281" i="1" s="1"/>
  <c r="A282" i="1"/>
  <c r="B282" i="1" s="1"/>
  <c r="A283" i="1"/>
  <c r="B283" i="1" s="1"/>
  <c r="A284" i="1"/>
  <c r="B284" i="1" s="1"/>
  <c r="A285" i="1"/>
  <c r="B285" i="1" s="1"/>
  <c r="A286" i="1"/>
  <c r="B286" i="1" s="1"/>
  <c r="A287" i="1"/>
  <c r="B287" i="1" s="1"/>
  <c r="A288" i="1"/>
  <c r="B288" i="1" s="1"/>
  <c r="A289" i="1"/>
  <c r="B289" i="1" s="1"/>
  <c r="A290" i="1"/>
  <c r="B290" i="1" s="1"/>
  <c r="A291" i="1"/>
  <c r="B291" i="1" s="1"/>
  <c r="A292" i="1"/>
  <c r="B292" i="1" s="1"/>
  <c r="A293" i="1"/>
  <c r="B293" i="1" s="1"/>
  <c r="A294" i="1"/>
  <c r="B294" i="1" s="1"/>
  <c r="A295" i="1"/>
  <c r="B295" i="1" s="1"/>
  <c r="A296" i="1"/>
  <c r="B296" i="1" s="1"/>
  <c r="A297" i="1"/>
  <c r="B297" i="1" s="1"/>
  <c r="A298" i="1"/>
  <c r="B298" i="1" s="1"/>
  <c r="A299" i="1"/>
  <c r="B299" i="1" s="1"/>
  <c r="A300" i="1"/>
  <c r="B300" i="1" s="1"/>
  <c r="A301" i="1"/>
  <c r="B301" i="1" s="1"/>
  <c r="A302" i="1"/>
  <c r="B302" i="1" s="1"/>
  <c r="A303" i="1"/>
  <c r="B303" i="1" s="1"/>
  <c r="A304" i="1"/>
  <c r="B304" i="1" s="1"/>
  <c r="A305" i="1"/>
  <c r="B305" i="1" s="1"/>
  <c r="A306" i="1"/>
  <c r="B306" i="1" s="1"/>
  <c r="A307" i="1"/>
  <c r="B307" i="1" s="1"/>
  <c r="A308" i="1"/>
  <c r="B308" i="1" s="1"/>
  <c r="A309" i="1"/>
  <c r="B309" i="1" s="1"/>
  <c r="A310" i="1"/>
  <c r="B310" i="1" s="1"/>
  <c r="A311" i="1"/>
  <c r="B311" i="1" s="1"/>
  <c r="A312" i="1"/>
  <c r="B312" i="1" s="1"/>
  <c r="A313" i="1"/>
  <c r="B313" i="1" s="1"/>
  <c r="A314" i="1"/>
  <c r="B314" i="1" s="1"/>
  <c r="A315" i="1"/>
  <c r="B315" i="1" s="1"/>
  <c r="A316" i="1"/>
  <c r="B316" i="1" s="1"/>
  <c r="A317" i="1"/>
  <c r="B317" i="1" s="1"/>
  <c r="A318" i="1"/>
  <c r="B318" i="1" s="1"/>
  <c r="A319" i="1"/>
  <c r="B319" i="1" s="1"/>
  <c r="A320" i="1"/>
  <c r="B320" i="1" s="1"/>
  <c r="A321" i="1"/>
  <c r="B321" i="1" s="1"/>
  <c r="A322" i="1"/>
  <c r="B322" i="1" s="1"/>
  <c r="A323" i="1"/>
  <c r="B323" i="1" s="1"/>
  <c r="A324" i="1"/>
  <c r="B324" i="1" s="1"/>
  <c r="A325" i="1"/>
  <c r="B325" i="1" s="1"/>
  <c r="A326" i="1"/>
  <c r="B326" i="1" s="1"/>
  <c r="A327" i="1"/>
  <c r="B327" i="1" s="1"/>
  <c r="A328" i="1"/>
  <c r="B328" i="1" s="1"/>
  <c r="A329" i="1"/>
  <c r="B329" i="1" s="1"/>
  <c r="A330" i="1"/>
  <c r="B330" i="1" s="1"/>
  <c r="A331" i="1"/>
  <c r="B331" i="1" s="1"/>
  <c r="A332" i="1"/>
  <c r="B332" i="1" s="1"/>
  <c r="A333" i="1"/>
  <c r="B333" i="1" s="1"/>
  <c r="A334" i="1"/>
  <c r="B334" i="1" s="1"/>
  <c r="A335" i="1"/>
  <c r="B335" i="1" s="1"/>
  <c r="A336" i="1"/>
  <c r="B336" i="1" s="1"/>
  <c r="A337" i="1"/>
  <c r="B337" i="1" s="1"/>
  <c r="A338" i="1"/>
  <c r="B338" i="1" s="1"/>
  <c r="A339" i="1"/>
  <c r="B339" i="1" s="1"/>
  <c r="A340" i="1"/>
  <c r="B340" i="1" s="1"/>
  <c r="A341" i="1"/>
  <c r="B341" i="1" s="1"/>
  <c r="A342" i="1"/>
  <c r="B342" i="1" s="1"/>
  <c r="A343" i="1"/>
  <c r="B343" i="1" s="1"/>
  <c r="A344" i="1"/>
  <c r="B344" i="1" s="1"/>
  <c r="A345" i="1"/>
  <c r="B345" i="1" s="1"/>
  <c r="A346" i="1"/>
  <c r="B346" i="1" s="1"/>
  <c r="A347" i="1"/>
  <c r="B347" i="1" s="1"/>
  <c r="A348" i="1"/>
  <c r="B348" i="1" s="1"/>
  <c r="A349" i="1"/>
  <c r="B349" i="1" s="1"/>
  <c r="A350" i="1"/>
  <c r="B350" i="1" s="1"/>
  <c r="A351" i="1"/>
  <c r="B351" i="1" s="1"/>
  <c r="A352" i="1"/>
  <c r="B352" i="1" s="1"/>
  <c r="A353" i="1"/>
  <c r="B353" i="1" s="1"/>
  <c r="A354" i="1"/>
  <c r="B354" i="1" s="1"/>
  <c r="A355" i="1"/>
  <c r="B355" i="1" s="1"/>
  <c r="A356" i="1"/>
  <c r="B356" i="1" s="1"/>
  <c r="A357" i="1"/>
  <c r="B357" i="1" s="1"/>
  <c r="A358" i="1"/>
  <c r="B358" i="1" s="1"/>
  <c r="A359" i="1"/>
  <c r="B359" i="1" s="1"/>
  <c r="A360" i="1"/>
  <c r="B360" i="1" s="1"/>
  <c r="A361" i="1"/>
  <c r="B361" i="1" s="1"/>
  <c r="A362" i="1"/>
  <c r="B362" i="1" s="1"/>
  <c r="A363" i="1"/>
  <c r="B363" i="1" s="1"/>
  <c r="A364" i="1"/>
  <c r="B364" i="1" s="1"/>
  <c r="A365" i="1"/>
  <c r="B365" i="1" s="1"/>
  <c r="A366" i="1"/>
  <c r="B366" i="1" s="1"/>
  <c r="A367" i="1"/>
  <c r="B367" i="1" s="1"/>
  <c r="A368" i="1"/>
  <c r="B368" i="1" s="1"/>
  <c r="A369" i="1"/>
  <c r="B369" i="1" s="1"/>
  <c r="A370" i="1"/>
  <c r="B370" i="1" s="1"/>
  <c r="A371" i="1"/>
  <c r="B371" i="1" s="1"/>
  <c r="A372" i="1"/>
  <c r="B372" i="1" s="1"/>
  <c r="A373" i="1"/>
  <c r="B373" i="1" s="1"/>
  <c r="A374" i="1"/>
  <c r="B374" i="1" s="1"/>
  <c r="A375" i="1"/>
  <c r="B375" i="1" s="1"/>
  <c r="A376" i="1"/>
  <c r="B376" i="1" s="1"/>
  <c r="A377" i="1"/>
  <c r="B377" i="1" s="1"/>
  <c r="A378" i="1"/>
  <c r="B378" i="1" s="1"/>
  <c r="A379" i="1"/>
  <c r="B379" i="1" s="1"/>
  <c r="A380" i="1"/>
  <c r="B380" i="1" s="1"/>
  <c r="A381" i="1"/>
  <c r="B381" i="1" s="1"/>
  <c r="A382" i="1"/>
  <c r="B382" i="1" s="1"/>
  <c r="A383" i="1"/>
  <c r="B383" i="1" s="1"/>
  <c r="A384" i="1"/>
  <c r="B384" i="1" s="1"/>
  <c r="A385" i="1"/>
  <c r="B385" i="1" s="1"/>
  <c r="A386" i="1"/>
  <c r="B386" i="1" s="1"/>
  <c r="A387" i="1"/>
  <c r="B387" i="1" s="1"/>
  <c r="A388" i="1"/>
  <c r="B388" i="1" s="1"/>
  <c r="A389" i="1"/>
  <c r="B389" i="1" s="1"/>
  <c r="A390" i="1"/>
  <c r="B390" i="1" s="1"/>
  <c r="A391" i="1"/>
  <c r="B391" i="1" s="1"/>
  <c r="A392" i="1"/>
  <c r="B392" i="1" s="1"/>
  <c r="A393" i="1"/>
  <c r="B393" i="1" s="1"/>
  <c r="A394" i="1"/>
  <c r="B394" i="1" s="1"/>
  <c r="A395" i="1"/>
  <c r="B395" i="1" s="1"/>
  <c r="A396" i="1"/>
  <c r="B396" i="1" s="1"/>
  <c r="A397" i="1"/>
  <c r="B397" i="1" s="1"/>
  <c r="A398" i="1"/>
  <c r="B398" i="1" s="1"/>
  <c r="A399" i="1"/>
  <c r="B399" i="1" s="1"/>
  <c r="A400" i="1"/>
  <c r="B400" i="1" s="1"/>
  <c r="A401" i="1"/>
  <c r="B401" i="1" s="1"/>
  <c r="A402" i="1"/>
  <c r="B402" i="1" s="1"/>
  <c r="A403" i="1"/>
  <c r="B403" i="1" s="1"/>
  <c r="A404" i="1"/>
  <c r="B404" i="1" s="1"/>
  <c r="A405" i="1"/>
  <c r="B405" i="1" s="1"/>
  <c r="A406" i="1"/>
  <c r="B406" i="1" s="1"/>
  <c r="A407" i="1"/>
  <c r="B407" i="1" s="1"/>
  <c r="A408" i="1"/>
  <c r="B408" i="1" s="1"/>
  <c r="A409" i="1"/>
  <c r="B409" i="1" s="1"/>
  <c r="A410" i="1"/>
  <c r="B410" i="1" s="1"/>
  <c r="A411" i="1"/>
  <c r="B411" i="1" s="1"/>
  <c r="A412" i="1"/>
  <c r="B412" i="1" s="1"/>
  <c r="A413" i="1"/>
  <c r="B413" i="1" s="1"/>
  <c r="A414" i="1"/>
  <c r="B414" i="1" s="1"/>
  <c r="A415" i="1"/>
  <c r="B415" i="1" s="1"/>
  <c r="A416" i="1"/>
  <c r="B416" i="1" s="1"/>
  <c r="A417" i="1"/>
  <c r="B417" i="1" s="1"/>
  <c r="A418" i="1"/>
  <c r="B418" i="1" s="1"/>
  <c r="A419" i="1"/>
  <c r="B419" i="1" s="1"/>
  <c r="A420" i="1"/>
  <c r="B420" i="1" s="1"/>
  <c r="A421" i="1"/>
  <c r="B421" i="1" s="1"/>
  <c r="A422" i="1"/>
  <c r="B422" i="1" s="1"/>
  <c r="A423" i="1"/>
  <c r="B423" i="1" s="1"/>
  <c r="A424" i="1"/>
  <c r="B424" i="1" s="1"/>
  <c r="A425" i="1"/>
  <c r="B425" i="1" s="1"/>
  <c r="A426" i="1"/>
  <c r="B426" i="1" s="1"/>
  <c r="A427" i="1"/>
  <c r="B427" i="1" s="1"/>
  <c r="A428" i="1"/>
  <c r="B428" i="1" s="1"/>
  <c r="A429" i="1"/>
  <c r="B429" i="1" s="1"/>
  <c r="A430" i="1"/>
  <c r="B430" i="1" s="1"/>
  <c r="A431" i="1"/>
  <c r="B431" i="1" s="1"/>
  <c r="A432" i="1"/>
  <c r="B432" i="1" s="1"/>
  <c r="A433" i="1"/>
  <c r="B433" i="1" s="1"/>
  <c r="A434" i="1"/>
  <c r="B434" i="1" s="1"/>
  <c r="A435" i="1"/>
  <c r="B435" i="1" s="1"/>
  <c r="A436" i="1"/>
  <c r="B436" i="1" s="1"/>
  <c r="A437" i="1"/>
  <c r="B437" i="1" s="1"/>
  <c r="A438" i="1"/>
  <c r="B438" i="1" s="1"/>
  <c r="A439" i="1"/>
  <c r="B439" i="1" s="1"/>
  <c r="A440" i="1"/>
  <c r="B440" i="1" s="1"/>
  <c r="A441" i="1"/>
  <c r="B441" i="1" s="1"/>
  <c r="A442" i="1"/>
  <c r="B442" i="1" s="1"/>
  <c r="A443" i="1"/>
  <c r="B443" i="1" s="1"/>
  <c r="A444" i="1"/>
  <c r="B444" i="1" s="1"/>
  <c r="A445" i="1"/>
  <c r="B445" i="1" s="1"/>
  <c r="A446" i="1"/>
  <c r="B446" i="1" s="1"/>
  <c r="A447" i="1"/>
  <c r="B447" i="1" s="1"/>
  <c r="A448" i="1"/>
  <c r="B448" i="1" s="1"/>
  <c r="A449" i="1"/>
  <c r="B449" i="1" s="1"/>
  <c r="A450" i="1"/>
  <c r="B450" i="1" s="1"/>
  <c r="A451" i="1"/>
  <c r="B451" i="1" s="1"/>
  <c r="A452" i="1"/>
  <c r="B452" i="1" s="1"/>
  <c r="A453" i="1"/>
  <c r="B453" i="1" s="1"/>
  <c r="A454" i="1"/>
  <c r="B454" i="1" s="1"/>
  <c r="A455" i="1"/>
  <c r="B455" i="1" s="1"/>
  <c r="A456" i="1"/>
  <c r="B456" i="1" s="1"/>
  <c r="A457" i="1"/>
  <c r="B457" i="1" s="1"/>
  <c r="A458" i="1"/>
  <c r="B458" i="1" s="1"/>
  <c r="A459" i="1"/>
  <c r="B459" i="1" s="1"/>
  <c r="A460" i="1"/>
  <c r="B460" i="1" s="1"/>
  <c r="A461" i="1"/>
  <c r="B461" i="1" s="1"/>
  <c r="A462" i="1"/>
  <c r="B462" i="1" s="1"/>
  <c r="A463" i="1"/>
  <c r="B463" i="1" s="1"/>
  <c r="A464" i="1"/>
  <c r="B464" i="1" s="1"/>
  <c r="A465" i="1"/>
  <c r="B465" i="1" s="1"/>
  <c r="A466" i="1"/>
  <c r="B466" i="1" s="1"/>
  <c r="A467" i="1"/>
  <c r="B467" i="1" s="1"/>
  <c r="A468" i="1"/>
  <c r="B468" i="1" s="1"/>
  <c r="A469" i="1"/>
  <c r="B469" i="1" s="1"/>
  <c r="A470" i="1"/>
  <c r="B470" i="1" s="1"/>
  <c r="A471" i="1"/>
  <c r="B471" i="1" s="1"/>
  <c r="A472" i="1"/>
  <c r="B472" i="1" s="1"/>
  <c r="A473" i="1"/>
  <c r="B473" i="1" s="1"/>
  <c r="A474" i="1"/>
  <c r="B474" i="1" s="1"/>
  <c r="A475" i="1"/>
  <c r="B475" i="1" s="1"/>
  <c r="A476" i="1"/>
  <c r="B476" i="1" s="1"/>
  <c r="A477" i="1"/>
  <c r="B477" i="1" s="1"/>
  <c r="A478" i="1"/>
  <c r="B478" i="1" s="1"/>
  <c r="A479" i="1"/>
  <c r="B479" i="1" s="1"/>
  <c r="A480" i="1"/>
  <c r="B480" i="1" s="1"/>
  <c r="A481" i="1"/>
  <c r="B481" i="1" s="1"/>
  <c r="A482" i="1"/>
  <c r="B482" i="1" s="1"/>
  <c r="A483" i="1"/>
  <c r="B483" i="1" s="1"/>
  <c r="A484" i="1"/>
  <c r="B484" i="1" s="1"/>
  <c r="A485" i="1"/>
  <c r="B485" i="1" s="1"/>
  <c r="A486" i="1"/>
  <c r="B486" i="1" s="1"/>
  <c r="A487" i="1"/>
  <c r="B487" i="1" s="1"/>
  <c r="A488" i="1"/>
  <c r="B488" i="1" s="1"/>
  <c r="A489" i="1"/>
  <c r="B489" i="1" s="1"/>
  <c r="A490" i="1"/>
  <c r="B490" i="1" s="1"/>
  <c r="A491" i="1"/>
  <c r="B491" i="1" s="1"/>
  <c r="A492" i="1"/>
  <c r="B492" i="1" s="1"/>
  <c r="A493" i="1"/>
  <c r="B493" i="1" s="1"/>
  <c r="A494" i="1"/>
  <c r="B494" i="1" s="1"/>
  <c r="A495" i="1"/>
  <c r="B495" i="1" s="1"/>
  <c r="A496" i="1"/>
  <c r="B496" i="1" s="1"/>
  <c r="A497" i="1"/>
  <c r="B497" i="1" s="1"/>
  <c r="A498" i="1"/>
  <c r="B498" i="1" s="1"/>
  <c r="A499" i="1"/>
  <c r="B499" i="1" s="1"/>
  <c r="A500" i="1"/>
  <c r="B500" i="1" s="1"/>
  <c r="A501" i="1"/>
  <c r="B501" i="1" s="1"/>
  <c r="A502" i="1"/>
  <c r="B502" i="1" s="1"/>
  <c r="A503" i="1"/>
  <c r="B503" i="1" s="1"/>
  <c r="A504" i="1"/>
  <c r="B504" i="1" s="1"/>
  <c r="A505" i="1"/>
  <c r="B505" i="1" s="1"/>
  <c r="A506" i="1"/>
  <c r="B506" i="1" s="1"/>
  <c r="A507" i="1"/>
  <c r="B507" i="1" s="1"/>
  <c r="A508" i="1"/>
  <c r="B508" i="1" s="1"/>
  <c r="A509" i="1"/>
  <c r="B509" i="1" s="1"/>
  <c r="A510" i="1"/>
  <c r="B510" i="1" s="1"/>
  <c r="A511" i="1"/>
  <c r="B511" i="1" s="1"/>
  <c r="A512" i="1"/>
  <c r="B512" i="1" s="1"/>
  <c r="A513" i="1"/>
  <c r="B513" i="1" s="1"/>
  <c r="A514" i="1"/>
  <c r="B514" i="1" s="1"/>
  <c r="A515" i="1"/>
  <c r="B515" i="1" s="1"/>
  <c r="A516" i="1"/>
  <c r="B516" i="1" s="1"/>
  <c r="A517" i="1"/>
  <c r="B517" i="1" s="1"/>
  <c r="A518" i="1"/>
  <c r="B518" i="1" s="1"/>
  <c r="A519" i="1"/>
  <c r="B519" i="1" s="1"/>
  <c r="A520" i="1"/>
  <c r="B520" i="1" s="1"/>
  <c r="A521" i="1"/>
  <c r="B521" i="1" s="1"/>
  <c r="A522" i="1"/>
  <c r="B522" i="1" s="1"/>
  <c r="A523" i="1"/>
  <c r="B523" i="1" s="1"/>
  <c r="A524" i="1"/>
  <c r="B524" i="1" s="1"/>
  <c r="A525" i="1"/>
  <c r="B525" i="1" s="1"/>
  <c r="A526" i="1"/>
  <c r="B526" i="1" s="1"/>
  <c r="A527" i="1"/>
  <c r="B527" i="1" s="1"/>
  <c r="A528" i="1"/>
  <c r="B528" i="1" s="1"/>
  <c r="A529" i="1"/>
  <c r="B529" i="1" s="1"/>
  <c r="A530" i="1"/>
  <c r="B530" i="1" s="1"/>
  <c r="A531" i="1"/>
  <c r="B531" i="1" s="1"/>
  <c r="A532" i="1"/>
  <c r="B532" i="1" s="1"/>
  <c r="A533" i="1"/>
  <c r="B533" i="1" s="1"/>
  <c r="A534" i="1"/>
  <c r="B534" i="1" s="1"/>
  <c r="A535" i="1"/>
  <c r="B535" i="1" s="1"/>
  <c r="A536" i="1"/>
  <c r="B536" i="1" s="1"/>
  <c r="A537" i="1"/>
  <c r="B537" i="1" s="1"/>
  <c r="A538" i="1"/>
  <c r="B538" i="1" s="1"/>
  <c r="A539" i="1"/>
  <c r="B539" i="1" s="1"/>
  <c r="A540" i="1"/>
  <c r="B540" i="1" s="1"/>
  <c r="A541" i="1"/>
  <c r="B541" i="1" s="1"/>
  <c r="A542" i="1"/>
  <c r="B542" i="1" s="1"/>
  <c r="A543" i="1"/>
  <c r="B543" i="1" s="1"/>
  <c r="A544" i="1"/>
  <c r="B544" i="1" s="1"/>
  <c r="A545" i="1"/>
  <c r="B545" i="1" s="1"/>
  <c r="A546" i="1"/>
  <c r="B546" i="1" s="1"/>
  <c r="A547" i="1"/>
  <c r="B547" i="1" s="1"/>
  <c r="A548" i="1"/>
  <c r="B548" i="1" s="1"/>
  <c r="A549" i="1"/>
  <c r="B549" i="1" s="1"/>
  <c r="A550" i="1"/>
  <c r="B550" i="1" s="1"/>
  <c r="A551" i="1"/>
  <c r="B551" i="1" s="1"/>
  <c r="A552" i="1"/>
  <c r="B552" i="1" s="1"/>
  <c r="A553" i="1"/>
  <c r="B553" i="1" s="1"/>
  <c r="A554" i="1"/>
  <c r="B554" i="1" s="1"/>
  <c r="A555" i="1"/>
  <c r="B555" i="1" s="1"/>
  <c r="A556" i="1"/>
  <c r="B556" i="1" s="1"/>
  <c r="A557" i="1"/>
  <c r="B557" i="1" s="1"/>
  <c r="A558" i="1"/>
  <c r="B558" i="1" s="1"/>
  <c r="A559" i="1"/>
  <c r="B559" i="1" s="1"/>
  <c r="A560" i="1"/>
  <c r="B560" i="1" s="1"/>
  <c r="A561" i="1"/>
  <c r="B561" i="1" s="1"/>
  <c r="A562" i="1"/>
  <c r="B562" i="1" s="1"/>
  <c r="A563" i="1"/>
  <c r="B563" i="1" s="1"/>
  <c r="A564" i="1"/>
  <c r="B564" i="1" s="1"/>
  <c r="A565" i="1"/>
  <c r="B565" i="1" s="1"/>
  <c r="A566" i="1"/>
  <c r="B566" i="1" s="1"/>
  <c r="A567" i="1"/>
  <c r="B567" i="1" s="1"/>
  <c r="A568" i="1"/>
  <c r="B568" i="1" s="1"/>
  <c r="A569" i="1"/>
  <c r="B569" i="1" s="1"/>
  <c r="A570" i="1"/>
  <c r="B570" i="1" s="1"/>
  <c r="A571" i="1"/>
  <c r="B571" i="1" s="1"/>
  <c r="A572" i="1"/>
  <c r="B572" i="1" s="1"/>
  <c r="A573" i="1"/>
  <c r="B573" i="1" s="1"/>
  <c r="A574" i="1"/>
  <c r="B574" i="1" s="1"/>
  <c r="A575" i="1"/>
  <c r="B575" i="1" s="1"/>
  <c r="A576" i="1"/>
  <c r="B576" i="1" s="1"/>
  <c r="A577" i="1"/>
  <c r="B577" i="1" s="1"/>
  <c r="A578" i="1"/>
  <c r="B578" i="1" s="1"/>
  <c r="A579" i="1"/>
  <c r="B579" i="1" s="1"/>
  <c r="A580" i="1"/>
  <c r="B580" i="1" s="1"/>
  <c r="A581" i="1"/>
  <c r="B581" i="1" s="1"/>
  <c r="A582" i="1"/>
  <c r="B582" i="1" s="1"/>
  <c r="A583" i="1"/>
  <c r="B583" i="1" s="1"/>
  <c r="A584" i="1"/>
  <c r="B584" i="1" s="1"/>
  <c r="A585" i="1"/>
  <c r="B585" i="1" s="1"/>
  <c r="A586" i="1"/>
  <c r="B586" i="1" s="1"/>
  <c r="A587" i="1"/>
  <c r="B587" i="1" s="1"/>
  <c r="A588" i="1"/>
  <c r="B588" i="1" s="1"/>
  <c r="A589" i="1"/>
  <c r="B589" i="1" s="1"/>
  <c r="A590" i="1"/>
  <c r="B590" i="1" s="1"/>
  <c r="A591" i="1"/>
  <c r="B591" i="1" s="1"/>
  <c r="A592" i="1"/>
  <c r="B592" i="1" s="1"/>
  <c r="A593" i="1"/>
  <c r="B593" i="1" s="1"/>
  <c r="A594" i="1"/>
  <c r="B594" i="1" s="1"/>
  <c r="A595" i="1"/>
  <c r="B595" i="1" s="1"/>
  <c r="A596" i="1"/>
  <c r="B596" i="1" s="1"/>
  <c r="A597" i="1"/>
  <c r="B597" i="1" s="1"/>
  <c r="A598" i="1"/>
  <c r="B598" i="1" s="1"/>
  <c r="A599" i="1"/>
  <c r="B599" i="1" s="1"/>
  <c r="A600" i="1"/>
  <c r="B600" i="1" s="1"/>
  <c r="A601" i="1"/>
  <c r="B601" i="1" s="1"/>
  <c r="A602" i="1"/>
  <c r="B602" i="1" s="1"/>
  <c r="A603" i="1"/>
  <c r="B603" i="1" s="1"/>
  <c r="A604" i="1"/>
  <c r="B604" i="1" s="1"/>
  <c r="A605" i="1"/>
  <c r="B605" i="1" s="1"/>
  <c r="A606" i="1"/>
  <c r="B606" i="1" s="1"/>
  <c r="A607" i="1"/>
  <c r="B607" i="1" s="1"/>
  <c r="A608" i="1"/>
  <c r="B608" i="1" s="1"/>
  <c r="A609" i="1"/>
  <c r="B609" i="1" s="1"/>
  <c r="A610" i="1"/>
  <c r="B610" i="1" s="1"/>
  <c r="A611" i="1"/>
  <c r="B611" i="1" s="1"/>
  <c r="A612" i="1"/>
  <c r="B612" i="1" s="1"/>
  <c r="A613" i="1"/>
  <c r="B613" i="1" s="1"/>
  <c r="A614" i="1"/>
  <c r="B614" i="1" s="1"/>
  <c r="A615" i="1"/>
  <c r="B615" i="1" s="1"/>
  <c r="A616" i="1"/>
  <c r="B616" i="1" s="1"/>
  <c r="A617" i="1"/>
  <c r="B617" i="1" s="1"/>
  <c r="A618" i="1"/>
  <c r="B618" i="1" s="1"/>
  <c r="A619" i="1"/>
  <c r="B619" i="1" s="1"/>
  <c r="A620" i="1"/>
  <c r="B620" i="1" s="1"/>
  <c r="A621" i="1"/>
  <c r="B621" i="1" s="1"/>
  <c r="A622" i="1"/>
  <c r="B622" i="1" s="1"/>
  <c r="A623" i="1"/>
  <c r="B623" i="1" s="1"/>
  <c r="A624" i="1"/>
  <c r="B624" i="1" s="1"/>
  <c r="A625" i="1"/>
  <c r="B625" i="1" s="1"/>
  <c r="A626" i="1"/>
  <c r="B626" i="1" s="1"/>
  <c r="A627" i="1"/>
  <c r="B627" i="1" s="1"/>
  <c r="A628" i="1"/>
  <c r="B628" i="1" s="1"/>
  <c r="A629" i="1"/>
  <c r="B629" i="1" s="1"/>
  <c r="A630" i="1"/>
  <c r="B630" i="1" s="1"/>
  <c r="A631" i="1"/>
  <c r="B631" i="1" s="1"/>
  <c r="A632" i="1"/>
  <c r="B632" i="1" s="1"/>
  <c r="A633" i="1"/>
  <c r="B633" i="1" s="1"/>
  <c r="A634" i="1"/>
  <c r="B634" i="1" s="1"/>
  <c r="A635" i="1"/>
  <c r="B635" i="1" s="1"/>
  <c r="A636" i="1"/>
  <c r="B636" i="1" s="1"/>
  <c r="A637" i="1"/>
  <c r="B637" i="1" s="1"/>
  <c r="A638" i="1"/>
  <c r="B638" i="1" s="1"/>
  <c r="A639" i="1"/>
  <c r="B639" i="1" s="1"/>
  <c r="A640" i="1"/>
  <c r="B640" i="1" s="1"/>
  <c r="A641" i="1"/>
  <c r="B641" i="1" s="1"/>
  <c r="A642" i="1"/>
  <c r="B642" i="1" s="1"/>
  <c r="A643" i="1"/>
  <c r="B643" i="1" s="1"/>
  <c r="A644" i="1"/>
  <c r="B644" i="1" s="1"/>
  <c r="A645" i="1"/>
  <c r="B645" i="1" s="1"/>
  <c r="A646" i="1"/>
  <c r="B646" i="1" s="1"/>
  <c r="A647" i="1"/>
  <c r="B647" i="1" s="1"/>
  <c r="A648" i="1"/>
  <c r="B648" i="1" s="1"/>
  <c r="A649" i="1"/>
  <c r="B649" i="1" s="1"/>
  <c r="A650" i="1"/>
  <c r="B650" i="1" s="1"/>
  <c r="A651" i="1"/>
  <c r="B651" i="1" s="1"/>
  <c r="A652" i="1"/>
  <c r="B652" i="1" s="1"/>
  <c r="A653" i="1"/>
  <c r="B653" i="1" s="1"/>
  <c r="A654" i="1"/>
  <c r="B654" i="1" s="1"/>
  <c r="A655" i="1"/>
  <c r="B655" i="1" s="1"/>
  <c r="A656" i="1"/>
  <c r="B656" i="1" s="1"/>
  <c r="A657" i="1"/>
  <c r="B657" i="1" s="1"/>
  <c r="A658" i="1"/>
  <c r="B658" i="1" s="1"/>
  <c r="A659" i="1"/>
  <c r="B659" i="1" s="1"/>
  <c r="A660" i="1"/>
  <c r="B660" i="1" s="1"/>
  <c r="A661" i="1"/>
  <c r="B661" i="1" s="1"/>
  <c r="A662" i="1"/>
  <c r="B662" i="1" s="1"/>
  <c r="A663" i="1"/>
  <c r="B663" i="1" s="1"/>
  <c r="A664" i="1"/>
  <c r="B664" i="1" s="1"/>
  <c r="A665" i="1"/>
  <c r="B665" i="1" s="1"/>
  <c r="A666" i="1"/>
  <c r="B666" i="1" s="1"/>
  <c r="A667" i="1"/>
  <c r="B667" i="1" s="1"/>
  <c r="A668" i="1"/>
  <c r="B668" i="1" s="1"/>
  <c r="A669" i="1"/>
  <c r="B669" i="1" s="1"/>
  <c r="A670" i="1"/>
  <c r="B670" i="1" s="1"/>
  <c r="A671" i="1"/>
  <c r="B671" i="1" s="1"/>
  <c r="A672" i="1"/>
  <c r="B672" i="1" s="1"/>
  <c r="A673" i="1"/>
  <c r="B673" i="1" s="1"/>
  <c r="A674" i="1"/>
  <c r="B674" i="1" s="1"/>
  <c r="A675" i="1"/>
  <c r="B675" i="1" s="1"/>
  <c r="A676" i="1"/>
  <c r="B676" i="1" s="1"/>
  <c r="A677" i="1"/>
  <c r="B677" i="1" s="1"/>
  <c r="A678" i="1"/>
  <c r="B678" i="1" s="1"/>
  <c r="A679" i="1"/>
  <c r="B679" i="1" s="1"/>
  <c r="A680" i="1"/>
  <c r="B680" i="1" s="1"/>
  <c r="A681" i="1"/>
  <c r="B681" i="1" s="1"/>
  <c r="A682" i="1"/>
  <c r="B682" i="1" s="1"/>
  <c r="A683" i="1"/>
  <c r="B683" i="1" s="1"/>
  <c r="A684" i="1"/>
  <c r="B684" i="1" s="1"/>
  <c r="A685" i="1"/>
  <c r="B685" i="1" s="1"/>
  <c r="A686" i="1"/>
  <c r="B686" i="1" s="1"/>
  <c r="A687" i="1"/>
  <c r="B687" i="1" s="1"/>
  <c r="A688" i="1"/>
  <c r="B688" i="1" s="1"/>
  <c r="A689" i="1"/>
  <c r="B689" i="1" s="1"/>
  <c r="A690" i="1"/>
  <c r="B690" i="1" s="1"/>
  <c r="A691" i="1"/>
  <c r="B691" i="1" s="1"/>
  <c r="A692" i="1"/>
  <c r="B692" i="1" s="1"/>
  <c r="A693" i="1"/>
  <c r="B693" i="1" s="1"/>
  <c r="A694" i="1"/>
  <c r="B694" i="1" s="1"/>
  <c r="A695" i="1"/>
  <c r="B695" i="1" s="1"/>
  <c r="A696" i="1"/>
  <c r="B696" i="1" s="1"/>
  <c r="A697" i="1"/>
  <c r="B697" i="1" s="1"/>
  <c r="A698" i="1"/>
  <c r="B698" i="1" s="1"/>
  <c r="A699" i="1"/>
  <c r="B699" i="1" s="1"/>
  <c r="A700" i="1"/>
  <c r="B700" i="1" s="1"/>
  <c r="A701" i="1"/>
  <c r="B701" i="1" s="1"/>
  <c r="A702" i="1"/>
  <c r="B702" i="1" s="1"/>
  <c r="A703" i="1"/>
  <c r="B703" i="1" s="1"/>
  <c r="A704" i="1"/>
  <c r="B704" i="1" s="1"/>
  <c r="A705" i="1"/>
  <c r="B705" i="1" s="1"/>
  <c r="A706" i="1"/>
  <c r="B706" i="1" s="1"/>
  <c r="A707" i="1"/>
  <c r="B707" i="1" s="1"/>
  <c r="A708" i="1"/>
  <c r="B708" i="1" s="1"/>
  <c r="A709" i="1"/>
  <c r="B709" i="1" s="1"/>
  <c r="A710" i="1"/>
  <c r="B710" i="1" s="1"/>
  <c r="A711" i="1"/>
  <c r="B711" i="1" s="1"/>
  <c r="A712" i="1"/>
  <c r="B712" i="1" s="1"/>
  <c r="A713" i="1"/>
  <c r="B713" i="1" s="1"/>
  <c r="A714" i="1"/>
  <c r="B714" i="1" s="1"/>
  <c r="A715" i="1"/>
  <c r="B715" i="1" s="1"/>
  <c r="A716" i="1"/>
  <c r="B716" i="1" s="1"/>
  <c r="A717" i="1"/>
  <c r="B717" i="1" s="1"/>
  <c r="A718" i="1"/>
  <c r="B718" i="1" s="1"/>
  <c r="A719" i="1"/>
  <c r="B719" i="1" s="1"/>
  <c r="A720" i="1"/>
  <c r="B720" i="1" s="1"/>
  <c r="A721" i="1"/>
  <c r="B721" i="1" s="1"/>
  <c r="A722" i="1"/>
  <c r="B722" i="1" s="1"/>
  <c r="A723" i="1"/>
  <c r="B723" i="1" s="1"/>
  <c r="A724" i="1"/>
  <c r="B724" i="1" s="1"/>
  <c r="A725" i="1"/>
  <c r="B725" i="1" s="1"/>
  <c r="A726" i="1"/>
  <c r="B726" i="1" s="1"/>
  <c r="A727" i="1"/>
  <c r="B727" i="1" s="1"/>
  <c r="A728" i="1"/>
  <c r="B728" i="1" s="1"/>
  <c r="A729" i="1"/>
  <c r="B729" i="1" s="1"/>
  <c r="A730" i="1"/>
  <c r="B730" i="1" s="1"/>
  <c r="A731" i="1"/>
  <c r="B731" i="1" s="1"/>
  <c r="A732" i="1"/>
  <c r="B732" i="1" s="1"/>
  <c r="A733" i="1"/>
  <c r="B733" i="1" s="1"/>
  <c r="A734" i="1"/>
  <c r="B734" i="1" s="1"/>
  <c r="A735" i="1"/>
  <c r="B735" i="1" s="1"/>
  <c r="A736" i="1"/>
  <c r="B736" i="1" s="1"/>
  <c r="A737" i="1"/>
  <c r="B737" i="1" s="1"/>
  <c r="A738" i="1"/>
  <c r="B738" i="1" s="1"/>
  <c r="A739" i="1"/>
  <c r="B739" i="1" s="1"/>
  <c r="A740" i="1"/>
  <c r="B740" i="1" s="1"/>
  <c r="A741" i="1"/>
  <c r="B741" i="1" s="1"/>
  <c r="A742" i="1"/>
  <c r="B742" i="1" s="1"/>
  <c r="A743" i="1"/>
  <c r="B743" i="1" s="1"/>
  <c r="A744" i="1"/>
  <c r="B744" i="1" s="1"/>
  <c r="A745" i="1"/>
  <c r="B745" i="1" s="1"/>
  <c r="A746" i="1"/>
  <c r="B746" i="1" s="1"/>
  <c r="A747" i="1"/>
  <c r="B747" i="1" s="1"/>
  <c r="A748" i="1"/>
  <c r="B748" i="1" s="1"/>
  <c r="A749" i="1"/>
  <c r="B749" i="1" s="1"/>
  <c r="A750" i="1"/>
  <c r="B750" i="1" s="1"/>
  <c r="A751" i="1"/>
  <c r="B751" i="1" s="1"/>
  <c r="A752" i="1"/>
  <c r="B752" i="1" s="1"/>
  <c r="A753" i="1"/>
  <c r="B753" i="1" s="1"/>
  <c r="A754" i="1"/>
  <c r="B754" i="1" s="1"/>
  <c r="A755" i="1"/>
  <c r="B755" i="1" s="1"/>
  <c r="A756" i="1"/>
  <c r="B756" i="1" s="1"/>
  <c r="A757" i="1"/>
  <c r="B757" i="1" s="1"/>
  <c r="A758" i="1"/>
  <c r="B758" i="1" s="1"/>
  <c r="A759" i="1"/>
  <c r="B759" i="1" s="1"/>
  <c r="A760" i="1"/>
  <c r="B760" i="1" s="1"/>
  <c r="A761" i="1"/>
  <c r="B761" i="1" s="1"/>
  <c r="A762" i="1"/>
  <c r="B762" i="1" s="1"/>
  <c r="A763" i="1"/>
  <c r="B763" i="1" s="1"/>
  <c r="A764" i="1"/>
  <c r="B764" i="1" s="1"/>
  <c r="A765" i="1"/>
  <c r="B765" i="1" s="1"/>
  <c r="A766" i="1"/>
  <c r="B766" i="1" s="1"/>
  <c r="A767" i="1"/>
  <c r="B767" i="1" s="1"/>
  <c r="A768" i="1"/>
  <c r="B768" i="1" s="1"/>
  <c r="A769" i="1"/>
  <c r="B769" i="1" s="1"/>
  <c r="A770" i="1"/>
  <c r="B770" i="1" s="1"/>
  <c r="A771" i="1"/>
  <c r="B771" i="1" s="1"/>
  <c r="A772" i="1"/>
  <c r="B772" i="1" s="1"/>
  <c r="A773" i="1"/>
  <c r="B773" i="1" s="1"/>
  <c r="A774" i="1"/>
  <c r="B774" i="1" s="1"/>
  <c r="A775" i="1"/>
  <c r="B775" i="1" s="1"/>
  <c r="A776" i="1"/>
  <c r="B776" i="1" s="1"/>
  <c r="A777" i="1"/>
  <c r="B777" i="1" s="1"/>
  <c r="A778" i="1"/>
  <c r="B778" i="1" s="1"/>
  <c r="A779" i="1"/>
  <c r="B779" i="1" s="1"/>
  <c r="A780" i="1"/>
  <c r="B780" i="1" s="1"/>
  <c r="A781" i="1"/>
  <c r="B781" i="1" s="1"/>
  <c r="A782" i="1"/>
  <c r="B782" i="1" s="1"/>
  <c r="A783" i="1"/>
  <c r="B783" i="1" s="1"/>
  <c r="A784" i="1"/>
  <c r="B784" i="1" s="1"/>
  <c r="A785" i="1"/>
  <c r="B785" i="1" s="1"/>
  <c r="A786" i="1"/>
  <c r="B786" i="1" s="1"/>
  <c r="A787" i="1"/>
  <c r="B787" i="1" s="1"/>
  <c r="A788" i="1"/>
  <c r="B788" i="1" s="1"/>
  <c r="A789" i="1"/>
  <c r="B789" i="1" s="1"/>
  <c r="A790" i="1"/>
  <c r="B790" i="1" s="1"/>
  <c r="A791" i="1"/>
  <c r="B791" i="1" s="1"/>
  <c r="A792" i="1"/>
  <c r="B792" i="1" s="1"/>
  <c r="A793" i="1"/>
  <c r="B793" i="1" s="1"/>
  <c r="A794" i="1"/>
  <c r="B794" i="1" s="1"/>
  <c r="A795" i="1"/>
  <c r="B795" i="1" s="1"/>
  <c r="A796" i="1"/>
  <c r="B796" i="1" s="1"/>
  <c r="A797" i="1"/>
  <c r="B797" i="1" s="1"/>
  <c r="A798" i="1"/>
  <c r="B798" i="1" s="1"/>
  <c r="A799" i="1"/>
  <c r="B799" i="1" s="1"/>
  <c r="A800" i="1"/>
  <c r="B800" i="1" s="1"/>
  <c r="A801" i="1"/>
  <c r="B801" i="1" s="1"/>
  <c r="A802" i="1"/>
  <c r="B802" i="1" s="1"/>
  <c r="A803" i="1"/>
  <c r="B803" i="1" s="1"/>
  <c r="A804" i="1"/>
  <c r="B804" i="1" s="1"/>
  <c r="A805" i="1"/>
  <c r="B805" i="1" s="1"/>
  <c r="A806" i="1"/>
  <c r="B806" i="1" s="1"/>
  <c r="A807" i="1"/>
  <c r="B807" i="1" s="1"/>
  <c r="A808" i="1"/>
  <c r="B808" i="1" s="1"/>
  <c r="A809" i="1"/>
  <c r="B809" i="1" s="1"/>
  <c r="A810" i="1"/>
  <c r="B810" i="1" s="1"/>
  <c r="A811" i="1"/>
  <c r="B811" i="1" s="1"/>
  <c r="A812" i="1"/>
  <c r="B812" i="1" s="1"/>
  <c r="A813" i="1"/>
  <c r="B813" i="1" s="1"/>
  <c r="A814" i="1"/>
  <c r="B814" i="1" s="1"/>
  <c r="A815" i="1"/>
  <c r="B815" i="1" s="1"/>
  <c r="A816" i="1"/>
  <c r="B816" i="1" s="1"/>
  <c r="A817" i="1"/>
  <c r="B817" i="1" s="1"/>
  <c r="A818" i="1"/>
  <c r="B818" i="1" s="1"/>
  <c r="A819" i="1"/>
  <c r="B819" i="1" s="1"/>
  <c r="A820" i="1"/>
  <c r="B820" i="1" s="1"/>
  <c r="A821" i="1"/>
  <c r="B821" i="1" s="1"/>
  <c r="A822" i="1"/>
  <c r="B822" i="1" s="1"/>
  <c r="A823" i="1"/>
  <c r="B823" i="1" s="1"/>
  <c r="A824" i="1"/>
  <c r="B824" i="1" s="1"/>
  <c r="A825" i="1"/>
  <c r="B825" i="1" s="1"/>
  <c r="A826" i="1"/>
  <c r="B826" i="1" s="1"/>
  <c r="A827" i="1"/>
  <c r="B827" i="1" s="1"/>
  <c r="A828" i="1"/>
  <c r="B828" i="1" s="1"/>
  <c r="A829" i="1"/>
  <c r="B829" i="1" s="1"/>
  <c r="A830" i="1"/>
  <c r="B830" i="1" s="1"/>
  <c r="A831" i="1"/>
  <c r="B831" i="1" s="1"/>
  <c r="A832" i="1"/>
  <c r="B832" i="1" s="1"/>
  <c r="A833" i="1"/>
  <c r="B833" i="1" s="1"/>
  <c r="A834" i="1"/>
  <c r="B834" i="1" s="1"/>
  <c r="A835" i="1"/>
  <c r="B835" i="1" s="1"/>
  <c r="A836" i="1"/>
  <c r="B836" i="1" s="1"/>
  <c r="A837" i="1"/>
  <c r="B837" i="1" s="1"/>
  <c r="A838" i="1"/>
  <c r="B838" i="1" s="1"/>
  <c r="A839" i="1"/>
  <c r="B839" i="1" s="1"/>
  <c r="A840" i="1"/>
  <c r="B840" i="1" s="1"/>
  <c r="A841" i="1"/>
  <c r="B841" i="1" s="1"/>
  <c r="A842" i="1"/>
  <c r="B842" i="1" s="1"/>
  <c r="A843" i="1"/>
  <c r="B843" i="1" s="1"/>
  <c r="A844" i="1"/>
  <c r="B844" i="1" s="1"/>
  <c r="A845" i="1"/>
  <c r="B845" i="1" s="1"/>
  <c r="A846" i="1"/>
  <c r="B846" i="1" s="1"/>
  <c r="A847" i="1"/>
  <c r="B847" i="1" s="1"/>
  <c r="A848" i="1"/>
  <c r="B848" i="1" s="1"/>
  <c r="A849" i="1"/>
  <c r="B849" i="1" s="1"/>
  <c r="A850" i="1"/>
  <c r="B850" i="1" s="1"/>
  <c r="A851" i="1"/>
  <c r="B851" i="1" s="1"/>
  <c r="A852" i="1"/>
  <c r="B852" i="1" s="1"/>
  <c r="A853" i="1"/>
  <c r="B853" i="1" s="1"/>
  <c r="A854" i="1"/>
  <c r="B854" i="1" s="1"/>
  <c r="A855" i="1"/>
  <c r="B855" i="1" s="1"/>
  <c r="A856" i="1"/>
  <c r="B856" i="1" s="1"/>
  <c r="A857" i="1"/>
  <c r="B857" i="1" s="1"/>
  <c r="A858" i="1"/>
  <c r="B858" i="1" s="1"/>
  <c r="A859" i="1"/>
  <c r="B859" i="1" s="1"/>
  <c r="A860" i="1"/>
  <c r="B860" i="1" s="1"/>
  <c r="A861" i="1"/>
  <c r="B861" i="1" s="1"/>
  <c r="A862" i="1"/>
  <c r="B862" i="1" s="1"/>
  <c r="A863" i="1"/>
  <c r="B863" i="1" s="1"/>
  <c r="A864" i="1"/>
  <c r="B864" i="1" s="1"/>
  <c r="A865" i="1"/>
  <c r="B865" i="1" s="1"/>
  <c r="A866" i="1"/>
  <c r="B866" i="1" s="1"/>
  <c r="A867" i="1"/>
  <c r="B867" i="1" s="1"/>
  <c r="A868" i="1"/>
  <c r="B868" i="1" s="1"/>
  <c r="A869" i="1"/>
  <c r="B869" i="1" s="1"/>
  <c r="A870" i="1"/>
  <c r="B870" i="1" s="1"/>
  <c r="A871" i="1"/>
  <c r="B871" i="1" s="1"/>
  <c r="A872" i="1"/>
  <c r="B872" i="1" s="1"/>
  <c r="A873" i="1"/>
  <c r="B873" i="1" s="1"/>
  <c r="A874" i="1"/>
  <c r="B874" i="1" s="1"/>
  <c r="A875" i="1"/>
  <c r="B875" i="1" s="1"/>
  <c r="A876" i="1"/>
  <c r="B876" i="1" s="1"/>
  <c r="A877" i="1"/>
  <c r="B877" i="1" s="1"/>
  <c r="A878" i="1"/>
  <c r="B878" i="1" s="1"/>
  <c r="A879" i="1"/>
  <c r="B879" i="1" s="1"/>
  <c r="A880" i="1"/>
  <c r="B880" i="1" s="1"/>
  <c r="A881" i="1"/>
  <c r="B881" i="1" s="1"/>
  <c r="A882" i="1"/>
  <c r="B882" i="1" s="1"/>
  <c r="A883" i="1"/>
  <c r="B883" i="1" s="1"/>
  <c r="A884" i="1"/>
  <c r="B884" i="1" s="1"/>
  <c r="A885" i="1"/>
  <c r="B885" i="1" s="1"/>
  <c r="A886" i="1"/>
  <c r="B886" i="1" s="1"/>
  <c r="A887" i="1"/>
  <c r="B887" i="1" s="1"/>
  <c r="A888" i="1"/>
  <c r="B888" i="1" s="1"/>
  <c r="A889" i="1"/>
  <c r="B889" i="1" s="1"/>
  <c r="A890" i="1"/>
  <c r="B890" i="1" s="1"/>
  <c r="A891" i="1"/>
  <c r="B891" i="1" s="1"/>
  <c r="A892" i="1"/>
  <c r="B892" i="1" s="1"/>
  <c r="A893" i="1"/>
  <c r="B893" i="1" s="1"/>
  <c r="A894" i="1"/>
  <c r="B894" i="1" s="1"/>
  <c r="A895" i="1"/>
  <c r="B895" i="1" s="1"/>
  <c r="A896" i="1"/>
  <c r="B896" i="1" s="1"/>
  <c r="A897" i="1"/>
  <c r="B897" i="1" s="1"/>
  <c r="A898" i="1"/>
  <c r="B898" i="1" s="1"/>
  <c r="A899" i="1"/>
  <c r="B899" i="1" s="1"/>
  <c r="A900" i="1"/>
  <c r="B900" i="1" s="1"/>
  <c r="A901" i="1"/>
  <c r="B901" i="1" s="1"/>
  <c r="A902" i="1"/>
  <c r="B902" i="1" s="1"/>
  <c r="A903" i="1"/>
  <c r="B903" i="1" s="1"/>
  <c r="A904" i="1"/>
  <c r="B904" i="1" s="1"/>
  <c r="A905" i="1"/>
  <c r="B905" i="1" s="1"/>
  <c r="A906" i="1"/>
  <c r="B906" i="1" s="1"/>
  <c r="A907" i="1"/>
  <c r="B907" i="1" s="1"/>
  <c r="A908" i="1"/>
  <c r="B908" i="1" s="1"/>
  <c r="A909" i="1"/>
  <c r="B909" i="1" s="1"/>
  <c r="A910" i="1"/>
  <c r="B910" i="1" s="1"/>
  <c r="A911" i="1"/>
  <c r="B911" i="1" s="1"/>
  <c r="A912" i="1"/>
  <c r="B912" i="1" s="1"/>
  <c r="A913" i="1"/>
  <c r="B913" i="1" s="1"/>
  <c r="A914" i="1"/>
  <c r="B914" i="1" s="1"/>
  <c r="A915" i="1"/>
  <c r="B915" i="1" s="1"/>
  <c r="A916" i="1"/>
  <c r="B916" i="1" s="1"/>
  <c r="A917" i="1"/>
  <c r="B917" i="1" s="1"/>
  <c r="A918" i="1"/>
  <c r="B918" i="1" s="1"/>
  <c r="A919" i="1"/>
  <c r="B919" i="1" s="1"/>
  <c r="A920" i="1"/>
  <c r="B920" i="1" s="1"/>
  <c r="A921" i="1"/>
  <c r="B921" i="1" s="1"/>
  <c r="A922" i="1"/>
  <c r="B922" i="1" s="1"/>
  <c r="A923" i="1"/>
  <c r="B923" i="1" s="1"/>
  <c r="A924" i="1"/>
  <c r="B924" i="1" s="1"/>
  <c r="A925" i="1"/>
  <c r="B925" i="1" s="1"/>
  <c r="A926" i="1"/>
  <c r="B926" i="1" s="1"/>
  <c r="A927" i="1"/>
  <c r="B927" i="1" s="1"/>
  <c r="A928" i="1"/>
  <c r="B928" i="1" s="1"/>
  <c r="A929" i="1"/>
  <c r="B929" i="1" s="1"/>
  <c r="A930" i="1"/>
  <c r="B930" i="1" s="1"/>
  <c r="A931" i="1"/>
  <c r="B931" i="1" s="1"/>
  <c r="A932" i="1"/>
  <c r="B932" i="1" s="1"/>
  <c r="A933" i="1"/>
  <c r="B933" i="1" s="1"/>
  <c r="A934" i="1"/>
  <c r="B934" i="1" s="1"/>
  <c r="A935" i="1"/>
  <c r="B935" i="1" s="1"/>
  <c r="A936" i="1"/>
  <c r="B936" i="1" s="1"/>
  <c r="A937" i="1"/>
  <c r="B937" i="1" s="1"/>
  <c r="A938" i="1"/>
  <c r="B938" i="1" s="1"/>
  <c r="A939" i="1"/>
  <c r="B939" i="1" s="1"/>
  <c r="A940" i="1"/>
  <c r="B940" i="1" s="1"/>
  <c r="A941" i="1"/>
  <c r="B941" i="1" s="1"/>
  <c r="A942" i="1"/>
  <c r="B942" i="1" s="1"/>
  <c r="A943" i="1"/>
  <c r="B943" i="1" s="1"/>
  <c r="A944" i="1"/>
  <c r="B944" i="1" s="1"/>
  <c r="A945" i="1"/>
  <c r="B945" i="1" s="1"/>
  <c r="A946" i="1"/>
  <c r="B946" i="1" s="1"/>
  <c r="A947" i="1"/>
  <c r="B947" i="1" s="1"/>
  <c r="A948" i="1"/>
  <c r="B948" i="1" s="1"/>
  <c r="A949" i="1"/>
  <c r="B949" i="1" s="1"/>
  <c r="A950" i="1"/>
  <c r="B950" i="1" s="1"/>
  <c r="A951" i="1"/>
  <c r="B951" i="1" s="1"/>
  <c r="A952" i="1"/>
  <c r="B952" i="1" s="1"/>
  <c r="A953" i="1"/>
  <c r="B953" i="1" s="1"/>
  <c r="A954" i="1"/>
  <c r="B954" i="1" s="1"/>
  <c r="A955" i="1"/>
  <c r="B955" i="1" s="1"/>
  <c r="A956" i="1"/>
  <c r="B956" i="1" s="1"/>
  <c r="A957" i="1"/>
  <c r="B957" i="1" s="1"/>
  <c r="A958" i="1"/>
  <c r="B958" i="1" s="1"/>
  <c r="A959" i="1"/>
  <c r="B959" i="1" s="1"/>
  <c r="A960" i="1"/>
  <c r="B960" i="1" s="1"/>
  <c r="A961" i="1"/>
  <c r="B961" i="1" s="1"/>
  <c r="A962" i="1"/>
  <c r="B962" i="1" s="1"/>
  <c r="A963" i="1"/>
  <c r="B963" i="1" s="1"/>
  <c r="A964" i="1"/>
  <c r="B964" i="1" s="1"/>
  <c r="A965" i="1"/>
  <c r="B965" i="1" s="1"/>
  <c r="A966" i="1"/>
  <c r="B966" i="1" s="1"/>
  <c r="A967" i="1"/>
  <c r="B967" i="1" s="1"/>
  <c r="A968" i="1"/>
  <c r="B968" i="1" s="1"/>
  <c r="A969" i="1"/>
  <c r="B969" i="1" s="1"/>
  <c r="A970" i="1"/>
  <c r="B970" i="1" s="1"/>
  <c r="A971" i="1"/>
  <c r="B971" i="1" s="1"/>
  <c r="A972" i="1"/>
  <c r="B972" i="1" s="1"/>
  <c r="A973" i="1"/>
  <c r="B973" i="1" s="1"/>
  <c r="A974" i="1"/>
  <c r="B974" i="1" s="1"/>
  <c r="A975" i="1"/>
  <c r="B975" i="1" s="1"/>
  <c r="A976" i="1"/>
  <c r="B976" i="1" s="1"/>
  <c r="A977" i="1"/>
  <c r="B977" i="1" s="1"/>
  <c r="A978" i="1"/>
  <c r="B978" i="1" s="1"/>
  <c r="A979" i="1"/>
  <c r="B979" i="1" s="1"/>
  <c r="A980" i="1"/>
  <c r="B980" i="1" s="1"/>
  <c r="A981" i="1"/>
  <c r="B981" i="1" s="1"/>
  <c r="A982" i="1"/>
  <c r="B982" i="1" s="1"/>
  <c r="A983" i="1"/>
  <c r="B983" i="1" s="1"/>
  <c r="A984" i="1"/>
  <c r="B984" i="1" s="1"/>
  <c r="A985" i="1"/>
  <c r="B985" i="1" s="1"/>
  <c r="A986" i="1"/>
  <c r="B986" i="1" s="1"/>
  <c r="A987" i="1"/>
  <c r="B987" i="1" s="1"/>
  <c r="A988" i="1"/>
  <c r="B988" i="1" s="1"/>
  <c r="A989" i="1"/>
  <c r="B989" i="1" s="1"/>
  <c r="A990" i="1"/>
  <c r="B990" i="1" s="1"/>
  <c r="A991" i="1"/>
  <c r="B991" i="1" s="1"/>
  <c r="A992" i="1"/>
  <c r="B992" i="1" s="1"/>
  <c r="A993" i="1"/>
  <c r="B993" i="1" s="1"/>
  <c r="A994" i="1"/>
  <c r="B994" i="1" s="1"/>
  <c r="A995" i="1"/>
  <c r="B995" i="1" s="1"/>
  <c r="A996" i="1"/>
  <c r="B996" i="1" s="1"/>
  <c r="A997" i="1"/>
  <c r="B997" i="1" s="1"/>
  <c r="A998" i="1"/>
  <c r="B998" i="1" s="1"/>
  <c r="A999" i="1"/>
  <c r="B999" i="1" s="1"/>
  <c r="A1000" i="1"/>
  <c r="B1000" i="1" s="1"/>
  <c r="A1001" i="1"/>
  <c r="B1001" i="1" s="1"/>
  <c r="A1002" i="1"/>
  <c r="B1002" i="1" s="1"/>
  <c r="A1003" i="1"/>
  <c r="B1003" i="1" s="1"/>
  <c r="A1004" i="1"/>
  <c r="B1004" i="1" s="1"/>
  <c r="A1005" i="1"/>
  <c r="B1005" i="1" s="1"/>
  <c r="A1006" i="1"/>
  <c r="B1006" i="1" s="1"/>
  <c r="A1007" i="1"/>
  <c r="B1007" i="1" s="1"/>
  <c r="A1008" i="1"/>
  <c r="B1008" i="1" s="1"/>
  <c r="A1009" i="1"/>
  <c r="B1009" i="1" s="1"/>
  <c r="A1010" i="1"/>
  <c r="B1010" i="1" s="1"/>
  <c r="A1011" i="1"/>
  <c r="B1011" i="1" s="1"/>
  <c r="A1012" i="1"/>
  <c r="B1012" i="1" s="1"/>
  <c r="A1013" i="1"/>
  <c r="B1013" i="1" s="1"/>
  <c r="A1014" i="1"/>
  <c r="B1014" i="1" s="1"/>
  <c r="A1015" i="1"/>
  <c r="B1015" i="1" s="1"/>
  <c r="A1016" i="1"/>
  <c r="B1016" i="1" s="1"/>
  <c r="A1017" i="1"/>
  <c r="B1017" i="1" s="1"/>
  <c r="A1018" i="1"/>
  <c r="B1018" i="1" s="1"/>
  <c r="A1019" i="1"/>
  <c r="B1019" i="1" s="1"/>
  <c r="A1020" i="1"/>
  <c r="B1020" i="1" s="1"/>
  <c r="A1021" i="1"/>
  <c r="B1021" i="1" s="1"/>
  <c r="A1022" i="1"/>
  <c r="B1022" i="1" s="1"/>
  <c r="A1023" i="1"/>
  <c r="B1023" i="1" s="1"/>
  <c r="A1024" i="1"/>
  <c r="B1024" i="1" s="1"/>
  <c r="A1025" i="1"/>
  <c r="B1025" i="1" s="1"/>
  <c r="A1026" i="1"/>
  <c r="B1026" i="1" s="1"/>
  <c r="A1027" i="1"/>
  <c r="B1027" i="1" s="1"/>
  <c r="A1028" i="1"/>
  <c r="B1028" i="1" s="1"/>
  <c r="A1029" i="1"/>
  <c r="B1029" i="1" s="1"/>
  <c r="A1030" i="1"/>
  <c r="B1030" i="1" s="1"/>
  <c r="A1031" i="1"/>
  <c r="B1031" i="1" s="1"/>
  <c r="A1032" i="1"/>
  <c r="B1032" i="1" s="1"/>
  <c r="A1033" i="1"/>
  <c r="B1033" i="1" s="1"/>
  <c r="A1034" i="1"/>
  <c r="B1034" i="1" s="1"/>
  <c r="A1035" i="1"/>
  <c r="B1035" i="1" s="1"/>
  <c r="A1036" i="1"/>
  <c r="B1036" i="1" s="1"/>
  <c r="A1037" i="1"/>
  <c r="B1037" i="1" s="1"/>
  <c r="A1038" i="1"/>
  <c r="B1038" i="1" s="1"/>
  <c r="A1039" i="1"/>
  <c r="B1039" i="1" s="1"/>
  <c r="A1040" i="1"/>
  <c r="B1040" i="1" s="1"/>
  <c r="A1041" i="1"/>
  <c r="B1041" i="1" s="1"/>
  <c r="A1042" i="1"/>
  <c r="B1042" i="1" s="1"/>
  <c r="A1043" i="1"/>
  <c r="B1043" i="1" s="1"/>
  <c r="A1044" i="1"/>
  <c r="B1044" i="1" s="1"/>
  <c r="A1045" i="1"/>
  <c r="B1045" i="1" s="1"/>
  <c r="A1046" i="1"/>
  <c r="B1046" i="1" s="1"/>
  <c r="A1047" i="1"/>
  <c r="B1047" i="1" s="1"/>
  <c r="A1048" i="1"/>
  <c r="B1048" i="1" s="1"/>
  <c r="A1049" i="1"/>
  <c r="B1049" i="1" s="1"/>
  <c r="A1050" i="1"/>
  <c r="B1050" i="1" s="1"/>
  <c r="A1051" i="1"/>
  <c r="B1051" i="1" s="1"/>
  <c r="A1052" i="1"/>
  <c r="B1052" i="1" s="1"/>
  <c r="A1053" i="1"/>
  <c r="B1053" i="1" s="1"/>
  <c r="A1054" i="1"/>
  <c r="B1054" i="1" s="1"/>
  <c r="A1055" i="1"/>
  <c r="B1055" i="1" s="1"/>
  <c r="A1056" i="1"/>
  <c r="B1056" i="1" s="1"/>
  <c r="A1057" i="1"/>
  <c r="B1057" i="1" s="1"/>
  <c r="A1058" i="1"/>
  <c r="B1058" i="1" s="1"/>
  <c r="A1059" i="1"/>
  <c r="B1059" i="1" s="1"/>
  <c r="A1060" i="1"/>
  <c r="B1060" i="1" s="1"/>
  <c r="A1061" i="1"/>
  <c r="B1061" i="1" s="1"/>
  <c r="A1062" i="1"/>
  <c r="B1062" i="1" s="1"/>
  <c r="A1063" i="1"/>
  <c r="B1063" i="1" s="1"/>
  <c r="A1064" i="1"/>
  <c r="B1064" i="1" s="1"/>
  <c r="A1065" i="1"/>
  <c r="B1065" i="1" s="1"/>
  <c r="A1066" i="1"/>
  <c r="B1066" i="1" s="1"/>
  <c r="A1067" i="1"/>
  <c r="B1067" i="1" s="1"/>
  <c r="A1068" i="1"/>
  <c r="B1068" i="1" s="1"/>
  <c r="A1069" i="1"/>
  <c r="B1069" i="1" s="1"/>
  <c r="A1070" i="1"/>
  <c r="B1070" i="1" s="1"/>
  <c r="A1071" i="1"/>
  <c r="B1071" i="1" s="1"/>
  <c r="A1072" i="1"/>
  <c r="B1072" i="1" s="1"/>
  <c r="A1073" i="1"/>
  <c r="B1073" i="1" s="1"/>
  <c r="A1074" i="1"/>
  <c r="B1074" i="1" s="1"/>
  <c r="A1075" i="1"/>
  <c r="B1075" i="1" s="1"/>
  <c r="A1076" i="1"/>
  <c r="B1076" i="1" s="1"/>
  <c r="A1077" i="1"/>
  <c r="B1077" i="1" s="1"/>
  <c r="A1078" i="1"/>
  <c r="B1078" i="1" s="1"/>
  <c r="A1079" i="1"/>
  <c r="B1079" i="1" s="1"/>
  <c r="A1080" i="1"/>
  <c r="B1080" i="1" s="1"/>
  <c r="A1081" i="1"/>
  <c r="B1081" i="1" s="1"/>
  <c r="A1082" i="1"/>
  <c r="B1082" i="1" s="1"/>
  <c r="A1083" i="1"/>
  <c r="B1083" i="1" s="1"/>
  <c r="A1084" i="1"/>
  <c r="B1084" i="1" s="1"/>
  <c r="A1085" i="1"/>
  <c r="B1085" i="1" s="1"/>
  <c r="A1086" i="1"/>
  <c r="B1086" i="1" s="1"/>
  <c r="A1087" i="1"/>
  <c r="B1087" i="1" s="1"/>
  <c r="A1088" i="1"/>
  <c r="B1088" i="1" s="1"/>
  <c r="A1089" i="1"/>
  <c r="B1089" i="1" s="1"/>
  <c r="A1090" i="1"/>
  <c r="B1090" i="1" s="1"/>
  <c r="A1091" i="1"/>
  <c r="B1091" i="1" s="1"/>
  <c r="A1092" i="1"/>
  <c r="B1092" i="1" s="1"/>
  <c r="A1093" i="1"/>
  <c r="B1093" i="1" s="1"/>
  <c r="A1094" i="1"/>
  <c r="B1094" i="1" s="1"/>
  <c r="A1095" i="1"/>
  <c r="B1095" i="1" s="1"/>
  <c r="A1096" i="1"/>
  <c r="B1096" i="1" s="1"/>
  <c r="A1097" i="1"/>
  <c r="B1097" i="1" s="1"/>
  <c r="A1098" i="1"/>
  <c r="B1098" i="1" s="1"/>
  <c r="A1099" i="1"/>
  <c r="B1099" i="1" s="1"/>
  <c r="A1100" i="1"/>
  <c r="B1100" i="1" s="1"/>
  <c r="A1101" i="1"/>
  <c r="B1101" i="1" s="1"/>
  <c r="A1102" i="1"/>
  <c r="B1102" i="1" s="1"/>
  <c r="A1103" i="1"/>
  <c r="B1103" i="1" s="1"/>
  <c r="A1104" i="1"/>
  <c r="B1104" i="1" s="1"/>
  <c r="A1105" i="1"/>
  <c r="B1105" i="1" s="1"/>
  <c r="A1106" i="1"/>
  <c r="B1106" i="1" s="1"/>
  <c r="A1107" i="1"/>
  <c r="B1107" i="1" s="1"/>
  <c r="A1108" i="1"/>
  <c r="B1108" i="1" s="1"/>
  <c r="A1109" i="1"/>
  <c r="B1109" i="1" s="1"/>
  <c r="A1110" i="1"/>
  <c r="B1110" i="1" s="1"/>
  <c r="A1111" i="1"/>
  <c r="B1111" i="1" s="1"/>
  <c r="A1112" i="1"/>
  <c r="B1112" i="1" s="1"/>
  <c r="A1113" i="1"/>
  <c r="B1113" i="1" s="1"/>
  <c r="A1114" i="1"/>
  <c r="B1114" i="1" s="1"/>
  <c r="A1115" i="1"/>
  <c r="B1115" i="1" s="1"/>
  <c r="A1116" i="1"/>
  <c r="B1116" i="1" s="1"/>
  <c r="A1117" i="1"/>
  <c r="B1117" i="1" s="1"/>
  <c r="A1118" i="1"/>
  <c r="B1118" i="1" s="1"/>
  <c r="A1119" i="1"/>
  <c r="B1119" i="1" s="1"/>
  <c r="A1120" i="1"/>
  <c r="B1120" i="1" s="1"/>
  <c r="A1121" i="1"/>
  <c r="B1121" i="1" s="1"/>
  <c r="A1122" i="1"/>
  <c r="B1122" i="1" s="1"/>
  <c r="A1123" i="1"/>
  <c r="B1123" i="1" s="1"/>
  <c r="A1124" i="1"/>
  <c r="B1124" i="1" s="1"/>
  <c r="A1125" i="1"/>
  <c r="B1125" i="1" s="1"/>
  <c r="A1126" i="1"/>
  <c r="B1126" i="1" s="1"/>
  <c r="A1127" i="1"/>
  <c r="B1127" i="1" s="1"/>
  <c r="A1128" i="1"/>
  <c r="B1128" i="1" s="1"/>
  <c r="A1129" i="1"/>
  <c r="B1129" i="1" s="1"/>
  <c r="A1130" i="1"/>
  <c r="B1130" i="1" s="1"/>
  <c r="A1131" i="1"/>
  <c r="B1131" i="1" s="1"/>
  <c r="A1132" i="1"/>
  <c r="B1132" i="1" s="1"/>
  <c r="A1133" i="1"/>
  <c r="B1133" i="1" s="1"/>
  <c r="A1134" i="1"/>
  <c r="B1134" i="1" s="1"/>
  <c r="A1135" i="1"/>
  <c r="B1135" i="1" s="1"/>
  <c r="A1136" i="1"/>
  <c r="B1136" i="1" s="1"/>
  <c r="A1137" i="1"/>
  <c r="B1137" i="1" s="1"/>
  <c r="A1138" i="1"/>
  <c r="B1138" i="1" s="1"/>
  <c r="A1139" i="1"/>
  <c r="B1139" i="1" s="1"/>
  <c r="A1140" i="1"/>
  <c r="B1140" i="1" s="1"/>
  <c r="A1141" i="1"/>
  <c r="B1141" i="1" s="1"/>
  <c r="A1142" i="1"/>
  <c r="B1142" i="1" s="1"/>
  <c r="A1143" i="1"/>
  <c r="B1143" i="1" s="1"/>
  <c r="A1144" i="1"/>
  <c r="B1144" i="1" s="1"/>
  <c r="A1145" i="1"/>
  <c r="B1145" i="1" s="1"/>
  <c r="A1146" i="1"/>
  <c r="B1146" i="1" s="1"/>
  <c r="A1147" i="1"/>
  <c r="B1147" i="1" s="1"/>
  <c r="A1148" i="1"/>
  <c r="B1148" i="1" s="1"/>
  <c r="A1149" i="1"/>
  <c r="B1149" i="1" s="1"/>
  <c r="A1150" i="1"/>
  <c r="B1150" i="1" s="1"/>
  <c r="A1151" i="1"/>
  <c r="B1151" i="1" s="1"/>
  <c r="A1152" i="1"/>
  <c r="B1152" i="1" s="1"/>
  <c r="A1153" i="1"/>
  <c r="B1153" i="1" s="1"/>
  <c r="A1154" i="1"/>
  <c r="B1154" i="1" s="1"/>
  <c r="A1155" i="1"/>
  <c r="B1155" i="1" s="1"/>
  <c r="A1156" i="1"/>
  <c r="B1156" i="1" s="1"/>
  <c r="A1157" i="1"/>
  <c r="B1157" i="1" s="1"/>
  <c r="A1158" i="1"/>
  <c r="B1158" i="1" s="1"/>
  <c r="A1159" i="1"/>
  <c r="B1159" i="1" s="1"/>
  <c r="A1160" i="1"/>
  <c r="B1160" i="1" s="1"/>
  <c r="A1161" i="1"/>
  <c r="B1161" i="1" s="1"/>
  <c r="A1162" i="1"/>
  <c r="B1162" i="1" s="1"/>
  <c r="A1163" i="1"/>
  <c r="B1163" i="1" s="1"/>
  <c r="A1164" i="1"/>
  <c r="B1164" i="1" s="1"/>
  <c r="A1165" i="1"/>
  <c r="B1165" i="1" s="1"/>
  <c r="A1166" i="1"/>
  <c r="B1166" i="1" s="1"/>
  <c r="A1167" i="1"/>
  <c r="B1167" i="1" s="1"/>
  <c r="A1168" i="1"/>
  <c r="B1168" i="1" s="1"/>
  <c r="A1169" i="1"/>
  <c r="B1169" i="1" s="1"/>
  <c r="A1170" i="1"/>
  <c r="B1170" i="1" s="1"/>
  <c r="A1171" i="1"/>
  <c r="B1171" i="1" s="1"/>
  <c r="A1172" i="1"/>
  <c r="B1172" i="1" s="1"/>
  <c r="A1173" i="1"/>
  <c r="B1173" i="1" s="1"/>
  <c r="A1174" i="1"/>
  <c r="B1174" i="1" s="1"/>
  <c r="A1175" i="1"/>
  <c r="B1175" i="1" s="1"/>
  <c r="A1176" i="1"/>
  <c r="B1176" i="1" s="1"/>
  <c r="A1177" i="1"/>
  <c r="B1177" i="1" s="1"/>
  <c r="A1178" i="1"/>
  <c r="B1178" i="1" s="1"/>
  <c r="A1179" i="1"/>
  <c r="B1179" i="1" s="1"/>
  <c r="A1180" i="1"/>
  <c r="B1180" i="1" s="1"/>
  <c r="A1181" i="1"/>
  <c r="B1181" i="1" s="1"/>
  <c r="A1182" i="1"/>
  <c r="B1182" i="1" s="1"/>
  <c r="A1183" i="1"/>
  <c r="B1183" i="1" s="1"/>
  <c r="A1184" i="1"/>
  <c r="B1184" i="1" s="1"/>
  <c r="A1185" i="1"/>
  <c r="B1185" i="1" s="1"/>
  <c r="A1186" i="1"/>
  <c r="B1186" i="1" s="1"/>
  <c r="A1187" i="1"/>
  <c r="B1187" i="1" s="1"/>
  <c r="A1188" i="1"/>
  <c r="B1188" i="1" s="1"/>
  <c r="A1189" i="1"/>
  <c r="B1189" i="1" s="1"/>
  <c r="A1190" i="1"/>
  <c r="B1190" i="1" s="1"/>
  <c r="A1191" i="1"/>
  <c r="B1191" i="1" s="1"/>
  <c r="A1192" i="1"/>
  <c r="B1192" i="1" s="1"/>
  <c r="A1193" i="1"/>
  <c r="B1193" i="1" s="1"/>
  <c r="A1194" i="1"/>
  <c r="B1194" i="1" s="1"/>
  <c r="A1195" i="1"/>
  <c r="B1195" i="1" s="1"/>
  <c r="A1196" i="1"/>
  <c r="B1196" i="1" s="1"/>
  <c r="A1197" i="1"/>
  <c r="B1197" i="1" s="1"/>
  <c r="A1198" i="1"/>
  <c r="B1198" i="1" s="1"/>
  <c r="A1199" i="1"/>
  <c r="B1199" i="1" s="1"/>
  <c r="A1200" i="1"/>
  <c r="B1200" i="1" s="1"/>
  <c r="A1201" i="1"/>
  <c r="B1201" i="1" s="1"/>
  <c r="A1202" i="1"/>
  <c r="B1202" i="1" s="1"/>
  <c r="A1203" i="1"/>
  <c r="B1203" i="1" s="1"/>
  <c r="A1204" i="1"/>
  <c r="B1204" i="1" s="1"/>
  <c r="A1205" i="1"/>
  <c r="B1205" i="1" s="1"/>
  <c r="A1206" i="1"/>
  <c r="B1206" i="1" s="1"/>
  <c r="A1207" i="1"/>
  <c r="B1207" i="1" s="1"/>
  <c r="A1208" i="1"/>
  <c r="B1208" i="1" s="1"/>
  <c r="A1209" i="1"/>
  <c r="B1209" i="1" s="1"/>
  <c r="A1210" i="1"/>
  <c r="B1210" i="1" s="1"/>
  <c r="A1211" i="1"/>
  <c r="B1211" i="1" s="1"/>
  <c r="A1212" i="1"/>
  <c r="B1212" i="1" s="1"/>
  <c r="A1213" i="1"/>
  <c r="B1213" i="1" s="1"/>
  <c r="A1214" i="1"/>
  <c r="B1214" i="1" s="1"/>
  <c r="A1215" i="1"/>
  <c r="B1215" i="1" s="1"/>
  <c r="A1216" i="1"/>
  <c r="B1216" i="1" s="1"/>
  <c r="A1217" i="1"/>
  <c r="B1217" i="1" s="1"/>
  <c r="A1218" i="1"/>
  <c r="B1218" i="1" s="1"/>
  <c r="A1219" i="1"/>
  <c r="B1219" i="1" s="1"/>
  <c r="A1220" i="1"/>
  <c r="B1220" i="1" s="1"/>
  <c r="A1221" i="1"/>
  <c r="B1221" i="1" s="1"/>
  <c r="A1222" i="1"/>
  <c r="B1222" i="1" s="1"/>
  <c r="A1223" i="1"/>
  <c r="B1223" i="1" s="1"/>
  <c r="A1224" i="1"/>
  <c r="B1224" i="1" s="1"/>
  <c r="A1225" i="1"/>
  <c r="B1225" i="1" s="1"/>
  <c r="A1226" i="1"/>
  <c r="B1226" i="1" s="1"/>
  <c r="A1227" i="1"/>
  <c r="B1227" i="1" s="1"/>
  <c r="A1228" i="1"/>
  <c r="B1228" i="1" s="1"/>
  <c r="A1229" i="1"/>
  <c r="B1229" i="1" s="1"/>
  <c r="A1230" i="1"/>
  <c r="B1230" i="1" s="1"/>
  <c r="A1231" i="1"/>
  <c r="B1231" i="1" s="1"/>
  <c r="A1232" i="1"/>
  <c r="B1232" i="1" s="1"/>
  <c r="A1233" i="1"/>
  <c r="B1233" i="1" s="1"/>
  <c r="A1234" i="1"/>
  <c r="B1234" i="1" s="1"/>
  <c r="A1235" i="1"/>
  <c r="B1235" i="1" s="1"/>
  <c r="A1236" i="1"/>
  <c r="B1236" i="1" s="1"/>
  <c r="A1237" i="1"/>
  <c r="B1237" i="1" s="1"/>
  <c r="A1238" i="1"/>
  <c r="B1238" i="1" s="1"/>
  <c r="A1239" i="1"/>
  <c r="B1239" i="1" s="1"/>
  <c r="A1240" i="1"/>
  <c r="B1240" i="1" s="1"/>
  <c r="A1241" i="1"/>
  <c r="B1241" i="1" s="1"/>
  <c r="A1242" i="1"/>
  <c r="B1242" i="1" s="1"/>
  <c r="A1243" i="1"/>
  <c r="B1243" i="1" s="1"/>
  <c r="A1244" i="1"/>
  <c r="B1244" i="1" s="1"/>
  <c r="A1245" i="1"/>
  <c r="B1245" i="1" s="1"/>
  <c r="A1246" i="1"/>
  <c r="B1246" i="1" s="1"/>
  <c r="A1247" i="1"/>
  <c r="B1247" i="1" s="1"/>
  <c r="A1248" i="1"/>
  <c r="B1248" i="1" s="1"/>
  <c r="A1249" i="1"/>
  <c r="B1249" i="1" s="1"/>
  <c r="A1250" i="1"/>
  <c r="B1250" i="1" s="1"/>
  <c r="A1251" i="1"/>
  <c r="B1251" i="1" s="1"/>
  <c r="A1252" i="1"/>
  <c r="B1252" i="1" s="1"/>
  <c r="A1253" i="1"/>
  <c r="B1253" i="1" s="1"/>
  <c r="A1254" i="1"/>
  <c r="B1254" i="1" s="1"/>
  <c r="A1255" i="1"/>
  <c r="B1255" i="1" s="1"/>
  <c r="A1256" i="1"/>
  <c r="B1256" i="1" s="1"/>
  <c r="A1257" i="1"/>
  <c r="B1257" i="1" s="1"/>
  <c r="A1258" i="1"/>
  <c r="B1258" i="1" s="1"/>
  <c r="A1259" i="1"/>
  <c r="B1259" i="1" s="1"/>
  <c r="A1260" i="1"/>
  <c r="B1260" i="1" s="1"/>
  <c r="A1261" i="1"/>
  <c r="B1261" i="1" s="1"/>
  <c r="A1262" i="1"/>
  <c r="B1262" i="1" s="1"/>
  <c r="A1263" i="1"/>
  <c r="B1263" i="1" s="1"/>
  <c r="A1264" i="1"/>
  <c r="B1264" i="1" s="1"/>
  <c r="A1265" i="1"/>
  <c r="B1265" i="1" s="1"/>
  <c r="A1266" i="1"/>
  <c r="B1266" i="1" s="1"/>
  <c r="A1267" i="1"/>
  <c r="B1267" i="1" s="1"/>
  <c r="A1268" i="1"/>
  <c r="B1268" i="1" s="1"/>
  <c r="A1269" i="1"/>
  <c r="B1269" i="1" s="1"/>
  <c r="A1270" i="1"/>
  <c r="B1270" i="1" s="1"/>
  <c r="A1271" i="1"/>
  <c r="B1271" i="1" s="1"/>
  <c r="A1272" i="1"/>
  <c r="B1272" i="1" s="1"/>
  <c r="A1273" i="1"/>
  <c r="B1273" i="1" s="1"/>
  <c r="A1274" i="1"/>
  <c r="B1274" i="1" s="1"/>
  <c r="A1275" i="1"/>
  <c r="B1275" i="1" s="1"/>
  <c r="A1276" i="1"/>
  <c r="B1276" i="1" s="1"/>
  <c r="A1277" i="1"/>
  <c r="B1277" i="1" s="1"/>
  <c r="A1278" i="1"/>
  <c r="B1278" i="1" s="1"/>
  <c r="A1279" i="1"/>
  <c r="B1279" i="1" s="1"/>
  <c r="A1280" i="1"/>
  <c r="B1280" i="1" s="1"/>
  <c r="A1281" i="1"/>
  <c r="B1281" i="1" s="1"/>
  <c r="A1282" i="1"/>
  <c r="B1282" i="1" s="1"/>
  <c r="A1283" i="1"/>
  <c r="B1283" i="1" s="1"/>
  <c r="A1284" i="1"/>
  <c r="B1284" i="1" s="1"/>
  <c r="A1285" i="1"/>
  <c r="B1285" i="1" s="1"/>
  <c r="A1286" i="1"/>
  <c r="B1286" i="1" s="1"/>
  <c r="A1287" i="1"/>
  <c r="B1287" i="1" s="1"/>
  <c r="A1288" i="1"/>
  <c r="B1288" i="1" s="1"/>
  <c r="A1289" i="1"/>
  <c r="B1289" i="1" s="1"/>
  <c r="A1290" i="1"/>
  <c r="B1290" i="1" s="1"/>
  <c r="A1291" i="1"/>
  <c r="B1291" i="1" s="1"/>
  <c r="A1292" i="1"/>
  <c r="B1292" i="1" s="1"/>
  <c r="A1293" i="1"/>
  <c r="B1293" i="1" s="1"/>
  <c r="A1294" i="1"/>
  <c r="B1294" i="1" s="1"/>
  <c r="A1295" i="1"/>
  <c r="B1295" i="1" s="1"/>
  <c r="A1296" i="1"/>
  <c r="B1296" i="1" s="1"/>
  <c r="A1297" i="1"/>
  <c r="B1297" i="1" s="1"/>
  <c r="A1298" i="1"/>
  <c r="B1298" i="1" s="1"/>
  <c r="A1299" i="1"/>
  <c r="B1299" i="1" s="1"/>
  <c r="A1300" i="1"/>
  <c r="B1300" i="1" s="1"/>
  <c r="A1301" i="1"/>
  <c r="B1301" i="1" s="1"/>
  <c r="A1302" i="1"/>
  <c r="B1302" i="1" s="1"/>
  <c r="A1303" i="1"/>
  <c r="B1303" i="1" s="1"/>
  <c r="A1304" i="1"/>
  <c r="B1304" i="1" s="1"/>
  <c r="A1305" i="1"/>
  <c r="B1305" i="1" s="1"/>
  <c r="A1306" i="1"/>
  <c r="B1306" i="1" s="1"/>
  <c r="A1307" i="1"/>
  <c r="B1307" i="1" s="1"/>
  <c r="A1308" i="1"/>
  <c r="B1308" i="1" s="1"/>
  <c r="A1309" i="1"/>
  <c r="B1309" i="1" s="1"/>
  <c r="A1310" i="1"/>
  <c r="B1310" i="1" s="1"/>
  <c r="A1311" i="1"/>
  <c r="B1311" i="1" s="1"/>
  <c r="A1312" i="1"/>
  <c r="B1312" i="1" s="1"/>
  <c r="A1313" i="1"/>
  <c r="B1313" i="1" s="1"/>
  <c r="A1314" i="1"/>
  <c r="B1314" i="1" s="1"/>
  <c r="A1315" i="1"/>
  <c r="B1315" i="1" s="1"/>
  <c r="A1316" i="1"/>
  <c r="B1316" i="1" s="1"/>
  <c r="A1317" i="1"/>
  <c r="B1317" i="1" s="1"/>
  <c r="A1318" i="1"/>
  <c r="B1318" i="1" s="1"/>
  <c r="A1319" i="1"/>
  <c r="B1319" i="1" s="1"/>
  <c r="A1320" i="1"/>
  <c r="B1320" i="1" s="1"/>
  <c r="A1321" i="1"/>
  <c r="B1321" i="1" s="1"/>
  <c r="A1322" i="1"/>
  <c r="B1322" i="1" s="1"/>
  <c r="A1323" i="1"/>
  <c r="B1323" i="1" s="1"/>
  <c r="A1324" i="1"/>
  <c r="B1324" i="1" s="1"/>
  <c r="A1325" i="1"/>
  <c r="B1325" i="1" s="1"/>
  <c r="A1326" i="1"/>
  <c r="B1326" i="1" s="1"/>
  <c r="A1327" i="1"/>
  <c r="B1327" i="1" s="1"/>
  <c r="A1328" i="1"/>
  <c r="B1328" i="1" s="1"/>
  <c r="A1329" i="1"/>
  <c r="B1329" i="1" s="1"/>
  <c r="A1330" i="1"/>
  <c r="B1330" i="1" s="1"/>
  <c r="A1331" i="1"/>
  <c r="B1331" i="1" s="1"/>
  <c r="A1332" i="1"/>
  <c r="B1332" i="1" s="1"/>
  <c r="A1333" i="1"/>
  <c r="B1333" i="1" s="1"/>
  <c r="A1334" i="1"/>
  <c r="B1334" i="1" s="1"/>
  <c r="A1335" i="1"/>
  <c r="B1335" i="1" s="1"/>
  <c r="A1336" i="1"/>
  <c r="B1336" i="1" s="1"/>
  <c r="A1337" i="1"/>
  <c r="B1337" i="1" s="1"/>
  <c r="A1338" i="1"/>
  <c r="B1338" i="1" s="1"/>
  <c r="A1339" i="1"/>
  <c r="B1339" i="1" s="1"/>
  <c r="A1340" i="1"/>
  <c r="B1340" i="1" s="1"/>
  <c r="A1341" i="1"/>
  <c r="B1341" i="1" s="1"/>
  <c r="A1342" i="1"/>
  <c r="B1342" i="1" s="1"/>
  <c r="A1343" i="1"/>
  <c r="B1343" i="1" s="1"/>
  <c r="A1344" i="1"/>
  <c r="B1344" i="1" s="1"/>
  <c r="A1345" i="1"/>
  <c r="B1345" i="1" s="1"/>
  <c r="A1346" i="1"/>
  <c r="B1346" i="1" s="1"/>
  <c r="A1347" i="1"/>
  <c r="B1347" i="1" s="1"/>
  <c r="A1348" i="1"/>
  <c r="B1348" i="1" s="1"/>
  <c r="A1349" i="1"/>
  <c r="B1349" i="1" s="1"/>
  <c r="A1350" i="1"/>
  <c r="B1350" i="1" s="1"/>
  <c r="A1351" i="1"/>
  <c r="B1351" i="1" s="1"/>
  <c r="A1352" i="1"/>
  <c r="B1352" i="1" s="1"/>
  <c r="A1353" i="1"/>
  <c r="B1353" i="1" s="1"/>
  <c r="A1354" i="1"/>
  <c r="B1354" i="1" s="1"/>
  <c r="A1355" i="1"/>
  <c r="B1355" i="1" s="1"/>
  <c r="A1356" i="1"/>
  <c r="B1356" i="1" s="1"/>
  <c r="A1357" i="1"/>
  <c r="B1357" i="1" s="1"/>
  <c r="A1358" i="1"/>
  <c r="B1358" i="1" s="1"/>
  <c r="A1359" i="1"/>
  <c r="B1359" i="1" s="1"/>
  <c r="A1360" i="1"/>
  <c r="B1360" i="1" s="1"/>
  <c r="A1361" i="1"/>
  <c r="B1361" i="1" s="1"/>
  <c r="A1362" i="1"/>
  <c r="B1362" i="1" s="1"/>
  <c r="A1363" i="1"/>
  <c r="B1363" i="1" s="1"/>
  <c r="A1364" i="1"/>
  <c r="B1364" i="1" s="1"/>
  <c r="A1365" i="1"/>
  <c r="B1365" i="1" s="1"/>
  <c r="A1366" i="1"/>
  <c r="B1366" i="1" s="1"/>
  <c r="A1367" i="1"/>
  <c r="B1367" i="1" s="1"/>
  <c r="A1368" i="1"/>
  <c r="B1368" i="1" s="1"/>
  <c r="A1369" i="1"/>
  <c r="B1369" i="1" s="1"/>
  <c r="A1370" i="1"/>
  <c r="B1370" i="1" s="1"/>
  <c r="A1371" i="1"/>
  <c r="B1371" i="1" s="1"/>
  <c r="A1372" i="1"/>
  <c r="B1372" i="1" s="1"/>
  <c r="A1373" i="1"/>
  <c r="B1373" i="1" s="1"/>
  <c r="A1374" i="1"/>
  <c r="B1374" i="1" s="1"/>
  <c r="A1375" i="1"/>
  <c r="B1375" i="1" s="1"/>
  <c r="A1376" i="1"/>
  <c r="B1376" i="1" s="1"/>
  <c r="A1377" i="1"/>
  <c r="B1377" i="1" s="1"/>
  <c r="A1378" i="1"/>
  <c r="B1378" i="1" s="1"/>
  <c r="A1379" i="1"/>
  <c r="B1379" i="1" s="1"/>
  <c r="A1380" i="1"/>
  <c r="B1380" i="1" s="1"/>
  <c r="A1381" i="1"/>
  <c r="B1381" i="1" s="1"/>
  <c r="A1382" i="1"/>
  <c r="B1382" i="1" s="1"/>
  <c r="A1383" i="1"/>
  <c r="B1383" i="1" s="1"/>
  <c r="A1384" i="1"/>
  <c r="B1384" i="1" s="1"/>
  <c r="A1385" i="1"/>
  <c r="B1385" i="1" s="1"/>
  <c r="A1386" i="1"/>
  <c r="B1386" i="1" s="1"/>
  <c r="A1387" i="1"/>
  <c r="B1387" i="1" s="1"/>
  <c r="A1388" i="1"/>
  <c r="B1388" i="1" s="1"/>
  <c r="A1389" i="1"/>
  <c r="B1389" i="1" s="1"/>
  <c r="A1390" i="1"/>
  <c r="B1390" i="1" s="1"/>
  <c r="A1391" i="1"/>
  <c r="B1391" i="1" s="1"/>
  <c r="A1392" i="1"/>
  <c r="B1392" i="1" s="1"/>
  <c r="A1393" i="1"/>
  <c r="B1393" i="1" s="1"/>
  <c r="A1394" i="1"/>
  <c r="B1394" i="1" s="1"/>
  <c r="A1395" i="1"/>
  <c r="B1395" i="1" s="1"/>
  <c r="A1396" i="1"/>
  <c r="B1396" i="1" s="1"/>
  <c r="A1397" i="1"/>
  <c r="B1397" i="1" s="1"/>
  <c r="A1398" i="1"/>
  <c r="B1398" i="1" s="1"/>
  <c r="A1399" i="1"/>
  <c r="B1399" i="1" s="1"/>
  <c r="A1400" i="1"/>
  <c r="B1400" i="1" s="1"/>
  <c r="A1401" i="1"/>
  <c r="B1401" i="1" s="1"/>
  <c r="A1402" i="1"/>
  <c r="B1402" i="1" s="1"/>
  <c r="A1403" i="1"/>
  <c r="B1403" i="1" s="1"/>
  <c r="A1404" i="1"/>
  <c r="B1404" i="1" s="1"/>
  <c r="A1405" i="1"/>
  <c r="B1405" i="1" s="1"/>
  <c r="A1406" i="1"/>
  <c r="B1406" i="1" s="1"/>
  <c r="A1407" i="1"/>
  <c r="B1407" i="1" s="1"/>
  <c r="A1408" i="1"/>
  <c r="B1408" i="1" s="1"/>
  <c r="A1409" i="1"/>
  <c r="B1409" i="1" s="1"/>
  <c r="A1410" i="1"/>
  <c r="B1410" i="1" s="1"/>
  <c r="A1411" i="1"/>
  <c r="B1411" i="1" s="1"/>
  <c r="A1412" i="1"/>
  <c r="B1412" i="1" s="1"/>
  <c r="A1413" i="1"/>
  <c r="B1413" i="1" s="1"/>
  <c r="A1414" i="1"/>
  <c r="B1414" i="1" s="1"/>
  <c r="A1415" i="1"/>
  <c r="B1415" i="1" s="1"/>
  <c r="A1416" i="1"/>
  <c r="B1416" i="1" s="1"/>
  <c r="A1417" i="1"/>
  <c r="B1417" i="1" s="1"/>
  <c r="A1418" i="1"/>
  <c r="B1418" i="1" s="1"/>
  <c r="A1419" i="1"/>
  <c r="B1419" i="1" s="1"/>
  <c r="A1420" i="1"/>
  <c r="B1420" i="1" s="1"/>
  <c r="A1421" i="1"/>
  <c r="B1421" i="1" s="1"/>
  <c r="A1422" i="1"/>
  <c r="B1422" i="1" s="1"/>
  <c r="A1423" i="1"/>
  <c r="B1423" i="1" s="1"/>
  <c r="A1424" i="1"/>
  <c r="B1424" i="1" s="1"/>
  <c r="A1425" i="1"/>
  <c r="B1425" i="1" s="1"/>
  <c r="A1426" i="1"/>
  <c r="B1426" i="1" s="1"/>
  <c r="A1427" i="1"/>
  <c r="B1427" i="1" s="1"/>
  <c r="A1428" i="1"/>
  <c r="B1428" i="1" s="1"/>
  <c r="A1429" i="1"/>
  <c r="B1429" i="1" s="1"/>
  <c r="A1430" i="1"/>
  <c r="B1430" i="1" s="1"/>
  <c r="A1431" i="1"/>
  <c r="B1431" i="1" s="1"/>
  <c r="A1432" i="1"/>
  <c r="B1432" i="1" s="1"/>
  <c r="A1433" i="1"/>
  <c r="B1433" i="1" s="1"/>
  <c r="A1434" i="1"/>
  <c r="B1434" i="1" s="1"/>
  <c r="A1435" i="1"/>
  <c r="B1435" i="1" s="1"/>
  <c r="A1436" i="1"/>
  <c r="B1436" i="1" s="1"/>
  <c r="A1437" i="1"/>
  <c r="B1437" i="1" s="1"/>
  <c r="A1438" i="1"/>
  <c r="B1438" i="1" s="1"/>
  <c r="A1439" i="1"/>
  <c r="B1439" i="1" s="1"/>
  <c r="A1440" i="1"/>
  <c r="B1440" i="1" s="1"/>
  <c r="A1441" i="1"/>
  <c r="B1441" i="1" s="1"/>
  <c r="A1442" i="1"/>
  <c r="B1442" i="1" s="1"/>
  <c r="A1443" i="1"/>
  <c r="B1443" i="1" s="1"/>
  <c r="A1444" i="1"/>
  <c r="B1444" i="1" s="1"/>
  <c r="A1445" i="1"/>
  <c r="B1445" i="1" s="1"/>
  <c r="A1446" i="1"/>
  <c r="B1446" i="1" s="1"/>
  <c r="A1447" i="1"/>
  <c r="B1447" i="1" s="1"/>
  <c r="A1448" i="1"/>
  <c r="B1448" i="1" s="1"/>
  <c r="A1449" i="1"/>
  <c r="B1449" i="1" s="1"/>
  <c r="A1450" i="1"/>
  <c r="B1450" i="1" s="1"/>
  <c r="A1451" i="1"/>
  <c r="B1451" i="1" s="1"/>
  <c r="A1452" i="1"/>
  <c r="B1452" i="1" s="1"/>
  <c r="A1453" i="1"/>
  <c r="B1453" i="1" s="1"/>
  <c r="A1454" i="1"/>
  <c r="B1454" i="1" s="1"/>
  <c r="A1455" i="1"/>
  <c r="B1455" i="1" s="1"/>
  <c r="A1456" i="1"/>
  <c r="B1456" i="1" s="1"/>
  <c r="A1457" i="1"/>
  <c r="B1457" i="1" s="1"/>
  <c r="A1458" i="1"/>
  <c r="B1458" i="1" s="1"/>
  <c r="A1459" i="1"/>
  <c r="B1459" i="1" s="1"/>
  <c r="A1460" i="1"/>
  <c r="B1460" i="1" s="1"/>
  <c r="A1461" i="1"/>
  <c r="B1461" i="1" s="1"/>
  <c r="A1462" i="1"/>
  <c r="B1462" i="1" s="1"/>
  <c r="A1463" i="1"/>
  <c r="B1463" i="1" s="1"/>
  <c r="A1464" i="1"/>
  <c r="B1464" i="1" s="1"/>
  <c r="A1465" i="1"/>
  <c r="B1465" i="1" s="1"/>
  <c r="A1466" i="1"/>
  <c r="B1466" i="1" s="1"/>
  <c r="A1467" i="1"/>
  <c r="B1467" i="1" s="1"/>
  <c r="A1468" i="1"/>
  <c r="B1468" i="1" s="1"/>
  <c r="A1469" i="1"/>
  <c r="B1469" i="1" s="1"/>
  <c r="A1470" i="1"/>
  <c r="B1470" i="1" s="1"/>
  <c r="A1471" i="1"/>
  <c r="B1471" i="1" s="1"/>
  <c r="A1472" i="1"/>
  <c r="B1472" i="1" s="1"/>
  <c r="A1473" i="1"/>
  <c r="B1473" i="1" s="1"/>
  <c r="A1474" i="1"/>
  <c r="B1474" i="1" s="1"/>
  <c r="A1475" i="1"/>
  <c r="B1475" i="1" s="1"/>
  <c r="A1476" i="1"/>
  <c r="B1476" i="1" s="1"/>
  <c r="A1477" i="1"/>
  <c r="B1477" i="1" s="1"/>
  <c r="A1478" i="1"/>
  <c r="B1478" i="1" s="1"/>
  <c r="A1479" i="1"/>
  <c r="B1479" i="1" s="1"/>
  <c r="A1480" i="1"/>
  <c r="B1480" i="1" s="1"/>
  <c r="A1481" i="1"/>
  <c r="B1481" i="1" s="1"/>
  <c r="A1482" i="1"/>
  <c r="B1482" i="1" s="1"/>
  <c r="A1483" i="1"/>
  <c r="B1483" i="1" s="1"/>
  <c r="A1484" i="1"/>
  <c r="B1484" i="1" s="1"/>
  <c r="A1485" i="1"/>
  <c r="B1485" i="1" s="1"/>
  <c r="A1486" i="1"/>
  <c r="B1486" i="1" s="1"/>
  <c r="A1487" i="1"/>
  <c r="B1487" i="1" s="1"/>
  <c r="A1488" i="1"/>
  <c r="B1488" i="1" s="1"/>
  <c r="A1489" i="1"/>
  <c r="B1489" i="1" s="1"/>
  <c r="A1490" i="1"/>
  <c r="B1490" i="1" s="1"/>
  <c r="A1491" i="1"/>
  <c r="B1491" i="1" s="1"/>
  <c r="A1492" i="1"/>
  <c r="B1492" i="1" s="1"/>
  <c r="A1493" i="1"/>
  <c r="B1493" i="1" s="1"/>
  <c r="A1494" i="1"/>
  <c r="B1494" i="1" s="1"/>
  <c r="A1495" i="1"/>
  <c r="B1495" i="1" s="1"/>
  <c r="A1496" i="1"/>
  <c r="B1496" i="1" s="1"/>
  <c r="A1497" i="1"/>
  <c r="B1497" i="1" s="1"/>
  <c r="A1498" i="1"/>
  <c r="B1498" i="1" s="1"/>
  <c r="A1499" i="1"/>
  <c r="B1499" i="1" s="1"/>
  <c r="A1500" i="1"/>
  <c r="B1500" i="1" s="1"/>
  <c r="A1501" i="1"/>
  <c r="B1501" i="1" s="1"/>
  <c r="A1502" i="1"/>
  <c r="B1502" i="1" s="1"/>
  <c r="A1503" i="1"/>
  <c r="B1503" i="1" s="1"/>
  <c r="A1504" i="1"/>
  <c r="B1504" i="1" s="1"/>
  <c r="A1505" i="1"/>
  <c r="B1505" i="1" s="1"/>
  <c r="A1506" i="1"/>
  <c r="B1506" i="1" s="1"/>
  <c r="A1507" i="1"/>
  <c r="B1507" i="1" s="1"/>
  <c r="A1508" i="1"/>
  <c r="B1508" i="1" s="1"/>
  <c r="A1509" i="1"/>
  <c r="B1509" i="1" s="1"/>
  <c r="A1510" i="1"/>
  <c r="B1510" i="1" s="1"/>
  <c r="A1511" i="1"/>
  <c r="B1511" i="1" s="1"/>
  <c r="A1512" i="1"/>
  <c r="B1512" i="1" s="1"/>
  <c r="A1513" i="1"/>
  <c r="B1513" i="1" s="1"/>
  <c r="A1514" i="1"/>
  <c r="B1514" i="1" s="1"/>
  <c r="A1515" i="1"/>
  <c r="B1515" i="1" s="1"/>
  <c r="A1516" i="1"/>
  <c r="B1516" i="1" s="1"/>
  <c r="A1517" i="1"/>
  <c r="B1517" i="1" s="1"/>
  <c r="A1518" i="1"/>
  <c r="B1518" i="1" s="1"/>
  <c r="A1519" i="1"/>
  <c r="B1519" i="1" s="1"/>
  <c r="A1520" i="1"/>
  <c r="B1520" i="1" s="1"/>
  <c r="A1521" i="1"/>
  <c r="B1521" i="1" s="1"/>
  <c r="A1522" i="1"/>
  <c r="B1522" i="1" s="1"/>
  <c r="A1523" i="1"/>
  <c r="B1523" i="1" s="1"/>
  <c r="A1524" i="1"/>
  <c r="B1524" i="1" s="1"/>
  <c r="A1525" i="1"/>
  <c r="B1525" i="1" s="1"/>
  <c r="A1526" i="1"/>
  <c r="B1526" i="1" s="1"/>
  <c r="A1527" i="1"/>
  <c r="B1527" i="1" s="1"/>
  <c r="A1528" i="1"/>
  <c r="B1528" i="1" s="1"/>
  <c r="A1529" i="1"/>
  <c r="B1529" i="1" s="1"/>
  <c r="A1530" i="1"/>
  <c r="B1530" i="1" s="1"/>
  <c r="A1531" i="1"/>
  <c r="B1531" i="1" s="1"/>
  <c r="A1532" i="1"/>
  <c r="B1532" i="1" s="1"/>
  <c r="A1533" i="1"/>
  <c r="B1533" i="1" s="1"/>
  <c r="A1534" i="1"/>
  <c r="B1534" i="1" s="1"/>
  <c r="A1535" i="1"/>
  <c r="B1535" i="1" s="1"/>
  <c r="A1536" i="1"/>
  <c r="B1536" i="1" s="1"/>
  <c r="A1537" i="1"/>
  <c r="B1537" i="1" s="1"/>
  <c r="A1538" i="1"/>
  <c r="B1538" i="1" s="1"/>
  <c r="A1539" i="1"/>
  <c r="B1539" i="1" s="1"/>
  <c r="A1540" i="1"/>
  <c r="B1540" i="1" s="1"/>
  <c r="A1541" i="1"/>
  <c r="B1541" i="1" s="1"/>
  <c r="A1542" i="1"/>
  <c r="B1542" i="1" s="1"/>
  <c r="A1543" i="1"/>
  <c r="B1543" i="1" s="1"/>
  <c r="A1544" i="1"/>
  <c r="B1544" i="1" s="1"/>
  <c r="A1545" i="1"/>
  <c r="B1545" i="1" s="1"/>
  <c r="A1546" i="1"/>
  <c r="B1546" i="1" s="1"/>
  <c r="A1547" i="1"/>
  <c r="B1547" i="1" s="1"/>
  <c r="A1548" i="1"/>
  <c r="B1548" i="1" s="1"/>
  <c r="A1549" i="1"/>
  <c r="B1549" i="1" s="1"/>
  <c r="A1550" i="1"/>
  <c r="B1550" i="1" s="1"/>
  <c r="A1551" i="1"/>
  <c r="B1551" i="1" s="1"/>
  <c r="A1552" i="1"/>
  <c r="B1552" i="1" s="1"/>
  <c r="A1553" i="1"/>
  <c r="B1553" i="1" s="1"/>
  <c r="A1554" i="1"/>
  <c r="B1554" i="1" s="1"/>
  <c r="A1555" i="1"/>
  <c r="B1555" i="1" s="1"/>
  <c r="A1556" i="1"/>
  <c r="B1556" i="1" s="1"/>
  <c r="A1557" i="1"/>
  <c r="B1557" i="1" s="1"/>
  <c r="A1558" i="1"/>
  <c r="B1558" i="1" s="1"/>
  <c r="A1559" i="1"/>
  <c r="B1559" i="1" s="1"/>
  <c r="A1560" i="1"/>
  <c r="B1560" i="1" s="1"/>
  <c r="A1561" i="1"/>
  <c r="B1561" i="1" s="1"/>
  <c r="A1562" i="1"/>
  <c r="B1562" i="1" s="1"/>
  <c r="A1563" i="1"/>
  <c r="B1563" i="1" s="1"/>
  <c r="A1564" i="1"/>
  <c r="B1564" i="1" s="1"/>
  <c r="A1565" i="1"/>
  <c r="B1565" i="1" s="1"/>
  <c r="A1566" i="1"/>
  <c r="B1566" i="1" s="1"/>
  <c r="A1567" i="1"/>
  <c r="B1567" i="1" s="1"/>
  <c r="A1568" i="1"/>
  <c r="B1568" i="1" s="1"/>
  <c r="A1569" i="1"/>
  <c r="B1569" i="1" s="1"/>
  <c r="A1570" i="1"/>
  <c r="B1570" i="1" s="1"/>
  <c r="A1571" i="1"/>
  <c r="B1571" i="1" s="1"/>
  <c r="A1572" i="1"/>
  <c r="B1572" i="1" s="1"/>
  <c r="A1573" i="1"/>
  <c r="B1573" i="1" s="1"/>
  <c r="A1574" i="1"/>
  <c r="B1574" i="1" s="1"/>
  <c r="A1575" i="1"/>
  <c r="B1575" i="1" s="1"/>
  <c r="A1576" i="1"/>
  <c r="B1576" i="1" s="1"/>
  <c r="A1577" i="1"/>
  <c r="B1577" i="1" s="1"/>
  <c r="A1578" i="1"/>
  <c r="B1578" i="1" s="1"/>
  <c r="A1579" i="1"/>
  <c r="B1579" i="1" s="1"/>
  <c r="A1580" i="1"/>
  <c r="B1580" i="1" s="1"/>
  <c r="A1581" i="1"/>
  <c r="B1581" i="1" s="1"/>
  <c r="A1582" i="1"/>
  <c r="B1582" i="1" s="1"/>
  <c r="A1583" i="1"/>
  <c r="B1583" i="1" s="1"/>
  <c r="A1584" i="1"/>
  <c r="B1584" i="1" s="1"/>
  <c r="A1585" i="1"/>
  <c r="B1585" i="1" s="1"/>
  <c r="A1586" i="1"/>
  <c r="B1586" i="1" s="1"/>
  <c r="A1587" i="1"/>
  <c r="B1587" i="1" s="1"/>
  <c r="A1588" i="1"/>
  <c r="B1588" i="1" s="1"/>
  <c r="A1589" i="1"/>
  <c r="B1589" i="1" s="1"/>
  <c r="A1590" i="1"/>
  <c r="B1590" i="1" s="1"/>
  <c r="A1591" i="1"/>
  <c r="B1591" i="1" s="1"/>
  <c r="A1592" i="1"/>
  <c r="B1592" i="1" s="1"/>
  <c r="A1593" i="1"/>
  <c r="B1593" i="1" s="1"/>
  <c r="A1594" i="1"/>
  <c r="B1594" i="1" s="1"/>
  <c r="A1595" i="1"/>
  <c r="B1595" i="1" s="1"/>
  <c r="A1596" i="1"/>
  <c r="B1596" i="1" s="1"/>
  <c r="A1597" i="1"/>
  <c r="B1597" i="1" s="1"/>
  <c r="A1598" i="1"/>
  <c r="B1598" i="1" s="1"/>
  <c r="A1599" i="1"/>
  <c r="B1599" i="1" s="1"/>
  <c r="A1600" i="1"/>
  <c r="B1600" i="1" s="1"/>
  <c r="A1601" i="1"/>
  <c r="B1601" i="1" s="1"/>
  <c r="A1602" i="1"/>
  <c r="B1602" i="1" s="1"/>
  <c r="A1603" i="1"/>
  <c r="B1603" i="1" s="1"/>
  <c r="A1604" i="1"/>
  <c r="B1604" i="1" s="1"/>
  <c r="A1605" i="1"/>
  <c r="B1605" i="1" s="1"/>
  <c r="A1606" i="1"/>
  <c r="B1606" i="1" s="1"/>
  <c r="A1607" i="1"/>
  <c r="B1607" i="1" s="1"/>
  <c r="A1608" i="1"/>
  <c r="B1608" i="1" s="1"/>
  <c r="A1609" i="1"/>
  <c r="B1609" i="1" s="1"/>
  <c r="A1610" i="1"/>
  <c r="B1610" i="1" s="1"/>
  <c r="A1611" i="1"/>
  <c r="B1611" i="1" s="1"/>
  <c r="A1612" i="1"/>
  <c r="B1612" i="1" s="1"/>
  <c r="A1613" i="1"/>
  <c r="B1613" i="1" s="1"/>
  <c r="A1614" i="1"/>
  <c r="B1614" i="1" s="1"/>
  <c r="A1615" i="1"/>
  <c r="B1615" i="1" s="1"/>
  <c r="A1616" i="1"/>
  <c r="B1616" i="1" s="1"/>
  <c r="A1617" i="1"/>
  <c r="B1617" i="1" s="1"/>
  <c r="A1618" i="1"/>
  <c r="B1618" i="1" s="1"/>
  <c r="A1619" i="1"/>
  <c r="B1619" i="1" s="1"/>
  <c r="A1620" i="1"/>
  <c r="B1620" i="1" s="1"/>
  <c r="A1621" i="1"/>
  <c r="B1621" i="1" s="1"/>
  <c r="A1622" i="1"/>
  <c r="B1622" i="1" s="1"/>
  <c r="A1623" i="1"/>
  <c r="B1623" i="1" s="1"/>
  <c r="A1624" i="1"/>
  <c r="B1624" i="1" s="1"/>
  <c r="A1625" i="1"/>
  <c r="B1625" i="1" s="1"/>
  <c r="A1626" i="1"/>
  <c r="B1626" i="1" s="1"/>
  <c r="A1627" i="1"/>
  <c r="B1627" i="1" s="1"/>
  <c r="A1628" i="1"/>
  <c r="B1628" i="1" s="1"/>
  <c r="A1629" i="1"/>
  <c r="B1629" i="1" s="1"/>
  <c r="A1630" i="1"/>
  <c r="B1630" i="1" s="1"/>
  <c r="A1631" i="1"/>
  <c r="B1631" i="1" s="1"/>
  <c r="A1632" i="1"/>
  <c r="B1632" i="1" s="1"/>
  <c r="A1633" i="1"/>
  <c r="B1633" i="1" s="1"/>
  <c r="A1634" i="1"/>
  <c r="B1634" i="1" s="1"/>
  <c r="A1635" i="1"/>
  <c r="B1635" i="1" s="1"/>
  <c r="A1636" i="1"/>
  <c r="B1636" i="1" s="1"/>
  <c r="A1637" i="1"/>
  <c r="B1637" i="1" s="1"/>
  <c r="A1638" i="1"/>
  <c r="B1638" i="1" s="1"/>
  <c r="A1639" i="1"/>
  <c r="B1639" i="1" s="1"/>
  <c r="A1640" i="1"/>
  <c r="B1640" i="1" s="1"/>
  <c r="A1641" i="1"/>
  <c r="B1641" i="1" s="1"/>
  <c r="A1642" i="1"/>
  <c r="B1642" i="1" s="1"/>
  <c r="A1643" i="1"/>
  <c r="B1643" i="1" s="1"/>
  <c r="A1644" i="1"/>
  <c r="B1644" i="1" s="1"/>
  <c r="A1645" i="1"/>
  <c r="B1645" i="1" s="1"/>
  <c r="A1646" i="1"/>
  <c r="B1646" i="1" s="1"/>
  <c r="A1647" i="1"/>
  <c r="B1647" i="1" s="1"/>
  <c r="A1648" i="1"/>
  <c r="B1648" i="1" s="1"/>
  <c r="A1649" i="1"/>
  <c r="B1649" i="1" s="1"/>
  <c r="A1650" i="1"/>
  <c r="B1650" i="1" s="1"/>
  <c r="A1651" i="1"/>
  <c r="B1651" i="1" s="1"/>
  <c r="A1652" i="1"/>
  <c r="B1652" i="1" s="1"/>
  <c r="A1653" i="1"/>
  <c r="B1653" i="1" s="1"/>
  <c r="A1654" i="1"/>
  <c r="B1654" i="1" s="1"/>
  <c r="A1655" i="1"/>
  <c r="B1655" i="1" s="1"/>
  <c r="A1656" i="1"/>
  <c r="B1656" i="1" s="1"/>
  <c r="A1657" i="1"/>
  <c r="B1657" i="1" s="1"/>
  <c r="A1658" i="1"/>
  <c r="B1658" i="1" s="1"/>
  <c r="A1659" i="1"/>
  <c r="B1659" i="1" s="1"/>
  <c r="A1660" i="1"/>
  <c r="B1660" i="1" s="1"/>
  <c r="A1661" i="1"/>
  <c r="B1661" i="1" s="1"/>
  <c r="A1662" i="1"/>
  <c r="B1662" i="1" s="1"/>
  <c r="A1663" i="1"/>
  <c r="B1663" i="1" s="1"/>
  <c r="A1664" i="1"/>
  <c r="B1664" i="1" s="1"/>
  <c r="A1665" i="1"/>
  <c r="B1665" i="1" s="1"/>
  <c r="A1666" i="1"/>
  <c r="B1666" i="1" s="1"/>
  <c r="A1667" i="1"/>
  <c r="B1667" i="1" s="1"/>
  <c r="A1668" i="1"/>
  <c r="B1668" i="1" s="1"/>
  <c r="A1669" i="1"/>
  <c r="B1669" i="1" s="1"/>
  <c r="A1670" i="1"/>
  <c r="B1670" i="1" s="1"/>
  <c r="A1671" i="1"/>
  <c r="B1671" i="1" s="1"/>
  <c r="A1672" i="1"/>
  <c r="B1672" i="1" s="1"/>
  <c r="A1673" i="1"/>
  <c r="B1673" i="1" s="1"/>
  <c r="A1674" i="1"/>
  <c r="B1674" i="1" s="1"/>
  <c r="A1675" i="1"/>
  <c r="B1675" i="1" s="1"/>
  <c r="A1676" i="1"/>
  <c r="B1676" i="1" s="1"/>
  <c r="A1677" i="1"/>
  <c r="B1677" i="1" s="1"/>
  <c r="A1678" i="1"/>
  <c r="B1678" i="1" s="1"/>
  <c r="A1679" i="1"/>
  <c r="B1679" i="1" s="1"/>
  <c r="A1680" i="1"/>
  <c r="B1680" i="1" s="1"/>
  <c r="A1681" i="1"/>
  <c r="B1681" i="1" s="1"/>
  <c r="A1682" i="1"/>
  <c r="B1682" i="1" s="1"/>
  <c r="A1683" i="1"/>
  <c r="B1683" i="1" s="1"/>
  <c r="A1684" i="1"/>
  <c r="B1684" i="1" s="1"/>
  <c r="A1685" i="1"/>
  <c r="B1685" i="1" s="1"/>
  <c r="A1686" i="1"/>
  <c r="B1686" i="1" s="1"/>
  <c r="A1687" i="1"/>
  <c r="B1687" i="1" s="1"/>
  <c r="A1688" i="1"/>
  <c r="B1688" i="1" s="1"/>
  <c r="A1689" i="1"/>
  <c r="B1689" i="1" s="1"/>
  <c r="A1690" i="1"/>
  <c r="B1690" i="1" s="1"/>
  <c r="A1691" i="1"/>
  <c r="B1691" i="1" s="1"/>
  <c r="A1692" i="1"/>
  <c r="B1692" i="1" s="1"/>
  <c r="A1693" i="1"/>
  <c r="B1693" i="1" s="1"/>
  <c r="A1694" i="1"/>
  <c r="B1694" i="1" s="1"/>
  <c r="A1695" i="1"/>
  <c r="B1695" i="1" s="1"/>
  <c r="A1696" i="1"/>
  <c r="B1696" i="1" s="1"/>
  <c r="A1697" i="1"/>
  <c r="B1697" i="1" s="1"/>
  <c r="A1698" i="1"/>
  <c r="B1698" i="1" s="1"/>
  <c r="A1699" i="1"/>
  <c r="B1699" i="1" s="1"/>
  <c r="A1700" i="1"/>
  <c r="B1700" i="1" s="1"/>
  <c r="A1701" i="1"/>
  <c r="B1701" i="1" s="1"/>
  <c r="A1702" i="1"/>
  <c r="B1702" i="1" s="1"/>
  <c r="A1703" i="1"/>
  <c r="B1703" i="1" s="1"/>
  <c r="A1704" i="1"/>
  <c r="B1704" i="1" s="1"/>
  <c r="A1705" i="1"/>
  <c r="B1705" i="1" s="1"/>
  <c r="A1706" i="1"/>
  <c r="B1706" i="1" s="1"/>
  <c r="A1707" i="1"/>
  <c r="B1707" i="1" s="1"/>
  <c r="A1708" i="1"/>
  <c r="B1708" i="1" s="1"/>
  <c r="A1709" i="1"/>
  <c r="B1709" i="1" s="1"/>
  <c r="A1710" i="1"/>
  <c r="B1710" i="1" s="1"/>
  <c r="A1711" i="1"/>
  <c r="B1711" i="1" s="1"/>
  <c r="A1712" i="1"/>
  <c r="B1712" i="1" s="1"/>
  <c r="A1713" i="1"/>
  <c r="B1713" i="1" s="1"/>
  <c r="A1714" i="1"/>
  <c r="B1714" i="1" s="1"/>
  <c r="A1715" i="1"/>
  <c r="B1715" i="1" s="1"/>
  <c r="A1716" i="1"/>
  <c r="B1716" i="1" s="1"/>
  <c r="A1717" i="1"/>
  <c r="B1717" i="1" s="1"/>
  <c r="A1718" i="1"/>
  <c r="B1718" i="1" s="1"/>
  <c r="A1719" i="1"/>
  <c r="B1719" i="1" s="1"/>
  <c r="A1720" i="1"/>
  <c r="B1720" i="1" s="1"/>
  <c r="A1721" i="1"/>
  <c r="B1721" i="1" s="1"/>
  <c r="A1722" i="1"/>
  <c r="B1722" i="1" s="1"/>
  <c r="A1723" i="1"/>
  <c r="B1723" i="1" s="1"/>
  <c r="A1724" i="1"/>
  <c r="B1724" i="1" s="1"/>
  <c r="A1725" i="1"/>
  <c r="B1725" i="1" s="1"/>
  <c r="A1726" i="1"/>
  <c r="B1726" i="1" s="1"/>
  <c r="A1727" i="1"/>
  <c r="B1727" i="1" s="1"/>
  <c r="A1728" i="1"/>
  <c r="B1728" i="1" s="1"/>
  <c r="A1729" i="1"/>
  <c r="B1729" i="1" s="1"/>
  <c r="A1730" i="1"/>
  <c r="B1730" i="1" s="1"/>
  <c r="A1731" i="1"/>
  <c r="B1731" i="1" s="1"/>
  <c r="A1732" i="1"/>
  <c r="B1732" i="1" s="1"/>
  <c r="A1733" i="1"/>
  <c r="B1733" i="1" s="1"/>
  <c r="A1734" i="1"/>
  <c r="B1734" i="1" s="1"/>
  <c r="A1735" i="1"/>
  <c r="B1735" i="1" s="1"/>
  <c r="A1736" i="1"/>
  <c r="B1736" i="1" s="1"/>
  <c r="A1737" i="1"/>
  <c r="B1737" i="1" s="1"/>
  <c r="A1738" i="1"/>
  <c r="B1738" i="1" s="1"/>
  <c r="A1739" i="1"/>
  <c r="B1739" i="1" s="1"/>
  <c r="A1740" i="1"/>
  <c r="B1740" i="1" s="1"/>
  <c r="A1741" i="1"/>
  <c r="B1741" i="1" s="1"/>
  <c r="A1742" i="1"/>
  <c r="B1742" i="1" s="1"/>
  <c r="A1743" i="1"/>
  <c r="B1743" i="1" s="1"/>
  <c r="A1744" i="1"/>
  <c r="B1744" i="1" s="1"/>
  <c r="A1745" i="1"/>
  <c r="B1745" i="1" s="1"/>
  <c r="A1746" i="1"/>
  <c r="B1746" i="1" s="1"/>
  <c r="A1747" i="1"/>
  <c r="B1747" i="1" s="1"/>
  <c r="A1748" i="1"/>
  <c r="B1748" i="1" s="1"/>
  <c r="A1749" i="1"/>
  <c r="B1749" i="1" s="1"/>
  <c r="A1750" i="1"/>
  <c r="B1750" i="1" s="1"/>
  <c r="A1751" i="1"/>
  <c r="B1751" i="1" s="1"/>
  <c r="A1752" i="1"/>
  <c r="B1752" i="1" s="1"/>
  <c r="A1753" i="1"/>
  <c r="B1753" i="1" s="1"/>
  <c r="A1754" i="1"/>
  <c r="B1754" i="1" s="1"/>
  <c r="A1755" i="1"/>
  <c r="B1755" i="1" s="1"/>
  <c r="A1756" i="1"/>
  <c r="B1756" i="1" s="1"/>
  <c r="A1757" i="1"/>
  <c r="B1757" i="1" s="1"/>
  <c r="A1758" i="1"/>
  <c r="B1758" i="1" s="1"/>
  <c r="A1759" i="1"/>
  <c r="B1759" i="1" s="1"/>
  <c r="A1760" i="1"/>
  <c r="B1760" i="1" s="1"/>
  <c r="A1761" i="1"/>
  <c r="B1761" i="1" s="1"/>
  <c r="A1762" i="1"/>
  <c r="B1762" i="1" s="1"/>
  <c r="A1763" i="1"/>
  <c r="B1763" i="1" s="1"/>
  <c r="A1764" i="1"/>
  <c r="B1764" i="1" s="1"/>
  <c r="A1765" i="1"/>
  <c r="B1765" i="1" s="1"/>
  <c r="A1766" i="1"/>
  <c r="B1766" i="1" s="1"/>
  <c r="A1767" i="1"/>
  <c r="B1767" i="1" s="1"/>
  <c r="A1768" i="1"/>
  <c r="B1768" i="1" s="1"/>
  <c r="A1769" i="1"/>
  <c r="B1769" i="1" s="1"/>
  <c r="A1770" i="1"/>
  <c r="B1770" i="1" s="1"/>
  <c r="A1771" i="1"/>
  <c r="B1771" i="1" s="1"/>
  <c r="A1772" i="1"/>
  <c r="B1772" i="1" s="1"/>
  <c r="A1773" i="1"/>
  <c r="B1773" i="1" s="1"/>
  <c r="A1774" i="1"/>
  <c r="B1774" i="1" s="1"/>
  <c r="A1775" i="1"/>
  <c r="B1775" i="1" s="1"/>
  <c r="A1776" i="1"/>
  <c r="B1776" i="1" s="1"/>
  <c r="A1777" i="1"/>
  <c r="B1777" i="1" s="1"/>
  <c r="A1778" i="1"/>
  <c r="B1778" i="1" s="1"/>
  <c r="A1779" i="1"/>
  <c r="B1779" i="1" s="1"/>
  <c r="A1780" i="1"/>
  <c r="B1780" i="1" s="1"/>
  <c r="A1781" i="1"/>
  <c r="B1781" i="1" s="1"/>
  <c r="A1782" i="1"/>
  <c r="B1782" i="1" s="1"/>
  <c r="A1783" i="1"/>
  <c r="B1783" i="1" s="1"/>
  <c r="A1784" i="1"/>
  <c r="B1784" i="1" s="1"/>
  <c r="A1785" i="1"/>
  <c r="B1785" i="1" s="1"/>
  <c r="A1786" i="1"/>
  <c r="B1786" i="1" s="1"/>
  <c r="A1787" i="1"/>
  <c r="B1787" i="1" s="1"/>
  <c r="A1788" i="1"/>
  <c r="B1788" i="1" s="1"/>
  <c r="A1789" i="1"/>
  <c r="B1789" i="1" s="1"/>
  <c r="A1790" i="1"/>
  <c r="B1790" i="1" s="1"/>
  <c r="A1791" i="1"/>
  <c r="B1791" i="1" s="1"/>
  <c r="A1792" i="1"/>
  <c r="B1792" i="1" s="1"/>
  <c r="A1793" i="1"/>
  <c r="B1793" i="1" s="1"/>
  <c r="A1794" i="1"/>
  <c r="B1794" i="1" s="1"/>
  <c r="A1795" i="1"/>
  <c r="B1795" i="1" s="1"/>
  <c r="A1796" i="1"/>
  <c r="B1796" i="1" s="1"/>
  <c r="A1797" i="1"/>
  <c r="B1797" i="1" s="1"/>
  <c r="A1798" i="1"/>
  <c r="B1798" i="1" s="1"/>
  <c r="A1799" i="1"/>
  <c r="B1799" i="1" s="1"/>
  <c r="A1800" i="1"/>
  <c r="B1800" i="1" s="1"/>
  <c r="A1801" i="1"/>
  <c r="B1801" i="1" s="1"/>
  <c r="A1802" i="1"/>
  <c r="B1802" i="1" s="1"/>
  <c r="A1803" i="1"/>
  <c r="B1803" i="1" s="1"/>
  <c r="A1804" i="1"/>
  <c r="B1804" i="1" s="1"/>
  <c r="A1805" i="1"/>
  <c r="B1805" i="1" s="1"/>
  <c r="A1806" i="1"/>
  <c r="B1806" i="1" s="1"/>
  <c r="A1807" i="1"/>
  <c r="B1807" i="1" s="1"/>
  <c r="A1808" i="1"/>
  <c r="B1808" i="1" s="1"/>
  <c r="A1809" i="1"/>
  <c r="B1809" i="1" s="1"/>
  <c r="A1810" i="1"/>
  <c r="B1810" i="1" s="1"/>
  <c r="A1811" i="1"/>
  <c r="B1811" i="1" s="1"/>
  <c r="A1812" i="1"/>
  <c r="B1812" i="1" s="1"/>
  <c r="A1813" i="1"/>
  <c r="B1813" i="1" s="1"/>
  <c r="A1814" i="1"/>
  <c r="B1814" i="1" s="1"/>
  <c r="A1815" i="1"/>
  <c r="B1815" i="1" s="1"/>
  <c r="A1816" i="1"/>
  <c r="B1816" i="1" s="1"/>
  <c r="A1817" i="1"/>
  <c r="B1817" i="1" s="1"/>
  <c r="A1818" i="1"/>
  <c r="B1818" i="1" s="1"/>
  <c r="A1819" i="1"/>
  <c r="B1819" i="1" s="1"/>
  <c r="A1820" i="1"/>
  <c r="B1820" i="1" s="1"/>
  <c r="A1821" i="1"/>
  <c r="B1821" i="1" s="1"/>
  <c r="A1822" i="1"/>
  <c r="B1822" i="1" s="1"/>
  <c r="A1823" i="1"/>
  <c r="B1823" i="1" s="1"/>
  <c r="A1824" i="1"/>
  <c r="B1824" i="1" s="1"/>
  <c r="A1825" i="1"/>
  <c r="B1825" i="1" s="1"/>
  <c r="A1826" i="1"/>
  <c r="B1826" i="1" s="1"/>
  <c r="A1827" i="1"/>
  <c r="B1827" i="1" s="1"/>
  <c r="A1828" i="1"/>
  <c r="B1828" i="1" s="1"/>
  <c r="A1829" i="1"/>
  <c r="B1829" i="1" s="1"/>
  <c r="A1830" i="1"/>
  <c r="B1830" i="1" s="1"/>
  <c r="A1831" i="1"/>
  <c r="B1831" i="1" s="1"/>
  <c r="A1832" i="1"/>
  <c r="B1832" i="1" s="1"/>
  <c r="A1833" i="1"/>
  <c r="B1833" i="1" s="1"/>
  <c r="A1834" i="1"/>
  <c r="B1834" i="1" s="1"/>
  <c r="A1835" i="1"/>
  <c r="B1835" i="1" s="1"/>
  <c r="A1836" i="1"/>
  <c r="B1836" i="1" s="1"/>
  <c r="A1837" i="1"/>
  <c r="B1837" i="1" s="1"/>
  <c r="A1838" i="1"/>
  <c r="B1838" i="1" s="1"/>
  <c r="A1839" i="1"/>
  <c r="B1839" i="1" s="1"/>
  <c r="A1840" i="1"/>
  <c r="B1840" i="1" s="1"/>
  <c r="A1841" i="1"/>
  <c r="B1841" i="1" s="1"/>
  <c r="A1842" i="1"/>
  <c r="B1842" i="1" s="1"/>
  <c r="A1843" i="1"/>
  <c r="B1843" i="1" s="1"/>
  <c r="A1844" i="1"/>
  <c r="B1844" i="1" s="1"/>
  <c r="A1845" i="1"/>
  <c r="B1845" i="1" s="1"/>
  <c r="A1846" i="1"/>
  <c r="B1846" i="1" s="1"/>
  <c r="A1847" i="1"/>
  <c r="B1847" i="1" s="1"/>
  <c r="A1848" i="1"/>
  <c r="B1848" i="1" s="1"/>
  <c r="A1849" i="1"/>
  <c r="B1849" i="1" s="1"/>
  <c r="A1850" i="1"/>
  <c r="B1850" i="1" s="1"/>
  <c r="A1851" i="1"/>
  <c r="B1851" i="1" s="1"/>
  <c r="A1852" i="1"/>
  <c r="B1852" i="1" s="1"/>
  <c r="A1853" i="1"/>
  <c r="B1853" i="1" s="1"/>
  <c r="A1854" i="1"/>
  <c r="B1854" i="1" s="1"/>
  <c r="A1855" i="1"/>
  <c r="B1855" i="1" s="1"/>
  <c r="A1856" i="1"/>
  <c r="B1856" i="1" s="1"/>
  <c r="A1857" i="1"/>
  <c r="B1857" i="1" s="1"/>
  <c r="A1858" i="1"/>
  <c r="B1858" i="1" s="1"/>
  <c r="A1859" i="1"/>
  <c r="B1859" i="1" s="1"/>
  <c r="A1860" i="1"/>
  <c r="B1860" i="1" s="1"/>
  <c r="A1861" i="1"/>
  <c r="B1861" i="1" s="1"/>
  <c r="A1862" i="1"/>
  <c r="B1862" i="1" s="1"/>
  <c r="A1863" i="1"/>
  <c r="B1863" i="1" s="1"/>
  <c r="A1864" i="1"/>
  <c r="B1864" i="1" s="1"/>
  <c r="A1865" i="1"/>
  <c r="B1865" i="1" s="1"/>
  <c r="A1866" i="1"/>
  <c r="B1866" i="1" s="1"/>
  <c r="A1867" i="1"/>
  <c r="B1867" i="1" s="1"/>
  <c r="A1868" i="1"/>
  <c r="B1868" i="1" s="1"/>
  <c r="A1869" i="1"/>
  <c r="B1869" i="1" s="1"/>
  <c r="A1870" i="1"/>
  <c r="B1870" i="1" s="1"/>
  <c r="A1871" i="1"/>
  <c r="B1871" i="1" s="1"/>
  <c r="A1872" i="1"/>
  <c r="B1872" i="1" s="1"/>
  <c r="A1873" i="1"/>
  <c r="B1873" i="1" s="1"/>
  <c r="A1874" i="1"/>
  <c r="B1874" i="1" s="1"/>
  <c r="A1875" i="1"/>
  <c r="B1875" i="1" s="1"/>
  <c r="A1876" i="1"/>
  <c r="B1876" i="1" s="1"/>
  <c r="A1877" i="1"/>
  <c r="B1877" i="1" s="1"/>
  <c r="A1878" i="1"/>
  <c r="B1878" i="1" s="1"/>
  <c r="A1879" i="1"/>
  <c r="B1879" i="1" s="1"/>
  <c r="A1880" i="1"/>
  <c r="B1880" i="1" s="1"/>
  <c r="A1881" i="1"/>
  <c r="B1881" i="1" s="1"/>
  <c r="A1882" i="1"/>
  <c r="B1882" i="1" s="1"/>
  <c r="A1883" i="1"/>
  <c r="B1883" i="1" s="1"/>
  <c r="A1884" i="1"/>
  <c r="B1884" i="1" s="1"/>
  <c r="A1885" i="1"/>
  <c r="B1885" i="1" s="1"/>
  <c r="A1886" i="1"/>
  <c r="B1886" i="1" s="1"/>
  <c r="A1887" i="1"/>
  <c r="B1887" i="1" s="1"/>
  <c r="A1888" i="1"/>
  <c r="B1888" i="1" s="1"/>
  <c r="A1889" i="1"/>
  <c r="B1889" i="1" s="1"/>
  <c r="A1890" i="1"/>
  <c r="B1890" i="1" s="1"/>
  <c r="A1891" i="1"/>
  <c r="B1891" i="1" s="1"/>
  <c r="A1892" i="1"/>
  <c r="B1892" i="1" s="1"/>
  <c r="A1893" i="1"/>
  <c r="B1893" i="1" s="1"/>
  <c r="A1894" i="1"/>
  <c r="B1894" i="1" s="1"/>
  <c r="A1895" i="1"/>
  <c r="B1895" i="1" s="1"/>
  <c r="A1896" i="1"/>
  <c r="B1896" i="1" s="1"/>
  <c r="A1897" i="1"/>
  <c r="B1897" i="1" s="1"/>
  <c r="A1898" i="1"/>
  <c r="B1898" i="1" s="1"/>
  <c r="A1899" i="1"/>
  <c r="B1899" i="1" s="1"/>
  <c r="A1900" i="1"/>
  <c r="B1900" i="1" s="1"/>
  <c r="A1901" i="1"/>
  <c r="B1901" i="1" s="1"/>
  <c r="A1902" i="1"/>
  <c r="B1902" i="1" s="1"/>
  <c r="A1903" i="1"/>
  <c r="B1903" i="1" s="1"/>
  <c r="A1904" i="1"/>
  <c r="B1904" i="1" s="1"/>
  <c r="A1905" i="1"/>
  <c r="B1905" i="1" s="1"/>
  <c r="A1906" i="1"/>
  <c r="B1906" i="1" s="1"/>
  <c r="A1907" i="1"/>
  <c r="B1907" i="1" s="1"/>
  <c r="A1908" i="1"/>
  <c r="B1908" i="1" s="1"/>
  <c r="A1909" i="1"/>
  <c r="B1909" i="1" s="1"/>
  <c r="A1910" i="1"/>
  <c r="B1910" i="1" s="1"/>
  <c r="A1911" i="1"/>
  <c r="B1911" i="1" s="1"/>
  <c r="A1912" i="1"/>
  <c r="B1912" i="1" s="1"/>
  <c r="A1913" i="1"/>
  <c r="B1913" i="1" s="1"/>
  <c r="A1914" i="1"/>
  <c r="B1914" i="1" s="1"/>
  <c r="A1915" i="1"/>
  <c r="B1915" i="1" s="1"/>
  <c r="A1916" i="1"/>
  <c r="B1916" i="1" s="1"/>
  <c r="A1917" i="1"/>
  <c r="B1917" i="1" s="1"/>
  <c r="A1918" i="1"/>
  <c r="B1918" i="1" s="1"/>
  <c r="A1919" i="1"/>
  <c r="B1919" i="1" s="1"/>
  <c r="A1920" i="1"/>
  <c r="B1920" i="1" s="1"/>
  <c r="A1921" i="1"/>
  <c r="B1921" i="1" s="1"/>
  <c r="A1922" i="1"/>
  <c r="B1922" i="1" s="1"/>
  <c r="A1923" i="1"/>
  <c r="B1923" i="1" s="1"/>
  <c r="A1924" i="1"/>
  <c r="B1924" i="1" s="1"/>
  <c r="A1925" i="1"/>
  <c r="B1925" i="1" s="1"/>
  <c r="A1926" i="1"/>
  <c r="B1926" i="1" s="1"/>
  <c r="A1927" i="1"/>
  <c r="B1927" i="1" s="1"/>
  <c r="A1928" i="1"/>
  <c r="B1928" i="1" s="1"/>
  <c r="A1929" i="1"/>
  <c r="B1929" i="1" s="1"/>
  <c r="A1930" i="1"/>
  <c r="B1930" i="1" s="1"/>
  <c r="A1931" i="1"/>
  <c r="B1931" i="1" s="1"/>
  <c r="A1932" i="1"/>
  <c r="B1932" i="1" s="1"/>
  <c r="A1933" i="1"/>
  <c r="B1933" i="1" s="1"/>
  <c r="A1934" i="1"/>
  <c r="B1934" i="1" s="1"/>
  <c r="A1935" i="1"/>
  <c r="B1935" i="1" s="1"/>
  <c r="A1936" i="1"/>
  <c r="B1936" i="1" s="1"/>
  <c r="A1937" i="1"/>
  <c r="B1937" i="1" s="1"/>
  <c r="A1938" i="1"/>
  <c r="B1938" i="1" s="1"/>
  <c r="A1939" i="1"/>
  <c r="B1939" i="1" s="1"/>
  <c r="A1940" i="1"/>
  <c r="B1940" i="1" s="1"/>
  <c r="A1941" i="1"/>
  <c r="B1941" i="1" s="1"/>
  <c r="A1942" i="1"/>
  <c r="B1942" i="1" s="1"/>
  <c r="A1943" i="1"/>
  <c r="B1943" i="1" s="1"/>
  <c r="A1944" i="1"/>
  <c r="B1944" i="1" s="1"/>
  <c r="A1945" i="1"/>
  <c r="B1945" i="1" s="1"/>
  <c r="A1946" i="1"/>
  <c r="B1946" i="1" s="1"/>
  <c r="A1947" i="1"/>
  <c r="B1947" i="1" s="1"/>
  <c r="A1948" i="1"/>
  <c r="B1948" i="1" s="1"/>
  <c r="A1949" i="1"/>
  <c r="B1949" i="1" s="1"/>
  <c r="A1950" i="1"/>
  <c r="B1950" i="1" s="1"/>
  <c r="A1951" i="1"/>
  <c r="B1951" i="1" s="1"/>
  <c r="A1952" i="1"/>
  <c r="B1952" i="1" s="1"/>
  <c r="A1953" i="1"/>
  <c r="B1953" i="1" s="1"/>
  <c r="A1954" i="1"/>
  <c r="B1954" i="1" s="1"/>
  <c r="A1955" i="1"/>
  <c r="B1955" i="1" s="1"/>
  <c r="A1956" i="1"/>
  <c r="B1956" i="1" s="1"/>
  <c r="A1957" i="1"/>
  <c r="B1957" i="1" s="1"/>
  <c r="A1958" i="1"/>
  <c r="B1958" i="1" s="1"/>
  <c r="A1959" i="1"/>
  <c r="B1959" i="1" s="1"/>
  <c r="A1960" i="1"/>
  <c r="B1960" i="1" s="1"/>
  <c r="A1961" i="1"/>
  <c r="B1961" i="1" s="1"/>
  <c r="A1962" i="1"/>
  <c r="B1962" i="1" s="1"/>
  <c r="A1963" i="1"/>
  <c r="B1963" i="1" s="1"/>
  <c r="A1964" i="1"/>
  <c r="B1964" i="1" s="1"/>
  <c r="A1965" i="1"/>
  <c r="B1965" i="1" s="1"/>
  <c r="A1966" i="1"/>
  <c r="B1966" i="1" s="1"/>
  <c r="A1967" i="1"/>
  <c r="B1967" i="1" s="1"/>
  <c r="A1968" i="1"/>
  <c r="B1968" i="1" s="1"/>
  <c r="A1969" i="1"/>
  <c r="B1969" i="1" s="1"/>
  <c r="A1970" i="1"/>
  <c r="B1970" i="1" s="1"/>
  <c r="A1971" i="1"/>
  <c r="B1971" i="1" s="1"/>
  <c r="A1972" i="1"/>
  <c r="B1972" i="1" s="1"/>
  <c r="A1973" i="1"/>
  <c r="B1973" i="1" s="1"/>
  <c r="A1974" i="1"/>
  <c r="B1974" i="1" s="1"/>
  <c r="A1975" i="1"/>
  <c r="B1975" i="1" s="1"/>
  <c r="A1976" i="1"/>
  <c r="B1976" i="1" s="1"/>
  <c r="A1977" i="1"/>
  <c r="B1977" i="1" s="1"/>
  <c r="A1978" i="1"/>
  <c r="B1978" i="1" s="1"/>
  <c r="A1979" i="1"/>
  <c r="B1979" i="1" s="1"/>
  <c r="A1980" i="1"/>
  <c r="B1980" i="1" s="1"/>
  <c r="A1981" i="1"/>
  <c r="B1981" i="1" s="1"/>
  <c r="A1982" i="1"/>
  <c r="B1982" i="1" s="1"/>
  <c r="A1983" i="1"/>
  <c r="B1983" i="1" s="1"/>
  <c r="A1984" i="1"/>
  <c r="B1984" i="1" s="1"/>
  <c r="A1985" i="1"/>
  <c r="B1985" i="1" s="1"/>
  <c r="A1986" i="1"/>
  <c r="B1986" i="1" s="1"/>
  <c r="A1987" i="1"/>
  <c r="B1987" i="1" s="1"/>
  <c r="A1988" i="1"/>
  <c r="B1988" i="1" s="1"/>
  <c r="A1989" i="1"/>
  <c r="B1989" i="1" s="1"/>
  <c r="A1990" i="1"/>
  <c r="B1990" i="1" s="1"/>
  <c r="A1991" i="1"/>
  <c r="B1991" i="1" s="1"/>
  <c r="A1992" i="1"/>
  <c r="B1992" i="1" s="1"/>
  <c r="A1993" i="1"/>
  <c r="B1993" i="1" s="1"/>
  <c r="A1994" i="1"/>
  <c r="B1994" i="1" s="1"/>
  <c r="A1995" i="1"/>
  <c r="B1995" i="1" s="1"/>
  <c r="A1996" i="1"/>
  <c r="B1996" i="1" s="1"/>
  <c r="A1997" i="1"/>
  <c r="B1997" i="1" s="1"/>
  <c r="A1998" i="1"/>
  <c r="B1998" i="1" s="1"/>
  <c r="A1999" i="1"/>
  <c r="B1999" i="1" s="1"/>
  <c r="A2000" i="1"/>
  <c r="B2000" i="1" s="1"/>
  <c r="A2001" i="1"/>
  <c r="B2001" i="1" s="1"/>
  <c r="A2002" i="1"/>
  <c r="B2002" i="1" s="1"/>
  <c r="A2003" i="1"/>
  <c r="B2003" i="1" s="1"/>
  <c r="A2004" i="1"/>
  <c r="B2004" i="1" s="1"/>
  <c r="A2005" i="1"/>
  <c r="B2005" i="1" s="1"/>
  <c r="A2006" i="1"/>
  <c r="B2006" i="1" s="1"/>
  <c r="A2007" i="1"/>
  <c r="B2007" i="1" s="1"/>
  <c r="A2008" i="1"/>
  <c r="B2008" i="1" s="1"/>
  <c r="A2009" i="1"/>
  <c r="B2009" i="1" s="1"/>
  <c r="A2010" i="1"/>
  <c r="B2010" i="1" s="1"/>
  <c r="A2011" i="1"/>
  <c r="B2011" i="1" s="1"/>
  <c r="A2012" i="1"/>
  <c r="B2012" i="1" s="1"/>
  <c r="A2013" i="1"/>
  <c r="B2013" i="1" s="1"/>
  <c r="A2014" i="1"/>
  <c r="B2014" i="1" s="1"/>
  <c r="A2015" i="1"/>
  <c r="B2015" i="1" s="1"/>
  <c r="A2016" i="1"/>
  <c r="B2016" i="1" s="1"/>
  <c r="A2017" i="1"/>
  <c r="B2017" i="1" s="1"/>
  <c r="A2018" i="1"/>
  <c r="B2018" i="1" s="1"/>
  <c r="A2019" i="1"/>
  <c r="B2019" i="1" s="1"/>
  <c r="A2020" i="1"/>
  <c r="B2020" i="1" s="1"/>
  <c r="A2021" i="1"/>
  <c r="B2021" i="1" s="1"/>
  <c r="A2022" i="1"/>
  <c r="B2022" i="1" s="1"/>
  <c r="A2023" i="1"/>
  <c r="B2023" i="1" s="1"/>
  <c r="A2024" i="1"/>
  <c r="B2024" i="1" s="1"/>
  <c r="A2025" i="1"/>
  <c r="B2025" i="1" s="1"/>
  <c r="A2026" i="1"/>
  <c r="B2026" i="1" s="1"/>
  <c r="A2027" i="1"/>
  <c r="B2027" i="1" s="1"/>
  <c r="A2028" i="1"/>
  <c r="B2028" i="1" s="1"/>
  <c r="A2029" i="1"/>
  <c r="B2029" i="1" s="1"/>
  <c r="A2030" i="1"/>
  <c r="B2030" i="1" s="1"/>
  <c r="A2031" i="1"/>
  <c r="B2031" i="1" s="1"/>
  <c r="A2032" i="1"/>
  <c r="B2032" i="1" s="1"/>
  <c r="A2033" i="1"/>
  <c r="B2033" i="1" s="1"/>
  <c r="A2034" i="1"/>
  <c r="B2034" i="1" s="1"/>
  <c r="A2035" i="1"/>
  <c r="B2035" i="1" s="1"/>
  <c r="A2036" i="1"/>
  <c r="B2036" i="1" s="1"/>
  <c r="A2037" i="1"/>
  <c r="B2037" i="1" s="1"/>
  <c r="A2038" i="1"/>
  <c r="B2038" i="1" s="1"/>
  <c r="A2039" i="1"/>
  <c r="B2039" i="1" s="1"/>
  <c r="A2040" i="1"/>
  <c r="B2040" i="1" s="1"/>
  <c r="A2041" i="1"/>
  <c r="B2041" i="1" s="1"/>
  <c r="A2042" i="1"/>
  <c r="B2042" i="1" s="1"/>
  <c r="A2043" i="1"/>
  <c r="B2043" i="1" s="1"/>
  <c r="A2044" i="1"/>
  <c r="B2044" i="1" s="1"/>
  <c r="A2045" i="1"/>
  <c r="B2045" i="1" s="1"/>
  <c r="A2046" i="1"/>
  <c r="B2046" i="1" s="1"/>
  <c r="A2047" i="1"/>
  <c r="B2047" i="1" s="1"/>
  <c r="A2048" i="1"/>
  <c r="B2048" i="1" s="1"/>
  <c r="A2049" i="1"/>
  <c r="B2049" i="1" s="1"/>
  <c r="A2050" i="1"/>
  <c r="B2050" i="1" s="1"/>
  <c r="A2051" i="1"/>
  <c r="B2051" i="1" s="1"/>
  <c r="A2052" i="1"/>
  <c r="B2052" i="1" s="1"/>
  <c r="A2053" i="1"/>
  <c r="B2053" i="1" s="1"/>
  <c r="A2054" i="1"/>
  <c r="B2054" i="1" s="1"/>
  <c r="A2055" i="1"/>
  <c r="B2055" i="1" s="1"/>
  <c r="A2056" i="1"/>
  <c r="B2056" i="1" s="1"/>
  <c r="A2057" i="1"/>
  <c r="B2057" i="1" s="1"/>
  <c r="A2058" i="1"/>
  <c r="B2058" i="1" s="1"/>
  <c r="A2059" i="1"/>
  <c r="B2059" i="1" s="1"/>
  <c r="A2060" i="1"/>
  <c r="B2060" i="1" s="1"/>
  <c r="A2061" i="1"/>
  <c r="B2061" i="1" s="1"/>
  <c r="A2062" i="1"/>
  <c r="B2062" i="1" s="1"/>
  <c r="A2063" i="1"/>
  <c r="B2063" i="1" s="1"/>
  <c r="A2064" i="1"/>
  <c r="B2064" i="1" s="1"/>
  <c r="A2065" i="1"/>
  <c r="B2065" i="1" s="1"/>
  <c r="A2066" i="1"/>
  <c r="B2066" i="1" s="1"/>
  <c r="A2067" i="1"/>
  <c r="B2067" i="1" s="1"/>
  <c r="A2068" i="1"/>
  <c r="B2068" i="1" s="1"/>
  <c r="A2069" i="1"/>
  <c r="B2069" i="1" s="1"/>
  <c r="A2070" i="1"/>
  <c r="B2070" i="1" s="1"/>
  <c r="A2071" i="1"/>
  <c r="B2071" i="1" s="1"/>
  <c r="A2072" i="1"/>
  <c r="B2072" i="1" s="1"/>
  <c r="A2073" i="1"/>
  <c r="B2073" i="1" s="1"/>
  <c r="A2074" i="1"/>
  <c r="B2074" i="1" s="1"/>
  <c r="A2075" i="1"/>
  <c r="B2075" i="1" s="1"/>
  <c r="A2076" i="1"/>
  <c r="B2076" i="1" s="1"/>
  <c r="A2077" i="1"/>
  <c r="B2077" i="1" s="1"/>
  <c r="A2078" i="1"/>
  <c r="B2078" i="1" s="1"/>
  <c r="A2079" i="1"/>
  <c r="B2079" i="1" s="1"/>
  <c r="A2080" i="1"/>
  <c r="B2080" i="1" s="1"/>
  <c r="A2081" i="1"/>
  <c r="B2081" i="1" s="1"/>
  <c r="A2082" i="1"/>
  <c r="B2082" i="1" s="1"/>
  <c r="A2083" i="1"/>
  <c r="B2083" i="1" s="1"/>
  <c r="A2084" i="1"/>
  <c r="B2084" i="1" s="1"/>
  <c r="A2085" i="1"/>
  <c r="B2085" i="1" s="1"/>
  <c r="A2086" i="1"/>
  <c r="B2086" i="1" s="1"/>
  <c r="A2087" i="1"/>
  <c r="B2087" i="1" s="1"/>
  <c r="A2088" i="1"/>
  <c r="B2088" i="1" s="1"/>
  <c r="A2089" i="1"/>
  <c r="B2089" i="1" s="1"/>
  <c r="A2090" i="1"/>
  <c r="B2090" i="1" s="1"/>
  <c r="A2091" i="1"/>
  <c r="B2091" i="1" s="1"/>
  <c r="A2092" i="1"/>
  <c r="B2092" i="1" s="1"/>
  <c r="A2093" i="1"/>
  <c r="B2093" i="1" s="1"/>
  <c r="A2094" i="1"/>
  <c r="B2094" i="1" s="1"/>
  <c r="A2095" i="1"/>
  <c r="B2095" i="1" s="1"/>
  <c r="A2096" i="1"/>
  <c r="B2096" i="1" s="1"/>
  <c r="A2097" i="1"/>
  <c r="B2097" i="1" s="1"/>
  <c r="A2098" i="1"/>
  <c r="B2098" i="1" s="1"/>
  <c r="A2099" i="1"/>
  <c r="B2099" i="1" s="1"/>
  <c r="A2100" i="1"/>
  <c r="B2100" i="1" s="1"/>
  <c r="A2101" i="1"/>
  <c r="B2101" i="1" s="1"/>
  <c r="A2102" i="1"/>
  <c r="B2102" i="1" s="1"/>
  <c r="A2103" i="1"/>
  <c r="B2103" i="1" s="1"/>
  <c r="A2104" i="1"/>
  <c r="B2104" i="1" s="1"/>
  <c r="A2105" i="1"/>
  <c r="B2105" i="1" s="1"/>
  <c r="A2106" i="1"/>
  <c r="B2106" i="1" s="1"/>
  <c r="A2107" i="1"/>
  <c r="B2107" i="1" s="1"/>
  <c r="A2108" i="1"/>
  <c r="B2108" i="1" s="1"/>
  <c r="A2109" i="1"/>
  <c r="B2109" i="1" s="1"/>
  <c r="A2110" i="1"/>
  <c r="B2110" i="1" s="1"/>
  <c r="A2111" i="1"/>
  <c r="B2111" i="1" s="1"/>
  <c r="A2112" i="1"/>
  <c r="B2112" i="1" s="1"/>
  <c r="A2113" i="1"/>
  <c r="B2113" i="1" s="1"/>
  <c r="A2114" i="1"/>
  <c r="B2114" i="1" s="1"/>
  <c r="A2115" i="1"/>
  <c r="B2115" i="1" s="1"/>
  <c r="A2116" i="1"/>
  <c r="B2116" i="1" s="1"/>
  <c r="A2117" i="1"/>
  <c r="B2117" i="1" s="1"/>
  <c r="A2118" i="1"/>
  <c r="B2118" i="1" s="1"/>
  <c r="A2119" i="1"/>
  <c r="B2119" i="1" s="1"/>
  <c r="A2120" i="1"/>
  <c r="B2120" i="1" s="1"/>
  <c r="A2121" i="1"/>
  <c r="B2121" i="1" s="1"/>
  <c r="A2122" i="1"/>
  <c r="B2122" i="1" s="1"/>
  <c r="A2123" i="1"/>
  <c r="B2123" i="1" s="1"/>
  <c r="A2124" i="1"/>
  <c r="B2124" i="1" s="1"/>
  <c r="A2125" i="1"/>
  <c r="B2125" i="1" s="1"/>
  <c r="A2126" i="1"/>
  <c r="B2126" i="1" s="1"/>
  <c r="A2127" i="1"/>
  <c r="B2127" i="1" s="1"/>
  <c r="A2128" i="1"/>
  <c r="B2128" i="1" s="1"/>
  <c r="A2129" i="1"/>
  <c r="B2129" i="1" s="1"/>
  <c r="A2130" i="1"/>
  <c r="B2130" i="1" s="1"/>
  <c r="A2131" i="1"/>
  <c r="B2131" i="1" s="1"/>
  <c r="A2132" i="1"/>
  <c r="B2132" i="1" s="1"/>
  <c r="A2133" i="1"/>
  <c r="B2133" i="1" s="1"/>
  <c r="A2134" i="1"/>
  <c r="B2134" i="1" s="1"/>
  <c r="A2135" i="1"/>
  <c r="B2135" i="1" s="1"/>
  <c r="A2136" i="1"/>
  <c r="B2136" i="1" s="1"/>
  <c r="A2137" i="1"/>
  <c r="B2137" i="1" s="1"/>
  <c r="A2138" i="1"/>
  <c r="B2138" i="1" s="1"/>
  <c r="A2139" i="1"/>
  <c r="B2139" i="1" s="1"/>
  <c r="A2140" i="1"/>
  <c r="B2140" i="1" s="1"/>
  <c r="A2141" i="1"/>
  <c r="B2141" i="1" s="1"/>
  <c r="A2142" i="1"/>
  <c r="B2142" i="1" s="1"/>
  <c r="A2143" i="1"/>
  <c r="B2143" i="1" s="1"/>
  <c r="A2144" i="1"/>
  <c r="B2144" i="1" s="1"/>
  <c r="A2145" i="1"/>
  <c r="B2145" i="1" s="1"/>
  <c r="A2146" i="1"/>
  <c r="B2146" i="1" s="1"/>
  <c r="A2147" i="1"/>
  <c r="B2147" i="1" s="1"/>
  <c r="A2148" i="1"/>
  <c r="B2148" i="1" s="1"/>
  <c r="A2149" i="1"/>
  <c r="B2149" i="1" s="1"/>
  <c r="A2150" i="1"/>
  <c r="B2150" i="1" s="1"/>
  <c r="A2151" i="1"/>
  <c r="B2151" i="1" s="1"/>
  <c r="A2152" i="1"/>
  <c r="B2152" i="1" s="1"/>
  <c r="A2153" i="1"/>
  <c r="B2153" i="1" s="1"/>
  <c r="A2154" i="1"/>
  <c r="B2154" i="1" s="1"/>
  <c r="A2155" i="1"/>
  <c r="B2155" i="1" s="1"/>
  <c r="A2156" i="1"/>
  <c r="B2156" i="1" s="1"/>
  <c r="A2157" i="1"/>
  <c r="B2157" i="1" s="1"/>
  <c r="A2158" i="1"/>
  <c r="B2158" i="1" s="1"/>
  <c r="A2159" i="1"/>
  <c r="B2159" i="1" s="1"/>
  <c r="A2160" i="1"/>
  <c r="B2160" i="1" s="1"/>
  <c r="A2161" i="1"/>
  <c r="B2161" i="1" s="1"/>
  <c r="A2162" i="1"/>
  <c r="B2162" i="1" s="1"/>
  <c r="A2163" i="1"/>
  <c r="B2163" i="1" s="1"/>
  <c r="A2164" i="1"/>
  <c r="B2164" i="1" s="1"/>
  <c r="A2165" i="1"/>
  <c r="B2165" i="1" s="1"/>
  <c r="A2166" i="1"/>
  <c r="B2166" i="1" s="1"/>
  <c r="A2167" i="1"/>
  <c r="B2167" i="1" s="1"/>
  <c r="A2168" i="1"/>
  <c r="B2168" i="1" s="1"/>
  <c r="A2169" i="1"/>
  <c r="B2169" i="1" s="1"/>
  <c r="A2170" i="1"/>
  <c r="B2170" i="1" s="1"/>
  <c r="A2171" i="1"/>
  <c r="B2171" i="1" s="1"/>
  <c r="A2172" i="1"/>
  <c r="B2172" i="1" s="1"/>
  <c r="A2173" i="1"/>
  <c r="B2173" i="1" s="1"/>
  <c r="A2174" i="1"/>
  <c r="B2174" i="1" s="1"/>
  <c r="A2175" i="1"/>
  <c r="B2175" i="1" s="1"/>
  <c r="A2176" i="1"/>
  <c r="B2176" i="1" s="1"/>
  <c r="A2177" i="1"/>
  <c r="B2177" i="1" s="1"/>
  <c r="A2178" i="1"/>
  <c r="B2178" i="1" s="1"/>
  <c r="A2179" i="1"/>
  <c r="B2179" i="1" s="1"/>
  <c r="A2180" i="1"/>
  <c r="B2180" i="1" s="1"/>
  <c r="A2181" i="1"/>
  <c r="B2181" i="1" s="1"/>
  <c r="A2182" i="1"/>
  <c r="B2182" i="1" s="1"/>
  <c r="A2183" i="1"/>
  <c r="B2183" i="1" s="1"/>
  <c r="A2184" i="1"/>
  <c r="B2184" i="1" s="1"/>
  <c r="A2185" i="1"/>
  <c r="B2185" i="1" s="1"/>
  <c r="A2186" i="1"/>
  <c r="B2186" i="1" s="1"/>
  <c r="A2187" i="1"/>
  <c r="B2187" i="1" s="1"/>
  <c r="A2188" i="1"/>
  <c r="B2188" i="1" s="1"/>
  <c r="A2189" i="1"/>
  <c r="B2189" i="1" s="1"/>
  <c r="A2190" i="1"/>
  <c r="B2190" i="1" s="1"/>
  <c r="A2191" i="1"/>
  <c r="B2191" i="1" s="1"/>
  <c r="A2192" i="1"/>
  <c r="B2192" i="1" s="1"/>
  <c r="A2193" i="1"/>
  <c r="B2193" i="1" s="1"/>
  <c r="A2194" i="1"/>
  <c r="B2194" i="1" s="1"/>
  <c r="A2195" i="1"/>
  <c r="B2195" i="1" s="1"/>
  <c r="A2196" i="1"/>
  <c r="B2196" i="1" s="1"/>
  <c r="A2197" i="1"/>
  <c r="B2197" i="1" s="1"/>
  <c r="A2198" i="1"/>
  <c r="B2198" i="1" s="1"/>
  <c r="A2199" i="1"/>
  <c r="B2199" i="1" s="1"/>
  <c r="A2200" i="1"/>
  <c r="B2200" i="1" s="1"/>
  <c r="A2201" i="1"/>
  <c r="B2201" i="1" s="1"/>
  <c r="A2202" i="1"/>
  <c r="B2202" i="1" s="1"/>
  <c r="A2203" i="1"/>
  <c r="B2203" i="1" s="1"/>
  <c r="A2204" i="1"/>
  <c r="B2204" i="1" s="1"/>
  <c r="A2205" i="1"/>
  <c r="B2205" i="1" s="1"/>
  <c r="A2206" i="1"/>
  <c r="B2206" i="1" s="1"/>
  <c r="A2207" i="1"/>
  <c r="B2207" i="1" s="1"/>
  <c r="A2208" i="1"/>
  <c r="B2208" i="1" s="1"/>
  <c r="A2209" i="1"/>
  <c r="B2209" i="1" s="1"/>
  <c r="A2210" i="1"/>
  <c r="B2210" i="1" s="1"/>
  <c r="A2211" i="1"/>
  <c r="B2211" i="1" s="1"/>
  <c r="A2212" i="1"/>
  <c r="B2212" i="1" s="1"/>
  <c r="A2213" i="1"/>
  <c r="B2213" i="1" s="1"/>
  <c r="A2214" i="1"/>
  <c r="B2214" i="1" s="1"/>
  <c r="A2215" i="1"/>
  <c r="B2215" i="1" s="1"/>
  <c r="A2216" i="1"/>
  <c r="B2216" i="1" s="1"/>
  <c r="A2217" i="1"/>
  <c r="B2217" i="1" s="1"/>
  <c r="A2218" i="1"/>
  <c r="B2218" i="1" s="1"/>
  <c r="A2219" i="1"/>
  <c r="B2219" i="1" s="1"/>
  <c r="A2220" i="1"/>
  <c r="B2220" i="1" s="1"/>
  <c r="A2221" i="1"/>
  <c r="B2221" i="1" s="1"/>
  <c r="A2222" i="1"/>
  <c r="B2222" i="1" s="1"/>
  <c r="A2223" i="1"/>
  <c r="B2223" i="1" s="1"/>
  <c r="A2224" i="1"/>
  <c r="B2224" i="1" s="1"/>
  <c r="A2225" i="1"/>
  <c r="B2225" i="1" s="1"/>
  <c r="A2226" i="1"/>
  <c r="B2226" i="1" s="1"/>
  <c r="A2227" i="1"/>
  <c r="B2227" i="1" s="1"/>
  <c r="A2228" i="1"/>
  <c r="B2228" i="1" s="1"/>
  <c r="A2229" i="1"/>
  <c r="B2229" i="1" s="1"/>
  <c r="A2230" i="1"/>
  <c r="B2230" i="1" s="1"/>
  <c r="A2231" i="1"/>
  <c r="B2231" i="1" s="1"/>
  <c r="A2232" i="1"/>
  <c r="B2232" i="1" s="1"/>
  <c r="A2233" i="1"/>
  <c r="B2233" i="1" s="1"/>
  <c r="A2234" i="1"/>
  <c r="B2234" i="1" s="1"/>
  <c r="A2235" i="1"/>
  <c r="B2235" i="1" s="1"/>
  <c r="A2236" i="1"/>
  <c r="B2236" i="1" s="1"/>
  <c r="A2237" i="1"/>
  <c r="B2237" i="1" s="1"/>
  <c r="A2238" i="1"/>
  <c r="B2238" i="1" s="1"/>
  <c r="A2239" i="1"/>
  <c r="B2239" i="1" s="1"/>
  <c r="A2240" i="1"/>
  <c r="B2240" i="1" s="1"/>
  <c r="A2241" i="1"/>
  <c r="B2241" i="1" s="1"/>
  <c r="A2242" i="1"/>
  <c r="B2242" i="1" s="1"/>
  <c r="A2243" i="1"/>
  <c r="B2243" i="1" s="1"/>
  <c r="A2244" i="1"/>
  <c r="B2244" i="1" s="1"/>
  <c r="A2245" i="1"/>
  <c r="B2245" i="1" s="1"/>
  <c r="A2246" i="1"/>
  <c r="B2246" i="1" s="1"/>
  <c r="A2247" i="1"/>
  <c r="B2247" i="1" s="1"/>
  <c r="A2248" i="1"/>
  <c r="B2248" i="1" s="1"/>
  <c r="A2249" i="1"/>
  <c r="B2249" i="1" s="1"/>
  <c r="A2250" i="1"/>
  <c r="B2250" i="1" s="1"/>
  <c r="A2251" i="1"/>
  <c r="B2251" i="1" s="1"/>
  <c r="A2252" i="1"/>
  <c r="B2252" i="1" s="1"/>
  <c r="A2253" i="1"/>
  <c r="B2253" i="1" s="1"/>
  <c r="A2254" i="1"/>
  <c r="B2254" i="1" s="1"/>
  <c r="A2255" i="1"/>
  <c r="B2255" i="1" s="1"/>
  <c r="A2256" i="1"/>
  <c r="B2256" i="1" s="1"/>
  <c r="A2257" i="1"/>
  <c r="B2257" i="1" s="1"/>
  <c r="A2258" i="1"/>
  <c r="B2258" i="1" s="1"/>
  <c r="A2259" i="1"/>
  <c r="B2259" i="1" s="1"/>
  <c r="A2260" i="1"/>
  <c r="B2260" i="1" s="1"/>
  <c r="A2261" i="1"/>
  <c r="B2261" i="1" s="1"/>
  <c r="A2262" i="1"/>
  <c r="B2262" i="1" s="1"/>
  <c r="A2263" i="1"/>
  <c r="B2263" i="1" s="1"/>
  <c r="A2264" i="1"/>
  <c r="B2264" i="1" s="1"/>
  <c r="A2265" i="1"/>
  <c r="B2265" i="1" s="1"/>
  <c r="A2266" i="1"/>
  <c r="B2266" i="1" s="1"/>
  <c r="A2267" i="1"/>
  <c r="B2267" i="1" s="1"/>
  <c r="A2268" i="1"/>
  <c r="B2268" i="1" s="1"/>
  <c r="A2269" i="1"/>
  <c r="B2269" i="1" s="1"/>
  <c r="A2270" i="1"/>
  <c r="B2270" i="1" s="1"/>
  <c r="A2271" i="1"/>
  <c r="B2271" i="1" s="1"/>
  <c r="A2272" i="1"/>
  <c r="B2272" i="1" s="1"/>
  <c r="A2273" i="1"/>
  <c r="B2273" i="1" s="1"/>
  <c r="A2274" i="1"/>
  <c r="B2274" i="1" s="1"/>
  <c r="A2275" i="1"/>
  <c r="B2275" i="1" s="1"/>
  <c r="A2276" i="1"/>
  <c r="B2276" i="1" s="1"/>
  <c r="A2277" i="1"/>
  <c r="B2277" i="1" s="1"/>
  <c r="A2278" i="1"/>
  <c r="B2278" i="1" s="1"/>
  <c r="A2279" i="1"/>
  <c r="B2279" i="1" s="1"/>
  <c r="A2280" i="1"/>
  <c r="B2280" i="1" s="1"/>
  <c r="A2281" i="1"/>
  <c r="B2281" i="1" s="1"/>
  <c r="A2282" i="1"/>
  <c r="B2282" i="1" s="1"/>
  <c r="A2283" i="1"/>
  <c r="B2283" i="1" s="1"/>
  <c r="A2284" i="1"/>
  <c r="B2284" i="1" s="1"/>
  <c r="A2285" i="1"/>
  <c r="B2285" i="1" s="1"/>
  <c r="A2286" i="1"/>
  <c r="B2286" i="1" s="1"/>
  <c r="A2287" i="1"/>
  <c r="B2287" i="1" s="1"/>
  <c r="A2288" i="1"/>
  <c r="B2288" i="1" s="1"/>
  <c r="A2289" i="1"/>
  <c r="B2289" i="1" s="1"/>
  <c r="A2290" i="1"/>
  <c r="B2290" i="1" s="1"/>
  <c r="A2291" i="1"/>
  <c r="B2291" i="1" s="1"/>
  <c r="A2292" i="1"/>
  <c r="B2292" i="1" s="1"/>
  <c r="A2293" i="1"/>
  <c r="B2293" i="1" s="1"/>
  <c r="A2294" i="1"/>
  <c r="B2294" i="1" s="1"/>
  <c r="A2295" i="1"/>
  <c r="B2295" i="1" s="1"/>
  <c r="A2296" i="1"/>
  <c r="B2296" i="1" s="1"/>
  <c r="A2297" i="1"/>
  <c r="B2297" i="1" s="1"/>
  <c r="A2298" i="1"/>
  <c r="B2298" i="1" s="1"/>
  <c r="A2299" i="1"/>
  <c r="B2299" i="1" s="1"/>
  <c r="A2300" i="1"/>
  <c r="B2300" i="1" s="1"/>
  <c r="A2301" i="1"/>
  <c r="B2301" i="1" s="1"/>
  <c r="A2302" i="1"/>
  <c r="B2302" i="1" s="1"/>
  <c r="A2303" i="1"/>
  <c r="B2303" i="1" s="1"/>
  <c r="A2304" i="1"/>
  <c r="B2304" i="1" s="1"/>
  <c r="A2305" i="1"/>
  <c r="B2305" i="1" s="1"/>
  <c r="A2306" i="1"/>
  <c r="B2306" i="1" s="1"/>
  <c r="A2307" i="1"/>
  <c r="B2307" i="1" s="1"/>
  <c r="A2308" i="1"/>
  <c r="B2308" i="1" s="1"/>
  <c r="A2309" i="1"/>
  <c r="B2309" i="1" s="1"/>
  <c r="A2310" i="1"/>
  <c r="B2310" i="1" s="1"/>
  <c r="A2311" i="1"/>
  <c r="B2311" i="1" s="1"/>
  <c r="A2312" i="1"/>
  <c r="B2312" i="1" s="1"/>
  <c r="A2313" i="1"/>
  <c r="B2313" i="1" s="1"/>
  <c r="A2314" i="1"/>
  <c r="B2314" i="1" s="1"/>
  <c r="A2315" i="1"/>
  <c r="B2315" i="1" s="1"/>
  <c r="A2316" i="1"/>
  <c r="B2316" i="1" s="1"/>
  <c r="A2317" i="1"/>
  <c r="B2317" i="1" s="1"/>
  <c r="A2318" i="1"/>
  <c r="B2318" i="1" s="1"/>
  <c r="A2319" i="1"/>
  <c r="B2319" i="1" s="1"/>
  <c r="A2320" i="1"/>
  <c r="B2320" i="1" s="1"/>
  <c r="A2321" i="1"/>
  <c r="B2321" i="1" s="1"/>
  <c r="A2322" i="1"/>
  <c r="B2322" i="1" s="1"/>
  <c r="A2323" i="1"/>
  <c r="B2323" i="1" s="1"/>
  <c r="A2324" i="1"/>
  <c r="B2324" i="1" s="1"/>
  <c r="A2325" i="1"/>
  <c r="B2325" i="1" s="1"/>
  <c r="A2326" i="1"/>
  <c r="B2326" i="1" s="1"/>
  <c r="A2327" i="1"/>
  <c r="B2327" i="1" s="1"/>
  <c r="A2328" i="1"/>
  <c r="B2328" i="1" s="1"/>
  <c r="A2329" i="1"/>
  <c r="B2329" i="1" s="1"/>
  <c r="A2330" i="1"/>
  <c r="B2330" i="1" s="1"/>
  <c r="A2331" i="1"/>
  <c r="B2331" i="1" s="1"/>
  <c r="A2332" i="1"/>
  <c r="B2332" i="1" s="1"/>
  <c r="A2333" i="1"/>
  <c r="B2333" i="1" s="1"/>
  <c r="A2334" i="1"/>
  <c r="B2334" i="1" s="1"/>
  <c r="A2335" i="1"/>
  <c r="B2335" i="1" s="1"/>
  <c r="A2336" i="1"/>
  <c r="B2336" i="1" s="1"/>
  <c r="A2337" i="1"/>
  <c r="B2337" i="1" s="1"/>
  <c r="A2338" i="1"/>
  <c r="B2338" i="1" s="1"/>
  <c r="A2339" i="1"/>
  <c r="B2339" i="1" s="1"/>
  <c r="A2340" i="1"/>
  <c r="B2340" i="1" s="1"/>
  <c r="A2341" i="1"/>
  <c r="B2341" i="1" s="1"/>
  <c r="A2342" i="1"/>
  <c r="B2342" i="1" s="1"/>
  <c r="A2343" i="1"/>
  <c r="B2343" i="1" s="1"/>
  <c r="A2344" i="1"/>
  <c r="B2344" i="1" s="1"/>
  <c r="A2345" i="1"/>
  <c r="B2345" i="1" s="1"/>
  <c r="A2346" i="1"/>
  <c r="B2346" i="1" s="1"/>
  <c r="A2347" i="1"/>
  <c r="B2347" i="1" s="1"/>
  <c r="A2348" i="1"/>
  <c r="B2348" i="1" s="1"/>
  <c r="A2349" i="1"/>
  <c r="B2349" i="1" s="1"/>
  <c r="A2350" i="1"/>
  <c r="B2350" i="1" s="1"/>
  <c r="A2351" i="1"/>
  <c r="B2351" i="1" s="1"/>
  <c r="A2352" i="1"/>
  <c r="B2352" i="1" s="1"/>
  <c r="A2353" i="1"/>
  <c r="B2353" i="1" s="1"/>
  <c r="A2354" i="1"/>
  <c r="B2354" i="1" s="1"/>
  <c r="A2355" i="1"/>
  <c r="B2355" i="1" s="1"/>
  <c r="A2356" i="1"/>
  <c r="B2356" i="1" s="1"/>
  <c r="A2357" i="1"/>
  <c r="B2357" i="1" s="1"/>
  <c r="A2358" i="1"/>
  <c r="B2358" i="1" s="1"/>
  <c r="A2359" i="1"/>
  <c r="B2359" i="1" s="1"/>
  <c r="A2360" i="1"/>
  <c r="B2360" i="1" s="1"/>
  <c r="A2361" i="1"/>
  <c r="B2361" i="1" s="1"/>
  <c r="A2362" i="1"/>
  <c r="B2362" i="1" s="1"/>
  <c r="A2363" i="1"/>
  <c r="B2363" i="1" s="1"/>
  <c r="A2364" i="1"/>
  <c r="B2364" i="1" s="1"/>
  <c r="A2365" i="1"/>
  <c r="B2365" i="1" s="1"/>
  <c r="A2366" i="1"/>
  <c r="B2366" i="1" s="1"/>
  <c r="A2367" i="1"/>
  <c r="B2367" i="1" s="1"/>
  <c r="A2368" i="1"/>
  <c r="B2368" i="1" s="1"/>
  <c r="A2369" i="1"/>
  <c r="B2369" i="1" s="1"/>
  <c r="A2370" i="1"/>
  <c r="B2370" i="1" s="1"/>
  <c r="A2371" i="1"/>
  <c r="B2371" i="1" s="1"/>
  <c r="A2372" i="1"/>
  <c r="B2372" i="1" s="1"/>
  <c r="A2373" i="1"/>
  <c r="B2373" i="1" s="1"/>
  <c r="A2374" i="1"/>
  <c r="B2374" i="1" s="1"/>
  <c r="A2375" i="1"/>
  <c r="B2375" i="1" s="1"/>
  <c r="A2376" i="1"/>
  <c r="B2376" i="1" s="1"/>
  <c r="A2377" i="1"/>
  <c r="B2377" i="1" s="1"/>
  <c r="A2378" i="1"/>
  <c r="B2378" i="1" s="1"/>
  <c r="A2379" i="1"/>
  <c r="B2379" i="1" s="1"/>
  <c r="A2380" i="1"/>
  <c r="B2380" i="1" s="1"/>
  <c r="A2381" i="1"/>
  <c r="B2381" i="1" s="1"/>
  <c r="A2382" i="1"/>
  <c r="B2382" i="1" s="1"/>
  <c r="A2383" i="1"/>
  <c r="B2383" i="1" s="1"/>
  <c r="A2384" i="1"/>
  <c r="B2384" i="1" s="1"/>
  <c r="A2385" i="1"/>
  <c r="B2385" i="1" s="1"/>
  <c r="A2386" i="1"/>
  <c r="B2386" i="1" s="1"/>
  <c r="A2387" i="1"/>
  <c r="B2387" i="1" s="1"/>
  <c r="A2388" i="1"/>
  <c r="B2388" i="1" s="1"/>
  <c r="A2389" i="1"/>
  <c r="B2389" i="1" s="1"/>
  <c r="A2390" i="1"/>
  <c r="B2390" i="1" s="1"/>
  <c r="A2391" i="1"/>
  <c r="B2391" i="1" s="1"/>
  <c r="A2392" i="1"/>
  <c r="B2392" i="1" s="1"/>
  <c r="A2393" i="1"/>
  <c r="B2393" i="1" s="1"/>
  <c r="A2394" i="1"/>
  <c r="B2394" i="1" s="1"/>
  <c r="A2395" i="1"/>
  <c r="B2395" i="1" s="1"/>
  <c r="A2396" i="1"/>
  <c r="B2396" i="1" s="1"/>
  <c r="A2397" i="1"/>
  <c r="B2397" i="1" s="1"/>
  <c r="A2398" i="1"/>
  <c r="B2398" i="1" s="1"/>
  <c r="A2399" i="1"/>
  <c r="B2399" i="1" s="1"/>
  <c r="A2400" i="1"/>
  <c r="B2400" i="1" s="1"/>
  <c r="A2401" i="1"/>
  <c r="B2401" i="1" s="1"/>
  <c r="A2402" i="1"/>
  <c r="B2402" i="1" s="1"/>
  <c r="A2403" i="1"/>
  <c r="B2403" i="1" s="1"/>
  <c r="A2404" i="1"/>
  <c r="B2404" i="1" s="1"/>
  <c r="A2405" i="1"/>
  <c r="B2405" i="1" s="1"/>
  <c r="A2406" i="1"/>
  <c r="B2406" i="1" s="1"/>
  <c r="A2407" i="1"/>
  <c r="B2407" i="1" s="1"/>
  <c r="A2408" i="1"/>
  <c r="B2408" i="1" s="1"/>
  <c r="A2409" i="1"/>
  <c r="B2409" i="1" s="1"/>
  <c r="A2410" i="1"/>
  <c r="B2410" i="1" s="1"/>
  <c r="A2411" i="1"/>
  <c r="B2411" i="1" s="1"/>
  <c r="A2412" i="1"/>
  <c r="B2412" i="1" s="1"/>
  <c r="A2413" i="1"/>
  <c r="B2413" i="1" s="1"/>
  <c r="A2414" i="1"/>
  <c r="B2414" i="1" s="1"/>
  <c r="A2415" i="1"/>
  <c r="B2415" i="1" s="1"/>
  <c r="A2416" i="1"/>
  <c r="B2416" i="1" s="1"/>
  <c r="A2417" i="1"/>
  <c r="B2417" i="1" s="1"/>
  <c r="A2418" i="1"/>
  <c r="B2418" i="1" s="1"/>
  <c r="A2419" i="1"/>
  <c r="B2419" i="1" s="1"/>
  <c r="A2420" i="1"/>
  <c r="B2420" i="1" s="1"/>
  <c r="A2421" i="1"/>
  <c r="B2421" i="1" s="1"/>
  <c r="A2422" i="1"/>
  <c r="B2422" i="1" s="1"/>
  <c r="A2423" i="1"/>
  <c r="B2423" i="1" s="1"/>
  <c r="A2424" i="1"/>
  <c r="B2424" i="1" s="1"/>
  <c r="A2425" i="1"/>
  <c r="B2425" i="1" s="1"/>
  <c r="A2426" i="1"/>
  <c r="B2426" i="1" s="1"/>
  <c r="A2427" i="1"/>
  <c r="B2427" i="1" s="1"/>
  <c r="A2428" i="1"/>
  <c r="B2428" i="1" s="1"/>
  <c r="A2429" i="1"/>
  <c r="B2429" i="1" s="1"/>
  <c r="A2430" i="1"/>
  <c r="B2430" i="1" s="1"/>
  <c r="A2431" i="1"/>
  <c r="B2431" i="1" s="1"/>
  <c r="A2432" i="1"/>
  <c r="B2432" i="1" s="1"/>
  <c r="A2433" i="1"/>
  <c r="B2433" i="1" s="1"/>
  <c r="A2434" i="1"/>
  <c r="B2434" i="1" s="1"/>
  <c r="A2435" i="1"/>
  <c r="B2435" i="1" s="1"/>
  <c r="A2436" i="1"/>
  <c r="B2436" i="1" s="1"/>
  <c r="A2437" i="1"/>
  <c r="B2437" i="1" s="1"/>
  <c r="A2438" i="1"/>
  <c r="B2438" i="1" s="1"/>
  <c r="A2439" i="1"/>
  <c r="B2439" i="1" s="1"/>
  <c r="A2440" i="1"/>
  <c r="B2440" i="1" s="1"/>
  <c r="A2441" i="1"/>
  <c r="B2441" i="1" s="1"/>
  <c r="A2442" i="1"/>
  <c r="B2442" i="1" s="1"/>
  <c r="A2443" i="1"/>
  <c r="B2443" i="1" s="1"/>
  <c r="A2444" i="1"/>
  <c r="B2444" i="1" s="1"/>
  <c r="A2445" i="1"/>
  <c r="B2445" i="1" s="1"/>
  <c r="A2446" i="1"/>
  <c r="B2446" i="1" s="1"/>
  <c r="A2447" i="1"/>
  <c r="B2447" i="1" s="1"/>
  <c r="A2448" i="1"/>
  <c r="B2448" i="1" s="1"/>
  <c r="A2449" i="1"/>
  <c r="B2449" i="1" s="1"/>
  <c r="A2450" i="1"/>
  <c r="B2450" i="1" s="1"/>
  <c r="A2451" i="1"/>
  <c r="B2451" i="1" s="1"/>
  <c r="A2452" i="1"/>
  <c r="B2452" i="1" s="1"/>
  <c r="A2453" i="1"/>
  <c r="B2453" i="1" s="1"/>
  <c r="A2454" i="1"/>
  <c r="B2454" i="1" s="1"/>
  <c r="A2455" i="1"/>
  <c r="B2455" i="1" s="1"/>
  <c r="A2456" i="1"/>
  <c r="B2456" i="1" s="1"/>
  <c r="A2457" i="1"/>
  <c r="B2457" i="1" s="1"/>
  <c r="A2458" i="1"/>
  <c r="B2458" i="1" s="1"/>
  <c r="A2459" i="1"/>
  <c r="B2459" i="1" s="1"/>
  <c r="A2460" i="1"/>
  <c r="B2460" i="1" s="1"/>
  <c r="A2461" i="1"/>
  <c r="B2461" i="1" s="1"/>
  <c r="A2462" i="1"/>
  <c r="B2462" i="1" s="1"/>
  <c r="A2463" i="1"/>
  <c r="B2463" i="1" s="1"/>
  <c r="A2464" i="1"/>
  <c r="B2464" i="1" s="1"/>
  <c r="A2465" i="1"/>
  <c r="B2465" i="1" s="1"/>
  <c r="A2466" i="1"/>
  <c r="B2466" i="1" s="1"/>
  <c r="A2467" i="1"/>
  <c r="B2467" i="1" s="1"/>
  <c r="A2468" i="1"/>
  <c r="B2468" i="1" s="1"/>
  <c r="A2469" i="1"/>
  <c r="B2469" i="1" s="1"/>
  <c r="A2470" i="1"/>
  <c r="B2470" i="1" s="1"/>
  <c r="A2471" i="1"/>
  <c r="B2471" i="1" s="1"/>
  <c r="A2472" i="1"/>
  <c r="B2472" i="1" s="1"/>
  <c r="A2473" i="1"/>
  <c r="B2473" i="1" s="1"/>
  <c r="A2474" i="1"/>
  <c r="B2474" i="1" s="1"/>
  <c r="A2475" i="1"/>
  <c r="B2475" i="1" s="1"/>
  <c r="A2476" i="1"/>
  <c r="B2476" i="1" s="1"/>
  <c r="A2477" i="1"/>
  <c r="B2477" i="1" s="1"/>
  <c r="A2478" i="1"/>
  <c r="B2478" i="1" s="1"/>
  <c r="A2479" i="1"/>
  <c r="B2479" i="1" s="1"/>
  <c r="A2480" i="1"/>
  <c r="B2480" i="1" s="1"/>
  <c r="A2481" i="1"/>
  <c r="B2481" i="1" s="1"/>
  <c r="A2482" i="1"/>
  <c r="B2482" i="1" s="1"/>
  <c r="A2483" i="1"/>
  <c r="B2483" i="1" s="1"/>
  <c r="A2484" i="1"/>
  <c r="B2484" i="1" s="1"/>
  <c r="A2485" i="1"/>
  <c r="B2485" i="1" s="1"/>
  <c r="A2486" i="1"/>
  <c r="B2486" i="1" s="1"/>
  <c r="A2487" i="1"/>
  <c r="B2487" i="1" s="1"/>
  <c r="A2488" i="1"/>
  <c r="B2488" i="1" s="1"/>
  <c r="A2489" i="1"/>
  <c r="B2489" i="1" s="1"/>
  <c r="A2490" i="1"/>
  <c r="B2490" i="1" s="1"/>
  <c r="A2491" i="1"/>
  <c r="B2491" i="1" s="1"/>
  <c r="A2492" i="1"/>
  <c r="B2492" i="1" s="1"/>
  <c r="A2493" i="1"/>
  <c r="B2493" i="1" s="1"/>
  <c r="A2494" i="1"/>
  <c r="B2494" i="1" s="1"/>
  <c r="A2495" i="1"/>
  <c r="B2495" i="1" s="1"/>
  <c r="A2496" i="1"/>
  <c r="B2496" i="1" s="1"/>
  <c r="A2497" i="1"/>
  <c r="B2497" i="1" s="1"/>
  <c r="A2498" i="1"/>
  <c r="B2498" i="1" s="1"/>
  <c r="A2499" i="1"/>
  <c r="B2499" i="1" s="1"/>
  <c r="A2500" i="1"/>
  <c r="B2500" i="1" s="1"/>
  <c r="A2501" i="1"/>
  <c r="B2501" i="1" s="1"/>
  <c r="A2502" i="1"/>
  <c r="B2502" i="1" s="1"/>
  <c r="A2503" i="1"/>
  <c r="B2503" i="1" s="1"/>
  <c r="A2504" i="1"/>
  <c r="B2504" i="1" s="1"/>
  <c r="A2505" i="1"/>
  <c r="B2505" i="1" s="1"/>
  <c r="A2506" i="1"/>
  <c r="B2506" i="1" s="1"/>
  <c r="A2507" i="1"/>
  <c r="B2507" i="1" s="1"/>
  <c r="A2508" i="1"/>
  <c r="B2508" i="1" s="1"/>
  <c r="A2509" i="1"/>
  <c r="B2509" i="1" s="1"/>
  <c r="A2510" i="1"/>
  <c r="B2510" i="1" s="1"/>
  <c r="A2511" i="1"/>
  <c r="B2511" i="1" s="1"/>
  <c r="A2512" i="1"/>
  <c r="B2512" i="1" s="1"/>
  <c r="A2513" i="1"/>
  <c r="B2513" i="1" s="1"/>
  <c r="A2514" i="1"/>
  <c r="B2514" i="1" s="1"/>
  <c r="A2515" i="1"/>
  <c r="B2515" i="1" s="1"/>
  <c r="A2516" i="1"/>
  <c r="B2516" i="1" s="1"/>
  <c r="A2517" i="1"/>
  <c r="B2517" i="1" s="1"/>
  <c r="A2518" i="1"/>
  <c r="B2518" i="1" s="1"/>
  <c r="A2519" i="1"/>
  <c r="B2519" i="1" s="1"/>
  <c r="A2520" i="1"/>
  <c r="B2520" i="1" s="1"/>
  <c r="A2521" i="1"/>
  <c r="B2521" i="1" s="1"/>
  <c r="A2522" i="1"/>
  <c r="B2522" i="1" s="1"/>
  <c r="A2523" i="1"/>
  <c r="B2523" i="1" s="1"/>
  <c r="A2524" i="1"/>
  <c r="B2524" i="1" s="1"/>
  <c r="A2525" i="1"/>
  <c r="B2525" i="1" s="1"/>
  <c r="A2526" i="1"/>
  <c r="B2526" i="1" s="1"/>
  <c r="A2527" i="1"/>
  <c r="B2527" i="1" s="1"/>
  <c r="A2528" i="1"/>
  <c r="B2528" i="1" s="1"/>
  <c r="A2529" i="1"/>
  <c r="B2529" i="1" s="1"/>
  <c r="A2530" i="1"/>
  <c r="B2530" i="1" s="1"/>
  <c r="A2531" i="1"/>
  <c r="B2531" i="1" s="1"/>
  <c r="A2532" i="1"/>
  <c r="B2532" i="1" s="1"/>
  <c r="A2533" i="1"/>
  <c r="B2533" i="1" s="1"/>
  <c r="A2534" i="1"/>
  <c r="B2534" i="1" s="1"/>
  <c r="A2535" i="1"/>
  <c r="B2535" i="1" s="1"/>
  <c r="A2536" i="1"/>
  <c r="B2536" i="1" s="1"/>
  <c r="A2537" i="1"/>
  <c r="B2537" i="1" s="1"/>
  <c r="A2538" i="1"/>
  <c r="B2538" i="1" s="1"/>
  <c r="A2539" i="1"/>
  <c r="B2539" i="1" s="1"/>
  <c r="A2540" i="1"/>
  <c r="B2540" i="1" s="1"/>
  <c r="A2541" i="1"/>
  <c r="B2541" i="1" s="1"/>
  <c r="A2542" i="1"/>
  <c r="B2542" i="1" s="1"/>
  <c r="A2543" i="1"/>
  <c r="B2543" i="1" s="1"/>
  <c r="A2544" i="1"/>
  <c r="B2544" i="1" s="1"/>
  <c r="A2545" i="1"/>
  <c r="B2545" i="1" s="1"/>
  <c r="A2546" i="1"/>
  <c r="B2546" i="1" s="1"/>
  <c r="A2547" i="1"/>
  <c r="B2547" i="1" s="1"/>
  <c r="A2548" i="1"/>
  <c r="B2548" i="1" s="1"/>
  <c r="A2549" i="1"/>
  <c r="B2549" i="1" s="1"/>
  <c r="A2550" i="1"/>
  <c r="B2550" i="1" s="1"/>
  <c r="A2551" i="1"/>
  <c r="B2551" i="1" s="1"/>
  <c r="A2552" i="1"/>
  <c r="B2552" i="1" s="1"/>
  <c r="A2553" i="1"/>
  <c r="B2553" i="1" s="1"/>
  <c r="A2554" i="1"/>
  <c r="B2554" i="1" s="1"/>
  <c r="A2555" i="1"/>
  <c r="B2555" i="1" s="1"/>
  <c r="A2556" i="1"/>
  <c r="B2556" i="1" s="1"/>
  <c r="A2557" i="1"/>
  <c r="B2557" i="1" s="1"/>
  <c r="A2558" i="1"/>
  <c r="B2558" i="1" s="1"/>
  <c r="A2559" i="1"/>
  <c r="B2559" i="1" s="1"/>
  <c r="A2560" i="1"/>
  <c r="B2560" i="1" s="1"/>
  <c r="A2561" i="1"/>
  <c r="B2561" i="1" s="1"/>
  <c r="A2562" i="1"/>
  <c r="B2562" i="1" s="1"/>
  <c r="A2563" i="1"/>
  <c r="B2563" i="1" s="1"/>
  <c r="A2564" i="1"/>
  <c r="B2564" i="1" s="1"/>
  <c r="A2565" i="1"/>
  <c r="B2565" i="1" s="1"/>
  <c r="A2566" i="1"/>
  <c r="B2566" i="1" s="1"/>
  <c r="A2567" i="1"/>
  <c r="B2567" i="1" s="1"/>
  <c r="A2568" i="1"/>
  <c r="B2568" i="1" s="1"/>
  <c r="A2569" i="1"/>
  <c r="B2569" i="1" s="1"/>
  <c r="A2570" i="1"/>
  <c r="B2570" i="1" s="1"/>
  <c r="A2571" i="1"/>
  <c r="B2571" i="1" s="1"/>
  <c r="A2572" i="1"/>
  <c r="B2572" i="1" s="1"/>
  <c r="A2573" i="1"/>
  <c r="B2573" i="1" s="1"/>
  <c r="A2574" i="1"/>
  <c r="B2574" i="1" s="1"/>
  <c r="A2575" i="1"/>
  <c r="B2575" i="1" s="1"/>
  <c r="A2576" i="1"/>
  <c r="B2576" i="1" s="1"/>
  <c r="A2577" i="1"/>
  <c r="B2577" i="1" s="1"/>
  <c r="A2578" i="1"/>
  <c r="B2578" i="1" s="1"/>
  <c r="A2579" i="1"/>
  <c r="B2579" i="1" s="1"/>
  <c r="A2580" i="1"/>
  <c r="B2580" i="1" s="1"/>
  <c r="A2581" i="1"/>
  <c r="B2581" i="1" s="1"/>
  <c r="A2582" i="1"/>
  <c r="B2582" i="1" s="1"/>
  <c r="A2583" i="1"/>
  <c r="B2583" i="1" s="1"/>
  <c r="A2584" i="1"/>
  <c r="B2584" i="1" s="1"/>
  <c r="A2585" i="1"/>
  <c r="B2585" i="1" s="1"/>
  <c r="A2586" i="1"/>
  <c r="B2586" i="1" s="1"/>
  <c r="A2587" i="1"/>
  <c r="B2587" i="1" s="1"/>
  <c r="A2588" i="1"/>
  <c r="B2588" i="1" s="1"/>
  <c r="A2589" i="1"/>
  <c r="B2589" i="1" s="1"/>
  <c r="A2590" i="1"/>
  <c r="B2590" i="1" s="1"/>
  <c r="A2591" i="1"/>
  <c r="B2591" i="1" s="1"/>
  <c r="A2592" i="1"/>
  <c r="B2592" i="1" s="1"/>
  <c r="A2593" i="1"/>
  <c r="B2593" i="1" s="1"/>
  <c r="A2594" i="1"/>
  <c r="B2594" i="1" s="1"/>
  <c r="A2595" i="1"/>
  <c r="B2595" i="1" s="1"/>
  <c r="A2596" i="1"/>
  <c r="B2596" i="1" s="1"/>
  <c r="A2597" i="1"/>
  <c r="B2597" i="1" s="1"/>
  <c r="A2598" i="1"/>
  <c r="B2598" i="1" s="1"/>
  <c r="A2599" i="1"/>
  <c r="B2599" i="1" s="1"/>
  <c r="A2600" i="1"/>
  <c r="B2600" i="1" s="1"/>
  <c r="A2601" i="1"/>
  <c r="B2601" i="1" s="1"/>
  <c r="A2602" i="1"/>
  <c r="B2602" i="1" s="1"/>
  <c r="A2603" i="1"/>
  <c r="B2603" i="1" s="1"/>
  <c r="A2604" i="1"/>
  <c r="B2604" i="1" s="1"/>
  <c r="A2605" i="1"/>
  <c r="B2605" i="1" s="1"/>
  <c r="A2606" i="1"/>
  <c r="B2606" i="1" s="1"/>
  <c r="A2607" i="1"/>
  <c r="B2607" i="1" s="1"/>
  <c r="A2608" i="1"/>
  <c r="B2608" i="1" s="1"/>
  <c r="A2609" i="1"/>
  <c r="B2609" i="1" s="1"/>
  <c r="A2610" i="1"/>
  <c r="B2610" i="1" s="1"/>
  <c r="A2611" i="1"/>
  <c r="B2611" i="1" s="1"/>
  <c r="A2612" i="1"/>
  <c r="B2612" i="1" s="1"/>
  <c r="A2613" i="1"/>
  <c r="B2613" i="1" s="1"/>
  <c r="A2614" i="1"/>
  <c r="B2614" i="1" s="1"/>
  <c r="A2615" i="1"/>
  <c r="B2615" i="1" s="1"/>
  <c r="A2616" i="1"/>
  <c r="B2616" i="1" s="1"/>
  <c r="A2617" i="1"/>
  <c r="B2617" i="1" s="1"/>
  <c r="A2618" i="1"/>
  <c r="B2618" i="1" s="1"/>
  <c r="A2619" i="1"/>
  <c r="B2619" i="1" s="1"/>
  <c r="A2620" i="1"/>
  <c r="B2620" i="1" s="1"/>
  <c r="A2621" i="1"/>
  <c r="B2621" i="1" s="1"/>
  <c r="A2622" i="1"/>
  <c r="B2622" i="1" s="1"/>
  <c r="A2623" i="1"/>
  <c r="B2623" i="1" s="1"/>
  <c r="A2624" i="1"/>
  <c r="B2624" i="1" s="1"/>
  <c r="A2625" i="1"/>
  <c r="B2625" i="1" s="1"/>
  <c r="A2626" i="1"/>
  <c r="B2626" i="1" s="1"/>
  <c r="A2627" i="1"/>
  <c r="B2627" i="1" s="1"/>
  <c r="A2628" i="1"/>
  <c r="B2628" i="1" s="1"/>
  <c r="A2629" i="1"/>
  <c r="B2629" i="1" s="1"/>
  <c r="A2630" i="1"/>
  <c r="B2630" i="1" s="1"/>
  <c r="A2631" i="1"/>
  <c r="B2631" i="1" s="1"/>
  <c r="A2632" i="1"/>
  <c r="B2632" i="1" s="1"/>
  <c r="A2633" i="1"/>
  <c r="B2633" i="1" s="1"/>
  <c r="A2634" i="1"/>
  <c r="B2634" i="1" s="1"/>
  <c r="A2635" i="1"/>
  <c r="B2635" i="1" s="1"/>
  <c r="A2636" i="1"/>
  <c r="B2636" i="1" s="1"/>
  <c r="A2637" i="1"/>
  <c r="B2637" i="1" s="1"/>
  <c r="A2638" i="1"/>
  <c r="B2638" i="1" s="1"/>
  <c r="A2639" i="1"/>
  <c r="B2639" i="1" s="1"/>
  <c r="A2640" i="1"/>
  <c r="B2640" i="1" s="1"/>
  <c r="A2641" i="1"/>
  <c r="B2641" i="1" s="1"/>
  <c r="A2642" i="1"/>
  <c r="B2642" i="1" s="1"/>
  <c r="A2643" i="1"/>
  <c r="B2643" i="1" s="1"/>
  <c r="A2644" i="1"/>
  <c r="B2644" i="1" s="1"/>
  <c r="A2645" i="1"/>
  <c r="B2645" i="1" s="1"/>
  <c r="A2646" i="1"/>
  <c r="B2646" i="1" s="1"/>
  <c r="A2647" i="1"/>
  <c r="B2647" i="1" s="1"/>
  <c r="A2648" i="1"/>
  <c r="B2648" i="1" s="1"/>
  <c r="A2649" i="1"/>
  <c r="B2649" i="1" s="1"/>
  <c r="A2650" i="1"/>
  <c r="B2650" i="1" s="1"/>
  <c r="A2651" i="1"/>
  <c r="B2651" i="1" s="1"/>
  <c r="A2652" i="1"/>
  <c r="B2652" i="1" s="1"/>
  <c r="A2653" i="1"/>
  <c r="B2653" i="1" s="1"/>
  <c r="A2654" i="1"/>
  <c r="B2654" i="1" s="1"/>
  <c r="A2655" i="1"/>
  <c r="B2655" i="1" s="1"/>
  <c r="A2656" i="1"/>
  <c r="B2656" i="1" s="1"/>
  <c r="A2657" i="1"/>
  <c r="B2657" i="1" s="1"/>
  <c r="A2658" i="1"/>
  <c r="B2658" i="1" s="1"/>
  <c r="A2659" i="1"/>
  <c r="B2659" i="1" s="1"/>
  <c r="A2660" i="1"/>
  <c r="B2660" i="1" s="1"/>
  <c r="A2661" i="1"/>
  <c r="B2661" i="1" s="1"/>
  <c r="A2662" i="1"/>
  <c r="B2662" i="1" s="1"/>
  <c r="A2663" i="1"/>
  <c r="B2663" i="1" s="1"/>
  <c r="A2664" i="1"/>
  <c r="B2664" i="1" s="1"/>
  <c r="A2665" i="1"/>
  <c r="B2665" i="1" s="1"/>
  <c r="A2666" i="1"/>
  <c r="B2666" i="1" s="1"/>
  <c r="A2667" i="1"/>
  <c r="B2667" i="1" s="1"/>
  <c r="A2668" i="1"/>
  <c r="B2668" i="1" s="1"/>
  <c r="A2669" i="1"/>
  <c r="B2669" i="1" s="1"/>
  <c r="A2670" i="1"/>
  <c r="B2670" i="1" s="1"/>
  <c r="A2671" i="1"/>
  <c r="B2671" i="1" s="1"/>
  <c r="A2672" i="1"/>
  <c r="B2672" i="1" s="1"/>
  <c r="A2673" i="1"/>
  <c r="B2673" i="1" s="1"/>
  <c r="A2674" i="1"/>
  <c r="B2674" i="1" s="1"/>
  <c r="A2675" i="1"/>
  <c r="B2675" i="1" s="1"/>
  <c r="A2676" i="1"/>
  <c r="B2676" i="1" s="1"/>
  <c r="A2677" i="1"/>
  <c r="B2677" i="1" s="1"/>
  <c r="A2678" i="1"/>
  <c r="B2678" i="1" s="1"/>
  <c r="A2679" i="1"/>
  <c r="B2679" i="1" s="1"/>
  <c r="A2680" i="1"/>
  <c r="B2680" i="1" s="1"/>
  <c r="A2681" i="1"/>
  <c r="B2681" i="1" s="1"/>
  <c r="A2682" i="1"/>
  <c r="B2682" i="1" s="1"/>
  <c r="A2683" i="1"/>
  <c r="B2683" i="1" s="1"/>
  <c r="A2684" i="1"/>
  <c r="B2684" i="1" s="1"/>
  <c r="A2685" i="1"/>
  <c r="B2685" i="1" s="1"/>
  <c r="A2686" i="1"/>
  <c r="B2686" i="1" s="1"/>
  <c r="A2687" i="1"/>
  <c r="B2687" i="1" s="1"/>
  <c r="A2688" i="1"/>
  <c r="B2688" i="1" s="1"/>
  <c r="A2689" i="1"/>
  <c r="B2689" i="1" s="1"/>
  <c r="A2690" i="1"/>
  <c r="B2690" i="1" s="1"/>
  <c r="A2691" i="1"/>
  <c r="B2691" i="1" s="1"/>
  <c r="A2692" i="1"/>
  <c r="B2692" i="1" s="1"/>
  <c r="A2693" i="1"/>
  <c r="B2693" i="1" s="1"/>
  <c r="A2694" i="1"/>
  <c r="B2694" i="1" s="1"/>
  <c r="A2695" i="1"/>
  <c r="B2695" i="1" s="1"/>
  <c r="A2696" i="1"/>
  <c r="B2696" i="1" s="1"/>
  <c r="A2697" i="1"/>
  <c r="B2697" i="1" s="1"/>
  <c r="A2698" i="1"/>
  <c r="B2698" i="1" s="1"/>
  <c r="A2699" i="1"/>
  <c r="B2699" i="1" s="1"/>
  <c r="A2700" i="1"/>
  <c r="B2700" i="1" s="1"/>
  <c r="A2701" i="1"/>
  <c r="B2701" i="1" s="1"/>
  <c r="A2702" i="1"/>
  <c r="B2702" i="1" s="1"/>
  <c r="A2703" i="1"/>
  <c r="B2703" i="1" s="1"/>
  <c r="A2704" i="1"/>
  <c r="B2704" i="1" s="1"/>
  <c r="A2705" i="1"/>
  <c r="B2705" i="1" s="1"/>
  <c r="A2706" i="1"/>
  <c r="B2706" i="1" s="1"/>
  <c r="A2707" i="1"/>
  <c r="B2707" i="1" s="1"/>
  <c r="A2708" i="1"/>
  <c r="B2708" i="1" s="1"/>
  <c r="A2709" i="1"/>
  <c r="B2709" i="1" s="1"/>
  <c r="A2710" i="1"/>
  <c r="B2710" i="1" s="1"/>
  <c r="A2711" i="1"/>
  <c r="B2711" i="1" s="1"/>
  <c r="A2712" i="1"/>
  <c r="B2712" i="1" s="1"/>
  <c r="A2713" i="1"/>
  <c r="B2713" i="1" s="1"/>
  <c r="A2714" i="1"/>
  <c r="B2714" i="1" s="1"/>
  <c r="A2715" i="1"/>
  <c r="B2715" i="1" s="1"/>
  <c r="A2716" i="1"/>
  <c r="B2716" i="1" s="1"/>
  <c r="A2717" i="1"/>
  <c r="B2717" i="1" s="1"/>
  <c r="A2718" i="1"/>
  <c r="B2718" i="1" s="1"/>
  <c r="A2719" i="1"/>
  <c r="B2719" i="1" s="1"/>
  <c r="A2720" i="1"/>
  <c r="B2720" i="1" s="1"/>
  <c r="A2721" i="1"/>
  <c r="B2721" i="1" s="1"/>
  <c r="A2722" i="1"/>
  <c r="B2722" i="1" s="1"/>
  <c r="A2723" i="1"/>
  <c r="B2723" i="1" s="1"/>
  <c r="A2724" i="1"/>
  <c r="B2724" i="1" s="1"/>
  <c r="A2725" i="1"/>
  <c r="B2725" i="1" s="1"/>
  <c r="A2726" i="1"/>
  <c r="B2726" i="1" s="1"/>
  <c r="A2727" i="1"/>
  <c r="B2727" i="1" s="1"/>
  <c r="A2728" i="1"/>
  <c r="B2728" i="1" s="1"/>
  <c r="A2729" i="1"/>
  <c r="B2729" i="1" s="1"/>
  <c r="A2730" i="1"/>
  <c r="B2730" i="1" s="1"/>
  <c r="A2731" i="1"/>
  <c r="B2731" i="1" s="1"/>
  <c r="A2732" i="1"/>
  <c r="B2732" i="1" s="1"/>
  <c r="A2733" i="1"/>
  <c r="B2733" i="1" s="1"/>
  <c r="A2734" i="1"/>
  <c r="B2734" i="1" s="1"/>
  <c r="A2735" i="1"/>
  <c r="B2735" i="1" s="1"/>
  <c r="A2736" i="1"/>
  <c r="B2736" i="1" s="1"/>
  <c r="A2737" i="1"/>
  <c r="B2737" i="1" s="1"/>
  <c r="A2738" i="1"/>
  <c r="B2738" i="1" s="1"/>
  <c r="A2739" i="1"/>
  <c r="B2739" i="1" s="1"/>
  <c r="A2740" i="1"/>
  <c r="B2740" i="1" s="1"/>
  <c r="A2741" i="1"/>
  <c r="B2741" i="1" s="1"/>
  <c r="A2742" i="1"/>
  <c r="B2742" i="1" s="1"/>
  <c r="A2743" i="1"/>
  <c r="B2743" i="1" s="1"/>
  <c r="A2744" i="1"/>
  <c r="B2744" i="1" s="1"/>
  <c r="A2745" i="1"/>
  <c r="B2745" i="1" s="1"/>
  <c r="A2746" i="1"/>
  <c r="B2746" i="1" s="1"/>
  <c r="A2747" i="1"/>
  <c r="B2747" i="1" s="1"/>
  <c r="A2748" i="1"/>
  <c r="B2748" i="1" s="1"/>
  <c r="A2749" i="1"/>
  <c r="B2749" i="1" s="1"/>
  <c r="A2750" i="1"/>
  <c r="B2750" i="1" s="1"/>
  <c r="A2751" i="1"/>
  <c r="B2751" i="1" s="1"/>
  <c r="A2752" i="1"/>
  <c r="B2752" i="1" s="1"/>
  <c r="A2753" i="1"/>
  <c r="B2753" i="1" s="1"/>
  <c r="A2754" i="1"/>
  <c r="B2754" i="1" s="1"/>
  <c r="A2755" i="1"/>
  <c r="B2755" i="1" s="1"/>
  <c r="A2756" i="1"/>
  <c r="B2756" i="1" s="1"/>
  <c r="A2757" i="1"/>
  <c r="B2757" i="1" s="1"/>
  <c r="A2758" i="1"/>
  <c r="B2758" i="1" s="1"/>
  <c r="A2759" i="1"/>
  <c r="B2759" i="1" s="1"/>
  <c r="A2760" i="1"/>
  <c r="B2760" i="1" s="1"/>
  <c r="A2761" i="1"/>
  <c r="B2761" i="1" s="1"/>
  <c r="A2762" i="1"/>
  <c r="B2762" i="1" s="1"/>
  <c r="A2763" i="1"/>
  <c r="B2763" i="1" s="1"/>
  <c r="A2764" i="1"/>
  <c r="B2764" i="1" s="1"/>
  <c r="A2765" i="1"/>
  <c r="B2765" i="1" s="1"/>
  <c r="A2766" i="1"/>
  <c r="B2766" i="1" s="1"/>
  <c r="A2767" i="1"/>
  <c r="B2767" i="1" s="1"/>
  <c r="A2768" i="1"/>
  <c r="B2768" i="1" s="1"/>
  <c r="A2769" i="1"/>
  <c r="B2769" i="1" s="1"/>
  <c r="A2770" i="1"/>
  <c r="B2770" i="1" s="1"/>
  <c r="A2771" i="1"/>
  <c r="B2771" i="1" s="1"/>
  <c r="A2772" i="1"/>
  <c r="B2772" i="1" s="1"/>
  <c r="A2773" i="1"/>
  <c r="B2773" i="1" s="1"/>
  <c r="A2774" i="1"/>
  <c r="B2774" i="1" s="1"/>
  <c r="A2775" i="1"/>
  <c r="B2775" i="1" s="1"/>
  <c r="A2776" i="1"/>
  <c r="B2776" i="1" s="1"/>
  <c r="A2777" i="1"/>
  <c r="B2777" i="1" s="1"/>
  <c r="A2778" i="1"/>
  <c r="B2778" i="1" s="1"/>
  <c r="A2779" i="1"/>
  <c r="B2779" i="1" s="1"/>
  <c r="A2780" i="1"/>
  <c r="B2780" i="1" s="1"/>
  <c r="A2781" i="1"/>
  <c r="B2781" i="1" s="1"/>
  <c r="A2782" i="1"/>
  <c r="B2782" i="1" s="1"/>
  <c r="A2783" i="1"/>
  <c r="B2783" i="1" s="1"/>
  <c r="A2784" i="1"/>
  <c r="B2784" i="1" s="1"/>
  <c r="A2785" i="1"/>
  <c r="B2785" i="1" s="1"/>
  <c r="A2786" i="1"/>
  <c r="B2786" i="1" s="1"/>
  <c r="A2787" i="1"/>
  <c r="B2787" i="1" s="1"/>
  <c r="A2788" i="1"/>
  <c r="B2788" i="1" s="1"/>
  <c r="A2789" i="1"/>
  <c r="B2789" i="1" s="1"/>
  <c r="A2790" i="1"/>
  <c r="B2790" i="1" s="1"/>
  <c r="A2791" i="1"/>
  <c r="B2791" i="1" s="1"/>
  <c r="A2792" i="1"/>
  <c r="B2792" i="1" s="1"/>
  <c r="A2793" i="1"/>
  <c r="B2793" i="1" s="1"/>
  <c r="A2794" i="1"/>
  <c r="B2794" i="1" s="1"/>
  <c r="A2795" i="1"/>
  <c r="B2795" i="1" s="1"/>
  <c r="A2796" i="1"/>
  <c r="B2796" i="1" s="1"/>
  <c r="A2797" i="1"/>
  <c r="B2797" i="1" s="1"/>
  <c r="A2798" i="1"/>
  <c r="B2798" i="1" s="1"/>
  <c r="A2799" i="1"/>
  <c r="B2799" i="1" s="1"/>
  <c r="A2800" i="1"/>
  <c r="B2800" i="1" s="1"/>
  <c r="A2801" i="1"/>
  <c r="B2801" i="1" s="1"/>
  <c r="A2802" i="1"/>
  <c r="B2802" i="1" s="1"/>
  <c r="A2803" i="1"/>
  <c r="B2803" i="1" s="1"/>
  <c r="A2804" i="1"/>
  <c r="B2804" i="1" s="1"/>
  <c r="A2805" i="1"/>
  <c r="B2805" i="1" s="1"/>
  <c r="A2806" i="1"/>
  <c r="B2806" i="1" s="1"/>
  <c r="A2807" i="1"/>
  <c r="B2807" i="1" s="1"/>
  <c r="A2808" i="1"/>
  <c r="B2808" i="1" s="1"/>
  <c r="A2809" i="1"/>
  <c r="B2809" i="1" s="1"/>
  <c r="A2810" i="1"/>
  <c r="B2810" i="1" s="1"/>
  <c r="A2811" i="1"/>
  <c r="B2811" i="1" s="1"/>
  <c r="A2812" i="1"/>
  <c r="B2812" i="1" s="1"/>
  <c r="A2813" i="1"/>
  <c r="B2813" i="1" s="1"/>
  <c r="A2814" i="1"/>
  <c r="B2814" i="1" s="1"/>
  <c r="A2815" i="1"/>
  <c r="B2815" i="1" s="1"/>
  <c r="A2816" i="1"/>
  <c r="B2816" i="1" s="1"/>
  <c r="A2817" i="1"/>
  <c r="B2817" i="1" s="1"/>
  <c r="A2818" i="1"/>
  <c r="B2818" i="1" s="1"/>
  <c r="A2819" i="1"/>
  <c r="B2819" i="1" s="1"/>
  <c r="A2820" i="1"/>
  <c r="B2820" i="1" s="1"/>
  <c r="A2821" i="1"/>
  <c r="B2821" i="1" s="1"/>
  <c r="A2822" i="1"/>
  <c r="B2822" i="1" s="1"/>
  <c r="A2823" i="1"/>
  <c r="B2823" i="1" s="1"/>
  <c r="A2824" i="1"/>
  <c r="B2824" i="1" s="1"/>
  <c r="A2825" i="1"/>
  <c r="B2825" i="1" s="1"/>
  <c r="A2826" i="1"/>
  <c r="B2826" i="1" s="1"/>
  <c r="A2827" i="1"/>
  <c r="B2827" i="1" s="1"/>
  <c r="A2828" i="1"/>
  <c r="B2828" i="1" s="1"/>
  <c r="A2829" i="1"/>
  <c r="B2829" i="1" s="1"/>
  <c r="A2830" i="1"/>
  <c r="B2830" i="1" s="1"/>
  <c r="A2831" i="1"/>
  <c r="B2831" i="1" s="1"/>
  <c r="A2832" i="1"/>
  <c r="B2832" i="1" s="1"/>
  <c r="A2833" i="1"/>
  <c r="B2833" i="1" s="1"/>
  <c r="A2834" i="1"/>
  <c r="B2834" i="1" s="1"/>
  <c r="A2835" i="1"/>
  <c r="B2835" i="1" s="1"/>
  <c r="A2836" i="1"/>
  <c r="B2836" i="1" s="1"/>
  <c r="A2837" i="1"/>
  <c r="B2837" i="1" s="1"/>
  <c r="A2838" i="1"/>
  <c r="B2838" i="1" s="1"/>
  <c r="A2839" i="1"/>
  <c r="B2839" i="1" s="1"/>
  <c r="A2840" i="1"/>
  <c r="B2840" i="1" s="1"/>
  <c r="A2841" i="1"/>
  <c r="B2841" i="1" s="1"/>
  <c r="A2842" i="1"/>
  <c r="B2842" i="1" s="1"/>
  <c r="A2843" i="1"/>
  <c r="B2843" i="1" s="1"/>
  <c r="A2844" i="1"/>
  <c r="B2844" i="1" s="1"/>
  <c r="A2845" i="1"/>
  <c r="B2845" i="1" s="1"/>
  <c r="A2846" i="1"/>
  <c r="B2846" i="1" s="1"/>
  <c r="A2847" i="1"/>
  <c r="B2847" i="1" s="1"/>
  <c r="A2848" i="1"/>
  <c r="B2848" i="1" s="1"/>
  <c r="A2849" i="1"/>
  <c r="B2849" i="1" s="1"/>
  <c r="A2850" i="1"/>
  <c r="B2850" i="1" s="1"/>
  <c r="A2851" i="1"/>
  <c r="B2851" i="1" s="1"/>
  <c r="A2852" i="1"/>
  <c r="B2852" i="1" s="1"/>
  <c r="A2853" i="1"/>
  <c r="B2853" i="1" s="1"/>
  <c r="A2854" i="1"/>
  <c r="B2854" i="1" s="1"/>
  <c r="A2855" i="1"/>
  <c r="B2855" i="1" s="1"/>
  <c r="A2856" i="1"/>
  <c r="B2856" i="1" s="1"/>
  <c r="A2857" i="1"/>
  <c r="B2857" i="1" s="1"/>
  <c r="A2858" i="1"/>
  <c r="B2858" i="1" s="1"/>
  <c r="A2859" i="1"/>
  <c r="B2859" i="1" s="1"/>
  <c r="A2860" i="1"/>
  <c r="B2860" i="1" s="1"/>
  <c r="A2861" i="1"/>
  <c r="B2861" i="1" s="1"/>
  <c r="A2862" i="1"/>
  <c r="B2862" i="1" s="1"/>
  <c r="A2863" i="1"/>
  <c r="B2863" i="1" s="1"/>
  <c r="A2864" i="1"/>
  <c r="B2864" i="1" s="1"/>
  <c r="A2865" i="1"/>
  <c r="B2865" i="1" s="1"/>
  <c r="A2866" i="1"/>
  <c r="B2866" i="1" s="1"/>
  <c r="A2867" i="1"/>
  <c r="B2867" i="1" s="1"/>
  <c r="A2868" i="1"/>
  <c r="B2868" i="1" s="1"/>
  <c r="A2869" i="1"/>
  <c r="B2869" i="1" s="1"/>
  <c r="A2870" i="1"/>
  <c r="B2870" i="1" s="1"/>
  <c r="A2871" i="1"/>
  <c r="B2871" i="1" s="1"/>
  <c r="A2872" i="1"/>
  <c r="B2872" i="1" s="1"/>
  <c r="A2873" i="1"/>
  <c r="B2873" i="1" s="1"/>
  <c r="A2874" i="1"/>
  <c r="B2874" i="1" s="1"/>
  <c r="A2875" i="1"/>
  <c r="B2875" i="1" s="1"/>
  <c r="A2876" i="1"/>
  <c r="B2876" i="1" s="1"/>
  <c r="A2877" i="1"/>
  <c r="B2877" i="1" s="1"/>
  <c r="A2878" i="1"/>
  <c r="B2878" i="1" s="1"/>
  <c r="A2879" i="1"/>
  <c r="B2879" i="1" s="1"/>
  <c r="A2880" i="1"/>
  <c r="B2880" i="1" s="1"/>
  <c r="A2881" i="1"/>
  <c r="B2881" i="1" s="1"/>
  <c r="A2882" i="1"/>
  <c r="B2882" i="1" s="1"/>
  <c r="A2883" i="1"/>
  <c r="B2883" i="1" s="1"/>
  <c r="A2884" i="1"/>
  <c r="B2884" i="1" s="1"/>
  <c r="A2885" i="1"/>
  <c r="B2885" i="1" s="1"/>
  <c r="A2886" i="1"/>
  <c r="B2886" i="1" s="1"/>
  <c r="A2887" i="1"/>
  <c r="B2887" i="1" s="1"/>
  <c r="A2888" i="1"/>
  <c r="B2888" i="1" s="1"/>
  <c r="A2889" i="1"/>
  <c r="B2889" i="1" s="1"/>
  <c r="A2890" i="1"/>
  <c r="B2890" i="1" s="1"/>
  <c r="A2891" i="1"/>
  <c r="B2891" i="1" s="1"/>
  <c r="A2892" i="1"/>
  <c r="B2892" i="1" s="1"/>
  <c r="A2893" i="1"/>
  <c r="B2893" i="1" s="1"/>
  <c r="A2894" i="1"/>
  <c r="B2894" i="1" s="1"/>
  <c r="A2895" i="1"/>
  <c r="B2895" i="1" s="1"/>
  <c r="A2896" i="1"/>
  <c r="B2896" i="1" s="1"/>
  <c r="A2897" i="1"/>
  <c r="B2897" i="1" s="1"/>
  <c r="A2898" i="1"/>
  <c r="B2898" i="1" s="1"/>
  <c r="A2899" i="1"/>
  <c r="B2899" i="1" s="1"/>
  <c r="A2900" i="1"/>
  <c r="B2900" i="1" s="1"/>
  <c r="A2901" i="1"/>
  <c r="B2901" i="1" s="1"/>
  <c r="A2902" i="1"/>
  <c r="B2902" i="1" s="1"/>
  <c r="A2903" i="1"/>
  <c r="B2903" i="1" s="1"/>
  <c r="A2904" i="1"/>
  <c r="B2904" i="1" s="1"/>
  <c r="A2905" i="1"/>
  <c r="B2905" i="1" s="1"/>
  <c r="A2906" i="1"/>
  <c r="B2906" i="1" s="1"/>
  <c r="A2907" i="1"/>
  <c r="B2907" i="1" s="1"/>
  <c r="A2908" i="1"/>
  <c r="B2908" i="1" s="1"/>
  <c r="A2909" i="1"/>
  <c r="B2909" i="1" s="1"/>
  <c r="A2910" i="1"/>
  <c r="B2910" i="1" s="1"/>
  <c r="A2911" i="1"/>
  <c r="B2911" i="1" s="1"/>
  <c r="A2912" i="1"/>
  <c r="B2912" i="1" s="1"/>
  <c r="A2913" i="1"/>
  <c r="B2913" i="1" s="1"/>
  <c r="A2914" i="1"/>
  <c r="B2914" i="1" s="1"/>
  <c r="A2915" i="1"/>
  <c r="B2915" i="1" s="1"/>
  <c r="A2916" i="1"/>
  <c r="B2916" i="1" s="1"/>
  <c r="A2917" i="1"/>
  <c r="B2917" i="1" s="1"/>
  <c r="A2918" i="1"/>
  <c r="B2918" i="1" s="1"/>
  <c r="A2919" i="1"/>
  <c r="B2919" i="1" s="1"/>
  <c r="A2920" i="1"/>
  <c r="B2920" i="1" s="1"/>
  <c r="A2921" i="1"/>
  <c r="B2921" i="1" s="1"/>
  <c r="A2922" i="1"/>
  <c r="B2922" i="1" s="1"/>
  <c r="A2923" i="1"/>
  <c r="B2923" i="1" s="1"/>
  <c r="A2924" i="1"/>
  <c r="B2924" i="1" s="1"/>
  <c r="A2925" i="1"/>
  <c r="B2925" i="1" s="1"/>
  <c r="A2926" i="1"/>
  <c r="B2926" i="1" s="1"/>
  <c r="A2927" i="1"/>
  <c r="B2927" i="1" s="1"/>
  <c r="A2928" i="1"/>
  <c r="B2928" i="1" s="1"/>
  <c r="A2929" i="1"/>
  <c r="B2929" i="1" s="1"/>
  <c r="A2930" i="1"/>
  <c r="B2930" i="1" s="1"/>
  <c r="A2931" i="1"/>
  <c r="B2931" i="1" s="1"/>
  <c r="A2932" i="1"/>
  <c r="B2932" i="1" s="1"/>
  <c r="A2933" i="1"/>
  <c r="B2933" i="1" s="1"/>
  <c r="A2934" i="1"/>
  <c r="B2934" i="1" s="1"/>
  <c r="A2935" i="1"/>
  <c r="B2935" i="1" s="1"/>
  <c r="A2936" i="1"/>
  <c r="B2936" i="1" s="1"/>
  <c r="A2937" i="1"/>
  <c r="B2937" i="1" s="1"/>
  <c r="A2938" i="1"/>
  <c r="B2938" i="1" s="1"/>
  <c r="A2939" i="1"/>
  <c r="B2939" i="1" s="1"/>
  <c r="A2940" i="1"/>
  <c r="B2940" i="1" s="1"/>
  <c r="A2941" i="1"/>
  <c r="B2941" i="1" s="1"/>
  <c r="A2942" i="1"/>
  <c r="B2942" i="1" s="1"/>
  <c r="A2943" i="1"/>
  <c r="B2943" i="1" s="1"/>
  <c r="A2944" i="1"/>
  <c r="B2944" i="1" s="1"/>
  <c r="A2945" i="1"/>
  <c r="B2945" i="1" s="1"/>
  <c r="A2946" i="1"/>
  <c r="B2946" i="1" s="1"/>
  <c r="A2947" i="1"/>
  <c r="B2947" i="1" s="1"/>
  <c r="A2948" i="1"/>
  <c r="B2948" i="1" s="1"/>
  <c r="A2949" i="1"/>
  <c r="B2949" i="1" s="1"/>
  <c r="A2950" i="1"/>
  <c r="B2950" i="1" s="1"/>
  <c r="A2951" i="1"/>
  <c r="B2951" i="1" s="1"/>
  <c r="A2952" i="1"/>
  <c r="B2952" i="1" s="1"/>
  <c r="A2953" i="1"/>
  <c r="B2953" i="1" s="1"/>
  <c r="A2954" i="1"/>
  <c r="B2954" i="1" s="1"/>
  <c r="A2955" i="1"/>
  <c r="B2955" i="1" s="1"/>
  <c r="A2956" i="1"/>
  <c r="B2956" i="1" s="1"/>
  <c r="A2957" i="1"/>
  <c r="B2957" i="1" s="1"/>
  <c r="A2958" i="1"/>
  <c r="B2958" i="1" s="1"/>
  <c r="A2959" i="1"/>
  <c r="B2959" i="1" s="1"/>
  <c r="A2960" i="1"/>
  <c r="B2960" i="1" s="1"/>
  <c r="A2961" i="1"/>
  <c r="B2961" i="1" s="1"/>
  <c r="A2962" i="1"/>
  <c r="B2962" i="1" s="1"/>
  <c r="A2963" i="1"/>
  <c r="B2963" i="1" s="1"/>
  <c r="A2964" i="1"/>
  <c r="B2964" i="1" s="1"/>
  <c r="A2965" i="1"/>
  <c r="B2965" i="1" s="1"/>
  <c r="A2966" i="1"/>
  <c r="B2966" i="1" s="1"/>
  <c r="A2967" i="1"/>
  <c r="B2967" i="1" s="1"/>
  <c r="A2968" i="1"/>
  <c r="B2968" i="1" s="1"/>
  <c r="A2969" i="1"/>
  <c r="B2969" i="1" s="1"/>
  <c r="A2970" i="1"/>
  <c r="B2970" i="1" s="1"/>
  <c r="A2971" i="1"/>
  <c r="B2971" i="1" s="1"/>
  <c r="A2972" i="1"/>
  <c r="B2972" i="1" s="1"/>
  <c r="A2973" i="1"/>
  <c r="B2973" i="1" s="1"/>
  <c r="A2974" i="1"/>
  <c r="B2974" i="1" s="1"/>
  <c r="A2975" i="1"/>
  <c r="B2975" i="1" s="1"/>
  <c r="A2976" i="1"/>
  <c r="B2976" i="1" s="1"/>
  <c r="A2977" i="1"/>
  <c r="B2977" i="1" s="1"/>
  <c r="A2978" i="1"/>
  <c r="B2978" i="1" s="1"/>
  <c r="A2979" i="1"/>
  <c r="B2979" i="1" s="1"/>
  <c r="A2980" i="1"/>
  <c r="B2980" i="1" s="1"/>
  <c r="A2981" i="1"/>
  <c r="B2981" i="1" s="1"/>
  <c r="A2982" i="1"/>
  <c r="B2982" i="1" s="1"/>
  <c r="A2983" i="1"/>
  <c r="B2983" i="1" s="1"/>
  <c r="A2984" i="1"/>
  <c r="B2984" i="1" s="1"/>
  <c r="A2985" i="1"/>
  <c r="B2985" i="1" s="1"/>
  <c r="A2986" i="1"/>
  <c r="B2986" i="1" s="1"/>
  <c r="A2987" i="1"/>
  <c r="B2987" i="1" s="1"/>
  <c r="A2988" i="1"/>
  <c r="B2988" i="1" s="1"/>
  <c r="A2989" i="1"/>
  <c r="B2989" i="1" s="1"/>
  <c r="A2990" i="1"/>
  <c r="B2990" i="1" s="1"/>
  <c r="A2991" i="1"/>
  <c r="B2991" i="1" s="1"/>
  <c r="A2992" i="1"/>
  <c r="B2992" i="1" s="1"/>
  <c r="A2993" i="1"/>
  <c r="B2993" i="1" s="1"/>
  <c r="A2994" i="1"/>
  <c r="B2994" i="1" s="1"/>
  <c r="A2995" i="1"/>
  <c r="B2995" i="1" s="1"/>
  <c r="A2996" i="1"/>
  <c r="B2996" i="1" s="1"/>
  <c r="A2997" i="1"/>
  <c r="B2997" i="1" s="1"/>
  <c r="A2998" i="1"/>
  <c r="B2998" i="1" s="1"/>
  <c r="A2999" i="1"/>
  <c r="B2999" i="1" s="1"/>
  <c r="A3000" i="1"/>
  <c r="B3000" i="1" s="1"/>
  <c r="A3001" i="1"/>
  <c r="B3001" i="1" s="1"/>
  <c r="A3002" i="1"/>
  <c r="B3002" i="1" s="1"/>
  <c r="A3003" i="1"/>
  <c r="B3003" i="1" s="1"/>
  <c r="A3004" i="1"/>
  <c r="B3004" i="1" s="1"/>
  <c r="A3005" i="1"/>
  <c r="B3005" i="1" s="1"/>
  <c r="A3006" i="1"/>
  <c r="B3006" i="1" s="1"/>
  <c r="A3007" i="1"/>
  <c r="B3007" i="1" s="1"/>
  <c r="A3008" i="1"/>
  <c r="B3008" i="1" s="1"/>
  <c r="A3009" i="1"/>
  <c r="B3009" i="1" s="1"/>
  <c r="A3010" i="1"/>
  <c r="B3010" i="1" s="1"/>
  <c r="A3011" i="1"/>
  <c r="B3011" i="1" s="1"/>
  <c r="A3012" i="1"/>
  <c r="B3012" i="1" s="1"/>
  <c r="A3013" i="1"/>
  <c r="B3013" i="1" s="1"/>
  <c r="A3014" i="1"/>
  <c r="B3014" i="1" s="1"/>
  <c r="A3015" i="1"/>
  <c r="B3015" i="1" s="1"/>
  <c r="A3016" i="1"/>
  <c r="B3016" i="1" s="1"/>
  <c r="A3017" i="1"/>
  <c r="B3017" i="1" s="1"/>
  <c r="A3018" i="1"/>
  <c r="B3018" i="1" s="1"/>
  <c r="A3019" i="1"/>
  <c r="B3019" i="1" s="1"/>
  <c r="A3020" i="1"/>
  <c r="B3020" i="1" s="1"/>
  <c r="A3021" i="1"/>
  <c r="B3021" i="1" s="1"/>
  <c r="A3022" i="1"/>
  <c r="B3022" i="1" s="1"/>
  <c r="A3023" i="1"/>
  <c r="B3023" i="1" s="1"/>
  <c r="A3024" i="1"/>
  <c r="B3024" i="1" s="1"/>
  <c r="A3025" i="1"/>
  <c r="B3025" i="1" s="1"/>
  <c r="A3026" i="1"/>
  <c r="B3026" i="1" s="1"/>
  <c r="A3027" i="1"/>
  <c r="B3027" i="1" s="1"/>
  <c r="A3028" i="1"/>
  <c r="B3028" i="1" s="1"/>
  <c r="A3029" i="1"/>
  <c r="B3029" i="1" s="1"/>
  <c r="A3030" i="1"/>
  <c r="B3030" i="1" s="1"/>
  <c r="A3031" i="1"/>
  <c r="B3031" i="1" s="1"/>
  <c r="A3032" i="1"/>
  <c r="B3032" i="1" s="1"/>
  <c r="A3033" i="1"/>
  <c r="B3033" i="1" s="1"/>
  <c r="A3034" i="1"/>
  <c r="B3034" i="1" s="1"/>
  <c r="A3035" i="1"/>
  <c r="B3035" i="1" s="1"/>
  <c r="A3036" i="1"/>
  <c r="B3036" i="1" s="1"/>
  <c r="A3037" i="1"/>
  <c r="B3037" i="1" s="1"/>
  <c r="A3038" i="1"/>
  <c r="B3038" i="1" s="1"/>
  <c r="A3039" i="1"/>
  <c r="B3039" i="1" s="1"/>
  <c r="A3040" i="1"/>
  <c r="B3040" i="1" s="1"/>
  <c r="A3041" i="1"/>
  <c r="B3041" i="1" s="1"/>
  <c r="A3042" i="1"/>
  <c r="B3042" i="1" s="1"/>
  <c r="A3043" i="1"/>
  <c r="B3043" i="1" s="1"/>
  <c r="A3044" i="1"/>
  <c r="B3044" i="1" s="1"/>
  <c r="A3045" i="1"/>
  <c r="B3045" i="1" s="1"/>
  <c r="A3046" i="1"/>
  <c r="B3046" i="1" s="1"/>
  <c r="A3047" i="1"/>
  <c r="B3047" i="1" s="1"/>
  <c r="A3048" i="1"/>
  <c r="B3048" i="1" s="1"/>
  <c r="A3049" i="1"/>
  <c r="B3049" i="1" s="1"/>
  <c r="A3050" i="1"/>
  <c r="B3050" i="1" s="1"/>
  <c r="A3051" i="1"/>
  <c r="B3051" i="1" s="1"/>
  <c r="A3052" i="1"/>
  <c r="B3052" i="1" s="1"/>
  <c r="A3053" i="1"/>
  <c r="B3053" i="1" s="1"/>
  <c r="A3054" i="1"/>
  <c r="B3054" i="1" s="1"/>
  <c r="A3055" i="1"/>
  <c r="B3055" i="1" s="1"/>
  <c r="A3056" i="1"/>
  <c r="B3056" i="1" s="1"/>
  <c r="A3057" i="1"/>
  <c r="B3057" i="1" s="1"/>
  <c r="A3058" i="1"/>
  <c r="B3058" i="1" s="1"/>
  <c r="A3059" i="1"/>
  <c r="B3059" i="1" s="1"/>
  <c r="A3060" i="1"/>
  <c r="B3060" i="1" s="1"/>
  <c r="A3061" i="1"/>
  <c r="B3061" i="1" s="1"/>
  <c r="A3062" i="1"/>
  <c r="B3062" i="1" s="1"/>
  <c r="A3063" i="1"/>
  <c r="B3063" i="1" s="1"/>
  <c r="A3064" i="1"/>
  <c r="B3064" i="1" s="1"/>
  <c r="A3065" i="1"/>
  <c r="B3065" i="1" s="1"/>
  <c r="A3066" i="1"/>
  <c r="B3066" i="1" s="1"/>
  <c r="A3067" i="1"/>
  <c r="B3067" i="1" s="1"/>
  <c r="A3068" i="1"/>
  <c r="B3068" i="1" s="1"/>
  <c r="A3069" i="1"/>
  <c r="B3069" i="1" s="1"/>
  <c r="A3070" i="1"/>
  <c r="B3070" i="1" s="1"/>
  <c r="A3071" i="1"/>
  <c r="B3071" i="1" s="1"/>
  <c r="A3072" i="1"/>
  <c r="B3072" i="1" s="1"/>
  <c r="A3073" i="1"/>
  <c r="B3073" i="1" s="1"/>
  <c r="A3074" i="1"/>
  <c r="B3074" i="1" s="1"/>
  <c r="A3075" i="1"/>
  <c r="B3075" i="1" s="1"/>
  <c r="A3076" i="1"/>
  <c r="B3076" i="1" s="1"/>
  <c r="A3077" i="1"/>
  <c r="B3077" i="1" s="1"/>
  <c r="A3078" i="1"/>
  <c r="B3078" i="1" s="1"/>
  <c r="A3079" i="1"/>
  <c r="B3079" i="1" s="1"/>
  <c r="A3080" i="1"/>
  <c r="B3080" i="1" s="1"/>
  <c r="A3081" i="1"/>
  <c r="B3081" i="1" s="1"/>
  <c r="A3082" i="1"/>
  <c r="B3082" i="1" s="1"/>
  <c r="A3083" i="1"/>
  <c r="B3083" i="1" s="1"/>
  <c r="A3084" i="1"/>
  <c r="B3084" i="1" s="1"/>
  <c r="A3085" i="1"/>
  <c r="B3085" i="1" s="1"/>
  <c r="A3086" i="1"/>
  <c r="B3086" i="1" s="1"/>
  <c r="A3087" i="1"/>
  <c r="B3087" i="1" s="1"/>
  <c r="A3088" i="1"/>
  <c r="B3088" i="1" s="1"/>
  <c r="A3089" i="1"/>
  <c r="B3089" i="1" s="1"/>
  <c r="A3090" i="1"/>
  <c r="B3090" i="1" s="1"/>
  <c r="A3091" i="1"/>
  <c r="B3091" i="1" s="1"/>
  <c r="A3092" i="1"/>
  <c r="B3092" i="1" s="1"/>
  <c r="A3093" i="1"/>
  <c r="B3093" i="1" s="1"/>
  <c r="A3094" i="1"/>
  <c r="B3094" i="1" s="1"/>
  <c r="A3095" i="1"/>
  <c r="B3095" i="1" s="1"/>
  <c r="A3096" i="1"/>
  <c r="B3096" i="1" s="1"/>
  <c r="A3097" i="1"/>
  <c r="B3097" i="1" s="1"/>
  <c r="A3098" i="1"/>
  <c r="B3098" i="1" s="1"/>
  <c r="A3099" i="1"/>
  <c r="B3099" i="1" s="1"/>
  <c r="A3100" i="1"/>
  <c r="B3100" i="1" s="1"/>
  <c r="A3101" i="1"/>
  <c r="B3101" i="1" s="1"/>
  <c r="A3102" i="1"/>
  <c r="B3102" i="1" s="1"/>
  <c r="A3103" i="1"/>
  <c r="B3103" i="1" s="1"/>
  <c r="A3104" i="1"/>
  <c r="B3104" i="1" s="1"/>
  <c r="A3105" i="1"/>
  <c r="B3105" i="1" s="1"/>
  <c r="A3106" i="1"/>
  <c r="B3106" i="1" s="1"/>
  <c r="A3107" i="1"/>
  <c r="B3107" i="1" s="1"/>
  <c r="A3108" i="1"/>
  <c r="B3108" i="1" s="1"/>
  <c r="A3109" i="1"/>
  <c r="B3109" i="1" s="1"/>
  <c r="A3110" i="1"/>
  <c r="B3110" i="1" s="1"/>
  <c r="A3111" i="1"/>
  <c r="B3111" i="1" s="1"/>
  <c r="A3112" i="1"/>
  <c r="B3112" i="1" s="1"/>
  <c r="A3113" i="1"/>
  <c r="B3113" i="1" s="1"/>
  <c r="A3114" i="1"/>
  <c r="B3114" i="1" s="1"/>
  <c r="A3115" i="1"/>
  <c r="B3115" i="1" s="1"/>
  <c r="A3116" i="1"/>
  <c r="B3116" i="1" s="1"/>
  <c r="A3117" i="1"/>
  <c r="B3117" i="1" s="1"/>
  <c r="A3118" i="1"/>
  <c r="B3118" i="1" s="1"/>
  <c r="A3119" i="1"/>
  <c r="B3119" i="1" s="1"/>
  <c r="A3120" i="1"/>
  <c r="B3120" i="1" s="1"/>
  <c r="A3121" i="1"/>
  <c r="B3121" i="1" s="1"/>
  <c r="A3122" i="1"/>
  <c r="B3122" i="1" s="1"/>
  <c r="A3123" i="1"/>
  <c r="B3123" i="1" s="1"/>
  <c r="A3124" i="1"/>
  <c r="B3124" i="1" s="1"/>
  <c r="A3125" i="1"/>
  <c r="B3125" i="1" s="1"/>
  <c r="A3126" i="1"/>
  <c r="B3126" i="1" s="1"/>
  <c r="A3127" i="1"/>
  <c r="B3127" i="1" s="1"/>
  <c r="A3128" i="1"/>
  <c r="B3128" i="1" s="1"/>
  <c r="A3129" i="1"/>
  <c r="B3129" i="1" s="1"/>
  <c r="A3130" i="1"/>
  <c r="B3130" i="1" s="1"/>
  <c r="A3131" i="1"/>
  <c r="B3131" i="1" s="1"/>
  <c r="A3132" i="1"/>
  <c r="B3132" i="1" s="1"/>
  <c r="A3133" i="1"/>
  <c r="B3133" i="1" s="1"/>
  <c r="A3134" i="1"/>
  <c r="B3134" i="1" s="1"/>
  <c r="A3135" i="1"/>
  <c r="B3135" i="1" s="1"/>
  <c r="A3136" i="1"/>
  <c r="B3136" i="1" s="1"/>
  <c r="A3137" i="1"/>
  <c r="B3137" i="1" s="1"/>
  <c r="A3138" i="1"/>
  <c r="B3138" i="1" s="1"/>
  <c r="A3139" i="1"/>
  <c r="B3139" i="1" s="1"/>
  <c r="A3140" i="1"/>
  <c r="B3140" i="1" s="1"/>
  <c r="A3141" i="1"/>
  <c r="B3141" i="1" s="1"/>
  <c r="A3142" i="1"/>
  <c r="B3142" i="1" s="1"/>
  <c r="A3143" i="1"/>
  <c r="B3143" i="1" s="1"/>
  <c r="A3144" i="1"/>
  <c r="B3144" i="1" s="1"/>
  <c r="A3145" i="1"/>
  <c r="B3145" i="1" s="1"/>
  <c r="A3146" i="1"/>
  <c r="B3146" i="1" s="1"/>
  <c r="A3147" i="1"/>
  <c r="B3147" i="1" s="1"/>
  <c r="A3148" i="1"/>
  <c r="B3148" i="1" s="1"/>
  <c r="A3149" i="1"/>
  <c r="B3149" i="1" s="1"/>
  <c r="A3150" i="1"/>
  <c r="B3150" i="1" s="1"/>
  <c r="A3151" i="1"/>
  <c r="B3151" i="1" s="1"/>
  <c r="A3152" i="1"/>
  <c r="B3152" i="1" s="1"/>
  <c r="A3153" i="1"/>
  <c r="B3153" i="1" s="1"/>
  <c r="A3154" i="1"/>
  <c r="B3154" i="1" s="1"/>
  <c r="A3155" i="1"/>
  <c r="B3155" i="1" s="1"/>
  <c r="A3156" i="1"/>
  <c r="B3156" i="1" s="1"/>
  <c r="A3157" i="1"/>
  <c r="B3157" i="1" s="1"/>
  <c r="A3158" i="1"/>
  <c r="B3158" i="1" s="1"/>
  <c r="A3159" i="1"/>
  <c r="B3159" i="1" s="1"/>
  <c r="A3160" i="1"/>
  <c r="B3160" i="1" s="1"/>
  <c r="A3161" i="1"/>
  <c r="B3161" i="1" s="1"/>
  <c r="A3162" i="1"/>
  <c r="B3162" i="1" s="1"/>
  <c r="A3163" i="1"/>
  <c r="B3163" i="1" s="1"/>
  <c r="A3164" i="1"/>
  <c r="B3164" i="1" s="1"/>
  <c r="A3165" i="1"/>
  <c r="B3165" i="1" s="1"/>
  <c r="A3166" i="1"/>
  <c r="B3166" i="1" s="1"/>
  <c r="A3167" i="1"/>
  <c r="B3167" i="1" s="1"/>
  <c r="A3168" i="1"/>
  <c r="B3168" i="1" s="1"/>
  <c r="A3169" i="1"/>
  <c r="B3169" i="1" s="1"/>
  <c r="A3170" i="1"/>
  <c r="B3170" i="1" s="1"/>
  <c r="A3171" i="1"/>
  <c r="B3171" i="1" s="1"/>
  <c r="A3172" i="1"/>
  <c r="B3172" i="1" s="1"/>
  <c r="A3173" i="1"/>
  <c r="B3173" i="1" s="1"/>
  <c r="A3174" i="1"/>
  <c r="B3174" i="1" s="1"/>
  <c r="A3175" i="1"/>
  <c r="B3175" i="1" s="1"/>
  <c r="A3176" i="1"/>
  <c r="B3176" i="1" s="1"/>
  <c r="A3177" i="1"/>
  <c r="B3177" i="1" s="1"/>
  <c r="A3178" i="1"/>
  <c r="B3178" i="1" s="1"/>
  <c r="A3179" i="1"/>
  <c r="B3179" i="1" s="1"/>
  <c r="A3180" i="1"/>
  <c r="B3180" i="1" s="1"/>
  <c r="A3181" i="1"/>
  <c r="B3181" i="1" s="1"/>
  <c r="A3182" i="1"/>
  <c r="B3182" i="1" s="1"/>
  <c r="A3183" i="1"/>
  <c r="B3183" i="1" s="1"/>
  <c r="A3184" i="1"/>
  <c r="B3184" i="1" s="1"/>
  <c r="A3185" i="1"/>
  <c r="B3185" i="1" s="1"/>
  <c r="A3186" i="1"/>
  <c r="B3186" i="1" s="1"/>
  <c r="A3187" i="1"/>
  <c r="B3187" i="1" s="1"/>
  <c r="A3188" i="1"/>
  <c r="B3188" i="1" s="1"/>
  <c r="A3189" i="1"/>
  <c r="B3189" i="1" s="1"/>
  <c r="A3190" i="1"/>
  <c r="B3190" i="1" s="1"/>
  <c r="A3191" i="1"/>
  <c r="B3191" i="1" s="1"/>
  <c r="A3192" i="1"/>
  <c r="B3192" i="1" s="1"/>
  <c r="A3193" i="1"/>
  <c r="B3193" i="1" s="1"/>
  <c r="A3194" i="1"/>
  <c r="B3194" i="1" s="1"/>
  <c r="A3195" i="1"/>
  <c r="B3195" i="1" s="1"/>
  <c r="A3196" i="1"/>
  <c r="B3196" i="1" s="1"/>
  <c r="A3197" i="1"/>
  <c r="B3197" i="1" s="1"/>
  <c r="A3198" i="1"/>
  <c r="B3198" i="1" s="1"/>
  <c r="A3199" i="1"/>
  <c r="B3199" i="1" s="1"/>
  <c r="A3200" i="1"/>
  <c r="B3200" i="1" s="1"/>
  <c r="A3201" i="1"/>
  <c r="B3201" i="1" s="1"/>
  <c r="A3202" i="1"/>
  <c r="B3202" i="1" s="1"/>
  <c r="A3203" i="1"/>
  <c r="B3203" i="1" s="1"/>
  <c r="A3204" i="1"/>
  <c r="B3204" i="1" s="1"/>
  <c r="A3205" i="1"/>
  <c r="B3205" i="1" s="1"/>
  <c r="A3206" i="1"/>
  <c r="B3206" i="1" s="1"/>
  <c r="A3207" i="1"/>
  <c r="B3207" i="1" s="1"/>
  <c r="A3208" i="1"/>
  <c r="B3208" i="1" s="1"/>
  <c r="A3209" i="1"/>
  <c r="B3209" i="1" s="1"/>
  <c r="A3210" i="1"/>
  <c r="B3210" i="1" s="1"/>
  <c r="A3211" i="1"/>
  <c r="B3211" i="1" s="1"/>
  <c r="A3212" i="1"/>
  <c r="B3212" i="1" s="1"/>
  <c r="A3213" i="1"/>
  <c r="B3213" i="1" s="1"/>
  <c r="A3214" i="1"/>
  <c r="B3214" i="1" s="1"/>
  <c r="A3215" i="1"/>
  <c r="B3215" i="1" s="1"/>
  <c r="A3216" i="1"/>
  <c r="B3216" i="1" s="1"/>
  <c r="A3217" i="1"/>
  <c r="B3217" i="1" s="1"/>
  <c r="A3218" i="1"/>
  <c r="B3218" i="1" s="1"/>
  <c r="A3219" i="1"/>
  <c r="B3219" i="1" s="1"/>
  <c r="A3220" i="1"/>
  <c r="B3220" i="1" s="1"/>
  <c r="A3221" i="1"/>
  <c r="B3221" i="1" s="1"/>
  <c r="A3222" i="1"/>
  <c r="B3222" i="1" s="1"/>
  <c r="A3223" i="1"/>
  <c r="B3223" i="1" s="1"/>
  <c r="A3224" i="1"/>
  <c r="B3224" i="1" s="1"/>
  <c r="A3225" i="1"/>
  <c r="B3225" i="1" s="1"/>
  <c r="A3226" i="1"/>
  <c r="B3226" i="1" s="1"/>
  <c r="A3227" i="1"/>
  <c r="B3227" i="1" s="1"/>
  <c r="A3228" i="1"/>
  <c r="B3228" i="1" s="1"/>
  <c r="A3229" i="1"/>
  <c r="B3229" i="1" s="1"/>
  <c r="A3230" i="1"/>
  <c r="B3230" i="1" s="1"/>
  <c r="A3231" i="1"/>
  <c r="B3231" i="1" s="1"/>
  <c r="A3232" i="1"/>
  <c r="B3232" i="1" s="1"/>
  <c r="A3233" i="1"/>
  <c r="B3233" i="1" s="1"/>
  <c r="A3234" i="1"/>
  <c r="B3234" i="1" s="1"/>
  <c r="A3235" i="1"/>
  <c r="B3235" i="1" s="1"/>
  <c r="A3236" i="1"/>
  <c r="B3236" i="1" s="1"/>
  <c r="A3237" i="1"/>
  <c r="B3237" i="1" s="1"/>
  <c r="A3238" i="1"/>
  <c r="B3238" i="1" s="1"/>
  <c r="A3239" i="1"/>
  <c r="B3239" i="1" s="1"/>
  <c r="A3240" i="1"/>
  <c r="B3240" i="1" s="1"/>
  <c r="A3241" i="1"/>
  <c r="B3241" i="1" s="1"/>
  <c r="A3242" i="1"/>
  <c r="B3242" i="1" s="1"/>
  <c r="A3243" i="1"/>
  <c r="B3243" i="1" s="1"/>
  <c r="A3244" i="1"/>
  <c r="B3244" i="1" s="1"/>
  <c r="A3245" i="1"/>
  <c r="B3245" i="1" s="1"/>
  <c r="A3246" i="1"/>
  <c r="B3246" i="1" s="1"/>
  <c r="A3247" i="1"/>
  <c r="B3247" i="1" s="1"/>
  <c r="A3248" i="1"/>
  <c r="B3248" i="1" s="1"/>
  <c r="A3249" i="1"/>
  <c r="B3249" i="1" s="1"/>
  <c r="A3250" i="1"/>
  <c r="B3250" i="1" s="1"/>
  <c r="A3251" i="1"/>
  <c r="B3251" i="1" s="1"/>
  <c r="A3252" i="1"/>
  <c r="B3252" i="1" s="1"/>
  <c r="A3253" i="1"/>
  <c r="B3253" i="1" s="1"/>
  <c r="A3254" i="1"/>
  <c r="B3254" i="1" s="1"/>
  <c r="A3255" i="1"/>
  <c r="B3255" i="1" s="1"/>
  <c r="A3256" i="1"/>
  <c r="B3256" i="1" s="1"/>
  <c r="A3257" i="1"/>
  <c r="B3257" i="1" s="1"/>
  <c r="A3258" i="1"/>
  <c r="B3258" i="1" s="1"/>
  <c r="A3259" i="1"/>
  <c r="B3259" i="1" s="1"/>
  <c r="A3260" i="1"/>
  <c r="B3260" i="1" s="1"/>
  <c r="A3261" i="1"/>
  <c r="B3261" i="1" s="1"/>
  <c r="A3262" i="1"/>
  <c r="B3262" i="1" s="1"/>
  <c r="A3263" i="1"/>
  <c r="B3263" i="1" s="1"/>
  <c r="A3264" i="1"/>
  <c r="B3264" i="1" s="1"/>
  <c r="A3265" i="1"/>
  <c r="B3265" i="1" s="1"/>
  <c r="A3266" i="1"/>
  <c r="B3266" i="1" s="1"/>
  <c r="A3267" i="1"/>
  <c r="B3267" i="1" s="1"/>
  <c r="A3268" i="1"/>
  <c r="B3268" i="1" s="1"/>
  <c r="A3269" i="1"/>
  <c r="B3269" i="1" s="1"/>
  <c r="A3270" i="1"/>
  <c r="B3270" i="1" s="1"/>
  <c r="A3271" i="1"/>
  <c r="B3271" i="1" s="1"/>
  <c r="A3272" i="1"/>
  <c r="B3272" i="1" s="1"/>
  <c r="A3273" i="1"/>
  <c r="B3273" i="1" s="1"/>
  <c r="A3274" i="1"/>
  <c r="B3274" i="1" s="1"/>
  <c r="A3275" i="1"/>
  <c r="B3275" i="1" s="1"/>
  <c r="A3276" i="1"/>
  <c r="B3276" i="1" s="1"/>
  <c r="A3277" i="1"/>
  <c r="B3277" i="1" s="1"/>
  <c r="A3278" i="1"/>
  <c r="B3278" i="1" s="1"/>
  <c r="A3279" i="1"/>
  <c r="B3279" i="1" s="1"/>
  <c r="A3280" i="1"/>
  <c r="B3280" i="1" s="1"/>
  <c r="A3281" i="1"/>
  <c r="B3281" i="1" s="1"/>
  <c r="A3282" i="1"/>
  <c r="B3282" i="1" s="1"/>
  <c r="A3283" i="1"/>
  <c r="B3283" i="1" s="1"/>
  <c r="A3284" i="1"/>
  <c r="B3284" i="1" s="1"/>
  <c r="A3285" i="1"/>
  <c r="B3285" i="1" s="1"/>
  <c r="A3286" i="1"/>
  <c r="B3286" i="1" s="1"/>
  <c r="A3287" i="1"/>
  <c r="B3287" i="1" s="1"/>
  <c r="A3288" i="1"/>
  <c r="B3288" i="1" s="1"/>
  <c r="A3289" i="1"/>
  <c r="B3289" i="1" s="1"/>
  <c r="A3290" i="1"/>
  <c r="B3290" i="1" s="1"/>
  <c r="A3291" i="1"/>
  <c r="B3291" i="1" s="1"/>
  <c r="A3292" i="1"/>
  <c r="B3292" i="1" s="1"/>
  <c r="A3293" i="1"/>
  <c r="B3293" i="1" s="1"/>
  <c r="A3294" i="1"/>
  <c r="B3294" i="1" s="1"/>
  <c r="A3295" i="1"/>
  <c r="B3295" i="1" s="1"/>
  <c r="A3296" i="1"/>
  <c r="B3296" i="1" s="1"/>
  <c r="A3297" i="1"/>
  <c r="B3297" i="1" s="1"/>
  <c r="A3298" i="1"/>
  <c r="B3298" i="1" s="1"/>
  <c r="A3299" i="1"/>
  <c r="B3299" i="1" s="1"/>
  <c r="A3300" i="1"/>
  <c r="B3300" i="1" s="1"/>
  <c r="A3301" i="1"/>
  <c r="B3301" i="1" s="1"/>
  <c r="A3302" i="1"/>
  <c r="B3302" i="1" s="1"/>
  <c r="A3303" i="1"/>
  <c r="B3303" i="1" s="1"/>
  <c r="A3304" i="1"/>
  <c r="B3304" i="1" s="1"/>
  <c r="A3305" i="1"/>
  <c r="B3305" i="1" s="1"/>
  <c r="A3306" i="1"/>
  <c r="B3306" i="1" s="1"/>
  <c r="A3307" i="1"/>
  <c r="B3307" i="1" s="1"/>
  <c r="A3308" i="1"/>
  <c r="B3308" i="1" s="1"/>
  <c r="A3309" i="1"/>
  <c r="B3309" i="1" s="1"/>
  <c r="A3310" i="1"/>
  <c r="B3310" i="1" s="1"/>
  <c r="A3311" i="1"/>
  <c r="B3311" i="1" s="1"/>
  <c r="A3312" i="1"/>
  <c r="B3312" i="1" s="1"/>
  <c r="A3313" i="1"/>
  <c r="B3313" i="1" s="1"/>
  <c r="A3314" i="1"/>
  <c r="B3314" i="1" s="1"/>
  <c r="A3315" i="1"/>
  <c r="B3315" i="1" s="1"/>
  <c r="A3316" i="1"/>
  <c r="B3316" i="1" s="1"/>
  <c r="A3317" i="1"/>
  <c r="B3317" i="1" s="1"/>
  <c r="A3318" i="1"/>
  <c r="B3318" i="1" s="1"/>
  <c r="A3319" i="1"/>
  <c r="B3319" i="1" s="1"/>
  <c r="A3320" i="1"/>
  <c r="B3320" i="1" s="1"/>
  <c r="A3321" i="1"/>
  <c r="B3321" i="1" s="1"/>
  <c r="A3322" i="1"/>
  <c r="B3322" i="1" s="1"/>
  <c r="A3323" i="1"/>
  <c r="B3323" i="1" s="1"/>
  <c r="A3324" i="1"/>
  <c r="B3324" i="1" s="1"/>
  <c r="A3325" i="1"/>
  <c r="B3325" i="1" s="1"/>
  <c r="A3326" i="1"/>
  <c r="B3326" i="1" s="1"/>
  <c r="A3327" i="1"/>
  <c r="B3327" i="1" s="1"/>
  <c r="A3328" i="1"/>
  <c r="B3328" i="1" s="1"/>
  <c r="A3329" i="1"/>
  <c r="B3329" i="1" s="1"/>
  <c r="A3330" i="1"/>
  <c r="B3330" i="1" s="1"/>
  <c r="A3331" i="1"/>
  <c r="B3331" i="1" s="1"/>
  <c r="A3332" i="1"/>
  <c r="B3332" i="1" s="1"/>
  <c r="A3333" i="1"/>
  <c r="B3333" i="1" s="1"/>
  <c r="A3334" i="1"/>
  <c r="B3334" i="1" s="1"/>
  <c r="A3335" i="1"/>
  <c r="B3335" i="1" s="1"/>
  <c r="A3336" i="1"/>
  <c r="B3336" i="1" s="1"/>
  <c r="A3337" i="1"/>
  <c r="B3337" i="1" s="1"/>
  <c r="A3338" i="1"/>
  <c r="B3338" i="1" s="1"/>
  <c r="A3339" i="1"/>
  <c r="B3339" i="1" s="1"/>
  <c r="A3340" i="1"/>
  <c r="B3340" i="1" s="1"/>
  <c r="A3341" i="1"/>
  <c r="B3341" i="1" s="1"/>
  <c r="A3342" i="1"/>
  <c r="B3342" i="1" s="1"/>
  <c r="A3343" i="1"/>
  <c r="B3343" i="1" s="1"/>
  <c r="A3344" i="1"/>
  <c r="B3344" i="1" s="1"/>
  <c r="A3345" i="1"/>
  <c r="B3345" i="1" s="1"/>
  <c r="A3346" i="1"/>
  <c r="B3346" i="1" s="1"/>
  <c r="A3347" i="1"/>
  <c r="B3347" i="1" s="1"/>
  <c r="A3348" i="1"/>
  <c r="B3348" i="1" s="1"/>
  <c r="A3349" i="1"/>
  <c r="B3349" i="1" s="1"/>
  <c r="A3350" i="1"/>
  <c r="B3350" i="1" s="1"/>
  <c r="A3351" i="1"/>
  <c r="B3351" i="1" s="1"/>
  <c r="A3352" i="1"/>
  <c r="B3352" i="1" s="1"/>
  <c r="A3353" i="1"/>
  <c r="B3353" i="1" s="1"/>
  <c r="A3354" i="1"/>
  <c r="B3354" i="1" s="1"/>
  <c r="A3355" i="1"/>
  <c r="B3355" i="1" s="1"/>
  <c r="A3356" i="1"/>
  <c r="B3356" i="1" s="1"/>
  <c r="A3357" i="1"/>
  <c r="B3357" i="1" s="1"/>
  <c r="A3358" i="1"/>
  <c r="B3358" i="1" s="1"/>
  <c r="A3359" i="1"/>
  <c r="B3359" i="1" s="1"/>
  <c r="A3360" i="1"/>
  <c r="B3360" i="1" s="1"/>
  <c r="A3361" i="1"/>
  <c r="B3361" i="1" s="1"/>
  <c r="A3362" i="1"/>
  <c r="B3362" i="1" s="1"/>
  <c r="A3363" i="1"/>
  <c r="B3363" i="1" s="1"/>
  <c r="A3364" i="1"/>
  <c r="B3364" i="1" s="1"/>
  <c r="A3365" i="1"/>
  <c r="B3365" i="1" s="1"/>
  <c r="A3366" i="1"/>
  <c r="B3366" i="1" s="1"/>
  <c r="A3367" i="1"/>
  <c r="B3367" i="1" s="1"/>
  <c r="A3368" i="1"/>
  <c r="B3368" i="1" s="1"/>
  <c r="A3369" i="1"/>
  <c r="B3369" i="1" s="1"/>
  <c r="A3370" i="1"/>
  <c r="B3370" i="1" s="1"/>
  <c r="A3371" i="1"/>
  <c r="B3371" i="1" s="1"/>
  <c r="A3372" i="1"/>
  <c r="B3372" i="1" s="1"/>
  <c r="A3373" i="1"/>
  <c r="B3373" i="1" s="1"/>
  <c r="A3374" i="1"/>
  <c r="B3374" i="1" s="1"/>
  <c r="A3375" i="1"/>
  <c r="B3375" i="1" s="1"/>
  <c r="A3376" i="1"/>
  <c r="B3376" i="1" s="1"/>
  <c r="A3377" i="1"/>
  <c r="B3377" i="1" s="1"/>
  <c r="A3378" i="1"/>
  <c r="B3378" i="1" s="1"/>
  <c r="A3379" i="1"/>
  <c r="B3379" i="1" s="1"/>
  <c r="A3380" i="1"/>
  <c r="B3380" i="1" s="1"/>
  <c r="A3381" i="1"/>
  <c r="B3381" i="1" s="1"/>
  <c r="A3382" i="1"/>
  <c r="B3382" i="1" s="1"/>
  <c r="A3383" i="1"/>
  <c r="B3383" i="1" s="1"/>
  <c r="A3384" i="1"/>
  <c r="B3384" i="1" s="1"/>
  <c r="A3385" i="1"/>
  <c r="B3385" i="1" s="1"/>
  <c r="A3386" i="1"/>
  <c r="B3386" i="1" s="1"/>
  <c r="A3387" i="1"/>
  <c r="B3387" i="1" s="1"/>
  <c r="A3388" i="1"/>
  <c r="B3388" i="1" s="1"/>
  <c r="A3389" i="1"/>
  <c r="B3389" i="1" s="1"/>
  <c r="A3390" i="1"/>
  <c r="B3390" i="1" s="1"/>
  <c r="A3391" i="1"/>
  <c r="B3391" i="1" s="1"/>
  <c r="A3392" i="1"/>
  <c r="B3392" i="1" s="1"/>
  <c r="A3393" i="1"/>
  <c r="B3393" i="1" s="1"/>
  <c r="A3394" i="1"/>
  <c r="B3394" i="1" s="1"/>
  <c r="A3395" i="1"/>
  <c r="B3395" i="1" s="1"/>
  <c r="A3396" i="1"/>
  <c r="B3396" i="1" s="1"/>
  <c r="A3397" i="1"/>
  <c r="B3397" i="1" s="1"/>
  <c r="A3398" i="1"/>
  <c r="B3398" i="1" s="1"/>
  <c r="A3399" i="1"/>
  <c r="B3399" i="1" s="1"/>
  <c r="A3400" i="1"/>
  <c r="B3400" i="1" s="1"/>
  <c r="A3401" i="1"/>
  <c r="B3401" i="1" s="1"/>
  <c r="A3402" i="1"/>
  <c r="B3402" i="1" s="1"/>
  <c r="A3403" i="1"/>
  <c r="B3403" i="1" s="1"/>
  <c r="A3404" i="1"/>
  <c r="B3404" i="1" s="1"/>
  <c r="A3405" i="1"/>
  <c r="B3405" i="1" s="1"/>
  <c r="A3406" i="1"/>
  <c r="B3406" i="1" s="1"/>
  <c r="A3407" i="1"/>
  <c r="B3407" i="1" s="1"/>
  <c r="A3408" i="1"/>
  <c r="B3408" i="1" s="1"/>
  <c r="A3409" i="1"/>
  <c r="B3409" i="1" s="1"/>
  <c r="A3410" i="1"/>
  <c r="B3410" i="1" s="1"/>
  <c r="A3411" i="1"/>
  <c r="B3411" i="1" s="1"/>
  <c r="A3412" i="1"/>
  <c r="B3412" i="1" s="1"/>
  <c r="A3413" i="1"/>
  <c r="B3413" i="1" s="1"/>
  <c r="A3414" i="1"/>
  <c r="B3414" i="1" s="1"/>
  <c r="A3415" i="1"/>
  <c r="B3415" i="1" s="1"/>
  <c r="A3416" i="1"/>
  <c r="B3416" i="1" s="1"/>
  <c r="A3417" i="1"/>
  <c r="B3417" i="1" s="1"/>
  <c r="A3418" i="1"/>
  <c r="B3418" i="1" s="1"/>
  <c r="A3419" i="1"/>
  <c r="B3419" i="1" s="1"/>
  <c r="A3420" i="1"/>
  <c r="B3420" i="1" s="1"/>
  <c r="A3421" i="1"/>
  <c r="B3421" i="1" s="1"/>
  <c r="A3422" i="1"/>
  <c r="B3422" i="1" s="1"/>
  <c r="A3423" i="1"/>
  <c r="B3423" i="1" s="1"/>
  <c r="A3424" i="1"/>
  <c r="B3424" i="1" s="1"/>
  <c r="A3425" i="1"/>
  <c r="B3425" i="1" s="1"/>
  <c r="A3426" i="1"/>
  <c r="B3426" i="1" s="1"/>
  <c r="A3427" i="1"/>
  <c r="B3427" i="1" s="1"/>
  <c r="A3428" i="1"/>
  <c r="B3428" i="1" s="1"/>
  <c r="A3429" i="1"/>
  <c r="B3429" i="1" s="1"/>
  <c r="A3430" i="1"/>
  <c r="B3430" i="1" s="1"/>
  <c r="A3431" i="1"/>
  <c r="B3431" i="1" s="1"/>
  <c r="A3432" i="1"/>
  <c r="B3432" i="1" s="1"/>
  <c r="A3433" i="1"/>
  <c r="B3433" i="1" s="1"/>
  <c r="A3434" i="1"/>
  <c r="B3434" i="1" s="1"/>
  <c r="A3435" i="1"/>
  <c r="B3435" i="1" s="1"/>
  <c r="A3436" i="1"/>
  <c r="B3436" i="1" s="1"/>
  <c r="A3437" i="1"/>
  <c r="B3437" i="1" s="1"/>
  <c r="A3438" i="1"/>
  <c r="B3438" i="1" s="1"/>
  <c r="A3439" i="1"/>
  <c r="B3439" i="1" s="1"/>
  <c r="A3440" i="1"/>
  <c r="B3440" i="1" s="1"/>
  <c r="A3441" i="1"/>
  <c r="B3441" i="1" s="1"/>
  <c r="A3442" i="1"/>
  <c r="B3442" i="1" s="1"/>
  <c r="A3443" i="1"/>
  <c r="B3443" i="1" s="1"/>
  <c r="A3444" i="1"/>
  <c r="B3444" i="1" s="1"/>
  <c r="A3445" i="1"/>
  <c r="B3445" i="1" s="1"/>
  <c r="A3446" i="1"/>
  <c r="B3446" i="1" s="1"/>
  <c r="A3447" i="1"/>
  <c r="B3447" i="1" s="1"/>
  <c r="A3448" i="1"/>
  <c r="B3448" i="1" s="1"/>
  <c r="A3449" i="1"/>
  <c r="B3449" i="1" s="1"/>
  <c r="A3450" i="1"/>
  <c r="B3450" i="1" s="1"/>
  <c r="A3451" i="1"/>
  <c r="B3451" i="1" s="1"/>
  <c r="A3452" i="1"/>
  <c r="B3452" i="1" s="1"/>
  <c r="A3453" i="1"/>
  <c r="B3453" i="1" s="1"/>
  <c r="A3454" i="1"/>
  <c r="B3454" i="1" s="1"/>
  <c r="A3455" i="1"/>
  <c r="B3455" i="1" s="1"/>
  <c r="A3456" i="1"/>
  <c r="B3456" i="1" s="1"/>
  <c r="A3457" i="1"/>
  <c r="B3457" i="1" s="1"/>
  <c r="A3458" i="1"/>
  <c r="B3458" i="1" s="1"/>
  <c r="A3459" i="1"/>
  <c r="B3459" i="1" s="1"/>
  <c r="A3460" i="1"/>
  <c r="B3460" i="1" s="1"/>
  <c r="A3461" i="1"/>
  <c r="B3461" i="1" s="1"/>
  <c r="A3462" i="1"/>
  <c r="B3462" i="1" s="1"/>
  <c r="A3463" i="1"/>
  <c r="B3463" i="1" s="1"/>
  <c r="A3464" i="1"/>
  <c r="B3464" i="1" s="1"/>
  <c r="A3465" i="1"/>
  <c r="B3465" i="1" s="1"/>
  <c r="A3466" i="1"/>
  <c r="B3466" i="1" s="1"/>
  <c r="A3467" i="1"/>
  <c r="B3467" i="1" s="1"/>
  <c r="A3468" i="1"/>
  <c r="B3468" i="1" s="1"/>
  <c r="A3469" i="1"/>
  <c r="B3469" i="1" s="1"/>
  <c r="A3470" i="1"/>
  <c r="B3470" i="1" s="1"/>
  <c r="A3471" i="1"/>
  <c r="B3471" i="1" s="1"/>
  <c r="A3472" i="1"/>
  <c r="B3472" i="1" s="1"/>
  <c r="A3473" i="1"/>
  <c r="B3473" i="1" s="1"/>
  <c r="A3474" i="1"/>
  <c r="B3474" i="1" s="1"/>
  <c r="A3475" i="1"/>
  <c r="B3475" i="1" s="1"/>
  <c r="A3476" i="1"/>
  <c r="B3476" i="1" s="1"/>
  <c r="A3477" i="1"/>
  <c r="B3477" i="1" s="1"/>
  <c r="A3478" i="1"/>
  <c r="B3478" i="1" s="1"/>
  <c r="A3479" i="1"/>
  <c r="B3479" i="1" s="1"/>
  <c r="A3480" i="1"/>
  <c r="B3480" i="1" s="1"/>
  <c r="A3481" i="1"/>
  <c r="B3481" i="1" s="1"/>
  <c r="A3482" i="1"/>
  <c r="B3482" i="1" s="1"/>
  <c r="A3483" i="1"/>
  <c r="B3483" i="1" s="1"/>
  <c r="A3484" i="1"/>
  <c r="B3484" i="1" s="1"/>
  <c r="A3485" i="1"/>
  <c r="B3485" i="1" s="1"/>
  <c r="A3486" i="1"/>
  <c r="B3486" i="1" s="1"/>
  <c r="A3487" i="1"/>
  <c r="B3487" i="1" s="1"/>
  <c r="A3488" i="1"/>
  <c r="B3488" i="1" s="1"/>
  <c r="A3489" i="1"/>
  <c r="B3489" i="1" s="1"/>
  <c r="A3490" i="1"/>
  <c r="B3490" i="1" s="1"/>
  <c r="A3491" i="1"/>
  <c r="B3491" i="1" s="1"/>
  <c r="A3492" i="1"/>
  <c r="B3492" i="1" s="1"/>
  <c r="A3493" i="1"/>
  <c r="B3493" i="1" s="1"/>
  <c r="A3494" i="1"/>
  <c r="B3494" i="1" s="1"/>
  <c r="A3495" i="1"/>
  <c r="B3495" i="1" s="1"/>
  <c r="A3496" i="1"/>
  <c r="B3496" i="1" s="1"/>
  <c r="A3497" i="1"/>
  <c r="B3497" i="1" s="1"/>
  <c r="A3498" i="1"/>
  <c r="B3498" i="1" s="1"/>
  <c r="A3499" i="1"/>
  <c r="B3499" i="1" s="1"/>
  <c r="A3500" i="1"/>
  <c r="B3500" i="1" s="1"/>
  <c r="A3501" i="1"/>
  <c r="B3501" i="1" s="1"/>
  <c r="A3502" i="1"/>
  <c r="B3502" i="1" s="1"/>
  <c r="A3503" i="1"/>
  <c r="B3503" i="1" s="1"/>
  <c r="A3504" i="1"/>
  <c r="B3504" i="1" s="1"/>
  <c r="A3505" i="1"/>
  <c r="B3505" i="1" s="1"/>
  <c r="A3506" i="1"/>
  <c r="B3506" i="1" s="1"/>
  <c r="A3507" i="1"/>
  <c r="B3507" i="1" s="1"/>
  <c r="A3508" i="1"/>
  <c r="B3508" i="1" s="1"/>
  <c r="A3509" i="1"/>
  <c r="B3509" i="1" s="1"/>
  <c r="A3510" i="1"/>
  <c r="B3510" i="1" s="1"/>
  <c r="A3511" i="1"/>
  <c r="B3511" i="1" s="1"/>
  <c r="A3512" i="1"/>
  <c r="B3512" i="1" s="1"/>
  <c r="A3513" i="1"/>
  <c r="B3513" i="1" s="1"/>
  <c r="A3514" i="1"/>
  <c r="B3514" i="1" s="1"/>
  <c r="A3515" i="1"/>
  <c r="B3515" i="1" s="1"/>
  <c r="A3516" i="1"/>
  <c r="B3516" i="1" s="1"/>
  <c r="A3517" i="1"/>
  <c r="B3517" i="1" s="1"/>
  <c r="A3518" i="1"/>
  <c r="B3518" i="1" s="1"/>
  <c r="A3519" i="1"/>
  <c r="B3519" i="1" s="1"/>
  <c r="A3520" i="1"/>
  <c r="B3520" i="1" s="1"/>
  <c r="A3521" i="1"/>
  <c r="B3521" i="1" s="1"/>
  <c r="A3522" i="1"/>
  <c r="B3522" i="1" s="1"/>
  <c r="A3523" i="1"/>
  <c r="B3523" i="1" s="1"/>
  <c r="A3524" i="1"/>
  <c r="B3524" i="1" s="1"/>
  <c r="A3525" i="1"/>
  <c r="B3525" i="1" s="1"/>
  <c r="A3526" i="1"/>
  <c r="B3526" i="1" s="1"/>
  <c r="A3527" i="1"/>
  <c r="B3527" i="1" s="1"/>
  <c r="A3528" i="1"/>
  <c r="B3528" i="1" s="1"/>
  <c r="A3529" i="1"/>
  <c r="B3529" i="1" s="1"/>
  <c r="A3530" i="1"/>
  <c r="B3530" i="1" s="1"/>
  <c r="A3531" i="1"/>
  <c r="B3531" i="1" s="1"/>
  <c r="A3532" i="1"/>
  <c r="B3532" i="1" s="1"/>
  <c r="A3533" i="1"/>
  <c r="B3533" i="1" s="1"/>
  <c r="A3534" i="1"/>
  <c r="B3534" i="1" s="1"/>
  <c r="A3535" i="1"/>
  <c r="B3535" i="1" s="1"/>
  <c r="A3536" i="1"/>
  <c r="B3536" i="1" s="1"/>
  <c r="A3537" i="1"/>
  <c r="B3537" i="1" s="1"/>
  <c r="A3538" i="1"/>
  <c r="B3538" i="1" s="1"/>
  <c r="A3539" i="1"/>
  <c r="B3539" i="1" s="1"/>
  <c r="A3540" i="1"/>
  <c r="B3540" i="1" s="1"/>
  <c r="A3541" i="1"/>
  <c r="B3541" i="1" s="1"/>
  <c r="A3542" i="1"/>
  <c r="B3542" i="1" s="1"/>
  <c r="A3543" i="1"/>
  <c r="B3543" i="1" s="1"/>
  <c r="A3544" i="1"/>
  <c r="B3544" i="1" s="1"/>
  <c r="A3545" i="1"/>
  <c r="B3545" i="1" s="1"/>
  <c r="A3546" i="1"/>
  <c r="B3546" i="1" s="1"/>
  <c r="A3547" i="1"/>
  <c r="B3547" i="1" s="1"/>
  <c r="A3548" i="1"/>
  <c r="B3548" i="1" s="1"/>
  <c r="A3549" i="1"/>
  <c r="B3549" i="1" s="1"/>
  <c r="A3550" i="1"/>
  <c r="B3550" i="1" s="1"/>
  <c r="A3551" i="1"/>
  <c r="B3551" i="1" s="1"/>
  <c r="A3552" i="1"/>
  <c r="B3552" i="1" s="1"/>
  <c r="A3553" i="1"/>
  <c r="B3553" i="1" s="1"/>
  <c r="A3554" i="1"/>
  <c r="B3554" i="1" s="1"/>
  <c r="A3555" i="1"/>
  <c r="B3555" i="1" s="1"/>
  <c r="A3556" i="1"/>
  <c r="B3556" i="1" s="1"/>
  <c r="A3557" i="1"/>
  <c r="B3557" i="1" s="1"/>
  <c r="A3558" i="1"/>
  <c r="B3558" i="1" s="1"/>
  <c r="A3559" i="1"/>
  <c r="B3559" i="1" s="1"/>
  <c r="A3560" i="1"/>
  <c r="B3560" i="1" s="1"/>
  <c r="A3561" i="1"/>
  <c r="B3561" i="1" s="1"/>
  <c r="A3562" i="1"/>
  <c r="B3562" i="1" s="1"/>
  <c r="A3563" i="1"/>
  <c r="B3563" i="1" s="1"/>
  <c r="A3564" i="1"/>
  <c r="B3564" i="1" s="1"/>
  <c r="A3565" i="1"/>
  <c r="B3565" i="1" s="1"/>
  <c r="A3566" i="1"/>
  <c r="B3566" i="1" s="1"/>
  <c r="A3567" i="1"/>
  <c r="B3567" i="1" s="1"/>
  <c r="A3568" i="1"/>
  <c r="B3568" i="1" s="1"/>
  <c r="A3569" i="1"/>
  <c r="B3569" i="1" s="1"/>
  <c r="A3570" i="1"/>
  <c r="B3570" i="1" s="1"/>
  <c r="A3571" i="1"/>
  <c r="B3571" i="1" s="1"/>
  <c r="A3572" i="1"/>
  <c r="B3572" i="1" s="1"/>
  <c r="A3573" i="1"/>
  <c r="B3573" i="1" s="1"/>
  <c r="A3574" i="1"/>
  <c r="B3574" i="1" s="1"/>
  <c r="A3575" i="1"/>
  <c r="B3575" i="1" s="1"/>
  <c r="A3576" i="1"/>
  <c r="B3576" i="1" s="1"/>
  <c r="A3577" i="1"/>
  <c r="B3577" i="1" s="1"/>
  <c r="A3578" i="1"/>
  <c r="B3578" i="1" s="1"/>
  <c r="A3579" i="1"/>
  <c r="B3579" i="1" s="1"/>
  <c r="A3580" i="1"/>
  <c r="B3580" i="1" s="1"/>
  <c r="A3581" i="1"/>
  <c r="B3581" i="1" s="1"/>
  <c r="A3582" i="1"/>
  <c r="B3582" i="1" s="1"/>
  <c r="A3583" i="1"/>
  <c r="B3583" i="1" s="1"/>
  <c r="A3584" i="1"/>
  <c r="B3584" i="1" s="1"/>
  <c r="A3585" i="1"/>
  <c r="B3585" i="1" s="1"/>
  <c r="A3586" i="1"/>
  <c r="B3586" i="1" s="1"/>
  <c r="A3587" i="1"/>
  <c r="B3587" i="1" s="1"/>
  <c r="A3588" i="1"/>
  <c r="B3588" i="1" s="1"/>
  <c r="A3589" i="1"/>
  <c r="B3589" i="1" s="1"/>
  <c r="A3590" i="1"/>
  <c r="B3590" i="1" s="1"/>
  <c r="A3591" i="1"/>
  <c r="B3591" i="1" s="1"/>
  <c r="A3592" i="1"/>
  <c r="B3592" i="1" s="1"/>
  <c r="A3593" i="1"/>
  <c r="B3593" i="1" s="1"/>
  <c r="A3594" i="1"/>
  <c r="B3594" i="1" s="1"/>
  <c r="A3595" i="1"/>
  <c r="B3595" i="1" s="1"/>
  <c r="A3596" i="1"/>
  <c r="B3596" i="1" s="1"/>
  <c r="A3597" i="1"/>
  <c r="B3597" i="1" s="1"/>
  <c r="A3598" i="1"/>
  <c r="B3598" i="1" s="1"/>
  <c r="A3599" i="1"/>
  <c r="B3599" i="1" s="1"/>
  <c r="A3600" i="1"/>
  <c r="B3600" i="1" s="1"/>
  <c r="A3601" i="1"/>
  <c r="B3601" i="1" s="1"/>
  <c r="A3602" i="1"/>
  <c r="B3602" i="1" s="1"/>
  <c r="A3603" i="1"/>
  <c r="B3603" i="1" s="1"/>
  <c r="A3604" i="1"/>
  <c r="B3604" i="1" s="1"/>
  <c r="A3605" i="1"/>
  <c r="B3605" i="1" s="1"/>
  <c r="A3606" i="1"/>
  <c r="B3606" i="1" s="1"/>
  <c r="A3607" i="1"/>
  <c r="B3607" i="1" s="1"/>
  <c r="A3608" i="1"/>
  <c r="B3608" i="1" s="1"/>
  <c r="A3609" i="1"/>
  <c r="B3609" i="1" s="1"/>
  <c r="A3610" i="1"/>
  <c r="B3610" i="1" s="1"/>
  <c r="A3611" i="1"/>
  <c r="B3611" i="1" s="1"/>
  <c r="A3612" i="1"/>
  <c r="B3612" i="1" s="1"/>
  <c r="A3613" i="1"/>
  <c r="B3613" i="1" s="1"/>
  <c r="A3614" i="1"/>
  <c r="B3614" i="1" s="1"/>
  <c r="A3615" i="1"/>
  <c r="B3615" i="1" s="1"/>
  <c r="A3616" i="1"/>
  <c r="B3616" i="1" s="1"/>
  <c r="A3617" i="1"/>
  <c r="B3617" i="1" s="1"/>
  <c r="A3618" i="1"/>
  <c r="B3618" i="1" s="1"/>
  <c r="A3619" i="1"/>
  <c r="B3619" i="1" s="1"/>
  <c r="A3620" i="1"/>
  <c r="B3620" i="1" s="1"/>
  <c r="A3621" i="1"/>
  <c r="B3621" i="1" s="1"/>
  <c r="A3622" i="1"/>
  <c r="B3622" i="1" s="1"/>
  <c r="A3623" i="1"/>
  <c r="B3623" i="1" s="1"/>
  <c r="A3624" i="1"/>
  <c r="B3624" i="1" s="1"/>
  <c r="A3625" i="1"/>
  <c r="B3625" i="1" s="1"/>
  <c r="A3626" i="1"/>
  <c r="B3626" i="1" s="1"/>
  <c r="A3627" i="1"/>
  <c r="B3627" i="1" s="1"/>
  <c r="A3628" i="1"/>
  <c r="B3628" i="1" s="1"/>
  <c r="A3629" i="1"/>
  <c r="B3629" i="1" s="1"/>
  <c r="A3630" i="1"/>
  <c r="B3630" i="1" s="1"/>
  <c r="A3631" i="1"/>
  <c r="B3631" i="1" s="1"/>
  <c r="A3632" i="1"/>
  <c r="B3632" i="1" s="1"/>
  <c r="A3633" i="1"/>
  <c r="B3633" i="1" s="1"/>
  <c r="A3634" i="1"/>
  <c r="B3634" i="1" s="1"/>
  <c r="A3635" i="1"/>
  <c r="B3635" i="1" s="1"/>
  <c r="A3636" i="1"/>
  <c r="B3636" i="1" s="1"/>
  <c r="A3637" i="1"/>
  <c r="B3637" i="1" s="1"/>
  <c r="A3638" i="1"/>
  <c r="B3638" i="1" s="1"/>
  <c r="A3639" i="1"/>
  <c r="B3639" i="1" s="1"/>
  <c r="A3640" i="1"/>
  <c r="B3640" i="1" s="1"/>
  <c r="A3641" i="1"/>
  <c r="B3641" i="1" s="1"/>
  <c r="A3642" i="1"/>
  <c r="B3642" i="1" s="1"/>
  <c r="A3643" i="1"/>
  <c r="B3643" i="1" s="1"/>
  <c r="A3644" i="1"/>
  <c r="B3644" i="1" s="1"/>
  <c r="A3645" i="1"/>
  <c r="B3645" i="1" s="1"/>
  <c r="A3646" i="1"/>
  <c r="B3646" i="1" s="1"/>
  <c r="A3647" i="1"/>
  <c r="B3647" i="1" s="1"/>
  <c r="A3648" i="1"/>
  <c r="B3648" i="1" s="1"/>
  <c r="A3649" i="1"/>
  <c r="B3649" i="1" s="1"/>
  <c r="A3650" i="1"/>
  <c r="B3650" i="1" s="1"/>
  <c r="A3651" i="1"/>
  <c r="B3651" i="1" s="1"/>
  <c r="A3652" i="1"/>
  <c r="B3652" i="1" s="1"/>
  <c r="A3653" i="1"/>
  <c r="B3653" i="1" s="1"/>
  <c r="A3654" i="1"/>
  <c r="B3654" i="1" s="1"/>
  <c r="A3655" i="1"/>
  <c r="B3655" i="1" s="1"/>
  <c r="A3656" i="1"/>
  <c r="B3656" i="1" s="1"/>
  <c r="A3657" i="1"/>
  <c r="B3657" i="1" s="1"/>
  <c r="A3658" i="1"/>
  <c r="B3658" i="1" s="1"/>
  <c r="A3659" i="1"/>
  <c r="B3659" i="1" s="1"/>
  <c r="A3660" i="1"/>
  <c r="B3660" i="1" s="1"/>
  <c r="A3661" i="1"/>
  <c r="B3661" i="1" s="1"/>
  <c r="A3662" i="1"/>
  <c r="B3662" i="1" s="1"/>
  <c r="A3663" i="1"/>
  <c r="B3663" i="1" s="1"/>
  <c r="A3664" i="1"/>
  <c r="B3664" i="1" s="1"/>
  <c r="A3665" i="1"/>
  <c r="B3665" i="1" s="1"/>
  <c r="A3666" i="1"/>
  <c r="B3666" i="1" s="1"/>
  <c r="A3667" i="1"/>
  <c r="B3667" i="1" s="1"/>
  <c r="A3668" i="1"/>
  <c r="B3668" i="1" s="1"/>
  <c r="A3669" i="1"/>
  <c r="B3669" i="1" s="1"/>
  <c r="A3670" i="1"/>
  <c r="B3670" i="1" s="1"/>
  <c r="A3671" i="1"/>
  <c r="B3671" i="1" s="1"/>
  <c r="A3672" i="1"/>
  <c r="B3672" i="1" s="1"/>
  <c r="A3673" i="1"/>
  <c r="B3673" i="1" s="1"/>
  <c r="A3674" i="1"/>
  <c r="B3674" i="1" s="1"/>
  <c r="A3675" i="1"/>
  <c r="B3675" i="1" s="1"/>
  <c r="A3676" i="1"/>
  <c r="B3676" i="1" s="1"/>
  <c r="A3677" i="1"/>
  <c r="B3677" i="1" s="1"/>
  <c r="A3678" i="1"/>
  <c r="B3678" i="1" s="1"/>
  <c r="A3679" i="1"/>
  <c r="B3679" i="1" s="1"/>
  <c r="A3680" i="1"/>
  <c r="B3680" i="1" s="1"/>
  <c r="A3681" i="1"/>
  <c r="B3681" i="1" s="1"/>
  <c r="A3682" i="1"/>
  <c r="B3682" i="1" s="1"/>
  <c r="A3683" i="1"/>
  <c r="B3683" i="1" s="1"/>
  <c r="A3684" i="1"/>
  <c r="B3684" i="1" s="1"/>
  <c r="A3685" i="1"/>
  <c r="B3685" i="1" s="1"/>
  <c r="A3686" i="1"/>
  <c r="B3686" i="1" s="1"/>
  <c r="A3687" i="1"/>
  <c r="B3687" i="1" s="1"/>
  <c r="A3688" i="1"/>
  <c r="B3688" i="1" s="1"/>
  <c r="A3689" i="1"/>
  <c r="B3689" i="1" s="1"/>
  <c r="A3690" i="1"/>
  <c r="B3690" i="1" s="1"/>
  <c r="A3691" i="1"/>
  <c r="B3691" i="1" s="1"/>
  <c r="A3692" i="1"/>
  <c r="B3692" i="1" s="1"/>
  <c r="A3693" i="1"/>
  <c r="B3693" i="1" s="1"/>
  <c r="A3694" i="1"/>
  <c r="B3694" i="1" s="1"/>
  <c r="A3695" i="1"/>
  <c r="B3695" i="1" s="1"/>
  <c r="A3696" i="1"/>
  <c r="B3696" i="1" s="1"/>
  <c r="A3697" i="1"/>
  <c r="B3697" i="1" s="1"/>
  <c r="A3698" i="1"/>
  <c r="B3698" i="1" s="1"/>
  <c r="A3699" i="1"/>
  <c r="B3699" i="1" s="1"/>
  <c r="A3700" i="1"/>
  <c r="B3700" i="1" s="1"/>
  <c r="A3701" i="1"/>
  <c r="B3701" i="1" s="1"/>
  <c r="A3702" i="1"/>
  <c r="B3702" i="1" s="1"/>
  <c r="A3703" i="1"/>
  <c r="B3703" i="1" s="1"/>
  <c r="A3704" i="1"/>
  <c r="B3704" i="1" s="1"/>
  <c r="A3705" i="1"/>
  <c r="B3705" i="1" s="1"/>
  <c r="A3706" i="1"/>
  <c r="B3706" i="1" s="1"/>
  <c r="A3707" i="1"/>
  <c r="B3707" i="1" s="1"/>
  <c r="A3708" i="1"/>
  <c r="B3708" i="1" s="1"/>
  <c r="A3709" i="1"/>
  <c r="B3709" i="1" s="1"/>
  <c r="A3710" i="1"/>
  <c r="B3710" i="1" s="1"/>
  <c r="A3711" i="1"/>
  <c r="B3711" i="1" s="1"/>
  <c r="A3712" i="1"/>
  <c r="B3712" i="1" s="1"/>
  <c r="A3713" i="1"/>
  <c r="B3713" i="1" s="1"/>
  <c r="A3714" i="1"/>
  <c r="B3714" i="1" s="1"/>
  <c r="A3715" i="1"/>
  <c r="B3715" i="1" s="1"/>
  <c r="A3716" i="1"/>
  <c r="B3716" i="1" s="1"/>
  <c r="A3717" i="1"/>
  <c r="B3717" i="1" s="1"/>
  <c r="A3718" i="1"/>
  <c r="B3718" i="1" s="1"/>
  <c r="A3719" i="1"/>
  <c r="B3719" i="1" s="1"/>
  <c r="A3720" i="1"/>
  <c r="B3720" i="1" s="1"/>
  <c r="A3721" i="1"/>
  <c r="B3721" i="1" s="1"/>
  <c r="A3722" i="1"/>
  <c r="B3722" i="1" s="1"/>
  <c r="A3723" i="1"/>
  <c r="B3723" i="1" s="1"/>
  <c r="A3724" i="1"/>
  <c r="B3724" i="1" s="1"/>
  <c r="A3725" i="1"/>
  <c r="B3725" i="1" s="1"/>
  <c r="A3726" i="1"/>
  <c r="B3726" i="1" s="1"/>
  <c r="A3727" i="1"/>
  <c r="B3727" i="1" s="1"/>
  <c r="A3728" i="1"/>
  <c r="B3728" i="1" s="1"/>
  <c r="A3729" i="1"/>
  <c r="B3729" i="1" s="1"/>
  <c r="A3730" i="1"/>
  <c r="B3730" i="1" s="1"/>
  <c r="A3731" i="1"/>
  <c r="B3731" i="1" s="1"/>
  <c r="A3732" i="1"/>
  <c r="B3732" i="1" s="1"/>
  <c r="A3733" i="1"/>
  <c r="B3733" i="1" s="1"/>
  <c r="A3734" i="1"/>
  <c r="B3734" i="1" s="1"/>
  <c r="A3735" i="1"/>
  <c r="B3735" i="1" s="1"/>
  <c r="A3736" i="1"/>
  <c r="B3736" i="1" s="1"/>
  <c r="A3737" i="1"/>
  <c r="B3737" i="1" s="1"/>
  <c r="A3738" i="1"/>
  <c r="B3738" i="1" s="1"/>
  <c r="A3739" i="1"/>
  <c r="B3739" i="1" s="1"/>
  <c r="A3740" i="1"/>
  <c r="B3740" i="1" s="1"/>
  <c r="A3741" i="1"/>
  <c r="B3741" i="1" s="1"/>
  <c r="A3742" i="1"/>
  <c r="B3742" i="1" s="1"/>
  <c r="A3743" i="1"/>
  <c r="B3743" i="1" s="1"/>
  <c r="A3744" i="1"/>
  <c r="B3744" i="1" s="1"/>
  <c r="A3745" i="1"/>
  <c r="B3745" i="1" s="1"/>
  <c r="A3746" i="1"/>
  <c r="B3746" i="1" s="1"/>
  <c r="A3747" i="1"/>
  <c r="B3747" i="1" s="1"/>
  <c r="A3748" i="1"/>
  <c r="B3748" i="1" s="1"/>
  <c r="A3749" i="1"/>
  <c r="B3749" i="1" s="1"/>
  <c r="A3750" i="1"/>
  <c r="B3750" i="1" s="1"/>
  <c r="A3751" i="1"/>
  <c r="B3751" i="1" s="1"/>
  <c r="A3752" i="1"/>
  <c r="B3752" i="1" s="1"/>
  <c r="A3753" i="1"/>
  <c r="B3753" i="1" s="1"/>
  <c r="A3754" i="1"/>
  <c r="B3754" i="1" s="1"/>
  <c r="A3755" i="1"/>
  <c r="B3755" i="1" s="1"/>
  <c r="A3756" i="1"/>
  <c r="B3756" i="1" s="1"/>
  <c r="A3757" i="1"/>
  <c r="B3757" i="1" s="1"/>
  <c r="A3758" i="1"/>
  <c r="B3758" i="1" s="1"/>
  <c r="A3759" i="1"/>
  <c r="B3759" i="1" s="1"/>
  <c r="A3760" i="1"/>
  <c r="B3760" i="1" s="1"/>
  <c r="A3761" i="1"/>
  <c r="B3761" i="1" s="1"/>
  <c r="A3762" i="1"/>
  <c r="B3762" i="1" s="1"/>
  <c r="A3763" i="1"/>
  <c r="B3763" i="1" s="1"/>
  <c r="A3764" i="1"/>
  <c r="B3764" i="1" s="1"/>
  <c r="A3765" i="1"/>
  <c r="B3765" i="1" s="1"/>
  <c r="A3766" i="1"/>
  <c r="B3766" i="1" s="1"/>
  <c r="A3767" i="1"/>
  <c r="B3767" i="1" s="1"/>
  <c r="A3768" i="1"/>
  <c r="B3768" i="1" s="1"/>
  <c r="A3769" i="1"/>
  <c r="B3769" i="1" s="1"/>
  <c r="A3770" i="1"/>
  <c r="B3770" i="1" s="1"/>
  <c r="A3771" i="1"/>
  <c r="B3771" i="1" s="1"/>
  <c r="A3772" i="1"/>
  <c r="B3772" i="1" s="1"/>
  <c r="A3773" i="1"/>
  <c r="B3773" i="1" s="1"/>
  <c r="A3774" i="1"/>
  <c r="B3774" i="1" s="1"/>
  <c r="A3775" i="1"/>
  <c r="B3775" i="1" s="1"/>
  <c r="A3776" i="1"/>
  <c r="B3776" i="1" s="1"/>
  <c r="A3777" i="1"/>
  <c r="B3777" i="1" s="1"/>
  <c r="A3778" i="1"/>
  <c r="B3778" i="1" s="1"/>
  <c r="A3779" i="1"/>
  <c r="B3779" i="1" s="1"/>
  <c r="A3780" i="1"/>
  <c r="B3780" i="1" s="1"/>
  <c r="A3781" i="1"/>
  <c r="B3781" i="1" s="1"/>
  <c r="A3782" i="1"/>
  <c r="B3782" i="1" s="1"/>
  <c r="A3783" i="1"/>
  <c r="B3783" i="1" s="1"/>
  <c r="A3784" i="1"/>
  <c r="B3784" i="1" s="1"/>
  <c r="A3785" i="1"/>
  <c r="B3785" i="1" s="1"/>
  <c r="A3786" i="1"/>
  <c r="B3786" i="1" s="1"/>
  <c r="A3787" i="1"/>
  <c r="B3787" i="1" s="1"/>
  <c r="A3788" i="1"/>
  <c r="B3788" i="1" s="1"/>
  <c r="A3789" i="1"/>
  <c r="B3789" i="1" s="1"/>
  <c r="A3790" i="1"/>
  <c r="B3790" i="1" s="1"/>
  <c r="A3791" i="1"/>
  <c r="B3791" i="1" s="1"/>
  <c r="A3792" i="1"/>
  <c r="B3792" i="1" s="1"/>
  <c r="A3793" i="1"/>
  <c r="B3793" i="1" s="1"/>
  <c r="A3794" i="1"/>
  <c r="B3794" i="1" s="1"/>
  <c r="A3795" i="1"/>
  <c r="B3795" i="1" s="1"/>
  <c r="A3796" i="1"/>
  <c r="B3796" i="1" s="1"/>
  <c r="A3797" i="1"/>
  <c r="B3797" i="1" s="1"/>
  <c r="A3798" i="1"/>
  <c r="B3798" i="1" s="1"/>
  <c r="A3799" i="1"/>
  <c r="B3799" i="1" s="1"/>
  <c r="A3800" i="1"/>
  <c r="B3800" i="1" s="1"/>
  <c r="A3801" i="1"/>
  <c r="B3801" i="1" s="1"/>
  <c r="A3802" i="1"/>
  <c r="B3802" i="1" s="1"/>
  <c r="A3803" i="1"/>
  <c r="B3803" i="1" s="1"/>
  <c r="A3804" i="1"/>
  <c r="B3804" i="1" s="1"/>
  <c r="A3805" i="1"/>
  <c r="B3805" i="1" s="1"/>
  <c r="A3806" i="1"/>
  <c r="B3806" i="1" s="1"/>
  <c r="A3807" i="1"/>
  <c r="B3807" i="1" s="1"/>
  <c r="A3808" i="1"/>
  <c r="B3808" i="1" s="1"/>
  <c r="A3809" i="1"/>
  <c r="B3809" i="1" s="1"/>
  <c r="A3810" i="1"/>
  <c r="B3810" i="1" s="1"/>
  <c r="A3811" i="1"/>
  <c r="B3811" i="1" s="1"/>
  <c r="A3812" i="1"/>
  <c r="B3812" i="1" s="1"/>
  <c r="A3813" i="1"/>
  <c r="B3813" i="1" s="1"/>
  <c r="A3814" i="1"/>
  <c r="B3814" i="1" s="1"/>
  <c r="A3815" i="1"/>
  <c r="B3815" i="1" s="1"/>
  <c r="A3816" i="1"/>
  <c r="B3816" i="1" s="1"/>
  <c r="A3817" i="1"/>
  <c r="B3817" i="1" s="1"/>
  <c r="A3818" i="1"/>
  <c r="B3818" i="1" s="1"/>
  <c r="A3819" i="1"/>
  <c r="B3819" i="1" s="1"/>
  <c r="A3820" i="1"/>
  <c r="B3820" i="1" s="1"/>
  <c r="A3821" i="1"/>
  <c r="B3821" i="1" s="1"/>
  <c r="A3822" i="1"/>
  <c r="B3822" i="1" s="1"/>
  <c r="A3823" i="1"/>
  <c r="B3823" i="1" s="1"/>
  <c r="A3824" i="1"/>
  <c r="B3824" i="1" s="1"/>
  <c r="A3825" i="1"/>
  <c r="B3825" i="1" s="1"/>
  <c r="A3826" i="1"/>
  <c r="B3826" i="1" s="1"/>
  <c r="A3827" i="1"/>
  <c r="B3827" i="1" s="1"/>
  <c r="A3828" i="1"/>
  <c r="B3828" i="1" s="1"/>
  <c r="A3829" i="1"/>
  <c r="B3829" i="1" s="1"/>
  <c r="A3830" i="1"/>
  <c r="B3830" i="1" s="1"/>
  <c r="A3831" i="1"/>
  <c r="B3831" i="1" s="1"/>
  <c r="A3832" i="1"/>
  <c r="B3832" i="1" s="1"/>
  <c r="A3833" i="1"/>
  <c r="B3833" i="1" s="1"/>
  <c r="A3834" i="1"/>
  <c r="B3834" i="1" s="1"/>
  <c r="A3835" i="1"/>
  <c r="B3835" i="1" s="1"/>
  <c r="A3836" i="1"/>
  <c r="B3836" i="1" s="1"/>
  <c r="A3837" i="1"/>
  <c r="B3837" i="1" s="1"/>
  <c r="A3838" i="1"/>
  <c r="B3838" i="1" s="1"/>
  <c r="A3839" i="1"/>
  <c r="B3839" i="1" s="1"/>
  <c r="A3840" i="1"/>
  <c r="B3840" i="1" s="1"/>
  <c r="A3841" i="1"/>
  <c r="B3841" i="1" s="1"/>
  <c r="A3842" i="1"/>
  <c r="B3842" i="1" s="1"/>
  <c r="A3843" i="1"/>
  <c r="B3843" i="1" s="1"/>
  <c r="A3844" i="1"/>
  <c r="B3844" i="1" s="1"/>
  <c r="A3845" i="1"/>
  <c r="B3845" i="1" s="1"/>
  <c r="A3846" i="1"/>
  <c r="B3846" i="1" s="1"/>
  <c r="A3847" i="1"/>
  <c r="B3847" i="1" s="1"/>
  <c r="A3848" i="1"/>
  <c r="B3848" i="1" s="1"/>
  <c r="A3849" i="1"/>
  <c r="B3849" i="1" s="1"/>
  <c r="A3850" i="1"/>
  <c r="B3850" i="1" s="1"/>
  <c r="A3851" i="1"/>
  <c r="B3851" i="1" s="1"/>
  <c r="A3852" i="1"/>
  <c r="B3852" i="1" s="1"/>
  <c r="A3853" i="1"/>
  <c r="B3853" i="1" s="1"/>
  <c r="A2" i="1"/>
  <c r="B2" i="1" s="1"/>
  <c r="B269" i="3"/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2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</calcChain>
</file>

<file path=xl/sharedStrings.xml><?xml version="1.0" encoding="utf-8"?>
<sst xmlns="http://schemas.openxmlformats.org/spreadsheetml/2006/main" count="68904" uniqueCount="4447">
  <si>
    <t>Lote</t>
  </si>
  <si>
    <t>Item</t>
  </si>
  <si>
    <t>Data</t>
  </si>
  <si>
    <t>C.O.</t>
  </si>
  <si>
    <t>Classe</t>
  </si>
  <si>
    <t>Operacao</t>
  </si>
  <si>
    <t>Tipo</t>
  </si>
  <si>
    <t>Tp. Saldo</t>
  </si>
  <si>
    <t>Historico</t>
  </si>
  <si>
    <t>Unid. Medida</t>
  </si>
  <si>
    <t>Processo</t>
  </si>
  <si>
    <t>Usuario</t>
  </si>
  <si>
    <t>Vlr.Lancto.</t>
  </si>
  <si>
    <t>Vlr.2a Moeda</t>
  </si>
  <si>
    <t>Vlr.3a Moeda</t>
  </si>
  <si>
    <t>Vlr.4a Moeda</t>
  </si>
  <si>
    <t>Vlr.5a Moeda</t>
  </si>
  <si>
    <t>Cod.Planilha</t>
  </si>
  <si>
    <t>Versao</t>
  </si>
  <si>
    <t>Centro Custo</t>
  </si>
  <si>
    <t>It.Contabil</t>
  </si>
  <si>
    <t>Classe Valor</t>
  </si>
  <si>
    <t>Lc.Bloqueio?</t>
  </si>
  <si>
    <t>Und. Orc.</t>
  </si>
  <si>
    <t>0000000001</t>
  </si>
  <si>
    <t>0001</t>
  </si>
  <si>
    <t>320301004</t>
  </si>
  <si>
    <t>304</t>
  </si>
  <si>
    <t>11</t>
  </si>
  <si>
    <t>Credito</t>
  </si>
  <si>
    <t>EM</t>
  </si>
  <si>
    <t>EM - PEDIDO (013491) ITEM +(0001) / (ITERRUPTOR DO NEUTRO -</t>
  </si>
  <si>
    <t>000052</t>
  </si>
  <si>
    <t>000132</t>
  </si>
  <si>
    <t>25,00</t>
  </si>
  <si>
    <t>0,00</t>
  </si>
  <si>
    <t>ORC2022</t>
  </si>
  <si>
    <t>010101</t>
  </si>
  <si>
    <t>0002</t>
  </si>
  <si>
    <t>330301004</t>
  </si>
  <si>
    <t>201</t>
  </si>
  <si>
    <t>EM - PEDIDO (013491) ITEM +(0002) / (MANCAL PARA LOCK (GUIA</t>
  </si>
  <si>
    <t>0000000002</t>
  </si>
  <si>
    <t>RE</t>
  </si>
  <si>
    <t>RE - NF (909090909) P: (11150482       ) F: (000003)</t>
  </si>
  <si>
    <t>000054</t>
  </si>
  <si>
    <t>Debito</t>
  </si>
  <si>
    <t>EM - NF (909090909) P: (11150482       ) F: (000003)</t>
  </si>
  <si>
    <t>0003</t>
  </si>
  <si>
    <t>RE - NF (909090909) P: (11010003       ) F: (000003)</t>
  </si>
  <si>
    <t>0004</t>
  </si>
  <si>
    <t>EM - NF (909090909) P: (11010003       ) F: (000003)</t>
  </si>
  <si>
    <t>0000000003</t>
  </si>
  <si>
    <t>301</t>
  </si>
  <si>
    <t>90</t>
  </si>
  <si>
    <t>EM - PEDIDO (000146)  | (11280021       ) | F: (000361/0001)</t>
  </si>
  <si>
    <t>000055</t>
  </si>
  <si>
    <t>345,00</t>
  </si>
  <si>
    <t>0000000004</t>
  </si>
  <si>
    <t>305</t>
  </si>
  <si>
    <t>21</t>
  </si>
  <si>
    <t>EM - PEDIDO (011661) ITEM +(0001) / (EMPILHADEIRA HYSTER H50</t>
  </si>
  <si>
    <t>000044</t>
  </si>
  <si>
    <t>170.000,00</t>
  </si>
  <si>
    <t>EM - PEDIDO (011661) ITEM +(0002) / (EMPILHADEIRA HYSTER H50</t>
  </si>
  <si>
    <t>172.000,00</t>
  </si>
  <si>
    <t>0000000005</t>
  </si>
  <si>
    <t>330201006</t>
  </si>
  <si>
    <t>211</t>
  </si>
  <si>
    <t>51</t>
  </si>
  <si>
    <t>EM - PEDIDO (013494) ITEM +(0001) / (SERVICO DE EMPREITADA /</t>
  </si>
  <si>
    <t>000000</t>
  </si>
  <si>
    <t>33.809,00</t>
  </si>
  <si>
    <t>0000000007</t>
  </si>
  <si>
    <t>330103</t>
  </si>
  <si>
    <t>207</t>
  </si>
  <si>
    <t>EM - PEDIDO (013492) ITEM +(0001) / (ASSISTENCIA MEDICA</t>
  </si>
  <si>
    <t>655,00</t>
  </si>
  <si>
    <t>208</t>
  </si>
  <si>
    <t>EM - PEDIDO (013492) ITEM +(0002) / (ASSISTENCIA MEDICA</t>
  </si>
  <si>
    <t>1.267,00</t>
  </si>
  <si>
    <t>209</t>
  </si>
  <si>
    <t>EM - PEDIDO (013492) ITEM +(0003) / (ASSISTENCIA MEDICA</t>
  </si>
  <si>
    <t>516,00</t>
  </si>
  <si>
    <t>320103</t>
  </si>
  <si>
    <t>EM - PEDIDO (013492) ITEM +(0004) / (ASSISTENCIA MEDICA</t>
  </si>
  <si>
    <t>3.874,00</t>
  </si>
  <si>
    <t>0005</t>
  </si>
  <si>
    <t>302</t>
  </si>
  <si>
    <t>EM - PEDIDO (013492) ITEM +(0005) / (ASSISTENCIA MEDICA</t>
  </si>
  <si>
    <t>4.905,00</t>
  </si>
  <si>
    <t>0006</t>
  </si>
  <si>
    <t>EM - PEDIDO (013492) ITEM +(0006) / (ASSISTENCIA MEDICA</t>
  </si>
  <si>
    <t>11.568,00</t>
  </si>
  <si>
    <t>0007</t>
  </si>
  <si>
    <t>33</t>
  </si>
  <si>
    <t>EM - PEDIDO (013492) ITEM +(0007) / (ASSISTENCIA MEDICA</t>
  </si>
  <si>
    <t>608,00</t>
  </si>
  <si>
    <t>0008</t>
  </si>
  <si>
    <t>206</t>
  </si>
  <si>
    <t>EM - PEDIDO (013492) ITEM +(0008) / (ASSISTENCIA MEDICA</t>
  </si>
  <si>
    <t>563,00</t>
  </si>
  <si>
    <t>0009</t>
  </si>
  <si>
    <t>EM - PEDIDO (013492) ITEM +(0009) / (ASSISTENCIA MEDICA</t>
  </si>
  <si>
    <t>704,00</t>
  </si>
  <si>
    <t>0010</t>
  </si>
  <si>
    <t>303</t>
  </si>
  <si>
    <t>31</t>
  </si>
  <si>
    <t>EM - PEDIDO (013492) ITEM +(0010) / (ASSISTENCIA MEDICA</t>
  </si>
  <si>
    <t>11.421,00</t>
  </si>
  <si>
    <t>0011</t>
  </si>
  <si>
    <t>EM - PEDIDO (013492) ITEM +(0011) / (ASSISTENCIA MEDICA</t>
  </si>
  <si>
    <t>71.588,00</t>
  </si>
  <si>
    <t>0012</t>
  </si>
  <si>
    <t>205</t>
  </si>
  <si>
    <t>EM - PEDIDO (013492) ITEM +(0012) / (ASSISTENCIA MEDICA</t>
  </si>
  <si>
    <t>282,00</t>
  </si>
  <si>
    <t>0013</t>
  </si>
  <si>
    <t>EM - PEDIDO (013492) ITEM +(0013) / (ASSISTENCIA MEDICA</t>
  </si>
  <si>
    <t>465,00</t>
  </si>
  <si>
    <t>0014</t>
  </si>
  <si>
    <t>203</t>
  </si>
  <si>
    <t>EM - PEDIDO (013492) ITEM +(0014) / (ASSISTENCIA MEDICA</t>
  </si>
  <si>
    <t>329,00</t>
  </si>
  <si>
    <t>0015</t>
  </si>
  <si>
    <t>306</t>
  </si>
  <si>
    <t>EM - PEDIDO (013492) ITEM +(0015) / (ASSISTENCIA MEDICA</t>
  </si>
  <si>
    <t>1.487,00</t>
  </si>
  <si>
    <t>0016</t>
  </si>
  <si>
    <t>EM - PEDIDO (013492) ITEM +(0016) / (ASSISTENCIA MEDICA</t>
  </si>
  <si>
    <t>2.706,00</t>
  </si>
  <si>
    <t>0017</t>
  </si>
  <si>
    <t>204</t>
  </si>
  <si>
    <t>EM - PEDIDO (013492) ITEM +(0017) / (ASSISTENCIA MEDICA</t>
  </si>
  <si>
    <t>605,00</t>
  </si>
  <si>
    <t>0018</t>
  </si>
  <si>
    <t>210</t>
  </si>
  <si>
    <t>EM - PEDIDO (013492) ITEM +(0018) / (ASSISTENCIA MEDICA</t>
  </si>
  <si>
    <t>0019</t>
  </si>
  <si>
    <t>EM - PEDIDO (013492) ITEM +(0019) / (ASSISTENCIA MEDICA</t>
  </si>
  <si>
    <t>0020</t>
  </si>
  <si>
    <t>EM - PEDIDO (013492) ITEM +(0020) / (ASSISTENCIA MEDICA</t>
  </si>
  <si>
    <t>2.386,00</t>
  </si>
  <si>
    <t>0000000008</t>
  </si>
  <si>
    <t>320201006</t>
  </si>
  <si>
    <t>EM - PEDIDO (013493) ITEM +(0002) / (SERVICO DE CONSERTO/REP</t>
  </si>
  <si>
    <t>250,00</t>
  </si>
  <si>
    <t>0000000009</t>
  </si>
  <si>
    <t>EM - PEDIDO (013486) ITEM +(0001) / (FILTRO ABSORVEDOR DE AG</t>
  </si>
  <si>
    <t>6.644,00</t>
  </si>
  <si>
    <t>0000000010</t>
  </si>
  <si>
    <t>EM - PEDIDO (013485) ITEM +(0001) / (FILTRO ABSORVEDOR DE AG</t>
  </si>
  <si>
    <t>0000000011</t>
  </si>
  <si>
    <t>EM - PEDIDO (013484) ITEM +(0001) / (LANTERNA TRASEIRA MULTI</t>
  </si>
  <si>
    <t>2.490,00</t>
  </si>
  <si>
    <t>0000000012</t>
  </si>
  <si>
    <t>330202001</t>
  </si>
  <si>
    <t>EM - PEDIDO (013483) ITEM +(0001) / (SERVICO DE CONSULTORIA</t>
  </si>
  <si>
    <t>4.702,00</t>
  </si>
  <si>
    <t>0000000013</t>
  </si>
  <si>
    <t>330409</t>
  </si>
  <si>
    <t>EM - PEDIDO (013481) ITEM +(0001) / (LAPISEIRA 0.5</t>
  </si>
  <si>
    <t>6,00</t>
  </si>
  <si>
    <t>0000000014</t>
  </si>
  <si>
    <t>EM - PEDIDO (013480) ITEM +(0001) / (PILHA AAA PALITO</t>
  </si>
  <si>
    <t>318,00</t>
  </si>
  <si>
    <t>EM - PEDIDO (013480) ITEM +(0002) / (POST -IT- PEQUENO</t>
  </si>
  <si>
    <t>23,00</t>
  </si>
  <si>
    <t>EM - PEDIDO (013480) ITEM +(0003) / (POST - IT - GRANDE</t>
  </si>
  <si>
    <t>19,00</t>
  </si>
  <si>
    <t>0000000015</t>
  </si>
  <si>
    <t>EM - PEDIDO (013479) ITEM +(0001) / (PAPEL BRANCO A4 - RESMA</t>
  </si>
  <si>
    <t>1.017,00</t>
  </si>
  <si>
    <t>EM - PEDIDO (013479) ITEM +(0002) / (PILHA AA PEQUENA</t>
  </si>
  <si>
    <t>146,00</t>
  </si>
  <si>
    <t>EM - PEDIDO (013479) ITEM +(0003) / (TESOURA GRANDE</t>
  </si>
  <si>
    <t>7,00</t>
  </si>
  <si>
    <t>EM - PEDIDO (013479) ITEM +(0004) / (FITA PARA ROTULADORA EL</t>
  </si>
  <si>
    <t>550,00</t>
  </si>
  <si>
    <t>EM - PEDIDO (013479) ITEM +(0005) / (CLIP 2/0 CX C/725</t>
  </si>
  <si>
    <t>16,00</t>
  </si>
  <si>
    <t>EM - PEDIDO (013479) ITEM +(0006) / (PRANCHETA DE ACRILICO</t>
  </si>
  <si>
    <t>EM - PEDIDO (013479) ITEM +(0007) / (GRAFITE P/ LAPISEIRA  0</t>
  </si>
  <si>
    <t>1,00</t>
  </si>
  <si>
    <t>0000000016</t>
  </si>
  <si>
    <t>EM - PEDIDO (013478) ITEM +(0001) / (CANETA PARA CD AZUL</t>
  </si>
  <si>
    <t>8,00</t>
  </si>
  <si>
    <t>EM - PEDIDO (013478) ITEM +(0002) / (GRAMPEADOR 26/6 MEDIO</t>
  </si>
  <si>
    <t>13,00</t>
  </si>
  <si>
    <t>EM - PEDIDO (013478) ITEM +(0003) / (MARCA TEXTO AMARELO</t>
  </si>
  <si>
    <t>3,00</t>
  </si>
  <si>
    <t>EM - PEDIDO (013478) ITEM +(0004) / (CANETA  0.7 AZUL</t>
  </si>
  <si>
    <t>EM - PEDIDO (013478) ITEM +(0005) / (CORRETIVO EM FITA</t>
  </si>
  <si>
    <t>49,00</t>
  </si>
  <si>
    <t>EM - PEDIDO (013478) ITEM +(0006) / (MARCA TEXTO VERDE</t>
  </si>
  <si>
    <t>2,00</t>
  </si>
  <si>
    <t>EM - PEDIDO (013478) ITEM +(0007) / (CANETA FIXA COM CORRENT</t>
  </si>
  <si>
    <t>15,00</t>
  </si>
  <si>
    <t>EM - PEDIDO (013478) ITEM +(0008) / (CANETA  BP-1 INOX 0.7 A</t>
  </si>
  <si>
    <t>5,00</t>
  </si>
  <si>
    <t>EM - PEDIDO (013478) ITEM +(0009) / (CANETA  0.7 PRETA</t>
  </si>
  <si>
    <t>0000000017</t>
  </si>
  <si>
    <t>EM - PEDIDO (013477) ITEM +(0001) / (PARAFUSO SEXTAVADO M6 X</t>
  </si>
  <si>
    <t>27,00</t>
  </si>
  <si>
    <t>0000000018</t>
  </si>
  <si>
    <t>320301001</t>
  </si>
  <si>
    <t>EM - PEDIDO (013415) ITEM +(0001) / (OLEO DIESEL - BS10</t>
  </si>
  <si>
    <t>1.560,00</t>
  </si>
  <si>
    <t>0000000019</t>
  </si>
  <si>
    <t>EM - PEDIDO (013416) ITEM +(0001) / (SERVICOS TOMADOS PJ</t>
  </si>
  <si>
    <t>14.060,00</t>
  </si>
  <si>
    <t>0000000020</t>
  </si>
  <si>
    <t>EM - PEDIDO (013438) ITEM +(0001) / (SERVICOS TOMADOS PJ</t>
  </si>
  <si>
    <t>2.400,00</t>
  </si>
  <si>
    <t>0000000021</t>
  </si>
  <si>
    <t>320301006</t>
  </si>
  <si>
    <t>EM - PEDIDO (013440) ITEM +(0001) / (ITEM PARA CONTROLE DE M</t>
  </si>
  <si>
    <t>198,00</t>
  </si>
  <si>
    <t>0000000022</t>
  </si>
  <si>
    <t>EM - PEDIDO (013441) ITEM +(0001) / (REPARO PONTA INDUZIDO 2</t>
  </si>
  <si>
    <t>60,00</t>
  </si>
  <si>
    <t>EM - PEDIDO (013441) ITEM +(0002) / (PORTA ESCOVA P/ MOTOR D</t>
  </si>
  <si>
    <t>150,00</t>
  </si>
  <si>
    <t>EM - PEDIDO (013441) ITEM +(0003) / (ROLAMENTO MOTOR PARTIDA</t>
  </si>
  <si>
    <t>45,00</t>
  </si>
  <si>
    <t>EM - PEDIDO (013441) ITEM +(0004) / (ROLAMENTO 6202 DDU - SC</t>
  </si>
  <si>
    <t>30,00</t>
  </si>
  <si>
    <t>EM - PEDIDO (013441) ITEM +(0005) / (IMPULSOR MOTOR DE PARTI</t>
  </si>
  <si>
    <t>330,00</t>
  </si>
  <si>
    <t>EM - PEDIDO (013441) ITEM +(0006) / (INDUZIDO DO MOTOR DE PA</t>
  </si>
  <si>
    <t>1.150,00</t>
  </si>
  <si>
    <t>EM - PEDIDO (013441) ITEM +(0007) / (CHAVE MAGNETICA  24V</t>
  </si>
  <si>
    <t>805,00</t>
  </si>
  <si>
    <t>EM - PEDIDO (013441) ITEM +(0008) / (ROLAMENTO MOTOR PARTIDA</t>
  </si>
  <si>
    <t>EM - PEDIDO (013441) ITEM +(0009) / (SERVICO DE CONSERTO/REP</t>
  </si>
  <si>
    <t>0000000023</t>
  </si>
  <si>
    <t>RE - NF (041577496) P: (23010009) F: (HAPVIDA  ASSISTENCIA M</t>
  </si>
  <si>
    <t>000074</t>
  </si>
  <si>
    <t>EM - PED (013492) PROD: (23010009) / FOR: (HAPVIDA  ASSISTEN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</si>
  <si>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</si>
  <si>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</si>
  <si>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</si>
  <si>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</si>
  <si>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</si>
  <si>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</si>
  <si>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</si>
  <si>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</si>
  <si>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</si>
  <si>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</si>
  <si>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</si>
  <si>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</si>
  <si>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</si>
  <si>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</si>
  <si>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</si>
  <si>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</si>
  <si>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</si>
  <si>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</si>
  <si>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</si>
  <si>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</si>
  <si>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0000000024</t>
  </si>
  <si>
    <t>RE - NF (000003057) P: (23010017) F: (FREIO DIESEL PECAS E S</t>
  </si>
  <si>
    <t>000070</t>
  </si>
  <si>
    <t>EM - PED (013493) PROD: (23010017) / FOR: (FREIO DIESEL PECA</t>
  </si>
  <si>
    <t>0000000025</t>
  </si>
  <si>
    <t>RE - NF (000002440) P: (23010001) F: (ROYAL CONSTRUCOES LTDA</t>
  </si>
  <si>
    <t>EM - PED (013494) PROD: (23010001) / FOR: (ROYAL CONSTRUCOES</t>
  </si>
  <si>
    <t>0000000026</t>
  </si>
  <si>
    <t>EM - PED (013495) PROD: (42010009) / FOR: (HYSTER YALE BRASI</t>
  </si>
  <si>
    <t>EM - PED (013495) PROD: (42010008) / FOR: (HYSTER YALE BRASI</t>
  </si>
  <si>
    <t>0000000027</t>
  </si>
  <si>
    <t>330301001</t>
  </si>
  <si>
    <t>EM - PED (013496) PROD: (11100008) / FOR: (PETROTUDO COMERCI</t>
  </si>
  <si>
    <t>64.090,00</t>
  </si>
  <si>
    <t>0000000028</t>
  </si>
  <si>
    <t>EM - PED (013500) PROD: (22010002) / FOR: (FREIO DIESEL PECA</t>
  </si>
  <si>
    <t>398,00</t>
  </si>
  <si>
    <t>0000000029</t>
  </si>
  <si>
    <t>EM - PED (013499) PROD: (23010016) / FOR: (APROVADOR SISTEMA</t>
  </si>
  <si>
    <t>499,00</t>
  </si>
  <si>
    <t>0000000030</t>
  </si>
  <si>
    <t>320201004</t>
  </si>
  <si>
    <t>EM - PED (013498) PROD: (23010005) / FOR: (COMPANHIA DE LOCA</t>
  </si>
  <si>
    <t>3.631,00</t>
  </si>
  <si>
    <t>3.701,00</t>
  </si>
  <si>
    <t>1.885,00</t>
  </si>
  <si>
    <t>1.703,00</t>
  </si>
  <si>
    <t>3.928,00</t>
  </si>
  <si>
    <t>0000000032</t>
  </si>
  <si>
    <t>EM - PED (013476) PROD: (11150187) / FOR: (JOSE ODIMAR DOS S</t>
  </si>
  <si>
    <t>625,00</t>
  </si>
  <si>
    <t>0000000033</t>
  </si>
  <si>
    <t>EM - PED (013475) PROD: (11040178) / FOR: (JOSE ODIMAR DOS S</t>
  </si>
  <si>
    <t>725,00</t>
  </si>
  <si>
    <t>0000000034</t>
  </si>
  <si>
    <t>EM - PED (013473) PROD: (12050018) / FOR: (FERNANDA DE JESUS</t>
  </si>
  <si>
    <t>0000000035</t>
  </si>
  <si>
    <t>EM - PED (013472) PROD: (11060136) / FOR: (CEQUIP IMPORTAÇÃO</t>
  </si>
  <si>
    <t>3.095,00</t>
  </si>
  <si>
    <t>0000000036</t>
  </si>
  <si>
    <t>320601002</t>
  </si>
  <si>
    <t>EM - PED (013503) PROD: (23010015) / FOR: (COMPANHIA DE DESE</t>
  </si>
  <si>
    <t>8.567,00</t>
  </si>
  <si>
    <t>80.230,00</t>
  </si>
  <si>
    <t>0000000037</t>
  </si>
  <si>
    <t>EM - PED (013502) PROD: (23010015) / FOR: (COMPANHIA DE DESE</t>
  </si>
  <si>
    <t>210,00</t>
  </si>
  <si>
    <t>0000000038</t>
  </si>
  <si>
    <t>EM - PED (013470) PROD: (12050005) / FOR: (DISTRILIMP IND CO</t>
  </si>
  <si>
    <t>160,00</t>
  </si>
  <si>
    <t>EM - PED (013470) PROD: (12050006) / FOR: (DISTRILIMP IND CO</t>
  </si>
  <si>
    <t>71,00</t>
  </si>
  <si>
    <t>0000000039</t>
  </si>
  <si>
    <t>EM - PED (013466) PROD: (11060208) / FOR: (TRACBEL NORDESTE</t>
  </si>
  <si>
    <t>640,00</t>
  </si>
  <si>
    <t>0000000040</t>
  </si>
  <si>
    <t>EM - PED (013467) PROD: (11010240) / FOR: (JOSE ODIMAR DOS S</t>
  </si>
  <si>
    <t>998,00</t>
  </si>
  <si>
    <t>0000000041</t>
  </si>
  <si>
    <t>EM - PED (013468) PROD: (11150072) / FOR: (RUDIMAR BONAMIGO)</t>
  </si>
  <si>
    <t>600,00</t>
  </si>
  <si>
    <t>EM - PED (013468) PROD: (11150114) / FOR: (RUDIMAR BONAMIGO)</t>
  </si>
  <si>
    <t>0000000042</t>
  </si>
  <si>
    <t>330406</t>
  </si>
  <si>
    <t>EM - PED (013459) PROD: (12070450) / FOR: (CARMEHIL - COMERC</t>
  </si>
  <si>
    <t>269,00</t>
  </si>
  <si>
    <t>0000000043</t>
  </si>
  <si>
    <t>EM - PED (013461) PROD: (12030002) / FOR: (MARIA GENI MARQUE</t>
  </si>
  <si>
    <t>82,00</t>
  </si>
  <si>
    <t>EM - PED (013461) PROD: (12050013) / FOR: (MARIA GENI MARQUE</t>
  </si>
  <si>
    <t>174,00</t>
  </si>
  <si>
    <t>0000000044</t>
  </si>
  <si>
    <t>EM - PED (013462) PROD: (12050002) / FOR: (FERNANDA DE JESUS</t>
  </si>
  <si>
    <t>21,00</t>
  </si>
  <si>
    <t>EM - PED (013462) PROD: (12050007) / FOR: (FERNANDA DE JESUS</t>
  </si>
  <si>
    <t>EM - PED (013462) PROD: (12050008) / FOR: (FERNANDA DE JESUS</t>
  </si>
  <si>
    <t>113,00</t>
  </si>
  <si>
    <t>EM - PED (013462) PROD: (12050012) / FOR: (FERNANDA DE JESUS</t>
  </si>
  <si>
    <t>EM - PED (013462) PROD: (12050019) / FOR: (FERNANDA DE JESUS</t>
  </si>
  <si>
    <t>213,00</t>
  </si>
  <si>
    <t>EM - PED (013462) PROD: (12050022) / FOR: (FERNANDA DE JESUS</t>
  </si>
  <si>
    <t>58,00</t>
  </si>
  <si>
    <t>EM - PED (013462) PROD: (12050023) / FOR: (FERNANDA DE JESUS</t>
  </si>
  <si>
    <t>33,00</t>
  </si>
  <si>
    <t>EM - PED (013462) PROD: (12050025) / FOR: (FERNANDA DE JESUS</t>
  </si>
  <si>
    <t>14,00</t>
  </si>
  <si>
    <t>EM - PED (013462) PROD: (12050027) / FOR: (FERNANDA DE JESUS</t>
  </si>
  <si>
    <t>28,00</t>
  </si>
  <si>
    <t>EM - PED (013462) PROD: (12050029) / FOR: (FERNANDA DE JESUS</t>
  </si>
  <si>
    <t>52,00</t>
  </si>
  <si>
    <t>EM - PED (013462) PROD: (12050030) / FOR: (FERNANDA DE JESUS</t>
  </si>
  <si>
    <t>69,00</t>
  </si>
  <si>
    <t>EM - PED (013462) PROD: (12050033) / FOR: (FERNANDA DE JESUS</t>
  </si>
  <si>
    <t>37,00</t>
  </si>
  <si>
    <t>EM - PED (013462) PROD: (12120006) / FOR: (FERNANDA DE JESUS</t>
  </si>
  <si>
    <t>EM - PED (013462) PROD: (12120007) / FOR: (FERNANDA DE JESUS</t>
  </si>
  <si>
    <t>EM - PED (013462) PROD: (12120008) / FOR: (FERNANDA DE JESUS</t>
  </si>
  <si>
    <t>EM - PED (013462) PROD: (12120009) / FOR: (FERNANDA DE JESUS</t>
  </si>
  <si>
    <t>301,00</t>
  </si>
  <si>
    <t>EM - PED (013462) PROD: (12120034) / FOR: (FERNANDA DE JESUS</t>
  </si>
  <si>
    <t>0000000045</t>
  </si>
  <si>
    <t>EM - PED (013463) PROD: (12050009) / FOR: (SUPER SUPPLY DIST</t>
  </si>
  <si>
    <t>31,00</t>
  </si>
  <si>
    <t>EM - PED (013463) PROD: (12050044) / FOR: (SUPER SUPPLY DIST</t>
  </si>
  <si>
    <t>42,00</t>
  </si>
  <si>
    <t>EM - PED (013463) PROD: (12050050) / FOR: (SUPER SUPPLY DIST</t>
  </si>
  <si>
    <t>74,00</t>
  </si>
  <si>
    <t>0000000046</t>
  </si>
  <si>
    <t>EM - PED (013464) PROD: (12050011) / FOR: (TUDO OFFICE LTDA)</t>
  </si>
  <si>
    <t>EM - PED (013464) PROD: (12050028) / FOR: (TUDO OFFICE LTDA)</t>
  </si>
  <si>
    <t>40,00</t>
  </si>
  <si>
    <t>EM - PED (013464) PROD: (12120001) / FOR: (TUDO OFFICE LTDA)</t>
  </si>
  <si>
    <t>171,00</t>
  </si>
  <si>
    <t>EM - PED (013464) PROD: (12120002) / FOR: (TUDO OFFICE LTDA)</t>
  </si>
  <si>
    <t>534,00</t>
  </si>
  <si>
    <t>0000000047</t>
  </si>
  <si>
    <t>EM - PED (013465) PROD: (12050034) / FOR: (DISTRILIMP IND CO</t>
  </si>
  <si>
    <t>141,00</t>
  </si>
  <si>
    <t>EM - PED (013465) PROD: (12120010) / FOR: (DISTRILIMP IND CO</t>
  </si>
  <si>
    <t>336,00</t>
  </si>
  <si>
    <t>0000000048</t>
  </si>
  <si>
    <t>330104</t>
  </si>
  <si>
    <t>EM - PED (013417) PROD: (12080057) / FOR: (BRINEL COMERCIO E</t>
  </si>
  <si>
    <t>0000000049</t>
  </si>
  <si>
    <t>EM - PED (013418) PROD: (11150042) / FOR: (AUGUSTINHO MOTA D</t>
  </si>
  <si>
    <t>399,00</t>
  </si>
  <si>
    <t>0000000050</t>
  </si>
  <si>
    <t>EM - PED (013419) PROD: (12080040) / FOR: (CLARUS COM. DE EP</t>
  </si>
  <si>
    <t>310,00</t>
  </si>
  <si>
    <t>EM - PED (013419) PROD: (12080041) / FOR: (CLARUS COM. DE EP</t>
  </si>
  <si>
    <t>103,00</t>
  </si>
  <si>
    <t>0000000051</t>
  </si>
  <si>
    <t>EM - PED (013421) PROD: (11150025) / FOR: (PACAEMBU AUTO PEC</t>
  </si>
  <si>
    <t>77,00</t>
  </si>
  <si>
    <t>0000000052</t>
  </si>
  <si>
    <t>EM - PED (013426) PROD: (11010010) / FOR: (JOSE ODIMAR DOS S</t>
  </si>
  <si>
    <t>1.256,00</t>
  </si>
  <si>
    <t>0000000053</t>
  </si>
  <si>
    <t>EM - PED (013435) PROD: (23010012) / FOR: (ANTONIO GALDINO D</t>
  </si>
  <si>
    <t>3.378,00</t>
  </si>
  <si>
    <t>0000000054</t>
  </si>
  <si>
    <t>EM - PED (013445) PROD: (11020054) / FOR: (AUTO GERAL LTDA)</t>
  </si>
  <si>
    <t>890,00</t>
  </si>
  <si>
    <t>EM - PED (013445) PROD: (11260008) / FOR: (AUTO GERAL LTDA)</t>
  </si>
  <si>
    <t>220,00</t>
  </si>
  <si>
    <t>EM - PED (013445) PROD: (23010017) / FOR: (AUTO GERAL LTDA)</t>
  </si>
  <si>
    <t>0000000055</t>
  </si>
  <si>
    <t>EM - PED (013447) PROD: (12030014) / FOR: (SUPER SUPPLY DIST</t>
  </si>
  <si>
    <t>26,00</t>
  </si>
  <si>
    <t>EM - PED (013447) PROD: (12030025) / FOR: (SUPER SUPPLY DIST</t>
  </si>
  <si>
    <t>EM - PED (013447) PROD: (12030052) / FOR: (SUPER SUPPLY DIST</t>
  </si>
  <si>
    <t>254,00</t>
  </si>
  <si>
    <t>0000000056</t>
  </si>
  <si>
    <t>EM - PED (013448) PROD: (12030020) / FOR: (TUDO OFFICE LTDA)</t>
  </si>
  <si>
    <t>81,00</t>
  </si>
  <si>
    <t>EM - PED (013448) PROD: (12030038) / FOR: (TUDO OFFICE LTDA)</t>
  </si>
  <si>
    <t>0000000057</t>
  </si>
  <si>
    <t>EM - PED (013449) PROD: (12030028) / FOR: (DISTRILIMP IND CO</t>
  </si>
  <si>
    <t>4,00</t>
  </si>
  <si>
    <t>0000000058</t>
  </si>
  <si>
    <t>EM - PED (013450) PROD: (12030053) / FOR: (CIL COMERCIO DE I</t>
  </si>
  <si>
    <t>64,00</t>
  </si>
  <si>
    <t>0000000059</t>
  </si>
  <si>
    <t>EM - PED (013451) PROD: (12050023) / FOR: (FERNANDA DE JESUS</t>
  </si>
  <si>
    <t>EM - PED (013451) PROD: (12050027) / FOR: (FERNANDA DE JESUS</t>
  </si>
  <si>
    <t>EM - PED (013451) PROD: (12120009) / FOR: (FERNANDA DE JESUS</t>
  </si>
  <si>
    <t>20,00</t>
  </si>
  <si>
    <t>0000000060</t>
  </si>
  <si>
    <t>EM - PED (013452) PROD: (12030059) / FOR: (DISTRILIMP IND CO</t>
  </si>
  <si>
    <t>EM - PED (013452) PROD: (12030069) / FOR: (DISTRILIMP IND CO</t>
  </si>
  <si>
    <t>0000000061</t>
  </si>
  <si>
    <t>EM - PED (013454) PROD: (12020022) / FOR: (TUDO OFFICE LTDA)</t>
  </si>
  <si>
    <t>125,00</t>
  </si>
  <si>
    <t>EM - PED (013454) PROD: (12030020) / FOR: (TUDO OFFICE LTDA)</t>
  </si>
  <si>
    <t>204,00</t>
  </si>
  <si>
    <t>EM - PED (013454) PROD: (12050028) / FOR: (TUDO OFFICE LTDA)</t>
  </si>
  <si>
    <t>EM - PED (013454) PROD: (12050034) / FOR: (TUDO OFFICE LTDA)</t>
  </si>
  <si>
    <t>72,00</t>
  </si>
  <si>
    <t>EM - PED (013454) PROD: (12050048) / FOR: (TUDO OFFICE LTDA)</t>
  </si>
  <si>
    <t>164,00</t>
  </si>
  <si>
    <t>EM - PED (013454) PROD: (12120010) / FOR: (TUDO OFFICE LTDA)</t>
  </si>
  <si>
    <t>140,00</t>
  </si>
  <si>
    <t>0000000062</t>
  </si>
  <si>
    <t>EM - PED (013455) PROD: (12030053) / FOR: (CIL COMERCIO DE I</t>
  </si>
  <si>
    <t>0000000063</t>
  </si>
  <si>
    <t>EM - PED (013456) PROD: (12050002) / FOR: (FERNANDA DE JESUS</t>
  </si>
  <si>
    <t>EM - PED (013456) PROD: (12050007) / FOR: (FERNANDA DE JESUS</t>
  </si>
  <si>
    <t>12,00</t>
  </si>
  <si>
    <t>EM - PED (013456) PROD: (12050008) / FOR: (FERNANDA DE JESUS</t>
  </si>
  <si>
    <t>EM - PED (013456) PROD: (12050013) / FOR: (FERNANDA DE JESUS</t>
  </si>
  <si>
    <t>17,00</t>
  </si>
  <si>
    <t>EM - PED (013456) PROD: (12120009) / FOR: (FERNANDA DE JESUS</t>
  </si>
  <si>
    <t>0000000064</t>
  </si>
  <si>
    <t>EM - PED (013458) PROD: (12050009) / FOR: (SUPER SUPPLY DIST</t>
  </si>
  <si>
    <t>0000000065</t>
  </si>
  <si>
    <t>EM - PED (013457) PROD: (12050006) / FOR: (DISTRILIMP IND CO</t>
  </si>
  <si>
    <t>36,00</t>
  </si>
  <si>
    <t>0000000066</t>
  </si>
  <si>
    <t>RE - NF (000040130) P: (23010015) F: (COMPANHIA DE DESENVOLV</t>
  </si>
  <si>
    <t>0000000067</t>
  </si>
  <si>
    <t>RE - NF (000040131) P: (23010015) F: (COMPANHIA DE DESENVOLV</t>
  </si>
  <si>
    <t>0000000068</t>
  </si>
  <si>
    <t>RE - NF (000040132) P: (23010015) F: (COMPANHIA DE DESENVOLV</t>
  </si>
  <si>
    <t>0000000069</t>
  </si>
  <si>
    <t>320601001</t>
  </si>
  <si>
    <t>EM - PED (013504) PROD: (12040008) / FOR: (SOARES COMERCIO D</t>
  </si>
  <si>
    <t>22.800,00</t>
  </si>
  <si>
    <t>EM - PED (013504) PROD: (12040015) / FOR: (SOARES COMERCIO D</t>
  </si>
  <si>
    <t>19.950,00</t>
  </si>
  <si>
    <t>0000000070</t>
  </si>
  <si>
    <t>RE - NF (000000969) P: (12040008) F: (SOARES COMERCIO DE MAD</t>
  </si>
  <si>
    <t>000084</t>
  </si>
  <si>
    <t>RE - NF (000000969) P: (12040015) F: (SOARES COMERCIO DE MAD</t>
  </si>
  <si>
    <t>0000000071</t>
  </si>
  <si>
    <t>RE - NF (000003051) P: (22010002) F: (FREIO DIESEL PECAS E S</t>
  </si>
  <si>
    <t>0000000072</t>
  </si>
  <si>
    <t>RE - NF (000017199) P: (11100008) F: (PETROTUDO COMERCIO ATA</t>
  </si>
  <si>
    <t>000091</t>
  </si>
  <si>
    <t>0000000073</t>
  </si>
  <si>
    <t>EM - PED (013506) PROD: (23010004) / FOR: (RR SERVICOS EMPRE</t>
  </si>
  <si>
    <t>12.000,00</t>
  </si>
  <si>
    <t>0000000074</t>
  </si>
  <si>
    <t>RE - NF (000000282) P: (23010004) F: (RR SERVICOS EMPRESARIA</t>
  </si>
  <si>
    <t>0000000075</t>
  </si>
  <si>
    <t>EM - PED (013505) PROD: (11381126) / FOR: (BR HIDRAULICA EIR</t>
  </si>
  <si>
    <t>240,50</t>
  </si>
  <si>
    <t>EM - PED (013505) PROD: (11381127) / FOR: (BR HIDRAULICA EIR</t>
  </si>
  <si>
    <t>440,00</t>
  </si>
  <si>
    <t>EM - PED (013505) PROD: (11220149) / FOR: (BR HIDRAULICA EIR</t>
  </si>
  <si>
    <t>290,52</t>
  </si>
  <si>
    <t>EM - PED (013505) PROD: (11380834) / FOR: (BR HIDRAULICA EIR</t>
  </si>
  <si>
    <t>31,24</t>
  </si>
  <si>
    <t>EM - PED (013505) PROD: (11290037) / FOR: (BR HIDRAULICA EIR</t>
  </si>
  <si>
    <t>149,10</t>
  </si>
  <si>
    <t>0000000076</t>
  </si>
  <si>
    <t>EM - PED (013507) PROD: (23010006) / FOR: (BERNUTTY TECHNOLO</t>
  </si>
  <si>
    <t>586,34</t>
  </si>
  <si>
    <t>0000000077</t>
  </si>
  <si>
    <t>RE - NF (000000039) P: (23010006) F: (BERNUTTY TECHNOLOGY)</t>
  </si>
  <si>
    <t>CÓDIGO</t>
  </si>
  <si>
    <t>CONTA ANALÍTICA</t>
  </si>
  <si>
    <t>310101</t>
  </si>
  <si>
    <t>RECEITA BRUTA DE TRANSPORTES</t>
  </si>
  <si>
    <t>310102</t>
  </si>
  <si>
    <t>RECEITA BRUTA DE OPERACOES PORTUARIAS</t>
  </si>
  <si>
    <t>310109</t>
  </si>
  <si>
    <t>( - ) DEDUCOES DA RECEITA BRUTA</t>
  </si>
  <si>
    <t>330601</t>
  </si>
  <si>
    <t>DESPESAS VARIAVEIS DE VENDAS</t>
  </si>
  <si>
    <t>320101</t>
  </si>
  <si>
    <t>REMUNERACOES</t>
  </si>
  <si>
    <t>320102</t>
  </si>
  <si>
    <t>ENCARGOS SOCIAIS</t>
  </si>
  <si>
    <t>BENEFICIOS</t>
  </si>
  <si>
    <t>320104</t>
  </si>
  <si>
    <t>OUTROS GASTOS COM PESSOAL</t>
  </si>
  <si>
    <t>320105</t>
  </si>
  <si>
    <t>( - ) INSS DESONERACAO</t>
  </si>
  <si>
    <t>320201001</t>
  </si>
  <si>
    <t>PJ-CONSULTORIA E ASSESSORIA</t>
  </si>
  <si>
    <t>320201002</t>
  </si>
  <si>
    <t>PJ-HONORARIOS ADVOCATICIOS</t>
  </si>
  <si>
    <t>320201003</t>
  </si>
  <si>
    <t>PJ-SEGURANCA PATRIMONIAL</t>
  </si>
  <si>
    <t>PJ-LOCACAO DE MAQUINAS E EQUIPAMENTO</t>
  </si>
  <si>
    <t>320201005</t>
  </si>
  <si>
    <t>PJ-MAO-DE-OBRA TERCEIRIZADA</t>
  </si>
  <si>
    <t>PJ-OUTROS SERVICOS CONTRATADOS-PJ</t>
  </si>
  <si>
    <t>320202001</t>
  </si>
  <si>
    <t>PF-CONSULTORIA E ASSESSORIA</t>
  </si>
  <si>
    <t>320202002</t>
  </si>
  <si>
    <t>PF-MAO-DE-OBRA TERCEIRIZADA</t>
  </si>
  <si>
    <t>320202003</t>
  </si>
  <si>
    <t>PF-OUTROS SERVICOS CONTRATADOS-PF</t>
  </si>
  <si>
    <t>COMBUSTIVEIS</t>
  </si>
  <si>
    <t>320301002</t>
  </si>
  <si>
    <t>LUBRIFICANTES</t>
  </si>
  <si>
    <t>320301003</t>
  </si>
  <si>
    <t>PNEUS E RECAPAGENS</t>
  </si>
  <si>
    <t>PECAS E ACESSORIOS</t>
  </si>
  <si>
    <t>320301005</t>
  </si>
  <si>
    <t>FERRAMENTAS</t>
  </si>
  <si>
    <t>SERVICOS E MANUTENCAO DE VEICULOS EQ</t>
  </si>
  <si>
    <t>320301007</t>
  </si>
  <si>
    <t>LICENCIAMENTO - IPVA - DPVAT</t>
  </si>
  <si>
    <t>320301008</t>
  </si>
  <si>
    <t>MULTAS DE TRANSITO</t>
  </si>
  <si>
    <t>320301009</t>
  </si>
  <si>
    <t>RASTREAMENTO</t>
  </si>
  <si>
    <t>320301010</t>
  </si>
  <si>
    <t>PEDAGIO</t>
  </si>
  <si>
    <t>320301011</t>
  </si>
  <si>
    <t>GERENCIAMENTO DE RISCO</t>
  </si>
  <si>
    <t>320401</t>
  </si>
  <si>
    <t>ALUGUEIS, ARREND. E CONDOMINIOS</t>
  </si>
  <si>
    <t>320402</t>
  </si>
  <si>
    <t>UTILIDADES</t>
  </si>
  <si>
    <t>320403</t>
  </si>
  <si>
    <t>COMUNICACAO</t>
  </si>
  <si>
    <t>320404</t>
  </si>
  <si>
    <t>INFORMATICA</t>
  </si>
  <si>
    <t>320405</t>
  </si>
  <si>
    <t>PREMIO DE SEGUROS</t>
  </si>
  <si>
    <t>320406</t>
  </si>
  <si>
    <t>MANUTENCAO E CONSERVACAO</t>
  </si>
  <si>
    <t>320407</t>
  </si>
  <si>
    <t>VIAGENS E REPRESENTACAO</t>
  </si>
  <si>
    <t>320408</t>
  </si>
  <si>
    <t>IMPOSTOS, MULTAS E TAXAS DIVERSAS</t>
  </si>
  <si>
    <t>320409</t>
  </si>
  <si>
    <t>DESPESAS GERAIS</t>
  </si>
  <si>
    <t>320501</t>
  </si>
  <si>
    <t>DEPRECIACOES E AMORTIZACOES</t>
  </si>
  <si>
    <t>MATERIAIS DIRETOS</t>
  </si>
  <si>
    <t>321801</t>
  </si>
  <si>
    <t>OUTROS CUSTOS</t>
  </si>
  <si>
    <t>321901</t>
  </si>
  <si>
    <t>( - ) CREDITOS FISCAIS</t>
  </si>
  <si>
    <t>330101</t>
  </si>
  <si>
    <t>330102</t>
  </si>
  <si>
    <t>330105</t>
  </si>
  <si>
    <t>330201001</t>
  </si>
  <si>
    <t>330201002</t>
  </si>
  <si>
    <t>330201003</t>
  </si>
  <si>
    <t>330201004</t>
  </si>
  <si>
    <t>330201005</t>
  </si>
  <si>
    <t>330202003</t>
  </si>
  <si>
    <t>330301002</t>
  </si>
  <si>
    <t>330301003</t>
  </si>
  <si>
    <t>330301005</t>
  </si>
  <si>
    <t>330301006</t>
  </si>
  <si>
    <t>330301007</t>
  </si>
  <si>
    <t>330301008</t>
  </si>
  <si>
    <t>330301009</t>
  </si>
  <si>
    <t>330301010</t>
  </si>
  <si>
    <t>330401</t>
  </si>
  <si>
    <t>330402</t>
  </si>
  <si>
    <t>330403</t>
  </si>
  <si>
    <t>330404</t>
  </si>
  <si>
    <t>330405</t>
  </si>
  <si>
    <t>330407</t>
  </si>
  <si>
    <t>330408</t>
  </si>
  <si>
    <t>330410</t>
  </si>
  <si>
    <t>MARKETING</t>
  </si>
  <si>
    <t>330501</t>
  </si>
  <si>
    <t>330701001</t>
  </si>
  <si>
    <t>IMPOSTO IMPORTACAO</t>
  </si>
  <si>
    <t>330701002</t>
  </si>
  <si>
    <t>PIS OUTRAS RECEITAS E FINANCEIRAS</t>
  </si>
  <si>
    <t>330701003</t>
  </si>
  <si>
    <t>COFINS OUTRAS RECEITAS E FINANCEIRAS</t>
  </si>
  <si>
    <t>330701004</t>
  </si>
  <si>
    <t>ICMS</t>
  </si>
  <si>
    <t>330701005</t>
  </si>
  <si>
    <t>ISS</t>
  </si>
  <si>
    <t>330701006</t>
  </si>
  <si>
    <t>IR - CONTRATO DE CAMBIO</t>
  </si>
  <si>
    <t>330701007</t>
  </si>
  <si>
    <t>OUTROS IMPOSTOS E TAXAS</t>
  </si>
  <si>
    <t>330701008</t>
  </si>
  <si>
    <t>ICMS DIF. DE ALIQUOTA</t>
  </si>
  <si>
    <t>331801</t>
  </si>
  <si>
    <t>GANHOS/PERDAS NA TRANSFERENCIA DE INV</t>
  </si>
  <si>
    <t>331802</t>
  </si>
  <si>
    <t>CONSUMO DIVERSOS - MATERIAIS</t>
  </si>
  <si>
    <t>331804</t>
  </si>
  <si>
    <t>RESULTADOS NA EQUIVALENCIA PATRIMONIA</t>
  </si>
  <si>
    <t>331901</t>
  </si>
  <si>
    <t>310901</t>
  </si>
  <si>
    <t>OUTRAS RECEITAS</t>
  </si>
  <si>
    <t>380301</t>
  </si>
  <si>
    <t>DESPESAS INDEDUTIVEIS</t>
  </si>
  <si>
    <t>331803</t>
  </si>
  <si>
    <t>CUSTO DE BENS ALIENADOS/BAIXADOS</t>
  </si>
  <si>
    <t>380101</t>
  </si>
  <si>
    <t>RECEITAS FINANCEIRAS</t>
  </si>
  <si>
    <t>380201</t>
  </si>
  <si>
    <t>DESPESAS FINANCEIRAS</t>
  </si>
  <si>
    <t>910101001</t>
  </si>
  <si>
    <t>IMPOSTO DE RENDA</t>
  </si>
  <si>
    <t>910101002</t>
  </si>
  <si>
    <t>CONTRIBUICAO SOCIAL</t>
  </si>
  <si>
    <t>0000000078</t>
  </si>
  <si>
    <t>RE - NF (000053700) P: (21010001) C: (HAMBURG SUD A/S)</t>
  </si>
  <si>
    <t>000101</t>
  </si>
  <si>
    <t>1.582,57</t>
  </si>
  <si>
    <t>ORC2022_2</t>
  </si>
  <si>
    <t>0000000079</t>
  </si>
  <si>
    <t>120307001</t>
  </si>
  <si>
    <t>EM - PED (013508) PROD: (11100029) / FOR: (POSTO PECEM COMER</t>
  </si>
  <si>
    <t>241,77</t>
  </si>
  <si>
    <t>1.278,34</t>
  </si>
  <si>
    <t>EM - PED (013508) PROD: (11100008) / FOR: (POSTO PECEM COMER</t>
  </si>
  <si>
    <t>291,20</t>
  </si>
  <si>
    <t>49,92</t>
  </si>
  <si>
    <t>EM - PED (013508) PROD: (11100032) / FOR: (POSTO PECEM COMER</t>
  </si>
  <si>
    <t>205,59</t>
  </si>
  <si>
    <t>49,90</t>
  </si>
  <si>
    <t>0000000080</t>
  </si>
  <si>
    <t>EM - PED (013509) PROD: (23010001) / FOR: (EJR CONSTRUCOES E</t>
  </si>
  <si>
    <t>20.924,58</t>
  </si>
  <si>
    <t>0000000081</t>
  </si>
  <si>
    <t>42</t>
  </si>
  <si>
    <t>RE - NF (000002341) P: (21020003) C: (VESTAS DO BRASIL ENERG</t>
  </si>
  <si>
    <t>000032</t>
  </si>
  <si>
    <t>RE - NF (000002341) P: (21020037) C: (VESTAS DO BRASIL ENERG</t>
  </si>
  <si>
    <t>2.695,00</t>
  </si>
  <si>
    <t>RE - NF (000002341) P: (21020016) C: (VESTAS DO BRASIL ENERG</t>
  </si>
  <si>
    <t>363,00</t>
  </si>
  <si>
    <t>RE - NF (000002341) P: (21020024) C: (VESTAS DO BRASIL ENERG</t>
  </si>
  <si>
    <t>0000000083</t>
  </si>
  <si>
    <t>120302001</t>
  </si>
  <si>
    <t>EM - PED (013511) PROD: (44010033) / FOR: (REFRIGERACAO DUFR</t>
  </si>
  <si>
    <t>3.482,58</t>
  </si>
  <si>
    <t>0000000084</t>
  </si>
  <si>
    <t>RE - NF (000002342) P: (21030010) C: (GEODIS GERENCIAMENTO D</t>
  </si>
  <si>
    <t>37.000,00</t>
  </si>
  <si>
    <t>0000000085</t>
  </si>
  <si>
    <t>RE - ND (000000301) C: (MERCOSUL LINE NAVEGACAO E LOGISTICA</t>
  </si>
  <si>
    <t>000001</t>
  </si>
  <si>
    <t>000046</t>
  </si>
  <si>
    <t>693,00</t>
  </si>
  <si>
    <t>0000000086</t>
  </si>
  <si>
    <t>RE - NF (000002437) P: (21030003) C: (CSP - COMPANHIA SIDERU</t>
  </si>
  <si>
    <t>571.350,00</t>
  </si>
  <si>
    <t>010102</t>
  </si>
  <si>
    <t>RE - NF (000002437) P: (21030004) C: (CSP - COMPANHIA SIDERU</t>
  </si>
  <si>
    <t>268.050,00</t>
  </si>
  <si>
    <t>RE - NF (000002437) P: (21030005) C: (CSP - COMPANHIA SIDERU</t>
  </si>
  <si>
    <t>174.450,00</t>
  </si>
  <si>
    <t>0000000087</t>
  </si>
  <si>
    <t>EM - PED (013510) PROD: (12060015) / FOR: (PEDREIRA ITATIBA</t>
  </si>
  <si>
    <t>1.568,88</t>
  </si>
  <si>
    <t>0000000088</t>
  </si>
  <si>
    <t>EM - PED (013512) PROD: (44010008) / FOR: (M. F. U. DE OLIVE</t>
  </si>
  <si>
    <t>2.090,00</t>
  </si>
  <si>
    <t>0000000089</t>
  </si>
  <si>
    <t>RE - NF (000002438) P: (21990003) C: (TECER - TERMINAIS PORT</t>
  </si>
  <si>
    <t>105.000,00</t>
  </si>
  <si>
    <t>0000000090</t>
  </si>
  <si>
    <t>RE - NF (000002439) P: (21030014) C: (OLDENDORFF CARRIERS GM</t>
  </si>
  <si>
    <t>25.000,00</t>
  </si>
  <si>
    <t>0000000091</t>
  </si>
  <si>
    <t>32</t>
  </si>
  <si>
    <t>RE - NF (000002440) P: (21020025) C: (VESTAS DO BRASIL ENERG</t>
  </si>
  <si>
    <t>596,00</t>
  </si>
  <si>
    <t>RE - NF (000002440) P: (21020057) C: (VESTAS DO BRASIL ENERG</t>
  </si>
  <si>
    <t>2.625,00</t>
  </si>
  <si>
    <t>RE - NF (000002440) P: (21020012) C: (VESTAS DO BRASIL ENERG</t>
  </si>
  <si>
    <t>397,00</t>
  </si>
  <si>
    <t>0000000092</t>
  </si>
  <si>
    <t>RE - ND (000000302) C: (MERCOSUL LINE NAVEGACAO E LOGISTICA</t>
  </si>
  <si>
    <t>2.200,00</t>
  </si>
  <si>
    <t>0000000093</t>
  </si>
  <si>
    <t>RE - NF (000053701) P: (21010001) C: (HAMBURG SUD A/S)</t>
  </si>
  <si>
    <t>1.710,82</t>
  </si>
  <si>
    <t>0000000094</t>
  </si>
  <si>
    <t>RE - NF (000053702) P: (21010001) C: (HAMBURG SUD A/S)</t>
  </si>
  <si>
    <t>500,00</t>
  </si>
  <si>
    <t>0000000095</t>
  </si>
  <si>
    <t>RE - NF (000053703) P: (21010001) C: (PGL PRIME AGENCIAMENTO</t>
  </si>
  <si>
    <t>6.378,28</t>
  </si>
  <si>
    <t>0000000096</t>
  </si>
  <si>
    <t>RE - NF (000053704) P: (21010001) C: (ACO VERDE DO BRASIL S.</t>
  </si>
  <si>
    <t>14.521,11</t>
  </si>
  <si>
    <t>0000000097</t>
  </si>
  <si>
    <t>RE - NF (000053706) P: (21010001) C: (ACO VERDE DO BRASIL S.</t>
  </si>
  <si>
    <t>46.637,93</t>
  </si>
  <si>
    <t>0000000098</t>
  </si>
  <si>
    <t>RE - NF (000053707) P: (21010001) C: (ACO VERDE DO BRASIL S.</t>
  </si>
  <si>
    <t>8.800,00</t>
  </si>
  <si>
    <t>0000000099</t>
  </si>
  <si>
    <t>RE - NF (000053708) P: (21010001) C: (ALIANCA NAVEGACAO E LO</t>
  </si>
  <si>
    <t>1.499,19</t>
  </si>
  <si>
    <t>0000000100</t>
  </si>
  <si>
    <t>RE - NF (000053709) P: (21010001) C: (ALIANCA NAVEGACAO E LO</t>
  </si>
  <si>
    <t>1.363,81</t>
  </si>
  <si>
    <t>0000000101</t>
  </si>
  <si>
    <t>RE - NF (000002343) P: (21010003) C: (ALIANCA NAVEGACAO E LO</t>
  </si>
  <si>
    <t>520,00</t>
  </si>
  <si>
    <t>0000000102</t>
  </si>
  <si>
    <t>RE - NF (000002344) P: (21010003) C: (PONTES INDUSTRIA DE CE</t>
  </si>
  <si>
    <t>1.646,89</t>
  </si>
  <si>
    <t>Desc_Conta</t>
  </si>
  <si>
    <t>0000000103</t>
  </si>
  <si>
    <t>RE - NF (000000103) P: (23010001) F: (EJR CONSTRUCOES EIRELI</t>
  </si>
  <si>
    <t>0000000104</t>
  </si>
  <si>
    <t>RE - NF (000003021) P: (44010008) F: (M. F. U. DE OLIVEIRA R</t>
  </si>
  <si>
    <t>0000000105</t>
  </si>
  <si>
    <t>RE - NF (000006958) P: (11100008) F: (POSTO PECEM COMERCIO D</t>
  </si>
  <si>
    <t>RE - NF (000006958) P: (11100029) F: (POSTO PECEM COMERCIO D</t>
  </si>
  <si>
    <t>RE - NF (000006958) P: (11100032) F: (POSTO PECEM COMERCIO D</t>
  </si>
  <si>
    <t>0000000106</t>
  </si>
  <si>
    <t>RE - NF (000280797) P: (12060015) F: (PEDREIRA ITATIBA LTDA)</t>
  </si>
  <si>
    <t>0000000107</t>
  </si>
  <si>
    <t>RE - NF (000284313) P: (44010033) F: (REFRIGERACAO DUFRIO CO</t>
  </si>
  <si>
    <t>0000000108</t>
  </si>
  <si>
    <t>RE - NF (000053711) P: (21010001) C: (PGL PRIME AGENCIAMENTO</t>
  </si>
  <si>
    <t>Conta</t>
  </si>
  <si>
    <t>Descricao</t>
  </si>
  <si>
    <t>Preview Cod.</t>
  </si>
  <si>
    <t>Cond. Normal</t>
  </si>
  <si>
    <t>Cod. Mascara</t>
  </si>
  <si>
    <t>Dt. Inclusao</t>
  </si>
  <si>
    <t>Inicio Vig.</t>
  </si>
  <si>
    <t>C.O.Superior</t>
  </si>
  <si>
    <t>120301</t>
  </si>
  <si>
    <t>IMOVEIS</t>
  </si>
  <si>
    <t>Sintetica</t>
  </si>
  <si>
    <t>Despesa</t>
  </si>
  <si>
    <t>120301001</t>
  </si>
  <si>
    <t>TERRENOS</t>
  </si>
  <si>
    <t>Analitica</t>
  </si>
  <si>
    <t>120301002</t>
  </si>
  <si>
    <t>EDIFICIOS</t>
  </si>
  <si>
    <t>120301003</t>
  </si>
  <si>
    <t>INSTALACOES</t>
  </si>
  <si>
    <t>120301004</t>
  </si>
  <si>
    <t>TERRENOS AVP</t>
  </si>
  <si>
    <t>120301005</t>
  </si>
  <si>
    <t>INSTALACOES - NOVO TERMINAL</t>
  </si>
  <si>
    <t>120302</t>
  </si>
  <si>
    <t>MOVEIS E UTENSILIOS</t>
  </si>
  <si>
    <t>120303</t>
  </si>
  <si>
    <t>MAQUINAS, EQUIPAMENTOS E FERRAMENTAS</t>
  </si>
  <si>
    <t>120303001</t>
  </si>
  <si>
    <t>MAQUINAS E EQUIPAMENTOS</t>
  </si>
  <si>
    <t>120303002</t>
  </si>
  <si>
    <t>EQUIPAMENTOS DE INFORMATICA</t>
  </si>
  <si>
    <t>120303003</t>
  </si>
  <si>
    <t>120303004</t>
  </si>
  <si>
    <t>MAQUINAS/EQUIPAMENTOS AVP</t>
  </si>
  <si>
    <t>120304</t>
  </si>
  <si>
    <t>VEICULOS</t>
  </si>
  <si>
    <t>120304001</t>
  </si>
  <si>
    <t>120304002</t>
  </si>
  <si>
    <t>CONSORCIO DE VEICULOS</t>
  </si>
  <si>
    <t>120304003</t>
  </si>
  <si>
    <t>VEICULOS AVP</t>
  </si>
  <si>
    <t>120305</t>
  </si>
  <si>
    <t>BENS ARRENDAMENTO MERCANTIL FINANCEIRO</t>
  </si>
  <si>
    <t>120305001</t>
  </si>
  <si>
    <t>MAQUINAS E EQUIPAMENTOS - ARRENDAMENTO</t>
  </si>
  <si>
    <t>120305002</t>
  </si>
  <si>
    <t>VEICULOS UTILITARIOS</t>
  </si>
  <si>
    <t>120307</t>
  </si>
  <si>
    <t>IMOBILIZADO EM ANDAMENTO</t>
  </si>
  <si>
    <t>IMOBILIZADO EM ANDAMENTO - PROPRIOS</t>
  </si>
  <si>
    <t>120307002</t>
  </si>
  <si>
    <t>IMOBILIZADO EM ANDAMENTO - TERCEIROS</t>
  </si>
  <si>
    <t>1204</t>
  </si>
  <si>
    <t>INTANGIVEL</t>
  </si>
  <si>
    <t>120401001</t>
  </si>
  <si>
    <t>SOFTWARES</t>
  </si>
  <si>
    <t>120402001</t>
  </si>
  <si>
    <t>MARCAS E PATENTES</t>
  </si>
  <si>
    <t>3101</t>
  </si>
  <si>
    <t>RECEITA DE SERVICOS</t>
  </si>
  <si>
    <t>Receita</t>
  </si>
  <si>
    <t>3109</t>
  </si>
  <si>
    <t>3201</t>
  </si>
  <si>
    <t>CUSTOS COM PESSOAL</t>
  </si>
  <si>
    <t>3202</t>
  </si>
  <si>
    <t>SERVICOS DE TERCEIROS</t>
  </si>
  <si>
    <t>3203</t>
  </si>
  <si>
    <t>CUSTO COM FROTA E EQUIPAMENTO</t>
  </si>
  <si>
    <t>3204</t>
  </si>
  <si>
    <t>CUSTO DE FUNCIONAMENTO</t>
  </si>
  <si>
    <t>3205</t>
  </si>
  <si>
    <t>3206</t>
  </si>
  <si>
    <t>CUSTOS DIRETOS OPER. PORTUµRIAS</t>
  </si>
  <si>
    <t>TARIFAS PORTUµRIAS</t>
  </si>
  <si>
    <t>3218</t>
  </si>
  <si>
    <t>3219</t>
  </si>
  <si>
    <t>3301</t>
  </si>
  <si>
    <t>DESPESAS COM PESSOAL</t>
  </si>
  <si>
    <t>3302</t>
  </si>
  <si>
    <t>3303</t>
  </si>
  <si>
    <t>DESPESAS COM FROTA E EQUIPAMENTO</t>
  </si>
  <si>
    <t>3304</t>
  </si>
  <si>
    <t>DESPESAS ADMINISTRATIVA</t>
  </si>
  <si>
    <t>3305</t>
  </si>
  <si>
    <t>3306</t>
  </si>
  <si>
    <t>3307</t>
  </si>
  <si>
    <t>DESPESAS TRIBUTARIAS</t>
  </si>
  <si>
    <t>3318</t>
  </si>
  <si>
    <t>OUTRAS DESPESAS</t>
  </si>
  <si>
    <t>3319</t>
  </si>
  <si>
    <t>3801</t>
  </si>
  <si>
    <t>3802</t>
  </si>
  <si>
    <t>3803</t>
  </si>
  <si>
    <t>9101</t>
  </si>
  <si>
    <t>APURACAO DO RESULTADO</t>
  </si>
  <si>
    <t>330701009</t>
  </si>
  <si>
    <t>330701010</t>
  </si>
  <si>
    <t>VERIFICAÇÃO</t>
  </si>
  <si>
    <t>000127</t>
  </si>
  <si>
    <t>0000000109</t>
  </si>
  <si>
    <t>RE - NF (000053712) P: (21010001) C: (ALIANCA NAVEGACAO E LO</t>
  </si>
  <si>
    <t>0000000110</t>
  </si>
  <si>
    <t>RE - NF (202201402) P: (23010016) F: (APROVADOR SISTEMAS LTD</t>
  </si>
  <si>
    <t>0000000111</t>
  </si>
  <si>
    <t>RE - NF (000019252) P: (11220149) F: (BR HIDRAULICA EIRELI)</t>
  </si>
  <si>
    <t>RE - NF (000019252) P: (11290037) F: (BR HIDRAULICA EIRELI)</t>
  </si>
  <si>
    <t>RE - NF (000019252) P: (11380834) F: (BR HIDRAULICA EIRELI)</t>
  </si>
  <si>
    <t>RE - NF (000019252) P: (11381126) F: (BR HIDRAULICA EIRELI)</t>
  </si>
  <si>
    <t>RE - NF (000019252) P: (11381127) F: (BR HIDRAULICA EIRELI)</t>
  </si>
  <si>
    <t>0000000112</t>
  </si>
  <si>
    <t>RE - NF (000468270) P: (23010005) F: (COMPANHIA DE LOCACAO D</t>
  </si>
  <si>
    <t>0000000113</t>
  </si>
  <si>
    <t>RE - NF (000053715) P: (21010001) C: (ALIANCA NAVEGACAO E LO</t>
  </si>
  <si>
    <t>0000000114</t>
  </si>
  <si>
    <t>0000000115</t>
  </si>
  <si>
    <t>RE - NF (000053716) P: (21010001) C: (ALIANCA NAVEGACAO E LO</t>
  </si>
  <si>
    <t>0000000116</t>
  </si>
  <si>
    <t>RE - NF (000053717) P: (21010001) C: (PGL PRIME AGENCIAMENTO</t>
  </si>
  <si>
    <t>0000000117</t>
  </si>
  <si>
    <t>RE - NF (000053718) P: (21010001) C: (HAMBURG SUD A/S)</t>
  </si>
  <si>
    <t>0000000118</t>
  </si>
  <si>
    <t>RE - NF (000053719) P: (21010001) C: (ALIANCA NAVEGACAO E LO</t>
  </si>
  <si>
    <t>0000000119</t>
  </si>
  <si>
    <t>EM - PED (013513) PROD: (11300002) / FOR: (PNEUBRAS COMERCIO</t>
  </si>
  <si>
    <t>0000000120</t>
  </si>
  <si>
    <t>RE - HIST CF.1933 -23010009-VR NF.041577496-HAPVID</t>
  </si>
  <si>
    <t>000082</t>
  </si>
  <si>
    <t>0000000121</t>
  </si>
  <si>
    <t>RE - HIST TESTE PCO</t>
  </si>
  <si>
    <t>000098</t>
  </si>
  <si>
    <t>0000000122</t>
  </si>
  <si>
    <t>RE - HIST CF.1933 -23010009-VR NF.413470308-HAPVID</t>
  </si>
  <si>
    <t>0000000123</t>
  </si>
  <si>
    <t>001</t>
  </si>
  <si>
    <t>0000000124</t>
  </si>
  <si>
    <t>0000000125</t>
  </si>
  <si>
    <t>0000000126</t>
  </si>
  <si>
    <t>0000000127</t>
  </si>
  <si>
    <t>0R</t>
  </si>
  <si>
    <t>000252</t>
  </si>
  <si>
    <t>0041</t>
  </si>
  <si>
    <t>0042</t>
  </si>
  <si>
    <t>0043</t>
  </si>
  <si>
    <t>0044</t>
  </si>
  <si>
    <t>0045</t>
  </si>
  <si>
    <t>0046</t>
  </si>
  <si>
    <t>0047</t>
  </si>
  <si>
    <t>0048</t>
  </si>
  <si>
    <t>41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</si>
  <si>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</si>
  <si>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</si>
  <si>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</si>
  <si>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</si>
  <si>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</si>
  <si>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</si>
  <si>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</si>
  <si>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</si>
  <si>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</si>
  <si>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</si>
  <si>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</si>
  <si>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</si>
  <si>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</si>
  <si>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</si>
  <si>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</si>
  <si>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</si>
  <si>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</si>
  <si>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</si>
  <si>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</si>
  <si>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</si>
  <si>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</si>
  <si>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</si>
  <si>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</si>
  <si>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</si>
  <si>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</si>
  <si>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</si>
  <si>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</si>
  <si>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</si>
  <si>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</si>
  <si>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</si>
  <si>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</si>
  <si>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</si>
  <si>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</si>
  <si>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</si>
  <si>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</si>
  <si>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</si>
  <si>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</si>
  <si>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</si>
  <si>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</si>
  <si>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</si>
  <si>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</si>
  <si>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</si>
  <si>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</si>
  <si>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</si>
  <si>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</si>
  <si>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</si>
  <si>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</si>
  <si>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</si>
  <si>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</si>
  <si>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</si>
  <si>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</si>
  <si>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</si>
  <si>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</si>
  <si>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</si>
  <si>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</si>
  <si>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</si>
  <si>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</si>
  <si>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</si>
  <si>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</si>
  <si>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</si>
  <si>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</si>
  <si>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</si>
  <si>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</si>
  <si>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</si>
  <si>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</si>
  <si>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</si>
  <si>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</si>
  <si>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</si>
  <si>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</si>
  <si>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</si>
  <si>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</si>
  <si>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</si>
  <si>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</si>
  <si>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</si>
  <si>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</si>
  <si>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</si>
  <si>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</si>
  <si>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</si>
  <si>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</si>
  <si>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</si>
  <si>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</si>
  <si>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</si>
  <si>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</si>
  <si>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</si>
  <si>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</si>
  <si>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</si>
  <si>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</si>
  <si>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</si>
  <si>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</si>
  <si>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</si>
  <si>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</si>
  <si>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</si>
  <si>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</si>
  <si>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</si>
  <si>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</si>
  <si>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</si>
  <si>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202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</si>
  <si>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</si>
  <si>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</si>
  <si>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</si>
  <si>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</si>
  <si>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</si>
  <si>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</si>
  <si>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</si>
  <si>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</si>
  <si>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</si>
  <si>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</si>
  <si>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</si>
  <si>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</si>
  <si>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</si>
  <si>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</si>
  <si>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</si>
  <si>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</si>
  <si>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</si>
  <si>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</si>
  <si>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</si>
  <si>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</si>
  <si>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</si>
  <si>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</si>
  <si>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</si>
  <si>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</si>
  <si>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</si>
  <si>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</si>
  <si>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</si>
  <si>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</si>
  <si>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</si>
  <si>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</si>
  <si>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</si>
  <si>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</si>
  <si>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</si>
  <si>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</si>
  <si>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</si>
  <si>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</si>
  <si>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</si>
  <si>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</si>
  <si>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</si>
  <si>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</si>
  <si>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</si>
  <si>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</si>
  <si>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</si>
  <si>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</si>
  <si>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</si>
  <si>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</si>
  <si>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</si>
  <si>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</si>
  <si>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</si>
  <si>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</si>
  <si>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</si>
  <si>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</si>
  <si>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</si>
  <si>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</si>
  <si>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</si>
  <si>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</si>
  <si>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</si>
  <si>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</si>
  <si>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</si>
  <si>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</si>
  <si>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</si>
  <si>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</si>
  <si>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</si>
  <si>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</si>
  <si>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</si>
  <si>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</si>
  <si>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</si>
  <si>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</si>
  <si>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</si>
  <si>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</si>
  <si>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</si>
  <si>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</si>
  <si>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</si>
  <si>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</si>
  <si>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</si>
  <si>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</si>
  <si>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</si>
  <si>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</si>
  <si>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</si>
  <si>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</si>
  <si>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</si>
  <si>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</si>
  <si>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</si>
  <si>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</si>
  <si>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</si>
  <si>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</si>
  <si>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</si>
  <si>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</si>
  <si>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</si>
  <si>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</si>
  <si>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</si>
  <si>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</si>
  <si>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</si>
  <si>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</si>
  <si>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</si>
  <si>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</si>
  <si>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</si>
  <si>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</si>
  <si>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</si>
  <si>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</si>
  <si>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</si>
  <si>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</si>
  <si>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</si>
  <si>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</si>
  <si>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</si>
  <si>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</si>
  <si>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</si>
  <si>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</si>
  <si>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</si>
  <si>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</si>
  <si>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</si>
  <si>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</si>
  <si>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</si>
  <si>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</si>
  <si>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</si>
  <si>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</si>
  <si>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</si>
  <si>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</si>
  <si>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</si>
  <si>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</si>
  <si>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</si>
  <si>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</si>
  <si>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</si>
  <si>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</si>
  <si>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</si>
  <si>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</si>
  <si>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</si>
  <si>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</si>
  <si>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</si>
  <si>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</si>
  <si>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</si>
  <si>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</si>
  <si>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</si>
  <si>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</si>
  <si>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</si>
  <si>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</si>
  <si>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</si>
  <si>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</si>
  <si>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</si>
  <si>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</si>
  <si>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</si>
  <si>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</si>
  <si>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</si>
  <si>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</si>
  <si>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</si>
  <si>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</si>
  <si>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</si>
  <si>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</si>
  <si>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</si>
  <si>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</si>
  <si>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</si>
  <si>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</si>
  <si>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</si>
  <si>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</si>
  <si>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</si>
  <si>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</si>
  <si>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</si>
  <si>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</si>
  <si>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</si>
  <si>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</si>
  <si>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</si>
  <si>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</si>
  <si>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</si>
  <si>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</si>
  <si>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</si>
  <si>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</si>
  <si>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</si>
  <si>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</si>
  <si>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</si>
  <si>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</si>
  <si>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</si>
  <si>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</si>
  <si>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</si>
  <si>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</si>
  <si>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</si>
  <si>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</si>
  <si>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</si>
  <si>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</si>
  <si>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</si>
  <si>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</si>
  <si>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</si>
  <si>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</si>
  <si>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</si>
  <si>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</si>
  <si>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</si>
  <si>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</si>
  <si>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</si>
  <si>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</si>
  <si>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</si>
  <si>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</si>
  <si>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</si>
  <si>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</si>
  <si>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</si>
  <si>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</si>
  <si>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</si>
  <si>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</si>
  <si>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</si>
  <si>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</si>
  <si>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</si>
  <si>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</si>
  <si>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</si>
  <si>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</si>
  <si>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</si>
  <si>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</si>
  <si>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</si>
  <si>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</si>
  <si>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</si>
  <si>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</si>
  <si>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</si>
  <si>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</si>
  <si>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</si>
  <si>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</si>
  <si>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</si>
  <si>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</si>
  <si>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</si>
  <si>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</si>
  <si>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</si>
  <si>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</si>
  <si>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</si>
  <si>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</si>
  <si>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</si>
  <si>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</si>
  <si>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</si>
  <si>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</si>
  <si>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</si>
  <si>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</si>
  <si>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</si>
  <si>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</si>
  <si>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</si>
  <si>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</si>
  <si>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</si>
  <si>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</si>
  <si>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</si>
  <si>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</si>
  <si>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</si>
  <si>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</si>
  <si>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</si>
  <si>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</si>
  <si>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</si>
  <si>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</si>
  <si>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</si>
  <si>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</si>
  <si>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</si>
  <si>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</si>
  <si>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</si>
  <si>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</si>
  <si>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</si>
  <si>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</si>
  <si>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</si>
  <si>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</si>
  <si>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</si>
  <si>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</si>
  <si>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</si>
  <si>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</si>
  <si>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</si>
  <si>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</si>
  <si>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</si>
  <si>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</si>
  <si>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</si>
  <si>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</si>
  <si>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</si>
  <si>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</si>
  <si>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</si>
  <si>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</si>
  <si>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</si>
  <si>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</si>
  <si>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</si>
  <si>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</si>
  <si>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</si>
  <si>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</si>
  <si>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</si>
  <si>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</si>
  <si>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</si>
  <si>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</si>
  <si>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</si>
  <si>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</si>
  <si>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</si>
  <si>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</si>
  <si>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</si>
  <si>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</si>
  <si>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</si>
  <si>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</si>
  <si>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</si>
  <si>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</si>
  <si>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</si>
  <si>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</si>
  <si>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</si>
  <si>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</si>
  <si>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</si>
  <si>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</si>
  <si>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</si>
  <si>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</si>
  <si>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</si>
  <si>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</si>
  <si>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</si>
  <si>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</si>
  <si>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</si>
  <si>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</si>
  <si>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</si>
  <si>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</si>
  <si>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</si>
  <si>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</si>
  <si>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</si>
  <si>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</si>
  <si>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</si>
  <si>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</si>
  <si>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</si>
  <si>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</si>
  <si>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</si>
  <si>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</si>
  <si>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</si>
  <si>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</si>
  <si>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</si>
  <si>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</si>
  <si>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</si>
  <si>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</si>
  <si>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</si>
  <si>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</si>
  <si>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</si>
  <si>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</si>
  <si>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</si>
  <si>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</si>
  <si>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</si>
  <si>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</si>
  <si>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</si>
  <si>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</si>
  <si>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</si>
  <si>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</si>
  <si>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</si>
  <si>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</si>
  <si>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</si>
  <si>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</si>
  <si>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</si>
  <si>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</si>
  <si>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</si>
  <si>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</si>
  <si>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</si>
  <si>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</si>
  <si>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</si>
  <si>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</si>
  <si>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</si>
  <si>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</si>
  <si>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</si>
  <si>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</si>
  <si>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</si>
  <si>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</si>
  <si>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</si>
  <si>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</si>
  <si>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</si>
  <si>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</si>
  <si>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</si>
  <si>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</si>
  <si>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</si>
  <si>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</si>
  <si>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</si>
  <si>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</si>
  <si>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</si>
  <si>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</si>
  <si>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</si>
  <si>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</si>
  <si>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</si>
  <si>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</si>
  <si>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</si>
  <si>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</si>
  <si>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</si>
  <si>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</si>
  <si>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</si>
  <si>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</si>
  <si>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</si>
  <si>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</si>
  <si>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</si>
  <si>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</si>
  <si>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</si>
  <si>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</si>
  <si>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</si>
  <si>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</si>
  <si>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</si>
  <si>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</si>
  <si>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</si>
  <si>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</si>
  <si>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</si>
  <si>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</si>
  <si>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</si>
  <si>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</si>
  <si>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</si>
  <si>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</si>
  <si>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</si>
  <si>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</si>
  <si>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</si>
  <si>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</si>
  <si>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</si>
  <si>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</si>
  <si>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</si>
  <si>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</si>
  <si>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</si>
  <si>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</si>
  <si>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</si>
  <si>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</si>
  <si>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</si>
  <si>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</si>
  <si>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</si>
  <si>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</si>
  <si>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</si>
  <si>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</si>
  <si>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</si>
  <si>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</si>
  <si>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</si>
  <si>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</si>
  <si>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</si>
  <si>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</si>
  <si>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</si>
  <si>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</si>
  <si>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</si>
  <si>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</si>
  <si>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</si>
  <si>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</si>
  <si>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</si>
  <si>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</si>
  <si>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</si>
  <si>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</si>
  <si>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</si>
  <si>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</si>
  <si>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</si>
  <si>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</si>
  <si>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</si>
  <si>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</si>
  <si>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</si>
  <si>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</si>
  <si>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</si>
  <si>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</si>
  <si>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</si>
  <si>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</si>
  <si>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</si>
  <si>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</si>
  <si>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</si>
  <si>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</si>
  <si>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</si>
  <si>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</si>
  <si>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</si>
  <si>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</si>
  <si>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</si>
  <si>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</si>
  <si>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</si>
  <si>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</si>
  <si>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</si>
  <si>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</si>
  <si>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</si>
  <si>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</si>
  <si>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</si>
  <si>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</si>
  <si>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</si>
  <si>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</si>
  <si>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</si>
  <si>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</si>
  <si>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</si>
  <si>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</si>
  <si>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</si>
  <si>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</si>
  <si>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</si>
  <si>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</si>
  <si>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</si>
  <si>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</si>
  <si>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</si>
  <si>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</si>
  <si>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</si>
  <si>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</si>
  <si>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</si>
  <si>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</si>
  <si>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</si>
  <si>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</si>
  <si>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</si>
  <si>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</si>
  <si>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</si>
  <si>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</si>
  <si>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</si>
  <si>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</si>
  <si>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</si>
  <si>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</si>
  <si>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</si>
  <si>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</si>
  <si>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</si>
  <si>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</si>
  <si>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</si>
  <si>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</si>
  <si>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</si>
  <si>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</si>
  <si>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</si>
  <si>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</si>
  <si>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</si>
  <si>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</si>
  <si>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</si>
  <si>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</si>
  <si>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</si>
  <si>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</si>
  <si>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</si>
  <si>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</si>
  <si>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</si>
  <si>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</si>
  <si>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</si>
  <si>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</si>
  <si>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</si>
  <si>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</si>
  <si>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</si>
  <si>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</si>
  <si>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</si>
  <si>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</si>
  <si>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</si>
  <si>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</si>
  <si>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</si>
  <si>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</si>
  <si>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</si>
  <si>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</si>
  <si>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</si>
  <si>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</si>
  <si>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</si>
  <si>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</si>
  <si>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</si>
  <si>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</si>
  <si>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</si>
  <si>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</si>
  <si>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</si>
  <si>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</si>
  <si>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</si>
  <si>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</si>
  <si>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</si>
  <si>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</si>
  <si>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</si>
  <si>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</si>
  <si>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</si>
  <si>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</si>
  <si>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</si>
  <si>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</si>
  <si>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</si>
  <si>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</si>
  <si>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</si>
  <si>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</si>
  <si>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</si>
  <si>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</si>
  <si>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</si>
  <si>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</si>
  <si>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</si>
  <si>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</si>
  <si>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</si>
  <si>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</si>
  <si>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</si>
  <si>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</si>
  <si>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</si>
  <si>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</si>
  <si>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</si>
  <si>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</si>
  <si>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</si>
  <si>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</si>
  <si>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</si>
  <si>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</si>
  <si>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</si>
  <si>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</si>
  <si>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</si>
  <si>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</si>
  <si>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</si>
  <si>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</si>
  <si>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</si>
  <si>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</si>
  <si>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</si>
  <si>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</si>
  <si>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</si>
  <si>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</si>
  <si>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</si>
  <si>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</si>
  <si>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</si>
  <si>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</si>
  <si>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</si>
  <si>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</si>
  <si>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</si>
  <si>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</si>
  <si>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</si>
  <si>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</si>
  <si>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</si>
  <si>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</si>
  <si>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</si>
  <si>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</si>
  <si>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</si>
  <si>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</si>
  <si>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</si>
  <si>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</si>
  <si>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</si>
  <si>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</si>
  <si>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</si>
  <si>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</si>
  <si>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</si>
  <si>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</si>
  <si>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</si>
  <si>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</si>
  <si>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</si>
  <si>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</si>
  <si>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</si>
  <si>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</si>
  <si>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</si>
  <si>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</si>
  <si>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</si>
  <si>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</si>
  <si>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</si>
  <si>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</si>
  <si>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</si>
  <si>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</si>
  <si>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</si>
  <si>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</si>
  <si>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</si>
  <si>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</si>
  <si>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</si>
  <si>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</si>
  <si>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</si>
  <si>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</si>
  <si>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</si>
  <si>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</si>
  <si>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</si>
  <si>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</si>
  <si>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</si>
  <si>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</si>
  <si>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</si>
  <si>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</si>
  <si>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</si>
  <si>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34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</si>
  <si>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</si>
  <si>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</si>
  <si>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</si>
  <si>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</si>
  <si>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</si>
  <si>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</si>
  <si>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</si>
  <si>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</si>
  <si>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</si>
  <si>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</si>
  <si>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</si>
  <si>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</si>
  <si>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</si>
  <si>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</si>
  <si>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</si>
  <si>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</si>
  <si>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</si>
  <si>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</si>
  <si>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</si>
  <si>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</si>
  <si>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</si>
  <si>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</si>
  <si>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</si>
  <si>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</si>
  <si>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</si>
  <si>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</si>
  <si>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</si>
  <si>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</si>
  <si>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</si>
  <si>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</si>
  <si>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</si>
  <si>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</si>
  <si>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</si>
  <si>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</si>
  <si>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</si>
  <si>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</si>
  <si>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</si>
  <si>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</si>
  <si>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</si>
  <si>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</si>
  <si>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</si>
  <si>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</si>
  <si>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</si>
  <si>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</si>
  <si>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</si>
  <si>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</si>
  <si>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</si>
  <si>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</si>
  <si>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</si>
  <si>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</si>
  <si>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</si>
  <si>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</si>
  <si>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</si>
  <si>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</si>
  <si>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</si>
  <si>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</si>
  <si>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</si>
  <si>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</si>
  <si>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</si>
  <si>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</si>
  <si>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</si>
  <si>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</si>
  <si>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</si>
  <si>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</si>
  <si>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</si>
  <si>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</si>
  <si>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</si>
  <si>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</si>
  <si>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</si>
  <si>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</si>
  <si>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</si>
  <si>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</si>
  <si>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</si>
  <si>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</si>
  <si>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</si>
  <si>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</si>
  <si>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</si>
  <si>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</si>
  <si>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</si>
  <si>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</si>
  <si>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</si>
  <si>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</si>
  <si>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</si>
  <si>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</si>
  <si>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</si>
  <si>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</si>
  <si>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</si>
  <si>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</si>
  <si>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</si>
  <si>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</si>
  <si>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</si>
  <si>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</si>
  <si>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</si>
  <si>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</si>
  <si>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</si>
  <si>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</si>
  <si>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</si>
  <si>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</si>
  <si>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</si>
  <si>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</si>
  <si>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</si>
  <si>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</si>
  <si>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</si>
  <si>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</si>
  <si>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</si>
  <si>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</si>
  <si>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</si>
  <si>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</si>
  <si>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</si>
  <si>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</si>
  <si>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</si>
  <si>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</si>
  <si>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</si>
  <si>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</si>
  <si>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</si>
  <si>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</si>
  <si>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</si>
  <si>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</si>
  <si>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</si>
  <si>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</si>
  <si>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</si>
  <si>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</si>
  <si>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</si>
  <si>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</si>
  <si>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</si>
  <si>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</si>
  <si>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</si>
  <si>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</si>
  <si>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</si>
  <si>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</si>
  <si>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</si>
  <si>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</si>
  <si>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</si>
  <si>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</si>
  <si>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</si>
  <si>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</si>
  <si>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</si>
  <si>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</si>
  <si>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</si>
  <si>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</si>
  <si>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</si>
  <si>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</si>
  <si>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</si>
  <si>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</si>
  <si>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</si>
  <si>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</si>
  <si>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</si>
  <si>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</si>
  <si>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</si>
  <si>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</si>
  <si>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</si>
  <si>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</si>
  <si>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</si>
  <si>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</si>
  <si>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</si>
  <si>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</si>
  <si>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</si>
  <si>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</si>
  <si>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</si>
  <si>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</si>
  <si>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</si>
  <si>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</si>
  <si>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</si>
  <si>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</si>
  <si>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</si>
  <si>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</si>
  <si>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</si>
  <si>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</si>
  <si>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</si>
  <si>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</si>
  <si>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</si>
  <si>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</si>
  <si>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</si>
  <si>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</si>
  <si>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</si>
  <si>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</si>
  <si>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</si>
  <si>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</si>
  <si>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</si>
  <si>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</si>
  <si>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</si>
  <si>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</si>
  <si>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</si>
  <si>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</si>
  <si>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</si>
  <si>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</si>
  <si>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</si>
  <si>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</si>
  <si>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</si>
  <si>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</si>
  <si>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</si>
  <si>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</si>
  <si>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</si>
  <si>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</si>
  <si>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</si>
  <si>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</si>
  <si>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</si>
  <si>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</si>
  <si>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</si>
  <si>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</si>
  <si>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</si>
  <si>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</si>
  <si>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</si>
  <si>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</si>
  <si>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</si>
  <si>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</si>
  <si>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</si>
  <si>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</si>
  <si>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</si>
  <si>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</si>
  <si>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</si>
  <si>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</si>
  <si>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</si>
  <si>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</si>
  <si>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</si>
  <si>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</si>
  <si>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</si>
  <si>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</si>
  <si>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</si>
  <si>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</si>
  <si>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</si>
  <si>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</si>
  <si>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</si>
  <si>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</si>
  <si>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</si>
  <si>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</si>
  <si>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</si>
  <si>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</si>
  <si>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</si>
  <si>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</si>
  <si>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</si>
  <si>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</si>
  <si>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</si>
  <si>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</si>
  <si>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</si>
  <si>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</si>
  <si>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</si>
  <si>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</si>
  <si>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</si>
  <si>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</si>
  <si>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</si>
  <si>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</si>
  <si>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</si>
  <si>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</si>
  <si>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</si>
  <si>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</si>
  <si>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</si>
  <si>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</si>
  <si>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</si>
  <si>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</si>
  <si>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</si>
  <si>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</si>
  <si>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</si>
  <si>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</si>
  <si>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</si>
  <si>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</si>
  <si>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</si>
  <si>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</si>
  <si>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</si>
  <si>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</si>
  <si>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</si>
  <si>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</si>
  <si>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</si>
  <si>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</si>
  <si>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</si>
  <si>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</si>
  <si>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</si>
  <si>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</si>
  <si>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</si>
  <si>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</si>
  <si>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</si>
  <si>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</si>
  <si>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</si>
  <si>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</si>
  <si>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</si>
  <si>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</si>
  <si>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</si>
  <si>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</si>
  <si>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</si>
  <si>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</si>
  <si>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</si>
  <si>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</si>
  <si>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</si>
  <si>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</si>
  <si>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</si>
  <si>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</si>
  <si>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</si>
  <si>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</si>
  <si>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</si>
  <si>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</si>
  <si>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</si>
  <si>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</si>
  <si>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</si>
  <si>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</si>
  <si>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</si>
  <si>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</si>
  <si>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</si>
  <si>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</si>
  <si>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</si>
  <si>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</si>
  <si>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</si>
  <si>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</si>
  <si>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</si>
  <si>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</si>
  <si>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</si>
  <si>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</si>
  <si>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</si>
  <si>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</si>
  <si>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</si>
  <si>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</si>
  <si>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</si>
  <si>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</si>
  <si>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</si>
  <si>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</si>
  <si>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</si>
  <si>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</si>
  <si>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</si>
  <si>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</si>
  <si>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</si>
  <si>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</si>
  <si>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</si>
  <si>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</si>
  <si>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</si>
  <si>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</si>
  <si>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</si>
  <si>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</si>
  <si>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</si>
  <si>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</si>
  <si>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</si>
  <si>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</si>
  <si>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</si>
  <si>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</si>
  <si>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</si>
  <si>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</si>
  <si>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</si>
  <si>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</si>
  <si>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</si>
  <si>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</si>
  <si>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</si>
  <si>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</si>
  <si>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</si>
  <si>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</si>
  <si>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</si>
  <si>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</si>
  <si>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</si>
  <si>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</si>
  <si>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</si>
  <si>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</si>
  <si>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</si>
  <si>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</si>
  <si>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</si>
  <si>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</si>
  <si>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</si>
  <si>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</si>
  <si>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</si>
  <si>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</si>
  <si>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</si>
  <si>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</si>
  <si>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</si>
  <si>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</si>
  <si>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</si>
  <si>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</si>
  <si>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</si>
  <si>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</si>
  <si>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</si>
  <si>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</si>
  <si>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</si>
  <si>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</si>
  <si>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</si>
  <si>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</si>
  <si>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</si>
  <si>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</si>
  <si>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</si>
  <si>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</si>
  <si>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</si>
  <si>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</si>
  <si>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</si>
  <si>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</si>
  <si>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</si>
  <si>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</si>
  <si>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</si>
  <si>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</si>
  <si>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</si>
  <si>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</si>
  <si>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</si>
  <si>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</si>
  <si>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</si>
  <si>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</si>
  <si>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</si>
  <si>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</si>
  <si>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</si>
  <si>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</si>
  <si>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</si>
  <si>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</si>
  <si>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</si>
  <si>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</si>
  <si>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</si>
  <si>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</si>
  <si>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</si>
  <si>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</si>
  <si>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</si>
  <si>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</si>
  <si>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</si>
  <si>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</si>
  <si>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</si>
  <si>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</si>
  <si>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</si>
  <si>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</si>
  <si>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</si>
  <si>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</si>
  <si>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</si>
  <si>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</si>
  <si>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</si>
  <si>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</si>
  <si>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</si>
  <si>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</si>
  <si>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</si>
  <si>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</si>
  <si>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</si>
  <si>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</si>
  <si>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</si>
  <si>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</si>
  <si>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</si>
  <si>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</si>
  <si>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</si>
  <si>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</si>
  <si>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</si>
  <si>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</si>
  <si>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</si>
  <si>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</si>
  <si>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</si>
  <si>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</si>
  <si>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</si>
  <si>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</si>
  <si>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</si>
  <si>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</si>
  <si>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</si>
  <si>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101</t>
  </si>
  <si>
    <t>1203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</si>
  <si>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</si>
  <si>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</si>
  <si>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</si>
  <si>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</si>
  <si>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</si>
  <si>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</si>
  <si>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</si>
  <si>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</si>
  <si>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</si>
  <si>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</si>
  <si>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</si>
  <si>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</si>
  <si>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</si>
  <si>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</si>
  <si>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</si>
  <si>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</si>
  <si>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</si>
  <si>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</si>
  <si>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</si>
  <si>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</si>
  <si>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</si>
  <si>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</si>
  <si>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</si>
  <si>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</si>
  <si>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</si>
  <si>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</si>
  <si>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</si>
  <si>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</si>
  <si>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</si>
  <si>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</si>
  <si>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</si>
  <si>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</si>
  <si>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</si>
  <si>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</si>
  <si>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</si>
  <si>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</si>
  <si>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</si>
  <si>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</si>
  <si>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</si>
  <si>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</si>
  <si>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</si>
  <si>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</si>
  <si>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</si>
  <si>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</si>
  <si>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</si>
  <si>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</si>
  <si>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</si>
  <si>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</si>
  <si>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</si>
  <si>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</si>
  <si>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</si>
  <si>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</si>
  <si>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</si>
  <si>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</si>
  <si>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</si>
  <si>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</si>
  <si>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</si>
  <si>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</si>
  <si>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</si>
  <si>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</si>
  <si>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</si>
  <si>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</si>
  <si>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</si>
  <si>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</si>
  <si>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</si>
  <si>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</si>
  <si>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</si>
  <si>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</si>
  <si>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</si>
  <si>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</si>
  <si>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</si>
  <si>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</si>
  <si>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</si>
  <si>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</si>
  <si>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</si>
  <si>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</si>
  <si>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</si>
  <si>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</si>
  <si>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</si>
  <si>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</si>
  <si>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</si>
  <si>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</si>
  <si>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</si>
  <si>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</si>
  <si>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</si>
  <si>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</si>
  <si>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</si>
  <si>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</si>
  <si>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</si>
  <si>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</si>
  <si>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</si>
  <si>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</si>
  <si>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</si>
  <si>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</si>
  <si>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</si>
  <si>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</si>
  <si>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</si>
  <si>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</si>
  <si>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</si>
  <si>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</si>
  <si>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</si>
  <si>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</si>
  <si>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</si>
  <si>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</si>
  <si>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</si>
  <si>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</si>
  <si>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</si>
  <si>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</si>
  <si>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</si>
  <si>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</si>
  <si>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</si>
  <si>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</si>
  <si>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</si>
  <si>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</si>
  <si>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</si>
  <si>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</si>
  <si>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</si>
  <si>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</si>
  <si>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</si>
  <si>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</si>
  <si>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</si>
  <si>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</si>
  <si>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</si>
  <si>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</si>
  <si>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</si>
  <si>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</si>
  <si>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</si>
  <si>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</si>
  <si>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</si>
  <si>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</si>
  <si>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</si>
  <si>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</si>
  <si>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</si>
  <si>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</si>
  <si>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</si>
  <si>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</si>
  <si>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</si>
  <si>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</si>
  <si>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</si>
  <si>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</si>
  <si>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</si>
  <si>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</si>
  <si>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</si>
  <si>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</si>
  <si>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</si>
  <si>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</si>
  <si>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</si>
  <si>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</si>
  <si>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</si>
  <si>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</si>
  <si>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</si>
  <si>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</si>
  <si>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</si>
  <si>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</si>
  <si>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</si>
  <si>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</si>
  <si>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</si>
  <si>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</si>
  <si>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</si>
  <si>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</si>
  <si>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</si>
  <si>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</si>
  <si>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</si>
  <si>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</si>
  <si>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</si>
  <si>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</si>
  <si>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</si>
  <si>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</si>
  <si>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</si>
  <si>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</si>
  <si>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</si>
  <si>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</si>
  <si>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</si>
  <si>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</si>
  <si>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</si>
  <si>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</si>
  <si>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</si>
  <si>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</si>
  <si>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</si>
  <si>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</si>
  <si>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</si>
  <si>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</si>
  <si>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</si>
  <si>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</si>
  <si>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</si>
  <si>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</si>
  <si>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</si>
  <si>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</si>
  <si>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</si>
  <si>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</si>
  <si>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</si>
  <si>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</si>
  <si>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</si>
  <si>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</si>
  <si>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</si>
  <si>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</si>
  <si>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</si>
  <si>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</si>
  <si>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</si>
  <si>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</si>
  <si>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</si>
  <si>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</si>
  <si>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</si>
  <si>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</si>
  <si>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</si>
  <si>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</si>
  <si>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</si>
  <si>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</si>
  <si>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</si>
  <si>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</si>
  <si>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</si>
  <si>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</si>
  <si>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</si>
  <si>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</si>
  <si>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</si>
  <si>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</si>
  <si>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</si>
  <si>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</si>
  <si>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</si>
  <si>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</si>
  <si>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</si>
  <si>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</si>
  <si>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</si>
  <si>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</si>
  <si>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</si>
  <si>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</si>
  <si>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</si>
  <si>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</si>
  <si>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</si>
  <si>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</si>
  <si>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</si>
  <si>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</si>
  <si>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</si>
  <si>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</si>
  <si>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</si>
  <si>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</si>
  <si>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</si>
  <si>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</si>
  <si>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</si>
  <si>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</si>
  <si>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</si>
  <si>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</si>
  <si>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</si>
  <si>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</si>
  <si>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</si>
  <si>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</si>
  <si>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</si>
  <si>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</si>
  <si>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</si>
  <si>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</si>
  <si>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</si>
  <si>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</si>
  <si>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</si>
  <si>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</si>
  <si>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</si>
  <si>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</si>
  <si>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</si>
  <si>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</si>
  <si>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</si>
  <si>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</si>
  <si>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</si>
  <si>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</si>
  <si>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</si>
  <si>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</si>
  <si>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</si>
  <si>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</si>
  <si>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</si>
  <si>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</si>
  <si>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</si>
  <si>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</si>
  <si>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</si>
  <si>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</si>
  <si>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</si>
  <si>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</si>
  <si>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</si>
  <si>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</si>
  <si>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</si>
  <si>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</si>
  <si>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</si>
  <si>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</si>
  <si>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</si>
  <si>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</si>
  <si>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</si>
  <si>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</si>
  <si>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</si>
  <si>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</si>
  <si>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</si>
  <si>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</si>
  <si>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</si>
  <si>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</si>
  <si>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</si>
  <si>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</si>
  <si>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</si>
  <si>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</si>
  <si>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</si>
  <si>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</si>
  <si>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</si>
  <si>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</si>
  <si>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</si>
  <si>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</si>
  <si>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</si>
  <si>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</si>
  <si>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</si>
  <si>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</si>
  <si>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</si>
  <si>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</si>
  <si>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</si>
  <si>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</si>
  <si>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</si>
  <si>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</si>
  <si>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</si>
  <si>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</si>
  <si>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</si>
  <si>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</si>
  <si>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</si>
  <si>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</si>
  <si>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</si>
  <si>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</si>
  <si>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</si>
  <si>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</si>
  <si>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</si>
  <si>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</si>
  <si>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</si>
  <si>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</si>
  <si>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</si>
  <si>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</si>
  <si>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</si>
  <si>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</si>
  <si>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</si>
  <si>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</si>
  <si>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</si>
  <si>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</si>
  <si>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</si>
  <si>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</si>
  <si>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</si>
  <si>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</si>
  <si>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</si>
  <si>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</si>
  <si>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</si>
  <si>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</si>
  <si>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</si>
  <si>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</si>
  <si>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</si>
  <si>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</si>
  <si>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</si>
  <si>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</si>
  <si>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</si>
  <si>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</si>
  <si>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</si>
  <si>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</si>
  <si>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</si>
  <si>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</si>
  <si>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</si>
  <si>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</si>
  <si>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</si>
  <si>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</si>
  <si>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</si>
  <si>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</si>
  <si>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</si>
  <si>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</si>
  <si>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</si>
  <si>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</si>
  <si>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</si>
  <si>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</si>
  <si>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</si>
  <si>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</si>
  <si>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</si>
  <si>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</si>
  <si>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</si>
  <si>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</si>
  <si>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</si>
  <si>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</si>
  <si>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</si>
  <si>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</si>
  <si>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</si>
  <si>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</si>
  <si>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</si>
  <si>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</si>
  <si>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</si>
  <si>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</si>
  <si>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</si>
  <si>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</si>
  <si>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</si>
  <si>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</si>
  <si>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</si>
  <si>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</si>
  <si>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</si>
  <si>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</si>
  <si>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</si>
  <si>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</si>
  <si>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</si>
  <si>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</si>
  <si>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</si>
  <si>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</si>
  <si>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</si>
  <si>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</si>
  <si>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</si>
  <si>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</si>
  <si>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</si>
  <si>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</si>
  <si>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</si>
  <si>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</si>
  <si>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</si>
  <si>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</si>
  <si>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</si>
  <si>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</si>
  <si>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</si>
  <si>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</si>
  <si>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</si>
  <si>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</si>
  <si>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</si>
  <si>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</si>
  <si>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</si>
  <si>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</si>
  <si>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</si>
  <si>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</si>
  <si>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</si>
  <si>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</si>
  <si>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</si>
  <si>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</si>
  <si>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</si>
  <si>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</si>
  <si>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</si>
  <si>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</si>
  <si>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</si>
  <si>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</si>
  <si>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</si>
  <si>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</si>
  <si>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</si>
  <si>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</si>
  <si>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</si>
  <si>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</si>
  <si>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</si>
  <si>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</si>
  <si>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</si>
  <si>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</si>
  <si>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</si>
  <si>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</si>
  <si>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</si>
  <si>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</si>
  <si>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</si>
  <si>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</si>
  <si>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</si>
  <si>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</si>
  <si>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</si>
  <si>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</si>
  <si>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</si>
  <si>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</si>
  <si>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</si>
  <si>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</si>
  <si>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</si>
  <si>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</si>
  <si>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</si>
  <si>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</si>
  <si>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</si>
  <si>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</si>
  <si>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</si>
  <si>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</si>
  <si>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</si>
  <si>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</si>
  <si>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</si>
  <si>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</si>
  <si>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</si>
  <si>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</si>
  <si>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</si>
  <si>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</si>
  <si>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</si>
  <si>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</si>
  <si>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</si>
  <si>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</si>
  <si>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</si>
  <si>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</si>
  <si>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</si>
  <si>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</si>
  <si>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</si>
  <si>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</si>
  <si>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</si>
  <si>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</si>
  <si>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</si>
  <si>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</si>
  <si>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</si>
  <si>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</si>
  <si>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</si>
  <si>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</si>
  <si>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</si>
  <si>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</si>
  <si>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</si>
  <si>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</si>
  <si>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</si>
  <si>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</si>
  <si>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</si>
  <si>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</si>
  <si>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</si>
  <si>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</si>
  <si>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</si>
  <si>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</si>
  <si>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</si>
  <si>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</si>
  <si>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</si>
  <si>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</si>
  <si>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</si>
  <si>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</si>
  <si>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</si>
  <si>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</si>
  <si>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</si>
  <si>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</si>
  <si>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</si>
  <si>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</si>
  <si>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</si>
  <si>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</si>
  <si>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</si>
  <si>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</si>
  <si>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</si>
  <si>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</si>
  <si>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</si>
  <si>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</si>
  <si>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</si>
  <si>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</si>
  <si>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</si>
  <si>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</si>
  <si>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</si>
  <si>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</si>
  <si>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</si>
  <si>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</si>
  <si>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</si>
  <si>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</si>
  <si>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</si>
  <si>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</si>
  <si>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</si>
  <si>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</si>
  <si>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</si>
  <si>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</si>
  <si>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</si>
  <si>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</si>
  <si>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</si>
  <si>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</si>
  <si>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</si>
  <si>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</si>
  <si>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</si>
  <si>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</si>
  <si>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</si>
  <si>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</si>
  <si>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</si>
  <si>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</si>
  <si>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</si>
  <si>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</si>
  <si>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</si>
  <si>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</si>
  <si>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</si>
  <si>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</si>
  <si>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</si>
  <si>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</si>
  <si>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</si>
  <si>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</si>
  <si>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</si>
  <si>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</si>
  <si>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</si>
  <si>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</si>
  <si>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</si>
  <si>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</si>
  <si>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</si>
  <si>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</si>
  <si>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</si>
  <si>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</si>
  <si>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</si>
  <si>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</si>
  <si>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</si>
  <si>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</si>
  <si>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</si>
  <si>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</si>
  <si>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</si>
  <si>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</si>
  <si>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</si>
  <si>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</si>
  <si>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</si>
  <si>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</si>
  <si>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</si>
  <si>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</si>
  <si>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</si>
  <si>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</si>
  <si>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</si>
  <si>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</si>
  <si>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</si>
  <si>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</si>
  <si>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</si>
  <si>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</si>
  <si>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</si>
  <si>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</si>
  <si>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</si>
  <si>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</si>
  <si>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</si>
  <si>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</si>
  <si>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</si>
  <si>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</si>
  <si>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</si>
  <si>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</si>
  <si>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</si>
  <si>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</si>
  <si>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</si>
  <si>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</si>
  <si>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</si>
  <si>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</si>
  <si>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</si>
  <si>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</si>
  <si>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</si>
  <si>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</si>
  <si>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</si>
  <si>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</si>
  <si>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</si>
  <si>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</si>
  <si>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</si>
  <si>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</si>
  <si>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</si>
  <si>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</si>
  <si>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</si>
  <si>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</si>
  <si>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</si>
  <si>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</si>
  <si>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</si>
  <si>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</si>
  <si>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</si>
  <si>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</si>
  <si>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</si>
  <si>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</si>
  <si>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</si>
  <si>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</si>
  <si>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</si>
  <si>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</si>
  <si>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</si>
  <si>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</si>
  <si>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</si>
  <si>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</si>
  <si>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</si>
  <si>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</si>
  <si>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</si>
  <si>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</si>
  <si>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</si>
  <si>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</si>
  <si>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</si>
  <si>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</si>
  <si>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</si>
  <si>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</si>
  <si>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</si>
  <si>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</si>
  <si>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</si>
  <si>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</si>
  <si>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</si>
  <si>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</si>
  <si>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</si>
  <si>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</si>
  <si>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</si>
  <si>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</si>
  <si>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</si>
  <si>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</si>
  <si>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</si>
  <si>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</si>
  <si>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</si>
  <si>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</si>
  <si>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</si>
  <si>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</si>
  <si>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</si>
  <si>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</si>
  <si>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</si>
  <si>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</si>
  <si>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</si>
  <si>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</si>
  <si>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</si>
  <si>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</si>
  <si>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</si>
  <si>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</si>
  <si>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</si>
  <si>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</si>
  <si>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</si>
  <si>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</si>
  <si>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</si>
  <si>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</si>
  <si>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</si>
  <si>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</si>
  <si>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</si>
  <si>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</si>
  <si>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</si>
  <si>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</si>
  <si>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</si>
  <si>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</si>
  <si>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</si>
  <si>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</si>
  <si>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</si>
  <si>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</si>
  <si>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</si>
  <si>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</si>
  <si>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</si>
  <si>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</si>
  <si>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</si>
  <si>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</si>
  <si>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</si>
  <si>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</si>
  <si>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</si>
  <si>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</si>
  <si>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</si>
  <si>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</si>
  <si>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</si>
  <si>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</si>
  <si>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</si>
  <si>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</si>
  <si>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</si>
  <si>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</si>
  <si>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</si>
  <si>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</si>
  <si>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</si>
  <si>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</si>
  <si>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</si>
  <si>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</si>
  <si>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</si>
  <si>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</si>
  <si>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</si>
  <si>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</si>
  <si>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</si>
  <si>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</si>
  <si>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</si>
  <si>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</si>
  <si>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</si>
  <si>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</si>
  <si>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</si>
  <si>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</si>
  <si>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</si>
  <si>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</si>
  <si>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</si>
  <si>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</si>
  <si>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</si>
  <si>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</si>
  <si>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</si>
  <si>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</si>
  <si>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</si>
  <si>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</si>
  <si>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</si>
  <si>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</si>
  <si>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</si>
  <si>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</si>
  <si>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</si>
  <si>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</si>
  <si>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</si>
  <si>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</si>
  <si>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</si>
  <si>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</si>
  <si>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</si>
  <si>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</si>
  <si>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</si>
  <si>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</si>
  <si>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</si>
  <si>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</si>
  <si>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</si>
  <si>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</si>
  <si>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</si>
  <si>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</si>
  <si>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</si>
  <si>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</si>
  <si>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</si>
  <si>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</si>
  <si>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</si>
  <si>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</si>
  <si>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</si>
  <si>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</si>
  <si>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</si>
  <si>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</si>
  <si>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</si>
  <si>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</si>
  <si>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</si>
  <si>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</si>
  <si>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</si>
  <si>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</si>
  <si>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</si>
  <si>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</si>
  <si>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</si>
  <si>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</si>
  <si>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</si>
  <si>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</si>
  <si>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</si>
  <si>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</si>
  <si>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</si>
  <si>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</si>
  <si>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</si>
  <si>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</si>
  <si>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</si>
  <si>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</si>
  <si>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</si>
  <si>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</si>
  <si>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</si>
  <si>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</si>
  <si>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</si>
  <si>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</si>
  <si>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</si>
  <si>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</si>
  <si>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</si>
  <si>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</si>
  <si>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</si>
  <si>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</si>
  <si>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</si>
  <si>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</si>
  <si>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</si>
  <si>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</si>
  <si>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</si>
  <si>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</si>
  <si>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</si>
  <si>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</si>
  <si>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</si>
  <si>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</si>
  <si>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</si>
  <si>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</si>
  <si>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</si>
  <si>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</si>
  <si>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</si>
  <si>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</si>
  <si>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</si>
  <si>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</si>
  <si>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</si>
  <si>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</si>
  <si>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</si>
  <si>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</si>
  <si>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</si>
  <si>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</si>
  <si>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</si>
  <si>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</si>
  <si>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</si>
  <si>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</si>
  <si>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</si>
  <si>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</si>
  <si>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</si>
  <si>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</si>
  <si>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</si>
  <si>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</si>
  <si>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</si>
  <si>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</si>
  <si>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</si>
  <si>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</si>
  <si>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</si>
  <si>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</si>
  <si>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</si>
  <si>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</si>
  <si>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</si>
  <si>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</si>
  <si>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</si>
  <si>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</si>
  <si>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</si>
  <si>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</si>
  <si>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</si>
  <si>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</si>
  <si>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</si>
  <si>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</si>
  <si>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</si>
  <si>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</si>
  <si>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</si>
  <si>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</si>
  <si>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</si>
  <si>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</si>
  <si>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</si>
  <si>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</si>
  <si>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</si>
  <si>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</si>
  <si>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</si>
  <si>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</si>
  <si>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</si>
  <si>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</si>
  <si>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</si>
  <si>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</si>
  <si>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</si>
  <si>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</si>
  <si>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</si>
  <si>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</si>
  <si>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</si>
  <si>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</si>
  <si>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</si>
  <si>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</si>
  <si>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</si>
  <si>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</si>
  <si>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</si>
  <si>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</si>
  <si>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</si>
  <si>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</si>
  <si>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</si>
  <si>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</si>
  <si>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</si>
  <si>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</si>
  <si>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</si>
  <si>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</si>
  <si>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</si>
  <si>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</si>
  <si>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</si>
  <si>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</si>
  <si>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</si>
  <si>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</si>
  <si>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</si>
  <si>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</si>
  <si>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</si>
  <si>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</si>
  <si>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</si>
  <si>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</si>
  <si>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</si>
  <si>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</si>
  <si>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</si>
  <si>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</si>
  <si>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</si>
  <si>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</si>
  <si>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</si>
  <si>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</si>
  <si>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</si>
  <si>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</si>
  <si>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</si>
  <si>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</si>
  <si>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</si>
  <si>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</si>
  <si>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</si>
  <si>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</si>
  <si>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</si>
  <si>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</si>
  <si>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</si>
  <si>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</si>
  <si>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</si>
  <si>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</si>
  <si>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</si>
  <si>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</si>
  <si>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</si>
  <si>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</si>
  <si>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</si>
  <si>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</si>
  <si>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</si>
  <si>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</si>
  <si>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</si>
  <si>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</si>
  <si>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</si>
  <si>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</si>
  <si>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</si>
  <si>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</si>
  <si>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</si>
  <si>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</si>
  <si>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</si>
  <si>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</si>
  <si>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</si>
  <si>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</si>
  <si>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</si>
  <si>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</si>
  <si>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</si>
  <si>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</si>
  <si>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</si>
  <si>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</si>
  <si>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</si>
  <si>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</si>
  <si>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</si>
  <si>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</si>
  <si>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</si>
  <si>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</si>
  <si>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</si>
  <si>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</si>
  <si>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</si>
  <si>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</si>
  <si>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</si>
  <si>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</si>
  <si>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</si>
  <si>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</si>
  <si>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</si>
  <si>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</si>
  <si>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</si>
  <si>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</si>
  <si>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</si>
  <si>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</si>
  <si>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</si>
  <si>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</si>
  <si>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</si>
  <si>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</si>
  <si>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</si>
  <si>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</si>
  <si>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</si>
  <si>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</si>
  <si>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</si>
  <si>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</si>
  <si>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</si>
  <si>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</si>
  <si>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</si>
  <si>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</si>
  <si>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</si>
  <si>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</si>
  <si>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</si>
  <si>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</si>
  <si>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</si>
  <si>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</si>
  <si>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</si>
  <si>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</si>
  <si>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</si>
  <si>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</si>
  <si>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</si>
  <si>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</si>
  <si>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</si>
  <si>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</si>
  <si>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</si>
  <si>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</si>
  <si>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</si>
  <si>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</si>
  <si>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</si>
  <si>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</si>
  <si>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</si>
  <si>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</si>
  <si>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</si>
  <si>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</si>
  <si>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</si>
  <si>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</si>
  <si>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</si>
  <si>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</si>
  <si>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</si>
  <si>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</si>
  <si>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</si>
  <si>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</si>
  <si>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</si>
  <si>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</si>
  <si>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</si>
  <si>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</si>
  <si>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</si>
  <si>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</si>
  <si>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</si>
  <si>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</si>
  <si>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</si>
  <si>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</si>
  <si>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</si>
  <si>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</si>
  <si>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</si>
  <si>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</si>
  <si>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</si>
  <si>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</si>
  <si>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</si>
  <si>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</si>
  <si>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</si>
  <si>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</si>
  <si>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</si>
  <si>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</si>
  <si>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</si>
  <si>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</si>
  <si>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</si>
  <si>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</si>
  <si>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</si>
  <si>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</si>
  <si>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</si>
  <si>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</si>
  <si>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</si>
  <si>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</si>
  <si>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</si>
  <si>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</si>
  <si>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</si>
  <si>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</si>
  <si>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</si>
  <si>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</si>
  <si>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</si>
  <si>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</si>
  <si>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</si>
  <si>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</si>
  <si>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</si>
  <si>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</si>
  <si>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</si>
  <si>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</si>
  <si>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</si>
  <si>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</si>
  <si>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</si>
  <si>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</si>
  <si>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</si>
  <si>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</si>
  <si>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</si>
  <si>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</si>
  <si>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</si>
  <si>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</si>
  <si>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</si>
  <si>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</si>
  <si>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</si>
  <si>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</si>
  <si>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</si>
  <si>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</si>
  <si>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</si>
  <si>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</si>
  <si>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</si>
  <si>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</si>
  <si>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</si>
  <si>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</si>
  <si>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</si>
  <si>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</si>
  <si>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</si>
  <si>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</si>
  <si>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</si>
  <si>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</si>
  <si>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</si>
  <si>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</si>
  <si>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</si>
  <si>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</si>
  <si>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</si>
  <si>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</si>
  <si>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</si>
  <si>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</si>
  <si>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</si>
  <si>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</si>
  <si>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</si>
  <si>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</si>
  <si>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</si>
  <si>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</si>
  <si>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</si>
  <si>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</si>
  <si>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</si>
  <si>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</si>
  <si>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</si>
  <si>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</si>
  <si>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</si>
  <si>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</si>
  <si>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</si>
  <si>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</si>
  <si>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</si>
  <si>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</si>
  <si>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</si>
  <si>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</si>
  <si>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</si>
  <si>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</si>
  <si>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</si>
  <si>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</si>
  <si>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</si>
  <si>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</si>
  <si>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</si>
  <si>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</si>
  <si>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</si>
  <si>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</si>
  <si>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</si>
  <si>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</si>
  <si>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</si>
  <si>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</si>
  <si>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</si>
  <si>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</si>
  <si>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</si>
  <si>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</si>
  <si>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</si>
  <si>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</si>
  <si>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</si>
  <si>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</si>
  <si>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</si>
  <si>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</si>
  <si>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</si>
  <si>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</si>
  <si>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</si>
  <si>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</si>
  <si>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</si>
  <si>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</si>
  <si>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</si>
  <si>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</si>
  <si>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</si>
  <si>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</si>
  <si>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</si>
  <si>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</si>
  <si>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</si>
  <si>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</si>
  <si>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</si>
  <si>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</si>
  <si>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</si>
  <si>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</si>
  <si>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</si>
  <si>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</si>
  <si>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</si>
  <si>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</si>
  <si>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</si>
  <si>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</si>
  <si>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</si>
  <si>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</si>
  <si>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</si>
  <si>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</si>
  <si>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</si>
  <si>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</si>
  <si>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</si>
  <si>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</si>
  <si>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</si>
  <si>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</si>
  <si>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</si>
  <si>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</si>
  <si>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</si>
  <si>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</si>
  <si>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</si>
  <si>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</si>
  <si>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</si>
  <si>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</si>
  <si>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</si>
  <si>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</si>
  <si>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</si>
  <si>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</si>
  <si>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</si>
  <si>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</si>
  <si>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</si>
  <si>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</si>
  <si>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</si>
  <si>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</si>
  <si>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</si>
  <si>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</si>
  <si>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</si>
  <si>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</si>
  <si>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</si>
  <si>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</si>
  <si>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</si>
  <si>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</si>
  <si>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</si>
  <si>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</si>
  <si>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</si>
  <si>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</si>
  <si>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</si>
  <si>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</si>
  <si>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</si>
  <si>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</si>
  <si>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</si>
  <si>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</si>
  <si>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</si>
  <si>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</si>
  <si>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</si>
  <si>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</si>
  <si>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</si>
  <si>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</si>
  <si>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</si>
  <si>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</si>
  <si>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</si>
  <si>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</si>
  <si>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</si>
  <si>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</si>
  <si>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</si>
  <si>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</si>
  <si>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</si>
  <si>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</si>
  <si>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</si>
  <si>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</si>
  <si>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</si>
  <si>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</si>
  <si>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</si>
  <si>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</si>
  <si>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</si>
  <si>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</si>
  <si>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</si>
  <si>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</si>
  <si>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</si>
  <si>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</si>
  <si>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</si>
  <si>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</si>
  <si>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</si>
  <si>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</si>
  <si>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</si>
  <si>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</si>
  <si>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</si>
  <si>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</si>
  <si>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</si>
  <si>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</si>
  <si>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</si>
  <si>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</si>
  <si>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</si>
  <si>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</si>
  <si>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</si>
  <si>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</si>
  <si>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</si>
  <si>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</si>
  <si>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</si>
  <si>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</si>
  <si>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</si>
  <si>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</si>
  <si>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</si>
  <si>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</si>
  <si>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</si>
  <si>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</si>
  <si>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</si>
  <si>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</si>
  <si>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</si>
  <si>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</si>
  <si>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</si>
  <si>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</si>
  <si>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</si>
  <si>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</si>
  <si>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</si>
  <si>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</si>
  <si>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</si>
  <si>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</si>
  <si>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</si>
  <si>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</si>
  <si>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</si>
  <si>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</si>
  <si>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</si>
  <si>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</si>
  <si>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</si>
  <si>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</si>
  <si>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</si>
  <si>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</si>
  <si>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</si>
  <si>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</si>
  <si>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</si>
  <si>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</si>
  <si>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</si>
  <si>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</si>
  <si>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</si>
  <si>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</si>
  <si>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</si>
  <si>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</si>
  <si>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</si>
  <si>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</si>
  <si>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</si>
  <si>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</si>
  <si>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</si>
  <si>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</si>
  <si>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</si>
  <si>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</si>
  <si>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</si>
  <si>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</si>
  <si>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</si>
  <si>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</si>
  <si>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</si>
  <si>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</si>
  <si>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</si>
  <si>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</si>
  <si>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</si>
  <si>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</si>
  <si>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</si>
  <si>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</si>
  <si>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</si>
  <si>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</si>
  <si>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</si>
  <si>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</si>
  <si>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</si>
  <si>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</si>
  <si>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</si>
  <si>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</si>
  <si>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</si>
  <si>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</si>
  <si>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</si>
  <si>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</si>
  <si>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</si>
  <si>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</si>
  <si>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</si>
  <si>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</si>
  <si>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</si>
  <si>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</si>
  <si>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</si>
  <si>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</si>
  <si>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</si>
  <si>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</si>
  <si>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</si>
  <si>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</si>
  <si>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</si>
  <si>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</si>
  <si>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</si>
  <si>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</si>
  <si>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</si>
  <si>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</si>
  <si>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</si>
  <si>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</si>
  <si>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</si>
  <si>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</si>
  <si>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</si>
  <si>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</si>
  <si>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</si>
  <si>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</si>
  <si>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</si>
  <si>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</si>
  <si>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</si>
  <si>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</si>
  <si>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</si>
  <si>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</si>
  <si>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</si>
  <si>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</si>
  <si>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</si>
  <si>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</si>
  <si>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</si>
  <si>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</si>
  <si>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</si>
  <si>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</si>
  <si>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</si>
  <si>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</si>
  <si>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</si>
  <si>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</si>
  <si>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</si>
  <si>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</si>
  <si>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</si>
  <si>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</si>
  <si>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</si>
  <si>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</si>
  <si>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</si>
  <si>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</si>
  <si>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</si>
  <si>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</si>
  <si>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</si>
  <si>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</si>
  <si>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</si>
  <si>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</si>
  <si>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</si>
  <si>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</si>
  <si>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</si>
  <si>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</si>
  <si>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</si>
  <si>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</si>
  <si>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</si>
  <si>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</si>
  <si>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</si>
  <si>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</si>
  <si>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</si>
  <si>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</si>
  <si>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</si>
  <si>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</si>
  <si>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</si>
  <si>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</si>
  <si>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</si>
  <si>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</si>
  <si>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</si>
  <si>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</si>
  <si>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53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</si>
  <si>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</si>
  <si>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</si>
  <si>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</si>
  <si>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</si>
  <si>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</si>
  <si>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</si>
  <si>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</si>
  <si>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</si>
  <si>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</si>
  <si>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</si>
  <si>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</si>
  <si>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</si>
  <si>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</si>
  <si>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</si>
  <si>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</si>
  <si>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</si>
  <si>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</si>
  <si>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</si>
  <si>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</si>
  <si>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</si>
  <si>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</si>
  <si>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</si>
  <si>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</si>
  <si>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</si>
  <si>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</si>
  <si>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</si>
  <si>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</si>
  <si>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</si>
  <si>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</si>
  <si>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</si>
  <si>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</si>
  <si>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</si>
  <si>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</si>
  <si>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</si>
  <si>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</si>
  <si>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</si>
  <si>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</si>
  <si>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</si>
  <si>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</si>
  <si>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</si>
  <si>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</si>
  <si>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</si>
  <si>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</si>
  <si>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</si>
  <si>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</si>
  <si>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</si>
  <si>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</si>
  <si>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</si>
  <si>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</si>
  <si>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</si>
  <si>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</si>
  <si>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</si>
  <si>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</si>
  <si>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</si>
  <si>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</si>
  <si>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</si>
  <si>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</si>
  <si>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</si>
  <si>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</si>
  <si>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</si>
  <si>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</si>
  <si>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</si>
  <si>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</si>
  <si>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</si>
  <si>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</si>
  <si>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</si>
  <si>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</si>
  <si>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</si>
  <si>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</si>
  <si>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</si>
  <si>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</si>
  <si>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</si>
  <si>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</si>
  <si>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</si>
  <si>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</si>
  <si>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</si>
  <si>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</si>
  <si>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</si>
  <si>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</si>
  <si>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</si>
  <si>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</si>
  <si>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</si>
  <si>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</si>
  <si>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</si>
  <si>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</si>
  <si>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</si>
  <si>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</si>
  <si>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</si>
  <si>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</si>
  <si>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</si>
  <si>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</si>
  <si>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</si>
  <si>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</si>
  <si>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</si>
  <si>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</si>
  <si>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</si>
  <si>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</si>
  <si>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</si>
  <si>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</si>
  <si>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</si>
  <si>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</si>
  <si>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</si>
  <si>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</si>
  <si>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</si>
  <si>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</si>
  <si>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</si>
  <si>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</si>
  <si>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</si>
  <si>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</si>
  <si>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</si>
  <si>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</si>
  <si>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</si>
  <si>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</si>
  <si>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</si>
  <si>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</si>
  <si>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</si>
  <si>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</si>
  <si>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</si>
  <si>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</si>
  <si>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</si>
  <si>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</si>
  <si>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</si>
  <si>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</si>
  <si>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</si>
  <si>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</si>
  <si>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</si>
  <si>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</si>
  <si>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</si>
  <si>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</si>
  <si>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</si>
  <si>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</si>
  <si>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</si>
  <si>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</si>
  <si>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</si>
  <si>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</si>
  <si>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</si>
  <si>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</si>
  <si>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</si>
  <si>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</si>
  <si>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</si>
  <si>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</si>
  <si>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</si>
  <si>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</si>
  <si>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</si>
  <si>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</si>
  <si>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</si>
  <si>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</si>
  <si>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</si>
  <si>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</si>
  <si>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</si>
  <si>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</si>
  <si>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</si>
  <si>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</si>
  <si>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</si>
  <si>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</si>
  <si>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</si>
  <si>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</si>
  <si>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</si>
  <si>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</si>
  <si>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</si>
  <si>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</si>
  <si>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</si>
  <si>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</si>
  <si>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</si>
  <si>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</si>
  <si>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</si>
  <si>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</si>
  <si>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</si>
  <si>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</si>
  <si>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</si>
  <si>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</si>
  <si>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</si>
  <si>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</si>
  <si>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</si>
  <si>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</si>
  <si>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</si>
  <si>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</si>
  <si>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</si>
  <si>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</si>
  <si>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</si>
  <si>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</si>
  <si>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</si>
  <si>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</si>
  <si>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</si>
  <si>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</si>
  <si>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</si>
  <si>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</si>
  <si>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</si>
  <si>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</si>
  <si>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</si>
  <si>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</si>
  <si>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</si>
  <si>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</si>
  <si>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</si>
  <si>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</si>
  <si>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</si>
  <si>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</si>
  <si>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</si>
  <si>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</si>
  <si>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</si>
  <si>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</si>
  <si>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</si>
  <si>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</si>
  <si>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</si>
  <si>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</si>
  <si>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</si>
  <si>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</si>
  <si>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</si>
  <si>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</si>
  <si>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</si>
  <si>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</si>
  <si>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</si>
  <si>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</si>
  <si>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</si>
  <si>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</si>
  <si>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</si>
  <si>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</si>
  <si>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</si>
  <si>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</si>
  <si>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</si>
  <si>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</si>
  <si>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</si>
  <si>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</si>
  <si>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</si>
  <si>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</si>
  <si>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</si>
  <si>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</si>
  <si>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</si>
  <si>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</si>
  <si>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</si>
  <si>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</si>
  <si>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</si>
  <si>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</si>
  <si>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</si>
  <si>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</si>
  <si>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</si>
  <si>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</si>
  <si>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</si>
  <si>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</si>
  <si>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</si>
  <si>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</si>
  <si>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</si>
  <si>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</si>
  <si>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</si>
  <si>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</si>
  <si>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</si>
  <si>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</si>
  <si>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</si>
  <si>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</si>
  <si>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</si>
  <si>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</si>
  <si>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</si>
  <si>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</si>
  <si>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</si>
  <si>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</si>
  <si>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</si>
  <si>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</si>
  <si>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</si>
  <si>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</si>
  <si>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</si>
  <si>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</si>
  <si>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</si>
  <si>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</si>
  <si>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</si>
  <si>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</si>
  <si>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</si>
  <si>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</si>
  <si>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</si>
  <si>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</si>
  <si>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</si>
  <si>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</si>
  <si>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</si>
  <si>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</si>
  <si>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</si>
  <si>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</si>
  <si>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</si>
  <si>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</si>
  <si>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</si>
  <si>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</si>
  <si>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</si>
  <si>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</si>
  <si>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</si>
  <si>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</si>
  <si>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</si>
  <si>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</si>
  <si>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</si>
  <si>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</si>
  <si>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</si>
  <si>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</si>
  <si>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</si>
  <si>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</si>
  <si>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</si>
  <si>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</si>
  <si>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</si>
  <si>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</si>
  <si>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</si>
  <si>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</si>
  <si>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</si>
  <si>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</si>
  <si>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</si>
  <si>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</si>
  <si>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</si>
  <si>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</si>
  <si>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</si>
  <si>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</si>
  <si>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</si>
  <si>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</si>
  <si>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</si>
  <si>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</si>
  <si>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</si>
  <si>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</si>
  <si>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</si>
  <si>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</si>
  <si>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</si>
  <si>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</si>
  <si>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</si>
  <si>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</si>
  <si>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</si>
  <si>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</si>
  <si>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</si>
  <si>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</si>
  <si>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</si>
  <si>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</si>
  <si>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</si>
  <si>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</si>
  <si>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</si>
  <si>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</si>
  <si>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</si>
  <si>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</si>
  <si>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</si>
  <si>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</si>
  <si>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</si>
  <si>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</si>
  <si>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</si>
  <si>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</si>
  <si>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</si>
  <si>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</si>
  <si>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</si>
  <si>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</si>
  <si>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</si>
  <si>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</si>
  <si>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</si>
  <si>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</si>
  <si>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</si>
  <si>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</si>
  <si>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</si>
  <si>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</si>
  <si>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</si>
  <si>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</si>
  <si>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</si>
  <si>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</si>
  <si>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</si>
  <si>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</si>
  <si>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</si>
  <si>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</si>
  <si>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</si>
  <si>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</si>
  <si>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</si>
  <si>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</si>
  <si>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</si>
  <si>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</si>
  <si>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</si>
  <si>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</si>
  <si>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</si>
  <si>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</si>
  <si>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</si>
  <si>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</si>
  <si>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</si>
  <si>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</si>
  <si>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</si>
  <si>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</si>
  <si>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</si>
  <si>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</si>
  <si>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</si>
  <si>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</si>
  <si>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</si>
  <si>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</si>
  <si>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</si>
  <si>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</si>
  <si>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</si>
  <si>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</si>
  <si>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</si>
  <si>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</si>
  <si>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</si>
  <si>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</si>
  <si>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</si>
  <si>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</si>
  <si>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</si>
  <si>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</si>
  <si>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</si>
  <si>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</si>
  <si>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</si>
  <si>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</si>
  <si>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</si>
  <si>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</si>
  <si>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</si>
  <si>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</si>
  <si>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</si>
  <si>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</si>
  <si>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</si>
  <si>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</si>
  <si>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</si>
  <si>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</si>
  <si>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</si>
  <si>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</si>
  <si>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</si>
  <si>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</si>
  <si>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</si>
  <si>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</si>
  <si>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</si>
  <si>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</si>
  <si>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</si>
  <si>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</si>
  <si>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</si>
  <si>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</si>
  <si>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</si>
  <si>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</si>
  <si>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</si>
  <si>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</si>
  <si>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</si>
  <si>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</si>
  <si>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</si>
  <si>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</si>
  <si>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</si>
  <si>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</si>
  <si>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</si>
  <si>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</si>
  <si>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</si>
  <si>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</si>
  <si>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</si>
  <si>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</si>
  <si>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</si>
  <si>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</si>
  <si>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</si>
  <si>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</si>
  <si>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</si>
  <si>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</si>
  <si>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</si>
  <si>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</si>
  <si>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</si>
  <si>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</si>
  <si>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</si>
  <si>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</si>
  <si>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</si>
  <si>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</si>
  <si>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</si>
  <si>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</si>
  <si>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</si>
  <si>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</si>
  <si>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</si>
  <si>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</si>
  <si>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</si>
  <si>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</si>
  <si>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</si>
  <si>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</si>
  <si>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</si>
  <si>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</si>
  <si>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</si>
  <si>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</si>
  <si>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</si>
  <si>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</si>
  <si>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</si>
  <si>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</si>
  <si>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</si>
  <si>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</si>
  <si>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</si>
  <si>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</si>
  <si>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</si>
  <si>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</si>
  <si>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</si>
  <si>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</si>
  <si>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</si>
  <si>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</si>
  <si>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</si>
  <si>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</si>
  <si>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</si>
  <si>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</si>
  <si>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</si>
  <si>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</si>
  <si>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</si>
  <si>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</si>
  <si>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</si>
  <si>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</si>
  <si>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</si>
  <si>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</si>
  <si>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</si>
  <si>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</si>
  <si>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</si>
  <si>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</si>
  <si>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</si>
  <si>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</si>
  <si>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</si>
  <si>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</si>
  <si>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</si>
  <si>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3102</t>
  </si>
  <si>
    <t>3103</t>
  </si>
  <si>
    <t>3104</t>
  </si>
  <si>
    <t>3105</t>
  </si>
  <si>
    <t>3106</t>
  </si>
  <si>
    <t>3107</t>
  </si>
  <si>
    <t>3108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</si>
  <si>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</si>
  <si>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</si>
  <si>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</si>
  <si>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</si>
  <si>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</si>
  <si>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</si>
  <si>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</si>
  <si>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</si>
  <si>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</si>
  <si>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</si>
  <si>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</si>
  <si>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</si>
  <si>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</si>
  <si>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</si>
  <si>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</si>
  <si>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</si>
  <si>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</si>
  <si>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</si>
  <si>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</si>
  <si>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</si>
  <si>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</si>
  <si>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</si>
  <si>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</si>
  <si>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</si>
  <si>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</si>
  <si>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</si>
  <si>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</si>
  <si>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</si>
  <si>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</si>
  <si>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</si>
  <si>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</si>
  <si>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</si>
  <si>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</si>
  <si>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</si>
  <si>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</si>
  <si>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</si>
  <si>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</si>
  <si>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</si>
  <si>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</si>
  <si>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</si>
  <si>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</si>
  <si>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</si>
  <si>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</si>
  <si>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</si>
  <si>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</si>
  <si>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</si>
  <si>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</si>
  <si>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</si>
  <si>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</si>
  <si>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</si>
  <si>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</si>
  <si>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</si>
  <si>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</si>
  <si>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</si>
  <si>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</si>
  <si>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</si>
  <si>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</si>
  <si>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</si>
  <si>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</si>
  <si>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</si>
  <si>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</si>
  <si>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</si>
  <si>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</si>
  <si>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</si>
  <si>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</si>
  <si>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</si>
  <si>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</si>
  <si>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</si>
  <si>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</si>
  <si>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</si>
  <si>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</si>
  <si>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</si>
  <si>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</si>
  <si>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</si>
  <si>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</si>
  <si>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</si>
  <si>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</si>
  <si>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</si>
  <si>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</si>
  <si>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</si>
  <si>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</si>
  <si>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</si>
  <si>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</si>
  <si>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</si>
  <si>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</si>
  <si>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</si>
  <si>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</si>
  <si>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</si>
  <si>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</si>
  <si>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</si>
  <si>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</si>
  <si>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</si>
  <si>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</si>
  <si>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</si>
  <si>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</si>
  <si>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</si>
  <si>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</si>
  <si>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</si>
  <si>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</si>
  <si>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</si>
  <si>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</si>
  <si>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</si>
  <si>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</si>
  <si>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</si>
  <si>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</si>
  <si>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</si>
  <si>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</si>
  <si>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</si>
  <si>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</si>
  <si>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</si>
  <si>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</si>
  <si>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</si>
  <si>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</si>
  <si>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</si>
  <si>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</si>
  <si>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</si>
  <si>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</si>
  <si>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</si>
  <si>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</si>
  <si>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</si>
  <si>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</si>
  <si>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</si>
  <si>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</si>
  <si>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</si>
  <si>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</si>
  <si>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</si>
  <si>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</si>
  <si>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</si>
  <si>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</si>
  <si>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</si>
  <si>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</si>
  <si>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</si>
  <si>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</si>
  <si>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</si>
  <si>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</si>
  <si>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</si>
  <si>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</si>
  <si>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</si>
  <si>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</si>
  <si>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</si>
  <si>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</si>
  <si>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</si>
  <si>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</si>
  <si>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</si>
  <si>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</si>
  <si>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</si>
  <si>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</si>
  <si>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</si>
  <si>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</si>
  <si>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</si>
  <si>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</si>
  <si>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</si>
  <si>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</si>
  <si>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</si>
  <si>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</si>
  <si>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</si>
  <si>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</si>
  <si>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</si>
  <si>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</si>
  <si>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</si>
  <si>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</si>
  <si>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</si>
  <si>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</si>
  <si>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</si>
  <si>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</si>
  <si>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</si>
  <si>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</si>
  <si>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</si>
  <si>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</si>
  <si>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</si>
  <si>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</si>
  <si>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</si>
  <si>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</si>
  <si>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</si>
  <si>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</si>
  <si>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</si>
  <si>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</si>
  <si>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</si>
  <si>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</si>
  <si>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</si>
  <si>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</si>
  <si>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</si>
  <si>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</si>
  <si>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</si>
  <si>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</si>
  <si>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</si>
  <si>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</si>
  <si>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</si>
  <si>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</si>
  <si>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</si>
  <si>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</si>
  <si>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</si>
  <si>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</si>
  <si>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</si>
  <si>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</si>
  <si>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</si>
  <si>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</si>
  <si>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</si>
  <si>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</si>
  <si>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</si>
  <si>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</si>
  <si>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</si>
  <si>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</si>
  <si>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</si>
  <si>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</si>
  <si>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</si>
  <si>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</si>
  <si>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</si>
  <si>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</si>
  <si>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</si>
  <si>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</si>
  <si>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</si>
  <si>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</si>
  <si>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</si>
  <si>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</si>
  <si>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</si>
  <si>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</si>
  <si>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</si>
  <si>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</si>
  <si>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</si>
  <si>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</si>
  <si>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</si>
  <si>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</si>
  <si>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</si>
  <si>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</si>
  <si>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</si>
  <si>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</si>
  <si>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</si>
  <si>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</si>
  <si>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</si>
  <si>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</si>
  <si>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</si>
  <si>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</si>
  <si>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</si>
  <si>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</si>
  <si>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</si>
  <si>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</si>
  <si>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</si>
  <si>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</si>
  <si>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</si>
  <si>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</si>
  <si>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</si>
  <si>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</si>
  <si>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</si>
  <si>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</si>
  <si>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</si>
  <si>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</si>
  <si>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</si>
  <si>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</si>
  <si>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</si>
  <si>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</si>
  <si>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</si>
  <si>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</si>
  <si>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</si>
  <si>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</si>
  <si>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</si>
  <si>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</si>
  <si>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</si>
  <si>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</si>
  <si>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</si>
  <si>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</si>
  <si>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</si>
  <si>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</si>
  <si>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</si>
  <si>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</si>
  <si>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</si>
  <si>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</si>
  <si>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</si>
  <si>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</si>
  <si>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</si>
  <si>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</si>
  <si>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</si>
  <si>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</si>
  <si>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</si>
  <si>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</si>
  <si>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</si>
  <si>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</si>
  <si>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</si>
  <si>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</si>
  <si>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</si>
  <si>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</si>
  <si>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</si>
  <si>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</si>
  <si>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</si>
  <si>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</si>
  <si>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</si>
  <si>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</si>
  <si>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</si>
  <si>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</si>
  <si>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</si>
  <si>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</si>
  <si>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</si>
  <si>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</si>
  <si>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</si>
  <si>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</si>
  <si>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</si>
  <si>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</si>
  <si>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</si>
  <si>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</si>
  <si>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</si>
  <si>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</si>
  <si>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</si>
  <si>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</si>
  <si>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</si>
  <si>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</si>
  <si>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</si>
  <si>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</si>
  <si>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</si>
  <si>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</si>
  <si>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</si>
  <si>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</si>
  <si>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</si>
  <si>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</si>
  <si>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</si>
  <si>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</si>
  <si>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</si>
  <si>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</si>
  <si>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</si>
  <si>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</si>
  <si>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</si>
  <si>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</si>
  <si>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</si>
  <si>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</si>
  <si>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</si>
  <si>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</si>
  <si>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</si>
  <si>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</si>
  <si>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</si>
  <si>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</si>
  <si>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</si>
  <si>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</si>
  <si>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</si>
  <si>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</si>
  <si>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</si>
  <si>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</si>
  <si>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</si>
  <si>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</si>
  <si>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</si>
  <si>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</si>
  <si>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</si>
  <si>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</si>
  <si>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</si>
  <si>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</si>
  <si>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</si>
  <si>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</si>
  <si>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</si>
  <si>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</si>
  <si>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</si>
  <si>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</si>
  <si>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</si>
  <si>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</si>
  <si>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</si>
  <si>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</si>
  <si>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</si>
  <si>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</si>
  <si>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</si>
  <si>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</si>
  <si>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</si>
  <si>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</si>
  <si>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</si>
  <si>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</si>
  <si>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</si>
  <si>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Rótulos de Linha</t>
  </si>
  <si>
    <t>Total Geral</t>
  </si>
  <si>
    <t>Rótulos de Coluna</t>
  </si>
  <si>
    <t>CONCAT</t>
  </si>
  <si>
    <t>120302001 - MOVEIS E UTENSILIOS</t>
  </si>
  <si>
    <t>120307001 - IMOBILIZADO EM ANDAMENTO - PROPRIOS</t>
  </si>
  <si>
    <t>310101 - RECEITA BRUTA DE TRANSPORTES</t>
  </si>
  <si>
    <t>310102 - RECEITA BRUTA DE OPERACOES PORTUARIAS</t>
  </si>
  <si>
    <t>310109 - ( - ) DEDUCOES DA RECEITA BRUTA</t>
  </si>
  <si>
    <t>310901 - OUTRAS RECEITAS</t>
  </si>
  <si>
    <t>320101 - REMUNERACOES</t>
  </si>
  <si>
    <t>320102 - ENCARGOS SOCIAIS</t>
  </si>
  <si>
    <t>320103 - BENEFICIOS</t>
  </si>
  <si>
    <t>320104 - OUTROS GASTOS COM PESSOAL</t>
  </si>
  <si>
    <t>320201001 - PJ-CONSULTORIA E ASSESSORIA</t>
  </si>
  <si>
    <t>320201004 - PJ-LOCACAO DE MAQUINAS E EQUIPAMENTO</t>
  </si>
  <si>
    <t>320201005 - PJ-MAO-DE-OBRA TERCEIRIZADA</t>
  </si>
  <si>
    <t>320201006 - PJ-OUTROS SERVICOS CONTRATADOS-PJ</t>
  </si>
  <si>
    <t>320202003 - PF-OUTROS SERVICOS CONTRATADOS-PF</t>
  </si>
  <si>
    <t>320301001 - COMBUSTIVEIS</t>
  </si>
  <si>
    <t>320301002 - LUBRIFICANTES</t>
  </si>
  <si>
    <t>320301003 - PNEUS E RECAPAGENS</t>
  </si>
  <si>
    <t>320301004 - PECAS E ACESSORIOS</t>
  </si>
  <si>
    <t>320301005 - FERRAMENTAS</t>
  </si>
  <si>
    <t>320301006 - SERVICOS E MANUTENCAO DE VEICULOS EQ</t>
  </si>
  <si>
    <t>320301007 - LICENCIAMENTO - IPVA - DPVAT</t>
  </si>
  <si>
    <t>320301008 - MULTAS DE TRANSITO</t>
  </si>
  <si>
    <t>320301011 - GERENCIAMENTO DE RISCO</t>
  </si>
  <si>
    <t>320401 - ALUGUEIS, ARREND. E CONDOMINIOS</t>
  </si>
  <si>
    <t>320402 - UTILIDADES</t>
  </si>
  <si>
    <t>320403 - COMUNICACAO</t>
  </si>
  <si>
    <t>320404 - INFORMATICA</t>
  </si>
  <si>
    <t>320405 - PREMIO DE SEGUROS</t>
  </si>
  <si>
    <t>320406 - MANUTENCAO E CONSERVACAO</t>
  </si>
  <si>
    <t>320408 - IMPOSTOS, MULTAS E TAXAS DIVERSAS</t>
  </si>
  <si>
    <t>320409 - DESPESAS GERAIS</t>
  </si>
  <si>
    <t>320501 - DEPRECIACOES E AMORTIZACOES</t>
  </si>
  <si>
    <t>320601001 - MATERIAIS DIRETOS</t>
  </si>
  <si>
    <t>320601002 - TARIFAS PORTUµRIAS</t>
  </si>
  <si>
    <t>330101 - REMUNERACOES</t>
  </si>
  <si>
    <t>330102 - ENCARGOS SOCIAIS</t>
  </si>
  <si>
    <t>330103 - BENEFICIOS</t>
  </si>
  <si>
    <t>330104 - OUTROS GASTOS COM PESSOAL</t>
  </si>
  <si>
    <t>330201004 - PJ-LOCACAO DE MAQUINAS E EQUIPAMENTO</t>
  </si>
  <si>
    <t>330201006 - PJ-OUTROS SERVICOS CONTRATADOS-PJ</t>
  </si>
  <si>
    <t>330202001 - PF-CONSULTORIA E ASSESSORIA</t>
  </si>
  <si>
    <t>330202003 - PF-OUTROS SERVICOS CONTRATADOS-PF</t>
  </si>
  <si>
    <t>330301001 - COMBUSTIVEIS</t>
  </si>
  <si>
    <t>330301002 - LUBRIFICANTES</t>
  </si>
  <si>
    <t>330301004 - PECAS E ACESSORIOS</t>
  </si>
  <si>
    <t>330301007 - LICENCIAMENTO - IPVA - DPVAT</t>
  </si>
  <si>
    <t>330401 - ALUGUEIS, ARREND. E CONDOMINIOS</t>
  </si>
  <si>
    <t>330402 - UTILIDADES</t>
  </si>
  <si>
    <t>330403 - COMUNICACAO</t>
  </si>
  <si>
    <t>330404 - INFORMATICA</t>
  </si>
  <si>
    <t>330406 - MANUTENCAO E CONSERVACAO</t>
  </si>
  <si>
    <t>330407 - VIAGENS E REPRESENTACAO</t>
  </si>
  <si>
    <t>330408 - IMPOSTOS, MULTAS E TAXAS DIVERSAS</t>
  </si>
  <si>
    <t>330409 - DESPESAS GERAIS</t>
  </si>
  <si>
    <t>330501 - DEPRECIACOES E AMORTIZACOES</t>
  </si>
  <si>
    <t>330601 - DESPESAS VARIAVEIS DE VENDAS</t>
  </si>
  <si>
    <t>330701004 - ICMS</t>
  </si>
  <si>
    <t>330701006 - IR - CONTRATO DE CAMBIO</t>
  </si>
  <si>
    <t>330701007 - OUTROS IMPOSTOS E TAXAS</t>
  </si>
  <si>
    <t>330701008 - ICMS DIF. DE ALIQUOTA</t>
  </si>
  <si>
    <t>331803 - CUSTO DE BENS ALIENADOS/BAIXADOS</t>
  </si>
  <si>
    <t>380101 - RECEITAS FINANCEIRAS</t>
  </si>
  <si>
    <t>380201 - DESPESAS FINANCEIRAS</t>
  </si>
  <si>
    <t>COMPETÊNCIA</t>
  </si>
  <si>
    <t>Valor</t>
  </si>
  <si>
    <t>Soma de Valor</t>
  </si>
  <si>
    <t>SALDO</t>
  </si>
  <si>
    <t>FORECAST: ORC2022_2 - ORCAMENTO 2022 | VERSAO: 0012</t>
  </si>
  <si>
    <t>0000000128</t>
  </si>
  <si>
    <t>RE - NF (000053720) P: (21010001) C: (HAPAG LLOYD AG)</t>
  </si>
  <si>
    <t>0000000129</t>
  </si>
  <si>
    <t>RE - NF (000053722) P: (21010001) C: (PGL PRIME AGENCIAMENTO</t>
  </si>
  <si>
    <t>0000000130</t>
  </si>
  <si>
    <t>RE - NF (000053723) P: (21010001) C: (ACO VERDE DO BRASIL S.</t>
  </si>
  <si>
    <t>0000000131</t>
  </si>
  <si>
    <t>RE - NF (000053724) P: (21010001) C: (ALIANCA NAVEGACAO E LO</t>
  </si>
  <si>
    <t>0000000132</t>
  </si>
  <si>
    <t>RE - NF (000053725) P: (21010001) C: (MERCOSUL LINE NAVEGACA</t>
  </si>
  <si>
    <t>0000000133</t>
  </si>
  <si>
    <t>RE - NF (000053726) P: (21010001) C: (MERCOSUL LINE NAVEGACA</t>
  </si>
  <si>
    <t>0000000134</t>
  </si>
  <si>
    <t>RE - NF (000053728) P: (21010001) C: (HAPAG LLOYD AG)</t>
  </si>
  <si>
    <t>0000000135</t>
  </si>
  <si>
    <t>RE - NF (000053729) P: (21010001) C: (VESTAS DO BRASIL ENERG</t>
  </si>
  <si>
    <t>0000000136</t>
  </si>
  <si>
    <t>RE - NF (000053730) P: (21010001) C: (VESTAS DO BRASIL ENERG</t>
  </si>
  <si>
    <t>0000000137</t>
  </si>
  <si>
    <t>RE - NF (000053731) P: (21010001) C: (PGL PRIME AGENCIAMENTO</t>
  </si>
  <si>
    <t>0000000138</t>
  </si>
  <si>
    <t>RE - HIST REQ.CON.PROD 12080030</t>
  </si>
  <si>
    <t>000076</t>
  </si>
  <si>
    <t>RE - HIST REQ.CON.PROD 12080046</t>
  </si>
  <si>
    <t>0000000139</t>
  </si>
  <si>
    <t>RE - NF (000053732) P: (21010001) C: (PGL PRIME AGENCIAMENTO</t>
  </si>
  <si>
    <t>0000000140</t>
  </si>
  <si>
    <t>RE - NF (000053733) P: (21010001) C: (ACO VERDE DO BRASIL S.</t>
  </si>
  <si>
    <t>0000000141</t>
  </si>
  <si>
    <t>RE - NF (000053734) P: (21010001) C: (ALIANCA NAVEGACAO E LO</t>
  </si>
  <si>
    <t>0000000142</t>
  </si>
  <si>
    <t>RE - NF (000053736) P: (21010001) C: (HAPAG LLOYD AG)</t>
  </si>
  <si>
    <t>0000000143</t>
  </si>
  <si>
    <t>RE - NF (000053737) P: (21010001) C: (ALIANCA NAVEGACAO E LO</t>
  </si>
  <si>
    <t>0000000144</t>
  </si>
  <si>
    <t>RE - NF (000053738) P: (21010001) C: (ALIANCA NAVEGACAO E LO</t>
  </si>
  <si>
    <t>0000000145</t>
  </si>
  <si>
    <t>RE - NF (000053739) P: (21010001) C: (ALIANCA NAVEGACAO E LO</t>
  </si>
  <si>
    <t>0000000147</t>
  </si>
  <si>
    <t>RE - NF (000053741) P: (21010001) C: (ALIANCA NAVEGACAO E LO</t>
  </si>
  <si>
    <t>0000000148</t>
  </si>
  <si>
    <t>RE - NF (000053742) P: (21010001) C: (ALIANCA NAVEGACAO E LO</t>
  </si>
  <si>
    <t>0000000149</t>
  </si>
  <si>
    <t>RE - NF (000053743) P: (21010001) C: (ALIANCA NAVEGACAO E 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</si>
</sst>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ourier New"/>
      <family val="3"/>
    </font>
    <font>
      <sz val="11"/>
      <color theme="1"/>
      <name val="Courier New"/>
      <family val="3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0" fillId="2" borderId="0" xfId="0" applyFill="1" applyAlignment="1">
      <alignment horizontal="left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0" fontId="0" fillId="4" borderId="0" xfId="0" applyFill="1" applyAlignment="1">
      <alignment horizontal="left"/>
    </xf>
    <xf numFmtId="14" fontId="0" fillId="0" borderId="0" xfId="0" applyNumberFormat="1"/>
    <xf numFmtId="0" fontId="2" fillId="4" borderId="0" xfId="0" applyFont="1" applyFill="1"/>
    <xf numFmtId="0" fontId="2" fillId="4" borderId="0" xfId="0" applyFont="1" applyFill="1" applyAlignment="1">
      <alignment horizontal="left"/>
    </xf>
    <xf numFmtId="0" fontId="0" fillId="4" borderId="0" xfId="0" applyFill="1"/>
    <xf numFmtId="0" fontId="3" fillId="0" borderId="0" xfId="0" applyFont="1"/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14" fontId="0" fillId="3" borderId="0" xfId="0" applyNumberFormat="1" applyFill="1"/>
    <xf numFmtId="0" fontId="5" fillId="4" borderId="0" xfId="0" applyFont="1" applyFill="1"/>
    <xf numFmtId="0" fontId="0" fillId="5" borderId="0" xfId="0" applyFill="1"/>
    <xf numFmtId="0" fontId="4" fillId="3" borderId="0" xfId="0" applyFont="1" applyFill="1" applyAlignment="1">
      <alignment horizontal="left"/>
    </xf>
    <xf numFmtId="14" fontId="4" fillId="3" borderId="0" xfId="0" applyNumberFormat="1" applyFont="1" applyFill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4" fontId="4" fillId="0" borderId="0" xfId="0" applyNumberFormat="1" applyFont="1" applyAlignment="1">
      <alignment horizontal="left"/>
    </xf>
    <xf numFmtId="4" fontId="4" fillId="3" borderId="0" xfId="0" applyNumberFormat="1" applyFont="1" applyFill="1" applyAlignment="1">
      <alignment horizontal="left"/>
    </xf>
    <xf numFmtId="17" fontId="0" fillId="4" borderId="0" xfId="0" applyNumberFormat="1" applyFill="1" applyAlignment="1">
      <alignment horizontal="left"/>
    </xf>
    <xf numFmtId="17" fontId="0" fillId="0" borderId="0" xfId="0" applyNumberFormat="1" applyAlignment="1">
      <alignment horizontal="left"/>
    </xf>
    <xf numFmtId="4" fontId="0" fillId="4" borderId="0" xfId="0" applyNumberFormat="1" applyFill="1" applyAlignment="1">
      <alignment horizontal="left"/>
    </xf>
    <xf numFmtId="0" fontId="0" fillId="0" borderId="0" xfId="0" applyAlignment="1">
      <alignment horizontal="left" indent="1"/>
    </xf>
    <xf numFmtId="4" fontId="0" fillId="3" borderId="0" xfId="0" applyNumberFormat="1" applyFill="1"/>
  </cellXfs>
  <cellStyles count="1">
    <cellStyle name="Normal" xfId="0" builtinId="0"/>
  </cellStyles>
  <dxfs count="17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</xdr:row>
      <xdr:rowOff>0</xdr:rowOff>
    </xdr:from>
    <xdr:to>
      <xdr:col>32</xdr:col>
      <xdr:colOff>144682</xdr:colOff>
      <xdr:row>8</xdr:row>
      <xdr:rowOff>152581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297E92-8D66-0513-39F7-736A4F48C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25100" y="381000"/>
          <a:ext cx="12946282" cy="129558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nio Portacio" refreshedDate="44915.647826388886" createdVersion="8" refreshedVersion="8" minRefreshableVersion="3" recordCount="3874" xr:uid="{59C89E57-E2FA-4194-9FAC-98EDE4B02CAC}">
  <cacheSource type="worksheet">
    <worksheetSource ref="A1:AB3875" sheet="Base_20.12"/>
  </cacheSource>
  <cacheFields count="28">
    <cacheField name="Desc_Conta" numFmtId="0">
      <sharedItems/>
    </cacheField>
    <cacheField name="CONCAT" numFmtId="0">
      <sharedItems count="76">
        <s v="320301004 - PECAS E ACESSORIOS"/>
        <s v="330301004 - PECAS E ACESSORIOS"/>
        <s v=" - N/A"/>
        <s v="330201006 - PJ-OUTROS SERVICOS CONTRATADOS-PJ"/>
        <s v="330103 - BENEFICIOS"/>
        <s v="320103 - BENEFICIOS"/>
        <s v="320201006 - PJ-OUTROS SERVICOS CONTRATADOS-PJ"/>
        <s v="330202001 - PF-CONSULTORIA E ASSESSORIA"/>
        <s v="330409 - DESPESAS GERAIS"/>
        <s v="320301001 - COMBUSTIVEIS"/>
        <s v="320301006 - SERVICOS E MANUTENCAO DE VEICULOS EQ"/>
        <s v="330301001 - COMBUSTIVEIS"/>
        <s v="320201004 - PJ-LOCACAO DE MAQUINAS E EQUIPAMENTO"/>
        <s v="320601002 - TARIFAS PORTUµRIAS"/>
        <s v="330406 - MANUTENCAO E CONSERVACAO"/>
        <s v="330104 - OUTROS GASTOS COM PESSOAL"/>
        <s v="320601001 - MATERIAIS DIRETOS"/>
        <s v="310101 - RECEITA BRUTA DE TRANSPORTES"/>
        <s v="120307001 - IMOBILIZADO EM ANDAMENTO - PROPRIOS"/>
        <s v="120302001 - MOVEIS E UTENSILIOS"/>
        <s v="320301003 - PNEUS E RECAPAGENS"/>
        <s v="320101 - REMUNERACOES"/>
        <s v="310901 - OUTRAS RECEITAS"/>
        <s v="320408 - IMPOSTOS, MULTAS E TAXAS DIVERSAS"/>
        <s v="380201 - DESPESAS FINANCEIRAS"/>
        <s v="310102 - RECEITA BRUTA DE OPERACOES PORTUARIAS"/>
        <s v="310109 - ( - ) DEDUCOES DA RECEITA BRUTA"/>
        <s v="320102 - ENCARGOS SOCIAIS"/>
        <s v="320104 - OUTROS GASTOS COM PESSOAL"/>
        <s v="320201001 - PJ-CONSULTORIA E ASSESSORIA"/>
        <s v="320201005 - PJ-MAO-DE-OBRA TERCEIRIZADA"/>
        <s v="320202003 - PF-OUTROS SERVICOS CONTRATADOS-PF"/>
        <s v="320301002 - LUBRIFICANTES"/>
        <s v="320301005 - FERRAMENTAS"/>
        <s v="320301007 - LICENCIAMENTO - IPVA - DPVAT"/>
        <s v="320301008 - MULTAS DE TRANSITO"/>
        <s v="320301011 - GERENCIAMENTO DE RISCO"/>
        <s v="320401 - ALUGUEIS, ARREND. E CONDOMINIOS"/>
        <s v="320402 - UTILIDADES"/>
        <s v="320403 - COMUNICACAO"/>
        <s v="320404 - INFORMATICA"/>
        <s v="320405 - PREMIO DE SEGUROS"/>
        <s v="320406 - MANUTENCAO E CONSERVACAO"/>
        <s v="320409 - DESPESAS GERAIS"/>
        <s v="320501 - DEPRECIACOES E AMORTIZACOES"/>
        <s v="330101 - REMUNERACOES"/>
        <s v="330102 - ENCARGOS SOCIAIS"/>
        <s v="330201001 - PJ-CONSULTORIA E ASSESSORIA"/>
        <s v="330201004 - PJ-LOCACAO DE MAQUINAS E EQUIPAMENTO"/>
        <s v="330201005 - PJ-MAO-DE-OBRA TERCEIRIZADA"/>
        <s v="330202003 - PF-OUTROS SERVICOS CONTRATADOS-PF"/>
        <s v="330301002 - LUBRIFICANTES"/>
        <s v="330301003 - PNEUS E RECAPAGENS"/>
        <s v="330301005 - FERRAMENTAS"/>
        <s v="330301006 - SERVICOS E MANUTENCAO DE VEICULOS EQ"/>
        <s v="330301007 - LICENCIAMENTO - IPVA - DPVAT"/>
        <s v="330301008 - MULTAS DE TRANSITO"/>
        <s v="330401 - ALUGUEIS, ARREND. E CONDOMINIOS"/>
        <s v="330402 - UTILIDADES"/>
        <s v="330403 - COMUNICACAO"/>
        <s v="330404 - INFORMATICA"/>
        <s v="330405 - PREMIO DE SEGUROS"/>
        <s v="330407 - VIAGENS E REPRESENTACAO"/>
        <s v="330408 - IMPOSTOS, MULTAS E TAXAS DIVERSAS"/>
        <s v="330410 - MARKETING"/>
        <s v="330501 - DEPRECIACOES E AMORTIZACOES"/>
        <s v="330601 - DESPESAS VARIAVEIS DE VENDAS"/>
        <s v="330701004 - ICMS"/>
        <s v="330701006 - IR - CONTRATO DE CAMBIO"/>
        <s v="330701007 - OUTROS IMPOSTOS E TAXAS"/>
        <s v="330701008 - ICMS DIF. DE ALIQUOTA"/>
        <s v="331803 - CUSTO DE BENS ALIENADOS/BAIXADOS"/>
        <s v="380101 - RECEITAS FINANCEIRAS"/>
        <s v="380301 - DESPESAS INDEDUTIVEIS"/>
        <s v="910101001 - IMPOSTO DE RENDA"/>
        <s v="910101002 - CONTRIBUICAO SOCIAL"/>
      </sharedItems>
    </cacheField>
    <cacheField name="COMPETÊNCIA" numFmtId="17">
      <sharedItems containsSemiMixedTypes="0" containsNonDate="0" containsDate="1" containsString="0" minDate="2022-01-01T00:00:00" maxDate="2023-06-02T00:00:00" count="18"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</sharedItems>
    </cacheField>
    <cacheField name="Valor" numFmtId="4">
      <sharedItems containsSemiMixedTypes="0" containsString="0" containsNumber="1" minValue="-80230" maxValue="9174116.3200000003"/>
    </cacheField>
    <cacheField name="Lote" numFmtId="0">
      <sharedItems/>
    </cacheField>
    <cacheField name="Item" numFmtId="0">
      <sharedItems/>
    </cacheField>
    <cacheField name="Data" numFmtId="14">
      <sharedItems containsSemiMixedTypes="0" containsNonDate="0" containsDate="1" containsString="0" minDate="2022-01-01T00:00:00" maxDate="2023-06-02T00:00:00"/>
    </cacheField>
    <cacheField name="C.O." numFmtId="0">
      <sharedItems containsBlank="1"/>
    </cacheField>
    <cacheField name="Classe" numFmtId="0">
      <sharedItems containsBlank="1"/>
    </cacheField>
    <cacheField name="Operacao" numFmtId="0">
      <sharedItems containsBlank="1"/>
    </cacheField>
    <cacheField name="Tipo" numFmtId="0">
      <sharedItems/>
    </cacheField>
    <cacheField name="Tp. Saldo" numFmtId="0">
      <sharedItems count="3">
        <s v="EM"/>
        <s v="RE"/>
        <s v="0R"/>
      </sharedItems>
    </cacheField>
    <cacheField name="Historico" numFmtId="0">
      <sharedItems count="239">
        <s v="EM - PEDIDO (013491) ITEM +(0001) / (ITERRUPTOR DO NEUTRO -"/>
        <s v="EM - PEDIDO (013491) ITEM +(0002) / (MANCAL PARA LOCK (GUIA"/>
        <s v="RE - NF (909090909) P: (11150482       ) F: (000003)"/>
        <s v="EM - NF (909090909) P: (11150482       ) F: (000003)"/>
        <s v="RE - NF (909090909) P: (11010003       ) F: (000003)"/>
        <s v="EM - NF (909090909) P: (11010003       ) F: (000003)"/>
        <s v="EM - PEDIDO (000146)  | (11280021       ) | F: (000361/0001)"/>
        <s v="EM - PEDIDO (011661) ITEM +(0001) / (EMPILHADEIRA HYSTER H50"/>
        <s v="EM - PEDIDO (011661) ITEM +(0002) / (EMPILHADEIRA HYSTER H50"/>
        <s v="EM - PEDIDO (013494) ITEM +(0001) / (SERVICO DE EMPREITADA /"/>
        <s v="EM - PEDIDO (013492) ITEM +(0001) / (ASSISTENCIA MEDICA"/>
        <s v="EM - PEDIDO (013492) ITEM +(0002) / (ASSISTENCIA MEDICA"/>
        <s v="EM - PEDIDO (013492) ITEM +(0003) / (ASSISTENCIA MEDICA"/>
        <s v="EM - PEDIDO (013492) ITEM +(0004) / (ASSISTENCIA MEDICA"/>
        <s v="EM - PEDIDO (013492) ITEM +(0005) / (ASSISTENCIA MEDICA"/>
        <s v="EM - PEDIDO (013492) ITEM +(0006) / (ASSISTENCIA MEDICA"/>
        <s v="EM - PEDIDO (013492) ITEM +(0007) / (ASSISTENCIA MEDICA"/>
        <s v="EM - PEDIDO (013492) ITEM +(0008) / (ASSISTENCIA MEDICA"/>
        <s v="EM - PEDIDO (013492) ITEM +(0009) / (ASSISTENCIA MEDICA"/>
        <s v="EM - PEDIDO (013492) ITEM +(0010) / (ASSISTENCIA MEDICA"/>
        <s v="EM - PEDIDO (013492) ITEM +(0011) / (ASSISTENCIA MEDICA"/>
        <s v="EM - PEDIDO (013492) ITEM +(0012) / (ASSISTENCIA MEDICA"/>
        <s v="EM - PEDIDO (013492) ITEM +(0013) / (ASSISTENCIA MEDICA"/>
        <s v="EM - PEDIDO (013492) ITEM +(0014) / (ASSISTENCIA MEDICA"/>
        <s v="EM - PEDIDO (013492) ITEM +(0015) / (ASSISTENCIA MEDICA"/>
        <s v="EM - PEDIDO (013492) ITEM +(0016) / (ASSISTENCIA MEDICA"/>
        <s v="EM - PEDIDO (013492) ITEM +(0017) / (ASSISTENCIA MEDICA"/>
        <s v="EM - PEDIDO (013492) ITEM +(0018) / (ASSISTENCIA MEDICA"/>
        <s v="EM - PEDIDO (013492) ITEM +(0019) / (ASSISTENCIA MEDICA"/>
        <s v="EM - PEDIDO (013492) ITEM +(0020) / (ASSISTENCIA MEDICA"/>
        <s v="EM - PEDIDO (013493) ITEM +(0002) / (SERVICO DE CONSERTO/REP"/>
        <s v="EM - PEDIDO (013486) ITEM +(0001) / (FILTRO ABSORVEDOR DE AG"/>
        <s v="EM - PEDIDO (013485) ITEM +(0001) / (FILTRO ABSORVEDOR DE AG"/>
        <s v="EM - PEDIDO (013484) ITEM +(0001) / (LANTERNA TRASEIRA MULTI"/>
        <s v="EM - PEDIDO (013483) ITEM +(0001) / (SERVICO DE CONSULTORIA"/>
        <s v="EM - PEDIDO (013481) ITEM +(0001) / (LAPISEIRA 0.5"/>
        <s v="EM - PEDIDO (013480) ITEM +(0001) / (PILHA AAA PALITO"/>
        <s v="EM - PEDIDO (013480) ITEM +(0002) / (POST -IT- PEQUENO"/>
        <s v="EM - PEDIDO (013480) ITEM +(0003) / (POST - IT - GRANDE"/>
        <s v="EM - PEDIDO (013479) ITEM +(0001) / (PAPEL BRANCO A4 - RESMA"/>
        <s v="EM - PEDIDO (013479) ITEM +(0002) / (PILHA AA PEQUENA"/>
        <s v="EM - PEDIDO (013479) ITEM +(0003) / (TESOURA GRANDE"/>
        <s v="EM - PEDIDO (013479) ITEM +(0004) / (FITA PARA ROTULADORA EL"/>
        <s v="EM - PEDIDO (013479) ITEM +(0005) / (CLIP 2/0 CX C/725"/>
        <s v="EM - PEDIDO (013479) ITEM +(0006) / (PRANCHETA DE ACRILICO"/>
        <s v="EM - PEDIDO (013479) ITEM +(0007) / (GRAFITE P/ LAPISEIRA  0"/>
        <s v="EM - PEDIDO (013478) ITEM +(0001) / (CANETA PARA CD AZUL"/>
        <s v="EM - PEDIDO (013478) ITEM +(0002) / (GRAMPEADOR 26/6 MEDIO"/>
        <s v="EM - PEDIDO (013478) ITEM +(0003) / (MARCA TEXTO AMARELO"/>
        <s v="EM - PEDIDO (013478) ITEM +(0004) / (CANETA  0.7 AZUL"/>
        <s v="EM - PEDIDO (013478) ITEM +(0005) / (CORRETIVO EM FITA"/>
        <s v="EM - PEDIDO (013478) ITEM +(0006) / (MARCA TEXTO VERDE"/>
        <s v="EM - PEDIDO (013478) ITEM +(0007) / (CANETA FIXA COM CORRENT"/>
        <s v="EM - PEDIDO (013478) ITEM +(0008) / (CANETA  BP-1 INOX 0.7 A"/>
        <s v="EM - PEDIDO (013478) ITEM +(0009) / (CANETA  0.7 PRETA"/>
        <s v="EM - PEDIDO (013477) ITEM +(0001) / (PARAFUSO SEXTAVADO M6 X"/>
        <s v="EM - PEDIDO (013415) ITEM +(0001) / (OLEO DIESEL - BS10"/>
        <s v="EM - PEDIDO (013416) ITEM +(0001) / (SERVICOS TOMADOS PJ"/>
        <s v="EM - PEDIDO (013438) ITEM +(0001) / (SERVICOS TOMADOS PJ"/>
        <s v="EM - PEDIDO (013440) ITEM +(0001) / (ITEM PARA CONTROLE DE M"/>
        <s v="EM - PEDIDO (013441) ITEM +(0001) / (REPARO PONTA INDUZIDO 2"/>
        <s v="EM - PEDIDO (013441) ITEM +(0002) / (PORTA ESCOVA P/ MOTOR D"/>
        <s v="EM - PEDIDO (013441) ITEM +(0003) / (ROLAMENTO MOTOR PARTIDA"/>
        <s v="EM - PEDIDO (013441) ITEM +(0004) / (ROLAMENTO 6202 DDU - SC"/>
        <s v="EM - PEDIDO (013441) ITEM +(0005) / (IMPULSOR MOTOR DE PARTI"/>
        <s v="EM - PEDIDO (013441) ITEM +(0006) / (INDUZIDO DO MOTOR DE PA"/>
        <s v="EM - PEDIDO (013441) ITEM +(0007) / (CHAVE MAGNETICA  24V"/>
        <s v="EM - PEDIDO (013441) ITEM +(0008) / (ROLAMENTO MOTOR PARTIDA"/>
        <s v="EM - PEDIDO (013441) ITEM +(0009) / (SERVICO DE CONSERTO/REP"/>
        <s v="RE - NF (041577496) P: (23010009) F: (HAPVIDA  ASSISTENCIA M"/>
        <s v="EM - PED (013492) PROD: (23010009) / FOR: (HAPVIDA  ASSISTEN"/>
        <s v="RE - NF (000003057) P: (23010017) F: (FREIO DIESEL PECAS E S"/>
        <s v="EM - PED (013493) PROD: (23010017) / FOR: (FREIO DIESEL PECA"/>
        <s v="RE - NF (000002440) P: (23010001) F: (ROYAL CONSTRUCOES LTDA"/>
        <s v="EM - PED (013494) PROD: (23010001) / FOR: (ROYAL CONSTRUCOES"/>
        <s v="EM - PED (013495) PROD: (42010009) / FOR: (HYSTER YALE BRASI"/>
        <s v="EM - PED (013495) PROD: (42010008) / FOR: (HYSTER YALE BRASI"/>
        <s v="EM - PED (013496) PROD: (11100008) / FOR: (PETROTUDO COMERCI"/>
        <s v="EM - PED (013500) PROD: (22010002) / FOR: (FREIO DIESEL PECA"/>
        <s v="EM - PED (013499) PROD: (23010016) / FOR: (APROVADOR SISTEMA"/>
        <s v="EM - PED (013498) PROD: (23010005) / FOR: (COMPANHIA DE LOCA"/>
        <s v="EM - PED (013476) PROD: (11150187) / FOR: (JOSE ODIMAR DOS S"/>
        <s v="EM - PED (013475) PROD: (11040178) / FOR: (JOSE ODIMAR DOS S"/>
        <s v="EM - PED (013473) PROD: (12050018) / FOR: (FERNANDA DE JESUS"/>
        <s v="EM - PED (013472) PROD: (11060136) / FOR: (CEQUIP IMPORTAÇÃO"/>
        <s v="EM - PED (013503) PROD: (23010015) / FOR: (COMPANHIA DE DESE"/>
        <s v="EM - PED (013502) PROD: (23010015) / FOR: (COMPANHIA DE DESE"/>
        <s v="EM - PED (013470) PROD: (12050005) / FOR: (DISTRILIMP IND CO"/>
        <s v="EM - PED (013470) PROD: (12050006) / FOR: (DISTRILIMP IND CO"/>
        <s v="EM - PED (013466) PROD: (11060208) / FOR: (TRACBEL NORDESTE"/>
        <s v="EM - PED (013467) PROD: (11010240) / FOR: (JOSE ODIMAR DOS S"/>
        <s v="EM - PED (013468) PROD: (11150072) / FOR: (RUDIMAR BONAMIGO)"/>
        <s v="EM - PED (013468) PROD: (11150114) / FOR: (RUDIMAR BONAMIGO)"/>
        <s v="EM - PED (013459) PROD: (12070450) / FOR: (CARMEHIL - COMERC"/>
        <s v="EM - PED (013461) PROD: (12030002) / FOR: (MARIA GENI MARQUE"/>
        <s v="EM - PED (013461) PROD: (12050013) / FOR: (MARIA GENI MARQUE"/>
        <s v="EM - PED (013462) PROD: (12050002) / FOR: (FERNANDA DE JESUS"/>
        <s v="EM - PED (013462) PROD: (12050007) / FOR: (FERNANDA DE JESUS"/>
        <s v="EM - PED (013462) PROD: (12050008) / FOR: (FERNANDA DE JESUS"/>
        <s v="EM - PED (013462) PROD: (12050012) / FOR: (FERNANDA DE JESUS"/>
        <s v="EM - PED (013462) PROD: (12050019) / FOR: (FERNANDA DE JESUS"/>
        <s v="EM - PED (013462) PROD: (12050022) / FOR: (FERNANDA DE JESUS"/>
        <s v="EM - PED (013462) PROD: (12050023) / FOR: (FERNANDA DE JESUS"/>
        <s v="EM - PED (013462) PROD: (12050025) / FOR: (FERNANDA DE JESUS"/>
        <s v="EM - PED (013462) PROD: (12050027) / FOR: (FERNANDA DE JESUS"/>
        <s v="EM - PED (013462) PROD: (12050029) / FOR: (FERNANDA DE JESUS"/>
        <s v="EM - PED (013462) PROD: (12050030) / FOR: (FERNANDA DE JESUS"/>
        <s v="EM - PED (013462) PROD: (12050033) / FOR: (FERNANDA DE JESUS"/>
        <s v="EM - PED (013462) PROD: (12120006) / FOR: (FERNANDA DE JESUS"/>
        <s v="EM - PED (013462) PROD: (12120007) / FOR: (FERNANDA DE JESUS"/>
        <s v="EM - PED (013462) PROD: (12120008) / FOR: (FERNANDA DE JESUS"/>
        <s v="EM - PED (013462) PROD: (12120009) / FOR: (FERNANDA DE JESUS"/>
        <s v="EM - PED (013462) PROD: (12120034) / FOR: (FERNANDA DE JESUS"/>
        <s v="EM - PED (013463) PROD: (12050009) / FOR: (SUPER SUPPLY DIST"/>
        <s v="EM - PED (013463) PROD: (12050044) / FOR: (SUPER SUPPLY DIST"/>
        <s v="EM - PED (013463) PROD: (12050050) / FOR: (SUPER SUPPLY DIST"/>
        <s v="EM - PED (013464) PROD: (12050011) / FOR: (TUDO OFFICE LTDA)"/>
        <s v="EM - PED (013464) PROD: (12050028) / FOR: (TUDO OFFICE LTDA)"/>
        <s v="EM - PED (013464) PROD: (12120001) / FOR: (TUDO OFFICE LTDA)"/>
        <s v="EM - PED (013464) PROD: (12120002) / FOR: (TUDO OFFICE LTDA)"/>
        <s v="EM - PED (013465) PROD: (12050034) / FOR: (DISTRILIMP IND CO"/>
        <s v="EM - PED (013465) PROD: (12120010) / FOR: (DISTRILIMP IND CO"/>
        <s v="EM - PED (013417) PROD: (12080057) / FOR: (BRINEL COMERCIO E"/>
        <s v="EM - PED (013418) PROD: (11150042) / FOR: (AUGUSTINHO MOTA D"/>
        <s v="EM - PED (013419) PROD: (12080040) / FOR: (CLARUS COM. DE EP"/>
        <s v="EM - PED (013419) PROD: (12080041) / FOR: (CLARUS COM. DE EP"/>
        <s v="EM - PED (013421) PROD: (11150025) / FOR: (PACAEMBU AUTO PEC"/>
        <s v="EM - PED (013426) PROD: (11010010) / FOR: (JOSE ODIMAR DOS S"/>
        <s v="EM - PED (013435) PROD: (23010012) / FOR: (ANTONIO GALDINO D"/>
        <s v="EM - PED (013445) PROD: (11020054) / FOR: (AUTO GERAL LTDA)"/>
        <s v="EM - PED (013445) PROD: (11260008) / FOR: (AUTO GERAL LTDA)"/>
        <s v="EM - PED (013445) PROD: (23010017) / FOR: (AUTO GERAL LTDA)"/>
        <s v="EM - PED (013447) PROD: (12030014) / FOR: (SUPER SUPPLY DIST"/>
        <s v="EM - PED (013447) PROD: (12030025) / FOR: (SUPER SUPPLY DIST"/>
        <s v="EM - PED (013447) PROD: (12030052) / FOR: (SUPER SUPPLY DIST"/>
        <s v="EM - PED (013448) PROD: (12030020) / FOR: (TUDO OFFICE LTDA)"/>
        <s v="EM - PED (013448) PROD: (12030038) / FOR: (TUDO OFFICE LTDA)"/>
        <s v="EM - PED (013449) PROD: (12030028) / FOR: (DISTRILIMP IND CO"/>
        <s v="EM - PED (013450) PROD: (12030053) / FOR: (CIL COMERCIO DE I"/>
        <s v="EM - PED (013451) PROD: (12050023) / FOR: (FERNANDA DE JESUS"/>
        <s v="EM - PED (013451) PROD: (12050027) / FOR: (FERNANDA DE JESUS"/>
        <s v="EM - PED (013451) PROD: (12120009) / FOR: (FERNANDA DE JESUS"/>
        <s v="EM - PED (013452) PROD: (12030059) / FOR: (DISTRILIMP IND CO"/>
        <s v="EM - PED (013452) PROD: (12030069) / FOR: (DISTRILIMP IND CO"/>
        <s v="EM - PED (013454) PROD: (12020022) / FOR: (TUDO OFFICE LTDA)"/>
        <s v="EM - PED (013454) PROD: (12030020) / FOR: (TUDO OFFICE LTDA)"/>
        <s v="EM - PED (013454) PROD: (12050028) / FOR: (TUDO OFFICE LTDA)"/>
        <s v="EM - PED (013454) PROD: (12050034) / FOR: (TUDO OFFICE LTDA)"/>
        <s v="EM - PED (013454) PROD: (12050048) / FOR: (TUDO OFFICE LTDA)"/>
        <s v="EM - PED (013454) PROD: (12120010) / FOR: (TUDO OFFICE LTDA)"/>
        <s v="EM - PED (013455) PROD: (12030053) / FOR: (CIL COMERCIO DE I"/>
        <s v="EM - PED (013456) PROD: (12050002) / FOR: (FERNANDA DE JESUS"/>
        <s v="EM - PED (013456) PROD: (12050007) / FOR: (FERNANDA DE JESUS"/>
        <s v="EM - PED (013456) PROD: (12050008) / FOR: (FERNANDA DE JESUS"/>
        <s v="EM - PED (013456) PROD: (12050013) / FOR: (FERNANDA DE JESUS"/>
        <s v="EM - PED (013456) PROD: (12120009) / FOR: (FERNANDA DE JESUS"/>
        <s v="EM - PED (013458) PROD: (12050009) / FOR: (SUPER SUPPLY DIST"/>
        <s v="EM - PED (013457) PROD: (12050006) / FOR: (DISTRILIMP IND CO"/>
        <s v="RE - NF (000040130) P: (23010015) F: (COMPANHIA DE DESENVOLV"/>
        <s v="RE - NF (000040131) P: (23010015) F: (COMPANHIA DE DESENVOLV"/>
        <s v="RE - NF (000040132) P: (23010015) F: (COMPANHIA DE DESENVOLV"/>
        <s v="EM - PED (013504) PROD: (12040008) / FOR: (SOARES COMERCIO D"/>
        <s v="EM - PED (013504) PROD: (12040015) / FOR: (SOARES COMERCIO D"/>
        <s v="RE - NF (000000969) P: (12040008) F: (SOARES COMERCIO DE MAD"/>
        <s v="RE - NF (000000969) P: (12040015) F: (SOARES COMERCIO DE MAD"/>
        <s v="RE - NF (000003051) P: (22010002) F: (FREIO DIESEL PECAS E S"/>
        <s v="RE - NF (000017199) P: (11100008) F: (PETROTUDO COMERCIO ATA"/>
        <s v="EM - PED (013506) PROD: (23010004) / FOR: (RR SERVICOS EMPRE"/>
        <s v="RE - NF (000000282) P: (23010004) F: (RR SERVICOS EMPRESARIA"/>
        <s v="EM - PED (013505) PROD: (11381126) / FOR: (BR HIDRAULICA EIR"/>
        <s v="EM - PED (013505) PROD: (11381127) / FOR: (BR HIDRAULICA EIR"/>
        <s v="EM - PED (013505) PROD: (11220149) / FOR: (BR HIDRAULICA EIR"/>
        <s v="EM - PED (013505) PROD: (11380834) / FOR: (BR HIDRAULICA EIR"/>
        <s v="EM - PED (013505) PROD: (11290037) / FOR: (BR HIDRAULICA EIR"/>
        <s v="EM - PED (013507) PROD: (23010006) / FOR: (BERNUTTY TECHNOLO"/>
        <s v="RE - NF (000000039) P: (23010006) F: (BERNUTTY TECHNOLOGY)"/>
        <s v="RE - NF (000053700) P: (21010001) C: (HAMBURG SUD A/S)"/>
        <s v="EM - PED (013508) PROD: (11100029) / FOR: (POSTO PECEM COMER"/>
        <s v="EM - PED (013508) PROD: (11100008) / FOR: (POSTO PECEM COMER"/>
        <s v="EM - PED (013508) PROD: (11100032) / FOR: (POSTO PECEM COMER"/>
        <s v="EM - PED (013509) PROD: (23010001) / FOR: (EJR CONSTRUCOES E"/>
        <s v="EM - PED (013511) PROD: (44010033) / FOR: (REFRIGERACAO DUFR"/>
        <s v="EM - PED (013510) PROD: (12060015) / FOR: (PEDREIRA ITATIBA"/>
        <s v="EM - PED (013512) PROD: (44010008) / FOR: (M. F. U. DE OLIVE"/>
        <s v="RE - NF (000053701) P: (21010001) C: (HAMBURG SUD A/S)"/>
        <s v="RE - NF (000053702) P: (21010001) C: (HAMBURG SUD A/S)"/>
        <s v="RE - NF (000053703) P: (21010001) C: (PGL PRIME AGENCIAMENTO"/>
        <s v="RE - NF (000053704) P: (21010001) C: (ACO VERDE DO BRASIL S."/>
        <s v="RE - NF (000053706) P: (21010001) C: (ACO VERDE DO BRASIL S."/>
        <s v="RE - NF (000053707) P: (21010001) C: (ACO VERDE DO BRASIL S."/>
        <s v="RE - NF (000053709) P: (21010001) C: (ALIANCA NAVEGACAO E LO"/>
        <s v="RE - NF (000000103) P: (23010001) F: (EJR CONSTRUCOES EIRELI"/>
        <s v="RE - NF (000003021) P: (44010008) F: (M. F. U. DE OLIVEIRA R"/>
        <s v="RE - NF (000006958) P: (11100008) F: (POSTO PECEM COMERCIO D"/>
        <s v="RE - NF (000006958) P: (11100029) F: (POSTO PECEM COMERCIO D"/>
        <s v="RE - NF (000006958) P: (11100032) F: (POSTO PECEM COMERCIO D"/>
        <s v="RE - NF (000280797) P: (12060015) F: (PEDREIRA ITATIBA LTDA)"/>
        <s v="RE - NF (000284313) P: (44010033) F: (REFRIGERACAO DUFRIO CO"/>
        <s v="RE - NF (000053711) P: (21010001) C: (PGL PRIME AGENCIAMENTO"/>
        <s v="RE - NF (000053712) P: (21010001) C: (ALIANCA NAVEGACAO E LO"/>
        <s v="RE - NF (202201402) P: (23010016) F: (APROVADOR SISTEMAS LTD"/>
        <s v="RE - NF (000019252) P: (11220149) F: (BR HIDRAULICA EIRELI)"/>
        <s v="RE - NF (000019252) P: (11290037) F: (BR HIDRAULICA EIRELI)"/>
        <s v="RE - NF (000019252) P: (11380834) F: (BR HIDRAULICA EIRELI)"/>
        <s v="RE - NF (000019252) P: (11381126) F: (BR HIDRAULICA EIRELI)"/>
        <s v="RE - NF (000019252) P: (11381127) F: (BR HIDRAULICA EIRELI)"/>
        <s v="RE - NF (000468270) P: (23010005) F: (COMPANHIA DE LOCACAO D"/>
        <s v="RE - NF (000053715) P: (21010001) C: (ALIANCA NAVEGACAO E LO"/>
        <s v="RE - NF (000053716) P: (21010001) C: (ALIANCA NAVEGACAO E LO"/>
        <s v="RE - NF (000053717) P: (21010001) C: (PGL PRIME AGENCIAMENTO"/>
        <s v="RE - NF (000053718) P: (21010001) C: (HAMBURG SUD A/S)"/>
        <s v="RE - NF (000053719) P: (21010001) C: (ALIANCA NAVEGACAO E LO"/>
        <s v="EM - PED (013513) PROD: (11300002) / FOR: (PNEUBRAS COMERCIO"/>
        <s v="RE - HIST CF.1933 -23010009-VR NF.041577496-HAPVID"/>
        <s v="RE - HIST TESTE PCO"/>
        <s v="RE - HIST CF.1933 -23010009-VR NF.413470308-HAPVID"/>
        <s v="FORECAST: ORC2022_2 - ORCAMENTO 2022 | VERSAO: 0012"/>
        <s v="RE - NF (000053720) P: (21010001) C: (HAPAG LLOYD AG)"/>
        <s v="RE - NF (000053722) P: (21010001) C: (PGL PRIME AGENCIAMENTO"/>
        <s v="RE - NF (000053723) P: (21010001) C: (ACO VERDE DO BRASIL S."/>
        <s v="RE - NF (000053724) P: (21010001) C: (ALIANCA NAVEGACAO E LO"/>
        <s v="RE - NF (000053725) P: (21010001) C: (MERCOSUL LINE NAVEGACA"/>
        <s v="RE - NF (000053726) P: (21010001) C: (MERCOSUL LINE NAVEGACA"/>
        <s v="RE - NF (000053728) P: (21010001) C: (HAPAG LLOYD AG)"/>
        <s v="RE - NF (000053729) P: (21010001) C: (VESTAS DO BRASIL ENERG"/>
        <s v="RE - NF (000053730) P: (21010001) C: (VESTAS DO BRASIL ENERG"/>
        <s v="RE - NF (000053731) P: (21010001) C: (PGL PRIME AGENCIAMENTO"/>
        <s v="RE - HIST REQ.CON.PROD 12080030"/>
        <s v="RE - HIST REQ.CON.PROD 12080046"/>
        <s v="RE - NF (000053732) P: (21010001) C: (PGL PRIME AGENCIAMENTO"/>
        <s v="RE - NF (000053733) P: (21010001) C: (ACO VERDE DO BRASIL S."/>
        <s v="RE - NF (000053734) P: (21010001) C: (ALIANCA NAVEGACAO E LO"/>
        <s v="RE - NF (000053736) P: (21010001) C: (HAPAG LLOYD AG)"/>
        <s v="RE - NF (000053737) P: (21010001) C: (ALIANCA NAVEGACAO E LO"/>
        <s v="RE - NF (000053738) P: (21010001) C: (ALIANCA NAVEGACAO E LO"/>
        <s v="RE - NF (000053739) P: (21010001) C: (ALIANCA NAVEGACAO E LO"/>
        <s v="RE - NF (000053741) P: (21010001) C: (ALIANCA NAVEGACAO E LO"/>
        <s v="RE - NF (000053742) P: (21010001) C: (ALIANCA NAVEGACAO E LO"/>
        <s v="RE - NF (000053743) P: (21010001) C: (ALIANCA NAVEGACAO E LO"/>
      </sharedItems>
    </cacheField>
    <cacheField name="Unid. Medida" numFmtId="0">
      <sharedItems containsNonDate="0" containsString="0" containsBlank="1"/>
    </cacheField>
    <cacheField name="Processo" numFmtId="0">
      <sharedItems/>
    </cacheField>
    <cacheField name="Usuario" numFmtId="0">
      <sharedItems/>
    </cacheField>
    <cacheField name="Vlr.Lancto." numFmtId="0">
      <sharedItems containsSemiMixedTypes="0" containsString="0" containsNumber="1" minValue="0.01" maxValue="9174116.3200000003"/>
    </cacheField>
    <cacheField name="Vlr.2a Moeda" numFmtId="0">
      <sharedItems/>
    </cacheField>
    <cacheField name="Vlr.3a Moeda" numFmtId="0">
      <sharedItems/>
    </cacheField>
    <cacheField name="Vlr.4a Moeda" numFmtId="0">
      <sharedItems/>
    </cacheField>
    <cacheField name="Vlr.5a Moeda" numFmtId="0">
      <sharedItems/>
    </cacheField>
    <cacheField name="Cod.Planilha" numFmtId="0">
      <sharedItems containsBlank="1"/>
    </cacheField>
    <cacheField name="Versao" numFmtId="0">
      <sharedItems containsBlank="1"/>
    </cacheField>
    <cacheField name="Centro Custo" numFmtId="0">
      <sharedItems containsBlank="1"/>
    </cacheField>
    <cacheField name="It.Contabil" numFmtId="0">
      <sharedItems containsBlank="1"/>
    </cacheField>
    <cacheField name="Classe Valor" numFmtId="0">
      <sharedItems containsBlank="1"/>
    </cacheField>
    <cacheField name="Lc.Bloqueio?" numFmtId="0">
      <sharedItems containsNonDate="0" containsString="0" containsBlank="1"/>
    </cacheField>
    <cacheField name="Und. Orc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74">
  <r>
    <s v="PECAS E ACESSORIOS"/>
    <x v="0"/>
    <x v="0"/>
    <n v="25"/>
    <s v="0000000001"/>
    <s v="0001"/>
    <d v="2022-11-09T00:00:00"/>
    <s v="320301004"/>
    <s v="304"/>
    <s v="11"/>
    <s v="Credito"/>
    <x v="0"/>
    <x v="0"/>
    <m/>
    <s v="000052"/>
    <s v="000132"/>
    <n v="25"/>
    <s v="0,00"/>
    <s v="0,00"/>
    <s v="0,00"/>
    <s v="0,00"/>
    <s v="ORC2022"/>
    <m/>
    <s v="304"/>
    <s v="11"/>
    <m/>
    <m/>
    <s v="010101"/>
  </r>
  <r>
    <s v="PECAS E ACESSORIOS"/>
    <x v="1"/>
    <x v="0"/>
    <n v="25"/>
    <s v="0000000001"/>
    <s v="0002"/>
    <d v="2022-11-09T00:00:00"/>
    <s v="330301004"/>
    <s v="201"/>
    <s v="11"/>
    <s v="Credito"/>
    <x v="0"/>
    <x v="1"/>
    <m/>
    <s v="000052"/>
    <s v="000132"/>
    <n v="25"/>
    <s v="0,00"/>
    <s v="0,00"/>
    <s v="0,00"/>
    <s v="0,00"/>
    <s v="ORC2022"/>
    <m/>
    <s v="201"/>
    <s v="11"/>
    <m/>
    <m/>
    <s v="010101"/>
  </r>
  <r>
    <s v="PECAS E ACESSORIOS"/>
    <x v="0"/>
    <x v="0"/>
    <n v="25"/>
    <s v="0000000002"/>
    <s v="0001"/>
    <d v="2022-11-09T00:00:00"/>
    <s v="320301004"/>
    <s v="304"/>
    <s v="11"/>
    <s v="Credito"/>
    <x v="1"/>
    <x v="2"/>
    <m/>
    <s v="000054"/>
    <s v="000132"/>
    <n v="25"/>
    <s v="0,00"/>
    <s v="0,00"/>
    <s v="0,00"/>
    <s v="0,00"/>
    <m/>
    <m/>
    <s v="304"/>
    <s v="11"/>
    <m/>
    <m/>
    <s v="010101"/>
  </r>
  <r>
    <s v="PECAS E ACESSORIOS"/>
    <x v="0"/>
    <x v="0"/>
    <n v="-25"/>
    <s v="0000000002"/>
    <s v="0002"/>
    <d v="2022-11-09T00:00:00"/>
    <s v="320301004"/>
    <s v="304"/>
    <s v="11"/>
    <s v="Debito"/>
    <x v="0"/>
    <x v="3"/>
    <m/>
    <s v="000054"/>
    <s v="000132"/>
    <n v="25"/>
    <s v="0,00"/>
    <s v="0,00"/>
    <s v="0,00"/>
    <s v="0,00"/>
    <m/>
    <m/>
    <s v="304"/>
    <s v="11"/>
    <m/>
    <m/>
    <s v="010101"/>
  </r>
  <r>
    <s v="PECAS E ACESSORIOS"/>
    <x v="1"/>
    <x v="0"/>
    <n v="25"/>
    <s v="0000000002"/>
    <s v="0003"/>
    <d v="2022-11-09T00:00:00"/>
    <s v="330301004"/>
    <s v="201"/>
    <s v="11"/>
    <s v="Credito"/>
    <x v="1"/>
    <x v="4"/>
    <m/>
    <s v="000054"/>
    <s v="000132"/>
    <n v="25"/>
    <s v="0,00"/>
    <s v="0,00"/>
    <s v="0,00"/>
    <s v="0,00"/>
    <m/>
    <m/>
    <s v="201"/>
    <s v="11"/>
    <m/>
    <m/>
    <s v="010101"/>
  </r>
  <r>
    <s v="PECAS E ACESSORIOS"/>
    <x v="1"/>
    <x v="0"/>
    <n v="-25"/>
    <s v="0000000002"/>
    <s v="0004"/>
    <d v="2022-11-09T00:00:00"/>
    <s v="330301004"/>
    <s v="201"/>
    <s v="11"/>
    <s v="Debito"/>
    <x v="0"/>
    <x v="5"/>
    <m/>
    <s v="000054"/>
    <s v="000132"/>
    <n v="25"/>
    <s v="0,00"/>
    <s v="0,00"/>
    <s v="0,00"/>
    <s v="0,00"/>
    <m/>
    <m/>
    <s v="201"/>
    <s v="11"/>
    <m/>
    <m/>
    <s v="010101"/>
  </r>
  <r>
    <s v="PECAS E ACESSORIOS"/>
    <x v="0"/>
    <x v="0"/>
    <n v="345"/>
    <s v="0000000003"/>
    <s v="0001"/>
    <d v="2022-11-11T00:00:00"/>
    <s v="320301004"/>
    <s v="301"/>
    <s v="90"/>
    <s v="Credito"/>
    <x v="0"/>
    <x v="6"/>
    <m/>
    <s v="000055"/>
    <s v="000132"/>
    <n v="345"/>
    <s v="0,00"/>
    <s v="0,00"/>
    <s v="0,00"/>
    <s v="0,00"/>
    <s v="ORC2022"/>
    <m/>
    <m/>
    <s v="90"/>
    <m/>
    <m/>
    <s v="010101"/>
  </r>
  <r>
    <s v="N/A"/>
    <x v="2"/>
    <x v="0"/>
    <n v="170000"/>
    <s v="0000000004"/>
    <s v="0001"/>
    <d v="2022-11-14T00:00:00"/>
    <m/>
    <s v="305"/>
    <s v="21"/>
    <s v="Credito"/>
    <x v="0"/>
    <x v="7"/>
    <m/>
    <s v="000055"/>
    <s v="000044"/>
    <n v="170000"/>
    <s v="0,00"/>
    <s v="0,00"/>
    <s v="0,00"/>
    <s v="0,00"/>
    <m/>
    <m/>
    <s v="305"/>
    <s v="21"/>
    <m/>
    <m/>
    <s v="010101"/>
  </r>
  <r>
    <s v="N/A"/>
    <x v="2"/>
    <x v="0"/>
    <n v="172000"/>
    <s v="0000000004"/>
    <s v="0002"/>
    <d v="2022-11-14T00:00:00"/>
    <m/>
    <s v="305"/>
    <s v="21"/>
    <s v="Credito"/>
    <x v="0"/>
    <x v="8"/>
    <m/>
    <s v="000055"/>
    <s v="000044"/>
    <n v="172000"/>
    <s v="0,00"/>
    <s v="0,00"/>
    <s v="0,00"/>
    <s v="0,00"/>
    <m/>
    <m/>
    <s v="305"/>
    <s v="21"/>
    <m/>
    <m/>
    <s v="010101"/>
  </r>
  <r>
    <s v="PJ-OUTROS SERVICOS CONTRATADOS-PJ"/>
    <x v="3"/>
    <x v="0"/>
    <n v="33809"/>
    <s v="0000000005"/>
    <s v="0001"/>
    <d v="2022-11-14T00:00:00"/>
    <s v="330201006"/>
    <s v="211"/>
    <s v="51"/>
    <s v="Credito"/>
    <x v="0"/>
    <x v="9"/>
    <m/>
    <s v="000055"/>
    <s v="000000"/>
    <n v="33809"/>
    <s v="0,00"/>
    <s v="0,00"/>
    <s v="0,00"/>
    <s v="0,00"/>
    <m/>
    <m/>
    <s v="211"/>
    <s v="51"/>
    <m/>
    <m/>
    <s v="010101"/>
  </r>
  <r>
    <s v="BENEFICIOS"/>
    <x v="4"/>
    <x v="0"/>
    <n v="655"/>
    <s v="0000000007"/>
    <s v="0001"/>
    <d v="2022-11-14T00:00:00"/>
    <s v="330103"/>
    <s v="207"/>
    <s v="90"/>
    <s v="Credito"/>
    <x v="0"/>
    <x v="10"/>
    <m/>
    <s v="000055"/>
    <s v="000000"/>
    <n v="655"/>
    <s v="0,00"/>
    <s v="0,00"/>
    <s v="0,00"/>
    <s v="0,00"/>
    <m/>
    <m/>
    <s v="207"/>
    <s v="90"/>
    <m/>
    <m/>
    <s v="010101"/>
  </r>
  <r>
    <s v="BENEFICIOS"/>
    <x v="4"/>
    <x v="0"/>
    <n v="1267"/>
    <s v="0000000007"/>
    <s v="0002"/>
    <d v="2022-11-14T00:00:00"/>
    <s v="330103"/>
    <s v="208"/>
    <s v="90"/>
    <s v="Credito"/>
    <x v="0"/>
    <x v="11"/>
    <m/>
    <s v="000055"/>
    <s v="000000"/>
    <n v="1267"/>
    <s v="0,00"/>
    <s v="0,00"/>
    <s v="0,00"/>
    <s v="0,00"/>
    <m/>
    <m/>
    <s v="208"/>
    <s v="90"/>
    <m/>
    <m/>
    <s v="010101"/>
  </r>
  <r>
    <s v="BENEFICIOS"/>
    <x v="4"/>
    <x v="0"/>
    <n v="516"/>
    <s v="0000000007"/>
    <s v="0003"/>
    <d v="2022-11-14T00:00:00"/>
    <s v="330103"/>
    <s v="209"/>
    <s v="90"/>
    <s v="Credito"/>
    <x v="0"/>
    <x v="12"/>
    <m/>
    <s v="000055"/>
    <s v="000000"/>
    <n v="516"/>
    <s v="0,00"/>
    <s v="0,00"/>
    <s v="0,00"/>
    <s v="0,00"/>
    <m/>
    <m/>
    <s v="209"/>
    <s v="90"/>
    <m/>
    <m/>
    <s v="010101"/>
  </r>
  <r>
    <s v="BENEFICIOS"/>
    <x v="5"/>
    <x v="0"/>
    <n v="3874"/>
    <s v="0000000007"/>
    <s v="0004"/>
    <d v="2022-11-14T00:00:00"/>
    <s v="320103"/>
    <s v="301"/>
    <s v="11"/>
    <s v="Credito"/>
    <x v="0"/>
    <x v="13"/>
    <m/>
    <s v="000055"/>
    <s v="000000"/>
    <n v="3874"/>
    <s v="0,00"/>
    <s v="0,00"/>
    <s v="0,00"/>
    <s v="0,00"/>
    <m/>
    <m/>
    <s v="301"/>
    <s v="11"/>
    <m/>
    <m/>
    <s v="010101"/>
  </r>
  <r>
    <s v="BENEFICIOS"/>
    <x v="5"/>
    <x v="0"/>
    <n v="4905"/>
    <s v="0000000007"/>
    <s v="0005"/>
    <d v="2022-11-14T00:00:00"/>
    <s v="320103"/>
    <s v="302"/>
    <s v="11"/>
    <s v="Credito"/>
    <x v="0"/>
    <x v="14"/>
    <m/>
    <s v="000055"/>
    <s v="000000"/>
    <n v="4905"/>
    <s v="0,00"/>
    <s v="0,00"/>
    <s v="0,00"/>
    <s v="0,00"/>
    <m/>
    <m/>
    <s v="302"/>
    <s v="11"/>
    <m/>
    <m/>
    <s v="010101"/>
  </r>
  <r>
    <s v="BENEFICIOS"/>
    <x v="5"/>
    <x v="0"/>
    <n v="11568"/>
    <s v="0000000007"/>
    <s v="0006"/>
    <d v="2022-11-14T00:00:00"/>
    <s v="320103"/>
    <s v="304"/>
    <s v="21"/>
    <s v="Credito"/>
    <x v="0"/>
    <x v="15"/>
    <m/>
    <s v="000055"/>
    <s v="000000"/>
    <n v="11568"/>
    <s v="0,00"/>
    <s v="0,00"/>
    <s v="0,00"/>
    <s v="0,00"/>
    <m/>
    <m/>
    <s v="304"/>
    <s v="21"/>
    <m/>
    <m/>
    <s v="010101"/>
  </r>
  <r>
    <s v="BENEFICIOS"/>
    <x v="5"/>
    <x v="0"/>
    <n v="608"/>
    <s v="0000000007"/>
    <s v="0007"/>
    <d v="2022-11-14T00:00:00"/>
    <s v="320103"/>
    <s v="305"/>
    <s v="33"/>
    <s v="Credito"/>
    <x v="0"/>
    <x v="16"/>
    <m/>
    <s v="000055"/>
    <s v="000000"/>
    <n v="608"/>
    <s v="0,00"/>
    <s v="0,00"/>
    <s v="0,00"/>
    <s v="0,00"/>
    <m/>
    <m/>
    <s v="305"/>
    <s v="33"/>
    <m/>
    <m/>
    <s v="010101"/>
  </r>
  <r>
    <s v="BENEFICIOS"/>
    <x v="4"/>
    <x v="0"/>
    <n v="563"/>
    <s v="0000000007"/>
    <s v="0008"/>
    <d v="2022-11-14T00:00:00"/>
    <s v="330103"/>
    <s v="206"/>
    <s v="90"/>
    <s v="Credito"/>
    <x v="0"/>
    <x v="17"/>
    <m/>
    <s v="000055"/>
    <s v="000000"/>
    <n v="563"/>
    <s v="0,00"/>
    <s v="0,00"/>
    <s v="0,00"/>
    <s v="0,00"/>
    <m/>
    <m/>
    <s v="206"/>
    <s v="90"/>
    <m/>
    <m/>
    <s v="010101"/>
  </r>
  <r>
    <s v="BENEFICIOS"/>
    <x v="5"/>
    <x v="0"/>
    <n v="704"/>
    <s v="0000000007"/>
    <s v="0009"/>
    <d v="2022-11-14T00:00:00"/>
    <s v="320103"/>
    <s v="301"/>
    <s v="90"/>
    <s v="Credito"/>
    <x v="0"/>
    <x v="18"/>
    <m/>
    <s v="000055"/>
    <s v="000000"/>
    <n v="704"/>
    <s v="0,00"/>
    <s v="0,00"/>
    <s v="0,00"/>
    <s v="0,00"/>
    <m/>
    <m/>
    <s v="301"/>
    <s v="90"/>
    <m/>
    <m/>
    <s v="010101"/>
  </r>
  <r>
    <s v="BENEFICIOS"/>
    <x v="5"/>
    <x v="0"/>
    <n v="11421"/>
    <s v="0000000007"/>
    <s v="0010"/>
    <d v="2022-11-14T00:00:00"/>
    <s v="320103"/>
    <s v="303"/>
    <s v="31"/>
    <s v="Credito"/>
    <x v="0"/>
    <x v="19"/>
    <m/>
    <s v="000055"/>
    <s v="000000"/>
    <n v="11421"/>
    <s v="0,00"/>
    <s v="0,00"/>
    <s v="0,00"/>
    <s v="0,00"/>
    <m/>
    <m/>
    <s v="303"/>
    <s v="31"/>
    <m/>
    <m/>
    <s v="010101"/>
  </r>
  <r>
    <s v="BENEFICIOS"/>
    <x v="5"/>
    <x v="0"/>
    <n v="71588"/>
    <s v="0000000007"/>
    <s v="0011"/>
    <d v="2022-11-14T00:00:00"/>
    <s v="320103"/>
    <s v="305"/>
    <s v="90"/>
    <s v="Credito"/>
    <x v="0"/>
    <x v="20"/>
    <m/>
    <s v="000055"/>
    <s v="000000"/>
    <n v="71588"/>
    <s v="0,00"/>
    <s v="0,00"/>
    <s v="0,00"/>
    <s v="0,00"/>
    <m/>
    <m/>
    <s v="305"/>
    <s v="90"/>
    <m/>
    <m/>
    <s v="010101"/>
  </r>
  <r>
    <s v="BENEFICIOS"/>
    <x v="4"/>
    <x v="0"/>
    <n v="282"/>
    <s v="0000000007"/>
    <s v="0012"/>
    <d v="2022-11-14T00:00:00"/>
    <s v="330103"/>
    <s v="205"/>
    <s v="90"/>
    <s v="Credito"/>
    <x v="0"/>
    <x v="21"/>
    <m/>
    <s v="000055"/>
    <s v="000000"/>
    <n v="282"/>
    <s v="0,00"/>
    <s v="0,00"/>
    <s v="0,00"/>
    <s v="0,00"/>
    <m/>
    <m/>
    <s v="205"/>
    <s v="90"/>
    <m/>
    <m/>
    <s v="010101"/>
  </r>
  <r>
    <s v="BENEFICIOS"/>
    <x v="4"/>
    <x v="0"/>
    <n v="465"/>
    <s v="0000000007"/>
    <s v="0013"/>
    <d v="2022-11-14T00:00:00"/>
    <s v="330103"/>
    <s v="201"/>
    <s v="90"/>
    <s v="Credito"/>
    <x v="0"/>
    <x v="22"/>
    <m/>
    <s v="000055"/>
    <s v="000000"/>
    <n v="465"/>
    <s v="0,00"/>
    <s v="0,00"/>
    <s v="0,00"/>
    <s v="0,00"/>
    <m/>
    <m/>
    <s v="201"/>
    <s v="90"/>
    <m/>
    <m/>
    <s v="010101"/>
  </r>
  <r>
    <s v="BENEFICIOS"/>
    <x v="4"/>
    <x v="0"/>
    <n v="329"/>
    <s v="0000000007"/>
    <s v="0014"/>
    <d v="2022-11-14T00:00:00"/>
    <s v="330103"/>
    <s v="203"/>
    <s v="90"/>
    <s v="Credito"/>
    <x v="0"/>
    <x v="23"/>
    <m/>
    <s v="000055"/>
    <s v="000000"/>
    <n v="329"/>
    <s v="0,00"/>
    <s v="0,00"/>
    <s v="0,00"/>
    <s v="0,00"/>
    <m/>
    <m/>
    <s v="203"/>
    <s v="90"/>
    <m/>
    <m/>
    <s v="010101"/>
  </r>
  <r>
    <s v="BENEFICIOS"/>
    <x v="5"/>
    <x v="0"/>
    <n v="1487"/>
    <s v="0000000007"/>
    <s v="0015"/>
    <d v="2022-11-14T00:00:00"/>
    <s v="320103"/>
    <s v="306"/>
    <s v="90"/>
    <s v="Credito"/>
    <x v="0"/>
    <x v="24"/>
    <m/>
    <s v="000055"/>
    <s v="000000"/>
    <n v="1487"/>
    <s v="0,00"/>
    <s v="0,00"/>
    <s v="0,00"/>
    <s v="0,00"/>
    <m/>
    <m/>
    <s v="306"/>
    <s v="90"/>
    <m/>
    <m/>
    <s v="010101"/>
  </r>
  <r>
    <s v="BENEFICIOS"/>
    <x v="4"/>
    <x v="0"/>
    <n v="2706"/>
    <s v="0000000007"/>
    <s v="0016"/>
    <d v="2022-11-14T00:00:00"/>
    <s v="330103"/>
    <s v="201"/>
    <s v="90"/>
    <s v="Credito"/>
    <x v="0"/>
    <x v="25"/>
    <m/>
    <s v="000055"/>
    <s v="000000"/>
    <n v="2706"/>
    <s v="0,00"/>
    <s v="0,00"/>
    <s v="0,00"/>
    <s v="0,00"/>
    <m/>
    <m/>
    <s v="201"/>
    <s v="90"/>
    <m/>
    <m/>
    <s v="010101"/>
  </r>
  <r>
    <s v="BENEFICIOS"/>
    <x v="4"/>
    <x v="0"/>
    <n v="605"/>
    <s v="0000000007"/>
    <s v="0017"/>
    <d v="2022-11-14T00:00:00"/>
    <s v="330103"/>
    <s v="204"/>
    <s v="90"/>
    <s v="Credito"/>
    <x v="0"/>
    <x v="26"/>
    <m/>
    <s v="000055"/>
    <s v="000000"/>
    <n v="605"/>
    <s v="0,00"/>
    <s v="0,00"/>
    <s v="0,00"/>
    <s v="0,00"/>
    <m/>
    <m/>
    <s v="204"/>
    <s v="90"/>
    <m/>
    <m/>
    <s v="010101"/>
  </r>
  <r>
    <s v="BENEFICIOS"/>
    <x v="4"/>
    <x v="0"/>
    <n v="704"/>
    <s v="0000000007"/>
    <s v="0018"/>
    <d v="2022-11-14T00:00:00"/>
    <s v="330103"/>
    <s v="210"/>
    <s v="90"/>
    <s v="Credito"/>
    <x v="0"/>
    <x v="27"/>
    <m/>
    <s v="000055"/>
    <s v="000000"/>
    <n v="704"/>
    <s v="0,00"/>
    <s v="0,00"/>
    <s v="0,00"/>
    <s v="0,00"/>
    <m/>
    <m/>
    <s v="210"/>
    <s v="90"/>
    <m/>
    <m/>
    <s v="010101"/>
  </r>
  <r>
    <s v="BENEFICIOS"/>
    <x v="5"/>
    <x v="0"/>
    <n v="282"/>
    <s v="0000000007"/>
    <s v="0019"/>
    <d v="2022-11-14T00:00:00"/>
    <s v="320103"/>
    <s v="306"/>
    <s v="90"/>
    <s v="Credito"/>
    <x v="0"/>
    <x v="28"/>
    <m/>
    <s v="000055"/>
    <s v="000000"/>
    <n v="282"/>
    <s v="0,00"/>
    <s v="0,00"/>
    <s v="0,00"/>
    <s v="0,00"/>
    <m/>
    <m/>
    <s v="306"/>
    <s v="90"/>
    <m/>
    <m/>
    <s v="010101"/>
  </r>
  <r>
    <s v="BENEFICIOS"/>
    <x v="5"/>
    <x v="0"/>
    <n v="2386"/>
    <s v="0000000007"/>
    <s v="0020"/>
    <d v="2022-11-14T00:00:00"/>
    <s v="320103"/>
    <s v="306"/>
    <s v="90"/>
    <s v="Credito"/>
    <x v="0"/>
    <x v="29"/>
    <m/>
    <s v="000055"/>
    <s v="000000"/>
    <n v="2386"/>
    <s v="0,00"/>
    <s v="0,00"/>
    <s v="0,00"/>
    <s v="0,00"/>
    <m/>
    <m/>
    <s v="306"/>
    <s v="90"/>
    <m/>
    <m/>
    <s v="010101"/>
  </r>
  <r>
    <s v="PJ-OUTROS SERVICOS CONTRATADOS-PJ"/>
    <x v="6"/>
    <x v="0"/>
    <n v="250"/>
    <s v="0000000008"/>
    <s v="0001"/>
    <d v="2022-11-14T00:00:00"/>
    <s v="320201006"/>
    <s v="303"/>
    <s v="21"/>
    <s v="Credito"/>
    <x v="0"/>
    <x v="30"/>
    <m/>
    <s v="000055"/>
    <s v="000000"/>
    <n v="250"/>
    <s v="0,00"/>
    <s v="0,00"/>
    <s v="0,00"/>
    <s v="0,00"/>
    <m/>
    <m/>
    <s v="303"/>
    <s v="21"/>
    <m/>
    <m/>
    <s v="010101"/>
  </r>
  <r>
    <s v="PECAS E ACESSORIOS"/>
    <x v="1"/>
    <x v="0"/>
    <n v="6644"/>
    <s v="0000000009"/>
    <s v="0001"/>
    <d v="2022-11-14T00:00:00"/>
    <s v="330301004"/>
    <s v="209"/>
    <s v="90"/>
    <s v="Credito"/>
    <x v="0"/>
    <x v="31"/>
    <m/>
    <s v="000055"/>
    <s v="000000"/>
    <n v="6644"/>
    <s v="0,00"/>
    <s v="0,00"/>
    <s v="0,00"/>
    <s v="0,00"/>
    <m/>
    <m/>
    <s v="209"/>
    <s v="90"/>
    <m/>
    <m/>
    <s v="010101"/>
  </r>
  <r>
    <s v="PECAS E ACESSORIOS"/>
    <x v="1"/>
    <x v="0"/>
    <n v="6644"/>
    <s v="0000000010"/>
    <s v="0001"/>
    <d v="2022-11-14T00:00:00"/>
    <s v="330301004"/>
    <s v="209"/>
    <s v="90"/>
    <s v="Credito"/>
    <x v="0"/>
    <x v="32"/>
    <m/>
    <s v="000055"/>
    <s v="000000"/>
    <n v="6644"/>
    <s v="0,00"/>
    <s v="0,00"/>
    <s v="0,00"/>
    <s v="0,00"/>
    <m/>
    <m/>
    <s v="209"/>
    <s v="90"/>
    <m/>
    <m/>
    <s v="010101"/>
  </r>
  <r>
    <s v="PECAS E ACESSORIOS"/>
    <x v="1"/>
    <x v="0"/>
    <n v="2490"/>
    <s v="0000000011"/>
    <s v="0001"/>
    <d v="2022-11-14T00:00:00"/>
    <s v="330301004"/>
    <s v="209"/>
    <s v="90"/>
    <s v="Credito"/>
    <x v="0"/>
    <x v="33"/>
    <m/>
    <s v="000055"/>
    <s v="000000"/>
    <n v="2490"/>
    <s v="0,00"/>
    <s v="0,00"/>
    <s v="0,00"/>
    <s v="0,00"/>
    <m/>
    <m/>
    <s v="209"/>
    <s v="90"/>
    <m/>
    <m/>
    <s v="010101"/>
  </r>
  <r>
    <s v="PF-CONSULTORIA E ASSESSORIA"/>
    <x v="7"/>
    <x v="0"/>
    <n v="4702"/>
    <s v="0000000012"/>
    <s v="0001"/>
    <d v="2022-11-14T00:00:00"/>
    <s v="330202001"/>
    <s v="201"/>
    <s v="90"/>
    <s v="Credito"/>
    <x v="0"/>
    <x v="34"/>
    <m/>
    <s v="000055"/>
    <s v="000000"/>
    <n v="4702"/>
    <s v="0,00"/>
    <s v="0,00"/>
    <s v="0,00"/>
    <s v="0,00"/>
    <m/>
    <m/>
    <s v="201"/>
    <s v="90"/>
    <m/>
    <m/>
    <s v="010101"/>
  </r>
  <r>
    <s v="DESPESAS GERAIS"/>
    <x v="8"/>
    <x v="0"/>
    <n v="6"/>
    <s v="0000000013"/>
    <s v="0001"/>
    <d v="2022-11-14T00:00:00"/>
    <s v="330409"/>
    <s v="209"/>
    <s v="90"/>
    <s v="Credito"/>
    <x v="0"/>
    <x v="35"/>
    <m/>
    <s v="000055"/>
    <s v="000000"/>
    <n v="6"/>
    <s v="0,00"/>
    <s v="0,00"/>
    <s v="0,00"/>
    <s v="0,00"/>
    <m/>
    <m/>
    <s v="209"/>
    <s v="90"/>
    <m/>
    <m/>
    <s v="010101"/>
  </r>
  <r>
    <s v="DESPESAS GERAIS"/>
    <x v="8"/>
    <x v="0"/>
    <n v="318"/>
    <s v="0000000014"/>
    <s v="0001"/>
    <d v="2022-11-14T00:00:00"/>
    <s v="330409"/>
    <s v="209"/>
    <s v="90"/>
    <s v="Credito"/>
    <x v="0"/>
    <x v="36"/>
    <m/>
    <s v="000055"/>
    <s v="000000"/>
    <n v="318"/>
    <s v="0,00"/>
    <s v="0,00"/>
    <s v="0,00"/>
    <s v="0,00"/>
    <m/>
    <m/>
    <s v="209"/>
    <s v="90"/>
    <m/>
    <m/>
    <s v="010101"/>
  </r>
  <r>
    <s v="DESPESAS GERAIS"/>
    <x v="8"/>
    <x v="0"/>
    <n v="23"/>
    <s v="0000000014"/>
    <s v="0002"/>
    <d v="2022-11-14T00:00:00"/>
    <s v="330409"/>
    <s v="209"/>
    <s v="90"/>
    <s v="Credito"/>
    <x v="0"/>
    <x v="37"/>
    <m/>
    <s v="000055"/>
    <s v="000000"/>
    <n v="23"/>
    <s v="0,00"/>
    <s v="0,00"/>
    <s v="0,00"/>
    <s v="0,00"/>
    <m/>
    <m/>
    <s v="209"/>
    <s v="90"/>
    <m/>
    <m/>
    <s v="010101"/>
  </r>
  <r>
    <s v="DESPESAS GERAIS"/>
    <x v="8"/>
    <x v="0"/>
    <n v="19"/>
    <s v="0000000014"/>
    <s v="0003"/>
    <d v="2022-11-14T00:00:00"/>
    <s v="330409"/>
    <s v="209"/>
    <s v="90"/>
    <s v="Credito"/>
    <x v="0"/>
    <x v="38"/>
    <m/>
    <s v="000055"/>
    <s v="000000"/>
    <n v="19"/>
    <s v="0,00"/>
    <s v="0,00"/>
    <s v="0,00"/>
    <s v="0,00"/>
    <m/>
    <m/>
    <s v="209"/>
    <s v="90"/>
    <m/>
    <m/>
    <s v="010101"/>
  </r>
  <r>
    <s v="DESPESAS GERAIS"/>
    <x v="8"/>
    <x v="0"/>
    <n v="1017"/>
    <s v="0000000015"/>
    <s v="0001"/>
    <d v="2022-11-14T00:00:00"/>
    <s v="330409"/>
    <s v="209"/>
    <s v="90"/>
    <s v="Credito"/>
    <x v="0"/>
    <x v="39"/>
    <m/>
    <s v="000055"/>
    <s v="000000"/>
    <n v="1017"/>
    <s v="0,00"/>
    <s v="0,00"/>
    <s v="0,00"/>
    <s v="0,00"/>
    <m/>
    <m/>
    <s v="209"/>
    <s v="90"/>
    <m/>
    <m/>
    <s v="010101"/>
  </r>
  <r>
    <s v="DESPESAS GERAIS"/>
    <x v="8"/>
    <x v="0"/>
    <n v="146"/>
    <s v="0000000015"/>
    <s v="0002"/>
    <d v="2022-11-14T00:00:00"/>
    <s v="330409"/>
    <s v="209"/>
    <s v="90"/>
    <s v="Credito"/>
    <x v="0"/>
    <x v="40"/>
    <m/>
    <s v="000055"/>
    <s v="000000"/>
    <n v="146"/>
    <s v="0,00"/>
    <s v="0,00"/>
    <s v="0,00"/>
    <s v="0,00"/>
    <m/>
    <m/>
    <s v="209"/>
    <s v="90"/>
    <m/>
    <m/>
    <s v="010101"/>
  </r>
  <r>
    <s v="DESPESAS GERAIS"/>
    <x v="8"/>
    <x v="0"/>
    <n v="7"/>
    <s v="0000000015"/>
    <s v="0003"/>
    <d v="2022-11-14T00:00:00"/>
    <s v="330409"/>
    <s v="209"/>
    <s v="90"/>
    <s v="Credito"/>
    <x v="0"/>
    <x v="41"/>
    <m/>
    <s v="000055"/>
    <s v="000000"/>
    <n v="7"/>
    <s v="0,00"/>
    <s v="0,00"/>
    <s v="0,00"/>
    <s v="0,00"/>
    <m/>
    <m/>
    <s v="209"/>
    <s v="90"/>
    <m/>
    <m/>
    <s v="010101"/>
  </r>
  <r>
    <s v="DESPESAS GERAIS"/>
    <x v="8"/>
    <x v="0"/>
    <n v="550"/>
    <s v="0000000015"/>
    <s v="0004"/>
    <d v="2022-11-14T00:00:00"/>
    <s v="330409"/>
    <s v="209"/>
    <s v="90"/>
    <s v="Credito"/>
    <x v="0"/>
    <x v="42"/>
    <m/>
    <s v="000055"/>
    <s v="000000"/>
    <n v="550"/>
    <s v="0,00"/>
    <s v="0,00"/>
    <s v="0,00"/>
    <s v="0,00"/>
    <m/>
    <m/>
    <s v="209"/>
    <s v="90"/>
    <m/>
    <m/>
    <s v="010101"/>
  </r>
  <r>
    <s v="DESPESAS GERAIS"/>
    <x v="8"/>
    <x v="0"/>
    <n v="16"/>
    <s v="0000000015"/>
    <s v="0005"/>
    <d v="2022-11-14T00:00:00"/>
    <s v="330409"/>
    <s v="209"/>
    <s v="90"/>
    <s v="Credito"/>
    <x v="0"/>
    <x v="43"/>
    <m/>
    <s v="000055"/>
    <s v="000000"/>
    <n v="16"/>
    <s v="0,00"/>
    <s v="0,00"/>
    <s v="0,00"/>
    <s v="0,00"/>
    <m/>
    <m/>
    <s v="209"/>
    <s v="90"/>
    <m/>
    <m/>
    <s v="010101"/>
  </r>
  <r>
    <s v="DESPESAS GERAIS"/>
    <x v="8"/>
    <x v="0"/>
    <n v="25"/>
    <s v="0000000015"/>
    <s v="0006"/>
    <d v="2022-11-14T00:00:00"/>
    <s v="330409"/>
    <s v="209"/>
    <s v="90"/>
    <s v="Credito"/>
    <x v="0"/>
    <x v="44"/>
    <m/>
    <s v="000055"/>
    <s v="000000"/>
    <n v="25"/>
    <s v="0,00"/>
    <s v="0,00"/>
    <s v="0,00"/>
    <s v="0,00"/>
    <m/>
    <m/>
    <s v="209"/>
    <s v="90"/>
    <m/>
    <m/>
    <s v="010101"/>
  </r>
  <r>
    <s v="DESPESAS GERAIS"/>
    <x v="8"/>
    <x v="0"/>
    <n v="1"/>
    <s v="0000000015"/>
    <s v="0007"/>
    <d v="2022-11-14T00:00:00"/>
    <s v="330409"/>
    <s v="209"/>
    <s v="90"/>
    <s v="Credito"/>
    <x v="0"/>
    <x v="45"/>
    <m/>
    <s v="000055"/>
    <s v="000000"/>
    <n v="1"/>
    <s v="0,00"/>
    <s v="0,00"/>
    <s v="0,00"/>
    <s v="0,00"/>
    <m/>
    <m/>
    <s v="209"/>
    <s v="90"/>
    <m/>
    <m/>
    <s v="010101"/>
  </r>
  <r>
    <s v="DESPESAS GERAIS"/>
    <x v="8"/>
    <x v="0"/>
    <n v="8"/>
    <s v="0000000016"/>
    <s v="0001"/>
    <d v="2022-11-14T00:00:00"/>
    <s v="330409"/>
    <s v="209"/>
    <s v="90"/>
    <s v="Credito"/>
    <x v="0"/>
    <x v="46"/>
    <m/>
    <s v="000055"/>
    <s v="000000"/>
    <n v="8"/>
    <s v="0,00"/>
    <s v="0,00"/>
    <s v="0,00"/>
    <s v="0,00"/>
    <m/>
    <m/>
    <s v="209"/>
    <s v="90"/>
    <m/>
    <m/>
    <s v="010101"/>
  </r>
  <r>
    <s v="DESPESAS GERAIS"/>
    <x v="8"/>
    <x v="0"/>
    <n v="13"/>
    <s v="0000000016"/>
    <s v="0002"/>
    <d v="2022-11-14T00:00:00"/>
    <s v="330409"/>
    <s v="209"/>
    <s v="90"/>
    <s v="Credito"/>
    <x v="0"/>
    <x v="47"/>
    <m/>
    <s v="000055"/>
    <s v="000000"/>
    <n v="13"/>
    <s v="0,00"/>
    <s v="0,00"/>
    <s v="0,00"/>
    <s v="0,00"/>
    <m/>
    <m/>
    <s v="209"/>
    <s v="90"/>
    <m/>
    <m/>
    <s v="010101"/>
  </r>
  <r>
    <s v="DESPESAS GERAIS"/>
    <x v="8"/>
    <x v="0"/>
    <n v="3"/>
    <s v="0000000016"/>
    <s v="0003"/>
    <d v="2022-11-14T00:00:00"/>
    <s v="330409"/>
    <s v="209"/>
    <s v="90"/>
    <s v="Credito"/>
    <x v="0"/>
    <x v="48"/>
    <m/>
    <s v="000055"/>
    <s v="000000"/>
    <n v="3"/>
    <s v="0,00"/>
    <s v="0,00"/>
    <s v="0,00"/>
    <s v="0,00"/>
    <m/>
    <m/>
    <s v="209"/>
    <s v="90"/>
    <m/>
    <m/>
    <s v="010101"/>
  </r>
  <r>
    <s v="DESPESAS GERAIS"/>
    <x v="8"/>
    <x v="0"/>
    <n v="1"/>
    <s v="0000000016"/>
    <s v="0004"/>
    <d v="2022-11-14T00:00:00"/>
    <s v="330409"/>
    <s v="209"/>
    <s v="90"/>
    <s v="Credito"/>
    <x v="0"/>
    <x v="49"/>
    <m/>
    <s v="000055"/>
    <s v="000000"/>
    <n v="1"/>
    <s v="0,00"/>
    <s v="0,00"/>
    <s v="0,00"/>
    <s v="0,00"/>
    <m/>
    <m/>
    <s v="209"/>
    <s v="90"/>
    <m/>
    <m/>
    <s v="010101"/>
  </r>
  <r>
    <s v="DESPESAS GERAIS"/>
    <x v="8"/>
    <x v="0"/>
    <n v="49"/>
    <s v="0000000016"/>
    <s v="0005"/>
    <d v="2022-11-14T00:00:00"/>
    <s v="330409"/>
    <s v="209"/>
    <s v="90"/>
    <s v="Credito"/>
    <x v="0"/>
    <x v="50"/>
    <m/>
    <s v="000055"/>
    <s v="000000"/>
    <n v="49"/>
    <s v="0,00"/>
    <s v="0,00"/>
    <s v="0,00"/>
    <s v="0,00"/>
    <m/>
    <m/>
    <s v="209"/>
    <s v="90"/>
    <m/>
    <m/>
    <s v="010101"/>
  </r>
  <r>
    <s v="DESPESAS GERAIS"/>
    <x v="8"/>
    <x v="0"/>
    <n v="2"/>
    <s v="0000000016"/>
    <s v="0006"/>
    <d v="2022-11-14T00:00:00"/>
    <s v="330409"/>
    <s v="209"/>
    <s v="90"/>
    <s v="Credito"/>
    <x v="0"/>
    <x v="51"/>
    <m/>
    <s v="000055"/>
    <s v="000000"/>
    <n v="2"/>
    <s v="0,00"/>
    <s v="0,00"/>
    <s v="0,00"/>
    <s v="0,00"/>
    <m/>
    <m/>
    <s v="209"/>
    <s v="90"/>
    <m/>
    <m/>
    <s v="010101"/>
  </r>
  <r>
    <s v="DESPESAS GERAIS"/>
    <x v="8"/>
    <x v="0"/>
    <n v="15"/>
    <s v="0000000016"/>
    <s v="0007"/>
    <d v="2022-11-14T00:00:00"/>
    <s v="330409"/>
    <s v="209"/>
    <s v="90"/>
    <s v="Credito"/>
    <x v="0"/>
    <x v="52"/>
    <m/>
    <s v="000055"/>
    <s v="000000"/>
    <n v="15"/>
    <s v="0,00"/>
    <s v="0,00"/>
    <s v="0,00"/>
    <s v="0,00"/>
    <m/>
    <m/>
    <s v="209"/>
    <s v="90"/>
    <m/>
    <m/>
    <s v="010101"/>
  </r>
  <r>
    <s v="DESPESAS GERAIS"/>
    <x v="8"/>
    <x v="0"/>
    <n v="5"/>
    <s v="0000000016"/>
    <s v="0008"/>
    <d v="2022-11-14T00:00:00"/>
    <s v="330409"/>
    <s v="209"/>
    <s v="90"/>
    <s v="Credito"/>
    <x v="0"/>
    <x v="53"/>
    <m/>
    <s v="000055"/>
    <s v="000000"/>
    <n v="5"/>
    <s v="0,00"/>
    <s v="0,00"/>
    <s v="0,00"/>
    <s v="0,00"/>
    <m/>
    <m/>
    <s v="209"/>
    <s v="90"/>
    <m/>
    <m/>
    <s v="010101"/>
  </r>
  <r>
    <s v="DESPESAS GERAIS"/>
    <x v="8"/>
    <x v="0"/>
    <n v="1"/>
    <s v="0000000016"/>
    <s v="0009"/>
    <d v="2022-11-14T00:00:00"/>
    <s v="330409"/>
    <s v="209"/>
    <s v="90"/>
    <s v="Credito"/>
    <x v="0"/>
    <x v="54"/>
    <m/>
    <s v="000055"/>
    <s v="000000"/>
    <n v="1"/>
    <s v="0,00"/>
    <s v="0,00"/>
    <s v="0,00"/>
    <s v="0,00"/>
    <m/>
    <m/>
    <s v="209"/>
    <s v="90"/>
    <m/>
    <m/>
    <s v="010101"/>
  </r>
  <r>
    <s v="PECAS E ACESSORIOS"/>
    <x v="1"/>
    <x v="0"/>
    <n v="27"/>
    <s v="0000000017"/>
    <s v="0001"/>
    <d v="2022-11-14T00:00:00"/>
    <s v="330301004"/>
    <s v="209"/>
    <s v="90"/>
    <s v="Credito"/>
    <x v="0"/>
    <x v="55"/>
    <m/>
    <s v="000055"/>
    <s v="000000"/>
    <n v="27"/>
    <s v="0,00"/>
    <s v="0,00"/>
    <s v="0,00"/>
    <s v="0,00"/>
    <m/>
    <m/>
    <s v="209"/>
    <s v="90"/>
    <m/>
    <m/>
    <s v="010101"/>
  </r>
  <r>
    <s v="COMBUSTIVEIS"/>
    <x v="9"/>
    <x v="0"/>
    <n v="1560"/>
    <s v="0000000018"/>
    <s v="0001"/>
    <d v="2022-11-14T00:00:00"/>
    <s v="320301001"/>
    <s v="304"/>
    <s v="11"/>
    <s v="Credito"/>
    <x v="0"/>
    <x v="56"/>
    <m/>
    <s v="000055"/>
    <s v="000000"/>
    <n v="1560"/>
    <s v="0,00"/>
    <s v="0,00"/>
    <s v="0,00"/>
    <s v="0,00"/>
    <m/>
    <m/>
    <s v="304"/>
    <s v="11"/>
    <m/>
    <m/>
    <s v="010101"/>
  </r>
  <r>
    <s v="PJ-OUTROS SERVICOS CONTRATADOS-PJ"/>
    <x v="3"/>
    <x v="0"/>
    <n v="14060"/>
    <s v="0000000019"/>
    <s v="0001"/>
    <d v="2022-11-14T00:00:00"/>
    <s v="330201006"/>
    <s v="209"/>
    <s v="90"/>
    <s v="Credito"/>
    <x v="0"/>
    <x v="57"/>
    <m/>
    <s v="000055"/>
    <s v="000000"/>
    <n v="14060"/>
    <s v="0,00"/>
    <s v="0,00"/>
    <s v="0,00"/>
    <s v="0,00"/>
    <m/>
    <m/>
    <s v="209"/>
    <s v="90"/>
    <m/>
    <m/>
    <s v="010101"/>
  </r>
  <r>
    <s v="PJ-OUTROS SERVICOS CONTRATADOS-PJ"/>
    <x v="6"/>
    <x v="0"/>
    <n v="2400"/>
    <s v="0000000020"/>
    <s v="0001"/>
    <d v="2022-11-14T00:00:00"/>
    <s v="320201006"/>
    <s v="305"/>
    <s v="90"/>
    <s v="Credito"/>
    <x v="0"/>
    <x v="58"/>
    <m/>
    <s v="000055"/>
    <s v="000000"/>
    <n v="2400"/>
    <s v="0,00"/>
    <s v="0,00"/>
    <s v="0,00"/>
    <s v="0,00"/>
    <m/>
    <m/>
    <s v="305"/>
    <s v="90"/>
    <m/>
    <m/>
    <s v="010101"/>
  </r>
  <r>
    <s v="SERVICOS E MANUTENCAO DE VEICULOS EQ"/>
    <x v="10"/>
    <x v="0"/>
    <n v="198"/>
    <s v="0000000021"/>
    <s v="0001"/>
    <d v="2022-11-14T00:00:00"/>
    <s v="320301006"/>
    <s v="304"/>
    <s v="11"/>
    <s v="Credito"/>
    <x v="0"/>
    <x v="59"/>
    <m/>
    <s v="000055"/>
    <s v="000000"/>
    <n v="198"/>
    <s v="0,00"/>
    <s v="0,00"/>
    <s v="0,00"/>
    <s v="0,00"/>
    <m/>
    <m/>
    <s v="304"/>
    <s v="11"/>
    <m/>
    <m/>
    <s v="010101"/>
  </r>
  <r>
    <s v="PECAS E ACESSORIOS"/>
    <x v="1"/>
    <x v="0"/>
    <n v="60"/>
    <s v="0000000022"/>
    <s v="0001"/>
    <d v="2022-11-14T00:00:00"/>
    <s v="330301004"/>
    <s v="209"/>
    <s v="90"/>
    <s v="Credito"/>
    <x v="0"/>
    <x v="60"/>
    <m/>
    <s v="000055"/>
    <s v="000000"/>
    <n v="60"/>
    <s v="0,00"/>
    <s v="0,00"/>
    <s v="0,00"/>
    <s v="0,00"/>
    <m/>
    <m/>
    <s v="209"/>
    <s v="90"/>
    <m/>
    <m/>
    <s v="010101"/>
  </r>
  <r>
    <s v="PECAS E ACESSORIOS"/>
    <x v="1"/>
    <x v="0"/>
    <n v="150"/>
    <s v="0000000022"/>
    <s v="0002"/>
    <d v="2022-11-14T00:00:00"/>
    <s v="330301004"/>
    <s v="209"/>
    <s v="90"/>
    <s v="Credito"/>
    <x v="0"/>
    <x v="61"/>
    <m/>
    <s v="000055"/>
    <s v="000000"/>
    <n v="150"/>
    <s v="0,00"/>
    <s v="0,00"/>
    <s v="0,00"/>
    <s v="0,00"/>
    <m/>
    <m/>
    <s v="209"/>
    <s v="90"/>
    <m/>
    <m/>
    <s v="010101"/>
  </r>
  <r>
    <s v="PECAS E ACESSORIOS"/>
    <x v="1"/>
    <x v="0"/>
    <n v="45"/>
    <s v="0000000022"/>
    <s v="0003"/>
    <d v="2022-11-14T00:00:00"/>
    <s v="330301004"/>
    <s v="209"/>
    <s v="90"/>
    <s v="Credito"/>
    <x v="0"/>
    <x v="62"/>
    <m/>
    <s v="000055"/>
    <s v="000000"/>
    <n v="45"/>
    <s v="0,00"/>
    <s v="0,00"/>
    <s v="0,00"/>
    <s v="0,00"/>
    <m/>
    <m/>
    <s v="209"/>
    <s v="90"/>
    <m/>
    <m/>
    <s v="010101"/>
  </r>
  <r>
    <s v="PECAS E ACESSORIOS"/>
    <x v="1"/>
    <x v="0"/>
    <n v="30"/>
    <s v="0000000022"/>
    <s v="0004"/>
    <d v="2022-11-14T00:00:00"/>
    <s v="330301004"/>
    <s v="209"/>
    <s v="90"/>
    <s v="Credito"/>
    <x v="0"/>
    <x v="63"/>
    <m/>
    <s v="000055"/>
    <s v="000000"/>
    <n v="30"/>
    <s v="0,00"/>
    <s v="0,00"/>
    <s v="0,00"/>
    <s v="0,00"/>
    <m/>
    <m/>
    <s v="209"/>
    <s v="90"/>
    <m/>
    <m/>
    <s v="010101"/>
  </r>
  <r>
    <s v="PECAS E ACESSORIOS"/>
    <x v="1"/>
    <x v="0"/>
    <n v="330"/>
    <s v="0000000022"/>
    <s v="0005"/>
    <d v="2022-11-14T00:00:00"/>
    <s v="330301004"/>
    <s v="209"/>
    <s v="90"/>
    <s v="Credito"/>
    <x v="0"/>
    <x v="64"/>
    <m/>
    <s v="000055"/>
    <s v="000000"/>
    <n v="330"/>
    <s v="0,00"/>
    <s v="0,00"/>
    <s v="0,00"/>
    <s v="0,00"/>
    <m/>
    <m/>
    <s v="209"/>
    <s v="90"/>
    <m/>
    <m/>
    <s v="010101"/>
  </r>
  <r>
    <s v="PECAS E ACESSORIOS"/>
    <x v="1"/>
    <x v="0"/>
    <n v="1150"/>
    <s v="0000000022"/>
    <s v="0006"/>
    <d v="2022-11-14T00:00:00"/>
    <s v="330301004"/>
    <s v="209"/>
    <s v="90"/>
    <s v="Credito"/>
    <x v="0"/>
    <x v="65"/>
    <m/>
    <s v="000055"/>
    <s v="000000"/>
    <n v="1150"/>
    <s v="0,00"/>
    <s v="0,00"/>
    <s v="0,00"/>
    <s v="0,00"/>
    <m/>
    <m/>
    <s v="209"/>
    <s v="90"/>
    <m/>
    <m/>
    <s v="010101"/>
  </r>
  <r>
    <s v="PECAS E ACESSORIOS"/>
    <x v="1"/>
    <x v="0"/>
    <n v="805"/>
    <s v="0000000022"/>
    <s v="0007"/>
    <d v="2022-11-14T00:00:00"/>
    <s v="330301004"/>
    <s v="209"/>
    <s v="90"/>
    <s v="Credito"/>
    <x v="0"/>
    <x v="66"/>
    <m/>
    <s v="000055"/>
    <s v="000000"/>
    <n v="805"/>
    <s v="0,00"/>
    <s v="0,00"/>
    <s v="0,00"/>
    <s v="0,00"/>
    <m/>
    <m/>
    <s v="209"/>
    <s v="90"/>
    <m/>
    <m/>
    <s v="010101"/>
  </r>
  <r>
    <s v="PECAS E ACESSORIOS"/>
    <x v="1"/>
    <x v="0"/>
    <n v="25"/>
    <s v="0000000022"/>
    <s v="0008"/>
    <d v="2022-11-14T00:00:00"/>
    <s v="330301004"/>
    <s v="209"/>
    <s v="90"/>
    <s v="Credito"/>
    <x v="0"/>
    <x v="67"/>
    <m/>
    <s v="000055"/>
    <s v="000000"/>
    <n v="25"/>
    <s v="0,00"/>
    <s v="0,00"/>
    <s v="0,00"/>
    <s v="0,00"/>
    <m/>
    <m/>
    <s v="209"/>
    <s v="90"/>
    <m/>
    <m/>
    <s v="010101"/>
  </r>
  <r>
    <s v="PJ-OUTROS SERVICOS CONTRATADOS-PJ"/>
    <x v="3"/>
    <x v="0"/>
    <n v="150"/>
    <s v="0000000022"/>
    <s v="0009"/>
    <d v="2022-11-14T00:00:00"/>
    <s v="330201006"/>
    <s v="209"/>
    <s v="90"/>
    <s v="Credito"/>
    <x v="0"/>
    <x v="68"/>
    <m/>
    <s v="000055"/>
    <s v="000000"/>
    <n v="150"/>
    <s v="0,00"/>
    <s v="0,00"/>
    <s v="0,00"/>
    <s v="0,00"/>
    <m/>
    <m/>
    <s v="209"/>
    <s v="90"/>
    <m/>
    <m/>
    <s v="010101"/>
  </r>
  <r>
    <s v="BENEFICIOS"/>
    <x v="4"/>
    <x v="0"/>
    <n v="655"/>
    <s v="0000000023"/>
    <s v="0001"/>
    <d v="2022-11-14T00:00:00"/>
    <s v="330103"/>
    <s v="207"/>
    <s v="90"/>
    <s v="Credito"/>
    <x v="1"/>
    <x v="69"/>
    <m/>
    <s v="000054"/>
    <s v="000074"/>
    <n v="655"/>
    <s v="0,00"/>
    <s v="0,00"/>
    <s v="0,00"/>
    <s v="0,00"/>
    <m/>
    <m/>
    <s v="207"/>
    <s v="90"/>
    <m/>
    <m/>
    <s v="010101"/>
  </r>
  <r>
    <s v="BENEFICIOS"/>
    <x v="4"/>
    <x v="0"/>
    <n v="-655"/>
    <s v="0000000023"/>
    <s v="0002"/>
    <d v="2022-11-14T00:00:00"/>
    <s v="330103"/>
    <s v="207"/>
    <s v="90"/>
    <s v="Debito"/>
    <x v="0"/>
    <x v="70"/>
    <m/>
    <s v="000054"/>
    <s v="000074"/>
    <n v="655"/>
    <s v="0,00"/>
    <s v="0,00"/>
    <s v="0,00"/>
    <s v="0,00"/>
    <m/>
    <m/>
    <s v="207"/>
    <s v="90"/>
    <m/>
    <m/>
    <s v="010101"/>
  </r>
  <r>
    <s v="BENEFICIOS"/>
    <x v="4"/>
    <x v="0"/>
    <n v="1267"/>
    <s v="0000000023"/>
    <s v="0003"/>
    <d v="2022-11-14T00:00:00"/>
    <s v="330103"/>
    <s v="208"/>
    <s v="90"/>
    <s v="Credito"/>
    <x v="1"/>
    <x v="69"/>
    <m/>
    <s v="000054"/>
    <s v="000074"/>
    <n v="1267"/>
    <s v="0,00"/>
    <s v="0,00"/>
    <s v="0,00"/>
    <s v="0,00"/>
    <m/>
    <m/>
    <s v="208"/>
    <s v="90"/>
    <m/>
    <m/>
    <s v="010101"/>
  </r>
  <r>
    <s v="BENEFICIOS"/>
    <x v="4"/>
    <x v="0"/>
    <n v="-1267"/>
    <s v="0000000023"/>
    <s v="0004"/>
    <d v="2022-11-14T00:00:00"/>
    <s v="330103"/>
    <s v="208"/>
    <s v="90"/>
    <s v="Debito"/>
    <x v="0"/>
    <x v="70"/>
    <m/>
    <s v="000054"/>
    <s v="000074"/>
    <n v="1267"/>
    <s v="0,00"/>
    <s v="0,00"/>
    <s v="0,00"/>
    <s v="0,00"/>
    <m/>
    <m/>
    <s v="208"/>
    <s v="90"/>
    <m/>
    <m/>
    <s v="010101"/>
  </r>
  <r>
    <s v="BENEFICIOS"/>
    <x v="4"/>
    <x v="0"/>
    <n v="516"/>
    <s v="0000000023"/>
    <s v="0005"/>
    <d v="2022-11-14T00:00:00"/>
    <s v="330103"/>
    <s v="209"/>
    <s v="90"/>
    <s v="Credito"/>
    <x v="1"/>
    <x v="69"/>
    <m/>
    <s v="000054"/>
    <s v="000074"/>
    <n v="516"/>
    <s v="0,00"/>
    <s v="0,00"/>
    <s v="0,00"/>
    <s v="0,00"/>
    <m/>
    <m/>
    <s v="209"/>
    <s v="90"/>
    <m/>
    <m/>
    <s v="010101"/>
  </r>
  <r>
    <s v="BENEFICIOS"/>
    <x v="4"/>
    <x v="0"/>
    <n v="-516"/>
    <s v="0000000023"/>
    <s v="0006"/>
    <d v="2022-11-14T00:00:00"/>
    <s v="330103"/>
    <s v="209"/>
    <s v="90"/>
    <s v="Debito"/>
    <x v="0"/>
    <x v="70"/>
    <m/>
    <s v="000054"/>
    <s v="000074"/>
    <n v="516"/>
    <s v="0,00"/>
    <s v="0,00"/>
    <s v="0,00"/>
    <s v="0,00"/>
    <m/>
    <m/>
    <s v="209"/>
    <s v="90"/>
    <m/>
    <m/>
    <s v="010101"/>
  </r>
  <r>
    <s v="BENEFICIOS"/>
    <x v="5"/>
    <x v="0"/>
    <n v="3874"/>
    <s v="0000000023"/>
    <s v="0007"/>
    <d v="2022-11-14T00:00:00"/>
    <s v="320103"/>
    <s v="301"/>
    <s v="11"/>
    <s v="Credito"/>
    <x v="1"/>
    <x v="69"/>
    <m/>
    <s v="000054"/>
    <s v="000074"/>
    <n v="3874"/>
    <s v="0,00"/>
    <s v="0,00"/>
    <s v="0,00"/>
    <s v="0,00"/>
    <m/>
    <m/>
    <s v="301"/>
    <s v="11"/>
    <m/>
    <m/>
    <s v="010101"/>
  </r>
  <r>
    <s v="BENEFICIOS"/>
    <x v="5"/>
    <x v="0"/>
    <n v="-3874"/>
    <s v="0000000023"/>
    <s v="0008"/>
    <d v="2022-11-14T00:00:00"/>
    <s v="320103"/>
    <s v="301"/>
    <s v="11"/>
    <s v="Debito"/>
    <x v="0"/>
    <x v="70"/>
    <m/>
    <s v="000054"/>
    <s v="000074"/>
    <n v="3874"/>
    <s v="0,00"/>
    <s v="0,00"/>
    <s v="0,00"/>
    <s v="0,00"/>
    <m/>
    <m/>
    <s v="301"/>
    <s v="11"/>
    <m/>
    <m/>
    <s v="010101"/>
  </r>
  <r>
    <s v="BENEFICIOS"/>
    <x v="5"/>
    <x v="0"/>
    <n v="4905"/>
    <s v="0000000023"/>
    <s v="0009"/>
    <d v="2022-11-14T00:00:00"/>
    <s v="320103"/>
    <s v="302"/>
    <s v="11"/>
    <s v="Credito"/>
    <x v="1"/>
    <x v="69"/>
    <m/>
    <s v="000054"/>
    <s v="000074"/>
    <n v="4905"/>
    <s v="0,00"/>
    <s v="0,00"/>
    <s v="0,00"/>
    <s v="0,00"/>
    <m/>
    <m/>
    <s v="302"/>
    <s v="11"/>
    <m/>
    <m/>
    <s v="010101"/>
  </r>
  <r>
    <s v="BENEFICIOS"/>
    <x v="5"/>
    <x v="0"/>
    <n v="-4905"/>
    <s v="0000000023"/>
    <s v="0010"/>
    <d v="2022-11-14T00:00:00"/>
    <s v="320103"/>
    <s v="302"/>
    <s v="11"/>
    <s v="Debito"/>
    <x v="0"/>
    <x v="70"/>
    <m/>
    <s v="000054"/>
    <s v="000074"/>
    <n v="4905"/>
    <s v="0,00"/>
    <s v="0,00"/>
    <s v="0,00"/>
    <s v="0,00"/>
    <m/>
    <m/>
    <s v="302"/>
    <s v="11"/>
    <m/>
    <m/>
    <s v="010101"/>
  </r>
  <r>
    <s v="BENEFICIOS"/>
    <x v="5"/>
    <x v="0"/>
    <n v="11568"/>
    <s v="0000000023"/>
    <s v="0011"/>
    <d v="2022-11-14T00:00:00"/>
    <s v="320103"/>
    <s v="304"/>
    <s v="21"/>
    <s v="Credito"/>
    <x v="1"/>
    <x v="69"/>
    <m/>
    <s v="000054"/>
    <s v="000074"/>
    <n v="11568"/>
    <s v="0,00"/>
    <s v="0,00"/>
    <s v="0,00"/>
    <s v="0,00"/>
    <m/>
    <m/>
    <s v="304"/>
    <s v="21"/>
    <m/>
    <m/>
    <s v="010101"/>
  </r>
  <r>
    <s v="BENEFICIOS"/>
    <x v="5"/>
    <x v="0"/>
    <n v="-11568"/>
    <s v="0000000023"/>
    <s v="0012"/>
    <d v="2022-11-14T00:00:00"/>
    <s v="320103"/>
    <s v="304"/>
    <s v="21"/>
    <s v="Debito"/>
    <x v="0"/>
    <x v="70"/>
    <m/>
    <s v="000054"/>
    <s v="000074"/>
    <n v="11568"/>
    <s v="0,00"/>
    <s v="0,00"/>
    <s v="0,00"/>
    <s v="0,00"/>
    <m/>
    <m/>
    <s v="304"/>
    <s v="21"/>
    <m/>
    <m/>
    <s v="010101"/>
  </r>
  <r>
    <s v="BENEFICIOS"/>
    <x v="5"/>
    <x v="0"/>
    <n v="608"/>
    <s v="0000000023"/>
    <s v="0013"/>
    <d v="2022-11-14T00:00:00"/>
    <s v="320103"/>
    <s v="305"/>
    <s v="33"/>
    <s v="Credito"/>
    <x v="1"/>
    <x v="69"/>
    <m/>
    <s v="000054"/>
    <s v="000074"/>
    <n v="608"/>
    <s v="0,00"/>
    <s v="0,00"/>
    <s v="0,00"/>
    <s v="0,00"/>
    <m/>
    <m/>
    <s v="305"/>
    <s v="33"/>
    <m/>
    <m/>
    <s v="010101"/>
  </r>
  <r>
    <s v="BENEFICIOS"/>
    <x v="5"/>
    <x v="0"/>
    <n v="-608"/>
    <s v="0000000023"/>
    <s v="0014"/>
    <d v="2022-11-14T00:00:00"/>
    <s v="320103"/>
    <s v="305"/>
    <s v="33"/>
    <s v="Debito"/>
    <x v="0"/>
    <x v="70"/>
    <m/>
    <s v="000054"/>
    <s v="000074"/>
    <n v="608"/>
    <s v="0,00"/>
    <s v="0,00"/>
    <s v="0,00"/>
    <s v="0,00"/>
    <m/>
    <m/>
    <s v="305"/>
    <s v="33"/>
    <m/>
    <m/>
    <s v="010101"/>
  </r>
  <r>
    <s v="BENEFICIOS"/>
    <x v="4"/>
    <x v="0"/>
    <n v="563"/>
    <s v="0000000023"/>
    <s v="0015"/>
    <d v="2022-11-14T00:00:00"/>
    <s v="330103"/>
    <s v="206"/>
    <s v="90"/>
    <s v="Credito"/>
    <x v="1"/>
    <x v="69"/>
    <m/>
    <s v="000054"/>
    <s v="000074"/>
    <n v="563"/>
    <s v="0,00"/>
    <s v="0,00"/>
    <s v="0,00"/>
    <s v="0,00"/>
    <m/>
    <m/>
    <s v="206"/>
    <s v="90"/>
    <m/>
    <m/>
    <s v="010101"/>
  </r>
  <r>
    <s v="BENEFICIOS"/>
    <x v="4"/>
    <x v="0"/>
    <n v="-563"/>
    <s v="0000000023"/>
    <s v="0016"/>
    <d v="2022-11-14T00:00:00"/>
    <s v="330103"/>
    <s v="206"/>
    <s v="90"/>
    <s v="Debito"/>
    <x v="0"/>
    <x v="70"/>
    <m/>
    <s v="000054"/>
    <s v="000074"/>
    <n v="563"/>
    <s v="0,00"/>
    <s v="0,00"/>
    <s v="0,00"/>
    <s v="0,00"/>
    <m/>
    <m/>
    <s v="206"/>
    <s v="90"/>
    <m/>
    <m/>
    <s v="010101"/>
  </r>
  <r>
    <s v="BENEFICIOS"/>
    <x v="5"/>
    <x v="0"/>
    <n v="704"/>
    <s v="0000000023"/>
    <s v="0017"/>
    <d v="2022-11-14T00:00:00"/>
    <s v="320103"/>
    <s v="301"/>
    <s v="90"/>
    <s v="Credito"/>
    <x v="1"/>
    <x v="69"/>
    <m/>
    <s v="000054"/>
    <s v="000074"/>
    <n v="704"/>
    <s v="0,00"/>
    <s v="0,00"/>
    <s v="0,00"/>
    <s v="0,00"/>
    <m/>
    <m/>
    <s v="301"/>
    <s v="90"/>
    <m/>
    <m/>
    <s v="010101"/>
  </r>
  <r>
    <s v="BENEFICIOS"/>
    <x v="5"/>
    <x v="0"/>
    <n v="-704"/>
    <s v="0000000023"/>
    <s v="0018"/>
    <d v="2022-11-14T00:00:00"/>
    <s v="320103"/>
    <s v="301"/>
    <s v="90"/>
    <s v="Debito"/>
    <x v="0"/>
    <x v="70"/>
    <m/>
    <s v="000054"/>
    <s v="000074"/>
    <n v="704"/>
    <s v="0,00"/>
    <s v="0,00"/>
    <s v="0,00"/>
    <s v="0,00"/>
    <m/>
    <m/>
    <s v="301"/>
    <s v="90"/>
    <m/>
    <m/>
    <s v="010101"/>
  </r>
  <r>
    <s v="BENEFICIOS"/>
    <x v="5"/>
    <x v="0"/>
    <n v="11421"/>
    <s v="0000000023"/>
    <s v="0019"/>
    <d v="2022-11-14T00:00:00"/>
    <s v="320103"/>
    <s v="303"/>
    <s v="31"/>
    <s v="Credito"/>
    <x v="1"/>
    <x v="69"/>
    <m/>
    <s v="000054"/>
    <s v="000074"/>
    <n v="11421"/>
    <s v="0,00"/>
    <s v="0,00"/>
    <s v="0,00"/>
    <s v="0,00"/>
    <m/>
    <m/>
    <s v="303"/>
    <s v="31"/>
    <m/>
    <m/>
    <s v="010101"/>
  </r>
  <r>
    <s v="BENEFICIOS"/>
    <x v="5"/>
    <x v="0"/>
    <n v="-11421"/>
    <s v="0000000023"/>
    <s v="0020"/>
    <d v="2022-11-14T00:00:00"/>
    <s v="320103"/>
    <s v="303"/>
    <s v="31"/>
    <s v="Debito"/>
    <x v="0"/>
    <x v="70"/>
    <m/>
    <s v="000054"/>
    <s v="000074"/>
    <n v="11421"/>
    <s v="0,00"/>
    <s v="0,00"/>
    <s v="0,00"/>
    <s v="0,00"/>
    <m/>
    <m/>
    <s v="303"/>
    <s v="31"/>
    <m/>
    <m/>
    <s v="010101"/>
  </r>
  <r>
    <s v="BENEFICIOS"/>
    <x v="5"/>
    <x v="0"/>
    <n v="71588"/>
    <s v="0000000023"/>
    <s v="0021"/>
    <d v="2022-11-14T00:00:00"/>
    <s v="320103"/>
    <s v="305"/>
    <s v="90"/>
    <s v="Credito"/>
    <x v="1"/>
    <x v="69"/>
    <m/>
    <s v="000054"/>
    <s v="000074"/>
    <n v="71588"/>
    <s v="0,00"/>
    <s v="0,00"/>
    <s v="0,00"/>
    <s v="0,00"/>
    <m/>
    <m/>
    <s v="305"/>
    <s v="90"/>
    <m/>
    <m/>
    <s v="010101"/>
  </r>
  <r>
    <s v="BENEFICIOS"/>
    <x v="5"/>
    <x v="0"/>
    <n v="-71588"/>
    <s v="0000000023"/>
    <s v="0022"/>
    <d v="2022-11-14T00:00:00"/>
    <s v="320103"/>
    <s v="305"/>
    <s v="90"/>
    <s v="Debito"/>
    <x v="0"/>
    <x v="70"/>
    <m/>
    <s v="000054"/>
    <s v="000074"/>
    <n v="71588"/>
    <s v="0,00"/>
    <s v="0,00"/>
    <s v="0,00"/>
    <s v="0,00"/>
    <m/>
    <m/>
    <s v="305"/>
    <s v="90"/>
    <m/>
    <m/>
    <s v="010101"/>
  </r>
  <r>
    <s v="BENEFICIOS"/>
    <x v="4"/>
    <x v="0"/>
    <n v="282"/>
    <s v="0000000023"/>
    <s v="0023"/>
    <d v="2022-11-14T00:00:00"/>
    <s v="330103"/>
    <s v="205"/>
    <s v="90"/>
    <s v="Credito"/>
    <x v="1"/>
    <x v="69"/>
    <m/>
    <s v="000054"/>
    <s v="000074"/>
    <n v="282"/>
    <s v="0,00"/>
    <s v="0,00"/>
    <s v="0,00"/>
    <s v="0,00"/>
    <m/>
    <m/>
    <s v="205"/>
    <s v="90"/>
    <m/>
    <m/>
    <s v="010101"/>
  </r>
  <r>
    <s v="BENEFICIOS"/>
    <x v="4"/>
    <x v="0"/>
    <n v="-282"/>
    <s v="0000000023"/>
    <s v="0024"/>
    <d v="2022-11-14T00:00:00"/>
    <s v="330103"/>
    <s v="205"/>
    <s v="90"/>
    <s v="Debito"/>
    <x v="0"/>
    <x v="70"/>
    <m/>
    <s v="000054"/>
    <s v="000074"/>
    <n v="282"/>
    <s v="0,00"/>
    <s v="0,00"/>
    <s v="0,00"/>
    <s v="0,00"/>
    <m/>
    <m/>
    <s v="205"/>
    <s v="90"/>
    <m/>
    <m/>
    <s v="010101"/>
  </r>
  <r>
    <s v="BENEFICIOS"/>
    <x v="4"/>
    <x v="0"/>
    <n v="465"/>
    <s v="0000000023"/>
    <s v="0025"/>
    <d v="2022-11-14T00:00:00"/>
    <s v="330103"/>
    <s v="201"/>
    <s v="90"/>
    <s v="Credito"/>
    <x v="1"/>
    <x v="69"/>
    <m/>
    <s v="000054"/>
    <s v="000074"/>
    <n v="465"/>
    <s v="0,00"/>
    <s v="0,00"/>
    <s v="0,00"/>
    <s v="0,00"/>
    <m/>
    <m/>
    <s v="201"/>
    <s v="90"/>
    <m/>
    <m/>
    <s v="010101"/>
  </r>
  <r>
    <s v="BENEFICIOS"/>
    <x v="4"/>
    <x v="0"/>
    <n v="-465"/>
    <s v="0000000023"/>
    <s v="0026"/>
    <d v="2022-11-14T00:00:00"/>
    <s v="330103"/>
    <s v="201"/>
    <s v="90"/>
    <s v="Debito"/>
    <x v="0"/>
    <x v="70"/>
    <m/>
    <s v="000054"/>
    <s v="000074"/>
    <n v="465"/>
    <s v="0,00"/>
    <s v="0,00"/>
    <s v="0,00"/>
    <s v="0,00"/>
    <m/>
    <m/>
    <s v="201"/>
    <s v="90"/>
    <m/>
    <m/>
    <s v="010101"/>
  </r>
  <r>
    <s v="BENEFICIOS"/>
    <x v="4"/>
    <x v="0"/>
    <n v="329"/>
    <s v="0000000023"/>
    <s v="0027"/>
    <d v="2022-11-14T00:00:00"/>
    <s v="330103"/>
    <s v="203"/>
    <s v="90"/>
    <s v="Credito"/>
    <x v="1"/>
    <x v="69"/>
    <m/>
    <s v="000054"/>
    <s v="000074"/>
    <n v="329"/>
    <s v="0,00"/>
    <s v="0,00"/>
    <s v="0,00"/>
    <s v="0,00"/>
    <m/>
    <m/>
    <s v="203"/>
    <s v="90"/>
    <m/>
    <m/>
    <s v="010101"/>
  </r>
  <r>
    <s v="BENEFICIOS"/>
    <x v="4"/>
    <x v="0"/>
    <n v="-329"/>
    <s v="0000000023"/>
    <s v="0028"/>
    <d v="2022-11-14T00:00:00"/>
    <s v="330103"/>
    <s v="203"/>
    <s v="90"/>
    <s v="Debito"/>
    <x v="0"/>
    <x v="70"/>
    <m/>
    <s v="000054"/>
    <s v="000074"/>
    <n v="329"/>
    <s v="0,00"/>
    <s v="0,00"/>
    <s v="0,00"/>
    <s v="0,00"/>
    <m/>
    <m/>
    <s v="203"/>
    <s v="90"/>
    <m/>
    <m/>
    <s v="010101"/>
  </r>
  <r>
    <s v="BENEFICIOS"/>
    <x v="5"/>
    <x v="0"/>
    <n v="1487"/>
    <s v="0000000023"/>
    <s v="0029"/>
    <d v="2022-11-14T00:00:00"/>
    <s v="320103"/>
    <s v="306"/>
    <s v="90"/>
    <s v="Credito"/>
    <x v="1"/>
    <x v="69"/>
    <m/>
    <s v="000054"/>
    <s v="000074"/>
    <n v="1487"/>
    <s v="0,00"/>
    <s v="0,00"/>
    <s v="0,00"/>
    <s v="0,00"/>
    <m/>
    <m/>
    <s v="306"/>
    <s v="90"/>
    <m/>
    <m/>
    <s v="010101"/>
  </r>
  <r>
    <s v="BENEFICIOS"/>
    <x v="5"/>
    <x v="0"/>
    <n v="-1487"/>
    <s v="0000000023"/>
    <s v="0030"/>
    <d v="2022-11-14T00:00:00"/>
    <s v="320103"/>
    <s v="306"/>
    <s v="90"/>
    <s v="Debito"/>
    <x v="0"/>
    <x v="70"/>
    <m/>
    <s v="000054"/>
    <s v="000074"/>
    <n v="1487"/>
    <s v="0,00"/>
    <s v="0,00"/>
    <s v="0,00"/>
    <s v="0,00"/>
    <m/>
    <m/>
    <s v="306"/>
    <s v="90"/>
    <m/>
    <m/>
    <s v="010101"/>
  </r>
  <r>
    <s v="BENEFICIOS"/>
    <x v="4"/>
    <x v="0"/>
    <n v="2706"/>
    <s v="0000000023"/>
    <s v="0031"/>
    <d v="2022-11-14T00:00:00"/>
    <s v="330103"/>
    <s v="201"/>
    <s v="90"/>
    <s v="Credito"/>
    <x v="1"/>
    <x v="69"/>
    <m/>
    <s v="000054"/>
    <s v="000074"/>
    <n v="2706"/>
    <s v="0,00"/>
    <s v="0,00"/>
    <s v="0,00"/>
    <s v="0,00"/>
    <m/>
    <m/>
    <s v="201"/>
    <s v="90"/>
    <m/>
    <m/>
    <s v="010101"/>
  </r>
  <r>
    <s v="BENEFICIOS"/>
    <x v="4"/>
    <x v="0"/>
    <n v="-2706"/>
    <s v="0000000023"/>
    <s v="0032"/>
    <d v="2022-11-14T00:00:00"/>
    <s v="330103"/>
    <s v="201"/>
    <s v="90"/>
    <s v="Debito"/>
    <x v="0"/>
    <x v="70"/>
    <m/>
    <s v="000054"/>
    <s v="000074"/>
    <n v="2706"/>
    <s v="0,00"/>
    <s v="0,00"/>
    <s v="0,00"/>
    <s v="0,00"/>
    <m/>
    <m/>
    <s v="201"/>
    <s v="90"/>
    <m/>
    <m/>
    <s v="010101"/>
  </r>
  <r>
    <s v="BENEFICIOS"/>
    <x v="4"/>
    <x v="0"/>
    <n v="605"/>
    <s v="0000000023"/>
    <s v="0033"/>
    <d v="2022-11-14T00:00:00"/>
    <s v="330103"/>
    <s v="204"/>
    <s v="90"/>
    <s v="Credito"/>
    <x v="1"/>
    <x v="69"/>
    <m/>
    <s v="000054"/>
    <s v="000074"/>
    <n v="605"/>
    <s v="0,00"/>
    <s v="0,00"/>
    <s v="0,00"/>
    <s v="0,00"/>
    <m/>
    <m/>
    <s v="204"/>
    <s v="90"/>
    <m/>
    <m/>
    <s v="010101"/>
  </r>
  <r>
    <s v="BENEFICIOS"/>
    <x v="4"/>
    <x v="0"/>
    <n v="-605"/>
    <s v="0000000023"/>
    <s v="0034"/>
    <d v="2022-11-14T00:00:00"/>
    <s v="330103"/>
    <s v="204"/>
    <s v="90"/>
    <s v="Debito"/>
    <x v="0"/>
    <x v="70"/>
    <m/>
    <s v="000054"/>
    <s v="000074"/>
    <n v="605"/>
    <s v="0,00"/>
    <s v="0,00"/>
    <s v="0,00"/>
    <s v="0,00"/>
    <m/>
    <m/>
    <s v="204"/>
    <s v="90"/>
    <m/>
    <m/>
    <s v="010101"/>
  </r>
  <r>
    <s v="BENEFICIOS"/>
    <x v="4"/>
    <x v="0"/>
    <n v="704"/>
    <s v="0000000023"/>
    <s v="0035"/>
    <d v="2022-11-14T00:00:00"/>
    <s v="330103"/>
    <s v="210"/>
    <s v="90"/>
    <s v="Credito"/>
    <x v="1"/>
    <x v="69"/>
    <m/>
    <s v="000054"/>
    <s v="000074"/>
    <n v="704"/>
    <s v="0,00"/>
    <s v="0,00"/>
    <s v="0,00"/>
    <s v="0,00"/>
    <m/>
    <m/>
    <s v="210"/>
    <s v="90"/>
    <m/>
    <m/>
    <s v="010101"/>
  </r>
  <r>
    <s v="BENEFICIOS"/>
    <x v="4"/>
    <x v="0"/>
    <n v="-704"/>
    <s v="0000000023"/>
    <s v="0036"/>
    <d v="2022-11-14T00:00:00"/>
    <s v="330103"/>
    <s v="210"/>
    <s v="90"/>
    <s v="Debito"/>
    <x v="0"/>
    <x v="70"/>
    <m/>
    <s v="000054"/>
    <s v="000074"/>
    <n v="704"/>
    <s v="0,00"/>
    <s v="0,00"/>
    <s v="0,00"/>
    <s v="0,00"/>
    <m/>
    <m/>
    <s v="210"/>
    <s v="90"/>
    <m/>
    <m/>
    <s v="010101"/>
  </r>
  <r>
    <s v="BENEFICIOS"/>
    <x v="5"/>
    <x v="0"/>
    <n v="282"/>
    <s v="0000000023"/>
    <s v="0037"/>
    <d v="2022-11-14T00:00:00"/>
    <s v="320103"/>
    <s v="306"/>
    <s v="90"/>
    <s v="Credito"/>
    <x v="1"/>
    <x v="69"/>
    <m/>
    <s v="000054"/>
    <s v="000074"/>
    <n v="282"/>
    <s v="0,00"/>
    <s v="0,00"/>
    <s v="0,00"/>
    <s v="0,00"/>
    <m/>
    <m/>
    <s v="306"/>
    <s v="90"/>
    <m/>
    <m/>
    <s v="010101"/>
  </r>
  <r>
    <s v="BENEFICIOS"/>
    <x v="5"/>
    <x v="0"/>
    <n v="-282"/>
    <s v="0000000023"/>
    <s v="0038"/>
    <d v="2022-11-14T00:00:00"/>
    <s v="320103"/>
    <s v="306"/>
    <s v="90"/>
    <s v="Debito"/>
    <x v="0"/>
    <x v="70"/>
    <m/>
    <s v="000054"/>
    <s v="000074"/>
    <n v="282"/>
    <s v="0,00"/>
    <s v="0,00"/>
    <s v="0,00"/>
    <s v="0,00"/>
    <m/>
    <m/>
    <s v="306"/>
    <s v="90"/>
    <m/>
    <m/>
    <s v="010101"/>
  </r>
  <r>
    <s v="BENEFICIOS"/>
    <x v="5"/>
    <x v="0"/>
    <n v="2386"/>
    <s v="0000000023"/>
    <s v="0039"/>
    <d v="2022-11-14T00:00:00"/>
    <s v="320103"/>
    <s v="306"/>
    <s v="90"/>
    <s v="Credito"/>
    <x v="1"/>
    <x v="69"/>
    <m/>
    <s v="000054"/>
    <s v="000074"/>
    <n v="2386"/>
    <s v="0,00"/>
    <s v="0,00"/>
    <s v="0,00"/>
    <s v="0,00"/>
    <m/>
    <m/>
    <s v="306"/>
    <s v="90"/>
    <m/>
    <m/>
    <s v="010101"/>
  </r>
  <r>
    <s v="BENEFICIOS"/>
    <x v="5"/>
    <x v="0"/>
    <n v="-2386"/>
    <s v="0000000023"/>
    <s v="0040"/>
    <d v="2022-11-14T00:00:00"/>
    <s v="320103"/>
    <s v="306"/>
    <s v="90"/>
    <s v="Debito"/>
    <x v="0"/>
    <x v="70"/>
    <m/>
    <s v="000054"/>
    <s v="000074"/>
    <n v="2386"/>
    <s v="0,00"/>
    <s v="0,00"/>
    <s v="0,00"/>
    <s v="0,00"/>
    <m/>
    <m/>
    <s v="306"/>
    <s v="90"/>
    <m/>
    <m/>
    <s v="010101"/>
  </r>
  <r>
    <s v="PJ-OUTROS SERVICOS CONTRATADOS-PJ"/>
    <x v="6"/>
    <x v="0"/>
    <n v="250"/>
    <s v="0000000024"/>
    <s v="0001"/>
    <d v="2022-11-14T00:00:00"/>
    <s v="320201006"/>
    <s v="303"/>
    <s v="21"/>
    <s v="Credito"/>
    <x v="1"/>
    <x v="71"/>
    <m/>
    <s v="000054"/>
    <s v="000070"/>
    <n v="250"/>
    <s v="0,00"/>
    <s v="0,00"/>
    <s v="0,00"/>
    <s v="0,00"/>
    <m/>
    <m/>
    <s v="303"/>
    <s v="21"/>
    <m/>
    <m/>
    <s v="010101"/>
  </r>
  <r>
    <s v="PJ-OUTROS SERVICOS CONTRATADOS-PJ"/>
    <x v="6"/>
    <x v="0"/>
    <n v="-250"/>
    <s v="0000000024"/>
    <s v="0002"/>
    <d v="2022-11-14T00:00:00"/>
    <s v="320201006"/>
    <s v="303"/>
    <s v="21"/>
    <s v="Debito"/>
    <x v="0"/>
    <x v="72"/>
    <m/>
    <s v="000054"/>
    <s v="000070"/>
    <n v="250"/>
    <s v="0,00"/>
    <s v="0,00"/>
    <s v="0,00"/>
    <s v="0,00"/>
    <m/>
    <m/>
    <s v="303"/>
    <s v="21"/>
    <m/>
    <m/>
    <s v="010101"/>
  </r>
  <r>
    <s v="PJ-OUTROS SERVICOS CONTRATADOS-PJ"/>
    <x v="3"/>
    <x v="0"/>
    <n v="33809"/>
    <s v="0000000025"/>
    <s v="0001"/>
    <d v="2022-11-14T00:00:00"/>
    <s v="330201006"/>
    <s v="211"/>
    <s v="51"/>
    <s v="Credito"/>
    <x v="1"/>
    <x v="73"/>
    <m/>
    <s v="000054"/>
    <s v="000132"/>
    <n v="33809"/>
    <s v="0,00"/>
    <s v="0,00"/>
    <s v="0,00"/>
    <s v="0,00"/>
    <m/>
    <m/>
    <s v="211"/>
    <s v="51"/>
    <m/>
    <m/>
    <s v="010101"/>
  </r>
  <r>
    <s v="PJ-OUTROS SERVICOS CONTRATADOS-PJ"/>
    <x v="3"/>
    <x v="0"/>
    <n v="-33809"/>
    <s v="0000000025"/>
    <s v="0002"/>
    <d v="2022-11-14T00:00:00"/>
    <s v="330201006"/>
    <s v="211"/>
    <s v="51"/>
    <s v="Debito"/>
    <x v="0"/>
    <x v="74"/>
    <m/>
    <s v="000054"/>
    <s v="000132"/>
    <n v="33809"/>
    <s v="0,00"/>
    <s v="0,00"/>
    <s v="0,00"/>
    <s v="0,00"/>
    <m/>
    <m/>
    <s v="211"/>
    <s v="51"/>
    <m/>
    <m/>
    <s v="010101"/>
  </r>
  <r>
    <s v="N/A"/>
    <x v="2"/>
    <x v="0"/>
    <n v="170000"/>
    <s v="0000000026"/>
    <s v="0001"/>
    <d v="2022-11-17T00:00:00"/>
    <m/>
    <s v="305"/>
    <s v="21"/>
    <s v="Credito"/>
    <x v="0"/>
    <x v="75"/>
    <m/>
    <s v="000055"/>
    <s v="000000"/>
    <n v="170000"/>
    <s v="0,00"/>
    <s v="0,00"/>
    <s v="0,00"/>
    <s v="0,00"/>
    <m/>
    <m/>
    <s v="305"/>
    <s v="21"/>
    <m/>
    <m/>
    <s v="010101"/>
  </r>
  <r>
    <s v="N/A"/>
    <x v="2"/>
    <x v="0"/>
    <n v="172000"/>
    <s v="0000000026"/>
    <s v="0002"/>
    <d v="2022-11-17T00:00:00"/>
    <m/>
    <s v="305"/>
    <s v="21"/>
    <s v="Credito"/>
    <x v="0"/>
    <x v="76"/>
    <m/>
    <s v="000055"/>
    <s v="000000"/>
    <n v="172000"/>
    <s v="0,00"/>
    <s v="0,00"/>
    <s v="0,00"/>
    <s v="0,00"/>
    <m/>
    <m/>
    <s v="305"/>
    <s v="21"/>
    <m/>
    <m/>
    <s v="010101"/>
  </r>
  <r>
    <s v="COMBUSTIVEIS"/>
    <x v="11"/>
    <x v="0"/>
    <n v="64090"/>
    <s v="0000000027"/>
    <s v="0001"/>
    <d v="2022-11-17T00:00:00"/>
    <s v="330301001"/>
    <s v="209"/>
    <s v="11"/>
    <s v="Credito"/>
    <x v="0"/>
    <x v="77"/>
    <m/>
    <s v="000055"/>
    <s v="000000"/>
    <n v="64090"/>
    <s v="0,00"/>
    <s v="0,00"/>
    <s v="0,00"/>
    <s v="0,00"/>
    <m/>
    <m/>
    <s v="209"/>
    <s v="11"/>
    <m/>
    <m/>
    <s v="010101"/>
  </r>
  <r>
    <s v="COMBUSTIVEIS"/>
    <x v="11"/>
    <x v="0"/>
    <n v="64090"/>
    <s v="0000000027"/>
    <s v="0002"/>
    <d v="2022-11-17T00:00:00"/>
    <s v="330301001"/>
    <s v="209"/>
    <s v="21"/>
    <s v="Credito"/>
    <x v="0"/>
    <x v="77"/>
    <m/>
    <s v="000055"/>
    <s v="000000"/>
    <n v="64090"/>
    <s v="0,00"/>
    <s v="0,00"/>
    <s v="0,00"/>
    <s v="0,00"/>
    <m/>
    <m/>
    <s v="209"/>
    <s v="21"/>
    <m/>
    <m/>
    <s v="010101"/>
  </r>
  <r>
    <s v="PECAS E ACESSORIOS"/>
    <x v="0"/>
    <x v="0"/>
    <n v="398"/>
    <s v="0000000028"/>
    <s v="0001"/>
    <d v="2022-11-17T00:00:00"/>
    <s v="320301004"/>
    <s v="304"/>
    <s v="11"/>
    <s v="Credito"/>
    <x v="0"/>
    <x v="78"/>
    <m/>
    <s v="000055"/>
    <s v="000000"/>
    <n v="398"/>
    <s v="0,00"/>
    <s v="0,00"/>
    <s v="0,00"/>
    <s v="0,00"/>
    <m/>
    <m/>
    <s v="304"/>
    <s v="11"/>
    <m/>
    <m/>
    <s v="010101"/>
  </r>
  <r>
    <s v="PJ-OUTROS SERVICOS CONTRATADOS-PJ"/>
    <x v="3"/>
    <x v="0"/>
    <n v="499"/>
    <s v="0000000029"/>
    <s v="0001"/>
    <d v="2022-11-17T00:00:00"/>
    <s v="330201006"/>
    <s v="201"/>
    <s v="90"/>
    <s v="Credito"/>
    <x v="0"/>
    <x v="79"/>
    <m/>
    <s v="000055"/>
    <s v="000000"/>
    <n v="499"/>
    <s v="0,00"/>
    <s v="0,00"/>
    <s v="0,00"/>
    <s v="0,00"/>
    <m/>
    <m/>
    <s v="201"/>
    <s v="90"/>
    <m/>
    <m/>
    <s v="010101"/>
  </r>
  <r>
    <s v="PJ-OUTROS SERVICOS CONTRATADOS-PJ"/>
    <x v="3"/>
    <x v="0"/>
    <n v="499"/>
    <s v="0000000029"/>
    <s v="0002"/>
    <d v="2022-11-17T00:00:00"/>
    <s v="330201006"/>
    <s v="201"/>
    <s v="90"/>
    <s v="Credito"/>
    <x v="0"/>
    <x v="79"/>
    <m/>
    <s v="000055"/>
    <s v="000000"/>
    <n v="499"/>
    <s v="0,00"/>
    <s v="0,00"/>
    <s v="0,00"/>
    <s v="0,00"/>
    <m/>
    <m/>
    <s v="201"/>
    <s v="90"/>
    <m/>
    <m/>
    <s v="010101"/>
  </r>
  <r>
    <s v="PJ-OUTROS SERVICOS CONTRATADOS-PJ"/>
    <x v="3"/>
    <x v="0"/>
    <n v="499"/>
    <s v="0000000029"/>
    <s v="0003"/>
    <d v="2022-11-17T00:00:00"/>
    <s v="330201006"/>
    <s v="201"/>
    <s v="90"/>
    <s v="Credito"/>
    <x v="0"/>
    <x v="79"/>
    <m/>
    <s v="000055"/>
    <s v="000000"/>
    <n v="499"/>
    <s v="0,00"/>
    <s v="0,00"/>
    <s v="0,00"/>
    <s v="0,00"/>
    <m/>
    <m/>
    <s v="201"/>
    <s v="90"/>
    <m/>
    <m/>
    <s v="010101"/>
  </r>
  <r>
    <s v="PJ-OUTROS SERVICOS CONTRATADOS-PJ"/>
    <x v="3"/>
    <x v="0"/>
    <n v="499"/>
    <s v="0000000029"/>
    <s v="0004"/>
    <d v="2022-11-17T00:00:00"/>
    <s v="330201006"/>
    <s v="201"/>
    <s v="90"/>
    <s v="Credito"/>
    <x v="0"/>
    <x v="79"/>
    <m/>
    <s v="000055"/>
    <s v="000000"/>
    <n v="499"/>
    <s v="0,00"/>
    <s v="0,00"/>
    <s v="0,00"/>
    <s v="0,00"/>
    <m/>
    <m/>
    <s v="201"/>
    <s v="90"/>
    <m/>
    <m/>
    <s v="010101"/>
  </r>
  <r>
    <s v="PJ-OUTROS SERVICOS CONTRATADOS-PJ"/>
    <x v="3"/>
    <x v="0"/>
    <n v="499"/>
    <s v="0000000029"/>
    <s v="0005"/>
    <d v="2022-11-17T00:00:00"/>
    <s v="330201006"/>
    <s v="201"/>
    <s v="90"/>
    <s v="Credito"/>
    <x v="0"/>
    <x v="79"/>
    <m/>
    <s v="000055"/>
    <s v="000000"/>
    <n v="499"/>
    <s v="0,00"/>
    <s v="0,00"/>
    <s v="0,00"/>
    <s v="0,00"/>
    <m/>
    <m/>
    <s v="201"/>
    <s v="90"/>
    <m/>
    <m/>
    <s v="010101"/>
  </r>
  <r>
    <s v="PJ-OUTROS SERVICOS CONTRATADOS-PJ"/>
    <x v="3"/>
    <x v="0"/>
    <n v="499"/>
    <s v="0000000029"/>
    <s v="0006"/>
    <d v="2022-11-17T00:00:00"/>
    <s v="330201006"/>
    <s v="201"/>
    <s v="90"/>
    <s v="Credito"/>
    <x v="0"/>
    <x v="79"/>
    <m/>
    <s v="000055"/>
    <s v="000000"/>
    <n v="499"/>
    <s v="0,00"/>
    <s v="0,00"/>
    <s v="0,00"/>
    <s v="0,00"/>
    <m/>
    <m/>
    <s v="201"/>
    <s v="90"/>
    <m/>
    <m/>
    <s v="010101"/>
  </r>
  <r>
    <s v="PJ-LOCACAO DE MAQUINAS E EQUIPAMENTO"/>
    <x v="12"/>
    <x v="0"/>
    <n v="3631"/>
    <s v="0000000030"/>
    <s v="0001"/>
    <d v="2022-11-17T00:00:00"/>
    <s v="320201004"/>
    <s v="301"/>
    <s v="90"/>
    <s v="Credito"/>
    <x v="0"/>
    <x v="80"/>
    <m/>
    <s v="000055"/>
    <s v="000000"/>
    <n v="3631"/>
    <s v="0,00"/>
    <s v="0,00"/>
    <s v="0,00"/>
    <s v="0,00"/>
    <m/>
    <m/>
    <s v="301"/>
    <s v="90"/>
    <m/>
    <m/>
    <s v="010101"/>
  </r>
  <r>
    <s v="PJ-LOCACAO DE MAQUINAS E EQUIPAMENTO"/>
    <x v="12"/>
    <x v="0"/>
    <n v="3701"/>
    <s v="0000000030"/>
    <s v="0002"/>
    <d v="2022-11-17T00:00:00"/>
    <s v="320201004"/>
    <s v="301"/>
    <s v="90"/>
    <s v="Credito"/>
    <x v="0"/>
    <x v="80"/>
    <m/>
    <s v="000055"/>
    <s v="000000"/>
    <n v="3701"/>
    <s v="0,00"/>
    <s v="0,00"/>
    <s v="0,00"/>
    <s v="0,00"/>
    <m/>
    <m/>
    <s v="301"/>
    <s v="90"/>
    <m/>
    <m/>
    <s v="010101"/>
  </r>
  <r>
    <s v="PJ-LOCACAO DE MAQUINAS E EQUIPAMENTO"/>
    <x v="12"/>
    <x v="0"/>
    <n v="1885"/>
    <s v="0000000030"/>
    <s v="0003"/>
    <d v="2022-11-17T00:00:00"/>
    <s v="320201004"/>
    <s v="301"/>
    <s v="90"/>
    <s v="Credito"/>
    <x v="0"/>
    <x v="80"/>
    <m/>
    <s v="000055"/>
    <s v="000000"/>
    <n v="1885"/>
    <s v="0,00"/>
    <s v="0,00"/>
    <s v="0,00"/>
    <s v="0,00"/>
    <m/>
    <m/>
    <s v="301"/>
    <s v="90"/>
    <m/>
    <m/>
    <s v="010101"/>
  </r>
  <r>
    <s v="PJ-LOCACAO DE MAQUINAS E EQUIPAMENTO"/>
    <x v="12"/>
    <x v="0"/>
    <n v="1703"/>
    <s v="0000000030"/>
    <s v="0004"/>
    <d v="2022-11-17T00:00:00"/>
    <s v="320201004"/>
    <s v="301"/>
    <s v="90"/>
    <s v="Credito"/>
    <x v="0"/>
    <x v="80"/>
    <m/>
    <s v="000055"/>
    <s v="000000"/>
    <n v="1703"/>
    <s v="0,00"/>
    <s v="0,00"/>
    <s v="0,00"/>
    <s v="0,00"/>
    <m/>
    <m/>
    <s v="301"/>
    <s v="90"/>
    <m/>
    <m/>
    <s v="010101"/>
  </r>
  <r>
    <s v="PJ-LOCACAO DE MAQUINAS E EQUIPAMENTO"/>
    <x v="12"/>
    <x v="0"/>
    <n v="3928"/>
    <s v="0000000030"/>
    <s v="0005"/>
    <d v="2022-11-17T00:00:00"/>
    <s v="320201004"/>
    <s v="301"/>
    <s v="90"/>
    <s v="Credito"/>
    <x v="0"/>
    <x v="80"/>
    <m/>
    <s v="000055"/>
    <s v="000000"/>
    <n v="3928"/>
    <s v="0,00"/>
    <s v="0,00"/>
    <s v="0,00"/>
    <s v="0,00"/>
    <m/>
    <m/>
    <s v="301"/>
    <s v="90"/>
    <m/>
    <m/>
    <s v="010101"/>
  </r>
  <r>
    <s v="PJ-LOCACAO DE MAQUINAS E EQUIPAMENTO"/>
    <x v="12"/>
    <x v="0"/>
    <n v="3631"/>
    <s v="0000000030"/>
    <s v="0006"/>
    <d v="2022-11-17T00:00:00"/>
    <s v="320201004"/>
    <s v="301"/>
    <s v="90"/>
    <s v="Credito"/>
    <x v="0"/>
    <x v="80"/>
    <m/>
    <s v="000055"/>
    <s v="000000"/>
    <n v="3631"/>
    <s v="0,00"/>
    <s v="0,00"/>
    <s v="0,00"/>
    <s v="0,00"/>
    <m/>
    <m/>
    <s v="301"/>
    <s v="90"/>
    <m/>
    <m/>
    <s v="010101"/>
  </r>
  <r>
    <s v="PJ-LOCACAO DE MAQUINAS E EQUIPAMENTO"/>
    <x v="12"/>
    <x v="0"/>
    <n v="3701"/>
    <s v="0000000030"/>
    <s v="0007"/>
    <d v="2022-11-17T00:00:00"/>
    <s v="320201004"/>
    <s v="301"/>
    <s v="90"/>
    <s v="Credito"/>
    <x v="0"/>
    <x v="80"/>
    <m/>
    <s v="000055"/>
    <s v="000000"/>
    <n v="3701"/>
    <s v="0,00"/>
    <s v="0,00"/>
    <s v="0,00"/>
    <s v="0,00"/>
    <m/>
    <m/>
    <s v="301"/>
    <s v="90"/>
    <m/>
    <m/>
    <s v="010101"/>
  </r>
  <r>
    <s v="PJ-LOCACAO DE MAQUINAS E EQUIPAMENTO"/>
    <x v="12"/>
    <x v="0"/>
    <n v="1885"/>
    <s v="0000000030"/>
    <s v="0008"/>
    <d v="2022-11-17T00:00:00"/>
    <s v="320201004"/>
    <s v="301"/>
    <s v="90"/>
    <s v="Credito"/>
    <x v="0"/>
    <x v="80"/>
    <m/>
    <s v="000055"/>
    <s v="000000"/>
    <n v="1885"/>
    <s v="0,00"/>
    <s v="0,00"/>
    <s v="0,00"/>
    <s v="0,00"/>
    <m/>
    <m/>
    <s v="301"/>
    <s v="90"/>
    <m/>
    <m/>
    <s v="010101"/>
  </r>
  <r>
    <s v="PJ-LOCACAO DE MAQUINAS E EQUIPAMENTO"/>
    <x v="12"/>
    <x v="0"/>
    <n v="1703"/>
    <s v="0000000030"/>
    <s v="0009"/>
    <d v="2022-11-17T00:00:00"/>
    <s v="320201004"/>
    <s v="301"/>
    <s v="90"/>
    <s v="Credito"/>
    <x v="0"/>
    <x v="80"/>
    <m/>
    <s v="000055"/>
    <s v="000000"/>
    <n v="1703"/>
    <s v="0,00"/>
    <s v="0,00"/>
    <s v="0,00"/>
    <s v="0,00"/>
    <m/>
    <m/>
    <s v="301"/>
    <s v="90"/>
    <m/>
    <m/>
    <s v="010101"/>
  </r>
  <r>
    <s v="PJ-LOCACAO DE MAQUINAS E EQUIPAMENTO"/>
    <x v="12"/>
    <x v="0"/>
    <n v="3928"/>
    <s v="0000000030"/>
    <s v="0010"/>
    <d v="2022-11-17T00:00:00"/>
    <s v="320201004"/>
    <s v="301"/>
    <s v="90"/>
    <s v="Credito"/>
    <x v="0"/>
    <x v="80"/>
    <m/>
    <s v="000055"/>
    <s v="000000"/>
    <n v="3928"/>
    <s v="0,00"/>
    <s v="0,00"/>
    <s v="0,00"/>
    <s v="0,00"/>
    <m/>
    <m/>
    <s v="301"/>
    <s v="90"/>
    <m/>
    <m/>
    <s v="010101"/>
  </r>
  <r>
    <s v="PJ-LOCACAO DE MAQUINAS E EQUIPAMENTO"/>
    <x v="12"/>
    <x v="0"/>
    <n v="3631"/>
    <s v="0000000030"/>
    <s v="0011"/>
    <d v="2022-11-17T00:00:00"/>
    <s v="320201004"/>
    <s v="301"/>
    <s v="90"/>
    <s v="Credito"/>
    <x v="0"/>
    <x v="80"/>
    <m/>
    <s v="000055"/>
    <s v="000000"/>
    <n v="3631"/>
    <s v="0,00"/>
    <s v="0,00"/>
    <s v="0,00"/>
    <s v="0,00"/>
    <m/>
    <m/>
    <s v="301"/>
    <s v="90"/>
    <m/>
    <m/>
    <s v="010101"/>
  </r>
  <r>
    <s v="PJ-LOCACAO DE MAQUINAS E EQUIPAMENTO"/>
    <x v="12"/>
    <x v="0"/>
    <n v="3701"/>
    <s v="0000000030"/>
    <s v="0012"/>
    <d v="2022-11-17T00:00:00"/>
    <s v="320201004"/>
    <s v="301"/>
    <s v="90"/>
    <s v="Credito"/>
    <x v="0"/>
    <x v="80"/>
    <m/>
    <s v="000055"/>
    <s v="000000"/>
    <n v="3701"/>
    <s v="0,00"/>
    <s v="0,00"/>
    <s v="0,00"/>
    <s v="0,00"/>
    <m/>
    <m/>
    <s v="301"/>
    <s v="90"/>
    <m/>
    <m/>
    <s v="010101"/>
  </r>
  <r>
    <s v="PJ-LOCACAO DE MAQUINAS E EQUIPAMENTO"/>
    <x v="12"/>
    <x v="0"/>
    <n v="1885"/>
    <s v="0000000030"/>
    <s v="0013"/>
    <d v="2022-11-17T00:00:00"/>
    <s v="320201004"/>
    <s v="301"/>
    <s v="90"/>
    <s v="Credito"/>
    <x v="0"/>
    <x v="80"/>
    <m/>
    <s v="000055"/>
    <s v="000000"/>
    <n v="1885"/>
    <s v="0,00"/>
    <s v="0,00"/>
    <s v="0,00"/>
    <s v="0,00"/>
    <m/>
    <m/>
    <s v="301"/>
    <s v="90"/>
    <m/>
    <m/>
    <s v="010101"/>
  </r>
  <r>
    <s v="PJ-LOCACAO DE MAQUINAS E EQUIPAMENTO"/>
    <x v="12"/>
    <x v="0"/>
    <n v="1703"/>
    <s v="0000000030"/>
    <s v="0014"/>
    <d v="2022-11-17T00:00:00"/>
    <s v="320201004"/>
    <s v="301"/>
    <s v="90"/>
    <s v="Credito"/>
    <x v="0"/>
    <x v="80"/>
    <m/>
    <s v="000055"/>
    <s v="000000"/>
    <n v="1703"/>
    <s v="0,00"/>
    <s v="0,00"/>
    <s v="0,00"/>
    <s v="0,00"/>
    <m/>
    <m/>
    <s v="301"/>
    <s v="90"/>
    <m/>
    <m/>
    <s v="010101"/>
  </r>
  <r>
    <s v="PJ-LOCACAO DE MAQUINAS E EQUIPAMENTO"/>
    <x v="12"/>
    <x v="0"/>
    <n v="3928"/>
    <s v="0000000030"/>
    <s v="0015"/>
    <d v="2022-11-17T00:00:00"/>
    <s v="320201004"/>
    <s v="301"/>
    <s v="90"/>
    <s v="Credito"/>
    <x v="0"/>
    <x v="80"/>
    <m/>
    <s v="000055"/>
    <s v="000000"/>
    <n v="3928"/>
    <s v="0,00"/>
    <s v="0,00"/>
    <s v="0,00"/>
    <s v="0,00"/>
    <m/>
    <m/>
    <s v="301"/>
    <s v="90"/>
    <m/>
    <m/>
    <s v="010101"/>
  </r>
  <r>
    <s v="PECAS E ACESSORIOS"/>
    <x v="1"/>
    <x v="0"/>
    <n v="625"/>
    <s v="0000000032"/>
    <s v="0001"/>
    <d v="2022-11-17T00:00:00"/>
    <s v="330301004"/>
    <s v="209"/>
    <s v="90"/>
    <s v="Credito"/>
    <x v="0"/>
    <x v="81"/>
    <m/>
    <s v="000055"/>
    <s v="000000"/>
    <n v="625"/>
    <s v="0,00"/>
    <s v="0,00"/>
    <s v="0,00"/>
    <s v="0,00"/>
    <m/>
    <m/>
    <s v="209"/>
    <s v="90"/>
    <m/>
    <m/>
    <s v="010101"/>
  </r>
  <r>
    <s v="PECAS E ACESSORIOS"/>
    <x v="1"/>
    <x v="0"/>
    <n v="725"/>
    <s v="0000000033"/>
    <s v="0001"/>
    <d v="2022-11-17T00:00:00"/>
    <s v="330301004"/>
    <s v="209"/>
    <s v="90"/>
    <s v="Credito"/>
    <x v="0"/>
    <x v="82"/>
    <m/>
    <s v="000055"/>
    <s v="000000"/>
    <n v="725"/>
    <s v="0,00"/>
    <s v="0,00"/>
    <s v="0,00"/>
    <s v="0,00"/>
    <m/>
    <m/>
    <s v="209"/>
    <s v="90"/>
    <m/>
    <m/>
    <s v="010101"/>
  </r>
  <r>
    <s v="DESPESAS GERAIS"/>
    <x v="8"/>
    <x v="0"/>
    <n v="13"/>
    <s v="0000000034"/>
    <s v="0001"/>
    <d v="2022-11-17T00:00:00"/>
    <s v="330409"/>
    <s v="209"/>
    <s v="90"/>
    <s v="Credito"/>
    <x v="0"/>
    <x v="83"/>
    <m/>
    <s v="000055"/>
    <s v="000000"/>
    <n v="13"/>
    <s v="0,00"/>
    <s v="0,00"/>
    <s v="0,00"/>
    <s v="0,00"/>
    <m/>
    <m/>
    <s v="209"/>
    <s v="90"/>
    <m/>
    <m/>
    <s v="010101"/>
  </r>
  <r>
    <s v="PECAS E ACESSORIOS"/>
    <x v="1"/>
    <x v="0"/>
    <n v="3095"/>
    <s v="0000000035"/>
    <s v="0001"/>
    <d v="2022-11-17T00:00:00"/>
    <s v="330301004"/>
    <s v="209"/>
    <s v="90"/>
    <s v="Credito"/>
    <x v="0"/>
    <x v="84"/>
    <m/>
    <s v="000055"/>
    <s v="000000"/>
    <n v="3095"/>
    <s v="0,00"/>
    <s v="0,00"/>
    <s v="0,00"/>
    <s v="0,00"/>
    <m/>
    <m/>
    <s v="209"/>
    <s v="90"/>
    <m/>
    <m/>
    <s v="010101"/>
  </r>
  <r>
    <s v="TARIFAS PORTUµRIAS"/>
    <x v="13"/>
    <x v="0"/>
    <n v="8567"/>
    <s v="0000000036"/>
    <s v="0001"/>
    <d v="2022-11-17T00:00:00"/>
    <s v="320601002"/>
    <s v="305"/>
    <s v="21"/>
    <s v="Credito"/>
    <x v="0"/>
    <x v="85"/>
    <m/>
    <s v="000055"/>
    <s v="000000"/>
    <n v="8567"/>
    <s v="0,00"/>
    <s v="0,00"/>
    <s v="0,00"/>
    <s v="0,00"/>
    <m/>
    <m/>
    <s v="305"/>
    <s v="21"/>
    <m/>
    <m/>
    <s v="010101"/>
  </r>
  <r>
    <s v="TARIFAS PORTUµRIAS"/>
    <x v="13"/>
    <x v="0"/>
    <n v="80230"/>
    <s v="0000000036"/>
    <s v="0002"/>
    <d v="2022-11-17T00:00:00"/>
    <s v="320601002"/>
    <s v="305"/>
    <s v="21"/>
    <s v="Credito"/>
    <x v="0"/>
    <x v="85"/>
    <m/>
    <s v="000055"/>
    <s v="000000"/>
    <n v="80230"/>
    <s v="0,00"/>
    <s v="0,00"/>
    <s v="0,00"/>
    <s v="0,00"/>
    <m/>
    <m/>
    <s v="305"/>
    <s v="21"/>
    <m/>
    <m/>
    <s v="010101"/>
  </r>
  <r>
    <s v="TARIFAS PORTUµRIAS"/>
    <x v="13"/>
    <x v="0"/>
    <n v="210"/>
    <s v="0000000037"/>
    <s v="0001"/>
    <d v="2022-11-17T00:00:00"/>
    <s v="320601002"/>
    <s v="305"/>
    <s v="31"/>
    <s v="Credito"/>
    <x v="0"/>
    <x v="86"/>
    <m/>
    <s v="000055"/>
    <s v="000000"/>
    <n v="210"/>
    <s v="0,00"/>
    <s v="0,00"/>
    <s v="0,00"/>
    <s v="0,00"/>
    <m/>
    <m/>
    <s v="305"/>
    <s v="31"/>
    <m/>
    <m/>
    <s v="010101"/>
  </r>
  <r>
    <s v="DESPESAS GERAIS"/>
    <x v="8"/>
    <x v="0"/>
    <n v="160"/>
    <s v="0000000038"/>
    <s v="0001"/>
    <d v="2022-11-18T00:00:00"/>
    <s v="330409"/>
    <s v="209"/>
    <s v="90"/>
    <s v="Credito"/>
    <x v="0"/>
    <x v="87"/>
    <m/>
    <s v="000055"/>
    <s v="000000"/>
    <n v="160"/>
    <s v="0,00"/>
    <s v="0,00"/>
    <s v="0,00"/>
    <s v="0,00"/>
    <m/>
    <m/>
    <s v="209"/>
    <s v="90"/>
    <m/>
    <m/>
    <s v="010101"/>
  </r>
  <r>
    <s v="DESPESAS GERAIS"/>
    <x v="8"/>
    <x v="0"/>
    <n v="71"/>
    <s v="0000000038"/>
    <s v="0002"/>
    <d v="2022-11-18T00:00:00"/>
    <s v="330409"/>
    <s v="209"/>
    <s v="90"/>
    <s v="Credito"/>
    <x v="0"/>
    <x v="88"/>
    <m/>
    <s v="000055"/>
    <s v="000000"/>
    <n v="71"/>
    <s v="0,00"/>
    <s v="0,00"/>
    <s v="0,00"/>
    <s v="0,00"/>
    <m/>
    <m/>
    <s v="209"/>
    <s v="90"/>
    <m/>
    <m/>
    <s v="010101"/>
  </r>
  <r>
    <s v="PECAS E ACESSORIOS"/>
    <x v="1"/>
    <x v="0"/>
    <n v="640"/>
    <s v="0000000039"/>
    <s v="0001"/>
    <d v="2022-11-18T00:00:00"/>
    <s v="330301004"/>
    <s v="209"/>
    <s v="90"/>
    <s v="Credito"/>
    <x v="0"/>
    <x v="89"/>
    <m/>
    <s v="000055"/>
    <s v="000000"/>
    <n v="640"/>
    <s v="0,00"/>
    <s v="0,00"/>
    <s v="0,00"/>
    <s v="0,00"/>
    <m/>
    <m/>
    <s v="209"/>
    <s v="90"/>
    <m/>
    <m/>
    <s v="010101"/>
  </r>
  <r>
    <s v="PECAS E ACESSORIOS"/>
    <x v="1"/>
    <x v="0"/>
    <n v="998"/>
    <s v="0000000040"/>
    <s v="0001"/>
    <d v="2022-11-18T00:00:00"/>
    <s v="330301004"/>
    <s v="209"/>
    <s v="90"/>
    <s v="Credito"/>
    <x v="0"/>
    <x v="90"/>
    <m/>
    <s v="000055"/>
    <s v="000000"/>
    <n v="998"/>
    <s v="0,00"/>
    <s v="0,00"/>
    <s v="0,00"/>
    <s v="0,00"/>
    <m/>
    <m/>
    <s v="209"/>
    <s v="90"/>
    <m/>
    <m/>
    <s v="010101"/>
  </r>
  <r>
    <s v="PECAS E ACESSORIOS"/>
    <x v="1"/>
    <x v="0"/>
    <n v="600"/>
    <s v="0000000041"/>
    <s v="0001"/>
    <d v="2022-11-18T00:00:00"/>
    <s v="330301004"/>
    <s v="209"/>
    <s v="90"/>
    <s v="Credito"/>
    <x v="0"/>
    <x v="91"/>
    <m/>
    <s v="000055"/>
    <s v="000000"/>
    <n v="600"/>
    <s v="0,00"/>
    <s v="0,00"/>
    <s v="0,00"/>
    <s v="0,00"/>
    <m/>
    <m/>
    <s v="209"/>
    <s v="90"/>
    <m/>
    <m/>
    <s v="010101"/>
  </r>
  <r>
    <s v="PECAS E ACESSORIOS"/>
    <x v="1"/>
    <x v="0"/>
    <n v="600"/>
    <s v="0000000041"/>
    <s v="0002"/>
    <d v="2022-11-18T00:00:00"/>
    <s v="330301004"/>
    <s v="209"/>
    <s v="90"/>
    <s v="Credito"/>
    <x v="0"/>
    <x v="92"/>
    <m/>
    <s v="000055"/>
    <s v="000000"/>
    <n v="600"/>
    <s v="0,00"/>
    <s v="0,00"/>
    <s v="0,00"/>
    <s v="0,00"/>
    <m/>
    <m/>
    <s v="209"/>
    <s v="90"/>
    <m/>
    <m/>
    <s v="010101"/>
  </r>
  <r>
    <s v="MANUTENCAO E CONSERVACAO"/>
    <x v="14"/>
    <x v="0"/>
    <n v="269"/>
    <s v="0000000042"/>
    <s v="0001"/>
    <d v="2022-11-18T00:00:00"/>
    <s v="330406"/>
    <s v="211"/>
    <s v="51"/>
    <s v="Credito"/>
    <x v="0"/>
    <x v="93"/>
    <m/>
    <s v="000055"/>
    <s v="000000"/>
    <n v="269"/>
    <s v="0,00"/>
    <s v="0,00"/>
    <s v="0,00"/>
    <s v="0,00"/>
    <m/>
    <m/>
    <s v="211"/>
    <s v="51"/>
    <m/>
    <m/>
    <s v="010101"/>
  </r>
  <r>
    <s v="DESPESAS GERAIS"/>
    <x v="8"/>
    <x v="0"/>
    <n v="82"/>
    <s v="0000000043"/>
    <s v="0001"/>
    <d v="2022-11-18T00:00:00"/>
    <s v="330409"/>
    <s v="209"/>
    <s v="90"/>
    <s v="Credito"/>
    <x v="0"/>
    <x v="94"/>
    <m/>
    <s v="000055"/>
    <s v="000000"/>
    <n v="82"/>
    <s v="0,00"/>
    <s v="0,00"/>
    <s v="0,00"/>
    <s v="0,00"/>
    <m/>
    <m/>
    <s v="209"/>
    <s v="90"/>
    <m/>
    <m/>
    <s v="010101"/>
  </r>
  <r>
    <s v="DESPESAS GERAIS"/>
    <x v="8"/>
    <x v="0"/>
    <n v="174"/>
    <s v="0000000043"/>
    <s v="0002"/>
    <d v="2022-11-18T00:00:00"/>
    <s v="330409"/>
    <s v="209"/>
    <s v="90"/>
    <s v="Credito"/>
    <x v="0"/>
    <x v="95"/>
    <m/>
    <s v="000055"/>
    <s v="000000"/>
    <n v="174"/>
    <s v="0,00"/>
    <s v="0,00"/>
    <s v="0,00"/>
    <s v="0,00"/>
    <m/>
    <m/>
    <s v="209"/>
    <s v="90"/>
    <m/>
    <m/>
    <s v="010101"/>
  </r>
  <r>
    <s v="DESPESAS GERAIS"/>
    <x v="8"/>
    <x v="0"/>
    <n v="21"/>
    <s v="0000000044"/>
    <s v="0001"/>
    <d v="2022-11-18T00:00:00"/>
    <s v="330409"/>
    <s v="209"/>
    <s v="90"/>
    <s v="Credito"/>
    <x v="0"/>
    <x v="96"/>
    <m/>
    <s v="000055"/>
    <s v="000000"/>
    <n v="21"/>
    <s v="0,00"/>
    <s v="0,00"/>
    <s v="0,00"/>
    <s v="0,00"/>
    <m/>
    <m/>
    <s v="209"/>
    <s v="90"/>
    <m/>
    <m/>
    <s v="010101"/>
  </r>
  <r>
    <s v="DESPESAS GERAIS"/>
    <x v="8"/>
    <x v="0"/>
    <n v="5"/>
    <s v="0000000044"/>
    <s v="0002"/>
    <d v="2022-11-18T00:00:00"/>
    <s v="330409"/>
    <s v="209"/>
    <s v="90"/>
    <s v="Credito"/>
    <x v="0"/>
    <x v="97"/>
    <m/>
    <s v="000055"/>
    <s v="000000"/>
    <n v="5"/>
    <s v="0,00"/>
    <s v="0,00"/>
    <s v="0,00"/>
    <s v="0,00"/>
    <m/>
    <m/>
    <s v="209"/>
    <s v="90"/>
    <m/>
    <m/>
    <s v="010101"/>
  </r>
  <r>
    <s v="DESPESAS GERAIS"/>
    <x v="8"/>
    <x v="0"/>
    <n v="113"/>
    <s v="0000000044"/>
    <s v="0003"/>
    <d v="2022-11-18T00:00:00"/>
    <s v="330409"/>
    <s v="209"/>
    <s v="90"/>
    <s v="Credito"/>
    <x v="0"/>
    <x v="98"/>
    <m/>
    <s v="000055"/>
    <s v="000000"/>
    <n v="113"/>
    <s v="0,00"/>
    <s v="0,00"/>
    <s v="0,00"/>
    <s v="0,00"/>
    <m/>
    <m/>
    <s v="209"/>
    <s v="90"/>
    <m/>
    <m/>
    <s v="010101"/>
  </r>
  <r>
    <s v="DESPESAS GERAIS"/>
    <x v="8"/>
    <x v="0"/>
    <n v="7"/>
    <s v="0000000044"/>
    <s v="0004"/>
    <d v="2022-11-18T00:00:00"/>
    <s v="330409"/>
    <s v="209"/>
    <s v="90"/>
    <s v="Credito"/>
    <x v="0"/>
    <x v="99"/>
    <m/>
    <s v="000055"/>
    <s v="000000"/>
    <n v="7"/>
    <s v="0,00"/>
    <s v="0,00"/>
    <s v="0,00"/>
    <s v="0,00"/>
    <m/>
    <m/>
    <s v="209"/>
    <s v="90"/>
    <m/>
    <m/>
    <s v="010101"/>
  </r>
  <r>
    <s v="DESPESAS GERAIS"/>
    <x v="8"/>
    <x v="0"/>
    <n v="213"/>
    <s v="0000000044"/>
    <s v="0005"/>
    <d v="2022-11-18T00:00:00"/>
    <s v="330409"/>
    <s v="209"/>
    <s v="90"/>
    <s v="Credito"/>
    <x v="0"/>
    <x v="100"/>
    <m/>
    <s v="000055"/>
    <s v="000000"/>
    <n v="213"/>
    <s v="0,00"/>
    <s v="0,00"/>
    <s v="0,00"/>
    <s v="0,00"/>
    <m/>
    <m/>
    <s v="209"/>
    <s v="90"/>
    <m/>
    <m/>
    <s v="010101"/>
  </r>
  <r>
    <s v="DESPESAS GERAIS"/>
    <x v="8"/>
    <x v="0"/>
    <n v="58"/>
    <s v="0000000044"/>
    <s v="0006"/>
    <d v="2022-11-18T00:00:00"/>
    <s v="330409"/>
    <s v="209"/>
    <s v="90"/>
    <s v="Credito"/>
    <x v="0"/>
    <x v="101"/>
    <m/>
    <s v="000055"/>
    <s v="000000"/>
    <n v="58"/>
    <s v="0,00"/>
    <s v="0,00"/>
    <s v="0,00"/>
    <s v="0,00"/>
    <m/>
    <m/>
    <s v="209"/>
    <s v="90"/>
    <m/>
    <m/>
    <s v="010101"/>
  </r>
  <r>
    <s v="DESPESAS GERAIS"/>
    <x v="8"/>
    <x v="0"/>
    <n v="33"/>
    <s v="0000000044"/>
    <s v="0007"/>
    <d v="2022-11-18T00:00:00"/>
    <s v="330409"/>
    <s v="209"/>
    <s v="90"/>
    <s v="Credito"/>
    <x v="0"/>
    <x v="102"/>
    <m/>
    <s v="000055"/>
    <s v="000000"/>
    <n v="33"/>
    <s v="0,00"/>
    <s v="0,00"/>
    <s v="0,00"/>
    <s v="0,00"/>
    <m/>
    <m/>
    <s v="209"/>
    <s v="90"/>
    <m/>
    <m/>
    <s v="010101"/>
  </r>
  <r>
    <s v="DESPESAS GERAIS"/>
    <x v="8"/>
    <x v="0"/>
    <n v="14"/>
    <s v="0000000044"/>
    <s v="0008"/>
    <d v="2022-11-18T00:00:00"/>
    <s v="330409"/>
    <s v="209"/>
    <s v="90"/>
    <s v="Credito"/>
    <x v="0"/>
    <x v="103"/>
    <m/>
    <s v="000055"/>
    <s v="000000"/>
    <n v="14"/>
    <s v="0,00"/>
    <s v="0,00"/>
    <s v="0,00"/>
    <s v="0,00"/>
    <m/>
    <m/>
    <s v="209"/>
    <s v="90"/>
    <m/>
    <m/>
    <s v="010101"/>
  </r>
  <r>
    <s v="DESPESAS GERAIS"/>
    <x v="8"/>
    <x v="0"/>
    <n v="28"/>
    <s v="0000000044"/>
    <s v="0009"/>
    <d v="2022-11-18T00:00:00"/>
    <s v="330409"/>
    <s v="209"/>
    <s v="90"/>
    <s v="Credito"/>
    <x v="0"/>
    <x v="104"/>
    <m/>
    <s v="000055"/>
    <s v="000000"/>
    <n v="28"/>
    <s v="0,00"/>
    <s v="0,00"/>
    <s v="0,00"/>
    <s v="0,00"/>
    <m/>
    <m/>
    <s v="209"/>
    <s v="90"/>
    <m/>
    <m/>
    <s v="010101"/>
  </r>
  <r>
    <s v="DESPESAS GERAIS"/>
    <x v="8"/>
    <x v="0"/>
    <n v="52"/>
    <s v="0000000044"/>
    <s v="0010"/>
    <d v="2022-11-18T00:00:00"/>
    <s v="330409"/>
    <s v="209"/>
    <s v="90"/>
    <s v="Credito"/>
    <x v="0"/>
    <x v="105"/>
    <m/>
    <s v="000055"/>
    <s v="000000"/>
    <n v="52"/>
    <s v="0,00"/>
    <s v="0,00"/>
    <s v="0,00"/>
    <s v="0,00"/>
    <m/>
    <m/>
    <s v="209"/>
    <s v="90"/>
    <m/>
    <m/>
    <s v="010101"/>
  </r>
  <r>
    <s v="DESPESAS GERAIS"/>
    <x v="8"/>
    <x v="0"/>
    <n v="69"/>
    <s v="0000000044"/>
    <s v="0011"/>
    <d v="2022-11-18T00:00:00"/>
    <s v="330409"/>
    <s v="209"/>
    <s v="90"/>
    <s v="Credito"/>
    <x v="0"/>
    <x v="106"/>
    <m/>
    <s v="000055"/>
    <s v="000000"/>
    <n v="69"/>
    <s v="0,00"/>
    <s v="0,00"/>
    <s v="0,00"/>
    <s v="0,00"/>
    <m/>
    <m/>
    <s v="209"/>
    <s v="90"/>
    <m/>
    <m/>
    <s v="010101"/>
  </r>
  <r>
    <s v="DESPESAS GERAIS"/>
    <x v="8"/>
    <x v="0"/>
    <n v="37"/>
    <s v="0000000044"/>
    <s v="0012"/>
    <d v="2022-11-18T00:00:00"/>
    <s v="330409"/>
    <s v="209"/>
    <s v="90"/>
    <s v="Credito"/>
    <x v="0"/>
    <x v="107"/>
    <m/>
    <s v="000055"/>
    <s v="000000"/>
    <n v="37"/>
    <s v="0,00"/>
    <s v="0,00"/>
    <s v="0,00"/>
    <s v="0,00"/>
    <m/>
    <m/>
    <s v="209"/>
    <s v="90"/>
    <m/>
    <m/>
    <s v="010101"/>
  </r>
  <r>
    <s v="DESPESAS GERAIS"/>
    <x v="8"/>
    <x v="0"/>
    <n v="6"/>
    <s v="0000000044"/>
    <s v="0013"/>
    <d v="2022-11-18T00:00:00"/>
    <s v="330409"/>
    <s v="209"/>
    <s v="90"/>
    <s v="Credito"/>
    <x v="0"/>
    <x v="108"/>
    <m/>
    <s v="000055"/>
    <s v="000000"/>
    <n v="6"/>
    <s v="0,00"/>
    <s v="0,00"/>
    <s v="0,00"/>
    <s v="0,00"/>
    <m/>
    <m/>
    <s v="209"/>
    <s v="90"/>
    <m/>
    <m/>
    <s v="010101"/>
  </r>
  <r>
    <s v="DESPESAS GERAIS"/>
    <x v="8"/>
    <x v="0"/>
    <n v="8"/>
    <s v="0000000044"/>
    <s v="0014"/>
    <d v="2022-11-18T00:00:00"/>
    <s v="330409"/>
    <s v="209"/>
    <s v="90"/>
    <s v="Credito"/>
    <x v="0"/>
    <x v="109"/>
    <m/>
    <s v="000055"/>
    <s v="000000"/>
    <n v="8"/>
    <s v="0,00"/>
    <s v="0,00"/>
    <s v="0,00"/>
    <s v="0,00"/>
    <m/>
    <m/>
    <s v="209"/>
    <s v="90"/>
    <m/>
    <m/>
    <s v="010101"/>
  </r>
  <r>
    <s v="DESPESAS GERAIS"/>
    <x v="8"/>
    <x v="0"/>
    <n v="7"/>
    <s v="0000000044"/>
    <s v="0015"/>
    <d v="2022-11-18T00:00:00"/>
    <s v="330409"/>
    <s v="209"/>
    <s v="90"/>
    <s v="Credito"/>
    <x v="0"/>
    <x v="110"/>
    <m/>
    <s v="000055"/>
    <s v="000000"/>
    <n v="7"/>
    <s v="0,00"/>
    <s v="0,00"/>
    <s v="0,00"/>
    <s v="0,00"/>
    <m/>
    <m/>
    <s v="209"/>
    <s v="90"/>
    <m/>
    <m/>
    <s v="010101"/>
  </r>
  <r>
    <s v="DESPESAS GERAIS"/>
    <x v="8"/>
    <x v="0"/>
    <n v="301"/>
    <s v="0000000044"/>
    <s v="0016"/>
    <d v="2022-11-18T00:00:00"/>
    <s v="330409"/>
    <s v="209"/>
    <s v="90"/>
    <s v="Credito"/>
    <x v="0"/>
    <x v="111"/>
    <m/>
    <s v="000055"/>
    <s v="000000"/>
    <n v="301"/>
    <s v="0,00"/>
    <s v="0,00"/>
    <s v="0,00"/>
    <s v="0,00"/>
    <m/>
    <m/>
    <s v="209"/>
    <s v="90"/>
    <m/>
    <m/>
    <s v="010101"/>
  </r>
  <r>
    <s v="DESPESAS GERAIS"/>
    <x v="8"/>
    <x v="0"/>
    <n v="30"/>
    <s v="0000000044"/>
    <s v="0017"/>
    <d v="2022-11-18T00:00:00"/>
    <s v="330409"/>
    <s v="209"/>
    <s v="90"/>
    <s v="Credito"/>
    <x v="0"/>
    <x v="112"/>
    <m/>
    <s v="000055"/>
    <s v="000000"/>
    <n v="30"/>
    <s v="0,00"/>
    <s v="0,00"/>
    <s v="0,00"/>
    <s v="0,00"/>
    <m/>
    <m/>
    <s v="209"/>
    <s v="90"/>
    <m/>
    <m/>
    <s v="010101"/>
  </r>
  <r>
    <s v="DESPESAS GERAIS"/>
    <x v="8"/>
    <x v="0"/>
    <n v="31"/>
    <s v="0000000045"/>
    <s v="0001"/>
    <d v="2022-11-18T00:00:00"/>
    <s v="330409"/>
    <s v="209"/>
    <s v="90"/>
    <s v="Credito"/>
    <x v="0"/>
    <x v="113"/>
    <m/>
    <s v="000055"/>
    <s v="000000"/>
    <n v="31"/>
    <s v="0,00"/>
    <s v="0,00"/>
    <s v="0,00"/>
    <s v="0,00"/>
    <m/>
    <m/>
    <s v="209"/>
    <s v="90"/>
    <m/>
    <m/>
    <s v="010101"/>
  </r>
  <r>
    <s v="DESPESAS GERAIS"/>
    <x v="8"/>
    <x v="0"/>
    <n v="42"/>
    <s v="0000000045"/>
    <s v="0002"/>
    <d v="2022-11-18T00:00:00"/>
    <s v="330409"/>
    <s v="209"/>
    <s v="90"/>
    <s v="Credito"/>
    <x v="0"/>
    <x v="114"/>
    <m/>
    <s v="000055"/>
    <s v="000000"/>
    <n v="42"/>
    <s v="0,00"/>
    <s v="0,00"/>
    <s v="0,00"/>
    <s v="0,00"/>
    <m/>
    <m/>
    <s v="209"/>
    <s v="90"/>
    <m/>
    <m/>
    <s v="010101"/>
  </r>
  <r>
    <s v="DESPESAS GERAIS"/>
    <x v="8"/>
    <x v="0"/>
    <n v="74"/>
    <s v="0000000045"/>
    <s v="0003"/>
    <d v="2022-11-18T00:00:00"/>
    <s v="330409"/>
    <s v="209"/>
    <s v="90"/>
    <s v="Credito"/>
    <x v="0"/>
    <x v="115"/>
    <m/>
    <s v="000055"/>
    <s v="000000"/>
    <n v="74"/>
    <s v="0,00"/>
    <s v="0,00"/>
    <s v="0,00"/>
    <s v="0,00"/>
    <m/>
    <m/>
    <s v="209"/>
    <s v="90"/>
    <m/>
    <m/>
    <s v="010101"/>
  </r>
  <r>
    <s v="DESPESAS GERAIS"/>
    <x v="8"/>
    <x v="0"/>
    <n v="3"/>
    <s v="0000000046"/>
    <s v="0001"/>
    <d v="2022-11-18T00:00:00"/>
    <s v="330409"/>
    <s v="209"/>
    <s v="90"/>
    <s v="Credito"/>
    <x v="0"/>
    <x v="116"/>
    <m/>
    <s v="000055"/>
    <s v="000000"/>
    <n v="3"/>
    <s v="0,00"/>
    <s v="0,00"/>
    <s v="0,00"/>
    <s v="0,00"/>
    <m/>
    <m/>
    <s v="209"/>
    <s v="90"/>
    <m/>
    <m/>
    <s v="010101"/>
  </r>
  <r>
    <s v="DESPESAS GERAIS"/>
    <x v="8"/>
    <x v="0"/>
    <n v="40"/>
    <s v="0000000046"/>
    <s v="0002"/>
    <d v="2022-11-18T00:00:00"/>
    <s v="330409"/>
    <s v="209"/>
    <s v="90"/>
    <s v="Credito"/>
    <x v="0"/>
    <x v="117"/>
    <m/>
    <s v="000055"/>
    <s v="000000"/>
    <n v="40"/>
    <s v="0,00"/>
    <s v="0,00"/>
    <s v="0,00"/>
    <s v="0,00"/>
    <m/>
    <m/>
    <s v="209"/>
    <s v="90"/>
    <m/>
    <m/>
    <s v="010101"/>
  </r>
  <r>
    <s v="DESPESAS GERAIS"/>
    <x v="8"/>
    <x v="0"/>
    <n v="171"/>
    <s v="0000000046"/>
    <s v="0003"/>
    <d v="2022-11-18T00:00:00"/>
    <s v="330409"/>
    <s v="209"/>
    <s v="90"/>
    <s v="Credito"/>
    <x v="0"/>
    <x v="118"/>
    <m/>
    <s v="000055"/>
    <s v="000000"/>
    <n v="171"/>
    <s v="0,00"/>
    <s v="0,00"/>
    <s v="0,00"/>
    <s v="0,00"/>
    <m/>
    <m/>
    <s v="209"/>
    <s v="90"/>
    <m/>
    <m/>
    <s v="010101"/>
  </r>
  <r>
    <s v="DESPESAS GERAIS"/>
    <x v="8"/>
    <x v="0"/>
    <n v="534"/>
    <s v="0000000046"/>
    <s v="0004"/>
    <d v="2022-11-18T00:00:00"/>
    <s v="330409"/>
    <s v="209"/>
    <s v="90"/>
    <s v="Credito"/>
    <x v="0"/>
    <x v="119"/>
    <m/>
    <s v="000055"/>
    <s v="000000"/>
    <n v="534"/>
    <s v="0,00"/>
    <s v="0,00"/>
    <s v="0,00"/>
    <s v="0,00"/>
    <m/>
    <m/>
    <s v="209"/>
    <s v="90"/>
    <m/>
    <m/>
    <s v="010101"/>
  </r>
  <r>
    <s v="DESPESAS GERAIS"/>
    <x v="8"/>
    <x v="0"/>
    <n v="141"/>
    <s v="0000000047"/>
    <s v="0001"/>
    <d v="2022-11-18T00:00:00"/>
    <s v="330409"/>
    <s v="209"/>
    <s v="90"/>
    <s v="Credito"/>
    <x v="0"/>
    <x v="120"/>
    <m/>
    <s v="000055"/>
    <s v="000000"/>
    <n v="141"/>
    <s v="0,00"/>
    <s v="0,00"/>
    <s v="0,00"/>
    <s v="0,00"/>
    <m/>
    <m/>
    <s v="209"/>
    <s v="90"/>
    <m/>
    <m/>
    <s v="010101"/>
  </r>
  <r>
    <s v="DESPESAS GERAIS"/>
    <x v="8"/>
    <x v="0"/>
    <n v="336"/>
    <s v="0000000047"/>
    <s v="0002"/>
    <d v="2022-11-18T00:00:00"/>
    <s v="330409"/>
    <s v="209"/>
    <s v="90"/>
    <s v="Credito"/>
    <x v="0"/>
    <x v="121"/>
    <m/>
    <s v="000055"/>
    <s v="000000"/>
    <n v="336"/>
    <s v="0,00"/>
    <s v="0,00"/>
    <s v="0,00"/>
    <s v="0,00"/>
    <m/>
    <m/>
    <s v="209"/>
    <s v="90"/>
    <m/>
    <m/>
    <s v="010101"/>
  </r>
  <r>
    <s v="OUTROS GASTOS COM PESSOAL"/>
    <x v="15"/>
    <x v="0"/>
    <n v="146"/>
    <s v="0000000048"/>
    <s v="0001"/>
    <d v="2022-11-18T00:00:00"/>
    <s v="330104"/>
    <s v="209"/>
    <s v="90"/>
    <s v="Credito"/>
    <x v="0"/>
    <x v="122"/>
    <m/>
    <s v="000055"/>
    <s v="000000"/>
    <n v="146"/>
    <s v="0,00"/>
    <s v="0,00"/>
    <s v="0,00"/>
    <s v="0,00"/>
    <m/>
    <m/>
    <s v="209"/>
    <s v="90"/>
    <m/>
    <m/>
    <s v="010101"/>
  </r>
  <r>
    <s v="PECAS E ACESSORIOS"/>
    <x v="1"/>
    <x v="0"/>
    <n v="399"/>
    <s v="0000000049"/>
    <s v="0001"/>
    <d v="2022-11-18T00:00:00"/>
    <s v="330301004"/>
    <s v="209"/>
    <s v="90"/>
    <s v="Credito"/>
    <x v="0"/>
    <x v="123"/>
    <m/>
    <s v="000055"/>
    <s v="000000"/>
    <n v="399"/>
    <s v="0,00"/>
    <s v="0,00"/>
    <s v="0,00"/>
    <s v="0,00"/>
    <m/>
    <m/>
    <s v="209"/>
    <s v="90"/>
    <m/>
    <m/>
    <s v="010101"/>
  </r>
  <r>
    <s v="OUTROS GASTOS COM PESSOAL"/>
    <x v="15"/>
    <x v="0"/>
    <n v="310"/>
    <s v="0000000050"/>
    <s v="0001"/>
    <d v="2022-11-18T00:00:00"/>
    <s v="330104"/>
    <s v="209"/>
    <s v="90"/>
    <s v="Credito"/>
    <x v="0"/>
    <x v="124"/>
    <m/>
    <s v="000055"/>
    <s v="000000"/>
    <n v="310"/>
    <s v="0,00"/>
    <s v="0,00"/>
    <s v="0,00"/>
    <s v="0,00"/>
    <m/>
    <m/>
    <s v="209"/>
    <s v="90"/>
    <m/>
    <m/>
    <s v="010101"/>
  </r>
  <r>
    <s v="OUTROS GASTOS COM PESSOAL"/>
    <x v="15"/>
    <x v="0"/>
    <n v="103"/>
    <s v="0000000050"/>
    <s v="0002"/>
    <d v="2022-11-18T00:00:00"/>
    <s v="330104"/>
    <s v="209"/>
    <s v="90"/>
    <s v="Credito"/>
    <x v="0"/>
    <x v="125"/>
    <m/>
    <s v="000055"/>
    <s v="000000"/>
    <n v="103"/>
    <s v="0,00"/>
    <s v="0,00"/>
    <s v="0,00"/>
    <s v="0,00"/>
    <m/>
    <m/>
    <s v="209"/>
    <s v="90"/>
    <m/>
    <m/>
    <s v="010101"/>
  </r>
  <r>
    <s v="PECAS E ACESSORIOS"/>
    <x v="1"/>
    <x v="0"/>
    <n v="77"/>
    <s v="0000000051"/>
    <s v="0001"/>
    <d v="2022-11-18T00:00:00"/>
    <s v="330301004"/>
    <s v="209"/>
    <s v="90"/>
    <s v="Credito"/>
    <x v="0"/>
    <x v="126"/>
    <m/>
    <s v="000055"/>
    <s v="000000"/>
    <n v="77"/>
    <s v="0,00"/>
    <s v="0,00"/>
    <s v="0,00"/>
    <s v="0,00"/>
    <m/>
    <m/>
    <s v="209"/>
    <s v="90"/>
    <m/>
    <m/>
    <s v="010101"/>
  </r>
  <r>
    <s v="PECAS E ACESSORIOS"/>
    <x v="1"/>
    <x v="0"/>
    <n v="1256"/>
    <s v="0000000052"/>
    <s v="0001"/>
    <d v="2022-11-18T00:00:00"/>
    <s v="330301004"/>
    <s v="209"/>
    <s v="90"/>
    <s v="Credito"/>
    <x v="0"/>
    <x v="127"/>
    <m/>
    <s v="000055"/>
    <s v="000000"/>
    <n v="1256"/>
    <s v="0,00"/>
    <s v="0,00"/>
    <s v="0,00"/>
    <s v="0,00"/>
    <m/>
    <m/>
    <s v="209"/>
    <s v="90"/>
    <m/>
    <m/>
    <s v="010101"/>
  </r>
  <r>
    <s v="PJ-OUTROS SERVICOS CONTRATADOS-PJ"/>
    <x v="3"/>
    <x v="0"/>
    <n v="3378"/>
    <s v="0000000053"/>
    <s v="0001"/>
    <d v="2022-11-18T00:00:00"/>
    <s v="330201006"/>
    <s v="211"/>
    <s v="51"/>
    <s v="Credito"/>
    <x v="0"/>
    <x v="128"/>
    <m/>
    <s v="000055"/>
    <s v="000000"/>
    <n v="3378"/>
    <s v="0,00"/>
    <s v="0,00"/>
    <s v="0,00"/>
    <s v="0,00"/>
    <m/>
    <m/>
    <s v="211"/>
    <s v="51"/>
    <m/>
    <m/>
    <s v="010101"/>
  </r>
  <r>
    <s v="PECAS E ACESSORIOS"/>
    <x v="1"/>
    <x v="0"/>
    <n v="890"/>
    <s v="0000000054"/>
    <s v="0001"/>
    <d v="2022-11-18T00:00:00"/>
    <s v="330301004"/>
    <s v="209"/>
    <s v="90"/>
    <s v="Credito"/>
    <x v="0"/>
    <x v="129"/>
    <m/>
    <s v="000055"/>
    <s v="000000"/>
    <n v="890"/>
    <s v="0,00"/>
    <s v="0,00"/>
    <s v="0,00"/>
    <s v="0,00"/>
    <m/>
    <m/>
    <s v="209"/>
    <s v="90"/>
    <m/>
    <m/>
    <s v="010101"/>
  </r>
  <r>
    <s v="PECAS E ACESSORIOS"/>
    <x v="1"/>
    <x v="0"/>
    <n v="220"/>
    <s v="0000000054"/>
    <s v="0002"/>
    <d v="2022-11-18T00:00:00"/>
    <s v="330301004"/>
    <s v="209"/>
    <s v="90"/>
    <s v="Credito"/>
    <x v="0"/>
    <x v="130"/>
    <m/>
    <s v="000055"/>
    <s v="000000"/>
    <n v="220"/>
    <s v="0,00"/>
    <s v="0,00"/>
    <s v="0,00"/>
    <s v="0,00"/>
    <m/>
    <m/>
    <s v="209"/>
    <s v="90"/>
    <m/>
    <m/>
    <s v="010101"/>
  </r>
  <r>
    <s v="PJ-OUTROS SERVICOS CONTRATADOS-PJ"/>
    <x v="3"/>
    <x v="0"/>
    <n v="150"/>
    <s v="0000000054"/>
    <s v="0003"/>
    <d v="2022-11-18T00:00:00"/>
    <s v="330201006"/>
    <s v="209"/>
    <s v="90"/>
    <s v="Credito"/>
    <x v="0"/>
    <x v="131"/>
    <m/>
    <s v="000055"/>
    <s v="000000"/>
    <n v="150"/>
    <s v="0,00"/>
    <s v="0,00"/>
    <s v="0,00"/>
    <s v="0,00"/>
    <m/>
    <m/>
    <s v="209"/>
    <s v="90"/>
    <m/>
    <m/>
    <s v="010101"/>
  </r>
  <r>
    <s v="DESPESAS GERAIS"/>
    <x v="8"/>
    <x v="0"/>
    <n v="26"/>
    <s v="0000000055"/>
    <s v="0001"/>
    <d v="2022-11-18T00:00:00"/>
    <s v="330409"/>
    <s v="209"/>
    <s v="90"/>
    <s v="Credito"/>
    <x v="0"/>
    <x v="132"/>
    <m/>
    <s v="000055"/>
    <s v="000000"/>
    <n v="26"/>
    <s v="0,00"/>
    <s v="0,00"/>
    <s v="0,00"/>
    <s v="0,00"/>
    <m/>
    <m/>
    <s v="209"/>
    <s v="90"/>
    <m/>
    <m/>
    <s v="010101"/>
  </r>
  <r>
    <s v="DESPESAS GERAIS"/>
    <x v="8"/>
    <x v="0"/>
    <n v="2"/>
    <s v="0000000055"/>
    <s v="0002"/>
    <d v="2022-11-18T00:00:00"/>
    <s v="330409"/>
    <s v="209"/>
    <s v="90"/>
    <s v="Credito"/>
    <x v="0"/>
    <x v="133"/>
    <m/>
    <s v="000055"/>
    <s v="000000"/>
    <n v="2"/>
    <s v="0,00"/>
    <s v="0,00"/>
    <s v="0,00"/>
    <s v="0,00"/>
    <m/>
    <m/>
    <s v="209"/>
    <s v="90"/>
    <m/>
    <m/>
    <s v="010101"/>
  </r>
  <r>
    <s v="DESPESAS GERAIS"/>
    <x v="8"/>
    <x v="0"/>
    <n v="254"/>
    <s v="0000000055"/>
    <s v="0003"/>
    <d v="2022-11-18T00:00:00"/>
    <s v="330409"/>
    <s v="209"/>
    <s v="90"/>
    <s v="Credito"/>
    <x v="0"/>
    <x v="134"/>
    <m/>
    <s v="000055"/>
    <s v="000000"/>
    <n v="254"/>
    <s v="0,00"/>
    <s v="0,00"/>
    <s v="0,00"/>
    <s v="0,00"/>
    <m/>
    <m/>
    <s v="209"/>
    <s v="90"/>
    <m/>
    <m/>
    <s v="010101"/>
  </r>
  <r>
    <s v="DESPESAS GERAIS"/>
    <x v="8"/>
    <x v="0"/>
    <n v="81"/>
    <s v="0000000056"/>
    <s v="0001"/>
    <d v="2022-11-18T00:00:00"/>
    <s v="330409"/>
    <s v="209"/>
    <s v="90"/>
    <s v="Credito"/>
    <x v="0"/>
    <x v="135"/>
    <m/>
    <s v="000055"/>
    <s v="000000"/>
    <n v="81"/>
    <s v="0,00"/>
    <s v="0,00"/>
    <s v="0,00"/>
    <s v="0,00"/>
    <m/>
    <m/>
    <s v="209"/>
    <s v="90"/>
    <m/>
    <m/>
    <s v="010101"/>
  </r>
  <r>
    <s v="DESPESAS GERAIS"/>
    <x v="8"/>
    <x v="0"/>
    <n v="15"/>
    <s v="0000000056"/>
    <s v="0002"/>
    <d v="2022-11-18T00:00:00"/>
    <s v="330409"/>
    <s v="209"/>
    <s v="90"/>
    <s v="Credito"/>
    <x v="0"/>
    <x v="136"/>
    <m/>
    <s v="000055"/>
    <s v="000000"/>
    <n v="15"/>
    <s v="0,00"/>
    <s v="0,00"/>
    <s v="0,00"/>
    <s v="0,00"/>
    <m/>
    <m/>
    <s v="209"/>
    <s v="90"/>
    <m/>
    <m/>
    <s v="010101"/>
  </r>
  <r>
    <s v="DESPESAS GERAIS"/>
    <x v="8"/>
    <x v="0"/>
    <n v="4"/>
    <s v="0000000057"/>
    <s v="0001"/>
    <d v="2022-11-18T00:00:00"/>
    <s v="330409"/>
    <s v="209"/>
    <s v="90"/>
    <s v="Credito"/>
    <x v="0"/>
    <x v="137"/>
    <m/>
    <s v="000055"/>
    <s v="000000"/>
    <n v="4"/>
    <s v="0,00"/>
    <s v="0,00"/>
    <s v="0,00"/>
    <s v="0,00"/>
    <m/>
    <m/>
    <s v="209"/>
    <s v="90"/>
    <m/>
    <m/>
    <s v="010101"/>
  </r>
  <r>
    <s v="DESPESAS GERAIS"/>
    <x v="8"/>
    <x v="0"/>
    <n v="64"/>
    <s v="0000000058"/>
    <s v="0001"/>
    <d v="2022-11-18T00:00:00"/>
    <s v="330409"/>
    <s v="209"/>
    <s v="90"/>
    <s v="Credito"/>
    <x v="0"/>
    <x v="138"/>
    <m/>
    <s v="000055"/>
    <s v="000000"/>
    <n v="64"/>
    <s v="0,00"/>
    <s v="0,00"/>
    <s v="0,00"/>
    <s v="0,00"/>
    <m/>
    <m/>
    <s v="209"/>
    <s v="90"/>
    <m/>
    <m/>
    <s v="010101"/>
  </r>
  <r>
    <s v="DESPESAS GERAIS"/>
    <x v="8"/>
    <x v="0"/>
    <n v="7"/>
    <s v="0000000059"/>
    <s v="0001"/>
    <d v="2022-11-18T00:00:00"/>
    <s v="330409"/>
    <s v="209"/>
    <s v="90"/>
    <s v="Credito"/>
    <x v="0"/>
    <x v="139"/>
    <m/>
    <s v="000055"/>
    <s v="000000"/>
    <n v="7"/>
    <s v="0,00"/>
    <s v="0,00"/>
    <s v="0,00"/>
    <s v="0,00"/>
    <m/>
    <m/>
    <s v="209"/>
    <s v="90"/>
    <m/>
    <m/>
    <s v="010101"/>
  </r>
  <r>
    <s v="DESPESAS GERAIS"/>
    <x v="8"/>
    <x v="0"/>
    <n v="7"/>
    <s v="0000000059"/>
    <s v="0002"/>
    <d v="2022-11-18T00:00:00"/>
    <s v="330409"/>
    <s v="209"/>
    <s v="90"/>
    <s v="Credito"/>
    <x v="0"/>
    <x v="140"/>
    <m/>
    <s v="000055"/>
    <s v="000000"/>
    <n v="7"/>
    <s v="0,00"/>
    <s v="0,00"/>
    <s v="0,00"/>
    <s v="0,00"/>
    <m/>
    <m/>
    <s v="209"/>
    <s v="90"/>
    <m/>
    <m/>
    <s v="010101"/>
  </r>
  <r>
    <s v="DESPESAS GERAIS"/>
    <x v="8"/>
    <x v="0"/>
    <n v="20"/>
    <s v="0000000059"/>
    <s v="0003"/>
    <d v="2022-11-18T00:00:00"/>
    <s v="330409"/>
    <s v="209"/>
    <s v="90"/>
    <s v="Credito"/>
    <x v="0"/>
    <x v="141"/>
    <m/>
    <s v="000055"/>
    <s v="000000"/>
    <n v="20"/>
    <s v="0,00"/>
    <s v="0,00"/>
    <s v="0,00"/>
    <s v="0,00"/>
    <m/>
    <m/>
    <s v="209"/>
    <s v="90"/>
    <m/>
    <m/>
    <s v="010101"/>
  </r>
  <r>
    <s v="DESPESAS GERAIS"/>
    <x v="8"/>
    <x v="0"/>
    <n v="2"/>
    <s v="0000000060"/>
    <s v="0001"/>
    <d v="2022-11-18T00:00:00"/>
    <s v="330409"/>
    <s v="209"/>
    <s v="90"/>
    <s v="Credito"/>
    <x v="0"/>
    <x v="142"/>
    <m/>
    <s v="000055"/>
    <s v="000000"/>
    <n v="2"/>
    <s v="0,00"/>
    <s v="0,00"/>
    <s v="0,00"/>
    <s v="0,00"/>
    <m/>
    <m/>
    <s v="209"/>
    <s v="90"/>
    <m/>
    <m/>
    <s v="010101"/>
  </r>
  <r>
    <s v="DESPESAS GERAIS"/>
    <x v="8"/>
    <x v="0"/>
    <n v="4"/>
    <s v="0000000060"/>
    <s v="0002"/>
    <d v="2022-11-18T00:00:00"/>
    <s v="330409"/>
    <s v="209"/>
    <s v="90"/>
    <s v="Credito"/>
    <x v="0"/>
    <x v="143"/>
    <m/>
    <s v="000055"/>
    <s v="000000"/>
    <n v="4"/>
    <s v="0,00"/>
    <s v="0,00"/>
    <s v="0,00"/>
    <s v="0,00"/>
    <m/>
    <m/>
    <s v="209"/>
    <s v="90"/>
    <m/>
    <m/>
    <s v="010101"/>
  </r>
  <r>
    <s v="DESPESAS GERAIS"/>
    <x v="8"/>
    <x v="0"/>
    <n v="125"/>
    <s v="0000000061"/>
    <s v="0001"/>
    <d v="2022-11-18T00:00:00"/>
    <s v="330409"/>
    <s v="209"/>
    <s v="90"/>
    <s v="Credito"/>
    <x v="0"/>
    <x v="144"/>
    <m/>
    <s v="000055"/>
    <s v="000000"/>
    <n v="125"/>
    <s v="0,00"/>
    <s v="0,00"/>
    <s v="0,00"/>
    <s v="0,00"/>
    <m/>
    <m/>
    <s v="209"/>
    <s v="90"/>
    <m/>
    <m/>
    <s v="010101"/>
  </r>
  <r>
    <s v="DESPESAS GERAIS"/>
    <x v="8"/>
    <x v="0"/>
    <n v="204"/>
    <s v="0000000061"/>
    <s v="0002"/>
    <d v="2022-11-18T00:00:00"/>
    <s v="330409"/>
    <s v="209"/>
    <s v="90"/>
    <s v="Credito"/>
    <x v="0"/>
    <x v="145"/>
    <m/>
    <s v="000055"/>
    <s v="000000"/>
    <n v="204"/>
    <s v="0,00"/>
    <s v="0,00"/>
    <s v="0,00"/>
    <s v="0,00"/>
    <m/>
    <m/>
    <s v="209"/>
    <s v="90"/>
    <m/>
    <m/>
    <s v="010101"/>
  </r>
  <r>
    <s v="DESPESAS GERAIS"/>
    <x v="8"/>
    <x v="0"/>
    <n v="15"/>
    <s v="0000000061"/>
    <s v="0003"/>
    <d v="2022-11-18T00:00:00"/>
    <s v="330409"/>
    <s v="209"/>
    <s v="90"/>
    <s v="Credito"/>
    <x v="0"/>
    <x v="146"/>
    <m/>
    <s v="000055"/>
    <s v="000000"/>
    <n v="15"/>
    <s v="0,00"/>
    <s v="0,00"/>
    <s v="0,00"/>
    <s v="0,00"/>
    <m/>
    <m/>
    <s v="209"/>
    <s v="90"/>
    <m/>
    <m/>
    <s v="010101"/>
  </r>
  <r>
    <s v="DESPESAS GERAIS"/>
    <x v="8"/>
    <x v="0"/>
    <n v="72"/>
    <s v="0000000061"/>
    <s v="0004"/>
    <d v="2022-11-18T00:00:00"/>
    <s v="330409"/>
    <s v="209"/>
    <s v="90"/>
    <s v="Credito"/>
    <x v="0"/>
    <x v="147"/>
    <m/>
    <s v="000055"/>
    <s v="000000"/>
    <n v="72"/>
    <s v="0,00"/>
    <s v="0,00"/>
    <s v="0,00"/>
    <s v="0,00"/>
    <m/>
    <m/>
    <s v="209"/>
    <s v="90"/>
    <m/>
    <m/>
    <s v="010101"/>
  </r>
  <r>
    <s v="DESPESAS GERAIS"/>
    <x v="8"/>
    <x v="0"/>
    <n v="164"/>
    <s v="0000000061"/>
    <s v="0005"/>
    <d v="2022-11-18T00:00:00"/>
    <s v="330409"/>
    <s v="209"/>
    <s v="90"/>
    <s v="Credito"/>
    <x v="0"/>
    <x v="148"/>
    <m/>
    <s v="000055"/>
    <s v="000000"/>
    <n v="164"/>
    <s v="0,00"/>
    <s v="0,00"/>
    <s v="0,00"/>
    <s v="0,00"/>
    <m/>
    <m/>
    <s v="209"/>
    <s v="90"/>
    <m/>
    <m/>
    <s v="010101"/>
  </r>
  <r>
    <s v="DESPESAS GERAIS"/>
    <x v="8"/>
    <x v="0"/>
    <n v="140"/>
    <s v="0000000061"/>
    <s v="0006"/>
    <d v="2022-11-18T00:00:00"/>
    <s v="330409"/>
    <s v="209"/>
    <s v="90"/>
    <s v="Credito"/>
    <x v="0"/>
    <x v="149"/>
    <m/>
    <s v="000055"/>
    <s v="000000"/>
    <n v="140"/>
    <s v="0,00"/>
    <s v="0,00"/>
    <s v="0,00"/>
    <s v="0,00"/>
    <m/>
    <m/>
    <s v="209"/>
    <s v="90"/>
    <m/>
    <m/>
    <s v="010101"/>
  </r>
  <r>
    <s v="DESPESAS GERAIS"/>
    <x v="8"/>
    <x v="0"/>
    <n v="254"/>
    <s v="0000000062"/>
    <s v="0001"/>
    <d v="2022-11-18T00:00:00"/>
    <s v="330409"/>
    <s v="209"/>
    <s v="90"/>
    <s v="Credito"/>
    <x v="0"/>
    <x v="150"/>
    <m/>
    <s v="000055"/>
    <s v="000000"/>
    <n v="254"/>
    <s v="0,00"/>
    <s v="0,00"/>
    <s v="0,00"/>
    <s v="0,00"/>
    <m/>
    <m/>
    <s v="209"/>
    <s v="90"/>
    <m/>
    <m/>
    <s v="010101"/>
  </r>
  <r>
    <s v="DESPESAS GERAIS"/>
    <x v="8"/>
    <x v="0"/>
    <n v="5"/>
    <s v="0000000063"/>
    <s v="0001"/>
    <d v="2022-11-18T00:00:00"/>
    <s v="330409"/>
    <s v="209"/>
    <s v="90"/>
    <s v="Credito"/>
    <x v="0"/>
    <x v="151"/>
    <m/>
    <s v="000055"/>
    <s v="000000"/>
    <n v="5"/>
    <s v="0,00"/>
    <s v="0,00"/>
    <s v="0,00"/>
    <s v="0,00"/>
    <m/>
    <m/>
    <s v="209"/>
    <s v="90"/>
    <m/>
    <m/>
    <s v="010101"/>
  </r>
  <r>
    <s v="DESPESAS GERAIS"/>
    <x v="8"/>
    <x v="0"/>
    <n v="12"/>
    <s v="0000000063"/>
    <s v="0002"/>
    <d v="2022-11-18T00:00:00"/>
    <s v="330409"/>
    <s v="209"/>
    <s v="90"/>
    <s v="Credito"/>
    <x v="0"/>
    <x v="152"/>
    <m/>
    <s v="000055"/>
    <s v="000000"/>
    <n v="12"/>
    <s v="0,00"/>
    <s v="0,00"/>
    <s v="0,00"/>
    <s v="0,00"/>
    <m/>
    <m/>
    <s v="209"/>
    <s v="90"/>
    <m/>
    <m/>
    <s v="010101"/>
  </r>
  <r>
    <s v="DESPESAS GERAIS"/>
    <x v="8"/>
    <x v="0"/>
    <n v="19"/>
    <s v="0000000063"/>
    <s v="0003"/>
    <d v="2022-11-18T00:00:00"/>
    <s v="330409"/>
    <s v="209"/>
    <s v="90"/>
    <s v="Credito"/>
    <x v="0"/>
    <x v="153"/>
    <m/>
    <s v="000055"/>
    <s v="000000"/>
    <n v="19"/>
    <s v="0,00"/>
    <s v="0,00"/>
    <s v="0,00"/>
    <s v="0,00"/>
    <m/>
    <m/>
    <s v="209"/>
    <s v="90"/>
    <m/>
    <m/>
    <s v="010101"/>
  </r>
  <r>
    <s v="DESPESAS GERAIS"/>
    <x v="8"/>
    <x v="0"/>
    <n v="17"/>
    <s v="0000000063"/>
    <s v="0004"/>
    <d v="2022-11-18T00:00:00"/>
    <s v="330409"/>
    <s v="209"/>
    <s v="90"/>
    <s v="Credito"/>
    <x v="0"/>
    <x v="154"/>
    <m/>
    <s v="000055"/>
    <s v="000000"/>
    <n v="17"/>
    <s v="0,00"/>
    <s v="0,00"/>
    <s v="0,00"/>
    <s v="0,00"/>
    <m/>
    <m/>
    <s v="209"/>
    <s v="90"/>
    <m/>
    <m/>
    <s v="010101"/>
  </r>
  <r>
    <s v="DESPESAS GERAIS"/>
    <x v="8"/>
    <x v="0"/>
    <n v="60"/>
    <s v="0000000063"/>
    <s v="0005"/>
    <d v="2022-11-18T00:00:00"/>
    <s v="330409"/>
    <s v="209"/>
    <s v="90"/>
    <s v="Credito"/>
    <x v="0"/>
    <x v="155"/>
    <m/>
    <s v="000055"/>
    <s v="000000"/>
    <n v="60"/>
    <s v="0,00"/>
    <s v="0,00"/>
    <s v="0,00"/>
    <s v="0,00"/>
    <m/>
    <m/>
    <s v="209"/>
    <s v="90"/>
    <m/>
    <m/>
    <s v="010101"/>
  </r>
  <r>
    <s v="DESPESAS GERAIS"/>
    <x v="8"/>
    <x v="0"/>
    <n v="8"/>
    <s v="0000000064"/>
    <s v="0001"/>
    <d v="2022-11-18T00:00:00"/>
    <s v="330409"/>
    <s v="209"/>
    <s v="90"/>
    <s v="Credito"/>
    <x v="0"/>
    <x v="156"/>
    <m/>
    <s v="000055"/>
    <s v="000000"/>
    <n v="8"/>
    <s v="0,00"/>
    <s v="0,00"/>
    <s v="0,00"/>
    <s v="0,00"/>
    <m/>
    <m/>
    <s v="209"/>
    <s v="90"/>
    <m/>
    <m/>
    <s v="010101"/>
  </r>
  <r>
    <s v="DESPESAS GERAIS"/>
    <x v="8"/>
    <x v="0"/>
    <n v="36"/>
    <s v="0000000065"/>
    <s v="0001"/>
    <d v="2022-11-18T00:00:00"/>
    <s v="330409"/>
    <s v="209"/>
    <s v="90"/>
    <s v="Credito"/>
    <x v="0"/>
    <x v="157"/>
    <m/>
    <s v="000055"/>
    <s v="000000"/>
    <n v="36"/>
    <s v="0,00"/>
    <s v="0,00"/>
    <s v="0,00"/>
    <s v="0,00"/>
    <m/>
    <m/>
    <s v="209"/>
    <s v="90"/>
    <m/>
    <m/>
    <s v="010101"/>
  </r>
  <r>
    <s v="TARIFAS PORTUµRIAS"/>
    <x v="13"/>
    <x v="0"/>
    <n v="210"/>
    <s v="0000000066"/>
    <s v="0001"/>
    <d v="2022-11-18T00:00:00"/>
    <s v="320601002"/>
    <s v="305"/>
    <s v="31"/>
    <s v="Credito"/>
    <x v="1"/>
    <x v="158"/>
    <m/>
    <s v="000054"/>
    <s v="000070"/>
    <n v="210"/>
    <s v="0,00"/>
    <s v="0,00"/>
    <s v="0,00"/>
    <s v="0,00"/>
    <m/>
    <m/>
    <s v="305"/>
    <s v="31"/>
    <m/>
    <m/>
    <s v="010101"/>
  </r>
  <r>
    <s v="TARIFAS PORTUµRIAS"/>
    <x v="13"/>
    <x v="0"/>
    <n v="-210"/>
    <s v="0000000066"/>
    <s v="0002"/>
    <d v="2022-11-18T00:00:00"/>
    <s v="320601002"/>
    <s v="305"/>
    <s v="31"/>
    <s v="Debito"/>
    <x v="0"/>
    <x v="86"/>
    <m/>
    <s v="000054"/>
    <s v="000070"/>
    <n v="210"/>
    <s v="0,00"/>
    <s v="0,00"/>
    <s v="0,00"/>
    <s v="0,00"/>
    <m/>
    <m/>
    <s v="305"/>
    <s v="31"/>
    <m/>
    <m/>
    <s v="010101"/>
  </r>
  <r>
    <s v="TARIFAS PORTUµRIAS"/>
    <x v="13"/>
    <x v="0"/>
    <n v="80230"/>
    <s v="0000000067"/>
    <s v="0001"/>
    <d v="2022-11-18T00:00:00"/>
    <s v="320601002"/>
    <s v="305"/>
    <s v="21"/>
    <s v="Credito"/>
    <x v="1"/>
    <x v="159"/>
    <m/>
    <s v="000054"/>
    <s v="000070"/>
    <n v="80230"/>
    <s v="0,00"/>
    <s v="0,00"/>
    <s v="0,00"/>
    <s v="0,00"/>
    <m/>
    <m/>
    <s v="305"/>
    <s v="21"/>
    <m/>
    <m/>
    <s v="010101"/>
  </r>
  <r>
    <s v="TARIFAS PORTUµRIAS"/>
    <x v="13"/>
    <x v="0"/>
    <n v="-80230"/>
    <s v="0000000067"/>
    <s v="0002"/>
    <d v="2022-11-18T00:00:00"/>
    <s v="320601002"/>
    <s v="305"/>
    <s v="21"/>
    <s v="Debito"/>
    <x v="0"/>
    <x v="85"/>
    <m/>
    <s v="000054"/>
    <s v="000070"/>
    <n v="80230"/>
    <s v="0,00"/>
    <s v="0,00"/>
    <s v="0,00"/>
    <s v="0,00"/>
    <m/>
    <m/>
    <s v="305"/>
    <s v="21"/>
    <m/>
    <m/>
    <s v="010101"/>
  </r>
  <r>
    <s v="TARIFAS PORTUµRIAS"/>
    <x v="13"/>
    <x v="0"/>
    <n v="8567"/>
    <s v="0000000068"/>
    <s v="0001"/>
    <d v="2022-11-18T00:00:00"/>
    <s v="320601002"/>
    <s v="305"/>
    <s v="21"/>
    <s v="Credito"/>
    <x v="1"/>
    <x v="160"/>
    <m/>
    <s v="000054"/>
    <s v="000070"/>
    <n v="8567"/>
    <s v="0,00"/>
    <s v="0,00"/>
    <s v="0,00"/>
    <s v="0,00"/>
    <m/>
    <m/>
    <s v="305"/>
    <s v="21"/>
    <m/>
    <m/>
    <s v="010101"/>
  </r>
  <r>
    <s v="TARIFAS PORTUµRIAS"/>
    <x v="13"/>
    <x v="0"/>
    <n v="-8567"/>
    <s v="0000000068"/>
    <s v="0002"/>
    <d v="2022-11-18T00:00:00"/>
    <s v="320601002"/>
    <s v="305"/>
    <s v="21"/>
    <s v="Debito"/>
    <x v="0"/>
    <x v="85"/>
    <m/>
    <s v="000054"/>
    <s v="000070"/>
    <n v="8567"/>
    <s v="0,00"/>
    <s v="0,00"/>
    <s v="0,00"/>
    <s v="0,00"/>
    <m/>
    <m/>
    <s v="305"/>
    <s v="21"/>
    <m/>
    <m/>
    <s v="010101"/>
  </r>
  <r>
    <s v="MATERIAIS DIRETOS"/>
    <x v="16"/>
    <x v="0"/>
    <n v="22800"/>
    <s v="0000000069"/>
    <s v="0001"/>
    <d v="2022-11-18T00:00:00"/>
    <s v="320601001"/>
    <s v="305"/>
    <s v="21"/>
    <s v="Credito"/>
    <x v="0"/>
    <x v="161"/>
    <m/>
    <s v="000055"/>
    <s v="000000"/>
    <n v="22800"/>
    <s v="0,00"/>
    <s v="0,00"/>
    <s v="0,00"/>
    <s v="0,00"/>
    <m/>
    <m/>
    <s v="305"/>
    <s v="21"/>
    <m/>
    <m/>
    <s v="010101"/>
  </r>
  <r>
    <s v="MATERIAIS DIRETOS"/>
    <x v="16"/>
    <x v="0"/>
    <n v="19950"/>
    <s v="0000000069"/>
    <s v="0002"/>
    <d v="2022-11-18T00:00:00"/>
    <s v="320601001"/>
    <s v="305"/>
    <s v="21"/>
    <s v="Credito"/>
    <x v="0"/>
    <x v="162"/>
    <m/>
    <s v="000055"/>
    <s v="000000"/>
    <n v="19950"/>
    <s v="0,00"/>
    <s v="0,00"/>
    <s v="0,00"/>
    <s v="0,00"/>
    <m/>
    <m/>
    <s v="305"/>
    <s v="21"/>
    <m/>
    <m/>
    <s v="010101"/>
  </r>
  <r>
    <s v="MATERIAIS DIRETOS"/>
    <x v="16"/>
    <x v="0"/>
    <n v="22800"/>
    <s v="0000000070"/>
    <s v="0001"/>
    <d v="2022-11-18T00:00:00"/>
    <s v="320601001"/>
    <s v="305"/>
    <s v="21"/>
    <s v="Credito"/>
    <x v="1"/>
    <x v="163"/>
    <m/>
    <s v="000054"/>
    <s v="000084"/>
    <n v="22800"/>
    <s v="0,00"/>
    <s v="0,00"/>
    <s v="0,00"/>
    <s v="0,00"/>
    <m/>
    <m/>
    <s v="305"/>
    <s v="21"/>
    <m/>
    <m/>
    <s v="010101"/>
  </r>
  <r>
    <s v="MATERIAIS DIRETOS"/>
    <x v="16"/>
    <x v="0"/>
    <n v="-22800"/>
    <s v="0000000070"/>
    <s v="0002"/>
    <d v="2022-11-18T00:00:00"/>
    <s v="320601001"/>
    <s v="305"/>
    <s v="21"/>
    <s v="Debito"/>
    <x v="0"/>
    <x v="161"/>
    <m/>
    <s v="000054"/>
    <s v="000084"/>
    <n v="22800"/>
    <s v="0,00"/>
    <s v="0,00"/>
    <s v="0,00"/>
    <s v="0,00"/>
    <m/>
    <m/>
    <s v="305"/>
    <s v="21"/>
    <m/>
    <m/>
    <s v="010101"/>
  </r>
  <r>
    <s v="MATERIAIS DIRETOS"/>
    <x v="16"/>
    <x v="0"/>
    <n v="19950"/>
    <s v="0000000070"/>
    <s v="0003"/>
    <d v="2022-11-18T00:00:00"/>
    <s v="320601001"/>
    <s v="305"/>
    <s v="21"/>
    <s v="Credito"/>
    <x v="1"/>
    <x v="164"/>
    <m/>
    <s v="000054"/>
    <s v="000084"/>
    <n v="19950"/>
    <s v="0,00"/>
    <s v="0,00"/>
    <s v="0,00"/>
    <s v="0,00"/>
    <m/>
    <m/>
    <s v="305"/>
    <s v="21"/>
    <m/>
    <m/>
    <s v="010101"/>
  </r>
  <r>
    <s v="MATERIAIS DIRETOS"/>
    <x v="16"/>
    <x v="0"/>
    <n v="-19950"/>
    <s v="0000000070"/>
    <s v="0004"/>
    <d v="2022-11-18T00:00:00"/>
    <s v="320601001"/>
    <s v="305"/>
    <s v="21"/>
    <s v="Debito"/>
    <x v="0"/>
    <x v="162"/>
    <m/>
    <s v="000054"/>
    <s v="000084"/>
    <n v="19950"/>
    <s v="0,00"/>
    <s v="0,00"/>
    <s v="0,00"/>
    <s v="0,00"/>
    <m/>
    <m/>
    <s v="305"/>
    <s v="21"/>
    <m/>
    <m/>
    <s v="010101"/>
  </r>
  <r>
    <s v="PECAS E ACESSORIOS"/>
    <x v="0"/>
    <x v="0"/>
    <n v="398"/>
    <s v="0000000071"/>
    <s v="0001"/>
    <d v="2022-11-01T00:00:00"/>
    <s v="320301004"/>
    <s v="304"/>
    <s v="11"/>
    <s v="Credito"/>
    <x v="1"/>
    <x v="165"/>
    <m/>
    <s v="000054"/>
    <s v="000070"/>
    <n v="398"/>
    <s v="0,00"/>
    <s v="0,00"/>
    <s v="0,00"/>
    <s v="0,00"/>
    <m/>
    <m/>
    <s v="304"/>
    <s v="11"/>
    <m/>
    <m/>
    <s v="010101"/>
  </r>
  <r>
    <s v="PECAS E ACESSORIOS"/>
    <x v="0"/>
    <x v="0"/>
    <n v="-398"/>
    <s v="0000000071"/>
    <s v="0002"/>
    <d v="2022-11-01T00:00:00"/>
    <s v="320301004"/>
    <s v="304"/>
    <s v="11"/>
    <s v="Debito"/>
    <x v="0"/>
    <x v="78"/>
    <m/>
    <s v="000054"/>
    <s v="000070"/>
    <n v="398"/>
    <s v="0,00"/>
    <s v="0,00"/>
    <s v="0,00"/>
    <s v="0,00"/>
    <m/>
    <m/>
    <s v="304"/>
    <s v="11"/>
    <m/>
    <m/>
    <s v="010101"/>
  </r>
  <r>
    <s v="COMBUSTIVEIS"/>
    <x v="11"/>
    <x v="0"/>
    <n v="64090"/>
    <s v="0000000072"/>
    <s v="0001"/>
    <d v="2022-11-13T00:00:00"/>
    <s v="330301001"/>
    <s v="209"/>
    <s v="11"/>
    <s v="Credito"/>
    <x v="1"/>
    <x v="166"/>
    <m/>
    <s v="000054"/>
    <s v="000091"/>
    <n v="64090"/>
    <s v="0,00"/>
    <s v="0,00"/>
    <s v="0,00"/>
    <s v="0,00"/>
    <m/>
    <m/>
    <s v="209"/>
    <s v="11"/>
    <m/>
    <m/>
    <s v="010101"/>
  </r>
  <r>
    <s v="COMBUSTIVEIS"/>
    <x v="11"/>
    <x v="0"/>
    <n v="-64090"/>
    <s v="0000000072"/>
    <s v="0002"/>
    <d v="2022-11-13T00:00:00"/>
    <s v="330301001"/>
    <s v="209"/>
    <s v="11"/>
    <s v="Debito"/>
    <x v="0"/>
    <x v="77"/>
    <m/>
    <s v="000054"/>
    <s v="000091"/>
    <n v="64090"/>
    <s v="0,00"/>
    <s v="0,00"/>
    <s v="0,00"/>
    <s v="0,00"/>
    <m/>
    <m/>
    <s v="209"/>
    <s v="11"/>
    <m/>
    <m/>
    <s v="010101"/>
  </r>
  <r>
    <s v="COMBUSTIVEIS"/>
    <x v="11"/>
    <x v="0"/>
    <n v="64090"/>
    <s v="0000000072"/>
    <s v="0003"/>
    <d v="2022-11-13T00:00:00"/>
    <s v="330301001"/>
    <s v="209"/>
    <s v="21"/>
    <s v="Credito"/>
    <x v="1"/>
    <x v="166"/>
    <m/>
    <s v="000054"/>
    <s v="000091"/>
    <n v="64090"/>
    <s v="0,00"/>
    <s v="0,00"/>
    <s v="0,00"/>
    <s v="0,00"/>
    <m/>
    <m/>
    <s v="209"/>
    <s v="21"/>
    <m/>
    <m/>
    <s v="010101"/>
  </r>
  <r>
    <s v="COMBUSTIVEIS"/>
    <x v="11"/>
    <x v="0"/>
    <n v="-64090"/>
    <s v="0000000072"/>
    <s v="0004"/>
    <d v="2022-11-13T00:00:00"/>
    <s v="330301001"/>
    <s v="209"/>
    <s v="21"/>
    <s v="Debito"/>
    <x v="0"/>
    <x v="77"/>
    <m/>
    <s v="000054"/>
    <s v="000091"/>
    <n v="64090"/>
    <s v="0,00"/>
    <s v="0,00"/>
    <s v="0,00"/>
    <s v="0,00"/>
    <m/>
    <m/>
    <s v="209"/>
    <s v="21"/>
    <m/>
    <m/>
    <s v="010101"/>
  </r>
  <r>
    <s v="PF-CONSULTORIA E ASSESSORIA"/>
    <x v="7"/>
    <x v="0"/>
    <n v="12000"/>
    <s v="0000000073"/>
    <s v="0001"/>
    <d v="2022-11-01T00:00:00"/>
    <s v="330202001"/>
    <s v="201"/>
    <s v="90"/>
    <s v="Credito"/>
    <x v="0"/>
    <x v="167"/>
    <m/>
    <s v="000055"/>
    <s v="000000"/>
    <n v="12000"/>
    <s v="0,00"/>
    <s v="0,00"/>
    <s v="0,00"/>
    <s v="0,00"/>
    <m/>
    <m/>
    <s v="201"/>
    <s v="90"/>
    <m/>
    <m/>
    <s v="010101"/>
  </r>
  <r>
    <s v="PF-CONSULTORIA E ASSESSORIA"/>
    <x v="7"/>
    <x v="1"/>
    <n v="12000"/>
    <s v="0000000073"/>
    <s v="0002"/>
    <d v="2022-12-01T00:00:00"/>
    <s v="330202001"/>
    <s v="201"/>
    <s v="90"/>
    <s v="Credito"/>
    <x v="0"/>
    <x v="167"/>
    <m/>
    <s v="000055"/>
    <s v="000000"/>
    <n v="12000"/>
    <s v="0,00"/>
    <s v="0,00"/>
    <s v="0,00"/>
    <s v="0,00"/>
    <m/>
    <m/>
    <s v="201"/>
    <s v="90"/>
    <m/>
    <m/>
    <s v="010101"/>
  </r>
  <r>
    <s v="PF-CONSULTORIA E ASSESSORIA"/>
    <x v="7"/>
    <x v="2"/>
    <n v="12000"/>
    <s v="0000000073"/>
    <s v="0003"/>
    <d v="2023-01-01T00:00:00"/>
    <s v="330202001"/>
    <s v="201"/>
    <s v="90"/>
    <s v="Credito"/>
    <x v="0"/>
    <x v="167"/>
    <m/>
    <s v="000055"/>
    <s v="000000"/>
    <n v="12000"/>
    <s v="0,00"/>
    <s v="0,00"/>
    <s v="0,00"/>
    <s v="0,00"/>
    <m/>
    <m/>
    <s v="201"/>
    <s v="90"/>
    <m/>
    <m/>
    <s v="010101"/>
  </r>
  <r>
    <s v="PF-CONSULTORIA E ASSESSORIA"/>
    <x v="7"/>
    <x v="3"/>
    <n v="12000"/>
    <s v="0000000073"/>
    <s v="0004"/>
    <d v="2023-02-01T00:00:00"/>
    <s v="330202001"/>
    <s v="201"/>
    <s v="90"/>
    <s v="Credito"/>
    <x v="0"/>
    <x v="167"/>
    <m/>
    <s v="000055"/>
    <s v="000000"/>
    <n v="12000"/>
    <s v="0,00"/>
    <s v="0,00"/>
    <s v="0,00"/>
    <s v="0,00"/>
    <m/>
    <m/>
    <s v="201"/>
    <s v="90"/>
    <m/>
    <m/>
    <s v="010101"/>
  </r>
  <r>
    <s v="PF-CONSULTORIA E ASSESSORIA"/>
    <x v="7"/>
    <x v="4"/>
    <n v="12000"/>
    <s v="0000000073"/>
    <s v="0005"/>
    <d v="2023-03-01T00:00:00"/>
    <s v="330202001"/>
    <s v="201"/>
    <s v="90"/>
    <s v="Credito"/>
    <x v="0"/>
    <x v="167"/>
    <m/>
    <s v="000055"/>
    <s v="000000"/>
    <n v="12000"/>
    <s v="0,00"/>
    <s v="0,00"/>
    <s v="0,00"/>
    <s v="0,00"/>
    <m/>
    <m/>
    <s v="201"/>
    <s v="90"/>
    <m/>
    <m/>
    <s v="010101"/>
  </r>
  <r>
    <s v="PF-CONSULTORIA E ASSESSORIA"/>
    <x v="7"/>
    <x v="5"/>
    <n v="12000"/>
    <s v="0000000073"/>
    <s v="0006"/>
    <d v="2023-04-01T00:00:00"/>
    <s v="330202001"/>
    <s v="201"/>
    <s v="90"/>
    <s v="Credito"/>
    <x v="0"/>
    <x v="167"/>
    <m/>
    <s v="000055"/>
    <s v="000000"/>
    <n v="12000"/>
    <s v="0,00"/>
    <s v="0,00"/>
    <s v="0,00"/>
    <s v="0,00"/>
    <m/>
    <m/>
    <s v="201"/>
    <s v="90"/>
    <m/>
    <m/>
    <s v="010101"/>
  </r>
  <r>
    <s v="PF-CONSULTORIA E ASSESSORIA"/>
    <x v="7"/>
    <x v="6"/>
    <n v="12000"/>
    <s v="0000000073"/>
    <s v="0007"/>
    <d v="2023-05-01T00:00:00"/>
    <s v="330202001"/>
    <s v="201"/>
    <s v="90"/>
    <s v="Credito"/>
    <x v="0"/>
    <x v="167"/>
    <m/>
    <s v="000055"/>
    <s v="000000"/>
    <n v="12000"/>
    <s v="0,00"/>
    <s v="0,00"/>
    <s v="0,00"/>
    <s v="0,00"/>
    <m/>
    <m/>
    <s v="201"/>
    <s v="90"/>
    <m/>
    <m/>
    <s v="010101"/>
  </r>
  <r>
    <s v="PF-CONSULTORIA E ASSESSORIA"/>
    <x v="7"/>
    <x v="0"/>
    <n v="12000"/>
    <s v="0000000074"/>
    <s v="0001"/>
    <d v="2022-11-21T00:00:00"/>
    <s v="330202001"/>
    <s v="201"/>
    <s v="90"/>
    <s v="Credito"/>
    <x v="1"/>
    <x v="168"/>
    <m/>
    <s v="000054"/>
    <s v="000070"/>
    <n v="12000"/>
    <s v="0,00"/>
    <s v="0,00"/>
    <s v="0,00"/>
    <s v="0,00"/>
    <m/>
    <m/>
    <s v="201"/>
    <s v="90"/>
    <m/>
    <m/>
    <s v="010101"/>
  </r>
  <r>
    <s v="PF-CONSULTORIA E ASSESSORIA"/>
    <x v="7"/>
    <x v="0"/>
    <n v="-12000"/>
    <s v="0000000074"/>
    <s v="0002"/>
    <d v="2022-11-21T00:00:00"/>
    <s v="330202001"/>
    <s v="201"/>
    <s v="90"/>
    <s v="Debito"/>
    <x v="0"/>
    <x v="167"/>
    <m/>
    <s v="000054"/>
    <s v="000070"/>
    <n v="12000"/>
    <s v="0,00"/>
    <s v="0,00"/>
    <s v="0,00"/>
    <s v="0,00"/>
    <m/>
    <m/>
    <s v="201"/>
    <s v="90"/>
    <m/>
    <m/>
    <s v="010101"/>
  </r>
  <r>
    <s v="PECAS E ACESSORIOS"/>
    <x v="0"/>
    <x v="0"/>
    <n v="240.5"/>
    <s v="0000000075"/>
    <s v="0001"/>
    <d v="2022-11-15T00:00:00"/>
    <s v="320301004"/>
    <s v="302"/>
    <s v="90"/>
    <s v="Credito"/>
    <x v="0"/>
    <x v="169"/>
    <m/>
    <s v="000055"/>
    <s v="000000"/>
    <n v="240.5"/>
    <s v="0,00"/>
    <s v="0,00"/>
    <s v="0,00"/>
    <s v="0,00"/>
    <m/>
    <m/>
    <s v="302"/>
    <s v="90"/>
    <m/>
    <m/>
    <s v="010101"/>
  </r>
  <r>
    <s v="PECAS E ACESSORIOS"/>
    <x v="0"/>
    <x v="0"/>
    <n v="440"/>
    <s v="0000000075"/>
    <s v="0002"/>
    <d v="2022-11-15T00:00:00"/>
    <s v="320301004"/>
    <s v="302"/>
    <s v="90"/>
    <s v="Credito"/>
    <x v="0"/>
    <x v="170"/>
    <m/>
    <s v="000055"/>
    <s v="000000"/>
    <n v="440"/>
    <s v="0,00"/>
    <s v="0,00"/>
    <s v="0,00"/>
    <s v="0,00"/>
    <m/>
    <m/>
    <s v="302"/>
    <s v="90"/>
    <m/>
    <m/>
    <s v="010101"/>
  </r>
  <r>
    <s v="PECAS E ACESSORIOS"/>
    <x v="0"/>
    <x v="0"/>
    <n v="290.52"/>
    <s v="0000000075"/>
    <s v="0003"/>
    <d v="2022-11-15T00:00:00"/>
    <s v="320301004"/>
    <s v="304"/>
    <s v="11"/>
    <s v="Credito"/>
    <x v="0"/>
    <x v="171"/>
    <m/>
    <s v="000055"/>
    <s v="000000"/>
    <n v="290.52"/>
    <s v="0,00"/>
    <s v="0,00"/>
    <s v="0,00"/>
    <s v="0,00"/>
    <m/>
    <m/>
    <s v="304"/>
    <s v="11"/>
    <m/>
    <m/>
    <s v="010101"/>
  </r>
  <r>
    <s v="PECAS E ACESSORIOS"/>
    <x v="0"/>
    <x v="0"/>
    <n v="31.24"/>
    <s v="0000000075"/>
    <s v="0004"/>
    <d v="2022-11-15T00:00:00"/>
    <s v="320301004"/>
    <s v="305"/>
    <s v="21"/>
    <s v="Credito"/>
    <x v="0"/>
    <x v="172"/>
    <m/>
    <s v="000055"/>
    <s v="000000"/>
    <n v="31.24"/>
    <s v="0,00"/>
    <s v="0,00"/>
    <s v="0,00"/>
    <s v="0,00"/>
    <m/>
    <m/>
    <s v="305"/>
    <s v="21"/>
    <m/>
    <m/>
    <s v="010101"/>
  </r>
  <r>
    <s v="PECAS E ACESSORIOS"/>
    <x v="1"/>
    <x v="0"/>
    <n v="149.1"/>
    <s v="0000000075"/>
    <s v="0005"/>
    <d v="2022-11-15T00:00:00"/>
    <s v="330301004"/>
    <s v="206"/>
    <s v="90"/>
    <s v="Credito"/>
    <x v="0"/>
    <x v="173"/>
    <m/>
    <s v="000055"/>
    <s v="000000"/>
    <n v="149.1"/>
    <s v="0,00"/>
    <s v="0,00"/>
    <s v="0,00"/>
    <s v="0,00"/>
    <m/>
    <m/>
    <s v="206"/>
    <s v="90"/>
    <m/>
    <m/>
    <s v="010101"/>
  </r>
  <r>
    <s v="PJ-OUTROS SERVICOS CONTRATADOS-PJ"/>
    <x v="3"/>
    <x v="0"/>
    <n v="586.34"/>
    <s v="0000000076"/>
    <s v="0001"/>
    <d v="2022-11-01T00:00:00"/>
    <s v="330201006"/>
    <s v="201"/>
    <s v="90"/>
    <s v="Credito"/>
    <x v="0"/>
    <x v="174"/>
    <m/>
    <s v="000055"/>
    <s v="000000"/>
    <n v="586.34"/>
    <s v="0,00"/>
    <s v="0,00"/>
    <s v="0,00"/>
    <s v="0,00"/>
    <m/>
    <m/>
    <s v="201"/>
    <s v="90"/>
    <m/>
    <m/>
    <s v="010101"/>
  </r>
  <r>
    <s v="PJ-OUTROS SERVICOS CONTRATADOS-PJ"/>
    <x v="3"/>
    <x v="1"/>
    <n v="586.34"/>
    <s v="0000000076"/>
    <s v="0002"/>
    <d v="2022-12-01T00:00:00"/>
    <s v="330201006"/>
    <s v="201"/>
    <s v="90"/>
    <s v="Credito"/>
    <x v="0"/>
    <x v="174"/>
    <m/>
    <s v="000055"/>
    <s v="000000"/>
    <n v="586.34"/>
    <s v="0,00"/>
    <s v="0,00"/>
    <s v="0,00"/>
    <s v="0,00"/>
    <m/>
    <m/>
    <s v="201"/>
    <s v="90"/>
    <m/>
    <m/>
    <s v="010101"/>
  </r>
  <r>
    <s v="PJ-OUTROS SERVICOS CONTRATADOS-PJ"/>
    <x v="3"/>
    <x v="2"/>
    <n v="586.34"/>
    <s v="0000000076"/>
    <s v="0003"/>
    <d v="2023-01-01T00:00:00"/>
    <s v="330201006"/>
    <s v="201"/>
    <s v="90"/>
    <s v="Credito"/>
    <x v="0"/>
    <x v="174"/>
    <m/>
    <s v="000055"/>
    <s v="000000"/>
    <n v="586.34"/>
    <s v="0,00"/>
    <s v="0,00"/>
    <s v="0,00"/>
    <s v="0,00"/>
    <m/>
    <m/>
    <s v="201"/>
    <s v="90"/>
    <m/>
    <m/>
    <s v="010101"/>
  </r>
  <r>
    <s v="PJ-OUTROS SERVICOS CONTRATADOS-PJ"/>
    <x v="3"/>
    <x v="3"/>
    <n v="586.34"/>
    <s v="0000000076"/>
    <s v="0004"/>
    <d v="2023-02-01T00:00:00"/>
    <s v="330201006"/>
    <s v="201"/>
    <s v="90"/>
    <s v="Credito"/>
    <x v="0"/>
    <x v="174"/>
    <m/>
    <s v="000055"/>
    <s v="000000"/>
    <n v="586.34"/>
    <s v="0,00"/>
    <s v="0,00"/>
    <s v="0,00"/>
    <s v="0,00"/>
    <m/>
    <m/>
    <s v="201"/>
    <s v="90"/>
    <m/>
    <m/>
    <s v="010101"/>
  </r>
  <r>
    <s v="PJ-OUTROS SERVICOS CONTRATADOS-PJ"/>
    <x v="3"/>
    <x v="4"/>
    <n v="586.34"/>
    <s v="0000000076"/>
    <s v="0005"/>
    <d v="2023-03-01T00:00:00"/>
    <s v="330201006"/>
    <s v="201"/>
    <s v="90"/>
    <s v="Credito"/>
    <x v="0"/>
    <x v="174"/>
    <m/>
    <s v="000055"/>
    <s v="000000"/>
    <n v="586.34"/>
    <s v="0,00"/>
    <s v="0,00"/>
    <s v="0,00"/>
    <s v="0,00"/>
    <m/>
    <m/>
    <s v="201"/>
    <s v="90"/>
    <m/>
    <m/>
    <s v="010101"/>
  </r>
  <r>
    <s v="PJ-OUTROS SERVICOS CONTRATADOS-PJ"/>
    <x v="3"/>
    <x v="5"/>
    <n v="586.34"/>
    <s v="0000000076"/>
    <s v="0006"/>
    <d v="2023-04-01T00:00:00"/>
    <s v="330201006"/>
    <s v="201"/>
    <s v="90"/>
    <s v="Credito"/>
    <x v="0"/>
    <x v="174"/>
    <m/>
    <s v="000055"/>
    <s v="000000"/>
    <n v="586.34"/>
    <s v="0,00"/>
    <s v="0,00"/>
    <s v="0,00"/>
    <s v="0,00"/>
    <m/>
    <m/>
    <s v="201"/>
    <s v="90"/>
    <m/>
    <m/>
    <s v="010101"/>
  </r>
  <r>
    <s v="PJ-OUTROS SERVICOS CONTRATADOS-PJ"/>
    <x v="3"/>
    <x v="6"/>
    <n v="586.34"/>
    <s v="0000000076"/>
    <s v="0007"/>
    <d v="2023-05-01T00:00:00"/>
    <s v="330201006"/>
    <s v="201"/>
    <s v="90"/>
    <s v="Credito"/>
    <x v="0"/>
    <x v="174"/>
    <m/>
    <s v="000055"/>
    <s v="000000"/>
    <n v="586.34"/>
    <s v="0,00"/>
    <s v="0,00"/>
    <s v="0,00"/>
    <s v="0,00"/>
    <m/>
    <m/>
    <s v="201"/>
    <s v="90"/>
    <m/>
    <m/>
    <s v="010101"/>
  </r>
  <r>
    <s v="PJ-OUTROS SERVICOS CONTRATADOS-PJ"/>
    <x v="3"/>
    <x v="7"/>
    <n v="586.34"/>
    <s v="0000000076"/>
    <s v="0008"/>
    <d v="2023-06-01T00:00:00"/>
    <s v="330201006"/>
    <s v="201"/>
    <s v="90"/>
    <s v="Credito"/>
    <x v="0"/>
    <x v="174"/>
    <m/>
    <s v="000055"/>
    <s v="000000"/>
    <n v="586.34"/>
    <s v="0,00"/>
    <s v="0,00"/>
    <s v="0,00"/>
    <s v="0,00"/>
    <m/>
    <m/>
    <s v="201"/>
    <s v="90"/>
    <m/>
    <m/>
    <s v="010101"/>
  </r>
  <r>
    <s v="PJ-OUTROS SERVICOS CONTRATADOS-PJ"/>
    <x v="3"/>
    <x v="0"/>
    <n v="586.34"/>
    <s v="0000000077"/>
    <s v="0001"/>
    <d v="2022-11-21T00:00:00"/>
    <s v="330201006"/>
    <s v="201"/>
    <s v="90"/>
    <s v="Credito"/>
    <x v="1"/>
    <x v="175"/>
    <m/>
    <s v="000054"/>
    <s v="000070"/>
    <n v="586.34"/>
    <s v="0,00"/>
    <s v="0,00"/>
    <s v="0,00"/>
    <s v="0,00"/>
    <m/>
    <m/>
    <s v="201"/>
    <s v="90"/>
    <m/>
    <m/>
    <s v="010101"/>
  </r>
  <r>
    <s v="PJ-OUTROS SERVICOS CONTRATADOS-PJ"/>
    <x v="3"/>
    <x v="0"/>
    <n v="-586.34"/>
    <s v="0000000077"/>
    <s v="0002"/>
    <d v="2022-11-21T00:00:00"/>
    <s v="330201006"/>
    <s v="201"/>
    <s v="90"/>
    <s v="Debito"/>
    <x v="0"/>
    <x v="174"/>
    <m/>
    <s v="000054"/>
    <s v="000070"/>
    <n v="586.34"/>
    <s v="0,00"/>
    <s v="0,00"/>
    <s v="0,00"/>
    <s v="0,00"/>
    <m/>
    <m/>
    <s v="201"/>
    <s v="90"/>
    <m/>
    <m/>
    <s v="010101"/>
  </r>
  <r>
    <s v="RECEITA BRUTA DE TRANSPORTES"/>
    <x v="17"/>
    <x v="0"/>
    <n v="1582.57"/>
    <s v="0000000078"/>
    <s v="0001"/>
    <d v="2022-11-23T00:00:00"/>
    <s v="310101"/>
    <s v="304"/>
    <s v="11"/>
    <s v="Credito"/>
    <x v="1"/>
    <x v="176"/>
    <m/>
    <s v="000101"/>
    <s v="000132"/>
    <n v="1582.57"/>
    <s v="0,00"/>
    <s v="0,00"/>
    <s v="0,00"/>
    <s v="0,00"/>
    <s v="ORC2022_2"/>
    <m/>
    <s v="304"/>
    <s v="11"/>
    <m/>
    <m/>
    <s v="010101"/>
  </r>
  <r>
    <s v="IMOBILIZADO EM ANDAMENTO - PROPRIOS"/>
    <x v="18"/>
    <x v="0"/>
    <n v="241.77"/>
    <s v="0000000079"/>
    <s v="0001"/>
    <d v="2022-11-23T00:00:00"/>
    <s v="120307001"/>
    <s v="211"/>
    <s v="51"/>
    <s v="Credito"/>
    <x v="0"/>
    <x v="177"/>
    <m/>
    <s v="000055"/>
    <s v="000000"/>
    <n v="241.77"/>
    <s v="0,00"/>
    <s v="0,00"/>
    <s v="0,00"/>
    <s v="0,00"/>
    <s v="ORC2022_2"/>
    <m/>
    <s v="211"/>
    <s v="51"/>
    <m/>
    <m/>
    <s v="010101"/>
  </r>
  <r>
    <s v="IMOBILIZADO EM ANDAMENTO - PROPRIOS"/>
    <x v="18"/>
    <x v="0"/>
    <n v="1278.3399999999999"/>
    <s v="0000000079"/>
    <s v="0002"/>
    <d v="2022-11-23T00:00:00"/>
    <s v="120307001"/>
    <s v="211"/>
    <s v="51"/>
    <s v="Credito"/>
    <x v="0"/>
    <x v="177"/>
    <m/>
    <s v="000055"/>
    <s v="000000"/>
    <n v="1278.3399999999999"/>
    <s v="0,00"/>
    <s v="0,00"/>
    <s v="0,00"/>
    <s v="0,00"/>
    <s v="ORC2022_2"/>
    <m/>
    <s v="211"/>
    <s v="51"/>
    <m/>
    <m/>
    <s v="010101"/>
  </r>
  <r>
    <s v="IMOBILIZADO EM ANDAMENTO - PROPRIOS"/>
    <x v="18"/>
    <x v="0"/>
    <n v="291.2"/>
    <s v="0000000079"/>
    <s v="0003"/>
    <d v="2022-11-23T00:00:00"/>
    <s v="120307001"/>
    <s v="211"/>
    <s v="51"/>
    <s v="Credito"/>
    <x v="0"/>
    <x v="178"/>
    <m/>
    <s v="000055"/>
    <s v="000000"/>
    <n v="291.2"/>
    <s v="0,00"/>
    <s v="0,00"/>
    <s v="0,00"/>
    <s v="0,00"/>
    <s v="ORC2022_2"/>
    <m/>
    <s v="211"/>
    <s v="51"/>
    <m/>
    <m/>
    <s v="010101"/>
  </r>
  <r>
    <s v="IMOBILIZADO EM ANDAMENTO - PROPRIOS"/>
    <x v="18"/>
    <x v="0"/>
    <n v="49.92"/>
    <s v="0000000079"/>
    <s v="0004"/>
    <d v="2022-11-23T00:00:00"/>
    <s v="120307001"/>
    <s v="211"/>
    <s v="51"/>
    <s v="Credito"/>
    <x v="0"/>
    <x v="177"/>
    <m/>
    <s v="000055"/>
    <s v="000000"/>
    <n v="49.92"/>
    <s v="0,00"/>
    <s v="0,00"/>
    <s v="0,00"/>
    <s v="0,00"/>
    <s v="ORC2022_2"/>
    <m/>
    <s v="211"/>
    <s v="51"/>
    <m/>
    <m/>
    <s v="010101"/>
  </r>
  <r>
    <s v="IMOBILIZADO EM ANDAMENTO - PROPRIOS"/>
    <x v="18"/>
    <x v="0"/>
    <n v="205.59"/>
    <s v="0000000079"/>
    <s v="0005"/>
    <d v="2022-11-23T00:00:00"/>
    <s v="120307001"/>
    <s v="211"/>
    <s v="51"/>
    <s v="Credito"/>
    <x v="0"/>
    <x v="179"/>
    <m/>
    <s v="000055"/>
    <s v="000000"/>
    <n v="205.59"/>
    <s v="0,00"/>
    <s v="0,00"/>
    <s v="0,00"/>
    <s v="0,00"/>
    <s v="ORC2022_2"/>
    <m/>
    <s v="211"/>
    <s v="51"/>
    <m/>
    <m/>
    <s v="010101"/>
  </r>
  <r>
    <s v="IMOBILIZADO EM ANDAMENTO - PROPRIOS"/>
    <x v="18"/>
    <x v="0"/>
    <n v="49.9"/>
    <s v="0000000079"/>
    <s v="0006"/>
    <d v="2022-11-23T00:00:00"/>
    <s v="120307001"/>
    <s v="211"/>
    <s v="51"/>
    <s v="Credito"/>
    <x v="0"/>
    <x v="179"/>
    <m/>
    <s v="000055"/>
    <s v="000000"/>
    <n v="49.9"/>
    <s v="0,00"/>
    <s v="0,00"/>
    <s v="0,00"/>
    <s v="0,00"/>
    <s v="ORC2022_2"/>
    <m/>
    <s v="211"/>
    <s v="51"/>
    <m/>
    <m/>
    <s v="010101"/>
  </r>
  <r>
    <s v="IMOBILIZADO EM ANDAMENTO - PROPRIOS"/>
    <x v="18"/>
    <x v="0"/>
    <n v="20924.580000000002"/>
    <s v="0000000080"/>
    <s v="0001"/>
    <d v="2022-11-23T00:00:00"/>
    <s v="120307001"/>
    <s v="211"/>
    <s v="51"/>
    <s v="Credito"/>
    <x v="0"/>
    <x v="180"/>
    <m/>
    <s v="000055"/>
    <s v="000000"/>
    <n v="20924.580000000002"/>
    <s v="0,00"/>
    <s v="0,00"/>
    <s v="0,00"/>
    <s v="0,00"/>
    <s v="ORC2022_2"/>
    <m/>
    <s v="211"/>
    <s v="51"/>
    <m/>
    <m/>
    <s v="010101"/>
  </r>
  <r>
    <s v="MOVEIS E UTENSILIOS"/>
    <x v="19"/>
    <x v="0"/>
    <n v="3482.58"/>
    <s v="0000000083"/>
    <s v="0001"/>
    <d v="2022-11-23T00:00:00"/>
    <s v="120302001"/>
    <s v="305"/>
    <s v="21"/>
    <s v="Credito"/>
    <x v="0"/>
    <x v="181"/>
    <m/>
    <s v="000055"/>
    <s v="000000"/>
    <n v="3482.58"/>
    <s v="0,00"/>
    <s v="0,00"/>
    <s v="0,00"/>
    <s v="0,00"/>
    <s v="ORC2022_2"/>
    <m/>
    <s v="305"/>
    <s v="21"/>
    <m/>
    <m/>
    <s v="010101"/>
  </r>
  <r>
    <s v="IMOBILIZADO EM ANDAMENTO - PROPRIOS"/>
    <x v="18"/>
    <x v="0"/>
    <n v="1568.88"/>
    <s v="0000000087"/>
    <s v="0001"/>
    <d v="2022-11-23T00:00:00"/>
    <s v="120307001"/>
    <s v="211"/>
    <s v="51"/>
    <s v="Credito"/>
    <x v="0"/>
    <x v="182"/>
    <m/>
    <s v="000055"/>
    <s v="000000"/>
    <n v="1568.88"/>
    <s v="0,00"/>
    <s v="0,00"/>
    <s v="0,00"/>
    <s v="0,00"/>
    <s v="ORC2022_2"/>
    <m/>
    <s v="211"/>
    <s v="51"/>
    <m/>
    <m/>
    <s v="010101"/>
  </r>
  <r>
    <s v="MOVEIS E UTENSILIOS"/>
    <x v="19"/>
    <x v="0"/>
    <n v="2090"/>
    <s v="0000000088"/>
    <s v="0001"/>
    <d v="2022-11-23T00:00:00"/>
    <s v="120302001"/>
    <s v="301"/>
    <s v="90"/>
    <s v="Credito"/>
    <x v="0"/>
    <x v="183"/>
    <m/>
    <s v="000055"/>
    <s v="000000"/>
    <n v="2090"/>
    <s v="0,00"/>
    <s v="0,00"/>
    <s v="0,00"/>
    <s v="0,00"/>
    <s v="ORC2022_2"/>
    <m/>
    <s v="301"/>
    <s v="90"/>
    <m/>
    <m/>
    <s v="010101"/>
  </r>
  <r>
    <s v="RECEITA BRUTA DE TRANSPORTES"/>
    <x v="17"/>
    <x v="0"/>
    <n v="1710.82"/>
    <s v="0000000093"/>
    <s v="0001"/>
    <d v="2022-11-23T00:00:00"/>
    <s v="310101"/>
    <s v="304"/>
    <s v="11"/>
    <s v="Credito"/>
    <x v="1"/>
    <x v="184"/>
    <m/>
    <s v="000101"/>
    <s v="000032"/>
    <n v="1710.82"/>
    <s v="0,00"/>
    <s v="0,00"/>
    <s v="0,00"/>
    <s v="0,00"/>
    <s v="ORC2022_2"/>
    <m/>
    <s v="304"/>
    <s v="11"/>
    <m/>
    <m/>
    <s v="010101"/>
  </r>
  <r>
    <s v="RECEITA BRUTA DE TRANSPORTES"/>
    <x v="17"/>
    <x v="0"/>
    <n v="500"/>
    <s v="0000000094"/>
    <s v="0001"/>
    <d v="2022-11-23T00:00:00"/>
    <s v="310101"/>
    <s v="304"/>
    <s v="11"/>
    <s v="Credito"/>
    <x v="1"/>
    <x v="185"/>
    <m/>
    <s v="000101"/>
    <s v="000032"/>
    <n v="500"/>
    <s v="0,00"/>
    <s v="0,00"/>
    <s v="0,00"/>
    <s v="0,00"/>
    <s v="ORC2022_2"/>
    <m/>
    <s v="304"/>
    <s v="11"/>
    <m/>
    <m/>
    <s v="010101"/>
  </r>
  <r>
    <s v="RECEITA BRUTA DE TRANSPORTES"/>
    <x v="17"/>
    <x v="0"/>
    <n v="6378.28"/>
    <s v="0000000095"/>
    <s v="0001"/>
    <d v="2022-11-23T00:00:00"/>
    <s v="310101"/>
    <s v="304"/>
    <s v="11"/>
    <s v="Credito"/>
    <x v="1"/>
    <x v="186"/>
    <m/>
    <s v="000101"/>
    <s v="000032"/>
    <n v="6378.28"/>
    <s v="0,00"/>
    <s v="0,00"/>
    <s v="0,00"/>
    <s v="0,00"/>
    <s v="ORC2022_2"/>
    <m/>
    <s v="304"/>
    <s v="11"/>
    <m/>
    <m/>
    <s v="010101"/>
  </r>
  <r>
    <s v="RECEITA BRUTA DE TRANSPORTES"/>
    <x v="17"/>
    <x v="0"/>
    <n v="14521.11"/>
    <s v="0000000096"/>
    <s v="0001"/>
    <d v="2022-11-23T00:00:00"/>
    <s v="310101"/>
    <s v="304"/>
    <s v="11"/>
    <s v="Credito"/>
    <x v="1"/>
    <x v="187"/>
    <m/>
    <s v="000101"/>
    <s v="000032"/>
    <n v="14521.11"/>
    <s v="0,00"/>
    <s v="0,00"/>
    <s v="0,00"/>
    <s v="0,00"/>
    <s v="ORC2022_2"/>
    <m/>
    <s v="304"/>
    <s v="11"/>
    <m/>
    <m/>
    <s v="010101"/>
  </r>
  <r>
    <s v="RECEITA BRUTA DE TRANSPORTES"/>
    <x v="17"/>
    <x v="0"/>
    <n v="46637.93"/>
    <s v="0000000097"/>
    <s v="0001"/>
    <d v="2022-11-24T00:00:00"/>
    <s v="310101"/>
    <s v="304"/>
    <s v="11"/>
    <s v="Credito"/>
    <x v="1"/>
    <x v="188"/>
    <m/>
    <s v="000101"/>
    <s v="000032"/>
    <n v="46637.93"/>
    <s v="0,00"/>
    <s v="0,00"/>
    <s v="0,00"/>
    <s v="0,00"/>
    <s v="ORC2022_2"/>
    <m/>
    <s v="304"/>
    <s v="11"/>
    <m/>
    <m/>
    <s v="010101"/>
  </r>
  <r>
    <s v="RECEITA BRUTA DE TRANSPORTES"/>
    <x v="17"/>
    <x v="0"/>
    <n v="8800"/>
    <s v="0000000098"/>
    <s v="0001"/>
    <d v="2022-11-24T00:00:00"/>
    <s v="310101"/>
    <s v="304"/>
    <s v="11"/>
    <s v="Credito"/>
    <x v="1"/>
    <x v="189"/>
    <m/>
    <s v="000101"/>
    <s v="000032"/>
    <n v="8800"/>
    <s v="0,00"/>
    <s v="0,00"/>
    <s v="0,00"/>
    <s v="0,00"/>
    <s v="ORC2022_2"/>
    <m/>
    <s v="304"/>
    <s v="11"/>
    <m/>
    <m/>
    <s v="010101"/>
  </r>
  <r>
    <s v="RECEITA BRUTA DE TRANSPORTES"/>
    <x v="17"/>
    <x v="0"/>
    <n v="1363.81"/>
    <s v="0000000100"/>
    <s v="0001"/>
    <d v="2022-11-24T00:00:00"/>
    <s v="310101"/>
    <s v="304"/>
    <s v="11"/>
    <s v="Credito"/>
    <x v="1"/>
    <x v="190"/>
    <m/>
    <s v="000101"/>
    <s v="000032"/>
    <n v="1363.81"/>
    <s v="0,00"/>
    <s v="0,00"/>
    <s v="0,00"/>
    <s v="0,00"/>
    <s v="ORC2022_2"/>
    <m/>
    <s v="304"/>
    <s v="11"/>
    <m/>
    <m/>
    <s v="010101"/>
  </r>
  <r>
    <s v="IMOBILIZADO EM ANDAMENTO - PROPRIOS"/>
    <x v="18"/>
    <x v="0"/>
    <n v="20924.580000000002"/>
    <s v="0000000103"/>
    <s v="0001"/>
    <d v="2022-11-24T00:00:00"/>
    <s v="120307001"/>
    <s v="211"/>
    <s v="51"/>
    <s v="Credito"/>
    <x v="1"/>
    <x v="191"/>
    <m/>
    <s v="000054"/>
    <s v="000070"/>
    <n v="20924.580000000002"/>
    <s v="0,00"/>
    <s v="0,00"/>
    <s v="0,00"/>
    <s v="0,00"/>
    <s v="ORC2022_2"/>
    <m/>
    <s v="211"/>
    <s v="51"/>
    <m/>
    <m/>
    <s v="010101"/>
  </r>
  <r>
    <s v="IMOBILIZADO EM ANDAMENTO - PROPRIOS"/>
    <x v="18"/>
    <x v="0"/>
    <n v="-20924.580000000002"/>
    <s v="0000000103"/>
    <s v="0002"/>
    <d v="2022-11-24T00:00:00"/>
    <s v="120307001"/>
    <s v="211"/>
    <s v="51"/>
    <s v="Debito"/>
    <x v="0"/>
    <x v="180"/>
    <m/>
    <s v="000054"/>
    <s v="000070"/>
    <n v="20924.580000000002"/>
    <s v="0,00"/>
    <s v="0,00"/>
    <s v="0,00"/>
    <s v="0,00"/>
    <s v="ORC2022_2"/>
    <m/>
    <s v="211"/>
    <s v="51"/>
    <m/>
    <m/>
    <s v="010101"/>
  </r>
  <r>
    <s v="MOVEIS E UTENSILIOS"/>
    <x v="19"/>
    <x v="0"/>
    <n v="2090"/>
    <s v="0000000104"/>
    <s v="0001"/>
    <d v="2022-11-24T00:00:00"/>
    <s v="120302001"/>
    <s v="301"/>
    <s v="90"/>
    <s v="Credito"/>
    <x v="1"/>
    <x v="192"/>
    <m/>
    <s v="000054"/>
    <s v="000091"/>
    <n v="2090"/>
    <s v="0,00"/>
    <s v="0,00"/>
    <s v="0,00"/>
    <s v="0,00"/>
    <s v="ORC2022_2"/>
    <m/>
    <s v="301"/>
    <s v="90"/>
    <m/>
    <m/>
    <s v="010101"/>
  </r>
  <r>
    <s v="MOVEIS E UTENSILIOS"/>
    <x v="19"/>
    <x v="0"/>
    <n v="-2090"/>
    <s v="0000000104"/>
    <s v="0002"/>
    <d v="2022-11-24T00:00:00"/>
    <s v="120302001"/>
    <s v="301"/>
    <s v="90"/>
    <s v="Debito"/>
    <x v="0"/>
    <x v="183"/>
    <m/>
    <s v="000054"/>
    <s v="000091"/>
    <n v="2090"/>
    <s v="0,00"/>
    <s v="0,00"/>
    <s v="0,00"/>
    <s v="0,00"/>
    <s v="ORC2022_2"/>
    <m/>
    <s v="301"/>
    <s v="90"/>
    <m/>
    <m/>
    <s v="010101"/>
  </r>
  <r>
    <s v="IMOBILIZADO EM ANDAMENTO - PROPRIOS"/>
    <x v="18"/>
    <x v="0"/>
    <n v="291.2"/>
    <s v="0000000105"/>
    <s v="0001"/>
    <d v="2022-11-24T00:00:00"/>
    <s v="120307001"/>
    <s v="211"/>
    <s v="51"/>
    <s v="Credito"/>
    <x v="1"/>
    <x v="193"/>
    <m/>
    <s v="000054"/>
    <s v="000091"/>
    <n v="291.2"/>
    <s v="0,00"/>
    <s v="0,00"/>
    <s v="0,00"/>
    <s v="0,00"/>
    <s v="ORC2022_2"/>
    <m/>
    <s v="211"/>
    <s v="51"/>
    <m/>
    <m/>
    <s v="010101"/>
  </r>
  <r>
    <s v="IMOBILIZADO EM ANDAMENTO - PROPRIOS"/>
    <x v="18"/>
    <x v="0"/>
    <n v="-291.2"/>
    <s v="0000000105"/>
    <s v="0002"/>
    <d v="2022-11-24T00:00:00"/>
    <s v="120307001"/>
    <s v="211"/>
    <s v="51"/>
    <s v="Debito"/>
    <x v="0"/>
    <x v="178"/>
    <m/>
    <s v="000054"/>
    <s v="000091"/>
    <n v="291.2"/>
    <s v="0,00"/>
    <s v="0,00"/>
    <s v="0,00"/>
    <s v="0,00"/>
    <s v="ORC2022_2"/>
    <m/>
    <s v="211"/>
    <s v="51"/>
    <m/>
    <m/>
    <s v="010101"/>
  </r>
  <r>
    <s v="IMOBILIZADO EM ANDAMENTO - PROPRIOS"/>
    <x v="18"/>
    <x v="0"/>
    <n v="241.77"/>
    <s v="0000000105"/>
    <s v="0003"/>
    <d v="2022-11-24T00:00:00"/>
    <s v="120307001"/>
    <s v="211"/>
    <s v="51"/>
    <s v="Credito"/>
    <x v="1"/>
    <x v="194"/>
    <m/>
    <s v="000054"/>
    <s v="000091"/>
    <n v="241.77"/>
    <s v="0,00"/>
    <s v="0,00"/>
    <s v="0,00"/>
    <s v="0,00"/>
    <s v="ORC2022_2"/>
    <m/>
    <s v="211"/>
    <s v="51"/>
    <m/>
    <m/>
    <s v="010101"/>
  </r>
  <r>
    <s v="IMOBILIZADO EM ANDAMENTO - PROPRIOS"/>
    <x v="18"/>
    <x v="0"/>
    <n v="-241.77"/>
    <s v="0000000105"/>
    <s v="0004"/>
    <d v="2022-11-24T00:00:00"/>
    <s v="120307001"/>
    <s v="211"/>
    <s v="51"/>
    <s v="Debito"/>
    <x v="0"/>
    <x v="177"/>
    <m/>
    <s v="000054"/>
    <s v="000091"/>
    <n v="241.77"/>
    <s v="0,00"/>
    <s v="0,00"/>
    <s v="0,00"/>
    <s v="0,00"/>
    <s v="ORC2022_2"/>
    <m/>
    <s v="211"/>
    <s v="51"/>
    <m/>
    <m/>
    <s v="010101"/>
  </r>
  <r>
    <s v="IMOBILIZADO EM ANDAMENTO - PROPRIOS"/>
    <x v="18"/>
    <x v="0"/>
    <n v="1278.3399999999999"/>
    <s v="0000000105"/>
    <s v="0005"/>
    <d v="2022-11-24T00:00:00"/>
    <s v="120307001"/>
    <s v="211"/>
    <s v="51"/>
    <s v="Credito"/>
    <x v="1"/>
    <x v="194"/>
    <m/>
    <s v="000054"/>
    <s v="000091"/>
    <n v="1278.3399999999999"/>
    <s v="0,00"/>
    <s v="0,00"/>
    <s v="0,00"/>
    <s v="0,00"/>
    <s v="ORC2022_2"/>
    <m/>
    <s v="211"/>
    <s v="51"/>
    <m/>
    <m/>
    <s v="010101"/>
  </r>
  <r>
    <s v="IMOBILIZADO EM ANDAMENTO - PROPRIOS"/>
    <x v="18"/>
    <x v="0"/>
    <n v="-1278.3399999999999"/>
    <s v="0000000105"/>
    <s v="0006"/>
    <d v="2022-11-24T00:00:00"/>
    <s v="120307001"/>
    <s v="211"/>
    <s v="51"/>
    <s v="Debito"/>
    <x v="0"/>
    <x v="177"/>
    <m/>
    <s v="000054"/>
    <s v="000091"/>
    <n v="1278.3399999999999"/>
    <s v="0,00"/>
    <s v="0,00"/>
    <s v="0,00"/>
    <s v="0,00"/>
    <s v="ORC2022_2"/>
    <m/>
    <s v="211"/>
    <s v="51"/>
    <m/>
    <m/>
    <s v="010101"/>
  </r>
  <r>
    <s v="IMOBILIZADO EM ANDAMENTO - PROPRIOS"/>
    <x v="18"/>
    <x v="0"/>
    <n v="49.92"/>
    <s v="0000000105"/>
    <s v="0007"/>
    <d v="2022-11-24T00:00:00"/>
    <s v="120307001"/>
    <s v="211"/>
    <s v="51"/>
    <s v="Credito"/>
    <x v="1"/>
    <x v="194"/>
    <m/>
    <s v="000054"/>
    <s v="000091"/>
    <n v="49.92"/>
    <s v="0,00"/>
    <s v="0,00"/>
    <s v="0,00"/>
    <s v="0,00"/>
    <s v="ORC2022_2"/>
    <m/>
    <s v="211"/>
    <s v="51"/>
    <m/>
    <m/>
    <s v="010101"/>
  </r>
  <r>
    <s v="IMOBILIZADO EM ANDAMENTO - PROPRIOS"/>
    <x v="18"/>
    <x v="0"/>
    <n v="-49.92"/>
    <s v="0000000105"/>
    <s v="0008"/>
    <d v="2022-11-24T00:00:00"/>
    <s v="120307001"/>
    <s v="211"/>
    <s v="51"/>
    <s v="Debito"/>
    <x v="0"/>
    <x v="177"/>
    <m/>
    <s v="000054"/>
    <s v="000091"/>
    <n v="49.92"/>
    <s v="0,00"/>
    <s v="0,00"/>
    <s v="0,00"/>
    <s v="0,00"/>
    <s v="ORC2022_2"/>
    <m/>
    <s v="211"/>
    <s v="51"/>
    <m/>
    <m/>
    <s v="010101"/>
  </r>
  <r>
    <s v="IMOBILIZADO EM ANDAMENTO - PROPRIOS"/>
    <x v="18"/>
    <x v="0"/>
    <n v="205.59"/>
    <s v="0000000105"/>
    <s v="0009"/>
    <d v="2022-11-24T00:00:00"/>
    <s v="120307001"/>
    <s v="211"/>
    <s v="51"/>
    <s v="Credito"/>
    <x v="1"/>
    <x v="195"/>
    <m/>
    <s v="000054"/>
    <s v="000091"/>
    <n v="205.59"/>
    <s v="0,00"/>
    <s v="0,00"/>
    <s v="0,00"/>
    <s v="0,00"/>
    <s v="ORC2022_2"/>
    <m/>
    <s v="211"/>
    <s v="51"/>
    <m/>
    <m/>
    <s v="010101"/>
  </r>
  <r>
    <s v="IMOBILIZADO EM ANDAMENTO - PROPRIOS"/>
    <x v="18"/>
    <x v="0"/>
    <n v="-205.59"/>
    <s v="0000000105"/>
    <s v="0010"/>
    <d v="2022-11-24T00:00:00"/>
    <s v="120307001"/>
    <s v="211"/>
    <s v="51"/>
    <s v="Debito"/>
    <x v="0"/>
    <x v="179"/>
    <m/>
    <s v="000054"/>
    <s v="000091"/>
    <n v="205.59"/>
    <s v="0,00"/>
    <s v="0,00"/>
    <s v="0,00"/>
    <s v="0,00"/>
    <s v="ORC2022_2"/>
    <m/>
    <s v="211"/>
    <s v="51"/>
    <m/>
    <m/>
    <s v="010101"/>
  </r>
  <r>
    <s v="IMOBILIZADO EM ANDAMENTO - PROPRIOS"/>
    <x v="18"/>
    <x v="0"/>
    <n v="49.9"/>
    <s v="0000000105"/>
    <s v="0011"/>
    <d v="2022-11-24T00:00:00"/>
    <s v="120307001"/>
    <s v="211"/>
    <s v="51"/>
    <s v="Credito"/>
    <x v="1"/>
    <x v="195"/>
    <m/>
    <s v="000054"/>
    <s v="000091"/>
    <n v="49.9"/>
    <s v="0,00"/>
    <s v="0,00"/>
    <s v="0,00"/>
    <s v="0,00"/>
    <s v="ORC2022_2"/>
    <m/>
    <s v="211"/>
    <s v="51"/>
    <m/>
    <m/>
    <s v="010101"/>
  </r>
  <r>
    <s v="IMOBILIZADO EM ANDAMENTO - PROPRIOS"/>
    <x v="18"/>
    <x v="0"/>
    <n v="-49.9"/>
    <s v="0000000105"/>
    <s v="0012"/>
    <d v="2022-11-24T00:00:00"/>
    <s v="120307001"/>
    <s v="211"/>
    <s v="51"/>
    <s v="Debito"/>
    <x v="0"/>
    <x v="179"/>
    <m/>
    <s v="000054"/>
    <s v="000091"/>
    <n v="49.9"/>
    <s v="0,00"/>
    <s v="0,00"/>
    <s v="0,00"/>
    <s v="0,00"/>
    <s v="ORC2022_2"/>
    <m/>
    <s v="211"/>
    <s v="51"/>
    <m/>
    <m/>
    <s v="010101"/>
  </r>
  <r>
    <s v="IMOBILIZADO EM ANDAMENTO - PROPRIOS"/>
    <x v="18"/>
    <x v="0"/>
    <n v="1568.88"/>
    <s v="0000000106"/>
    <s v="0001"/>
    <d v="2022-11-24T00:00:00"/>
    <s v="120307001"/>
    <s v="211"/>
    <s v="51"/>
    <s v="Credito"/>
    <x v="1"/>
    <x v="196"/>
    <m/>
    <s v="000054"/>
    <s v="000127"/>
    <n v="1568.88"/>
    <s v="0,00"/>
    <s v="0,00"/>
    <s v="0,00"/>
    <s v="0,00"/>
    <s v="ORC2022_2"/>
    <m/>
    <s v="211"/>
    <s v="51"/>
    <m/>
    <m/>
    <s v="010101"/>
  </r>
  <r>
    <s v="IMOBILIZADO EM ANDAMENTO - PROPRIOS"/>
    <x v="18"/>
    <x v="0"/>
    <n v="-1568.88"/>
    <s v="0000000106"/>
    <s v="0002"/>
    <d v="2022-11-24T00:00:00"/>
    <s v="120307001"/>
    <s v="211"/>
    <s v="51"/>
    <s v="Debito"/>
    <x v="0"/>
    <x v="182"/>
    <m/>
    <s v="000054"/>
    <s v="000127"/>
    <n v="1568.88"/>
    <s v="0,00"/>
    <s v="0,00"/>
    <s v="0,00"/>
    <s v="0,00"/>
    <s v="ORC2022_2"/>
    <m/>
    <s v="211"/>
    <s v="51"/>
    <m/>
    <m/>
    <s v="010101"/>
  </r>
  <r>
    <s v="MOVEIS E UTENSILIOS"/>
    <x v="19"/>
    <x v="0"/>
    <n v="3472.62"/>
    <s v="0000000107"/>
    <s v="0001"/>
    <d v="2022-11-24T00:00:00"/>
    <s v="120302001"/>
    <s v="305"/>
    <s v="21"/>
    <s v="Credito"/>
    <x v="1"/>
    <x v="197"/>
    <m/>
    <s v="000054"/>
    <s v="000127"/>
    <n v="3472.62"/>
    <s v="0,00"/>
    <s v="0,00"/>
    <s v="0,00"/>
    <s v="0,00"/>
    <s v="ORC2022_2"/>
    <m/>
    <s v="305"/>
    <s v="21"/>
    <m/>
    <m/>
    <s v="010101"/>
  </r>
  <r>
    <s v="MOVEIS E UTENSILIOS"/>
    <x v="19"/>
    <x v="0"/>
    <n v="-3472.62"/>
    <s v="0000000107"/>
    <s v="0002"/>
    <d v="2022-11-24T00:00:00"/>
    <s v="120302001"/>
    <s v="305"/>
    <s v="21"/>
    <s v="Debito"/>
    <x v="0"/>
    <x v="181"/>
    <m/>
    <s v="000054"/>
    <s v="000127"/>
    <n v="3472.62"/>
    <s v="0,00"/>
    <s v="0,00"/>
    <s v="0,00"/>
    <s v="0,00"/>
    <s v="ORC2022_2"/>
    <m/>
    <s v="305"/>
    <s v="21"/>
    <m/>
    <m/>
    <s v="010101"/>
  </r>
  <r>
    <s v="RECEITA BRUTA DE TRANSPORTES"/>
    <x v="17"/>
    <x v="0"/>
    <n v="6284.28"/>
    <s v="0000000108"/>
    <s v="0001"/>
    <d v="2022-11-24T00:00:00"/>
    <s v="310101"/>
    <s v="304"/>
    <s v="11"/>
    <s v="Credito"/>
    <x v="1"/>
    <x v="198"/>
    <m/>
    <s v="000101"/>
    <s v="000032"/>
    <n v="6284.28"/>
    <s v="0,00"/>
    <s v="0,00"/>
    <s v="0,00"/>
    <s v="0,00"/>
    <s v="ORC2022_2"/>
    <m/>
    <s v="304"/>
    <s v="11"/>
    <m/>
    <m/>
    <s v="010101"/>
  </r>
  <r>
    <s v="RECEITA BRUTA DE TRANSPORTES"/>
    <x v="17"/>
    <x v="0"/>
    <n v="1499.19"/>
    <s v="0000000109"/>
    <s v="0001"/>
    <d v="2022-11-25T00:00:00"/>
    <s v="310101"/>
    <s v="304"/>
    <s v="11"/>
    <s v="Credito"/>
    <x v="1"/>
    <x v="199"/>
    <m/>
    <s v="000101"/>
    <s v="000032"/>
    <n v="1499.19"/>
    <s v="0,00"/>
    <s v="0,00"/>
    <s v="0,00"/>
    <s v="0,00"/>
    <s v="ORC2022_2"/>
    <m/>
    <s v="304"/>
    <s v="11"/>
    <m/>
    <m/>
    <s v="010101"/>
  </r>
  <r>
    <s v="PJ-OUTROS SERVICOS CONTRATADOS-PJ"/>
    <x v="3"/>
    <x v="0"/>
    <n v="499"/>
    <s v="0000000110"/>
    <s v="0001"/>
    <d v="2022-11-25T00:00:00"/>
    <s v="330201006"/>
    <s v="201"/>
    <s v="90"/>
    <s v="Credito"/>
    <x v="1"/>
    <x v="200"/>
    <m/>
    <s v="000054"/>
    <s v="000070"/>
    <n v="499"/>
    <s v="0,00"/>
    <s v="0,00"/>
    <s v="0,00"/>
    <s v="0,00"/>
    <s v="ORC2022_2"/>
    <m/>
    <s v="201"/>
    <s v="90"/>
    <m/>
    <m/>
    <s v="010101"/>
  </r>
  <r>
    <s v="PJ-OUTROS SERVICOS CONTRATADOS-PJ"/>
    <x v="3"/>
    <x v="0"/>
    <n v="-499"/>
    <s v="0000000110"/>
    <s v="0002"/>
    <d v="2022-11-25T00:00:00"/>
    <s v="330201006"/>
    <s v="201"/>
    <s v="90"/>
    <s v="Debito"/>
    <x v="0"/>
    <x v="79"/>
    <m/>
    <s v="000054"/>
    <s v="000070"/>
    <n v="499"/>
    <s v="0,00"/>
    <s v="0,00"/>
    <s v="0,00"/>
    <s v="0,00"/>
    <s v="ORC2022_2"/>
    <m/>
    <s v="201"/>
    <s v="90"/>
    <m/>
    <m/>
    <s v="010101"/>
  </r>
  <r>
    <s v="PECAS E ACESSORIOS"/>
    <x v="0"/>
    <x v="0"/>
    <n v="290.52"/>
    <s v="0000000111"/>
    <s v="0001"/>
    <d v="2022-11-25T00:00:00"/>
    <s v="320301004"/>
    <s v="304"/>
    <s v="11"/>
    <s v="Credito"/>
    <x v="1"/>
    <x v="201"/>
    <m/>
    <s v="000054"/>
    <s v="000084"/>
    <n v="290.52"/>
    <s v="0,00"/>
    <s v="0,00"/>
    <s v="0,00"/>
    <s v="0,00"/>
    <s v="ORC2022_2"/>
    <m/>
    <s v="304"/>
    <s v="11"/>
    <m/>
    <m/>
    <s v="010101"/>
  </r>
  <r>
    <s v="PECAS E ACESSORIOS"/>
    <x v="0"/>
    <x v="0"/>
    <n v="-290.52"/>
    <s v="0000000111"/>
    <s v="0002"/>
    <d v="2022-11-25T00:00:00"/>
    <s v="320301004"/>
    <s v="304"/>
    <s v="11"/>
    <s v="Debito"/>
    <x v="0"/>
    <x v="171"/>
    <m/>
    <s v="000054"/>
    <s v="000084"/>
    <n v="290.52"/>
    <s v="0,00"/>
    <s v="0,00"/>
    <s v="0,00"/>
    <s v="0,00"/>
    <s v="ORC2022_2"/>
    <m/>
    <s v="304"/>
    <s v="11"/>
    <m/>
    <m/>
    <s v="010101"/>
  </r>
  <r>
    <s v="PECAS E ACESSORIOS"/>
    <x v="1"/>
    <x v="0"/>
    <n v="149.1"/>
    <s v="0000000111"/>
    <s v="0003"/>
    <d v="2022-11-25T00:00:00"/>
    <s v="330301004"/>
    <s v="206"/>
    <s v="90"/>
    <s v="Credito"/>
    <x v="1"/>
    <x v="202"/>
    <m/>
    <s v="000054"/>
    <s v="000084"/>
    <n v="149.1"/>
    <s v="0,00"/>
    <s v="0,00"/>
    <s v="0,00"/>
    <s v="0,00"/>
    <s v="ORC2022_2"/>
    <m/>
    <s v="206"/>
    <s v="90"/>
    <m/>
    <m/>
    <s v="010101"/>
  </r>
  <r>
    <s v="PECAS E ACESSORIOS"/>
    <x v="1"/>
    <x v="0"/>
    <n v="-149.1"/>
    <s v="0000000111"/>
    <s v="0004"/>
    <d v="2022-11-25T00:00:00"/>
    <s v="330301004"/>
    <s v="206"/>
    <s v="90"/>
    <s v="Debito"/>
    <x v="0"/>
    <x v="173"/>
    <m/>
    <s v="000054"/>
    <s v="000084"/>
    <n v="149.1"/>
    <s v="0,00"/>
    <s v="0,00"/>
    <s v="0,00"/>
    <s v="0,00"/>
    <s v="ORC2022_2"/>
    <m/>
    <s v="206"/>
    <s v="90"/>
    <m/>
    <m/>
    <s v="010101"/>
  </r>
  <r>
    <s v="PECAS E ACESSORIOS"/>
    <x v="0"/>
    <x v="0"/>
    <n v="31.24"/>
    <s v="0000000111"/>
    <s v="0005"/>
    <d v="2022-11-25T00:00:00"/>
    <s v="320301004"/>
    <s v="305"/>
    <s v="21"/>
    <s v="Credito"/>
    <x v="1"/>
    <x v="203"/>
    <m/>
    <s v="000054"/>
    <s v="000084"/>
    <n v="31.24"/>
    <s v="0,00"/>
    <s v="0,00"/>
    <s v="0,00"/>
    <s v="0,00"/>
    <s v="ORC2022_2"/>
    <m/>
    <s v="305"/>
    <s v="21"/>
    <m/>
    <m/>
    <s v="010101"/>
  </r>
  <r>
    <s v="PECAS E ACESSORIOS"/>
    <x v="0"/>
    <x v="0"/>
    <n v="-31.24"/>
    <s v="0000000111"/>
    <s v="0006"/>
    <d v="2022-11-25T00:00:00"/>
    <s v="320301004"/>
    <s v="305"/>
    <s v="21"/>
    <s v="Debito"/>
    <x v="0"/>
    <x v="172"/>
    <m/>
    <s v="000054"/>
    <s v="000084"/>
    <n v="31.24"/>
    <s v="0,00"/>
    <s v="0,00"/>
    <s v="0,00"/>
    <s v="0,00"/>
    <s v="ORC2022_2"/>
    <m/>
    <s v="305"/>
    <s v="21"/>
    <m/>
    <m/>
    <s v="010101"/>
  </r>
  <r>
    <s v="PECAS E ACESSORIOS"/>
    <x v="0"/>
    <x v="0"/>
    <n v="240.5"/>
    <s v="0000000111"/>
    <s v="0007"/>
    <d v="2022-11-25T00:00:00"/>
    <s v="320301004"/>
    <s v="302"/>
    <s v="90"/>
    <s v="Credito"/>
    <x v="1"/>
    <x v="204"/>
    <m/>
    <s v="000054"/>
    <s v="000084"/>
    <n v="240.5"/>
    <s v="0,00"/>
    <s v="0,00"/>
    <s v="0,00"/>
    <s v="0,00"/>
    <s v="ORC2022_2"/>
    <m/>
    <s v="302"/>
    <s v="90"/>
    <m/>
    <m/>
    <s v="010101"/>
  </r>
  <r>
    <s v="PECAS E ACESSORIOS"/>
    <x v="0"/>
    <x v="0"/>
    <n v="-240.5"/>
    <s v="0000000111"/>
    <s v="0008"/>
    <d v="2022-11-25T00:00:00"/>
    <s v="320301004"/>
    <s v="302"/>
    <s v="90"/>
    <s v="Debito"/>
    <x v="0"/>
    <x v="169"/>
    <m/>
    <s v="000054"/>
    <s v="000084"/>
    <n v="240.5"/>
    <s v="0,00"/>
    <s v="0,00"/>
    <s v="0,00"/>
    <s v="0,00"/>
    <s v="ORC2022_2"/>
    <m/>
    <s v="302"/>
    <s v="90"/>
    <m/>
    <m/>
    <s v="010101"/>
  </r>
  <r>
    <s v="PECAS E ACESSORIOS"/>
    <x v="0"/>
    <x v="0"/>
    <n v="440"/>
    <s v="0000000111"/>
    <s v="0009"/>
    <d v="2022-11-25T00:00:00"/>
    <s v="320301004"/>
    <s v="302"/>
    <s v="90"/>
    <s v="Credito"/>
    <x v="1"/>
    <x v="205"/>
    <m/>
    <s v="000054"/>
    <s v="000084"/>
    <n v="440"/>
    <s v="0,00"/>
    <s v="0,00"/>
    <s v="0,00"/>
    <s v="0,00"/>
    <s v="ORC2022_2"/>
    <m/>
    <s v="302"/>
    <s v="90"/>
    <m/>
    <m/>
    <s v="010101"/>
  </r>
  <r>
    <s v="PECAS E ACESSORIOS"/>
    <x v="0"/>
    <x v="0"/>
    <n v="-440"/>
    <s v="0000000111"/>
    <s v="0010"/>
    <d v="2022-11-25T00:00:00"/>
    <s v="320301004"/>
    <s v="302"/>
    <s v="90"/>
    <s v="Debito"/>
    <x v="0"/>
    <x v="170"/>
    <m/>
    <s v="000054"/>
    <s v="000084"/>
    <n v="440"/>
    <s v="0,00"/>
    <s v="0,00"/>
    <s v="0,00"/>
    <s v="0,00"/>
    <s v="ORC2022_2"/>
    <m/>
    <s v="302"/>
    <s v="90"/>
    <m/>
    <m/>
    <s v="010101"/>
  </r>
  <r>
    <s v="PJ-LOCACAO DE MAQUINAS E EQUIPAMENTO"/>
    <x v="12"/>
    <x v="0"/>
    <n v="3631.16"/>
    <s v="0000000112"/>
    <s v="0001"/>
    <d v="2022-11-25T00:00:00"/>
    <s v="320201004"/>
    <s v="301"/>
    <s v="90"/>
    <s v="Credito"/>
    <x v="1"/>
    <x v="206"/>
    <m/>
    <s v="000054"/>
    <s v="000070"/>
    <n v="3631.16"/>
    <s v="0,00"/>
    <s v="0,00"/>
    <s v="0,00"/>
    <s v="0,00"/>
    <s v="ORC2022_2"/>
    <m/>
    <s v="301"/>
    <s v="90"/>
    <m/>
    <m/>
    <s v="010101"/>
  </r>
  <r>
    <s v="PJ-LOCACAO DE MAQUINAS E EQUIPAMENTO"/>
    <x v="12"/>
    <x v="0"/>
    <n v="-3631.16"/>
    <s v="0000000112"/>
    <s v="0002"/>
    <d v="2022-11-25T00:00:00"/>
    <s v="320201004"/>
    <s v="301"/>
    <s v="90"/>
    <s v="Debito"/>
    <x v="0"/>
    <x v="80"/>
    <m/>
    <s v="000054"/>
    <s v="000070"/>
    <n v="3631.16"/>
    <s v="0,00"/>
    <s v="0,00"/>
    <s v="0,00"/>
    <s v="0,00"/>
    <s v="ORC2022_2"/>
    <m/>
    <s v="301"/>
    <s v="90"/>
    <m/>
    <m/>
    <s v="010101"/>
  </r>
  <r>
    <s v="PJ-LOCACAO DE MAQUINAS E EQUIPAMENTO"/>
    <x v="12"/>
    <x v="0"/>
    <n v="3700.83"/>
    <s v="0000000112"/>
    <s v="0003"/>
    <d v="2022-11-25T00:00:00"/>
    <s v="320201004"/>
    <s v="301"/>
    <s v="90"/>
    <s v="Credito"/>
    <x v="1"/>
    <x v="206"/>
    <m/>
    <s v="000054"/>
    <s v="000070"/>
    <n v="3700.83"/>
    <s v="0,00"/>
    <s v="0,00"/>
    <s v="0,00"/>
    <s v="0,00"/>
    <s v="ORC2022_2"/>
    <m/>
    <s v="301"/>
    <s v="90"/>
    <m/>
    <m/>
    <s v="010101"/>
  </r>
  <r>
    <s v="PJ-LOCACAO DE MAQUINAS E EQUIPAMENTO"/>
    <x v="12"/>
    <x v="0"/>
    <n v="-3700.83"/>
    <s v="0000000112"/>
    <s v="0004"/>
    <d v="2022-11-25T00:00:00"/>
    <s v="320201004"/>
    <s v="301"/>
    <s v="90"/>
    <s v="Debito"/>
    <x v="0"/>
    <x v="80"/>
    <m/>
    <s v="000054"/>
    <s v="000070"/>
    <n v="3700.83"/>
    <s v="0,00"/>
    <s v="0,00"/>
    <s v="0,00"/>
    <s v="0,00"/>
    <s v="ORC2022_2"/>
    <m/>
    <s v="301"/>
    <s v="90"/>
    <m/>
    <m/>
    <s v="010101"/>
  </r>
  <r>
    <s v="PJ-LOCACAO DE MAQUINAS E EQUIPAMENTO"/>
    <x v="12"/>
    <x v="0"/>
    <n v="1884.6"/>
    <s v="0000000112"/>
    <s v="0005"/>
    <d v="2022-11-25T00:00:00"/>
    <s v="320201004"/>
    <s v="301"/>
    <s v="90"/>
    <s v="Credito"/>
    <x v="1"/>
    <x v="206"/>
    <m/>
    <s v="000054"/>
    <s v="000070"/>
    <n v="1884.6"/>
    <s v="0,00"/>
    <s v="0,00"/>
    <s v="0,00"/>
    <s v="0,00"/>
    <s v="ORC2022_2"/>
    <m/>
    <s v="301"/>
    <s v="90"/>
    <m/>
    <m/>
    <s v="010101"/>
  </r>
  <r>
    <s v="PJ-LOCACAO DE MAQUINAS E EQUIPAMENTO"/>
    <x v="12"/>
    <x v="0"/>
    <n v="-1884.6"/>
    <s v="0000000112"/>
    <s v="0006"/>
    <d v="2022-11-25T00:00:00"/>
    <s v="320201004"/>
    <s v="301"/>
    <s v="90"/>
    <s v="Debito"/>
    <x v="0"/>
    <x v="80"/>
    <m/>
    <s v="000054"/>
    <s v="000070"/>
    <n v="1884.6"/>
    <s v="0,00"/>
    <s v="0,00"/>
    <s v="0,00"/>
    <s v="0,00"/>
    <s v="ORC2022_2"/>
    <m/>
    <s v="301"/>
    <s v="90"/>
    <m/>
    <m/>
    <s v="010101"/>
  </r>
  <r>
    <s v="PJ-LOCACAO DE MAQUINAS E EQUIPAMENTO"/>
    <x v="12"/>
    <x v="0"/>
    <n v="1702.51"/>
    <s v="0000000112"/>
    <s v="0007"/>
    <d v="2022-11-25T00:00:00"/>
    <s v="320201004"/>
    <s v="301"/>
    <s v="90"/>
    <s v="Credito"/>
    <x v="1"/>
    <x v="206"/>
    <m/>
    <s v="000054"/>
    <s v="000070"/>
    <n v="1702.51"/>
    <s v="0,00"/>
    <s v="0,00"/>
    <s v="0,00"/>
    <s v="0,00"/>
    <s v="ORC2022_2"/>
    <m/>
    <s v="301"/>
    <s v="90"/>
    <m/>
    <m/>
    <s v="010101"/>
  </r>
  <r>
    <s v="PJ-LOCACAO DE MAQUINAS E EQUIPAMENTO"/>
    <x v="12"/>
    <x v="0"/>
    <n v="-1702.51"/>
    <s v="0000000112"/>
    <s v="0008"/>
    <d v="2022-11-25T00:00:00"/>
    <s v="320201004"/>
    <s v="301"/>
    <s v="90"/>
    <s v="Debito"/>
    <x v="0"/>
    <x v="80"/>
    <m/>
    <s v="000054"/>
    <s v="000070"/>
    <n v="1702.51"/>
    <s v="0,00"/>
    <s v="0,00"/>
    <s v="0,00"/>
    <s v="0,00"/>
    <s v="ORC2022_2"/>
    <m/>
    <s v="301"/>
    <s v="90"/>
    <m/>
    <m/>
    <s v="010101"/>
  </r>
  <r>
    <s v="PJ-LOCACAO DE MAQUINAS E EQUIPAMENTO"/>
    <x v="12"/>
    <x v="0"/>
    <n v="3928.21"/>
    <s v="0000000112"/>
    <s v="0009"/>
    <d v="2022-11-25T00:00:00"/>
    <s v="320201004"/>
    <s v="301"/>
    <s v="90"/>
    <s v="Credito"/>
    <x v="1"/>
    <x v="206"/>
    <m/>
    <s v="000054"/>
    <s v="000070"/>
    <n v="3928.21"/>
    <s v="0,00"/>
    <s v="0,00"/>
    <s v="0,00"/>
    <s v="0,00"/>
    <s v="ORC2022_2"/>
    <m/>
    <s v="301"/>
    <s v="90"/>
    <m/>
    <m/>
    <s v="010101"/>
  </r>
  <r>
    <s v="PJ-LOCACAO DE MAQUINAS E EQUIPAMENTO"/>
    <x v="12"/>
    <x v="0"/>
    <n v="-3928.21"/>
    <s v="0000000112"/>
    <s v="0010"/>
    <d v="2022-11-25T00:00:00"/>
    <s v="320201004"/>
    <s v="301"/>
    <s v="90"/>
    <s v="Debito"/>
    <x v="0"/>
    <x v="80"/>
    <m/>
    <s v="000054"/>
    <s v="000070"/>
    <n v="3928.21"/>
    <s v="0,00"/>
    <s v="0,00"/>
    <s v="0,00"/>
    <s v="0,00"/>
    <s v="ORC2022_2"/>
    <m/>
    <s v="301"/>
    <s v="90"/>
    <m/>
    <m/>
    <s v="010101"/>
  </r>
  <r>
    <s v="RECEITA BRUTA DE TRANSPORTES"/>
    <x v="17"/>
    <x v="0"/>
    <n v="1499.19"/>
    <s v="0000000113"/>
    <s v="0001"/>
    <d v="2022-11-25T00:00:00"/>
    <s v="310101"/>
    <s v="304"/>
    <s v="11"/>
    <s v="Credito"/>
    <x v="1"/>
    <x v="207"/>
    <m/>
    <s v="000101"/>
    <s v="000032"/>
    <n v="1499.19"/>
    <s v="0,00"/>
    <s v="0,00"/>
    <s v="0,00"/>
    <s v="0,00"/>
    <s v="ORC2022_2"/>
    <m/>
    <s v="304"/>
    <s v="11"/>
    <m/>
    <m/>
    <s v="010101"/>
  </r>
  <r>
    <s v="PJ-LOCACAO DE MAQUINAS E EQUIPAMENTO"/>
    <x v="12"/>
    <x v="0"/>
    <n v="3631.16"/>
    <s v="0000000114"/>
    <s v="0001"/>
    <d v="2022-11-25T00:00:00"/>
    <s v="320201004"/>
    <s v="301"/>
    <s v="90"/>
    <s v="Credito"/>
    <x v="1"/>
    <x v="206"/>
    <m/>
    <s v="000054"/>
    <s v="000070"/>
    <n v="3631.16"/>
    <s v="0,00"/>
    <s v="0,00"/>
    <s v="0,00"/>
    <s v="0,00"/>
    <s v="ORC2022_2"/>
    <m/>
    <s v="301"/>
    <s v="90"/>
    <m/>
    <m/>
    <s v="010101"/>
  </r>
  <r>
    <s v="PJ-LOCACAO DE MAQUINAS E EQUIPAMENTO"/>
    <x v="12"/>
    <x v="0"/>
    <n v="-3631.16"/>
    <s v="0000000114"/>
    <s v="0002"/>
    <d v="2022-11-25T00:00:00"/>
    <s v="320201004"/>
    <s v="301"/>
    <s v="90"/>
    <s v="Debito"/>
    <x v="0"/>
    <x v="80"/>
    <m/>
    <s v="000054"/>
    <s v="000070"/>
    <n v="3631.16"/>
    <s v="0,00"/>
    <s v="0,00"/>
    <s v="0,00"/>
    <s v="0,00"/>
    <s v="ORC2022_2"/>
    <m/>
    <s v="301"/>
    <s v="90"/>
    <m/>
    <m/>
    <s v="010101"/>
  </r>
  <r>
    <s v="PJ-LOCACAO DE MAQUINAS E EQUIPAMENTO"/>
    <x v="12"/>
    <x v="0"/>
    <n v="3700.83"/>
    <s v="0000000114"/>
    <s v="0003"/>
    <d v="2022-11-25T00:00:00"/>
    <s v="320201004"/>
    <s v="301"/>
    <s v="90"/>
    <s v="Credito"/>
    <x v="1"/>
    <x v="206"/>
    <m/>
    <s v="000054"/>
    <s v="000070"/>
    <n v="3700.83"/>
    <s v="0,00"/>
    <s v="0,00"/>
    <s v="0,00"/>
    <s v="0,00"/>
    <s v="ORC2022_2"/>
    <m/>
    <s v="301"/>
    <s v="90"/>
    <m/>
    <m/>
    <s v="010101"/>
  </r>
  <r>
    <s v="PJ-LOCACAO DE MAQUINAS E EQUIPAMENTO"/>
    <x v="12"/>
    <x v="0"/>
    <n v="-3700.83"/>
    <s v="0000000114"/>
    <s v="0004"/>
    <d v="2022-11-25T00:00:00"/>
    <s v="320201004"/>
    <s v="301"/>
    <s v="90"/>
    <s v="Debito"/>
    <x v="0"/>
    <x v="80"/>
    <m/>
    <s v="000054"/>
    <s v="000070"/>
    <n v="3700.83"/>
    <s v="0,00"/>
    <s v="0,00"/>
    <s v="0,00"/>
    <s v="0,00"/>
    <s v="ORC2022_2"/>
    <m/>
    <s v="301"/>
    <s v="90"/>
    <m/>
    <m/>
    <s v="010101"/>
  </r>
  <r>
    <s v="PJ-LOCACAO DE MAQUINAS E EQUIPAMENTO"/>
    <x v="12"/>
    <x v="0"/>
    <n v="1884.6"/>
    <s v="0000000114"/>
    <s v="0005"/>
    <d v="2022-11-25T00:00:00"/>
    <s v="320201004"/>
    <s v="301"/>
    <s v="90"/>
    <s v="Credito"/>
    <x v="1"/>
    <x v="206"/>
    <m/>
    <s v="000054"/>
    <s v="000070"/>
    <n v="1884.6"/>
    <s v="0,00"/>
    <s v="0,00"/>
    <s v="0,00"/>
    <s v="0,00"/>
    <s v="ORC2022_2"/>
    <m/>
    <s v="301"/>
    <s v="90"/>
    <m/>
    <m/>
    <s v="010101"/>
  </r>
  <r>
    <s v="PJ-LOCACAO DE MAQUINAS E EQUIPAMENTO"/>
    <x v="12"/>
    <x v="0"/>
    <n v="-1884.6"/>
    <s v="0000000114"/>
    <s v="0006"/>
    <d v="2022-11-25T00:00:00"/>
    <s v="320201004"/>
    <s v="301"/>
    <s v="90"/>
    <s v="Debito"/>
    <x v="0"/>
    <x v="80"/>
    <m/>
    <s v="000054"/>
    <s v="000070"/>
    <n v="1884.6"/>
    <s v="0,00"/>
    <s v="0,00"/>
    <s v="0,00"/>
    <s v="0,00"/>
    <s v="ORC2022_2"/>
    <m/>
    <s v="301"/>
    <s v="90"/>
    <m/>
    <m/>
    <s v="010101"/>
  </r>
  <r>
    <s v="PJ-LOCACAO DE MAQUINAS E EQUIPAMENTO"/>
    <x v="12"/>
    <x v="0"/>
    <n v="1702.51"/>
    <s v="0000000114"/>
    <s v="0007"/>
    <d v="2022-11-25T00:00:00"/>
    <s v="320201004"/>
    <s v="301"/>
    <s v="90"/>
    <s v="Credito"/>
    <x v="1"/>
    <x v="206"/>
    <m/>
    <s v="000054"/>
    <s v="000070"/>
    <n v="1702.51"/>
    <s v="0,00"/>
    <s v="0,00"/>
    <s v="0,00"/>
    <s v="0,00"/>
    <s v="ORC2022_2"/>
    <m/>
    <s v="301"/>
    <s v="90"/>
    <m/>
    <m/>
    <s v="010101"/>
  </r>
  <r>
    <s v="PJ-LOCACAO DE MAQUINAS E EQUIPAMENTO"/>
    <x v="12"/>
    <x v="0"/>
    <n v="-1702.51"/>
    <s v="0000000114"/>
    <s v="0008"/>
    <d v="2022-11-25T00:00:00"/>
    <s v="320201004"/>
    <s v="301"/>
    <s v="90"/>
    <s v="Debito"/>
    <x v="0"/>
    <x v="80"/>
    <m/>
    <s v="000054"/>
    <s v="000070"/>
    <n v="1702.51"/>
    <s v="0,00"/>
    <s v="0,00"/>
    <s v="0,00"/>
    <s v="0,00"/>
    <s v="ORC2022_2"/>
    <m/>
    <s v="301"/>
    <s v="90"/>
    <m/>
    <m/>
    <s v="010101"/>
  </r>
  <r>
    <s v="PJ-LOCACAO DE MAQUINAS E EQUIPAMENTO"/>
    <x v="12"/>
    <x v="0"/>
    <n v="3928.21"/>
    <s v="0000000114"/>
    <s v="0009"/>
    <d v="2022-11-25T00:00:00"/>
    <s v="320201004"/>
    <s v="301"/>
    <s v="90"/>
    <s v="Credito"/>
    <x v="1"/>
    <x v="206"/>
    <m/>
    <s v="000054"/>
    <s v="000070"/>
    <n v="3928.21"/>
    <s v="0,00"/>
    <s v="0,00"/>
    <s v="0,00"/>
    <s v="0,00"/>
    <s v="ORC2022_2"/>
    <m/>
    <s v="301"/>
    <s v="90"/>
    <m/>
    <m/>
    <s v="010101"/>
  </r>
  <r>
    <s v="PJ-LOCACAO DE MAQUINAS E EQUIPAMENTO"/>
    <x v="12"/>
    <x v="0"/>
    <n v="-3928.21"/>
    <s v="0000000114"/>
    <s v="0010"/>
    <d v="2022-11-25T00:00:00"/>
    <s v="320201004"/>
    <s v="301"/>
    <s v="90"/>
    <s v="Debito"/>
    <x v="0"/>
    <x v="80"/>
    <m/>
    <s v="000054"/>
    <s v="000070"/>
    <n v="3928.21"/>
    <s v="0,00"/>
    <s v="0,00"/>
    <s v="0,00"/>
    <s v="0,00"/>
    <s v="ORC2022_2"/>
    <m/>
    <s v="301"/>
    <s v="90"/>
    <m/>
    <m/>
    <s v="010101"/>
  </r>
  <r>
    <s v="RECEITA BRUTA DE TRANSPORTES"/>
    <x v="17"/>
    <x v="0"/>
    <n v="1499.19"/>
    <s v="0000000115"/>
    <s v="0001"/>
    <d v="2022-11-25T00:00:00"/>
    <s v="310101"/>
    <s v="304"/>
    <s v="11"/>
    <s v="Credito"/>
    <x v="1"/>
    <x v="208"/>
    <m/>
    <s v="000101"/>
    <s v="000032"/>
    <n v="1499.19"/>
    <s v="0,00"/>
    <s v="0,00"/>
    <s v="0,00"/>
    <s v="0,00"/>
    <s v="ORC2022_2"/>
    <m/>
    <s v="304"/>
    <s v="11"/>
    <m/>
    <m/>
    <s v="010101"/>
  </r>
  <r>
    <s v="RECEITA BRUTA DE TRANSPORTES"/>
    <x v="17"/>
    <x v="0"/>
    <n v="6378.81"/>
    <s v="0000000116"/>
    <s v="0001"/>
    <d v="2022-11-25T00:00:00"/>
    <s v="310101"/>
    <s v="304"/>
    <s v="11"/>
    <s v="Credito"/>
    <x v="1"/>
    <x v="209"/>
    <m/>
    <s v="000101"/>
    <s v="000032"/>
    <n v="6378.81"/>
    <s v="0,00"/>
    <s v="0,00"/>
    <s v="0,00"/>
    <s v="0,00"/>
    <s v="ORC2022_2"/>
    <m/>
    <s v="304"/>
    <s v="11"/>
    <m/>
    <m/>
    <s v="010101"/>
  </r>
  <r>
    <s v="RECEITA BRUTA DE TRANSPORTES"/>
    <x v="17"/>
    <x v="0"/>
    <n v="1582.57"/>
    <s v="0000000117"/>
    <s v="0001"/>
    <d v="2022-11-25T00:00:00"/>
    <s v="310101"/>
    <s v="304"/>
    <s v="11"/>
    <s v="Credito"/>
    <x v="1"/>
    <x v="210"/>
    <m/>
    <s v="000101"/>
    <s v="000032"/>
    <n v="1582.57"/>
    <s v="0,00"/>
    <s v="0,00"/>
    <s v="0,00"/>
    <s v="0,00"/>
    <s v="ORC2022_2"/>
    <m/>
    <s v="304"/>
    <s v="11"/>
    <m/>
    <m/>
    <s v="010101"/>
  </r>
  <r>
    <s v="RECEITA BRUTA DE TRANSPORTES"/>
    <x v="17"/>
    <x v="0"/>
    <n v="1499.19"/>
    <s v="0000000118"/>
    <s v="0001"/>
    <d v="2022-11-25T00:00:00"/>
    <s v="310101"/>
    <s v="304"/>
    <s v="11"/>
    <s v="Credito"/>
    <x v="1"/>
    <x v="211"/>
    <m/>
    <s v="000101"/>
    <s v="000032"/>
    <n v="1499.19"/>
    <s v="0,00"/>
    <s v="0,00"/>
    <s v="0,00"/>
    <s v="0,00"/>
    <s v="ORC2022_2"/>
    <m/>
    <s v="304"/>
    <s v="11"/>
    <m/>
    <m/>
    <s v="010101"/>
  </r>
  <r>
    <s v="PNEUS E RECAPAGENS"/>
    <x v="20"/>
    <x v="0"/>
    <n v="33250.019999999997"/>
    <s v="0000000119"/>
    <s v="0001"/>
    <d v="2022-11-28T00:00:00"/>
    <s v="320301003"/>
    <s v="304"/>
    <s v="11"/>
    <s v="Credito"/>
    <x v="0"/>
    <x v="212"/>
    <m/>
    <s v="000055"/>
    <s v="000000"/>
    <n v="33250.019999999997"/>
    <s v="0,00"/>
    <s v="0,00"/>
    <s v="0,00"/>
    <s v="0,00"/>
    <s v="ORC2022_2"/>
    <m/>
    <s v="304"/>
    <s v="11"/>
    <m/>
    <m/>
    <s v="010101"/>
  </r>
  <r>
    <s v="BENEFICIOS"/>
    <x v="5"/>
    <x v="0"/>
    <n v="-3873.69"/>
    <s v="0000000120"/>
    <s v="0001"/>
    <d v="2022-11-14T00:00:00"/>
    <s v="320103"/>
    <s v="301"/>
    <m/>
    <s v="Debito"/>
    <x v="1"/>
    <x v="213"/>
    <m/>
    <s v="000082"/>
    <s v="000074"/>
    <n v="3873.69"/>
    <s v="0,00"/>
    <s v="0,00"/>
    <s v="0,00"/>
    <s v="0,00"/>
    <s v="ORC2022_2"/>
    <m/>
    <s v="301"/>
    <s v="11"/>
    <m/>
    <m/>
    <s v="010101"/>
  </r>
  <r>
    <s v="BENEFICIOS"/>
    <x v="5"/>
    <x v="0"/>
    <n v="-4905.34"/>
    <s v="0000000120"/>
    <s v="0002"/>
    <d v="2022-11-14T00:00:00"/>
    <s v="320103"/>
    <s v="302"/>
    <m/>
    <s v="Debito"/>
    <x v="1"/>
    <x v="213"/>
    <m/>
    <s v="000082"/>
    <s v="000074"/>
    <n v="4905.34"/>
    <s v="0,00"/>
    <s v="0,00"/>
    <s v="0,00"/>
    <s v="0,00"/>
    <s v="ORC2022_2"/>
    <m/>
    <s v="302"/>
    <s v="11"/>
    <m/>
    <m/>
    <s v="010101"/>
  </r>
  <r>
    <s v="BENEFICIOS"/>
    <x v="5"/>
    <x v="0"/>
    <n v="-11568.48"/>
    <s v="0000000120"/>
    <s v="0003"/>
    <d v="2022-11-14T00:00:00"/>
    <s v="320103"/>
    <s v="304"/>
    <m/>
    <s v="Debito"/>
    <x v="1"/>
    <x v="213"/>
    <m/>
    <s v="000082"/>
    <s v="000074"/>
    <n v="11568.48"/>
    <s v="0,00"/>
    <s v="0,00"/>
    <s v="0,00"/>
    <s v="0,00"/>
    <s v="ORC2022_2"/>
    <m/>
    <s v="304"/>
    <s v="21"/>
    <m/>
    <m/>
    <s v="010101"/>
  </r>
  <r>
    <s v="BENEFICIOS"/>
    <x v="5"/>
    <x v="0"/>
    <n v="-607.83000000000004"/>
    <s v="0000000120"/>
    <s v="0004"/>
    <d v="2022-11-14T00:00:00"/>
    <s v="320103"/>
    <s v="305"/>
    <m/>
    <s v="Debito"/>
    <x v="1"/>
    <x v="213"/>
    <m/>
    <s v="000082"/>
    <s v="000074"/>
    <n v="607.83000000000004"/>
    <s v="0,00"/>
    <s v="0,00"/>
    <s v="0,00"/>
    <s v="0,00"/>
    <s v="ORC2022_2"/>
    <m/>
    <s v="305"/>
    <s v="33"/>
    <m/>
    <m/>
    <s v="010101"/>
  </r>
  <r>
    <s v="BENEFICIOS"/>
    <x v="5"/>
    <x v="0"/>
    <n v="-704.05"/>
    <s v="0000000120"/>
    <s v="0005"/>
    <d v="2022-11-14T00:00:00"/>
    <s v="320103"/>
    <s v="301"/>
    <m/>
    <s v="Debito"/>
    <x v="1"/>
    <x v="213"/>
    <m/>
    <s v="000082"/>
    <s v="000074"/>
    <n v="704.05"/>
    <s v="0,00"/>
    <s v="0,00"/>
    <s v="0,00"/>
    <s v="0,00"/>
    <s v="ORC2022_2"/>
    <m/>
    <s v="301"/>
    <s v="90"/>
    <m/>
    <m/>
    <s v="010101"/>
  </r>
  <r>
    <s v="BENEFICIOS"/>
    <x v="5"/>
    <x v="0"/>
    <n v="-11421.09"/>
    <s v="0000000120"/>
    <s v="0006"/>
    <d v="2022-11-14T00:00:00"/>
    <s v="320103"/>
    <s v="303"/>
    <m/>
    <s v="Debito"/>
    <x v="1"/>
    <x v="213"/>
    <m/>
    <s v="000082"/>
    <s v="000074"/>
    <n v="11421.09"/>
    <s v="0,00"/>
    <s v="0,00"/>
    <s v="0,00"/>
    <s v="0,00"/>
    <s v="ORC2022_2"/>
    <m/>
    <s v="303"/>
    <s v="31"/>
    <m/>
    <m/>
    <s v="010101"/>
  </r>
  <r>
    <s v="BENEFICIOS"/>
    <x v="5"/>
    <x v="0"/>
    <n v="-71587.850000000006"/>
    <s v="0000000120"/>
    <s v="0007"/>
    <d v="2022-11-14T00:00:00"/>
    <s v="320103"/>
    <s v="305"/>
    <m/>
    <s v="Debito"/>
    <x v="1"/>
    <x v="213"/>
    <m/>
    <s v="000082"/>
    <s v="000074"/>
    <n v="71587.850000000006"/>
    <s v="0,00"/>
    <s v="0,00"/>
    <s v="0,00"/>
    <s v="0,00"/>
    <s v="ORC2022_2"/>
    <m/>
    <s v="305"/>
    <s v="90"/>
    <m/>
    <m/>
    <s v="010101"/>
  </r>
  <r>
    <s v="BENEFICIOS"/>
    <x v="5"/>
    <x v="0"/>
    <n v="-4154.3500000000004"/>
    <s v="0000000120"/>
    <s v="0008"/>
    <d v="2022-11-14T00:00:00"/>
    <s v="320103"/>
    <s v="305"/>
    <m/>
    <s v="Debito"/>
    <x v="1"/>
    <x v="213"/>
    <m/>
    <s v="000082"/>
    <s v="000074"/>
    <n v="4154.3500000000004"/>
    <s v="0,00"/>
    <s v="0,00"/>
    <s v="0,00"/>
    <s v="0,00"/>
    <s v="ORC2022_2"/>
    <m/>
    <s v="306"/>
    <s v="90"/>
    <m/>
    <m/>
    <s v="010101"/>
  </r>
  <r>
    <s v="REMUNERACOES"/>
    <x v="21"/>
    <x v="0"/>
    <n v="-9.99"/>
    <s v="0000000121"/>
    <s v="0001"/>
    <d v="2022-11-30T00:00:00"/>
    <s v="320101"/>
    <m/>
    <s v="90"/>
    <s v="Debito"/>
    <x v="1"/>
    <x v="214"/>
    <m/>
    <s v="000082"/>
    <s v="000098"/>
    <n v="9.99"/>
    <s v="0,00"/>
    <s v="0,00"/>
    <s v="0,00"/>
    <s v="0,00"/>
    <s v="ORC2022_2"/>
    <m/>
    <s v="201"/>
    <s v="90"/>
    <m/>
    <m/>
    <s v="010101"/>
  </r>
  <r>
    <s v="BENEFICIOS"/>
    <x v="5"/>
    <x v="0"/>
    <n v="-4014.5"/>
    <s v="0000000122"/>
    <s v="0001"/>
    <d v="2022-11-21T00:00:00"/>
    <s v="320103"/>
    <s v="301"/>
    <m/>
    <s v="Debito"/>
    <x v="1"/>
    <x v="215"/>
    <m/>
    <s v="000082"/>
    <s v="000074"/>
    <n v="4014.5"/>
    <s v="0,00"/>
    <s v="0,00"/>
    <s v="0,00"/>
    <s v="0,00"/>
    <s v="ORC2022_2"/>
    <m/>
    <s v="301"/>
    <s v="11"/>
    <m/>
    <m/>
    <s v="010101"/>
  </r>
  <r>
    <s v="BENEFICIOS"/>
    <x v="5"/>
    <x v="0"/>
    <n v="-4764.53"/>
    <s v="0000000122"/>
    <s v="0002"/>
    <d v="2022-11-21T00:00:00"/>
    <s v="320103"/>
    <s v="302"/>
    <m/>
    <s v="Debito"/>
    <x v="1"/>
    <x v="215"/>
    <m/>
    <s v="000082"/>
    <s v="000074"/>
    <n v="4764.53"/>
    <s v="0,00"/>
    <s v="0,00"/>
    <s v="0,00"/>
    <s v="0,00"/>
    <s v="ORC2022_2"/>
    <m/>
    <s v="302"/>
    <s v="11"/>
    <m/>
    <m/>
    <s v="010101"/>
  </r>
  <r>
    <s v="BENEFICIOS"/>
    <x v="5"/>
    <x v="0"/>
    <n v="-12176.31"/>
    <s v="0000000122"/>
    <s v="0003"/>
    <d v="2022-11-21T00:00:00"/>
    <s v="320103"/>
    <s v="304"/>
    <m/>
    <s v="Debito"/>
    <x v="1"/>
    <x v="215"/>
    <m/>
    <s v="000082"/>
    <s v="000074"/>
    <n v="12176.31"/>
    <s v="0,00"/>
    <s v="0,00"/>
    <s v="0,00"/>
    <s v="0,00"/>
    <s v="ORC2022_2"/>
    <m/>
    <s v="304"/>
    <s v="21"/>
    <m/>
    <m/>
    <s v="010101"/>
  </r>
  <r>
    <s v="BENEFICIOS"/>
    <x v="5"/>
    <x v="0"/>
    <n v="-607.83000000000004"/>
    <s v="0000000122"/>
    <s v="0004"/>
    <d v="2022-11-21T00:00:00"/>
    <s v="320103"/>
    <s v="305"/>
    <m/>
    <s v="Debito"/>
    <x v="1"/>
    <x v="215"/>
    <m/>
    <s v="000082"/>
    <s v="000074"/>
    <n v="607.83000000000004"/>
    <s v="0,00"/>
    <s v="0,00"/>
    <s v="0,00"/>
    <s v="0,00"/>
    <s v="ORC2022_2"/>
    <m/>
    <s v="305"/>
    <s v="33"/>
    <m/>
    <m/>
    <s v="010101"/>
  </r>
  <r>
    <s v="BENEFICIOS"/>
    <x v="5"/>
    <x v="0"/>
    <n v="-833.61"/>
    <s v="0000000122"/>
    <s v="0005"/>
    <d v="2022-11-21T00:00:00"/>
    <s v="320103"/>
    <s v="301"/>
    <m/>
    <s v="Debito"/>
    <x v="1"/>
    <x v="215"/>
    <m/>
    <s v="000082"/>
    <s v="000074"/>
    <n v="833.61"/>
    <s v="0,00"/>
    <s v="0,00"/>
    <s v="0,00"/>
    <s v="0,00"/>
    <s v="ORC2022_2"/>
    <m/>
    <s v="301"/>
    <s v="90"/>
    <m/>
    <m/>
    <s v="010101"/>
  </r>
  <r>
    <s v="BENEFICIOS"/>
    <x v="5"/>
    <x v="0"/>
    <n v="-10771.96"/>
    <s v="0000000122"/>
    <s v="0006"/>
    <d v="2022-11-21T00:00:00"/>
    <s v="320103"/>
    <s v="303"/>
    <m/>
    <s v="Debito"/>
    <x v="1"/>
    <x v="215"/>
    <m/>
    <s v="000082"/>
    <s v="000074"/>
    <n v="10771.96"/>
    <s v="0,00"/>
    <s v="0,00"/>
    <s v="0,00"/>
    <s v="0,00"/>
    <s v="ORC2022_2"/>
    <m/>
    <s v="303"/>
    <s v="31"/>
    <m/>
    <m/>
    <s v="010101"/>
  </r>
  <r>
    <s v="BENEFICIOS"/>
    <x v="5"/>
    <x v="0"/>
    <n v="-71308.570000000007"/>
    <s v="0000000122"/>
    <s v="0007"/>
    <d v="2022-11-21T00:00:00"/>
    <s v="320103"/>
    <s v="305"/>
    <m/>
    <s v="Debito"/>
    <x v="1"/>
    <x v="215"/>
    <m/>
    <s v="000082"/>
    <s v="000074"/>
    <n v="71308.570000000007"/>
    <s v="0,00"/>
    <s v="0,00"/>
    <s v="0,00"/>
    <s v="0,00"/>
    <s v="ORC2022_2"/>
    <m/>
    <s v="305"/>
    <s v="90"/>
    <m/>
    <m/>
    <s v="010101"/>
  </r>
  <r>
    <s v="BENEFICIOS"/>
    <x v="5"/>
    <x v="0"/>
    <n v="-1768.58"/>
    <s v="0000000122"/>
    <s v="0008"/>
    <d v="2022-11-21T00:00:00"/>
    <s v="320103"/>
    <s v="305"/>
    <m/>
    <s v="Debito"/>
    <x v="1"/>
    <x v="215"/>
    <m/>
    <s v="000082"/>
    <s v="000074"/>
    <n v="1768.58"/>
    <s v="0,00"/>
    <s v="0,00"/>
    <s v="0,00"/>
    <s v="0,00"/>
    <s v="ORC2022_2"/>
    <m/>
    <s v="306"/>
    <s v="90"/>
    <m/>
    <m/>
    <s v="010101"/>
  </r>
  <r>
    <s v="OUTRAS RECEITAS"/>
    <x v="22"/>
    <x v="0"/>
    <n v="10.99"/>
    <s v="0000000123"/>
    <s v="0001"/>
    <d v="2022-11-30T00:00:00"/>
    <s v="310901"/>
    <s v="201"/>
    <m/>
    <s v="Credito"/>
    <x v="1"/>
    <x v="214"/>
    <m/>
    <s v="000082"/>
    <s v="000098"/>
    <n v="10.99"/>
    <s v="0,00"/>
    <s v="0,00"/>
    <s v="0,00"/>
    <s v="0,00"/>
    <s v="ORC2022_2"/>
    <s v="001"/>
    <s v="201"/>
    <m/>
    <m/>
    <m/>
    <s v="010101"/>
  </r>
  <r>
    <s v="IMPOSTOS, MULTAS E TAXAS DIVERSAS"/>
    <x v="23"/>
    <x v="0"/>
    <n v="10.99"/>
    <s v="0000000123"/>
    <s v="0002"/>
    <d v="2022-11-30T00:00:00"/>
    <s v="320408"/>
    <s v="201"/>
    <s v="90"/>
    <s v="Credito"/>
    <x v="1"/>
    <x v="214"/>
    <m/>
    <s v="000082"/>
    <s v="000098"/>
    <n v="10.99"/>
    <s v="0,00"/>
    <s v="0,00"/>
    <s v="0,00"/>
    <s v="0,00"/>
    <s v="ORC2022_2"/>
    <s v="001"/>
    <s v="201"/>
    <s v="90"/>
    <s v="201"/>
    <m/>
    <s v="010101"/>
  </r>
  <r>
    <s v="IMPOSTOS, MULTAS E TAXAS DIVERSAS"/>
    <x v="23"/>
    <x v="0"/>
    <n v="11.99"/>
    <s v="0000000124"/>
    <s v="0001"/>
    <d v="2022-11-30T00:00:00"/>
    <s v="320408"/>
    <s v="201"/>
    <s v="90"/>
    <s v="Credito"/>
    <x v="1"/>
    <x v="214"/>
    <m/>
    <s v="000082"/>
    <s v="000098"/>
    <n v="11.99"/>
    <s v="0,00"/>
    <s v="0,00"/>
    <s v="0,00"/>
    <s v="0,00"/>
    <s v="ORC2022_2"/>
    <s v="001"/>
    <s v="201"/>
    <s v="90"/>
    <s v="201"/>
    <m/>
    <s v="010101"/>
  </r>
  <r>
    <s v="OUTRAS RECEITAS"/>
    <x v="22"/>
    <x v="0"/>
    <n v="11.99"/>
    <s v="0000000124"/>
    <s v="0002"/>
    <d v="2022-11-30T00:00:00"/>
    <s v="310901"/>
    <m/>
    <s v="90"/>
    <s v="Credito"/>
    <x v="1"/>
    <x v="214"/>
    <m/>
    <s v="000082"/>
    <s v="000098"/>
    <n v="11.99"/>
    <s v="0,00"/>
    <s v="0,00"/>
    <s v="0,00"/>
    <s v="0,00"/>
    <s v="ORC2022_2"/>
    <m/>
    <s v="201"/>
    <s v="90"/>
    <s v="201"/>
    <m/>
    <s v="010101"/>
  </r>
  <r>
    <s v="OUTRAS RECEITAS"/>
    <x v="22"/>
    <x v="0"/>
    <n v="12.99"/>
    <s v="0000000125"/>
    <s v="0001"/>
    <d v="2022-11-30T00:00:00"/>
    <s v="310901"/>
    <s v="201"/>
    <s v="90"/>
    <s v="Credito"/>
    <x v="1"/>
    <x v="214"/>
    <m/>
    <s v="000082"/>
    <s v="000098"/>
    <n v="12.99"/>
    <s v="0,00"/>
    <s v="0,00"/>
    <s v="0,00"/>
    <s v="0,00"/>
    <s v="ORC2022_2"/>
    <m/>
    <s v="201"/>
    <s v="90"/>
    <m/>
    <m/>
    <s v="010101"/>
  </r>
  <r>
    <s v="IMPOSTOS, MULTAS E TAXAS DIVERSAS"/>
    <x v="23"/>
    <x v="0"/>
    <n v="12.99"/>
    <s v="0000000125"/>
    <s v="0002"/>
    <d v="2022-11-30T00:00:00"/>
    <s v="320408"/>
    <s v="201"/>
    <s v="90"/>
    <s v="Credito"/>
    <x v="1"/>
    <x v="214"/>
    <m/>
    <s v="000082"/>
    <s v="000098"/>
    <n v="12.99"/>
    <s v="0,00"/>
    <s v="0,00"/>
    <s v="0,00"/>
    <s v="0,00"/>
    <s v="ORC2022_2"/>
    <m/>
    <s v="201"/>
    <s v="90"/>
    <m/>
    <m/>
    <s v="010101"/>
  </r>
  <r>
    <s v="IMPOSTOS, MULTAS E TAXAS DIVERSAS"/>
    <x v="23"/>
    <x v="0"/>
    <n v="13.99"/>
    <s v="0000000126"/>
    <s v="0001"/>
    <d v="2022-11-30T00:00:00"/>
    <s v="320408"/>
    <s v="201"/>
    <s v="90"/>
    <s v="Credito"/>
    <x v="1"/>
    <x v="214"/>
    <m/>
    <s v="000082"/>
    <s v="000098"/>
    <n v="13.99"/>
    <s v="0,00"/>
    <s v="0,00"/>
    <s v="0,00"/>
    <s v="0,00"/>
    <s v="ORC2022_2"/>
    <m/>
    <s v="201"/>
    <s v="90"/>
    <m/>
    <m/>
    <s v="010101"/>
  </r>
  <r>
    <s v="OUTRAS RECEITAS"/>
    <x v="22"/>
    <x v="0"/>
    <n v="13.99"/>
    <s v="0000000126"/>
    <s v="0002"/>
    <d v="2022-11-30T00:00:00"/>
    <s v="310901"/>
    <s v="201"/>
    <s v="90"/>
    <s v="Credito"/>
    <x v="1"/>
    <x v="214"/>
    <m/>
    <s v="000082"/>
    <s v="000098"/>
    <n v="13.99"/>
    <s v="0,00"/>
    <s v="0,00"/>
    <s v="0,00"/>
    <s v="0,00"/>
    <s v="ORC2022_2"/>
    <s v="001"/>
    <s v="201"/>
    <s v="90"/>
    <m/>
    <m/>
    <s v="010101"/>
  </r>
  <r>
    <s v="DESPESAS FINANCEIRAS"/>
    <x v="24"/>
    <x v="0"/>
    <n v="2.99"/>
    <s v="0000000126"/>
    <s v="0003"/>
    <d v="2022-11-30T00:00:00"/>
    <s v="380201"/>
    <s v="201"/>
    <s v="90"/>
    <s v="Credito"/>
    <x v="1"/>
    <x v="214"/>
    <m/>
    <s v="000082"/>
    <s v="000098"/>
    <n v="2.99"/>
    <s v="0,00"/>
    <s v="0,00"/>
    <s v="0,00"/>
    <s v="0,00"/>
    <s v="ORC2022_2"/>
    <s v="001"/>
    <s v="201"/>
    <s v="90"/>
    <m/>
    <m/>
    <s v="010101"/>
  </r>
  <r>
    <s v="OUTRAS RECEITAS"/>
    <x v="22"/>
    <x v="0"/>
    <n v="2.99"/>
    <s v="0000000126"/>
    <s v="0004"/>
    <d v="2022-11-30T00:00:00"/>
    <s v="310901"/>
    <s v="201"/>
    <s v="90"/>
    <s v="Credito"/>
    <x v="1"/>
    <x v="214"/>
    <m/>
    <s v="000082"/>
    <s v="000098"/>
    <n v="2.99"/>
    <s v="0,00"/>
    <s v="0,00"/>
    <s v="0,00"/>
    <s v="0,00"/>
    <s v="ORC2022_2"/>
    <s v="001"/>
    <s v="201"/>
    <s v="90"/>
    <m/>
    <m/>
    <s v="010101"/>
  </r>
  <r>
    <s v="RECEITA BRUTA DE TRANSPORTES"/>
    <x v="17"/>
    <x v="8"/>
    <n v="595449.98"/>
    <s v="0000000127"/>
    <s v="0001"/>
    <d v="2022-01-01T00:00:00"/>
    <s v="310101"/>
    <s v="304"/>
    <s v="11"/>
    <s v="Credito"/>
    <x v="2"/>
    <x v="216"/>
    <m/>
    <s v="000252"/>
    <s v="000132"/>
    <n v="595449.98"/>
    <s v="0,00"/>
    <s v="0,00"/>
    <s v="0,00"/>
    <s v="0,00"/>
    <s v="ORC2022_2"/>
    <s v="0012"/>
    <m/>
    <m/>
    <m/>
    <m/>
    <m/>
  </r>
  <r>
    <s v="RECEITA BRUTA DE TRANSPORTES"/>
    <x v="17"/>
    <x v="9"/>
    <n v="668030.77"/>
    <s v="0000000127"/>
    <s v="0002"/>
    <d v="2022-02-01T00:00:00"/>
    <s v="310101"/>
    <s v="304"/>
    <s v="11"/>
    <s v="Credito"/>
    <x v="2"/>
    <x v="216"/>
    <m/>
    <s v="000252"/>
    <s v="000132"/>
    <n v="668030.77"/>
    <s v="0,00"/>
    <s v="0,00"/>
    <s v="0,00"/>
    <s v="0,00"/>
    <s v="ORC2022_2"/>
    <s v="0012"/>
    <m/>
    <m/>
    <m/>
    <m/>
    <m/>
  </r>
  <r>
    <s v="RECEITA BRUTA DE TRANSPORTES"/>
    <x v="17"/>
    <x v="10"/>
    <n v="800240.31"/>
    <s v="0000000127"/>
    <s v="0003"/>
    <d v="2022-03-01T00:00:00"/>
    <s v="310101"/>
    <s v="304"/>
    <s v="11"/>
    <s v="Credito"/>
    <x v="2"/>
    <x v="216"/>
    <m/>
    <s v="000252"/>
    <s v="000132"/>
    <n v="800240.31"/>
    <s v="0,00"/>
    <s v="0,00"/>
    <s v="0,00"/>
    <s v="0,00"/>
    <s v="ORC2022_2"/>
    <s v="0012"/>
    <m/>
    <m/>
    <m/>
    <m/>
    <m/>
  </r>
  <r>
    <s v="RECEITA BRUTA DE TRANSPORTES"/>
    <x v="17"/>
    <x v="11"/>
    <n v="817913.21"/>
    <s v="0000000127"/>
    <s v="0004"/>
    <d v="2022-04-01T00:00:00"/>
    <s v="310101"/>
    <s v="304"/>
    <s v="11"/>
    <s v="Credito"/>
    <x v="2"/>
    <x v="216"/>
    <m/>
    <s v="000252"/>
    <s v="000132"/>
    <n v="817913.21"/>
    <s v="0,00"/>
    <s v="0,00"/>
    <s v="0,00"/>
    <s v="0,00"/>
    <s v="ORC2022_2"/>
    <s v="0012"/>
    <m/>
    <m/>
    <m/>
    <m/>
    <m/>
  </r>
  <r>
    <s v="RECEITA BRUTA DE TRANSPORTES"/>
    <x v="17"/>
    <x v="12"/>
    <n v="1165336.8799999999"/>
    <s v="0000000127"/>
    <s v="0005"/>
    <d v="2022-05-01T00:00:00"/>
    <s v="310101"/>
    <s v="304"/>
    <s v="11"/>
    <s v="Credito"/>
    <x v="2"/>
    <x v="216"/>
    <m/>
    <s v="000252"/>
    <s v="000132"/>
    <n v="1165336.8799999999"/>
    <s v="0,00"/>
    <s v="0,00"/>
    <s v="0,00"/>
    <s v="0,00"/>
    <s v="ORC2022_2"/>
    <s v="0012"/>
    <m/>
    <m/>
    <m/>
    <m/>
    <m/>
  </r>
  <r>
    <s v="RECEITA BRUTA DE TRANSPORTES"/>
    <x v="17"/>
    <x v="13"/>
    <n v="1143668.6299999999"/>
    <s v="0000000127"/>
    <s v="0006"/>
    <d v="2022-06-01T00:00:00"/>
    <s v="310101"/>
    <s v="304"/>
    <s v="11"/>
    <s v="Credito"/>
    <x v="2"/>
    <x v="216"/>
    <m/>
    <s v="000252"/>
    <s v="000132"/>
    <n v="1143668.6299999999"/>
    <s v="0,00"/>
    <s v="0,00"/>
    <s v="0,00"/>
    <s v="0,00"/>
    <s v="ORC2022_2"/>
    <s v="0012"/>
    <m/>
    <m/>
    <m/>
    <m/>
    <m/>
  </r>
  <r>
    <s v="RECEITA BRUTA DE TRANSPORTES"/>
    <x v="17"/>
    <x v="14"/>
    <n v="1455589.72"/>
    <s v="0000000127"/>
    <s v="0007"/>
    <d v="2022-07-01T00:00:00"/>
    <s v="310101"/>
    <s v="304"/>
    <s v="11"/>
    <s v="Credito"/>
    <x v="2"/>
    <x v="216"/>
    <m/>
    <s v="000252"/>
    <s v="000132"/>
    <n v="1455589.72"/>
    <s v="0,00"/>
    <s v="0,00"/>
    <s v="0,00"/>
    <s v="0,00"/>
    <s v="ORC2022_2"/>
    <s v="0012"/>
    <m/>
    <m/>
    <m/>
    <m/>
    <m/>
  </r>
  <r>
    <s v="RECEITA BRUTA DE TRANSPORTES"/>
    <x v="17"/>
    <x v="15"/>
    <n v="1316310.1100000001"/>
    <s v="0000000127"/>
    <s v="0008"/>
    <d v="2022-08-01T00:00:00"/>
    <s v="310101"/>
    <s v="304"/>
    <s v="11"/>
    <s v="Credito"/>
    <x v="2"/>
    <x v="216"/>
    <m/>
    <s v="000252"/>
    <s v="000132"/>
    <n v="1316310.1100000001"/>
    <s v="0,00"/>
    <s v="0,00"/>
    <s v="0,00"/>
    <s v="0,00"/>
    <s v="ORC2022_2"/>
    <s v="0012"/>
    <m/>
    <m/>
    <m/>
    <m/>
    <m/>
  </r>
  <r>
    <s v="RECEITA BRUTA DE TRANSPORTES"/>
    <x v="17"/>
    <x v="16"/>
    <n v="1516365.95"/>
    <s v="0000000127"/>
    <s v="0009"/>
    <d v="2022-09-01T00:00:00"/>
    <s v="310101"/>
    <s v="304"/>
    <s v="11"/>
    <s v="Credito"/>
    <x v="2"/>
    <x v="216"/>
    <m/>
    <s v="000252"/>
    <s v="000132"/>
    <n v="1516365.95"/>
    <s v="0,00"/>
    <s v="0,00"/>
    <s v="0,00"/>
    <s v="0,00"/>
    <s v="ORC2022_2"/>
    <s v="0012"/>
    <m/>
    <m/>
    <m/>
    <m/>
    <m/>
  </r>
  <r>
    <s v="RECEITA BRUTA DE TRANSPORTES"/>
    <x v="17"/>
    <x v="16"/>
    <n v="3873.69"/>
    <s v="0000000127"/>
    <s v="0010"/>
    <d v="2022-09-01T00:00:00"/>
    <s v="310101"/>
    <s v="305"/>
    <s v="21"/>
    <s v="Credito"/>
    <x v="2"/>
    <x v="216"/>
    <m/>
    <s v="000252"/>
    <s v="000132"/>
    <n v="3873.69"/>
    <s v="0,00"/>
    <s v="0,00"/>
    <s v="0,00"/>
    <s v="0,00"/>
    <s v="ORC2022_2"/>
    <s v="0012"/>
    <m/>
    <m/>
    <m/>
    <m/>
    <m/>
  </r>
  <r>
    <s v="RECEITA BRUTA DE TRANSPORTES"/>
    <x v="17"/>
    <x v="17"/>
    <n v="1531529.61"/>
    <s v="0000000127"/>
    <s v="0011"/>
    <d v="2022-10-01T00:00:00"/>
    <s v="310101"/>
    <s v="304"/>
    <s v="11"/>
    <s v="Credito"/>
    <x v="2"/>
    <x v="216"/>
    <m/>
    <s v="000252"/>
    <s v="000132"/>
    <n v="1531529.61"/>
    <s v="0,00"/>
    <s v="0,00"/>
    <s v="0,00"/>
    <s v="0,00"/>
    <s v="ORC2022_2"/>
    <s v="0012"/>
    <m/>
    <m/>
    <m/>
    <m/>
    <m/>
  </r>
  <r>
    <s v="RECEITA BRUTA DE TRANSPORTES"/>
    <x v="17"/>
    <x v="17"/>
    <n v="3912.43"/>
    <s v="0000000127"/>
    <s v="0012"/>
    <d v="2022-10-01T00:00:00"/>
    <s v="310101"/>
    <s v="305"/>
    <s v="21"/>
    <s v="Credito"/>
    <x v="2"/>
    <x v="216"/>
    <m/>
    <s v="000252"/>
    <s v="000132"/>
    <n v="3912.43"/>
    <s v="0,00"/>
    <s v="0,00"/>
    <s v="0,00"/>
    <s v="0,00"/>
    <s v="ORC2022_2"/>
    <s v="0012"/>
    <m/>
    <m/>
    <m/>
    <m/>
    <m/>
  </r>
  <r>
    <s v="RECEITA BRUTA DE TRANSPORTES"/>
    <x v="17"/>
    <x v="0"/>
    <n v="1546844.91"/>
    <s v="0000000127"/>
    <s v="0013"/>
    <d v="2022-11-01T00:00:00"/>
    <s v="310101"/>
    <s v="304"/>
    <s v="11"/>
    <s v="Credito"/>
    <x v="2"/>
    <x v="216"/>
    <m/>
    <s v="000252"/>
    <s v="000132"/>
    <n v="1546844.91"/>
    <s v="0,00"/>
    <s v="0,00"/>
    <s v="0,00"/>
    <s v="0,00"/>
    <s v="ORC2022_2"/>
    <s v="0012"/>
    <m/>
    <m/>
    <m/>
    <m/>
    <m/>
  </r>
  <r>
    <s v="RECEITA BRUTA DE TRANSPORTES"/>
    <x v="17"/>
    <x v="0"/>
    <n v="3951.55"/>
    <s v="0000000127"/>
    <s v="0014"/>
    <d v="2022-11-01T00:00:00"/>
    <s v="310101"/>
    <s v="305"/>
    <s v="21"/>
    <s v="Credito"/>
    <x v="2"/>
    <x v="216"/>
    <m/>
    <s v="000252"/>
    <s v="000132"/>
    <n v="3951.55"/>
    <s v="0,00"/>
    <s v="0,00"/>
    <s v="0,00"/>
    <s v="0,00"/>
    <s v="ORC2022_2"/>
    <s v="0012"/>
    <m/>
    <m/>
    <m/>
    <m/>
    <m/>
  </r>
  <r>
    <s v="RECEITA BRUTA DE TRANSPORTES"/>
    <x v="17"/>
    <x v="1"/>
    <n v="1562313.35"/>
    <s v="0000000127"/>
    <s v="0015"/>
    <d v="2022-12-01T00:00:00"/>
    <s v="310101"/>
    <s v="304"/>
    <s v="11"/>
    <s v="Credito"/>
    <x v="2"/>
    <x v="216"/>
    <m/>
    <s v="000252"/>
    <s v="000132"/>
    <n v="1562313.35"/>
    <s v="0,00"/>
    <s v="0,00"/>
    <s v="0,00"/>
    <s v="0,00"/>
    <s v="ORC2022_2"/>
    <s v="0012"/>
    <m/>
    <m/>
    <m/>
    <m/>
    <m/>
  </r>
  <r>
    <s v="RECEITA BRUTA DE TRANSPORTES"/>
    <x v="17"/>
    <x v="1"/>
    <n v="3991.07"/>
    <s v="0000000127"/>
    <s v="0016"/>
    <d v="2022-12-01T00:00:00"/>
    <s v="310101"/>
    <s v="305"/>
    <s v="21"/>
    <s v="Credito"/>
    <x v="2"/>
    <x v="216"/>
    <m/>
    <s v="000252"/>
    <s v="000132"/>
    <n v="3991.07"/>
    <s v="0,00"/>
    <s v="0,00"/>
    <s v="0,00"/>
    <s v="0,00"/>
    <s v="ORC2022_2"/>
    <s v="0012"/>
    <m/>
    <m/>
    <m/>
    <m/>
    <m/>
  </r>
  <r>
    <s v="RECEITA BRUTA DE OPERACOES PORTUARIAS"/>
    <x v="25"/>
    <x v="8"/>
    <n v="5909013.5"/>
    <s v="0000000127"/>
    <s v="0017"/>
    <d v="2022-01-01T00:00:00"/>
    <s v="310102"/>
    <s v="305"/>
    <s v="21"/>
    <s v="Credito"/>
    <x v="2"/>
    <x v="216"/>
    <m/>
    <s v="000252"/>
    <s v="000132"/>
    <n v="5909013.5"/>
    <s v="0,00"/>
    <s v="0,00"/>
    <s v="0,00"/>
    <s v="0,00"/>
    <s v="ORC2022_2"/>
    <s v="0012"/>
    <m/>
    <m/>
    <m/>
    <m/>
    <m/>
  </r>
  <r>
    <s v="RECEITA BRUTA DE OPERACOES PORTUARIAS"/>
    <x v="25"/>
    <x v="8"/>
    <n v="3149632.58"/>
    <s v="0000000127"/>
    <s v="0018"/>
    <d v="2022-01-01T00:00:00"/>
    <s v="310102"/>
    <s v="305"/>
    <s v="31"/>
    <s v="Credito"/>
    <x v="2"/>
    <x v="216"/>
    <m/>
    <s v="000252"/>
    <s v="000132"/>
    <n v="3149632.58"/>
    <s v="0,00"/>
    <s v="0,00"/>
    <s v="0,00"/>
    <s v="0,00"/>
    <s v="ORC2022_2"/>
    <s v="0012"/>
    <m/>
    <m/>
    <m/>
    <m/>
    <m/>
  </r>
  <r>
    <s v="RECEITA BRUTA DE OPERACOES PORTUARIAS"/>
    <x v="25"/>
    <x v="8"/>
    <n v="82837.649999999994"/>
    <s v="0000000127"/>
    <s v="0019"/>
    <d v="2022-01-01T00:00:00"/>
    <s v="310102"/>
    <s v="305"/>
    <s v="32"/>
    <s v="Credito"/>
    <x v="2"/>
    <x v="216"/>
    <m/>
    <s v="000252"/>
    <s v="000132"/>
    <n v="82837.649999999994"/>
    <s v="0,00"/>
    <s v="0,00"/>
    <s v="0,00"/>
    <s v="0,00"/>
    <s v="ORC2022_2"/>
    <s v="0012"/>
    <m/>
    <m/>
    <m/>
    <m/>
    <m/>
  </r>
  <r>
    <s v="RECEITA BRUTA DE OPERACOES PORTUARIAS"/>
    <x v="25"/>
    <x v="8"/>
    <n v="33721.35"/>
    <s v="0000000127"/>
    <s v="0020"/>
    <d v="2022-01-01T00:00:00"/>
    <s v="310102"/>
    <s v="305"/>
    <s v="42"/>
    <s v="Credito"/>
    <x v="2"/>
    <x v="216"/>
    <m/>
    <s v="000252"/>
    <s v="000132"/>
    <n v="33721.35"/>
    <s v="0,00"/>
    <s v="0,00"/>
    <s v="0,00"/>
    <s v="0,00"/>
    <s v="ORC2022_2"/>
    <s v="0012"/>
    <m/>
    <m/>
    <m/>
    <m/>
    <m/>
  </r>
  <r>
    <s v="RECEITA BRUTA DE OPERACOES PORTUARIAS"/>
    <x v="25"/>
    <x v="9"/>
    <n v="7091685.8399999999"/>
    <s v="0000000127"/>
    <s v="0021"/>
    <d v="2022-02-01T00:00:00"/>
    <s v="310102"/>
    <s v="305"/>
    <s v="21"/>
    <s v="Credito"/>
    <x v="2"/>
    <x v="216"/>
    <m/>
    <s v="000252"/>
    <s v="000132"/>
    <n v="7091685.8399999999"/>
    <s v="0,00"/>
    <s v="0,00"/>
    <s v="0,00"/>
    <s v="0,00"/>
    <s v="ORC2022_2"/>
    <s v="0012"/>
    <m/>
    <m/>
    <m/>
    <m/>
    <m/>
  </r>
  <r>
    <s v="RECEITA BRUTA DE OPERACOES PORTUARIAS"/>
    <x v="25"/>
    <x v="9"/>
    <n v="1073417.92"/>
    <s v="0000000127"/>
    <s v="0022"/>
    <d v="2022-02-01T00:00:00"/>
    <s v="310102"/>
    <s v="305"/>
    <s v="31"/>
    <s v="Credito"/>
    <x v="2"/>
    <x v="216"/>
    <m/>
    <s v="000252"/>
    <s v="000132"/>
    <n v="1073417.92"/>
    <s v="0,00"/>
    <s v="0,00"/>
    <s v="0,00"/>
    <s v="0,00"/>
    <s v="ORC2022_2"/>
    <s v="0012"/>
    <m/>
    <m/>
    <m/>
    <m/>
    <m/>
  </r>
  <r>
    <s v="RECEITA BRUTA DE OPERACOES PORTUARIAS"/>
    <x v="25"/>
    <x v="9"/>
    <n v="47183.4"/>
    <s v="0000000127"/>
    <s v="0023"/>
    <d v="2022-02-01T00:00:00"/>
    <s v="310102"/>
    <s v="305"/>
    <s v="32"/>
    <s v="Credito"/>
    <x v="2"/>
    <x v="216"/>
    <m/>
    <s v="000252"/>
    <s v="000132"/>
    <n v="47183.4"/>
    <s v="0,00"/>
    <s v="0,00"/>
    <s v="0,00"/>
    <s v="0,00"/>
    <s v="ORC2022_2"/>
    <s v="0012"/>
    <m/>
    <m/>
    <m/>
    <m/>
    <m/>
  </r>
  <r>
    <s v="RECEITA BRUTA DE OPERACOES PORTUARIAS"/>
    <x v="25"/>
    <x v="9"/>
    <n v="103068"/>
    <s v="0000000127"/>
    <s v="0024"/>
    <d v="2022-02-01T00:00:00"/>
    <s v="310102"/>
    <s v="305"/>
    <s v="42"/>
    <s v="Credito"/>
    <x v="2"/>
    <x v="216"/>
    <m/>
    <s v="000252"/>
    <s v="000132"/>
    <n v="103068"/>
    <s v="0,00"/>
    <s v="0,00"/>
    <s v="0,00"/>
    <s v="0,00"/>
    <s v="ORC2022_2"/>
    <s v="0012"/>
    <m/>
    <m/>
    <m/>
    <m/>
    <m/>
  </r>
  <r>
    <s v="RECEITA BRUTA DE OPERACOES PORTUARIAS"/>
    <x v="25"/>
    <x v="10"/>
    <n v="6515501.4699999997"/>
    <s v="0000000127"/>
    <s v="0025"/>
    <d v="2022-03-01T00:00:00"/>
    <s v="310102"/>
    <s v="305"/>
    <s v="21"/>
    <s v="Credito"/>
    <x v="2"/>
    <x v="216"/>
    <m/>
    <s v="000252"/>
    <s v="000132"/>
    <n v="6515501.4699999997"/>
    <s v="0,00"/>
    <s v="0,00"/>
    <s v="0,00"/>
    <s v="0,00"/>
    <s v="ORC2022_2"/>
    <s v="0012"/>
    <m/>
    <m/>
    <m/>
    <m/>
    <m/>
  </r>
  <r>
    <s v="RECEITA BRUTA DE OPERACOES PORTUARIAS"/>
    <x v="25"/>
    <x v="10"/>
    <n v="686712.46"/>
    <s v="0000000127"/>
    <s v="0026"/>
    <d v="2022-03-01T00:00:00"/>
    <s v="310102"/>
    <s v="305"/>
    <s v="31"/>
    <s v="Credito"/>
    <x v="2"/>
    <x v="216"/>
    <m/>
    <s v="000252"/>
    <s v="000132"/>
    <n v="686712.46"/>
    <s v="0,00"/>
    <s v="0,00"/>
    <s v="0,00"/>
    <s v="0,00"/>
    <s v="ORC2022_2"/>
    <s v="0012"/>
    <m/>
    <m/>
    <m/>
    <m/>
    <m/>
  </r>
  <r>
    <s v="RECEITA BRUTA DE OPERACOES PORTUARIAS"/>
    <x v="25"/>
    <x v="10"/>
    <n v="51039.45"/>
    <s v="0000000127"/>
    <s v="0027"/>
    <d v="2022-03-01T00:00:00"/>
    <s v="310102"/>
    <s v="305"/>
    <s v="32"/>
    <s v="Credito"/>
    <x v="2"/>
    <x v="216"/>
    <m/>
    <s v="000252"/>
    <s v="000132"/>
    <n v="51039.45"/>
    <s v="0,00"/>
    <s v="0,00"/>
    <s v="0,00"/>
    <s v="0,00"/>
    <s v="ORC2022_2"/>
    <s v="0012"/>
    <m/>
    <m/>
    <m/>
    <m/>
    <m/>
  </r>
  <r>
    <s v="RECEITA BRUTA DE OPERACOES PORTUARIAS"/>
    <x v="25"/>
    <x v="10"/>
    <n v="48485"/>
    <s v="0000000127"/>
    <s v="0028"/>
    <d v="2022-03-01T00:00:00"/>
    <s v="310102"/>
    <s v="305"/>
    <s v="42"/>
    <s v="Credito"/>
    <x v="2"/>
    <x v="216"/>
    <m/>
    <s v="000252"/>
    <s v="000132"/>
    <n v="48485"/>
    <s v="0,00"/>
    <s v="0,00"/>
    <s v="0,00"/>
    <s v="0,00"/>
    <s v="ORC2022_2"/>
    <s v="0012"/>
    <m/>
    <m/>
    <m/>
    <m/>
    <m/>
  </r>
  <r>
    <s v="RECEITA BRUTA DE OPERACOES PORTUARIAS"/>
    <x v="25"/>
    <x v="11"/>
    <n v="9174116.3200000003"/>
    <s v="0000000127"/>
    <s v="0029"/>
    <d v="2022-04-01T00:00:00"/>
    <s v="310102"/>
    <s v="305"/>
    <s v="21"/>
    <s v="Credito"/>
    <x v="2"/>
    <x v="216"/>
    <m/>
    <s v="000252"/>
    <s v="000132"/>
    <n v="9174116.3200000003"/>
    <s v="0,00"/>
    <s v="0,00"/>
    <s v="0,00"/>
    <s v="0,00"/>
    <s v="ORC2022_2"/>
    <s v="0012"/>
    <m/>
    <m/>
    <m/>
    <m/>
    <m/>
  </r>
  <r>
    <s v="RECEITA BRUTA DE OPERACOES PORTUARIAS"/>
    <x v="25"/>
    <x v="11"/>
    <n v="605087.80000000005"/>
    <s v="0000000127"/>
    <s v="0030"/>
    <d v="2022-04-01T00:00:00"/>
    <s v="310102"/>
    <s v="305"/>
    <s v="31"/>
    <s v="Credito"/>
    <x v="2"/>
    <x v="216"/>
    <m/>
    <s v="000252"/>
    <s v="000132"/>
    <n v="605087.80000000005"/>
    <s v="0,00"/>
    <s v="0,00"/>
    <s v="0,00"/>
    <s v="0,00"/>
    <s v="ORC2022_2"/>
    <s v="0012"/>
    <m/>
    <m/>
    <m/>
    <m/>
    <m/>
  </r>
  <r>
    <s v="RECEITA BRUTA DE OPERACOES PORTUARIAS"/>
    <x v="25"/>
    <x v="11"/>
    <n v="70076.45"/>
    <s v="0000000127"/>
    <s v="0031"/>
    <d v="2022-04-01T00:00:00"/>
    <s v="310102"/>
    <s v="305"/>
    <s v="32"/>
    <s v="Credito"/>
    <x v="2"/>
    <x v="216"/>
    <m/>
    <s v="000252"/>
    <s v="000132"/>
    <n v="70076.45"/>
    <s v="0,00"/>
    <s v="0,00"/>
    <s v="0,00"/>
    <s v="0,00"/>
    <s v="ORC2022_2"/>
    <s v="0012"/>
    <m/>
    <m/>
    <m/>
    <m/>
    <m/>
  </r>
  <r>
    <s v="RECEITA BRUTA DE OPERACOES PORTUARIAS"/>
    <x v="25"/>
    <x v="11"/>
    <n v="54510"/>
    <s v="0000000127"/>
    <s v="0032"/>
    <d v="2022-04-01T00:00:00"/>
    <s v="310102"/>
    <s v="305"/>
    <s v="42"/>
    <s v="Credito"/>
    <x v="2"/>
    <x v="216"/>
    <m/>
    <s v="000252"/>
    <s v="000132"/>
    <n v="54510"/>
    <s v="0,00"/>
    <s v="0,00"/>
    <s v="0,00"/>
    <s v="0,00"/>
    <s v="ORC2022_2"/>
    <s v="0012"/>
    <m/>
    <m/>
    <m/>
    <m/>
    <m/>
  </r>
  <r>
    <s v="RECEITA BRUTA DE OPERACOES PORTUARIAS"/>
    <x v="25"/>
    <x v="12"/>
    <n v="6090004.6500000004"/>
    <s v="0000000127"/>
    <s v="0033"/>
    <d v="2022-05-01T00:00:00"/>
    <s v="310102"/>
    <s v="305"/>
    <s v="21"/>
    <s v="Credito"/>
    <x v="2"/>
    <x v="216"/>
    <m/>
    <s v="000252"/>
    <s v="000132"/>
    <n v="6090004.6500000004"/>
    <s v="0,00"/>
    <s v="0,00"/>
    <s v="0,00"/>
    <s v="0,00"/>
    <s v="ORC2022_2"/>
    <s v="0012"/>
    <m/>
    <m/>
    <m/>
    <m/>
    <m/>
  </r>
  <r>
    <s v="RECEITA BRUTA DE OPERACOES PORTUARIAS"/>
    <x v="25"/>
    <x v="12"/>
    <n v="3988897.29"/>
    <s v="0000000127"/>
    <s v="0034"/>
    <d v="2022-05-01T00:00:00"/>
    <s v="310102"/>
    <s v="305"/>
    <s v="31"/>
    <s v="Credito"/>
    <x v="2"/>
    <x v="216"/>
    <m/>
    <s v="000252"/>
    <s v="000132"/>
    <n v="3988897.29"/>
    <s v="0,00"/>
    <s v="0,00"/>
    <s v="0,00"/>
    <s v="0,00"/>
    <s v="ORC2022_2"/>
    <s v="0012"/>
    <m/>
    <m/>
    <m/>
    <m/>
    <m/>
  </r>
  <r>
    <s v="RECEITA BRUTA DE OPERACOES PORTUARIAS"/>
    <x v="25"/>
    <x v="12"/>
    <n v="113464.62"/>
    <s v="0000000127"/>
    <s v="0035"/>
    <d v="2022-05-01T00:00:00"/>
    <s v="310102"/>
    <s v="305"/>
    <s v="32"/>
    <s v="Credito"/>
    <x v="2"/>
    <x v="216"/>
    <m/>
    <s v="000252"/>
    <s v="000132"/>
    <n v="113464.62"/>
    <s v="0,00"/>
    <s v="0,00"/>
    <s v="0,00"/>
    <s v="0,00"/>
    <s v="ORC2022_2"/>
    <s v="0012"/>
    <m/>
    <m/>
    <m/>
    <m/>
    <m/>
  </r>
  <r>
    <s v="RECEITA BRUTA DE OPERACOES PORTUARIAS"/>
    <x v="25"/>
    <x v="12"/>
    <n v="46489"/>
    <s v="0000000127"/>
    <s v="0036"/>
    <d v="2022-05-01T00:00:00"/>
    <s v="310102"/>
    <s v="305"/>
    <s v="42"/>
    <s v="Credito"/>
    <x v="2"/>
    <x v="216"/>
    <m/>
    <s v="000252"/>
    <s v="000132"/>
    <n v="46489"/>
    <s v="0,00"/>
    <s v="0,00"/>
    <s v="0,00"/>
    <s v="0,00"/>
    <s v="ORC2022_2"/>
    <s v="0012"/>
    <m/>
    <m/>
    <m/>
    <m/>
    <m/>
  </r>
  <r>
    <s v="RECEITA BRUTA DE OPERACOES PORTUARIAS"/>
    <x v="25"/>
    <x v="13"/>
    <n v="8505988.4800000004"/>
    <s v="0000000127"/>
    <s v="0037"/>
    <d v="2022-06-01T00:00:00"/>
    <s v="310102"/>
    <s v="305"/>
    <s v="21"/>
    <s v="Credito"/>
    <x v="2"/>
    <x v="216"/>
    <m/>
    <s v="000252"/>
    <s v="000132"/>
    <n v="8505988.4800000004"/>
    <s v="0,00"/>
    <s v="0,00"/>
    <s v="0,00"/>
    <s v="0,00"/>
    <s v="ORC2022_2"/>
    <s v="0012"/>
    <m/>
    <m/>
    <m/>
    <m/>
    <m/>
  </r>
  <r>
    <s v="RECEITA BRUTA DE OPERACOES PORTUARIAS"/>
    <x v="25"/>
    <x v="13"/>
    <n v="264552.40000000002"/>
    <s v="0000000127"/>
    <s v="0038"/>
    <d v="2022-06-01T00:00:00"/>
    <s v="310102"/>
    <s v="305"/>
    <s v="31"/>
    <s v="Credito"/>
    <x v="2"/>
    <x v="216"/>
    <m/>
    <s v="000252"/>
    <s v="000132"/>
    <n v="264552.40000000002"/>
    <s v="0,00"/>
    <s v="0,00"/>
    <s v="0,00"/>
    <s v="0,00"/>
    <s v="ORC2022_2"/>
    <s v="0012"/>
    <m/>
    <m/>
    <m/>
    <m/>
    <m/>
  </r>
  <r>
    <s v="RECEITA BRUTA DE OPERACOES PORTUARIAS"/>
    <x v="25"/>
    <x v="13"/>
    <n v="75349.7"/>
    <s v="0000000127"/>
    <s v="0039"/>
    <d v="2022-06-01T00:00:00"/>
    <s v="310102"/>
    <s v="305"/>
    <s v="32"/>
    <s v="Credito"/>
    <x v="2"/>
    <x v="216"/>
    <m/>
    <s v="000252"/>
    <s v="000132"/>
    <n v="75349.7"/>
    <s v="0,00"/>
    <s v="0,00"/>
    <s v="0,00"/>
    <s v="0,00"/>
    <s v="ORC2022_2"/>
    <s v="0012"/>
    <m/>
    <m/>
    <m/>
    <m/>
    <m/>
  </r>
  <r>
    <s v="RECEITA BRUTA DE OPERACOES PORTUARIAS"/>
    <x v="25"/>
    <x v="13"/>
    <n v="38514"/>
    <s v="0000000127"/>
    <s v="0040"/>
    <d v="2022-06-01T00:00:00"/>
    <s v="310102"/>
    <s v="305"/>
    <s v="42"/>
    <s v="Credito"/>
    <x v="2"/>
    <x v="216"/>
    <m/>
    <s v="000252"/>
    <s v="000132"/>
    <n v="38514"/>
    <s v="0,00"/>
    <s v="0,00"/>
    <s v="0,00"/>
    <s v="0,00"/>
    <s v="ORC2022_2"/>
    <s v="0012"/>
    <m/>
    <m/>
    <m/>
    <m/>
    <m/>
  </r>
  <r>
    <s v="RECEITA BRUTA DE OPERACOES PORTUARIAS"/>
    <x v="25"/>
    <x v="14"/>
    <n v="8140294.0700000003"/>
    <s v="0000000127"/>
    <s v="0041"/>
    <d v="2022-07-01T00:00:00"/>
    <s v="310102"/>
    <s v="305"/>
    <s v="21"/>
    <s v="Credito"/>
    <x v="2"/>
    <x v="216"/>
    <m/>
    <s v="000252"/>
    <s v="000132"/>
    <n v="8140294.0700000003"/>
    <s v="0,00"/>
    <s v="0,00"/>
    <s v="0,00"/>
    <s v="0,00"/>
    <s v="ORC2022_2"/>
    <s v="0012"/>
    <m/>
    <m/>
    <m/>
    <m/>
    <m/>
  </r>
  <r>
    <s v="RECEITA BRUTA DE OPERACOES PORTUARIAS"/>
    <x v="25"/>
    <x v="14"/>
    <n v="376388.51"/>
    <s v="0000000127"/>
    <s v="0042"/>
    <d v="2022-07-01T00:00:00"/>
    <s v="310102"/>
    <s v="305"/>
    <s v="31"/>
    <s v="Credito"/>
    <x v="2"/>
    <x v="216"/>
    <m/>
    <s v="000252"/>
    <s v="000132"/>
    <n v="376388.51"/>
    <s v="0,00"/>
    <s v="0,00"/>
    <s v="0,00"/>
    <s v="0,00"/>
    <s v="ORC2022_2"/>
    <s v="0012"/>
    <m/>
    <m/>
    <m/>
    <m/>
    <m/>
  </r>
  <r>
    <s v="RECEITA BRUTA DE OPERACOES PORTUARIAS"/>
    <x v="25"/>
    <x v="14"/>
    <n v="216700.21"/>
    <s v="0000000127"/>
    <s v="0043"/>
    <d v="2022-07-01T00:00:00"/>
    <s v="310102"/>
    <s v="305"/>
    <s v="32"/>
    <s v="Credito"/>
    <x v="2"/>
    <x v="216"/>
    <m/>
    <s v="000252"/>
    <s v="000132"/>
    <n v="216700.21"/>
    <s v="0,00"/>
    <s v="0,00"/>
    <s v="0,00"/>
    <s v="0,00"/>
    <s v="ORC2022_2"/>
    <s v="0012"/>
    <m/>
    <m/>
    <m/>
    <m/>
    <m/>
  </r>
  <r>
    <s v="RECEITA BRUTA DE OPERACOES PORTUARIAS"/>
    <x v="25"/>
    <x v="14"/>
    <n v="28669"/>
    <s v="0000000127"/>
    <s v="0044"/>
    <d v="2022-07-01T00:00:00"/>
    <s v="310102"/>
    <s v="305"/>
    <s v="42"/>
    <s v="Credito"/>
    <x v="2"/>
    <x v="216"/>
    <m/>
    <s v="000252"/>
    <s v="000132"/>
    <n v="28669"/>
    <s v="0,00"/>
    <s v="0,00"/>
    <s v="0,00"/>
    <s v="0,00"/>
    <s v="ORC2022_2"/>
    <s v="0012"/>
    <m/>
    <m/>
    <m/>
    <m/>
    <m/>
  </r>
  <r>
    <s v="RECEITA BRUTA DE OPERACOES PORTUARIAS"/>
    <x v="25"/>
    <x v="15"/>
    <n v="8566623.2699999996"/>
    <s v="0000000127"/>
    <s v="0045"/>
    <d v="2022-08-01T00:00:00"/>
    <s v="310102"/>
    <s v="305"/>
    <s v="21"/>
    <s v="Credito"/>
    <x v="2"/>
    <x v="216"/>
    <m/>
    <s v="000252"/>
    <s v="000132"/>
    <n v="8566623.2699999996"/>
    <s v="0,00"/>
    <s v="0,00"/>
    <s v="0,00"/>
    <s v="0,00"/>
    <s v="ORC2022_2"/>
    <s v="0012"/>
    <m/>
    <m/>
    <m/>
    <m/>
    <m/>
  </r>
  <r>
    <s v="RECEITA BRUTA DE OPERACOES PORTUARIAS"/>
    <x v="25"/>
    <x v="15"/>
    <n v="795171.53"/>
    <s v="0000000127"/>
    <s v="0046"/>
    <d v="2022-08-01T00:00:00"/>
    <s v="310102"/>
    <s v="305"/>
    <s v="31"/>
    <s v="Credito"/>
    <x v="2"/>
    <x v="216"/>
    <m/>
    <s v="000252"/>
    <s v="000132"/>
    <n v="795171.53"/>
    <s v="0,00"/>
    <s v="0,00"/>
    <s v="0,00"/>
    <s v="0,00"/>
    <s v="ORC2022_2"/>
    <s v="0012"/>
    <m/>
    <m/>
    <m/>
    <m/>
    <m/>
  </r>
  <r>
    <s v="RECEITA BRUTA DE OPERACOES PORTUARIAS"/>
    <x v="25"/>
    <x v="15"/>
    <n v="92315.41"/>
    <s v="0000000127"/>
    <s v="0047"/>
    <d v="2022-08-01T00:00:00"/>
    <s v="310102"/>
    <s v="305"/>
    <s v="32"/>
    <s v="Credito"/>
    <x v="2"/>
    <x v="216"/>
    <m/>
    <s v="000252"/>
    <s v="000132"/>
    <n v="92315.41"/>
    <s v="0,00"/>
    <s v="0,00"/>
    <s v="0,00"/>
    <s v="0,00"/>
    <s v="ORC2022_2"/>
    <s v="0012"/>
    <m/>
    <m/>
    <m/>
    <m/>
    <m/>
  </r>
  <r>
    <s v="RECEITA BRUTA DE OPERACOES PORTUARIAS"/>
    <x v="25"/>
    <x v="15"/>
    <n v="18000"/>
    <s v="0000000127"/>
    <s v="0048"/>
    <d v="2022-08-01T00:00:00"/>
    <s v="310102"/>
    <s v="305"/>
    <s v="41"/>
    <s v="Credito"/>
    <x v="2"/>
    <x v="216"/>
    <m/>
    <s v="000252"/>
    <s v="000132"/>
    <n v="18000"/>
    <s v="0,00"/>
    <s v="0,00"/>
    <s v="0,00"/>
    <s v="0,00"/>
    <s v="ORC2022_2"/>
    <s v="0012"/>
    <m/>
    <m/>
    <m/>
    <m/>
    <m/>
  </r>
  <r>
    <s v="RECEITA BRUTA DE OPERACOES PORTUARIAS"/>
    <x v="25"/>
    <x v="15"/>
    <n v="69564"/>
    <s v="0000000127"/>
    <s v="0049"/>
    <d v="2022-08-01T00:00:00"/>
    <s v="310102"/>
    <s v="305"/>
    <s v="42"/>
    <s v="Credito"/>
    <x v="2"/>
    <x v="216"/>
    <m/>
    <s v="000252"/>
    <s v="000132"/>
    <n v="69564"/>
    <s v="0,00"/>
    <s v="0,00"/>
    <s v="0,00"/>
    <s v="0,00"/>
    <s v="ORC2022_2"/>
    <s v="0012"/>
    <m/>
    <m/>
    <m/>
    <m/>
    <m/>
  </r>
  <r>
    <s v="RECEITA BRUTA DE OPERACOES PORTUARIAS"/>
    <x v="25"/>
    <x v="16"/>
    <n v="8059814.8300000001"/>
    <s v="0000000127"/>
    <s v="0050"/>
    <d v="2022-09-01T00:00:00"/>
    <s v="310102"/>
    <s v="305"/>
    <s v="21"/>
    <s v="Credito"/>
    <x v="2"/>
    <x v="216"/>
    <m/>
    <s v="000252"/>
    <s v="000132"/>
    <n v="8059814.8300000001"/>
    <s v="0,00"/>
    <s v="0,00"/>
    <s v="0,00"/>
    <s v="0,00"/>
    <s v="ORC2022_2"/>
    <s v="0012"/>
    <m/>
    <m/>
    <m/>
    <m/>
    <m/>
  </r>
  <r>
    <s v="RECEITA BRUTA DE OPERACOES PORTUARIAS"/>
    <x v="25"/>
    <x v="16"/>
    <n v="2922245.58"/>
    <s v="0000000127"/>
    <s v="0051"/>
    <d v="2022-09-01T00:00:00"/>
    <s v="310102"/>
    <s v="305"/>
    <s v="31"/>
    <s v="Credito"/>
    <x v="2"/>
    <x v="216"/>
    <m/>
    <s v="000252"/>
    <s v="000132"/>
    <n v="2922245.58"/>
    <s v="0,00"/>
    <s v="0,00"/>
    <s v="0,00"/>
    <s v="0,00"/>
    <s v="ORC2022_2"/>
    <s v="0012"/>
    <m/>
    <m/>
    <m/>
    <m/>
    <m/>
  </r>
  <r>
    <s v="RECEITA BRUTA DE OPERACOES PORTUARIAS"/>
    <x v="25"/>
    <x v="16"/>
    <n v="43417.42"/>
    <s v="0000000127"/>
    <s v="0052"/>
    <d v="2022-09-01T00:00:00"/>
    <s v="310102"/>
    <s v="305"/>
    <s v="32"/>
    <s v="Credito"/>
    <x v="2"/>
    <x v="216"/>
    <m/>
    <s v="000252"/>
    <s v="000132"/>
    <n v="43417.42"/>
    <s v="0,00"/>
    <s v="0,00"/>
    <s v="0,00"/>
    <s v="0,00"/>
    <s v="ORC2022_2"/>
    <s v="0012"/>
    <m/>
    <m/>
    <m/>
    <m/>
    <m/>
  </r>
  <r>
    <s v="RECEITA BRUTA DE OPERACOES PORTUARIAS"/>
    <x v="25"/>
    <x v="16"/>
    <n v="84746"/>
    <s v="0000000127"/>
    <s v="0053"/>
    <d v="2022-09-01T00:00:00"/>
    <s v="310102"/>
    <s v="305"/>
    <s v="42"/>
    <s v="Credito"/>
    <x v="2"/>
    <x v="216"/>
    <m/>
    <s v="000252"/>
    <s v="000132"/>
    <n v="84746"/>
    <s v="0,00"/>
    <s v="0,00"/>
    <s v="0,00"/>
    <s v="0,00"/>
    <s v="ORC2022_2"/>
    <s v="0012"/>
    <m/>
    <m/>
    <m/>
    <m/>
    <m/>
  </r>
  <r>
    <s v="RECEITA BRUTA DE OPERACOES PORTUARIAS"/>
    <x v="25"/>
    <x v="17"/>
    <n v="8140412.9800000004"/>
    <s v="0000000127"/>
    <s v="0054"/>
    <d v="2022-10-01T00:00:00"/>
    <s v="310102"/>
    <s v="305"/>
    <s v="21"/>
    <s v="Credito"/>
    <x v="2"/>
    <x v="216"/>
    <m/>
    <s v="000252"/>
    <s v="000132"/>
    <n v="8140412.9800000004"/>
    <s v="0,00"/>
    <s v="0,00"/>
    <s v="0,00"/>
    <s v="0,00"/>
    <s v="ORC2022_2"/>
    <s v="0012"/>
    <m/>
    <m/>
    <m/>
    <m/>
    <m/>
  </r>
  <r>
    <s v="RECEITA BRUTA DE OPERACOES PORTUARIAS"/>
    <x v="25"/>
    <x v="17"/>
    <n v="2951468.04"/>
    <s v="0000000127"/>
    <s v="0055"/>
    <d v="2022-10-01T00:00:00"/>
    <s v="310102"/>
    <s v="305"/>
    <s v="31"/>
    <s v="Credito"/>
    <x v="2"/>
    <x v="216"/>
    <m/>
    <s v="000252"/>
    <s v="000132"/>
    <n v="2951468.04"/>
    <s v="0,00"/>
    <s v="0,00"/>
    <s v="0,00"/>
    <s v="0,00"/>
    <s v="ORC2022_2"/>
    <s v="0012"/>
    <m/>
    <m/>
    <m/>
    <m/>
    <m/>
  </r>
  <r>
    <s v="RECEITA BRUTA DE OPERACOES PORTUARIAS"/>
    <x v="25"/>
    <x v="17"/>
    <n v="43851.59"/>
    <s v="0000000127"/>
    <s v="0056"/>
    <d v="2022-10-01T00:00:00"/>
    <s v="310102"/>
    <s v="305"/>
    <s v="32"/>
    <s v="Credito"/>
    <x v="2"/>
    <x v="216"/>
    <m/>
    <s v="000252"/>
    <s v="000132"/>
    <n v="43851.59"/>
    <s v="0,00"/>
    <s v="0,00"/>
    <s v="0,00"/>
    <s v="0,00"/>
    <s v="ORC2022_2"/>
    <s v="0012"/>
    <m/>
    <m/>
    <m/>
    <m/>
    <m/>
  </r>
  <r>
    <s v="RECEITA BRUTA DE OPERACOES PORTUARIAS"/>
    <x v="25"/>
    <x v="17"/>
    <n v="85593.46"/>
    <s v="0000000127"/>
    <s v="0057"/>
    <d v="2022-10-01T00:00:00"/>
    <s v="310102"/>
    <s v="305"/>
    <s v="42"/>
    <s v="Credito"/>
    <x v="2"/>
    <x v="216"/>
    <m/>
    <s v="000252"/>
    <s v="000132"/>
    <n v="85593.46"/>
    <s v="0,00"/>
    <s v="0,00"/>
    <s v="0,00"/>
    <s v="0,00"/>
    <s v="ORC2022_2"/>
    <s v="0012"/>
    <m/>
    <m/>
    <m/>
    <m/>
    <m/>
  </r>
  <r>
    <s v="RECEITA BRUTA DE OPERACOES PORTUARIAS"/>
    <x v="25"/>
    <x v="0"/>
    <n v="8221817.1100000003"/>
    <s v="0000000127"/>
    <s v="0058"/>
    <d v="2022-11-01T00:00:00"/>
    <s v="310102"/>
    <s v="305"/>
    <s v="21"/>
    <s v="Credito"/>
    <x v="2"/>
    <x v="216"/>
    <m/>
    <s v="000252"/>
    <s v="000132"/>
    <n v="8221817.1100000003"/>
    <s v="0,00"/>
    <s v="0,00"/>
    <s v="0,00"/>
    <s v="0,00"/>
    <s v="ORC2022_2"/>
    <s v="0012"/>
    <m/>
    <m/>
    <m/>
    <m/>
    <m/>
  </r>
  <r>
    <s v="RECEITA BRUTA DE OPERACOES PORTUARIAS"/>
    <x v="25"/>
    <x v="0"/>
    <n v="2980982.72"/>
    <s v="0000000127"/>
    <s v="0059"/>
    <d v="2022-11-01T00:00:00"/>
    <s v="310102"/>
    <s v="305"/>
    <s v="31"/>
    <s v="Credito"/>
    <x v="2"/>
    <x v="216"/>
    <m/>
    <s v="000252"/>
    <s v="000132"/>
    <n v="2980982.72"/>
    <s v="0,00"/>
    <s v="0,00"/>
    <s v="0,00"/>
    <s v="0,00"/>
    <s v="ORC2022_2"/>
    <s v="0012"/>
    <m/>
    <m/>
    <m/>
    <m/>
    <m/>
  </r>
  <r>
    <s v="RECEITA BRUTA DE OPERACOES PORTUARIAS"/>
    <x v="25"/>
    <x v="0"/>
    <n v="44290.11"/>
    <s v="0000000127"/>
    <s v="0060"/>
    <d v="2022-11-01T00:00:00"/>
    <s v="310102"/>
    <s v="305"/>
    <s v="32"/>
    <s v="Credito"/>
    <x v="2"/>
    <x v="216"/>
    <m/>
    <s v="000252"/>
    <s v="000132"/>
    <n v="44290.11"/>
    <s v="0,00"/>
    <s v="0,00"/>
    <s v="0,00"/>
    <s v="0,00"/>
    <s v="ORC2022_2"/>
    <s v="0012"/>
    <m/>
    <m/>
    <m/>
    <m/>
    <m/>
  </r>
  <r>
    <s v="RECEITA BRUTA DE OPERACOES PORTUARIAS"/>
    <x v="25"/>
    <x v="0"/>
    <n v="86449.39"/>
    <s v="0000000127"/>
    <s v="0061"/>
    <d v="2022-11-01T00:00:00"/>
    <s v="310102"/>
    <s v="305"/>
    <s v="42"/>
    <s v="Credito"/>
    <x v="2"/>
    <x v="216"/>
    <m/>
    <s v="000252"/>
    <s v="000132"/>
    <n v="86449.39"/>
    <s v="0,00"/>
    <s v="0,00"/>
    <s v="0,00"/>
    <s v="0,00"/>
    <s v="ORC2022_2"/>
    <s v="0012"/>
    <m/>
    <m/>
    <m/>
    <m/>
    <m/>
  </r>
  <r>
    <s v="RECEITA BRUTA DE OPERACOES PORTUARIAS"/>
    <x v="25"/>
    <x v="1"/>
    <n v="8304035.2800000003"/>
    <s v="0000000127"/>
    <s v="0062"/>
    <d v="2022-12-01T00:00:00"/>
    <s v="310102"/>
    <s v="305"/>
    <s v="21"/>
    <s v="Credito"/>
    <x v="2"/>
    <x v="216"/>
    <m/>
    <s v="000252"/>
    <s v="000132"/>
    <n v="8304035.2800000003"/>
    <s v="0,00"/>
    <s v="0,00"/>
    <s v="0,00"/>
    <s v="0,00"/>
    <s v="ORC2022_2"/>
    <s v="0012"/>
    <m/>
    <m/>
    <m/>
    <m/>
    <m/>
  </r>
  <r>
    <s v="RECEITA BRUTA DE OPERACOES PORTUARIAS"/>
    <x v="25"/>
    <x v="1"/>
    <n v="3010792.54"/>
    <s v="0000000127"/>
    <s v="0063"/>
    <d v="2022-12-01T00:00:00"/>
    <s v="310102"/>
    <s v="305"/>
    <s v="31"/>
    <s v="Credito"/>
    <x v="2"/>
    <x v="216"/>
    <m/>
    <s v="000252"/>
    <s v="000132"/>
    <n v="3010792.54"/>
    <s v="0,00"/>
    <s v="0,00"/>
    <s v="0,00"/>
    <s v="0,00"/>
    <s v="ORC2022_2"/>
    <s v="0012"/>
    <m/>
    <m/>
    <m/>
    <m/>
    <m/>
  </r>
  <r>
    <s v="RECEITA BRUTA DE OPERACOES PORTUARIAS"/>
    <x v="25"/>
    <x v="1"/>
    <n v="44733.01"/>
    <s v="0000000127"/>
    <s v="0064"/>
    <d v="2022-12-01T00:00:00"/>
    <s v="310102"/>
    <s v="305"/>
    <s v="32"/>
    <s v="Credito"/>
    <x v="2"/>
    <x v="216"/>
    <m/>
    <s v="000252"/>
    <s v="000132"/>
    <n v="44733.01"/>
    <s v="0,00"/>
    <s v="0,00"/>
    <s v="0,00"/>
    <s v="0,00"/>
    <s v="ORC2022_2"/>
    <s v="0012"/>
    <m/>
    <m/>
    <m/>
    <m/>
    <m/>
  </r>
  <r>
    <s v="RECEITA BRUTA DE OPERACOES PORTUARIAS"/>
    <x v="25"/>
    <x v="1"/>
    <n v="87313.89"/>
    <s v="0000000127"/>
    <s v="0065"/>
    <d v="2022-12-01T00:00:00"/>
    <s v="310102"/>
    <s v="305"/>
    <s v="42"/>
    <s v="Credito"/>
    <x v="2"/>
    <x v="216"/>
    <m/>
    <s v="000252"/>
    <s v="000132"/>
    <n v="87313.89"/>
    <s v="0,00"/>
    <s v="0,00"/>
    <s v="0,00"/>
    <s v="0,00"/>
    <s v="ORC2022_2"/>
    <s v="0012"/>
    <m/>
    <m/>
    <m/>
    <m/>
    <m/>
  </r>
  <r>
    <s v="( - ) DEDUCOES DA RECEITA BRUTA"/>
    <x v="26"/>
    <x v="8"/>
    <n v="8003.1"/>
    <s v="0000000127"/>
    <s v="0066"/>
    <d v="2022-01-01T00:00:00"/>
    <s v="310109"/>
    <s v="302"/>
    <s v="11"/>
    <s v="Credito"/>
    <x v="2"/>
    <x v="216"/>
    <m/>
    <s v="000252"/>
    <s v="000132"/>
    <n v="8003.1"/>
    <s v="0,00"/>
    <s v="0,00"/>
    <s v="0,00"/>
    <s v="0,00"/>
    <s v="ORC2022_2"/>
    <s v="0012"/>
    <m/>
    <m/>
    <m/>
    <m/>
    <m/>
  </r>
  <r>
    <s v="( - ) DEDUCOES DA RECEITA BRUTA"/>
    <x v="26"/>
    <x v="8"/>
    <n v="96949.96"/>
    <s v="0000000127"/>
    <s v="0067"/>
    <d v="2022-01-01T00:00:00"/>
    <s v="310109"/>
    <s v="304"/>
    <s v="11"/>
    <s v="Credito"/>
    <x v="2"/>
    <x v="216"/>
    <m/>
    <s v="000252"/>
    <s v="000132"/>
    <n v="96949.96"/>
    <s v="0,00"/>
    <s v="0,00"/>
    <s v="0,00"/>
    <s v="0,00"/>
    <s v="ORC2022_2"/>
    <s v="0012"/>
    <m/>
    <m/>
    <m/>
    <m/>
    <m/>
  </r>
  <r>
    <s v="( - ) DEDUCOES DA RECEITA BRUTA"/>
    <x v="26"/>
    <x v="8"/>
    <n v="930669.65"/>
    <s v="0000000127"/>
    <s v="0068"/>
    <d v="2022-01-01T00:00:00"/>
    <s v="310109"/>
    <s v="305"/>
    <s v="21"/>
    <s v="Credito"/>
    <x v="2"/>
    <x v="216"/>
    <m/>
    <s v="000252"/>
    <s v="000132"/>
    <n v="930669.65"/>
    <s v="0,00"/>
    <s v="0,00"/>
    <s v="0,00"/>
    <s v="0,00"/>
    <s v="ORC2022_2"/>
    <s v="0012"/>
    <m/>
    <m/>
    <m/>
    <m/>
    <m/>
  </r>
  <r>
    <s v="( - ) DEDUCOES DA RECEITA BRUTA"/>
    <x v="26"/>
    <x v="8"/>
    <n v="450056.51"/>
    <s v="0000000127"/>
    <s v="0069"/>
    <d v="2022-01-01T00:00:00"/>
    <s v="310109"/>
    <s v="305"/>
    <s v="31"/>
    <s v="Credito"/>
    <x v="2"/>
    <x v="216"/>
    <m/>
    <s v="000252"/>
    <s v="000132"/>
    <n v="450056.51"/>
    <s v="0,00"/>
    <s v="0,00"/>
    <s v="0,00"/>
    <s v="0,00"/>
    <s v="ORC2022_2"/>
    <s v="0012"/>
    <m/>
    <m/>
    <m/>
    <m/>
    <m/>
  </r>
  <r>
    <s v="( - ) DEDUCOES DA RECEITA BRUTA"/>
    <x v="26"/>
    <x v="8"/>
    <n v="17144.419999999998"/>
    <s v="0000000127"/>
    <s v="0070"/>
    <d v="2022-01-01T00:00:00"/>
    <s v="310109"/>
    <s v="305"/>
    <s v="32"/>
    <s v="Credito"/>
    <x v="2"/>
    <x v="216"/>
    <m/>
    <s v="000252"/>
    <s v="000132"/>
    <n v="17144.419999999998"/>
    <s v="0,00"/>
    <s v="0,00"/>
    <s v="0,00"/>
    <s v="0,00"/>
    <s v="ORC2022_2"/>
    <s v="0012"/>
    <m/>
    <m/>
    <m/>
    <m/>
    <m/>
  </r>
  <r>
    <s v="( - ) DEDUCOES DA RECEITA BRUTA"/>
    <x v="26"/>
    <x v="8"/>
    <n v="5311.17"/>
    <s v="0000000127"/>
    <s v="0071"/>
    <d v="2022-01-01T00:00:00"/>
    <s v="310109"/>
    <s v="305"/>
    <s v="42"/>
    <s v="Credito"/>
    <x v="2"/>
    <x v="216"/>
    <m/>
    <s v="000252"/>
    <s v="000132"/>
    <n v="5311.17"/>
    <s v="0,00"/>
    <s v="0,00"/>
    <s v="0,00"/>
    <s v="0,00"/>
    <s v="ORC2022_2"/>
    <s v="0012"/>
    <m/>
    <m/>
    <m/>
    <m/>
    <m/>
  </r>
  <r>
    <s v="( - ) DEDUCOES DA RECEITA BRUTA"/>
    <x v="26"/>
    <x v="9"/>
    <n v="108768.72"/>
    <s v="0000000127"/>
    <s v="0072"/>
    <d v="2022-02-01T00:00:00"/>
    <s v="310109"/>
    <s v="304"/>
    <s v="11"/>
    <s v="Credito"/>
    <x v="2"/>
    <x v="216"/>
    <m/>
    <s v="000252"/>
    <s v="000132"/>
    <n v="108768.72"/>
    <s v="0,00"/>
    <s v="0,00"/>
    <s v="0,00"/>
    <s v="0,00"/>
    <s v="ORC2022_2"/>
    <s v="0012"/>
    <m/>
    <m/>
    <m/>
    <m/>
    <m/>
  </r>
  <r>
    <s v="( - ) DEDUCOES DA RECEITA BRUTA"/>
    <x v="26"/>
    <x v="9"/>
    <n v="1116940.52"/>
    <s v="0000000127"/>
    <s v="0073"/>
    <d v="2022-02-01T00:00:00"/>
    <s v="310109"/>
    <s v="305"/>
    <s v="21"/>
    <s v="Credito"/>
    <x v="2"/>
    <x v="216"/>
    <m/>
    <s v="000252"/>
    <s v="000132"/>
    <n v="1116940.52"/>
    <s v="0,00"/>
    <s v="0,00"/>
    <s v="0,00"/>
    <s v="0,00"/>
    <s v="ORC2022_2"/>
    <s v="0012"/>
    <m/>
    <m/>
    <m/>
    <m/>
    <m/>
  </r>
  <r>
    <s v="( - ) DEDUCOES DA RECEITA BRUTA"/>
    <x v="26"/>
    <x v="9"/>
    <n v="125793.76"/>
    <s v="0000000127"/>
    <s v="0074"/>
    <d v="2022-02-01T00:00:00"/>
    <s v="310109"/>
    <s v="305"/>
    <s v="31"/>
    <s v="Credito"/>
    <x v="2"/>
    <x v="216"/>
    <m/>
    <s v="000252"/>
    <s v="000132"/>
    <n v="125793.76"/>
    <s v="0,00"/>
    <s v="0,00"/>
    <s v="0,00"/>
    <s v="0,00"/>
    <s v="ORC2022_2"/>
    <s v="0012"/>
    <m/>
    <m/>
    <m/>
    <m/>
    <m/>
  </r>
  <r>
    <s v="( - ) DEDUCOES DA RECEITA BRUTA"/>
    <x v="26"/>
    <x v="9"/>
    <n v="7435.27"/>
    <s v="0000000127"/>
    <s v="0075"/>
    <d v="2022-02-01T00:00:00"/>
    <s v="310109"/>
    <s v="305"/>
    <s v="32"/>
    <s v="Credito"/>
    <x v="2"/>
    <x v="216"/>
    <m/>
    <s v="000252"/>
    <s v="000132"/>
    <n v="7435.27"/>
    <s v="0,00"/>
    <s v="0,00"/>
    <s v="0,00"/>
    <s v="0,00"/>
    <s v="ORC2022_2"/>
    <s v="0012"/>
    <m/>
    <m/>
    <m/>
    <m/>
    <m/>
  </r>
  <r>
    <s v="( - ) DEDUCOES DA RECEITA BRUTA"/>
    <x v="26"/>
    <x v="9"/>
    <n v="16233.37"/>
    <s v="0000000127"/>
    <s v="0076"/>
    <d v="2022-02-01T00:00:00"/>
    <s v="310109"/>
    <s v="305"/>
    <s v="42"/>
    <s v="Credito"/>
    <x v="2"/>
    <x v="216"/>
    <m/>
    <s v="000252"/>
    <s v="000132"/>
    <n v="16233.37"/>
    <s v="0,00"/>
    <s v="0,00"/>
    <s v="0,00"/>
    <s v="0,00"/>
    <s v="ORC2022_2"/>
    <s v="0012"/>
    <m/>
    <m/>
    <m/>
    <m/>
    <m/>
  </r>
  <r>
    <s v="( - ) DEDUCOES DA RECEITA BRUTA"/>
    <x v="26"/>
    <x v="10"/>
    <n v="163292.85999999999"/>
    <s v="0000000127"/>
    <s v="0077"/>
    <d v="2022-03-01T00:00:00"/>
    <s v="310109"/>
    <s v="304"/>
    <s v="11"/>
    <s v="Credito"/>
    <x v="2"/>
    <x v="216"/>
    <m/>
    <s v="000252"/>
    <s v="000132"/>
    <n v="163292.85999999999"/>
    <s v="0,00"/>
    <s v="0,00"/>
    <s v="0,00"/>
    <s v="0,00"/>
    <s v="ORC2022_2"/>
    <s v="0012"/>
    <m/>
    <m/>
    <m/>
    <m/>
    <m/>
  </r>
  <r>
    <s v="( - ) DEDUCOES DA RECEITA BRUTA"/>
    <x v="26"/>
    <x v="10"/>
    <n v="1026191.5"/>
    <s v="0000000127"/>
    <s v="0078"/>
    <d v="2022-03-01T00:00:00"/>
    <s v="310109"/>
    <s v="305"/>
    <s v="21"/>
    <s v="Credito"/>
    <x v="2"/>
    <x v="216"/>
    <m/>
    <s v="000252"/>
    <s v="000132"/>
    <n v="1026191.5"/>
    <s v="0,00"/>
    <s v="0,00"/>
    <s v="0,00"/>
    <s v="0,00"/>
    <s v="ORC2022_2"/>
    <s v="0012"/>
    <m/>
    <m/>
    <m/>
    <m/>
    <m/>
  </r>
  <r>
    <s v="( - ) DEDUCOES DA RECEITA BRUTA"/>
    <x v="26"/>
    <x v="10"/>
    <n v="97688.54"/>
    <s v="0000000127"/>
    <s v="0079"/>
    <d v="2022-03-01T00:00:00"/>
    <s v="310109"/>
    <s v="305"/>
    <s v="31"/>
    <s v="Credito"/>
    <x v="2"/>
    <x v="216"/>
    <m/>
    <s v="000252"/>
    <s v="000132"/>
    <n v="97688.54"/>
    <s v="0,00"/>
    <s v="0,00"/>
    <s v="0,00"/>
    <s v="0,00"/>
    <s v="ORC2022_2"/>
    <s v="0012"/>
    <m/>
    <m/>
    <m/>
    <m/>
    <m/>
  </r>
  <r>
    <s v="( - ) DEDUCOES DA RECEITA BRUTA"/>
    <x v="26"/>
    <x v="10"/>
    <n v="11066.28"/>
    <s v="0000000127"/>
    <s v="0080"/>
    <d v="2022-03-01T00:00:00"/>
    <s v="310109"/>
    <s v="301"/>
    <s v="32"/>
    <s v="Credito"/>
    <x v="2"/>
    <x v="216"/>
    <m/>
    <s v="000252"/>
    <s v="000132"/>
    <n v="11066.28"/>
    <s v="0,00"/>
    <s v="0,00"/>
    <s v="0,00"/>
    <s v="0,00"/>
    <s v="ORC2022_2"/>
    <s v="0012"/>
    <m/>
    <m/>
    <m/>
    <m/>
    <m/>
  </r>
  <r>
    <s v="( - ) DEDUCOES DA RECEITA BRUTA"/>
    <x v="26"/>
    <x v="10"/>
    <n v="7273.27"/>
    <s v="0000000127"/>
    <s v="0081"/>
    <d v="2022-03-01T00:00:00"/>
    <s v="310109"/>
    <s v="305"/>
    <s v="32"/>
    <s v="Credito"/>
    <x v="2"/>
    <x v="216"/>
    <m/>
    <s v="000252"/>
    <s v="000132"/>
    <n v="7273.27"/>
    <s v="0,00"/>
    <s v="0,00"/>
    <s v="0,00"/>
    <s v="0,00"/>
    <s v="ORC2022_2"/>
    <s v="0012"/>
    <m/>
    <m/>
    <m/>
    <m/>
    <m/>
  </r>
  <r>
    <s v="( - ) DEDUCOES DA RECEITA BRUTA"/>
    <x v="26"/>
    <x v="10"/>
    <n v="6909.17"/>
    <s v="0000000127"/>
    <s v="0082"/>
    <d v="2022-03-01T00:00:00"/>
    <s v="310109"/>
    <s v="305"/>
    <s v="42"/>
    <s v="Credito"/>
    <x v="2"/>
    <x v="216"/>
    <m/>
    <s v="000252"/>
    <s v="000132"/>
    <n v="6909.17"/>
    <s v="0,00"/>
    <s v="0,00"/>
    <s v="0,00"/>
    <s v="0,00"/>
    <s v="ORC2022_2"/>
    <s v="0012"/>
    <m/>
    <m/>
    <m/>
    <m/>
    <m/>
  </r>
  <r>
    <s v="( - ) DEDUCOES DA RECEITA BRUTA"/>
    <x v="26"/>
    <x v="10"/>
    <n v="727.27"/>
    <s v="0000000127"/>
    <s v="0083"/>
    <d v="2022-03-01T00:00:00"/>
    <s v="310109"/>
    <s v="306"/>
    <s v="42"/>
    <s v="Credito"/>
    <x v="2"/>
    <x v="216"/>
    <m/>
    <s v="000252"/>
    <s v="000132"/>
    <n v="727.27"/>
    <s v="0,00"/>
    <s v="0,00"/>
    <s v="0,00"/>
    <s v="0,00"/>
    <s v="ORC2022_2"/>
    <s v="0012"/>
    <m/>
    <m/>
    <m/>
    <m/>
    <m/>
  </r>
  <r>
    <s v="( - ) DEDUCOES DA RECEITA BRUTA"/>
    <x v="26"/>
    <x v="10"/>
    <n v="17160.77"/>
    <s v="0000000127"/>
    <s v="0084"/>
    <d v="2022-03-01T00:00:00"/>
    <s v="310109"/>
    <s v="201"/>
    <s v="90"/>
    <s v="Credito"/>
    <x v="2"/>
    <x v="216"/>
    <m/>
    <s v="000252"/>
    <s v="000132"/>
    <n v="17160.77"/>
    <s v="0,00"/>
    <s v="0,00"/>
    <s v="0,00"/>
    <s v="0,00"/>
    <s v="ORC2022_2"/>
    <s v="0012"/>
    <m/>
    <m/>
    <m/>
    <m/>
    <m/>
  </r>
  <r>
    <s v="( - ) DEDUCOES DA RECEITA BRUTA"/>
    <x v="26"/>
    <x v="11"/>
    <n v="170465.54"/>
    <s v="0000000127"/>
    <s v="0085"/>
    <d v="2022-04-01T00:00:00"/>
    <s v="310109"/>
    <s v="304"/>
    <s v="11"/>
    <s v="Credito"/>
    <x v="2"/>
    <x v="216"/>
    <m/>
    <s v="000252"/>
    <s v="000132"/>
    <n v="170465.54"/>
    <s v="0,00"/>
    <s v="0,00"/>
    <s v="0,00"/>
    <s v="0,00"/>
    <s v="ORC2022_2"/>
    <s v="0012"/>
    <m/>
    <m/>
    <m/>
    <m/>
    <m/>
  </r>
  <r>
    <s v="( - ) DEDUCOES DA RECEITA BRUTA"/>
    <x v="26"/>
    <x v="11"/>
    <n v="1444923.33"/>
    <s v="0000000127"/>
    <s v="0086"/>
    <d v="2022-04-01T00:00:00"/>
    <s v="310109"/>
    <s v="305"/>
    <s v="21"/>
    <s v="Credito"/>
    <x v="2"/>
    <x v="216"/>
    <m/>
    <s v="000252"/>
    <s v="000132"/>
    <n v="1444923.33"/>
    <s v="0,00"/>
    <s v="0,00"/>
    <s v="0,00"/>
    <s v="0,00"/>
    <s v="ORC2022_2"/>
    <s v="0012"/>
    <m/>
    <m/>
    <m/>
    <m/>
    <m/>
  </r>
  <r>
    <s v="( - ) DEDUCOES DA RECEITA BRUTA"/>
    <x v="26"/>
    <x v="11"/>
    <n v="67821.649999999994"/>
    <s v="0000000127"/>
    <s v="0087"/>
    <d v="2022-04-01T00:00:00"/>
    <s v="310109"/>
    <s v="305"/>
    <s v="31"/>
    <s v="Credito"/>
    <x v="2"/>
    <x v="216"/>
    <m/>
    <s v="000252"/>
    <s v="000132"/>
    <n v="67821.649999999994"/>
    <s v="0,00"/>
    <s v="0,00"/>
    <s v="0,00"/>
    <s v="0,00"/>
    <s v="ORC2022_2"/>
    <s v="0012"/>
    <m/>
    <m/>
    <m/>
    <m/>
    <m/>
  </r>
  <r>
    <s v="( - ) DEDUCOES DA RECEITA BRUTA"/>
    <x v="26"/>
    <x v="11"/>
    <n v="12557.8"/>
    <s v="0000000127"/>
    <s v="0088"/>
    <d v="2022-04-01T00:00:00"/>
    <s v="310109"/>
    <s v="305"/>
    <s v="32"/>
    <s v="Credito"/>
    <x v="2"/>
    <x v="216"/>
    <m/>
    <s v="000252"/>
    <s v="000132"/>
    <n v="12557.8"/>
    <s v="0,00"/>
    <s v="0,00"/>
    <s v="0,00"/>
    <s v="0,00"/>
    <s v="ORC2022_2"/>
    <s v="0012"/>
    <m/>
    <m/>
    <m/>
    <m/>
    <m/>
  </r>
  <r>
    <s v="( - ) DEDUCOES DA RECEITA BRUTA"/>
    <x v="26"/>
    <x v="11"/>
    <n v="8585.3700000000008"/>
    <s v="0000000127"/>
    <s v="0089"/>
    <d v="2022-04-01T00:00:00"/>
    <s v="310109"/>
    <s v="305"/>
    <s v="42"/>
    <s v="Credito"/>
    <x v="2"/>
    <x v="216"/>
    <m/>
    <s v="000252"/>
    <s v="000132"/>
    <n v="8585.3700000000008"/>
    <s v="0,00"/>
    <s v="0,00"/>
    <s v="0,00"/>
    <s v="0,00"/>
    <s v="ORC2022_2"/>
    <s v="0012"/>
    <m/>
    <m/>
    <m/>
    <m/>
    <m/>
  </r>
  <r>
    <s v="( - ) DEDUCOES DA RECEITA BRUTA"/>
    <x v="26"/>
    <x v="12"/>
    <n v="16331.26"/>
    <s v="0000000127"/>
    <s v="0090"/>
    <d v="2022-05-01T00:00:00"/>
    <s v="310109"/>
    <s v="301"/>
    <s v="11"/>
    <s v="Credito"/>
    <x v="2"/>
    <x v="216"/>
    <m/>
    <s v="000252"/>
    <s v="000132"/>
    <n v="16331.26"/>
    <s v="0,00"/>
    <s v="0,00"/>
    <s v="0,00"/>
    <s v="0,00"/>
    <s v="ORC2022_2"/>
    <s v="0012"/>
    <m/>
    <m/>
    <m/>
    <m/>
    <m/>
  </r>
  <r>
    <s v="( - ) DEDUCOES DA RECEITA BRUTA"/>
    <x v="26"/>
    <x v="12"/>
    <n v="221271.69"/>
    <s v="0000000127"/>
    <s v="0091"/>
    <d v="2022-05-01T00:00:00"/>
    <s v="310109"/>
    <s v="304"/>
    <s v="11"/>
    <s v="Credito"/>
    <x v="2"/>
    <x v="216"/>
    <m/>
    <s v="000252"/>
    <s v="000132"/>
    <n v="221271.69"/>
    <s v="0,00"/>
    <s v="0,00"/>
    <s v="0,00"/>
    <s v="0,00"/>
    <s v="ORC2022_2"/>
    <s v="0012"/>
    <m/>
    <m/>
    <m/>
    <m/>
    <m/>
  </r>
  <r>
    <s v="( - ) DEDUCOES DA RECEITA BRUTA"/>
    <x v="26"/>
    <x v="12"/>
    <n v="91350.07"/>
    <s v="0000000127"/>
    <s v="0092"/>
    <d v="2022-05-01T00:00:00"/>
    <s v="310109"/>
    <s v="303"/>
    <s v="21"/>
    <s v="Credito"/>
    <x v="2"/>
    <x v="216"/>
    <m/>
    <s v="000252"/>
    <s v="000132"/>
    <n v="91350.07"/>
    <s v="0,00"/>
    <s v="0,00"/>
    <s v="0,00"/>
    <s v="0,00"/>
    <s v="ORC2022_2"/>
    <s v="0012"/>
    <m/>
    <m/>
    <m/>
    <m/>
    <m/>
  </r>
  <r>
    <s v="( - ) DEDUCOES DA RECEITA BRUTA"/>
    <x v="26"/>
    <x v="12"/>
    <n v="867825.68"/>
    <s v="0000000127"/>
    <s v="0093"/>
    <d v="2022-05-01T00:00:00"/>
    <s v="310109"/>
    <s v="305"/>
    <s v="21"/>
    <s v="Credito"/>
    <x v="2"/>
    <x v="216"/>
    <m/>
    <s v="000252"/>
    <s v="000132"/>
    <n v="867825.68"/>
    <s v="0,00"/>
    <s v="0,00"/>
    <s v="0,00"/>
    <s v="0,00"/>
    <s v="ORC2022_2"/>
    <s v="0012"/>
    <m/>
    <m/>
    <m/>
    <m/>
    <m/>
  </r>
  <r>
    <s v="( - ) DEDUCOES DA RECEITA BRUTA"/>
    <x v="26"/>
    <x v="12"/>
    <n v="516437"/>
    <s v="0000000127"/>
    <s v="0094"/>
    <d v="2022-05-01T00:00:00"/>
    <s v="310109"/>
    <s v="305"/>
    <s v="31"/>
    <s v="Credito"/>
    <x v="2"/>
    <x v="216"/>
    <m/>
    <s v="000252"/>
    <s v="000132"/>
    <n v="516437"/>
    <s v="0,00"/>
    <s v="0,00"/>
    <s v="0,00"/>
    <s v="0,00"/>
    <s v="ORC2022_2"/>
    <s v="0012"/>
    <m/>
    <m/>
    <m/>
    <m/>
    <m/>
  </r>
  <r>
    <s v="( - ) DEDUCOES DA RECEITA BRUTA"/>
    <x v="26"/>
    <x v="12"/>
    <n v="17870.650000000001"/>
    <s v="0000000127"/>
    <s v="0095"/>
    <d v="2022-05-01T00:00:00"/>
    <s v="310109"/>
    <s v="305"/>
    <s v="32"/>
    <s v="Credito"/>
    <x v="2"/>
    <x v="216"/>
    <m/>
    <s v="000252"/>
    <s v="000132"/>
    <n v="17870.650000000001"/>
    <s v="0,00"/>
    <s v="0,00"/>
    <s v="0,00"/>
    <s v="0,00"/>
    <s v="ORC2022_2"/>
    <s v="0012"/>
    <m/>
    <m/>
    <m/>
    <m/>
    <m/>
  </r>
  <r>
    <s v="( - ) DEDUCOES DA RECEITA BRUTA"/>
    <x v="26"/>
    <x v="12"/>
    <n v="7322.05"/>
    <s v="0000000127"/>
    <s v="0096"/>
    <d v="2022-05-01T00:00:00"/>
    <s v="310109"/>
    <s v="305"/>
    <s v="42"/>
    <s v="Credito"/>
    <x v="2"/>
    <x v="216"/>
    <m/>
    <s v="000252"/>
    <s v="000132"/>
    <n v="7322.05"/>
    <s v="0,00"/>
    <s v="0,00"/>
    <s v="0,00"/>
    <s v="0,00"/>
    <s v="ORC2022_2"/>
    <s v="0012"/>
    <m/>
    <m/>
    <m/>
    <m/>
    <m/>
  </r>
  <r>
    <s v="( - ) DEDUCOES DA RECEITA BRUTA"/>
    <x v="26"/>
    <x v="12"/>
    <n v="597.08000000000004"/>
    <s v="0000000127"/>
    <s v="0097"/>
    <d v="2022-05-01T00:00:00"/>
    <s v="310109"/>
    <s v="201"/>
    <s v="90"/>
    <s v="Credito"/>
    <x v="2"/>
    <x v="216"/>
    <m/>
    <s v="000252"/>
    <s v="000132"/>
    <n v="597.08000000000004"/>
    <s v="0,00"/>
    <s v="0,00"/>
    <s v="0,00"/>
    <s v="0,00"/>
    <s v="ORC2022_2"/>
    <s v="0012"/>
    <m/>
    <m/>
    <m/>
    <m/>
    <m/>
  </r>
  <r>
    <s v="( - ) DEDUCOES DA RECEITA BRUTA"/>
    <x v="26"/>
    <x v="13"/>
    <n v="153536.85"/>
    <s v="0000000127"/>
    <s v="0098"/>
    <d v="2022-06-01T00:00:00"/>
    <s v="310109"/>
    <s v="304"/>
    <s v="11"/>
    <s v="Credito"/>
    <x v="2"/>
    <x v="216"/>
    <m/>
    <s v="000252"/>
    <s v="000132"/>
    <n v="153536.85"/>
    <s v="0,00"/>
    <s v="0,00"/>
    <s v="0,00"/>
    <s v="0,00"/>
    <s v="ORC2022_2"/>
    <s v="0012"/>
    <m/>
    <m/>
    <m/>
    <m/>
    <m/>
  </r>
  <r>
    <s v="( - ) DEDUCOES DA RECEITA BRUTA"/>
    <x v="26"/>
    <x v="13"/>
    <n v="1339267.1499999999"/>
    <s v="0000000127"/>
    <s v="0099"/>
    <d v="2022-06-01T00:00:00"/>
    <s v="310109"/>
    <s v="305"/>
    <s v="21"/>
    <s v="Credito"/>
    <x v="2"/>
    <x v="216"/>
    <m/>
    <s v="000252"/>
    <s v="000132"/>
    <n v="1339267.1499999999"/>
    <s v="0,00"/>
    <s v="0,00"/>
    <s v="0,00"/>
    <s v="0,00"/>
    <s v="ORC2022_2"/>
    <s v="0012"/>
    <m/>
    <m/>
    <m/>
    <m/>
    <m/>
  </r>
  <r>
    <s v="( - ) DEDUCOES DA RECEITA BRUTA"/>
    <x v="26"/>
    <x v="13"/>
    <n v="25294.38"/>
    <s v="0000000127"/>
    <s v="0100"/>
    <d v="2022-06-01T00:00:00"/>
    <s v="310109"/>
    <s v="305"/>
    <s v="31"/>
    <s v="Credito"/>
    <x v="2"/>
    <x v="216"/>
    <m/>
    <s v="000252"/>
    <s v="000132"/>
    <n v="25294.38"/>
    <s v="0,00"/>
    <s v="0,00"/>
    <s v="0,00"/>
    <s v="0,00"/>
    <s v="ORC2022_2"/>
    <s v="0012"/>
    <m/>
    <m/>
    <m/>
    <m/>
    <m/>
  </r>
  <r>
    <s v="( - ) DEDUCOES DA RECEITA BRUTA"/>
    <x v="26"/>
    <x v="13"/>
    <n v="11867.65"/>
    <s v="0000000127"/>
    <s v="0101"/>
    <d v="2022-06-01T00:00:00"/>
    <s v="310109"/>
    <s v="305"/>
    <s v="32"/>
    <s v="Credito"/>
    <x v="2"/>
    <x v="216"/>
    <m/>
    <s v="000252"/>
    <s v="000132"/>
    <n v="11867.65"/>
    <s v="0,00"/>
    <s v="0,00"/>
    <s v="0,00"/>
    <s v="0,00"/>
    <s v="ORC2022_2"/>
    <s v="0012"/>
    <m/>
    <m/>
    <m/>
    <m/>
    <m/>
  </r>
  <r>
    <s v="( - ) DEDUCOES DA RECEITA BRUTA"/>
    <x v="26"/>
    <x v="13"/>
    <n v="5737.79"/>
    <s v="0000000127"/>
    <s v="0102"/>
    <d v="2022-06-01T00:00:00"/>
    <s v="310109"/>
    <s v="305"/>
    <s v="42"/>
    <s v="Credito"/>
    <x v="2"/>
    <x v="216"/>
    <m/>
    <s v="000252"/>
    <s v="000132"/>
    <n v="5737.79"/>
    <s v="0,00"/>
    <s v="0,00"/>
    <s v="0,00"/>
    <s v="0,00"/>
    <s v="ORC2022_2"/>
    <s v="0012"/>
    <m/>
    <m/>
    <m/>
    <m/>
    <m/>
  </r>
  <r>
    <s v="( - ) DEDUCOES DA RECEITA BRUTA"/>
    <x v="26"/>
    <x v="13"/>
    <n v="50627.07"/>
    <s v="0000000127"/>
    <s v="0103"/>
    <d v="2022-06-01T00:00:00"/>
    <s v="310109"/>
    <s v="201"/>
    <s v="90"/>
    <s v="Credito"/>
    <x v="2"/>
    <x v="216"/>
    <m/>
    <s v="000252"/>
    <s v="000132"/>
    <n v="50627.07"/>
    <s v="0,00"/>
    <s v="0,00"/>
    <s v="0,00"/>
    <s v="0,00"/>
    <s v="ORC2022_2"/>
    <s v="0012"/>
    <m/>
    <m/>
    <m/>
    <m/>
    <m/>
  </r>
  <r>
    <s v="( - ) DEDUCOES DA RECEITA BRUTA"/>
    <x v="26"/>
    <x v="13"/>
    <n v="1282.01"/>
    <s v="0000000127"/>
    <s v="0104"/>
    <d v="2022-06-01T00:00:00"/>
    <s v="310109"/>
    <s v="301"/>
    <s v="90"/>
    <s v="Credito"/>
    <x v="2"/>
    <x v="216"/>
    <m/>
    <s v="000252"/>
    <s v="000132"/>
    <n v="1282.01"/>
    <s v="0,00"/>
    <s v="0,00"/>
    <s v="0,00"/>
    <s v="0,00"/>
    <s v="ORC2022_2"/>
    <s v="0012"/>
    <m/>
    <m/>
    <m/>
    <m/>
    <m/>
  </r>
  <r>
    <s v="( - ) DEDUCOES DA RECEITA BRUTA"/>
    <x v="26"/>
    <x v="14"/>
    <n v="50600.480000000003"/>
    <s v="0000000127"/>
    <s v="0105"/>
    <d v="2022-07-01T00:00:00"/>
    <s v="310109"/>
    <s v="301"/>
    <s v="11"/>
    <s v="Credito"/>
    <x v="2"/>
    <x v="216"/>
    <m/>
    <s v="000252"/>
    <s v="000132"/>
    <n v="50600.480000000003"/>
    <s v="0,00"/>
    <s v="0,00"/>
    <s v="0,00"/>
    <s v="0,00"/>
    <s v="ORC2022_2"/>
    <s v="0012"/>
    <m/>
    <m/>
    <m/>
    <m/>
    <m/>
  </r>
  <r>
    <s v="( - ) DEDUCOES DA RECEITA BRUTA"/>
    <x v="26"/>
    <x v="14"/>
    <n v="160063.57"/>
    <s v="0000000127"/>
    <s v="0106"/>
    <d v="2022-07-01T00:00:00"/>
    <s v="310109"/>
    <s v="304"/>
    <s v="11"/>
    <s v="Credito"/>
    <x v="2"/>
    <x v="216"/>
    <m/>
    <s v="000252"/>
    <s v="000132"/>
    <n v="160063.57"/>
    <s v="0,00"/>
    <s v="0,00"/>
    <s v="0,00"/>
    <s v="0,00"/>
    <s v="ORC2022_2"/>
    <s v="0012"/>
    <m/>
    <m/>
    <m/>
    <m/>
    <m/>
  </r>
  <r>
    <s v="( - ) DEDUCOES DA RECEITA BRUTA"/>
    <x v="26"/>
    <x v="14"/>
    <n v="1282096.33"/>
    <s v="0000000127"/>
    <s v="0107"/>
    <d v="2022-07-01T00:00:00"/>
    <s v="310109"/>
    <s v="305"/>
    <s v="21"/>
    <s v="Credito"/>
    <x v="2"/>
    <x v="216"/>
    <m/>
    <s v="000252"/>
    <s v="000132"/>
    <n v="1282096.33"/>
    <s v="0,00"/>
    <s v="0,00"/>
    <s v="0,00"/>
    <s v="0,00"/>
    <s v="ORC2022_2"/>
    <s v="0012"/>
    <m/>
    <m/>
    <m/>
    <m/>
    <m/>
  </r>
  <r>
    <s v="( - ) DEDUCOES DA RECEITA BRUTA"/>
    <x v="26"/>
    <x v="14"/>
    <n v="58898.17"/>
    <s v="0000000127"/>
    <s v="0108"/>
    <d v="2022-07-01T00:00:00"/>
    <s v="310109"/>
    <s v="305"/>
    <s v="31"/>
    <s v="Credito"/>
    <x v="2"/>
    <x v="216"/>
    <m/>
    <s v="000252"/>
    <s v="000132"/>
    <n v="58898.17"/>
    <s v="0,00"/>
    <s v="0,00"/>
    <s v="0,00"/>
    <s v="0,00"/>
    <s v="ORC2022_2"/>
    <s v="0012"/>
    <m/>
    <m/>
    <m/>
    <m/>
    <m/>
  </r>
  <r>
    <s v="( - ) DEDUCOES DA RECEITA BRUTA"/>
    <x v="26"/>
    <x v="14"/>
    <n v="34130.339999999997"/>
    <s v="0000000127"/>
    <s v="0109"/>
    <d v="2022-07-01T00:00:00"/>
    <s v="310109"/>
    <s v="305"/>
    <s v="32"/>
    <s v="Credito"/>
    <x v="2"/>
    <x v="216"/>
    <m/>
    <s v="000252"/>
    <s v="000132"/>
    <n v="34130.339999999997"/>
    <s v="0,00"/>
    <s v="0,00"/>
    <s v="0,00"/>
    <s v="0,00"/>
    <s v="ORC2022_2"/>
    <s v="0012"/>
    <m/>
    <m/>
    <m/>
    <m/>
    <m/>
  </r>
  <r>
    <s v="( - ) DEDUCOES DA RECEITA BRUTA"/>
    <x v="26"/>
    <x v="14"/>
    <n v="4515.3999999999996"/>
    <s v="0000000127"/>
    <s v="0110"/>
    <d v="2022-07-01T00:00:00"/>
    <s v="310109"/>
    <s v="305"/>
    <s v="42"/>
    <s v="Credito"/>
    <x v="2"/>
    <x v="216"/>
    <m/>
    <s v="000252"/>
    <s v="000132"/>
    <n v="4515.3999999999996"/>
    <s v="0,00"/>
    <s v="0,00"/>
    <s v="0,00"/>
    <s v="0,00"/>
    <s v="ORC2022_2"/>
    <s v="0012"/>
    <m/>
    <m/>
    <m/>
    <m/>
    <m/>
  </r>
  <r>
    <s v="( - ) DEDUCOES DA RECEITA BRUTA"/>
    <x v="26"/>
    <x v="14"/>
    <n v="4680.55"/>
    <s v="0000000127"/>
    <s v="0111"/>
    <d v="2022-07-01T00:00:00"/>
    <s v="310109"/>
    <s v="201"/>
    <s v="90"/>
    <s v="Credito"/>
    <x v="2"/>
    <x v="216"/>
    <m/>
    <s v="000252"/>
    <s v="000132"/>
    <n v="4680.55"/>
    <s v="0,00"/>
    <s v="0,00"/>
    <s v="0,00"/>
    <s v="0,00"/>
    <s v="ORC2022_2"/>
    <s v="0012"/>
    <m/>
    <m/>
    <m/>
    <m/>
    <m/>
  </r>
  <r>
    <s v="( - ) DEDUCOES DA RECEITA BRUTA"/>
    <x v="26"/>
    <x v="15"/>
    <n v="211630.89"/>
    <s v="0000000127"/>
    <s v="0112"/>
    <d v="2022-08-01T00:00:00"/>
    <s v="310109"/>
    <s v="304"/>
    <s v="11"/>
    <s v="Credito"/>
    <x v="2"/>
    <x v="216"/>
    <m/>
    <s v="000252"/>
    <s v="000132"/>
    <n v="211630.89"/>
    <s v="0,00"/>
    <s v="0,00"/>
    <s v="0,00"/>
    <s v="0,00"/>
    <s v="ORC2022_2"/>
    <s v="0012"/>
    <m/>
    <m/>
    <m/>
    <m/>
    <m/>
  </r>
  <r>
    <s v="( - ) DEDUCOES DA RECEITA BRUTA"/>
    <x v="26"/>
    <x v="15"/>
    <n v="1349243.2"/>
    <s v="0000000127"/>
    <s v="0113"/>
    <d v="2022-08-01T00:00:00"/>
    <s v="310109"/>
    <s v="305"/>
    <s v="21"/>
    <s v="Credito"/>
    <x v="2"/>
    <x v="216"/>
    <m/>
    <s v="000252"/>
    <s v="000132"/>
    <n v="1349243.2"/>
    <s v="0,00"/>
    <s v="0,00"/>
    <s v="0,00"/>
    <s v="0,00"/>
    <s v="ORC2022_2"/>
    <s v="0012"/>
    <m/>
    <m/>
    <m/>
    <m/>
    <m/>
  </r>
  <r>
    <s v="( - ) DEDUCOES DA RECEITA BRUTA"/>
    <x v="26"/>
    <x v="15"/>
    <n v="113920.45"/>
    <s v="0000000127"/>
    <s v="0114"/>
    <d v="2022-08-01T00:00:00"/>
    <s v="310109"/>
    <s v="305"/>
    <s v="31"/>
    <s v="Credito"/>
    <x v="2"/>
    <x v="216"/>
    <m/>
    <s v="000252"/>
    <s v="000132"/>
    <n v="113920.45"/>
    <s v="0,00"/>
    <s v="0,00"/>
    <s v="0,00"/>
    <s v="0,00"/>
    <s v="ORC2022_2"/>
    <s v="0012"/>
    <m/>
    <m/>
    <m/>
    <m/>
    <m/>
  </r>
  <r>
    <s v="( - ) DEDUCOES DA RECEITA BRUTA"/>
    <x v="26"/>
    <x v="15"/>
    <n v="14539.77"/>
    <s v="0000000127"/>
    <s v="0115"/>
    <d v="2022-08-01T00:00:00"/>
    <s v="310109"/>
    <s v="305"/>
    <s v="32"/>
    <s v="Credito"/>
    <x v="2"/>
    <x v="216"/>
    <m/>
    <s v="000252"/>
    <s v="000132"/>
    <n v="14539.77"/>
    <s v="0,00"/>
    <s v="0,00"/>
    <s v="0,00"/>
    <s v="0,00"/>
    <s v="ORC2022_2"/>
    <s v="0012"/>
    <m/>
    <m/>
    <m/>
    <m/>
    <m/>
  </r>
  <r>
    <s v="( - ) DEDUCOES DA RECEITA BRUTA"/>
    <x v="26"/>
    <x v="15"/>
    <n v="2835"/>
    <s v="0000000127"/>
    <s v="0116"/>
    <d v="2022-08-01T00:00:00"/>
    <s v="310109"/>
    <s v="305"/>
    <s v="41"/>
    <s v="Credito"/>
    <x v="2"/>
    <x v="216"/>
    <m/>
    <s v="000252"/>
    <s v="000132"/>
    <n v="2835"/>
    <s v="0,00"/>
    <s v="0,00"/>
    <s v="0,00"/>
    <s v="0,00"/>
    <s v="ORC2022_2"/>
    <s v="0012"/>
    <m/>
    <m/>
    <m/>
    <m/>
    <m/>
  </r>
  <r>
    <s v="( - ) DEDUCOES DA RECEITA BRUTA"/>
    <x v="26"/>
    <x v="15"/>
    <n v="10956.42"/>
    <s v="0000000127"/>
    <s v="0117"/>
    <d v="2022-08-01T00:00:00"/>
    <s v="310109"/>
    <s v="305"/>
    <s v="42"/>
    <s v="Credito"/>
    <x v="2"/>
    <x v="216"/>
    <m/>
    <s v="000252"/>
    <s v="000132"/>
    <n v="10956.42"/>
    <s v="0,00"/>
    <s v="0,00"/>
    <s v="0,00"/>
    <s v="0,00"/>
    <s v="ORC2022_2"/>
    <s v="0012"/>
    <m/>
    <m/>
    <m/>
    <m/>
    <m/>
  </r>
  <r>
    <s v="( - ) DEDUCOES DA RECEITA BRUTA"/>
    <x v="26"/>
    <x v="15"/>
    <n v="2105.79"/>
    <s v="0000000127"/>
    <s v="0118"/>
    <d v="2022-08-01T00:00:00"/>
    <s v="310109"/>
    <s v="201"/>
    <s v="90"/>
    <s v="Credito"/>
    <x v="2"/>
    <x v="216"/>
    <m/>
    <s v="000252"/>
    <s v="000132"/>
    <n v="2105.79"/>
    <s v="0,00"/>
    <s v="0,00"/>
    <s v="0,00"/>
    <s v="0,00"/>
    <s v="ORC2022_2"/>
    <s v="0012"/>
    <m/>
    <m/>
    <m/>
    <m/>
    <m/>
  </r>
  <r>
    <s v="( - ) DEDUCOES DA RECEITA BRUTA"/>
    <x v="26"/>
    <x v="16"/>
    <n v="181305.08"/>
    <s v="0000000127"/>
    <s v="0119"/>
    <d v="2022-09-01T00:00:00"/>
    <s v="310109"/>
    <s v="304"/>
    <s v="11"/>
    <s v="Credito"/>
    <x v="2"/>
    <x v="216"/>
    <m/>
    <s v="000252"/>
    <s v="000132"/>
    <n v="181305.08"/>
    <s v="0,00"/>
    <s v="0,00"/>
    <s v="0,00"/>
    <s v="0,00"/>
    <s v="ORC2022_2"/>
    <s v="0012"/>
    <m/>
    <m/>
    <m/>
    <m/>
    <m/>
  </r>
  <r>
    <s v="( - ) DEDUCOES DA RECEITA BRUTA"/>
    <x v="26"/>
    <x v="16"/>
    <n v="1268994.79"/>
    <s v="0000000127"/>
    <s v="0120"/>
    <d v="2022-09-01T00:00:00"/>
    <s v="310109"/>
    <s v="305"/>
    <s v="21"/>
    <s v="Credito"/>
    <x v="2"/>
    <x v="216"/>
    <m/>
    <s v="000252"/>
    <s v="000132"/>
    <n v="1268994.79"/>
    <s v="0,00"/>
    <s v="0,00"/>
    <s v="0,00"/>
    <s v="0,00"/>
    <s v="ORC2022_2"/>
    <s v="0012"/>
    <m/>
    <m/>
    <m/>
    <m/>
    <m/>
  </r>
  <r>
    <s v="( - ) DEDUCOES DA RECEITA BRUTA"/>
    <x v="26"/>
    <x v="16"/>
    <n v="459369.34"/>
    <s v="0000000127"/>
    <s v="0121"/>
    <d v="2022-09-01T00:00:00"/>
    <s v="310109"/>
    <s v="305"/>
    <s v="31"/>
    <s v="Credito"/>
    <x v="2"/>
    <x v="216"/>
    <m/>
    <s v="000252"/>
    <s v="000132"/>
    <n v="459369.34"/>
    <s v="0,00"/>
    <s v="0,00"/>
    <s v="0,00"/>
    <s v="0,00"/>
    <s v="ORC2022_2"/>
    <s v="0012"/>
    <m/>
    <m/>
    <m/>
    <m/>
    <m/>
  </r>
  <r>
    <s v="( - ) DEDUCOES DA RECEITA BRUTA"/>
    <x v="26"/>
    <x v="16"/>
    <n v="6838.29"/>
    <s v="0000000127"/>
    <s v="0122"/>
    <d v="2022-09-01T00:00:00"/>
    <s v="310109"/>
    <s v="305"/>
    <s v="32"/>
    <s v="Credito"/>
    <x v="2"/>
    <x v="216"/>
    <m/>
    <s v="000252"/>
    <s v="000132"/>
    <n v="6838.29"/>
    <s v="0,00"/>
    <s v="0,00"/>
    <s v="0,00"/>
    <s v="0,00"/>
    <s v="ORC2022_2"/>
    <s v="0012"/>
    <m/>
    <m/>
    <m/>
    <m/>
    <m/>
  </r>
  <r>
    <s v="( - ) DEDUCOES DA RECEITA BRUTA"/>
    <x v="26"/>
    <x v="16"/>
    <n v="13347.6"/>
    <s v="0000000127"/>
    <s v="0123"/>
    <d v="2022-09-01T00:00:00"/>
    <s v="310109"/>
    <s v="305"/>
    <s v="42"/>
    <s v="Credito"/>
    <x v="2"/>
    <x v="216"/>
    <m/>
    <s v="000252"/>
    <s v="000132"/>
    <n v="13347.6"/>
    <s v="0,00"/>
    <s v="0,00"/>
    <s v="0,00"/>
    <s v="0,00"/>
    <s v="ORC2022_2"/>
    <s v="0012"/>
    <m/>
    <m/>
    <m/>
    <m/>
    <m/>
  </r>
  <r>
    <s v="( - ) DEDUCOES DA RECEITA BRUTA"/>
    <x v="26"/>
    <x v="17"/>
    <n v="183118.13"/>
    <s v="0000000127"/>
    <s v="0124"/>
    <d v="2022-10-01T00:00:00"/>
    <s v="310109"/>
    <s v="304"/>
    <s v="11"/>
    <s v="Credito"/>
    <x v="2"/>
    <x v="216"/>
    <m/>
    <s v="000252"/>
    <s v="000132"/>
    <n v="183118.13"/>
    <s v="0,00"/>
    <s v="0,00"/>
    <s v="0,00"/>
    <s v="0,00"/>
    <s v="ORC2022_2"/>
    <s v="0012"/>
    <m/>
    <m/>
    <m/>
    <m/>
    <m/>
  </r>
  <r>
    <s v="( - ) DEDUCOES DA RECEITA BRUTA"/>
    <x v="26"/>
    <x v="17"/>
    <n v="1281684.74"/>
    <s v="0000000127"/>
    <s v="0125"/>
    <d v="2022-10-01T00:00:00"/>
    <s v="310109"/>
    <s v="305"/>
    <s v="21"/>
    <s v="Credito"/>
    <x v="2"/>
    <x v="216"/>
    <m/>
    <s v="000252"/>
    <s v="000132"/>
    <n v="1281684.74"/>
    <s v="0,00"/>
    <s v="0,00"/>
    <s v="0,00"/>
    <s v="0,00"/>
    <s v="ORC2022_2"/>
    <s v="0012"/>
    <m/>
    <m/>
    <m/>
    <m/>
    <m/>
  </r>
  <r>
    <s v="( - ) DEDUCOES DA RECEITA BRUTA"/>
    <x v="26"/>
    <x v="17"/>
    <n v="463963.03"/>
    <s v="0000000127"/>
    <s v="0126"/>
    <d v="2022-10-01T00:00:00"/>
    <s v="310109"/>
    <s v="305"/>
    <s v="31"/>
    <s v="Credito"/>
    <x v="2"/>
    <x v="216"/>
    <m/>
    <s v="000252"/>
    <s v="000132"/>
    <n v="463963.03"/>
    <s v="0,00"/>
    <s v="0,00"/>
    <s v="0,00"/>
    <s v="0,00"/>
    <s v="ORC2022_2"/>
    <s v="0012"/>
    <m/>
    <m/>
    <m/>
    <m/>
    <m/>
  </r>
  <r>
    <s v="( - ) DEDUCOES DA RECEITA BRUTA"/>
    <x v="26"/>
    <x v="17"/>
    <n v="6906.67"/>
    <s v="0000000127"/>
    <s v="0127"/>
    <d v="2022-10-01T00:00:00"/>
    <s v="310109"/>
    <s v="305"/>
    <s v="32"/>
    <s v="Credito"/>
    <x v="2"/>
    <x v="216"/>
    <m/>
    <s v="000252"/>
    <s v="000132"/>
    <n v="6906.67"/>
    <s v="0,00"/>
    <s v="0,00"/>
    <s v="0,00"/>
    <s v="0,00"/>
    <s v="ORC2022_2"/>
    <s v="0012"/>
    <m/>
    <m/>
    <m/>
    <m/>
    <m/>
  </r>
  <r>
    <s v="( - ) DEDUCOES DA RECEITA BRUTA"/>
    <x v="26"/>
    <x v="17"/>
    <n v="13481.08"/>
    <s v="0000000127"/>
    <s v="0128"/>
    <d v="2022-10-01T00:00:00"/>
    <s v="310109"/>
    <s v="305"/>
    <s v="42"/>
    <s v="Credito"/>
    <x v="2"/>
    <x v="216"/>
    <m/>
    <s v="000252"/>
    <s v="000132"/>
    <n v="13481.08"/>
    <s v="0,00"/>
    <s v="0,00"/>
    <s v="0,00"/>
    <s v="0,00"/>
    <s v="ORC2022_2"/>
    <s v="0012"/>
    <m/>
    <m/>
    <m/>
    <m/>
    <m/>
  </r>
  <r>
    <s v="( - ) DEDUCOES DA RECEITA BRUTA"/>
    <x v="26"/>
    <x v="0"/>
    <n v="184949.31"/>
    <s v="0000000127"/>
    <s v="0129"/>
    <d v="2022-11-01T00:00:00"/>
    <s v="310109"/>
    <s v="304"/>
    <s v="11"/>
    <s v="Credito"/>
    <x v="2"/>
    <x v="216"/>
    <m/>
    <s v="000252"/>
    <s v="000132"/>
    <n v="184949.31"/>
    <s v="0,00"/>
    <s v="0,00"/>
    <s v="0,00"/>
    <s v="0,00"/>
    <s v="ORC2022_2"/>
    <s v="0012"/>
    <m/>
    <m/>
    <m/>
    <m/>
    <m/>
  </r>
  <r>
    <s v="( - ) DEDUCOES DA RECEITA BRUTA"/>
    <x v="26"/>
    <x v="0"/>
    <n v="1294501.5900000001"/>
    <s v="0000000127"/>
    <s v="0130"/>
    <d v="2022-11-01T00:00:00"/>
    <s v="310109"/>
    <s v="305"/>
    <s v="21"/>
    <s v="Credito"/>
    <x v="2"/>
    <x v="216"/>
    <m/>
    <s v="000252"/>
    <s v="000132"/>
    <n v="1294501.5900000001"/>
    <s v="0,00"/>
    <s v="0,00"/>
    <s v="0,00"/>
    <s v="0,00"/>
    <s v="ORC2022_2"/>
    <s v="0012"/>
    <m/>
    <m/>
    <m/>
    <m/>
    <m/>
  </r>
  <r>
    <s v="( - ) DEDUCOES DA RECEITA BRUTA"/>
    <x v="26"/>
    <x v="0"/>
    <n v="468602.66"/>
    <s v="0000000127"/>
    <s v="0131"/>
    <d v="2022-11-01T00:00:00"/>
    <s v="310109"/>
    <s v="305"/>
    <s v="31"/>
    <s v="Credito"/>
    <x v="2"/>
    <x v="216"/>
    <m/>
    <s v="000252"/>
    <s v="000132"/>
    <n v="468602.66"/>
    <s v="0,00"/>
    <s v="0,00"/>
    <s v="0,00"/>
    <s v="0,00"/>
    <s v="ORC2022_2"/>
    <s v="0012"/>
    <m/>
    <m/>
    <m/>
    <m/>
    <m/>
  </r>
  <r>
    <s v="( - ) DEDUCOES DA RECEITA BRUTA"/>
    <x v="26"/>
    <x v="0"/>
    <n v="6975.74"/>
    <s v="0000000127"/>
    <s v="0132"/>
    <d v="2022-11-01T00:00:00"/>
    <s v="310109"/>
    <s v="305"/>
    <s v="32"/>
    <s v="Credito"/>
    <x v="2"/>
    <x v="216"/>
    <m/>
    <s v="000252"/>
    <s v="000132"/>
    <n v="6975.74"/>
    <s v="0,00"/>
    <s v="0,00"/>
    <s v="0,00"/>
    <s v="0,00"/>
    <s v="ORC2022_2"/>
    <s v="0012"/>
    <m/>
    <m/>
    <m/>
    <m/>
    <m/>
  </r>
  <r>
    <s v="( - ) DEDUCOES DA RECEITA BRUTA"/>
    <x v="26"/>
    <x v="0"/>
    <n v="13615.89"/>
    <s v="0000000127"/>
    <s v="0133"/>
    <d v="2022-11-01T00:00:00"/>
    <s v="310109"/>
    <s v="305"/>
    <s v="42"/>
    <s v="Credito"/>
    <x v="2"/>
    <x v="216"/>
    <m/>
    <s v="000252"/>
    <s v="000132"/>
    <n v="13615.89"/>
    <s v="0,00"/>
    <s v="0,00"/>
    <s v="0,00"/>
    <s v="0,00"/>
    <s v="ORC2022_2"/>
    <s v="0012"/>
    <m/>
    <m/>
    <m/>
    <m/>
    <m/>
  </r>
  <r>
    <s v="( - ) DEDUCOES DA RECEITA BRUTA"/>
    <x v="26"/>
    <x v="1"/>
    <n v="186798.81"/>
    <s v="0000000127"/>
    <s v="0134"/>
    <d v="2022-12-01T00:00:00"/>
    <s v="310109"/>
    <s v="304"/>
    <s v="11"/>
    <s v="Credito"/>
    <x v="2"/>
    <x v="216"/>
    <m/>
    <s v="000252"/>
    <s v="000132"/>
    <n v="186798.81"/>
    <s v="0,00"/>
    <s v="0,00"/>
    <s v="0,00"/>
    <s v="0,00"/>
    <s v="ORC2022_2"/>
    <s v="0012"/>
    <m/>
    <m/>
    <m/>
    <m/>
    <m/>
  </r>
  <r>
    <s v="( - ) DEDUCOES DA RECEITA BRUTA"/>
    <x v="26"/>
    <x v="1"/>
    <n v="1307446.6000000001"/>
    <s v="0000000127"/>
    <s v="0135"/>
    <d v="2022-12-01T00:00:00"/>
    <s v="310109"/>
    <s v="305"/>
    <s v="21"/>
    <s v="Credito"/>
    <x v="2"/>
    <x v="216"/>
    <m/>
    <s v="000252"/>
    <s v="000132"/>
    <n v="1307446.6000000001"/>
    <s v="0,00"/>
    <s v="0,00"/>
    <s v="0,00"/>
    <s v="0,00"/>
    <s v="ORC2022_2"/>
    <s v="0012"/>
    <m/>
    <m/>
    <m/>
    <m/>
    <m/>
  </r>
  <r>
    <s v="( - ) DEDUCOES DA RECEITA BRUTA"/>
    <x v="26"/>
    <x v="1"/>
    <n v="473288.69"/>
    <s v="0000000127"/>
    <s v="0136"/>
    <d v="2022-12-01T00:00:00"/>
    <s v="310109"/>
    <s v="305"/>
    <s v="31"/>
    <s v="Credito"/>
    <x v="2"/>
    <x v="216"/>
    <m/>
    <s v="000252"/>
    <s v="000132"/>
    <n v="473288.69"/>
    <s v="0,00"/>
    <s v="0,00"/>
    <s v="0,00"/>
    <s v="0,00"/>
    <s v="ORC2022_2"/>
    <s v="0012"/>
    <m/>
    <m/>
    <m/>
    <m/>
    <m/>
  </r>
  <r>
    <s v="( - ) DEDUCOES DA RECEITA BRUTA"/>
    <x v="26"/>
    <x v="1"/>
    <n v="7045.5"/>
    <s v="0000000127"/>
    <s v="0137"/>
    <d v="2022-12-01T00:00:00"/>
    <s v="310109"/>
    <s v="305"/>
    <s v="32"/>
    <s v="Credito"/>
    <x v="2"/>
    <x v="216"/>
    <m/>
    <s v="000252"/>
    <s v="000132"/>
    <n v="7045.5"/>
    <s v="0,00"/>
    <s v="0,00"/>
    <s v="0,00"/>
    <s v="0,00"/>
    <s v="ORC2022_2"/>
    <s v="0012"/>
    <m/>
    <m/>
    <m/>
    <m/>
    <m/>
  </r>
  <r>
    <s v="( - ) DEDUCOES DA RECEITA BRUTA"/>
    <x v="26"/>
    <x v="1"/>
    <n v="13752.05"/>
    <s v="0000000127"/>
    <s v="0138"/>
    <d v="2022-12-01T00:00:00"/>
    <s v="310109"/>
    <s v="305"/>
    <s v="42"/>
    <s v="Credito"/>
    <x v="2"/>
    <x v="216"/>
    <m/>
    <s v="000252"/>
    <s v="000132"/>
    <n v="13752.05"/>
    <s v="0,00"/>
    <s v="0,00"/>
    <s v="0,00"/>
    <s v="0,00"/>
    <s v="ORC2022_2"/>
    <s v="0012"/>
    <m/>
    <m/>
    <m/>
    <m/>
    <m/>
  </r>
  <r>
    <s v="OUTRAS RECEITAS"/>
    <x v="22"/>
    <x v="8"/>
    <n v="524806.61"/>
    <s v="0000000127"/>
    <s v="0139"/>
    <d v="2022-01-01T00:00:00"/>
    <s v="310901"/>
    <s v="201"/>
    <s v="90"/>
    <s v="Credito"/>
    <x v="2"/>
    <x v="216"/>
    <m/>
    <s v="000252"/>
    <s v="000132"/>
    <n v="524806.61"/>
    <s v="0,00"/>
    <s v="0,00"/>
    <s v="0,00"/>
    <s v="0,00"/>
    <s v="ORC2022_2"/>
    <s v="0012"/>
    <m/>
    <m/>
    <m/>
    <m/>
    <m/>
  </r>
  <r>
    <s v="OUTRAS RECEITAS"/>
    <x v="22"/>
    <x v="9"/>
    <n v="481761.62"/>
    <s v="0000000127"/>
    <s v="0140"/>
    <d v="2022-02-01T00:00:00"/>
    <s v="310901"/>
    <s v="201"/>
    <s v="90"/>
    <s v="Credito"/>
    <x v="2"/>
    <x v="216"/>
    <m/>
    <s v="000252"/>
    <s v="000132"/>
    <n v="481761.62"/>
    <s v="0,00"/>
    <s v="0,00"/>
    <s v="0,00"/>
    <s v="0,00"/>
    <s v="ORC2022_2"/>
    <s v="0012"/>
    <m/>
    <m/>
    <m/>
    <m/>
    <m/>
  </r>
  <r>
    <s v="OUTRAS RECEITAS"/>
    <x v="22"/>
    <x v="10"/>
    <n v="533495.06000000006"/>
    <s v="0000000127"/>
    <s v="0141"/>
    <d v="2022-03-01T00:00:00"/>
    <s v="310901"/>
    <s v="201"/>
    <s v="90"/>
    <s v="Credito"/>
    <x v="2"/>
    <x v="216"/>
    <m/>
    <s v="000252"/>
    <s v="000132"/>
    <n v="533495.06000000006"/>
    <s v="0,00"/>
    <s v="0,00"/>
    <s v="0,00"/>
    <s v="0,00"/>
    <s v="ORC2022_2"/>
    <s v="0012"/>
    <m/>
    <m/>
    <m/>
    <m/>
    <m/>
  </r>
  <r>
    <s v="OUTRAS RECEITAS"/>
    <x v="22"/>
    <x v="11"/>
    <n v="518954.36"/>
    <s v="0000000127"/>
    <s v="0142"/>
    <d v="2022-04-01T00:00:00"/>
    <s v="310901"/>
    <s v="201"/>
    <s v="90"/>
    <s v="Credito"/>
    <x v="2"/>
    <x v="216"/>
    <m/>
    <s v="000252"/>
    <s v="000132"/>
    <n v="518954.36"/>
    <s v="0,00"/>
    <s v="0,00"/>
    <s v="0,00"/>
    <s v="0,00"/>
    <s v="ORC2022_2"/>
    <s v="0012"/>
    <m/>
    <m/>
    <m/>
    <m/>
    <m/>
  </r>
  <r>
    <s v="OUTRAS RECEITAS"/>
    <x v="22"/>
    <x v="12"/>
    <n v="501000"/>
    <s v="0000000127"/>
    <s v="0143"/>
    <d v="2022-05-01T00:00:00"/>
    <s v="310901"/>
    <s v="201"/>
    <s v="90"/>
    <s v="Credito"/>
    <x v="2"/>
    <x v="216"/>
    <m/>
    <s v="000252"/>
    <s v="000132"/>
    <n v="501000"/>
    <s v="0,00"/>
    <s v="0,00"/>
    <s v="0,00"/>
    <s v="0,00"/>
    <s v="ORC2022_2"/>
    <s v="0012"/>
    <m/>
    <m/>
    <m/>
    <m/>
    <m/>
  </r>
  <r>
    <s v="OUTRAS RECEITAS"/>
    <x v="22"/>
    <x v="12"/>
    <n v="70.510000000000005"/>
    <s v="0000000127"/>
    <s v="0144"/>
    <d v="2022-05-01T00:00:00"/>
    <s v="310901"/>
    <s v="202"/>
    <s v="90"/>
    <s v="Credito"/>
    <x v="2"/>
    <x v="216"/>
    <m/>
    <s v="000252"/>
    <s v="000132"/>
    <n v="70.510000000000005"/>
    <s v="0,00"/>
    <s v="0,00"/>
    <s v="0,00"/>
    <s v="0,00"/>
    <s v="ORC2022_2"/>
    <s v="0012"/>
    <m/>
    <m/>
    <m/>
    <m/>
    <m/>
  </r>
  <r>
    <s v="OUTRAS RECEITAS"/>
    <x v="22"/>
    <x v="13"/>
    <n v="1110886.42"/>
    <s v="0000000127"/>
    <s v="0145"/>
    <d v="2022-06-01T00:00:00"/>
    <s v="310901"/>
    <s v="201"/>
    <s v="90"/>
    <s v="Credito"/>
    <x v="2"/>
    <x v="216"/>
    <m/>
    <s v="000252"/>
    <s v="000132"/>
    <n v="1110886.42"/>
    <s v="0,00"/>
    <s v="0,00"/>
    <s v="0,00"/>
    <s v="0,00"/>
    <s v="ORC2022_2"/>
    <s v="0012"/>
    <m/>
    <m/>
    <m/>
    <m/>
    <m/>
  </r>
  <r>
    <s v="OUTRAS RECEITAS"/>
    <x v="22"/>
    <x v="14"/>
    <n v="54666"/>
    <s v="0000000127"/>
    <s v="0146"/>
    <d v="2022-07-01T00:00:00"/>
    <s v="310901"/>
    <s v="304"/>
    <s v="11"/>
    <s v="Credito"/>
    <x v="2"/>
    <x v="216"/>
    <m/>
    <s v="000252"/>
    <s v="000132"/>
    <n v="54666"/>
    <s v="0,00"/>
    <s v="0,00"/>
    <s v="0,00"/>
    <s v="0,00"/>
    <s v="ORC2022_2"/>
    <s v="0012"/>
    <m/>
    <m/>
    <m/>
    <m/>
    <m/>
  </r>
  <r>
    <s v="OUTRAS RECEITAS"/>
    <x v="22"/>
    <x v="14"/>
    <n v="1780177.14"/>
    <s v="0000000127"/>
    <s v="0147"/>
    <d v="2022-07-01T00:00:00"/>
    <s v="310901"/>
    <s v="201"/>
    <s v="90"/>
    <s v="Credito"/>
    <x v="2"/>
    <x v="216"/>
    <m/>
    <s v="000252"/>
    <s v="000132"/>
    <n v="1780177.14"/>
    <s v="0,00"/>
    <s v="0,00"/>
    <s v="0,00"/>
    <s v="0,00"/>
    <s v="ORC2022_2"/>
    <s v="0012"/>
    <m/>
    <m/>
    <m/>
    <m/>
    <m/>
  </r>
  <r>
    <s v="OUTRAS RECEITAS"/>
    <x v="22"/>
    <x v="14"/>
    <n v="6639.24"/>
    <s v="0000000127"/>
    <s v="0148"/>
    <d v="2022-07-01T00:00:00"/>
    <s v="310901"/>
    <s v="202"/>
    <s v="90"/>
    <s v="Credito"/>
    <x v="2"/>
    <x v="216"/>
    <m/>
    <s v="000252"/>
    <s v="000132"/>
    <n v="6639.24"/>
    <s v="0,00"/>
    <s v="0,00"/>
    <s v="0,00"/>
    <s v="0,00"/>
    <s v="ORC2022_2"/>
    <s v="0012"/>
    <m/>
    <m/>
    <m/>
    <m/>
    <m/>
  </r>
  <r>
    <s v="OUTRAS RECEITAS"/>
    <x v="22"/>
    <x v="15"/>
    <n v="71.510000000000005"/>
    <s v="0000000127"/>
    <s v="0149"/>
    <d v="2022-08-01T00:00:00"/>
    <s v="310901"/>
    <s v="304"/>
    <s v="11"/>
    <s v="Credito"/>
    <x v="2"/>
    <x v="216"/>
    <m/>
    <s v="000252"/>
    <s v="000132"/>
    <n v="71.510000000000005"/>
    <s v="0,00"/>
    <s v="0,00"/>
    <s v="0,00"/>
    <s v="0,00"/>
    <s v="ORC2022_2"/>
    <s v="0012"/>
    <m/>
    <m/>
    <m/>
    <m/>
    <m/>
  </r>
  <r>
    <s v="OUTRAS RECEITAS"/>
    <x v="22"/>
    <x v="15"/>
    <n v="2886437.37"/>
    <s v="0000000127"/>
    <s v="0150"/>
    <d v="2022-08-01T00:00:00"/>
    <s v="310901"/>
    <s v="201"/>
    <s v="90"/>
    <s v="Credito"/>
    <x v="2"/>
    <x v="216"/>
    <m/>
    <s v="000252"/>
    <s v="000132"/>
    <n v="2886437.37"/>
    <s v="0,00"/>
    <s v="0,00"/>
    <s v="0,00"/>
    <s v="0,00"/>
    <s v="ORC2022_2"/>
    <s v="0012"/>
    <m/>
    <m/>
    <m/>
    <m/>
    <m/>
  </r>
  <r>
    <s v="OUTRAS RECEITAS"/>
    <x v="22"/>
    <x v="15"/>
    <n v="30953.58"/>
    <s v="0000000127"/>
    <s v="0151"/>
    <d v="2022-08-01T00:00:00"/>
    <s v="310901"/>
    <s v="202"/>
    <s v="90"/>
    <s v="Credito"/>
    <x v="2"/>
    <x v="216"/>
    <m/>
    <s v="000252"/>
    <s v="000132"/>
    <n v="30953.58"/>
    <s v="0,00"/>
    <s v="0,00"/>
    <s v="0,00"/>
    <s v="0,00"/>
    <s v="ORC2022_2"/>
    <s v="0012"/>
    <m/>
    <m/>
    <m/>
    <m/>
    <m/>
  </r>
  <r>
    <s v="OUTRAS RECEITAS"/>
    <x v="22"/>
    <x v="16"/>
    <n v="185605.93"/>
    <s v="0000000127"/>
    <s v="0152"/>
    <d v="2022-09-01T00:00:00"/>
    <s v="310901"/>
    <s v="201"/>
    <s v="90"/>
    <s v="Credito"/>
    <x v="2"/>
    <x v="216"/>
    <m/>
    <s v="000252"/>
    <s v="000132"/>
    <n v="185605.93"/>
    <s v="0,00"/>
    <s v="0,00"/>
    <s v="0,00"/>
    <s v="0,00"/>
    <s v="ORC2022_2"/>
    <s v="0012"/>
    <m/>
    <m/>
    <m/>
    <m/>
    <m/>
  </r>
  <r>
    <s v="OUTRAS RECEITAS"/>
    <x v="22"/>
    <x v="16"/>
    <n v="27984.11"/>
    <s v="0000000127"/>
    <s v="0153"/>
    <d v="2022-09-01T00:00:00"/>
    <s v="310901"/>
    <s v="202"/>
    <s v="90"/>
    <s v="Credito"/>
    <x v="2"/>
    <x v="216"/>
    <m/>
    <s v="000252"/>
    <s v="000132"/>
    <n v="27984.11"/>
    <s v="0,00"/>
    <s v="0,00"/>
    <s v="0,00"/>
    <s v="0,00"/>
    <s v="ORC2022_2"/>
    <s v="0012"/>
    <m/>
    <m/>
    <m/>
    <m/>
    <m/>
  </r>
  <r>
    <s v="OUTRAS RECEITAS"/>
    <x v="22"/>
    <x v="17"/>
    <n v="187461.99"/>
    <s v="0000000127"/>
    <s v="0154"/>
    <d v="2022-10-01T00:00:00"/>
    <s v="310901"/>
    <s v="201"/>
    <s v="90"/>
    <s v="Credito"/>
    <x v="2"/>
    <x v="216"/>
    <m/>
    <s v="000252"/>
    <s v="000132"/>
    <n v="187461.99"/>
    <s v="0,00"/>
    <s v="0,00"/>
    <s v="0,00"/>
    <s v="0,00"/>
    <s v="ORC2022_2"/>
    <s v="0012"/>
    <m/>
    <m/>
    <m/>
    <m/>
    <m/>
  </r>
  <r>
    <s v="OUTRAS RECEITAS"/>
    <x v="22"/>
    <x v="17"/>
    <n v="28263.95"/>
    <s v="0000000127"/>
    <s v="0155"/>
    <d v="2022-10-01T00:00:00"/>
    <s v="310901"/>
    <s v="202"/>
    <s v="90"/>
    <s v="Credito"/>
    <x v="2"/>
    <x v="216"/>
    <m/>
    <s v="000252"/>
    <s v="000132"/>
    <n v="28263.95"/>
    <s v="0,00"/>
    <s v="0,00"/>
    <s v="0,00"/>
    <s v="0,00"/>
    <s v="ORC2022_2"/>
    <s v="0012"/>
    <m/>
    <m/>
    <m/>
    <m/>
    <m/>
  </r>
  <r>
    <s v="OUTRAS RECEITAS"/>
    <x v="22"/>
    <x v="0"/>
    <n v="189336.61"/>
    <s v="0000000127"/>
    <s v="0156"/>
    <d v="2022-11-01T00:00:00"/>
    <s v="310901"/>
    <s v="201"/>
    <s v="90"/>
    <s v="Credito"/>
    <x v="2"/>
    <x v="216"/>
    <m/>
    <s v="000252"/>
    <s v="000132"/>
    <n v="189336.61"/>
    <s v="0,00"/>
    <s v="0,00"/>
    <s v="0,00"/>
    <s v="0,00"/>
    <s v="ORC2022_2"/>
    <s v="0012"/>
    <m/>
    <m/>
    <m/>
    <m/>
    <m/>
  </r>
  <r>
    <s v="OUTRAS RECEITAS"/>
    <x v="22"/>
    <x v="0"/>
    <n v="28546.59"/>
    <s v="0000000127"/>
    <s v="0157"/>
    <d v="2022-11-01T00:00:00"/>
    <s v="310901"/>
    <s v="202"/>
    <s v="90"/>
    <s v="Credito"/>
    <x v="2"/>
    <x v="216"/>
    <m/>
    <s v="000252"/>
    <s v="000132"/>
    <n v="28546.59"/>
    <s v="0,00"/>
    <s v="0,00"/>
    <s v="0,00"/>
    <s v="0,00"/>
    <s v="ORC2022_2"/>
    <s v="0012"/>
    <m/>
    <m/>
    <m/>
    <m/>
    <m/>
  </r>
  <r>
    <s v="OUTRAS RECEITAS"/>
    <x v="22"/>
    <x v="1"/>
    <n v="191229.98"/>
    <s v="0000000127"/>
    <s v="0158"/>
    <d v="2022-12-01T00:00:00"/>
    <s v="310901"/>
    <s v="201"/>
    <s v="90"/>
    <s v="Credito"/>
    <x v="2"/>
    <x v="216"/>
    <m/>
    <s v="000252"/>
    <s v="000132"/>
    <n v="191229.98"/>
    <s v="0,00"/>
    <s v="0,00"/>
    <s v="0,00"/>
    <s v="0,00"/>
    <s v="ORC2022_2"/>
    <s v="0012"/>
    <m/>
    <m/>
    <m/>
    <m/>
    <m/>
  </r>
  <r>
    <s v="OUTRAS RECEITAS"/>
    <x v="22"/>
    <x v="1"/>
    <n v="28832.06"/>
    <s v="0000000127"/>
    <s v="0159"/>
    <d v="2022-12-01T00:00:00"/>
    <s v="310901"/>
    <s v="202"/>
    <s v="90"/>
    <s v="Credito"/>
    <x v="2"/>
    <x v="216"/>
    <m/>
    <s v="000252"/>
    <s v="000132"/>
    <n v="28832.06"/>
    <s v="0,00"/>
    <s v="0,00"/>
    <s v="0,00"/>
    <s v="0,00"/>
    <s v="ORC2022_2"/>
    <s v="0012"/>
    <m/>
    <m/>
    <m/>
    <m/>
    <m/>
  </r>
  <r>
    <s v="REMUNERACOES"/>
    <x v="21"/>
    <x v="8"/>
    <n v="991.92"/>
    <s v="0000000127"/>
    <s v="0160"/>
    <d v="2022-01-01T00:00:00"/>
    <s v="320101"/>
    <s v="301"/>
    <s v="11"/>
    <s v="Credito"/>
    <x v="2"/>
    <x v="216"/>
    <m/>
    <s v="000252"/>
    <s v="000132"/>
    <n v="991.92"/>
    <s v="0,00"/>
    <s v="0,00"/>
    <s v="0,00"/>
    <s v="0,00"/>
    <s v="ORC2022_2"/>
    <s v="0012"/>
    <m/>
    <m/>
    <m/>
    <m/>
    <m/>
  </r>
  <r>
    <s v="REMUNERACOES"/>
    <x v="21"/>
    <x v="8"/>
    <n v="65254.96"/>
    <s v="0000000127"/>
    <s v="0161"/>
    <d v="2022-01-01T00:00:00"/>
    <s v="320101"/>
    <s v="302"/>
    <s v="11"/>
    <s v="Credito"/>
    <x v="2"/>
    <x v="216"/>
    <m/>
    <s v="000252"/>
    <s v="000132"/>
    <n v="65254.96"/>
    <s v="0,00"/>
    <s v="0,00"/>
    <s v="0,00"/>
    <s v="0,00"/>
    <s v="ORC2022_2"/>
    <s v="0012"/>
    <m/>
    <m/>
    <m/>
    <m/>
    <m/>
  </r>
  <r>
    <s v="REMUNERACOES"/>
    <x v="21"/>
    <x v="8"/>
    <n v="238023.76"/>
    <s v="0000000127"/>
    <s v="0162"/>
    <d v="2022-01-01T00:00:00"/>
    <s v="320101"/>
    <s v="304"/>
    <s v="11"/>
    <s v="Credito"/>
    <x v="2"/>
    <x v="216"/>
    <m/>
    <s v="000252"/>
    <s v="000132"/>
    <n v="238023.76"/>
    <s v="0,00"/>
    <s v="0,00"/>
    <s v="0,00"/>
    <s v="0,00"/>
    <s v="ORC2022_2"/>
    <s v="0012"/>
    <m/>
    <m/>
    <m/>
    <m/>
    <m/>
  </r>
  <r>
    <s v="REMUNERACOES"/>
    <x v="21"/>
    <x v="8"/>
    <n v="6970.08"/>
    <s v="0000000127"/>
    <s v="0163"/>
    <d v="2022-01-01T00:00:00"/>
    <s v="320101"/>
    <s v="305"/>
    <s v="11"/>
    <s v="Credito"/>
    <x v="2"/>
    <x v="216"/>
    <m/>
    <s v="000252"/>
    <s v="000132"/>
    <n v="6970.08"/>
    <s v="0,00"/>
    <s v="0,00"/>
    <s v="0,00"/>
    <s v="0,00"/>
    <s v="ORC2022_2"/>
    <s v="0012"/>
    <m/>
    <m/>
    <m/>
    <m/>
    <m/>
  </r>
  <r>
    <s v="REMUNERACOES"/>
    <x v="21"/>
    <x v="8"/>
    <n v="85637.36"/>
    <s v="0000000127"/>
    <s v="0164"/>
    <d v="2022-01-01T00:00:00"/>
    <s v="320101"/>
    <s v="301"/>
    <s v="21"/>
    <s v="Credito"/>
    <x v="2"/>
    <x v="216"/>
    <m/>
    <s v="000252"/>
    <s v="000132"/>
    <n v="85637.36"/>
    <s v="0,00"/>
    <s v="0,00"/>
    <s v="0,00"/>
    <s v="0,00"/>
    <s v="ORC2022_2"/>
    <s v="0012"/>
    <m/>
    <m/>
    <m/>
    <m/>
    <m/>
  </r>
  <r>
    <s v="REMUNERACOES"/>
    <x v="21"/>
    <x v="8"/>
    <n v="276289.15000000002"/>
    <s v="0000000127"/>
    <s v="0165"/>
    <d v="2022-01-01T00:00:00"/>
    <s v="320101"/>
    <s v="303"/>
    <s v="21"/>
    <s v="Credito"/>
    <x v="2"/>
    <x v="216"/>
    <m/>
    <s v="000252"/>
    <s v="000132"/>
    <n v="276289.15000000002"/>
    <s v="0,00"/>
    <s v="0,00"/>
    <s v="0,00"/>
    <s v="0,00"/>
    <s v="ORC2022_2"/>
    <s v="0012"/>
    <m/>
    <m/>
    <m/>
    <m/>
    <m/>
  </r>
  <r>
    <s v="REMUNERACOES"/>
    <x v="21"/>
    <x v="8"/>
    <n v="1402405.57"/>
    <s v="0000000127"/>
    <s v="0166"/>
    <d v="2022-01-01T00:00:00"/>
    <s v="320101"/>
    <s v="305"/>
    <s v="21"/>
    <s v="Credito"/>
    <x v="2"/>
    <x v="216"/>
    <m/>
    <s v="000252"/>
    <s v="000132"/>
    <n v="1402405.57"/>
    <s v="0,00"/>
    <s v="0,00"/>
    <s v="0,00"/>
    <s v="0,00"/>
    <s v="ORC2022_2"/>
    <s v="0012"/>
    <m/>
    <m/>
    <m/>
    <m/>
    <m/>
  </r>
  <r>
    <s v="REMUNERACOES"/>
    <x v="21"/>
    <x v="8"/>
    <n v="20718.490000000002"/>
    <s v="0000000127"/>
    <s v="0167"/>
    <d v="2022-01-01T00:00:00"/>
    <s v="320101"/>
    <s v="301"/>
    <s v="32"/>
    <s v="Credito"/>
    <x v="2"/>
    <x v="216"/>
    <m/>
    <s v="000252"/>
    <s v="000132"/>
    <n v="20718.490000000002"/>
    <s v="0,00"/>
    <s v="0,00"/>
    <s v="0,00"/>
    <s v="0,00"/>
    <s v="ORC2022_2"/>
    <s v="0012"/>
    <m/>
    <m/>
    <m/>
    <m/>
    <m/>
  </r>
  <r>
    <s v="REMUNERACOES"/>
    <x v="21"/>
    <x v="8"/>
    <n v="104045.29"/>
    <s v="0000000127"/>
    <s v="0168"/>
    <d v="2022-01-01T00:00:00"/>
    <s v="320101"/>
    <s v="305"/>
    <s v="32"/>
    <s v="Credito"/>
    <x v="2"/>
    <x v="216"/>
    <m/>
    <s v="000252"/>
    <s v="000132"/>
    <n v="104045.29"/>
    <s v="0,00"/>
    <s v="0,00"/>
    <s v="0,00"/>
    <s v="0,00"/>
    <s v="ORC2022_2"/>
    <s v="0012"/>
    <m/>
    <m/>
    <m/>
    <m/>
    <m/>
  </r>
  <r>
    <s v="REMUNERACOES"/>
    <x v="21"/>
    <x v="8"/>
    <n v="23495.59"/>
    <s v="0000000127"/>
    <s v="0169"/>
    <d v="2022-01-01T00:00:00"/>
    <s v="320101"/>
    <s v="306"/>
    <s v="33"/>
    <s v="Credito"/>
    <x v="2"/>
    <x v="216"/>
    <m/>
    <s v="000252"/>
    <s v="000132"/>
    <n v="23495.59"/>
    <s v="0,00"/>
    <s v="0,00"/>
    <s v="0,00"/>
    <s v="0,00"/>
    <s v="ORC2022_2"/>
    <s v="0012"/>
    <m/>
    <m/>
    <m/>
    <m/>
    <m/>
  </r>
  <r>
    <s v="REMUNERACOES"/>
    <x v="21"/>
    <x v="8"/>
    <n v="8"/>
    <s v="0000000127"/>
    <s v="0170"/>
    <d v="2022-01-01T00:00:00"/>
    <s v="320101"/>
    <s v="201"/>
    <s v="90"/>
    <s v="Credito"/>
    <x v="2"/>
    <x v="216"/>
    <m/>
    <s v="000252"/>
    <s v="000132"/>
    <n v="8"/>
    <s v="0,00"/>
    <s v="0,00"/>
    <s v="0,00"/>
    <s v="0,00"/>
    <s v="ORC2022_2"/>
    <s v="0012"/>
    <m/>
    <m/>
    <m/>
    <m/>
    <m/>
  </r>
  <r>
    <s v="REMUNERACOES"/>
    <x v="21"/>
    <x v="8"/>
    <n v="60952.72"/>
    <s v="0000000127"/>
    <s v="0171"/>
    <d v="2022-01-01T00:00:00"/>
    <s v="320101"/>
    <s v="301"/>
    <s v="90"/>
    <s v="Credito"/>
    <x v="2"/>
    <x v="216"/>
    <m/>
    <s v="000252"/>
    <s v="000132"/>
    <n v="60952.72"/>
    <s v="0,00"/>
    <s v="0,00"/>
    <s v="0,00"/>
    <s v="0,00"/>
    <s v="ORC2022_2"/>
    <s v="0012"/>
    <m/>
    <m/>
    <m/>
    <m/>
    <m/>
  </r>
  <r>
    <s v="REMUNERACOES"/>
    <x v="21"/>
    <x v="9"/>
    <n v="961.33"/>
    <s v="0000000127"/>
    <s v="0172"/>
    <d v="2022-02-01T00:00:00"/>
    <s v="320101"/>
    <s v="301"/>
    <s v="11"/>
    <s v="Credito"/>
    <x v="2"/>
    <x v="216"/>
    <m/>
    <s v="000252"/>
    <s v="000132"/>
    <n v="961.33"/>
    <s v="0,00"/>
    <s v="0,00"/>
    <s v="0,00"/>
    <s v="0,00"/>
    <s v="ORC2022_2"/>
    <s v="0012"/>
    <m/>
    <m/>
    <m/>
    <m/>
    <m/>
  </r>
  <r>
    <s v="REMUNERACOES"/>
    <x v="21"/>
    <x v="9"/>
    <n v="73512.259999999995"/>
    <s v="0000000127"/>
    <s v="0173"/>
    <d v="2022-02-01T00:00:00"/>
    <s v="320101"/>
    <s v="302"/>
    <s v="11"/>
    <s v="Credito"/>
    <x v="2"/>
    <x v="216"/>
    <m/>
    <s v="000252"/>
    <s v="000132"/>
    <n v="73512.259999999995"/>
    <s v="0,00"/>
    <s v="0,00"/>
    <s v="0,00"/>
    <s v="0,00"/>
    <s v="ORC2022_2"/>
    <s v="0012"/>
    <m/>
    <m/>
    <m/>
    <m/>
    <m/>
  </r>
  <r>
    <s v="REMUNERACOES"/>
    <x v="21"/>
    <x v="9"/>
    <n v="231340"/>
    <s v="0000000127"/>
    <s v="0174"/>
    <d v="2022-02-01T00:00:00"/>
    <s v="320101"/>
    <s v="304"/>
    <s v="11"/>
    <s v="Credito"/>
    <x v="2"/>
    <x v="216"/>
    <m/>
    <s v="000252"/>
    <s v="000132"/>
    <n v="231340"/>
    <s v="0,00"/>
    <s v="0,00"/>
    <s v="0,00"/>
    <s v="0,00"/>
    <s v="ORC2022_2"/>
    <s v="0012"/>
    <m/>
    <m/>
    <m/>
    <m/>
    <m/>
  </r>
  <r>
    <s v="REMUNERACOES"/>
    <x v="21"/>
    <x v="9"/>
    <n v="4416.32"/>
    <s v="0000000127"/>
    <s v="0175"/>
    <d v="2022-02-01T00:00:00"/>
    <s v="320101"/>
    <s v="305"/>
    <s v="11"/>
    <s v="Credito"/>
    <x v="2"/>
    <x v="216"/>
    <m/>
    <s v="000252"/>
    <s v="000132"/>
    <n v="4416.32"/>
    <s v="0,00"/>
    <s v="0,00"/>
    <s v="0,00"/>
    <s v="0,00"/>
    <s v="ORC2022_2"/>
    <s v="0012"/>
    <m/>
    <m/>
    <m/>
    <m/>
    <m/>
  </r>
  <r>
    <s v="REMUNERACOES"/>
    <x v="21"/>
    <x v="9"/>
    <n v="37436.080000000002"/>
    <s v="0000000127"/>
    <s v="0176"/>
    <d v="2022-02-01T00:00:00"/>
    <s v="320101"/>
    <s v="301"/>
    <s v="21"/>
    <s v="Credito"/>
    <x v="2"/>
    <x v="216"/>
    <m/>
    <s v="000252"/>
    <s v="000132"/>
    <n v="37436.080000000002"/>
    <s v="0,00"/>
    <s v="0,00"/>
    <s v="0,00"/>
    <s v="0,00"/>
    <s v="ORC2022_2"/>
    <s v="0012"/>
    <m/>
    <m/>
    <m/>
    <m/>
    <m/>
  </r>
  <r>
    <s v="REMUNERACOES"/>
    <x v="21"/>
    <x v="9"/>
    <n v="138841.44"/>
    <s v="0000000127"/>
    <s v="0177"/>
    <d v="2022-02-01T00:00:00"/>
    <s v="320101"/>
    <s v="303"/>
    <s v="21"/>
    <s v="Credito"/>
    <x v="2"/>
    <x v="216"/>
    <m/>
    <s v="000252"/>
    <s v="000132"/>
    <n v="138841.44"/>
    <s v="0,00"/>
    <s v="0,00"/>
    <s v="0,00"/>
    <s v="0,00"/>
    <s v="ORC2022_2"/>
    <s v="0012"/>
    <m/>
    <m/>
    <m/>
    <m/>
    <m/>
  </r>
  <r>
    <s v="REMUNERACOES"/>
    <x v="21"/>
    <x v="9"/>
    <n v="716118.26"/>
    <s v="0000000127"/>
    <s v="0178"/>
    <d v="2022-02-01T00:00:00"/>
    <s v="320101"/>
    <s v="305"/>
    <s v="21"/>
    <s v="Credito"/>
    <x v="2"/>
    <x v="216"/>
    <m/>
    <s v="000252"/>
    <s v="000132"/>
    <n v="716118.26"/>
    <s v="0,00"/>
    <s v="0,00"/>
    <s v="0,00"/>
    <s v="0,00"/>
    <s v="ORC2022_2"/>
    <s v="0012"/>
    <m/>
    <m/>
    <m/>
    <m/>
    <m/>
  </r>
  <r>
    <s v="REMUNERACOES"/>
    <x v="21"/>
    <x v="9"/>
    <n v="11054.3"/>
    <s v="0000000127"/>
    <s v="0179"/>
    <d v="2022-02-01T00:00:00"/>
    <s v="320101"/>
    <s v="301"/>
    <s v="32"/>
    <s v="Credito"/>
    <x v="2"/>
    <x v="216"/>
    <m/>
    <s v="000252"/>
    <s v="000132"/>
    <n v="11054.3"/>
    <s v="0,00"/>
    <s v="0,00"/>
    <s v="0,00"/>
    <s v="0,00"/>
    <s v="ORC2022_2"/>
    <s v="0012"/>
    <m/>
    <m/>
    <m/>
    <m/>
    <m/>
  </r>
  <r>
    <s v="REMUNERACOES"/>
    <x v="21"/>
    <x v="9"/>
    <n v="49795.93"/>
    <s v="0000000127"/>
    <s v="0180"/>
    <d v="2022-02-01T00:00:00"/>
    <s v="320101"/>
    <s v="305"/>
    <s v="32"/>
    <s v="Credito"/>
    <x v="2"/>
    <x v="216"/>
    <m/>
    <s v="000252"/>
    <s v="000132"/>
    <n v="49795.93"/>
    <s v="0,00"/>
    <s v="0,00"/>
    <s v="0,00"/>
    <s v="0,00"/>
    <s v="ORC2022_2"/>
    <s v="0012"/>
    <m/>
    <m/>
    <m/>
    <m/>
    <m/>
  </r>
  <r>
    <s v="REMUNERACOES"/>
    <x v="21"/>
    <x v="9"/>
    <n v="23696.29"/>
    <s v="0000000127"/>
    <s v="0181"/>
    <d v="2022-02-01T00:00:00"/>
    <s v="320101"/>
    <s v="306"/>
    <s v="33"/>
    <s v="Credito"/>
    <x v="2"/>
    <x v="216"/>
    <m/>
    <s v="000252"/>
    <s v="000132"/>
    <n v="23696.29"/>
    <s v="0,00"/>
    <s v="0,00"/>
    <s v="0,00"/>
    <s v="0,00"/>
    <s v="ORC2022_2"/>
    <s v="0012"/>
    <m/>
    <m/>
    <m/>
    <m/>
    <m/>
  </r>
  <r>
    <s v="REMUNERACOES"/>
    <x v="21"/>
    <x v="9"/>
    <n v="58194.9"/>
    <s v="0000000127"/>
    <s v="0182"/>
    <d v="2022-02-01T00:00:00"/>
    <s v="320101"/>
    <s v="301"/>
    <s v="90"/>
    <s v="Credito"/>
    <x v="2"/>
    <x v="216"/>
    <m/>
    <s v="000252"/>
    <s v="000132"/>
    <n v="58194.9"/>
    <s v="0,00"/>
    <s v="0,00"/>
    <s v="0,00"/>
    <s v="0,00"/>
    <s v="ORC2022_2"/>
    <s v="0012"/>
    <m/>
    <m/>
    <m/>
    <m/>
    <m/>
  </r>
  <r>
    <s v="REMUNERACOES"/>
    <x v="21"/>
    <x v="10"/>
    <n v="957.12"/>
    <s v="0000000127"/>
    <s v="0183"/>
    <d v="2022-03-01T00:00:00"/>
    <s v="320101"/>
    <s v="301"/>
    <s v="11"/>
    <s v="Credito"/>
    <x v="2"/>
    <x v="216"/>
    <m/>
    <s v="000252"/>
    <s v="000132"/>
    <n v="957.12"/>
    <s v="0,00"/>
    <s v="0,00"/>
    <s v="0,00"/>
    <s v="0,00"/>
    <s v="ORC2022_2"/>
    <s v="0012"/>
    <m/>
    <m/>
    <m/>
    <m/>
    <m/>
  </r>
  <r>
    <s v="REMUNERACOES"/>
    <x v="21"/>
    <x v="10"/>
    <n v="68672.210000000006"/>
    <s v="0000000127"/>
    <s v="0184"/>
    <d v="2022-03-01T00:00:00"/>
    <s v="320101"/>
    <s v="302"/>
    <s v="11"/>
    <s v="Credito"/>
    <x v="2"/>
    <x v="216"/>
    <m/>
    <s v="000252"/>
    <s v="000132"/>
    <n v="68672.210000000006"/>
    <s v="0,00"/>
    <s v="0,00"/>
    <s v="0,00"/>
    <s v="0,00"/>
    <s v="ORC2022_2"/>
    <s v="0012"/>
    <m/>
    <m/>
    <m/>
    <m/>
    <m/>
  </r>
  <r>
    <s v="REMUNERACOES"/>
    <x v="21"/>
    <x v="10"/>
    <n v="146757.98000000001"/>
    <s v="0000000127"/>
    <s v="0185"/>
    <d v="2022-03-01T00:00:00"/>
    <s v="320101"/>
    <s v="304"/>
    <s v="11"/>
    <s v="Credito"/>
    <x v="2"/>
    <x v="216"/>
    <m/>
    <s v="000252"/>
    <s v="000132"/>
    <n v="146757.98000000001"/>
    <s v="0,00"/>
    <s v="0,00"/>
    <s v="0,00"/>
    <s v="0,00"/>
    <s v="ORC2022_2"/>
    <s v="0012"/>
    <m/>
    <m/>
    <m/>
    <m/>
    <m/>
  </r>
  <r>
    <s v="REMUNERACOES"/>
    <x v="21"/>
    <x v="10"/>
    <n v="4386.43"/>
    <s v="0000000127"/>
    <s v="0186"/>
    <d v="2022-03-01T00:00:00"/>
    <s v="320101"/>
    <s v="305"/>
    <s v="11"/>
    <s v="Credito"/>
    <x v="2"/>
    <x v="216"/>
    <m/>
    <s v="000252"/>
    <s v="000132"/>
    <n v="4386.43"/>
    <s v="0,00"/>
    <s v="0,00"/>
    <s v="0,00"/>
    <s v="0,00"/>
    <s v="ORC2022_2"/>
    <s v="0012"/>
    <m/>
    <m/>
    <m/>
    <m/>
    <m/>
  </r>
  <r>
    <s v="REMUNERACOES"/>
    <x v="21"/>
    <x v="10"/>
    <n v="38166.53"/>
    <s v="0000000127"/>
    <s v="0187"/>
    <d v="2022-03-01T00:00:00"/>
    <s v="320101"/>
    <s v="301"/>
    <s v="21"/>
    <s v="Credito"/>
    <x v="2"/>
    <x v="216"/>
    <m/>
    <s v="000252"/>
    <s v="000132"/>
    <n v="38166.53"/>
    <s v="0,00"/>
    <s v="0,00"/>
    <s v="0,00"/>
    <s v="0,00"/>
    <s v="ORC2022_2"/>
    <s v="0012"/>
    <m/>
    <m/>
    <m/>
    <m/>
    <m/>
  </r>
  <r>
    <s v="REMUNERACOES"/>
    <x v="21"/>
    <x v="10"/>
    <n v="184445"/>
    <s v="0000000127"/>
    <s v="0188"/>
    <d v="2022-03-01T00:00:00"/>
    <s v="320101"/>
    <s v="303"/>
    <s v="21"/>
    <s v="Credito"/>
    <x v="2"/>
    <x v="216"/>
    <m/>
    <s v="000252"/>
    <s v="000132"/>
    <n v="184445"/>
    <s v="0,00"/>
    <s v="0,00"/>
    <s v="0,00"/>
    <s v="0,00"/>
    <s v="ORC2022_2"/>
    <s v="0012"/>
    <m/>
    <m/>
    <m/>
    <m/>
    <m/>
  </r>
  <r>
    <s v="REMUNERACOES"/>
    <x v="21"/>
    <x v="10"/>
    <n v="770813.02"/>
    <s v="0000000127"/>
    <s v="0189"/>
    <d v="2022-03-01T00:00:00"/>
    <s v="320101"/>
    <s v="305"/>
    <s v="21"/>
    <s v="Credito"/>
    <x v="2"/>
    <x v="216"/>
    <m/>
    <s v="000252"/>
    <s v="000132"/>
    <n v="770813.02"/>
    <s v="0,00"/>
    <s v="0,00"/>
    <s v="0,00"/>
    <s v="0,00"/>
    <s v="ORC2022_2"/>
    <s v="0012"/>
    <m/>
    <m/>
    <m/>
    <m/>
    <m/>
  </r>
  <r>
    <s v="REMUNERACOES"/>
    <x v="21"/>
    <x v="10"/>
    <n v="10400.35"/>
    <s v="0000000127"/>
    <s v="0190"/>
    <d v="2022-03-01T00:00:00"/>
    <s v="320101"/>
    <s v="301"/>
    <s v="32"/>
    <s v="Credito"/>
    <x v="2"/>
    <x v="216"/>
    <m/>
    <s v="000252"/>
    <s v="000132"/>
    <n v="10400.35"/>
    <s v="0,00"/>
    <s v="0,00"/>
    <s v="0,00"/>
    <s v="0,00"/>
    <s v="ORC2022_2"/>
    <s v="0012"/>
    <m/>
    <m/>
    <m/>
    <m/>
    <m/>
  </r>
  <r>
    <s v="REMUNERACOES"/>
    <x v="21"/>
    <x v="10"/>
    <n v="53070.83"/>
    <s v="0000000127"/>
    <s v="0191"/>
    <d v="2022-03-01T00:00:00"/>
    <s v="320101"/>
    <s v="305"/>
    <s v="32"/>
    <s v="Credito"/>
    <x v="2"/>
    <x v="216"/>
    <m/>
    <s v="000252"/>
    <s v="000132"/>
    <n v="53070.83"/>
    <s v="0,00"/>
    <s v="0,00"/>
    <s v="0,00"/>
    <s v="0,00"/>
    <s v="ORC2022_2"/>
    <s v="0012"/>
    <m/>
    <m/>
    <m/>
    <m/>
    <m/>
  </r>
  <r>
    <s v="REMUNERACOES"/>
    <x v="21"/>
    <x v="10"/>
    <n v="23552.12"/>
    <s v="0000000127"/>
    <s v="0192"/>
    <d v="2022-03-01T00:00:00"/>
    <s v="320101"/>
    <s v="306"/>
    <s v="33"/>
    <s v="Credito"/>
    <x v="2"/>
    <x v="216"/>
    <m/>
    <s v="000252"/>
    <s v="000132"/>
    <n v="23552.12"/>
    <s v="0,00"/>
    <s v="0,00"/>
    <s v="0,00"/>
    <s v="0,00"/>
    <s v="ORC2022_2"/>
    <s v="0012"/>
    <m/>
    <m/>
    <m/>
    <m/>
    <m/>
  </r>
  <r>
    <s v="REMUNERACOES"/>
    <x v="21"/>
    <x v="10"/>
    <n v="61547.34"/>
    <s v="0000000127"/>
    <s v="0193"/>
    <d v="2022-03-01T00:00:00"/>
    <s v="320101"/>
    <s v="301"/>
    <s v="90"/>
    <s v="Credito"/>
    <x v="2"/>
    <x v="216"/>
    <m/>
    <s v="000252"/>
    <s v="000132"/>
    <n v="61547.34"/>
    <s v="0,00"/>
    <s v="0,00"/>
    <s v="0,00"/>
    <s v="0,00"/>
    <s v="ORC2022_2"/>
    <s v="0012"/>
    <m/>
    <m/>
    <m/>
    <m/>
    <m/>
  </r>
  <r>
    <s v="REMUNERACOES"/>
    <x v="21"/>
    <x v="11"/>
    <n v="987.55"/>
    <s v="0000000127"/>
    <s v="0194"/>
    <d v="2022-04-01T00:00:00"/>
    <s v="320101"/>
    <s v="301"/>
    <s v="11"/>
    <s v="Credito"/>
    <x v="2"/>
    <x v="216"/>
    <m/>
    <s v="000252"/>
    <s v="000132"/>
    <n v="987.55"/>
    <s v="0,00"/>
    <s v="0,00"/>
    <s v="0,00"/>
    <s v="0,00"/>
    <s v="ORC2022_2"/>
    <s v="0012"/>
    <m/>
    <m/>
    <m/>
    <m/>
    <m/>
  </r>
  <r>
    <s v="REMUNERACOES"/>
    <x v="21"/>
    <x v="11"/>
    <n v="59554.68"/>
    <s v="0000000127"/>
    <s v="0195"/>
    <d v="2022-04-01T00:00:00"/>
    <s v="320101"/>
    <s v="302"/>
    <s v="11"/>
    <s v="Credito"/>
    <x v="2"/>
    <x v="216"/>
    <m/>
    <s v="000252"/>
    <s v="000132"/>
    <n v="59554.68"/>
    <s v="0,00"/>
    <s v="0,00"/>
    <s v="0,00"/>
    <s v="0,00"/>
    <s v="ORC2022_2"/>
    <s v="0012"/>
    <m/>
    <m/>
    <m/>
    <m/>
    <m/>
  </r>
  <r>
    <s v="REMUNERACOES"/>
    <x v="21"/>
    <x v="11"/>
    <n v="111154.73"/>
    <s v="0000000127"/>
    <s v="0196"/>
    <d v="2022-04-01T00:00:00"/>
    <s v="320101"/>
    <s v="304"/>
    <s v="11"/>
    <s v="Credito"/>
    <x v="2"/>
    <x v="216"/>
    <m/>
    <s v="000252"/>
    <s v="000132"/>
    <n v="111154.73"/>
    <s v="0,00"/>
    <s v="0,00"/>
    <s v="0,00"/>
    <s v="0,00"/>
    <s v="ORC2022_2"/>
    <s v="0012"/>
    <m/>
    <m/>
    <m/>
    <m/>
    <m/>
  </r>
  <r>
    <s v="REMUNERACOES"/>
    <x v="21"/>
    <x v="11"/>
    <n v="5372.8"/>
    <s v="0000000127"/>
    <s v="0197"/>
    <d v="2022-04-01T00:00:00"/>
    <s v="320101"/>
    <s v="305"/>
    <s v="11"/>
    <s v="Credito"/>
    <x v="2"/>
    <x v="216"/>
    <m/>
    <s v="000252"/>
    <s v="000132"/>
    <n v="5372.8"/>
    <s v="0,00"/>
    <s v="0,00"/>
    <s v="0,00"/>
    <s v="0,00"/>
    <s v="ORC2022_2"/>
    <s v="0012"/>
    <m/>
    <m/>
    <m/>
    <m/>
    <m/>
  </r>
  <r>
    <s v="REMUNERACOES"/>
    <x v="21"/>
    <x v="11"/>
    <n v="76740.7"/>
    <s v="0000000127"/>
    <s v="0198"/>
    <d v="2022-04-01T00:00:00"/>
    <s v="320101"/>
    <s v="301"/>
    <s v="21"/>
    <s v="Credito"/>
    <x v="2"/>
    <x v="216"/>
    <m/>
    <s v="000252"/>
    <s v="000132"/>
    <n v="76740.7"/>
    <s v="0,00"/>
    <s v="0,00"/>
    <s v="0,00"/>
    <s v="0,00"/>
    <s v="ORC2022_2"/>
    <s v="0012"/>
    <m/>
    <m/>
    <m/>
    <m/>
    <m/>
  </r>
  <r>
    <s v="REMUNERACOES"/>
    <x v="21"/>
    <x v="11"/>
    <n v="259052.4"/>
    <s v="0000000127"/>
    <s v="0199"/>
    <d v="2022-04-01T00:00:00"/>
    <s v="320101"/>
    <s v="303"/>
    <s v="21"/>
    <s v="Credito"/>
    <x v="2"/>
    <x v="216"/>
    <m/>
    <s v="000252"/>
    <s v="000132"/>
    <n v="259052.4"/>
    <s v="0,00"/>
    <s v="0,00"/>
    <s v="0,00"/>
    <s v="0,00"/>
    <s v="ORC2022_2"/>
    <s v="0012"/>
    <m/>
    <m/>
    <m/>
    <m/>
    <m/>
  </r>
  <r>
    <s v="REMUNERACOES"/>
    <x v="21"/>
    <x v="11"/>
    <n v="914800.77"/>
    <s v="0000000127"/>
    <s v="0200"/>
    <d v="2022-04-01T00:00:00"/>
    <s v="320101"/>
    <s v="305"/>
    <s v="21"/>
    <s v="Credito"/>
    <x v="2"/>
    <x v="216"/>
    <m/>
    <s v="000252"/>
    <s v="000132"/>
    <n v="914800.77"/>
    <s v="0,00"/>
    <s v="0,00"/>
    <s v="0,00"/>
    <s v="0,00"/>
    <s v="ORC2022_2"/>
    <s v="0012"/>
    <m/>
    <m/>
    <m/>
    <m/>
    <m/>
  </r>
  <r>
    <s v="REMUNERACOES"/>
    <x v="21"/>
    <x v="11"/>
    <n v="13971.55"/>
    <s v="0000000127"/>
    <s v="0201"/>
    <d v="2022-04-01T00:00:00"/>
    <s v="320101"/>
    <s v="301"/>
    <s v="32"/>
    <s v="Credito"/>
    <x v="2"/>
    <x v="216"/>
    <m/>
    <s v="000252"/>
    <s v="000132"/>
    <n v="13971.55"/>
    <s v="0,00"/>
    <s v="0,00"/>
    <s v="0,00"/>
    <s v="0,00"/>
    <s v="ORC2022_2"/>
    <s v="0012"/>
    <m/>
    <m/>
    <m/>
    <m/>
    <m/>
  </r>
  <r>
    <s v="REMUNERACOES"/>
    <x v="21"/>
    <x v="11"/>
    <n v="51065.77"/>
    <s v="0000000127"/>
    <s v="0202"/>
    <d v="2022-04-01T00:00:00"/>
    <s v="320101"/>
    <s v="305"/>
    <s v="32"/>
    <s v="Credito"/>
    <x v="2"/>
    <x v="216"/>
    <m/>
    <s v="000252"/>
    <s v="000132"/>
    <n v="51065.77"/>
    <s v="0,00"/>
    <s v="0,00"/>
    <s v="0,00"/>
    <s v="0,00"/>
    <s v="ORC2022_2"/>
    <s v="0012"/>
    <m/>
    <m/>
    <m/>
    <m/>
    <m/>
  </r>
  <r>
    <s v="REMUNERACOES"/>
    <x v="21"/>
    <x v="11"/>
    <n v="28567.91"/>
    <s v="0000000127"/>
    <s v="0203"/>
    <d v="2022-04-01T00:00:00"/>
    <s v="320101"/>
    <s v="306"/>
    <s v="33"/>
    <s v="Credito"/>
    <x v="2"/>
    <x v="216"/>
    <m/>
    <s v="000252"/>
    <s v="000132"/>
    <n v="28567.91"/>
    <s v="0,00"/>
    <s v="0,00"/>
    <s v="0,00"/>
    <s v="0,00"/>
    <s v="ORC2022_2"/>
    <s v="0012"/>
    <m/>
    <m/>
    <m/>
    <m/>
    <m/>
  </r>
  <r>
    <s v="REMUNERACOES"/>
    <x v="21"/>
    <x v="11"/>
    <n v="88794.31"/>
    <s v="0000000127"/>
    <s v="0204"/>
    <d v="2022-04-01T00:00:00"/>
    <s v="320101"/>
    <s v="301"/>
    <s v="90"/>
    <s v="Credito"/>
    <x v="2"/>
    <x v="216"/>
    <m/>
    <s v="000252"/>
    <s v="000132"/>
    <n v="88794.31"/>
    <s v="0,00"/>
    <s v="0,00"/>
    <s v="0,00"/>
    <s v="0,00"/>
    <s v="ORC2022_2"/>
    <s v="0012"/>
    <m/>
    <m/>
    <m/>
    <m/>
    <m/>
  </r>
  <r>
    <s v="REMUNERACOES"/>
    <x v="21"/>
    <x v="12"/>
    <n v="5168.83"/>
    <s v="0000000127"/>
    <s v="0205"/>
    <d v="2022-05-01T00:00:00"/>
    <s v="320101"/>
    <s v="301"/>
    <s v="11"/>
    <s v="Credito"/>
    <x v="2"/>
    <x v="216"/>
    <m/>
    <s v="000252"/>
    <s v="000132"/>
    <n v="5168.83"/>
    <s v="0,00"/>
    <s v="0,00"/>
    <s v="0,00"/>
    <s v="0,00"/>
    <s v="ORC2022_2"/>
    <s v="0012"/>
    <m/>
    <m/>
    <m/>
    <m/>
    <m/>
  </r>
  <r>
    <s v="REMUNERACOES"/>
    <x v="21"/>
    <x v="12"/>
    <n v="62881.67"/>
    <s v="0000000127"/>
    <s v="0206"/>
    <d v="2022-05-01T00:00:00"/>
    <s v="320101"/>
    <s v="302"/>
    <s v="11"/>
    <s v="Credito"/>
    <x v="2"/>
    <x v="216"/>
    <m/>
    <s v="000252"/>
    <s v="000132"/>
    <n v="62881.67"/>
    <s v="0,00"/>
    <s v="0,00"/>
    <s v="0,00"/>
    <s v="0,00"/>
    <s v="ORC2022_2"/>
    <s v="0012"/>
    <m/>
    <m/>
    <m/>
    <m/>
    <m/>
  </r>
  <r>
    <s v="REMUNERACOES"/>
    <x v="21"/>
    <x v="12"/>
    <n v="107405.26"/>
    <s v="0000000127"/>
    <s v="0207"/>
    <d v="2022-05-01T00:00:00"/>
    <s v="320101"/>
    <s v="304"/>
    <s v="11"/>
    <s v="Credito"/>
    <x v="2"/>
    <x v="216"/>
    <m/>
    <s v="000252"/>
    <s v="000132"/>
    <n v="107405.26"/>
    <s v="0,00"/>
    <s v="0,00"/>
    <s v="0,00"/>
    <s v="0,00"/>
    <s v="ORC2022_2"/>
    <s v="0012"/>
    <m/>
    <m/>
    <m/>
    <m/>
    <m/>
  </r>
  <r>
    <s v="REMUNERACOES"/>
    <x v="21"/>
    <x v="12"/>
    <n v="3310.85"/>
    <s v="0000000127"/>
    <s v="0208"/>
    <d v="2022-05-01T00:00:00"/>
    <s v="320101"/>
    <s v="305"/>
    <s v="11"/>
    <s v="Credito"/>
    <x v="2"/>
    <x v="216"/>
    <m/>
    <s v="000252"/>
    <s v="000132"/>
    <n v="3310.85"/>
    <s v="0,00"/>
    <s v="0,00"/>
    <s v="0,00"/>
    <s v="0,00"/>
    <s v="ORC2022_2"/>
    <s v="0012"/>
    <m/>
    <m/>
    <m/>
    <m/>
    <m/>
  </r>
  <r>
    <s v="REMUNERACOES"/>
    <x v="21"/>
    <x v="12"/>
    <n v="38335.620000000003"/>
    <s v="0000000127"/>
    <s v="0209"/>
    <d v="2022-05-01T00:00:00"/>
    <s v="320101"/>
    <s v="301"/>
    <s v="21"/>
    <s v="Credito"/>
    <x v="2"/>
    <x v="216"/>
    <m/>
    <s v="000252"/>
    <s v="000132"/>
    <n v="38335.620000000003"/>
    <s v="0,00"/>
    <s v="0,00"/>
    <s v="0,00"/>
    <s v="0,00"/>
    <s v="ORC2022_2"/>
    <s v="0012"/>
    <m/>
    <m/>
    <m/>
    <m/>
    <m/>
  </r>
  <r>
    <s v="REMUNERACOES"/>
    <x v="21"/>
    <x v="12"/>
    <n v="192924.65"/>
    <s v="0000000127"/>
    <s v="0210"/>
    <d v="2022-05-01T00:00:00"/>
    <s v="320101"/>
    <s v="303"/>
    <s v="21"/>
    <s v="Credito"/>
    <x v="2"/>
    <x v="216"/>
    <m/>
    <s v="000252"/>
    <s v="000132"/>
    <n v="192924.65"/>
    <s v="0,00"/>
    <s v="0,00"/>
    <s v="0,00"/>
    <s v="0,00"/>
    <s v="ORC2022_2"/>
    <s v="0012"/>
    <m/>
    <m/>
    <m/>
    <m/>
    <m/>
  </r>
  <r>
    <s v="REMUNERACOES"/>
    <x v="21"/>
    <x v="12"/>
    <n v="779185.18"/>
    <s v="0000000127"/>
    <s v="0211"/>
    <d v="2022-05-01T00:00:00"/>
    <s v="320101"/>
    <s v="305"/>
    <s v="21"/>
    <s v="Credito"/>
    <x v="2"/>
    <x v="216"/>
    <m/>
    <s v="000252"/>
    <s v="000132"/>
    <n v="779185.18"/>
    <s v="0,00"/>
    <s v="0,00"/>
    <s v="0,00"/>
    <s v="0,00"/>
    <s v="ORC2022_2"/>
    <s v="0012"/>
    <m/>
    <m/>
    <m/>
    <m/>
    <m/>
  </r>
  <r>
    <s v="REMUNERACOES"/>
    <x v="21"/>
    <x v="12"/>
    <n v="11938.25"/>
    <s v="0000000127"/>
    <s v="0212"/>
    <d v="2022-05-01T00:00:00"/>
    <s v="320101"/>
    <s v="301"/>
    <s v="32"/>
    <s v="Credito"/>
    <x v="2"/>
    <x v="216"/>
    <m/>
    <s v="000252"/>
    <s v="000132"/>
    <n v="11938.25"/>
    <s v="0,00"/>
    <s v="0,00"/>
    <s v="0,00"/>
    <s v="0,00"/>
    <s v="ORC2022_2"/>
    <s v="0012"/>
    <m/>
    <m/>
    <m/>
    <m/>
    <m/>
  </r>
  <r>
    <s v="REMUNERACOES"/>
    <x v="21"/>
    <x v="12"/>
    <n v="55491.66"/>
    <s v="0000000127"/>
    <s v="0213"/>
    <d v="2022-05-01T00:00:00"/>
    <s v="320101"/>
    <s v="305"/>
    <s v="32"/>
    <s v="Credito"/>
    <x v="2"/>
    <x v="216"/>
    <m/>
    <s v="000252"/>
    <s v="000132"/>
    <n v="55491.66"/>
    <s v="0,00"/>
    <s v="0,00"/>
    <s v="0,00"/>
    <s v="0,00"/>
    <s v="ORC2022_2"/>
    <s v="0012"/>
    <m/>
    <m/>
    <m/>
    <m/>
    <m/>
  </r>
  <r>
    <s v="REMUNERACOES"/>
    <x v="21"/>
    <x v="12"/>
    <n v="23958.3"/>
    <s v="0000000127"/>
    <s v="0214"/>
    <d v="2022-05-01T00:00:00"/>
    <s v="320101"/>
    <s v="306"/>
    <s v="33"/>
    <s v="Credito"/>
    <x v="2"/>
    <x v="216"/>
    <m/>
    <s v="000252"/>
    <s v="000132"/>
    <n v="23958.3"/>
    <s v="0,00"/>
    <s v="0,00"/>
    <s v="0,00"/>
    <s v="0,00"/>
    <s v="ORC2022_2"/>
    <s v="0012"/>
    <m/>
    <m/>
    <m/>
    <m/>
    <m/>
  </r>
  <r>
    <s v="REMUNERACOES"/>
    <x v="21"/>
    <x v="12"/>
    <n v="899.92"/>
    <s v="0000000127"/>
    <s v="0215"/>
    <d v="2022-05-01T00:00:00"/>
    <s v="320101"/>
    <s v="209"/>
    <s v="90"/>
    <s v="Credito"/>
    <x v="2"/>
    <x v="216"/>
    <m/>
    <s v="000252"/>
    <s v="000132"/>
    <n v="899.92"/>
    <s v="0,00"/>
    <s v="0,00"/>
    <s v="0,00"/>
    <s v="0,00"/>
    <s v="ORC2022_2"/>
    <s v="0012"/>
    <m/>
    <m/>
    <m/>
    <m/>
    <m/>
  </r>
  <r>
    <s v="REMUNERACOES"/>
    <x v="21"/>
    <x v="12"/>
    <n v="58210.9"/>
    <s v="0000000127"/>
    <s v="0216"/>
    <d v="2022-05-01T00:00:00"/>
    <s v="320101"/>
    <s v="301"/>
    <s v="90"/>
    <s v="Credito"/>
    <x v="2"/>
    <x v="216"/>
    <m/>
    <s v="000252"/>
    <s v="000132"/>
    <n v="58210.9"/>
    <s v="0,00"/>
    <s v="0,00"/>
    <s v="0,00"/>
    <s v="0,00"/>
    <s v="ORC2022_2"/>
    <s v="0012"/>
    <m/>
    <m/>
    <m/>
    <m/>
    <m/>
  </r>
  <r>
    <s v="REMUNERACOES"/>
    <x v="21"/>
    <x v="13"/>
    <n v="1117.77"/>
    <s v="0000000127"/>
    <s v="0217"/>
    <d v="2022-06-01T00:00:00"/>
    <s v="320101"/>
    <s v="301"/>
    <s v="11"/>
    <s v="Credito"/>
    <x v="2"/>
    <x v="216"/>
    <m/>
    <s v="000252"/>
    <s v="000132"/>
    <n v="1117.77"/>
    <s v="0,00"/>
    <s v="0,00"/>
    <s v="0,00"/>
    <s v="0,00"/>
    <s v="ORC2022_2"/>
    <s v="0012"/>
    <m/>
    <m/>
    <m/>
    <m/>
    <m/>
  </r>
  <r>
    <s v="REMUNERACOES"/>
    <x v="21"/>
    <x v="13"/>
    <n v="67181.25"/>
    <s v="0000000127"/>
    <s v="0218"/>
    <d v="2022-06-01T00:00:00"/>
    <s v="320101"/>
    <s v="302"/>
    <s v="11"/>
    <s v="Credito"/>
    <x v="2"/>
    <x v="216"/>
    <m/>
    <s v="000252"/>
    <s v="000132"/>
    <n v="67181.25"/>
    <s v="0,00"/>
    <s v="0,00"/>
    <s v="0,00"/>
    <s v="0,00"/>
    <s v="ORC2022_2"/>
    <s v="0012"/>
    <m/>
    <m/>
    <m/>
    <m/>
    <m/>
  </r>
  <r>
    <s v="REMUNERACOES"/>
    <x v="21"/>
    <x v="13"/>
    <n v="151171.67000000001"/>
    <s v="0000000127"/>
    <s v="0219"/>
    <d v="2022-06-01T00:00:00"/>
    <s v="320101"/>
    <s v="304"/>
    <s v="11"/>
    <s v="Credito"/>
    <x v="2"/>
    <x v="216"/>
    <m/>
    <s v="000252"/>
    <s v="000132"/>
    <n v="151171.67000000001"/>
    <s v="0,00"/>
    <s v="0,00"/>
    <s v="0,00"/>
    <s v="0,00"/>
    <s v="ORC2022_2"/>
    <s v="0012"/>
    <m/>
    <m/>
    <m/>
    <m/>
    <m/>
  </r>
  <r>
    <s v="REMUNERACOES"/>
    <x v="21"/>
    <x v="13"/>
    <n v="46991.33"/>
    <s v="0000000127"/>
    <s v="0220"/>
    <d v="2022-06-01T00:00:00"/>
    <s v="320101"/>
    <s v="301"/>
    <s v="21"/>
    <s v="Credito"/>
    <x v="2"/>
    <x v="216"/>
    <m/>
    <s v="000252"/>
    <s v="000132"/>
    <n v="46991.33"/>
    <s v="0,00"/>
    <s v="0,00"/>
    <s v="0,00"/>
    <s v="0,00"/>
    <s v="ORC2022_2"/>
    <s v="0012"/>
    <m/>
    <m/>
    <m/>
    <m/>
    <m/>
  </r>
  <r>
    <s v="REMUNERACOES"/>
    <x v="21"/>
    <x v="13"/>
    <n v="551"/>
    <s v="0000000127"/>
    <s v="0221"/>
    <d v="2022-06-01T00:00:00"/>
    <s v="320101"/>
    <s v="302"/>
    <s v="21"/>
    <s v="Credito"/>
    <x v="2"/>
    <x v="216"/>
    <m/>
    <s v="000252"/>
    <s v="000132"/>
    <n v="551"/>
    <s v="0,00"/>
    <s v="0,00"/>
    <s v="0,00"/>
    <s v="0,00"/>
    <s v="ORC2022_2"/>
    <s v="0012"/>
    <m/>
    <m/>
    <m/>
    <m/>
    <m/>
  </r>
  <r>
    <s v="REMUNERACOES"/>
    <x v="21"/>
    <x v="13"/>
    <n v="213935.3"/>
    <s v="0000000127"/>
    <s v="0222"/>
    <d v="2022-06-01T00:00:00"/>
    <s v="320101"/>
    <s v="303"/>
    <s v="21"/>
    <s v="Credito"/>
    <x v="2"/>
    <x v="216"/>
    <m/>
    <s v="000252"/>
    <s v="000132"/>
    <n v="213935.3"/>
    <s v="0,00"/>
    <s v="0,00"/>
    <s v="0,00"/>
    <s v="0,00"/>
    <s v="ORC2022_2"/>
    <s v="0012"/>
    <m/>
    <m/>
    <m/>
    <m/>
    <m/>
  </r>
  <r>
    <s v="REMUNERACOES"/>
    <x v="21"/>
    <x v="13"/>
    <n v="828902.98"/>
    <s v="0000000127"/>
    <s v="0223"/>
    <d v="2022-06-01T00:00:00"/>
    <s v="320101"/>
    <s v="305"/>
    <s v="21"/>
    <s v="Credito"/>
    <x v="2"/>
    <x v="216"/>
    <m/>
    <s v="000252"/>
    <s v="000132"/>
    <n v="828902.98"/>
    <s v="0,00"/>
    <s v="0,00"/>
    <s v="0,00"/>
    <s v="0,00"/>
    <s v="ORC2022_2"/>
    <s v="0012"/>
    <m/>
    <m/>
    <m/>
    <m/>
    <m/>
  </r>
  <r>
    <s v="REMUNERACOES"/>
    <x v="21"/>
    <x v="13"/>
    <n v="13842.89"/>
    <s v="0000000127"/>
    <s v="0224"/>
    <d v="2022-06-01T00:00:00"/>
    <s v="320101"/>
    <s v="301"/>
    <s v="32"/>
    <s v="Credito"/>
    <x v="2"/>
    <x v="216"/>
    <m/>
    <s v="000252"/>
    <s v="000132"/>
    <n v="13842.89"/>
    <s v="0,00"/>
    <s v="0,00"/>
    <s v="0,00"/>
    <s v="0,00"/>
    <s v="ORC2022_2"/>
    <s v="0012"/>
    <m/>
    <m/>
    <m/>
    <m/>
    <m/>
  </r>
  <r>
    <s v="REMUNERACOES"/>
    <x v="21"/>
    <x v="13"/>
    <n v="53641.29"/>
    <s v="0000000127"/>
    <s v="0225"/>
    <d v="2022-06-01T00:00:00"/>
    <s v="320101"/>
    <s v="305"/>
    <s v="32"/>
    <s v="Credito"/>
    <x v="2"/>
    <x v="216"/>
    <m/>
    <s v="000252"/>
    <s v="000132"/>
    <n v="53641.29"/>
    <s v="0,00"/>
    <s v="0,00"/>
    <s v="0,00"/>
    <s v="0,00"/>
    <s v="ORC2022_2"/>
    <s v="0012"/>
    <m/>
    <m/>
    <m/>
    <m/>
    <m/>
  </r>
  <r>
    <s v="REMUNERACOES"/>
    <x v="21"/>
    <x v="13"/>
    <n v="59.19"/>
    <s v="0000000127"/>
    <s v="0226"/>
    <d v="2022-06-01T00:00:00"/>
    <s v="320101"/>
    <s v="304"/>
    <s v="33"/>
    <s v="Credito"/>
    <x v="2"/>
    <x v="216"/>
    <m/>
    <s v="000252"/>
    <s v="000132"/>
    <n v="59.19"/>
    <s v="0,00"/>
    <s v="0,00"/>
    <s v="0,00"/>
    <s v="0,00"/>
    <s v="ORC2022_2"/>
    <s v="0012"/>
    <m/>
    <m/>
    <m/>
    <m/>
    <m/>
  </r>
  <r>
    <s v="REMUNERACOES"/>
    <x v="21"/>
    <x v="13"/>
    <n v="29354.73"/>
    <s v="0000000127"/>
    <s v="0227"/>
    <d v="2022-06-01T00:00:00"/>
    <s v="320101"/>
    <s v="306"/>
    <s v="33"/>
    <s v="Credito"/>
    <x v="2"/>
    <x v="216"/>
    <m/>
    <s v="000252"/>
    <s v="000132"/>
    <n v="29354.73"/>
    <s v="0,00"/>
    <s v="0,00"/>
    <s v="0,00"/>
    <s v="0,00"/>
    <s v="ORC2022_2"/>
    <s v="0012"/>
    <m/>
    <m/>
    <m/>
    <m/>
    <m/>
  </r>
  <r>
    <s v="REMUNERACOES"/>
    <x v="21"/>
    <x v="13"/>
    <n v="71231.39"/>
    <s v="0000000127"/>
    <s v="0228"/>
    <d v="2022-06-01T00:00:00"/>
    <s v="320101"/>
    <s v="301"/>
    <s v="90"/>
    <s v="Credito"/>
    <x v="2"/>
    <x v="216"/>
    <m/>
    <s v="000252"/>
    <s v="000132"/>
    <n v="71231.39"/>
    <s v="0,00"/>
    <s v="0,00"/>
    <s v="0,00"/>
    <s v="0,00"/>
    <s v="ORC2022_2"/>
    <s v="0012"/>
    <m/>
    <m/>
    <m/>
    <m/>
    <m/>
  </r>
  <r>
    <s v="REMUNERACOES"/>
    <x v="21"/>
    <x v="14"/>
    <n v="1044.8399999999999"/>
    <s v="0000000127"/>
    <s v="0229"/>
    <d v="2022-07-01T00:00:00"/>
    <s v="320101"/>
    <s v="301"/>
    <s v="11"/>
    <s v="Credito"/>
    <x v="2"/>
    <x v="216"/>
    <m/>
    <s v="000252"/>
    <s v="000132"/>
    <n v="1044.8399999999999"/>
    <s v="0,00"/>
    <s v="0,00"/>
    <s v="0,00"/>
    <s v="0,00"/>
    <s v="ORC2022_2"/>
    <s v="0012"/>
    <m/>
    <m/>
    <m/>
    <m/>
    <m/>
  </r>
  <r>
    <s v="REMUNERACOES"/>
    <x v="21"/>
    <x v="14"/>
    <n v="65235.45"/>
    <s v="0000000127"/>
    <s v="0230"/>
    <d v="2022-07-01T00:00:00"/>
    <s v="320101"/>
    <s v="302"/>
    <s v="11"/>
    <s v="Credito"/>
    <x v="2"/>
    <x v="216"/>
    <m/>
    <s v="000252"/>
    <s v="000132"/>
    <n v="65235.45"/>
    <s v="0,00"/>
    <s v="0,00"/>
    <s v="0,00"/>
    <s v="0,00"/>
    <s v="ORC2022_2"/>
    <s v="0012"/>
    <m/>
    <m/>
    <m/>
    <m/>
    <m/>
  </r>
  <r>
    <s v="REMUNERACOES"/>
    <x v="21"/>
    <x v="14"/>
    <n v="155457.76999999999"/>
    <s v="0000000127"/>
    <s v="0231"/>
    <d v="2022-07-01T00:00:00"/>
    <s v="320101"/>
    <s v="304"/>
    <s v="11"/>
    <s v="Credito"/>
    <x v="2"/>
    <x v="216"/>
    <m/>
    <s v="000252"/>
    <s v="000132"/>
    <n v="155457.76999999999"/>
    <s v="0,00"/>
    <s v="0,00"/>
    <s v="0,00"/>
    <s v="0,00"/>
    <s v="ORC2022_2"/>
    <s v="0012"/>
    <m/>
    <m/>
    <m/>
    <m/>
    <m/>
  </r>
  <r>
    <s v="REMUNERACOES"/>
    <x v="21"/>
    <x v="14"/>
    <n v="44007.15"/>
    <s v="0000000127"/>
    <s v="0232"/>
    <d v="2022-07-01T00:00:00"/>
    <s v="320101"/>
    <s v="301"/>
    <s v="21"/>
    <s v="Credito"/>
    <x v="2"/>
    <x v="216"/>
    <m/>
    <s v="000252"/>
    <s v="000132"/>
    <n v="44007.15"/>
    <s v="0,00"/>
    <s v="0,00"/>
    <s v="0,00"/>
    <s v="0,00"/>
    <s v="ORC2022_2"/>
    <s v="0012"/>
    <m/>
    <m/>
    <m/>
    <m/>
    <m/>
  </r>
  <r>
    <s v="REMUNERACOES"/>
    <x v="21"/>
    <x v="14"/>
    <n v="1503"/>
    <s v="0000000127"/>
    <s v="0233"/>
    <d v="2022-07-01T00:00:00"/>
    <s v="320101"/>
    <s v="302"/>
    <s v="21"/>
    <s v="Credito"/>
    <x v="2"/>
    <x v="216"/>
    <m/>
    <s v="000252"/>
    <s v="000132"/>
    <n v="1503"/>
    <s v="0,00"/>
    <s v="0,00"/>
    <s v="0,00"/>
    <s v="0,00"/>
    <s v="ORC2022_2"/>
    <s v="0012"/>
    <m/>
    <m/>
    <m/>
    <m/>
    <m/>
  </r>
  <r>
    <s v="REMUNERACOES"/>
    <x v="21"/>
    <x v="14"/>
    <n v="204466.08"/>
    <s v="0000000127"/>
    <s v="0234"/>
    <d v="2022-07-01T00:00:00"/>
    <s v="320101"/>
    <s v="303"/>
    <s v="21"/>
    <s v="Credito"/>
    <x v="2"/>
    <x v="216"/>
    <m/>
    <s v="000252"/>
    <s v="000132"/>
    <n v="204466.08"/>
    <s v="0,00"/>
    <s v="0,00"/>
    <s v="0,00"/>
    <s v="0,00"/>
    <s v="ORC2022_2"/>
    <s v="0012"/>
    <m/>
    <m/>
    <m/>
    <m/>
    <m/>
  </r>
  <r>
    <s v="REMUNERACOES"/>
    <x v="21"/>
    <x v="14"/>
    <n v="800756.39"/>
    <s v="0000000127"/>
    <s v="0235"/>
    <d v="2022-07-01T00:00:00"/>
    <s v="320101"/>
    <s v="305"/>
    <s v="21"/>
    <s v="Credito"/>
    <x v="2"/>
    <x v="216"/>
    <m/>
    <s v="000252"/>
    <s v="000132"/>
    <n v="800756.39"/>
    <s v="0,00"/>
    <s v="0,00"/>
    <s v="0,00"/>
    <s v="0,00"/>
    <s v="ORC2022_2"/>
    <s v="0012"/>
    <m/>
    <m/>
    <m/>
    <m/>
    <m/>
  </r>
  <r>
    <s v="REMUNERACOES"/>
    <x v="21"/>
    <x v="14"/>
    <n v="13131.34"/>
    <s v="0000000127"/>
    <s v="0236"/>
    <d v="2022-07-01T00:00:00"/>
    <s v="320101"/>
    <s v="301"/>
    <s v="32"/>
    <s v="Credito"/>
    <x v="2"/>
    <x v="216"/>
    <m/>
    <s v="000252"/>
    <s v="000132"/>
    <n v="13131.34"/>
    <s v="0,00"/>
    <s v="0,00"/>
    <s v="0,00"/>
    <s v="0,00"/>
    <s v="ORC2022_2"/>
    <s v="0012"/>
    <m/>
    <m/>
    <m/>
    <m/>
    <m/>
  </r>
  <r>
    <s v="REMUNERACOES"/>
    <x v="21"/>
    <x v="14"/>
    <n v="52387.27"/>
    <s v="0000000127"/>
    <s v="0237"/>
    <d v="2022-07-01T00:00:00"/>
    <s v="320101"/>
    <s v="305"/>
    <s v="32"/>
    <s v="Credito"/>
    <x v="2"/>
    <x v="216"/>
    <m/>
    <s v="000252"/>
    <s v="000132"/>
    <n v="52387.27"/>
    <s v="0,00"/>
    <s v="0,00"/>
    <s v="0,00"/>
    <s v="0,00"/>
    <s v="ORC2022_2"/>
    <s v="0012"/>
    <m/>
    <m/>
    <m/>
    <m/>
    <m/>
  </r>
  <r>
    <s v="REMUNERACOES"/>
    <x v="21"/>
    <x v="14"/>
    <n v="27315.84"/>
    <s v="0000000127"/>
    <s v="0238"/>
    <d v="2022-07-01T00:00:00"/>
    <s v="320101"/>
    <s v="306"/>
    <s v="33"/>
    <s v="Credito"/>
    <x v="2"/>
    <x v="216"/>
    <m/>
    <s v="000252"/>
    <s v="000132"/>
    <n v="27315.84"/>
    <s v="0,00"/>
    <s v="0,00"/>
    <s v="0,00"/>
    <s v="0,00"/>
    <s v="ORC2022_2"/>
    <s v="0012"/>
    <m/>
    <m/>
    <m/>
    <m/>
    <m/>
  </r>
  <r>
    <s v="REMUNERACOES"/>
    <x v="21"/>
    <x v="14"/>
    <n v="70695.55"/>
    <s v="0000000127"/>
    <s v="0239"/>
    <d v="2022-07-01T00:00:00"/>
    <s v="320101"/>
    <s v="301"/>
    <s v="90"/>
    <s v="Credito"/>
    <x v="2"/>
    <x v="216"/>
    <m/>
    <s v="000252"/>
    <s v="000132"/>
    <n v="70695.55"/>
    <s v="0,00"/>
    <s v="0,00"/>
    <s v="0,00"/>
    <s v="0,00"/>
    <s v="ORC2022_2"/>
    <s v="0012"/>
    <m/>
    <m/>
    <m/>
    <m/>
    <m/>
  </r>
  <r>
    <s v="REMUNERACOES"/>
    <x v="21"/>
    <x v="15"/>
    <n v="2460.66"/>
    <s v="0000000127"/>
    <s v="0240"/>
    <d v="2022-08-01T00:00:00"/>
    <s v="320101"/>
    <s v="301"/>
    <s v="11"/>
    <s v="Credito"/>
    <x v="2"/>
    <x v="216"/>
    <m/>
    <s v="000252"/>
    <s v="000132"/>
    <n v="2460.66"/>
    <s v="0,00"/>
    <s v="0,00"/>
    <s v="0,00"/>
    <s v="0,00"/>
    <s v="ORC2022_2"/>
    <s v="0012"/>
    <m/>
    <m/>
    <m/>
    <m/>
    <m/>
  </r>
  <r>
    <s v="REMUNERACOES"/>
    <x v="21"/>
    <x v="15"/>
    <n v="72504.58"/>
    <s v="0000000127"/>
    <s v="0241"/>
    <d v="2022-08-01T00:00:00"/>
    <s v="320101"/>
    <s v="302"/>
    <s v="11"/>
    <s v="Credito"/>
    <x v="2"/>
    <x v="216"/>
    <m/>
    <s v="000252"/>
    <s v="000132"/>
    <n v="72504.58"/>
    <s v="0,00"/>
    <s v="0,00"/>
    <s v="0,00"/>
    <s v="0,00"/>
    <s v="ORC2022_2"/>
    <s v="0012"/>
    <m/>
    <m/>
    <m/>
    <m/>
    <m/>
  </r>
  <r>
    <s v="REMUNERACOES"/>
    <x v="21"/>
    <x v="15"/>
    <n v="153945.04999999999"/>
    <s v="0000000127"/>
    <s v="0242"/>
    <d v="2022-08-01T00:00:00"/>
    <s v="320101"/>
    <s v="304"/>
    <s v="11"/>
    <s v="Credito"/>
    <x v="2"/>
    <x v="216"/>
    <m/>
    <s v="000252"/>
    <s v="000132"/>
    <n v="153945.04999999999"/>
    <s v="0,00"/>
    <s v="0,00"/>
    <s v="0,00"/>
    <s v="0,00"/>
    <s v="ORC2022_2"/>
    <s v="0012"/>
    <m/>
    <m/>
    <m/>
    <m/>
    <m/>
  </r>
  <r>
    <s v="REMUNERACOES"/>
    <x v="21"/>
    <x v="15"/>
    <n v="43983.66"/>
    <s v="0000000127"/>
    <s v="0243"/>
    <d v="2022-08-01T00:00:00"/>
    <s v="320101"/>
    <s v="301"/>
    <s v="21"/>
    <s v="Credito"/>
    <x v="2"/>
    <x v="216"/>
    <m/>
    <s v="000252"/>
    <s v="000132"/>
    <n v="43983.66"/>
    <s v="0,00"/>
    <s v="0,00"/>
    <s v="0,00"/>
    <s v="0,00"/>
    <s v="ORC2022_2"/>
    <s v="0012"/>
    <m/>
    <m/>
    <m/>
    <m/>
    <m/>
  </r>
  <r>
    <s v="REMUNERACOES"/>
    <x v="21"/>
    <x v="15"/>
    <n v="202204.61"/>
    <s v="0000000127"/>
    <s v="0244"/>
    <d v="2022-08-01T00:00:00"/>
    <s v="320101"/>
    <s v="303"/>
    <s v="21"/>
    <s v="Credito"/>
    <x v="2"/>
    <x v="216"/>
    <m/>
    <s v="000252"/>
    <s v="000132"/>
    <n v="202204.61"/>
    <s v="0,00"/>
    <s v="0,00"/>
    <s v="0,00"/>
    <s v="0,00"/>
    <s v="ORC2022_2"/>
    <s v="0012"/>
    <m/>
    <m/>
    <m/>
    <m/>
    <m/>
  </r>
  <r>
    <s v="REMUNERACOES"/>
    <x v="21"/>
    <x v="15"/>
    <n v="851962.92"/>
    <s v="0000000127"/>
    <s v="0245"/>
    <d v="2022-08-01T00:00:00"/>
    <s v="320101"/>
    <s v="305"/>
    <s v="21"/>
    <s v="Credito"/>
    <x v="2"/>
    <x v="216"/>
    <m/>
    <s v="000252"/>
    <s v="000132"/>
    <n v="851962.92"/>
    <s v="0,00"/>
    <s v="0,00"/>
    <s v="0,00"/>
    <s v="0,00"/>
    <s v="ORC2022_2"/>
    <s v="0012"/>
    <m/>
    <m/>
    <m/>
    <m/>
    <m/>
  </r>
  <r>
    <s v="REMUNERACOES"/>
    <x v="21"/>
    <x v="15"/>
    <n v="263.27999999999997"/>
    <s v="0000000127"/>
    <s v="0246"/>
    <d v="2022-08-01T00:00:00"/>
    <s v="320101"/>
    <s v="305"/>
    <s v="31"/>
    <s v="Credito"/>
    <x v="2"/>
    <x v="216"/>
    <m/>
    <s v="000252"/>
    <s v="000132"/>
    <n v="263.27999999999997"/>
    <s v="0,00"/>
    <s v="0,00"/>
    <s v="0,00"/>
    <s v="0,00"/>
    <s v="ORC2022_2"/>
    <s v="0012"/>
    <m/>
    <m/>
    <m/>
    <m/>
    <m/>
  </r>
  <r>
    <s v="REMUNERACOES"/>
    <x v="21"/>
    <x v="15"/>
    <n v="13132.67"/>
    <s v="0000000127"/>
    <s v="0247"/>
    <d v="2022-08-01T00:00:00"/>
    <s v="320101"/>
    <s v="301"/>
    <s v="32"/>
    <s v="Credito"/>
    <x v="2"/>
    <x v="216"/>
    <m/>
    <s v="000252"/>
    <s v="000132"/>
    <n v="13132.67"/>
    <s v="0,00"/>
    <s v="0,00"/>
    <s v="0,00"/>
    <s v="0,00"/>
    <s v="ORC2022_2"/>
    <s v="0012"/>
    <m/>
    <m/>
    <m/>
    <m/>
    <m/>
  </r>
  <r>
    <s v="REMUNERACOES"/>
    <x v="21"/>
    <x v="15"/>
    <n v="53586.39"/>
    <s v="0000000127"/>
    <s v="0248"/>
    <d v="2022-08-01T00:00:00"/>
    <s v="320101"/>
    <s v="305"/>
    <s v="32"/>
    <s v="Credito"/>
    <x v="2"/>
    <x v="216"/>
    <m/>
    <s v="000252"/>
    <s v="000132"/>
    <n v="53586.39"/>
    <s v="0,00"/>
    <s v="0,00"/>
    <s v="0,00"/>
    <s v="0,00"/>
    <s v="ORC2022_2"/>
    <s v="0012"/>
    <m/>
    <m/>
    <m/>
    <m/>
    <m/>
  </r>
  <r>
    <s v="REMUNERACOES"/>
    <x v="21"/>
    <x v="15"/>
    <n v="27596.57"/>
    <s v="0000000127"/>
    <s v="0249"/>
    <d v="2022-08-01T00:00:00"/>
    <s v="320101"/>
    <s v="306"/>
    <s v="33"/>
    <s v="Credito"/>
    <x v="2"/>
    <x v="216"/>
    <m/>
    <s v="000252"/>
    <s v="000132"/>
    <n v="27596.57"/>
    <s v="0,00"/>
    <s v="0,00"/>
    <s v="0,00"/>
    <s v="0,00"/>
    <s v="ORC2022_2"/>
    <s v="0012"/>
    <m/>
    <m/>
    <m/>
    <m/>
    <m/>
  </r>
  <r>
    <s v="REMUNERACOES"/>
    <x v="21"/>
    <x v="15"/>
    <n v="67340.789999999994"/>
    <s v="0000000127"/>
    <s v="0250"/>
    <d v="2022-08-01T00:00:00"/>
    <s v="320101"/>
    <s v="301"/>
    <s v="90"/>
    <s v="Credito"/>
    <x v="2"/>
    <x v="216"/>
    <m/>
    <s v="000252"/>
    <s v="000132"/>
    <n v="67340.789999999994"/>
    <s v="0,00"/>
    <s v="0,00"/>
    <s v="0,00"/>
    <s v="0,00"/>
    <s v="ORC2022_2"/>
    <s v="0012"/>
    <m/>
    <m/>
    <m/>
    <m/>
    <m/>
  </r>
  <r>
    <s v="REMUNERACOES"/>
    <x v="21"/>
    <x v="16"/>
    <n v="799.95"/>
    <s v="0000000127"/>
    <s v="0251"/>
    <d v="2022-09-01T00:00:00"/>
    <s v="320101"/>
    <s v="301"/>
    <s v="11"/>
    <s v="Credito"/>
    <x v="2"/>
    <x v="216"/>
    <m/>
    <s v="000252"/>
    <s v="000132"/>
    <n v="799.95"/>
    <s v="0,00"/>
    <s v="0,00"/>
    <s v="0,00"/>
    <s v="0,00"/>
    <s v="ORC2022_2"/>
    <s v="0012"/>
    <m/>
    <m/>
    <m/>
    <m/>
    <m/>
  </r>
  <r>
    <s v="REMUNERACOES"/>
    <x v="21"/>
    <x v="16"/>
    <n v="59476.09"/>
    <s v="0000000127"/>
    <s v="0252"/>
    <d v="2022-09-01T00:00:00"/>
    <s v="320101"/>
    <s v="302"/>
    <s v="11"/>
    <s v="Credito"/>
    <x v="2"/>
    <x v="216"/>
    <m/>
    <s v="000252"/>
    <s v="000132"/>
    <n v="59476.09"/>
    <s v="0,00"/>
    <s v="0,00"/>
    <s v="0,00"/>
    <s v="0,00"/>
    <s v="ORC2022_2"/>
    <s v="0012"/>
    <m/>
    <m/>
    <m/>
    <m/>
    <m/>
  </r>
  <r>
    <s v="REMUNERACOES"/>
    <x v="21"/>
    <x v="16"/>
    <n v="180164.98"/>
    <s v="0000000127"/>
    <s v="0253"/>
    <d v="2022-09-01T00:00:00"/>
    <s v="320101"/>
    <s v="304"/>
    <s v="11"/>
    <s v="Credito"/>
    <x v="2"/>
    <x v="216"/>
    <m/>
    <s v="000252"/>
    <s v="000132"/>
    <n v="180164.98"/>
    <s v="0,00"/>
    <s v="0,00"/>
    <s v="0,00"/>
    <s v="0,00"/>
    <s v="ORC2022_2"/>
    <s v="0012"/>
    <m/>
    <m/>
    <m/>
    <m/>
    <m/>
  </r>
  <r>
    <s v="REMUNERACOES"/>
    <x v="21"/>
    <x v="16"/>
    <n v="44074.720000000001"/>
    <s v="0000000127"/>
    <s v="0254"/>
    <d v="2022-09-01T00:00:00"/>
    <s v="320101"/>
    <s v="301"/>
    <s v="21"/>
    <s v="Credito"/>
    <x v="2"/>
    <x v="216"/>
    <m/>
    <s v="000252"/>
    <s v="000132"/>
    <n v="44074.720000000001"/>
    <s v="0,00"/>
    <s v="0,00"/>
    <s v="0,00"/>
    <s v="0,00"/>
    <s v="ORC2022_2"/>
    <s v="0012"/>
    <m/>
    <m/>
    <m/>
    <m/>
    <m/>
  </r>
  <r>
    <s v="REMUNERACOES"/>
    <x v="21"/>
    <x v="16"/>
    <n v="205973.06"/>
    <s v="0000000127"/>
    <s v="0255"/>
    <d v="2022-09-01T00:00:00"/>
    <s v="320101"/>
    <s v="303"/>
    <s v="21"/>
    <s v="Credito"/>
    <x v="2"/>
    <x v="216"/>
    <m/>
    <s v="000252"/>
    <s v="000132"/>
    <n v="205973.06"/>
    <s v="0,00"/>
    <s v="0,00"/>
    <s v="0,00"/>
    <s v="0,00"/>
    <s v="ORC2022_2"/>
    <s v="0012"/>
    <m/>
    <m/>
    <m/>
    <m/>
    <m/>
  </r>
  <r>
    <s v="REMUNERACOES"/>
    <x v="21"/>
    <x v="16"/>
    <n v="837489.86"/>
    <s v="0000000127"/>
    <s v="0256"/>
    <d v="2022-09-01T00:00:00"/>
    <s v="320101"/>
    <s v="305"/>
    <s v="21"/>
    <s v="Credito"/>
    <x v="2"/>
    <x v="216"/>
    <m/>
    <s v="000252"/>
    <s v="000132"/>
    <n v="837489.86"/>
    <s v="0,00"/>
    <s v="0,00"/>
    <s v="0,00"/>
    <s v="0,00"/>
    <s v="ORC2022_2"/>
    <s v="0012"/>
    <m/>
    <m/>
    <m/>
    <m/>
    <m/>
  </r>
  <r>
    <s v="REMUNERACOES"/>
    <x v="21"/>
    <x v="16"/>
    <n v="13131.34"/>
    <s v="0000000127"/>
    <s v="0257"/>
    <d v="2022-09-01T00:00:00"/>
    <s v="320101"/>
    <s v="301"/>
    <s v="32"/>
    <s v="Credito"/>
    <x v="2"/>
    <x v="216"/>
    <m/>
    <s v="000252"/>
    <s v="000132"/>
    <n v="13131.34"/>
    <s v="0,00"/>
    <s v="0,00"/>
    <s v="0,00"/>
    <s v="0,00"/>
    <s v="ORC2022_2"/>
    <s v="0012"/>
    <m/>
    <m/>
    <m/>
    <m/>
    <m/>
  </r>
  <r>
    <s v="REMUNERACOES"/>
    <x v="21"/>
    <x v="16"/>
    <n v="52702.52"/>
    <s v="0000000127"/>
    <s v="0258"/>
    <d v="2022-09-01T00:00:00"/>
    <s v="320101"/>
    <s v="305"/>
    <s v="32"/>
    <s v="Credito"/>
    <x v="2"/>
    <x v="216"/>
    <m/>
    <s v="000252"/>
    <s v="000132"/>
    <n v="52702.52"/>
    <s v="0,00"/>
    <s v="0,00"/>
    <s v="0,00"/>
    <s v="0,00"/>
    <s v="ORC2022_2"/>
    <s v="0012"/>
    <m/>
    <m/>
    <m/>
    <m/>
    <m/>
  </r>
  <r>
    <s v="REMUNERACOES"/>
    <x v="21"/>
    <x v="16"/>
    <n v="26970.58"/>
    <s v="0000000127"/>
    <s v="0259"/>
    <d v="2022-09-01T00:00:00"/>
    <s v="320101"/>
    <s v="306"/>
    <s v="33"/>
    <s v="Credito"/>
    <x v="2"/>
    <x v="216"/>
    <m/>
    <s v="000252"/>
    <s v="000132"/>
    <n v="26970.58"/>
    <s v="0,00"/>
    <s v="0,00"/>
    <s v="0,00"/>
    <s v="0,00"/>
    <s v="ORC2022_2"/>
    <s v="0012"/>
    <m/>
    <m/>
    <m/>
    <m/>
    <m/>
  </r>
  <r>
    <s v="REMUNERACOES"/>
    <x v="21"/>
    <x v="16"/>
    <n v="65641.17"/>
    <s v="0000000127"/>
    <s v="0260"/>
    <d v="2022-09-01T00:00:00"/>
    <s v="320101"/>
    <s v="301"/>
    <s v="90"/>
    <s v="Credito"/>
    <x v="2"/>
    <x v="216"/>
    <m/>
    <s v="000252"/>
    <s v="000132"/>
    <n v="65641.17"/>
    <s v="0,00"/>
    <s v="0,00"/>
    <s v="0,00"/>
    <s v="0,00"/>
    <s v="ORC2022_2"/>
    <s v="0012"/>
    <m/>
    <m/>
    <m/>
    <m/>
    <m/>
  </r>
  <r>
    <s v="REMUNERACOES"/>
    <x v="21"/>
    <x v="16"/>
    <n v="260.64999999999998"/>
    <s v="0000000127"/>
    <s v="0261"/>
    <d v="2022-09-01T00:00:00"/>
    <s v="320101"/>
    <s v="302"/>
    <s v="90"/>
    <s v="Credito"/>
    <x v="2"/>
    <x v="216"/>
    <m/>
    <s v="000252"/>
    <s v="000132"/>
    <n v="260.64999999999998"/>
    <s v="0,00"/>
    <s v="0,00"/>
    <s v="0,00"/>
    <s v="0,00"/>
    <s v="ORC2022_2"/>
    <s v="0012"/>
    <m/>
    <m/>
    <m/>
    <m/>
    <m/>
  </r>
  <r>
    <s v="REMUNERACOES"/>
    <x v="21"/>
    <x v="17"/>
    <n v="807.95"/>
    <s v="0000000127"/>
    <s v="0262"/>
    <d v="2022-10-01T00:00:00"/>
    <s v="320101"/>
    <s v="301"/>
    <s v="11"/>
    <s v="Credito"/>
    <x v="2"/>
    <x v="216"/>
    <m/>
    <s v="000252"/>
    <s v="000132"/>
    <n v="807.95"/>
    <s v="0,00"/>
    <s v="0,00"/>
    <s v="0,00"/>
    <s v="0,00"/>
    <s v="ORC2022_2"/>
    <s v="0012"/>
    <m/>
    <m/>
    <m/>
    <m/>
    <m/>
  </r>
  <r>
    <s v="REMUNERACOES"/>
    <x v="21"/>
    <x v="17"/>
    <n v="60070.85"/>
    <s v="0000000127"/>
    <s v="0263"/>
    <d v="2022-10-01T00:00:00"/>
    <s v="320101"/>
    <s v="302"/>
    <s v="11"/>
    <s v="Credito"/>
    <x v="2"/>
    <x v="216"/>
    <m/>
    <s v="000252"/>
    <s v="000132"/>
    <n v="60070.85"/>
    <s v="0,00"/>
    <s v="0,00"/>
    <s v="0,00"/>
    <s v="0,00"/>
    <s v="ORC2022_2"/>
    <s v="0012"/>
    <m/>
    <m/>
    <m/>
    <m/>
    <m/>
  </r>
  <r>
    <s v="REMUNERACOES"/>
    <x v="21"/>
    <x v="17"/>
    <n v="181966.63"/>
    <s v="0000000127"/>
    <s v="0264"/>
    <d v="2022-10-01T00:00:00"/>
    <s v="320101"/>
    <s v="304"/>
    <s v="11"/>
    <s v="Credito"/>
    <x v="2"/>
    <x v="216"/>
    <m/>
    <s v="000252"/>
    <s v="000132"/>
    <n v="181966.63"/>
    <s v="0,00"/>
    <s v="0,00"/>
    <s v="0,00"/>
    <s v="0,00"/>
    <s v="ORC2022_2"/>
    <s v="0012"/>
    <m/>
    <m/>
    <m/>
    <m/>
    <m/>
  </r>
  <r>
    <s v="REMUNERACOES"/>
    <x v="21"/>
    <x v="17"/>
    <n v="44515.47"/>
    <s v="0000000127"/>
    <s v="0265"/>
    <d v="2022-10-01T00:00:00"/>
    <s v="320101"/>
    <s v="301"/>
    <s v="21"/>
    <s v="Credito"/>
    <x v="2"/>
    <x v="216"/>
    <m/>
    <s v="000252"/>
    <s v="000132"/>
    <n v="44515.47"/>
    <s v="0,00"/>
    <s v="0,00"/>
    <s v="0,00"/>
    <s v="0,00"/>
    <s v="ORC2022_2"/>
    <s v="0012"/>
    <m/>
    <m/>
    <m/>
    <m/>
    <m/>
  </r>
  <r>
    <s v="REMUNERACOES"/>
    <x v="21"/>
    <x v="17"/>
    <n v="208032.79"/>
    <s v="0000000127"/>
    <s v="0266"/>
    <d v="2022-10-01T00:00:00"/>
    <s v="320101"/>
    <s v="303"/>
    <s v="21"/>
    <s v="Credito"/>
    <x v="2"/>
    <x v="216"/>
    <m/>
    <s v="000252"/>
    <s v="000132"/>
    <n v="208032.79"/>
    <s v="0,00"/>
    <s v="0,00"/>
    <s v="0,00"/>
    <s v="0,00"/>
    <s v="ORC2022_2"/>
    <s v="0012"/>
    <m/>
    <m/>
    <m/>
    <m/>
    <m/>
  </r>
  <r>
    <s v="REMUNERACOES"/>
    <x v="21"/>
    <x v="17"/>
    <n v="845864.76"/>
    <s v="0000000127"/>
    <s v="0267"/>
    <d v="2022-10-01T00:00:00"/>
    <s v="320101"/>
    <s v="305"/>
    <s v="21"/>
    <s v="Credito"/>
    <x v="2"/>
    <x v="216"/>
    <m/>
    <s v="000252"/>
    <s v="000132"/>
    <n v="845864.76"/>
    <s v="0,00"/>
    <s v="0,00"/>
    <s v="0,00"/>
    <s v="0,00"/>
    <s v="ORC2022_2"/>
    <s v="0012"/>
    <m/>
    <m/>
    <m/>
    <m/>
    <m/>
  </r>
  <r>
    <s v="REMUNERACOES"/>
    <x v="21"/>
    <x v="17"/>
    <n v="13262.65"/>
    <s v="0000000127"/>
    <s v="0268"/>
    <d v="2022-10-01T00:00:00"/>
    <s v="320101"/>
    <s v="301"/>
    <s v="32"/>
    <s v="Credito"/>
    <x v="2"/>
    <x v="216"/>
    <m/>
    <s v="000252"/>
    <s v="000132"/>
    <n v="13262.65"/>
    <s v="0,00"/>
    <s v="0,00"/>
    <s v="0,00"/>
    <s v="0,00"/>
    <s v="ORC2022_2"/>
    <s v="0012"/>
    <m/>
    <m/>
    <m/>
    <m/>
    <m/>
  </r>
  <r>
    <s v="REMUNERACOES"/>
    <x v="21"/>
    <x v="17"/>
    <n v="53229.55"/>
    <s v="0000000127"/>
    <s v="0269"/>
    <d v="2022-10-01T00:00:00"/>
    <s v="320101"/>
    <s v="305"/>
    <s v="32"/>
    <s v="Credito"/>
    <x v="2"/>
    <x v="216"/>
    <m/>
    <s v="000252"/>
    <s v="000132"/>
    <n v="53229.55"/>
    <s v="0,00"/>
    <s v="0,00"/>
    <s v="0,00"/>
    <s v="0,00"/>
    <s v="ORC2022_2"/>
    <s v="0012"/>
    <m/>
    <m/>
    <m/>
    <m/>
    <m/>
  </r>
  <r>
    <s v="REMUNERACOES"/>
    <x v="21"/>
    <x v="17"/>
    <n v="27240.29"/>
    <s v="0000000127"/>
    <s v="0270"/>
    <d v="2022-10-01T00:00:00"/>
    <s v="320101"/>
    <s v="306"/>
    <s v="33"/>
    <s v="Credito"/>
    <x v="2"/>
    <x v="216"/>
    <m/>
    <s v="000252"/>
    <s v="000132"/>
    <n v="27240.29"/>
    <s v="0,00"/>
    <s v="0,00"/>
    <s v="0,00"/>
    <s v="0,00"/>
    <s v="ORC2022_2"/>
    <s v="0012"/>
    <m/>
    <m/>
    <m/>
    <m/>
    <m/>
  </r>
  <r>
    <s v="REMUNERACOES"/>
    <x v="21"/>
    <x v="17"/>
    <n v="66297.58"/>
    <s v="0000000127"/>
    <s v="0271"/>
    <d v="2022-10-01T00:00:00"/>
    <s v="320101"/>
    <s v="301"/>
    <s v="90"/>
    <s v="Credito"/>
    <x v="2"/>
    <x v="216"/>
    <m/>
    <s v="000252"/>
    <s v="000132"/>
    <n v="66297.58"/>
    <s v="0,00"/>
    <s v="0,00"/>
    <s v="0,00"/>
    <s v="0,00"/>
    <s v="ORC2022_2"/>
    <s v="0012"/>
    <m/>
    <m/>
    <m/>
    <m/>
    <m/>
  </r>
  <r>
    <s v="REMUNERACOES"/>
    <x v="21"/>
    <x v="17"/>
    <n v="263.26"/>
    <s v="0000000127"/>
    <s v="0272"/>
    <d v="2022-10-01T00:00:00"/>
    <s v="320101"/>
    <s v="302"/>
    <s v="90"/>
    <s v="Credito"/>
    <x v="2"/>
    <x v="216"/>
    <m/>
    <s v="000252"/>
    <s v="000132"/>
    <n v="263.26"/>
    <s v="0,00"/>
    <s v="0,00"/>
    <s v="0,00"/>
    <s v="0,00"/>
    <s v="ORC2022_2"/>
    <s v="0012"/>
    <m/>
    <m/>
    <m/>
    <m/>
    <m/>
  </r>
  <r>
    <s v="REMUNERACOES"/>
    <x v="21"/>
    <x v="0"/>
    <n v="816.03"/>
    <s v="0000000127"/>
    <s v="0273"/>
    <d v="2022-11-01T00:00:00"/>
    <s v="320101"/>
    <s v="301"/>
    <s v="11"/>
    <s v="Credito"/>
    <x v="2"/>
    <x v="216"/>
    <m/>
    <s v="000252"/>
    <s v="000132"/>
    <n v="816.03"/>
    <s v="0,00"/>
    <s v="0,00"/>
    <s v="0,00"/>
    <s v="0,00"/>
    <s v="ORC2022_2"/>
    <s v="0012"/>
    <m/>
    <m/>
    <m/>
    <m/>
    <m/>
  </r>
  <r>
    <s v="REMUNERACOES"/>
    <x v="21"/>
    <x v="0"/>
    <n v="60671.56"/>
    <s v="0000000127"/>
    <s v="0274"/>
    <d v="2022-11-01T00:00:00"/>
    <s v="320101"/>
    <s v="302"/>
    <s v="11"/>
    <s v="Credito"/>
    <x v="2"/>
    <x v="216"/>
    <m/>
    <s v="000252"/>
    <s v="000132"/>
    <n v="60671.56"/>
    <s v="0,00"/>
    <s v="0,00"/>
    <s v="0,00"/>
    <s v="0,00"/>
    <s v="ORC2022_2"/>
    <s v="0012"/>
    <m/>
    <m/>
    <m/>
    <m/>
    <m/>
  </r>
  <r>
    <s v="REMUNERACOES"/>
    <x v="21"/>
    <x v="0"/>
    <n v="183786.3"/>
    <s v="0000000127"/>
    <s v="0275"/>
    <d v="2022-11-01T00:00:00"/>
    <s v="320101"/>
    <s v="304"/>
    <s v="11"/>
    <s v="Credito"/>
    <x v="2"/>
    <x v="216"/>
    <m/>
    <s v="000252"/>
    <s v="000132"/>
    <n v="183786.3"/>
    <s v="0,00"/>
    <s v="0,00"/>
    <s v="0,00"/>
    <s v="0,00"/>
    <s v="ORC2022_2"/>
    <s v="0012"/>
    <m/>
    <m/>
    <m/>
    <m/>
    <m/>
  </r>
  <r>
    <s v="REMUNERACOES"/>
    <x v="21"/>
    <x v="0"/>
    <n v="44960.62"/>
    <s v="0000000127"/>
    <s v="0276"/>
    <d v="2022-11-01T00:00:00"/>
    <s v="320101"/>
    <s v="301"/>
    <s v="21"/>
    <s v="Credito"/>
    <x v="2"/>
    <x v="216"/>
    <m/>
    <s v="000252"/>
    <s v="000132"/>
    <n v="44960.62"/>
    <s v="0,00"/>
    <s v="0,00"/>
    <s v="0,00"/>
    <s v="0,00"/>
    <s v="ORC2022_2"/>
    <s v="0012"/>
    <m/>
    <m/>
    <m/>
    <m/>
    <m/>
  </r>
  <r>
    <s v="REMUNERACOES"/>
    <x v="21"/>
    <x v="0"/>
    <n v="210113.12"/>
    <s v="0000000127"/>
    <s v="0277"/>
    <d v="2022-11-01T00:00:00"/>
    <s v="320101"/>
    <s v="303"/>
    <s v="21"/>
    <s v="Credito"/>
    <x v="2"/>
    <x v="216"/>
    <m/>
    <s v="000252"/>
    <s v="000132"/>
    <n v="210113.12"/>
    <s v="0,00"/>
    <s v="0,00"/>
    <s v="0,00"/>
    <s v="0,00"/>
    <s v="ORC2022_2"/>
    <s v="0012"/>
    <m/>
    <m/>
    <m/>
    <m/>
    <m/>
  </r>
  <r>
    <s v="REMUNERACOES"/>
    <x v="21"/>
    <x v="0"/>
    <n v="854323.41"/>
    <s v="0000000127"/>
    <s v="0278"/>
    <d v="2022-11-01T00:00:00"/>
    <s v="320101"/>
    <s v="305"/>
    <s v="21"/>
    <s v="Credito"/>
    <x v="2"/>
    <x v="216"/>
    <m/>
    <s v="000252"/>
    <s v="000132"/>
    <n v="854323.41"/>
    <s v="0,00"/>
    <s v="0,00"/>
    <s v="0,00"/>
    <s v="0,00"/>
    <s v="ORC2022_2"/>
    <s v="0012"/>
    <m/>
    <m/>
    <m/>
    <m/>
    <m/>
  </r>
  <r>
    <s v="REMUNERACOES"/>
    <x v="21"/>
    <x v="0"/>
    <n v="13395.28"/>
    <s v="0000000127"/>
    <s v="0279"/>
    <d v="2022-11-01T00:00:00"/>
    <s v="320101"/>
    <s v="301"/>
    <s v="32"/>
    <s v="Credito"/>
    <x v="2"/>
    <x v="216"/>
    <m/>
    <s v="000252"/>
    <s v="000132"/>
    <n v="13395.28"/>
    <s v="0,00"/>
    <s v="0,00"/>
    <s v="0,00"/>
    <s v="0,00"/>
    <s v="ORC2022_2"/>
    <s v="0012"/>
    <m/>
    <m/>
    <m/>
    <m/>
    <m/>
  </r>
  <r>
    <s v="REMUNERACOES"/>
    <x v="21"/>
    <x v="0"/>
    <n v="53761.84"/>
    <s v="0000000127"/>
    <s v="0280"/>
    <d v="2022-11-01T00:00:00"/>
    <s v="320101"/>
    <s v="305"/>
    <s v="32"/>
    <s v="Credito"/>
    <x v="2"/>
    <x v="216"/>
    <m/>
    <s v="000252"/>
    <s v="000132"/>
    <n v="53761.84"/>
    <s v="0,00"/>
    <s v="0,00"/>
    <s v="0,00"/>
    <s v="0,00"/>
    <s v="ORC2022_2"/>
    <s v="0012"/>
    <m/>
    <m/>
    <m/>
    <m/>
    <m/>
  </r>
  <r>
    <s v="REMUNERACOES"/>
    <x v="21"/>
    <x v="0"/>
    <n v="27512.69"/>
    <s v="0000000127"/>
    <s v="0281"/>
    <d v="2022-11-01T00:00:00"/>
    <s v="320101"/>
    <s v="306"/>
    <s v="33"/>
    <s v="Credito"/>
    <x v="2"/>
    <x v="216"/>
    <m/>
    <s v="000252"/>
    <s v="000132"/>
    <n v="27512.69"/>
    <s v="0,00"/>
    <s v="0,00"/>
    <s v="0,00"/>
    <s v="0,00"/>
    <s v="ORC2022_2"/>
    <s v="0012"/>
    <m/>
    <m/>
    <m/>
    <m/>
    <m/>
  </r>
  <r>
    <s v="REMUNERACOES"/>
    <x v="21"/>
    <x v="0"/>
    <n v="66960.56"/>
    <s v="0000000127"/>
    <s v="0282"/>
    <d v="2022-11-01T00:00:00"/>
    <s v="320101"/>
    <s v="301"/>
    <s v="90"/>
    <s v="Credito"/>
    <x v="2"/>
    <x v="216"/>
    <m/>
    <s v="000252"/>
    <s v="000132"/>
    <n v="66960.56"/>
    <s v="0,00"/>
    <s v="0,00"/>
    <s v="0,00"/>
    <s v="0,00"/>
    <s v="ORC2022_2"/>
    <s v="0012"/>
    <m/>
    <m/>
    <m/>
    <m/>
    <m/>
  </r>
  <r>
    <s v="REMUNERACOES"/>
    <x v="21"/>
    <x v="0"/>
    <n v="265.89"/>
    <s v="0000000127"/>
    <s v="0283"/>
    <d v="2022-11-01T00:00:00"/>
    <s v="320101"/>
    <s v="302"/>
    <s v="90"/>
    <s v="Credito"/>
    <x v="2"/>
    <x v="216"/>
    <m/>
    <s v="000252"/>
    <s v="000132"/>
    <n v="265.89"/>
    <s v="0,00"/>
    <s v="0,00"/>
    <s v="0,00"/>
    <s v="0,00"/>
    <s v="ORC2022_2"/>
    <s v="0012"/>
    <m/>
    <m/>
    <m/>
    <m/>
    <m/>
  </r>
  <r>
    <s v="REMUNERACOES"/>
    <x v="21"/>
    <x v="1"/>
    <n v="824.19"/>
    <s v="0000000127"/>
    <s v="0284"/>
    <d v="2022-12-01T00:00:00"/>
    <s v="320101"/>
    <s v="301"/>
    <s v="11"/>
    <s v="Credito"/>
    <x v="2"/>
    <x v="216"/>
    <m/>
    <s v="000252"/>
    <s v="000132"/>
    <n v="824.19"/>
    <s v="0,00"/>
    <s v="0,00"/>
    <s v="0,00"/>
    <s v="0,00"/>
    <s v="ORC2022_2"/>
    <s v="0012"/>
    <m/>
    <m/>
    <m/>
    <m/>
    <m/>
  </r>
  <r>
    <s v="REMUNERACOES"/>
    <x v="21"/>
    <x v="1"/>
    <n v="61278.28"/>
    <s v="0000000127"/>
    <s v="0285"/>
    <d v="2022-12-01T00:00:00"/>
    <s v="320101"/>
    <s v="302"/>
    <s v="11"/>
    <s v="Credito"/>
    <x v="2"/>
    <x v="216"/>
    <m/>
    <s v="000252"/>
    <s v="000132"/>
    <n v="61278.28"/>
    <s v="0,00"/>
    <s v="0,00"/>
    <s v="0,00"/>
    <s v="0,00"/>
    <s v="ORC2022_2"/>
    <s v="0012"/>
    <m/>
    <m/>
    <m/>
    <m/>
    <m/>
  </r>
  <r>
    <s v="REMUNERACOES"/>
    <x v="21"/>
    <x v="1"/>
    <n v="185624.16"/>
    <s v="0000000127"/>
    <s v="0286"/>
    <d v="2022-12-01T00:00:00"/>
    <s v="320101"/>
    <s v="304"/>
    <s v="11"/>
    <s v="Credito"/>
    <x v="2"/>
    <x v="216"/>
    <m/>
    <s v="000252"/>
    <s v="000132"/>
    <n v="185624.16"/>
    <s v="0,00"/>
    <s v="0,00"/>
    <s v="0,00"/>
    <s v="0,00"/>
    <s v="ORC2022_2"/>
    <s v="0012"/>
    <m/>
    <m/>
    <m/>
    <m/>
    <m/>
  </r>
  <r>
    <s v="REMUNERACOES"/>
    <x v="21"/>
    <x v="1"/>
    <n v="45410.23"/>
    <s v="0000000127"/>
    <s v="0287"/>
    <d v="2022-12-01T00:00:00"/>
    <s v="320101"/>
    <s v="301"/>
    <s v="21"/>
    <s v="Credito"/>
    <x v="2"/>
    <x v="216"/>
    <m/>
    <s v="000252"/>
    <s v="000132"/>
    <n v="45410.23"/>
    <s v="0,00"/>
    <s v="0,00"/>
    <s v="0,00"/>
    <s v="0,00"/>
    <s v="ORC2022_2"/>
    <s v="0012"/>
    <m/>
    <m/>
    <m/>
    <m/>
    <m/>
  </r>
  <r>
    <s v="REMUNERACOES"/>
    <x v="21"/>
    <x v="1"/>
    <n v="212214.25"/>
    <s v="0000000127"/>
    <s v="0288"/>
    <d v="2022-12-01T00:00:00"/>
    <s v="320101"/>
    <s v="303"/>
    <s v="21"/>
    <s v="Credito"/>
    <x v="2"/>
    <x v="216"/>
    <m/>
    <s v="000252"/>
    <s v="000132"/>
    <n v="212214.25"/>
    <s v="0,00"/>
    <s v="0,00"/>
    <s v="0,00"/>
    <s v="0,00"/>
    <s v="ORC2022_2"/>
    <s v="0012"/>
    <m/>
    <m/>
    <m/>
    <m/>
    <m/>
  </r>
  <r>
    <s v="REMUNERACOES"/>
    <x v="21"/>
    <x v="1"/>
    <n v="862866.64"/>
    <s v="0000000127"/>
    <s v="0289"/>
    <d v="2022-12-01T00:00:00"/>
    <s v="320101"/>
    <s v="305"/>
    <s v="21"/>
    <s v="Credito"/>
    <x v="2"/>
    <x v="216"/>
    <m/>
    <s v="000252"/>
    <s v="000132"/>
    <n v="862866.64"/>
    <s v="0,00"/>
    <s v="0,00"/>
    <s v="0,00"/>
    <s v="0,00"/>
    <s v="ORC2022_2"/>
    <s v="0012"/>
    <m/>
    <m/>
    <m/>
    <m/>
    <m/>
  </r>
  <r>
    <s v="REMUNERACOES"/>
    <x v="21"/>
    <x v="1"/>
    <n v="13529.23"/>
    <s v="0000000127"/>
    <s v="0290"/>
    <d v="2022-12-01T00:00:00"/>
    <s v="320101"/>
    <s v="301"/>
    <s v="32"/>
    <s v="Credito"/>
    <x v="2"/>
    <x v="216"/>
    <m/>
    <s v="000252"/>
    <s v="000132"/>
    <n v="13529.23"/>
    <s v="0,00"/>
    <s v="0,00"/>
    <s v="0,00"/>
    <s v="0,00"/>
    <s v="ORC2022_2"/>
    <s v="0012"/>
    <m/>
    <m/>
    <m/>
    <m/>
    <m/>
  </r>
  <r>
    <s v="REMUNERACOES"/>
    <x v="21"/>
    <x v="1"/>
    <n v="54299.46"/>
    <s v="0000000127"/>
    <s v="0291"/>
    <d v="2022-12-01T00:00:00"/>
    <s v="320101"/>
    <s v="305"/>
    <s v="32"/>
    <s v="Credito"/>
    <x v="2"/>
    <x v="216"/>
    <m/>
    <s v="000252"/>
    <s v="000132"/>
    <n v="54299.46"/>
    <s v="0,00"/>
    <s v="0,00"/>
    <s v="0,00"/>
    <s v="0,00"/>
    <s v="ORC2022_2"/>
    <s v="0012"/>
    <m/>
    <m/>
    <m/>
    <m/>
    <m/>
  </r>
  <r>
    <s v="REMUNERACOES"/>
    <x v="21"/>
    <x v="1"/>
    <n v="27787.82"/>
    <s v="0000000127"/>
    <s v="0292"/>
    <d v="2022-12-01T00:00:00"/>
    <s v="320101"/>
    <s v="306"/>
    <s v="33"/>
    <s v="Credito"/>
    <x v="2"/>
    <x v="216"/>
    <m/>
    <s v="000252"/>
    <s v="000132"/>
    <n v="27787.82"/>
    <s v="0,00"/>
    <s v="0,00"/>
    <s v="0,00"/>
    <s v="0,00"/>
    <s v="ORC2022_2"/>
    <s v="0012"/>
    <m/>
    <m/>
    <m/>
    <m/>
    <m/>
  </r>
  <r>
    <s v="REMUNERACOES"/>
    <x v="21"/>
    <x v="1"/>
    <n v="67630.16"/>
    <s v="0000000127"/>
    <s v="0293"/>
    <d v="2022-12-01T00:00:00"/>
    <s v="320101"/>
    <s v="301"/>
    <s v="90"/>
    <s v="Credito"/>
    <x v="2"/>
    <x v="216"/>
    <m/>
    <s v="000252"/>
    <s v="000132"/>
    <n v="67630.16"/>
    <s v="0,00"/>
    <s v="0,00"/>
    <s v="0,00"/>
    <s v="0,00"/>
    <s v="ORC2022_2"/>
    <s v="0012"/>
    <m/>
    <m/>
    <m/>
    <m/>
    <m/>
  </r>
  <r>
    <s v="REMUNERACOES"/>
    <x v="21"/>
    <x v="1"/>
    <n v="268.55"/>
    <s v="0000000127"/>
    <s v="0294"/>
    <d v="2022-12-01T00:00:00"/>
    <s v="320101"/>
    <s v="302"/>
    <s v="90"/>
    <s v="Credito"/>
    <x v="2"/>
    <x v="216"/>
    <m/>
    <s v="000252"/>
    <s v="000132"/>
    <n v="268.55"/>
    <s v="0,00"/>
    <s v="0,00"/>
    <s v="0,00"/>
    <s v="0,00"/>
    <s v="ORC2022_2"/>
    <s v="0012"/>
    <m/>
    <m/>
    <m/>
    <m/>
    <m/>
  </r>
  <r>
    <s v="ENCARGOS SOCIAIS"/>
    <x v="27"/>
    <x v="8"/>
    <n v="107.25"/>
    <s v="0000000127"/>
    <s v="0295"/>
    <d v="2022-01-01T00:00:00"/>
    <s v="320102"/>
    <s v="301"/>
    <s v="11"/>
    <s v="Credito"/>
    <x v="2"/>
    <x v="216"/>
    <m/>
    <s v="000252"/>
    <s v="000132"/>
    <n v="107.25"/>
    <s v="0,00"/>
    <s v="0,00"/>
    <s v="0,00"/>
    <s v="0,00"/>
    <s v="ORC2022_2"/>
    <s v="0012"/>
    <m/>
    <m/>
    <m/>
    <m/>
    <m/>
  </r>
  <r>
    <s v="ENCARGOS SOCIAIS"/>
    <x v="27"/>
    <x v="8"/>
    <n v="9964.65"/>
    <s v="0000000127"/>
    <s v="0296"/>
    <d v="2022-01-01T00:00:00"/>
    <s v="320102"/>
    <s v="302"/>
    <s v="11"/>
    <s v="Credito"/>
    <x v="2"/>
    <x v="216"/>
    <m/>
    <s v="000252"/>
    <s v="000132"/>
    <n v="9964.65"/>
    <s v="0,00"/>
    <s v="0,00"/>
    <s v="0,00"/>
    <s v="0,00"/>
    <s v="ORC2022_2"/>
    <s v="0012"/>
    <m/>
    <m/>
    <m/>
    <m/>
    <m/>
  </r>
  <r>
    <s v="ENCARGOS SOCIAIS"/>
    <x v="27"/>
    <x v="8"/>
    <n v="35994.49"/>
    <s v="0000000127"/>
    <s v="0297"/>
    <d v="2022-01-01T00:00:00"/>
    <s v="320102"/>
    <s v="304"/>
    <s v="11"/>
    <s v="Credito"/>
    <x v="2"/>
    <x v="216"/>
    <m/>
    <s v="000252"/>
    <s v="000132"/>
    <n v="35994.49"/>
    <s v="0,00"/>
    <s v="0,00"/>
    <s v="0,00"/>
    <s v="0,00"/>
    <s v="ORC2022_2"/>
    <s v="0012"/>
    <m/>
    <m/>
    <m/>
    <m/>
    <m/>
  </r>
  <r>
    <s v="ENCARGOS SOCIAIS"/>
    <x v="27"/>
    <x v="8"/>
    <n v="1308.72"/>
    <s v="0000000127"/>
    <s v="0298"/>
    <d v="2022-01-01T00:00:00"/>
    <s v="320102"/>
    <s v="305"/>
    <s v="11"/>
    <s v="Credito"/>
    <x v="2"/>
    <x v="216"/>
    <m/>
    <s v="000252"/>
    <s v="000132"/>
    <n v="1308.72"/>
    <s v="0,00"/>
    <s v="0,00"/>
    <s v="0,00"/>
    <s v="0,00"/>
    <s v="ORC2022_2"/>
    <s v="0012"/>
    <m/>
    <m/>
    <m/>
    <m/>
    <m/>
  </r>
  <r>
    <s v="ENCARGOS SOCIAIS"/>
    <x v="27"/>
    <x v="8"/>
    <n v="16370.45"/>
    <s v="0000000127"/>
    <s v="0299"/>
    <d v="2022-01-01T00:00:00"/>
    <s v="320102"/>
    <s v="301"/>
    <s v="21"/>
    <s v="Credito"/>
    <x v="2"/>
    <x v="216"/>
    <m/>
    <s v="000252"/>
    <s v="000132"/>
    <n v="16370.45"/>
    <s v="0,00"/>
    <s v="0,00"/>
    <s v="0,00"/>
    <s v="0,00"/>
    <s v="ORC2022_2"/>
    <s v="0012"/>
    <m/>
    <m/>
    <m/>
    <m/>
    <m/>
  </r>
  <r>
    <s v="ENCARGOS SOCIAIS"/>
    <x v="27"/>
    <x v="8"/>
    <n v="49669.33"/>
    <s v="0000000127"/>
    <s v="0300"/>
    <d v="2022-01-01T00:00:00"/>
    <s v="320102"/>
    <s v="303"/>
    <s v="21"/>
    <s v="Credito"/>
    <x v="2"/>
    <x v="216"/>
    <m/>
    <s v="000252"/>
    <s v="000132"/>
    <n v="49669.33"/>
    <s v="0,00"/>
    <s v="0,00"/>
    <s v="0,00"/>
    <s v="0,00"/>
    <s v="ORC2022_2"/>
    <s v="0012"/>
    <m/>
    <m/>
    <m/>
    <m/>
    <m/>
  </r>
  <r>
    <s v="ENCARGOS SOCIAIS"/>
    <x v="27"/>
    <x v="8"/>
    <n v="265880.93"/>
    <s v="0000000127"/>
    <s v="0301"/>
    <d v="2022-01-01T00:00:00"/>
    <s v="320102"/>
    <s v="305"/>
    <s v="21"/>
    <s v="Credito"/>
    <x v="2"/>
    <x v="216"/>
    <m/>
    <s v="000252"/>
    <s v="000132"/>
    <n v="265880.93"/>
    <s v="0,00"/>
    <s v="0,00"/>
    <s v="0,00"/>
    <s v="0,00"/>
    <s v="ORC2022_2"/>
    <s v="0012"/>
    <m/>
    <m/>
    <m/>
    <m/>
    <m/>
  </r>
  <r>
    <s v="ENCARGOS SOCIAIS"/>
    <x v="27"/>
    <x v="8"/>
    <n v="3882.27"/>
    <s v="0000000127"/>
    <s v="0302"/>
    <d v="2022-01-01T00:00:00"/>
    <s v="320102"/>
    <s v="301"/>
    <s v="32"/>
    <s v="Credito"/>
    <x v="2"/>
    <x v="216"/>
    <m/>
    <s v="000252"/>
    <s v="000132"/>
    <n v="3882.27"/>
    <s v="0,00"/>
    <s v="0,00"/>
    <s v="0,00"/>
    <s v="0,00"/>
    <s v="ORC2022_2"/>
    <s v="0012"/>
    <m/>
    <m/>
    <m/>
    <m/>
    <m/>
  </r>
  <r>
    <s v="ENCARGOS SOCIAIS"/>
    <x v="27"/>
    <x v="8"/>
    <n v="19189.490000000002"/>
    <s v="0000000127"/>
    <s v="0303"/>
    <d v="2022-01-01T00:00:00"/>
    <s v="320102"/>
    <s v="305"/>
    <s v="32"/>
    <s v="Credito"/>
    <x v="2"/>
    <x v="216"/>
    <m/>
    <s v="000252"/>
    <s v="000132"/>
    <n v="19189.490000000002"/>
    <s v="0,00"/>
    <s v="0,00"/>
    <s v="0,00"/>
    <s v="0,00"/>
    <s v="ORC2022_2"/>
    <s v="0012"/>
    <m/>
    <m/>
    <m/>
    <m/>
    <m/>
  </r>
  <r>
    <s v="ENCARGOS SOCIAIS"/>
    <x v="27"/>
    <x v="8"/>
    <n v="4015.74"/>
    <s v="0000000127"/>
    <s v="0304"/>
    <d v="2022-01-01T00:00:00"/>
    <s v="320102"/>
    <s v="306"/>
    <s v="33"/>
    <s v="Credito"/>
    <x v="2"/>
    <x v="216"/>
    <m/>
    <s v="000252"/>
    <s v="000132"/>
    <n v="4015.74"/>
    <s v="0,00"/>
    <s v="0,00"/>
    <s v="0,00"/>
    <s v="0,00"/>
    <s v="ORC2022_2"/>
    <s v="0012"/>
    <m/>
    <m/>
    <m/>
    <m/>
    <m/>
  </r>
  <r>
    <s v="ENCARGOS SOCIAIS"/>
    <x v="27"/>
    <x v="8"/>
    <n v="10122.93"/>
    <s v="0000000127"/>
    <s v="0305"/>
    <d v="2022-01-01T00:00:00"/>
    <s v="320102"/>
    <s v="301"/>
    <s v="90"/>
    <s v="Credito"/>
    <x v="2"/>
    <x v="216"/>
    <m/>
    <s v="000252"/>
    <s v="000132"/>
    <n v="10122.93"/>
    <s v="0,00"/>
    <s v="0,00"/>
    <s v="0,00"/>
    <s v="0,00"/>
    <s v="ORC2022_2"/>
    <s v="0012"/>
    <m/>
    <m/>
    <m/>
    <m/>
    <m/>
  </r>
  <r>
    <s v="ENCARGOS SOCIAIS"/>
    <x v="27"/>
    <x v="9"/>
    <n v="95.69"/>
    <s v="0000000127"/>
    <s v="0306"/>
    <d v="2022-02-01T00:00:00"/>
    <s v="320102"/>
    <s v="301"/>
    <s v="11"/>
    <s v="Credito"/>
    <x v="2"/>
    <x v="216"/>
    <m/>
    <s v="000252"/>
    <s v="000132"/>
    <n v="95.69"/>
    <s v="0,00"/>
    <s v="0,00"/>
    <s v="0,00"/>
    <s v="0,00"/>
    <s v="ORC2022_2"/>
    <s v="0012"/>
    <m/>
    <m/>
    <m/>
    <m/>
    <m/>
  </r>
  <r>
    <s v="ENCARGOS SOCIAIS"/>
    <x v="27"/>
    <x v="9"/>
    <n v="10780.29"/>
    <s v="0000000127"/>
    <s v="0307"/>
    <d v="2022-02-01T00:00:00"/>
    <s v="320102"/>
    <s v="302"/>
    <s v="11"/>
    <s v="Credito"/>
    <x v="2"/>
    <x v="216"/>
    <m/>
    <s v="000252"/>
    <s v="000132"/>
    <n v="10780.29"/>
    <s v="0,00"/>
    <s v="0,00"/>
    <s v="0,00"/>
    <s v="0,00"/>
    <s v="ORC2022_2"/>
    <s v="0012"/>
    <m/>
    <m/>
    <m/>
    <m/>
    <m/>
  </r>
  <r>
    <s v="ENCARGOS SOCIAIS"/>
    <x v="27"/>
    <x v="9"/>
    <n v="16755.43"/>
    <s v="0000000127"/>
    <s v="0308"/>
    <d v="2022-02-01T00:00:00"/>
    <s v="320102"/>
    <s v="304"/>
    <s v="11"/>
    <s v="Credito"/>
    <x v="2"/>
    <x v="216"/>
    <m/>
    <s v="000252"/>
    <s v="000132"/>
    <n v="16755.43"/>
    <s v="0,00"/>
    <s v="0,00"/>
    <s v="0,00"/>
    <s v="0,00"/>
    <s v="ORC2022_2"/>
    <s v="0012"/>
    <m/>
    <m/>
    <m/>
    <m/>
    <m/>
  </r>
  <r>
    <s v="ENCARGOS SOCIAIS"/>
    <x v="27"/>
    <x v="9"/>
    <n v="769.03"/>
    <s v="0000000127"/>
    <s v="0309"/>
    <d v="2022-02-01T00:00:00"/>
    <s v="320102"/>
    <s v="305"/>
    <s v="11"/>
    <s v="Credito"/>
    <x v="2"/>
    <x v="216"/>
    <m/>
    <s v="000252"/>
    <s v="000132"/>
    <n v="769.03"/>
    <s v="0,00"/>
    <s v="0,00"/>
    <s v="0,00"/>
    <s v="0,00"/>
    <s v="ORC2022_2"/>
    <s v="0012"/>
    <m/>
    <m/>
    <m/>
    <m/>
    <m/>
  </r>
  <r>
    <s v="ENCARGOS SOCIAIS"/>
    <x v="27"/>
    <x v="9"/>
    <n v="6408.15"/>
    <s v="0000000127"/>
    <s v="0310"/>
    <d v="2022-02-01T00:00:00"/>
    <s v="320102"/>
    <s v="301"/>
    <s v="21"/>
    <s v="Credito"/>
    <x v="2"/>
    <x v="216"/>
    <m/>
    <s v="000252"/>
    <s v="000132"/>
    <n v="6408.15"/>
    <s v="0,00"/>
    <s v="0,00"/>
    <s v="0,00"/>
    <s v="0,00"/>
    <s v="ORC2022_2"/>
    <s v="0012"/>
    <m/>
    <m/>
    <m/>
    <m/>
    <m/>
  </r>
  <r>
    <s v="ENCARGOS SOCIAIS"/>
    <x v="27"/>
    <x v="9"/>
    <n v="24397.84"/>
    <s v="0000000127"/>
    <s v="0311"/>
    <d v="2022-02-01T00:00:00"/>
    <s v="320102"/>
    <s v="303"/>
    <s v="21"/>
    <s v="Credito"/>
    <x v="2"/>
    <x v="216"/>
    <m/>
    <s v="000252"/>
    <s v="000132"/>
    <n v="24397.84"/>
    <s v="0,00"/>
    <s v="0,00"/>
    <s v="0,00"/>
    <s v="0,00"/>
    <s v="ORC2022_2"/>
    <s v="0012"/>
    <m/>
    <m/>
    <m/>
    <m/>
    <m/>
  </r>
  <r>
    <s v="ENCARGOS SOCIAIS"/>
    <x v="27"/>
    <x v="9"/>
    <n v="126857.48"/>
    <s v="0000000127"/>
    <s v="0312"/>
    <d v="2022-02-01T00:00:00"/>
    <s v="320102"/>
    <s v="305"/>
    <s v="21"/>
    <s v="Credito"/>
    <x v="2"/>
    <x v="216"/>
    <m/>
    <s v="000252"/>
    <s v="000132"/>
    <n v="126857.48"/>
    <s v="0,00"/>
    <s v="0,00"/>
    <s v="0,00"/>
    <s v="0,00"/>
    <s v="ORC2022_2"/>
    <s v="0012"/>
    <m/>
    <m/>
    <m/>
    <m/>
    <m/>
  </r>
  <r>
    <s v="ENCARGOS SOCIAIS"/>
    <x v="27"/>
    <x v="9"/>
    <n v="1918.81"/>
    <s v="0000000127"/>
    <s v="0313"/>
    <d v="2022-02-01T00:00:00"/>
    <s v="320102"/>
    <s v="301"/>
    <s v="32"/>
    <s v="Credito"/>
    <x v="2"/>
    <x v="216"/>
    <m/>
    <s v="000252"/>
    <s v="000132"/>
    <n v="1918.81"/>
    <s v="0,00"/>
    <s v="0,00"/>
    <s v="0,00"/>
    <s v="0,00"/>
    <s v="ORC2022_2"/>
    <s v="0012"/>
    <m/>
    <m/>
    <m/>
    <m/>
    <m/>
  </r>
  <r>
    <s v="ENCARGOS SOCIAIS"/>
    <x v="27"/>
    <x v="9"/>
    <n v="8647.9599999999991"/>
    <s v="0000000127"/>
    <s v="0314"/>
    <d v="2022-02-01T00:00:00"/>
    <s v="320102"/>
    <s v="305"/>
    <s v="32"/>
    <s v="Credito"/>
    <x v="2"/>
    <x v="216"/>
    <m/>
    <s v="000252"/>
    <s v="000132"/>
    <n v="8647.9599999999991"/>
    <s v="0,00"/>
    <s v="0,00"/>
    <s v="0,00"/>
    <s v="0,00"/>
    <s v="ORC2022_2"/>
    <s v="0012"/>
    <m/>
    <m/>
    <m/>
    <m/>
    <m/>
  </r>
  <r>
    <s v="ENCARGOS SOCIAIS"/>
    <x v="27"/>
    <x v="9"/>
    <n v="4069.77"/>
    <s v="0000000127"/>
    <s v="0315"/>
    <d v="2022-02-01T00:00:00"/>
    <s v="320102"/>
    <s v="306"/>
    <s v="33"/>
    <s v="Credito"/>
    <x v="2"/>
    <x v="216"/>
    <m/>
    <s v="000252"/>
    <s v="000132"/>
    <n v="4069.77"/>
    <s v="0,00"/>
    <s v="0,00"/>
    <s v="0,00"/>
    <s v="0,00"/>
    <s v="ORC2022_2"/>
    <s v="0012"/>
    <m/>
    <m/>
    <m/>
    <m/>
    <m/>
  </r>
  <r>
    <s v="ENCARGOS SOCIAIS"/>
    <x v="27"/>
    <x v="9"/>
    <n v="9627.57"/>
    <s v="0000000127"/>
    <s v="0316"/>
    <d v="2022-02-01T00:00:00"/>
    <s v="320102"/>
    <s v="301"/>
    <s v="90"/>
    <s v="Credito"/>
    <x v="2"/>
    <x v="216"/>
    <m/>
    <s v="000252"/>
    <s v="000132"/>
    <n v="9627.57"/>
    <s v="0,00"/>
    <s v="0,00"/>
    <s v="0,00"/>
    <s v="0,00"/>
    <s v="ORC2022_2"/>
    <s v="0012"/>
    <m/>
    <m/>
    <m/>
    <m/>
    <m/>
  </r>
  <r>
    <s v="ENCARGOS SOCIAIS"/>
    <x v="27"/>
    <x v="10"/>
    <n v="135.88"/>
    <s v="0000000127"/>
    <s v="0317"/>
    <d v="2022-03-01T00:00:00"/>
    <s v="320102"/>
    <s v="301"/>
    <s v="11"/>
    <s v="Credito"/>
    <x v="2"/>
    <x v="216"/>
    <m/>
    <s v="000252"/>
    <s v="000132"/>
    <n v="135.88"/>
    <s v="0,00"/>
    <s v="0,00"/>
    <s v="0,00"/>
    <s v="0,00"/>
    <s v="ORC2022_2"/>
    <s v="0012"/>
    <m/>
    <m/>
    <m/>
    <m/>
    <m/>
  </r>
  <r>
    <s v="ENCARGOS SOCIAIS"/>
    <x v="27"/>
    <x v="10"/>
    <n v="9753.0400000000009"/>
    <s v="0000000127"/>
    <s v="0318"/>
    <d v="2022-03-01T00:00:00"/>
    <s v="320102"/>
    <s v="302"/>
    <s v="11"/>
    <s v="Credito"/>
    <x v="2"/>
    <x v="216"/>
    <m/>
    <s v="000252"/>
    <s v="000132"/>
    <n v="9753.0400000000009"/>
    <s v="0,00"/>
    <s v="0,00"/>
    <s v="0,00"/>
    <s v="0,00"/>
    <s v="ORC2022_2"/>
    <s v="0012"/>
    <m/>
    <m/>
    <m/>
    <m/>
    <m/>
  </r>
  <r>
    <s v="ENCARGOS SOCIAIS"/>
    <x v="27"/>
    <x v="10"/>
    <n v="14580.92"/>
    <s v="0000000127"/>
    <s v="0319"/>
    <d v="2022-03-01T00:00:00"/>
    <s v="320102"/>
    <s v="304"/>
    <s v="11"/>
    <s v="Credito"/>
    <x v="2"/>
    <x v="216"/>
    <m/>
    <s v="000252"/>
    <s v="000132"/>
    <n v="14580.92"/>
    <s v="0,00"/>
    <s v="0,00"/>
    <s v="0,00"/>
    <s v="0,00"/>
    <s v="ORC2022_2"/>
    <s v="0012"/>
    <m/>
    <m/>
    <m/>
    <m/>
    <m/>
  </r>
  <r>
    <s v="ENCARGOS SOCIAIS"/>
    <x v="27"/>
    <x v="10"/>
    <n v="723.81"/>
    <s v="0000000127"/>
    <s v="0320"/>
    <d v="2022-03-01T00:00:00"/>
    <s v="320102"/>
    <s v="305"/>
    <s v="11"/>
    <s v="Credito"/>
    <x v="2"/>
    <x v="216"/>
    <m/>
    <s v="000252"/>
    <s v="000132"/>
    <n v="723.81"/>
    <s v="0,00"/>
    <s v="0,00"/>
    <s v="0,00"/>
    <s v="0,00"/>
    <s v="ORC2022_2"/>
    <s v="0012"/>
    <m/>
    <m/>
    <m/>
    <m/>
    <m/>
  </r>
  <r>
    <s v="ENCARGOS SOCIAIS"/>
    <x v="27"/>
    <x v="10"/>
    <n v="6436.93"/>
    <s v="0000000127"/>
    <s v="0321"/>
    <d v="2022-03-01T00:00:00"/>
    <s v="320102"/>
    <s v="301"/>
    <s v="21"/>
    <s v="Credito"/>
    <x v="2"/>
    <x v="216"/>
    <m/>
    <s v="000252"/>
    <s v="000132"/>
    <n v="6436.93"/>
    <s v="0,00"/>
    <s v="0,00"/>
    <s v="0,00"/>
    <s v="0,00"/>
    <s v="ORC2022_2"/>
    <s v="0012"/>
    <m/>
    <m/>
    <m/>
    <m/>
    <m/>
  </r>
  <r>
    <s v="ENCARGOS SOCIAIS"/>
    <x v="27"/>
    <x v="10"/>
    <n v="25476.31"/>
    <s v="0000000127"/>
    <s v="0322"/>
    <d v="2022-03-01T00:00:00"/>
    <s v="320102"/>
    <s v="303"/>
    <s v="21"/>
    <s v="Credito"/>
    <x v="2"/>
    <x v="216"/>
    <m/>
    <s v="000252"/>
    <s v="000132"/>
    <n v="25476.31"/>
    <s v="0,00"/>
    <s v="0,00"/>
    <s v="0,00"/>
    <s v="0,00"/>
    <s v="ORC2022_2"/>
    <s v="0012"/>
    <m/>
    <m/>
    <m/>
    <m/>
    <m/>
  </r>
  <r>
    <s v="ENCARGOS SOCIAIS"/>
    <x v="27"/>
    <x v="10"/>
    <n v="129674.91"/>
    <s v="0000000127"/>
    <s v="0323"/>
    <d v="2022-03-01T00:00:00"/>
    <s v="320102"/>
    <s v="305"/>
    <s v="21"/>
    <s v="Credito"/>
    <x v="2"/>
    <x v="216"/>
    <m/>
    <s v="000252"/>
    <s v="000132"/>
    <n v="129674.91"/>
    <s v="0,00"/>
    <s v="0,00"/>
    <s v="0,00"/>
    <s v="0,00"/>
    <s v="ORC2022_2"/>
    <s v="0012"/>
    <m/>
    <m/>
    <m/>
    <m/>
    <m/>
  </r>
  <r>
    <s v="ENCARGOS SOCIAIS"/>
    <x v="27"/>
    <x v="10"/>
    <n v="2097.33"/>
    <s v="0000000127"/>
    <s v="0324"/>
    <d v="2022-03-01T00:00:00"/>
    <s v="320102"/>
    <s v="301"/>
    <s v="32"/>
    <s v="Credito"/>
    <x v="2"/>
    <x v="216"/>
    <m/>
    <s v="000252"/>
    <s v="000132"/>
    <n v="2097.33"/>
    <s v="0,00"/>
    <s v="0,00"/>
    <s v="0,00"/>
    <s v="0,00"/>
    <s v="ORC2022_2"/>
    <s v="0012"/>
    <m/>
    <m/>
    <m/>
    <m/>
    <m/>
  </r>
  <r>
    <s v="ENCARGOS SOCIAIS"/>
    <x v="27"/>
    <x v="10"/>
    <n v="8695.09"/>
    <s v="0000000127"/>
    <s v="0325"/>
    <d v="2022-03-01T00:00:00"/>
    <s v="320102"/>
    <s v="305"/>
    <s v="32"/>
    <s v="Credito"/>
    <x v="2"/>
    <x v="216"/>
    <m/>
    <s v="000252"/>
    <s v="000132"/>
    <n v="8695.09"/>
    <s v="0,00"/>
    <s v="0,00"/>
    <s v="0,00"/>
    <s v="0,00"/>
    <s v="ORC2022_2"/>
    <s v="0012"/>
    <m/>
    <m/>
    <m/>
    <m/>
    <m/>
  </r>
  <r>
    <s v="ENCARGOS SOCIAIS"/>
    <x v="27"/>
    <x v="10"/>
    <n v="3985.81"/>
    <s v="0000000127"/>
    <s v="0326"/>
    <d v="2022-03-01T00:00:00"/>
    <s v="320102"/>
    <s v="306"/>
    <s v="33"/>
    <s v="Credito"/>
    <x v="2"/>
    <x v="216"/>
    <m/>
    <s v="000252"/>
    <s v="000132"/>
    <n v="3985.81"/>
    <s v="0,00"/>
    <s v="0,00"/>
    <s v="0,00"/>
    <s v="0,00"/>
    <s v="ORC2022_2"/>
    <s v="0012"/>
    <m/>
    <m/>
    <m/>
    <m/>
    <m/>
  </r>
  <r>
    <s v="ENCARGOS SOCIAIS"/>
    <x v="27"/>
    <x v="10"/>
    <n v="10147.18"/>
    <s v="0000000127"/>
    <s v="0327"/>
    <d v="2022-03-01T00:00:00"/>
    <s v="320102"/>
    <s v="301"/>
    <s v="90"/>
    <s v="Credito"/>
    <x v="2"/>
    <x v="216"/>
    <m/>
    <s v="000252"/>
    <s v="000132"/>
    <n v="10147.18"/>
    <s v="0,00"/>
    <s v="0,00"/>
    <s v="0,00"/>
    <s v="0,00"/>
    <s v="ORC2022_2"/>
    <s v="0012"/>
    <m/>
    <m/>
    <m/>
    <m/>
    <m/>
  </r>
  <r>
    <s v="ENCARGOS SOCIAIS"/>
    <x v="27"/>
    <x v="11"/>
    <n v="101.68"/>
    <s v="0000000127"/>
    <s v="0328"/>
    <d v="2022-04-01T00:00:00"/>
    <s v="320102"/>
    <s v="301"/>
    <s v="11"/>
    <s v="Credito"/>
    <x v="2"/>
    <x v="216"/>
    <m/>
    <s v="000252"/>
    <s v="000132"/>
    <n v="101.68"/>
    <s v="0,00"/>
    <s v="0,00"/>
    <s v="0,00"/>
    <s v="0,00"/>
    <s v="ORC2022_2"/>
    <s v="0012"/>
    <m/>
    <m/>
    <m/>
    <m/>
    <m/>
  </r>
  <r>
    <s v="ENCARGOS SOCIAIS"/>
    <x v="27"/>
    <x v="11"/>
    <n v="9241.94"/>
    <s v="0000000127"/>
    <s v="0329"/>
    <d v="2022-04-01T00:00:00"/>
    <s v="320102"/>
    <s v="302"/>
    <s v="11"/>
    <s v="Credito"/>
    <x v="2"/>
    <x v="216"/>
    <m/>
    <s v="000252"/>
    <s v="000132"/>
    <n v="9241.94"/>
    <s v="0,00"/>
    <s v="0,00"/>
    <s v="0,00"/>
    <s v="0,00"/>
    <s v="ORC2022_2"/>
    <s v="0012"/>
    <m/>
    <m/>
    <m/>
    <m/>
    <m/>
  </r>
  <r>
    <s v="ENCARGOS SOCIAIS"/>
    <x v="27"/>
    <x v="11"/>
    <n v="17515.32"/>
    <s v="0000000127"/>
    <s v="0330"/>
    <d v="2022-04-01T00:00:00"/>
    <s v="320102"/>
    <s v="304"/>
    <s v="11"/>
    <s v="Credito"/>
    <x v="2"/>
    <x v="216"/>
    <m/>
    <s v="000252"/>
    <s v="000132"/>
    <n v="17515.32"/>
    <s v="0,00"/>
    <s v="0,00"/>
    <s v="0,00"/>
    <s v="0,00"/>
    <s v="ORC2022_2"/>
    <s v="0012"/>
    <m/>
    <m/>
    <m/>
    <m/>
    <m/>
  </r>
  <r>
    <s v="ENCARGOS SOCIAIS"/>
    <x v="27"/>
    <x v="11"/>
    <n v="925.82"/>
    <s v="0000000127"/>
    <s v="0331"/>
    <d v="2022-04-01T00:00:00"/>
    <s v="320102"/>
    <s v="305"/>
    <s v="11"/>
    <s v="Credito"/>
    <x v="2"/>
    <x v="216"/>
    <m/>
    <s v="000252"/>
    <s v="000132"/>
    <n v="925.82"/>
    <s v="0,00"/>
    <s v="0,00"/>
    <s v="0,00"/>
    <s v="0,00"/>
    <s v="ORC2022_2"/>
    <s v="0012"/>
    <m/>
    <m/>
    <m/>
    <m/>
    <m/>
  </r>
  <r>
    <s v="ENCARGOS SOCIAIS"/>
    <x v="27"/>
    <x v="11"/>
    <n v="8565.8700000000008"/>
    <s v="0000000127"/>
    <s v="0332"/>
    <d v="2022-04-01T00:00:00"/>
    <s v="320102"/>
    <s v="301"/>
    <s v="21"/>
    <s v="Credito"/>
    <x v="2"/>
    <x v="216"/>
    <m/>
    <s v="000252"/>
    <s v="000132"/>
    <n v="8565.8700000000008"/>
    <s v="0,00"/>
    <s v="0,00"/>
    <s v="0,00"/>
    <s v="0,00"/>
    <s v="ORC2022_2"/>
    <s v="0012"/>
    <m/>
    <m/>
    <m/>
    <m/>
    <m/>
  </r>
  <r>
    <s v="ENCARGOS SOCIAIS"/>
    <x v="27"/>
    <x v="11"/>
    <n v="34073.74"/>
    <s v="0000000127"/>
    <s v="0333"/>
    <d v="2022-04-01T00:00:00"/>
    <s v="320102"/>
    <s v="303"/>
    <s v="21"/>
    <s v="Credito"/>
    <x v="2"/>
    <x v="216"/>
    <m/>
    <s v="000252"/>
    <s v="000132"/>
    <n v="34073.74"/>
    <s v="0,00"/>
    <s v="0,00"/>
    <s v="0,00"/>
    <s v="0,00"/>
    <s v="ORC2022_2"/>
    <s v="0012"/>
    <m/>
    <m/>
    <m/>
    <m/>
    <m/>
  </r>
  <r>
    <s v="ENCARGOS SOCIAIS"/>
    <x v="27"/>
    <x v="11"/>
    <n v="156327.49"/>
    <s v="0000000127"/>
    <s v="0334"/>
    <d v="2022-04-01T00:00:00"/>
    <s v="320102"/>
    <s v="305"/>
    <s v="21"/>
    <s v="Credito"/>
    <x v="2"/>
    <x v="216"/>
    <m/>
    <s v="000252"/>
    <s v="000132"/>
    <n v="156327.49"/>
    <s v="0,00"/>
    <s v="0,00"/>
    <s v="0,00"/>
    <s v="0,00"/>
    <s v="ORC2022_2"/>
    <s v="0012"/>
    <m/>
    <m/>
    <m/>
    <m/>
    <m/>
  </r>
  <r>
    <s v="ENCARGOS SOCIAIS"/>
    <x v="27"/>
    <x v="11"/>
    <n v="2432.9"/>
    <s v="0000000127"/>
    <s v="0335"/>
    <d v="2022-04-01T00:00:00"/>
    <s v="320102"/>
    <s v="301"/>
    <s v="32"/>
    <s v="Credito"/>
    <x v="2"/>
    <x v="216"/>
    <m/>
    <s v="000252"/>
    <s v="000132"/>
    <n v="2432.9"/>
    <s v="0,00"/>
    <s v="0,00"/>
    <s v="0,00"/>
    <s v="0,00"/>
    <s v="ORC2022_2"/>
    <s v="0012"/>
    <m/>
    <m/>
    <m/>
    <m/>
    <m/>
  </r>
  <r>
    <s v="ENCARGOS SOCIAIS"/>
    <x v="27"/>
    <x v="11"/>
    <n v="11029.59"/>
    <s v="0000000127"/>
    <s v="0336"/>
    <d v="2022-04-01T00:00:00"/>
    <s v="320102"/>
    <s v="305"/>
    <s v="32"/>
    <s v="Credito"/>
    <x v="2"/>
    <x v="216"/>
    <m/>
    <s v="000252"/>
    <s v="000132"/>
    <n v="11029.59"/>
    <s v="0,00"/>
    <s v="0,00"/>
    <s v="0,00"/>
    <s v="0,00"/>
    <s v="ORC2022_2"/>
    <s v="0012"/>
    <m/>
    <m/>
    <m/>
    <m/>
    <m/>
  </r>
  <r>
    <s v="ENCARGOS SOCIAIS"/>
    <x v="27"/>
    <x v="11"/>
    <n v="5083.6099999999997"/>
    <s v="0000000127"/>
    <s v="0337"/>
    <d v="2022-04-01T00:00:00"/>
    <s v="320102"/>
    <s v="306"/>
    <s v="33"/>
    <s v="Credito"/>
    <x v="2"/>
    <x v="216"/>
    <m/>
    <s v="000252"/>
    <s v="000132"/>
    <n v="5083.6099999999997"/>
    <s v="0,00"/>
    <s v="0,00"/>
    <s v="0,00"/>
    <s v="0,00"/>
    <s v="ORC2022_2"/>
    <s v="0012"/>
    <m/>
    <m/>
    <m/>
    <m/>
    <m/>
  </r>
  <r>
    <s v="ENCARGOS SOCIAIS"/>
    <x v="27"/>
    <x v="11"/>
    <n v="9394.2199999999993"/>
    <s v="0000000127"/>
    <s v="0338"/>
    <d v="2022-04-01T00:00:00"/>
    <s v="320102"/>
    <s v="301"/>
    <s v="90"/>
    <s v="Credito"/>
    <x v="2"/>
    <x v="216"/>
    <m/>
    <s v="000252"/>
    <s v="000132"/>
    <n v="9394.2199999999993"/>
    <s v="0,00"/>
    <s v="0,00"/>
    <s v="0,00"/>
    <s v="0,00"/>
    <s v="ORC2022_2"/>
    <s v="0012"/>
    <m/>
    <m/>
    <m/>
    <m/>
    <m/>
  </r>
  <r>
    <s v="ENCARGOS SOCIAIS"/>
    <x v="27"/>
    <x v="12"/>
    <n v="96.1"/>
    <s v="0000000127"/>
    <s v="0339"/>
    <d v="2022-05-01T00:00:00"/>
    <s v="320102"/>
    <s v="301"/>
    <s v="11"/>
    <s v="Credito"/>
    <x v="2"/>
    <x v="216"/>
    <m/>
    <s v="000252"/>
    <s v="000132"/>
    <n v="96.1"/>
    <s v="0,00"/>
    <s v="0,00"/>
    <s v="0,00"/>
    <s v="0,00"/>
    <s v="ORC2022_2"/>
    <s v="0012"/>
    <m/>
    <m/>
    <m/>
    <m/>
    <m/>
  </r>
  <r>
    <s v="ENCARGOS SOCIAIS"/>
    <x v="27"/>
    <x v="12"/>
    <n v="8705.9699999999993"/>
    <s v="0000000127"/>
    <s v="0340"/>
    <d v="2022-05-01T00:00:00"/>
    <s v="320102"/>
    <s v="302"/>
    <s v="11"/>
    <s v="Credito"/>
    <x v="2"/>
    <x v="216"/>
    <m/>
    <s v="000252"/>
    <s v="000132"/>
    <n v="8705.9699999999993"/>
    <s v="0,00"/>
    <s v="0,00"/>
    <s v="0,00"/>
    <s v="0,00"/>
    <s v="ORC2022_2"/>
    <s v="0012"/>
    <m/>
    <m/>
    <m/>
    <m/>
    <m/>
  </r>
  <r>
    <s v="ENCARGOS SOCIAIS"/>
    <x v="27"/>
    <x v="12"/>
    <n v="15905.57"/>
    <s v="0000000127"/>
    <s v="0341"/>
    <d v="2022-05-01T00:00:00"/>
    <s v="320102"/>
    <s v="304"/>
    <s v="11"/>
    <s v="Credito"/>
    <x v="2"/>
    <x v="216"/>
    <m/>
    <s v="000252"/>
    <s v="000132"/>
    <n v="15905.57"/>
    <s v="0,00"/>
    <s v="0,00"/>
    <s v="0,00"/>
    <s v="0,00"/>
    <s v="ORC2022_2"/>
    <s v="0012"/>
    <m/>
    <m/>
    <m/>
    <m/>
    <m/>
  </r>
  <r>
    <s v="ENCARGOS SOCIAIS"/>
    <x v="27"/>
    <x v="12"/>
    <n v="822.44"/>
    <s v="0000000127"/>
    <s v="0342"/>
    <d v="2022-05-01T00:00:00"/>
    <s v="320102"/>
    <s v="305"/>
    <s v="11"/>
    <s v="Credito"/>
    <x v="2"/>
    <x v="216"/>
    <m/>
    <s v="000252"/>
    <s v="000132"/>
    <n v="822.44"/>
    <s v="0,00"/>
    <s v="0,00"/>
    <s v="0,00"/>
    <s v="0,00"/>
    <s v="ORC2022_2"/>
    <s v="0012"/>
    <m/>
    <m/>
    <m/>
    <m/>
    <m/>
  </r>
  <r>
    <s v="ENCARGOS SOCIAIS"/>
    <x v="27"/>
    <x v="12"/>
    <n v="7150.85"/>
    <s v="0000000127"/>
    <s v="0343"/>
    <d v="2022-05-01T00:00:00"/>
    <s v="320102"/>
    <s v="301"/>
    <s v="21"/>
    <s v="Credito"/>
    <x v="2"/>
    <x v="216"/>
    <m/>
    <s v="000252"/>
    <s v="000132"/>
    <n v="7150.85"/>
    <s v="0,00"/>
    <s v="0,00"/>
    <s v="0,00"/>
    <s v="0,00"/>
    <s v="ORC2022_2"/>
    <s v="0012"/>
    <m/>
    <m/>
    <m/>
    <m/>
    <m/>
  </r>
  <r>
    <s v="ENCARGOS SOCIAIS"/>
    <x v="27"/>
    <x v="12"/>
    <n v="33761.129999999997"/>
    <s v="0000000127"/>
    <s v="0344"/>
    <d v="2022-05-01T00:00:00"/>
    <s v="320102"/>
    <s v="303"/>
    <s v="21"/>
    <s v="Credito"/>
    <x v="2"/>
    <x v="216"/>
    <m/>
    <s v="000252"/>
    <s v="000132"/>
    <n v="33761.129999999997"/>
    <s v="0,00"/>
    <s v="0,00"/>
    <s v="0,00"/>
    <s v="0,00"/>
    <s v="ORC2022_2"/>
    <s v="0012"/>
    <m/>
    <m/>
    <m/>
    <m/>
    <m/>
  </r>
  <r>
    <s v="ENCARGOS SOCIAIS"/>
    <x v="27"/>
    <x v="12"/>
    <n v="135932.10999999999"/>
    <s v="0000000127"/>
    <s v="0345"/>
    <d v="2022-05-01T00:00:00"/>
    <s v="320102"/>
    <s v="305"/>
    <s v="21"/>
    <s v="Credito"/>
    <x v="2"/>
    <x v="216"/>
    <m/>
    <s v="000252"/>
    <s v="000132"/>
    <n v="135932.10999999999"/>
    <s v="0,00"/>
    <s v="0,00"/>
    <s v="0,00"/>
    <s v="0,00"/>
    <s v="ORC2022_2"/>
    <s v="0012"/>
    <m/>
    <m/>
    <m/>
    <m/>
    <m/>
  </r>
  <r>
    <s v="ENCARGOS SOCIAIS"/>
    <x v="27"/>
    <x v="12"/>
    <n v="2072.34"/>
    <s v="0000000127"/>
    <s v="0346"/>
    <d v="2022-05-01T00:00:00"/>
    <s v="320102"/>
    <s v="301"/>
    <s v="32"/>
    <s v="Credito"/>
    <x v="2"/>
    <x v="216"/>
    <m/>
    <s v="000252"/>
    <s v="000132"/>
    <n v="2072.34"/>
    <s v="0,00"/>
    <s v="0,00"/>
    <s v="0,00"/>
    <s v="0,00"/>
    <s v="ORC2022_2"/>
    <s v="0012"/>
    <m/>
    <m/>
    <m/>
    <m/>
    <m/>
  </r>
  <r>
    <s v="ENCARGOS SOCIAIS"/>
    <x v="27"/>
    <x v="12"/>
    <n v="10644.87"/>
    <s v="0000000127"/>
    <s v="0347"/>
    <d v="2022-05-01T00:00:00"/>
    <s v="320102"/>
    <s v="305"/>
    <s v="32"/>
    <s v="Credito"/>
    <x v="2"/>
    <x v="216"/>
    <m/>
    <s v="000252"/>
    <s v="000132"/>
    <n v="10644.87"/>
    <s v="0,00"/>
    <s v="0,00"/>
    <s v="0,00"/>
    <s v="0,00"/>
    <s v="ORC2022_2"/>
    <s v="0012"/>
    <m/>
    <m/>
    <m/>
    <m/>
    <m/>
  </r>
  <r>
    <s v="ENCARGOS SOCIAIS"/>
    <x v="27"/>
    <x v="12"/>
    <n v="4391.88"/>
    <s v="0000000127"/>
    <s v="0348"/>
    <d v="2022-05-01T00:00:00"/>
    <s v="320102"/>
    <s v="306"/>
    <s v="33"/>
    <s v="Credito"/>
    <x v="2"/>
    <x v="216"/>
    <m/>
    <s v="000252"/>
    <s v="000132"/>
    <n v="4391.88"/>
    <s v="0,00"/>
    <s v="0,00"/>
    <s v="0,00"/>
    <s v="0,00"/>
    <s v="ORC2022_2"/>
    <s v="0012"/>
    <m/>
    <m/>
    <m/>
    <m/>
    <m/>
  </r>
  <r>
    <s v="ENCARGOS SOCIAIS"/>
    <x v="27"/>
    <x v="12"/>
    <n v="10216.44"/>
    <s v="0000000127"/>
    <s v="0349"/>
    <d v="2022-05-01T00:00:00"/>
    <s v="320102"/>
    <s v="301"/>
    <s v="90"/>
    <s v="Credito"/>
    <x v="2"/>
    <x v="216"/>
    <m/>
    <s v="000252"/>
    <s v="000132"/>
    <n v="10216.44"/>
    <s v="0,00"/>
    <s v="0,00"/>
    <s v="0,00"/>
    <s v="0,00"/>
    <s v="ORC2022_2"/>
    <s v="0012"/>
    <m/>
    <m/>
    <m/>
    <m/>
    <m/>
  </r>
  <r>
    <s v="ENCARGOS SOCIAIS"/>
    <x v="27"/>
    <x v="13"/>
    <n v="111.29"/>
    <s v="0000000127"/>
    <s v="0350"/>
    <d v="2022-06-01T00:00:00"/>
    <s v="320102"/>
    <s v="301"/>
    <s v="11"/>
    <s v="Credito"/>
    <x v="2"/>
    <x v="216"/>
    <m/>
    <s v="000252"/>
    <s v="000132"/>
    <n v="111.29"/>
    <s v="0,00"/>
    <s v="0,00"/>
    <s v="0,00"/>
    <s v="0,00"/>
    <s v="ORC2022_2"/>
    <s v="0012"/>
    <m/>
    <m/>
    <m/>
    <m/>
    <m/>
  </r>
  <r>
    <s v="ENCARGOS SOCIAIS"/>
    <x v="27"/>
    <x v="13"/>
    <n v="10275.030000000001"/>
    <s v="0000000127"/>
    <s v="0351"/>
    <d v="2022-06-01T00:00:00"/>
    <s v="320102"/>
    <s v="302"/>
    <s v="11"/>
    <s v="Credito"/>
    <x v="2"/>
    <x v="216"/>
    <m/>
    <s v="000252"/>
    <s v="000132"/>
    <n v="10275.030000000001"/>
    <s v="0,00"/>
    <s v="0,00"/>
    <s v="0,00"/>
    <s v="0,00"/>
    <s v="ORC2022_2"/>
    <s v="0012"/>
    <m/>
    <m/>
    <m/>
    <m/>
    <m/>
  </r>
  <r>
    <s v="ENCARGOS SOCIAIS"/>
    <x v="27"/>
    <x v="13"/>
    <n v="19644.259999999998"/>
    <s v="0000000127"/>
    <s v="0352"/>
    <d v="2022-06-01T00:00:00"/>
    <s v="320102"/>
    <s v="304"/>
    <s v="11"/>
    <s v="Credito"/>
    <x v="2"/>
    <x v="216"/>
    <m/>
    <s v="000252"/>
    <s v="000132"/>
    <n v="19644.259999999998"/>
    <s v="0,00"/>
    <s v="0,00"/>
    <s v="0,00"/>
    <s v="0,00"/>
    <s v="ORC2022_2"/>
    <s v="0012"/>
    <m/>
    <m/>
    <m/>
    <m/>
    <m/>
  </r>
  <r>
    <s v="ENCARGOS SOCIAIS"/>
    <x v="27"/>
    <x v="13"/>
    <n v="8268.4500000000007"/>
    <s v="0000000127"/>
    <s v="0353"/>
    <d v="2022-06-01T00:00:00"/>
    <s v="320102"/>
    <s v="301"/>
    <s v="21"/>
    <s v="Credito"/>
    <x v="2"/>
    <x v="216"/>
    <m/>
    <s v="000252"/>
    <s v="000132"/>
    <n v="8268.4500000000007"/>
    <s v="0,00"/>
    <s v="0,00"/>
    <s v="0,00"/>
    <s v="0,00"/>
    <s v="ORC2022_2"/>
    <s v="0012"/>
    <m/>
    <m/>
    <m/>
    <m/>
    <m/>
  </r>
  <r>
    <s v="ENCARGOS SOCIAIS"/>
    <x v="27"/>
    <x v="13"/>
    <n v="31271.15"/>
    <s v="0000000127"/>
    <s v="0354"/>
    <d v="2022-06-01T00:00:00"/>
    <s v="320102"/>
    <s v="303"/>
    <s v="21"/>
    <s v="Credito"/>
    <x v="2"/>
    <x v="216"/>
    <m/>
    <s v="000252"/>
    <s v="000132"/>
    <n v="31271.15"/>
    <s v="0,00"/>
    <s v="0,00"/>
    <s v="0,00"/>
    <s v="0,00"/>
    <s v="ORC2022_2"/>
    <s v="0012"/>
    <m/>
    <m/>
    <m/>
    <m/>
    <m/>
  </r>
  <r>
    <s v="ENCARGOS SOCIAIS"/>
    <x v="27"/>
    <x v="13"/>
    <n v="144227.6"/>
    <s v="0000000127"/>
    <s v="0355"/>
    <d v="2022-06-01T00:00:00"/>
    <s v="320102"/>
    <s v="305"/>
    <s v="21"/>
    <s v="Credito"/>
    <x v="2"/>
    <x v="216"/>
    <m/>
    <s v="000252"/>
    <s v="000132"/>
    <n v="144227.6"/>
    <s v="0,00"/>
    <s v="0,00"/>
    <s v="0,00"/>
    <s v="0,00"/>
    <s v="ORC2022_2"/>
    <s v="0012"/>
    <m/>
    <m/>
    <m/>
    <m/>
    <m/>
  </r>
  <r>
    <s v="ENCARGOS SOCIAIS"/>
    <x v="27"/>
    <x v="13"/>
    <n v="2428.98"/>
    <s v="0000000127"/>
    <s v="0356"/>
    <d v="2022-06-01T00:00:00"/>
    <s v="320102"/>
    <s v="301"/>
    <s v="32"/>
    <s v="Credito"/>
    <x v="2"/>
    <x v="216"/>
    <m/>
    <s v="000252"/>
    <s v="000132"/>
    <n v="2428.98"/>
    <s v="0,00"/>
    <s v="0,00"/>
    <s v="0,00"/>
    <s v="0,00"/>
    <s v="ORC2022_2"/>
    <s v="0012"/>
    <m/>
    <m/>
    <m/>
    <m/>
    <m/>
  </r>
  <r>
    <s v="ENCARGOS SOCIAIS"/>
    <x v="27"/>
    <x v="13"/>
    <n v="10120.98"/>
    <s v="0000000127"/>
    <s v="0357"/>
    <d v="2022-06-01T00:00:00"/>
    <s v="320102"/>
    <s v="305"/>
    <s v="32"/>
    <s v="Credito"/>
    <x v="2"/>
    <x v="216"/>
    <m/>
    <s v="000252"/>
    <s v="000132"/>
    <n v="10120.98"/>
    <s v="0,00"/>
    <s v="0,00"/>
    <s v="0,00"/>
    <s v="0,00"/>
    <s v="ORC2022_2"/>
    <s v="0012"/>
    <m/>
    <m/>
    <m/>
    <m/>
    <m/>
  </r>
  <r>
    <s v="ENCARGOS SOCIAIS"/>
    <x v="27"/>
    <x v="13"/>
    <n v="5228.07"/>
    <s v="0000000127"/>
    <s v="0358"/>
    <d v="2022-06-01T00:00:00"/>
    <s v="320102"/>
    <s v="306"/>
    <s v="33"/>
    <s v="Credito"/>
    <x v="2"/>
    <x v="216"/>
    <m/>
    <s v="000252"/>
    <s v="000132"/>
    <n v="5228.07"/>
    <s v="0,00"/>
    <s v="0,00"/>
    <s v="0,00"/>
    <s v="0,00"/>
    <s v="ORC2022_2"/>
    <s v="0012"/>
    <m/>
    <m/>
    <m/>
    <m/>
    <m/>
  </r>
  <r>
    <s v="ENCARGOS SOCIAIS"/>
    <x v="27"/>
    <x v="13"/>
    <n v="11273.51"/>
    <s v="0000000127"/>
    <s v="0359"/>
    <d v="2022-06-01T00:00:00"/>
    <s v="320102"/>
    <s v="301"/>
    <s v="90"/>
    <s v="Credito"/>
    <x v="2"/>
    <x v="216"/>
    <m/>
    <s v="000252"/>
    <s v="000132"/>
    <n v="11273.51"/>
    <s v="0,00"/>
    <s v="0,00"/>
    <s v="0,00"/>
    <s v="0,00"/>
    <s v="ORC2022_2"/>
    <s v="0012"/>
    <m/>
    <m/>
    <m/>
    <m/>
    <m/>
  </r>
  <r>
    <s v="ENCARGOS SOCIAIS"/>
    <x v="27"/>
    <x v="14"/>
    <n v="109.64"/>
    <s v="0000000127"/>
    <s v="0360"/>
    <d v="2022-07-01T00:00:00"/>
    <s v="320102"/>
    <s v="301"/>
    <s v="11"/>
    <s v="Credito"/>
    <x v="2"/>
    <x v="216"/>
    <m/>
    <s v="000252"/>
    <s v="000132"/>
    <n v="109.64"/>
    <s v="0,00"/>
    <s v="0,00"/>
    <s v="0,00"/>
    <s v="0,00"/>
    <s v="ORC2022_2"/>
    <s v="0012"/>
    <m/>
    <m/>
    <m/>
    <m/>
    <m/>
  </r>
  <r>
    <s v="ENCARGOS SOCIAIS"/>
    <x v="27"/>
    <x v="14"/>
    <n v="9584.7099999999991"/>
    <s v="0000000127"/>
    <s v="0361"/>
    <d v="2022-07-01T00:00:00"/>
    <s v="320102"/>
    <s v="302"/>
    <s v="11"/>
    <s v="Credito"/>
    <x v="2"/>
    <x v="216"/>
    <m/>
    <s v="000252"/>
    <s v="000132"/>
    <n v="9584.7099999999991"/>
    <s v="0,00"/>
    <s v="0,00"/>
    <s v="0,00"/>
    <s v="0,00"/>
    <s v="ORC2022_2"/>
    <s v="0012"/>
    <m/>
    <m/>
    <m/>
    <m/>
    <m/>
  </r>
  <r>
    <s v="ENCARGOS SOCIAIS"/>
    <x v="27"/>
    <x v="14"/>
    <n v="25515.599999999999"/>
    <s v="0000000127"/>
    <s v="0362"/>
    <d v="2022-07-01T00:00:00"/>
    <s v="320102"/>
    <s v="304"/>
    <s v="11"/>
    <s v="Credito"/>
    <x v="2"/>
    <x v="216"/>
    <m/>
    <s v="000252"/>
    <s v="000132"/>
    <n v="25515.599999999999"/>
    <s v="0,00"/>
    <s v="0,00"/>
    <s v="0,00"/>
    <s v="0,00"/>
    <s v="ORC2022_2"/>
    <s v="0012"/>
    <m/>
    <m/>
    <m/>
    <m/>
    <m/>
  </r>
  <r>
    <s v="ENCARGOS SOCIAIS"/>
    <x v="27"/>
    <x v="14"/>
    <n v="7650.82"/>
    <s v="0000000127"/>
    <s v="0363"/>
    <d v="2022-07-01T00:00:00"/>
    <s v="320102"/>
    <s v="301"/>
    <s v="21"/>
    <s v="Credito"/>
    <x v="2"/>
    <x v="216"/>
    <m/>
    <s v="000252"/>
    <s v="000132"/>
    <n v="7650.82"/>
    <s v="0,00"/>
    <s v="0,00"/>
    <s v="0,00"/>
    <s v="0,00"/>
    <s v="ORC2022_2"/>
    <s v="0012"/>
    <m/>
    <m/>
    <m/>
    <m/>
    <m/>
  </r>
  <r>
    <s v="ENCARGOS SOCIAIS"/>
    <x v="27"/>
    <x v="14"/>
    <n v="34196.400000000001"/>
    <s v="0000000127"/>
    <s v="0364"/>
    <d v="2022-07-01T00:00:00"/>
    <s v="320102"/>
    <s v="303"/>
    <s v="21"/>
    <s v="Credito"/>
    <x v="2"/>
    <x v="216"/>
    <m/>
    <s v="000252"/>
    <s v="000132"/>
    <n v="34196.400000000001"/>
    <s v="0,00"/>
    <s v="0,00"/>
    <s v="0,00"/>
    <s v="0,00"/>
    <s v="ORC2022_2"/>
    <s v="0012"/>
    <m/>
    <m/>
    <m/>
    <m/>
    <m/>
  </r>
  <r>
    <s v="ENCARGOS SOCIAIS"/>
    <x v="27"/>
    <x v="14"/>
    <n v="141263.67000000001"/>
    <s v="0000000127"/>
    <s v="0365"/>
    <d v="2022-07-01T00:00:00"/>
    <s v="320102"/>
    <s v="305"/>
    <s v="21"/>
    <s v="Credito"/>
    <x v="2"/>
    <x v="216"/>
    <m/>
    <s v="000252"/>
    <s v="000132"/>
    <n v="141263.67000000001"/>
    <s v="0,00"/>
    <s v="0,00"/>
    <s v="0,00"/>
    <s v="0,00"/>
    <s v="ORC2022_2"/>
    <s v="0012"/>
    <m/>
    <m/>
    <m/>
    <m/>
    <m/>
  </r>
  <r>
    <s v="ENCARGOS SOCIAIS"/>
    <x v="27"/>
    <x v="14"/>
    <n v="2279.56"/>
    <s v="0000000127"/>
    <s v="0366"/>
    <d v="2022-07-01T00:00:00"/>
    <s v="320102"/>
    <s v="301"/>
    <s v="32"/>
    <s v="Credito"/>
    <x v="2"/>
    <x v="216"/>
    <m/>
    <s v="000252"/>
    <s v="000132"/>
    <n v="2279.56"/>
    <s v="0,00"/>
    <s v="0,00"/>
    <s v="0,00"/>
    <s v="0,00"/>
    <s v="ORC2022_2"/>
    <s v="0012"/>
    <m/>
    <m/>
    <m/>
    <m/>
    <m/>
  </r>
  <r>
    <s v="ENCARGOS SOCIAIS"/>
    <x v="27"/>
    <x v="14"/>
    <n v="10264.99"/>
    <s v="0000000127"/>
    <s v="0367"/>
    <d v="2022-07-01T00:00:00"/>
    <s v="320102"/>
    <s v="305"/>
    <s v="32"/>
    <s v="Credito"/>
    <x v="2"/>
    <x v="216"/>
    <m/>
    <s v="000252"/>
    <s v="000132"/>
    <n v="10264.99"/>
    <s v="0,00"/>
    <s v="0,00"/>
    <s v="0,00"/>
    <s v="0,00"/>
    <s v="ORC2022_2"/>
    <s v="0012"/>
    <m/>
    <m/>
    <m/>
    <m/>
    <m/>
  </r>
  <r>
    <s v="ENCARGOS SOCIAIS"/>
    <x v="27"/>
    <x v="14"/>
    <n v="4798.37"/>
    <s v="0000000127"/>
    <s v="0368"/>
    <d v="2022-07-01T00:00:00"/>
    <s v="320102"/>
    <s v="306"/>
    <s v="33"/>
    <s v="Credito"/>
    <x v="2"/>
    <x v="216"/>
    <m/>
    <s v="000252"/>
    <s v="000132"/>
    <n v="4798.37"/>
    <s v="0,00"/>
    <s v="0,00"/>
    <s v="0,00"/>
    <s v="0,00"/>
    <s v="ORC2022_2"/>
    <s v="0012"/>
    <m/>
    <m/>
    <m/>
    <m/>
    <m/>
  </r>
  <r>
    <s v="ENCARGOS SOCIAIS"/>
    <x v="27"/>
    <x v="14"/>
    <n v="10730.06"/>
    <s v="0000000127"/>
    <s v="0369"/>
    <d v="2022-07-01T00:00:00"/>
    <s v="320102"/>
    <s v="301"/>
    <s v="90"/>
    <s v="Credito"/>
    <x v="2"/>
    <x v="216"/>
    <m/>
    <s v="000252"/>
    <s v="000132"/>
    <n v="10730.06"/>
    <s v="0,00"/>
    <s v="0,00"/>
    <s v="0,00"/>
    <s v="0,00"/>
    <s v="ORC2022_2"/>
    <s v="0012"/>
    <m/>
    <m/>
    <m/>
    <m/>
    <m/>
  </r>
  <r>
    <s v="ENCARGOS SOCIAIS"/>
    <x v="27"/>
    <x v="15"/>
    <n v="105.22"/>
    <s v="0000000127"/>
    <s v="0370"/>
    <d v="2022-08-01T00:00:00"/>
    <s v="320102"/>
    <s v="301"/>
    <s v="11"/>
    <s v="Credito"/>
    <x v="2"/>
    <x v="216"/>
    <m/>
    <s v="000252"/>
    <s v="000132"/>
    <n v="105.22"/>
    <s v="0,00"/>
    <s v="0,00"/>
    <s v="0,00"/>
    <s v="0,00"/>
    <s v="ORC2022_2"/>
    <s v="0012"/>
    <m/>
    <m/>
    <m/>
    <m/>
    <m/>
  </r>
  <r>
    <s v="ENCARGOS SOCIAIS"/>
    <x v="27"/>
    <x v="15"/>
    <n v="9865.0400000000009"/>
    <s v="0000000127"/>
    <s v="0371"/>
    <d v="2022-08-01T00:00:00"/>
    <s v="320102"/>
    <s v="302"/>
    <s v="11"/>
    <s v="Credito"/>
    <x v="2"/>
    <x v="216"/>
    <m/>
    <s v="000252"/>
    <s v="000132"/>
    <n v="9865.0400000000009"/>
    <s v="0,00"/>
    <s v="0,00"/>
    <s v="0,00"/>
    <s v="0,00"/>
    <s v="ORC2022_2"/>
    <s v="0012"/>
    <m/>
    <m/>
    <m/>
    <m/>
    <m/>
  </r>
  <r>
    <s v="ENCARGOS SOCIAIS"/>
    <x v="27"/>
    <x v="15"/>
    <n v="18444.96"/>
    <s v="0000000127"/>
    <s v="0372"/>
    <d v="2022-08-01T00:00:00"/>
    <s v="320102"/>
    <s v="304"/>
    <s v="11"/>
    <s v="Credito"/>
    <x v="2"/>
    <x v="216"/>
    <m/>
    <s v="000252"/>
    <s v="000132"/>
    <n v="18444.96"/>
    <s v="0,00"/>
    <s v="0,00"/>
    <s v="0,00"/>
    <s v="0,00"/>
    <s v="ORC2022_2"/>
    <s v="0012"/>
    <m/>
    <m/>
    <m/>
    <m/>
    <m/>
  </r>
  <r>
    <s v="ENCARGOS SOCIAIS"/>
    <x v="27"/>
    <x v="15"/>
    <n v="7646.62"/>
    <s v="0000000127"/>
    <s v="0373"/>
    <d v="2022-08-01T00:00:00"/>
    <s v="320102"/>
    <s v="301"/>
    <s v="21"/>
    <s v="Credito"/>
    <x v="2"/>
    <x v="216"/>
    <m/>
    <s v="000252"/>
    <s v="000132"/>
    <n v="7646.62"/>
    <s v="0,00"/>
    <s v="0,00"/>
    <s v="0,00"/>
    <s v="0,00"/>
    <s v="ORC2022_2"/>
    <s v="0012"/>
    <m/>
    <m/>
    <m/>
    <m/>
    <m/>
  </r>
  <r>
    <s v="ENCARGOS SOCIAIS"/>
    <x v="27"/>
    <x v="15"/>
    <n v="33742.050000000003"/>
    <s v="0000000127"/>
    <s v="0374"/>
    <d v="2022-08-01T00:00:00"/>
    <s v="320102"/>
    <s v="303"/>
    <s v="21"/>
    <s v="Credito"/>
    <x v="2"/>
    <x v="216"/>
    <m/>
    <s v="000252"/>
    <s v="000132"/>
    <n v="33742.050000000003"/>
    <s v="0,00"/>
    <s v="0,00"/>
    <s v="0,00"/>
    <s v="0,00"/>
    <s v="ORC2022_2"/>
    <s v="0012"/>
    <m/>
    <m/>
    <m/>
    <m/>
    <m/>
  </r>
  <r>
    <s v="ENCARGOS SOCIAIS"/>
    <x v="27"/>
    <x v="15"/>
    <n v="145411.26999999999"/>
    <s v="0000000127"/>
    <s v="0375"/>
    <d v="2022-08-01T00:00:00"/>
    <s v="320102"/>
    <s v="305"/>
    <s v="21"/>
    <s v="Credito"/>
    <x v="2"/>
    <x v="216"/>
    <m/>
    <s v="000252"/>
    <s v="000132"/>
    <n v="145411.26999999999"/>
    <s v="0,00"/>
    <s v="0,00"/>
    <s v="0,00"/>
    <s v="0,00"/>
    <s v="ORC2022_2"/>
    <s v="0012"/>
    <m/>
    <m/>
    <m/>
    <m/>
    <m/>
  </r>
  <r>
    <s v="ENCARGOS SOCIAIS"/>
    <x v="27"/>
    <x v="15"/>
    <n v="2279.58"/>
    <s v="0000000127"/>
    <s v="0376"/>
    <d v="2022-08-01T00:00:00"/>
    <s v="320102"/>
    <s v="301"/>
    <s v="32"/>
    <s v="Credito"/>
    <x v="2"/>
    <x v="216"/>
    <m/>
    <s v="000252"/>
    <s v="000132"/>
    <n v="2279.58"/>
    <s v="0,00"/>
    <s v="0,00"/>
    <s v="0,00"/>
    <s v="0,00"/>
    <s v="ORC2022_2"/>
    <s v="0012"/>
    <m/>
    <m/>
    <m/>
    <m/>
    <m/>
  </r>
  <r>
    <s v="ENCARGOS SOCIAIS"/>
    <x v="27"/>
    <x v="15"/>
    <n v="10468.74"/>
    <s v="0000000127"/>
    <s v="0377"/>
    <d v="2022-08-01T00:00:00"/>
    <s v="320102"/>
    <s v="305"/>
    <s v="32"/>
    <s v="Credito"/>
    <x v="2"/>
    <x v="216"/>
    <m/>
    <s v="000252"/>
    <s v="000132"/>
    <n v="10468.74"/>
    <s v="0,00"/>
    <s v="0,00"/>
    <s v="0,00"/>
    <s v="0,00"/>
    <s v="ORC2022_2"/>
    <s v="0012"/>
    <m/>
    <m/>
    <m/>
    <m/>
    <m/>
  </r>
  <r>
    <s v="ENCARGOS SOCIAIS"/>
    <x v="27"/>
    <x v="15"/>
    <n v="4730.29"/>
    <s v="0000000127"/>
    <s v="0378"/>
    <d v="2022-08-01T00:00:00"/>
    <s v="320102"/>
    <s v="306"/>
    <s v="33"/>
    <s v="Credito"/>
    <x v="2"/>
    <x v="216"/>
    <m/>
    <s v="000252"/>
    <s v="000132"/>
    <n v="4730.29"/>
    <s v="0,00"/>
    <s v="0,00"/>
    <s v="0,00"/>
    <s v="0,00"/>
    <s v="ORC2022_2"/>
    <s v="0012"/>
    <m/>
    <m/>
    <m/>
    <m/>
    <m/>
  </r>
  <r>
    <s v="ENCARGOS SOCIAIS"/>
    <x v="27"/>
    <x v="15"/>
    <n v="11225.65"/>
    <s v="0000000127"/>
    <s v="0379"/>
    <d v="2022-08-01T00:00:00"/>
    <s v="320102"/>
    <s v="301"/>
    <s v="90"/>
    <s v="Credito"/>
    <x v="2"/>
    <x v="216"/>
    <m/>
    <s v="000252"/>
    <s v="000132"/>
    <n v="11225.65"/>
    <s v="0,00"/>
    <s v="0,00"/>
    <s v="0,00"/>
    <s v="0,00"/>
    <s v="ORC2022_2"/>
    <s v="0012"/>
    <m/>
    <m/>
    <m/>
    <m/>
    <m/>
  </r>
  <r>
    <s v="ENCARGOS SOCIAIS"/>
    <x v="27"/>
    <x v="16"/>
    <n v="122.16"/>
    <s v="0000000127"/>
    <s v="0380"/>
    <d v="2022-09-01T00:00:00"/>
    <s v="320102"/>
    <s v="301"/>
    <s v="11"/>
    <s v="Credito"/>
    <x v="2"/>
    <x v="216"/>
    <m/>
    <s v="000252"/>
    <s v="000132"/>
    <n v="122.16"/>
    <s v="0,00"/>
    <s v="0,00"/>
    <s v="0,00"/>
    <s v="0,00"/>
    <s v="ORC2022_2"/>
    <s v="0012"/>
    <m/>
    <m/>
    <m/>
    <m/>
    <m/>
  </r>
  <r>
    <s v="ENCARGOS SOCIAIS"/>
    <x v="27"/>
    <x v="16"/>
    <n v="9264.41"/>
    <s v="0000000127"/>
    <s v="0381"/>
    <d v="2022-09-01T00:00:00"/>
    <s v="320102"/>
    <s v="302"/>
    <s v="11"/>
    <s v="Credito"/>
    <x v="2"/>
    <x v="216"/>
    <m/>
    <s v="000252"/>
    <s v="000132"/>
    <n v="9264.41"/>
    <s v="0,00"/>
    <s v="0,00"/>
    <s v="0,00"/>
    <s v="0,00"/>
    <s v="ORC2022_2"/>
    <s v="0012"/>
    <m/>
    <m/>
    <m/>
    <m/>
    <m/>
  </r>
  <r>
    <s v="ENCARGOS SOCIAIS"/>
    <x v="27"/>
    <x v="16"/>
    <n v="25885.89"/>
    <s v="0000000127"/>
    <s v="0382"/>
    <d v="2022-09-01T00:00:00"/>
    <s v="320102"/>
    <s v="304"/>
    <s v="11"/>
    <s v="Credito"/>
    <x v="2"/>
    <x v="216"/>
    <m/>
    <s v="000252"/>
    <s v="000132"/>
    <n v="25885.89"/>
    <s v="0,00"/>
    <s v="0,00"/>
    <s v="0,00"/>
    <s v="0,00"/>
    <s v="ORC2022_2"/>
    <s v="0012"/>
    <m/>
    <m/>
    <m/>
    <m/>
    <m/>
  </r>
  <r>
    <s v="ENCARGOS SOCIAIS"/>
    <x v="27"/>
    <x v="16"/>
    <n v="7665.66"/>
    <s v="0000000127"/>
    <s v="0383"/>
    <d v="2022-09-01T00:00:00"/>
    <s v="320102"/>
    <s v="301"/>
    <s v="21"/>
    <s v="Credito"/>
    <x v="2"/>
    <x v="216"/>
    <m/>
    <s v="000252"/>
    <s v="000132"/>
    <n v="7665.66"/>
    <s v="0,00"/>
    <s v="0,00"/>
    <s v="0,00"/>
    <s v="0,00"/>
    <s v="ORC2022_2"/>
    <s v="0012"/>
    <m/>
    <m/>
    <m/>
    <m/>
    <m/>
  </r>
  <r>
    <s v="ENCARGOS SOCIAIS"/>
    <x v="27"/>
    <x v="16"/>
    <n v="31210.65"/>
    <s v="0000000127"/>
    <s v="0384"/>
    <d v="2022-09-01T00:00:00"/>
    <s v="320102"/>
    <s v="303"/>
    <s v="21"/>
    <s v="Credito"/>
    <x v="2"/>
    <x v="216"/>
    <m/>
    <s v="000252"/>
    <s v="000132"/>
    <n v="31210.65"/>
    <s v="0,00"/>
    <s v="0,00"/>
    <s v="0,00"/>
    <s v="0,00"/>
    <s v="ORC2022_2"/>
    <s v="0012"/>
    <m/>
    <m/>
    <m/>
    <m/>
    <m/>
  </r>
  <r>
    <s v="ENCARGOS SOCIAIS"/>
    <x v="27"/>
    <x v="16"/>
    <n v="146568.14000000001"/>
    <s v="0000000127"/>
    <s v="0385"/>
    <d v="2022-09-01T00:00:00"/>
    <s v="320102"/>
    <s v="305"/>
    <s v="21"/>
    <s v="Credito"/>
    <x v="2"/>
    <x v="216"/>
    <m/>
    <s v="000252"/>
    <s v="000132"/>
    <n v="146568.14000000001"/>
    <s v="0,00"/>
    <s v="0,00"/>
    <s v="0,00"/>
    <s v="0,00"/>
    <s v="ORC2022_2"/>
    <s v="0012"/>
    <m/>
    <m/>
    <m/>
    <m/>
    <m/>
  </r>
  <r>
    <s v="ENCARGOS SOCIAIS"/>
    <x v="27"/>
    <x v="16"/>
    <n v="2279.58"/>
    <s v="0000000127"/>
    <s v="0386"/>
    <d v="2022-09-01T00:00:00"/>
    <s v="320102"/>
    <s v="301"/>
    <s v="32"/>
    <s v="Credito"/>
    <x v="2"/>
    <x v="216"/>
    <m/>
    <s v="000252"/>
    <s v="000132"/>
    <n v="2279.58"/>
    <s v="0,00"/>
    <s v="0,00"/>
    <s v="0,00"/>
    <s v="0,00"/>
    <s v="ORC2022_2"/>
    <s v="0012"/>
    <m/>
    <m/>
    <m/>
    <m/>
    <m/>
  </r>
  <r>
    <s v="ENCARGOS SOCIAIS"/>
    <x v="27"/>
    <x v="16"/>
    <n v="9975.6200000000008"/>
    <s v="0000000127"/>
    <s v="0387"/>
    <d v="2022-09-01T00:00:00"/>
    <s v="320102"/>
    <s v="305"/>
    <s v="32"/>
    <s v="Credito"/>
    <x v="2"/>
    <x v="216"/>
    <m/>
    <s v="000252"/>
    <s v="000132"/>
    <n v="9975.6200000000008"/>
    <s v="0,00"/>
    <s v="0,00"/>
    <s v="0,00"/>
    <s v="0,00"/>
    <s v="ORC2022_2"/>
    <s v="0012"/>
    <m/>
    <m/>
    <m/>
    <m/>
    <m/>
  </r>
  <r>
    <s v="ENCARGOS SOCIAIS"/>
    <x v="27"/>
    <x v="16"/>
    <n v="4791.4399999999996"/>
    <s v="0000000127"/>
    <s v="0388"/>
    <d v="2022-09-01T00:00:00"/>
    <s v="320102"/>
    <s v="306"/>
    <s v="33"/>
    <s v="Credito"/>
    <x v="2"/>
    <x v="216"/>
    <m/>
    <s v="000252"/>
    <s v="000132"/>
    <n v="4791.4399999999996"/>
    <s v="0,00"/>
    <s v="0,00"/>
    <s v="0,00"/>
    <s v="0,00"/>
    <s v="ORC2022_2"/>
    <s v="0012"/>
    <m/>
    <m/>
    <m/>
    <m/>
    <m/>
  </r>
  <r>
    <s v="ENCARGOS SOCIAIS"/>
    <x v="27"/>
    <x v="16"/>
    <n v="11188.46"/>
    <s v="0000000127"/>
    <s v="0389"/>
    <d v="2022-09-01T00:00:00"/>
    <s v="320102"/>
    <s v="301"/>
    <s v="90"/>
    <s v="Credito"/>
    <x v="2"/>
    <x v="216"/>
    <m/>
    <s v="000252"/>
    <s v="000132"/>
    <n v="11188.46"/>
    <s v="0,00"/>
    <s v="0,00"/>
    <s v="0,00"/>
    <s v="0,00"/>
    <s v="ORC2022_2"/>
    <s v="0012"/>
    <m/>
    <m/>
    <m/>
    <m/>
    <m/>
  </r>
  <r>
    <s v="ENCARGOS SOCIAIS"/>
    <x v="27"/>
    <x v="16"/>
    <n v="43.6"/>
    <s v="0000000127"/>
    <s v="0390"/>
    <d v="2022-09-01T00:00:00"/>
    <s v="320102"/>
    <s v="302"/>
    <s v="90"/>
    <s v="Credito"/>
    <x v="2"/>
    <x v="216"/>
    <m/>
    <s v="000252"/>
    <s v="000132"/>
    <n v="43.6"/>
    <s v="0,00"/>
    <s v="0,00"/>
    <s v="0,00"/>
    <s v="0,00"/>
    <s v="ORC2022_2"/>
    <s v="0012"/>
    <m/>
    <m/>
    <m/>
    <m/>
    <m/>
  </r>
  <r>
    <s v="ENCARGOS SOCIAIS"/>
    <x v="27"/>
    <x v="17"/>
    <n v="123.38"/>
    <s v="0000000127"/>
    <s v="0391"/>
    <d v="2022-10-01T00:00:00"/>
    <s v="320102"/>
    <s v="301"/>
    <s v="11"/>
    <s v="Credito"/>
    <x v="2"/>
    <x v="216"/>
    <m/>
    <s v="000252"/>
    <s v="000132"/>
    <n v="123.38"/>
    <s v="0,00"/>
    <s v="0,00"/>
    <s v="0,00"/>
    <s v="0,00"/>
    <s v="ORC2022_2"/>
    <s v="0012"/>
    <m/>
    <m/>
    <m/>
    <m/>
    <m/>
  </r>
  <r>
    <s v="ENCARGOS SOCIAIS"/>
    <x v="27"/>
    <x v="17"/>
    <n v="9357.0499999999993"/>
    <s v="0000000127"/>
    <s v="0392"/>
    <d v="2022-10-01T00:00:00"/>
    <s v="320102"/>
    <s v="302"/>
    <s v="11"/>
    <s v="Credito"/>
    <x v="2"/>
    <x v="216"/>
    <m/>
    <s v="000252"/>
    <s v="000132"/>
    <n v="9357.0499999999993"/>
    <s v="0,00"/>
    <s v="0,00"/>
    <s v="0,00"/>
    <s v="0,00"/>
    <s v="ORC2022_2"/>
    <s v="0012"/>
    <m/>
    <m/>
    <m/>
    <m/>
    <m/>
  </r>
  <r>
    <s v="ENCARGOS SOCIAIS"/>
    <x v="27"/>
    <x v="17"/>
    <n v="26144.75"/>
    <s v="0000000127"/>
    <s v="0393"/>
    <d v="2022-10-01T00:00:00"/>
    <s v="320102"/>
    <s v="304"/>
    <s v="11"/>
    <s v="Credito"/>
    <x v="2"/>
    <x v="216"/>
    <m/>
    <s v="000252"/>
    <s v="000132"/>
    <n v="26144.75"/>
    <s v="0,00"/>
    <s v="0,00"/>
    <s v="0,00"/>
    <s v="0,00"/>
    <s v="ORC2022_2"/>
    <s v="0012"/>
    <m/>
    <m/>
    <m/>
    <m/>
    <m/>
  </r>
  <r>
    <s v="ENCARGOS SOCIAIS"/>
    <x v="27"/>
    <x v="17"/>
    <n v="7742.32"/>
    <s v="0000000127"/>
    <s v="0394"/>
    <d v="2022-10-01T00:00:00"/>
    <s v="320102"/>
    <s v="301"/>
    <s v="21"/>
    <s v="Credito"/>
    <x v="2"/>
    <x v="216"/>
    <m/>
    <s v="000252"/>
    <s v="000132"/>
    <n v="7742.32"/>
    <s v="0,00"/>
    <s v="0,00"/>
    <s v="0,00"/>
    <s v="0,00"/>
    <s v="ORC2022_2"/>
    <s v="0012"/>
    <m/>
    <m/>
    <m/>
    <m/>
    <m/>
  </r>
  <r>
    <s v="ENCARGOS SOCIAIS"/>
    <x v="27"/>
    <x v="17"/>
    <n v="31522.76"/>
    <s v="0000000127"/>
    <s v="0395"/>
    <d v="2022-10-01T00:00:00"/>
    <s v="320102"/>
    <s v="303"/>
    <s v="21"/>
    <s v="Credito"/>
    <x v="2"/>
    <x v="216"/>
    <m/>
    <s v="000252"/>
    <s v="000132"/>
    <n v="31522.76"/>
    <s v="0,00"/>
    <s v="0,00"/>
    <s v="0,00"/>
    <s v="0,00"/>
    <s v="ORC2022_2"/>
    <s v="0012"/>
    <m/>
    <m/>
    <m/>
    <m/>
    <m/>
  </r>
  <r>
    <s v="ENCARGOS SOCIAIS"/>
    <x v="27"/>
    <x v="17"/>
    <n v="148033.82"/>
    <s v="0000000127"/>
    <s v="0396"/>
    <d v="2022-10-01T00:00:00"/>
    <s v="320102"/>
    <s v="305"/>
    <s v="21"/>
    <s v="Credito"/>
    <x v="2"/>
    <x v="216"/>
    <m/>
    <s v="000252"/>
    <s v="000132"/>
    <n v="148033.82"/>
    <s v="0,00"/>
    <s v="0,00"/>
    <s v="0,00"/>
    <s v="0,00"/>
    <s v="ORC2022_2"/>
    <s v="0012"/>
    <m/>
    <m/>
    <m/>
    <m/>
    <m/>
  </r>
  <r>
    <s v="ENCARGOS SOCIAIS"/>
    <x v="27"/>
    <x v="17"/>
    <n v="2302.38"/>
    <s v="0000000127"/>
    <s v="0397"/>
    <d v="2022-10-01T00:00:00"/>
    <s v="320102"/>
    <s v="301"/>
    <s v="32"/>
    <s v="Credito"/>
    <x v="2"/>
    <x v="216"/>
    <m/>
    <s v="000252"/>
    <s v="000132"/>
    <n v="2302.38"/>
    <s v="0,00"/>
    <s v="0,00"/>
    <s v="0,00"/>
    <s v="0,00"/>
    <s v="ORC2022_2"/>
    <s v="0012"/>
    <m/>
    <m/>
    <m/>
    <m/>
    <m/>
  </r>
  <r>
    <s v="ENCARGOS SOCIAIS"/>
    <x v="27"/>
    <x v="17"/>
    <n v="10075.379999999999"/>
    <s v="0000000127"/>
    <s v="0398"/>
    <d v="2022-10-01T00:00:00"/>
    <s v="320102"/>
    <s v="305"/>
    <s v="32"/>
    <s v="Credito"/>
    <x v="2"/>
    <x v="216"/>
    <m/>
    <s v="000252"/>
    <s v="000132"/>
    <n v="10075.379999999999"/>
    <s v="0,00"/>
    <s v="0,00"/>
    <s v="0,00"/>
    <s v="0,00"/>
    <s v="ORC2022_2"/>
    <s v="0012"/>
    <m/>
    <m/>
    <m/>
    <m/>
    <m/>
  </r>
  <r>
    <s v="ENCARGOS SOCIAIS"/>
    <x v="27"/>
    <x v="17"/>
    <n v="4839.3500000000004"/>
    <s v="0000000127"/>
    <s v="0399"/>
    <d v="2022-10-01T00:00:00"/>
    <s v="320102"/>
    <s v="306"/>
    <s v="33"/>
    <s v="Credito"/>
    <x v="2"/>
    <x v="216"/>
    <m/>
    <s v="000252"/>
    <s v="000132"/>
    <n v="4839.3500000000004"/>
    <s v="0,00"/>
    <s v="0,00"/>
    <s v="0,00"/>
    <s v="0,00"/>
    <s v="ORC2022_2"/>
    <s v="0012"/>
    <m/>
    <m/>
    <m/>
    <m/>
    <m/>
  </r>
  <r>
    <s v="ENCARGOS SOCIAIS"/>
    <x v="27"/>
    <x v="17"/>
    <n v="11300.34"/>
    <s v="0000000127"/>
    <s v="0400"/>
    <d v="2022-10-01T00:00:00"/>
    <s v="320102"/>
    <s v="301"/>
    <s v="90"/>
    <s v="Credito"/>
    <x v="2"/>
    <x v="216"/>
    <m/>
    <s v="000252"/>
    <s v="000132"/>
    <n v="11300.34"/>
    <s v="0,00"/>
    <s v="0,00"/>
    <s v="0,00"/>
    <s v="0,00"/>
    <s v="ORC2022_2"/>
    <s v="0012"/>
    <m/>
    <m/>
    <m/>
    <m/>
    <m/>
  </r>
  <r>
    <s v="ENCARGOS SOCIAIS"/>
    <x v="27"/>
    <x v="17"/>
    <n v="44.04"/>
    <s v="0000000127"/>
    <s v="0401"/>
    <d v="2022-10-01T00:00:00"/>
    <s v="320102"/>
    <s v="302"/>
    <s v="90"/>
    <s v="Credito"/>
    <x v="2"/>
    <x v="216"/>
    <m/>
    <s v="000252"/>
    <s v="000132"/>
    <n v="44.04"/>
    <s v="0,00"/>
    <s v="0,00"/>
    <s v="0,00"/>
    <s v="0,00"/>
    <s v="ORC2022_2"/>
    <s v="0012"/>
    <m/>
    <m/>
    <m/>
    <m/>
    <m/>
  </r>
  <r>
    <s v="ENCARGOS SOCIAIS"/>
    <x v="27"/>
    <x v="0"/>
    <n v="124.62"/>
    <s v="0000000127"/>
    <s v="0402"/>
    <d v="2022-11-01T00:00:00"/>
    <s v="320102"/>
    <s v="301"/>
    <s v="11"/>
    <s v="Credito"/>
    <x v="2"/>
    <x v="216"/>
    <m/>
    <s v="000252"/>
    <s v="000132"/>
    <n v="124.62"/>
    <s v="0,00"/>
    <s v="0,00"/>
    <s v="0,00"/>
    <s v="0,00"/>
    <s v="ORC2022_2"/>
    <s v="0012"/>
    <m/>
    <m/>
    <m/>
    <m/>
    <m/>
  </r>
  <r>
    <s v="ENCARGOS SOCIAIS"/>
    <x v="27"/>
    <x v="0"/>
    <n v="9450.6200000000008"/>
    <s v="0000000127"/>
    <s v="0403"/>
    <d v="2022-11-01T00:00:00"/>
    <s v="320102"/>
    <s v="302"/>
    <s v="11"/>
    <s v="Credito"/>
    <x v="2"/>
    <x v="216"/>
    <m/>
    <s v="000252"/>
    <s v="000132"/>
    <n v="9450.6200000000008"/>
    <s v="0,00"/>
    <s v="0,00"/>
    <s v="0,00"/>
    <s v="0,00"/>
    <s v="ORC2022_2"/>
    <s v="0012"/>
    <m/>
    <m/>
    <m/>
    <m/>
    <m/>
  </r>
  <r>
    <s v="ENCARGOS SOCIAIS"/>
    <x v="27"/>
    <x v="0"/>
    <n v="26406.2"/>
    <s v="0000000127"/>
    <s v="0404"/>
    <d v="2022-11-01T00:00:00"/>
    <s v="320102"/>
    <s v="304"/>
    <s v="11"/>
    <s v="Credito"/>
    <x v="2"/>
    <x v="216"/>
    <m/>
    <s v="000252"/>
    <s v="000132"/>
    <n v="26406.2"/>
    <s v="0,00"/>
    <s v="0,00"/>
    <s v="0,00"/>
    <s v="0,00"/>
    <s v="ORC2022_2"/>
    <s v="0012"/>
    <m/>
    <m/>
    <m/>
    <m/>
    <m/>
  </r>
  <r>
    <s v="ENCARGOS SOCIAIS"/>
    <x v="27"/>
    <x v="0"/>
    <n v="7819.74"/>
    <s v="0000000127"/>
    <s v="0405"/>
    <d v="2022-11-01T00:00:00"/>
    <s v="320102"/>
    <s v="301"/>
    <s v="21"/>
    <s v="Credito"/>
    <x v="2"/>
    <x v="216"/>
    <m/>
    <s v="000252"/>
    <s v="000132"/>
    <n v="7819.74"/>
    <s v="0,00"/>
    <s v="0,00"/>
    <s v="0,00"/>
    <s v="0,00"/>
    <s v="ORC2022_2"/>
    <s v="0012"/>
    <m/>
    <m/>
    <m/>
    <m/>
    <m/>
  </r>
  <r>
    <s v="ENCARGOS SOCIAIS"/>
    <x v="27"/>
    <x v="0"/>
    <n v="31837.98"/>
    <s v="0000000127"/>
    <s v="0406"/>
    <d v="2022-11-01T00:00:00"/>
    <s v="320102"/>
    <s v="303"/>
    <s v="21"/>
    <s v="Credito"/>
    <x v="2"/>
    <x v="216"/>
    <m/>
    <s v="000252"/>
    <s v="000132"/>
    <n v="31837.98"/>
    <s v="0,00"/>
    <s v="0,00"/>
    <s v="0,00"/>
    <s v="0,00"/>
    <s v="ORC2022_2"/>
    <s v="0012"/>
    <m/>
    <m/>
    <m/>
    <m/>
    <m/>
  </r>
  <r>
    <s v="ENCARGOS SOCIAIS"/>
    <x v="27"/>
    <x v="0"/>
    <n v="149514.16"/>
    <s v="0000000127"/>
    <s v="0407"/>
    <d v="2022-11-01T00:00:00"/>
    <s v="320102"/>
    <s v="305"/>
    <s v="21"/>
    <s v="Credito"/>
    <x v="2"/>
    <x v="216"/>
    <m/>
    <s v="000252"/>
    <s v="000132"/>
    <n v="149514.16"/>
    <s v="0,00"/>
    <s v="0,00"/>
    <s v="0,00"/>
    <s v="0,00"/>
    <s v="ORC2022_2"/>
    <s v="0012"/>
    <m/>
    <m/>
    <m/>
    <m/>
    <m/>
  </r>
  <r>
    <s v="ENCARGOS SOCIAIS"/>
    <x v="27"/>
    <x v="0"/>
    <n v="2325.4"/>
    <s v="0000000127"/>
    <s v="0408"/>
    <d v="2022-11-01T00:00:00"/>
    <s v="320102"/>
    <s v="301"/>
    <s v="32"/>
    <s v="Credito"/>
    <x v="2"/>
    <x v="216"/>
    <m/>
    <s v="000252"/>
    <s v="000132"/>
    <n v="2325.4"/>
    <s v="0,00"/>
    <s v="0,00"/>
    <s v="0,00"/>
    <s v="0,00"/>
    <s v="ORC2022_2"/>
    <s v="0012"/>
    <m/>
    <m/>
    <m/>
    <m/>
    <m/>
  </r>
  <r>
    <s v="ENCARGOS SOCIAIS"/>
    <x v="27"/>
    <x v="0"/>
    <n v="10176.129999999999"/>
    <s v="0000000127"/>
    <s v="0409"/>
    <d v="2022-11-01T00:00:00"/>
    <s v="320102"/>
    <s v="305"/>
    <s v="32"/>
    <s v="Credito"/>
    <x v="2"/>
    <x v="216"/>
    <m/>
    <s v="000252"/>
    <s v="000132"/>
    <n v="10176.129999999999"/>
    <s v="0,00"/>
    <s v="0,00"/>
    <s v="0,00"/>
    <s v="0,00"/>
    <s v="ORC2022_2"/>
    <s v="0012"/>
    <m/>
    <m/>
    <m/>
    <m/>
    <m/>
  </r>
  <r>
    <s v="ENCARGOS SOCIAIS"/>
    <x v="27"/>
    <x v="0"/>
    <n v="4887.75"/>
    <s v="0000000127"/>
    <s v="0410"/>
    <d v="2022-11-01T00:00:00"/>
    <s v="320102"/>
    <s v="306"/>
    <s v="33"/>
    <s v="Credito"/>
    <x v="2"/>
    <x v="216"/>
    <m/>
    <s v="000252"/>
    <s v="000132"/>
    <n v="4887.75"/>
    <s v="0,00"/>
    <s v="0,00"/>
    <s v="0,00"/>
    <s v="0,00"/>
    <s v="ORC2022_2"/>
    <s v="0012"/>
    <m/>
    <m/>
    <m/>
    <m/>
    <m/>
  </r>
  <r>
    <s v="ENCARGOS SOCIAIS"/>
    <x v="27"/>
    <x v="0"/>
    <n v="11413.35"/>
    <s v="0000000127"/>
    <s v="0411"/>
    <d v="2022-11-01T00:00:00"/>
    <s v="320102"/>
    <s v="301"/>
    <s v="90"/>
    <s v="Credito"/>
    <x v="2"/>
    <x v="216"/>
    <m/>
    <s v="000252"/>
    <s v="000132"/>
    <n v="11413.35"/>
    <s v="0,00"/>
    <s v="0,00"/>
    <s v="0,00"/>
    <s v="0,00"/>
    <s v="ORC2022_2"/>
    <s v="0012"/>
    <m/>
    <m/>
    <m/>
    <m/>
    <m/>
  </r>
  <r>
    <s v="ENCARGOS SOCIAIS"/>
    <x v="27"/>
    <x v="0"/>
    <n v="44.48"/>
    <s v="0000000127"/>
    <s v="0412"/>
    <d v="2022-11-01T00:00:00"/>
    <s v="320102"/>
    <s v="302"/>
    <s v="90"/>
    <s v="Credito"/>
    <x v="2"/>
    <x v="216"/>
    <m/>
    <s v="000252"/>
    <s v="000132"/>
    <n v="44.48"/>
    <s v="0,00"/>
    <s v="0,00"/>
    <s v="0,00"/>
    <s v="0,00"/>
    <s v="ORC2022_2"/>
    <s v="0012"/>
    <m/>
    <m/>
    <m/>
    <m/>
    <m/>
  </r>
  <r>
    <s v="ENCARGOS SOCIAIS"/>
    <x v="27"/>
    <x v="1"/>
    <n v="125.86"/>
    <s v="0000000127"/>
    <s v="0413"/>
    <d v="2022-12-01T00:00:00"/>
    <s v="320102"/>
    <s v="301"/>
    <s v="11"/>
    <s v="Credito"/>
    <x v="2"/>
    <x v="216"/>
    <m/>
    <s v="000252"/>
    <s v="000132"/>
    <n v="125.86"/>
    <s v="0,00"/>
    <s v="0,00"/>
    <s v="0,00"/>
    <s v="0,00"/>
    <s v="ORC2022_2"/>
    <s v="0012"/>
    <m/>
    <m/>
    <m/>
    <m/>
    <m/>
  </r>
  <r>
    <s v="ENCARGOS SOCIAIS"/>
    <x v="27"/>
    <x v="1"/>
    <n v="9545.1299999999992"/>
    <s v="0000000127"/>
    <s v="0414"/>
    <d v="2022-12-01T00:00:00"/>
    <s v="320102"/>
    <s v="302"/>
    <s v="11"/>
    <s v="Credito"/>
    <x v="2"/>
    <x v="216"/>
    <m/>
    <s v="000252"/>
    <s v="000132"/>
    <n v="9545.1299999999992"/>
    <s v="0,00"/>
    <s v="0,00"/>
    <s v="0,00"/>
    <s v="0,00"/>
    <s v="ORC2022_2"/>
    <s v="0012"/>
    <m/>
    <m/>
    <m/>
    <m/>
    <m/>
  </r>
  <r>
    <s v="ENCARGOS SOCIAIS"/>
    <x v="27"/>
    <x v="1"/>
    <n v="26670.26"/>
    <s v="0000000127"/>
    <s v="0415"/>
    <d v="2022-12-01T00:00:00"/>
    <s v="320102"/>
    <s v="304"/>
    <s v="11"/>
    <s v="Credito"/>
    <x v="2"/>
    <x v="216"/>
    <m/>
    <s v="000252"/>
    <s v="000132"/>
    <n v="26670.26"/>
    <s v="0,00"/>
    <s v="0,00"/>
    <s v="0,00"/>
    <s v="0,00"/>
    <s v="ORC2022_2"/>
    <s v="0012"/>
    <m/>
    <m/>
    <m/>
    <m/>
    <m/>
  </r>
  <r>
    <s v="ENCARGOS SOCIAIS"/>
    <x v="27"/>
    <x v="1"/>
    <n v="7897.94"/>
    <s v="0000000127"/>
    <s v="0416"/>
    <d v="2022-12-01T00:00:00"/>
    <s v="320102"/>
    <s v="301"/>
    <s v="21"/>
    <s v="Credito"/>
    <x v="2"/>
    <x v="216"/>
    <m/>
    <s v="000252"/>
    <s v="000132"/>
    <n v="7897.94"/>
    <s v="0,00"/>
    <s v="0,00"/>
    <s v="0,00"/>
    <s v="0,00"/>
    <s v="ORC2022_2"/>
    <s v="0012"/>
    <m/>
    <m/>
    <m/>
    <m/>
    <m/>
  </r>
  <r>
    <s v="ENCARGOS SOCIAIS"/>
    <x v="27"/>
    <x v="1"/>
    <n v="32156.36"/>
    <s v="0000000127"/>
    <s v="0417"/>
    <d v="2022-12-01T00:00:00"/>
    <s v="320102"/>
    <s v="303"/>
    <s v="21"/>
    <s v="Credito"/>
    <x v="2"/>
    <x v="216"/>
    <m/>
    <s v="000252"/>
    <s v="000132"/>
    <n v="32156.36"/>
    <s v="0,00"/>
    <s v="0,00"/>
    <s v="0,00"/>
    <s v="0,00"/>
    <s v="ORC2022_2"/>
    <s v="0012"/>
    <m/>
    <m/>
    <m/>
    <m/>
    <m/>
  </r>
  <r>
    <s v="ENCARGOS SOCIAIS"/>
    <x v="27"/>
    <x v="1"/>
    <n v="151009.29999999999"/>
    <s v="0000000127"/>
    <s v="0418"/>
    <d v="2022-12-01T00:00:00"/>
    <s v="320102"/>
    <s v="305"/>
    <s v="21"/>
    <s v="Credito"/>
    <x v="2"/>
    <x v="216"/>
    <m/>
    <s v="000252"/>
    <s v="000132"/>
    <n v="151009.29999999999"/>
    <s v="0,00"/>
    <s v="0,00"/>
    <s v="0,00"/>
    <s v="0,00"/>
    <s v="ORC2022_2"/>
    <s v="0012"/>
    <m/>
    <m/>
    <m/>
    <m/>
    <m/>
  </r>
  <r>
    <s v="ENCARGOS SOCIAIS"/>
    <x v="27"/>
    <x v="1"/>
    <n v="2348.65"/>
    <s v="0000000127"/>
    <s v="0419"/>
    <d v="2022-12-01T00:00:00"/>
    <s v="320102"/>
    <s v="301"/>
    <s v="32"/>
    <s v="Credito"/>
    <x v="2"/>
    <x v="216"/>
    <m/>
    <s v="000252"/>
    <s v="000132"/>
    <n v="2348.65"/>
    <s v="0,00"/>
    <s v="0,00"/>
    <s v="0,00"/>
    <s v="0,00"/>
    <s v="ORC2022_2"/>
    <s v="0012"/>
    <m/>
    <m/>
    <m/>
    <m/>
    <m/>
  </r>
  <r>
    <s v="ENCARGOS SOCIAIS"/>
    <x v="27"/>
    <x v="1"/>
    <n v="10277.89"/>
    <s v="0000000127"/>
    <s v="0420"/>
    <d v="2022-12-01T00:00:00"/>
    <s v="320102"/>
    <s v="305"/>
    <s v="32"/>
    <s v="Credito"/>
    <x v="2"/>
    <x v="216"/>
    <m/>
    <s v="000252"/>
    <s v="000132"/>
    <n v="10277.89"/>
    <s v="0,00"/>
    <s v="0,00"/>
    <s v="0,00"/>
    <s v="0,00"/>
    <s v="ORC2022_2"/>
    <s v="0012"/>
    <m/>
    <m/>
    <m/>
    <m/>
    <m/>
  </r>
  <r>
    <s v="ENCARGOS SOCIAIS"/>
    <x v="27"/>
    <x v="1"/>
    <n v="4936.63"/>
    <s v="0000000127"/>
    <s v="0421"/>
    <d v="2022-12-01T00:00:00"/>
    <s v="320102"/>
    <s v="306"/>
    <s v="33"/>
    <s v="Credito"/>
    <x v="2"/>
    <x v="216"/>
    <m/>
    <s v="000252"/>
    <s v="000132"/>
    <n v="4936.63"/>
    <s v="0,00"/>
    <s v="0,00"/>
    <s v="0,00"/>
    <s v="0,00"/>
    <s v="ORC2022_2"/>
    <s v="0012"/>
    <m/>
    <m/>
    <m/>
    <m/>
    <m/>
  </r>
  <r>
    <s v="ENCARGOS SOCIAIS"/>
    <x v="27"/>
    <x v="1"/>
    <n v="11527.48"/>
    <s v="0000000127"/>
    <s v="0422"/>
    <d v="2022-12-01T00:00:00"/>
    <s v="320102"/>
    <s v="301"/>
    <s v="90"/>
    <s v="Credito"/>
    <x v="2"/>
    <x v="216"/>
    <m/>
    <s v="000252"/>
    <s v="000132"/>
    <n v="11527.48"/>
    <s v="0,00"/>
    <s v="0,00"/>
    <s v="0,00"/>
    <s v="0,00"/>
    <s v="ORC2022_2"/>
    <s v="0012"/>
    <m/>
    <m/>
    <m/>
    <m/>
    <m/>
  </r>
  <r>
    <s v="ENCARGOS SOCIAIS"/>
    <x v="27"/>
    <x v="1"/>
    <n v="44.92"/>
    <s v="0000000127"/>
    <s v="0423"/>
    <d v="2022-12-01T00:00:00"/>
    <s v="320102"/>
    <s v="302"/>
    <s v="90"/>
    <s v="Credito"/>
    <x v="2"/>
    <x v="216"/>
    <m/>
    <s v="000252"/>
    <s v="000132"/>
    <n v="44.92"/>
    <s v="0,00"/>
    <s v="0,00"/>
    <s v="0,00"/>
    <s v="0,00"/>
    <s v="ORC2022_2"/>
    <s v="0012"/>
    <m/>
    <m/>
    <m/>
    <m/>
    <m/>
  </r>
  <r>
    <s v="BENEFICIOS"/>
    <x v="5"/>
    <x v="8"/>
    <n v="1050"/>
    <s v="0000000127"/>
    <s v="0424"/>
    <d v="2022-01-01T00:00:00"/>
    <s v="320103"/>
    <s v="206"/>
    <s v="11"/>
    <s v="Credito"/>
    <x v="2"/>
    <x v="216"/>
    <m/>
    <s v="000252"/>
    <s v="000132"/>
    <n v="1050"/>
    <s v="0,00"/>
    <s v="0,00"/>
    <s v="0,00"/>
    <s v="0,00"/>
    <s v="ORC2022_2"/>
    <s v="0012"/>
    <m/>
    <m/>
    <m/>
    <m/>
    <m/>
  </r>
  <r>
    <s v="BENEFICIOS"/>
    <x v="5"/>
    <x v="8"/>
    <n v="273.72000000000003"/>
    <s v="0000000127"/>
    <s v="0425"/>
    <d v="2022-01-01T00:00:00"/>
    <s v="320103"/>
    <s v="301"/>
    <s v="11"/>
    <s v="Credito"/>
    <x v="2"/>
    <x v="216"/>
    <m/>
    <s v="000252"/>
    <s v="000132"/>
    <n v="273.72000000000003"/>
    <s v="0,00"/>
    <s v="0,00"/>
    <s v="0,00"/>
    <s v="0,00"/>
    <s v="ORC2022_2"/>
    <s v="0012"/>
    <m/>
    <m/>
    <m/>
    <m/>
    <m/>
  </r>
  <r>
    <s v="BENEFICIOS"/>
    <x v="5"/>
    <x v="8"/>
    <n v="21038.5"/>
    <s v="0000000127"/>
    <s v="0426"/>
    <d v="2022-01-01T00:00:00"/>
    <s v="320103"/>
    <s v="302"/>
    <s v="11"/>
    <s v="Credito"/>
    <x v="2"/>
    <x v="216"/>
    <m/>
    <s v="000252"/>
    <s v="000132"/>
    <n v="21038.5"/>
    <s v="0,00"/>
    <s v="0,00"/>
    <s v="0,00"/>
    <s v="0,00"/>
    <s v="ORC2022_2"/>
    <s v="0012"/>
    <m/>
    <m/>
    <m/>
    <m/>
    <m/>
  </r>
  <r>
    <s v="BENEFICIOS"/>
    <x v="5"/>
    <x v="8"/>
    <n v="48956.46"/>
    <s v="0000000127"/>
    <s v="0427"/>
    <d v="2022-01-01T00:00:00"/>
    <s v="320103"/>
    <s v="304"/>
    <s v="11"/>
    <s v="Credito"/>
    <x v="2"/>
    <x v="216"/>
    <m/>
    <s v="000252"/>
    <s v="000132"/>
    <n v="48956.46"/>
    <s v="0,00"/>
    <s v="0,00"/>
    <s v="0,00"/>
    <s v="0,00"/>
    <s v="ORC2022_2"/>
    <s v="0012"/>
    <m/>
    <m/>
    <m/>
    <m/>
    <m/>
  </r>
  <r>
    <s v="BENEFICIOS"/>
    <x v="5"/>
    <x v="8"/>
    <n v="1113.68"/>
    <s v="0000000127"/>
    <s v="0428"/>
    <d v="2022-01-01T00:00:00"/>
    <s v="320103"/>
    <s v="305"/>
    <s v="11"/>
    <s v="Credito"/>
    <x v="2"/>
    <x v="216"/>
    <m/>
    <s v="000252"/>
    <s v="000132"/>
    <n v="1113.68"/>
    <s v="0,00"/>
    <s v="0,00"/>
    <s v="0,00"/>
    <s v="0,00"/>
    <s v="ORC2022_2"/>
    <s v="0012"/>
    <m/>
    <m/>
    <m/>
    <m/>
    <m/>
  </r>
  <r>
    <s v="BENEFICIOS"/>
    <x v="5"/>
    <x v="8"/>
    <n v="86.4"/>
    <s v="0000000127"/>
    <s v="0429"/>
    <d v="2022-01-01T00:00:00"/>
    <s v="320103"/>
    <s v="209"/>
    <s v="21"/>
    <s v="Credito"/>
    <x v="2"/>
    <x v="216"/>
    <m/>
    <s v="000252"/>
    <s v="000132"/>
    <n v="86.4"/>
    <s v="0,00"/>
    <s v="0,00"/>
    <s v="0,00"/>
    <s v="0,00"/>
    <s v="ORC2022_2"/>
    <s v="0012"/>
    <m/>
    <m/>
    <m/>
    <m/>
    <m/>
  </r>
  <r>
    <s v="BENEFICIOS"/>
    <x v="5"/>
    <x v="8"/>
    <n v="3680.9"/>
    <s v="0000000127"/>
    <s v="0430"/>
    <d v="2022-01-01T00:00:00"/>
    <s v="320103"/>
    <s v="301"/>
    <s v="21"/>
    <s v="Credito"/>
    <x v="2"/>
    <x v="216"/>
    <m/>
    <s v="000252"/>
    <s v="000132"/>
    <n v="3680.9"/>
    <s v="0,00"/>
    <s v="0,00"/>
    <s v="0,00"/>
    <s v="0,00"/>
    <s v="ORC2022_2"/>
    <s v="0012"/>
    <m/>
    <m/>
    <m/>
    <m/>
    <m/>
  </r>
  <r>
    <s v="BENEFICIOS"/>
    <x v="5"/>
    <x v="8"/>
    <n v="31828.560000000001"/>
    <s v="0000000127"/>
    <s v="0431"/>
    <d v="2022-01-01T00:00:00"/>
    <s v="320103"/>
    <s v="303"/>
    <s v="21"/>
    <s v="Credito"/>
    <x v="2"/>
    <x v="216"/>
    <m/>
    <s v="000252"/>
    <s v="000132"/>
    <n v="31828.560000000001"/>
    <s v="0,00"/>
    <s v="0,00"/>
    <s v="0,00"/>
    <s v="0,00"/>
    <s v="ORC2022_2"/>
    <s v="0012"/>
    <m/>
    <m/>
    <m/>
    <m/>
    <m/>
  </r>
  <r>
    <s v="BENEFICIOS"/>
    <x v="5"/>
    <x v="8"/>
    <n v="184034.5"/>
    <s v="0000000127"/>
    <s v="0432"/>
    <d v="2022-01-01T00:00:00"/>
    <s v="320103"/>
    <s v="305"/>
    <s v="21"/>
    <s v="Credito"/>
    <x v="2"/>
    <x v="216"/>
    <m/>
    <s v="000252"/>
    <s v="000132"/>
    <n v="184034.5"/>
    <s v="0,00"/>
    <s v="0,00"/>
    <s v="0,00"/>
    <s v="0,00"/>
    <s v="ORC2022_2"/>
    <s v="0012"/>
    <m/>
    <m/>
    <m/>
    <m/>
    <m/>
  </r>
  <r>
    <s v="BENEFICIOS"/>
    <x v="5"/>
    <x v="8"/>
    <n v="7785.68"/>
    <s v="0000000127"/>
    <s v="0433"/>
    <d v="2022-01-01T00:00:00"/>
    <s v="320103"/>
    <s v="305"/>
    <s v="31"/>
    <s v="Credito"/>
    <x v="2"/>
    <x v="216"/>
    <m/>
    <s v="000252"/>
    <s v="000132"/>
    <n v="7785.68"/>
    <s v="0,00"/>
    <s v="0,00"/>
    <s v="0,00"/>
    <s v="0,00"/>
    <s v="ORC2022_2"/>
    <s v="0012"/>
    <m/>
    <m/>
    <m/>
    <m/>
    <m/>
  </r>
  <r>
    <s v="BENEFICIOS"/>
    <x v="5"/>
    <x v="8"/>
    <n v="599.34"/>
    <s v="0000000127"/>
    <s v="0434"/>
    <d v="2022-01-01T00:00:00"/>
    <s v="320103"/>
    <s v="301"/>
    <s v="32"/>
    <s v="Credito"/>
    <x v="2"/>
    <x v="216"/>
    <m/>
    <s v="000252"/>
    <s v="000132"/>
    <n v="599.34"/>
    <s v="0,00"/>
    <s v="0,00"/>
    <s v="0,00"/>
    <s v="0,00"/>
    <s v="ORC2022_2"/>
    <s v="0012"/>
    <m/>
    <m/>
    <m/>
    <m/>
    <m/>
  </r>
  <r>
    <s v="BENEFICIOS"/>
    <x v="5"/>
    <x v="8"/>
    <n v="85789.66"/>
    <s v="0000000127"/>
    <s v="0435"/>
    <d v="2022-01-01T00:00:00"/>
    <s v="320103"/>
    <s v="305"/>
    <s v="32"/>
    <s v="Credito"/>
    <x v="2"/>
    <x v="216"/>
    <m/>
    <s v="000252"/>
    <s v="000132"/>
    <n v="85789.66"/>
    <s v="0,00"/>
    <s v="0,00"/>
    <s v="0,00"/>
    <s v="0,00"/>
    <s v="ORC2022_2"/>
    <s v="0012"/>
    <m/>
    <m/>
    <m/>
    <m/>
    <m/>
  </r>
  <r>
    <s v="BENEFICIOS"/>
    <x v="5"/>
    <x v="8"/>
    <n v="3785.98"/>
    <s v="0000000127"/>
    <s v="0436"/>
    <d v="2022-01-01T00:00:00"/>
    <s v="320103"/>
    <s v="306"/>
    <s v="33"/>
    <s v="Credito"/>
    <x v="2"/>
    <x v="216"/>
    <m/>
    <s v="000252"/>
    <s v="000132"/>
    <n v="3785.98"/>
    <s v="0,00"/>
    <s v="0,00"/>
    <s v="0,00"/>
    <s v="0,00"/>
    <s v="ORC2022_2"/>
    <s v="0012"/>
    <m/>
    <m/>
    <m/>
    <m/>
    <m/>
  </r>
  <r>
    <s v="BENEFICIOS"/>
    <x v="5"/>
    <x v="8"/>
    <n v="447.44"/>
    <s v="0000000127"/>
    <s v="0437"/>
    <d v="2022-01-01T00:00:00"/>
    <s v="320103"/>
    <s v="305"/>
    <s v="42"/>
    <s v="Credito"/>
    <x v="2"/>
    <x v="216"/>
    <m/>
    <s v="000252"/>
    <s v="000132"/>
    <n v="447.44"/>
    <s v="0,00"/>
    <s v="0,00"/>
    <s v="0,00"/>
    <s v="0,00"/>
    <s v="ORC2022_2"/>
    <s v="0012"/>
    <m/>
    <m/>
    <m/>
    <m/>
    <m/>
  </r>
  <r>
    <s v="BENEFICIOS"/>
    <x v="5"/>
    <x v="8"/>
    <n v="17437.52"/>
    <s v="0000000127"/>
    <s v="0438"/>
    <d v="2022-01-01T00:00:00"/>
    <s v="320103"/>
    <s v="301"/>
    <s v="90"/>
    <s v="Credito"/>
    <x v="2"/>
    <x v="216"/>
    <m/>
    <s v="000252"/>
    <s v="000132"/>
    <n v="17437.52"/>
    <s v="0,00"/>
    <s v="0,00"/>
    <s v="0,00"/>
    <s v="0,00"/>
    <s v="ORC2022_2"/>
    <s v="0012"/>
    <m/>
    <m/>
    <m/>
    <m/>
    <m/>
  </r>
  <r>
    <s v="BENEFICIOS"/>
    <x v="5"/>
    <x v="8"/>
    <n v="168"/>
    <s v="0000000127"/>
    <s v="0439"/>
    <d v="2022-01-01T00:00:00"/>
    <s v="320103"/>
    <s v="303"/>
    <s v="90"/>
    <s v="Credito"/>
    <x v="2"/>
    <x v="216"/>
    <m/>
    <s v="000252"/>
    <s v="000132"/>
    <n v="168"/>
    <s v="0,00"/>
    <s v="0,00"/>
    <s v="0,00"/>
    <s v="0,00"/>
    <s v="ORC2022_2"/>
    <s v="0012"/>
    <m/>
    <m/>
    <m/>
    <m/>
    <m/>
  </r>
  <r>
    <s v="BENEFICIOS"/>
    <x v="5"/>
    <x v="9"/>
    <n v="1050"/>
    <s v="0000000127"/>
    <s v="0440"/>
    <d v="2022-02-01T00:00:00"/>
    <s v="320103"/>
    <s v="206"/>
    <s v="11"/>
    <s v="Credito"/>
    <x v="2"/>
    <x v="216"/>
    <m/>
    <s v="000252"/>
    <s v="000132"/>
    <n v="1050"/>
    <s v="0,00"/>
    <s v="0,00"/>
    <s v="0,00"/>
    <s v="0,00"/>
    <s v="ORC2022_2"/>
    <s v="0012"/>
    <m/>
    <m/>
    <m/>
    <m/>
    <m/>
  </r>
  <r>
    <s v="BENEFICIOS"/>
    <x v="5"/>
    <x v="9"/>
    <n v="258.12"/>
    <s v="0000000127"/>
    <s v="0441"/>
    <d v="2022-02-01T00:00:00"/>
    <s v="320103"/>
    <s v="301"/>
    <s v="11"/>
    <s v="Credito"/>
    <x v="2"/>
    <x v="216"/>
    <m/>
    <s v="000252"/>
    <s v="000132"/>
    <n v="258.12"/>
    <s v="0,00"/>
    <s v="0,00"/>
    <s v="0,00"/>
    <s v="0,00"/>
    <s v="ORC2022_2"/>
    <s v="0012"/>
    <m/>
    <m/>
    <m/>
    <m/>
    <m/>
  </r>
  <r>
    <s v="BENEFICIOS"/>
    <x v="5"/>
    <x v="9"/>
    <n v="20314.34"/>
    <s v="0000000127"/>
    <s v="0442"/>
    <d v="2022-02-01T00:00:00"/>
    <s v="320103"/>
    <s v="302"/>
    <s v="11"/>
    <s v="Credito"/>
    <x v="2"/>
    <x v="216"/>
    <m/>
    <s v="000252"/>
    <s v="000132"/>
    <n v="20314.34"/>
    <s v="0,00"/>
    <s v="0,00"/>
    <s v="0,00"/>
    <s v="0,00"/>
    <s v="ORC2022_2"/>
    <s v="0012"/>
    <m/>
    <m/>
    <m/>
    <m/>
    <m/>
  </r>
  <r>
    <s v="BENEFICIOS"/>
    <x v="5"/>
    <x v="9"/>
    <n v="46550.3"/>
    <s v="0000000127"/>
    <s v="0443"/>
    <d v="2022-02-01T00:00:00"/>
    <s v="320103"/>
    <s v="304"/>
    <s v="11"/>
    <s v="Credito"/>
    <x v="2"/>
    <x v="216"/>
    <m/>
    <s v="000252"/>
    <s v="000132"/>
    <n v="46550.3"/>
    <s v="0,00"/>
    <s v="0,00"/>
    <s v="0,00"/>
    <s v="0,00"/>
    <s v="ORC2022_2"/>
    <s v="0012"/>
    <m/>
    <m/>
    <m/>
    <m/>
    <m/>
  </r>
  <r>
    <s v="BENEFICIOS"/>
    <x v="5"/>
    <x v="9"/>
    <n v="1113.68"/>
    <s v="0000000127"/>
    <s v="0444"/>
    <d v="2022-02-01T00:00:00"/>
    <s v="320103"/>
    <s v="305"/>
    <s v="11"/>
    <s v="Credito"/>
    <x v="2"/>
    <x v="216"/>
    <m/>
    <s v="000252"/>
    <s v="000132"/>
    <n v="1113.68"/>
    <s v="0,00"/>
    <s v="0,00"/>
    <s v="0,00"/>
    <s v="0,00"/>
    <s v="ORC2022_2"/>
    <s v="0012"/>
    <m/>
    <m/>
    <m/>
    <m/>
    <m/>
  </r>
  <r>
    <s v="BENEFICIOS"/>
    <x v="5"/>
    <x v="9"/>
    <n v="3605.88"/>
    <s v="0000000127"/>
    <s v="0445"/>
    <d v="2022-02-01T00:00:00"/>
    <s v="320103"/>
    <s v="301"/>
    <s v="21"/>
    <s v="Credito"/>
    <x v="2"/>
    <x v="216"/>
    <m/>
    <s v="000252"/>
    <s v="000132"/>
    <n v="3605.88"/>
    <s v="0,00"/>
    <s v="0,00"/>
    <s v="0,00"/>
    <s v="0,00"/>
    <s v="ORC2022_2"/>
    <s v="0012"/>
    <m/>
    <m/>
    <m/>
    <m/>
    <m/>
  </r>
  <r>
    <s v="BENEFICIOS"/>
    <x v="5"/>
    <x v="9"/>
    <n v="29672.61"/>
    <s v="0000000127"/>
    <s v="0446"/>
    <d v="2022-02-01T00:00:00"/>
    <s v="320103"/>
    <s v="303"/>
    <s v="21"/>
    <s v="Credito"/>
    <x v="2"/>
    <x v="216"/>
    <m/>
    <s v="000252"/>
    <s v="000132"/>
    <n v="29672.61"/>
    <s v="0,00"/>
    <s v="0,00"/>
    <s v="0,00"/>
    <s v="0,00"/>
    <s v="ORC2022_2"/>
    <s v="0012"/>
    <m/>
    <m/>
    <m/>
    <m/>
    <m/>
  </r>
  <r>
    <s v="BENEFICIOS"/>
    <x v="5"/>
    <x v="9"/>
    <n v="148.4"/>
    <s v="0000000127"/>
    <s v="0447"/>
    <d v="2022-02-01T00:00:00"/>
    <s v="320103"/>
    <s v="304"/>
    <s v="21"/>
    <s v="Credito"/>
    <x v="2"/>
    <x v="216"/>
    <m/>
    <s v="000252"/>
    <s v="000132"/>
    <n v="148.4"/>
    <s v="0,00"/>
    <s v="0,00"/>
    <s v="0,00"/>
    <s v="0,00"/>
    <s v="ORC2022_2"/>
    <s v="0012"/>
    <m/>
    <m/>
    <m/>
    <m/>
    <m/>
  </r>
  <r>
    <s v="BENEFICIOS"/>
    <x v="5"/>
    <x v="9"/>
    <n v="176124.72"/>
    <s v="0000000127"/>
    <s v="0448"/>
    <d v="2022-02-01T00:00:00"/>
    <s v="320103"/>
    <s v="305"/>
    <s v="21"/>
    <s v="Credito"/>
    <x v="2"/>
    <x v="216"/>
    <m/>
    <s v="000252"/>
    <s v="000132"/>
    <n v="176124.72"/>
    <s v="0,00"/>
    <s v="0,00"/>
    <s v="0,00"/>
    <s v="0,00"/>
    <s v="ORC2022_2"/>
    <s v="0012"/>
    <m/>
    <m/>
    <m/>
    <m/>
    <m/>
  </r>
  <r>
    <s v="BENEFICIOS"/>
    <x v="5"/>
    <x v="9"/>
    <n v="3063.91"/>
    <s v="0000000127"/>
    <s v="0449"/>
    <d v="2022-02-01T00:00:00"/>
    <s v="320103"/>
    <s v="305"/>
    <s v="31"/>
    <s v="Credito"/>
    <x v="2"/>
    <x v="216"/>
    <m/>
    <s v="000252"/>
    <s v="000132"/>
    <n v="3063.91"/>
    <s v="0,00"/>
    <s v="0,00"/>
    <s v="0,00"/>
    <s v="0,00"/>
    <s v="ORC2022_2"/>
    <s v="0012"/>
    <m/>
    <m/>
    <m/>
    <m/>
    <m/>
  </r>
  <r>
    <s v="BENEFICIOS"/>
    <x v="5"/>
    <x v="9"/>
    <n v="1217.6400000000001"/>
    <s v="0000000127"/>
    <s v="0450"/>
    <d v="2022-02-01T00:00:00"/>
    <s v="320103"/>
    <s v="301"/>
    <s v="32"/>
    <s v="Credito"/>
    <x v="2"/>
    <x v="216"/>
    <m/>
    <s v="000252"/>
    <s v="000132"/>
    <n v="1217.6400000000001"/>
    <s v="0,00"/>
    <s v="0,00"/>
    <s v="0,00"/>
    <s v="0,00"/>
    <s v="ORC2022_2"/>
    <s v="0012"/>
    <m/>
    <m/>
    <m/>
    <m/>
    <m/>
  </r>
  <r>
    <s v="BENEFICIOS"/>
    <x v="5"/>
    <x v="9"/>
    <n v="86435.74"/>
    <s v="0000000127"/>
    <s v="0451"/>
    <d v="2022-02-01T00:00:00"/>
    <s v="320103"/>
    <s v="305"/>
    <s v="32"/>
    <s v="Credito"/>
    <x v="2"/>
    <x v="216"/>
    <m/>
    <s v="000252"/>
    <s v="000132"/>
    <n v="86435.74"/>
    <s v="0,00"/>
    <s v="0,00"/>
    <s v="0,00"/>
    <s v="0,00"/>
    <s v="ORC2022_2"/>
    <s v="0012"/>
    <m/>
    <m/>
    <m/>
    <m/>
    <m/>
  </r>
  <r>
    <s v="BENEFICIOS"/>
    <x v="5"/>
    <x v="9"/>
    <n v="3986.7"/>
    <s v="0000000127"/>
    <s v="0452"/>
    <d v="2022-02-01T00:00:00"/>
    <s v="320103"/>
    <s v="306"/>
    <s v="33"/>
    <s v="Credito"/>
    <x v="2"/>
    <x v="216"/>
    <m/>
    <s v="000252"/>
    <s v="000132"/>
    <n v="3986.7"/>
    <s v="0,00"/>
    <s v="0,00"/>
    <s v="0,00"/>
    <s v="0,00"/>
    <s v="ORC2022_2"/>
    <s v="0012"/>
    <m/>
    <m/>
    <m/>
    <m/>
    <m/>
  </r>
  <r>
    <s v="BENEFICIOS"/>
    <x v="5"/>
    <x v="9"/>
    <n v="16831.53"/>
    <s v="0000000127"/>
    <s v="0453"/>
    <d v="2022-02-01T00:00:00"/>
    <s v="320103"/>
    <s v="301"/>
    <s v="90"/>
    <s v="Credito"/>
    <x v="2"/>
    <x v="216"/>
    <m/>
    <s v="000252"/>
    <s v="000132"/>
    <n v="16831.53"/>
    <s v="0,00"/>
    <s v="0,00"/>
    <s v="0,00"/>
    <s v="0,00"/>
    <s v="ORC2022_2"/>
    <s v="0012"/>
    <m/>
    <m/>
    <m/>
    <m/>
    <m/>
  </r>
  <r>
    <s v="BENEFICIOS"/>
    <x v="5"/>
    <x v="9"/>
    <n v="168"/>
    <s v="0000000127"/>
    <s v="0454"/>
    <d v="2022-02-01T00:00:00"/>
    <s v="320103"/>
    <s v="303"/>
    <s v="90"/>
    <s v="Credito"/>
    <x v="2"/>
    <x v="216"/>
    <m/>
    <s v="000252"/>
    <s v="000132"/>
    <n v="168"/>
    <s v="0,00"/>
    <s v="0,00"/>
    <s v="0,00"/>
    <s v="0,00"/>
    <s v="ORC2022_2"/>
    <s v="0012"/>
    <m/>
    <m/>
    <m/>
    <m/>
    <m/>
  </r>
  <r>
    <s v="BENEFICIOS"/>
    <x v="5"/>
    <x v="10"/>
    <n v="1050"/>
    <s v="0000000127"/>
    <s v="0455"/>
    <d v="2022-03-01T00:00:00"/>
    <s v="320103"/>
    <s v="206"/>
    <s v="11"/>
    <s v="Credito"/>
    <x v="2"/>
    <x v="216"/>
    <m/>
    <s v="000252"/>
    <s v="000132"/>
    <n v="1050"/>
    <s v="0,00"/>
    <s v="0,00"/>
    <s v="0,00"/>
    <s v="0,00"/>
    <s v="ORC2022_2"/>
    <s v="0012"/>
    <m/>
    <m/>
    <m/>
    <m/>
    <m/>
  </r>
  <r>
    <s v="BENEFICIOS"/>
    <x v="5"/>
    <x v="10"/>
    <n v="263.88"/>
    <s v="0000000127"/>
    <s v="0456"/>
    <d v="2022-03-01T00:00:00"/>
    <s v="320103"/>
    <s v="301"/>
    <s v="11"/>
    <s v="Credito"/>
    <x v="2"/>
    <x v="216"/>
    <m/>
    <s v="000252"/>
    <s v="000132"/>
    <n v="263.88"/>
    <s v="0,00"/>
    <s v="0,00"/>
    <s v="0,00"/>
    <s v="0,00"/>
    <s v="ORC2022_2"/>
    <s v="0012"/>
    <m/>
    <m/>
    <m/>
    <m/>
    <m/>
  </r>
  <r>
    <s v="BENEFICIOS"/>
    <x v="5"/>
    <x v="10"/>
    <n v="18176.7"/>
    <s v="0000000127"/>
    <s v="0457"/>
    <d v="2022-03-01T00:00:00"/>
    <s v="320103"/>
    <s v="302"/>
    <s v="11"/>
    <s v="Credito"/>
    <x v="2"/>
    <x v="216"/>
    <m/>
    <s v="000252"/>
    <s v="000132"/>
    <n v="18176.7"/>
    <s v="0,00"/>
    <s v="0,00"/>
    <s v="0,00"/>
    <s v="0,00"/>
    <s v="ORC2022_2"/>
    <s v="0012"/>
    <m/>
    <m/>
    <m/>
    <m/>
    <m/>
  </r>
  <r>
    <s v="BENEFICIOS"/>
    <x v="5"/>
    <x v="10"/>
    <n v="34739.879999999997"/>
    <s v="0000000127"/>
    <s v="0458"/>
    <d v="2022-03-01T00:00:00"/>
    <s v="320103"/>
    <s v="304"/>
    <s v="11"/>
    <s v="Credito"/>
    <x v="2"/>
    <x v="216"/>
    <m/>
    <s v="000252"/>
    <s v="000132"/>
    <n v="34739.879999999997"/>
    <s v="0,00"/>
    <s v="0,00"/>
    <s v="0,00"/>
    <s v="0,00"/>
    <s v="ORC2022_2"/>
    <s v="0012"/>
    <m/>
    <m/>
    <m/>
    <m/>
    <m/>
  </r>
  <r>
    <s v="BENEFICIOS"/>
    <x v="5"/>
    <x v="10"/>
    <n v="1113.68"/>
    <s v="0000000127"/>
    <s v="0459"/>
    <d v="2022-03-01T00:00:00"/>
    <s v="320103"/>
    <s v="305"/>
    <s v="11"/>
    <s v="Credito"/>
    <x v="2"/>
    <x v="216"/>
    <m/>
    <s v="000252"/>
    <s v="000132"/>
    <n v="1113.68"/>
    <s v="0,00"/>
    <s v="0,00"/>
    <s v="0,00"/>
    <s v="0,00"/>
    <s v="ORC2022_2"/>
    <s v="0012"/>
    <m/>
    <m/>
    <m/>
    <m/>
    <m/>
  </r>
  <r>
    <s v="BENEFICIOS"/>
    <x v="5"/>
    <x v="10"/>
    <n v="3445.74"/>
    <s v="0000000127"/>
    <s v="0460"/>
    <d v="2022-03-01T00:00:00"/>
    <s v="320103"/>
    <s v="301"/>
    <s v="21"/>
    <s v="Credito"/>
    <x v="2"/>
    <x v="216"/>
    <m/>
    <s v="000252"/>
    <s v="000132"/>
    <n v="3445.74"/>
    <s v="0,00"/>
    <s v="0,00"/>
    <s v="0,00"/>
    <s v="0,00"/>
    <s v="ORC2022_2"/>
    <s v="0012"/>
    <m/>
    <m/>
    <m/>
    <m/>
    <m/>
  </r>
  <r>
    <s v="BENEFICIOS"/>
    <x v="5"/>
    <x v="10"/>
    <n v="25672.91"/>
    <s v="0000000127"/>
    <s v="0461"/>
    <d v="2022-03-01T00:00:00"/>
    <s v="320103"/>
    <s v="303"/>
    <s v="21"/>
    <s v="Credito"/>
    <x v="2"/>
    <x v="216"/>
    <m/>
    <s v="000252"/>
    <s v="000132"/>
    <n v="25672.91"/>
    <s v="0,00"/>
    <s v="0,00"/>
    <s v="0,00"/>
    <s v="0,00"/>
    <s v="ORC2022_2"/>
    <s v="0012"/>
    <m/>
    <m/>
    <m/>
    <m/>
    <m/>
  </r>
  <r>
    <s v="BENEFICIOS"/>
    <x v="5"/>
    <x v="10"/>
    <n v="159"/>
    <s v="0000000127"/>
    <s v="0462"/>
    <d v="2022-03-01T00:00:00"/>
    <s v="320103"/>
    <s v="304"/>
    <s v="21"/>
    <s v="Credito"/>
    <x v="2"/>
    <x v="216"/>
    <m/>
    <s v="000252"/>
    <s v="000132"/>
    <n v="159"/>
    <s v="0,00"/>
    <s v="0,00"/>
    <s v="0,00"/>
    <s v="0,00"/>
    <s v="ORC2022_2"/>
    <s v="0012"/>
    <m/>
    <m/>
    <m/>
    <m/>
    <m/>
  </r>
  <r>
    <s v="BENEFICIOS"/>
    <x v="5"/>
    <x v="10"/>
    <n v="170528.77"/>
    <s v="0000000127"/>
    <s v="0463"/>
    <d v="2022-03-01T00:00:00"/>
    <s v="320103"/>
    <s v="305"/>
    <s v="21"/>
    <s v="Credito"/>
    <x v="2"/>
    <x v="216"/>
    <m/>
    <s v="000252"/>
    <s v="000132"/>
    <n v="170528.77"/>
    <s v="0,00"/>
    <s v="0,00"/>
    <s v="0,00"/>
    <s v="0,00"/>
    <s v="ORC2022_2"/>
    <s v="0012"/>
    <m/>
    <m/>
    <m/>
    <m/>
    <m/>
  </r>
  <r>
    <s v="BENEFICIOS"/>
    <x v="5"/>
    <x v="10"/>
    <n v="1399.67"/>
    <s v="0000000127"/>
    <s v="0464"/>
    <d v="2022-03-01T00:00:00"/>
    <s v="320103"/>
    <s v="301"/>
    <s v="32"/>
    <s v="Credito"/>
    <x v="2"/>
    <x v="216"/>
    <m/>
    <s v="000252"/>
    <s v="000132"/>
    <n v="1399.67"/>
    <s v="0,00"/>
    <s v="0,00"/>
    <s v="0,00"/>
    <s v="0,00"/>
    <s v="ORC2022_2"/>
    <s v="0012"/>
    <m/>
    <m/>
    <m/>
    <m/>
    <m/>
  </r>
  <r>
    <s v="BENEFICIOS"/>
    <x v="5"/>
    <x v="10"/>
    <n v="60361.279999999999"/>
    <s v="0000000127"/>
    <s v="0465"/>
    <d v="2022-03-01T00:00:00"/>
    <s v="320103"/>
    <s v="305"/>
    <s v="32"/>
    <s v="Credito"/>
    <x v="2"/>
    <x v="216"/>
    <m/>
    <s v="000252"/>
    <s v="000132"/>
    <n v="60361.279999999999"/>
    <s v="0,00"/>
    <s v="0,00"/>
    <s v="0,00"/>
    <s v="0,00"/>
    <s v="ORC2022_2"/>
    <s v="0012"/>
    <m/>
    <m/>
    <m/>
    <m/>
    <m/>
  </r>
  <r>
    <s v="BENEFICIOS"/>
    <x v="5"/>
    <x v="10"/>
    <n v="3423.56"/>
    <s v="0000000127"/>
    <s v="0466"/>
    <d v="2022-03-01T00:00:00"/>
    <s v="320103"/>
    <s v="306"/>
    <s v="33"/>
    <s v="Credito"/>
    <x v="2"/>
    <x v="216"/>
    <m/>
    <s v="000252"/>
    <s v="000132"/>
    <n v="3423.56"/>
    <s v="0,00"/>
    <s v="0,00"/>
    <s v="0,00"/>
    <s v="0,00"/>
    <s v="ORC2022_2"/>
    <s v="0012"/>
    <m/>
    <m/>
    <m/>
    <m/>
    <m/>
  </r>
  <r>
    <s v="BENEFICIOS"/>
    <x v="5"/>
    <x v="10"/>
    <n v="390"/>
    <s v="0000000127"/>
    <s v="0467"/>
    <d v="2022-03-01T00:00:00"/>
    <s v="320103"/>
    <s v="305"/>
    <s v="42"/>
    <s v="Credito"/>
    <x v="2"/>
    <x v="216"/>
    <m/>
    <s v="000252"/>
    <s v="000132"/>
    <n v="390"/>
    <s v="0,00"/>
    <s v="0,00"/>
    <s v="0,00"/>
    <s v="0,00"/>
    <s v="ORC2022_2"/>
    <s v="0012"/>
    <m/>
    <m/>
    <m/>
    <m/>
    <m/>
  </r>
  <r>
    <s v="BENEFICIOS"/>
    <x v="5"/>
    <x v="10"/>
    <n v="485.23"/>
    <s v="0000000127"/>
    <s v="0468"/>
    <d v="2022-03-01T00:00:00"/>
    <s v="320103"/>
    <s v="201"/>
    <s v="90"/>
    <s v="Credito"/>
    <x v="2"/>
    <x v="216"/>
    <m/>
    <s v="000252"/>
    <s v="000132"/>
    <n v="485.23"/>
    <s v="0,00"/>
    <s v="0,00"/>
    <s v="0,00"/>
    <s v="0,00"/>
    <s v="ORC2022_2"/>
    <s v="0012"/>
    <m/>
    <m/>
    <m/>
    <m/>
    <m/>
  </r>
  <r>
    <s v="BENEFICIOS"/>
    <x v="5"/>
    <x v="10"/>
    <n v="15197.19"/>
    <s v="0000000127"/>
    <s v="0469"/>
    <d v="2022-03-01T00:00:00"/>
    <s v="320103"/>
    <s v="301"/>
    <s v="90"/>
    <s v="Credito"/>
    <x v="2"/>
    <x v="216"/>
    <m/>
    <s v="000252"/>
    <s v="000132"/>
    <n v="15197.19"/>
    <s v="0,00"/>
    <s v="0,00"/>
    <s v="0,00"/>
    <s v="0,00"/>
    <s v="ORC2022_2"/>
    <s v="0012"/>
    <m/>
    <m/>
    <m/>
    <m/>
    <m/>
  </r>
  <r>
    <s v="BENEFICIOS"/>
    <x v="5"/>
    <x v="10"/>
    <n v="168"/>
    <s v="0000000127"/>
    <s v="0470"/>
    <d v="2022-03-01T00:00:00"/>
    <s v="320103"/>
    <s v="303"/>
    <s v="90"/>
    <s v="Credito"/>
    <x v="2"/>
    <x v="216"/>
    <m/>
    <s v="000252"/>
    <s v="000132"/>
    <n v="168"/>
    <s v="0,00"/>
    <s v="0,00"/>
    <s v="0,00"/>
    <s v="0,00"/>
    <s v="ORC2022_2"/>
    <s v="0012"/>
    <m/>
    <m/>
    <m/>
    <m/>
    <m/>
  </r>
  <r>
    <s v="BENEFICIOS"/>
    <x v="5"/>
    <x v="11"/>
    <n v="98.3"/>
    <s v="0000000127"/>
    <s v="0471"/>
    <d v="2022-04-01T00:00:00"/>
    <s v="320103"/>
    <s v="301"/>
    <s v="11"/>
    <s v="Credito"/>
    <x v="2"/>
    <x v="216"/>
    <m/>
    <s v="000252"/>
    <s v="000132"/>
    <n v="98.3"/>
    <s v="0,00"/>
    <s v="0,00"/>
    <s v="0,00"/>
    <s v="0,00"/>
    <s v="ORC2022_2"/>
    <s v="0012"/>
    <m/>
    <m/>
    <m/>
    <m/>
    <m/>
  </r>
  <r>
    <s v="BENEFICIOS"/>
    <x v="5"/>
    <x v="11"/>
    <n v="14403.54"/>
    <s v="0000000127"/>
    <s v="0472"/>
    <d v="2022-04-01T00:00:00"/>
    <s v="320103"/>
    <s v="302"/>
    <s v="11"/>
    <s v="Credito"/>
    <x v="2"/>
    <x v="216"/>
    <m/>
    <s v="000252"/>
    <s v="000132"/>
    <n v="14403.54"/>
    <s v="0,00"/>
    <s v="0,00"/>
    <s v="0,00"/>
    <s v="0,00"/>
    <s v="ORC2022_2"/>
    <s v="0012"/>
    <m/>
    <m/>
    <m/>
    <m/>
    <m/>
  </r>
  <r>
    <s v="BENEFICIOS"/>
    <x v="5"/>
    <x v="11"/>
    <n v="35997.660000000003"/>
    <s v="0000000127"/>
    <s v="0473"/>
    <d v="2022-04-01T00:00:00"/>
    <s v="320103"/>
    <s v="304"/>
    <s v="11"/>
    <s v="Credito"/>
    <x v="2"/>
    <x v="216"/>
    <m/>
    <s v="000252"/>
    <s v="000132"/>
    <n v="35997.660000000003"/>
    <s v="0,00"/>
    <s v="0,00"/>
    <s v="0,00"/>
    <s v="0,00"/>
    <s v="ORC2022_2"/>
    <s v="0012"/>
    <m/>
    <m/>
    <m/>
    <m/>
    <m/>
  </r>
  <r>
    <s v="BENEFICIOS"/>
    <x v="5"/>
    <x v="11"/>
    <n v="1164.04"/>
    <s v="0000000127"/>
    <s v="0474"/>
    <d v="2022-04-01T00:00:00"/>
    <s v="320103"/>
    <s v="305"/>
    <s v="11"/>
    <s v="Credito"/>
    <x v="2"/>
    <x v="216"/>
    <m/>
    <s v="000252"/>
    <s v="000132"/>
    <n v="1164.04"/>
    <s v="0,00"/>
    <s v="0,00"/>
    <s v="0,00"/>
    <s v="0,00"/>
    <s v="ORC2022_2"/>
    <s v="0012"/>
    <m/>
    <m/>
    <m/>
    <m/>
    <m/>
  </r>
  <r>
    <s v="BENEFICIOS"/>
    <x v="5"/>
    <x v="11"/>
    <n v="4277.22"/>
    <s v="0000000127"/>
    <s v="0475"/>
    <d v="2022-04-01T00:00:00"/>
    <s v="320103"/>
    <s v="301"/>
    <s v="21"/>
    <s v="Credito"/>
    <x v="2"/>
    <x v="216"/>
    <m/>
    <s v="000252"/>
    <s v="000132"/>
    <n v="4277.22"/>
    <s v="0,00"/>
    <s v="0,00"/>
    <s v="0,00"/>
    <s v="0,00"/>
    <s v="ORC2022_2"/>
    <s v="0012"/>
    <m/>
    <m/>
    <m/>
    <m/>
    <m/>
  </r>
  <r>
    <s v="BENEFICIOS"/>
    <x v="5"/>
    <x v="11"/>
    <n v="47952"/>
    <s v="0000000127"/>
    <s v="0476"/>
    <d v="2022-04-01T00:00:00"/>
    <s v="320103"/>
    <s v="303"/>
    <s v="21"/>
    <s v="Credito"/>
    <x v="2"/>
    <x v="216"/>
    <m/>
    <s v="000252"/>
    <s v="000132"/>
    <n v="47952"/>
    <s v="0,00"/>
    <s v="0,00"/>
    <s v="0,00"/>
    <s v="0,00"/>
    <s v="ORC2022_2"/>
    <s v="0012"/>
    <m/>
    <m/>
    <m/>
    <m/>
    <m/>
  </r>
  <r>
    <s v="BENEFICIOS"/>
    <x v="5"/>
    <x v="11"/>
    <n v="203610.58"/>
    <s v="0000000127"/>
    <s v="0477"/>
    <d v="2022-04-01T00:00:00"/>
    <s v="320103"/>
    <s v="305"/>
    <s v="21"/>
    <s v="Credito"/>
    <x v="2"/>
    <x v="216"/>
    <m/>
    <s v="000252"/>
    <s v="000132"/>
    <n v="203610.58"/>
    <s v="0,00"/>
    <s v="0,00"/>
    <s v="0,00"/>
    <s v="0,00"/>
    <s v="ORC2022_2"/>
    <s v="0012"/>
    <m/>
    <m/>
    <m/>
    <m/>
    <m/>
  </r>
  <r>
    <s v="BENEFICIOS"/>
    <x v="5"/>
    <x v="11"/>
    <n v="20052.48"/>
    <s v="0000000127"/>
    <s v="0478"/>
    <d v="2022-04-01T00:00:00"/>
    <s v="320103"/>
    <s v="305"/>
    <s v="31"/>
    <s v="Credito"/>
    <x v="2"/>
    <x v="216"/>
    <m/>
    <s v="000252"/>
    <s v="000132"/>
    <n v="20052.48"/>
    <s v="0,00"/>
    <s v="0,00"/>
    <s v="0,00"/>
    <s v="0,00"/>
    <s v="ORC2022_2"/>
    <s v="0012"/>
    <m/>
    <m/>
    <m/>
    <m/>
    <m/>
  </r>
  <r>
    <s v="BENEFICIOS"/>
    <x v="5"/>
    <x v="11"/>
    <n v="1072.8699999999999"/>
    <s v="0000000127"/>
    <s v="0479"/>
    <d v="2022-04-01T00:00:00"/>
    <s v="320103"/>
    <s v="301"/>
    <s v="32"/>
    <s v="Credito"/>
    <x v="2"/>
    <x v="216"/>
    <m/>
    <s v="000252"/>
    <s v="000132"/>
    <n v="1072.8699999999999"/>
    <s v="0,00"/>
    <s v="0,00"/>
    <s v="0,00"/>
    <s v="0,00"/>
    <s v="ORC2022_2"/>
    <s v="0012"/>
    <m/>
    <m/>
    <m/>
    <m/>
    <m/>
  </r>
  <r>
    <s v="BENEFICIOS"/>
    <x v="5"/>
    <x v="11"/>
    <n v="83535.88"/>
    <s v="0000000127"/>
    <s v="0480"/>
    <d v="2022-04-01T00:00:00"/>
    <s v="320103"/>
    <s v="305"/>
    <s v="32"/>
    <s v="Credito"/>
    <x v="2"/>
    <x v="216"/>
    <m/>
    <s v="000252"/>
    <s v="000132"/>
    <n v="83535.88"/>
    <s v="0,00"/>
    <s v="0,00"/>
    <s v="0,00"/>
    <s v="0,00"/>
    <s v="ORC2022_2"/>
    <s v="0012"/>
    <m/>
    <m/>
    <m/>
    <m/>
    <m/>
  </r>
  <r>
    <s v="BENEFICIOS"/>
    <x v="5"/>
    <x v="11"/>
    <n v="4041.36"/>
    <s v="0000000127"/>
    <s v="0481"/>
    <d v="2022-04-01T00:00:00"/>
    <s v="320103"/>
    <s v="306"/>
    <s v="33"/>
    <s v="Credito"/>
    <x v="2"/>
    <x v="216"/>
    <m/>
    <s v="000252"/>
    <s v="000132"/>
    <n v="4041.36"/>
    <s v="0,00"/>
    <s v="0,00"/>
    <s v="0,00"/>
    <s v="0,00"/>
    <s v="ORC2022_2"/>
    <s v="0012"/>
    <m/>
    <m/>
    <m/>
    <m/>
    <m/>
  </r>
  <r>
    <s v="BENEFICIOS"/>
    <x v="5"/>
    <x v="11"/>
    <n v="374.4"/>
    <s v="0000000127"/>
    <s v="0482"/>
    <d v="2022-04-01T00:00:00"/>
    <s v="320103"/>
    <s v="305"/>
    <s v="42"/>
    <s v="Credito"/>
    <x v="2"/>
    <x v="216"/>
    <m/>
    <s v="000252"/>
    <s v="000132"/>
    <n v="374.4"/>
    <s v="0,00"/>
    <s v="0,00"/>
    <s v="0,00"/>
    <s v="0,00"/>
    <s v="ORC2022_2"/>
    <s v="0012"/>
    <m/>
    <m/>
    <m/>
    <m/>
    <m/>
  </r>
  <r>
    <s v="BENEFICIOS"/>
    <x v="5"/>
    <x v="11"/>
    <n v="15183.33"/>
    <s v="0000000127"/>
    <s v="0483"/>
    <d v="2022-04-01T00:00:00"/>
    <s v="320103"/>
    <s v="301"/>
    <s v="90"/>
    <s v="Credito"/>
    <x v="2"/>
    <x v="216"/>
    <m/>
    <s v="000252"/>
    <s v="000132"/>
    <n v="15183.33"/>
    <s v="0,00"/>
    <s v="0,00"/>
    <s v="0,00"/>
    <s v="0,00"/>
    <s v="ORC2022_2"/>
    <s v="0012"/>
    <m/>
    <m/>
    <m/>
    <m/>
    <m/>
  </r>
  <r>
    <s v="BENEFICIOS"/>
    <x v="5"/>
    <x v="11"/>
    <n v="108"/>
    <s v="0000000127"/>
    <s v="0484"/>
    <d v="2022-04-01T00:00:00"/>
    <s v="320103"/>
    <s v="303"/>
    <s v="90"/>
    <s v="Credito"/>
    <x v="2"/>
    <x v="216"/>
    <m/>
    <s v="000252"/>
    <s v="000132"/>
    <n v="108"/>
    <s v="0,00"/>
    <s v="0,00"/>
    <s v="0,00"/>
    <s v="0,00"/>
    <s v="ORC2022_2"/>
    <s v="0012"/>
    <m/>
    <m/>
    <m/>
    <m/>
    <m/>
  </r>
  <r>
    <s v="BENEFICIOS"/>
    <x v="5"/>
    <x v="12"/>
    <n v="460.6"/>
    <s v="0000000127"/>
    <s v="0485"/>
    <d v="2022-05-01T00:00:00"/>
    <s v="320103"/>
    <s v="301"/>
    <s v="11"/>
    <s v="Credito"/>
    <x v="2"/>
    <x v="216"/>
    <m/>
    <s v="000252"/>
    <s v="000132"/>
    <n v="460.6"/>
    <s v="0,00"/>
    <s v="0,00"/>
    <s v="0,00"/>
    <s v="0,00"/>
    <s v="ORC2022_2"/>
    <s v="0012"/>
    <m/>
    <m/>
    <m/>
    <m/>
    <m/>
  </r>
  <r>
    <s v="BENEFICIOS"/>
    <x v="5"/>
    <x v="12"/>
    <n v="11934.69"/>
    <s v="0000000127"/>
    <s v="0486"/>
    <d v="2022-05-01T00:00:00"/>
    <s v="320103"/>
    <s v="302"/>
    <s v="11"/>
    <s v="Credito"/>
    <x v="2"/>
    <x v="216"/>
    <m/>
    <s v="000252"/>
    <s v="000132"/>
    <n v="11934.69"/>
    <s v="0,00"/>
    <s v="0,00"/>
    <s v="0,00"/>
    <s v="0,00"/>
    <s v="ORC2022_2"/>
    <s v="0012"/>
    <m/>
    <m/>
    <m/>
    <m/>
    <m/>
  </r>
  <r>
    <s v="BENEFICIOS"/>
    <x v="5"/>
    <x v="12"/>
    <n v="27099.62"/>
    <s v="0000000127"/>
    <s v="0487"/>
    <d v="2022-05-01T00:00:00"/>
    <s v="320103"/>
    <s v="304"/>
    <s v="11"/>
    <s v="Credito"/>
    <x v="2"/>
    <x v="216"/>
    <m/>
    <s v="000252"/>
    <s v="000132"/>
    <n v="27099.62"/>
    <s v="0,00"/>
    <s v="0,00"/>
    <s v="0,00"/>
    <s v="0,00"/>
    <s v="ORC2022_2"/>
    <s v="0012"/>
    <m/>
    <m/>
    <m/>
    <m/>
    <m/>
  </r>
  <r>
    <s v="BENEFICIOS"/>
    <x v="5"/>
    <x v="12"/>
    <n v="1266.32"/>
    <s v="0000000127"/>
    <s v="0488"/>
    <d v="2022-05-01T00:00:00"/>
    <s v="320103"/>
    <s v="305"/>
    <s v="11"/>
    <s v="Credito"/>
    <x v="2"/>
    <x v="216"/>
    <m/>
    <s v="000252"/>
    <s v="000132"/>
    <n v="1266.32"/>
    <s v="0,00"/>
    <s v="0,00"/>
    <s v="0,00"/>
    <s v="0,00"/>
    <s v="ORC2022_2"/>
    <s v="0012"/>
    <m/>
    <m/>
    <m/>
    <m/>
    <m/>
  </r>
  <r>
    <s v="BENEFICIOS"/>
    <x v="5"/>
    <x v="12"/>
    <n v="3733.02"/>
    <s v="0000000127"/>
    <s v="0489"/>
    <d v="2022-05-01T00:00:00"/>
    <s v="320103"/>
    <s v="301"/>
    <s v="21"/>
    <s v="Credito"/>
    <x v="2"/>
    <x v="216"/>
    <m/>
    <s v="000252"/>
    <s v="000132"/>
    <n v="3733.02"/>
    <s v="0,00"/>
    <s v="0,00"/>
    <s v="0,00"/>
    <s v="0,00"/>
    <s v="ORC2022_2"/>
    <s v="0012"/>
    <m/>
    <m/>
    <m/>
    <m/>
    <m/>
  </r>
  <r>
    <s v="BENEFICIOS"/>
    <x v="5"/>
    <x v="12"/>
    <n v="39463.33"/>
    <s v="0000000127"/>
    <s v="0490"/>
    <d v="2022-05-01T00:00:00"/>
    <s v="320103"/>
    <s v="303"/>
    <s v="21"/>
    <s v="Credito"/>
    <x v="2"/>
    <x v="216"/>
    <m/>
    <s v="000252"/>
    <s v="000132"/>
    <n v="39463.33"/>
    <s v="0,00"/>
    <s v="0,00"/>
    <s v="0,00"/>
    <s v="0,00"/>
    <s v="ORC2022_2"/>
    <s v="0012"/>
    <m/>
    <m/>
    <m/>
    <m/>
    <m/>
  </r>
  <r>
    <s v="BENEFICIOS"/>
    <x v="5"/>
    <x v="12"/>
    <n v="235134.94"/>
    <s v="0000000127"/>
    <s v="0491"/>
    <d v="2022-05-01T00:00:00"/>
    <s v="320103"/>
    <s v="305"/>
    <s v="21"/>
    <s v="Credito"/>
    <x v="2"/>
    <x v="216"/>
    <m/>
    <s v="000252"/>
    <s v="000132"/>
    <n v="235134.94"/>
    <s v="0,00"/>
    <s v="0,00"/>
    <s v="0,00"/>
    <s v="0,00"/>
    <s v="ORC2022_2"/>
    <s v="0012"/>
    <m/>
    <m/>
    <m/>
    <m/>
    <m/>
  </r>
  <r>
    <s v="BENEFICIOS"/>
    <x v="5"/>
    <x v="12"/>
    <n v="10820.85"/>
    <s v="0000000127"/>
    <s v="0492"/>
    <d v="2022-05-01T00:00:00"/>
    <s v="320103"/>
    <s v="305"/>
    <s v="31"/>
    <s v="Credito"/>
    <x v="2"/>
    <x v="216"/>
    <m/>
    <s v="000252"/>
    <s v="000132"/>
    <n v="10820.85"/>
    <s v="0,00"/>
    <s v="0,00"/>
    <s v="0,00"/>
    <s v="0,00"/>
    <s v="ORC2022_2"/>
    <s v="0012"/>
    <m/>
    <m/>
    <m/>
    <m/>
    <m/>
  </r>
  <r>
    <s v="BENEFICIOS"/>
    <x v="5"/>
    <x v="12"/>
    <n v="975.55"/>
    <s v="0000000127"/>
    <s v="0493"/>
    <d v="2022-05-01T00:00:00"/>
    <s v="320103"/>
    <s v="301"/>
    <s v="32"/>
    <s v="Credito"/>
    <x v="2"/>
    <x v="216"/>
    <m/>
    <s v="000252"/>
    <s v="000132"/>
    <n v="975.55"/>
    <s v="0,00"/>
    <s v="0,00"/>
    <s v="0,00"/>
    <s v="0,00"/>
    <s v="ORC2022_2"/>
    <s v="0012"/>
    <m/>
    <m/>
    <m/>
    <m/>
    <m/>
  </r>
  <r>
    <s v="BENEFICIOS"/>
    <x v="5"/>
    <x v="12"/>
    <n v="18313.580000000002"/>
    <s v="0000000127"/>
    <s v="0494"/>
    <d v="2022-05-01T00:00:00"/>
    <s v="320103"/>
    <s v="305"/>
    <s v="32"/>
    <s v="Credito"/>
    <x v="2"/>
    <x v="216"/>
    <m/>
    <s v="000252"/>
    <s v="000132"/>
    <n v="18313.580000000002"/>
    <s v="0,00"/>
    <s v="0,00"/>
    <s v="0,00"/>
    <s v="0,00"/>
    <s v="ORC2022_2"/>
    <s v="0012"/>
    <m/>
    <m/>
    <m/>
    <m/>
    <m/>
  </r>
  <r>
    <s v="BENEFICIOS"/>
    <x v="5"/>
    <x v="12"/>
    <n v="3960.13"/>
    <s v="0000000127"/>
    <s v="0495"/>
    <d v="2022-05-01T00:00:00"/>
    <s v="320103"/>
    <s v="306"/>
    <s v="33"/>
    <s v="Credito"/>
    <x v="2"/>
    <x v="216"/>
    <m/>
    <s v="000252"/>
    <s v="000132"/>
    <n v="3960.13"/>
    <s v="0,00"/>
    <s v="0,00"/>
    <s v="0,00"/>
    <s v="0,00"/>
    <s v="ORC2022_2"/>
    <s v="0012"/>
    <m/>
    <m/>
    <m/>
    <m/>
    <m/>
  </r>
  <r>
    <s v="BENEFICIOS"/>
    <x v="5"/>
    <x v="12"/>
    <n v="431.67"/>
    <s v="0000000127"/>
    <s v="0496"/>
    <d v="2022-05-01T00:00:00"/>
    <s v="320103"/>
    <s v="209"/>
    <s v="90"/>
    <s v="Credito"/>
    <x v="2"/>
    <x v="216"/>
    <m/>
    <s v="000252"/>
    <s v="000132"/>
    <n v="431.67"/>
    <s v="0,00"/>
    <s v="0,00"/>
    <s v="0,00"/>
    <s v="0,00"/>
    <s v="ORC2022_2"/>
    <s v="0012"/>
    <m/>
    <m/>
    <m/>
    <m/>
    <m/>
  </r>
  <r>
    <s v="BENEFICIOS"/>
    <x v="5"/>
    <x v="12"/>
    <n v="13372.75"/>
    <s v="0000000127"/>
    <s v="0497"/>
    <d v="2022-05-01T00:00:00"/>
    <s v="320103"/>
    <s v="301"/>
    <s v="90"/>
    <s v="Credito"/>
    <x v="2"/>
    <x v="216"/>
    <m/>
    <s v="000252"/>
    <s v="000132"/>
    <n v="13372.75"/>
    <s v="0,00"/>
    <s v="0,00"/>
    <s v="0,00"/>
    <s v="0,00"/>
    <s v="ORC2022_2"/>
    <s v="0012"/>
    <m/>
    <m/>
    <m/>
    <m/>
    <m/>
  </r>
  <r>
    <s v="BENEFICIOS"/>
    <x v="5"/>
    <x v="12"/>
    <n v="108"/>
    <s v="0000000127"/>
    <s v="0498"/>
    <d v="2022-05-01T00:00:00"/>
    <s v="320103"/>
    <s v="303"/>
    <s v="90"/>
    <s v="Credito"/>
    <x v="2"/>
    <x v="216"/>
    <m/>
    <s v="000252"/>
    <s v="000132"/>
    <n v="108"/>
    <s v="0,00"/>
    <s v="0,00"/>
    <s v="0,00"/>
    <s v="0,00"/>
    <s v="ORC2022_2"/>
    <s v="0012"/>
    <m/>
    <m/>
    <m/>
    <m/>
    <m/>
  </r>
  <r>
    <s v="BENEFICIOS"/>
    <x v="5"/>
    <x v="12"/>
    <n v="200"/>
    <s v="0000000127"/>
    <s v="0499"/>
    <d v="2022-05-01T00:00:00"/>
    <s v="320103"/>
    <s v="306"/>
    <s v="90"/>
    <s v="Credito"/>
    <x v="2"/>
    <x v="216"/>
    <m/>
    <s v="000252"/>
    <s v="000132"/>
    <n v="200"/>
    <s v="0,00"/>
    <s v="0,00"/>
    <s v="0,00"/>
    <s v="0,00"/>
    <s v="ORC2022_2"/>
    <s v="0012"/>
    <m/>
    <m/>
    <m/>
    <m/>
    <m/>
  </r>
  <r>
    <s v="BENEFICIOS"/>
    <x v="5"/>
    <x v="13"/>
    <n v="242.32"/>
    <s v="0000000127"/>
    <s v="0500"/>
    <d v="2022-06-01T00:00:00"/>
    <s v="320103"/>
    <s v="301"/>
    <s v="11"/>
    <s v="Credito"/>
    <x v="2"/>
    <x v="216"/>
    <m/>
    <s v="000252"/>
    <s v="000132"/>
    <n v="242.32"/>
    <s v="0,00"/>
    <s v="0,00"/>
    <s v="0,00"/>
    <s v="0,00"/>
    <s v="ORC2022_2"/>
    <s v="0012"/>
    <m/>
    <m/>
    <m/>
    <m/>
    <m/>
  </r>
  <r>
    <s v="BENEFICIOS"/>
    <x v="5"/>
    <x v="13"/>
    <n v="12383.86"/>
    <s v="0000000127"/>
    <s v="0501"/>
    <d v="2022-06-01T00:00:00"/>
    <s v="320103"/>
    <s v="302"/>
    <s v="11"/>
    <s v="Credito"/>
    <x v="2"/>
    <x v="216"/>
    <m/>
    <s v="000252"/>
    <s v="000132"/>
    <n v="12383.86"/>
    <s v="0,00"/>
    <s v="0,00"/>
    <s v="0,00"/>
    <s v="0,00"/>
    <s v="ORC2022_2"/>
    <s v="0012"/>
    <m/>
    <m/>
    <m/>
    <m/>
    <m/>
  </r>
  <r>
    <s v="BENEFICIOS"/>
    <x v="5"/>
    <x v="13"/>
    <n v="29610.06"/>
    <s v="0000000127"/>
    <s v="0502"/>
    <d v="2022-06-01T00:00:00"/>
    <s v="320103"/>
    <s v="304"/>
    <s v="11"/>
    <s v="Credito"/>
    <x v="2"/>
    <x v="216"/>
    <m/>
    <s v="000252"/>
    <s v="000132"/>
    <n v="29610.06"/>
    <s v="0,00"/>
    <s v="0,00"/>
    <s v="0,00"/>
    <s v="0,00"/>
    <s v="ORC2022_2"/>
    <s v="0012"/>
    <m/>
    <m/>
    <m/>
    <m/>
    <m/>
  </r>
  <r>
    <s v="BENEFICIOS"/>
    <x v="5"/>
    <x v="13"/>
    <n v="3725.22"/>
    <s v="0000000127"/>
    <s v="0503"/>
    <d v="2022-06-01T00:00:00"/>
    <s v="320103"/>
    <s v="301"/>
    <s v="21"/>
    <s v="Credito"/>
    <x v="2"/>
    <x v="216"/>
    <m/>
    <s v="000252"/>
    <s v="000132"/>
    <n v="3725.22"/>
    <s v="0,00"/>
    <s v="0,00"/>
    <s v="0,00"/>
    <s v="0,00"/>
    <s v="ORC2022_2"/>
    <s v="0012"/>
    <m/>
    <m/>
    <m/>
    <m/>
    <m/>
  </r>
  <r>
    <s v="BENEFICIOS"/>
    <x v="5"/>
    <x v="13"/>
    <n v="38088.800000000003"/>
    <s v="0000000127"/>
    <s v="0504"/>
    <d v="2022-06-01T00:00:00"/>
    <s v="320103"/>
    <s v="303"/>
    <s v="21"/>
    <s v="Credito"/>
    <x v="2"/>
    <x v="216"/>
    <m/>
    <s v="000252"/>
    <s v="000132"/>
    <n v="38088.800000000003"/>
    <s v="0,00"/>
    <s v="0,00"/>
    <s v="0,00"/>
    <s v="0,00"/>
    <s v="ORC2022_2"/>
    <s v="0012"/>
    <m/>
    <m/>
    <m/>
    <m/>
    <m/>
  </r>
  <r>
    <s v="BENEFICIOS"/>
    <x v="5"/>
    <x v="13"/>
    <n v="234677.68"/>
    <s v="0000000127"/>
    <s v="0505"/>
    <d v="2022-06-01T00:00:00"/>
    <s v="320103"/>
    <s v="305"/>
    <s v="21"/>
    <s v="Credito"/>
    <x v="2"/>
    <x v="216"/>
    <m/>
    <s v="000252"/>
    <s v="000132"/>
    <n v="234677.68"/>
    <s v="0,00"/>
    <s v="0,00"/>
    <s v="0,00"/>
    <s v="0,00"/>
    <s v="ORC2022_2"/>
    <s v="0012"/>
    <m/>
    <m/>
    <m/>
    <m/>
    <m/>
  </r>
  <r>
    <s v="BENEFICIOS"/>
    <x v="5"/>
    <x v="13"/>
    <n v="11380.14"/>
    <s v="0000000127"/>
    <s v="0506"/>
    <d v="2022-06-01T00:00:00"/>
    <s v="320103"/>
    <s v="305"/>
    <s v="31"/>
    <s v="Credito"/>
    <x v="2"/>
    <x v="216"/>
    <m/>
    <s v="000252"/>
    <s v="000132"/>
    <n v="11380.14"/>
    <s v="0,00"/>
    <s v="0,00"/>
    <s v="0,00"/>
    <s v="0,00"/>
    <s v="ORC2022_2"/>
    <s v="0012"/>
    <m/>
    <m/>
    <m/>
    <m/>
    <m/>
  </r>
  <r>
    <s v="BENEFICIOS"/>
    <x v="5"/>
    <x v="13"/>
    <n v="975.55"/>
    <s v="0000000127"/>
    <s v="0507"/>
    <d v="2022-06-01T00:00:00"/>
    <s v="320103"/>
    <s v="301"/>
    <s v="32"/>
    <s v="Credito"/>
    <x v="2"/>
    <x v="216"/>
    <m/>
    <s v="000252"/>
    <s v="000132"/>
    <n v="975.55"/>
    <s v="0,00"/>
    <s v="0,00"/>
    <s v="0,00"/>
    <s v="0,00"/>
    <s v="ORC2022_2"/>
    <s v="0012"/>
    <m/>
    <m/>
    <m/>
    <m/>
    <m/>
  </r>
  <r>
    <s v="BENEFICIOS"/>
    <x v="5"/>
    <x v="13"/>
    <n v="17992.650000000001"/>
    <s v="0000000127"/>
    <s v="0508"/>
    <d v="2022-06-01T00:00:00"/>
    <s v="320103"/>
    <s v="305"/>
    <s v="32"/>
    <s v="Credito"/>
    <x v="2"/>
    <x v="216"/>
    <m/>
    <s v="000252"/>
    <s v="000132"/>
    <n v="17992.650000000001"/>
    <s v="0,00"/>
    <s v="0,00"/>
    <s v="0,00"/>
    <s v="0,00"/>
    <s v="ORC2022_2"/>
    <s v="0012"/>
    <m/>
    <m/>
    <m/>
    <m/>
    <m/>
  </r>
  <r>
    <s v="BENEFICIOS"/>
    <x v="5"/>
    <x v="13"/>
    <n v="4409.29"/>
    <s v="0000000127"/>
    <s v="0509"/>
    <d v="2022-06-01T00:00:00"/>
    <s v="320103"/>
    <s v="306"/>
    <s v="33"/>
    <s v="Credito"/>
    <x v="2"/>
    <x v="216"/>
    <m/>
    <s v="000252"/>
    <s v="000132"/>
    <n v="4409.29"/>
    <s v="0,00"/>
    <s v="0,00"/>
    <s v="0,00"/>
    <s v="0,00"/>
    <s v="ORC2022_2"/>
    <s v="0012"/>
    <m/>
    <m/>
    <m/>
    <m/>
    <m/>
  </r>
  <r>
    <s v="BENEFICIOS"/>
    <x v="5"/>
    <x v="13"/>
    <n v="117"/>
    <s v="0000000127"/>
    <s v="0510"/>
    <d v="2022-06-01T00:00:00"/>
    <s v="320103"/>
    <s v="209"/>
    <s v="90"/>
    <s v="Credito"/>
    <x v="2"/>
    <x v="216"/>
    <m/>
    <s v="000252"/>
    <s v="000132"/>
    <n v="117"/>
    <s v="0,00"/>
    <s v="0,00"/>
    <s v="0,00"/>
    <s v="0,00"/>
    <s v="ORC2022_2"/>
    <s v="0012"/>
    <m/>
    <m/>
    <m/>
    <m/>
    <m/>
  </r>
  <r>
    <s v="BENEFICIOS"/>
    <x v="5"/>
    <x v="13"/>
    <n v="13811.33"/>
    <s v="0000000127"/>
    <s v="0511"/>
    <d v="2022-06-01T00:00:00"/>
    <s v="320103"/>
    <s v="301"/>
    <s v="90"/>
    <s v="Credito"/>
    <x v="2"/>
    <x v="216"/>
    <m/>
    <s v="000252"/>
    <s v="000132"/>
    <n v="13811.33"/>
    <s v="0,00"/>
    <s v="0,00"/>
    <s v="0,00"/>
    <s v="0,00"/>
    <s v="ORC2022_2"/>
    <s v="0012"/>
    <m/>
    <m/>
    <m/>
    <m/>
    <m/>
  </r>
  <r>
    <s v="BENEFICIOS"/>
    <x v="5"/>
    <x v="13"/>
    <n v="108"/>
    <s v="0000000127"/>
    <s v="0512"/>
    <d v="2022-06-01T00:00:00"/>
    <s v="320103"/>
    <s v="303"/>
    <s v="90"/>
    <s v="Credito"/>
    <x v="2"/>
    <x v="216"/>
    <m/>
    <s v="000252"/>
    <s v="000132"/>
    <n v="108"/>
    <s v="0,00"/>
    <s v="0,00"/>
    <s v="0,00"/>
    <s v="0,00"/>
    <s v="ORC2022_2"/>
    <s v="0012"/>
    <m/>
    <m/>
    <m/>
    <m/>
    <m/>
  </r>
  <r>
    <s v="BENEFICIOS"/>
    <x v="5"/>
    <x v="13"/>
    <n v="175.4"/>
    <s v="0000000127"/>
    <s v="0513"/>
    <d v="2022-06-01T00:00:00"/>
    <s v="320103"/>
    <s v="306"/>
    <s v="90"/>
    <s v="Credito"/>
    <x v="2"/>
    <x v="216"/>
    <m/>
    <s v="000252"/>
    <s v="000132"/>
    <n v="175.4"/>
    <s v="0,00"/>
    <s v="0,00"/>
    <s v="0,00"/>
    <s v="0,00"/>
    <s v="ORC2022_2"/>
    <s v="0012"/>
    <m/>
    <m/>
    <m/>
    <m/>
    <m/>
  </r>
  <r>
    <s v="BENEFICIOS"/>
    <x v="5"/>
    <x v="14"/>
    <n v="282.32"/>
    <s v="0000000127"/>
    <s v="0514"/>
    <d v="2022-07-01T00:00:00"/>
    <s v="320103"/>
    <s v="301"/>
    <s v="11"/>
    <s v="Credito"/>
    <x v="2"/>
    <x v="216"/>
    <m/>
    <s v="000252"/>
    <s v="000132"/>
    <n v="282.32"/>
    <s v="0,00"/>
    <s v="0,00"/>
    <s v="0,00"/>
    <s v="0,00"/>
    <s v="ORC2022_2"/>
    <s v="0012"/>
    <m/>
    <m/>
    <m/>
    <m/>
    <m/>
  </r>
  <r>
    <s v="BENEFICIOS"/>
    <x v="5"/>
    <x v="14"/>
    <n v="13876.92"/>
    <s v="0000000127"/>
    <s v="0515"/>
    <d v="2022-07-01T00:00:00"/>
    <s v="320103"/>
    <s v="302"/>
    <s v="11"/>
    <s v="Credito"/>
    <x v="2"/>
    <x v="216"/>
    <m/>
    <s v="000252"/>
    <s v="000132"/>
    <n v="13876.92"/>
    <s v="0,00"/>
    <s v="0,00"/>
    <s v="0,00"/>
    <s v="0,00"/>
    <s v="ORC2022_2"/>
    <s v="0012"/>
    <m/>
    <m/>
    <m/>
    <m/>
    <m/>
  </r>
  <r>
    <s v="BENEFICIOS"/>
    <x v="5"/>
    <x v="14"/>
    <n v="61405.41"/>
    <s v="0000000127"/>
    <s v="0516"/>
    <d v="2022-07-01T00:00:00"/>
    <s v="320103"/>
    <s v="304"/>
    <s v="11"/>
    <s v="Credito"/>
    <x v="2"/>
    <x v="216"/>
    <m/>
    <s v="000252"/>
    <s v="000132"/>
    <n v="61405.41"/>
    <s v="0,00"/>
    <s v="0,00"/>
    <s v="0,00"/>
    <s v="0,00"/>
    <s v="ORC2022_2"/>
    <s v="0012"/>
    <m/>
    <m/>
    <m/>
    <m/>
    <m/>
  </r>
  <r>
    <s v="BENEFICIOS"/>
    <x v="5"/>
    <x v="14"/>
    <n v="3725.22"/>
    <s v="0000000127"/>
    <s v="0517"/>
    <d v="2022-07-01T00:00:00"/>
    <s v="320103"/>
    <s v="301"/>
    <s v="21"/>
    <s v="Credito"/>
    <x v="2"/>
    <x v="216"/>
    <m/>
    <s v="000252"/>
    <s v="000132"/>
    <n v="3725.22"/>
    <s v="0,00"/>
    <s v="0,00"/>
    <s v="0,00"/>
    <s v="0,00"/>
    <s v="ORC2022_2"/>
    <s v="0012"/>
    <m/>
    <m/>
    <m/>
    <m/>
    <m/>
  </r>
  <r>
    <s v="BENEFICIOS"/>
    <x v="5"/>
    <x v="14"/>
    <n v="1"/>
    <s v="0000000127"/>
    <s v="0518"/>
    <d v="2022-07-01T00:00:00"/>
    <s v="320103"/>
    <s v="302"/>
    <s v="21"/>
    <s v="Credito"/>
    <x v="2"/>
    <x v="216"/>
    <m/>
    <s v="000252"/>
    <s v="000132"/>
    <n v="1"/>
    <s v="0,00"/>
    <s v="0,00"/>
    <s v="0,00"/>
    <s v="0,00"/>
    <s v="ORC2022_2"/>
    <s v="0012"/>
    <m/>
    <m/>
    <m/>
    <m/>
    <m/>
  </r>
  <r>
    <s v="BENEFICIOS"/>
    <x v="5"/>
    <x v="14"/>
    <n v="33777.49"/>
    <s v="0000000127"/>
    <s v="0519"/>
    <d v="2022-07-01T00:00:00"/>
    <s v="320103"/>
    <s v="303"/>
    <s v="21"/>
    <s v="Credito"/>
    <x v="2"/>
    <x v="216"/>
    <m/>
    <s v="000252"/>
    <s v="000132"/>
    <n v="33777.49"/>
    <s v="0,00"/>
    <s v="0,00"/>
    <s v="0,00"/>
    <s v="0,00"/>
    <s v="ORC2022_2"/>
    <s v="0012"/>
    <m/>
    <m/>
    <m/>
    <m/>
    <m/>
  </r>
  <r>
    <s v="BENEFICIOS"/>
    <x v="5"/>
    <x v="14"/>
    <n v="191795.02"/>
    <s v="0000000127"/>
    <s v="0520"/>
    <d v="2022-07-01T00:00:00"/>
    <s v="320103"/>
    <s v="305"/>
    <s v="21"/>
    <s v="Credito"/>
    <x v="2"/>
    <x v="216"/>
    <m/>
    <s v="000252"/>
    <s v="000132"/>
    <n v="191795.02"/>
    <s v="0,00"/>
    <s v="0,00"/>
    <s v="0,00"/>
    <s v="0,00"/>
    <s v="ORC2022_2"/>
    <s v="0012"/>
    <m/>
    <m/>
    <m/>
    <m/>
    <m/>
  </r>
  <r>
    <s v="BENEFICIOS"/>
    <x v="5"/>
    <x v="14"/>
    <n v="13132.21"/>
    <s v="0000000127"/>
    <s v="0521"/>
    <d v="2022-07-01T00:00:00"/>
    <s v="320103"/>
    <s v="305"/>
    <s v="31"/>
    <s v="Credito"/>
    <x v="2"/>
    <x v="216"/>
    <m/>
    <s v="000252"/>
    <s v="000132"/>
    <n v="13132.21"/>
    <s v="0,00"/>
    <s v="0,00"/>
    <s v="0,00"/>
    <s v="0,00"/>
    <s v="ORC2022_2"/>
    <s v="0012"/>
    <m/>
    <m/>
    <m/>
    <m/>
    <m/>
  </r>
  <r>
    <s v="BENEFICIOS"/>
    <x v="5"/>
    <x v="14"/>
    <n v="975.55"/>
    <s v="0000000127"/>
    <s v="0522"/>
    <d v="2022-07-01T00:00:00"/>
    <s v="320103"/>
    <s v="301"/>
    <s v="32"/>
    <s v="Credito"/>
    <x v="2"/>
    <x v="216"/>
    <m/>
    <s v="000252"/>
    <s v="000132"/>
    <n v="975.55"/>
    <s v="0,00"/>
    <s v="0,00"/>
    <s v="0,00"/>
    <s v="0,00"/>
    <s v="ORC2022_2"/>
    <s v="0012"/>
    <m/>
    <m/>
    <m/>
    <m/>
    <m/>
  </r>
  <r>
    <s v="BENEFICIOS"/>
    <x v="5"/>
    <x v="14"/>
    <n v="16211.65"/>
    <s v="0000000127"/>
    <s v="0523"/>
    <d v="2022-07-01T00:00:00"/>
    <s v="320103"/>
    <s v="305"/>
    <s v="32"/>
    <s v="Credito"/>
    <x v="2"/>
    <x v="216"/>
    <m/>
    <s v="000252"/>
    <s v="000132"/>
    <n v="16211.65"/>
    <s v="0,00"/>
    <s v="0,00"/>
    <s v="0,00"/>
    <s v="0,00"/>
    <s v="ORC2022_2"/>
    <s v="0012"/>
    <m/>
    <m/>
    <m/>
    <m/>
    <m/>
  </r>
  <r>
    <s v="BENEFICIOS"/>
    <x v="5"/>
    <x v="14"/>
    <n v="4176.7"/>
    <s v="0000000127"/>
    <s v="0524"/>
    <d v="2022-07-01T00:00:00"/>
    <s v="320103"/>
    <s v="306"/>
    <s v="33"/>
    <s v="Credito"/>
    <x v="2"/>
    <x v="216"/>
    <m/>
    <s v="000252"/>
    <s v="000132"/>
    <n v="4176.7"/>
    <s v="0,00"/>
    <s v="0,00"/>
    <s v="0,00"/>
    <s v="0,00"/>
    <s v="ORC2022_2"/>
    <s v="0012"/>
    <m/>
    <m/>
    <m/>
    <m/>
    <m/>
  </r>
  <r>
    <s v="BENEFICIOS"/>
    <x v="5"/>
    <x v="14"/>
    <n v="301"/>
    <s v="0000000127"/>
    <s v="0525"/>
    <d v="2022-07-01T00:00:00"/>
    <s v="320103"/>
    <s v="305"/>
    <s v="42"/>
    <s v="Credito"/>
    <x v="2"/>
    <x v="216"/>
    <m/>
    <s v="000252"/>
    <s v="000132"/>
    <n v="301"/>
    <s v="0,00"/>
    <s v="0,00"/>
    <s v="0,00"/>
    <s v="0,00"/>
    <s v="ORC2022_2"/>
    <s v="0012"/>
    <m/>
    <m/>
    <m/>
    <m/>
    <m/>
  </r>
  <r>
    <s v="BENEFICIOS"/>
    <x v="5"/>
    <x v="14"/>
    <n v="27783.919999999998"/>
    <s v="0000000127"/>
    <s v="0526"/>
    <d v="2022-07-01T00:00:00"/>
    <s v="320103"/>
    <s v="201"/>
    <s v="90"/>
    <s v="Credito"/>
    <x v="2"/>
    <x v="216"/>
    <m/>
    <s v="000252"/>
    <s v="000132"/>
    <n v="27783.919999999998"/>
    <s v="0,00"/>
    <s v="0,00"/>
    <s v="0,00"/>
    <s v="0,00"/>
    <s v="ORC2022_2"/>
    <s v="0012"/>
    <m/>
    <m/>
    <m/>
    <m/>
    <m/>
  </r>
  <r>
    <s v="BENEFICIOS"/>
    <x v="5"/>
    <x v="14"/>
    <n v="327.60000000000002"/>
    <s v="0000000127"/>
    <s v="0527"/>
    <d v="2022-07-01T00:00:00"/>
    <s v="320103"/>
    <s v="209"/>
    <s v="90"/>
    <s v="Credito"/>
    <x v="2"/>
    <x v="216"/>
    <m/>
    <s v="000252"/>
    <s v="000132"/>
    <n v="327.60000000000002"/>
    <s v="0,00"/>
    <s v="0,00"/>
    <s v="0,00"/>
    <s v="0,00"/>
    <s v="ORC2022_2"/>
    <s v="0012"/>
    <m/>
    <m/>
    <m/>
    <m/>
    <m/>
  </r>
  <r>
    <s v="BENEFICIOS"/>
    <x v="5"/>
    <x v="14"/>
    <n v="13709.4"/>
    <s v="0000000127"/>
    <s v="0528"/>
    <d v="2022-07-01T00:00:00"/>
    <s v="320103"/>
    <s v="301"/>
    <s v="90"/>
    <s v="Credito"/>
    <x v="2"/>
    <x v="216"/>
    <m/>
    <s v="000252"/>
    <s v="000132"/>
    <n v="13709.4"/>
    <s v="0,00"/>
    <s v="0,00"/>
    <s v="0,00"/>
    <s v="0,00"/>
    <s v="ORC2022_2"/>
    <s v="0012"/>
    <m/>
    <m/>
    <m/>
    <m/>
    <m/>
  </r>
  <r>
    <s v="BENEFICIOS"/>
    <x v="5"/>
    <x v="14"/>
    <n v="216"/>
    <s v="0000000127"/>
    <s v="0529"/>
    <d v="2022-07-01T00:00:00"/>
    <s v="320103"/>
    <s v="303"/>
    <s v="90"/>
    <s v="Credito"/>
    <x v="2"/>
    <x v="216"/>
    <m/>
    <s v="000252"/>
    <s v="000132"/>
    <n v="216"/>
    <s v="0,00"/>
    <s v="0,00"/>
    <s v="0,00"/>
    <s v="0,00"/>
    <s v="ORC2022_2"/>
    <s v="0012"/>
    <m/>
    <m/>
    <m/>
    <m/>
    <m/>
  </r>
  <r>
    <s v="BENEFICIOS"/>
    <x v="5"/>
    <x v="15"/>
    <n v="28068.44"/>
    <s v="0000000127"/>
    <s v="0530"/>
    <d v="2022-08-01T00:00:00"/>
    <s v="320103"/>
    <s v="301"/>
    <s v="11"/>
    <s v="Credito"/>
    <x v="2"/>
    <x v="216"/>
    <m/>
    <s v="000252"/>
    <s v="000132"/>
    <n v="28068.44"/>
    <s v="0,00"/>
    <s v="0,00"/>
    <s v="0,00"/>
    <s v="0,00"/>
    <s v="ORC2022_2"/>
    <s v="0012"/>
    <m/>
    <m/>
    <m/>
    <m/>
    <m/>
  </r>
  <r>
    <s v="BENEFICIOS"/>
    <x v="5"/>
    <x v="15"/>
    <n v="18395.04"/>
    <s v="0000000127"/>
    <s v="0531"/>
    <d v="2022-08-01T00:00:00"/>
    <s v="320103"/>
    <s v="302"/>
    <s v="11"/>
    <s v="Credito"/>
    <x v="2"/>
    <x v="216"/>
    <m/>
    <s v="000252"/>
    <s v="000132"/>
    <n v="18395.04"/>
    <s v="0,00"/>
    <s v="0,00"/>
    <s v="0,00"/>
    <s v="0,00"/>
    <s v="ORC2022_2"/>
    <s v="0012"/>
    <m/>
    <m/>
    <m/>
    <m/>
    <m/>
  </r>
  <r>
    <s v="BENEFICIOS"/>
    <x v="5"/>
    <x v="15"/>
    <n v="54222.99"/>
    <s v="0000000127"/>
    <s v="0532"/>
    <d v="2022-08-01T00:00:00"/>
    <s v="320103"/>
    <s v="304"/>
    <s v="11"/>
    <s v="Credito"/>
    <x v="2"/>
    <x v="216"/>
    <m/>
    <s v="000252"/>
    <s v="000132"/>
    <n v="54222.99"/>
    <s v="0,00"/>
    <s v="0,00"/>
    <s v="0,00"/>
    <s v="0,00"/>
    <s v="ORC2022_2"/>
    <s v="0012"/>
    <m/>
    <m/>
    <m/>
    <m/>
    <m/>
  </r>
  <r>
    <s v="BENEFICIOS"/>
    <x v="5"/>
    <x v="15"/>
    <n v="3733.02"/>
    <s v="0000000127"/>
    <s v="0533"/>
    <d v="2022-08-01T00:00:00"/>
    <s v="320103"/>
    <s v="301"/>
    <s v="21"/>
    <s v="Credito"/>
    <x v="2"/>
    <x v="216"/>
    <m/>
    <s v="000252"/>
    <s v="000132"/>
    <n v="3733.02"/>
    <s v="0,00"/>
    <s v="0,00"/>
    <s v="0,00"/>
    <s v="0,00"/>
    <s v="ORC2022_2"/>
    <s v="0012"/>
    <m/>
    <m/>
    <m/>
    <m/>
    <m/>
  </r>
  <r>
    <s v="BENEFICIOS"/>
    <x v="5"/>
    <x v="15"/>
    <n v="53507.91"/>
    <s v="0000000127"/>
    <s v="0534"/>
    <d v="2022-08-01T00:00:00"/>
    <s v="320103"/>
    <s v="303"/>
    <s v="21"/>
    <s v="Credito"/>
    <x v="2"/>
    <x v="216"/>
    <m/>
    <s v="000252"/>
    <s v="000132"/>
    <n v="53507.91"/>
    <s v="0,00"/>
    <s v="0,00"/>
    <s v="0,00"/>
    <s v="0,00"/>
    <s v="ORC2022_2"/>
    <s v="0012"/>
    <m/>
    <m/>
    <m/>
    <m/>
    <m/>
  </r>
  <r>
    <s v="BENEFICIOS"/>
    <x v="5"/>
    <x v="15"/>
    <n v="237752.11"/>
    <s v="0000000127"/>
    <s v="0535"/>
    <d v="2022-08-01T00:00:00"/>
    <s v="320103"/>
    <s v="305"/>
    <s v="21"/>
    <s v="Credito"/>
    <x v="2"/>
    <x v="216"/>
    <m/>
    <s v="000252"/>
    <s v="000132"/>
    <n v="237752.11"/>
    <s v="0,00"/>
    <s v="0,00"/>
    <s v="0,00"/>
    <s v="0,00"/>
    <s v="ORC2022_2"/>
    <s v="0012"/>
    <m/>
    <m/>
    <m/>
    <m/>
    <m/>
  </r>
  <r>
    <s v="BENEFICIOS"/>
    <x v="5"/>
    <x v="15"/>
    <n v="90650.1"/>
    <s v="0000000127"/>
    <s v="0536"/>
    <d v="2022-08-01T00:00:00"/>
    <s v="320103"/>
    <s v="305"/>
    <s v="31"/>
    <s v="Credito"/>
    <x v="2"/>
    <x v="216"/>
    <m/>
    <s v="000252"/>
    <s v="000132"/>
    <n v="90650.1"/>
    <s v="0,00"/>
    <s v="0,00"/>
    <s v="0,00"/>
    <s v="0,00"/>
    <s v="ORC2022_2"/>
    <s v="0012"/>
    <m/>
    <m/>
    <m/>
    <m/>
    <m/>
  </r>
  <r>
    <s v="BENEFICIOS"/>
    <x v="5"/>
    <x v="15"/>
    <n v="975.55"/>
    <s v="0000000127"/>
    <s v="0537"/>
    <d v="2022-08-01T00:00:00"/>
    <s v="320103"/>
    <s v="301"/>
    <s v="32"/>
    <s v="Credito"/>
    <x v="2"/>
    <x v="216"/>
    <m/>
    <s v="000252"/>
    <s v="000132"/>
    <n v="975.55"/>
    <s v="0,00"/>
    <s v="0,00"/>
    <s v="0,00"/>
    <s v="0,00"/>
    <s v="ORC2022_2"/>
    <s v="0012"/>
    <m/>
    <m/>
    <m/>
    <m/>
    <m/>
  </r>
  <r>
    <s v="BENEFICIOS"/>
    <x v="5"/>
    <x v="15"/>
    <n v="17068.25"/>
    <s v="0000000127"/>
    <s v="0538"/>
    <d v="2022-08-01T00:00:00"/>
    <s v="320103"/>
    <s v="305"/>
    <s v="32"/>
    <s v="Credito"/>
    <x v="2"/>
    <x v="216"/>
    <m/>
    <s v="000252"/>
    <s v="000132"/>
    <n v="17068.25"/>
    <s v="0,00"/>
    <s v="0,00"/>
    <s v="0,00"/>
    <s v="0,00"/>
    <s v="ORC2022_2"/>
    <s v="0012"/>
    <m/>
    <m/>
    <m/>
    <m/>
    <m/>
  </r>
  <r>
    <s v="BENEFICIOS"/>
    <x v="5"/>
    <x v="15"/>
    <n v="6234.39"/>
    <s v="0000000127"/>
    <s v="0539"/>
    <d v="2022-08-01T00:00:00"/>
    <s v="320103"/>
    <s v="306"/>
    <s v="33"/>
    <s v="Credito"/>
    <x v="2"/>
    <x v="216"/>
    <m/>
    <s v="000252"/>
    <s v="000132"/>
    <n v="6234.39"/>
    <s v="0,00"/>
    <s v="0,00"/>
    <s v="0,00"/>
    <s v="0,00"/>
    <s v="ORC2022_2"/>
    <s v="0012"/>
    <m/>
    <m/>
    <m/>
    <m/>
    <m/>
  </r>
  <r>
    <s v="BENEFICIOS"/>
    <x v="5"/>
    <x v="15"/>
    <n v="124.8"/>
    <s v="0000000127"/>
    <s v="0540"/>
    <d v="2022-08-01T00:00:00"/>
    <s v="320103"/>
    <s v="209"/>
    <s v="90"/>
    <s v="Credito"/>
    <x v="2"/>
    <x v="216"/>
    <m/>
    <s v="000252"/>
    <s v="000132"/>
    <n v="124.8"/>
    <s v="0,00"/>
    <s v="0,00"/>
    <s v="0,00"/>
    <s v="0,00"/>
    <s v="ORC2022_2"/>
    <s v="0012"/>
    <m/>
    <m/>
    <m/>
    <m/>
    <m/>
  </r>
  <r>
    <s v="BENEFICIOS"/>
    <x v="5"/>
    <x v="15"/>
    <n v="24553.040000000001"/>
    <s v="0000000127"/>
    <s v="0541"/>
    <d v="2022-08-01T00:00:00"/>
    <s v="320103"/>
    <s v="301"/>
    <s v="90"/>
    <s v="Credito"/>
    <x v="2"/>
    <x v="216"/>
    <m/>
    <s v="000252"/>
    <s v="000132"/>
    <n v="24553.040000000001"/>
    <s v="0,00"/>
    <s v="0,00"/>
    <s v="0,00"/>
    <s v="0,00"/>
    <s v="ORC2022_2"/>
    <s v="0012"/>
    <m/>
    <m/>
    <m/>
    <m/>
    <m/>
  </r>
  <r>
    <s v="BENEFICIOS"/>
    <x v="5"/>
    <x v="15"/>
    <n v="468"/>
    <s v="0000000127"/>
    <s v="0542"/>
    <d v="2022-08-01T00:00:00"/>
    <s v="320103"/>
    <s v="303"/>
    <s v="90"/>
    <s v="Credito"/>
    <x v="2"/>
    <x v="216"/>
    <m/>
    <s v="000252"/>
    <s v="000132"/>
    <n v="468"/>
    <s v="0,00"/>
    <s v="0,00"/>
    <s v="0,00"/>
    <s v="0,00"/>
    <s v="ORC2022_2"/>
    <s v="0012"/>
    <m/>
    <m/>
    <m/>
    <m/>
    <m/>
  </r>
  <r>
    <s v="BENEFICIOS"/>
    <x v="5"/>
    <x v="15"/>
    <n v="251.28"/>
    <s v="0000000127"/>
    <s v="0543"/>
    <d v="2022-08-01T00:00:00"/>
    <s v="320103"/>
    <s v="306"/>
    <s v="90"/>
    <s v="Credito"/>
    <x v="2"/>
    <x v="216"/>
    <m/>
    <s v="000252"/>
    <s v="000132"/>
    <n v="251.28"/>
    <s v="0,00"/>
    <s v="0,00"/>
    <s v="0,00"/>
    <s v="0,00"/>
    <s v="ORC2022_2"/>
    <s v="0012"/>
    <m/>
    <m/>
    <m/>
    <m/>
    <m/>
  </r>
  <r>
    <s v="BENEFICIOS"/>
    <x v="5"/>
    <x v="16"/>
    <n v="73.760000000000005"/>
    <s v="0000000127"/>
    <s v="0544"/>
    <d v="2022-09-01T00:00:00"/>
    <s v="320103"/>
    <s v="301"/>
    <s v="11"/>
    <s v="Credito"/>
    <x v="2"/>
    <x v="216"/>
    <m/>
    <s v="000252"/>
    <s v="000132"/>
    <n v="73.760000000000005"/>
    <s v="0,00"/>
    <s v="0,00"/>
    <s v="0,00"/>
    <s v="0,00"/>
    <s v="ORC2022_2"/>
    <s v="0012"/>
    <m/>
    <m/>
    <m/>
    <m/>
    <m/>
  </r>
  <r>
    <s v="BENEFICIOS"/>
    <x v="5"/>
    <x v="16"/>
    <n v="14131.98"/>
    <s v="0000000127"/>
    <s v="0545"/>
    <d v="2022-09-01T00:00:00"/>
    <s v="320103"/>
    <s v="302"/>
    <s v="11"/>
    <s v="Credito"/>
    <x v="2"/>
    <x v="216"/>
    <m/>
    <s v="000252"/>
    <s v="000132"/>
    <n v="14131.98"/>
    <s v="0,00"/>
    <s v="0,00"/>
    <s v="0,00"/>
    <s v="0,00"/>
    <s v="ORC2022_2"/>
    <s v="0012"/>
    <m/>
    <m/>
    <m/>
    <m/>
    <m/>
  </r>
  <r>
    <s v="BENEFICIOS"/>
    <x v="5"/>
    <x v="16"/>
    <n v="22363.67"/>
    <s v="0000000127"/>
    <s v="0546"/>
    <d v="2022-09-01T00:00:00"/>
    <s v="320103"/>
    <s v="304"/>
    <s v="11"/>
    <s v="Credito"/>
    <x v="2"/>
    <x v="216"/>
    <m/>
    <s v="000252"/>
    <s v="000132"/>
    <n v="22363.67"/>
    <s v="0,00"/>
    <s v="0,00"/>
    <s v="0,00"/>
    <s v="0,00"/>
    <s v="ORC2022_2"/>
    <s v="0012"/>
    <m/>
    <m/>
    <m/>
    <m/>
    <m/>
  </r>
  <r>
    <s v="BENEFICIOS"/>
    <x v="5"/>
    <x v="16"/>
    <n v="117"/>
    <s v="0000000127"/>
    <s v="0547"/>
    <d v="2022-09-01T00:00:00"/>
    <s v="320103"/>
    <s v="209"/>
    <s v="21"/>
    <s v="Credito"/>
    <x v="2"/>
    <x v="216"/>
    <m/>
    <s v="000252"/>
    <s v="000132"/>
    <n v="117"/>
    <s v="0,00"/>
    <s v="0,00"/>
    <s v="0,00"/>
    <s v="0,00"/>
    <s v="ORC2022_2"/>
    <s v="0012"/>
    <m/>
    <m/>
    <m/>
    <m/>
    <m/>
  </r>
  <r>
    <s v="BENEFICIOS"/>
    <x v="5"/>
    <x v="16"/>
    <n v="3561.42"/>
    <s v="0000000127"/>
    <s v="0548"/>
    <d v="2022-09-01T00:00:00"/>
    <s v="320103"/>
    <s v="301"/>
    <s v="21"/>
    <s v="Credito"/>
    <x v="2"/>
    <x v="216"/>
    <m/>
    <s v="000252"/>
    <s v="000132"/>
    <n v="3561.42"/>
    <s v="0,00"/>
    <s v="0,00"/>
    <s v="0,00"/>
    <s v="0,00"/>
    <s v="ORC2022_2"/>
    <s v="0012"/>
    <m/>
    <m/>
    <m/>
    <m/>
    <m/>
  </r>
  <r>
    <s v="BENEFICIOS"/>
    <x v="5"/>
    <x v="16"/>
    <n v="41083.25"/>
    <s v="0000000127"/>
    <s v="0549"/>
    <d v="2022-09-01T00:00:00"/>
    <s v="320103"/>
    <s v="303"/>
    <s v="21"/>
    <s v="Credito"/>
    <x v="2"/>
    <x v="216"/>
    <m/>
    <s v="000252"/>
    <s v="000132"/>
    <n v="41083.25"/>
    <s v="0,00"/>
    <s v="0,00"/>
    <s v="0,00"/>
    <s v="0,00"/>
    <s v="ORC2022_2"/>
    <s v="0012"/>
    <m/>
    <m/>
    <m/>
    <m/>
    <m/>
  </r>
  <r>
    <s v="BENEFICIOS"/>
    <x v="5"/>
    <x v="16"/>
    <n v="189593.93"/>
    <s v="0000000127"/>
    <s v="0550"/>
    <d v="2022-09-01T00:00:00"/>
    <s v="320103"/>
    <s v="305"/>
    <s v="21"/>
    <s v="Credito"/>
    <x v="2"/>
    <x v="216"/>
    <m/>
    <s v="000252"/>
    <s v="000132"/>
    <n v="189593.93"/>
    <s v="0,00"/>
    <s v="0,00"/>
    <s v="0,00"/>
    <s v="0,00"/>
    <s v="ORC2022_2"/>
    <s v="0012"/>
    <m/>
    <m/>
    <m/>
    <m/>
    <m/>
  </r>
  <r>
    <s v="BENEFICIOS"/>
    <x v="5"/>
    <x v="16"/>
    <n v="71308.570000000007"/>
    <s v="0000000127"/>
    <s v="0551"/>
    <d v="2022-09-01T00:00:00"/>
    <s v="320103"/>
    <s v="305"/>
    <s v="31"/>
    <s v="Credito"/>
    <x v="2"/>
    <x v="216"/>
    <m/>
    <s v="000252"/>
    <s v="000132"/>
    <n v="71308.570000000007"/>
    <s v="0,00"/>
    <s v="0,00"/>
    <s v="0,00"/>
    <s v="0,00"/>
    <s v="ORC2022_2"/>
    <s v="0012"/>
    <m/>
    <m/>
    <m/>
    <m/>
    <m/>
  </r>
  <r>
    <s v="BENEFICIOS"/>
    <x v="5"/>
    <x v="16"/>
    <n v="975.55"/>
    <s v="0000000127"/>
    <s v="0552"/>
    <d v="2022-09-01T00:00:00"/>
    <s v="320103"/>
    <s v="301"/>
    <s v="32"/>
    <s v="Credito"/>
    <x v="2"/>
    <x v="216"/>
    <m/>
    <s v="000252"/>
    <s v="000132"/>
    <n v="975.55"/>
    <s v="0,00"/>
    <s v="0,00"/>
    <s v="0,00"/>
    <s v="0,00"/>
    <s v="ORC2022_2"/>
    <s v="0012"/>
    <m/>
    <m/>
    <m/>
    <m/>
    <m/>
  </r>
  <r>
    <s v="BENEFICIOS"/>
    <x v="5"/>
    <x v="16"/>
    <n v="17351.650000000001"/>
    <s v="0000000127"/>
    <s v="0553"/>
    <d v="2022-09-01T00:00:00"/>
    <s v="320103"/>
    <s v="305"/>
    <s v="32"/>
    <s v="Credito"/>
    <x v="2"/>
    <x v="216"/>
    <m/>
    <s v="000252"/>
    <s v="000132"/>
    <n v="17351.650000000001"/>
    <s v="0,00"/>
    <s v="0,00"/>
    <s v="0,00"/>
    <s v="0,00"/>
    <s v="ORC2022_2"/>
    <s v="0012"/>
    <m/>
    <m/>
    <m/>
    <m/>
    <m/>
  </r>
  <r>
    <s v="BENEFICIOS"/>
    <x v="5"/>
    <x v="16"/>
    <n v="4847.34"/>
    <s v="0000000127"/>
    <s v="0554"/>
    <d v="2022-09-01T00:00:00"/>
    <s v="320103"/>
    <s v="306"/>
    <s v="33"/>
    <s v="Credito"/>
    <x v="2"/>
    <x v="216"/>
    <m/>
    <s v="000252"/>
    <s v="000132"/>
    <n v="4847.34"/>
    <s v="0,00"/>
    <s v="0,00"/>
    <s v="0,00"/>
    <s v="0,00"/>
    <s v="ORC2022_2"/>
    <s v="0012"/>
    <m/>
    <m/>
    <m/>
    <m/>
    <m/>
  </r>
  <r>
    <s v="BENEFICIOS"/>
    <x v="5"/>
    <x v="16"/>
    <n v="18381.96"/>
    <s v="0000000127"/>
    <s v="0555"/>
    <d v="2022-09-01T00:00:00"/>
    <s v="320103"/>
    <s v="301"/>
    <s v="90"/>
    <s v="Credito"/>
    <x v="2"/>
    <x v="216"/>
    <m/>
    <s v="000252"/>
    <s v="000132"/>
    <n v="18381.96"/>
    <s v="0,00"/>
    <s v="0,00"/>
    <s v="0,00"/>
    <s v="0,00"/>
    <s v="ORC2022_2"/>
    <s v="0012"/>
    <m/>
    <m/>
    <m/>
    <m/>
    <m/>
  </r>
  <r>
    <s v="BENEFICIOS"/>
    <x v="5"/>
    <x v="17"/>
    <n v="74.5"/>
    <s v="0000000127"/>
    <s v="0556"/>
    <d v="2022-10-01T00:00:00"/>
    <s v="320103"/>
    <s v="301"/>
    <s v="11"/>
    <s v="Credito"/>
    <x v="2"/>
    <x v="216"/>
    <m/>
    <s v="000252"/>
    <s v="000132"/>
    <n v="74.5"/>
    <s v="0,00"/>
    <s v="0,00"/>
    <s v="0,00"/>
    <s v="0,00"/>
    <s v="ORC2022_2"/>
    <s v="0012"/>
    <m/>
    <m/>
    <m/>
    <m/>
    <m/>
  </r>
  <r>
    <s v="BENEFICIOS"/>
    <x v="5"/>
    <x v="17"/>
    <n v="14273.3"/>
    <s v="0000000127"/>
    <s v="0557"/>
    <d v="2022-10-01T00:00:00"/>
    <s v="320103"/>
    <s v="302"/>
    <s v="11"/>
    <s v="Credito"/>
    <x v="2"/>
    <x v="216"/>
    <m/>
    <s v="000252"/>
    <s v="000132"/>
    <n v="14273.3"/>
    <s v="0,00"/>
    <s v="0,00"/>
    <s v="0,00"/>
    <s v="0,00"/>
    <s v="ORC2022_2"/>
    <s v="0012"/>
    <m/>
    <m/>
    <m/>
    <m/>
    <m/>
  </r>
  <r>
    <s v="BENEFICIOS"/>
    <x v="5"/>
    <x v="17"/>
    <n v="22587.31"/>
    <s v="0000000127"/>
    <s v="0558"/>
    <d v="2022-10-01T00:00:00"/>
    <s v="320103"/>
    <s v="304"/>
    <s v="11"/>
    <s v="Credito"/>
    <x v="2"/>
    <x v="216"/>
    <m/>
    <s v="000252"/>
    <s v="000132"/>
    <n v="22587.31"/>
    <s v="0,00"/>
    <s v="0,00"/>
    <s v="0,00"/>
    <s v="0,00"/>
    <s v="ORC2022_2"/>
    <s v="0012"/>
    <m/>
    <m/>
    <m/>
    <m/>
    <m/>
  </r>
  <r>
    <s v="BENEFICIOS"/>
    <x v="5"/>
    <x v="17"/>
    <n v="118.17"/>
    <s v="0000000127"/>
    <s v="0559"/>
    <d v="2022-10-01T00:00:00"/>
    <s v="320103"/>
    <s v="209"/>
    <s v="21"/>
    <s v="Credito"/>
    <x v="2"/>
    <x v="216"/>
    <m/>
    <s v="000252"/>
    <s v="000132"/>
    <n v="118.17"/>
    <s v="0,00"/>
    <s v="0,00"/>
    <s v="0,00"/>
    <s v="0,00"/>
    <s v="ORC2022_2"/>
    <s v="0012"/>
    <m/>
    <m/>
    <m/>
    <m/>
    <m/>
  </r>
  <r>
    <s v="BENEFICIOS"/>
    <x v="5"/>
    <x v="17"/>
    <n v="3597.03"/>
    <s v="0000000127"/>
    <s v="0560"/>
    <d v="2022-10-01T00:00:00"/>
    <s v="320103"/>
    <s v="301"/>
    <s v="21"/>
    <s v="Credito"/>
    <x v="2"/>
    <x v="216"/>
    <m/>
    <s v="000252"/>
    <s v="000132"/>
    <n v="3597.03"/>
    <s v="0,00"/>
    <s v="0,00"/>
    <s v="0,00"/>
    <s v="0,00"/>
    <s v="ORC2022_2"/>
    <s v="0012"/>
    <m/>
    <m/>
    <m/>
    <m/>
    <m/>
  </r>
  <r>
    <s v="BENEFICIOS"/>
    <x v="5"/>
    <x v="17"/>
    <n v="41494.080000000002"/>
    <s v="0000000127"/>
    <s v="0561"/>
    <d v="2022-10-01T00:00:00"/>
    <s v="320103"/>
    <s v="303"/>
    <s v="21"/>
    <s v="Credito"/>
    <x v="2"/>
    <x v="216"/>
    <m/>
    <s v="000252"/>
    <s v="000132"/>
    <n v="41494.080000000002"/>
    <s v="0,00"/>
    <s v="0,00"/>
    <s v="0,00"/>
    <s v="0,00"/>
    <s v="ORC2022_2"/>
    <s v="0012"/>
    <m/>
    <m/>
    <m/>
    <m/>
    <m/>
  </r>
  <r>
    <s v="BENEFICIOS"/>
    <x v="5"/>
    <x v="17"/>
    <n v="191489.87"/>
    <s v="0000000127"/>
    <s v="0562"/>
    <d v="2022-10-01T00:00:00"/>
    <s v="320103"/>
    <s v="305"/>
    <s v="21"/>
    <s v="Credito"/>
    <x v="2"/>
    <x v="216"/>
    <m/>
    <s v="000252"/>
    <s v="000132"/>
    <n v="191489.87"/>
    <s v="0,00"/>
    <s v="0,00"/>
    <s v="0,00"/>
    <s v="0,00"/>
    <s v="ORC2022_2"/>
    <s v="0012"/>
    <m/>
    <m/>
    <m/>
    <m/>
    <m/>
  </r>
  <r>
    <s v="BENEFICIOS"/>
    <x v="5"/>
    <x v="17"/>
    <n v="72021.66"/>
    <s v="0000000127"/>
    <s v="0563"/>
    <d v="2022-10-01T00:00:00"/>
    <s v="320103"/>
    <s v="305"/>
    <s v="31"/>
    <s v="Credito"/>
    <x v="2"/>
    <x v="216"/>
    <m/>
    <s v="000252"/>
    <s v="000132"/>
    <n v="72021.66"/>
    <s v="0,00"/>
    <s v="0,00"/>
    <s v="0,00"/>
    <s v="0,00"/>
    <s v="ORC2022_2"/>
    <s v="0012"/>
    <m/>
    <m/>
    <m/>
    <m/>
    <m/>
  </r>
  <r>
    <s v="BENEFICIOS"/>
    <x v="5"/>
    <x v="17"/>
    <n v="985.31"/>
    <s v="0000000127"/>
    <s v="0564"/>
    <d v="2022-10-01T00:00:00"/>
    <s v="320103"/>
    <s v="301"/>
    <s v="32"/>
    <s v="Credito"/>
    <x v="2"/>
    <x v="216"/>
    <m/>
    <s v="000252"/>
    <s v="000132"/>
    <n v="985.31"/>
    <s v="0,00"/>
    <s v="0,00"/>
    <s v="0,00"/>
    <s v="0,00"/>
    <s v="ORC2022_2"/>
    <s v="0012"/>
    <m/>
    <m/>
    <m/>
    <m/>
    <m/>
  </r>
  <r>
    <s v="BENEFICIOS"/>
    <x v="5"/>
    <x v="17"/>
    <n v="17525.169999999998"/>
    <s v="0000000127"/>
    <s v="0565"/>
    <d v="2022-10-01T00:00:00"/>
    <s v="320103"/>
    <s v="305"/>
    <s v="32"/>
    <s v="Credito"/>
    <x v="2"/>
    <x v="216"/>
    <m/>
    <s v="000252"/>
    <s v="000132"/>
    <n v="17525.169999999998"/>
    <s v="0,00"/>
    <s v="0,00"/>
    <s v="0,00"/>
    <s v="0,00"/>
    <s v="ORC2022_2"/>
    <s v="0012"/>
    <m/>
    <m/>
    <m/>
    <m/>
    <m/>
  </r>
  <r>
    <s v="BENEFICIOS"/>
    <x v="5"/>
    <x v="17"/>
    <n v="4895.8100000000004"/>
    <s v="0000000127"/>
    <s v="0566"/>
    <d v="2022-10-01T00:00:00"/>
    <s v="320103"/>
    <s v="306"/>
    <s v="33"/>
    <s v="Credito"/>
    <x v="2"/>
    <x v="216"/>
    <m/>
    <s v="000252"/>
    <s v="000132"/>
    <n v="4895.8100000000004"/>
    <s v="0,00"/>
    <s v="0,00"/>
    <s v="0,00"/>
    <s v="0,00"/>
    <s v="ORC2022_2"/>
    <s v="0012"/>
    <m/>
    <m/>
    <m/>
    <m/>
    <m/>
  </r>
  <r>
    <s v="BENEFICIOS"/>
    <x v="5"/>
    <x v="17"/>
    <n v="18565.78"/>
    <s v="0000000127"/>
    <s v="0567"/>
    <d v="2022-10-01T00:00:00"/>
    <s v="320103"/>
    <s v="301"/>
    <s v="90"/>
    <s v="Credito"/>
    <x v="2"/>
    <x v="216"/>
    <m/>
    <s v="000252"/>
    <s v="000132"/>
    <n v="18565.78"/>
    <s v="0,00"/>
    <s v="0,00"/>
    <s v="0,00"/>
    <s v="0,00"/>
    <s v="ORC2022_2"/>
    <s v="0012"/>
    <m/>
    <m/>
    <m/>
    <m/>
    <m/>
  </r>
  <r>
    <s v="BENEFICIOS"/>
    <x v="5"/>
    <x v="0"/>
    <n v="75.239999999999995"/>
    <s v="0000000127"/>
    <s v="0568"/>
    <d v="2022-11-01T00:00:00"/>
    <s v="320103"/>
    <s v="301"/>
    <s v="11"/>
    <s v="Credito"/>
    <x v="2"/>
    <x v="216"/>
    <m/>
    <s v="000252"/>
    <s v="000132"/>
    <n v="75.239999999999995"/>
    <s v="0,00"/>
    <s v="0,00"/>
    <s v="0,00"/>
    <s v="0,00"/>
    <s v="ORC2022_2"/>
    <s v="0012"/>
    <m/>
    <m/>
    <m/>
    <m/>
    <m/>
  </r>
  <r>
    <s v="BENEFICIOS"/>
    <x v="5"/>
    <x v="0"/>
    <n v="14416.03"/>
    <s v="0000000127"/>
    <s v="0569"/>
    <d v="2022-11-01T00:00:00"/>
    <s v="320103"/>
    <s v="302"/>
    <s v="11"/>
    <s v="Credito"/>
    <x v="2"/>
    <x v="216"/>
    <m/>
    <s v="000252"/>
    <s v="000132"/>
    <n v="14416.03"/>
    <s v="0,00"/>
    <s v="0,00"/>
    <s v="0,00"/>
    <s v="0,00"/>
    <s v="ORC2022_2"/>
    <s v="0012"/>
    <m/>
    <m/>
    <m/>
    <m/>
    <m/>
  </r>
  <r>
    <s v="BENEFICIOS"/>
    <x v="5"/>
    <x v="0"/>
    <n v="22813.18"/>
    <s v="0000000127"/>
    <s v="0570"/>
    <d v="2022-11-01T00:00:00"/>
    <s v="320103"/>
    <s v="304"/>
    <s v="11"/>
    <s v="Credito"/>
    <x v="2"/>
    <x v="216"/>
    <m/>
    <s v="000252"/>
    <s v="000132"/>
    <n v="22813.18"/>
    <s v="0,00"/>
    <s v="0,00"/>
    <s v="0,00"/>
    <s v="0,00"/>
    <s v="ORC2022_2"/>
    <s v="0012"/>
    <m/>
    <m/>
    <m/>
    <m/>
    <m/>
  </r>
  <r>
    <s v="BENEFICIOS"/>
    <x v="5"/>
    <x v="0"/>
    <n v="119.35"/>
    <s v="0000000127"/>
    <s v="0571"/>
    <d v="2022-11-01T00:00:00"/>
    <s v="320103"/>
    <s v="209"/>
    <s v="21"/>
    <s v="Credito"/>
    <x v="2"/>
    <x v="216"/>
    <m/>
    <s v="000252"/>
    <s v="000132"/>
    <n v="119.35"/>
    <s v="0,00"/>
    <s v="0,00"/>
    <s v="0,00"/>
    <s v="0,00"/>
    <s v="ORC2022_2"/>
    <s v="0012"/>
    <m/>
    <m/>
    <m/>
    <m/>
    <m/>
  </r>
  <r>
    <s v="BENEFICIOS"/>
    <x v="5"/>
    <x v="0"/>
    <n v="3633"/>
    <s v="0000000127"/>
    <s v="0572"/>
    <d v="2022-11-01T00:00:00"/>
    <s v="320103"/>
    <s v="301"/>
    <s v="21"/>
    <s v="Credito"/>
    <x v="2"/>
    <x v="216"/>
    <m/>
    <s v="000252"/>
    <s v="000132"/>
    <n v="3633"/>
    <s v="0,00"/>
    <s v="0,00"/>
    <s v="0,00"/>
    <s v="0,00"/>
    <s v="ORC2022_2"/>
    <s v="0012"/>
    <m/>
    <m/>
    <m/>
    <m/>
    <m/>
  </r>
  <r>
    <s v="BENEFICIOS"/>
    <x v="5"/>
    <x v="0"/>
    <n v="41909.019999999997"/>
    <s v="0000000127"/>
    <s v="0573"/>
    <d v="2022-11-01T00:00:00"/>
    <s v="320103"/>
    <s v="303"/>
    <s v="21"/>
    <s v="Credito"/>
    <x v="2"/>
    <x v="216"/>
    <m/>
    <s v="000252"/>
    <s v="000132"/>
    <n v="41909.019999999997"/>
    <s v="0,00"/>
    <s v="0,00"/>
    <s v="0,00"/>
    <s v="0,00"/>
    <s v="ORC2022_2"/>
    <s v="0012"/>
    <m/>
    <m/>
    <m/>
    <m/>
    <m/>
  </r>
  <r>
    <s v="BENEFICIOS"/>
    <x v="5"/>
    <x v="0"/>
    <n v="193404.77"/>
    <s v="0000000127"/>
    <s v="0574"/>
    <d v="2022-11-01T00:00:00"/>
    <s v="320103"/>
    <s v="305"/>
    <s v="21"/>
    <s v="Credito"/>
    <x v="2"/>
    <x v="216"/>
    <m/>
    <s v="000252"/>
    <s v="000132"/>
    <n v="193404.77"/>
    <s v="0,00"/>
    <s v="0,00"/>
    <s v="0,00"/>
    <s v="0,00"/>
    <s v="ORC2022_2"/>
    <s v="0012"/>
    <m/>
    <m/>
    <m/>
    <m/>
    <m/>
  </r>
  <r>
    <s v="BENEFICIOS"/>
    <x v="5"/>
    <x v="0"/>
    <n v="72741.87"/>
    <s v="0000000127"/>
    <s v="0575"/>
    <d v="2022-11-01T00:00:00"/>
    <s v="320103"/>
    <s v="305"/>
    <s v="31"/>
    <s v="Credito"/>
    <x v="2"/>
    <x v="216"/>
    <m/>
    <s v="000252"/>
    <s v="000132"/>
    <n v="72741.87"/>
    <s v="0,00"/>
    <s v="0,00"/>
    <s v="0,00"/>
    <s v="0,00"/>
    <s v="ORC2022_2"/>
    <s v="0012"/>
    <m/>
    <m/>
    <m/>
    <m/>
    <m/>
  </r>
  <r>
    <s v="BENEFICIOS"/>
    <x v="5"/>
    <x v="0"/>
    <n v="995.16"/>
    <s v="0000000127"/>
    <s v="0576"/>
    <d v="2022-11-01T00:00:00"/>
    <s v="320103"/>
    <s v="301"/>
    <s v="32"/>
    <s v="Credito"/>
    <x v="2"/>
    <x v="216"/>
    <m/>
    <s v="000252"/>
    <s v="000132"/>
    <n v="995.16"/>
    <s v="0,00"/>
    <s v="0,00"/>
    <s v="0,00"/>
    <s v="0,00"/>
    <s v="ORC2022_2"/>
    <s v="0012"/>
    <m/>
    <m/>
    <m/>
    <m/>
    <m/>
  </r>
  <r>
    <s v="BENEFICIOS"/>
    <x v="5"/>
    <x v="0"/>
    <n v="17700.419999999998"/>
    <s v="0000000127"/>
    <s v="0577"/>
    <d v="2022-11-01T00:00:00"/>
    <s v="320103"/>
    <s v="305"/>
    <s v="32"/>
    <s v="Credito"/>
    <x v="2"/>
    <x v="216"/>
    <m/>
    <s v="000252"/>
    <s v="000132"/>
    <n v="17700.419999999998"/>
    <s v="0,00"/>
    <s v="0,00"/>
    <s v="0,00"/>
    <s v="0,00"/>
    <s v="ORC2022_2"/>
    <s v="0012"/>
    <m/>
    <m/>
    <m/>
    <m/>
    <m/>
  </r>
  <r>
    <s v="BENEFICIOS"/>
    <x v="5"/>
    <x v="0"/>
    <n v="4944.7700000000004"/>
    <s v="0000000127"/>
    <s v="0578"/>
    <d v="2022-11-01T00:00:00"/>
    <s v="320103"/>
    <s v="306"/>
    <s v="33"/>
    <s v="Credito"/>
    <x v="2"/>
    <x v="216"/>
    <m/>
    <s v="000252"/>
    <s v="000132"/>
    <n v="4944.7700000000004"/>
    <s v="0,00"/>
    <s v="0,00"/>
    <s v="0,00"/>
    <s v="0,00"/>
    <s v="ORC2022_2"/>
    <s v="0012"/>
    <m/>
    <m/>
    <m/>
    <m/>
    <m/>
  </r>
  <r>
    <s v="BENEFICIOS"/>
    <x v="5"/>
    <x v="0"/>
    <n v="18751.439999999999"/>
    <s v="0000000127"/>
    <s v="0579"/>
    <d v="2022-11-01T00:00:00"/>
    <s v="320103"/>
    <s v="301"/>
    <s v="90"/>
    <s v="Credito"/>
    <x v="2"/>
    <x v="216"/>
    <m/>
    <s v="000252"/>
    <s v="000132"/>
    <n v="18751.439999999999"/>
    <s v="0,00"/>
    <s v="0,00"/>
    <s v="0,00"/>
    <s v="0,00"/>
    <s v="ORC2022_2"/>
    <s v="0012"/>
    <m/>
    <m/>
    <m/>
    <m/>
    <m/>
  </r>
  <r>
    <s v="BENEFICIOS"/>
    <x v="5"/>
    <x v="1"/>
    <n v="76"/>
    <s v="0000000127"/>
    <s v="0580"/>
    <d v="2022-12-01T00:00:00"/>
    <s v="320103"/>
    <s v="301"/>
    <s v="11"/>
    <s v="Credito"/>
    <x v="2"/>
    <x v="216"/>
    <m/>
    <s v="000252"/>
    <s v="000132"/>
    <n v="76"/>
    <s v="0,00"/>
    <s v="0,00"/>
    <s v="0,00"/>
    <s v="0,00"/>
    <s v="ORC2022_2"/>
    <s v="0012"/>
    <m/>
    <m/>
    <m/>
    <m/>
    <m/>
  </r>
  <r>
    <s v="BENEFICIOS"/>
    <x v="5"/>
    <x v="1"/>
    <n v="14560.19"/>
    <s v="0000000127"/>
    <s v="0581"/>
    <d v="2022-12-01T00:00:00"/>
    <s v="320103"/>
    <s v="302"/>
    <s v="11"/>
    <s v="Credito"/>
    <x v="2"/>
    <x v="216"/>
    <m/>
    <s v="000252"/>
    <s v="000132"/>
    <n v="14560.19"/>
    <s v="0,00"/>
    <s v="0,00"/>
    <s v="0,00"/>
    <s v="0,00"/>
    <s v="ORC2022_2"/>
    <s v="0012"/>
    <m/>
    <m/>
    <m/>
    <m/>
    <m/>
  </r>
  <r>
    <s v="BENEFICIOS"/>
    <x v="5"/>
    <x v="1"/>
    <n v="23041.31"/>
    <s v="0000000127"/>
    <s v="0582"/>
    <d v="2022-12-01T00:00:00"/>
    <s v="320103"/>
    <s v="304"/>
    <s v="11"/>
    <s v="Credito"/>
    <x v="2"/>
    <x v="216"/>
    <m/>
    <s v="000252"/>
    <s v="000132"/>
    <n v="23041.31"/>
    <s v="0,00"/>
    <s v="0,00"/>
    <s v="0,00"/>
    <s v="0,00"/>
    <s v="ORC2022_2"/>
    <s v="0012"/>
    <m/>
    <m/>
    <m/>
    <m/>
    <m/>
  </r>
  <r>
    <s v="BENEFICIOS"/>
    <x v="5"/>
    <x v="1"/>
    <n v="120.55"/>
    <s v="0000000127"/>
    <s v="0583"/>
    <d v="2022-12-01T00:00:00"/>
    <s v="320103"/>
    <s v="209"/>
    <s v="21"/>
    <s v="Credito"/>
    <x v="2"/>
    <x v="216"/>
    <m/>
    <s v="000252"/>
    <s v="000132"/>
    <n v="120.55"/>
    <s v="0,00"/>
    <s v="0,00"/>
    <s v="0,00"/>
    <s v="0,00"/>
    <s v="ORC2022_2"/>
    <s v="0012"/>
    <m/>
    <m/>
    <m/>
    <m/>
    <m/>
  </r>
  <r>
    <s v="BENEFICIOS"/>
    <x v="5"/>
    <x v="1"/>
    <n v="3669.33"/>
    <s v="0000000127"/>
    <s v="0584"/>
    <d v="2022-12-01T00:00:00"/>
    <s v="320103"/>
    <s v="301"/>
    <s v="21"/>
    <s v="Credito"/>
    <x v="2"/>
    <x v="216"/>
    <m/>
    <s v="000252"/>
    <s v="000132"/>
    <n v="3669.33"/>
    <s v="0,00"/>
    <s v="0,00"/>
    <s v="0,00"/>
    <s v="0,00"/>
    <s v="ORC2022_2"/>
    <s v="0012"/>
    <m/>
    <m/>
    <m/>
    <m/>
    <m/>
  </r>
  <r>
    <s v="BENEFICIOS"/>
    <x v="5"/>
    <x v="1"/>
    <n v="42328.11"/>
    <s v="0000000127"/>
    <s v="0585"/>
    <d v="2022-12-01T00:00:00"/>
    <s v="320103"/>
    <s v="303"/>
    <s v="21"/>
    <s v="Credito"/>
    <x v="2"/>
    <x v="216"/>
    <m/>
    <s v="000252"/>
    <s v="000132"/>
    <n v="42328.11"/>
    <s v="0,00"/>
    <s v="0,00"/>
    <s v="0,00"/>
    <s v="0,00"/>
    <s v="ORC2022_2"/>
    <s v="0012"/>
    <m/>
    <m/>
    <m/>
    <m/>
    <m/>
  </r>
  <r>
    <s v="BENEFICIOS"/>
    <x v="5"/>
    <x v="1"/>
    <n v="195338.82"/>
    <s v="0000000127"/>
    <s v="0586"/>
    <d v="2022-12-01T00:00:00"/>
    <s v="320103"/>
    <s v="305"/>
    <s v="21"/>
    <s v="Credito"/>
    <x v="2"/>
    <x v="216"/>
    <m/>
    <s v="000252"/>
    <s v="000132"/>
    <n v="195338.82"/>
    <s v="0,00"/>
    <s v="0,00"/>
    <s v="0,00"/>
    <s v="0,00"/>
    <s v="ORC2022_2"/>
    <s v="0012"/>
    <m/>
    <m/>
    <m/>
    <m/>
    <m/>
  </r>
  <r>
    <s v="BENEFICIOS"/>
    <x v="5"/>
    <x v="1"/>
    <n v="73469.289999999994"/>
    <s v="0000000127"/>
    <s v="0587"/>
    <d v="2022-12-01T00:00:00"/>
    <s v="320103"/>
    <s v="305"/>
    <s v="31"/>
    <s v="Credito"/>
    <x v="2"/>
    <x v="216"/>
    <m/>
    <s v="000252"/>
    <s v="000132"/>
    <n v="73469.289999999994"/>
    <s v="0,00"/>
    <s v="0,00"/>
    <s v="0,00"/>
    <s v="0,00"/>
    <s v="ORC2022_2"/>
    <s v="0012"/>
    <m/>
    <m/>
    <m/>
    <m/>
    <m/>
  </r>
  <r>
    <s v="BENEFICIOS"/>
    <x v="5"/>
    <x v="1"/>
    <n v="1005.11"/>
    <s v="0000000127"/>
    <s v="0588"/>
    <d v="2022-12-01T00:00:00"/>
    <s v="320103"/>
    <s v="301"/>
    <s v="32"/>
    <s v="Credito"/>
    <x v="2"/>
    <x v="216"/>
    <m/>
    <s v="000252"/>
    <s v="000132"/>
    <n v="1005.11"/>
    <s v="0,00"/>
    <s v="0,00"/>
    <s v="0,00"/>
    <s v="0,00"/>
    <s v="ORC2022_2"/>
    <s v="0012"/>
    <m/>
    <m/>
    <m/>
    <m/>
    <m/>
  </r>
  <r>
    <s v="BENEFICIOS"/>
    <x v="5"/>
    <x v="1"/>
    <n v="17877.419999999998"/>
    <s v="0000000127"/>
    <s v="0589"/>
    <d v="2022-12-01T00:00:00"/>
    <s v="320103"/>
    <s v="305"/>
    <s v="32"/>
    <s v="Credito"/>
    <x v="2"/>
    <x v="216"/>
    <m/>
    <s v="000252"/>
    <s v="000132"/>
    <n v="17877.419999999998"/>
    <s v="0,00"/>
    <s v="0,00"/>
    <s v="0,00"/>
    <s v="0,00"/>
    <s v="ORC2022_2"/>
    <s v="0012"/>
    <m/>
    <m/>
    <m/>
    <m/>
    <m/>
  </r>
  <r>
    <s v="BENEFICIOS"/>
    <x v="5"/>
    <x v="1"/>
    <n v="4994.22"/>
    <s v="0000000127"/>
    <s v="0590"/>
    <d v="2022-12-01T00:00:00"/>
    <s v="320103"/>
    <s v="306"/>
    <s v="33"/>
    <s v="Credito"/>
    <x v="2"/>
    <x v="216"/>
    <m/>
    <s v="000252"/>
    <s v="000132"/>
    <n v="4994.22"/>
    <s v="0,00"/>
    <s v="0,00"/>
    <s v="0,00"/>
    <s v="0,00"/>
    <s v="ORC2022_2"/>
    <s v="0012"/>
    <m/>
    <m/>
    <m/>
    <m/>
    <m/>
  </r>
  <r>
    <s v="BENEFICIOS"/>
    <x v="5"/>
    <x v="1"/>
    <n v="18938.95"/>
    <s v="0000000127"/>
    <s v="0591"/>
    <d v="2022-12-01T00:00:00"/>
    <s v="320103"/>
    <s v="301"/>
    <s v="90"/>
    <s v="Credito"/>
    <x v="2"/>
    <x v="216"/>
    <m/>
    <s v="000252"/>
    <s v="000132"/>
    <n v="18938.95"/>
    <s v="0,00"/>
    <s v="0,00"/>
    <s v="0,00"/>
    <s v="0,00"/>
    <s v="ORC2022_2"/>
    <s v="0012"/>
    <m/>
    <m/>
    <m/>
    <m/>
    <m/>
  </r>
  <r>
    <s v="OUTROS GASTOS COM PESSOAL"/>
    <x v="28"/>
    <x v="8"/>
    <n v="4598.1099999999997"/>
    <s v="0000000127"/>
    <s v="0592"/>
    <d v="2022-01-01T00:00:00"/>
    <s v="320104"/>
    <s v="302"/>
    <s v="11"/>
    <s v="Credito"/>
    <x v="2"/>
    <x v="216"/>
    <m/>
    <s v="000252"/>
    <s v="000132"/>
    <n v="4598.1099999999997"/>
    <s v="0,00"/>
    <s v="0,00"/>
    <s v="0,00"/>
    <s v="0,00"/>
    <s v="ORC2022_2"/>
    <s v="0012"/>
    <m/>
    <m/>
    <m/>
    <m/>
    <m/>
  </r>
  <r>
    <s v="OUTROS GASTOS COM PESSOAL"/>
    <x v="28"/>
    <x v="8"/>
    <n v="4051.62"/>
    <s v="0000000127"/>
    <s v="0593"/>
    <d v="2022-01-01T00:00:00"/>
    <s v="320104"/>
    <s v="304"/>
    <s v="11"/>
    <s v="Credito"/>
    <x v="2"/>
    <x v="216"/>
    <m/>
    <s v="000252"/>
    <s v="000132"/>
    <n v="4051.62"/>
    <s v="0,00"/>
    <s v="0,00"/>
    <s v="0,00"/>
    <s v="0,00"/>
    <s v="ORC2022_2"/>
    <s v="0012"/>
    <m/>
    <m/>
    <m/>
    <m/>
    <m/>
  </r>
  <r>
    <s v="OUTROS GASTOS COM PESSOAL"/>
    <x v="28"/>
    <x v="8"/>
    <n v="1862.83"/>
    <s v="0000000127"/>
    <s v="0594"/>
    <d v="2022-01-01T00:00:00"/>
    <s v="320104"/>
    <s v="303"/>
    <s v="21"/>
    <s v="Credito"/>
    <x v="2"/>
    <x v="216"/>
    <m/>
    <s v="000252"/>
    <s v="000132"/>
    <n v="1862.83"/>
    <s v="0,00"/>
    <s v="0,00"/>
    <s v="0,00"/>
    <s v="0,00"/>
    <s v="ORC2022_2"/>
    <s v="0012"/>
    <m/>
    <m/>
    <m/>
    <m/>
    <m/>
  </r>
  <r>
    <s v="OUTROS GASTOS COM PESSOAL"/>
    <x v="28"/>
    <x v="8"/>
    <n v="14911.42"/>
    <s v="0000000127"/>
    <s v="0595"/>
    <d v="2022-01-01T00:00:00"/>
    <s v="320104"/>
    <s v="305"/>
    <s v="21"/>
    <s v="Credito"/>
    <x v="2"/>
    <x v="216"/>
    <m/>
    <s v="000252"/>
    <s v="000132"/>
    <n v="14911.42"/>
    <s v="0,00"/>
    <s v="0,00"/>
    <s v="0,00"/>
    <s v="0,00"/>
    <s v="ORC2022_2"/>
    <s v="0012"/>
    <m/>
    <m/>
    <m/>
    <m/>
    <m/>
  </r>
  <r>
    <s v="OUTROS GASTOS COM PESSOAL"/>
    <x v="28"/>
    <x v="8"/>
    <n v="2009.19"/>
    <s v="0000000127"/>
    <s v="0596"/>
    <d v="2022-01-01T00:00:00"/>
    <s v="320104"/>
    <s v="305"/>
    <s v="31"/>
    <s v="Credito"/>
    <x v="2"/>
    <x v="216"/>
    <m/>
    <s v="000252"/>
    <s v="000132"/>
    <n v="2009.19"/>
    <s v="0,00"/>
    <s v="0,00"/>
    <s v="0,00"/>
    <s v="0,00"/>
    <s v="ORC2022_2"/>
    <s v="0012"/>
    <m/>
    <m/>
    <m/>
    <m/>
    <m/>
  </r>
  <r>
    <s v="OUTROS GASTOS COM PESSOAL"/>
    <x v="28"/>
    <x v="8"/>
    <n v="178.89"/>
    <s v="0000000127"/>
    <s v="0597"/>
    <d v="2022-01-01T00:00:00"/>
    <s v="320104"/>
    <s v="301"/>
    <s v="90"/>
    <s v="Credito"/>
    <x v="2"/>
    <x v="216"/>
    <m/>
    <s v="000252"/>
    <s v="000132"/>
    <n v="178.89"/>
    <s v="0,00"/>
    <s v="0,00"/>
    <s v="0,00"/>
    <s v="0,00"/>
    <s v="ORC2022_2"/>
    <s v="0012"/>
    <m/>
    <m/>
    <m/>
    <m/>
    <m/>
  </r>
  <r>
    <s v="OUTROS GASTOS COM PESSOAL"/>
    <x v="28"/>
    <x v="9"/>
    <n v="4684.1099999999997"/>
    <s v="0000000127"/>
    <s v="0598"/>
    <d v="2022-02-01T00:00:00"/>
    <s v="320104"/>
    <s v="302"/>
    <s v="11"/>
    <s v="Credito"/>
    <x v="2"/>
    <x v="216"/>
    <m/>
    <s v="000252"/>
    <s v="000132"/>
    <n v="4684.1099999999997"/>
    <s v="0,00"/>
    <s v="0,00"/>
    <s v="0,00"/>
    <s v="0,00"/>
    <s v="ORC2022_2"/>
    <s v="0012"/>
    <m/>
    <m/>
    <m/>
    <m/>
    <m/>
  </r>
  <r>
    <s v="OUTROS GASTOS COM PESSOAL"/>
    <x v="28"/>
    <x v="9"/>
    <n v="826.29"/>
    <s v="0000000127"/>
    <s v="0599"/>
    <d v="2022-02-01T00:00:00"/>
    <s v="320104"/>
    <s v="304"/>
    <s v="11"/>
    <s v="Credito"/>
    <x v="2"/>
    <x v="216"/>
    <m/>
    <s v="000252"/>
    <s v="000132"/>
    <n v="826.29"/>
    <s v="0,00"/>
    <s v="0,00"/>
    <s v="0,00"/>
    <s v="0,00"/>
    <s v="ORC2022_2"/>
    <s v="0012"/>
    <m/>
    <m/>
    <m/>
    <m/>
    <m/>
  </r>
  <r>
    <s v="OUTROS GASTOS COM PESSOAL"/>
    <x v="28"/>
    <x v="9"/>
    <n v="6043.2"/>
    <s v="0000000127"/>
    <s v="0600"/>
    <d v="2022-02-01T00:00:00"/>
    <s v="320104"/>
    <s v="303"/>
    <s v="21"/>
    <s v="Credito"/>
    <x v="2"/>
    <x v="216"/>
    <m/>
    <s v="000252"/>
    <s v="000132"/>
    <n v="6043.2"/>
    <s v="0,00"/>
    <s v="0,00"/>
    <s v="0,00"/>
    <s v="0,00"/>
    <s v="ORC2022_2"/>
    <s v="0012"/>
    <m/>
    <m/>
    <m/>
    <m/>
    <m/>
  </r>
  <r>
    <s v="OUTROS GASTOS COM PESSOAL"/>
    <x v="28"/>
    <x v="9"/>
    <n v="24500.04"/>
    <s v="0000000127"/>
    <s v="0601"/>
    <d v="2022-02-01T00:00:00"/>
    <s v="320104"/>
    <s v="305"/>
    <s v="21"/>
    <s v="Credito"/>
    <x v="2"/>
    <x v="216"/>
    <m/>
    <s v="000252"/>
    <s v="000132"/>
    <n v="24500.04"/>
    <s v="0,00"/>
    <s v="0,00"/>
    <s v="0,00"/>
    <s v="0,00"/>
    <s v="ORC2022_2"/>
    <s v="0012"/>
    <m/>
    <m/>
    <m/>
    <m/>
    <m/>
  </r>
  <r>
    <s v="OUTROS GASTOS COM PESSOAL"/>
    <x v="28"/>
    <x v="9"/>
    <n v="3238.7"/>
    <s v="0000000127"/>
    <s v="0602"/>
    <d v="2022-02-01T00:00:00"/>
    <s v="320104"/>
    <s v="305"/>
    <s v="31"/>
    <s v="Credito"/>
    <x v="2"/>
    <x v="216"/>
    <m/>
    <s v="000252"/>
    <s v="000132"/>
    <n v="3238.7"/>
    <s v="0,00"/>
    <s v="0,00"/>
    <s v="0,00"/>
    <s v="0,00"/>
    <s v="ORC2022_2"/>
    <s v="0012"/>
    <m/>
    <m/>
    <m/>
    <m/>
    <m/>
  </r>
  <r>
    <s v="OUTROS GASTOS COM PESSOAL"/>
    <x v="28"/>
    <x v="9"/>
    <n v="5.92"/>
    <s v="0000000127"/>
    <s v="0603"/>
    <d v="2022-02-01T00:00:00"/>
    <s v="320104"/>
    <s v="301"/>
    <s v="90"/>
    <s v="Credito"/>
    <x v="2"/>
    <x v="216"/>
    <m/>
    <s v="000252"/>
    <s v="000132"/>
    <n v="5.92"/>
    <s v="0,00"/>
    <s v="0,00"/>
    <s v="0,00"/>
    <s v="0,00"/>
    <s v="ORC2022_2"/>
    <s v="0012"/>
    <m/>
    <m/>
    <m/>
    <m/>
    <m/>
  </r>
  <r>
    <s v="OUTROS GASTOS COM PESSOAL"/>
    <x v="28"/>
    <x v="11"/>
    <n v="2114.2600000000002"/>
    <s v="0000000127"/>
    <s v="0604"/>
    <d v="2022-04-01T00:00:00"/>
    <s v="320104"/>
    <s v="302"/>
    <s v="11"/>
    <s v="Credito"/>
    <x v="2"/>
    <x v="216"/>
    <m/>
    <s v="000252"/>
    <s v="000132"/>
    <n v="2114.2600000000002"/>
    <s v="0,00"/>
    <s v="0,00"/>
    <s v="0,00"/>
    <s v="0,00"/>
    <s v="ORC2022_2"/>
    <s v="0012"/>
    <m/>
    <m/>
    <m/>
    <m/>
    <m/>
  </r>
  <r>
    <s v="OUTROS GASTOS COM PESSOAL"/>
    <x v="28"/>
    <x v="11"/>
    <n v="1349.37"/>
    <s v="0000000127"/>
    <s v="0605"/>
    <d v="2022-04-01T00:00:00"/>
    <s v="320104"/>
    <s v="304"/>
    <s v="11"/>
    <s v="Credito"/>
    <x v="2"/>
    <x v="216"/>
    <m/>
    <s v="000252"/>
    <s v="000132"/>
    <n v="1349.37"/>
    <s v="0,00"/>
    <s v="0,00"/>
    <s v="0,00"/>
    <s v="0,00"/>
    <s v="ORC2022_2"/>
    <s v="0012"/>
    <m/>
    <m/>
    <m/>
    <m/>
    <m/>
  </r>
  <r>
    <s v="OUTROS GASTOS COM PESSOAL"/>
    <x v="28"/>
    <x v="11"/>
    <n v="3.32"/>
    <s v="0000000127"/>
    <s v="0606"/>
    <d v="2022-04-01T00:00:00"/>
    <s v="320104"/>
    <s v="301"/>
    <s v="21"/>
    <s v="Credito"/>
    <x v="2"/>
    <x v="216"/>
    <m/>
    <s v="000252"/>
    <s v="000132"/>
    <n v="3.32"/>
    <s v="0,00"/>
    <s v="0,00"/>
    <s v="0,00"/>
    <s v="0,00"/>
    <s v="ORC2022_2"/>
    <s v="0012"/>
    <m/>
    <m/>
    <m/>
    <m/>
    <m/>
  </r>
  <r>
    <s v="OUTROS GASTOS COM PESSOAL"/>
    <x v="28"/>
    <x v="11"/>
    <n v="6900.76"/>
    <s v="0000000127"/>
    <s v="0607"/>
    <d v="2022-04-01T00:00:00"/>
    <s v="320104"/>
    <s v="303"/>
    <s v="21"/>
    <s v="Credito"/>
    <x v="2"/>
    <x v="216"/>
    <m/>
    <s v="000252"/>
    <s v="000132"/>
    <n v="6900.76"/>
    <s v="0,00"/>
    <s v="0,00"/>
    <s v="0,00"/>
    <s v="0,00"/>
    <s v="ORC2022_2"/>
    <s v="0012"/>
    <m/>
    <m/>
    <m/>
    <m/>
    <m/>
  </r>
  <r>
    <s v="OUTROS GASTOS COM PESSOAL"/>
    <x v="28"/>
    <x v="11"/>
    <n v="14517.33"/>
    <s v="0000000127"/>
    <s v="0608"/>
    <d v="2022-04-01T00:00:00"/>
    <s v="320104"/>
    <s v="305"/>
    <s v="21"/>
    <s v="Credito"/>
    <x v="2"/>
    <x v="216"/>
    <m/>
    <s v="000252"/>
    <s v="000132"/>
    <n v="14517.33"/>
    <s v="0,00"/>
    <s v="0,00"/>
    <s v="0,00"/>
    <s v="0,00"/>
    <s v="ORC2022_2"/>
    <s v="0012"/>
    <m/>
    <m/>
    <m/>
    <m/>
    <m/>
  </r>
  <r>
    <s v="OUTROS GASTOS COM PESSOAL"/>
    <x v="28"/>
    <x v="11"/>
    <n v="309.92"/>
    <s v="0000000127"/>
    <s v="0609"/>
    <d v="2022-04-01T00:00:00"/>
    <s v="320104"/>
    <s v="303"/>
    <s v="31"/>
    <s v="Credito"/>
    <x v="2"/>
    <x v="216"/>
    <m/>
    <s v="000252"/>
    <s v="000132"/>
    <n v="309.92"/>
    <s v="0,00"/>
    <s v="0,00"/>
    <s v="0,00"/>
    <s v="0,00"/>
    <s v="ORC2022_2"/>
    <s v="0012"/>
    <m/>
    <m/>
    <m/>
    <m/>
    <m/>
  </r>
  <r>
    <s v="OUTROS GASTOS COM PESSOAL"/>
    <x v="28"/>
    <x v="11"/>
    <n v="2735.86"/>
    <s v="0000000127"/>
    <s v="0610"/>
    <d v="2022-04-01T00:00:00"/>
    <s v="320104"/>
    <s v="305"/>
    <s v="31"/>
    <s v="Credito"/>
    <x v="2"/>
    <x v="216"/>
    <m/>
    <s v="000252"/>
    <s v="000132"/>
    <n v="2735.86"/>
    <s v="0,00"/>
    <s v="0,00"/>
    <s v="0,00"/>
    <s v="0,00"/>
    <s v="ORC2022_2"/>
    <s v="0012"/>
    <m/>
    <m/>
    <m/>
    <m/>
    <m/>
  </r>
  <r>
    <s v="OUTROS GASTOS COM PESSOAL"/>
    <x v="28"/>
    <x v="11"/>
    <n v="116.51"/>
    <s v="0000000127"/>
    <s v="0611"/>
    <d v="2022-04-01T00:00:00"/>
    <s v="320104"/>
    <s v="301"/>
    <s v="90"/>
    <s v="Credito"/>
    <x v="2"/>
    <x v="216"/>
    <m/>
    <s v="000252"/>
    <s v="000132"/>
    <n v="116.51"/>
    <s v="0,00"/>
    <s v="0,00"/>
    <s v="0,00"/>
    <s v="0,00"/>
    <s v="ORC2022_2"/>
    <s v="0012"/>
    <m/>
    <m/>
    <m/>
    <m/>
    <m/>
  </r>
  <r>
    <s v="OUTROS GASTOS COM PESSOAL"/>
    <x v="28"/>
    <x v="12"/>
    <n v="3586.55"/>
    <s v="0000000127"/>
    <s v="0612"/>
    <d v="2022-05-01T00:00:00"/>
    <s v="320104"/>
    <s v="302"/>
    <s v="11"/>
    <s v="Credito"/>
    <x v="2"/>
    <x v="216"/>
    <m/>
    <s v="000252"/>
    <s v="000132"/>
    <n v="3586.55"/>
    <s v="0,00"/>
    <s v="0,00"/>
    <s v="0,00"/>
    <s v="0,00"/>
    <s v="ORC2022_2"/>
    <s v="0012"/>
    <m/>
    <m/>
    <m/>
    <m/>
    <m/>
  </r>
  <r>
    <s v="OUTROS GASTOS COM PESSOAL"/>
    <x v="28"/>
    <x v="12"/>
    <n v="5351.69"/>
    <s v="0000000127"/>
    <s v="0613"/>
    <d v="2022-05-01T00:00:00"/>
    <s v="320104"/>
    <s v="304"/>
    <s v="11"/>
    <s v="Credito"/>
    <x v="2"/>
    <x v="216"/>
    <m/>
    <s v="000252"/>
    <s v="000132"/>
    <n v="5351.69"/>
    <s v="0,00"/>
    <s v="0,00"/>
    <s v="0,00"/>
    <s v="0,00"/>
    <s v="ORC2022_2"/>
    <s v="0012"/>
    <m/>
    <m/>
    <m/>
    <m/>
    <m/>
  </r>
  <r>
    <s v="OUTROS GASTOS COM PESSOAL"/>
    <x v="28"/>
    <x v="12"/>
    <n v="2847.08"/>
    <s v="0000000127"/>
    <s v="0614"/>
    <d v="2022-05-01T00:00:00"/>
    <s v="320104"/>
    <s v="303"/>
    <s v="21"/>
    <s v="Credito"/>
    <x v="2"/>
    <x v="216"/>
    <m/>
    <s v="000252"/>
    <s v="000132"/>
    <n v="2847.08"/>
    <s v="0,00"/>
    <s v="0,00"/>
    <s v="0,00"/>
    <s v="0,00"/>
    <s v="ORC2022_2"/>
    <s v="0012"/>
    <m/>
    <m/>
    <m/>
    <m/>
    <m/>
  </r>
  <r>
    <s v="OUTROS GASTOS COM PESSOAL"/>
    <x v="28"/>
    <x v="12"/>
    <n v="17154.04"/>
    <s v="0000000127"/>
    <s v="0615"/>
    <d v="2022-05-01T00:00:00"/>
    <s v="320104"/>
    <s v="305"/>
    <s v="21"/>
    <s v="Credito"/>
    <x v="2"/>
    <x v="216"/>
    <m/>
    <s v="000252"/>
    <s v="000132"/>
    <n v="17154.04"/>
    <s v="0,00"/>
    <s v="0,00"/>
    <s v="0,00"/>
    <s v="0,00"/>
    <s v="ORC2022_2"/>
    <s v="0012"/>
    <m/>
    <m/>
    <m/>
    <m/>
    <m/>
  </r>
  <r>
    <s v="OUTROS GASTOS COM PESSOAL"/>
    <x v="28"/>
    <x v="12"/>
    <n v="40.11"/>
    <s v="0000000127"/>
    <s v="0616"/>
    <d v="2022-05-01T00:00:00"/>
    <s v="320104"/>
    <s v="303"/>
    <s v="31"/>
    <s v="Credito"/>
    <x v="2"/>
    <x v="216"/>
    <m/>
    <s v="000252"/>
    <s v="000132"/>
    <n v="40.11"/>
    <s v="0,00"/>
    <s v="0,00"/>
    <s v="0,00"/>
    <s v="0,00"/>
    <s v="ORC2022_2"/>
    <s v="0012"/>
    <m/>
    <m/>
    <m/>
    <m/>
    <m/>
  </r>
  <r>
    <s v="OUTROS GASTOS COM PESSOAL"/>
    <x v="28"/>
    <x v="12"/>
    <n v="9378.0499999999993"/>
    <s v="0000000127"/>
    <s v="0617"/>
    <d v="2022-05-01T00:00:00"/>
    <s v="320104"/>
    <s v="305"/>
    <s v="31"/>
    <s v="Credito"/>
    <x v="2"/>
    <x v="216"/>
    <m/>
    <s v="000252"/>
    <s v="000132"/>
    <n v="9378.0499999999993"/>
    <s v="0,00"/>
    <s v="0,00"/>
    <s v="0,00"/>
    <s v="0,00"/>
    <s v="ORC2022_2"/>
    <s v="0012"/>
    <m/>
    <m/>
    <m/>
    <m/>
    <m/>
  </r>
  <r>
    <s v="OUTROS GASTOS COM PESSOAL"/>
    <x v="28"/>
    <x v="13"/>
    <n v="3830.73"/>
    <s v="0000000127"/>
    <s v="0618"/>
    <d v="2022-06-01T00:00:00"/>
    <s v="320104"/>
    <s v="302"/>
    <s v="11"/>
    <s v="Credito"/>
    <x v="2"/>
    <x v="216"/>
    <m/>
    <s v="000252"/>
    <s v="000132"/>
    <n v="3830.73"/>
    <s v="0,00"/>
    <s v="0,00"/>
    <s v="0,00"/>
    <s v="0,00"/>
    <s v="ORC2022_2"/>
    <s v="0012"/>
    <m/>
    <m/>
    <m/>
    <m/>
    <m/>
  </r>
  <r>
    <s v="OUTROS GASTOS COM PESSOAL"/>
    <x v="28"/>
    <x v="13"/>
    <n v="6408.94"/>
    <s v="0000000127"/>
    <s v="0619"/>
    <d v="2022-06-01T00:00:00"/>
    <s v="320104"/>
    <s v="304"/>
    <s v="11"/>
    <s v="Credito"/>
    <x v="2"/>
    <x v="216"/>
    <m/>
    <s v="000252"/>
    <s v="000132"/>
    <n v="6408.94"/>
    <s v="0,00"/>
    <s v="0,00"/>
    <s v="0,00"/>
    <s v="0,00"/>
    <s v="ORC2022_2"/>
    <s v="0012"/>
    <m/>
    <m/>
    <m/>
    <m/>
    <m/>
  </r>
  <r>
    <s v="OUTROS GASTOS COM PESSOAL"/>
    <x v="28"/>
    <x v="13"/>
    <n v="10378.129999999999"/>
    <s v="0000000127"/>
    <s v="0620"/>
    <d v="2022-06-01T00:00:00"/>
    <s v="320104"/>
    <s v="303"/>
    <s v="21"/>
    <s v="Credito"/>
    <x v="2"/>
    <x v="216"/>
    <m/>
    <s v="000252"/>
    <s v="000132"/>
    <n v="10378.129999999999"/>
    <s v="0,00"/>
    <s v="0,00"/>
    <s v="0,00"/>
    <s v="0,00"/>
    <s v="ORC2022_2"/>
    <s v="0012"/>
    <m/>
    <m/>
    <m/>
    <m/>
    <m/>
  </r>
  <r>
    <s v="OUTROS GASTOS COM PESSOAL"/>
    <x v="28"/>
    <x v="13"/>
    <n v="20977.54"/>
    <s v="0000000127"/>
    <s v="0621"/>
    <d v="2022-06-01T00:00:00"/>
    <s v="320104"/>
    <s v="305"/>
    <s v="21"/>
    <s v="Credito"/>
    <x v="2"/>
    <x v="216"/>
    <m/>
    <s v="000252"/>
    <s v="000132"/>
    <n v="20977.54"/>
    <s v="0,00"/>
    <s v="0,00"/>
    <s v="0,00"/>
    <s v="0,00"/>
    <s v="ORC2022_2"/>
    <s v="0012"/>
    <m/>
    <m/>
    <m/>
    <m/>
    <m/>
  </r>
  <r>
    <s v="OUTROS GASTOS COM PESSOAL"/>
    <x v="28"/>
    <x v="13"/>
    <n v="69.97"/>
    <s v="0000000127"/>
    <s v="0622"/>
    <d v="2022-06-01T00:00:00"/>
    <s v="320104"/>
    <s v="305"/>
    <s v="31"/>
    <s v="Credito"/>
    <x v="2"/>
    <x v="216"/>
    <m/>
    <s v="000252"/>
    <s v="000132"/>
    <n v="69.97"/>
    <s v="0,00"/>
    <s v="0,00"/>
    <s v="0,00"/>
    <s v="0,00"/>
    <s v="ORC2022_2"/>
    <s v="0012"/>
    <m/>
    <m/>
    <m/>
    <m/>
    <m/>
  </r>
  <r>
    <s v="OUTROS GASTOS COM PESSOAL"/>
    <x v="28"/>
    <x v="13"/>
    <n v="38.229999999999997"/>
    <s v="0000000127"/>
    <s v="0623"/>
    <d v="2022-06-01T00:00:00"/>
    <s v="320104"/>
    <s v="303"/>
    <s v="33"/>
    <s v="Credito"/>
    <x v="2"/>
    <x v="216"/>
    <m/>
    <s v="000252"/>
    <s v="000132"/>
    <n v="38.229999999999997"/>
    <s v="0,00"/>
    <s v="0,00"/>
    <s v="0,00"/>
    <s v="0,00"/>
    <s v="ORC2022_2"/>
    <s v="0012"/>
    <m/>
    <m/>
    <m/>
    <m/>
    <m/>
  </r>
  <r>
    <s v="OUTROS GASTOS COM PESSOAL"/>
    <x v="28"/>
    <x v="13"/>
    <n v="295.37"/>
    <s v="0000000127"/>
    <s v="0624"/>
    <d v="2022-06-01T00:00:00"/>
    <s v="320104"/>
    <s v="301"/>
    <s v="90"/>
    <s v="Credito"/>
    <x v="2"/>
    <x v="216"/>
    <m/>
    <s v="000252"/>
    <s v="000132"/>
    <n v="295.37"/>
    <s v="0,00"/>
    <s v="0,00"/>
    <s v="0,00"/>
    <s v="0,00"/>
    <s v="ORC2022_2"/>
    <s v="0012"/>
    <m/>
    <m/>
    <m/>
    <m/>
    <m/>
  </r>
  <r>
    <s v="OUTROS GASTOS COM PESSOAL"/>
    <x v="28"/>
    <x v="14"/>
    <n v="4078.82"/>
    <s v="0000000127"/>
    <s v="0625"/>
    <d v="2022-07-01T00:00:00"/>
    <s v="320104"/>
    <s v="302"/>
    <s v="11"/>
    <s v="Credito"/>
    <x v="2"/>
    <x v="216"/>
    <m/>
    <s v="000252"/>
    <s v="000132"/>
    <n v="4078.82"/>
    <s v="0,00"/>
    <s v="0,00"/>
    <s v="0,00"/>
    <s v="0,00"/>
    <s v="ORC2022_2"/>
    <s v="0012"/>
    <m/>
    <m/>
    <m/>
    <m/>
    <m/>
  </r>
  <r>
    <s v="OUTROS GASTOS COM PESSOAL"/>
    <x v="28"/>
    <x v="14"/>
    <n v="3479.84"/>
    <s v="0000000127"/>
    <s v="0626"/>
    <d v="2022-07-01T00:00:00"/>
    <s v="320104"/>
    <s v="304"/>
    <s v="11"/>
    <s v="Credito"/>
    <x v="2"/>
    <x v="216"/>
    <m/>
    <s v="000252"/>
    <s v="000132"/>
    <n v="3479.84"/>
    <s v="0,00"/>
    <s v="0,00"/>
    <s v="0,00"/>
    <s v="0,00"/>
    <s v="ORC2022_2"/>
    <s v="0012"/>
    <m/>
    <m/>
    <m/>
    <m/>
    <m/>
  </r>
  <r>
    <s v="OUTROS GASTOS COM PESSOAL"/>
    <x v="28"/>
    <x v="14"/>
    <n v="10561.41"/>
    <s v="0000000127"/>
    <s v="0627"/>
    <d v="2022-07-01T00:00:00"/>
    <s v="320104"/>
    <s v="303"/>
    <s v="21"/>
    <s v="Credito"/>
    <x v="2"/>
    <x v="216"/>
    <m/>
    <s v="000252"/>
    <s v="000132"/>
    <n v="10561.41"/>
    <s v="0,00"/>
    <s v="0,00"/>
    <s v="0,00"/>
    <s v="0,00"/>
    <s v="ORC2022_2"/>
    <s v="0012"/>
    <m/>
    <m/>
    <m/>
    <m/>
    <m/>
  </r>
  <r>
    <s v="OUTROS GASTOS COM PESSOAL"/>
    <x v="28"/>
    <x v="14"/>
    <n v="24151.21"/>
    <s v="0000000127"/>
    <s v="0628"/>
    <d v="2022-07-01T00:00:00"/>
    <s v="320104"/>
    <s v="305"/>
    <s v="21"/>
    <s v="Credito"/>
    <x v="2"/>
    <x v="216"/>
    <m/>
    <s v="000252"/>
    <s v="000132"/>
    <n v="24151.21"/>
    <s v="0,00"/>
    <s v="0,00"/>
    <s v="0,00"/>
    <s v="0,00"/>
    <s v="ORC2022_2"/>
    <s v="0012"/>
    <m/>
    <m/>
    <m/>
    <m/>
    <m/>
  </r>
  <r>
    <s v="OUTROS GASTOS COM PESSOAL"/>
    <x v="28"/>
    <x v="14"/>
    <n v="218.03"/>
    <s v="0000000127"/>
    <s v="0629"/>
    <d v="2022-07-01T00:00:00"/>
    <s v="320104"/>
    <s v="301"/>
    <s v="90"/>
    <s v="Credito"/>
    <x v="2"/>
    <x v="216"/>
    <m/>
    <s v="000252"/>
    <s v="000132"/>
    <n v="218.03"/>
    <s v="0,00"/>
    <s v="0,00"/>
    <s v="0,00"/>
    <s v="0,00"/>
    <s v="ORC2022_2"/>
    <s v="0012"/>
    <m/>
    <m/>
    <m/>
    <m/>
    <m/>
  </r>
  <r>
    <s v="OUTROS GASTOS COM PESSOAL"/>
    <x v="28"/>
    <x v="15"/>
    <n v="4349.74"/>
    <s v="0000000127"/>
    <s v="0630"/>
    <d v="2022-08-01T00:00:00"/>
    <s v="320104"/>
    <s v="302"/>
    <s v="11"/>
    <s v="Credito"/>
    <x v="2"/>
    <x v="216"/>
    <m/>
    <s v="000252"/>
    <s v="000132"/>
    <n v="4349.74"/>
    <s v="0,00"/>
    <s v="0,00"/>
    <s v="0,00"/>
    <s v="0,00"/>
    <s v="ORC2022_2"/>
    <s v="0012"/>
    <m/>
    <m/>
    <m/>
    <m/>
    <m/>
  </r>
  <r>
    <s v="OUTROS GASTOS COM PESSOAL"/>
    <x v="28"/>
    <x v="15"/>
    <n v="3465.32"/>
    <s v="0000000127"/>
    <s v="0631"/>
    <d v="2022-08-01T00:00:00"/>
    <s v="320104"/>
    <s v="304"/>
    <s v="11"/>
    <s v="Credito"/>
    <x v="2"/>
    <x v="216"/>
    <m/>
    <s v="000252"/>
    <s v="000132"/>
    <n v="3465.32"/>
    <s v="0,00"/>
    <s v="0,00"/>
    <s v="0,00"/>
    <s v="0,00"/>
    <s v="ORC2022_2"/>
    <s v="0012"/>
    <m/>
    <m/>
    <m/>
    <m/>
    <m/>
  </r>
  <r>
    <s v="OUTROS GASTOS COM PESSOAL"/>
    <x v="28"/>
    <x v="15"/>
    <n v="11287.75"/>
    <s v="0000000127"/>
    <s v="0632"/>
    <d v="2022-08-01T00:00:00"/>
    <s v="320104"/>
    <s v="303"/>
    <s v="21"/>
    <s v="Credito"/>
    <x v="2"/>
    <x v="216"/>
    <m/>
    <s v="000252"/>
    <s v="000132"/>
    <n v="11287.75"/>
    <s v="0,00"/>
    <s v="0,00"/>
    <s v="0,00"/>
    <s v="0,00"/>
    <s v="ORC2022_2"/>
    <s v="0012"/>
    <m/>
    <m/>
    <m/>
    <m/>
    <m/>
  </r>
  <r>
    <s v="OUTROS GASTOS COM PESSOAL"/>
    <x v="28"/>
    <x v="15"/>
    <n v="13782.23"/>
    <s v="0000000127"/>
    <s v="0633"/>
    <d v="2022-08-01T00:00:00"/>
    <s v="320104"/>
    <s v="305"/>
    <s v="21"/>
    <s v="Credito"/>
    <x v="2"/>
    <x v="216"/>
    <m/>
    <s v="000252"/>
    <s v="000132"/>
    <n v="13782.23"/>
    <s v="0,00"/>
    <s v="0,00"/>
    <s v="0,00"/>
    <s v="0,00"/>
    <s v="ORC2022_2"/>
    <s v="0012"/>
    <m/>
    <m/>
    <m/>
    <m/>
    <m/>
  </r>
  <r>
    <s v="OUTROS GASTOS COM PESSOAL"/>
    <x v="28"/>
    <x v="15"/>
    <n v="90.27"/>
    <s v="0000000127"/>
    <s v="0634"/>
    <d v="2022-08-01T00:00:00"/>
    <s v="320104"/>
    <s v="303"/>
    <s v="31"/>
    <s v="Credito"/>
    <x v="2"/>
    <x v="216"/>
    <m/>
    <s v="000252"/>
    <s v="000132"/>
    <n v="90.27"/>
    <s v="0,00"/>
    <s v="0,00"/>
    <s v="0,00"/>
    <s v="0,00"/>
    <s v="ORC2022_2"/>
    <s v="0012"/>
    <m/>
    <m/>
    <m/>
    <m/>
    <m/>
  </r>
  <r>
    <s v="OUTROS GASTOS COM PESSOAL"/>
    <x v="28"/>
    <x v="15"/>
    <n v="204.07"/>
    <s v="0000000127"/>
    <s v="0635"/>
    <d v="2022-08-01T00:00:00"/>
    <s v="320104"/>
    <s v="301"/>
    <s v="90"/>
    <s v="Credito"/>
    <x v="2"/>
    <x v="216"/>
    <m/>
    <s v="000252"/>
    <s v="000132"/>
    <n v="204.07"/>
    <s v="0,00"/>
    <s v="0,00"/>
    <s v="0,00"/>
    <s v="0,00"/>
    <s v="ORC2022_2"/>
    <s v="0012"/>
    <m/>
    <m/>
    <m/>
    <m/>
    <m/>
  </r>
  <r>
    <s v="OUTROS GASTOS COM PESSOAL"/>
    <x v="28"/>
    <x v="15"/>
    <n v="246.71"/>
    <s v="0000000127"/>
    <s v="0636"/>
    <d v="2022-08-01T00:00:00"/>
    <s v="320104"/>
    <s v="303"/>
    <s v="90"/>
    <s v="Credito"/>
    <x v="2"/>
    <x v="216"/>
    <m/>
    <s v="000252"/>
    <s v="000132"/>
    <n v="246.71"/>
    <s v="0,00"/>
    <s v="0,00"/>
    <s v="0,00"/>
    <s v="0,00"/>
    <s v="ORC2022_2"/>
    <s v="0012"/>
    <m/>
    <m/>
    <m/>
    <m/>
    <m/>
  </r>
  <r>
    <s v="OUTROS GASTOS COM PESSOAL"/>
    <x v="28"/>
    <x v="16"/>
    <n v="4587.2"/>
    <s v="0000000127"/>
    <s v="0637"/>
    <d v="2022-09-01T00:00:00"/>
    <s v="320104"/>
    <s v="302"/>
    <s v="11"/>
    <s v="Credito"/>
    <x v="2"/>
    <x v="216"/>
    <m/>
    <s v="000252"/>
    <s v="000132"/>
    <n v="4587.2"/>
    <s v="0,00"/>
    <s v="0,00"/>
    <s v="0,00"/>
    <s v="0,00"/>
    <s v="ORC2022_2"/>
    <s v="0012"/>
    <m/>
    <m/>
    <m/>
    <m/>
    <m/>
  </r>
  <r>
    <s v="OUTROS GASTOS COM PESSOAL"/>
    <x v="28"/>
    <x v="16"/>
    <n v="3557.52"/>
    <s v="0000000127"/>
    <s v="0638"/>
    <d v="2022-09-01T00:00:00"/>
    <s v="320104"/>
    <s v="304"/>
    <s v="11"/>
    <s v="Credito"/>
    <x v="2"/>
    <x v="216"/>
    <m/>
    <s v="000252"/>
    <s v="000132"/>
    <n v="3557.52"/>
    <s v="0,00"/>
    <s v="0,00"/>
    <s v="0,00"/>
    <s v="0,00"/>
    <s v="ORC2022_2"/>
    <s v="0012"/>
    <m/>
    <m/>
    <m/>
    <m/>
    <m/>
  </r>
  <r>
    <s v="OUTROS GASTOS COM PESSOAL"/>
    <x v="28"/>
    <x v="16"/>
    <n v="9642.2199999999993"/>
    <s v="0000000127"/>
    <s v="0639"/>
    <d v="2022-09-01T00:00:00"/>
    <s v="320104"/>
    <s v="303"/>
    <s v="21"/>
    <s v="Credito"/>
    <x v="2"/>
    <x v="216"/>
    <m/>
    <s v="000252"/>
    <s v="000132"/>
    <n v="9642.2199999999993"/>
    <s v="0,00"/>
    <s v="0,00"/>
    <s v="0,00"/>
    <s v="0,00"/>
    <s v="ORC2022_2"/>
    <s v="0012"/>
    <m/>
    <m/>
    <m/>
    <m/>
    <m/>
  </r>
  <r>
    <s v="OUTROS GASTOS COM PESSOAL"/>
    <x v="28"/>
    <x v="16"/>
    <n v="17343.22"/>
    <s v="0000000127"/>
    <s v="0640"/>
    <d v="2022-09-01T00:00:00"/>
    <s v="320104"/>
    <s v="305"/>
    <s v="21"/>
    <s v="Credito"/>
    <x v="2"/>
    <x v="216"/>
    <m/>
    <s v="000252"/>
    <s v="000132"/>
    <n v="17343.22"/>
    <s v="0,00"/>
    <s v="0,00"/>
    <s v="0,00"/>
    <s v="0,00"/>
    <s v="ORC2022_2"/>
    <s v="0012"/>
    <m/>
    <m/>
    <m/>
    <m/>
    <m/>
  </r>
  <r>
    <s v="OUTROS GASTOS COM PESSOAL"/>
    <x v="28"/>
    <x v="16"/>
    <n v="1908"/>
    <s v="0000000127"/>
    <s v="0641"/>
    <d v="2022-09-01T00:00:00"/>
    <s v="320104"/>
    <s v="201"/>
    <s v="90"/>
    <s v="Credito"/>
    <x v="2"/>
    <x v="216"/>
    <m/>
    <s v="000252"/>
    <s v="000132"/>
    <n v="1908"/>
    <s v="0,00"/>
    <s v="0,00"/>
    <s v="0,00"/>
    <s v="0,00"/>
    <s v="ORC2022_2"/>
    <s v="0012"/>
    <m/>
    <m/>
    <m/>
    <m/>
    <m/>
  </r>
  <r>
    <s v="OUTROS GASTOS COM PESSOAL"/>
    <x v="28"/>
    <x v="16"/>
    <n v="5820.7"/>
    <s v="0000000127"/>
    <s v="0642"/>
    <d v="2022-09-01T00:00:00"/>
    <s v="320104"/>
    <s v="301"/>
    <s v="90"/>
    <s v="Credito"/>
    <x v="2"/>
    <x v="216"/>
    <m/>
    <s v="000252"/>
    <s v="000132"/>
    <n v="5820.7"/>
    <s v="0,00"/>
    <s v="0,00"/>
    <s v="0,00"/>
    <s v="0,00"/>
    <s v="ORC2022_2"/>
    <s v="0012"/>
    <m/>
    <m/>
    <m/>
    <m/>
    <m/>
  </r>
  <r>
    <s v="OUTROS GASTOS COM PESSOAL"/>
    <x v="28"/>
    <x v="17"/>
    <n v="4633.07"/>
    <s v="0000000127"/>
    <s v="0643"/>
    <d v="2022-10-01T00:00:00"/>
    <s v="320104"/>
    <s v="302"/>
    <s v="11"/>
    <s v="Credito"/>
    <x v="2"/>
    <x v="216"/>
    <m/>
    <s v="000252"/>
    <s v="000132"/>
    <n v="4633.07"/>
    <s v="0,00"/>
    <s v="0,00"/>
    <s v="0,00"/>
    <s v="0,00"/>
    <s v="ORC2022_2"/>
    <s v="0012"/>
    <m/>
    <m/>
    <m/>
    <m/>
    <m/>
  </r>
  <r>
    <s v="OUTROS GASTOS COM PESSOAL"/>
    <x v="28"/>
    <x v="17"/>
    <n v="3593.1"/>
    <s v="0000000127"/>
    <s v="0644"/>
    <d v="2022-10-01T00:00:00"/>
    <s v="320104"/>
    <s v="304"/>
    <s v="11"/>
    <s v="Credito"/>
    <x v="2"/>
    <x v="216"/>
    <m/>
    <s v="000252"/>
    <s v="000132"/>
    <n v="3593.1"/>
    <s v="0,00"/>
    <s v="0,00"/>
    <s v="0,00"/>
    <s v="0,00"/>
    <s v="ORC2022_2"/>
    <s v="0012"/>
    <m/>
    <m/>
    <m/>
    <m/>
    <m/>
  </r>
  <r>
    <s v="OUTROS GASTOS COM PESSOAL"/>
    <x v="28"/>
    <x v="17"/>
    <n v="9738.64"/>
    <s v="0000000127"/>
    <s v="0645"/>
    <d v="2022-10-01T00:00:00"/>
    <s v="320104"/>
    <s v="303"/>
    <s v="21"/>
    <s v="Credito"/>
    <x v="2"/>
    <x v="216"/>
    <m/>
    <s v="000252"/>
    <s v="000132"/>
    <n v="9738.64"/>
    <s v="0,00"/>
    <s v="0,00"/>
    <s v="0,00"/>
    <s v="0,00"/>
    <s v="ORC2022_2"/>
    <s v="0012"/>
    <m/>
    <m/>
    <m/>
    <m/>
    <m/>
  </r>
  <r>
    <s v="OUTROS GASTOS COM PESSOAL"/>
    <x v="28"/>
    <x v="17"/>
    <n v="17516.650000000001"/>
    <s v="0000000127"/>
    <s v="0646"/>
    <d v="2022-10-01T00:00:00"/>
    <s v="320104"/>
    <s v="305"/>
    <s v="21"/>
    <s v="Credito"/>
    <x v="2"/>
    <x v="216"/>
    <m/>
    <s v="000252"/>
    <s v="000132"/>
    <n v="17516.650000000001"/>
    <s v="0,00"/>
    <s v="0,00"/>
    <s v="0,00"/>
    <s v="0,00"/>
    <s v="ORC2022_2"/>
    <s v="0012"/>
    <m/>
    <m/>
    <m/>
    <m/>
    <m/>
  </r>
  <r>
    <s v="OUTROS GASTOS COM PESSOAL"/>
    <x v="28"/>
    <x v="17"/>
    <n v="1927.08"/>
    <s v="0000000127"/>
    <s v="0647"/>
    <d v="2022-10-01T00:00:00"/>
    <s v="320104"/>
    <s v="201"/>
    <s v="90"/>
    <s v="Credito"/>
    <x v="2"/>
    <x v="216"/>
    <m/>
    <s v="000252"/>
    <s v="000132"/>
    <n v="1927.08"/>
    <s v="0,00"/>
    <s v="0,00"/>
    <s v="0,00"/>
    <s v="0,00"/>
    <s v="ORC2022_2"/>
    <s v="0012"/>
    <m/>
    <m/>
    <m/>
    <m/>
    <m/>
  </r>
  <r>
    <s v="OUTROS GASTOS COM PESSOAL"/>
    <x v="28"/>
    <x v="17"/>
    <n v="5878.91"/>
    <s v="0000000127"/>
    <s v="0648"/>
    <d v="2022-10-01T00:00:00"/>
    <s v="320104"/>
    <s v="301"/>
    <s v="90"/>
    <s v="Credito"/>
    <x v="2"/>
    <x v="216"/>
    <m/>
    <s v="000252"/>
    <s v="000132"/>
    <n v="5878.91"/>
    <s v="0,00"/>
    <s v="0,00"/>
    <s v="0,00"/>
    <s v="0,00"/>
    <s v="ORC2022_2"/>
    <s v="0012"/>
    <m/>
    <m/>
    <m/>
    <m/>
    <m/>
  </r>
  <r>
    <s v="OUTROS GASTOS COM PESSOAL"/>
    <x v="28"/>
    <x v="0"/>
    <n v="4679.3999999999996"/>
    <s v="0000000127"/>
    <s v="0649"/>
    <d v="2022-11-01T00:00:00"/>
    <s v="320104"/>
    <s v="302"/>
    <s v="11"/>
    <s v="Credito"/>
    <x v="2"/>
    <x v="216"/>
    <m/>
    <s v="000252"/>
    <s v="000132"/>
    <n v="4679.3999999999996"/>
    <s v="0,00"/>
    <s v="0,00"/>
    <s v="0,00"/>
    <s v="0,00"/>
    <s v="ORC2022_2"/>
    <s v="0012"/>
    <m/>
    <m/>
    <m/>
    <m/>
    <m/>
  </r>
  <r>
    <s v="OUTROS GASTOS COM PESSOAL"/>
    <x v="28"/>
    <x v="0"/>
    <n v="3629.03"/>
    <s v="0000000127"/>
    <s v="0650"/>
    <d v="2022-11-01T00:00:00"/>
    <s v="320104"/>
    <s v="304"/>
    <s v="11"/>
    <s v="Credito"/>
    <x v="2"/>
    <x v="216"/>
    <m/>
    <s v="000252"/>
    <s v="000132"/>
    <n v="3629.03"/>
    <s v="0,00"/>
    <s v="0,00"/>
    <s v="0,00"/>
    <s v="0,00"/>
    <s v="ORC2022_2"/>
    <s v="0012"/>
    <m/>
    <m/>
    <m/>
    <m/>
    <m/>
  </r>
  <r>
    <s v="OUTROS GASTOS COM PESSOAL"/>
    <x v="28"/>
    <x v="0"/>
    <n v="9836.0300000000007"/>
    <s v="0000000127"/>
    <s v="0651"/>
    <d v="2022-11-01T00:00:00"/>
    <s v="320104"/>
    <s v="303"/>
    <s v="21"/>
    <s v="Credito"/>
    <x v="2"/>
    <x v="216"/>
    <m/>
    <s v="000252"/>
    <s v="000132"/>
    <n v="9836.0300000000007"/>
    <s v="0,00"/>
    <s v="0,00"/>
    <s v="0,00"/>
    <s v="0,00"/>
    <s v="ORC2022_2"/>
    <s v="0012"/>
    <m/>
    <m/>
    <m/>
    <m/>
    <m/>
  </r>
  <r>
    <s v="OUTROS GASTOS COM PESSOAL"/>
    <x v="28"/>
    <x v="0"/>
    <n v="17691.82"/>
    <s v="0000000127"/>
    <s v="0652"/>
    <d v="2022-11-01T00:00:00"/>
    <s v="320104"/>
    <s v="305"/>
    <s v="21"/>
    <s v="Credito"/>
    <x v="2"/>
    <x v="216"/>
    <m/>
    <s v="000252"/>
    <s v="000132"/>
    <n v="17691.82"/>
    <s v="0,00"/>
    <s v="0,00"/>
    <s v="0,00"/>
    <s v="0,00"/>
    <s v="ORC2022_2"/>
    <s v="0012"/>
    <m/>
    <m/>
    <m/>
    <m/>
    <m/>
  </r>
  <r>
    <s v="OUTROS GASTOS COM PESSOAL"/>
    <x v="28"/>
    <x v="0"/>
    <n v="1946.35"/>
    <s v="0000000127"/>
    <s v="0653"/>
    <d v="2022-11-01T00:00:00"/>
    <s v="320104"/>
    <s v="201"/>
    <s v="90"/>
    <s v="Credito"/>
    <x v="2"/>
    <x v="216"/>
    <m/>
    <s v="000252"/>
    <s v="000132"/>
    <n v="1946.35"/>
    <s v="0,00"/>
    <s v="0,00"/>
    <s v="0,00"/>
    <s v="0,00"/>
    <s v="ORC2022_2"/>
    <s v="0012"/>
    <m/>
    <m/>
    <m/>
    <m/>
    <m/>
  </r>
  <r>
    <s v="OUTROS GASTOS COM PESSOAL"/>
    <x v="28"/>
    <x v="0"/>
    <n v="5937.7"/>
    <s v="0000000127"/>
    <s v="0654"/>
    <d v="2022-11-01T00:00:00"/>
    <s v="320104"/>
    <s v="301"/>
    <s v="90"/>
    <s v="Credito"/>
    <x v="2"/>
    <x v="216"/>
    <m/>
    <s v="000252"/>
    <s v="000132"/>
    <n v="5937.7"/>
    <s v="0,00"/>
    <s v="0,00"/>
    <s v="0,00"/>
    <s v="0,00"/>
    <s v="ORC2022_2"/>
    <s v="0012"/>
    <m/>
    <m/>
    <m/>
    <m/>
    <m/>
  </r>
  <r>
    <s v="OUTROS GASTOS COM PESSOAL"/>
    <x v="28"/>
    <x v="1"/>
    <n v="4726.2"/>
    <s v="0000000127"/>
    <s v="0655"/>
    <d v="2022-12-01T00:00:00"/>
    <s v="320104"/>
    <s v="302"/>
    <s v="11"/>
    <s v="Credito"/>
    <x v="2"/>
    <x v="216"/>
    <m/>
    <s v="000252"/>
    <s v="000132"/>
    <n v="4726.2"/>
    <s v="0,00"/>
    <s v="0,00"/>
    <s v="0,00"/>
    <s v="0,00"/>
    <s v="ORC2022_2"/>
    <s v="0012"/>
    <m/>
    <m/>
    <m/>
    <m/>
    <m/>
  </r>
  <r>
    <s v="OUTROS GASTOS COM PESSOAL"/>
    <x v="28"/>
    <x v="1"/>
    <n v="3665.32"/>
    <s v="0000000127"/>
    <s v="0656"/>
    <d v="2022-12-01T00:00:00"/>
    <s v="320104"/>
    <s v="304"/>
    <s v="11"/>
    <s v="Credito"/>
    <x v="2"/>
    <x v="216"/>
    <m/>
    <s v="000252"/>
    <s v="000132"/>
    <n v="3665.32"/>
    <s v="0,00"/>
    <s v="0,00"/>
    <s v="0,00"/>
    <s v="0,00"/>
    <s v="ORC2022_2"/>
    <s v="0012"/>
    <m/>
    <m/>
    <m/>
    <m/>
    <m/>
  </r>
  <r>
    <s v="OUTROS GASTOS COM PESSOAL"/>
    <x v="28"/>
    <x v="1"/>
    <n v="9934.39"/>
    <s v="0000000127"/>
    <s v="0657"/>
    <d v="2022-12-01T00:00:00"/>
    <s v="320104"/>
    <s v="303"/>
    <s v="21"/>
    <s v="Credito"/>
    <x v="2"/>
    <x v="216"/>
    <m/>
    <s v="000252"/>
    <s v="000132"/>
    <n v="9934.39"/>
    <s v="0,00"/>
    <s v="0,00"/>
    <s v="0,00"/>
    <s v="0,00"/>
    <s v="ORC2022_2"/>
    <s v="0012"/>
    <m/>
    <m/>
    <m/>
    <m/>
    <m/>
  </r>
  <r>
    <s v="OUTROS GASTOS COM PESSOAL"/>
    <x v="28"/>
    <x v="1"/>
    <n v="17868.740000000002"/>
    <s v="0000000127"/>
    <s v="0658"/>
    <d v="2022-12-01T00:00:00"/>
    <s v="320104"/>
    <s v="305"/>
    <s v="21"/>
    <s v="Credito"/>
    <x v="2"/>
    <x v="216"/>
    <m/>
    <s v="000252"/>
    <s v="000132"/>
    <n v="17868.740000000002"/>
    <s v="0,00"/>
    <s v="0,00"/>
    <s v="0,00"/>
    <s v="0,00"/>
    <s v="ORC2022_2"/>
    <s v="0012"/>
    <m/>
    <m/>
    <m/>
    <m/>
    <m/>
  </r>
  <r>
    <s v="OUTROS GASTOS COM PESSOAL"/>
    <x v="28"/>
    <x v="1"/>
    <n v="1965.81"/>
    <s v="0000000127"/>
    <s v="0659"/>
    <d v="2022-12-01T00:00:00"/>
    <s v="320104"/>
    <s v="201"/>
    <s v="90"/>
    <s v="Credito"/>
    <x v="2"/>
    <x v="216"/>
    <m/>
    <s v="000252"/>
    <s v="000132"/>
    <n v="1965.81"/>
    <s v="0,00"/>
    <s v="0,00"/>
    <s v="0,00"/>
    <s v="0,00"/>
    <s v="ORC2022_2"/>
    <s v="0012"/>
    <m/>
    <m/>
    <m/>
    <m/>
    <m/>
  </r>
  <r>
    <s v="OUTROS GASTOS COM PESSOAL"/>
    <x v="28"/>
    <x v="1"/>
    <n v="5997.07"/>
    <s v="0000000127"/>
    <s v="0660"/>
    <d v="2022-12-01T00:00:00"/>
    <s v="320104"/>
    <s v="301"/>
    <s v="90"/>
    <s v="Credito"/>
    <x v="2"/>
    <x v="216"/>
    <m/>
    <s v="000252"/>
    <s v="000132"/>
    <n v="5997.07"/>
    <s v="0,00"/>
    <s v="0,00"/>
    <s v="0,00"/>
    <s v="0,00"/>
    <s v="ORC2022_2"/>
    <s v="0012"/>
    <m/>
    <m/>
    <m/>
    <m/>
    <m/>
  </r>
  <r>
    <s v="PJ-CONSULTORIA E ASSESSORIA"/>
    <x v="29"/>
    <x v="8"/>
    <n v="880"/>
    <s v="0000000127"/>
    <s v="0661"/>
    <d v="2022-01-01T00:00:00"/>
    <s v="320201001"/>
    <s v="304"/>
    <s v="11"/>
    <s v="Credito"/>
    <x v="2"/>
    <x v="216"/>
    <m/>
    <s v="000252"/>
    <s v="000132"/>
    <n v="880"/>
    <s v="0,00"/>
    <s v="0,00"/>
    <s v="0,00"/>
    <s v="0,00"/>
    <s v="ORC2022_2"/>
    <s v="0012"/>
    <m/>
    <m/>
    <m/>
    <m/>
    <m/>
  </r>
  <r>
    <s v="PJ-CONSULTORIA E ASSESSORIA"/>
    <x v="29"/>
    <x v="8"/>
    <n v="80"/>
    <s v="0000000127"/>
    <s v="0662"/>
    <d v="2022-01-01T00:00:00"/>
    <s v="320201001"/>
    <s v="305"/>
    <s v="21"/>
    <s v="Credito"/>
    <x v="2"/>
    <x v="216"/>
    <m/>
    <s v="000252"/>
    <s v="000132"/>
    <n v="80"/>
    <s v="0,00"/>
    <s v="0,00"/>
    <s v="0,00"/>
    <s v="0,00"/>
    <s v="ORC2022_2"/>
    <s v="0012"/>
    <m/>
    <m/>
    <m/>
    <m/>
    <m/>
  </r>
  <r>
    <s v="PJ-CONSULTORIA E ASSESSORIA"/>
    <x v="29"/>
    <x v="9"/>
    <n v="80"/>
    <s v="0000000127"/>
    <s v="0663"/>
    <d v="2022-02-01T00:00:00"/>
    <s v="320201001"/>
    <s v="305"/>
    <s v="21"/>
    <s v="Credito"/>
    <x v="2"/>
    <x v="216"/>
    <m/>
    <s v="000252"/>
    <s v="000132"/>
    <n v="80"/>
    <s v="0,00"/>
    <s v="0,00"/>
    <s v="0,00"/>
    <s v="0,00"/>
    <s v="ORC2022_2"/>
    <s v="0012"/>
    <m/>
    <m/>
    <m/>
    <m/>
    <m/>
  </r>
  <r>
    <s v="PJ-CONSULTORIA E ASSESSORIA"/>
    <x v="29"/>
    <x v="10"/>
    <n v="80"/>
    <s v="0000000127"/>
    <s v="0664"/>
    <d v="2022-03-01T00:00:00"/>
    <s v="320201001"/>
    <s v="305"/>
    <s v="21"/>
    <s v="Credito"/>
    <x v="2"/>
    <x v="216"/>
    <m/>
    <s v="000252"/>
    <s v="000132"/>
    <n v="80"/>
    <s v="0,00"/>
    <s v="0,00"/>
    <s v="0,00"/>
    <s v="0,00"/>
    <s v="ORC2022_2"/>
    <s v="0012"/>
    <m/>
    <m/>
    <m/>
    <m/>
    <m/>
  </r>
  <r>
    <s v="PJ-CONSULTORIA E ASSESSORIA"/>
    <x v="29"/>
    <x v="11"/>
    <n v="96"/>
    <s v="0000000127"/>
    <s v="0665"/>
    <d v="2022-04-01T00:00:00"/>
    <s v="320201001"/>
    <s v="305"/>
    <s v="21"/>
    <s v="Credito"/>
    <x v="2"/>
    <x v="216"/>
    <m/>
    <s v="000252"/>
    <s v="000132"/>
    <n v="96"/>
    <s v="0,00"/>
    <s v="0,00"/>
    <s v="0,00"/>
    <s v="0,00"/>
    <s v="ORC2022_2"/>
    <s v="0012"/>
    <m/>
    <m/>
    <m/>
    <m/>
    <m/>
  </r>
  <r>
    <s v="PJ-CONSULTORIA E ASSESSORIA"/>
    <x v="29"/>
    <x v="12"/>
    <n v="12009.97"/>
    <s v="0000000127"/>
    <s v="0666"/>
    <d v="2022-05-01T00:00:00"/>
    <s v="320201001"/>
    <s v="304"/>
    <s v="11"/>
    <s v="Credito"/>
    <x v="2"/>
    <x v="216"/>
    <m/>
    <s v="000252"/>
    <s v="000132"/>
    <n v="12009.97"/>
    <s v="0,00"/>
    <s v="0,00"/>
    <s v="0,00"/>
    <s v="0,00"/>
    <s v="ORC2022_2"/>
    <s v="0012"/>
    <m/>
    <m/>
    <m/>
    <m/>
    <m/>
  </r>
  <r>
    <s v="PJ-CONSULTORIA E ASSESSORIA"/>
    <x v="29"/>
    <x v="12"/>
    <n v="96"/>
    <s v="0000000127"/>
    <s v="0667"/>
    <d v="2022-05-01T00:00:00"/>
    <s v="320201001"/>
    <s v="305"/>
    <s v="21"/>
    <s v="Credito"/>
    <x v="2"/>
    <x v="216"/>
    <m/>
    <s v="000252"/>
    <s v="000132"/>
    <n v="96"/>
    <s v="0,00"/>
    <s v="0,00"/>
    <s v="0,00"/>
    <s v="0,00"/>
    <s v="ORC2022_2"/>
    <s v="0012"/>
    <m/>
    <m/>
    <m/>
    <m/>
    <m/>
  </r>
  <r>
    <s v="PJ-CONSULTORIA E ASSESSORIA"/>
    <x v="29"/>
    <x v="13"/>
    <n v="96"/>
    <s v="0000000127"/>
    <s v="0668"/>
    <d v="2022-06-01T00:00:00"/>
    <s v="320201001"/>
    <s v="305"/>
    <s v="21"/>
    <s v="Credito"/>
    <x v="2"/>
    <x v="216"/>
    <m/>
    <s v="000252"/>
    <s v="000132"/>
    <n v="96"/>
    <s v="0,00"/>
    <s v="0,00"/>
    <s v="0,00"/>
    <s v="0,00"/>
    <s v="ORC2022_2"/>
    <s v="0012"/>
    <m/>
    <m/>
    <m/>
    <m/>
    <m/>
  </r>
  <r>
    <s v="PJ-CONSULTORIA E ASSESSORIA"/>
    <x v="29"/>
    <x v="14"/>
    <n v="15747.31"/>
    <s v="0000000127"/>
    <s v="0669"/>
    <d v="2022-07-01T00:00:00"/>
    <s v="320201001"/>
    <s v="304"/>
    <s v="11"/>
    <s v="Credito"/>
    <x v="2"/>
    <x v="216"/>
    <m/>
    <s v="000252"/>
    <s v="000132"/>
    <n v="15747.31"/>
    <s v="0,00"/>
    <s v="0,00"/>
    <s v="0,00"/>
    <s v="0,00"/>
    <s v="ORC2022_2"/>
    <s v="0012"/>
    <m/>
    <m/>
    <m/>
    <m/>
    <m/>
  </r>
  <r>
    <s v="PJ-CONSULTORIA E ASSESSORIA"/>
    <x v="29"/>
    <x v="14"/>
    <n v="96"/>
    <s v="0000000127"/>
    <s v="0670"/>
    <d v="2022-07-01T00:00:00"/>
    <s v="320201001"/>
    <s v="305"/>
    <s v="21"/>
    <s v="Credito"/>
    <x v="2"/>
    <x v="216"/>
    <m/>
    <s v="000252"/>
    <s v="000132"/>
    <n v="96"/>
    <s v="0,00"/>
    <s v="0,00"/>
    <s v="0,00"/>
    <s v="0,00"/>
    <s v="ORC2022_2"/>
    <s v="0012"/>
    <m/>
    <m/>
    <m/>
    <m/>
    <m/>
  </r>
  <r>
    <s v="PJ-CONSULTORIA E ASSESSORIA"/>
    <x v="29"/>
    <x v="15"/>
    <n v="100"/>
    <s v="0000000127"/>
    <s v="0671"/>
    <d v="2022-08-01T00:00:00"/>
    <s v="320201001"/>
    <s v="304"/>
    <s v="11"/>
    <s v="Credito"/>
    <x v="2"/>
    <x v="216"/>
    <m/>
    <s v="000252"/>
    <s v="000132"/>
    <n v="100"/>
    <s v="0,00"/>
    <s v="0,00"/>
    <s v="0,00"/>
    <s v="0,00"/>
    <s v="ORC2022_2"/>
    <s v="0012"/>
    <m/>
    <m/>
    <m/>
    <m/>
    <m/>
  </r>
  <r>
    <s v="PJ-CONSULTORIA E ASSESSORIA"/>
    <x v="29"/>
    <x v="15"/>
    <n v="240"/>
    <s v="0000000127"/>
    <s v="0672"/>
    <d v="2022-08-01T00:00:00"/>
    <s v="320201001"/>
    <s v="305"/>
    <s v="21"/>
    <s v="Credito"/>
    <x v="2"/>
    <x v="216"/>
    <m/>
    <s v="000252"/>
    <s v="000132"/>
    <n v="240"/>
    <s v="0,00"/>
    <s v="0,00"/>
    <s v="0,00"/>
    <s v="0,00"/>
    <s v="ORC2022_2"/>
    <s v="0012"/>
    <m/>
    <m/>
    <m/>
    <m/>
    <m/>
  </r>
  <r>
    <s v="PJ-CONSULTORIA E ASSESSORIA"/>
    <x v="29"/>
    <x v="16"/>
    <n v="244"/>
    <s v="0000000127"/>
    <s v="0673"/>
    <d v="2022-09-01T00:00:00"/>
    <s v="320201001"/>
    <s v="304"/>
    <s v="11"/>
    <s v="Credito"/>
    <x v="2"/>
    <x v="216"/>
    <m/>
    <s v="000252"/>
    <s v="000132"/>
    <n v="244"/>
    <s v="0,00"/>
    <s v="0,00"/>
    <s v="0,00"/>
    <s v="0,00"/>
    <s v="ORC2022_2"/>
    <s v="0012"/>
    <m/>
    <m/>
    <m/>
    <m/>
    <m/>
  </r>
  <r>
    <s v="PJ-CONSULTORIA E ASSESSORIA"/>
    <x v="29"/>
    <x v="16"/>
    <n v="96"/>
    <s v="0000000127"/>
    <s v="0674"/>
    <d v="2022-09-01T00:00:00"/>
    <s v="320201001"/>
    <s v="305"/>
    <s v="21"/>
    <s v="Credito"/>
    <x v="2"/>
    <x v="216"/>
    <m/>
    <s v="000252"/>
    <s v="000132"/>
    <n v="96"/>
    <s v="0,00"/>
    <s v="0,00"/>
    <s v="0,00"/>
    <s v="0,00"/>
    <s v="ORC2022_2"/>
    <s v="0012"/>
    <m/>
    <m/>
    <m/>
    <m/>
    <m/>
  </r>
  <r>
    <s v="PJ-CONSULTORIA E ASSESSORIA"/>
    <x v="29"/>
    <x v="16"/>
    <n v="21827.53"/>
    <s v="0000000127"/>
    <s v="0675"/>
    <d v="2022-09-01T00:00:00"/>
    <s v="320201001"/>
    <s v="301"/>
    <s v="90"/>
    <s v="Credito"/>
    <x v="2"/>
    <x v="216"/>
    <m/>
    <s v="000252"/>
    <s v="000132"/>
    <n v="21827.53"/>
    <s v="0,00"/>
    <s v="0,00"/>
    <s v="0,00"/>
    <s v="0,00"/>
    <s v="ORC2022_2"/>
    <s v="0012"/>
    <m/>
    <m/>
    <m/>
    <m/>
    <m/>
  </r>
  <r>
    <s v="PJ-CONSULTORIA E ASSESSORIA"/>
    <x v="29"/>
    <x v="17"/>
    <n v="246.44"/>
    <s v="0000000127"/>
    <s v="0676"/>
    <d v="2022-10-01T00:00:00"/>
    <s v="320201001"/>
    <s v="304"/>
    <s v="11"/>
    <s v="Credito"/>
    <x v="2"/>
    <x v="216"/>
    <m/>
    <s v="000252"/>
    <s v="000132"/>
    <n v="246.44"/>
    <s v="0,00"/>
    <s v="0,00"/>
    <s v="0,00"/>
    <s v="0,00"/>
    <s v="ORC2022_2"/>
    <s v="0012"/>
    <m/>
    <m/>
    <m/>
    <m/>
    <m/>
  </r>
  <r>
    <s v="PJ-CONSULTORIA E ASSESSORIA"/>
    <x v="29"/>
    <x v="17"/>
    <n v="96.96"/>
    <s v="0000000127"/>
    <s v="0677"/>
    <d v="2022-10-01T00:00:00"/>
    <s v="320201001"/>
    <s v="305"/>
    <s v="21"/>
    <s v="Credito"/>
    <x v="2"/>
    <x v="216"/>
    <m/>
    <s v="000252"/>
    <s v="000132"/>
    <n v="96.96"/>
    <s v="0,00"/>
    <s v="0,00"/>
    <s v="0,00"/>
    <s v="0,00"/>
    <s v="ORC2022_2"/>
    <s v="0012"/>
    <m/>
    <m/>
    <m/>
    <m/>
    <m/>
  </r>
  <r>
    <s v="PJ-CONSULTORIA E ASSESSORIA"/>
    <x v="29"/>
    <x v="17"/>
    <n v="22045.81"/>
    <s v="0000000127"/>
    <s v="0678"/>
    <d v="2022-10-01T00:00:00"/>
    <s v="320201001"/>
    <s v="301"/>
    <s v="90"/>
    <s v="Credito"/>
    <x v="2"/>
    <x v="216"/>
    <m/>
    <s v="000252"/>
    <s v="000132"/>
    <n v="22045.81"/>
    <s v="0,00"/>
    <s v="0,00"/>
    <s v="0,00"/>
    <s v="0,00"/>
    <s v="ORC2022_2"/>
    <s v="0012"/>
    <m/>
    <m/>
    <m/>
    <m/>
    <m/>
  </r>
  <r>
    <s v="PJ-CONSULTORIA E ASSESSORIA"/>
    <x v="29"/>
    <x v="0"/>
    <n v="248.9"/>
    <s v="0000000127"/>
    <s v="0679"/>
    <d v="2022-11-01T00:00:00"/>
    <s v="320201001"/>
    <s v="304"/>
    <s v="11"/>
    <s v="Credito"/>
    <x v="2"/>
    <x v="216"/>
    <m/>
    <s v="000252"/>
    <s v="000132"/>
    <n v="248.9"/>
    <s v="0,00"/>
    <s v="0,00"/>
    <s v="0,00"/>
    <s v="0,00"/>
    <s v="ORC2022_2"/>
    <s v="0012"/>
    <m/>
    <m/>
    <m/>
    <m/>
    <m/>
  </r>
  <r>
    <s v="PJ-CONSULTORIA E ASSESSORIA"/>
    <x v="29"/>
    <x v="0"/>
    <n v="97.93"/>
    <s v="0000000127"/>
    <s v="0680"/>
    <d v="2022-11-01T00:00:00"/>
    <s v="320201001"/>
    <s v="305"/>
    <s v="21"/>
    <s v="Credito"/>
    <x v="2"/>
    <x v="216"/>
    <m/>
    <s v="000252"/>
    <s v="000132"/>
    <n v="97.93"/>
    <s v="0,00"/>
    <s v="0,00"/>
    <s v="0,00"/>
    <s v="0,00"/>
    <s v="ORC2022_2"/>
    <s v="0012"/>
    <m/>
    <m/>
    <m/>
    <m/>
    <m/>
  </r>
  <r>
    <s v="PJ-CONSULTORIA E ASSESSORIA"/>
    <x v="29"/>
    <x v="0"/>
    <n v="22266.26"/>
    <s v="0000000127"/>
    <s v="0681"/>
    <d v="2022-11-01T00:00:00"/>
    <s v="320201001"/>
    <s v="301"/>
    <s v="90"/>
    <s v="Credito"/>
    <x v="2"/>
    <x v="216"/>
    <m/>
    <s v="000252"/>
    <s v="000132"/>
    <n v="22266.26"/>
    <s v="0,00"/>
    <s v="0,00"/>
    <s v="0,00"/>
    <s v="0,00"/>
    <s v="ORC2022_2"/>
    <s v="0012"/>
    <m/>
    <m/>
    <m/>
    <m/>
    <m/>
  </r>
  <r>
    <s v="PJ-CONSULTORIA E ASSESSORIA"/>
    <x v="29"/>
    <x v="1"/>
    <n v="251.39"/>
    <s v="0000000127"/>
    <s v="0682"/>
    <d v="2022-12-01T00:00:00"/>
    <s v="320201001"/>
    <s v="304"/>
    <s v="11"/>
    <s v="Credito"/>
    <x v="2"/>
    <x v="216"/>
    <m/>
    <s v="000252"/>
    <s v="000132"/>
    <n v="251.39"/>
    <s v="0,00"/>
    <s v="0,00"/>
    <s v="0,00"/>
    <s v="0,00"/>
    <s v="ORC2022_2"/>
    <s v="0012"/>
    <m/>
    <m/>
    <m/>
    <m/>
    <m/>
  </r>
  <r>
    <s v="PJ-CONSULTORIA E ASSESSORIA"/>
    <x v="29"/>
    <x v="1"/>
    <n v="98.91"/>
    <s v="0000000127"/>
    <s v="0683"/>
    <d v="2022-12-01T00:00:00"/>
    <s v="320201001"/>
    <s v="305"/>
    <s v="21"/>
    <s v="Credito"/>
    <x v="2"/>
    <x v="216"/>
    <m/>
    <s v="000252"/>
    <s v="000132"/>
    <n v="98.91"/>
    <s v="0,00"/>
    <s v="0,00"/>
    <s v="0,00"/>
    <s v="0,00"/>
    <s v="ORC2022_2"/>
    <s v="0012"/>
    <m/>
    <m/>
    <m/>
    <m/>
    <m/>
  </r>
  <r>
    <s v="PJ-CONSULTORIA E ASSESSORIA"/>
    <x v="29"/>
    <x v="1"/>
    <n v="22488.93"/>
    <s v="0000000127"/>
    <s v="0684"/>
    <d v="2022-12-01T00:00:00"/>
    <s v="320201001"/>
    <s v="301"/>
    <s v="90"/>
    <s v="Credito"/>
    <x v="2"/>
    <x v="216"/>
    <m/>
    <s v="000252"/>
    <s v="000132"/>
    <n v="22488.93"/>
    <s v="0,00"/>
    <s v="0,00"/>
    <s v="0,00"/>
    <s v="0,00"/>
    <s v="ORC2022_2"/>
    <s v="0012"/>
    <m/>
    <m/>
    <m/>
    <m/>
    <m/>
  </r>
  <r>
    <s v="PJ-LOCACAO DE MAQUINAS E EQUIPAMENTO"/>
    <x v="12"/>
    <x v="8"/>
    <n v="412904.79"/>
    <s v="0000000127"/>
    <s v="0685"/>
    <d v="2022-01-01T00:00:00"/>
    <s v="320201004"/>
    <s v="305"/>
    <s v="21"/>
    <s v="Credito"/>
    <x v="2"/>
    <x v="216"/>
    <m/>
    <s v="000252"/>
    <s v="000132"/>
    <n v="412904.79"/>
    <s v="0,00"/>
    <s v="0,00"/>
    <s v="0,00"/>
    <s v="0,00"/>
    <s v="ORC2022_2"/>
    <s v="0012"/>
    <m/>
    <m/>
    <m/>
    <m/>
    <m/>
  </r>
  <r>
    <s v="PJ-LOCACAO DE MAQUINAS E EQUIPAMENTO"/>
    <x v="12"/>
    <x v="8"/>
    <n v="5750"/>
    <s v="0000000127"/>
    <s v="0686"/>
    <d v="2022-01-01T00:00:00"/>
    <s v="320201004"/>
    <s v="301"/>
    <s v="90"/>
    <s v="Credito"/>
    <x v="2"/>
    <x v="216"/>
    <m/>
    <s v="000252"/>
    <s v="000132"/>
    <n v="5750"/>
    <s v="0,00"/>
    <s v="0,00"/>
    <s v="0,00"/>
    <s v="0,00"/>
    <s v="ORC2022_2"/>
    <s v="0012"/>
    <m/>
    <m/>
    <m/>
    <m/>
    <m/>
  </r>
  <r>
    <s v="PJ-LOCACAO DE MAQUINAS E EQUIPAMENTO"/>
    <x v="12"/>
    <x v="9"/>
    <n v="295175.12"/>
    <s v="0000000127"/>
    <s v="0687"/>
    <d v="2022-02-01T00:00:00"/>
    <s v="320201004"/>
    <s v="305"/>
    <s v="21"/>
    <s v="Credito"/>
    <x v="2"/>
    <x v="216"/>
    <m/>
    <s v="000252"/>
    <s v="000132"/>
    <n v="295175.12"/>
    <s v="0,00"/>
    <s v="0,00"/>
    <s v="0,00"/>
    <s v="0,00"/>
    <s v="ORC2022_2"/>
    <s v="0012"/>
    <m/>
    <m/>
    <m/>
    <m/>
    <m/>
  </r>
  <r>
    <s v="PJ-LOCACAO DE MAQUINAS E EQUIPAMENTO"/>
    <x v="12"/>
    <x v="9"/>
    <n v="5750"/>
    <s v="0000000127"/>
    <s v="0688"/>
    <d v="2022-02-01T00:00:00"/>
    <s v="320201004"/>
    <s v="301"/>
    <s v="90"/>
    <s v="Credito"/>
    <x v="2"/>
    <x v="216"/>
    <m/>
    <s v="000252"/>
    <s v="000132"/>
    <n v="5750"/>
    <s v="0,00"/>
    <s v="0,00"/>
    <s v="0,00"/>
    <s v="0,00"/>
    <s v="ORC2022_2"/>
    <s v="0012"/>
    <m/>
    <m/>
    <m/>
    <m/>
    <m/>
  </r>
  <r>
    <s v="PJ-LOCACAO DE MAQUINAS E EQUIPAMENTO"/>
    <x v="12"/>
    <x v="10"/>
    <n v="421869.38"/>
    <s v="0000000127"/>
    <s v="0689"/>
    <d v="2022-03-01T00:00:00"/>
    <s v="320201004"/>
    <s v="305"/>
    <s v="21"/>
    <s v="Credito"/>
    <x v="2"/>
    <x v="216"/>
    <m/>
    <s v="000252"/>
    <s v="000132"/>
    <n v="421869.38"/>
    <s v="0,00"/>
    <s v="0,00"/>
    <s v="0,00"/>
    <s v="0,00"/>
    <s v="ORC2022_2"/>
    <s v="0012"/>
    <m/>
    <m/>
    <m/>
    <m/>
    <m/>
  </r>
  <r>
    <s v="PJ-LOCACAO DE MAQUINAS E EQUIPAMENTO"/>
    <x v="12"/>
    <x v="10"/>
    <n v="5750"/>
    <s v="0000000127"/>
    <s v="0690"/>
    <d v="2022-03-01T00:00:00"/>
    <s v="320201004"/>
    <s v="301"/>
    <s v="90"/>
    <s v="Credito"/>
    <x v="2"/>
    <x v="216"/>
    <m/>
    <s v="000252"/>
    <s v="000132"/>
    <n v="5750"/>
    <s v="0,00"/>
    <s v="0,00"/>
    <s v="0,00"/>
    <s v="0,00"/>
    <s v="ORC2022_2"/>
    <s v="0012"/>
    <m/>
    <m/>
    <m/>
    <m/>
    <m/>
  </r>
  <r>
    <s v="PJ-LOCACAO DE MAQUINAS E EQUIPAMENTO"/>
    <x v="12"/>
    <x v="11"/>
    <n v="443253.56"/>
    <s v="0000000127"/>
    <s v="0691"/>
    <d v="2022-04-01T00:00:00"/>
    <s v="320201004"/>
    <s v="305"/>
    <s v="21"/>
    <s v="Credito"/>
    <x v="2"/>
    <x v="216"/>
    <m/>
    <s v="000252"/>
    <s v="000132"/>
    <n v="443253.56"/>
    <s v="0,00"/>
    <s v="0,00"/>
    <s v="0,00"/>
    <s v="0,00"/>
    <s v="ORC2022_2"/>
    <s v="0012"/>
    <m/>
    <m/>
    <m/>
    <m/>
    <m/>
  </r>
  <r>
    <s v="PJ-LOCACAO DE MAQUINAS E EQUIPAMENTO"/>
    <x v="12"/>
    <x v="11"/>
    <n v="7030"/>
    <s v="0000000127"/>
    <s v="0692"/>
    <d v="2022-04-01T00:00:00"/>
    <s v="320201004"/>
    <s v="301"/>
    <s v="90"/>
    <s v="Credito"/>
    <x v="2"/>
    <x v="216"/>
    <m/>
    <s v="000252"/>
    <s v="000132"/>
    <n v="7030"/>
    <s v="0,00"/>
    <s v="0,00"/>
    <s v="0,00"/>
    <s v="0,00"/>
    <s v="ORC2022_2"/>
    <s v="0012"/>
    <m/>
    <m/>
    <m/>
    <m/>
    <m/>
  </r>
  <r>
    <s v="PJ-LOCACAO DE MAQUINAS E EQUIPAMENTO"/>
    <x v="12"/>
    <x v="11"/>
    <n v="300"/>
    <s v="0000000127"/>
    <s v="0693"/>
    <d v="2022-04-01T00:00:00"/>
    <s v="320201004"/>
    <s v="305"/>
    <s v="90"/>
    <s v="Credito"/>
    <x v="2"/>
    <x v="216"/>
    <m/>
    <s v="000252"/>
    <s v="000132"/>
    <n v="300"/>
    <s v="0,00"/>
    <s v="0,00"/>
    <s v="0,00"/>
    <s v="0,00"/>
    <s v="ORC2022_2"/>
    <s v="0012"/>
    <m/>
    <m/>
    <m/>
    <m/>
    <m/>
  </r>
  <r>
    <s v="PJ-LOCACAO DE MAQUINAS E EQUIPAMENTO"/>
    <x v="12"/>
    <x v="12"/>
    <n v="1500"/>
    <s v="0000000127"/>
    <s v="0694"/>
    <d v="2022-05-01T00:00:00"/>
    <s v="320201004"/>
    <s v="304"/>
    <s v="11"/>
    <s v="Credito"/>
    <x v="2"/>
    <x v="216"/>
    <m/>
    <s v="000252"/>
    <s v="000132"/>
    <n v="1500"/>
    <s v="0,00"/>
    <s v="0,00"/>
    <s v="0,00"/>
    <s v="0,00"/>
    <s v="ORC2022_2"/>
    <s v="0012"/>
    <m/>
    <m/>
    <m/>
    <m/>
    <m/>
  </r>
  <r>
    <s v="PJ-LOCACAO DE MAQUINAS E EQUIPAMENTO"/>
    <x v="12"/>
    <x v="12"/>
    <n v="467723.43"/>
    <s v="0000000127"/>
    <s v="0695"/>
    <d v="2022-05-01T00:00:00"/>
    <s v="320201004"/>
    <s v="305"/>
    <s v="21"/>
    <s v="Credito"/>
    <x v="2"/>
    <x v="216"/>
    <m/>
    <s v="000252"/>
    <s v="000132"/>
    <n v="467723.43"/>
    <s v="0,00"/>
    <s v="0,00"/>
    <s v="0,00"/>
    <s v="0,00"/>
    <s v="ORC2022_2"/>
    <s v="0012"/>
    <m/>
    <m/>
    <m/>
    <m/>
    <m/>
  </r>
  <r>
    <s v="PJ-LOCACAO DE MAQUINAS E EQUIPAMENTO"/>
    <x v="12"/>
    <x v="12"/>
    <n v="5750"/>
    <s v="0000000127"/>
    <s v="0696"/>
    <d v="2022-05-01T00:00:00"/>
    <s v="320201004"/>
    <s v="301"/>
    <s v="90"/>
    <s v="Credito"/>
    <x v="2"/>
    <x v="216"/>
    <m/>
    <s v="000252"/>
    <s v="000132"/>
    <n v="5750"/>
    <s v="0,00"/>
    <s v="0,00"/>
    <s v="0,00"/>
    <s v="0,00"/>
    <s v="ORC2022_2"/>
    <s v="0012"/>
    <m/>
    <m/>
    <m/>
    <m/>
    <m/>
  </r>
  <r>
    <s v="PJ-LOCACAO DE MAQUINAS E EQUIPAMENTO"/>
    <x v="12"/>
    <x v="13"/>
    <n v="440331.93"/>
    <s v="0000000127"/>
    <s v="0697"/>
    <d v="2022-06-01T00:00:00"/>
    <s v="320201004"/>
    <s v="305"/>
    <s v="21"/>
    <s v="Credito"/>
    <x v="2"/>
    <x v="216"/>
    <m/>
    <s v="000252"/>
    <s v="000132"/>
    <n v="440331.93"/>
    <s v="0,00"/>
    <s v="0,00"/>
    <s v="0,00"/>
    <s v="0,00"/>
    <s v="ORC2022_2"/>
    <s v="0012"/>
    <m/>
    <m/>
    <m/>
    <m/>
    <m/>
  </r>
  <r>
    <s v="PJ-LOCACAO DE MAQUINAS E EQUIPAMENTO"/>
    <x v="12"/>
    <x v="13"/>
    <n v="6378.18"/>
    <s v="0000000127"/>
    <s v="0698"/>
    <d v="2022-06-01T00:00:00"/>
    <s v="320201004"/>
    <s v="301"/>
    <s v="90"/>
    <s v="Credito"/>
    <x v="2"/>
    <x v="216"/>
    <m/>
    <s v="000252"/>
    <s v="000132"/>
    <n v="6378.18"/>
    <s v="0,00"/>
    <s v="0,00"/>
    <s v="0,00"/>
    <s v="0,00"/>
    <s v="ORC2022_2"/>
    <s v="0012"/>
    <m/>
    <m/>
    <m/>
    <m/>
    <m/>
  </r>
  <r>
    <s v="PJ-LOCACAO DE MAQUINAS E EQUIPAMENTO"/>
    <x v="12"/>
    <x v="14"/>
    <n v="433914.3"/>
    <s v="0000000127"/>
    <s v="0699"/>
    <d v="2022-07-01T00:00:00"/>
    <s v="320201004"/>
    <s v="305"/>
    <s v="21"/>
    <s v="Credito"/>
    <x v="2"/>
    <x v="216"/>
    <m/>
    <s v="000252"/>
    <s v="000132"/>
    <n v="433914.3"/>
    <s v="0,00"/>
    <s v="0,00"/>
    <s v="0,00"/>
    <s v="0,00"/>
    <s v="ORC2022_2"/>
    <s v="0012"/>
    <m/>
    <m/>
    <m/>
    <m/>
    <m/>
  </r>
  <r>
    <s v="PJ-LOCACAO DE MAQUINAS E EQUIPAMENTO"/>
    <x v="12"/>
    <x v="14"/>
    <n v="7597"/>
    <s v="0000000127"/>
    <s v="0700"/>
    <d v="2022-07-01T00:00:00"/>
    <s v="320201004"/>
    <s v="301"/>
    <s v="90"/>
    <s v="Credito"/>
    <x v="2"/>
    <x v="216"/>
    <m/>
    <s v="000252"/>
    <s v="000132"/>
    <n v="7597"/>
    <s v="0,00"/>
    <s v="0,00"/>
    <s v="0,00"/>
    <s v="0,00"/>
    <s v="ORC2022_2"/>
    <s v="0012"/>
    <m/>
    <m/>
    <m/>
    <m/>
    <m/>
  </r>
  <r>
    <s v="PJ-LOCACAO DE MAQUINAS E EQUIPAMENTO"/>
    <x v="12"/>
    <x v="15"/>
    <n v="1361.24"/>
    <s v="0000000127"/>
    <s v="0701"/>
    <d v="2022-08-01T00:00:00"/>
    <s v="320201004"/>
    <s v="304"/>
    <s v="11"/>
    <s v="Credito"/>
    <x v="2"/>
    <x v="216"/>
    <m/>
    <s v="000252"/>
    <s v="000132"/>
    <n v="1361.24"/>
    <s v="0,00"/>
    <s v="0,00"/>
    <s v="0,00"/>
    <s v="0,00"/>
    <s v="ORC2022_2"/>
    <s v="0012"/>
    <m/>
    <m/>
    <m/>
    <m/>
    <m/>
  </r>
  <r>
    <s v="PJ-LOCACAO DE MAQUINAS E EQUIPAMENTO"/>
    <x v="12"/>
    <x v="15"/>
    <n v="427027.56"/>
    <s v="0000000127"/>
    <s v="0702"/>
    <d v="2022-08-01T00:00:00"/>
    <s v="320201004"/>
    <s v="305"/>
    <s v="21"/>
    <s v="Credito"/>
    <x v="2"/>
    <x v="216"/>
    <m/>
    <s v="000252"/>
    <s v="000132"/>
    <n v="427027.56"/>
    <s v="0,00"/>
    <s v="0,00"/>
    <s v="0,00"/>
    <s v="0,00"/>
    <s v="ORC2022_2"/>
    <s v="0012"/>
    <m/>
    <m/>
    <m/>
    <m/>
    <m/>
  </r>
  <r>
    <s v="PJ-LOCACAO DE MAQUINAS E EQUIPAMENTO"/>
    <x v="12"/>
    <x v="15"/>
    <n v="900"/>
    <s v="0000000127"/>
    <s v="0703"/>
    <d v="2022-08-01T00:00:00"/>
    <s v="320201004"/>
    <s v="305"/>
    <s v="32"/>
    <s v="Credito"/>
    <x v="2"/>
    <x v="216"/>
    <m/>
    <s v="000252"/>
    <s v="000132"/>
    <n v="900"/>
    <s v="0,00"/>
    <s v="0,00"/>
    <s v="0,00"/>
    <s v="0,00"/>
    <s v="ORC2022_2"/>
    <s v="0012"/>
    <m/>
    <m/>
    <m/>
    <m/>
    <m/>
  </r>
  <r>
    <s v="PJ-LOCACAO DE MAQUINAS E EQUIPAMENTO"/>
    <x v="12"/>
    <x v="15"/>
    <n v="6797"/>
    <s v="0000000127"/>
    <s v="0704"/>
    <d v="2022-08-01T00:00:00"/>
    <s v="320201004"/>
    <s v="301"/>
    <s v="90"/>
    <s v="Credito"/>
    <x v="2"/>
    <x v="216"/>
    <m/>
    <s v="000252"/>
    <s v="000132"/>
    <n v="6797"/>
    <s v="0,00"/>
    <s v="0,00"/>
    <s v="0,00"/>
    <s v="0,00"/>
    <s v="ORC2022_2"/>
    <s v="0012"/>
    <m/>
    <m/>
    <m/>
    <m/>
    <m/>
  </r>
  <r>
    <s v="PJ-LOCACAO DE MAQUINAS E EQUIPAMENTO"/>
    <x v="12"/>
    <x v="16"/>
    <n v="446584.18"/>
    <s v="0000000127"/>
    <s v="0705"/>
    <d v="2022-09-01T00:00:00"/>
    <s v="320201004"/>
    <s v="305"/>
    <s v="21"/>
    <s v="Credito"/>
    <x v="2"/>
    <x v="216"/>
    <m/>
    <s v="000252"/>
    <s v="000132"/>
    <n v="446584.18"/>
    <s v="0,00"/>
    <s v="0,00"/>
    <s v="0,00"/>
    <s v="0,00"/>
    <s v="ORC2022_2"/>
    <s v="0012"/>
    <m/>
    <m/>
    <m/>
    <m/>
    <m/>
  </r>
  <r>
    <s v="PJ-LOCACAO DE MAQUINAS E EQUIPAMENTO"/>
    <x v="12"/>
    <x v="16"/>
    <n v="6797"/>
    <s v="0000000127"/>
    <s v="0706"/>
    <d v="2022-09-01T00:00:00"/>
    <s v="320201004"/>
    <s v="301"/>
    <s v="90"/>
    <s v="Credito"/>
    <x v="2"/>
    <x v="216"/>
    <m/>
    <s v="000252"/>
    <s v="000132"/>
    <n v="6797"/>
    <s v="0,00"/>
    <s v="0,00"/>
    <s v="0,00"/>
    <s v="0,00"/>
    <s v="ORC2022_2"/>
    <s v="0012"/>
    <m/>
    <m/>
    <m/>
    <m/>
    <m/>
  </r>
  <r>
    <s v="PJ-LOCACAO DE MAQUINAS E EQUIPAMENTO"/>
    <x v="12"/>
    <x v="17"/>
    <n v="451050.02"/>
    <s v="0000000127"/>
    <s v="0707"/>
    <d v="2022-10-01T00:00:00"/>
    <s v="320201004"/>
    <s v="305"/>
    <s v="21"/>
    <s v="Credito"/>
    <x v="2"/>
    <x v="216"/>
    <m/>
    <s v="000252"/>
    <s v="000132"/>
    <n v="451050.02"/>
    <s v="0,00"/>
    <s v="0,00"/>
    <s v="0,00"/>
    <s v="0,00"/>
    <s v="ORC2022_2"/>
    <s v="0012"/>
    <m/>
    <m/>
    <m/>
    <m/>
    <m/>
  </r>
  <r>
    <s v="PJ-LOCACAO DE MAQUINAS E EQUIPAMENTO"/>
    <x v="12"/>
    <x v="17"/>
    <n v="6864.97"/>
    <s v="0000000127"/>
    <s v="0708"/>
    <d v="2022-10-01T00:00:00"/>
    <s v="320201004"/>
    <s v="301"/>
    <s v="90"/>
    <s v="Credito"/>
    <x v="2"/>
    <x v="216"/>
    <m/>
    <s v="000252"/>
    <s v="000132"/>
    <n v="6864.97"/>
    <s v="0,00"/>
    <s v="0,00"/>
    <s v="0,00"/>
    <s v="0,00"/>
    <s v="ORC2022_2"/>
    <s v="0012"/>
    <m/>
    <m/>
    <m/>
    <m/>
    <m/>
  </r>
  <r>
    <s v="PJ-LOCACAO DE MAQUINAS E EQUIPAMENTO"/>
    <x v="12"/>
    <x v="0"/>
    <n v="455560.52"/>
    <s v="0000000127"/>
    <s v="0709"/>
    <d v="2022-11-01T00:00:00"/>
    <s v="320201004"/>
    <s v="305"/>
    <s v="21"/>
    <s v="Credito"/>
    <x v="2"/>
    <x v="216"/>
    <m/>
    <s v="000252"/>
    <s v="000132"/>
    <n v="455560.52"/>
    <s v="0,00"/>
    <s v="0,00"/>
    <s v="0,00"/>
    <s v="0,00"/>
    <s v="ORC2022_2"/>
    <s v="0012"/>
    <m/>
    <m/>
    <m/>
    <m/>
    <m/>
  </r>
  <r>
    <s v="PJ-LOCACAO DE MAQUINAS E EQUIPAMENTO"/>
    <x v="12"/>
    <x v="0"/>
    <n v="6933.62"/>
    <s v="0000000127"/>
    <s v="0710"/>
    <d v="2022-11-01T00:00:00"/>
    <s v="320201004"/>
    <s v="301"/>
    <s v="90"/>
    <s v="Credito"/>
    <x v="2"/>
    <x v="216"/>
    <m/>
    <s v="000252"/>
    <s v="000132"/>
    <n v="6933.62"/>
    <s v="0,00"/>
    <s v="0,00"/>
    <s v="0,00"/>
    <s v="0,00"/>
    <s v="ORC2022_2"/>
    <s v="0012"/>
    <m/>
    <m/>
    <m/>
    <m/>
    <m/>
  </r>
  <r>
    <s v="PJ-LOCACAO DE MAQUINAS E EQUIPAMENTO"/>
    <x v="12"/>
    <x v="1"/>
    <n v="460116.13"/>
    <s v="0000000127"/>
    <s v="0711"/>
    <d v="2022-12-01T00:00:00"/>
    <s v="320201004"/>
    <s v="305"/>
    <s v="21"/>
    <s v="Credito"/>
    <x v="2"/>
    <x v="216"/>
    <m/>
    <s v="000252"/>
    <s v="000132"/>
    <n v="460116.13"/>
    <s v="0,00"/>
    <s v="0,00"/>
    <s v="0,00"/>
    <s v="0,00"/>
    <s v="ORC2022_2"/>
    <s v="0012"/>
    <m/>
    <m/>
    <m/>
    <m/>
    <m/>
  </r>
  <r>
    <s v="PJ-LOCACAO DE MAQUINAS E EQUIPAMENTO"/>
    <x v="12"/>
    <x v="1"/>
    <n v="7002.96"/>
    <s v="0000000127"/>
    <s v="0712"/>
    <d v="2022-12-01T00:00:00"/>
    <s v="320201004"/>
    <s v="301"/>
    <s v="90"/>
    <s v="Credito"/>
    <x v="2"/>
    <x v="216"/>
    <m/>
    <s v="000252"/>
    <s v="000132"/>
    <n v="7002.96"/>
    <s v="0,00"/>
    <s v="0,00"/>
    <s v="0,00"/>
    <s v="0,00"/>
    <s v="ORC2022_2"/>
    <s v="0012"/>
    <m/>
    <m/>
    <m/>
    <m/>
    <m/>
  </r>
  <r>
    <s v="PJ-MAO-DE-OBRA TERCEIRIZADA"/>
    <x v="30"/>
    <x v="14"/>
    <n v="19963.509999999998"/>
    <s v="0000000127"/>
    <s v="0713"/>
    <d v="2022-07-01T00:00:00"/>
    <s v="320201005"/>
    <s v="305"/>
    <s v="42"/>
    <s v="Credito"/>
    <x v="2"/>
    <x v="216"/>
    <m/>
    <s v="000252"/>
    <s v="000132"/>
    <n v="19963.509999999998"/>
    <s v="0,00"/>
    <s v="0,00"/>
    <s v="0,00"/>
    <s v="0,00"/>
    <s v="ORC2022_2"/>
    <s v="0012"/>
    <m/>
    <m/>
    <m/>
    <m/>
    <m/>
  </r>
  <r>
    <s v="PJ-MAO-DE-OBRA TERCEIRIZADA"/>
    <x v="30"/>
    <x v="15"/>
    <n v="25609.17"/>
    <s v="0000000127"/>
    <s v="0714"/>
    <d v="2022-08-01T00:00:00"/>
    <s v="320201005"/>
    <s v="305"/>
    <s v="42"/>
    <s v="Credito"/>
    <x v="2"/>
    <x v="216"/>
    <m/>
    <s v="000252"/>
    <s v="000132"/>
    <n v="25609.17"/>
    <s v="0,00"/>
    <s v="0,00"/>
    <s v="0,00"/>
    <s v="0,00"/>
    <s v="ORC2022_2"/>
    <s v="0012"/>
    <m/>
    <m/>
    <m/>
    <m/>
    <m/>
  </r>
  <r>
    <s v="PJ-MAO-DE-OBRA TERCEIRIZADA"/>
    <x v="30"/>
    <x v="16"/>
    <n v="33797.75"/>
    <s v="0000000127"/>
    <s v="0715"/>
    <d v="2022-09-01T00:00:00"/>
    <s v="320201005"/>
    <s v="305"/>
    <s v="42"/>
    <s v="Credito"/>
    <x v="2"/>
    <x v="216"/>
    <m/>
    <s v="000252"/>
    <s v="000132"/>
    <n v="33797.75"/>
    <s v="0,00"/>
    <s v="0,00"/>
    <s v="0,00"/>
    <s v="0,00"/>
    <s v="ORC2022_2"/>
    <s v="0012"/>
    <m/>
    <m/>
    <m/>
    <m/>
    <m/>
  </r>
  <r>
    <s v="PJ-MAO-DE-OBRA TERCEIRIZADA"/>
    <x v="30"/>
    <x v="17"/>
    <n v="34135.730000000003"/>
    <s v="0000000127"/>
    <s v="0716"/>
    <d v="2022-10-01T00:00:00"/>
    <s v="320201005"/>
    <s v="305"/>
    <s v="42"/>
    <s v="Credito"/>
    <x v="2"/>
    <x v="216"/>
    <m/>
    <s v="000252"/>
    <s v="000132"/>
    <n v="34135.730000000003"/>
    <s v="0,00"/>
    <s v="0,00"/>
    <s v="0,00"/>
    <s v="0,00"/>
    <s v="ORC2022_2"/>
    <s v="0012"/>
    <m/>
    <m/>
    <m/>
    <m/>
    <m/>
  </r>
  <r>
    <s v="PJ-MAO-DE-OBRA TERCEIRIZADA"/>
    <x v="30"/>
    <x v="0"/>
    <n v="34477.08"/>
    <s v="0000000127"/>
    <s v="0717"/>
    <d v="2022-11-01T00:00:00"/>
    <s v="320201005"/>
    <s v="305"/>
    <s v="42"/>
    <s v="Credito"/>
    <x v="2"/>
    <x v="216"/>
    <m/>
    <s v="000252"/>
    <s v="000132"/>
    <n v="34477.08"/>
    <s v="0,00"/>
    <s v="0,00"/>
    <s v="0,00"/>
    <s v="0,00"/>
    <s v="ORC2022_2"/>
    <s v="0012"/>
    <m/>
    <m/>
    <m/>
    <m/>
    <m/>
  </r>
  <r>
    <s v="PJ-MAO-DE-OBRA TERCEIRIZADA"/>
    <x v="30"/>
    <x v="1"/>
    <n v="34821.86"/>
    <s v="0000000127"/>
    <s v="0718"/>
    <d v="2022-12-01T00:00:00"/>
    <s v="320201005"/>
    <s v="305"/>
    <s v="42"/>
    <s v="Credito"/>
    <x v="2"/>
    <x v="216"/>
    <m/>
    <s v="000252"/>
    <s v="000132"/>
    <n v="34821.86"/>
    <s v="0,00"/>
    <s v="0,00"/>
    <s v="0,00"/>
    <s v="0,00"/>
    <s v="ORC2022_2"/>
    <s v="0012"/>
    <m/>
    <m/>
    <m/>
    <m/>
    <m/>
  </r>
  <r>
    <s v="PJ-OUTROS SERVICOS CONTRATADOS-PJ"/>
    <x v="6"/>
    <x v="8"/>
    <n v="18311.759999999998"/>
    <s v="0000000127"/>
    <s v="0719"/>
    <d v="2022-01-01T00:00:00"/>
    <s v="320201006"/>
    <s v="304"/>
    <s v="11"/>
    <s v="Credito"/>
    <x v="2"/>
    <x v="216"/>
    <m/>
    <s v="000252"/>
    <s v="000132"/>
    <n v="18311.759999999998"/>
    <s v="0,00"/>
    <s v="0,00"/>
    <s v="0,00"/>
    <s v="0,00"/>
    <s v="ORC2022_2"/>
    <s v="0012"/>
    <m/>
    <m/>
    <m/>
    <m/>
    <m/>
  </r>
  <r>
    <s v="PJ-OUTROS SERVICOS CONTRATADOS-PJ"/>
    <x v="6"/>
    <x v="8"/>
    <n v="6465"/>
    <s v="0000000127"/>
    <s v="0720"/>
    <d v="2022-01-01T00:00:00"/>
    <s v="320201006"/>
    <s v="303"/>
    <s v="21"/>
    <s v="Credito"/>
    <x v="2"/>
    <x v="216"/>
    <m/>
    <s v="000252"/>
    <s v="000132"/>
    <n v="6465"/>
    <s v="0,00"/>
    <s v="0,00"/>
    <s v="0,00"/>
    <s v="0,00"/>
    <s v="ORC2022_2"/>
    <s v="0012"/>
    <m/>
    <m/>
    <m/>
    <m/>
    <m/>
  </r>
  <r>
    <s v="PJ-OUTROS SERVICOS CONTRATADOS-PJ"/>
    <x v="6"/>
    <x v="8"/>
    <n v="192781.94"/>
    <s v="0000000127"/>
    <s v="0721"/>
    <d v="2022-01-01T00:00:00"/>
    <s v="320201006"/>
    <s v="305"/>
    <s v="21"/>
    <s v="Credito"/>
    <x v="2"/>
    <x v="216"/>
    <m/>
    <s v="000252"/>
    <s v="000132"/>
    <n v="192781.94"/>
    <s v="0,00"/>
    <s v="0,00"/>
    <s v="0,00"/>
    <s v="0,00"/>
    <s v="ORC2022_2"/>
    <s v="0012"/>
    <m/>
    <m/>
    <m/>
    <m/>
    <m/>
  </r>
  <r>
    <s v="PJ-OUTROS SERVICOS CONTRATADOS-PJ"/>
    <x v="6"/>
    <x v="8"/>
    <n v="312758.53000000003"/>
    <s v="0000000127"/>
    <s v="0722"/>
    <d v="2022-01-01T00:00:00"/>
    <s v="320201006"/>
    <s v="305"/>
    <s v="31"/>
    <s v="Credito"/>
    <x v="2"/>
    <x v="216"/>
    <m/>
    <s v="000252"/>
    <s v="000132"/>
    <n v="312758.53000000003"/>
    <s v="0,00"/>
    <s v="0,00"/>
    <s v="0,00"/>
    <s v="0,00"/>
    <s v="ORC2022_2"/>
    <s v="0012"/>
    <m/>
    <m/>
    <m/>
    <m/>
    <m/>
  </r>
  <r>
    <s v="PJ-OUTROS SERVICOS CONTRATADOS-PJ"/>
    <x v="6"/>
    <x v="8"/>
    <n v="8002.59"/>
    <s v="0000000127"/>
    <s v="0723"/>
    <d v="2022-01-01T00:00:00"/>
    <s v="320201006"/>
    <s v="305"/>
    <s v="32"/>
    <s v="Credito"/>
    <x v="2"/>
    <x v="216"/>
    <m/>
    <s v="000252"/>
    <s v="000132"/>
    <n v="8002.59"/>
    <s v="0,00"/>
    <s v="0,00"/>
    <s v="0,00"/>
    <s v="0,00"/>
    <s v="ORC2022_2"/>
    <s v="0012"/>
    <m/>
    <m/>
    <m/>
    <m/>
    <m/>
  </r>
  <r>
    <s v="PJ-OUTROS SERVICOS CONTRATADOS-PJ"/>
    <x v="6"/>
    <x v="8"/>
    <n v="128495.09"/>
    <s v="0000000127"/>
    <s v="0724"/>
    <d v="2022-01-01T00:00:00"/>
    <s v="320201006"/>
    <s v="301"/>
    <s v="90"/>
    <s v="Credito"/>
    <x v="2"/>
    <x v="216"/>
    <m/>
    <s v="000252"/>
    <s v="000132"/>
    <n v="128495.09"/>
    <s v="0,00"/>
    <s v="0,00"/>
    <s v="0,00"/>
    <s v="0,00"/>
    <s v="ORC2022_2"/>
    <s v="0012"/>
    <m/>
    <m/>
    <m/>
    <m/>
    <m/>
  </r>
  <r>
    <s v="PJ-OUTROS SERVICOS CONTRATADOS-PJ"/>
    <x v="6"/>
    <x v="9"/>
    <n v="317.62"/>
    <s v="0000000127"/>
    <s v="0725"/>
    <d v="2022-02-01T00:00:00"/>
    <s v="320201006"/>
    <s v="302"/>
    <s v="11"/>
    <s v="Credito"/>
    <x v="2"/>
    <x v="216"/>
    <m/>
    <s v="000252"/>
    <s v="000132"/>
    <n v="317.62"/>
    <s v="0,00"/>
    <s v="0,00"/>
    <s v="0,00"/>
    <s v="0,00"/>
    <s v="ORC2022_2"/>
    <s v="0012"/>
    <m/>
    <m/>
    <m/>
    <m/>
    <m/>
  </r>
  <r>
    <s v="PJ-OUTROS SERVICOS CONTRATADOS-PJ"/>
    <x v="6"/>
    <x v="9"/>
    <n v="3600"/>
    <s v="0000000127"/>
    <s v="0726"/>
    <d v="2022-02-01T00:00:00"/>
    <s v="320201006"/>
    <s v="304"/>
    <s v="11"/>
    <s v="Credito"/>
    <x v="2"/>
    <x v="216"/>
    <m/>
    <s v="000252"/>
    <s v="000132"/>
    <n v="3600"/>
    <s v="0,00"/>
    <s v="0,00"/>
    <s v="0,00"/>
    <s v="0,00"/>
    <s v="ORC2022_2"/>
    <s v="0012"/>
    <m/>
    <m/>
    <m/>
    <m/>
    <m/>
  </r>
  <r>
    <s v="PJ-OUTROS SERVICOS CONTRATADOS-PJ"/>
    <x v="6"/>
    <x v="9"/>
    <n v="7165"/>
    <s v="0000000127"/>
    <s v="0727"/>
    <d v="2022-02-01T00:00:00"/>
    <s v="320201006"/>
    <s v="303"/>
    <s v="21"/>
    <s v="Credito"/>
    <x v="2"/>
    <x v="216"/>
    <m/>
    <s v="000252"/>
    <s v="000132"/>
    <n v="7165"/>
    <s v="0,00"/>
    <s v="0,00"/>
    <s v="0,00"/>
    <s v="0,00"/>
    <s v="ORC2022_2"/>
    <s v="0012"/>
    <m/>
    <m/>
    <m/>
    <m/>
    <m/>
  </r>
  <r>
    <s v="PJ-OUTROS SERVICOS CONTRATADOS-PJ"/>
    <x v="6"/>
    <x v="9"/>
    <n v="195342.63"/>
    <s v="0000000127"/>
    <s v="0728"/>
    <d v="2022-02-01T00:00:00"/>
    <s v="320201006"/>
    <s v="305"/>
    <s v="21"/>
    <s v="Credito"/>
    <x v="2"/>
    <x v="216"/>
    <m/>
    <s v="000252"/>
    <s v="000132"/>
    <n v="195342.63"/>
    <s v="0,00"/>
    <s v="0,00"/>
    <s v="0,00"/>
    <s v="0,00"/>
    <s v="ORC2022_2"/>
    <s v="0012"/>
    <m/>
    <m/>
    <m/>
    <m/>
    <m/>
  </r>
  <r>
    <s v="PJ-OUTROS SERVICOS CONTRATADOS-PJ"/>
    <x v="6"/>
    <x v="9"/>
    <n v="105270"/>
    <s v="0000000127"/>
    <s v="0729"/>
    <d v="2022-02-01T00:00:00"/>
    <s v="320201006"/>
    <s v="305"/>
    <s v="31"/>
    <s v="Credito"/>
    <x v="2"/>
    <x v="216"/>
    <m/>
    <s v="000252"/>
    <s v="000132"/>
    <n v="105270"/>
    <s v="0,00"/>
    <s v="0,00"/>
    <s v="0,00"/>
    <s v="0,00"/>
    <s v="ORC2022_2"/>
    <s v="0012"/>
    <m/>
    <m/>
    <m/>
    <m/>
    <m/>
  </r>
  <r>
    <s v="PJ-OUTROS SERVICOS CONTRATADOS-PJ"/>
    <x v="6"/>
    <x v="9"/>
    <n v="7270.62"/>
    <s v="0000000127"/>
    <s v="0730"/>
    <d v="2022-02-01T00:00:00"/>
    <s v="320201006"/>
    <s v="305"/>
    <s v="32"/>
    <s v="Credito"/>
    <x v="2"/>
    <x v="216"/>
    <m/>
    <s v="000252"/>
    <s v="000132"/>
    <n v="7270.62"/>
    <s v="0,00"/>
    <s v="0,00"/>
    <s v="0,00"/>
    <s v="0,00"/>
    <s v="ORC2022_2"/>
    <s v="0012"/>
    <m/>
    <m/>
    <m/>
    <m/>
    <m/>
  </r>
  <r>
    <s v="PJ-OUTROS SERVICOS CONTRATADOS-PJ"/>
    <x v="6"/>
    <x v="9"/>
    <n v="112690.65"/>
    <s v="0000000127"/>
    <s v="0731"/>
    <d v="2022-02-01T00:00:00"/>
    <s v="320201006"/>
    <s v="301"/>
    <s v="90"/>
    <s v="Credito"/>
    <x v="2"/>
    <x v="216"/>
    <m/>
    <s v="000252"/>
    <s v="000132"/>
    <n v="112690.65"/>
    <s v="0,00"/>
    <s v="0,00"/>
    <s v="0,00"/>
    <s v="0,00"/>
    <s v="ORC2022_2"/>
    <s v="0012"/>
    <m/>
    <m/>
    <m/>
    <m/>
    <m/>
  </r>
  <r>
    <s v="PJ-OUTROS SERVICOS CONTRATADOS-PJ"/>
    <x v="6"/>
    <x v="10"/>
    <n v="2070"/>
    <s v="0000000127"/>
    <s v="0732"/>
    <d v="2022-03-01T00:00:00"/>
    <s v="320201006"/>
    <s v="304"/>
    <s v="11"/>
    <s v="Credito"/>
    <x v="2"/>
    <x v="216"/>
    <m/>
    <s v="000252"/>
    <s v="000132"/>
    <n v="2070"/>
    <s v="0,00"/>
    <s v="0,00"/>
    <s v="0,00"/>
    <s v="0,00"/>
    <s v="ORC2022_2"/>
    <s v="0012"/>
    <m/>
    <m/>
    <m/>
    <m/>
    <m/>
  </r>
  <r>
    <s v="PJ-OUTROS SERVICOS CONTRATADOS-PJ"/>
    <x v="6"/>
    <x v="10"/>
    <n v="6050"/>
    <s v="0000000127"/>
    <s v="0733"/>
    <d v="2022-03-01T00:00:00"/>
    <s v="320201006"/>
    <s v="303"/>
    <s v="21"/>
    <s v="Credito"/>
    <x v="2"/>
    <x v="216"/>
    <m/>
    <s v="000252"/>
    <s v="000132"/>
    <n v="6050"/>
    <s v="0,00"/>
    <s v="0,00"/>
    <s v="0,00"/>
    <s v="0,00"/>
    <s v="ORC2022_2"/>
    <s v="0012"/>
    <m/>
    <m/>
    <m/>
    <m/>
    <m/>
  </r>
  <r>
    <s v="PJ-OUTROS SERVICOS CONTRATADOS-PJ"/>
    <x v="6"/>
    <x v="10"/>
    <n v="160808.35999999999"/>
    <s v="0000000127"/>
    <s v="0734"/>
    <d v="2022-03-01T00:00:00"/>
    <s v="320201006"/>
    <s v="305"/>
    <s v="21"/>
    <s v="Credito"/>
    <x v="2"/>
    <x v="216"/>
    <m/>
    <s v="000252"/>
    <s v="000132"/>
    <n v="160808.35999999999"/>
    <s v="0,00"/>
    <s v="0,00"/>
    <s v="0,00"/>
    <s v="0,00"/>
    <s v="ORC2022_2"/>
    <s v="0012"/>
    <m/>
    <m/>
    <m/>
    <m/>
    <m/>
  </r>
  <r>
    <s v="PJ-OUTROS SERVICOS CONTRATADOS-PJ"/>
    <x v="6"/>
    <x v="10"/>
    <n v="54450"/>
    <s v="0000000127"/>
    <s v="0735"/>
    <d v="2022-03-01T00:00:00"/>
    <s v="320201006"/>
    <s v="305"/>
    <s v="31"/>
    <s v="Credito"/>
    <x v="2"/>
    <x v="216"/>
    <m/>
    <s v="000252"/>
    <s v="000132"/>
    <n v="54450"/>
    <s v="0,00"/>
    <s v="0,00"/>
    <s v="0,00"/>
    <s v="0,00"/>
    <s v="ORC2022_2"/>
    <s v="0012"/>
    <m/>
    <m/>
    <m/>
    <m/>
    <m/>
  </r>
  <r>
    <s v="PJ-OUTROS SERVICOS CONTRATADOS-PJ"/>
    <x v="6"/>
    <x v="10"/>
    <n v="9629.39"/>
    <s v="0000000127"/>
    <s v="0736"/>
    <d v="2022-03-01T00:00:00"/>
    <s v="320201006"/>
    <s v="306"/>
    <s v="33"/>
    <s v="Credito"/>
    <x v="2"/>
    <x v="216"/>
    <m/>
    <s v="000252"/>
    <s v="000132"/>
    <n v="9629.39"/>
    <s v="0,00"/>
    <s v="0,00"/>
    <s v="0,00"/>
    <s v="0,00"/>
    <s v="ORC2022_2"/>
    <s v="0012"/>
    <m/>
    <m/>
    <m/>
    <m/>
    <m/>
  </r>
  <r>
    <s v="PJ-OUTROS SERVICOS CONTRATADOS-PJ"/>
    <x v="6"/>
    <x v="10"/>
    <n v="175"/>
    <s v="0000000127"/>
    <s v="0737"/>
    <d v="2022-03-01T00:00:00"/>
    <s v="320201006"/>
    <s v="301"/>
    <s v="42"/>
    <s v="Credito"/>
    <x v="2"/>
    <x v="216"/>
    <m/>
    <s v="000252"/>
    <s v="000132"/>
    <n v="175"/>
    <s v="0,00"/>
    <s v="0,00"/>
    <s v="0,00"/>
    <s v="0,00"/>
    <s v="ORC2022_2"/>
    <s v="0012"/>
    <m/>
    <m/>
    <m/>
    <m/>
    <m/>
  </r>
  <r>
    <s v="PJ-OUTROS SERVICOS CONTRATADOS-PJ"/>
    <x v="6"/>
    <x v="10"/>
    <n v="131730.20000000001"/>
    <s v="0000000127"/>
    <s v="0738"/>
    <d v="2022-03-01T00:00:00"/>
    <s v="320201006"/>
    <s v="301"/>
    <s v="90"/>
    <s v="Credito"/>
    <x v="2"/>
    <x v="216"/>
    <m/>
    <s v="000252"/>
    <s v="000132"/>
    <n v="131730.20000000001"/>
    <s v="0,00"/>
    <s v="0,00"/>
    <s v="0,00"/>
    <s v="0,00"/>
    <s v="ORC2022_2"/>
    <s v="0012"/>
    <m/>
    <m/>
    <m/>
    <m/>
    <m/>
  </r>
  <r>
    <s v="PJ-OUTROS SERVICOS CONTRATADOS-PJ"/>
    <x v="6"/>
    <x v="11"/>
    <n v="862.12"/>
    <s v="0000000127"/>
    <s v="0739"/>
    <d v="2022-04-01T00:00:00"/>
    <s v="320201006"/>
    <s v="304"/>
    <s v="11"/>
    <s v="Credito"/>
    <x v="2"/>
    <x v="216"/>
    <m/>
    <s v="000252"/>
    <s v="000132"/>
    <n v="862.12"/>
    <s v="0,00"/>
    <s v="0,00"/>
    <s v="0,00"/>
    <s v="0,00"/>
    <s v="ORC2022_2"/>
    <s v="0012"/>
    <m/>
    <m/>
    <m/>
    <m/>
    <m/>
  </r>
  <r>
    <s v="PJ-OUTROS SERVICOS CONTRATADOS-PJ"/>
    <x v="6"/>
    <x v="11"/>
    <n v="7507.22"/>
    <s v="0000000127"/>
    <s v="0740"/>
    <d v="2022-04-01T00:00:00"/>
    <s v="320201006"/>
    <s v="303"/>
    <s v="21"/>
    <s v="Credito"/>
    <x v="2"/>
    <x v="216"/>
    <m/>
    <s v="000252"/>
    <s v="000132"/>
    <n v="7507.22"/>
    <s v="0,00"/>
    <s v="0,00"/>
    <s v="0,00"/>
    <s v="0,00"/>
    <s v="ORC2022_2"/>
    <s v="0012"/>
    <m/>
    <m/>
    <m/>
    <m/>
    <m/>
  </r>
  <r>
    <s v="PJ-OUTROS SERVICOS CONTRATADOS-PJ"/>
    <x v="6"/>
    <x v="11"/>
    <n v="189806.8"/>
    <s v="0000000127"/>
    <s v="0741"/>
    <d v="2022-04-01T00:00:00"/>
    <s v="320201006"/>
    <s v="305"/>
    <s v="21"/>
    <s v="Credito"/>
    <x v="2"/>
    <x v="216"/>
    <m/>
    <s v="000252"/>
    <s v="000132"/>
    <n v="189806.8"/>
    <s v="0,00"/>
    <s v="0,00"/>
    <s v="0,00"/>
    <s v="0,00"/>
    <s v="ORC2022_2"/>
    <s v="0012"/>
    <m/>
    <m/>
    <m/>
    <m/>
    <m/>
  </r>
  <r>
    <s v="PJ-OUTROS SERVICOS CONTRATADOS-PJ"/>
    <x v="6"/>
    <x v="11"/>
    <n v="122512.5"/>
    <s v="0000000127"/>
    <s v="0742"/>
    <d v="2022-04-01T00:00:00"/>
    <s v="320201006"/>
    <s v="305"/>
    <s v="31"/>
    <s v="Credito"/>
    <x v="2"/>
    <x v="216"/>
    <m/>
    <s v="000252"/>
    <s v="000132"/>
    <n v="122512.5"/>
    <s v="0,00"/>
    <s v="0,00"/>
    <s v="0,00"/>
    <s v="0,00"/>
    <s v="ORC2022_2"/>
    <s v="0012"/>
    <m/>
    <m/>
    <m/>
    <m/>
    <m/>
  </r>
  <r>
    <s v="PJ-OUTROS SERVICOS CONTRATADOS-PJ"/>
    <x v="6"/>
    <x v="11"/>
    <n v="11531.48"/>
    <s v="0000000127"/>
    <s v="0743"/>
    <d v="2022-04-01T00:00:00"/>
    <s v="320201006"/>
    <s v="305"/>
    <s v="32"/>
    <s v="Credito"/>
    <x v="2"/>
    <x v="216"/>
    <m/>
    <s v="000252"/>
    <s v="000132"/>
    <n v="11531.48"/>
    <s v="0,00"/>
    <s v="0,00"/>
    <s v="0,00"/>
    <s v="0,00"/>
    <s v="ORC2022_2"/>
    <s v="0012"/>
    <m/>
    <m/>
    <m/>
    <m/>
    <m/>
  </r>
  <r>
    <s v="PJ-OUTROS SERVICOS CONTRATADOS-PJ"/>
    <x v="6"/>
    <x v="11"/>
    <n v="12412.81"/>
    <s v="0000000127"/>
    <s v="0744"/>
    <d v="2022-04-01T00:00:00"/>
    <s v="320201006"/>
    <s v="211"/>
    <s v="51"/>
    <s v="Credito"/>
    <x v="2"/>
    <x v="216"/>
    <m/>
    <s v="000252"/>
    <s v="000132"/>
    <n v="12412.81"/>
    <s v="0,00"/>
    <s v="0,00"/>
    <s v="0,00"/>
    <s v="0,00"/>
    <s v="ORC2022_2"/>
    <s v="0012"/>
    <m/>
    <m/>
    <m/>
    <m/>
    <m/>
  </r>
  <r>
    <s v="PJ-OUTROS SERVICOS CONTRATADOS-PJ"/>
    <x v="6"/>
    <x v="11"/>
    <n v="168761.2"/>
    <s v="0000000127"/>
    <s v="0745"/>
    <d v="2022-04-01T00:00:00"/>
    <s v="320201006"/>
    <s v="301"/>
    <s v="90"/>
    <s v="Credito"/>
    <x v="2"/>
    <x v="216"/>
    <m/>
    <s v="000252"/>
    <s v="000132"/>
    <n v="168761.2"/>
    <s v="0,00"/>
    <s v="0,00"/>
    <s v="0,00"/>
    <s v="0,00"/>
    <s v="ORC2022_2"/>
    <s v="0012"/>
    <m/>
    <m/>
    <m/>
    <m/>
    <m/>
  </r>
  <r>
    <s v="PJ-OUTROS SERVICOS CONTRATADOS-PJ"/>
    <x v="6"/>
    <x v="12"/>
    <n v="188"/>
    <s v="0000000127"/>
    <s v="0746"/>
    <d v="2022-05-01T00:00:00"/>
    <s v="320201006"/>
    <s v="304"/>
    <s v="11"/>
    <s v="Credito"/>
    <x v="2"/>
    <x v="216"/>
    <m/>
    <s v="000252"/>
    <s v="000132"/>
    <n v="188"/>
    <s v="0,00"/>
    <s v="0,00"/>
    <s v="0,00"/>
    <s v="0,00"/>
    <s v="ORC2022_2"/>
    <s v="0012"/>
    <m/>
    <m/>
    <m/>
    <m/>
    <m/>
  </r>
  <r>
    <s v="PJ-OUTROS SERVICOS CONTRATADOS-PJ"/>
    <x v="6"/>
    <x v="12"/>
    <n v="7507.22"/>
    <s v="0000000127"/>
    <s v="0747"/>
    <d v="2022-05-01T00:00:00"/>
    <s v="320201006"/>
    <s v="303"/>
    <s v="21"/>
    <s v="Credito"/>
    <x v="2"/>
    <x v="216"/>
    <m/>
    <s v="000252"/>
    <s v="000132"/>
    <n v="7507.22"/>
    <s v="0,00"/>
    <s v="0,00"/>
    <s v="0,00"/>
    <s v="0,00"/>
    <s v="ORC2022_2"/>
    <s v="0012"/>
    <m/>
    <m/>
    <m/>
    <m/>
    <m/>
  </r>
  <r>
    <s v="PJ-OUTROS SERVICOS CONTRATADOS-PJ"/>
    <x v="6"/>
    <x v="12"/>
    <n v="235005.3"/>
    <s v="0000000127"/>
    <s v="0748"/>
    <d v="2022-05-01T00:00:00"/>
    <s v="320201006"/>
    <s v="305"/>
    <s v="21"/>
    <s v="Credito"/>
    <x v="2"/>
    <x v="216"/>
    <m/>
    <s v="000252"/>
    <s v="000132"/>
    <n v="235005.3"/>
    <s v="0,00"/>
    <s v="0,00"/>
    <s v="0,00"/>
    <s v="0,00"/>
    <s v="ORC2022_2"/>
    <s v="0012"/>
    <m/>
    <m/>
    <m/>
    <m/>
    <m/>
  </r>
  <r>
    <s v="PJ-OUTROS SERVICOS CONTRATADOS-PJ"/>
    <x v="6"/>
    <x v="12"/>
    <n v="371309.58"/>
    <s v="0000000127"/>
    <s v="0749"/>
    <d v="2022-05-01T00:00:00"/>
    <s v="320201006"/>
    <s v="305"/>
    <s v="31"/>
    <s v="Credito"/>
    <x v="2"/>
    <x v="216"/>
    <m/>
    <s v="000252"/>
    <s v="000132"/>
    <n v="371309.58"/>
    <s v="0,00"/>
    <s v="0,00"/>
    <s v="0,00"/>
    <s v="0,00"/>
    <s v="ORC2022_2"/>
    <s v="0012"/>
    <m/>
    <m/>
    <m/>
    <m/>
    <m/>
  </r>
  <r>
    <s v="PJ-OUTROS SERVICOS CONTRATADOS-PJ"/>
    <x v="6"/>
    <x v="12"/>
    <n v="5129.1899999999996"/>
    <s v="0000000127"/>
    <s v="0750"/>
    <d v="2022-05-01T00:00:00"/>
    <s v="320201006"/>
    <s v="306"/>
    <s v="33"/>
    <s v="Credito"/>
    <x v="2"/>
    <x v="216"/>
    <m/>
    <s v="000252"/>
    <s v="000132"/>
    <n v="5129.1899999999996"/>
    <s v="0,00"/>
    <s v="0,00"/>
    <s v="0,00"/>
    <s v="0,00"/>
    <s v="ORC2022_2"/>
    <s v="0012"/>
    <m/>
    <m/>
    <m/>
    <m/>
    <m/>
  </r>
  <r>
    <s v="PJ-OUTROS SERVICOS CONTRATADOS-PJ"/>
    <x v="6"/>
    <x v="12"/>
    <n v="8640"/>
    <s v="0000000127"/>
    <s v="0751"/>
    <d v="2022-05-01T00:00:00"/>
    <s v="320201006"/>
    <s v="211"/>
    <s v="51"/>
    <s v="Credito"/>
    <x v="2"/>
    <x v="216"/>
    <m/>
    <s v="000252"/>
    <s v="000132"/>
    <n v="8640"/>
    <s v="0,00"/>
    <s v="0,00"/>
    <s v="0,00"/>
    <s v="0,00"/>
    <s v="ORC2022_2"/>
    <s v="0012"/>
    <m/>
    <m/>
    <m/>
    <m/>
    <m/>
  </r>
  <r>
    <s v="PJ-OUTROS SERVICOS CONTRATADOS-PJ"/>
    <x v="6"/>
    <x v="12"/>
    <n v="172603.09"/>
    <s v="0000000127"/>
    <s v="0752"/>
    <d v="2022-05-01T00:00:00"/>
    <s v="320201006"/>
    <s v="301"/>
    <s v="90"/>
    <s v="Credito"/>
    <x v="2"/>
    <x v="216"/>
    <m/>
    <s v="000252"/>
    <s v="000132"/>
    <n v="172603.09"/>
    <s v="0,00"/>
    <s v="0,00"/>
    <s v="0,00"/>
    <s v="0,00"/>
    <s v="ORC2022_2"/>
    <s v="0012"/>
    <m/>
    <m/>
    <m/>
    <m/>
    <m/>
  </r>
  <r>
    <s v="PJ-OUTROS SERVICOS CONTRATADOS-PJ"/>
    <x v="6"/>
    <x v="13"/>
    <n v="28921.15"/>
    <s v="0000000127"/>
    <s v="0753"/>
    <d v="2022-06-01T00:00:00"/>
    <s v="320201006"/>
    <s v="304"/>
    <s v="11"/>
    <s v="Credito"/>
    <x v="2"/>
    <x v="216"/>
    <m/>
    <s v="000252"/>
    <s v="000132"/>
    <n v="28921.15"/>
    <s v="0,00"/>
    <s v="0,00"/>
    <s v="0,00"/>
    <s v="0,00"/>
    <s v="ORC2022_2"/>
    <s v="0012"/>
    <m/>
    <m/>
    <m/>
    <m/>
    <m/>
  </r>
  <r>
    <s v="PJ-OUTROS SERVICOS CONTRATADOS-PJ"/>
    <x v="6"/>
    <x v="13"/>
    <n v="7722.05"/>
    <s v="0000000127"/>
    <s v="0754"/>
    <d v="2022-06-01T00:00:00"/>
    <s v="320201006"/>
    <s v="303"/>
    <s v="21"/>
    <s v="Credito"/>
    <x v="2"/>
    <x v="216"/>
    <m/>
    <s v="000252"/>
    <s v="000132"/>
    <n v="7722.05"/>
    <s v="0,00"/>
    <s v="0,00"/>
    <s v="0,00"/>
    <s v="0,00"/>
    <s v="ORC2022_2"/>
    <s v="0012"/>
    <m/>
    <m/>
    <m/>
    <m/>
    <m/>
  </r>
  <r>
    <s v="PJ-OUTROS SERVICOS CONTRATADOS-PJ"/>
    <x v="6"/>
    <x v="13"/>
    <n v="319067.31"/>
    <s v="0000000127"/>
    <s v="0755"/>
    <d v="2022-06-01T00:00:00"/>
    <s v="320201006"/>
    <s v="305"/>
    <s v="21"/>
    <s v="Credito"/>
    <x v="2"/>
    <x v="216"/>
    <m/>
    <s v="000252"/>
    <s v="000132"/>
    <n v="319067.31"/>
    <s v="0,00"/>
    <s v="0,00"/>
    <s v="0,00"/>
    <s v="0,00"/>
    <s v="ORC2022_2"/>
    <s v="0012"/>
    <m/>
    <m/>
    <m/>
    <m/>
    <m/>
  </r>
  <r>
    <s v="PJ-OUTROS SERVICOS CONTRATADOS-PJ"/>
    <x v="6"/>
    <x v="13"/>
    <n v="14207.12"/>
    <s v="0000000127"/>
    <s v="0756"/>
    <d v="2022-06-01T00:00:00"/>
    <s v="320201006"/>
    <s v="305"/>
    <s v="32"/>
    <s v="Credito"/>
    <x v="2"/>
    <x v="216"/>
    <m/>
    <s v="000252"/>
    <s v="000132"/>
    <n v="14207.12"/>
    <s v="0,00"/>
    <s v="0,00"/>
    <s v="0,00"/>
    <s v="0,00"/>
    <s v="ORC2022_2"/>
    <s v="0012"/>
    <m/>
    <m/>
    <m/>
    <m/>
    <m/>
  </r>
  <r>
    <s v="PJ-OUTROS SERVICOS CONTRATADOS-PJ"/>
    <x v="6"/>
    <x v="13"/>
    <n v="17688.96"/>
    <s v="0000000127"/>
    <s v="0757"/>
    <d v="2022-06-01T00:00:00"/>
    <s v="320201006"/>
    <s v="211"/>
    <s v="51"/>
    <s v="Credito"/>
    <x v="2"/>
    <x v="216"/>
    <m/>
    <s v="000252"/>
    <s v="000132"/>
    <n v="17688.96"/>
    <s v="0,00"/>
    <s v="0,00"/>
    <s v="0,00"/>
    <s v="0,00"/>
    <s v="ORC2022_2"/>
    <s v="0012"/>
    <m/>
    <m/>
    <m/>
    <m/>
    <m/>
  </r>
  <r>
    <s v="PJ-OUTROS SERVICOS CONTRATADOS-PJ"/>
    <x v="6"/>
    <x v="13"/>
    <n v="152943.89000000001"/>
    <s v="0000000127"/>
    <s v="0758"/>
    <d v="2022-06-01T00:00:00"/>
    <s v="320201006"/>
    <s v="301"/>
    <s v="90"/>
    <s v="Credito"/>
    <x v="2"/>
    <x v="216"/>
    <m/>
    <s v="000252"/>
    <s v="000132"/>
    <n v="152943.89000000001"/>
    <s v="0,00"/>
    <s v="0,00"/>
    <s v="0,00"/>
    <s v="0,00"/>
    <s v="ORC2022_2"/>
    <s v="0012"/>
    <m/>
    <m/>
    <m/>
    <m/>
    <m/>
  </r>
  <r>
    <s v="PJ-OUTROS SERVICOS CONTRATADOS-PJ"/>
    <x v="6"/>
    <x v="14"/>
    <n v="661.11"/>
    <s v="0000000127"/>
    <s v="0759"/>
    <d v="2022-07-01T00:00:00"/>
    <s v="320201006"/>
    <s v="302"/>
    <s v="11"/>
    <s v="Credito"/>
    <x v="2"/>
    <x v="216"/>
    <m/>
    <s v="000252"/>
    <s v="000132"/>
    <n v="661.11"/>
    <s v="0,00"/>
    <s v="0,00"/>
    <s v="0,00"/>
    <s v="0,00"/>
    <s v="ORC2022_2"/>
    <s v="0012"/>
    <m/>
    <m/>
    <m/>
    <m/>
    <m/>
  </r>
  <r>
    <s v="PJ-OUTROS SERVICOS CONTRATADOS-PJ"/>
    <x v="6"/>
    <x v="14"/>
    <n v="19728.36"/>
    <s v="0000000127"/>
    <s v="0760"/>
    <d v="2022-07-01T00:00:00"/>
    <s v="320201006"/>
    <s v="304"/>
    <s v="11"/>
    <s v="Credito"/>
    <x v="2"/>
    <x v="216"/>
    <m/>
    <s v="000252"/>
    <s v="000132"/>
    <n v="19728.36"/>
    <s v="0,00"/>
    <s v="0,00"/>
    <s v="0,00"/>
    <s v="0,00"/>
    <s v="ORC2022_2"/>
    <s v="0012"/>
    <m/>
    <m/>
    <m/>
    <m/>
    <m/>
  </r>
  <r>
    <s v="PJ-OUTROS SERVICOS CONTRATADOS-PJ"/>
    <x v="6"/>
    <x v="14"/>
    <n v="7507.22"/>
    <s v="0000000127"/>
    <s v="0761"/>
    <d v="2022-07-01T00:00:00"/>
    <s v="320201006"/>
    <s v="303"/>
    <s v="21"/>
    <s v="Credito"/>
    <x v="2"/>
    <x v="216"/>
    <m/>
    <s v="000252"/>
    <s v="000132"/>
    <n v="7507.22"/>
    <s v="0,00"/>
    <s v="0,00"/>
    <s v="0,00"/>
    <s v="0,00"/>
    <s v="ORC2022_2"/>
    <s v="0012"/>
    <m/>
    <m/>
    <m/>
    <m/>
    <m/>
  </r>
  <r>
    <s v="PJ-OUTROS SERVICOS CONTRATADOS-PJ"/>
    <x v="6"/>
    <x v="14"/>
    <n v="241888.04"/>
    <s v="0000000127"/>
    <s v="0762"/>
    <d v="2022-07-01T00:00:00"/>
    <s v="320201006"/>
    <s v="305"/>
    <s v="21"/>
    <s v="Credito"/>
    <x v="2"/>
    <x v="216"/>
    <m/>
    <s v="000252"/>
    <s v="000132"/>
    <n v="241888.04"/>
    <s v="0,00"/>
    <s v="0,00"/>
    <s v="0,00"/>
    <s v="0,00"/>
    <s v="ORC2022_2"/>
    <s v="0012"/>
    <m/>
    <m/>
    <m/>
    <m/>
    <m/>
  </r>
  <r>
    <s v="PJ-OUTROS SERVICOS CONTRATADOS-PJ"/>
    <x v="6"/>
    <x v="14"/>
    <n v="27225"/>
    <s v="0000000127"/>
    <s v="0763"/>
    <d v="2022-07-01T00:00:00"/>
    <s v="320201006"/>
    <s v="305"/>
    <s v="31"/>
    <s v="Credito"/>
    <x v="2"/>
    <x v="216"/>
    <m/>
    <s v="000252"/>
    <s v="000132"/>
    <n v="27225"/>
    <s v="0,00"/>
    <s v="0,00"/>
    <s v="0,00"/>
    <s v="0,00"/>
    <s v="ORC2022_2"/>
    <s v="0012"/>
    <m/>
    <m/>
    <m/>
    <m/>
    <m/>
  </r>
  <r>
    <s v="PJ-OUTROS SERVICOS CONTRATADOS-PJ"/>
    <x v="6"/>
    <x v="14"/>
    <n v="2087.25"/>
    <s v="0000000127"/>
    <s v="0764"/>
    <d v="2022-07-01T00:00:00"/>
    <s v="320201006"/>
    <s v="306"/>
    <s v="33"/>
    <s v="Credito"/>
    <x v="2"/>
    <x v="216"/>
    <m/>
    <s v="000252"/>
    <s v="000132"/>
    <n v="2087.25"/>
    <s v="0,00"/>
    <s v="0,00"/>
    <s v="0,00"/>
    <s v="0,00"/>
    <s v="ORC2022_2"/>
    <s v="0012"/>
    <m/>
    <m/>
    <m/>
    <m/>
    <m/>
  </r>
  <r>
    <s v="PJ-OUTROS SERVICOS CONTRATADOS-PJ"/>
    <x v="6"/>
    <x v="14"/>
    <n v="63434.25"/>
    <s v="0000000127"/>
    <s v="0765"/>
    <d v="2022-07-01T00:00:00"/>
    <s v="320201006"/>
    <s v="305"/>
    <s v="34"/>
    <s v="Credito"/>
    <x v="2"/>
    <x v="216"/>
    <m/>
    <s v="000252"/>
    <s v="000132"/>
    <n v="63434.25"/>
    <s v="0,00"/>
    <s v="0,00"/>
    <s v="0,00"/>
    <s v="0,00"/>
    <s v="ORC2022_2"/>
    <s v="0012"/>
    <m/>
    <m/>
    <m/>
    <m/>
    <m/>
  </r>
  <r>
    <s v="PJ-OUTROS SERVICOS CONTRATADOS-PJ"/>
    <x v="6"/>
    <x v="14"/>
    <n v="200"/>
    <s v="0000000127"/>
    <s v="0766"/>
    <d v="2022-07-01T00:00:00"/>
    <s v="320201006"/>
    <s v="201"/>
    <s v="90"/>
    <s v="Credito"/>
    <x v="2"/>
    <x v="216"/>
    <m/>
    <s v="000252"/>
    <s v="000132"/>
    <n v="200"/>
    <s v="0,00"/>
    <s v="0,00"/>
    <s v="0,00"/>
    <s v="0,00"/>
    <s v="ORC2022_2"/>
    <s v="0012"/>
    <m/>
    <m/>
    <m/>
    <m/>
    <m/>
  </r>
  <r>
    <s v="PJ-OUTROS SERVICOS CONTRATADOS-PJ"/>
    <x v="6"/>
    <x v="14"/>
    <n v="133947"/>
    <s v="0000000127"/>
    <s v="0767"/>
    <d v="2022-07-01T00:00:00"/>
    <s v="320201006"/>
    <s v="301"/>
    <s v="90"/>
    <s v="Credito"/>
    <x v="2"/>
    <x v="216"/>
    <m/>
    <s v="000252"/>
    <s v="000132"/>
    <n v="133947"/>
    <s v="0,00"/>
    <s v="0,00"/>
    <s v="0,00"/>
    <s v="0,00"/>
    <s v="ORC2022_2"/>
    <s v="0012"/>
    <m/>
    <m/>
    <m/>
    <m/>
    <m/>
  </r>
  <r>
    <s v="PJ-OUTROS SERVICOS CONTRATADOS-PJ"/>
    <x v="6"/>
    <x v="15"/>
    <n v="22722.16"/>
    <s v="0000000127"/>
    <s v="0768"/>
    <d v="2022-08-01T00:00:00"/>
    <s v="320201006"/>
    <s v="304"/>
    <s v="11"/>
    <s v="Credito"/>
    <x v="2"/>
    <x v="216"/>
    <m/>
    <s v="000252"/>
    <s v="000132"/>
    <n v="22722.16"/>
    <s v="0,00"/>
    <s v="0,00"/>
    <s v="0,00"/>
    <s v="0,00"/>
    <s v="ORC2022_2"/>
    <s v="0012"/>
    <m/>
    <m/>
    <m/>
    <m/>
    <m/>
  </r>
  <r>
    <s v="PJ-OUTROS SERVICOS CONTRATADOS-PJ"/>
    <x v="6"/>
    <x v="15"/>
    <n v="13504.87"/>
    <s v="0000000127"/>
    <s v="0769"/>
    <d v="2022-08-01T00:00:00"/>
    <s v="320201006"/>
    <s v="303"/>
    <s v="21"/>
    <s v="Credito"/>
    <x v="2"/>
    <x v="216"/>
    <m/>
    <s v="000252"/>
    <s v="000132"/>
    <n v="13504.87"/>
    <s v="0,00"/>
    <s v="0,00"/>
    <s v="0,00"/>
    <s v="0,00"/>
    <s v="ORC2022_2"/>
    <s v="0012"/>
    <m/>
    <m/>
    <m/>
    <m/>
    <m/>
  </r>
  <r>
    <s v="PJ-OUTROS SERVICOS CONTRATADOS-PJ"/>
    <x v="6"/>
    <x v="15"/>
    <n v="241729.21"/>
    <s v="0000000127"/>
    <s v="0770"/>
    <d v="2022-08-01T00:00:00"/>
    <s v="320201006"/>
    <s v="305"/>
    <s v="21"/>
    <s v="Credito"/>
    <x v="2"/>
    <x v="216"/>
    <m/>
    <s v="000252"/>
    <s v="000132"/>
    <n v="241729.21"/>
    <s v="0,00"/>
    <s v="0,00"/>
    <s v="0,00"/>
    <s v="0,00"/>
    <s v="ORC2022_2"/>
    <s v="0012"/>
    <m/>
    <m/>
    <m/>
    <m/>
    <m/>
  </r>
  <r>
    <s v="PJ-OUTROS SERVICOS CONTRATADOS-PJ"/>
    <x v="6"/>
    <x v="15"/>
    <n v="3471.19"/>
    <s v="0000000127"/>
    <s v="0771"/>
    <d v="2022-08-01T00:00:00"/>
    <s v="320201006"/>
    <s v="306"/>
    <s v="33"/>
    <s v="Credito"/>
    <x v="2"/>
    <x v="216"/>
    <m/>
    <s v="000252"/>
    <s v="000132"/>
    <n v="3471.19"/>
    <s v="0,00"/>
    <s v="0,00"/>
    <s v="0,00"/>
    <s v="0,00"/>
    <s v="ORC2022_2"/>
    <s v="0012"/>
    <m/>
    <m/>
    <m/>
    <m/>
    <m/>
  </r>
  <r>
    <s v="PJ-OUTROS SERVICOS CONTRATADOS-PJ"/>
    <x v="6"/>
    <x v="15"/>
    <n v="98434.25"/>
    <s v="0000000127"/>
    <s v="0772"/>
    <d v="2022-08-01T00:00:00"/>
    <s v="320201006"/>
    <s v="305"/>
    <s v="34"/>
    <s v="Credito"/>
    <x v="2"/>
    <x v="216"/>
    <m/>
    <s v="000252"/>
    <s v="000132"/>
    <n v="98434.25"/>
    <s v="0,00"/>
    <s v="0,00"/>
    <s v="0,00"/>
    <s v="0,00"/>
    <s v="ORC2022_2"/>
    <s v="0012"/>
    <m/>
    <m/>
    <m/>
    <m/>
    <m/>
  </r>
  <r>
    <s v="PJ-OUTROS SERVICOS CONTRATADOS-PJ"/>
    <x v="6"/>
    <x v="15"/>
    <n v="127917.69"/>
    <s v="0000000127"/>
    <s v="0773"/>
    <d v="2022-08-01T00:00:00"/>
    <s v="320201006"/>
    <s v="301"/>
    <s v="90"/>
    <s v="Credito"/>
    <x v="2"/>
    <x v="216"/>
    <m/>
    <s v="000252"/>
    <s v="000132"/>
    <n v="127917.69"/>
    <s v="0,00"/>
    <s v="0,00"/>
    <s v="0,00"/>
    <s v="0,00"/>
    <s v="ORC2022_2"/>
    <s v="0012"/>
    <m/>
    <m/>
    <m/>
    <m/>
    <m/>
  </r>
  <r>
    <s v="PJ-OUTROS SERVICOS CONTRATADOS-PJ"/>
    <x v="6"/>
    <x v="16"/>
    <n v="45.37"/>
    <s v="0000000127"/>
    <s v="0774"/>
    <d v="2022-09-01T00:00:00"/>
    <s v="320201006"/>
    <s v="302"/>
    <s v="11"/>
    <s v="Credito"/>
    <x v="2"/>
    <x v="216"/>
    <m/>
    <s v="000252"/>
    <s v="000132"/>
    <n v="45.37"/>
    <s v="0,00"/>
    <s v="0,00"/>
    <s v="0,00"/>
    <s v="0,00"/>
    <s v="ORC2022_2"/>
    <s v="0012"/>
    <m/>
    <m/>
    <m/>
    <m/>
    <m/>
  </r>
  <r>
    <s v="PJ-OUTROS SERVICOS CONTRATADOS-PJ"/>
    <x v="6"/>
    <x v="16"/>
    <n v="2857.26"/>
    <s v="0000000127"/>
    <s v="0775"/>
    <d v="2022-09-01T00:00:00"/>
    <s v="320201006"/>
    <s v="304"/>
    <s v="11"/>
    <s v="Credito"/>
    <x v="2"/>
    <x v="216"/>
    <m/>
    <s v="000252"/>
    <s v="000132"/>
    <n v="2857.26"/>
    <s v="0,00"/>
    <s v="0,00"/>
    <s v="0,00"/>
    <s v="0,00"/>
    <s v="ORC2022_2"/>
    <s v="0012"/>
    <m/>
    <m/>
    <m/>
    <m/>
    <m/>
  </r>
  <r>
    <s v="PJ-OUTROS SERVICOS CONTRATADOS-PJ"/>
    <x v="6"/>
    <x v="16"/>
    <n v="246932.66"/>
    <s v="0000000127"/>
    <s v="0776"/>
    <d v="2022-09-01T00:00:00"/>
    <s v="320201006"/>
    <s v="305"/>
    <s v="21"/>
    <s v="Credito"/>
    <x v="2"/>
    <x v="216"/>
    <m/>
    <s v="000252"/>
    <s v="000132"/>
    <n v="246932.66"/>
    <s v="0,00"/>
    <s v="0,00"/>
    <s v="0,00"/>
    <s v="0,00"/>
    <s v="ORC2022_2"/>
    <s v="0012"/>
    <m/>
    <m/>
    <m/>
    <m/>
    <m/>
  </r>
  <r>
    <s v="PJ-OUTROS SERVICOS CONTRATADOS-PJ"/>
    <x v="6"/>
    <x v="16"/>
    <n v="578121.80000000005"/>
    <s v="0000000127"/>
    <s v="0777"/>
    <d v="2022-09-01T00:00:00"/>
    <s v="320201006"/>
    <s v="305"/>
    <s v="31"/>
    <s v="Credito"/>
    <x v="2"/>
    <x v="216"/>
    <m/>
    <s v="000252"/>
    <s v="000132"/>
    <n v="578121.80000000005"/>
    <s v="0,00"/>
    <s v="0,00"/>
    <s v="0,00"/>
    <s v="0,00"/>
    <s v="ORC2022_2"/>
    <s v="0012"/>
    <m/>
    <m/>
    <m/>
    <m/>
    <m/>
  </r>
  <r>
    <s v="PJ-OUTROS SERVICOS CONTRATADOS-PJ"/>
    <x v="6"/>
    <x v="16"/>
    <n v="4245.28"/>
    <s v="0000000127"/>
    <s v="0778"/>
    <d v="2022-09-01T00:00:00"/>
    <s v="320201006"/>
    <s v="306"/>
    <s v="33"/>
    <s v="Credito"/>
    <x v="2"/>
    <x v="216"/>
    <m/>
    <s v="000252"/>
    <s v="000132"/>
    <n v="4245.28"/>
    <s v="0,00"/>
    <s v="0,00"/>
    <s v="0,00"/>
    <s v="0,00"/>
    <s v="ORC2022_2"/>
    <s v="0012"/>
    <m/>
    <m/>
    <m/>
    <m/>
    <m/>
  </r>
  <r>
    <s v="PJ-OUTROS SERVICOS CONTRATADOS-PJ"/>
    <x v="6"/>
    <x v="16"/>
    <n v="63434.25"/>
    <s v="0000000127"/>
    <s v="0779"/>
    <d v="2022-09-01T00:00:00"/>
    <s v="320201006"/>
    <s v="305"/>
    <s v="34"/>
    <s v="Credito"/>
    <x v="2"/>
    <x v="216"/>
    <m/>
    <s v="000252"/>
    <s v="000132"/>
    <n v="63434.25"/>
    <s v="0,00"/>
    <s v="0,00"/>
    <s v="0,00"/>
    <s v="0,00"/>
    <s v="ORC2022_2"/>
    <s v="0012"/>
    <m/>
    <m/>
    <m/>
    <m/>
    <m/>
  </r>
  <r>
    <s v="PJ-OUTROS SERVICOS CONTRATADOS-PJ"/>
    <x v="6"/>
    <x v="16"/>
    <n v="144433.97"/>
    <s v="0000000127"/>
    <s v="0780"/>
    <d v="2022-09-01T00:00:00"/>
    <s v="320201006"/>
    <s v="301"/>
    <s v="90"/>
    <s v="Credito"/>
    <x v="2"/>
    <x v="216"/>
    <m/>
    <s v="000252"/>
    <s v="000132"/>
    <n v="144433.97"/>
    <s v="0,00"/>
    <s v="0,00"/>
    <s v="0,00"/>
    <s v="0,00"/>
    <s v="ORC2022_2"/>
    <s v="0012"/>
    <m/>
    <m/>
    <m/>
    <m/>
    <m/>
  </r>
  <r>
    <s v="PJ-OUTROS SERVICOS CONTRATADOS-PJ"/>
    <x v="6"/>
    <x v="16"/>
    <n v="150"/>
    <s v="0000000127"/>
    <s v="0781"/>
    <d v="2022-09-01T00:00:00"/>
    <s v="320201006"/>
    <s v="302"/>
    <s v="90"/>
    <s v="Credito"/>
    <x v="2"/>
    <x v="216"/>
    <m/>
    <s v="000252"/>
    <s v="000132"/>
    <n v="150"/>
    <s v="0,00"/>
    <s v="0,00"/>
    <s v="0,00"/>
    <s v="0,00"/>
    <s v="ORC2022_2"/>
    <s v="0012"/>
    <m/>
    <m/>
    <m/>
    <m/>
    <m/>
  </r>
  <r>
    <s v="PJ-OUTROS SERVICOS CONTRATADOS-PJ"/>
    <x v="6"/>
    <x v="17"/>
    <n v="45.82"/>
    <s v="0000000127"/>
    <s v="0782"/>
    <d v="2022-10-01T00:00:00"/>
    <s v="320201006"/>
    <s v="302"/>
    <s v="11"/>
    <s v="Credito"/>
    <x v="2"/>
    <x v="216"/>
    <m/>
    <s v="000252"/>
    <s v="000132"/>
    <n v="45.82"/>
    <s v="0,00"/>
    <s v="0,00"/>
    <s v="0,00"/>
    <s v="0,00"/>
    <s v="ORC2022_2"/>
    <s v="0012"/>
    <m/>
    <m/>
    <m/>
    <m/>
    <m/>
  </r>
  <r>
    <s v="PJ-OUTROS SERVICOS CONTRATADOS-PJ"/>
    <x v="6"/>
    <x v="17"/>
    <n v="2885.83"/>
    <s v="0000000127"/>
    <s v="0783"/>
    <d v="2022-10-01T00:00:00"/>
    <s v="320201006"/>
    <s v="304"/>
    <s v="11"/>
    <s v="Credito"/>
    <x v="2"/>
    <x v="216"/>
    <m/>
    <s v="000252"/>
    <s v="000132"/>
    <n v="2885.83"/>
    <s v="0,00"/>
    <s v="0,00"/>
    <s v="0,00"/>
    <s v="0,00"/>
    <s v="ORC2022_2"/>
    <s v="0012"/>
    <m/>
    <m/>
    <m/>
    <m/>
    <m/>
  </r>
  <r>
    <s v="PJ-OUTROS SERVICOS CONTRATADOS-PJ"/>
    <x v="6"/>
    <x v="17"/>
    <n v="249401.99"/>
    <s v="0000000127"/>
    <s v="0784"/>
    <d v="2022-10-01T00:00:00"/>
    <s v="320201006"/>
    <s v="305"/>
    <s v="21"/>
    <s v="Credito"/>
    <x v="2"/>
    <x v="216"/>
    <m/>
    <s v="000252"/>
    <s v="000132"/>
    <n v="249401.99"/>
    <s v="0,00"/>
    <s v="0,00"/>
    <s v="0,00"/>
    <s v="0,00"/>
    <s v="ORC2022_2"/>
    <s v="0012"/>
    <m/>
    <m/>
    <m/>
    <m/>
    <m/>
  </r>
  <r>
    <s v="PJ-OUTROS SERVICOS CONTRATADOS-PJ"/>
    <x v="6"/>
    <x v="17"/>
    <n v="583903.02"/>
    <s v="0000000127"/>
    <s v="0785"/>
    <d v="2022-10-01T00:00:00"/>
    <s v="320201006"/>
    <s v="305"/>
    <s v="31"/>
    <s v="Credito"/>
    <x v="2"/>
    <x v="216"/>
    <m/>
    <s v="000252"/>
    <s v="000132"/>
    <n v="583903.02"/>
    <s v="0,00"/>
    <s v="0,00"/>
    <s v="0,00"/>
    <s v="0,00"/>
    <s v="ORC2022_2"/>
    <s v="0012"/>
    <m/>
    <m/>
    <m/>
    <m/>
    <m/>
  </r>
  <r>
    <s v="PJ-OUTROS SERVICOS CONTRATADOS-PJ"/>
    <x v="6"/>
    <x v="17"/>
    <n v="4287.7299999999996"/>
    <s v="0000000127"/>
    <s v="0786"/>
    <d v="2022-10-01T00:00:00"/>
    <s v="320201006"/>
    <s v="306"/>
    <s v="33"/>
    <s v="Credito"/>
    <x v="2"/>
    <x v="216"/>
    <m/>
    <s v="000252"/>
    <s v="000132"/>
    <n v="4287.7299999999996"/>
    <s v="0,00"/>
    <s v="0,00"/>
    <s v="0,00"/>
    <s v="0,00"/>
    <s v="ORC2022_2"/>
    <s v="0012"/>
    <m/>
    <m/>
    <m/>
    <m/>
    <m/>
  </r>
  <r>
    <s v="PJ-OUTROS SERVICOS CONTRATADOS-PJ"/>
    <x v="6"/>
    <x v="17"/>
    <n v="64068.59"/>
    <s v="0000000127"/>
    <s v="0787"/>
    <d v="2022-10-01T00:00:00"/>
    <s v="320201006"/>
    <s v="305"/>
    <s v="34"/>
    <s v="Credito"/>
    <x v="2"/>
    <x v="216"/>
    <m/>
    <s v="000252"/>
    <s v="000132"/>
    <n v="64068.59"/>
    <s v="0,00"/>
    <s v="0,00"/>
    <s v="0,00"/>
    <s v="0,00"/>
    <s v="ORC2022_2"/>
    <s v="0012"/>
    <m/>
    <m/>
    <m/>
    <m/>
    <m/>
  </r>
  <r>
    <s v="PJ-OUTROS SERVICOS CONTRATADOS-PJ"/>
    <x v="6"/>
    <x v="17"/>
    <n v="145878.31"/>
    <s v="0000000127"/>
    <s v="0788"/>
    <d v="2022-10-01T00:00:00"/>
    <s v="320201006"/>
    <s v="301"/>
    <s v="90"/>
    <s v="Credito"/>
    <x v="2"/>
    <x v="216"/>
    <m/>
    <s v="000252"/>
    <s v="000132"/>
    <n v="145878.31"/>
    <s v="0,00"/>
    <s v="0,00"/>
    <s v="0,00"/>
    <s v="0,00"/>
    <s v="ORC2022_2"/>
    <s v="0012"/>
    <m/>
    <m/>
    <m/>
    <m/>
    <m/>
  </r>
  <r>
    <s v="PJ-OUTROS SERVICOS CONTRATADOS-PJ"/>
    <x v="6"/>
    <x v="17"/>
    <n v="151.5"/>
    <s v="0000000127"/>
    <s v="0789"/>
    <d v="2022-10-01T00:00:00"/>
    <s v="320201006"/>
    <s v="302"/>
    <s v="90"/>
    <s v="Credito"/>
    <x v="2"/>
    <x v="216"/>
    <m/>
    <s v="000252"/>
    <s v="000132"/>
    <n v="151.5"/>
    <s v="0,00"/>
    <s v="0,00"/>
    <s v="0,00"/>
    <s v="0,00"/>
    <s v="ORC2022_2"/>
    <s v="0012"/>
    <m/>
    <m/>
    <m/>
    <m/>
    <m/>
  </r>
  <r>
    <s v="PJ-OUTROS SERVICOS CONTRATADOS-PJ"/>
    <x v="6"/>
    <x v="0"/>
    <n v="46.28"/>
    <s v="0000000127"/>
    <s v="0790"/>
    <d v="2022-11-01T00:00:00"/>
    <s v="320201006"/>
    <s v="302"/>
    <s v="11"/>
    <s v="Credito"/>
    <x v="2"/>
    <x v="216"/>
    <m/>
    <s v="000252"/>
    <s v="000132"/>
    <n v="46.28"/>
    <s v="0,00"/>
    <s v="0,00"/>
    <s v="0,00"/>
    <s v="0,00"/>
    <s v="ORC2022_2"/>
    <s v="0012"/>
    <m/>
    <m/>
    <m/>
    <m/>
    <m/>
  </r>
  <r>
    <s v="PJ-OUTROS SERVICOS CONTRATADOS-PJ"/>
    <x v="6"/>
    <x v="0"/>
    <n v="2914.69"/>
    <s v="0000000127"/>
    <s v="0791"/>
    <d v="2022-11-01T00:00:00"/>
    <s v="320201006"/>
    <s v="304"/>
    <s v="11"/>
    <s v="Credito"/>
    <x v="2"/>
    <x v="216"/>
    <m/>
    <s v="000252"/>
    <s v="000132"/>
    <n v="2914.69"/>
    <s v="0,00"/>
    <s v="0,00"/>
    <s v="0,00"/>
    <s v="0,00"/>
    <s v="ORC2022_2"/>
    <s v="0012"/>
    <m/>
    <m/>
    <m/>
    <m/>
    <m/>
  </r>
  <r>
    <s v="PJ-OUTROS SERVICOS CONTRATADOS-PJ"/>
    <x v="6"/>
    <x v="0"/>
    <n v="251896.01"/>
    <s v="0000000127"/>
    <s v="0792"/>
    <d v="2022-11-01T00:00:00"/>
    <s v="320201006"/>
    <s v="305"/>
    <s v="21"/>
    <s v="Credito"/>
    <x v="2"/>
    <x v="216"/>
    <m/>
    <s v="000252"/>
    <s v="000132"/>
    <n v="251896.01"/>
    <s v="0,00"/>
    <s v="0,00"/>
    <s v="0,00"/>
    <s v="0,00"/>
    <s v="ORC2022_2"/>
    <s v="0012"/>
    <m/>
    <m/>
    <m/>
    <m/>
    <m/>
  </r>
  <r>
    <s v="PJ-OUTROS SERVICOS CONTRATADOS-PJ"/>
    <x v="6"/>
    <x v="0"/>
    <n v="589742.05000000005"/>
    <s v="0000000127"/>
    <s v="0793"/>
    <d v="2022-11-01T00:00:00"/>
    <s v="320201006"/>
    <s v="305"/>
    <s v="31"/>
    <s v="Credito"/>
    <x v="2"/>
    <x v="216"/>
    <m/>
    <s v="000252"/>
    <s v="000132"/>
    <n v="589742.05000000005"/>
    <s v="0,00"/>
    <s v="0,00"/>
    <s v="0,00"/>
    <s v="0,00"/>
    <s v="ORC2022_2"/>
    <s v="0012"/>
    <m/>
    <m/>
    <m/>
    <m/>
    <m/>
  </r>
  <r>
    <s v="PJ-OUTROS SERVICOS CONTRATADOS-PJ"/>
    <x v="6"/>
    <x v="0"/>
    <n v="4330.6099999999997"/>
    <s v="0000000127"/>
    <s v="0794"/>
    <d v="2022-11-01T00:00:00"/>
    <s v="320201006"/>
    <s v="306"/>
    <s v="33"/>
    <s v="Credito"/>
    <x v="2"/>
    <x v="216"/>
    <m/>
    <s v="000252"/>
    <s v="000132"/>
    <n v="4330.6099999999997"/>
    <s v="0,00"/>
    <s v="0,00"/>
    <s v="0,00"/>
    <s v="0,00"/>
    <s v="ORC2022_2"/>
    <s v="0012"/>
    <m/>
    <m/>
    <m/>
    <m/>
    <m/>
  </r>
  <r>
    <s v="PJ-OUTROS SERVICOS CONTRATADOS-PJ"/>
    <x v="6"/>
    <x v="0"/>
    <n v="64709.279999999999"/>
    <s v="0000000127"/>
    <s v="0795"/>
    <d v="2022-11-01T00:00:00"/>
    <s v="320201006"/>
    <s v="305"/>
    <s v="34"/>
    <s v="Credito"/>
    <x v="2"/>
    <x v="216"/>
    <m/>
    <s v="000252"/>
    <s v="000132"/>
    <n v="64709.279999999999"/>
    <s v="0,00"/>
    <s v="0,00"/>
    <s v="0,00"/>
    <s v="0,00"/>
    <s v="ORC2022_2"/>
    <s v="0012"/>
    <m/>
    <m/>
    <m/>
    <m/>
    <m/>
  </r>
  <r>
    <s v="PJ-OUTROS SERVICOS CONTRATADOS-PJ"/>
    <x v="6"/>
    <x v="0"/>
    <n v="147337.09"/>
    <s v="0000000127"/>
    <s v="0796"/>
    <d v="2022-11-01T00:00:00"/>
    <s v="320201006"/>
    <s v="301"/>
    <s v="90"/>
    <s v="Credito"/>
    <x v="2"/>
    <x v="216"/>
    <m/>
    <s v="000252"/>
    <s v="000132"/>
    <n v="147337.09"/>
    <s v="0,00"/>
    <s v="0,00"/>
    <s v="0,00"/>
    <s v="0,00"/>
    <s v="ORC2022_2"/>
    <s v="0012"/>
    <m/>
    <m/>
    <m/>
    <m/>
    <m/>
  </r>
  <r>
    <s v="PJ-OUTROS SERVICOS CONTRATADOS-PJ"/>
    <x v="6"/>
    <x v="0"/>
    <n v="153.02000000000001"/>
    <s v="0000000127"/>
    <s v="0797"/>
    <d v="2022-11-01T00:00:00"/>
    <s v="320201006"/>
    <s v="302"/>
    <s v="90"/>
    <s v="Credito"/>
    <x v="2"/>
    <x v="216"/>
    <m/>
    <s v="000252"/>
    <s v="000132"/>
    <n v="153.02000000000001"/>
    <s v="0,00"/>
    <s v="0,00"/>
    <s v="0,00"/>
    <s v="0,00"/>
    <s v="ORC2022_2"/>
    <s v="0012"/>
    <m/>
    <m/>
    <m/>
    <m/>
    <m/>
  </r>
  <r>
    <s v="PJ-OUTROS SERVICOS CONTRATADOS-PJ"/>
    <x v="6"/>
    <x v="1"/>
    <n v="46.74"/>
    <s v="0000000127"/>
    <s v="0798"/>
    <d v="2022-12-01T00:00:00"/>
    <s v="320201006"/>
    <s v="302"/>
    <s v="11"/>
    <s v="Credito"/>
    <x v="2"/>
    <x v="216"/>
    <m/>
    <s v="000252"/>
    <s v="000132"/>
    <n v="46.74"/>
    <s v="0,00"/>
    <s v="0,00"/>
    <s v="0,00"/>
    <s v="0,00"/>
    <s v="ORC2022_2"/>
    <s v="0012"/>
    <m/>
    <m/>
    <m/>
    <m/>
    <m/>
  </r>
  <r>
    <s v="PJ-OUTROS SERVICOS CONTRATADOS-PJ"/>
    <x v="6"/>
    <x v="1"/>
    <n v="2943.84"/>
    <s v="0000000127"/>
    <s v="0799"/>
    <d v="2022-12-01T00:00:00"/>
    <s v="320201006"/>
    <s v="304"/>
    <s v="11"/>
    <s v="Credito"/>
    <x v="2"/>
    <x v="216"/>
    <m/>
    <s v="000252"/>
    <s v="000132"/>
    <n v="2943.84"/>
    <s v="0,00"/>
    <s v="0,00"/>
    <s v="0,00"/>
    <s v="0,00"/>
    <s v="ORC2022_2"/>
    <s v="0012"/>
    <m/>
    <m/>
    <m/>
    <m/>
    <m/>
  </r>
  <r>
    <s v="PJ-OUTROS SERVICOS CONTRATADOS-PJ"/>
    <x v="6"/>
    <x v="1"/>
    <n v="254414.97"/>
    <s v="0000000127"/>
    <s v="0800"/>
    <d v="2022-12-01T00:00:00"/>
    <s v="320201006"/>
    <s v="305"/>
    <s v="21"/>
    <s v="Credito"/>
    <x v="2"/>
    <x v="216"/>
    <m/>
    <s v="000252"/>
    <s v="000132"/>
    <n v="254414.97"/>
    <s v="0,00"/>
    <s v="0,00"/>
    <s v="0,00"/>
    <s v="0,00"/>
    <s v="ORC2022_2"/>
    <s v="0012"/>
    <m/>
    <m/>
    <m/>
    <m/>
    <m/>
  </r>
  <r>
    <s v="PJ-OUTROS SERVICOS CONTRATADOS-PJ"/>
    <x v="6"/>
    <x v="1"/>
    <n v="595639.47"/>
    <s v="0000000127"/>
    <s v="0801"/>
    <d v="2022-12-01T00:00:00"/>
    <s v="320201006"/>
    <s v="305"/>
    <s v="31"/>
    <s v="Credito"/>
    <x v="2"/>
    <x v="216"/>
    <m/>
    <s v="000252"/>
    <s v="000132"/>
    <n v="595639.47"/>
    <s v="0,00"/>
    <s v="0,00"/>
    <s v="0,00"/>
    <s v="0,00"/>
    <s v="ORC2022_2"/>
    <s v="0012"/>
    <m/>
    <m/>
    <m/>
    <m/>
    <m/>
  </r>
  <r>
    <s v="PJ-OUTROS SERVICOS CONTRATADOS-PJ"/>
    <x v="6"/>
    <x v="1"/>
    <n v="4373.92"/>
    <s v="0000000127"/>
    <s v="0802"/>
    <d v="2022-12-01T00:00:00"/>
    <s v="320201006"/>
    <s v="306"/>
    <s v="33"/>
    <s v="Credito"/>
    <x v="2"/>
    <x v="216"/>
    <m/>
    <s v="000252"/>
    <s v="000132"/>
    <n v="4373.92"/>
    <s v="0,00"/>
    <s v="0,00"/>
    <s v="0,00"/>
    <s v="0,00"/>
    <s v="ORC2022_2"/>
    <s v="0012"/>
    <m/>
    <m/>
    <m/>
    <m/>
    <m/>
  </r>
  <r>
    <s v="PJ-OUTROS SERVICOS CONTRATADOS-PJ"/>
    <x v="6"/>
    <x v="1"/>
    <n v="65356.37"/>
    <s v="0000000127"/>
    <s v="0803"/>
    <d v="2022-12-01T00:00:00"/>
    <s v="320201006"/>
    <s v="305"/>
    <s v="34"/>
    <s v="Credito"/>
    <x v="2"/>
    <x v="216"/>
    <m/>
    <s v="000252"/>
    <s v="000132"/>
    <n v="65356.37"/>
    <s v="0,00"/>
    <s v="0,00"/>
    <s v="0,00"/>
    <s v="0,00"/>
    <s v="ORC2022_2"/>
    <s v="0012"/>
    <m/>
    <m/>
    <m/>
    <m/>
    <m/>
  </r>
  <r>
    <s v="PJ-OUTROS SERVICOS CONTRATADOS-PJ"/>
    <x v="6"/>
    <x v="1"/>
    <n v="148810.46"/>
    <s v="0000000127"/>
    <s v="0804"/>
    <d v="2022-12-01T00:00:00"/>
    <s v="320201006"/>
    <s v="301"/>
    <s v="90"/>
    <s v="Credito"/>
    <x v="2"/>
    <x v="216"/>
    <m/>
    <s v="000252"/>
    <s v="000132"/>
    <n v="148810.46"/>
    <s v="0,00"/>
    <s v="0,00"/>
    <s v="0,00"/>
    <s v="0,00"/>
    <s v="ORC2022_2"/>
    <s v="0012"/>
    <m/>
    <m/>
    <m/>
    <m/>
    <m/>
  </r>
  <r>
    <s v="PJ-OUTROS SERVICOS CONTRATADOS-PJ"/>
    <x v="6"/>
    <x v="1"/>
    <n v="154.55000000000001"/>
    <s v="0000000127"/>
    <s v="0805"/>
    <d v="2022-12-01T00:00:00"/>
    <s v="320201006"/>
    <s v="302"/>
    <s v="90"/>
    <s v="Credito"/>
    <x v="2"/>
    <x v="216"/>
    <m/>
    <s v="000252"/>
    <s v="000132"/>
    <n v="154.55000000000001"/>
    <s v="0,00"/>
    <s v="0,00"/>
    <s v="0,00"/>
    <s v="0,00"/>
    <s v="ORC2022_2"/>
    <s v="0012"/>
    <m/>
    <m/>
    <m/>
    <m/>
    <m/>
  </r>
  <r>
    <s v="PF-OUTROS SERVICOS CONTRATADOS-PF"/>
    <x v="31"/>
    <x v="8"/>
    <n v="6815.32"/>
    <s v="0000000127"/>
    <s v="0806"/>
    <d v="2022-01-01T00:00:00"/>
    <s v="320202003"/>
    <s v="305"/>
    <s v="42"/>
    <s v="Credito"/>
    <x v="2"/>
    <x v="216"/>
    <m/>
    <s v="000252"/>
    <s v="000132"/>
    <n v="6815.32"/>
    <s v="0,00"/>
    <s v="0,00"/>
    <s v="0,00"/>
    <s v="0,00"/>
    <s v="ORC2022_2"/>
    <s v="0012"/>
    <m/>
    <m/>
    <m/>
    <m/>
    <m/>
  </r>
  <r>
    <s v="PF-OUTROS SERVICOS CONTRATADOS-PF"/>
    <x v="31"/>
    <x v="9"/>
    <n v="4725"/>
    <s v="0000000127"/>
    <s v="0807"/>
    <d v="2022-02-01T00:00:00"/>
    <s v="320202003"/>
    <s v="301"/>
    <s v="42"/>
    <s v="Credito"/>
    <x v="2"/>
    <x v="216"/>
    <m/>
    <s v="000252"/>
    <s v="000132"/>
    <n v="4725"/>
    <s v="0,00"/>
    <s v="0,00"/>
    <s v="0,00"/>
    <s v="0,00"/>
    <s v="ORC2022_2"/>
    <s v="0012"/>
    <m/>
    <m/>
    <m/>
    <m/>
    <m/>
  </r>
  <r>
    <s v="PF-OUTROS SERVICOS CONTRATADOS-PF"/>
    <x v="31"/>
    <x v="10"/>
    <n v="5375"/>
    <s v="0000000127"/>
    <s v="0808"/>
    <d v="2022-03-01T00:00:00"/>
    <s v="320202003"/>
    <s v="301"/>
    <s v="42"/>
    <s v="Credito"/>
    <x v="2"/>
    <x v="216"/>
    <m/>
    <s v="000252"/>
    <s v="000132"/>
    <n v="5375"/>
    <s v="0,00"/>
    <s v="0,00"/>
    <s v="0,00"/>
    <s v="0,00"/>
    <s v="ORC2022_2"/>
    <s v="0012"/>
    <m/>
    <m/>
    <m/>
    <m/>
    <m/>
  </r>
  <r>
    <s v="PF-OUTROS SERVICOS CONTRATADOS-PF"/>
    <x v="31"/>
    <x v="11"/>
    <n v="5870.1"/>
    <s v="0000000127"/>
    <s v="0809"/>
    <d v="2022-04-01T00:00:00"/>
    <s v="320202003"/>
    <s v="304"/>
    <s v="11"/>
    <s v="Credito"/>
    <x v="2"/>
    <x v="216"/>
    <m/>
    <s v="000252"/>
    <s v="000132"/>
    <n v="5870.1"/>
    <s v="0,00"/>
    <s v="0,00"/>
    <s v="0,00"/>
    <s v="0,00"/>
    <s v="ORC2022_2"/>
    <s v="0012"/>
    <m/>
    <m/>
    <m/>
    <m/>
    <m/>
  </r>
  <r>
    <s v="PF-OUTROS SERVICOS CONTRATADOS-PF"/>
    <x v="31"/>
    <x v="12"/>
    <n v="3560"/>
    <s v="0000000127"/>
    <s v="0810"/>
    <d v="2022-05-01T00:00:00"/>
    <s v="320202003"/>
    <s v="305"/>
    <s v="42"/>
    <s v="Credito"/>
    <x v="2"/>
    <x v="216"/>
    <m/>
    <s v="000252"/>
    <s v="000132"/>
    <n v="3560"/>
    <s v="0,00"/>
    <s v="0,00"/>
    <s v="0,00"/>
    <s v="0,00"/>
    <s v="ORC2022_2"/>
    <s v="0012"/>
    <m/>
    <m/>
    <m/>
    <m/>
    <m/>
  </r>
  <r>
    <s v="PF-OUTROS SERVICOS CONTRATADOS-PF"/>
    <x v="31"/>
    <x v="13"/>
    <n v="392"/>
    <s v="0000000127"/>
    <s v="0811"/>
    <d v="2022-06-01T00:00:00"/>
    <s v="320202003"/>
    <s v="305"/>
    <s v="21"/>
    <s v="Credito"/>
    <x v="2"/>
    <x v="216"/>
    <m/>
    <s v="000252"/>
    <s v="000132"/>
    <n v="392"/>
    <s v="0,00"/>
    <s v="0,00"/>
    <s v="0,00"/>
    <s v="0,00"/>
    <s v="ORC2022_2"/>
    <s v="0012"/>
    <m/>
    <m/>
    <m/>
    <m/>
    <m/>
  </r>
  <r>
    <s v="PF-OUTROS SERVICOS CONTRATADOS-PF"/>
    <x v="31"/>
    <x v="13"/>
    <n v="7680"/>
    <s v="0000000127"/>
    <s v="0812"/>
    <d v="2022-06-01T00:00:00"/>
    <s v="320202003"/>
    <s v="305"/>
    <s v="42"/>
    <s v="Credito"/>
    <x v="2"/>
    <x v="216"/>
    <m/>
    <s v="000252"/>
    <s v="000132"/>
    <n v="7680"/>
    <s v="0,00"/>
    <s v="0,00"/>
    <s v="0,00"/>
    <s v="0,00"/>
    <s v="ORC2022_2"/>
    <s v="0012"/>
    <m/>
    <m/>
    <m/>
    <m/>
    <m/>
  </r>
  <r>
    <s v="PF-OUTROS SERVICOS CONTRATADOS-PF"/>
    <x v="31"/>
    <x v="15"/>
    <n v="2280"/>
    <s v="0000000127"/>
    <s v="0813"/>
    <d v="2022-08-01T00:00:00"/>
    <s v="320202003"/>
    <s v="305"/>
    <s v="42"/>
    <s v="Credito"/>
    <x v="2"/>
    <x v="216"/>
    <m/>
    <s v="000252"/>
    <s v="000132"/>
    <n v="2280"/>
    <s v="0,00"/>
    <s v="0,00"/>
    <s v="0,00"/>
    <s v="0,00"/>
    <s v="ORC2022_2"/>
    <s v="0012"/>
    <m/>
    <m/>
    <m/>
    <m/>
    <m/>
  </r>
  <r>
    <s v="PF-OUTROS SERVICOS CONTRATADOS-PF"/>
    <x v="31"/>
    <x v="16"/>
    <n v="4570"/>
    <s v="0000000127"/>
    <s v="0814"/>
    <d v="2022-09-01T00:00:00"/>
    <s v="320202003"/>
    <s v="305"/>
    <s v="42"/>
    <s v="Credito"/>
    <x v="2"/>
    <x v="216"/>
    <m/>
    <s v="000252"/>
    <s v="000132"/>
    <n v="4570"/>
    <s v="0,00"/>
    <s v="0,00"/>
    <s v="0,00"/>
    <s v="0,00"/>
    <s v="ORC2022_2"/>
    <s v="0012"/>
    <m/>
    <m/>
    <m/>
    <m/>
    <m/>
  </r>
  <r>
    <s v="PF-OUTROS SERVICOS CONTRATADOS-PF"/>
    <x v="31"/>
    <x v="17"/>
    <n v="4615.7"/>
    <s v="0000000127"/>
    <s v="0815"/>
    <d v="2022-10-01T00:00:00"/>
    <s v="320202003"/>
    <s v="305"/>
    <s v="42"/>
    <s v="Credito"/>
    <x v="2"/>
    <x v="216"/>
    <m/>
    <s v="000252"/>
    <s v="000132"/>
    <n v="4615.7"/>
    <s v="0,00"/>
    <s v="0,00"/>
    <s v="0,00"/>
    <s v="0,00"/>
    <s v="ORC2022_2"/>
    <s v="0012"/>
    <m/>
    <m/>
    <m/>
    <m/>
    <m/>
  </r>
  <r>
    <s v="PF-OUTROS SERVICOS CONTRATADOS-PF"/>
    <x v="31"/>
    <x v="0"/>
    <n v="4661.8599999999997"/>
    <s v="0000000127"/>
    <s v="0816"/>
    <d v="2022-11-01T00:00:00"/>
    <s v="320202003"/>
    <s v="305"/>
    <s v="42"/>
    <s v="Credito"/>
    <x v="2"/>
    <x v="216"/>
    <m/>
    <s v="000252"/>
    <s v="000132"/>
    <n v="4661.8599999999997"/>
    <s v="0,00"/>
    <s v="0,00"/>
    <s v="0,00"/>
    <s v="0,00"/>
    <s v="ORC2022_2"/>
    <s v="0012"/>
    <m/>
    <m/>
    <m/>
    <m/>
    <m/>
  </r>
  <r>
    <s v="PF-OUTROS SERVICOS CONTRATADOS-PF"/>
    <x v="31"/>
    <x v="1"/>
    <n v="4708.4799999999996"/>
    <s v="0000000127"/>
    <s v="0817"/>
    <d v="2022-12-01T00:00:00"/>
    <s v="320202003"/>
    <s v="305"/>
    <s v="42"/>
    <s v="Credito"/>
    <x v="2"/>
    <x v="216"/>
    <m/>
    <s v="000252"/>
    <s v="000132"/>
    <n v="4708.4799999999996"/>
    <s v="0,00"/>
    <s v="0,00"/>
    <s v="0,00"/>
    <s v="0,00"/>
    <s v="ORC2022_2"/>
    <s v="0012"/>
    <m/>
    <m/>
    <m/>
    <m/>
    <m/>
  </r>
  <r>
    <s v="COMBUSTIVEIS"/>
    <x v="9"/>
    <x v="8"/>
    <n v="1446.93"/>
    <s v="0000000127"/>
    <s v="0818"/>
    <d v="2022-01-01T00:00:00"/>
    <s v="320301001"/>
    <s v="302"/>
    <s v="11"/>
    <s v="Credito"/>
    <x v="2"/>
    <x v="216"/>
    <m/>
    <s v="000252"/>
    <s v="000132"/>
    <n v="1446.93"/>
    <s v="0,00"/>
    <s v="0,00"/>
    <s v="0,00"/>
    <s v="0,00"/>
    <s v="ORC2022_2"/>
    <s v="0012"/>
    <m/>
    <m/>
    <m/>
    <m/>
    <m/>
  </r>
  <r>
    <s v="COMBUSTIVEIS"/>
    <x v="9"/>
    <x v="8"/>
    <n v="182445.07"/>
    <s v="0000000127"/>
    <s v="0819"/>
    <d v="2022-01-01T00:00:00"/>
    <s v="320301001"/>
    <s v="304"/>
    <s v="11"/>
    <s v="Credito"/>
    <x v="2"/>
    <x v="216"/>
    <m/>
    <s v="000252"/>
    <s v="000132"/>
    <n v="182445.07"/>
    <s v="0,00"/>
    <s v="0,00"/>
    <s v="0,00"/>
    <s v="0,00"/>
    <s v="ORC2022_2"/>
    <s v="0012"/>
    <m/>
    <m/>
    <m/>
    <m/>
    <m/>
  </r>
  <r>
    <s v="COMBUSTIVEIS"/>
    <x v="9"/>
    <x v="8"/>
    <n v="1618.28"/>
    <s v="0000000127"/>
    <s v="0820"/>
    <d v="2022-01-01T00:00:00"/>
    <s v="320301001"/>
    <s v="305"/>
    <s v="11"/>
    <s v="Credito"/>
    <x v="2"/>
    <x v="216"/>
    <m/>
    <s v="000252"/>
    <s v="000132"/>
    <n v="1618.28"/>
    <s v="0,00"/>
    <s v="0,00"/>
    <s v="0,00"/>
    <s v="0,00"/>
    <s v="ORC2022_2"/>
    <s v="0012"/>
    <m/>
    <m/>
    <m/>
    <m/>
    <m/>
  </r>
  <r>
    <s v="COMBUSTIVEIS"/>
    <x v="9"/>
    <x v="8"/>
    <n v="4832.74"/>
    <s v="0000000127"/>
    <s v="0821"/>
    <d v="2022-01-01T00:00:00"/>
    <s v="320301001"/>
    <s v="302"/>
    <s v="21"/>
    <s v="Credito"/>
    <x v="2"/>
    <x v="216"/>
    <m/>
    <s v="000252"/>
    <s v="000132"/>
    <n v="4832.74"/>
    <s v="0,00"/>
    <s v="0,00"/>
    <s v="0,00"/>
    <s v="0,00"/>
    <s v="ORC2022_2"/>
    <s v="0012"/>
    <m/>
    <m/>
    <m/>
    <m/>
    <m/>
  </r>
  <r>
    <s v="COMBUSTIVEIS"/>
    <x v="9"/>
    <x v="8"/>
    <n v="200071.5"/>
    <s v="0000000127"/>
    <s v="0822"/>
    <d v="2022-01-01T00:00:00"/>
    <s v="320301001"/>
    <s v="303"/>
    <s v="21"/>
    <s v="Credito"/>
    <x v="2"/>
    <x v="216"/>
    <m/>
    <s v="000252"/>
    <s v="000132"/>
    <n v="200071.5"/>
    <s v="0,00"/>
    <s v="0,00"/>
    <s v="0,00"/>
    <s v="0,00"/>
    <s v="ORC2022_2"/>
    <s v="0012"/>
    <m/>
    <m/>
    <m/>
    <m/>
    <m/>
  </r>
  <r>
    <s v="COMBUSTIVEIS"/>
    <x v="9"/>
    <x v="8"/>
    <n v="227112.85"/>
    <s v="0000000127"/>
    <s v="0823"/>
    <d v="2022-01-01T00:00:00"/>
    <s v="320301001"/>
    <s v="305"/>
    <s v="21"/>
    <s v="Credito"/>
    <x v="2"/>
    <x v="216"/>
    <m/>
    <s v="000252"/>
    <s v="000132"/>
    <n v="227112.85"/>
    <s v="0,00"/>
    <s v="0,00"/>
    <s v="0,00"/>
    <s v="0,00"/>
    <s v="ORC2022_2"/>
    <s v="0012"/>
    <m/>
    <m/>
    <m/>
    <m/>
    <m/>
  </r>
  <r>
    <s v="COMBUSTIVEIS"/>
    <x v="9"/>
    <x v="8"/>
    <n v="631.67999999999995"/>
    <s v="0000000127"/>
    <s v="0824"/>
    <d v="2022-01-01T00:00:00"/>
    <s v="320301001"/>
    <s v="305"/>
    <s v="31"/>
    <s v="Credito"/>
    <x v="2"/>
    <x v="216"/>
    <m/>
    <s v="000252"/>
    <s v="000132"/>
    <n v="631.67999999999995"/>
    <s v="0,00"/>
    <s v="0,00"/>
    <s v="0,00"/>
    <s v="0,00"/>
    <s v="ORC2022_2"/>
    <s v="0012"/>
    <m/>
    <m/>
    <m/>
    <m/>
    <m/>
  </r>
  <r>
    <s v="COMBUSTIVEIS"/>
    <x v="9"/>
    <x v="8"/>
    <n v="6883.47"/>
    <s v="0000000127"/>
    <s v="0825"/>
    <d v="2022-01-01T00:00:00"/>
    <s v="320301001"/>
    <s v="301"/>
    <s v="90"/>
    <s v="Credito"/>
    <x v="2"/>
    <x v="216"/>
    <m/>
    <s v="000252"/>
    <s v="000132"/>
    <n v="6883.47"/>
    <s v="0,00"/>
    <s v="0,00"/>
    <s v="0,00"/>
    <s v="0,00"/>
    <s v="ORC2022_2"/>
    <s v="0012"/>
    <m/>
    <m/>
    <m/>
    <m/>
    <m/>
  </r>
  <r>
    <s v="COMBUSTIVEIS"/>
    <x v="9"/>
    <x v="9"/>
    <n v="1294.5999999999999"/>
    <s v="0000000127"/>
    <s v="0826"/>
    <d v="2022-02-01T00:00:00"/>
    <s v="320301001"/>
    <s v="302"/>
    <s v="11"/>
    <s v="Credito"/>
    <x v="2"/>
    <x v="216"/>
    <m/>
    <s v="000252"/>
    <s v="000132"/>
    <n v="1294.5999999999999"/>
    <s v="0,00"/>
    <s v="0,00"/>
    <s v="0,00"/>
    <s v="0,00"/>
    <s v="ORC2022_2"/>
    <s v="0012"/>
    <m/>
    <m/>
    <m/>
    <m/>
    <m/>
  </r>
  <r>
    <s v="COMBUSTIVEIS"/>
    <x v="9"/>
    <x v="9"/>
    <n v="159488.20000000001"/>
    <s v="0000000127"/>
    <s v="0827"/>
    <d v="2022-02-01T00:00:00"/>
    <s v="320301001"/>
    <s v="304"/>
    <s v="11"/>
    <s v="Credito"/>
    <x v="2"/>
    <x v="216"/>
    <m/>
    <s v="000252"/>
    <s v="000132"/>
    <n v="159488.20000000001"/>
    <s v="0,00"/>
    <s v="0,00"/>
    <s v="0,00"/>
    <s v="0,00"/>
    <s v="ORC2022_2"/>
    <s v="0012"/>
    <m/>
    <m/>
    <m/>
    <m/>
    <m/>
  </r>
  <r>
    <s v="COMBUSTIVEIS"/>
    <x v="9"/>
    <x v="9"/>
    <n v="2388.4899999999998"/>
    <s v="0000000127"/>
    <s v="0828"/>
    <d v="2022-02-01T00:00:00"/>
    <s v="320301001"/>
    <s v="305"/>
    <s v="11"/>
    <s v="Credito"/>
    <x v="2"/>
    <x v="216"/>
    <m/>
    <s v="000252"/>
    <s v="000132"/>
    <n v="2388.4899999999998"/>
    <s v="0,00"/>
    <s v="0,00"/>
    <s v="0,00"/>
    <s v="0,00"/>
    <s v="ORC2022_2"/>
    <s v="0012"/>
    <m/>
    <m/>
    <m/>
    <m/>
    <m/>
  </r>
  <r>
    <s v="COMBUSTIVEIS"/>
    <x v="9"/>
    <x v="9"/>
    <n v="7431.8"/>
    <s v="0000000127"/>
    <s v="0829"/>
    <d v="2022-02-01T00:00:00"/>
    <s v="320301001"/>
    <s v="302"/>
    <s v="21"/>
    <s v="Credito"/>
    <x v="2"/>
    <x v="216"/>
    <m/>
    <s v="000252"/>
    <s v="000132"/>
    <n v="7431.8"/>
    <s v="0,00"/>
    <s v="0,00"/>
    <s v="0,00"/>
    <s v="0,00"/>
    <s v="ORC2022_2"/>
    <s v="0012"/>
    <m/>
    <m/>
    <m/>
    <m/>
    <m/>
  </r>
  <r>
    <s v="COMBUSTIVEIS"/>
    <x v="9"/>
    <x v="9"/>
    <n v="82238.53"/>
    <s v="0000000127"/>
    <s v="0830"/>
    <d v="2022-02-01T00:00:00"/>
    <s v="320301001"/>
    <s v="303"/>
    <s v="21"/>
    <s v="Credito"/>
    <x v="2"/>
    <x v="216"/>
    <m/>
    <s v="000252"/>
    <s v="000132"/>
    <n v="82238.53"/>
    <s v="0,00"/>
    <s v="0,00"/>
    <s v="0,00"/>
    <s v="0,00"/>
    <s v="ORC2022_2"/>
    <s v="0012"/>
    <m/>
    <m/>
    <m/>
    <m/>
    <m/>
  </r>
  <r>
    <s v="COMBUSTIVEIS"/>
    <x v="9"/>
    <x v="9"/>
    <n v="1064.4100000000001"/>
    <s v="0000000127"/>
    <s v="0831"/>
    <d v="2022-02-01T00:00:00"/>
    <s v="320301001"/>
    <s v="304"/>
    <s v="21"/>
    <s v="Credito"/>
    <x v="2"/>
    <x v="216"/>
    <m/>
    <s v="000252"/>
    <s v="000132"/>
    <n v="1064.4100000000001"/>
    <s v="0,00"/>
    <s v="0,00"/>
    <s v="0,00"/>
    <s v="0,00"/>
    <s v="ORC2022_2"/>
    <s v="0012"/>
    <m/>
    <m/>
    <m/>
    <m/>
    <m/>
  </r>
  <r>
    <s v="COMBUSTIVEIS"/>
    <x v="9"/>
    <x v="9"/>
    <n v="94170"/>
    <s v="0000000127"/>
    <s v="0832"/>
    <d v="2022-02-01T00:00:00"/>
    <s v="320301001"/>
    <s v="305"/>
    <s v="21"/>
    <s v="Credito"/>
    <x v="2"/>
    <x v="216"/>
    <m/>
    <s v="000252"/>
    <s v="000132"/>
    <n v="94170"/>
    <s v="0,00"/>
    <s v="0,00"/>
    <s v="0,00"/>
    <s v="0,00"/>
    <s v="ORC2022_2"/>
    <s v="0012"/>
    <m/>
    <m/>
    <m/>
    <m/>
    <m/>
  </r>
  <r>
    <s v="COMBUSTIVEIS"/>
    <x v="9"/>
    <x v="9"/>
    <n v="88.52"/>
    <s v="0000000127"/>
    <s v="0833"/>
    <d v="2022-02-01T00:00:00"/>
    <s v="320301001"/>
    <s v="305"/>
    <s v="31"/>
    <s v="Credito"/>
    <x v="2"/>
    <x v="216"/>
    <m/>
    <s v="000252"/>
    <s v="000132"/>
    <n v="88.52"/>
    <s v="0,00"/>
    <s v="0,00"/>
    <s v="0,00"/>
    <s v="0,00"/>
    <s v="ORC2022_2"/>
    <s v="0012"/>
    <m/>
    <m/>
    <m/>
    <m/>
    <m/>
  </r>
  <r>
    <s v="COMBUSTIVEIS"/>
    <x v="9"/>
    <x v="9"/>
    <n v="6087.46"/>
    <s v="0000000127"/>
    <s v="0834"/>
    <d v="2022-02-01T00:00:00"/>
    <s v="320301001"/>
    <s v="301"/>
    <s v="90"/>
    <s v="Credito"/>
    <x v="2"/>
    <x v="216"/>
    <m/>
    <s v="000252"/>
    <s v="000132"/>
    <n v="6087.46"/>
    <s v="0,00"/>
    <s v="0,00"/>
    <s v="0,00"/>
    <s v="0,00"/>
    <s v="ORC2022_2"/>
    <s v="0012"/>
    <m/>
    <m/>
    <m/>
    <m/>
    <m/>
  </r>
  <r>
    <s v="COMBUSTIVEIS"/>
    <x v="9"/>
    <x v="10"/>
    <n v="382320.66"/>
    <s v="0000000127"/>
    <s v="0835"/>
    <d v="2022-03-01T00:00:00"/>
    <s v="320301001"/>
    <s v="304"/>
    <s v="11"/>
    <s v="Credito"/>
    <x v="2"/>
    <x v="216"/>
    <m/>
    <s v="000252"/>
    <s v="000132"/>
    <n v="382320.66"/>
    <s v="0,00"/>
    <s v="0,00"/>
    <s v="0,00"/>
    <s v="0,00"/>
    <s v="ORC2022_2"/>
    <s v="0012"/>
    <m/>
    <m/>
    <m/>
    <m/>
    <m/>
  </r>
  <r>
    <s v="COMBUSTIVEIS"/>
    <x v="9"/>
    <x v="10"/>
    <n v="6434.02"/>
    <s v="0000000127"/>
    <s v="0836"/>
    <d v="2022-03-01T00:00:00"/>
    <s v="320301001"/>
    <s v="301"/>
    <s v="90"/>
    <s v="Credito"/>
    <x v="2"/>
    <x v="216"/>
    <m/>
    <s v="000252"/>
    <s v="000132"/>
    <n v="6434.02"/>
    <s v="0,00"/>
    <s v="0,00"/>
    <s v="0,00"/>
    <s v="0,00"/>
    <s v="ORC2022_2"/>
    <s v="0012"/>
    <m/>
    <m/>
    <m/>
    <m/>
    <m/>
  </r>
  <r>
    <s v="COMBUSTIVEIS"/>
    <x v="9"/>
    <x v="11"/>
    <n v="183775.17"/>
    <s v="0000000127"/>
    <s v="0837"/>
    <d v="2022-04-01T00:00:00"/>
    <s v="320301001"/>
    <s v="304"/>
    <s v="11"/>
    <s v="Credito"/>
    <x v="2"/>
    <x v="216"/>
    <m/>
    <s v="000252"/>
    <s v="000132"/>
    <n v="183775.17"/>
    <s v="0,00"/>
    <s v="0,00"/>
    <s v="0,00"/>
    <s v="0,00"/>
    <s v="ORC2022_2"/>
    <s v="0012"/>
    <m/>
    <m/>
    <m/>
    <m/>
    <m/>
  </r>
  <r>
    <s v="COMBUSTIVEIS"/>
    <x v="9"/>
    <x v="11"/>
    <n v="1642.14"/>
    <s v="0000000127"/>
    <s v="0838"/>
    <d v="2022-04-01T00:00:00"/>
    <s v="320301001"/>
    <s v="303"/>
    <s v="21"/>
    <s v="Credito"/>
    <x v="2"/>
    <x v="216"/>
    <m/>
    <s v="000252"/>
    <s v="000132"/>
    <n v="1642.14"/>
    <s v="0,00"/>
    <s v="0,00"/>
    <s v="0,00"/>
    <s v="0,00"/>
    <s v="ORC2022_2"/>
    <s v="0012"/>
    <m/>
    <m/>
    <m/>
    <m/>
    <m/>
  </r>
  <r>
    <s v="COMBUSTIVEIS"/>
    <x v="9"/>
    <x v="11"/>
    <n v="269545.64"/>
    <s v="0000000127"/>
    <s v="0839"/>
    <d v="2022-04-01T00:00:00"/>
    <s v="320301001"/>
    <s v="305"/>
    <s v="21"/>
    <s v="Credito"/>
    <x v="2"/>
    <x v="216"/>
    <m/>
    <s v="000252"/>
    <s v="000132"/>
    <n v="269545.64"/>
    <s v="0,00"/>
    <s v="0,00"/>
    <s v="0,00"/>
    <s v="0,00"/>
    <s v="ORC2022_2"/>
    <s v="0012"/>
    <m/>
    <m/>
    <m/>
    <m/>
    <m/>
  </r>
  <r>
    <s v="COMBUSTIVEIS"/>
    <x v="9"/>
    <x v="11"/>
    <n v="15416.59"/>
    <s v="0000000127"/>
    <s v="0840"/>
    <d v="2022-04-01T00:00:00"/>
    <s v="320301001"/>
    <s v="305"/>
    <s v="31"/>
    <s v="Credito"/>
    <x v="2"/>
    <x v="216"/>
    <m/>
    <s v="000252"/>
    <s v="000132"/>
    <n v="15416.59"/>
    <s v="0,00"/>
    <s v="0,00"/>
    <s v="0,00"/>
    <s v="0,00"/>
    <s v="ORC2022_2"/>
    <s v="0012"/>
    <m/>
    <m/>
    <m/>
    <m/>
    <m/>
  </r>
  <r>
    <s v="COMBUSTIVEIS"/>
    <x v="9"/>
    <x v="11"/>
    <n v="9421.4699999999993"/>
    <s v="0000000127"/>
    <s v="0841"/>
    <d v="2022-04-01T00:00:00"/>
    <s v="320301001"/>
    <s v="301"/>
    <s v="90"/>
    <s v="Credito"/>
    <x v="2"/>
    <x v="216"/>
    <m/>
    <s v="000252"/>
    <s v="000132"/>
    <n v="9421.4699999999993"/>
    <s v="0,00"/>
    <s v="0,00"/>
    <s v="0,00"/>
    <s v="0,00"/>
    <s v="ORC2022_2"/>
    <s v="0012"/>
    <m/>
    <m/>
    <m/>
    <m/>
    <m/>
  </r>
  <r>
    <s v="COMBUSTIVEIS"/>
    <x v="9"/>
    <x v="12"/>
    <n v="311019.5"/>
    <s v="0000000127"/>
    <s v="0842"/>
    <d v="2022-05-01T00:00:00"/>
    <s v="320301001"/>
    <s v="304"/>
    <s v="11"/>
    <s v="Credito"/>
    <x v="2"/>
    <x v="216"/>
    <m/>
    <s v="000252"/>
    <s v="000132"/>
    <n v="311019.5"/>
    <s v="0,00"/>
    <s v="0,00"/>
    <s v="0,00"/>
    <s v="0,00"/>
    <s v="ORC2022_2"/>
    <s v="0012"/>
    <m/>
    <m/>
    <m/>
    <m/>
    <m/>
  </r>
  <r>
    <s v="COMBUSTIVEIS"/>
    <x v="9"/>
    <x v="12"/>
    <n v="244647.54"/>
    <s v="0000000127"/>
    <s v="0843"/>
    <d v="2022-05-01T00:00:00"/>
    <s v="320301001"/>
    <s v="305"/>
    <s v="21"/>
    <s v="Credito"/>
    <x v="2"/>
    <x v="216"/>
    <m/>
    <s v="000252"/>
    <s v="000132"/>
    <n v="244647.54"/>
    <s v="0,00"/>
    <s v="0,00"/>
    <s v="0,00"/>
    <s v="0,00"/>
    <s v="ORC2022_2"/>
    <s v="0012"/>
    <m/>
    <m/>
    <m/>
    <m/>
    <m/>
  </r>
  <r>
    <s v="COMBUSTIVEIS"/>
    <x v="9"/>
    <x v="12"/>
    <n v="59040.02"/>
    <s v="0000000127"/>
    <s v="0844"/>
    <d v="2022-05-01T00:00:00"/>
    <s v="320301001"/>
    <s v="305"/>
    <s v="31"/>
    <s v="Credito"/>
    <x v="2"/>
    <x v="216"/>
    <m/>
    <s v="000252"/>
    <s v="000132"/>
    <n v="59040.02"/>
    <s v="0,00"/>
    <s v="0,00"/>
    <s v="0,00"/>
    <s v="0,00"/>
    <s v="ORC2022_2"/>
    <s v="0012"/>
    <m/>
    <m/>
    <m/>
    <m/>
    <m/>
  </r>
  <r>
    <s v="COMBUSTIVEIS"/>
    <x v="9"/>
    <x v="12"/>
    <n v="24895.4"/>
    <s v="0000000127"/>
    <s v="0845"/>
    <d v="2022-05-01T00:00:00"/>
    <s v="320301001"/>
    <s v="306"/>
    <s v="33"/>
    <s v="Credito"/>
    <x v="2"/>
    <x v="216"/>
    <m/>
    <s v="000252"/>
    <s v="000132"/>
    <n v="24895.4"/>
    <s v="0,00"/>
    <s v="0,00"/>
    <s v="0,00"/>
    <s v="0,00"/>
    <s v="ORC2022_2"/>
    <s v="0012"/>
    <m/>
    <m/>
    <m/>
    <m/>
    <m/>
  </r>
  <r>
    <s v="COMBUSTIVEIS"/>
    <x v="9"/>
    <x v="12"/>
    <n v="21373.19"/>
    <s v="0000000127"/>
    <s v="0846"/>
    <d v="2022-05-01T00:00:00"/>
    <s v="320301001"/>
    <s v="301"/>
    <s v="90"/>
    <s v="Credito"/>
    <x v="2"/>
    <x v="216"/>
    <m/>
    <s v="000252"/>
    <s v="000132"/>
    <n v="21373.19"/>
    <s v="0,00"/>
    <s v="0,00"/>
    <s v="0,00"/>
    <s v="0,00"/>
    <s v="ORC2022_2"/>
    <s v="0012"/>
    <m/>
    <m/>
    <m/>
    <m/>
    <m/>
  </r>
  <r>
    <s v="COMBUSTIVEIS"/>
    <x v="9"/>
    <x v="12"/>
    <n v="58282.04"/>
    <s v="0000000127"/>
    <s v="0847"/>
    <d v="2022-05-01T00:00:00"/>
    <s v="320301001"/>
    <s v="305"/>
    <s v="90"/>
    <s v="Credito"/>
    <x v="2"/>
    <x v="216"/>
    <m/>
    <s v="000252"/>
    <s v="000132"/>
    <n v="58282.04"/>
    <s v="0,00"/>
    <s v="0,00"/>
    <s v="0,00"/>
    <s v="0,00"/>
    <s v="ORC2022_2"/>
    <s v="0012"/>
    <m/>
    <m/>
    <m/>
    <m/>
    <m/>
  </r>
  <r>
    <s v="COMBUSTIVEIS"/>
    <x v="9"/>
    <x v="13"/>
    <n v="329313.62"/>
    <s v="0000000127"/>
    <s v="0848"/>
    <d v="2022-06-01T00:00:00"/>
    <s v="320301001"/>
    <s v="304"/>
    <s v="11"/>
    <s v="Credito"/>
    <x v="2"/>
    <x v="216"/>
    <m/>
    <s v="000252"/>
    <s v="000132"/>
    <n v="329313.62"/>
    <s v="0,00"/>
    <s v="0,00"/>
    <s v="0,00"/>
    <s v="0,00"/>
    <s v="ORC2022_2"/>
    <s v="0012"/>
    <m/>
    <m/>
    <m/>
    <m/>
    <m/>
  </r>
  <r>
    <s v="COMBUSTIVEIS"/>
    <x v="9"/>
    <x v="13"/>
    <n v="11818.19"/>
    <s v="0000000127"/>
    <s v="0849"/>
    <d v="2022-06-01T00:00:00"/>
    <s v="320301001"/>
    <s v="305"/>
    <s v="11"/>
    <s v="Credito"/>
    <x v="2"/>
    <x v="216"/>
    <m/>
    <s v="000252"/>
    <s v="000132"/>
    <n v="11818.19"/>
    <s v="0,00"/>
    <s v="0,00"/>
    <s v="0,00"/>
    <s v="0,00"/>
    <s v="ORC2022_2"/>
    <s v="0012"/>
    <m/>
    <m/>
    <m/>
    <m/>
    <m/>
  </r>
  <r>
    <s v="COMBUSTIVEIS"/>
    <x v="9"/>
    <x v="13"/>
    <n v="1447.55"/>
    <s v="0000000127"/>
    <s v="0850"/>
    <d v="2022-06-01T00:00:00"/>
    <s v="320301001"/>
    <s v="303"/>
    <s v="21"/>
    <s v="Credito"/>
    <x v="2"/>
    <x v="216"/>
    <m/>
    <s v="000252"/>
    <s v="000132"/>
    <n v="1447.55"/>
    <s v="0,00"/>
    <s v="0,00"/>
    <s v="0,00"/>
    <s v="0,00"/>
    <s v="ORC2022_2"/>
    <s v="0012"/>
    <m/>
    <m/>
    <m/>
    <m/>
    <m/>
  </r>
  <r>
    <s v="COMBUSTIVEIS"/>
    <x v="9"/>
    <x v="13"/>
    <n v="237365.36"/>
    <s v="0000000127"/>
    <s v="0851"/>
    <d v="2022-06-01T00:00:00"/>
    <s v="320301001"/>
    <s v="305"/>
    <s v="21"/>
    <s v="Credito"/>
    <x v="2"/>
    <x v="216"/>
    <m/>
    <s v="000252"/>
    <s v="000132"/>
    <n v="237365.36"/>
    <s v="0,00"/>
    <s v="0,00"/>
    <s v="0,00"/>
    <s v="0,00"/>
    <s v="ORC2022_2"/>
    <s v="0012"/>
    <m/>
    <m/>
    <m/>
    <m/>
    <m/>
  </r>
  <r>
    <s v="COMBUSTIVEIS"/>
    <x v="9"/>
    <x v="13"/>
    <n v="74762.850000000006"/>
    <s v="0000000127"/>
    <s v="0852"/>
    <d v="2022-06-01T00:00:00"/>
    <s v="320301001"/>
    <s v="305"/>
    <s v="31"/>
    <s v="Credito"/>
    <x v="2"/>
    <x v="216"/>
    <m/>
    <s v="000252"/>
    <s v="000132"/>
    <n v="74762.850000000006"/>
    <s v="0,00"/>
    <s v="0,00"/>
    <s v="0,00"/>
    <s v="0,00"/>
    <s v="ORC2022_2"/>
    <s v="0012"/>
    <m/>
    <m/>
    <m/>
    <m/>
    <m/>
  </r>
  <r>
    <s v="COMBUSTIVEIS"/>
    <x v="9"/>
    <x v="13"/>
    <n v="76470.75"/>
    <s v="0000000127"/>
    <s v="0853"/>
    <d v="2022-06-01T00:00:00"/>
    <s v="320301001"/>
    <s v="306"/>
    <s v="33"/>
    <s v="Credito"/>
    <x v="2"/>
    <x v="216"/>
    <m/>
    <s v="000252"/>
    <s v="000132"/>
    <n v="76470.75"/>
    <s v="0,00"/>
    <s v="0,00"/>
    <s v="0,00"/>
    <s v="0,00"/>
    <s v="ORC2022_2"/>
    <s v="0012"/>
    <m/>
    <m/>
    <m/>
    <m/>
    <m/>
  </r>
  <r>
    <s v="COMBUSTIVEIS"/>
    <x v="9"/>
    <x v="13"/>
    <n v="22349.14"/>
    <s v="0000000127"/>
    <s v="0854"/>
    <d v="2022-06-01T00:00:00"/>
    <s v="320301001"/>
    <s v="301"/>
    <s v="90"/>
    <s v="Credito"/>
    <x v="2"/>
    <x v="216"/>
    <m/>
    <s v="000252"/>
    <s v="000132"/>
    <n v="22349.14"/>
    <s v="0,00"/>
    <s v="0,00"/>
    <s v="0,00"/>
    <s v="0,00"/>
    <s v="ORC2022_2"/>
    <s v="0012"/>
    <m/>
    <m/>
    <m/>
    <m/>
    <m/>
  </r>
  <r>
    <s v="COMBUSTIVEIS"/>
    <x v="9"/>
    <x v="14"/>
    <n v="425364.08"/>
    <s v="0000000127"/>
    <s v="0855"/>
    <d v="2022-07-01T00:00:00"/>
    <s v="320301001"/>
    <s v="304"/>
    <s v="11"/>
    <s v="Credito"/>
    <x v="2"/>
    <x v="216"/>
    <m/>
    <s v="000252"/>
    <s v="000132"/>
    <n v="425364.08"/>
    <s v="0,00"/>
    <s v="0,00"/>
    <s v="0,00"/>
    <s v="0,00"/>
    <s v="ORC2022_2"/>
    <s v="0012"/>
    <m/>
    <m/>
    <m/>
    <m/>
    <m/>
  </r>
  <r>
    <s v="COMBUSTIVEIS"/>
    <x v="9"/>
    <x v="14"/>
    <n v="188.7"/>
    <s v="0000000127"/>
    <s v="0856"/>
    <d v="2022-07-01T00:00:00"/>
    <s v="320301001"/>
    <s v="303"/>
    <s v="21"/>
    <s v="Credito"/>
    <x v="2"/>
    <x v="216"/>
    <m/>
    <s v="000252"/>
    <s v="000132"/>
    <n v="188.7"/>
    <s v="0,00"/>
    <s v="0,00"/>
    <s v="0,00"/>
    <s v="0,00"/>
    <s v="ORC2022_2"/>
    <s v="0012"/>
    <m/>
    <m/>
    <m/>
    <m/>
    <m/>
  </r>
  <r>
    <s v="COMBUSTIVEIS"/>
    <x v="9"/>
    <x v="14"/>
    <n v="346.71"/>
    <s v="0000000127"/>
    <s v="0857"/>
    <d v="2022-07-01T00:00:00"/>
    <s v="320301001"/>
    <s v="304"/>
    <s v="21"/>
    <s v="Credito"/>
    <x v="2"/>
    <x v="216"/>
    <m/>
    <s v="000252"/>
    <s v="000132"/>
    <n v="346.71"/>
    <s v="0,00"/>
    <s v="0,00"/>
    <s v="0,00"/>
    <s v="0,00"/>
    <s v="ORC2022_2"/>
    <s v="0012"/>
    <m/>
    <m/>
    <m/>
    <m/>
    <m/>
  </r>
  <r>
    <s v="COMBUSTIVEIS"/>
    <x v="9"/>
    <x v="14"/>
    <n v="264892.28999999998"/>
    <s v="0000000127"/>
    <s v="0858"/>
    <d v="2022-07-01T00:00:00"/>
    <s v="320301001"/>
    <s v="305"/>
    <s v="21"/>
    <s v="Credito"/>
    <x v="2"/>
    <x v="216"/>
    <m/>
    <s v="000252"/>
    <s v="000132"/>
    <n v="264892.28999999998"/>
    <s v="0,00"/>
    <s v="0,00"/>
    <s v="0,00"/>
    <s v="0,00"/>
    <s v="ORC2022_2"/>
    <s v="0012"/>
    <m/>
    <m/>
    <m/>
    <m/>
    <m/>
  </r>
  <r>
    <s v="COMBUSTIVEIS"/>
    <x v="9"/>
    <x v="14"/>
    <n v="70406.27"/>
    <s v="0000000127"/>
    <s v="0859"/>
    <d v="2022-07-01T00:00:00"/>
    <s v="320301001"/>
    <s v="305"/>
    <s v="31"/>
    <s v="Credito"/>
    <x v="2"/>
    <x v="216"/>
    <m/>
    <s v="000252"/>
    <s v="000132"/>
    <n v="70406.27"/>
    <s v="0,00"/>
    <s v="0,00"/>
    <s v="0,00"/>
    <s v="0,00"/>
    <s v="ORC2022_2"/>
    <s v="0012"/>
    <m/>
    <m/>
    <m/>
    <m/>
    <m/>
  </r>
  <r>
    <s v="COMBUSTIVEIS"/>
    <x v="9"/>
    <x v="14"/>
    <n v="62539.06"/>
    <s v="0000000127"/>
    <s v="0860"/>
    <d v="2022-07-01T00:00:00"/>
    <s v="320301001"/>
    <s v="306"/>
    <s v="33"/>
    <s v="Credito"/>
    <x v="2"/>
    <x v="216"/>
    <m/>
    <s v="000252"/>
    <s v="000132"/>
    <n v="62539.06"/>
    <s v="0,00"/>
    <s v="0,00"/>
    <s v="0,00"/>
    <s v="0,00"/>
    <s v="ORC2022_2"/>
    <s v="0012"/>
    <m/>
    <m/>
    <m/>
    <m/>
    <m/>
  </r>
  <r>
    <s v="COMBUSTIVEIS"/>
    <x v="9"/>
    <x v="14"/>
    <n v="24875.66"/>
    <s v="0000000127"/>
    <s v="0861"/>
    <d v="2022-07-01T00:00:00"/>
    <s v="320301001"/>
    <s v="301"/>
    <s v="90"/>
    <s v="Credito"/>
    <x v="2"/>
    <x v="216"/>
    <m/>
    <s v="000252"/>
    <s v="000132"/>
    <n v="24875.66"/>
    <s v="0,00"/>
    <s v="0,00"/>
    <s v="0,00"/>
    <s v="0,00"/>
    <s v="ORC2022_2"/>
    <s v="0012"/>
    <m/>
    <m/>
    <m/>
    <m/>
    <m/>
  </r>
  <r>
    <s v="COMBUSTIVEIS"/>
    <x v="9"/>
    <x v="15"/>
    <n v="367613.16"/>
    <s v="0000000127"/>
    <s v="0862"/>
    <d v="2022-08-01T00:00:00"/>
    <s v="320301001"/>
    <s v="304"/>
    <s v="11"/>
    <s v="Credito"/>
    <x v="2"/>
    <x v="216"/>
    <m/>
    <s v="000252"/>
    <s v="000132"/>
    <n v="367613.16"/>
    <s v="0,00"/>
    <s v="0,00"/>
    <s v="0,00"/>
    <s v="0,00"/>
    <s v="ORC2022_2"/>
    <s v="0012"/>
    <m/>
    <m/>
    <m/>
    <m/>
    <m/>
  </r>
  <r>
    <s v="COMBUSTIVEIS"/>
    <x v="9"/>
    <x v="15"/>
    <n v="752.99"/>
    <s v="0000000127"/>
    <s v="0863"/>
    <d v="2022-08-01T00:00:00"/>
    <s v="320301001"/>
    <s v="305"/>
    <s v="11"/>
    <s v="Credito"/>
    <x v="2"/>
    <x v="216"/>
    <m/>
    <s v="000252"/>
    <s v="000132"/>
    <n v="752.99"/>
    <s v="0,00"/>
    <s v="0,00"/>
    <s v="0,00"/>
    <s v="0,00"/>
    <s v="ORC2022_2"/>
    <s v="0012"/>
    <m/>
    <m/>
    <m/>
    <m/>
    <m/>
  </r>
  <r>
    <s v="COMBUSTIVEIS"/>
    <x v="9"/>
    <x v="15"/>
    <n v="870.02"/>
    <s v="0000000127"/>
    <s v="0864"/>
    <d v="2022-08-01T00:00:00"/>
    <s v="320301001"/>
    <s v="303"/>
    <s v="21"/>
    <s v="Credito"/>
    <x v="2"/>
    <x v="216"/>
    <m/>
    <s v="000252"/>
    <s v="000132"/>
    <n v="870.02"/>
    <s v="0,00"/>
    <s v="0,00"/>
    <s v="0,00"/>
    <s v="0,00"/>
    <s v="ORC2022_2"/>
    <s v="0012"/>
    <m/>
    <m/>
    <m/>
    <m/>
    <m/>
  </r>
  <r>
    <s v="COMBUSTIVEIS"/>
    <x v="9"/>
    <x v="15"/>
    <n v="272348.98"/>
    <s v="0000000127"/>
    <s v="0865"/>
    <d v="2022-08-01T00:00:00"/>
    <s v="320301001"/>
    <s v="305"/>
    <s v="21"/>
    <s v="Credito"/>
    <x v="2"/>
    <x v="216"/>
    <m/>
    <s v="000252"/>
    <s v="000132"/>
    <n v="272348.98"/>
    <s v="0,00"/>
    <s v="0,00"/>
    <s v="0,00"/>
    <s v="0,00"/>
    <s v="ORC2022_2"/>
    <s v="0012"/>
    <m/>
    <m/>
    <m/>
    <m/>
    <m/>
  </r>
  <r>
    <s v="COMBUSTIVEIS"/>
    <x v="9"/>
    <x v="15"/>
    <n v="61448.24"/>
    <s v="0000000127"/>
    <s v="0866"/>
    <d v="2022-08-01T00:00:00"/>
    <s v="320301001"/>
    <s v="305"/>
    <s v="31"/>
    <s v="Credito"/>
    <x v="2"/>
    <x v="216"/>
    <m/>
    <s v="000252"/>
    <s v="000132"/>
    <n v="61448.24"/>
    <s v="0,00"/>
    <s v="0,00"/>
    <s v="0,00"/>
    <s v="0,00"/>
    <s v="ORC2022_2"/>
    <s v="0012"/>
    <m/>
    <m/>
    <m/>
    <m/>
    <m/>
  </r>
  <r>
    <s v="COMBUSTIVEIS"/>
    <x v="9"/>
    <x v="15"/>
    <n v="22138.47"/>
    <s v="0000000127"/>
    <s v="0867"/>
    <d v="2022-08-01T00:00:00"/>
    <s v="320301001"/>
    <s v="306"/>
    <s v="33"/>
    <s v="Credito"/>
    <x v="2"/>
    <x v="216"/>
    <m/>
    <s v="000252"/>
    <s v="000132"/>
    <n v="22138.47"/>
    <s v="0,00"/>
    <s v="0,00"/>
    <s v="0,00"/>
    <s v="0,00"/>
    <s v="ORC2022_2"/>
    <s v="0012"/>
    <m/>
    <m/>
    <m/>
    <m/>
    <m/>
  </r>
  <r>
    <s v="COMBUSTIVEIS"/>
    <x v="9"/>
    <x v="15"/>
    <n v="4877.67"/>
    <s v="0000000127"/>
    <s v="0868"/>
    <d v="2022-08-01T00:00:00"/>
    <s v="320301001"/>
    <s v="301"/>
    <s v="90"/>
    <s v="Credito"/>
    <x v="2"/>
    <x v="216"/>
    <m/>
    <s v="000252"/>
    <s v="000132"/>
    <n v="4877.67"/>
    <s v="0,00"/>
    <s v="0,00"/>
    <s v="0,00"/>
    <s v="0,00"/>
    <s v="ORC2022_2"/>
    <s v="0012"/>
    <m/>
    <m/>
    <m/>
    <m/>
    <m/>
  </r>
  <r>
    <s v="COMBUSTIVEIS"/>
    <x v="9"/>
    <x v="16"/>
    <n v="413023.2"/>
    <s v="0000000127"/>
    <s v="0869"/>
    <d v="2022-09-01T00:00:00"/>
    <s v="320301001"/>
    <s v="304"/>
    <s v="11"/>
    <s v="Credito"/>
    <x v="2"/>
    <x v="216"/>
    <m/>
    <s v="000252"/>
    <s v="000132"/>
    <n v="413023.2"/>
    <s v="0,00"/>
    <s v="0,00"/>
    <s v="0,00"/>
    <s v="0,00"/>
    <s v="ORC2022_2"/>
    <s v="0012"/>
    <m/>
    <m/>
    <m/>
    <m/>
    <m/>
  </r>
  <r>
    <s v="COMBUSTIVEIS"/>
    <x v="9"/>
    <x v="16"/>
    <n v="1599.44"/>
    <s v="0000000127"/>
    <s v="0870"/>
    <d v="2022-09-01T00:00:00"/>
    <s v="320301001"/>
    <s v="303"/>
    <s v="21"/>
    <s v="Credito"/>
    <x v="2"/>
    <x v="216"/>
    <m/>
    <s v="000252"/>
    <s v="000132"/>
    <n v="1599.44"/>
    <s v="0,00"/>
    <s v="0,00"/>
    <s v="0,00"/>
    <s v="0,00"/>
    <s v="ORC2022_2"/>
    <s v="0012"/>
    <m/>
    <m/>
    <m/>
    <m/>
    <m/>
  </r>
  <r>
    <s v="COMBUSTIVEIS"/>
    <x v="9"/>
    <x v="16"/>
    <n v="361016.63"/>
    <s v="0000000127"/>
    <s v="0871"/>
    <d v="2022-09-01T00:00:00"/>
    <s v="320301001"/>
    <s v="305"/>
    <s v="21"/>
    <s v="Credito"/>
    <x v="2"/>
    <x v="216"/>
    <m/>
    <s v="000252"/>
    <s v="000132"/>
    <n v="361016.63"/>
    <s v="0,00"/>
    <s v="0,00"/>
    <s v="0,00"/>
    <s v="0,00"/>
    <s v="ORC2022_2"/>
    <s v="0012"/>
    <m/>
    <m/>
    <m/>
    <m/>
    <m/>
  </r>
  <r>
    <s v="COMBUSTIVEIS"/>
    <x v="9"/>
    <x v="16"/>
    <n v="64549.19"/>
    <s v="0000000127"/>
    <s v="0872"/>
    <d v="2022-09-01T00:00:00"/>
    <s v="320301001"/>
    <s v="305"/>
    <s v="31"/>
    <s v="Credito"/>
    <x v="2"/>
    <x v="216"/>
    <m/>
    <s v="000252"/>
    <s v="000132"/>
    <n v="64549.19"/>
    <s v="0,00"/>
    <s v="0,00"/>
    <s v="0,00"/>
    <s v="0,00"/>
    <s v="ORC2022_2"/>
    <s v="0012"/>
    <m/>
    <m/>
    <m/>
    <m/>
    <m/>
  </r>
  <r>
    <s v="COMBUSTIVEIS"/>
    <x v="9"/>
    <x v="16"/>
    <n v="35255.68"/>
    <s v="0000000127"/>
    <s v="0873"/>
    <d v="2022-09-01T00:00:00"/>
    <s v="320301001"/>
    <s v="306"/>
    <s v="33"/>
    <s v="Credito"/>
    <x v="2"/>
    <x v="216"/>
    <m/>
    <s v="000252"/>
    <s v="000132"/>
    <n v="35255.68"/>
    <s v="0,00"/>
    <s v="0,00"/>
    <s v="0,00"/>
    <s v="0,00"/>
    <s v="ORC2022_2"/>
    <s v="0012"/>
    <m/>
    <m/>
    <m/>
    <m/>
    <m/>
  </r>
  <r>
    <s v="COMBUSTIVEIS"/>
    <x v="9"/>
    <x v="16"/>
    <n v="5825.62"/>
    <s v="0000000127"/>
    <s v="0874"/>
    <d v="2022-09-01T00:00:00"/>
    <s v="320301001"/>
    <s v="301"/>
    <s v="90"/>
    <s v="Credito"/>
    <x v="2"/>
    <x v="216"/>
    <m/>
    <s v="000252"/>
    <s v="000132"/>
    <n v="5825.62"/>
    <s v="0,00"/>
    <s v="0,00"/>
    <s v="0,00"/>
    <s v="0,00"/>
    <s v="ORC2022_2"/>
    <s v="0012"/>
    <m/>
    <m/>
    <m/>
    <m/>
    <m/>
  </r>
  <r>
    <s v="COMBUSTIVEIS"/>
    <x v="9"/>
    <x v="17"/>
    <n v="417153.43"/>
    <s v="0000000127"/>
    <s v="0875"/>
    <d v="2022-10-01T00:00:00"/>
    <s v="320301001"/>
    <s v="304"/>
    <s v="11"/>
    <s v="Credito"/>
    <x v="2"/>
    <x v="216"/>
    <m/>
    <s v="000252"/>
    <s v="000132"/>
    <n v="417153.43"/>
    <s v="0,00"/>
    <s v="0,00"/>
    <s v="0,00"/>
    <s v="0,00"/>
    <s v="ORC2022_2"/>
    <s v="0012"/>
    <m/>
    <m/>
    <m/>
    <m/>
    <m/>
  </r>
  <r>
    <s v="COMBUSTIVEIS"/>
    <x v="9"/>
    <x v="17"/>
    <n v="1615.43"/>
    <s v="0000000127"/>
    <s v="0876"/>
    <d v="2022-10-01T00:00:00"/>
    <s v="320301001"/>
    <s v="303"/>
    <s v="21"/>
    <s v="Credito"/>
    <x v="2"/>
    <x v="216"/>
    <m/>
    <s v="000252"/>
    <s v="000132"/>
    <n v="1615.43"/>
    <s v="0,00"/>
    <s v="0,00"/>
    <s v="0,00"/>
    <s v="0,00"/>
    <s v="ORC2022_2"/>
    <s v="0012"/>
    <m/>
    <m/>
    <m/>
    <m/>
    <m/>
  </r>
  <r>
    <s v="COMBUSTIVEIS"/>
    <x v="9"/>
    <x v="17"/>
    <n v="364626.8"/>
    <s v="0000000127"/>
    <s v="0877"/>
    <d v="2022-10-01T00:00:00"/>
    <s v="320301001"/>
    <s v="305"/>
    <s v="21"/>
    <s v="Credito"/>
    <x v="2"/>
    <x v="216"/>
    <m/>
    <s v="000252"/>
    <s v="000132"/>
    <n v="364626.8"/>
    <s v="0,00"/>
    <s v="0,00"/>
    <s v="0,00"/>
    <s v="0,00"/>
    <s v="ORC2022_2"/>
    <s v="0012"/>
    <m/>
    <m/>
    <m/>
    <m/>
    <m/>
  </r>
  <r>
    <s v="COMBUSTIVEIS"/>
    <x v="9"/>
    <x v="17"/>
    <n v="65194.68"/>
    <s v="0000000127"/>
    <s v="0878"/>
    <d v="2022-10-01T00:00:00"/>
    <s v="320301001"/>
    <s v="305"/>
    <s v="31"/>
    <s v="Credito"/>
    <x v="2"/>
    <x v="216"/>
    <m/>
    <s v="000252"/>
    <s v="000132"/>
    <n v="65194.68"/>
    <s v="0,00"/>
    <s v="0,00"/>
    <s v="0,00"/>
    <s v="0,00"/>
    <s v="ORC2022_2"/>
    <s v="0012"/>
    <m/>
    <m/>
    <m/>
    <m/>
    <m/>
  </r>
  <r>
    <s v="COMBUSTIVEIS"/>
    <x v="9"/>
    <x v="17"/>
    <n v="35608.239999999998"/>
    <s v="0000000127"/>
    <s v="0879"/>
    <d v="2022-10-01T00:00:00"/>
    <s v="320301001"/>
    <s v="306"/>
    <s v="33"/>
    <s v="Credito"/>
    <x v="2"/>
    <x v="216"/>
    <m/>
    <s v="000252"/>
    <s v="000132"/>
    <n v="35608.239999999998"/>
    <s v="0,00"/>
    <s v="0,00"/>
    <s v="0,00"/>
    <s v="0,00"/>
    <s v="ORC2022_2"/>
    <s v="0012"/>
    <m/>
    <m/>
    <m/>
    <m/>
    <m/>
  </r>
  <r>
    <s v="COMBUSTIVEIS"/>
    <x v="9"/>
    <x v="17"/>
    <n v="5883.88"/>
    <s v="0000000127"/>
    <s v="0880"/>
    <d v="2022-10-01T00:00:00"/>
    <s v="320301001"/>
    <s v="301"/>
    <s v="90"/>
    <s v="Credito"/>
    <x v="2"/>
    <x v="216"/>
    <m/>
    <s v="000252"/>
    <s v="000132"/>
    <n v="5883.88"/>
    <s v="0,00"/>
    <s v="0,00"/>
    <s v="0,00"/>
    <s v="0,00"/>
    <s v="ORC2022_2"/>
    <s v="0012"/>
    <m/>
    <m/>
    <m/>
    <m/>
    <m/>
  </r>
  <r>
    <s v="COMBUSTIVEIS"/>
    <x v="9"/>
    <x v="0"/>
    <n v="421324.97"/>
    <s v="0000000127"/>
    <s v="0881"/>
    <d v="2022-11-01T00:00:00"/>
    <s v="320301001"/>
    <s v="304"/>
    <s v="11"/>
    <s v="Credito"/>
    <x v="2"/>
    <x v="216"/>
    <m/>
    <s v="000252"/>
    <s v="000132"/>
    <n v="421324.97"/>
    <s v="0,00"/>
    <s v="0,00"/>
    <s v="0,00"/>
    <s v="0,00"/>
    <s v="ORC2022_2"/>
    <s v="0012"/>
    <m/>
    <m/>
    <m/>
    <m/>
    <m/>
  </r>
  <r>
    <s v="COMBUSTIVEIS"/>
    <x v="9"/>
    <x v="0"/>
    <n v="1631.59"/>
    <s v="0000000127"/>
    <s v="0882"/>
    <d v="2022-11-01T00:00:00"/>
    <s v="320301001"/>
    <s v="303"/>
    <s v="21"/>
    <s v="Credito"/>
    <x v="2"/>
    <x v="216"/>
    <m/>
    <s v="000252"/>
    <s v="000132"/>
    <n v="1631.59"/>
    <s v="0,00"/>
    <s v="0,00"/>
    <s v="0,00"/>
    <s v="0,00"/>
    <s v="ORC2022_2"/>
    <s v="0012"/>
    <m/>
    <m/>
    <m/>
    <m/>
    <m/>
  </r>
  <r>
    <s v="COMBUSTIVEIS"/>
    <x v="9"/>
    <x v="0"/>
    <n v="368273.06"/>
    <s v="0000000127"/>
    <s v="0883"/>
    <d v="2022-11-01T00:00:00"/>
    <s v="320301001"/>
    <s v="305"/>
    <s v="21"/>
    <s v="Credito"/>
    <x v="2"/>
    <x v="216"/>
    <m/>
    <s v="000252"/>
    <s v="000132"/>
    <n v="368273.06"/>
    <s v="0,00"/>
    <s v="0,00"/>
    <s v="0,00"/>
    <s v="0,00"/>
    <s v="ORC2022_2"/>
    <s v="0012"/>
    <m/>
    <m/>
    <m/>
    <m/>
    <m/>
  </r>
  <r>
    <s v="COMBUSTIVEIS"/>
    <x v="9"/>
    <x v="0"/>
    <n v="65846.63"/>
    <s v="0000000127"/>
    <s v="0884"/>
    <d v="2022-11-01T00:00:00"/>
    <s v="320301001"/>
    <s v="305"/>
    <s v="31"/>
    <s v="Credito"/>
    <x v="2"/>
    <x v="216"/>
    <m/>
    <s v="000252"/>
    <s v="000132"/>
    <n v="65846.63"/>
    <s v="0,00"/>
    <s v="0,00"/>
    <s v="0,00"/>
    <s v="0,00"/>
    <s v="ORC2022_2"/>
    <s v="0012"/>
    <m/>
    <m/>
    <m/>
    <m/>
    <m/>
  </r>
  <r>
    <s v="COMBUSTIVEIS"/>
    <x v="9"/>
    <x v="0"/>
    <n v="35964.32"/>
    <s v="0000000127"/>
    <s v="0885"/>
    <d v="2022-11-01T00:00:00"/>
    <s v="320301001"/>
    <s v="306"/>
    <s v="33"/>
    <s v="Credito"/>
    <x v="2"/>
    <x v="216"/>
    <m/>
    <s v="000252"/>
    <s v="000132"/>
    <n v="35964.32"/>
    <s v="0,00"/>
    <s v="0,00"/>
    <s v="0,00"/>
    <s v="0,00"/>
    <s v="ORC2022_2"/>
    <s v="0012"/>
    <m/>
    <m/>
    <m/>
    <m/>
    <m/>
  </r>
  <r>
    <s v="COMBUSTIVEIS"/>
    <x v="9"/>
    <x v="0"/>
    <n v="5942.71"/>
    <s v="0000000127"/>
    <s v="0886"/>
    <d v="2022-11-01T00:00:00"/>
    <s v="320301001"/>
    <s v="301"/>
    <s v="90"/>
    <s v="Credito"/>
    <x v="2"/>
    <x v="216"/>
    <m/>
    <s v="000252"/>
    <s v="000132"/>
    <n v="5942.71"/>
    <s v="0,00"/>
    <s v="0,00"/>
    <s v="0,00"/>
    <s v="0,00"/>
    <s v="ORC2022_2"/>
    <s v="0012"/>
    <m/>
    <m/>
    <m/>
    <m/>
    <m/>
  </r>
  <r>
    <s v="COMBUSTIVEIS"/>
    <x v="9"/>
    <x v="1"/>
    <n v="425538.22"/>
    <s v="0000000127"/>
    <s v="0887"/>
    <d v="2022-12-01T00:00:00"/>
    <s v="320301001"/>
    <s v="304"/>
    <s v="11"/>
    <s v="Credito"/>
    <x v="2"/>
    <x v="216"/>
    <m/>
    <s v="000252"/>
    <s v="000132"/>
    <n v="425538.22"/>
    <s v="0,00"/>
    <s v="0,00"/>
    <s v="0,00"/>
    <s v="0,00"/>
    <s v="ORC2022_2"/>
    <s v="0012"/>
    <m/>
    <m/>
    <m/>
    <m/>
    <m/>
  </r>
  <r>
    <s v="COMBUSTIVEIS"/>
    <x v="9"/>
    <x v="1"/>
    <n v="1647.9"/>
    <s v="0000000127"/>
    <s v="0888"/>
    <d v="2022-12-01T00:00:00"/>
    <s v="320301001"/>
    <s v="303"/>
    <s v="21"/>
    <s v="Credito"/>
    <x v="2"/>
    <x v="216"/>
    <m/>
    <s v="000252"/>
    <s v="000132"/>
    <n v="1647.9"/>
    <s v="0,00"/>
    <s v="0,00"/>
    <s v="0,00"/>
    <s v="0,00"/>
    <s v="ORC2022_2"/>
    <s v="0012"/>
    <m/>
    <m/>
    <m/>
    <m/>
    <m/>
  </r>
  <r>
    <s v="COMBUSTIVEIS"/>
    <x v="9"/>
    <x v="1"/>
    <n v="371955.79"/>
    <s v="0000000127"/>
    <s v="0889"/>
    <d v="2022-12-01T00:00:00"/>
    <s v="320301001"/>
    <s v="305"/>
    <s v="21"/>
    <s v="Credito"/>
    <x v="2"/>
    <x v="216"/>
    <m/>
    <s v="000252"/>
    <s v="000132"/>
    <n v="371955.79"/>
    <s v="0,00"/>
    <s v="0,00"/>
    <s v="0,00"/>
    <s v="0,00"/>
    <s v="ORC2022_2"/>
    <s v="0012"/>
    <m/>
    <m/>
    <m/>
    <m/>
    <m/>
  </r>
  <r>
    <s v="COMBUSTIVEIS"/>
    <x v="9"/>
    <x v="1"/>
    <n v="66505.100000000006"/>
    <s v="0000000127"/>
    <s v="0890"/>
    <d v="2022-12-01T00:00:00"/>
    <s v="320301001"/>
    <s v="305"/>
    <s v="31"/>
    <s v="Credito"/>
    <x v="2"/>
    <x v="216"/>
    <m/>
    <s v="000252"/>
    <s v="000132"/>
    <n v="66505.100000000006"/>
    <s v="0,00"/>
    <s v="0,00"/>
    <s v="0,00"/>
    <s v="0,00"/>
    <s v="ORC2022_2"/>
    <s v="0012"/>
    <m/>
    <m/>
    <m/>
    <m/>
    <m/>
  </r>
  <r>
    <s v="COMBUSTIVEIS"/>
    <x v="9"/>
    <x v="1"/>
    <n v="36323.96"/>
    <s v="0000000127"/>
    <s v="0891"/>
    <d v="2022-12-01T00:00:00"/>
    <s v="320301001"/>
    <s v="306"/>
    <s v="33"/>
    <s v="Credito"/>
    <x v="2"/>
    <x v="216"/>
    <m/>
    <s v="000252"/>
    <s v="000132"/>
    <n v="36323.96"/>
    <s v="0,00"/>
    <s v="0,00"/>
    <s v="0,00"/>
    <s v="0,00"/>
    <s v="ORC2022_2"/>
    <s v="0012"/>
    <m/>
    <m/>
    <m/>
    <m/>
    <m/>
  </r>
  <r>
    <s v="COMBUSTIVEIS"/>
    <x v="9"/>
    <x v="1"/>
    <n v="6002.14"/>
    <s v="0000000127"/>
    <s v="0892"/>
    <d v="2022-12-01T00:00:00"/>
    <s v="320301001"/>
    <s v="301"/>
    <s v="90"/>
    <s v="Credito"/>
    <x v="2"/>
    <x v="216"/>
    <m/>
    <s v="000252"/>
    <s v="000132"/>
    <n v="6002.14"/>
    <s v="0,00"/>
    <s v="0,00"/>
    <s v="0,00"/>
    <s v="0,00"/>
    <s v="ORC2022_2"/>
    <s v="0012"/>
    <m/>
    <m/>
    <m/>
    <m/>
    <m/>
  </r>
  <r>
    <s v="LUBRIFICANTES"/>
    <x v="32"/>
    <x v="8"/>
    <n v="55.46"/>
    <s v="0000000127"/>
    <s v="0893"/>
    <d v="2022-01-01T00:00:00"/>
    <s v="320301002"/>
    <s v="302"/>
    <s v="11"/>
    <s v="Credito"/>
    <x v="2"/>
    <x v="216"/>
    <m/>
    <s v="000252"/>
    <s v="000132"/>
    <n v="55.46"/>
    <s v="0,00"/>
    <s v="0,00"/>
    <s v="0,00"/>
    <s v="0,00"/>
    <s v="ORC2022_2"/>
    <s v="0012"/>
    <m/>
    <m/>
    <m/>
    <m/>
    <m/>
  </r>
  <r>
    <s v="LUBRIFICANTES"/>
    <x v="32"/>
    <x v="8"/>
    <n v="4963.3999999999996"/>
    <s v="0000000127"/>
    <s v="0894"/>
    <d v="2022-01-01T00:00:00"/>
    <s v="320301002"/>
    <s v="304"/>
    <s v="11"/>
    <s v="Credito"/>
    <x v="2"/>
    <x v="216"/>
    <m/>
    <s v="000252"/>
    <s v="000132"/>
    <n v="4963.3999999999996"/>
    <s v="0,00"/>
    <s v="0,00"/>
    <s v="0,00"/>
    <s v="0,00"/>
    <s v="ORC2022_2"/>
    <s v="0012"/>
    <m/>
    <m/>
    <m/>
    <m/>
    <m/>
  </r>
  <r>
    <s v="LUBRIFICANTES"/>
    <x v="32"/>
    <x v="8"/>
    <n v="3074.87"/>
    <s v="0000000127"/>
    <s v="0895"/>
    <d v="2022-01-01T00:00:00"/>
    <s v="320301002"/>
    <s v="303"/>
    <s v="21"/>
    <s v="Credito"/>
    <x v="2"/>
    <x v="216"/>
    <m/>
    <s v="000252"/>
    <s v="000132"/>
    <n v="3074.87"/>
    <s v="0,00"/>
    <s v="0,00"/>
    <s v="0,00"/>
    <s v="0,00"/>
    <s v="ORC2022_2"/>
    <s v="0012"/>
    <m/>
    <m/>
    <m/>
    <m/>
    <m/>
  </r>
  <r>
    <s v="LUBRIFICANTES"/>
    <x v="32"/>
    <x v="8"/>
    <n v="669.44"/>
    <s v="0000000127"/>
    <s v="0896"/>
    <d v="2022-01-01T00:00:00"/>
    <s v="320301002"/>
    <s v="305"/>
    <s v="21"/>
    <s v="Credito"/>
    <x v="2"/>
    <x v="216"/>
    <m/>
    <s v="000252"/>
    <s v="000132"/>
    <n v="669.44"/>
    <s v="0,00"/>
    <s v="0,00"/>
    <s v="0,00"/>
    <s v="0,00"/>
    <s v="ORC2022_2"/>
    <s v="0012"/>
    <m/>
    <m/>
    <m/>
    <m/>
    <m/>
  </r>
  <r>
    <s v="LUBRIFICANTES"/>
    <x v="32"/>
    <x v="8"/>
    <n v="73.540000000000006"/>
    <s v="0000000127"/>
    <s v="0897"/>
    <d v="2022-01-01T00:00:00"/>
    <s v="320301002"/>
    <s v="301"/>
    <s v="90"/>
    <s v="Credito"/>
    <x v="2"/>
    <x v="216"/>
    <m/>
    <s v="000252"/>
    <s v="000132"/>
    <n v="73.540000000000006"/>
    <s v="0,00"/>
    <s v="0,00"/>
    <s v="0,00"/>
    <s v="0,00"/>
    <s v="ORC2022_2"/>
    <s v="0012"/>
    <m/>
    <m/>
    <m/>
    <m/>
    <m/>
  </r>
  <r>
    <s v="LUBRIFICANTES"/>
    <x v="32"/>
    <x v="9"/>
    <n v="50.3"/>
    <s v="0000000127"/>
    <s v="0898"/>
    <d v="2022-02-01T00:00:00"/>
    <s v="320301002"/>
    <s v="302"/>
    <s v="11"/>
    <s v="Credito"/>
    <x v="2"/>
    <x v="216"/>
    <m/>
    <s v="000252"/>
    <s v="000132"/>
    <n v="50.3"/>
    <s v="0,00"/>
    <s v="0,00"/>
    <s v="0,00"/>
    <s v="0,00"/>
    <s v="ORC2022_2"/>
    <s v="0012"/>
    <m/>
    <m/>
    <m/>
    <m/>
    <m/>
  </r>
  <r>
    <s v="LUBRIFICANTES"/>
    <x v="32"/>
    <x v="9"/>
    <n v="5185.8900000000003"/>
    <s v="0000000127"/>
    <s v="0899"/>
    <d v="2022-02-01T00:00:00"/>
    <s v="320301002"/>
    <s v="304"/>
    <s v="11"/>
    <s v="Credito"/>
    <x v="2"/>
    <x v="216"/>
    <m/>
    <s v="000252"/>
    <s v="000132"/>
    <n v="5185.8900000000003"/>
    <s v="0,00"/>
    <s v="0,00"/>
    <s v="0,00"/>
    <s v="0,00"/>
    <s v="ORC2022_2"/>
    <s v="0012"/>
    <m/>
    <m/>
    <m/>
    <m/>
    <m/>
  </r>
  <r>
    <s v="LUBRIFICANTES"/>
    <x v="32"/>
    <x v="9"/>
    <n v="3184.89"/>
    <s v="0000000127"/>
    <s v="0900"/>
    <d v="2022-02-01T00:00:00"/>
    <s v="320301002"/>
    <s v="303"/>
    <s v="21"/>
    <s v="Credito"/>
    <x v="2"/>
    <x v="216"/>
    <m/>
    <s v="000252"/>
    <s v="000132"/>
    <n v="3184.89"/>
    <s v="0,00"/>
    <s v="0,00"/>
    <s v="0,00"/>
    <s v="0,00"/>
    <s v="ORC2022_2"/>
    <s v="0012"/>
    <m/>
    <m/>
    <m/>
    <m/>
    <m/>
  </r>
  <r>
    <s v="LUBRIFICANTES"/>
    <x v="32"/>
    <x v="9"/>
    <n v="111.74"/>
    <s v="0000000127"/>
    <s v="0901"/>
    <d v="2022-02-01T00:00:00"/>
    <s v="320301002"/>
    <s v="305"/>
    <s v="21"/>
    <s v="Credito"/>
    <x v="2"/>
    <x v="216"/>
    <m/>
    <s v="000252"/>
    <s v="000132"/>
    <n v="111.74"/>
    <s v="0,00"/>
    <s v="0,00"/>
    <s v="0,00"/>
    <s v="0,00"/>
    <s v="ORC2022_2"/>
    <s v="0012"/>
    <m/>
    <m/>
    <m/>
    <m/>
    <m/>
  </r>
  <r>
    <s v="LUBRIFICANTES"/>
    <x v="32"/>
    <x v="9"/>
    <n v="206.48"/>
    <s v="0000000127"/>
    <s v="0902"/>
    <d v="2022-02-01T00:00:00"/>
    <s v="320301002"/>
    <s v="301"/>
    <s v="90"/>
    <s v="Credito"/>
    <x v="2"/>
    <x v="216"/>
    <m/>
    <s v="000252"/>
    <s v="000132"/>
    <n v="206.48"/>
    <s v="0,00"/>
    <s v="0,00"/>
    <s v="0,00"/>
    <s v="0,00"/>
    <s v="ORC2022_2"/>
    <s v="0012"/>
    <m/>
    <m/>
    <m/>
    <m/>
    <m/>
  </r>
  <r>
    <s v="LUBRIFICANTES"/>
    <x v="32"/>
    <x v="10"/>
    <n v="394.3"/>
    <s v="0000000127"/>
    <s v="0903"/>
    <d v="2022-03-01T00:00:00"/>
    <s v="320301002"/>
    <s v="304"/>
    <s v="11"/>
    <s v="Credito"/>
    <x v="2"/>
    <x v="216"/>
    <m/>
    <s v="000252"/>
    <s v="000132"/>
    <n v="394.3"/>
    <s v="0,00"/>
    <s v="0,00"/>
    <s v="0,00"/>
    <s v="0,00"/>
    <s v="ORC2022_2"/>
    <s v="0012"/>
    <m/>
    <m/>
    <m/>
    <m/>
    <m/>
  </r>
  <r>
    <s v="LUBRIFICANTES"/>
    <x v="32"/>
    <x v="10"/>
    <n v="1.48"/>
    <s v="0000000127"/>
    <s v="0904"/>
    <d v="2022-03-01T00:00:00"/>
    <s v="320301002"/>
    <s v="305"/>
    <s v="21"/>
    <s v="Credito"/>
    <x v="2"/>
    <x v="216"/>
    <m/>
    <s v="000252"/>
    <s v="000132"/>
    <n v="1.48"/>
    <s v="0,00"/>
    <s v="0,00"/>
    <s v="0,00"/>
    <s v="0,00"/>
    <s v="ORC2022_2"/>
    <s v="0012"/>
    <m/>
    <m/>
    <m/>
    <m/>
    <m/>
  </r>
  <r>
    <s v="LUBRIFICANTES"/>
    <x v="32"/>
    <x v="10"/>
    <n v="24"/>
    <s v="0000000127"/>
    <s v="0905"/>
    <d v="2022-03-01T00:00:00"/>
    <s v="320301002"/>
    <s v="301"/>
    <s v="90"/>
    <s v="Credito"/>
    <x v="2"/>
    <x v="216"/>
    <m/>
    <s v="000252"/>
    <s v="000132"/>
    <n v="24"/>
    <s v="0,00"/>
    <s v="0,00"/>
    <s v="0,00"/>
    <s v="0,00"/>
    <s v="ORC2022_2"/>
    <s v="0012"/>
    <m/>
    <m/>
    <m/>
    <m/>
    <m/>
  </r>
  <r>
    <s v="LUBRIFICANTES"/>
    <x v="32"/>
    <x v="11"/>
    <n v="13278.78"/>
    <s v="0000000127"/>
    <s v="0906"/>
    <d v="2022-04-01T00:00:00"/>
    <s v="320301002"/>
    <s v="304"/>
    <s v="11"/>
    <s v="Credito"/>
    <x v="2"/>
    <x v="216"/>
    <m/>
    <s v="000252"/>
    <s v="000132"/>
    <n v="13278.78"/>
    <s v="0,00"/>
    <s v="0,00"/>
    <s v="0,00"/>
    <s v="0,00"/>
    <s v="ORC2022_2"/>
    <s v="0012"/>
    <m/>
    <m/>
    <m/>
    <m/>
    <m/>
  </r>
  <r>
    <s v="LUBRIFICANTES"/>
    <x v="32"/>
    <x v="11"/>
    <n v="1691.96"/>
    <s v="0000000127"/>
    <s v="0907"/>
    <d v="2022-04-01T00:00:00"/>
    <s v="320301002"/>
    <s v="303"/>
    <s v="21"/>
    <s v="Credito"/>
    <x v="2"/>
    <x v="216"/>
    <m/>
    <s v="000252"/>
    <s v="000132"/>
    <n v="1691.96"/>
    <s v="0,00"/>
    <s v="0,00"/>
    <s v="0,00"/>
    <s v="0,00"/>
    <s v="ORC2022_2"/>
    <s v="0012"/>
    <m/>
    <m/>
    <m/>
    <m/>
    <m/>
  </r>
  <r>
    <s v="LUBRIFICANTES"/>
    <x v="32"/>
    <x v="11"/>
    <n v="448.82"/>
    <s v="0000000127"/>
    <s v="0908"/>
    <d v="2022-04-01T00:00:00"/>
    <s v="320301002"/>
    <s v="305"/>
    <s v="21"/>
    <s v="Credito"/>
    <x v="2"/>
    <x v="216"/>
    <m/>
    <s v="000252"/>
    <s v="000132"/>
    <n v="448.82"/>
    <s v="0,00"/>
    <s v="0,00"/>
    <s v="0,00"/>
    <s v="0,00"/>
    <s v="ORC2022_2"/>
    <s v="0012"/>
    <m/>
    <m/>
    <m/>
    <m/>
    <m/>
  </r>
  <r>
    <s v="LUBRIFICANTES"/>
    <x v="32"/>
    <x v="11"/>
    <n v="44.14"/>
    <s v="0000000127"/>
    <s v="0909"/>
    <d v="2022-04-01T00:00:00"/>
    <s v="320301002"/>
    <s v="305"/>
    <s v="31"/>
    <s v="Credito"/>
    <x v="2"/>
    <x v="216"/>
    <m/>
    <s v="000252"/>
    <s v="000132"/>
    <n v="44.14"/>
    <s v="0,00"/>
    <s v="0,00"/>
    <s v="0,00"/>
    <s v="0,00"/>
    <s v="ORC2022_2"/>
    <s v="0012"/>
    <m/>
    <m/>
    <m/>
    <m/>
    <m/>
  </r>
  <r>
    <s v="LUBRIFICANTES"/>
    <x v="32"/>
    <x v="11"/>
    <n v="24"/>
    <s v="0000000127"/>
    <s v="0910"/>
    <d v="2022-04-01T00:00:00"/>
    <s v="320301002"/>
    <s v="301"/>
    <s v="90"/>
    <s v="Credito"/>
    <x v="2"/>
    <x v="216"/>
    <m/>
    <s v="000252"/>
    <s v="000132"/>
    <n v="24"/>
    <s v="0,00"/>
    <s v="0,00"/>
    <s v="0,00"/>
    <s v="0,00"/>
    <s v="ORC2022_2"/>
    <s v="0012"/>
    <m/>
    <m/>
    <m/>
    <m/>
    <m/>
  </r>
  <r>
    <s v="LUBRIFICANTES"/>
    <x v="32"/>
    <x v="12"/>
    <n v="8148.94"/>
    <s v="0000000127"/>
    <s v="0911"/>
    <d v="2022-05-01T00:00:00"/>
    <s v="320301002"/>
    <s v="304"/>
    <s v="11"/>
    <s v="Credito"/>
    <x v="2"/>
    <x v="216"/>
    <m/>
    <s v="000252"/>
    <s v="000132"/>
    <n v="8148.94"/>
    <s v="0,00"/>
    <s v="0,00"/>
    <s v="0,00"/>
    <s v="0,00"/>
    <s v="ORC2022_2"/>
    <s v="0012"/>
    <m/>
    <m/>
    <m/>
    <m/>
    <m/>
  </r>
  <r>
    <s v="LUBRIFICANTES"/>
    <x v="32"/>
    <x v="12"/>
    <n v="166.5"/>
    <s v="0000000127"/>
    <s v="0912"/>
    <d v="2022-05-01T00:00:00"/>
    <s v="320301002"/>
    <s v="305"/>
    <s v="21"/>
    <s v="Credito"/>
    <x v="2"/>
    <x v="216"/>
    <m/>
    <s v="000252"/>
    <s v="000132"/>
    <n v="166.5"/>
    <s v="0,00"/>
    <s v="0,00"/>
    <s v="0,00"/>
    <s v="0,00"/>
    <s v="ORC2022_2"/>
    <s v="0012"/>
    <m/>
    <m/>
    <m/>
    <m/>
    <m/>
  </r>
  <r>
    <s v="LUBRIFICANTES"/>
    <x v="32"/>
    <x v="12"/>
    <n v="55.01"/>
    <s v="0000000127"/>
    <s v="0913"/>
    <d v="2022-05-01T00:00:00"/>
    <s v="320301002"/>
    <s v="305"/>
    <s v="31"/>
    <s v="Credito"/>
    <x v="2"/>
    <x v="216"/>
    <m/>
    <s v="000252"/>
    <s v="000132"/>
    <n v="55.01"/>
    <s v="0,00"/>
    <s v="0,00"/>
    <s v="0,00"/>
    <s v="0,00"/>
    <s v="ORC2022_2"/>
    <s v="0012"/>
    <m/>
    <m/>
    <m/>
    <m/>
    <m/>
  </r>
  <r>
    <s v="LUBRIFICANTES"/>
    <x v="32"/>
    <x v="12"/>
    <n v="39.630000000000003"/>
    <s v="0000000127"/>
    <s v="0914"/>
    <d v="2022-05-01T00:00:00"/>
    <s v="320301002"/>
    <s v="301"/>
    <s v="90"/>
    <s v="Credito"/>
    <x v="2"/>
    <x v="216"/>
    <m/>
    <s v="000252"/>
    <s v="000132"/>
    <n v="39.630000000000003"/>
    <s v="0,00"/>
    <s v="0,00"/>
    <s v="0,00"/>
    <s v="0,00"/>
    <s v="ORC2022_2"/>
    <s v="0012"/>
    <m/>
    <m/>
    <m/>
    <m/>
    <m/>
  </r>
  <r>
    <s v="LUBRIFICANTES"/>
    <x v="32"/>
    <x v="13"/>
    <n v="8480.08"/>
    <s v="0000000127"/>
    <s v="0915"/>
    <d v="2022-06-01T00:00:00"/>
    <s v="320301002"/>
    <s v="304"/>
    <s v="11"/>
    <s v="Credito"/>
    <x v="2"/>
    <x v="216"/>
    <m/>
    <s v="000252"/>
    <s v="000132"/>
    <n v="8480.08"/>
    <s v="0,00"/>
    <s v="0,00"/>
    <s v="0,00"/>
    <s v="0,00"/>
    <s v="ORC2022_2"/>
    <s v="0012"/>
    <m/>
    <m/>
    <m/>
    <m/>
    <m/>
  </r>
  <r>
    <s v="LUBRIFICANTES"/>
    <x v="32"/>
    <x v="13"/>
    <n v="128.63999999999999"/>
    <s v="0000000127"/>
    <s v="0916"/>
    <d v="2022-06-01T00:00:00"/>
    <s v="320301002"/>
    <s v="305"/>
    <s v="21"/>
    <s v="Credito"/>
    <x v="2"/>
    <x v="216"/>
    <m/>
    <s v="000252"/>
    <s v="000132"/>
    <n v="128.63999999999999"/>
    <s v="0,00"/>
    <s v="0,00"/>
    <s v="0,00"/>
    <s v="0,00"/>
    <s v="ORC2022_2"/>
    <s v="0012"/>
    <m/>
    <m/>
    <m/>
    <m/>
    <m/>
  </r>
  <r>
    <s v="LUBRIFICANTES"/>
    <x v="32"/>
    <x v="13"/>
    <n v="106.92"/>
    <s v="0000000127"/>
    <s v="0917"/>
    <d v="2022-06-01T00:00:00"/>
    <s v="320301002"/>
    <s v="305"/>
    <s v="31"/>
    <s v="Credito"/>
    <x v="2"/>
    <x v="216"/>
    <m/>
    <s v="000252"/>
    <s v="000132"/>
    <n v="106.92"/>
    <s v="0,00"/>
    <s v="0,00"/>
    <s v="0,00"/>
    <s v="0,00"/>
    <s v="ORC2022_2"/>
    <s v="0012"/>
    <m/>
    <m/>
    <m/>
    <m/>
    <m/>
  </r>
  <r>
    <s v="LUBRIFICANTES"/>
    <x v="32"/>
    <x v="13"/>
    <n v="465.75"/>
    <s v="0000000127"/>
    <s v="0918"/>
    <d v="2022-06-01T00:00:00"/>
    <s v="320301002"/>
    <s v="301"/>
    <s v="90"/>
    <s v="Credito"/>
    <x v="2"/>
    <x v="216"/>
    <m/>
    <s v="000252"/>
    <s v="000132"/>
    <n v="465.75"/>
    <s v="0,00"/>
    <s v="0,00"/>
    <s v="0,00"/>
    <s v="0,00"/>
    <s v="ORC2022_2"/>
    <s v="0012"/>
    <m/>
    <m/>
    <m/>
    <m/>
    <m/>
  </r>
  <r>
    <s v="LUBRIFICANTES"/>
    <x v="32"/>
    <x v="14"/>
    <n v="12582.61"/>
    <s v="0000000127"/>
    <s v="0919"/>
    <d v="2022-07-01T00:00:00"/>
    <s v="320301002"/>
    <s v="304"/>
    <s v="11"/>
    <s v="Credito"/>
    <x v="2"/>
    <x v="216"/>
    <m/>
    <s v="000252"/>
    <s v="000132"/>
    <n v="12582.61"/>
    <s v="0,00"/>
    <s v="0,00"/>
    <s v="0,00"/>
    <s v="0,00"/>
    <s v="ORC2022_2"/>
    <s v="0012"/>
    <m/>
    <m/>
    <m/>
    <m/>
    <m/>
  </r>
  <r>
    <s v="LUBRIFICANTES"/>
    <x v="32"/>
    <x v="14"/>
    <n v="755.12"/>
    <s v="0000000127"/>
    <s v="0920"/>
    <d v="2022-07-01T00:00:00"/>
    <s v="320301002"/>
    <s v="305"/>
    <s v="21"/>
    <s v="Credito"/>
    <x v="2"/>
    <x v="216"/>
    <m/>
    <s v="000252"/>
    <s v="000132"/>
    <n v="755.12"/>
    <s v="0,00"/>
    <s v="0,00"/>
    <s v="0,00"/>
    <s v="0,00"/>
    <s v="ORC2022_2"/>
    <s v="0012"/>
    <m/>
    <m/>
    <m/>
    <m/>
    <m/>
  </r>
  <r>
    <s v="LUBRIFICANTES"/>
    <x v="32"/>
    <x v="14"/>
    <n v="52.51"/>
    <s v="0000000127"/>
    <s v="0921"/>
    <d v="2022-07-01T00:00:00"/>
    <s v="320301002"/>
    <s v="305"/>
    <s v="31"/>
    <s v="Credito"/>
    <x v="2"/>
    <x v="216"/>
    <m/>
    <s v="000252"/>
    <s v="000132"/>
    <n v="52.51"/>
    <s v="0,00"/>
    <s v="0,00"/>
    <s v="0,00"/>
    <s v="0,00"/>
    <s v="ORC2022_2"/>
    <s v="0012"/>
    <m/>
    <m/>
    <m/>
    <m/>
    <m/>
  </r>
  <r>
    <s v="LUBRIFICANTES"/>
    <x v="32"/>
    <x v="14"/>
    <n v="67.2"/>
    <s v="0000000127"/>
    <s v="0922"/>
    <d v="2022-07-01T00:00:00"/>
    <s v="320301002"/>
    <s v="301"/>
    <s v="90"/>
    <s v="Credito"/>
    <x v="2"/>
    <x v="216"/>
    <m/>
    <s v="000252"/>
    <s v="000132"/>
    <n v="67.2"/>
    <s v="0,00"/>
    <s v="0,00"/>
    <s v="0,00"/>
    <s v="0,00"/>
    <s v="ORC2022_2"/>
    <s v="0012"/>
    <m/>
    <m/>
    <m/>
    <m/>
    <m/>
  </r>
  <r>
    <s v="LUBRIFICANTES"/>
    <x v="32"/>
    <x v="15"/>
    <n v="10988.8"/>
    <s v="0000000127"/>
    <s v="0923"/>
    <d v="2022-08-01T00:00:00"/>
    <s v="320301002"/>
    <s v="304"/>
    <s v="11"/>
    <s v="Credito"/>
    <x v="2"/>
    <x v="216"/>
    <m/>
    <s v="000252"/>
    <s v="000132"/>
    <n v="10988.8"/>
    <s v="0,00"/>
    <s v="0,00"/>
    <s v="0,00"/>
    <s v="0,00"/>
    <s v="ORC2022_2"/>
    <s v="0012"/>
    <m/>
    <m/>
    <m/>
    <m/>
    <m/>
  </r>
  <r>
    <s v="LUBRIFICANTES"/>
    <x v="32"/>
    <x v="15"/>
    <n v="339.83"/>
    <s v="0000000127"/>
    <s v="0924"/>
    <d v="2022-08-01T00:00:00"/>
    <s v="320301002"/>
    <s v="305"/>
    <s v="21"/>
    <s v="Credito"/>
    <x v="2"/>
    <x v="216"/>
    <m/>
    <s v="000252"/>
    <s v="000132"/>
    <n v="339.83"/>
    <s v="0,00"/>
    <s v="0,00"/>
    <s v="0,00"/>
    <s v="0,00"/>
    <s v="ORC2022_2"/>
    <s v="0012"/>
    <m/>
    <m/>
    <m/>
    <m/>
    <m/>
  </r>
  <r>
    <s v="LUBRIFICANTES"/>
    <x v="32"/>
    <x v="15"/>
    <n v="51.94"/>
    <s v="0000000127"/>
    <s v="0925"/>
    <d v="2022-08-01T00:00:00"/>
    <s v="320301002"/>
    <s v="305"/>
    <s v="31"/>
    <s v="Credito"/>
    <x v="2"/>
    <x v="216"/>
    <m/>
    <s v="000252"/>
    <s v="000132"/>
    <n v="51.94"/>
    <s v="0,00"/>
    <s v="0,00"/>
    <s v="0,00"/>
    <s v="0,00"/>
    <s v="ORC2022_2"/>
    <s v="0012"/>
    <m/>
    <m/>
    <m/>
    <m/>
    <m/>
  </r>
  <r>
    <s v="LUBRIFICANTES"/>
    <x v="32"/>
    <x v="15"/>
    <n v="24"/>
    <s v="0000000127"/>
    <s v="0926"/>
    <d v="2022-08-01T00:00:00"/>
    <s v="320301002"/>
    <s v="301"/>
    <s v="90"/>
    <s v="Credito"/>
    <x v="2"/>
    <x v="216"/>
    <m/>
    <s v="000252"/>
    <s v="000132"/>
    <n v="24"/>
    <s v="0,00"/>
    <s v="0,00"/>
    <s v="0,00"/>
    <s v="0,00"/>
    <s v="ORC2022_2"/>
    <s v="0012"/>
    <m/>
    <m/>
    <m/>
    <m/>
    <m/>
  </r>
  <r>
    <s v="LUBRIFICANTES"/>
    <x v="32"/>
    <x v="16"/>
    <n v="18.87"/>
    <s v="0000000127"/>
    <s v="0927"/>
    <d v="2022-09-01T00:00:00"/>
    <s v="320301002"/>
    <s v="302"/>
    <s v="11"/>
    <s v="Credito"/>
    <x v="2"/>
    <x v="216"/>
    <m/>
    <s v="000252"/>
    <s v="000132"/>
    <n v="18.87"/>
    <s v="0,00"/>
    <s v="0,00"/>
    <s v="0,00"/>
    <s v="0,00"/>
    <s v="ORC2022_2"/>
    <s v="0012"/>
    <m/>
    <m/>
    <m/>
    <m/>
    <m/>
  </r>
  <r>
    <s v="LUBRIFICANTES"/>
    <x v="32"/>
    <x v="16"/>
    <n v="10628.91"/>
    <s v="0000000127"/>
    <s v="0928"/>
    <d v="2022-09-01T00:00:00"/>
    <s v="320301002"/>
    <s v="304"/>
    <s v="11"/>
    <s v="Credito"/>
    <x v="2"/>
    <x v="216"/>
    <m/>
    <s v="000252"/>
    <s v="000132"/>
    <n v="10628.91"/>
    <s v="0,00"/>
    <s v="0,00"/>
    <s v="0,00"/>
    <s v="0,00"/>
    <s v="ORC2022_2"/>
    <s v="0012"/>
    <m/>
    <m/>
    <m/>
    <m/>
    <m/>
  </r>
  <r>
    <s v="LUBRIFICANTES"/>
    <x v="32"/>
    <x v="16"/>
    <n v="352.8"/>
    <s v="0000000127"/>
    <s v="0929"/>
    <d v="2022-09-01T00:00:00"/>
    <s v="320301002"/>
    <s v="303"/>
    <s v="21"/>
    <s v="Credito"/>
    <x v="2"/>
    <x v="216"/>
    <m/>
    <s v="000252"/>
    <s v="000132"/>
    <n v="352.8"/>
    <s v="0,00"/>
    <s v="0,00"/>
    <s v="0,00"/>
    <s v="0,00"/>
    <s v="ORC2022_2"/>
    <s v="0012"/>
    <m/>
    <m/>
    <m/>
    <m/>
    <m/>
  </r>
  <r>
    <s v="LUBRIFICANTES"/>
    <x v="32"/>
    <x v="16"/>
    <n v="186.3"/>
    <s v="0000000127"/>
    <s v="0930"/>
    <d v="2022-09-01T00:00:00"/>
    <s v="320301002"/>
    <s v="305"/>
    <s v="21"/>
    <s v="Credito"/>
    <x v="2"/>
    <x v="216"/>
    <m/>
    <s v="000252"/>
    <s v="000132"/>
    <n v="186.3"/>
    <s v="0,00"/>
    <s v="0,00"/>
    <s v="0,00"/>
    <s v="0,00"/>
    <s v="ORC2022_2"/>
    <s v="0012"/>
    <m/>
    <m/>
    <m/>
    <m/>
    <m/>
  </r>
  <r>
    <s v="LUBRIFICANTES"/>
    <x v="32"/>
    <x v="16"/>
    <n v="807.68"/>
    <s v="0000000127"/>
    <s v="0931"/>
    <d v="2022-09-01T00:00:00"/>
    <s v="320301002"/>
    <s v="302"/>
    <s v="33"/>
    <s v="Credito"/>
    <x v="2"/>
    <x v="216"/>
    <m/>
    <s v="000252"/>
    <s v="000132"/>
    <n v="807.68"/>
    <s v="0,00"/>
    <s v="0,00"/>
    <s v="0,00"/>
    <s v="0,00"/>
    <s v="ORC2022_2"/>
    <s v="0012"/>
    <m/>
    <m/>
    <m/>
    <m/>
    <m/>
  </r>
  <r>
    <s v="LUBRIFICANTES"/>
    <x v="32"/>
    <x v="16"/>
    <n v="101.75"/>
    <s v="0000000127"/>
    <s v="0932"/>
    <d v="2022-09-01T00:00:00"/>
    <s v="320301002"/>
    <s v="301"/>
    <s v="90"/>
    <s v="Credito"/>
    <x v="2"/>
    <x v="216"/>
    <m/>
    <s v="000252"/>
    <s v="000132"/>
    <n v="101.75"/>
    <s v="0,00"/>
    <s v="0,00"/>
    <s v="0,00"/>
    <s v="0,00"/>
    <s v="ORC2022_2"/>
    <s v="0012"/>
    <m/>
    <m/>
    <m/>
    <m/>
    <m/>
  </r>
  <r>
    <s v="LUBRIFICANTES"/>
    <x v="32"/>
    <x v="17"/>
    <n v="19.059999999999999"/>
    <s v="0000000127"/>
    <s v="0933"/>
    <d v="2022-10-01T00:00:00"/>
    <s v="320301002"/>
    <s v="302"/>
    <s v="11"/>
    <s v="Credito"/>
    <x v="2"/>
    <x v="216"/>
    <m/>
    <s v="000252"/>
    <s v="000132"/>
    <n v="19.059999999999999"/>
    <s v="0,00"/>
    <s v="0,00"/>
    <s v="0,00"/>
    <s v="0,00"/>
    <s v="ORC2022_2"/>
    <s v="0012"/>
    <m/>
    <m/>
    <m/>
    <m/>
    <m/>
  </r>
  <r>
    <s v="LUBRIFICANTES"/>
    <x v="32"/>
    <x v="17"/>
    <n v="10735.2"/>
    <s v="0000000127"/>
    <s v="0934"/>
    <d v="2022-10-01T00:00:00"/>
    <s v="320301002"/>
    <s v="304"/>
    <s v="11"/>
    <s v="Credito"/>
    <x v="2"/>
    <x v="216"/>
    <m/>
    <s v="000252"/>
    <s v="000132"/>
    <n v="10735.2"/>
    <s v="0,00"/>
    <s v="0,00"/>
    <s v="0,00"/>
    <s v="0,00"/>
    <s v="ORC2022_2"/>
    <s v="0012"/>
    <m/>
    <m/>
    <m/>
    <m/>
    <m/>
  </r>
  <r>
    <s v="LUBRIFICANTES"/>
    <x v="32"/>
    <x v="17"/>
    <n v="356.33"/>
    <s v="0000000127"/>
    <s v="0935"/>
    <d v="2022-10-01T00:00:00"/>
    <s v="320301002"/>
    <s v="303"/>
    <s v="21"/>
    <s v="Credito"/>
    <x v="2"/>
    <x v="216"/>
    <m/>
    <s v="000252"/>
    <s v="000132"/>
    <n v="356.33"/>
    <s v="0,00"/>
    <s v="0,00"/>
    <s v="0,00"/>
    <s v="0,00"/>
    <s v="ORC2022_2"/>
    <s v="0012"/>
    <m/>
    <m/>
    <m/>
    <m/>
    <m/>
  </r>
  <r>
    <s v="LUBRIFICANTES"/>
    <x v="32"/>
    <x v="17"/>
    <n v="188.16"/>
    <s v="0000000127"/>
    <s v="0936"/>
    <d v="2022-10-01T00:00:00"/>
    <s v="320301002"/>
    <s v="305"/>
    <s v="21"/>
    <s v="Credito"/>
    <x v="2"/>
    <x v="216"/>
    <m/>
    <s v="000252"/>
    <s v="000132"/>
    <n v="188.16"/>
    <s v="0,00"/>
    <s v="0,00"/>
    <s v="0,00"/>
    <s v="0,00"/>
    <s v="ORC2022_2"/>
    <s v="0012"/>
    <m/>
    <m/>
    <m/>
    <m/>
    <m/>
  </r>
  <r>
    <s v="LUBRIFICANTES"/>
    <x v="32"/>
    <x v="17"/>
    <n v="815.76"/>
    <s v="0000000127"/>
    <s v="0937"/>
    <d v="2022-10-01T00:00:00"/>
    <s v="320301002"/>
    <s v="302"/>
    <s v="33"/>
    <s v="Credito"/>
    <x v="2"/>
    <x v="216"/>
    <m/>
    <s v="000252"/>
    <s v="000132"/>
    <n v="815.76"/>
    <s v="0,00"/>
    <s v="0,00"/>
    <s v="0,00"/>
    <s v="0,00"/>
    <s v="ORC2022_2"/>
    <s v="0012"/>
    <m/>
    <m/>
    <m/>
    <m/>
    <m/>
  </r>
  <r>
    <s v="LUBRIFICANTES"/>
    <x v="32"/>
    <x v="17"/>
    <n v="102.77"/>
    <s v="0000000127"/>
    <s v="0938"/>
    <d v="2022-10-01T00:00:00"/>
    <s v="320301002"/>
    <s v="301"/>
    <s v="90"/>
    <s v="Credito"/>
    <x v="2"/>
    <x v="216"/>
    <m/>
    <s v="000252"/>
    <s v="000132"/>
    <n v="102.77"/>
    <s v="0,00"/>
    <s v="0,00"/>
    <s v="0,00"/>
    <s v="0,00"/>
    <s v="ORC2022_2"/>
    <s v="0012"/>
    <m/>
    <m/>
    <m/>
    <m/>
    <m/>
  </r>
  <r>
    <s v="LUBRIFICANTES"/>
    <x v="32"/>
    <x v="0"/>
    <n v="19.25"/>
    <s v="0000000127"/>
    <s v="0939"/>
    <d v="2022-11-01T00:00:00"/>
    <s v="320301002"/>
    <s v="302"/>
    <s v="11"/>
    <s v="Credito"/>
    <x v="2"/>
    <x v="216"/>
    <m/>
    <s v="000252"/>
    <s v="000132"/>
    <n v="19.25"/>
    <s v="0,00"/>
    <s v="0,00"/>
    <s v="0,00"/>
    <s v="0,00"/>
    <s v="ORC2022_2"/>
    <s v="0012"/>
    <m/>
    <m/>
    <m/>
    <m/>
    <m/>
  </r>
  <r>
    <s v="LUBRIFICANTES"/>
    <x v="32"/>
    <x v="0"/>
    <n v="10842.55"/>
    <s v="0000000127"/>
    <s v="0940"/>
    <d v="2022-11-01T00:00:00"/>
    <s v="320301002"/>
    <s v="304"/>
    <s v="11"/>
    <s v="Credito"/>
    <x v="2"/>
    <x v="216"/>
    <m/>
    <s v="000252"/>
    <s v="000132"/>
    <n v="10842.55"/>
    <s v="0,00"/>
    <s v="0,00"/>
    <s v="0,00"/>
    <s v="0,00"/>
    <s v="ORC2022_2"/>
    <s v="0012"/>
    <m/>
    <m/>
    <m/>
    <m/>
    <m/>
  </r>
  <r>
    <s v="LUBRIFICANTES"/>
    <x v="32"/>
    <x v="0"/>
    <n v="359.89"/>
    <s v="0000000127"/>
    <s v="0941"/>
    <d v="2022-11-01T00:00:00"/>
    <s v="320301002"/>
    <s v="303"/>
    <s v="21"/>
    <s v="Credito"/>
    <x v="2"/>
    <x v="216"/>
    <m/>
    <s v="000252"/>
    <s v="000132"/>
    <n v="359.89"/>
    <s v="0,00"/>
    <s v="0,00"/>
    <s v="0,00"/>
    <s v="0,00"/>
    <s v="ORC2022_2"/>
    <s v="0012"/>
    <m/>
    <m/>
    <m/>
    <m/>
    <m/>
  </r>
  <r>
    <s v="LUBRIFICANTES"/>
    <x v="32"/>
    <x v="0"/>
    <n v="190.04"/>
    <s v="0000000127"/>
    <s v="0942"/>
    <d v="2022-11-01T00:00:00"/>
    <s v="320301002"/>
    <s v="305"/>
    <s v="21"/>
    <s v="Credito"/>
    <x v="2"/>
    <x v="216"/>
    <m/>
    <s v="000252"/>
    <s v="000132"/>
    <n v="190.04"/>
    <s v="0,00"/>
    <s v="0,00"/>
    <s v="0,00"/>
    <s v="0,00"/>
    <s v="ORC2022_2"/>
    <s v="0012"/>
    <m/>
    <m/>
    <m/>
    <m/>
    <m/>
  </r>
  <r>
    <s v="LUBRIFICANTES"/>
    <x v="32"/>
    <x v="0"/>
    <n v="823.91"/>
    <s v="0000000127"/>
    <s v="0943"/>
    <d v="2022-11-01T00:00:00"/>
    <s v="320301002"/>
    <s v="302"/>
    <s v="33"/>
    <s v="Credito"/>
    <x v="2"/>
    <x v="216"/>
    <m/>
    <s v="000252"/>
    <s v="000132"/>
    <n v="823.91"/>
    <s v="0,00"/>
    <s v="0,00"/>
    <s v="0,00"/>
    <s v="0,00"/>
    <s v="ORC2022_2"/>
    <s v="0012"/>
    <m/>
    <m/>
    <m/>
    <m/>
    <m/>
  </r>
  <r>
    <s v="LUBRIFICANTES"/>
    <x v="32"/>
    <x v="0"/>
    <n v="103.8"/>
    <s v="0000000127"/>
    <s v="0944"/>
    <d v="2022-11-01T00:00:00"/>
    <s v="320301002"/>
    <s v="301"/>
    <s v="90"/>
    <s v="Credito"/>
    <x v="2"/>
    <x v="216"/>
    <m/>
    <s v="000252"/>
    <s v="000132"/>
    <n v="103.8"/>
    <s v="0,00"/>
    <s v="0,00"/>
    <s v="0,00"/>
    <s v="0,00"/>
    <s v="ORC2022_2"/>
    <s v="0012"/>
    <m/>
    <m/>
    <m/>
    <m/>
    <m/>
  </r>
  <r>
    <s v="LUBRIFICANTES"/>
    <x v="32"/>
    <x v="1"/>
    <n v="19.440000000000001"/>
    <s v="0000000127"/>
    <s v="0945"/>
    <d v="2022-12-01T00:00:00"/>
    <s v="320301002"/>
    <s v="302"/>
    <s v="11"/>
    <s v="Credito"/>
    <x v="2"/>
    <x v="216"/>
    <m/>
    <s v="000252"/>
    <s v="000132"/>
    <n v="19.440000000000001"/>
    <s v="0,00"/>
    <s v="0,00"/>
    <s v="0,00"/>
    <s v="0,00"/>
    <s v="ORC2022_2"/>
    <s v="0012"/>
    <m/>
    <m/>
    <m/>
    <m/>
    <m/>
  </r>
  <r>
    <s v="LUBRIFICANTES"/>
    <x v="32"/>
    <x v="1"/>
    <n v="10950.98"/>
    <s v="0000000127"/>
    <s v="0946"/>
    <d v="2022-12-01T00:00:00"/>
    <s v="320301002"/>
    <s v="304"/>
    <s v="11"/>
    <s v="Credito"/>
    <x v="2"/>
    <x v="216"/>
    <m/>
    <s v="000252"/>
    <s v="000132"/>
    <n v="10950.98"/>
    <s v="0,00"/>
    <s v="0,00"/>
    <s v="0,00"/>
    <s v="0,00"/>
    <s v="ORC2022_2"/>
    <s v="0012"/>
    <m/>
    <m/>
    <m/>
    <m/>
    <m/>
  </r>
  <r>
    <s v="LUBRIFICANTES"/>
    <x v="32"/>
    <x v="1"/>
    <n v="363.49"/>
    <s v="0000000127"/>
    <s v="0947"/>
    <d v="2022-12-01T00:00:00"/>
    <s v="320301002"/>
    <s v="303"/>
    <s v="21"/>
    <s v="Credito"/>
    <x v="2"/>
    <x v="216"/>
    <m/>
    <s v="000252"/>
    <s v="000132"/>
    <n v="363.49"/>
    <s v="0,00"/>
    <s v="0,00"/>
    <s v="0,00"/>
    <s v="0,00"/>
    <s v="ORC2022_2"/>
    <s v="0012"/>
    <m/>
    <m/>
    <m/>
    <m/>
    <m/>
  </r>
  <r>
    <s v="LUBRIFICANTES"/>
    <x v="32"/>
    <x v="1"/>
    <n v="191.95"/>
    <s v="0000000127"/>
    <s v="0948"/>
    <d v="2022-12-01T00:00:00"/>
    <s v="320301002"/>
    <s v="305"/>
    <s v="21"/>
    <s v="Credito"/>
    <x v="2"/>
    <x v="216"/>
    <m/>
    <s v="000252"/>
    <s v="000132"/>
    <n v="191.95"/>
    <s v="0,00"/>
    <s v="0,00"/>
    <s v="0,00"/>
    <s v="0,00"/>
    <s v="ORC2022_2"/>
    <s v="0012"/>
    <m/>
    <m/>
    <m/>
    <m/>
    <m/>
  </r>
  <r>
    <s v="LUBRIFICANTES"/>
    <x v="32"/>
    <x v="1"/>
    <n v="832.15"/>
    <s v="0000000127"/>
    <s v="0949"/>
    <d v="2022-12-01T00:00:00"/>
    <s v="320301002"/>
    <s v="302"/>
    <s v="33"/>
    <s v="Credito"/>
    <x v="2"/>
    <x v="216"/>
    <m/>
    <s v="000252"/>
    <s v="000132"/>
    <n v="832.15"/>
    <s v="0,00"/>
    <s v="0,00"/>
    <s v="0,00"/>
    <s v="0,00"/>
    <s v="ORC2022_2"/>
    <s v="0012"/>
    <m/>
    <m/>
    <m/>
    <m/>
    <m/>
  </r>
  <r>
    <s v="LUBRIFICANTES"/>
    <x v="32"/>
    <x v="1"/>
    <n v="104.83"/>
    <s v="0000000127"/>
    <s v="0950"/>
    <d v="2022-12-01T00:00:00"/>
    <s v="320301002"/>
    <s v="301"/>
    <s v="90"/>
    <s v="Credito"/>
    <x v="2"/>
    <x v="216"/>
    <m/>
    <s v="000252"/>
    <s v="000132"/>
    <n v="104.83"/>
    <s v="0,00"/>
    <s v="0,00"/>
    <s v="0,00"/>
    <s v="0,00"/>
    <s v="ORC2022_2"/>
    <s v="0012"/>
    <m/>
    <m/>
    <m/>
    <m/>
    <m/>
  </r>
  <r>
    <s v="PNEUS E RECAPAGENS"/>
    <x v="20"/>
    <x v="8"/>
    <n v="1618.04"/>
    <s v="0000000127"/>
    <s v="0951"/>
    <d v="2022-01-01T00:00:00"/>
    <s v="320301003"/>
    <s v="302"/>
    <s v="11"/>
    <s v="Credito"/>
    <x v="2"/>
    <x v="216"/>
    <m/>
    <s v="000252"/>
    <s v="000132"/>
    <n v="1618.04"/>
    <s v="0,00"/>
    <s v="0,00"/>
    <s v="0,00"/>
    <s v="0,00"/>
    <s v="ORC2022_2"/>
    <s v="0012"/>
    <m/>
    <m/>
    <m/>
    <m/>
    <m/>
  </r>
  <r>
    <s v="PNEUS E RECAPAGENS"/>
    <x v="20"/>
    <x v="8"/>
    <n v="40687.24"/>
    <s v="0000000127"/>
    <s v="0952"/>
    <d v="2022-01-01T00:00:00"/>
    <s v="320301003"/>
    <s v="304"/>
    <s v="11"/>
    <s v="Credito"/>
    <x v="2"/>
    <x v="216"/>
    <m/>
    <s v="000252"/>
    <s v="000132"/>
    <n v="40687.24"/>
    <s v="0,00"/>
    <s v="0,00"/>
    <s v="0,00"/>
    <s v="0,00"/>
    <s v="ORC2022_2"/>
    <s v="0012"/>
    <m/>
    <m/>
    <m/>
    <m/>
    <m/>
  </r>
  <r>
    <s v="PNEUS E RECAPAGENS"/>
    <x v="20"/>
    <x v="8"/>
    <n v="92103.02"/>
    <s v="0000000127"/>
    <s v="0953"/>
    <d v="2022-01-01T00:00:00"/>
    <s v="320301003"/>
    <s v="305"/>
    <s v="21"/>
    <s v="Credito"/>
    <x v="2"/>
    <x v="216"/>
    <m/>
    <s v="000252"/>
    <s v="000132"/>
    <n v="92103.02"/>
    <s v="0,00"/>
    <s v="0,00"/>
    <s v="0,00"/>
    <s v="0,00"/>
    <s v="ORC2022_2"/>
    <s v="0012"/>
    <m/>
    <m/>
    <m/>
    <m/>
    <m/>
  </r>
  <r>
    <s v="PNEUS E RECAPAGENS"/>
    <x v="20"/>
    <x v="9"/>
    <n v="1045.8599999999999"/>
    <s v="0000000127"/>
    <s v="0954"/>
    <d v="2022-02-01T00:00:00"/>
    <s v="320301003"/>
    <s v="302"/>
    <s v="11"/>
    <s v="Credito"/>
    <x v="2"/>
    <x v="216"/>
    <m/>
    <s v="000252"/>
    <s v="000132"/>
    <n v="1045.8599999999999"/>
    <s v="0,00"/>
    <s v="0,00"/>
    <s v="0,00"/>
    <s v="0,00"/>
    <s v="ORC2022_2"/>
    <s v="0012"/>
    <m/>
    <m/>
    <m/>
    <m/>
    <m/>
  </r>
  <r>
    <s v="PNEUS E RECAPAGENS"/>
    <x v="20"/>
    <x v="9"/>
    <n v="20277.919999999998"/>
    <s v="0000000127"/>
    <s v="0955"/>
    <d v="2022-02-01T00:00:00"/>
    <s v="320301003"/>
    <s v="304"/>
    <s v="11"/>
    <s v="Credito"/>
    <x v="2"/>
    <x v="216"/>
    <m/>
    <s v="000252"/>
    <s v="000132"/>
    <n v="20277.919999999998"/>
    <s v="0,00"/>
    <s v="0,00"/>
    <s v="0,00"/>
    <s v="0,00"/>
    <s v="ORC2022_2"/>
    <s v="0012"/>
    <m/>
    <m/>
    <m/>
    <m/>
    <m/>
  </r>
  <r>
    <s v="PNEUS E RECAPAGENS"/>
    <x v="20"/>
    <x v="9"/>
    <n v="367.48"/>
    <s v="0000000127"/>
    <s v="0956"/>
    <d v="2022-02-01T00:00:00"/>
    <s v="320301003"/>
    <s v="303"/>
    <s v="21"/>
    <s v="Credito"/>
    <x v="2"/>
    <x v="216"/>
    <m/>
    <s v="000252"/>
    <s v="000132"/>
    <n v="367.48"/>
    <s v="0,00"/>
    <s v="0,00"/>
    <s v="0,00"/>
    <s v="0,00"/>
    <s v="ORC2022_2"/>
    <s v="0012"/>
    <m/>
    <m/>
    <m/>
    <m/>
    <m/>
  </r>
  <r>
    <s v="PNEUS E RECAPAGENS"/>
    <x v="20"/>
    <x v="9"/>
    <n v="37187.47"/>
    <s v="0000000127"/>
    <s v="0957"/>
    <d v="2022-02-01T00:00:00"/>
    <s v="320301003"/>
    <s v="305"/>
    <s v="21"/>
    <s v="Credito"/>
    <x v="2"/>
    <x v="216"/>
    <m/>
    <s v="000252"/>
    <s v="000132"/>
    <n v="37187.47"/>
    <s v="0,00"/>
    <s v="0,00"/>
    <s v="0,00"/>
    <s v="0,00"/>
    <s v="ORC2022_2"/>
    <s v="0012"/>
    <m/>
    <m/>
    <m/>
    <m/>
    <m/>
  </r>
  <r>
    <s v="PNEUS E RECAPAGENS"/>
    <x v="20"/>
    <x v="10"/>
    <n v="188943.15"/>
    <s v="0000000127"/>
    <s v="0958"/>
    <d v="2022-03-01T00:00:00"/>
    <s v="320301003"/>
    <s v="304"/>
    <s v="11"/>
    <s v="Credito"/>
    <x v="2"/>
    <x v="216"/>
    <m/>
    <s v="000252"/>
    <s v="000132"/>
    <n v="188943.15"/>
    <s v="0,00"/>
    <s v="0,00"/>
    <s v="0,00"/>
    <s v="0,00"/>
    <s v="ORC2022_2"/>
    <s v="0012"/>
    <m/>
    <m/>
    <m/>
    <m/>
    <m/>
  </r>
  <r>
    <s v="PNEUS E RECAPAGENS"/>
    <x v="20"/>
    <x v="10"/>
    <n v="204.19"/>
    <s v="0000000127"/>
    <s v="0959"/>
    <d v="2022-03-01T00:00:00"/>
    <s v="320301003"/>
    <s v="305"/>
    <s v="21"/>
    <s v="Credito"/>
    <x v="2"/>
    <x v="216"/>
    <m/>
    <s v="000252"/>
    <s v="000132"/>
    <n v="204.19"/>
    <s v="0,00"/>
    <s v="0,00"/>
    <s v="0,00"/>
    <s v="0,00"/>
    <s v="ORC2022_2"/>
    <s v="0012"/>
    <m/>
    <m/>
    <m/>
    <m/>
    <m/>
  </r>
  <r>
    <s v="PNEUS E RECAPAGENS"/>
    <x v="20"/>
    <x v="11"/>
    <n v="252.51"/>
    <s v="0000000127"/>
    <s v="0960"/>
    <d v="2022-04-01T00:00:00"/>
    <s v="320301003"/>
    <s v="302"/>
    <s v="11"/>
    <s v="Credito"/>
    <x v="2"/>
    <x v="216"/>
    <m/>
    <s v="000252"/>
    <s v="000132"/>
    <n v="252.51"/>
    <s v="0,00"/>
    <s v="0,00"/>
    <s v="0,00"/>
    <s v="0,00"/>
    <s v="ORC2022_2"/>
    <s v="0012"/>
    <m/>
    <m/>
    <m/>
    <m/>
    <m/>
  </r>
  <r>
    <s v="PNEUS E RECAPAGENS"/>
    <x v="20"/>
    <x v="11"/>
    <n v="46899.23"/>
    <s v="0000000127"/>
    <s v="0961"/>
    <d v="2022-04-01T00:00:00"/>
    <s v="320301003"/>
    <s v="304"/>
    <s v="11"/>
    <s v="Credito"/>
    <x v="2"/>
    <x v="216"/>
    <m/>
    <s v="000252"/>
    <s v="000132"/>
    <n v="46899.23"/>
    <s v="0,00"/>
    <s v="0,00"/>
    <s v="0,00"/>
    <s v="0,00"/>
    <s v="ORC2022_2"/>
    <s v="0012"/>
    <m/>
    <m/>
    <m/>
    <m/>
    <m/>
  </r>
  <r>
    <s v="PNEUS E RECAPAGENS"/>
    <x v="20"/>
    <x v="11"/>
    <n v="250.52"/>
    <s v="0000000127"/>
    <s v="0962"/>
    <d v="2022-04-01T00:00:00"/>
    <s v="320301003"/>
    <s v="305"/>
    <s v="11"/>
    <s v="Credito"/>
    <x v="2"/>
    <x v="216"/>
    <m/>
    <s v="000252"/>
    <s v="000132"/>
    <n v="250.52"/>
    <s v="0,00"/>
    <s v="0,00"/>
    <s v="0,00"/>
    <s v="0,00"/>
    <s v="ORC2022_2"/>
    <s v="0012"/>
    <m/>
    <m/>
    <m/>
    <m/>
    <m/>
  </r>
  <r>
    <s v="PNEUS E RECAPAGENS"/>
    <x v="20"/>
    <x v="11"/>
    <n v="1008.82"/>
    <s v="0000000127"/>
    <s v="0963"/>
    <d v="2022-04-01T00:00:00"/>
    <s v="320301003"/>
    <s v="303"/>
    <s v="21"/>
    <s v="Credito"/>
    <x v="2"/>
    <x v="216"/>
    <m/>
    <s v="000252"/>
    <s v="000132"/>
    <n v="1008.82"/>
    <s v="0,00"/>
    <s v="0,00"/>
    <s v="0,00"/>
    <s v="0,00"/>
    <s v="ORC2022_2"/>
    <s v="0012"/>
    <m/>
    <m/>
    <m/>
    <m/>
    <m/>
  </r>
  <r>
    <s v="PNEUS E RECAPAGENS"/>
    <x v="20"/>
    <x v="11"/>
    <n v="46320.67"/>
    <s v="0000000127"/>
    <s v="0964"/>
    <d v="2022-04-01T00:00:00"/>
    <s v="320301003"/>
    <s v="305"/>
    <s v="21"/>
    <s v="Credito"/>
    <x v="2"/>
    <x v="216"/>
    <m/>
    <s v="000252"/>
    <s v="000132"/>
    <n v="46320.67"/>
    <s v="0,00"/>
    <s v="0,00"/>
    <s v="0,00"/>
    <s v="0,00"/>
    <s v="ORC2022_2"/>
    <s v="0012"/>
    <m/>
    <m/>
    <m/>
    <m/>
    <m/>
  </r>
  <r>
    <s v="PNEUS E RECAPAGENS"/>
    <x v="20"/>
    <x v="12"/>
    <n v="164.22"/>
    <s v="0000000127"/>
    <s v="0965"/>
    <d v="2022-05-01T00:00:00"/>
    <s v="320301003"/>
    <s v="302"/>
    <s v="11"/>
    <s v="Credito"/>
    <x v="2"/>
    <x v="216"/>
    <m/>
    <s v="000252"/>
    <s v="000132"/>
    <n v="164.22"/>
    <s v="0,00"/>
    <s v="0,00"/>
    <s v="0,00"/>
    <s v="0,00"/>
    <s v="ORC2022_2"/>
    <s v="0012"/>
    <m/>
    <m/>
    <m/>
    <m/>
    <m/>
  </r>
  <r>
    <s v="PNEUS E RECAPAGENS"/>
    <x v="20"/>
    <x v="12"/>
    <n v="261216.53"/>
    <s v="0000000127"/>
    <s v="0966"/>
    <d v="2022-05-01T00:00:00"/>
    <s v="320301003"/>
    <s v="304"/>
    <s v="11"/>
    <s v="Credito"/>
    <x v="2"/>
    <x v="216"/>
    <m/>
    <s v="000252"/>
    <s v="000132"/>
    <n v="261216.53"/>
    <s v="0,00"/>
    <s v="0,00"/>
    <s v="0,00"/>
    <s v="0,00"/>
    <s v="ORC2022_2"/>
    <s v="0012"/>
    <m/>
    <m/>
    <m/>
    <m/>
    <m/>
  </r>
  <r>
    <s v="PNEUS E RECAPAGENS"/>
    <x v="20"/>
    <x v="12"/>
    <n v="42270.58"/>
    <s v="0000000127"/>
    <s v="0967"/>
    <d v="2022-05-01T00:00:00"/>
    <s v="320301003"/>
    <s v="305"/>
    <s v="11"/>
    <s v="Credito"/>
    <x v="2"/>
    <x v="216"/>
    <m/>
    <s v="000252"/>
    <s v="000132"/>
    <n v="42270.58"/>
    <s v="0,00"/>
    <s v="0,00"/>
    <s v="0,00"/>
    <s v="0,00"/>
    <s v="ORC2022_2"/>
    <s v="0012"/>
    <m/>
    <m/>
    <m/>
    <m/>
    <m/>
  </r>
  <r>
    <s v="PNEUS E RECAPAGENS"/>
    <x v="20"/>
    <x v="12"/>
    <n v="992.78"/>
    <s v="0000000127"/>
    <s v="0968"/>
    <d v="2022-05-01T00:00:00"/>
    <s v="320301003"/>
    <s v="304"/>
    <s v="21"/>
    <s v="Credito"/>
    <x v="2"/>
    <x v="216"/>
    <m/>
    <s v="000252"/>
    <s v="000132"/>
    <n v="992.78"/>
    <s v="0,00"/>
    <s v="0,00"/>
    <s v="0,00"/>
    <s v="0,00"/>
    <s v="ORC2022_2"/>
    <s v="0012"/>
    <m/>
    <m/>
    <m/>
    <m/>
    <m/>
  </r>
  <r>
    <s v="PNEUS E RECAPAGENS"/>
    <x v="20"/>
    <x v="12"/>
    <n v="94655.58"/>
    <s v="0000000127"/>
    <s v="0969"/>
    <d v="2022-05-01T00:00:00"/>
    <s v="320301003"/>
    <s v="305"/>
    <s v="21"/>
    <s v="Credito"/>
    <x v="2"/>
    <x v="216"/>
    <m/>
    <s v="000252"/>
    <s v="000132"/>
    <n v="94655.58"/>
    <s v="0,00"/>
    <s v="0,00"/>
    <s v="0,00"/>
    <s v="0,00"/>
    <s v="ORC2022_2"/>
    <s v="0012"/>
    <m/>
    <m/>
    <m/>
    <m/>
    <m/>
  </r>
  <r>
    <s v="PNEUS E RECAPAGENS"/>
    <x v="20"/>
    <x v="12"/>
    <n v="0.01"/>
    <s v="0000000127"/>
    <s v="0970"/>
    <d v="2022-05-01T00:00:00"/>
    <s v="320301003"/>
    <s v="305"/>
    <s v="31"/>
    <s v="Credito"/>
    <x v="2"/>
    <x v="216"/>
    <m/>
    <s v="000252"/>
    <s v="000132"/>
    <n v="0.01"/>
    <s v="0,00"/>
    <s v="0,00"/>
    <s v="0,00"/>
    <s v="0,00"/>
    <s v="ORC2022_2"/>
    <s v="0012"/>
    <m/>
    <m/>
    <m/>
    <m/>
    <m/>
  </r>
  <r>
    <s v="PNEUS E RECAPAGENS"/>
    <x v="20"/>
    <x v="13"/>
    <n v="38138.639999999999"/>
    <s v="0000000127"/>
    <s v="0971"/>
    <d v="2022-06-01T00:00:00"/>
    <s v="320301003"/>
    <s v="302"/>
    <s v="11"/>
    <s v="Credito"/>
    <x v="2"/>
    <x v="216"/>
    <m/>
    <s v="000252"/>
    <s v="000132"/>
    <n v="38138.639999999999"/>
    <s v="0,00"/>
    <s v="0,00"/>
    <s v="0,00"/>
    <s v="0,00"/>
    <s v="ORC2022_2"/>
    <s v="0012"/>
    <m/>
    <m/>
    <m/>
    <m/>
    <m/>
  </r>
  <r>
    <s v="PNEUS E RECAPAGENS"/>
    <x v="20"/>
    <x v="13"/>
    <n v="87865.64"/>
    <s v="0000000127"/>
    <s v="0972"/>
    <d v="2022-06-01T00:00:00"/>
    <s v="320301003"/>
    <s v="304"/>
    <s v="11"/>
    <s v="Credito"/>
    <x v="2"/>
    <x v="216"/>
    <m/>
    <s v="000252"/>
    <s v="000132"/>
    <n v="87865.64"/>
    <s v="0,00"/>
    <s v="0,00"/>
    <s v="0,00"/>
    <s v="0,00"/>
    <s v="ORC2022_2"/>
    <s v="0012"/>
    <m/>
    <m/>
    <m/>
    <m/>
    <m/>
  </r>
  <r>
    <s v="PNEUS E RECAPAGENS"/>
    <x v="20"/>
    <x v="13"/>
    <n v="123150.42"/>
    <s v="0000000127"/>
    <s v="0973"/>
    <d v="2022-06-01T00:00:00"/>
    <s v="320301003"/>
    <s v="305"/>
    <s v="11"/>
    <s v="Credito"/>
    <x v="2"/>
    <x v="216"/>
    <m/>
    <s v="000252"/>
    <s v="000132"/>
    <n v="123150.42"/>
    <s v="0,00"/>
    <s v="0,00"/>
    <s v="0,00"/>
    <s v="0,00"/>
    <s v="ORC2022_2"/>
    <s v="0012"/>
    <m/>
    <m/>
    <m/>
    <m/>
    <m/>
  </r>
  <r>
    <s v="PNEUS E RECAPAGENS"/>
    <x v="20"/>
    <x v="13"/>
    <n v="189848.45"/>
    <s v="0000000127"/>
    <s v="0974"/>
    <d v="2022-06-01T00:00:00"/>
    <s v="320301003"/>
    <s v="305"/>
    <s v="21"/>
    <s v="Credito"/>
    <x v="2"/>
    <x v="216"/>
    <m/>
    <s v="000252"/>
    <s v="000132"/>
    <n v="189848.45"/>
    <s v="0,00"/>
    <s v="0,00"/>
    <s v="0,00"/>
    <s v="0,00"/>
    <s v="ORC2022_2"/>
    <s v="0012"/>
    <m/>
    <m/>
    <m/>
    <m/>
    <m/>
  </r>
  <r>
    <s v="PNEUS E RECAPAGENS"/>
    <x v="20"/>
    <x v="13"/>
    <n v="1580"/>
    <s v="0000000127"/>
    <s v="0975"/>
    <d v="2022-06-01T00:00:00"/>
    <s v="320301003"/>
    <s v="305"/>
    <s v="31"/>
    <s v="Credito"/>
    <x v="2"/>
    <x v="216"/>
    <m/>
    <s v="000252"/>
    <s v="000132"/>
    <n v="1580"/>
    <s v="0,00"/>
    <s v="0,00"/>
    <s v="0,00"/>
    <s v="0,00"/>
    <s v="ORC2022_2"/>
    <s v="0012"/>
    <m/>
    <m/>
    <m/>
    <m/>
    <m/>
  </r>
  <r>
    <s v="PNEUS E RECAPAGENS"/>
    <x v="20"/>
    <x v="14"/>
    <n v="3545.4"/>
    <s v="0000000127"/>
    <s v="0976"/>
    <d v="2022-07-01T00:00:00"/>
    <s v="320301003"/>
    <s v="302"/>
    <s v="11"/>
    <s v="Credito"/>
    <x v="2"/>
    <x v="216"/>
    <m/>
    <s v="000252"/>
    <s v="000132"/>
    <n v="3545.4"/>
    <s v="0,00"/>
    <s v="0,00"/>
    <s v="0,00"/>
    <s v="0,00"/>
    <s v="ORC2022_2"/>
    <s v="0012"/>
    <m/>
    <m/>
    <m/>
    <m/>
    <m/>
  </r>
  <r>
    <s v="PNEUS E RECAPAGENS"/>
    <x v="20"/>
    <x v="14"/>
    <n v="32401.8"/>
    <s v="0000000127"/>
    <s v="0977"/>
    <d v="2022-07-01T00:00:00"/>
    <s v="320301003"/>
    <s v="304"/>
    <s v="11"/>
    <s v="Credito"/>
    <x v="2"/>
    <x v="216"/>
    <m/>
    <s v="000252"/>
    <s v="000132"/>
    <n v="32401.8"/>
    <s v="0,00"/>
    <s v="0,00"/>
    <s v="0,00"/>
    <s v="0,00"/>
    <s v="ORC2022_2"/>
    <s v="0012"/>
    <m/>
    <m/>
    <m/>
    <m/>
    <m/>
  </r>
  <r>
    <s v="PNEUS E RECAPAGENS"/>
    <x v="20"/>
    <x v="14"/>
    <n v="120602.96"/>
    <s v="0000000127"/>
    <s v="0978"/>
    <d v="2022-07-01T00:00:00"/>
    <s v="320301003"/>
    <s v="305"/>
    <s v="11"/>
    <s v="Credito"/>
    <x v="2"/>
    <x v="216"/>
    <m/>
    <s v="000252"/>
    <s v="000132"/>
    <n v="120602.96"/>
    <s v="0,00"/>
    <s v="0,00"/>
    <s v="0,00"/>
    <s v="0,00"/>
    <s v="ORC2022_2"/>
    <s v="0012"/>
    <m/>
    <m/>
    <m/>
    <m/>
    <m/>
  </r>
  <r>
    <s v="PNEUS E RECAPAGENS"/>
    <x v="20"/>
    <x v="14"/>
    <n v="191.71"/>
    <s v="0000000127"/>
    <s v="0979"/>
    <d v="2022-07-01T00:00:00"/>
    <s v="320301003"/>
    <s v="303"/>
    <s v="21"/>
    <s v="Credito"/>
    <x v="2"/>
    <x v="216"/>
    <m/>
    <s v="000252"/>
    <s v="000132"/>
    <n v="191.71"/>
    <s v="0,00"/>
    <s v="0,00"/>
    <s v="0,00"/>
    <s v="0,00"/>
    <s v="ORC2022_2"/>
    <s v="0012"/>
    <m/>
    <m/>
    <m/>
    <m/>
    <m/>
  </r>
  <r>
    <s v="PNEUS E RECAPAGENS"/>
    <x v="20"/>
    <x v="14"/>
    <n v="695.85"/>
    <s v="0000000127"/>
    <s v="0980"/>
    <d v="2022-07-01T00:00:00"/>
    <s v="320301003"/>
    <s v="304"/>
    <s v="21"/>
    <s v="Credito"/>
    <x v="2"/>
    <x v="216"/>
    <m/>
    <s v="000252"/>
    <s v="000132"/>
    <n v="695.85"/>
    <s v="0,00"/>
    <s v="0,00"/>
    <s v="0,00"/>
    <s v="0,00"/>
    <s v="ORC2022_2"/>
    <s v="0012"/>
    <m/>
    <m/>
    <m/>
    <m/>
    <m/>
  </r>
  <r>
    <s v="PNEUS E RECAPAGENS"/>
    <x v="20"/>
    <x v="14"/>
    <n v="240658.92"/>
    <s v="0000000127"/>
    <s v="0981"/>
    <d v="2022-07-01T00:00:00"/>
    <s v="320301003"/>
    <s v="305"/>
    <s v="21"/>
    <s v="Credito"/>
    <x v="2"/>
    <x v="216"/>
    <m/>
    <s v="000252"/>
    <s v="000132"/>
    <n v="240658.92"/>
    <s v="0,00"/>
    <s v="0,00"/>
    <s v="0,00"/>
    <s v="0,00"/>
    <s v="ORC2022_2"/>
    <s v="0012"/>
    <m/>
    <m/>
    <m/>
    <m/>
    <m/>
  </r>
  <r>
    <s v="PNEUS E RECAPAGENS"/>
    <x v="20"/>
    <x v="14"/>
    <n v="17523.93"/>
    <s v="0000000127"/>
    <s v="0982"/>
    <d v="2022-07-01T00:00:00"/>
    <s v="320301003"/>
    <s v="305"/>
    <s v="31"/>
    <s v="Credito"/>
    <x v="2"/>
    <x v="216"/>
    <m/>
    <s v="000252"/>
    <s v="000132"/>
    <n v="17523.93"/>
    <s v="0,00"/>
    <s v="0,00"/>
    <s v="0,00"/>
    <s v="0,00"/>
    <s v="ORC2022_2"/>
    <s v="0012"/>
    <m/>
    <m/>
    <m/>
    <m/>
    <m/>
  </r>
  <r>
    <s v="PNEUS E RECAPAGENS"/>
    <x v="20"/>
    <x v="14"/>
    <n v="7069.42"/>
    <s v="0000000127"/>
    <s v="0983"/>
    <d v="2022-07-01T00:00:00"/>
    <s v="320301003"/>
    <s v="209"/>
    <s v="90"/>
    <s v="Credito"/>
    <x v="2"/>
    <x v="216"/>
    <m/>
    <s v="000252"/>
    <s v="000132"/>
    <n v="7069.42"/>
    <s v="0,00"/>
    <s v="0,00"/>
    <s v="0,00"/>
    <s v="0,00"/>
    <s v="ORC2022_2"/>
    <s v="0012"/>
    <m/>
    <m/>
    <m/>
    <m/>
    <m/>
  </r>
  <r>
    <s v="PNEUS E RECAPAGENS"/>
    <x v="20"/>
    <x v="14"/>
    <n v="1019.15"/>
    <s v="0000000127"/>
    <s v="0984"/>
    <d v="2022-07-01T00:00:00"/>
    <s v="320301003"/>
    <s v="301"/>
    <s v="90"/>
    <s v="Credito"/>
    <x v="2"/>
    <x v="216"/>
    <m/>
    <s v="000252"/>
    <s v="000132"/>
    <n v="1019.15"/>
    <s v="0,00"/>
    <s v="0,00"/>
    <s v="0,00"/>
    <s v="0,00"/>
    <s v="ORC2022_2"/>
    <s v="0012"/>
    <m/>
    <m/>
    <m/>
    <m/>
    <m/>
  </r>
  <r>
    <s v="PNEUS E RECAPAGENS"/>
    <x v="20"/>
    <x v="15"/>
    <n v="1310.3699999999999"/>
    <s v="0000000127"/>
    <s v="0985"/>
    <d v="2022-08-01T00:00:00"/>
    <s v="320301003"/>
    <s v="302"/>
    <s v="11"/>
    <s v="Credito"/>
    <x v="2"/>
    <x v="216"/>
    <m/>
    <s v="000252"/>
    <s v="000132"/>
    <n v="1310.3699999999999"/>
    <s v="0,00"/>
    <s v="0,00"/>
    <s v="0,00"/>
    <s v="0,00"/>
    <s v="ORC2022_2"/>
    <s v="0012"/>
    <m/>
    <m/>
    <m/>
    <m/>
    <m/>
  </r>
  <r>
    <s v="PNEUS E RECAPAGENS"/>
    <x v="20"/>
    <x v="15"/>
    <n v="402423.27"/>
    <s v="0000000127"/>
    <s v="0986"/>
    <d v="2022-08-01T00:00:00"/>
    <s v="320301003"/>
    <s v="304"/>
    <s v="11"/>
    <s v="Credito"/>
    <x v="2"/>
    <x v="216"/>
    <m/>
    <s v="000252"/>
    <s v="000132"/>
    <n v="402423.27"/>
    <s v="0,00"/>
    <s v="0,00"/>
    <s v="0,00"/>
    <s v="0,00"/>
    <s v="ORC2022_2"/>
    <s v="0012"/>
    <m/>
    <m/>
    <m/>
    <m/>
    <m/>
  </r>
  <r>
    <s v="PNEUS E RECAPAGENS"/>
    <x v="20"/>
    <x v="15"/>
    <n v="50466.33"/>
    <s v="0000000127"/>
    <s v="0987"/>
    <d v="2022-08-01T00:00:00"/>
    <s v="320301003"/>
    <s v="305"/>
    <s v="11"/>
    <s v="Credito"/>
    <x v="2"/>
    <x v="216"/>
    <m/>
    <s v="000252"/>
    <s v="000132"/>
    <n v="50466.33"/>
    <s v="0,00"/>
    <s v="0,00"/>
    <s v="0,00"/>
    <s v="0,00"/>
    <s v="ORC2022_2"/>
    <s v="0012"/>
    <m/>
    <m/>
    <m/>
    <m/>
    <m/>
  </r>
  <r>
    <s v="PNEUS E RECAPAGENS"/>
    <x v="20"/>
    <x v="15"/>
    <n v="4408.7"/>
    <s v="0000000127"/>
    <s v="0988"/>
    <d v="2022-08-01T00:00:00"/>
    <s v="320301003"/>
    <s v="303"/>
    <s v="21"/>
    <s v="Credito"/>
    <x v="2"/>
    <x v="216"/>
    <m/>
    <s v="000252"/>
    <s v="000132"/>
    <n v="4408.7"/>
    <s v="0,00"/>
    <s v="0,00"/>
    <s v="0,00"/>
    <s v="0,00"/>
    <s v="ORC2022_2"/>
    <s v="0012"/>
    <m/>
    <m/>
    <m/>
    <m/>
    <m/>
  </r>
  <r>
    <s v="PNEUS E RECAPAGENS"/>
    <x v="20"/>
    <x v="15"/>
    <n v="69698.720000000001"/>
    <s v="0000000127"/>
    <s v="0989"/>
    <d v="2022-08-01T00:00:00"/>
    <s v="320301003"/>
    <s v="305"/>
    <s v="21"/>
    <s v="Credito"/>
    <x v="2"/>
    <x v="216"/>
    <m/>
    <s v="000252"/>
    <s v="000132"/>
    <n v="69698.720000000001"/>
    <s v="0,00"/>
    <s v="0,00"/>
    <s v="0,00"/>
    <s v="0,00"/>
    <s v="ORC2022_2"/>
    <s v="0012"/>
    <m/>
    <m/>
    <m/>
    <m/>
    <m/>
  </r>
  <r>
    <s v="PNEUS E RECAPAGENS"/>
    <x v="20"/>
    <x v="15"/>
    <n v="1679.54"/>
    <s v="0000000127"/>
    <s v="0990"/>
    <d v="2022-08-01T00:00:00"/>
    <s v="320301003"/>
    <s v="306"/>
    <s v="21"/>
    <s v="Credito"/>
    <x v="2"/>
    <x v="216"/>
    <m/>
    <s v="000252"/>
    <s v="000132"/>
    <n v="1679.54"/>
    <s v="0,00"/>
    <s v="0,00"/>
    <s v="0,00"/>
    <s v="0,00"/>
    <s v="ORC2022_2"/>
    <s v="0012"/>
    <m/>
    <m/>
    <m/>
    <m/>
    <m/>
  </r>
  <r>
    <s v="PNEUS E RECAPAGENS"/>
    <x v="20"/>
    <x v="15"/>
    <n v="10172.42"/>
    <s v="0000000127"/>
    <s v="0991"/>
    <d v="2022-08-01T00:00:00"/>
    <s v="320301003"/>
    <s v="305"/>
    <s v="31"/>
    <s v="Credito"/>
    <x v="2"/>
    <x v="216"/>
    <m/>
    <s v="000252"/>
    <s v="000132"/>
    <n v="10172.42"/>
    <s v="0,00"/>
    <s v="0,00"/>
    <s v="0,00"/>
    <s v="0,00"/>
    <s v="ORC2022_2"/>
    <s v="0012"/>
    <m/>
    <m/>
    <m/>
    <m/>
    <m/>
  </r>
  <r>
    <s v="PNEUS E RECAPAGENS"/>
    <x v="20"/>
    <x v="16"/>
    <n v="326055.15999999997"/>
    <s v="0000000127"/>
    <s v="0992"/>
    <d v="2022-09-01T00:00:00"/>
    <s v="320301003"/>
    <s v="304"/>
    <s v="11"/>
    <s v="Credito"/>
    <x v="2"/>
    <x v="216"/>
    <m/>
    <s v="000252"/>
    <s v="000132"/>
    <n v="326055.15999999997"/>
    <s v="0,00"/>
    <s v="0,00"/>
    <s v="0,00"/>
    <s v="0,00"/>
    <s v="ORC2022_2"/>
    <s v="0012"/>
    <m/>
    <m/>
    <m/>
    <m/>
    <m/>
  </r>
  <r>
    <s v="PNEUS E RECAPAGENS"/>
    <x v="20"/>
    <x v="16"/>
    <n v="72559.91"/>
    <s v="0000000127"/>
    <s v="0993"/>
    <d v="2022-09-01T00:00:00"/>
    <s v="320301003"/>
    <s v="305"/>
    <s v="11"/>
    <s v="Credito"/>
    <x v="2"/>
    <x v="216"/>
    <m/>
    <s v="000252"/>
    <s v="000132"/>
    <n v="72559.91"/>
    <s v="0,00"/>
    <s v="0,00"/>
    <s v="0,00"/>
    <s v="0,00"/>
    <s v="ORC2022_2"/>
    <s v="0012"/>
    <m/>
    <m/>
    <m/>
    <m/>
    <m/>
  </r>
  <r>
    <s v="PNEUS E RECAPAGENS"/>
    <x v="20"/>
    <x v="16"/>
    <n v="13245.65"/>
    <s v="0000000127"/>
    <s v="0994"/>
    <d v="2022-09-01T00:00:00"/>
    <s v="320301003"/>
    <s v="304"/>
    <s v="21"/>
    <s v="Credito"/>
    <x v="2"/>
    <x v="216"/>
    <m/>
    <s v="000252"/>
    <s v="000132"/>
    <n v="13245.65"/>
    <s v="0,00"/>
    <s v="0,00"/>
    <s v="0,00"/>
    <s v="0,00"/>
    <s v="ORC2022_2"/>
    <s v="0012"/>
    <m/>
    <m/>
    <m/>
    <m/>
    <m/>
  </r>
  <r>
    <s v="PNEUS E RECAPAGENS"/>
    <x v="20"/>
    <x v="16"/>
    <n v="10686.04"/>
    <s v="0000000127"/>
    <s v="0995"/>
    <d v="2022-09-01T00:00:00"/>
    <s v="320301003"/>
    <s v="305"/>
    <s v="21"/>
    <s v="Credito"/>
    <x v="2"/>
    <x v="216"/>
    <m/>
    <s v="000252"/>
    <s v="000132"/>
    <n v="10686.04"/>
    <s v="0,00"/>
    <s v="0,00"/>
    <s v="0,00"/>
    <s v="0,00"/>
    <s v="ORC2022_2"/>
    <s v="0012"/>
    <m/>
    <m/>
    <m/>
    <m/>
    <m/>
  </r>
  <r>
    <s v="PNEUS E RECAPAGENS"/>
    <x v="20"/>
    <x v="16"/>
    <n v="74214.31"/>
    <s v="0000000127"/>
    <s v="0996"/>
    <d v="2022-09-01T00:00:00"/>
    <s v="320301003"/>
    <s v="305"/>
    <s v="31"/>
    <s v="Credito"/>
    <x v="2"/>
    <x v="216"/>
    <m/>
    <s v="000252"/>
    <s v="000132"/>
    <n v="74214.31"/>
    <s v="0,00"/>
    <s v="0,00"/>
    <s v="0,00"/>
    <s v="0,00"/>
    <s v="ORC2022_2"/>
    <s v="0012"/>
    <m/>
    <m/>
    <m/>
    <m/>
    <m/>
  </r>
  <r>
    <s v="PNEUS E RECAPAGENS"/>
    <x v="20"/>
    <x v="17"/>
    <n v="329315.71000000002"/>
    <s v="0000000127"/>
    <s v="0997"/>
    <d v="2022-10-01T00:00:00"/>
    <s v="320301003"/>
    <s v="304"/>
    <s v="11"/>
    <s v="Credito"/>
    <x v="2"/>
    <x v="216"/>
    <m/>
    <s v="000252"/>
    <s v="000132"/>
    <n v="329315.71000000002"/>
    <s v="0,00"/>
    <s v="0,00"/>
    <s v="0,00"/>
    <s v="0,00"/>
    <s v="ORC2022_2"/>
    <s v="0012"/>
    <m/>
    <m/>
    <m/>
    <m/>
    <m/>
  </r>
  <r>
    <s v="PNEUS E RECAPAGENS"/>
    <x v="20"/>
    <x v="17"/>
    <n v="73285.509999999995"/>
    <s v="0000000127"/>
    <s v="0998"/>
    <d v="2022-10-01T00:00:00"/>
    <s v="320301003"/>
    <s v="305"/>
    <s v="11"/>
    <s v="Credito"/>
    <x v="2"/>
    <x v="216"/>
    <m/>
    <s v="000252"/>
    <s v="000132"/>
    <n v="73285.509999999995"/>
    <s v="0,00"/>
    <s v="0,00"/>
    <s v="0,00"/>
    <s v="0,00"/>
    <s v="ORC2022_2"/>
    <s v="0012"/>
    <m/>
    <m/>
    <m/>
    <m/>
    <m/>
  </r>
  <r>
    <s v="PNEUS E RECAPAGENS"/>
    <x v="20"/>
    <x v="17"/>
    <n v="13378.11"/>
    <s v="0000000127"/>
    <s v="0999"/>
    <d v="2022-10-01T00:00:00"/>
    <s v="320301003"/>
    <s v="304"/>
    <s v="21"/>
    <s v="Credito"/>
    <x v="2"/>
    <x v="216"/>
    <m/>
    <s v="000252"/>
    <s v="000132"/>
    <n v="13378.11"/>
    <s v="0,00"/>
    <s v="0,00"/>
    <s v="0,00"/>
    <s v="0,00"/>
    <s v="ORC2022_2"/>
    <s v="0012"/>
    <m/>
    <m/>
    <m/>
    <m/>
    <m/>
  </r>
  <r>
    <s v="PNEUS E RECAPAGENS"/>
    <x v="20"/>
    <x v="17"/>
    <n v="10792.9"/>
    <s v="0000000127"/>
    <s v="1000"/>
    <d v="2022-10-01T00:00:00"/>
    <s v="320301003"/>
    <s v="305"/>
    <s v="21"/>
    <s v="Credito"/>
    <x v="2"/>
    <x v="216"/>
    <m/>
    <s v="000252"/>
    <s v="000132"/>
    <n v="10792.9"/>
    <s v="0,00"/>
    <s v="0,00"/>
    <s v="0,00"/>
    <s v="0,00"/>
    <s v="ORC2022_2"/>
    <s v="0012"/>
    <m/>
    <m/>
    <m/>
    <m/>
    <m/>
  </r>
  <r>
    <s v="PNEUS E RECAPAGENS"/>
    <x v="20"/>
    <x v="17"/>
    <n v="74956.45"/>
    <s v="0000000127"/>
    <s v="1001"/>
    <d v="2022-10-01T00:00:00"/>
    <s v="320301003"/>
    <s v="305"/>
    <s v="31"/>
    <s v="Credito"/>
    <x v="2"/>
    <x v="216"/>
    <m/>
    <s v="000252"/>
    <s v="000132"/>
    <n v="74956.45"/>
    <s v="0,00"/>
    <s v="0,00"/>
    <s v="0,00"/>
    <s v="0,00"/>
    <s v="ORC2022_2"/>
    <s v="0012"/>
    <m/>
    <m/>
    <m/>
    <m/>
    <m/>
  </r>
  <r>
    <s v="PNEUS E RECAPAGENS"/>
    <x v="20"/>
    <x v="0"/>
    <n v="332608.87"/>
    <s v="0000000127"/>
    <s v="1002"/>
    <d v="2022-11-01T00:00:00"/>
    <s v="320301003"/>
    <s v="304"/>
    <s v="11"/>
    <s v="Credito"/>
    <x v="2"/>
    <x v="216"/>
    <m/>
    <s v="000252"/>
    <s v="000132"/>
    <n v="332608.87"/>
    <s v="0,00"/>
    <s v="0,00"/>
    <s v="0,00"/>
    <s v="0,00"/>
    <s v="ORC2022_2"/>
    <s v="0012"/>
    <m/>
    <m/>
    <m/>
    <m/>
    <m/>
  </r>
  <r>
    <s v="PNEUS E RECAPAGENS"/>
    <x v="20"/>
    <x v="0"/>
    <n v="74018.36"/>
    <s v="0000000127"/>
    <s v="1003"/>
    <d v="2022-11-01T00:00:00"/>
    <s v="320301003"/>
    <s v="305"/>
    <s v="11"/>
    <s v="Credito"/>
    <x v="2"/>
    <x v="216"/>
    <m/>
    <s v="000252"/>
    <s v="000132"/>
    <n v="74018.36"/>
    <s v="0,00"/>
    <s v="0,00"/>
    <s v="0,00"/>
    <s v="0,00"/>
    <s v="ORC2022_2"/>
    <s v="0012"/>
    <m/>
    <m/>
    <m/>
    <m/>
    <m/>
  </r>
  <r>
    <s v="PNEUS E RECAPAGENS"/>
    <x v="20"/>
    <x v="0"/>
    <n v="13511.89"/>
    <s v="0000000127"/>
    <s v="1004"/>
    <d v="2022-11-01T00:00:00"/>
    <s v="320301003"/>
    <s v="304"/>
    <s v="21"/>
    <s v="Credito"/>
    <x v="2"/>
    <x v="216"/>
    <m/>
    <s v="000252"/>
    <s v="000132"/>
    <n v="13511.89"/>
    <s v="0,00"/>
    <s v="0,00"/>
    <s v="0,00"/>
    <s v="0,00"/>
    <s v="ORC2022_2"/>
    <s v="0012"/>
    <m/>
    <m/>
    <m/>
    <m/>
    <m/>
  </r>
  <r>
    <s v="PNEUS E RECAPAGENS"/>
    <x v="20"/>
    <x v="0"/>
    <n v="10900.83"/>
    <s v="0000000127"/>
    <s v="1005"/>
    <d v="2022-11-01T00:00:00"/>
    <s v="320301003"/>
    <s v="305"/>
    <s v="21"/>
    <s v="Credito"/>
    <x v="2"/>
    <x v="216"/>
    <m/>
    <s v="000252"/>
    <s v="000132"/>
    <n v="10900.83"/>
    <s v="0,00"/>
    <s v="0,00"/>
    <s v="0,00"/>
    <s v="0,00"/>
    <s v="ORC2022_2"/>
    <s v="0012"/>
    <m/>
    <m/>
    <m/>
    <m/>
    <m/>
  </r>
  <r>
    <s v="PNEUS E RECAPAGENS"/>
    <x v="20"/>
    <x v="0"/>
    <n v="75706.02"/>
    <s v="0000000127"/>
    <s v="1006"/>
    <d v="2022-11-01T00:00:00"/>
    <s v="320301003"/>
    <s v="305"/>
    <s v="31"/>
    <s v="Credito"/>
    <x v="2"/>
    <x v="216"/>
    <m/>
    <s v="000252"/>
    <s v="000132"/>
    <n v="75706.02"/>
    <s v="0,00"/>
    <s v="0,00"/>
    <s v="0,00"/>
    <s v="0,00"/>
    <s v="ORC2022_2"/>
    <s v="0012"/>
    <m/>
    <m/>
    <m/>
    <m/>
    <m/>
  </r>
  <r>
    <s v="PNEUS E RECAPAGENS"/>
    <x v="20"/>
    <x v="1"/>
    <n v="335934.96"/>
    <s v="0000000127"/>
    <s v="1007"/>
    <d v="2022-12-01T00:00:00"/>
    <s v="320301003"/>
    <s v="304"/>
    <s v="11"/>
    <s v="Credito"/>
    <x v="2"/>
    <x v="216"/>
    <m/>
    <s v="000252"/>
    <s v="000132"/>
    <n v="335934.96"/>
    <s v="0,00"/>
    <s v="0,00"/>
    <s v="0,00"/>
    <s v="0,00"/>
    <s v="ORC2022_2"/>
    <s v="0012"/>
    <m/>
    <m/>
    <m/>
    <m/>
    <m/>
  </r>
  <r>
    <s v="PNEUS E RECAPAGENS"/>
    <x v="20"/>
    <x v="1"/>
    <n v="74758.55"/>
    <s v="0000000127"/>
    <s v="1008"/>
    <d v="2022-12-01T00:00:00"/>
    <s v="320301003"/>
    <s v="305"/>
    <s v="11"/>
    <s v="Credito"/>
    <x v="2"/>
    <x v="216"/>
    <m/>
    <s v="000252"/>
    <s v="000132"/>
    <n v="74758.55"/>
    <s v="0,00"/>
    <s v="0,00"/>
    <s v="0,00"/>
    <s v="0,00"/>
    <s v="ORC2022_2"/>
    <s v="0012"/>
    <m/>
    <m/>
    <m/>
    <m/>
    <m/>
  </r>
  <r>
    <s v="PNEUS E RECAPAGENS"/>
    <x v="20"/>
    <x v="1"/>
    <n v="13647.01"/>
    <s v="0000000127"/>
    <s v="1009"/>
    <d v="2022-12-01T00:00:00"/>
    <s v="320301003"/>
    <s v="304"/>
    <s v="21"/>
    <s v="Credito"/>
    <x v="2"/>
    <x v="216"/>
    <m/>
    <s v="000252"/>
    <s v="000132"/>
    <n v="13647.01"/>
    <s v="0,00"/>
    <s v="0,00"/>
    <s v="0,00"/>
    <s v="0,00"/>
    <s v="ORC2022_2"/>
    <s v="0012"/>
    <m/>
    <m/>
    <m/>
    <m/>
    <m/>
  </r>
  <r>
    <s v="PNEUS E RECAPAGENS"/>
    <x v="20"/>
    <x v="1"/>
    <n v="11009.84"/>
    <s v="0000000127"/>
    <s v="1010"/>
    <d v="2022-12-01T00:00:00"/>
    <s v="320301003"/>
    <s v="305"/>
    <s v="21"/>
    <s v="Credito"/>
    <x v="2"/>
    <x v="216"/>
    <m/>
    <s v="000252"/>
    <s v="000132"/>
    <n v="11009.84"/>
    <s v="0,00"/>
    <s v="0,00"/>
    <s v="0,00"/>
    <s v="0,00"/>
    <s v="ORC2022_2"/>
    <s v="0012"/>
    <m/>
    <m/>
    <m/>
    <m/>
    <m/>
  </r>
  <r>
    <s v="PNEUS E RECAPAGENS"/>
    <x v="20"/>
    <x v="1"/>
    <n v="76463.08"/>
    <s v="0000000127"/>
    <s v="1011"/>
    <d v="2022-12-01T00:00:00"/>
    <s v="320301003"/>
    <s v="305"/>
    <s v="31"/>
    <s v="Credito"/>
    <x v="2"/>
    <x v="216"/>
    <m/>
    <s v="000252"/>
    <s v="000132"/>
    <n v="76463.08"/>
    <s v="0,00"/>
    <s v="0,00"/>
    <s v="0,00"/>
    <s v="0,00"/>
    <s v="ORC2022_2"/>
    <s v="0012"/>
    <m/>
    <m/>
    <m/>
    <m/>
    <m/>
  </r>
  <r>
    <s v="PECAS E ACESSORIOS"/>
    <x v="0"/>
    <x v="8"/>
    <n v="157"/>
    <s v="0000000127"/>
    <s v="1012"/>
    <d v="2022-01-01T00:00:00"/>
    <s v="320301004"/>
    <s v="302"/>
    <s v="11"/>
    <s v="Credito"/>
    <x v="2"/>
    <x v="216"/>
    <m/>
    <s v="000252"/>
    <s v="000132"/>
    <n v="157"/>
    <s v="0,00"/>
    <s v="0,00"/>
    <s v="0,00"/>
    <s v="0,00"/>
    <s v="ORC2022_2"/>
    <s v="0012"/>
    <m/>
    <m/>
    <m/>
    <m/>
    <m/>
  </r>
  <r>
    <s v="PECAS E ACESSORIOS"/>
    <x v="0"/>
    <x v="8"/>
    <n v="32652.7"/>
    <s v="0000000127"/>
    <s v="1013"/>
    <d v="2022-01-01T00:00:00"/>
    <s v="320301004"/>
    <s v="304"/>
    <s v="11"/>
    <s v="Credito"/>
    <x v="2"/>
    <x v="216"/>
    <m/>
    <s v="000252"/>
    <s v="000132"/>
    <n v="32652.7"/>
    <s v="0,00"/>
    <s v="0,00"/>
    <s v="0,00"/>
    <s v="0,00"/>
    <s v="ORC2022_2"/>
    <s v="0012"/>
    <m/>
    <m/>
    <m/>
    <m/>
    <m/>
  </r>
  <r>
    <s v="PECAS E ACESSORIOS"/>
    <x v="0"/>
    <x v="8"/>
    <n v="24.12"/>
    <s v="0000000127"/>
    <s v="1014"/>
    <d v="2022-01-01T00:00:00"/>
    <s v="320301004"/>
    <s v="305"/>
    <s v="11"/>
    <s v="Credito"/>
    <x v="2"/>
    <x v="216"/>
    <m/>
    <s v="000252"/>
    <s v="000132"/>
    <n v="24.12"/>
    <s v="0,00"/>
    <s v="0,00"/>
    <s v="0,00"/>
    <s v="0,00"/>
    <s v="ORC2022_2"/>
    <s v="0012"/>
    <m/>
    <m/>
    <m/>
    <m/>
    <m/>
  </r>
  <r>
    <s v="PECAS E ACESSORIOS"/>
    <x v="0"/>
    <x v="8"/>
    <n v="28336.28"/>
    <s v="0000000127"/>
    <s v="1015"/>
    <d v="2022-01-01T00:00:00"/>
    <s v="320301004"/>
    <s v="303"/>
    <s v="21"/>
    <s v="Credito"/>
    <x v="2"/>
    <x v="216"/>
    <m/>
    <s v="000252"/>
    <s v="000132"/>
    <n v="28336.28"/>
    <s v="0,00"/>
    <s v="0,00"/>
    <s v="0,00"/>
    <s v="0,00"/>
    <s v="ORC2022_2"/>
    <s v="0012"/>
    <m/>
    <m/>
    <m/>
    <m/>
    <m/>
  </r>
  <r>
    <s v="PECAS E ACESSORIOS"/>
    <x v="0"/>
    <x v="8"/>
    <n v="8698.82"/>
    <s v="0000000127"/>
    <s v="1016"/>
    <d v="2022-01-01T00:00:00"/>
    <s v="320301004"/>
    <s v="305"/>
    <s v="21"/>
    <s v="Credito"/>
    <x v="2"/>
    <x v="216"/>
    <m/>
    <s v="000252"/>
    <s v="000132"/>
    <n v="8698.82"/>
    <s v="0,00"/>
    <s v="0,00"/>
    <s v="0,00"/>
    <s v="0,00"/>
    <s v="ORC2022_2"/>
    <s v="0012"/>
    <m/>
    <m/>
    <m/>
    <m/>
    <m/>
  </r>
  <r>
    <s v="PECAS E ACESSORIOS"/>
    <x v="0"/>
    <x v="8"/>
    <n v="58263.519999999997"/>
    <s v="0000000127"/>
    <s v="1017"/>
    <d v="2022-01-01T00:00:00"/>
    <s v="320301004"/>
    <s v="305"/>
    <s v="31"/>
    <s v="Credito"/>
    <x v="2"/>
    <x v="216"/>
    <m/>
    <s v="000252"/>
    <s v="000132"/>
    <n v="58263.519999999997"/>
    <s v="0,00"/>
    <s v="0,00"/>
    <s v="0,00"/>
    <s v="0,00"/>
    <s v="ORC2022_2"/>
    <s v="0012"/>
    <m/>
    <m/>
    <m/>
    <m/>
    <m/>
  </r>
  <r>
    <s v="PECAS E ACESSORIOS"/>
    <x v="0"/>
    <x v="8"/>
    <n v="14758.17"/>
    <s v="0000000127"/>
    <s v="1018"/>
    <d v="2022-01-01T00:00:00"/>
    <s v="320301004"/>
    <s v="301"/>
    <s v="90"/>
    <s v="Credito"/>
    <x v="2"/>
    <x v="216"/>
    <m/>
    <s v="000252"/>
    <s v="000132"/>
    <n v="14758.17"/>
    <s v="0,00"/>
    <s v="0,00"/>
    <s v="0,00"/>
    <s v="0,00"/>
    <s v="ORC2022_2"/>
    <s v="0012"/>
    <m/>
    <m/>
    <m/>
    <m/>
    <m/>
  </r>
  <r>
    <s v="PECAS E ACESSORIOS"/>
    <x v="0"/>
    <x v="9"/>
    <n v="455.17"/>
    <s v="0000000127"/>
    <s v="1019"/>
    <d v="2022-02-01T00:00:00"/>
    <s v="320301004"/>
    <s v="302"/>
    <s v="11"/>
    <s v="Credito"/>
    <x v="2"/>
    <x v="216"/>
    <m/>
    <s v="000252"/>
    <s v="000132"/>
    <n v="455.17"/>
    <s v="0,00"/>
    <s v="0,00"/>
    <s v="0,00"/>
    <s v="0,00"/>
    <s v="ORC2022_2"/>
    <s v="0012"/>
    <m/>
    <m/>
    <m/>
    <m/>
    <m/>
  </r>
  <r>
    <s v="PECAS E ACESSORIOS"/>
    <x v="0"/>
    <x v="9"/>
    <n v="12668.56"/>
    <s v="0000000127"/>
    <s v="1020"/>
    <d v="2022-02-01T00:00:00"/>
    <s v="320301004"/>
    <s v="304"/>
    <s v="11"/>
    <s v="Credito"/>
    <x v="2"/>
    <x v="216"/>
    <m/>
    <s v="000252"/>
    <s v="000132"/>
    <n v="12668.56"/>
    <s v="0,00"/>
    <s v="0,00"/>
    <s v="0,00"/>
    <s v="0,00"/>
    <s v="ORC2022_2"/>
    <s v="0012"/>
    <m/>
    <m/>
    <m/>
    <m/>
    <m/>
  </r>
  <r>
    <s v="PECAS E ACESSORIOS"/>
    <x v="0"/>
    <x v="9"/>
    <n v="17.46"/>
    <s v="0000000127"/>
    <s v="1021"/>
    <d v="2022-02-01T00:00:00"/>
    <s v="320301004"/>
    <s v="301"/>
    <s v="21"/>
    <s v="Credito"/>
    <x v="2"/>
    <x v="216"/>
    <m/>
    <s v="000252"/>
    <s v="000132"/>
    <n v="17.46"/>
    <s v="0,00"/>
    <s v="0,00"/>
    <s v="0,00"/>
    <s v="0,00"/>
    <s v="ORC2022_2"/>
    <s v="0012"/>
    <m/>
    <m/>
    <m/>
    <m/>
    <m/>
  </r>
  <r>
    <s v="PECAS E ACESSORIOS"/>
    <x v="0"/>
    <x v="9"/>
    <n v="52177.06"/>
    <s v="0000000127"/>
    <s v="1022"/>
    <d v="2022-02-01T00:00:00"/>
    <s v="320301004"/>
    <s v="303"/>
    <s v="21"/>
    <s v="Credito"/>
    <x v="2"/>
    <x v="216"/>
    <m/>
    <s v="000252"/>
    <s v="000132"/>
    <n v="52177.06"/>
    <s v="0,00"/>
    <s v="0,00"/>
    <s v="0,00"/>
    <s v="0,00"/>
    <s v="ORC2022_2"/>
    <s v="0012"/>
    <m/>
    <m/>
    <m/>
    <m/>
    <m/>
  </r>
  <r>
    <s v="PECAS E ACESSORIOS"/>
    <x v="0"/>
    <x v="9"/>
    <n v="272900.44"/>
    <s v="0000000127"/>
    <s v="1023"/>
    <d v="2022-02-01T00:00:00"/>
    <s v="320301004"/>
    <s v="305"/>
    <s v="21"/>
    <s v="Credito"/>
    <x v="2"/>
    <x v="216"/>
    <m/>
    <s v="000252"/>
    <s v="000132"/>
    <n v="272900.44"/>
    <s v="0,00"/>
    <s v="0,00"/>
    <s v="0,00"/>
    <s v="0,00"/>
    <s v="ORC2022_2"/>
    <s v="0012"/>
    <m/>
    <m/>
    <m/>
    <m/>
    <m/>
  </r>
  <r>
    <s v="PECAS E ACESSORIOS"/>
    <x v="0"/>
    <x v="9"/>
    <n v="77055"/>
    <s v="0000000127"/>
    <s v="1024"/>
    <d v="2022-02-01T00:00:00"/>
    <s v="320301004"/>
    <s v="305"/>
    <s v="31"/>
    <s v="Credito"/>
    <x v="2"/>
    <x v="216"/>
    <m/>
    <s v="000252"/>
    <s v="000132"/>
    <n v="77055"/>
    <s v="0,00"/>
    <s v="0,00"/>
    <s v="0,00"/>
    <s v="0,00"/>
    <s v="ORC2022_2"/>
    <s v="0012"/>
    <m/>
    <m/>
    <m/>
    <m/>
    <m/>
  </r>
  <r>
    <s v="PECAS E ACESSORIOS"/>
    <x v="0"/>
    <x v="9"/>
    <n v="20275.86"/>
    <s v="0000000127"/>
    <s v="1025"/>
    <d v="2022-02-01T00:00:00"/>
    <s v="320301004"/>
    <s v="301"/>
    <s v="90"/>
    <s v="Credito"/>
    <x v="2"/>
    <x v="216"/>
    <m/>
    <s v="000252"/>
    <s v="000132"/>
    <n v="20275.86"/>
    <s v="0,00"/>
    <s v="0,00"/>
    <s v="0,00"/>
    <s v="0,00"/>
    <s v="ORC2022_2"/>
    <s v="0012"/>
    <m/>
    <m/>
    <m/>
    <m/>
    <m/>
  </r>
  <r>
    <s v="PECAS E ACESSORIOS"/>
    <x v="0"/>
    <x v="10"/>
    <n v="7178.13"/>
    <s v="0000000127"/>
    <s v="1026"/>
    <d v="2022-03-01T00:00:00"/>
    <s v="320301004"/>
    <s v="304"/>
    <s v="11"/>
    <s v="Credito"/>
    <x v="2"/>
    <x v="216"/>
    <m/>
    <s v="000252"/>
    <s v="000132"/>
    <n v="7178.13"/>
    <s v="0,00"/>
    <s v="0,00"/>
    <s v="0,00"/>
    <s v="0,00"/>
    <s v="ORC2022_2"/>
    <s v="0012"/>
    <m/>
    <m/>
    <m/>
    <m/>
    <m/>
  </r>
  <r>
    <s v="PECAS E ACESSORIOS"/>
    <x v="0"/>
    <x v="10"/>
    <n v="415035.22"/>
    <s v="0000000127"/>
    <s v="1027"/>
    <d v="2022-03-01T00:00:00"/>
    <s v="320301004"/>
    <s v="305"/>
    <s v="21"/>
    <s v="Credito"/>
    <x v="2"/>
    <x v="216"/>
    <m/>
    <s v="000252"/>
    <s v="000132"/>
    <n v="415035.22"/>
    <s v="0,00"/>
    <s v="0,00"/>
    <s v="0,00"/>
    <s v="0,00"/>
    <s v="ORC2022_2"/>
    <s v="0012"/>
    <m/>
    <m/>
    <m/>
    <m/>
    <m/>
  </r>
  <r>
    <s v="PECAS E ACESSORIOS"/>
    <x v="0"/>
    <x v="10"/>
    <n v="67.08"/>
    <s v="0000000127"/>
    <s v="1028"/>
    <d v="2022-03-01T00:00:00"/>
    <s v="320301004"/>
    <s v="305"/>
    <s v="31"/>
    <s v="Credito"/>
    <x v="2"/>
    <x v="216"/>
    <m/>
    <s v="000252"/>
    <s v="000132"/>
    <n v="67.08"/>
    <s v="0,00"/>
    <s v="0,00"/>
    <s v="0,00"/>
    <s v="0,00"/>
    <s v="ORC2022_2"/>
    <s v="0012"/>
    <m/>
    <m/>
    <m/>
    <m/>
    <m/>
  </r>
  <r>
    <s v="PECAS E ACESSORIOS"/>
    <x v="0"/>
    <x v="10"/>
    <n v="38277.71"/>
    <s v="0000000127"/>
    <s v="1029"/>
    <d v="2022-03-01T00:00:00"/>
    <s v="320301004"/>
    <s v="306"/>
    <s v="33"/>
    <s v="Credito"/>
    <x v="2"/>
    <x v="216"/>
    <m/>
    <s v="000252"/>
    <s v="000132"/>
    <n v="38277.71"/>
    <s v="0,00"/>
    <s v="0,00"/>
    <s v="0,00"/>
    <s v="0,00"/>
    <s v="ORC2022_2"/>
    <s v="0012"/>
    <m/>
    <m/>
    <m/>
    <m/>
    <m/>
  </r>
  <r>
    <s v="PECAS E ACESSORIOS"/>
    <x v="0"/>
    <x v="10"/>
    <n v="17805.75"/>
    <s v="0000000127"/>
    <s v="1030"/>
    <d v="2022-03-01T00:00:00"/>
    <s v="320301004"/>
    <s v="301"/>
    <s v="90"/>
    <s v="Credito"/>
    <x v="2"/>
    <x v="216"/>
    <m/>
    <s v="000252"/>
    <s v="000132"/>
    <n v="17805.75"/>
    <s v="0,00"/>
    <s v="0,00"/>
    <s v="0,00"/>
    <s v="0,00"/>
    <s v="ORC2022_2"/>
    <s v="0012"/>
    <m/>
    <m/>
    <m/>
    <m/>
    <m/>
  </r>
  <r>
    <s v="PECAS E ACESSORIOS"/>
    <x v="0"/>
    <x v="11"/>
    <n v="358.21"/>
    <s v="0000000127"/>
    <s v="1031"/>
    <d v="2022-04-01T00:00:00"/>
    <s v="320301004"/>
    <s v="302"/>
    <s v="11"/>
    <s v="Credito"/>
    <x v="2"/>
    <x v="216"/>
    <m/>
    <s v="000252"/>
    <s v="000132"/>
    <n v="358.21"/>
    <s v="0,00"/>
    <s v="0,00"/>
    <s v="0,00"/>
    <s v="0,00"/>
    <s v="ORC2022_2"/>
    <s v="0012"/>
    <m/>
    <m/>
    <m/>
    <m/>
    <m/>
  </r>
  <r>
    <s v="PECAS E ACESSORIOS"/>
    <x v="0"/>
    <x v="11"/>
    <n v="8836.06"/>
    <s v="0000000127"/>
    <s v="1032"/>
    <d v="2022-04-01T00:00:00"/>
    <s v="320301004"/>
    <s v="304"/>
    <s v="11"/>
    <s v="Credito"/>
    <x v="2"/>
    <x v="216"/>
    <m/>
    <s v="000252"/>
    <s v="000132"/>
    <n v="8836.06"/>
    <s v="0,00"/>
    <s v="0,00"/>
    <s v="0,00"/>
    <s v="0,00"/>
    <s v="ORC2022_2"/>
    <s v="0012"/>
    <m/>
    <m/>
    <m/>
    <m/>
    <m/>
  </r>
  <r>
    <s v="PECAS E ACESSORIOS"/>
    <x v="0"/>
    <x v="11"/>
    <n v="28572.7"/>
    <s v="0000000127"/>
    <s v="1033"/>
    <d v="2022-04-01T00:00:00"/>
    <s v="320301004"/>
    <s v="303"/>
    <s v="21"/>
    <s v="Credito"/>
    <x v="2"/>
    <x v="216"/>
    <m/>
    <s v="000252"/>
    <s v="000132"/>
    <n v="28572.7"/>
    <s v="0,00"/>
    <s v="0,00"/>
    <s v="0,00"/>
    <s v="0,00"/>
    <s v="ORC2022_2"/>
    <s v="0012"/>
    <m/>
    <m/>
    <m/>
    <m/>
    <m/>
  </r>
  <r>
    <s v="PECAS E ACESSORIOS"/>
    <x v="0"/>
    <x v="11"/>
    <n v="286584.40000000002"/>
    <s v="0000000127"/>
    <s v="1034"/>
    <d v="2022-04-01T00:00:00"/>
    <s v="320301004"/>
    <s v="305"/>
    <s v="21"/>
    <s v="Credito"/>
    <x v="2"/>
    <x v="216"/>
    <m/>
    <s v="000252"/>
    <s v="000132"/>
    <n v="286584.40000000002"/>
    <s v="0,00"/>
    <s v="0,00"/>
    <s v="0,00"/>
    <s v="0,00"/>
    <s v="ORC2022_2"/>
    <s v="0012"/>
    <m/>
    <m/>
    <m/>
    <m/>
    <m/>
  </r>
  <r>
    <s v="PECAS E ACESSORIOS"/>
    <x v="0"/>
    <x v="11"/>
    <n v="10.78"/>
    <s v="0000000127"/>
    <s v="1035"/>
    <d v="2022-04-01T00:00:00"/>
    <s v="320301004"/>
    <s v="303"/>
    <s v="31"/>
    <s v="Credito"/>
    <x v="2"/>
    <x v="216"/>
    <m/>
    <s v="000252"/>
    <s v="000132"/>
    <n v="10.78"/>
    <s v="0,00"/>
    <s v="0,00"/>
    <s v="0,00"/>
    <s v="0,00"/>
    <s v="ORC2022_2"/>
    <s v="0012"/>
    <m/>
    <m/>
    <m/>
    <m/>
    <m/>
  </r>
  <r>
    <s v="PECAS E ACESSORIOS"/>
    <x v="0"/>
    <x v="11"/>
    <n v="218.82"/>
    <s v="0000000127"/>
    <s v="1036"/>
    <d v="2022-04-01T00:00:00"/>
    <s v="320301004"/>
    <s v="305"/>
    <s v="31"/>
    <s v="Credito"/>
    <x v="2"/>
    <x v="216"/>
    <m/>
    <s v="000252"/>
    <s v="000132"/>
    <n v="218.82"/>
    <s v="0,00"/>
    <s v="0,00"/>
    <s v="0,00"/>
    <s v="0,00"/>
    <s v="ORC2022_2"/>
    <s v="0012"/>
    <m/>
    <m/>
    <m/>
    <m/>
    <m/>
  </r>
  <r>
    <s v="PECAS E ACESSORIOS"/>
    <x v="0"/>
    <x v="11"/>
    <n v="18824.740000000002"/>
    <s v="0000000127"/>
    <s v="1037"/>
    <d v="2022-04-01T00:00:00"/>
    <s v="320301004"/>
    <s v="301"/>
    <s v="90"/>
    <s v="Credito"/>
    <x v="2"/>
    <x v="216"/>
    <m/>
    <s v="000252"/>
    <s v="000132"/>
    <n v="18824.740000000002"/>
    <s v="0,00"/>
    <s v="0,00"/>
    <s v="0,00"/>
    <s v="0,00"/>
    <s v="ORC2022_2"/>
    <s v="0012"/>
    <m/>
    <m/>
    <m/>
    <m/>
    <m/>
  </r>
  <r>
    <s v="PECAS E ACESSORIOS"/>
    <x v="0"/>
    <x v="12"/>
    <n v="504.11"/>
    <s v="0000000127"/>
    <s v="1038"/>
    <d v="2022-05-01T00:00:00"/>
    <s v="320301004"/>
    <s v="302"/>
    <s v="11"/>
    <s v="Credito"/>
    <x v="2"/>
    <x v="216"/>
    <m/>
    <s v="000252"/>
    <s v="000132"/>
    <n v="504.11"/>
    <s v="0,00"/>
    <s v="0,00"/>
    <s v="0,00"/>
    <s v="0,00"/>
    <s v="ORC2022_2"/>
    <s v="0012"/>
    <m/>
    <m/>
    <m/>
    <m/>
    <m/>
  </r>
  <r>
    <s v="PECAS E ACESSORIOS"/>
    <x v="0"/>
    <x v="12"/>
    <n v="11897.54"/>
    <s v="0000000127"/>
    <s v="1039"/>
    <d v="2022-05-01T00:00:00"/>
    <s v="320301004"/>
    <s v="304"/>
    <s v="11"/>
    <s v="Credito"/>
    <x v="2"/>
    <x v="216"/>
    <m/>
    <s v="000252"/>
    <s v="000132"/>
    <n v="11897.54"/>
    <s v="0,00"/>
    <s v="0,00"/>
    <s v="0,00"/>
    <s v="0,00"/>
    <s v="ORC2022_2"/>
    <s v="0012"/>
    <m/>
    <m/>
    <m/>
    <m/>
    <m/>
  </r>
  <r>
    <s v="PECAS E ACESSORIOS"/>
    <x v="0"/>
    <x v="12"/>
    <n v="4871.8900000000003"/>
    <s v="0000000127"/>
    <s v="1040"/>
    <d v="2022-05-01T00:00:00"/>
    <s v="320301004"/>
    <s v="303"/>
    <s v="21"/>
    <s v="Credito"/>
    <x v="2"/>
    <x v="216"/>
    <m/>
    <s v="000252"/>
    <s v="000132"/>
    <n v="4871.8900000000003"/>
    <s v="0,00"/>
    <s v="0,00"/>
    <s v="0,00"/>
    <s v="0,00"/>
    <s v="ORC2022_2"/>
    <s v="0012"/>
    <m/>
    <m/>
    <m/>
    <m/>
    <m/>
  </r>
  <r>
    <s v="PECAS E ACESSORIOS"/>
    <x v="0"/>
    <x v="12"/>
    <n v="189311.53"/>
    <s v="0000000127"/>
    <s v="1041"/>
    <d v="2022-05-01T00:00:00"/>
    <s v="320301004"/>
    <s v="305"/>
    <s v="21"/>
    <s v="Credito"/>
    <x v="2"/>
    <x v="216"/>
    <m/>
    <s v="000252"/>
    <s v="000132"/>
    <n v="189311.53"/>
    <s v="0,00"/>
    <s v="0,00"/>
    <s v="0,00"/>
    <s v="0,00"/>
    <s v="ORC2022_2"/>
    <s v="0012"/>
    <m/>
    <m/>
    <m/>
    <m/>
    <m/>
  </r>
  <r>
    <s v="PECAS E ACESSORIOS"/>
    <x v="0"/>
    <x v="12"/>
    <n v="112353.16"/>
    <s v="0000000127"/>
    <s v="1042"/>
    <d v="2022-05-01T00:00:00"/>
    <s v="320301004"/>
    <s v="305"/>
    <s v="31"/>
    <s v="Credito"/>
    <x v="2"/>
    <x v="216"/>
    <m/>
    <s v="000252"/>
    <s v="000132"/>
    <n v="112353.16"/>
    <s v="0,00"/>
    <s v="0,00"/>
    <s v="0,00"/>
    <s v="0,00"/>
    <s v="ORC2022_2"/>
    <s v="0012"/>
    <m/>
    <m/>
    <m/>
    <m/>
    <m/>
  </r>
  <r>
    <s v="PECAS E ACESSORIOS"/>
    <x v="0"/>
    <x v="12"/>
    <n v="21156.59"/>
    <s v="0000000127"/>
    <s v="1043"/>
    <d v="2022-05-01T00:00:00"/>
    <s v="320301004"/>
    <s v="301"/>
    <s v="90"/>
    <s v="Credito"/>
    <x v="2"/>
    <x v="216"/>
    <m/>
    <s v="000252"/>
    <s v="000132"/>
    <n v="21156.59"/>
    <s v="0,00"/>
    <s v="0,00"/>
    <s v="0,00"/>
    <s v="0,00"/>
    <s v="ORC2022_2"/>
    <s v="0012"/>
    <m/>
    <m/>
    <m/>
    <m/>
    <m/>
  </r>
  <r>
    <s v="PECAS E ACESSORIOS"/>
    <x v="0"/>
    <x v="13"/>
    <n v="2033.51"/>
    <s v="0000000127"/>
    <s v="1044"/>
    <d v="2022-06-01T00:00:00"/>
    <s v="320301004"/>
    <s v="302"/>
    <s v="11"/>
    <s v="Credito"/>
    <x v="2"/>
    <x v="216"/>
    <m/>
    <s v="000252"/>
    <s v="000132"/>
    <n v="2033.51"/>
    <s v="0,00"/>
    <s v="0,00"/>
    <s v="0,00"/>
    <s v="0,00"/>
    <s v="ORC2022_2"/>
    <s v="0012"/>
    <m/>
    <m/>
    <m/>
    <m/>
    <m/>
  </r>
  <r>
    <s v="PECAS E ACESSORIOS"/>
    <x v="0"/>
    <x v="13"/>
    <n v="15535.82"/>
    <s v="0000000127"/>
    <s v="1045"/>
    <d v="2022-06-01T00:00:00"/>
    <s v="320301004"/>
    <s v="304"/>
    <s v="11"/>
    <s v="Credito"/>
    <x v="2"/>
    <x v="216"/>
    <m/>
    <s v="000252"/>
    <s v="000132"/>
    <n v="15535.82"/>
    <s v="0,00"/>
    <s v="0,00"/>
    <s v="0,00"/>
    <s v="0,00"/>
    <s v="ORC2022_2"/>
    <s v="0012"/>
    <m/>
    <m/>
    <m/>
    <m/>
    <m/>
  </r>
  <r>
    <s v="PECAS E ACESSORIOS"/>
    <x v="0"/>
    <x v="13"/>
    <n v="51.47"/>
    <s v="0000000127"/>
    <s v="1046"/>
    <d v="2022-06-01T00:00:00"/>
    <s v="320301004"/>
    <s v="305"/>
    <s v="11"/>
    <s v="Credito"/>
    <x v="2"/>
    <x v="216"/>
    <m/>
    <s v="000252"/>
    <s v="000132"/>
    <n v="51.47"/>
    <s v="0,00"/>
    <s v="0,00"/>
    <s v="0,00"/>
    <s v="0,00"/>
    <s v="ORC2022_2"/>
    <s v="0012"/>
    <m/>
    <m/>
    <m/>
    <m/>
    <m/>
  </r>
  <r>
    <s v="PECAS E ACESSORIOS"/>
    <x v="0"/>
    <x v="13"/>
    <n v="141.38"/>
    <s v="0000000127"/>
    <s v="1047"/>
    <d v="2022-06-01T00:00:00"/>
    <s v="320301004"/>
    <s v="303"/>
    <s v="21"/>
    <s v="Credito"/>
    <x v="2"/>
    <x v="216"/>
    <m/>
    <s v="000252"/>
    <s v="000132"/>
    <n v="141.38"/>
    <s v="0,00"/>
    <s v="0,00"/>
    <s v="0,00"/>
    <s v="0,00"/>
    <s v="ORC2022_2"/>
    <s v="0012"/>
    <m/>
    <m/>
    <m/>
    <m/>
    <m/>
  </r>
  <r>
    <s v="PECAS E ACESSORIOS"/>
    <x v="0"/>
    <x v="13"/>
    <n v="466262.21"/>
    <s v="0000000127"/>
    <s v="1048"/>
    <d v="2022-06-01T00:00:00"/>
    <s v="320301004"/>
    <s v="305"/>
    <s v="21"/>
    <s v="Credito"/>
    <x v="2"/>
    <x v="216"/>
    <m/>
    <s v="000252"/>
    <s v="000132"/>
    <n v="466262.21"/>
    <s v="0,00"/>
    <s v="0,00"/>
    <s v="0,00"/>
    <s v="0,00"/>
    <s v="ORC2022_2"/>
    <s v="0012"/>
    <m/>
    <m/>
    <m/>
    <m/>
    <m/>
  </r>
  <r>
    <s v="PECAS E ACESSORIOS"/>
    <x v="0"/>
    <x v="13"/>
    <n v="73746.100000000006"/>
    <s v="0000000127"/>
    <s v="1049"/>
    <d v="2022-06-01T00:00:00"/>
    <s v="320301004"/>
    <s v="305"/>
    <s v="31"/>
    <s v="Credito"/>
    <x v="2"/>
    <x v="216"/>
    <m/>
    <s v="000252"/>
    <s v="000132"/>
    <n v="73746.100000000006"/>
    <s v="0,00"/>
    <s v="0,00"/>
    <s v="0,00"/>
    <s v="0,00"/>
    <s v="ORC2022_2"/>
    <s v="0012"/>
    <m/>
    <m/>
    <m/>
    <m/>
    <m/>
  </r>
  <r>
    <s v="PECAS E ACESSORIOS"/>
    <x v="0"/>
    <x v="13"/>
    <n v="2348.2600000000002"/>
    <s v="0000000127"/>
    <s v="1050"/>
    <d v="2022-06-01T00:00:00"/>
    <s v="320301004"/>
    <s v="201"/>
    <s v="90"/>
    <s v="Credito"/>
    <x v="2"/>
    <x v="216"/>
    <m/>
    <s v="000252"/>
    <s v="000132"/>
    <n v="2348.2600000000002"/>
    <s v="0,00"/>
    <s v="0,00"/>
    <s v="0,00"/>
    <s v="0,00"/>
    <s v="ORC2022_2"/>
    <s v="0012"/>
    <m/>
    <m/>
    <m/>
    <m/>
    <m/>
  </r>
  <r>
    <s v="PECAS E ACESSORIOS"/>
    <x v="0"/>
    <x v="13"/>
    <n v="21862.87"/>
    <s v="0000000127"/>
    <s v="1051"/>
    <d v="2022-06-01T00:00:00"/>
    <s v="320301004"/>
    <s v="301"/>
    <s v="90"/>
    <s v="Credito"/>
    <x v="2"/>
    <x v="216"/>
    <m/>
    <s v="000252"/>
    <s v="000132"/>
    <n v="21862.87"/>
    <s v="0,00"/>
    <s v="0,00"/>
    <s v="0,00"/>
    <s v="0,00"/>
    <s v="ORC2022_2"/>
    <s v="0012"/>
    <m/>
    <m/>
    <m/>
    <m/>
    <m/>
  </r>
  <r>
    <s v="PECAS E ACESSORIOS"/>
    <x v="0"/>
    <x v="13"/>
    <n v="152.18"/>
    <s v="0000000127"/>
    <s v="1052"/>
    <d v="2022-06-01T00:00:00"/>
    <s v="320301004"/>
    <s v="302"/>
    <s v="90"/>
    <s v="Credito"/>
    <x v="2"/>
    <x v="216"/>
    <m/>
    <s v="000252"/>
    <s v="000132"/>
    <n v="152.18"/>
    <s v="0,00"/>
    <s v="0,00"/>
    <s v="0,00"/>
    <s v="0,00"/>
    <s v="ORC2022_2"/>
    <s v="0012"/>
    <m/>
    <m/>
    <m/>
    <m/>
    <m/>
  </r>
  <r>
    <s v="PECAS E ACESSORIOS"/>
    <x v="0"/>
    <x v="14"/>
    <n v="2564.5700000000002"/>
    <s v="0000000127"/>
    <s v="1053"/>
    <d v="2022-07-01T00:00:00"/>
    <s v="320301004"/>
    <s v="302"/>
    <s v="11"/>
    <s v="Credito"/>
    <x v="2"/>
    <x v="216"/>
    <m/>
    <s v="000252"/>
    <s v="000132"/>
    <n v="2564.5700000000002"/>
    <s v="0,00"/>
    <s v="0,00"/>
    <s v="0,00"/>
    <s v="0,00"/>
    <s v="ORC2022_2"/>
    <s v="0012"/>
    <m/>
    <m/>
    <m/>
    <m/>
    <m/>
  </r>
  <r>
    <s v="PECAS E ACESSORIOS"/>
    <x v="0"/>
    <x v="14"/>
    <n v="10736.32"/>
    <s v="0000000127"/>
    <s v="1054"/>
    <d v="2022-07-01T00:00:00"/>
    <s v="320301004"/>
    <s v="304"/>
    <s v="11"/>
    <s v="Credito"/>
    <x v="2"/>
    <x v="216"/>
    <m/>
    <s v="000252"/>
    <s v="000132"/>
    <n v="10736.32"/>
    <s v="0,00"/>
    <s v="0,00"/>
    <s v="0,00"/>
    <s v="0,00"/>
    <s v="ORC2022_2"/>
    <s v="0012"/>
    <m/>
    <m/>
    <m/>
    <m/>
    <m/>
  </r>
  <r>
    <s v="PECAS E ACESSORIOS"/>
    <x v="0"/>
    <x v="14"/>
    <n v="975"/>
    <s v="0000000127"/>
    <s v="1055"/>
    <d v="2022-07-01T00:00:00"/>
    <s v="320301004"/>
    <s v="303"/>
    <s v="21"/>
    <s v="Credito"/>
    <x v="2"/>
    <x v="216"/>
    <m/>
    <s v="000252"/>
    <s v="000132"/>
    <n v="975"/>
    <s v="0,00"/>
    <s v="0,00"/>
    <s v="0,00"/>
    <s v="0,00"/>
    <s v="ORC2022_2"/>
    <s v="0012"/>
    <m/>
    <m/>
    <m/>
    <m/>
    <m/>
  </r>
  <r>
    <s v="PECAS E ACESSORIOS"/>
    <x v="0"/>
    <x v="14"/>
    <n v="315.95999999999998"/>
    <s v="0000000127"/>
    <s v="1056"/>
    <d v="2022-07-01T00:00:00"/>
    <s v="320301004"/>
    <s v="304"/>
    <s v="21"/>
    <s v="Credito"/>
    <x v="2"/>
    <x v="216"/>
    <m/>
    <s v="000252"/>
    <s v="000132"/>
    <n v="315.95999999999998"/>
    <s v="0,00"/>
    <s v="0,00"/>
    <s v="0,00"/>
    <s v="0,00"/>
    <s v="ORC2022_2"/>
    <s v="0012"/>
    <m/>
    <m/>
    <m/>
    <m/>
    <m/>
  </r>
  <r>
    <s v="PECAS E ACESSORIOS"/>
    <x v="0"/>
    <x v="14"/>
    <n v="118285.43"/>
    <s v="0000000127"/>
    <s v="1057"/>
    <d v="2022-07-01T00:00:00"/>
    <s v="320301004"/>
    <s v="305"/>
    <s v="21"/>
    <s v="Credito"/>
    <x v="2"/>
    <x v="216"/>
    <m/>
    <s v="000252"/>
    <s v="000132"/>
    <n v="118285.43"/>
    <s v="0,00"/>
    <s v="0,00"/>
    <s v="0,00"/>
    <s v="0,00"/>
    <s v="ORC2022_2"/>
    <s v="0012"/>
    <m/>
    <m/>
    <m/>
    <m/>
    <m/>
  </r>
  <r>
    <s v="PECAS E ACESSORIOS"/>
    <x v="0"/>
    <x v="14"/>
    <n v="46422.19"/>
    <s v="0000000127"/>
    <s v="1058"/>
    <d v="2022-07-01T00:00:00"/>
    <s v="320301004"/>
    <s v="305"/>
    <s v="31"/>
    <s v="Credito"/>
    <x v="2"/>
    <x v="216"/>
    <m/>
    <s v="000252"/>
    <s v="000132"/>
    <n v="46422.19"/>
    <s v="0,00"/>
    <s v="0,00"/>
    <s v="0,00"/>
    <s v="0,00"/>
    <s v="ORC2022_2"/>
    <s v="0012"/>
    <m/>
    <m/>
    <m/>
    <m/>
    <m/>
  </r>
  <r>
    <s v="PECAS E ACESSORIOS"/>
    <x v="0"/>
    <x v="14"/>
    <n v="2536.39"/>
    <s v="0000000127"/>
    <s v="1059"/>
    <d v="2022-07-01T00:00:00"/>
    <s v="320301004"/>
    <s v="305"/>
    <s v="33"/>
    <s v="Credito"/>
    <x v="2"/>
    <x v="216"/>
    <m/>
    <s v="000252"/>
    <s v="000132"/>
    <n v="2536.39"/>
    <s v="0,00"/>
    <s v="0,00"/>
    <s v="0,00"/>
    <s v="0,00"/>
    <s v="ORC2022_2"/>
    <s v="0012"/>
    <m/>
    <m/>
    <m/>
    <m/>
    <m/>
  </r>
  <r>
    <s v="PECAS E ACESSORIOS"/>
    <x v="0"/>
    <x v="14"/>
    <n v="9418.0300000000007"/>
    <s v="0000000127"/>
    <s v="1060"/>
    <d v="2022-07-01T00:00:00"/>
    <s v="320301004"/>
    <s v="306"/>
    <s v="33"/>
    <s v="Credito"/>
    <x v="2"/>
    <x v="216"/>
    <m/>
    <s v="000252"/>
    <s v="000132"/>
    <n v="9418.0300000000007"/>
    <s v="0,00"/>
    <s v="0,00"/>
    <s v="0,00"/>
    <s v="0,00"/>
    <s v="ORC2022_2"/>
    <s v="0012"/>
    <m/>
    <m/>
    <m/>
    <m/>
    <m/>
  </r>
  <r>
    <s v="PECAS E ACESSORIOS"/>
    <x v="0"/>
    <x v="14"/>
    <n v="20352.240000000002"/>
    <s v="0000000127"/>
    <s v="1061"/>
    <d v="2022-07-01T00:00:00"/>
    <s v="320301004"/>
    <s v="301"/>
    <s v="90"/>
    <s v="Credito"/>
    <x v="2"/>
    <x v="216"/>
    <m/>
    <s v="000252"/>
    <s v="000132"/>
    <n v="20352.240000000002"/>
    <s v="0,00"/>
    <s v="0,00"/>
    <s v="0,00"/>
    <s v="0,00"/>
    <s v="ORC2022_2"/>
    <s v="0012"/>
    <m/>
    <m/>
    <m/>
    <m/>
    <m/>
  </r>
  <r>
    <s v="PECAS E ACESSORIOS"/>
    <x v="0"/>
    <x v="15"/>
    <n v="1526.8"/>
    <s v="0000000127"/>
    <s v="1062"/>
    <d v="2022-08-01T00:00:00"/>
    <s v="320301004"/>
    <s v="302"/>
    <s v="11"/>
    <s v="Credito"/>
    <x v="2"/>
    <x v="216"/>
    <m/>
    <s v="000252"/>
    <s v="000132"/>
    <n v="1526.8"/>
    <s v="0,00"/>
    <s v="0,00"/>
    <s v="0,00"/>
    <s v="0,00"/>
    <s v="ORC2022_2"/>
    <s v="0012"/>
    <m/>
    <m/>
    <m/>
    <m/>
    <m/>
  </r>
  <r>
    <s v="PECAS E ACESSORIOS"/>
    <x v="0"/>
    <x v="15"/>
    <n v="50650.87"/>
    <s v="0000000127"/>
    <s v="1063"/>
    <d v="2022-08-01T00:00:00"/>
    <s v="320301004"/>
    <s v="304"/>
    <s v="11"/>
    <s v="Credito"/>
    <x v="2"/>
    <x v="216"/>
    <m/>
    <s v="000252"/>
    <s v="000132"/>
    <n v="50650.87"/>
    <s v="0,00"/>
    <s v="0,00"/>
    <s v="0,00"/>
    <s v="0,00"/>
    <s v="ORC2022_2"/>
    <s v="0012"/>
    <m/>
    <m/>
    <m/>
    <m/>
    <m/>
  </r>
  <r>
    <s v="PECAS E ACESSORIOS"/>
    <x v="0"/>
    <x v="15"/>
    <n v="90.75"/>
    <s v="0000000127"/>
    <s v="1064"/>
    <d v="2022-08-01T00:00:00"/>
    <s v="320301004"/>
    <s v="305"/>
    <s v="11"/>
    <s v="Credito"/>
    <x v="2"/>
    <x v="216"/>
    <m/>
    <s v="000252"/>
    <s v="000132"/>
    <n v="90.75"/>
    <s v="0,00"/>
    <s v="0,00"/>
    <s v="0,00"/>
    <s v="0,00"/>
    <s v="ORC2022_2"/>
    <s v="0012"/>
    <m/>
    <m/>
    <m/>
    <m/>
    <m/>
  </r>
  <r>
    <s v="PECAS E ACESSORIOS"/>
    <x v="0"/>
    <x v="15"/>
    <n v="237"/>
    <s v="0000000127"/>
    <s v="1065"/>
    <d v="2022-08-01T00:00:00"/>
    <s v="320301004"/>
    <s v="303"/>
    <s v="21"/>
    <s v="Credito"/>
    <x v="2"/>
    <x v="216"/>
    <m/>
    <s v="000252"/>
    <s v="000132"/>
    <n v="237"/>
    <s v="0,00"/>
    <s v="0,00"/>
    <s v="0,00"/>
    <s v="0,00"/>
    <s v="ORC2022_2"/>
    <s v="0012"/>
    <m/>
    <m/>
    <m/>
    <m/>
    <m/>
  </r>
  <r>
    <s v="PECAS E ACESSORIOS"/>
    <x v="0"/>
    <x v="15"/>
    <n v="233.35"/>
    <s v="0000000127"/>
    <s v="1066"/>
    <d v="2022-08-01T00:00:00"/>
    <s v="320301004"/>
    <s v="304"/>
    <s v="21"/>
    <s v="Credito"/>
    <x v="2"/>
    <x v="216"/>
    <m/>
    <s v="000252"/>
    <s v="000132"/>
    <n v="233.35"/>
    <s v="0,00"/>
    <s v="0,00"/>
    <s v="0,00"/>
    <s v="0,00"/>
    <s v="ORC2022_2"/>
    <s v="0012"/>
    <m/>
    <m/>
    <m/>
    <m/>
    <m/>
  </r>
  <r>
    <s v="PECAS E ACESSORIOS"/>
    <x v="0"/>
    <x v="15"/>
    <n v="36283.25"/>
    <s v="0000000127"/>
    <s v="1067"/>
    <d v="2022-08-01T00:00:00"/>
    <s v="320301004"/>
    <s v="305"/>
    <s v="21"/>
    <s v="Credito"/>
    <x v="2"/>
    <x v="216"/>
    <m/>
    <s v="000252"/>
    <s v="000132"/>
    <n v="36283.25"/>
    <s v="0,00"/>
    <s v="0,00"/>
    <s v="0,00"/>
    <s v="0,00"/>
    <s v="ORC2022_2"/>
    <s v="0012"/>
    <m/>
    <m/>
    <m/>
    <m/>
    <m/>
  </r>
  <r>
    <s v="PECAS E ACESSORIOS"/>
    <x v="0"/>
    <x v="15"/>
    <n v="56399.21"/>
    <s v="0000000127"/>
    <s v="1068"/>
    <d v="2022-08-01T00:00:00"/>
    <s v="320301004"/>
    <s v="305"/>
    <s v="31"/>
    <s v="Credito"/>
    <x v="2"/>
    <x v="216"/>
    <m/>
    <s v="000252"/>
    <s v="000132"/>
    <n v="56399.21"/>
    <s v="0,00"/>
    <s v="0,00"/>
    <s v="0,00"/>
    <s v="0,00"/>
    <s v="ORC2022_2"/>
    <s v="0012"/>
    <m/>
    <m/>
    <m/>
    <m/>
    <m/>
  </r>
  <r>
    <s v="PECAS E ACESSORIOS"/>
    <x v="0"/>
    <x v="15"/>
    <n v="124.33"/>
    <s v="0000000127"/>
    <s v="1069"/>
    <d v="2022-08-01T00:00:00"/>
    <s v="320301004"/>
    <s v="305"/>
    <s v="33"/>
    <s v="Credito"/>
    <x v="2"/>
    <x v="216"/>
    <m/>
    <s v="000252"/>
    <s v="000132"/>
    <n v="124.33"/>
    <s v="0,00"/>
    <s v="0,00"/>
    <s v="0,00"/>
    <s v="0,00"/>
    <s v="ORC2022_2"/>
    <s v="0012"/>
    <m/>
    <m/>
    <m/>
    <m/>
    <m/>
  </r>
  <r>
    <s v="PECAS E ACESSORIOS"/>
    <x v="0"/>
    <x v="15"/>
    <n v="2409.81"/>
    <s v="0000000127"/>
    <s v="1070"/>
    <d v="2022-08-01T00:00:00"/>
    <s v="320301004"/>
    <s v="306"/>
    <s v="33"/>
    <s v="Credito"/>
    <x v="2"/>
    <x v="216"/>
    <m/>
    <s v="000252"/>
    <s v="000132"/>
    <n v="2409.81"/>
    <s v="0,00"/>
    <s v="0,00"/>
    <s v="0,00"/>
    <s v="0,00"/>
    <s v="ORC2022_2"/>
    <s v="0012"/>
    <m/>
    <m/>
    <m/>
    <m/>
    <m/>
  </r>
  <r>
    <s v="PECAS E ACESSORIOS"/>
    <x v="0"/>
    <x v="15"/>
    <n v="15422.75"/>
    <s v="0000000127"/>
    <s v="1071"/>
    <d v="2022-08-01T00:00:00"/>
    <s v="320301004"/>
    <s v="301"/>
    <s v="90"/>
    <s v="Credito"/>
    <x v="2"/>
    <x v="216"/>
    <m/>
    <s v="000252"/>
    <s v="000132"/>
    <n v="15422.75"/>
    <s v="0,00"/>
    <s v="0,00"/>
    <s v="0,00"/>
    <s v="0,00"/>
    <s v="ORC2022_2"/>
    <s v="0012"/>
    <m/>
    <m/>
    <m/>
    <m/>
    <m/>
  </r>
  <r>
    <s v="PECAS E ACESSORIOS"/>
    <x v="0"/>
    <x v="16"/>
    <n v="28957.69"/>
    <s v="0000000127"/>
    <s v="1072"/>
    <d v="2022-09-01T00:00:00"/>
    <s v="320301004"/>
    <s v="302"/>
    <s v="11"/>
    <s v="Credito"/>
    <x v="2"/>
    <x v="216"/>
    <m/>
    <s v="000252"/>
    <s v="000132"/>
    <n v="28957.69"/>
    <s v="0,00"/>
    <s v="0,00"/>
    <s v="0,00"/>
    <s v="0,00"/>
    <s v="ORC2022_2"/>
    <s v="0012"/>
    <m/>
    <m/>
    <m/>
    <m/>
    <m/>
  </r>
  <r>
    <s v="PECAS E ACESSORIOS"/>
    <x v="0"/>
    <x v="16"/>
    <n v="55489.93"/>
    <s v="0000000127"/>
    <s v="1073"/>
    <d v="2022-09-01T00:00:00"/>
    <s v="320301004"/>
    <s v="304"/>
    <s v="11"/>
    <s v="Credito"/>
    <x v="2"/>
    <x v="216"/>
    <m/>
    <s v="000252"/>
    <s v="000132"/>
    <n v="55489.93"/>
    <s v="0,00"/>
    <s v="0,00"/>
    <s v="0,00"/>
    <s v="0,00"/>
    <s v="ORC2022_2"/>
    <s v="0012"/>
    <m/>
    <m/>
    <m/>
    <m/>
    <m/>
  </r>
  <r>
    <s v="PECAS E ACESSORIOS"/>
    <x v="0"/>
    <x v="16"/>
    <n v="76.47"/>
    <s v="0000000127"/>
    <s v="1074"/>
    <d v="2022-09-01T00:00:00"/>
    <s v="320301004"/>
    <s v="305"/>
    <s v="11"/>
    <s v="Credito"/>
    <x v="2"/>
    <x v="216"/>
    <m/>
    <s v="000252"/>
    <s v="000132"/>
    <n v="76.47"/>
    <s v="0,00"/>
    <s v="0,00"/>
    <s v="0,00"/>
    <s v="0,00"/>
    <s v="ORC2022_2"/>
    <s v="0012"/>
    <m/>
    <m/>
    <m/>
    <m/>
    <m/>
  </r>
  <r>
    <s v="PECAS E ACESSORIOS"/>
    <x v="0"/>
    <x v="16"/>
    <n v="11398.56"/>
    <s v="0000000127"/>
    <s v="1075"/>
    <d v="2022-09-01T00:00:00"/>
    <s v="320301004"/>
    <s v="303"/>
    <s v="21"/>
    <s v="Credito"/>
    <x v="2"/>
    <x v="216"/>
    <m/>
    <s v="000252"/>
    <s v="000132"/>
    <n v="11398.56"/>
    <s v="0,00"/>
    <s v="0,00"/>
    <s v="0,00"/>
    <s v="0,00"/>
    <s v="ORC2022_2"/>
    <s v="0012"/>
    <m/>
    <m/>
    <m/>
    <m/>
    <m/>
  </r>
  <r>
    <s v="PECAS E ACESSORIOS"/>
    <x v="0"/>
    <x v="16"/>
    <n v="363431.11"/>
    <s v="0000000127"/>
    <s v="1076"/>
    <d v="2022-09-01T00:00:00"/>
    <s v="320301004"/>
    <s v="305"/>
    <s v="21"/>
    <s v="Credito"/>
    <x v="2"/>
    <x v="216"/>
    <m/>
    <s v="000252"/>
    <s v="000132"/>
    <n v="363431.11"/>
    <s v="0,00"/>
    <s v="0,00"/>
    <s v="0,00"/>
    <s v="0,00"/>
    <s v="ORC2022_2"/>
    <s v="0012"/>
    <m/>
    <m/>
    <m/>
    <m/>
    <m/>
  </r>
  <r>
    <s v="PECAS E ACESSORIOS"/>
    <x v="0"/>
    <x v="16"/>
    <n v="1861.72"/>
    <s v="0000000127"/>
    <s v="1077"/>
    <d v="2022-09-01T00:00:00"/>
    <s v="320301004"/>
    <s v="304"/>
    <s v="31"/>
    <s v="Credito"/>
    <x v="2"/>
    <x v="216"/>
    <m/>
    <s v="000252"/>
    <s v="000132"/>
    <n v="1861.72"/>
    <s v="0,00"/>
    <s v="0,00"/>
    <s v="0,00"/>
    <s v="0,00"/>
    <s v="ORC2022_2"/>
    <s v="0012"/>
    <m/>
    <m/>
    <m/>
    <m/>
    <m/>
  </r>
  <r>
    <s v="PECAS E ACESSORIOS"/>
    <x v="0"/>
    <x v="16"/>
    <n v="43813.95"/>
    <s v="0000000127"/>
    <s v="1078"/>
    <d v="2022-09-01T00:00:00"/>
    <s v="320301004"/>
    <s v="305"/>
    <s v="31"/>
    <s v="Credito"/>
    <x v="2"/>
    <x v="216"/>
    <m/>
    <s v="000252"/>
    <s v="000132"/>
    <n v="43813.95"/>
    <s v="0,00"/>
    <s v="0,00"/>
    <s v="0,00"/>
    <s v="0,00"/>
    <s v="ORC2022_2"/>
    <s v="0012"/>
    <m/>
    <m/>
    <m/>
    <m/>
    <m/>
  </r>
  <r>
    <s v="PECAS E ACESSORIOS"/>
    <x v="0"/>
    <x v="16"/>
    <n v="798.69"/>
    <s v="0000000127"/>
    <s v="1079"/>
    <d v="2022-09-01T00:00:00"/>
    <s v="320301004"/>
    <s v="302"/>
    <s v="33"/>
    <s v="Credito"/>
    <x v="2"/>
    <x v="216"/>
    <m/>
    <s v="000252"/>
    <s v="000132"/>
    <n v="798.69"/>
    <s v="0,00"/>
    <s v="0,00"/>
    <s v="0,00"/>
    <s v="0,00"/>
    <s v="ORC2022_2"/>
    <s v="0012"/>
    <m/>
    <m/>
    <m/>
    <m/>
    <m/>
  </r>
  <r>
    <s v="PECAS E ACESSORIOS"/>
    <x v="0"/>
    <x v="16"/>
    <n v="27.84"/>
    <s v="0000000127"/>
    <s v="1080"/>
    <d v="2022-09-01T00:00:00"/>
    <s v="320301004"/>
    <s v="305"/>
    <s v="33"/>
    <s v="Credito"/>
    <x v="2"/>
    <x v="216"/>
    <m/>
    <s v="000252"/>
    <s v="000132"/>
    <n v="27.84"/>
    <s v="0,00"/>
    <s v="0,00"/>
    <s v="0,00"/>
    <s v="0,00"/>
    <s v="ORC2022_2"/>
    <s v="0012"/>
    <m/>
    <m/>
    <m/>
    <m/>
    <m/>
  </r>
  <r>
    <s v="PECAS E ACESSORIOS"/>
    <x v="0"/>
    <x v="16"/>
    <n v="56143.21"/>
    <s v="0000000127"/>
    <s v="1081"/>
    <d v="2022-09-01T00:00:00"/>
    <s v="320301004"/>
    <s v="306"/>
    <s v="33"/>
    <s v="Credito"/>
    <x v="2"/>
    <x v="216"/>
    <m/>
    <s v="000252"/>
    <s v="000132"/>
    <n v="56143.21"/>
    <s v="0,00"/>
    <s v="0,00"/>
    <s v="0,00"/>
    <s v="0,00"/>
    <s v="ORC2022_2"/>
    <s v="0012"/>
    <m/>
    <m/>
    <m/>
    <m/>
    <m/>
  </r>
  <r>
    <s v="PECAS E ACESSORIOS"/>
    <x v="0"/>
    <x v="16"/>
    <n v="15637.27"/>
    <s v="0000000127"/>
    <s v="1082"/>
    <d v="2022-09-01T00:00:00"/>
    <s v="320301004"/>
    <s v="301"/>
    <s v="90"/>
    <s v="Credito"/>
    <x v="2"/>
    <x v="216"/>
    <m/>
    <s v="000252"/>
    <s v="000132"/>
    <n v="15637.27"/>
    <s v="0,00"/>
    <s v="0,00"/>
    <s v="0,00"/>
    <s v="0,00"/>
    <s v="ORC2022_2"/>
    <s v="0012"/>
    <m/>
    <m/>
    <m/>
    <m/>
    <m/>
  </r>
  <r>
    <s v="PECAS E ACESSORIOS"/>
    <x v="0"/>
    <x v="17"/>
    <n v="29247.27"/>
    <s v="0000000127"/>
    <s v="1083"/>
    <d v="2022-10-01T00:00:00"/>
    <s v="320301004"/>
    <s v="302"/>
    <s v="11"/>
    <s v="Credito"/>
    <x v="2"/>
    <x v="216"/>
    <m/>
    <s v="000252"/>
    <s v="000132"/>
    <n v="29247.27"/>
    <s v="0,00"/>
    <s v="0,00"/>
    <s v="0,00"/>
    <s v="0,00"/>
    <s v="ORC2022_2"/>
    <s v="0012"/>
    <m/>
    <m/>
    <m/>
    <m/>
    <m/>
  </r>
  <r>
    <s v="PECAS E ACESSORIOS"/>
    <x v="0"/>
    <x v="17"/>
    <n v="56044.83"/>
    <s v="0000000127"/>
    <s v="1084"/>
    <d v="2022-10-01T00:00:00"/>
    <s v="320301004"/>
    <s v="304"/>
    <s v="11"/>
    <s v="Credito"/>
    <x v="2"/>
    <x v="216"/>
    <m/>
    <s v="000252"/>
    <s v="000132"/>
    <n v="56044.83"/>
    <s v="0,00"/>
    <s v="0,00"/>
    <s v="0,00"/>
    <s v="0,00"/>
    <s v="ORC2022_2"/>
    <s v="0012"/>
    <m/>
    <m/>
    <m/>
    <m/>
    <m/>
  </r>
  <r>
    <s v="PECAS E ACESSORIOS"/>
    <x v="0"/>
    <x v="17"/>
    <n v="77.23"/>
    <s v="0000000127"/>
    <s v="1085"/>
    <d v="2022-10-01T00:00:00"/>
    <s v="320301004"/>
    <s v="305"/>
    <s v="11"/>
    <s v="Credito"/>
    <x v="2"/>
    <x v="216"/>
    <m/>
    <s v="000252"/>
    <s v="000132"/>
    <n v="77.23"/>
    <s v="0,00"/>
    <s v="0,00"/>
    <s v="0,00"/>
    <s v="0,00"/>
    <s v="ORC2022_2"/>
    <s v="0012"/>
    <m/>
    <m/>
    <m/>
    <m/>
    <m/>
  </r>
  <r>
    <s v="PECAS E ACESSORIOS"/>
    <x v="0"/>
    <x v="17"/>
    <n v="11512.55"/>
    <s v="0000000127"/>
    <s v="1086"/>
    <d v="2022-10-01T00:00:00"/>
    <s v="320301004"/>
    <s v="303"/>
    <s v="21"/>
    <s v="Credito"/>
    <x v="2"/>
    <x v="216"/>
    <m/>
    <s v="000252"/>
    <s v="000132"/>
    <n v="11512.55"/>
    <s v="0,00"/>
    <s v="0,00"/>
    <s v="0,00"/>
    <s v="0,00"/>
    <s v="ORC2022_2"/>
    <s v="0012"/>
    <m/>
    <m/>
    <m/>
    <m/>
    <m/>
  </r>
  <r>
    <s v="PECAS E ACESSORIOS"/>
    <x v="0"/>
    <x v="17"/>
    <n v="367065.42"/>
    <s v="0000000127"/>
    <s v="1087"/>
    <d v="2022-10-01T00:00:00"/>
    <s v="320301004"/>
    <s v="305"/>
    <s v="21"/>
    <s v="Credito"/>
    <x v="2"/>
    <x v="216"/>
    <m/>
    <s v="000252"/>
    <s v="000132"/>
    <n v="367065.42"/>
    <s v="0,00"/>
    <s v="0,00"/>
    <s v="0,00"/>
    <s v="0,00"/>
    <s v="ORC2022_2"/>
    <s v="0012"/>
    <m/>
    <m/>
    <m/>
    <m/>
    <m/>
  </r>
  <r>
    <s v="PECAS E ACESSORIOS"/>
    <x v="0"/>
    <x v="17"/>
    <n v="1880.34"/>
    <s v="0000000127"/>
    <s v="1088"/>
    <d v="2022-10-01T00:00:00"/>
    <s v="320301004"/>
    <s v="304"/>
    <s v="31"/>
    <s v="Credito"/>
    <x v="2"/>
    <x v="216"/>
    <m/>
    <s v="000252"/>
    <s v="000132"/>
    <n v="1880.34"/>
    <s v="0,00"/>
    <s v="0,00"/>
    <s v="0,00"/>
    <s v="0,00"/>
    <s v="ORC2022_2"/>
    <s v="0012"/>
    <m/>
    <m/>
    <m/>
    <m/>
    <m/>
  </r>
  <r>
    <s v="PECAS E ACESSORIOS"/>
    <x v="0"/>
    <x v="17"/>
    <n v="44252.09"/>
    <s v="0000000127"/>
    <s v="1089"/>
    <d v="2022-10-01T00:00:00"/>
    <s v="320301004"/>
    <s v="305"/>
    <s v="31"/>
    <s v="Credito"/>
    <x v="2"/>
    <x v="216"/>
    <m/>
    <s v="000252"/>
    <s v="000132"/>
    <n v="44252.09"/>
    <s v="0,00"/>
    <s v="0,00"/>
    <s v="0,00"/>
    <s v="0,00"/>
    <s v="ORC2022_2"/>
    <s v="0012"/>
    <m/>
    <m/>
    <m/>
    <m/>
    <m/>
  </r>
  <r>
    <s v="PECAS E ACESSORIOS"/>
    <x v="0"/>
    <x v="17"/>
    <n v="806.68"/>
    <s v="0000000127"/>
    <s v="1090"/>
    <d v="2022-10-01T00:00:00"/>
    <s v="320301004"/>
    <s v="302"/>
    <s v="33"/>
    <s v="Credito"/>
    <x v="2"/>
    <x v="216"/>
    <m/>
    <s v="000252"/>
    <s v="000132"/>
    <n v="806.68"/>
    <s v="0,00"/>
    <s v="0,00"/>
    <s v="0,00"/>
    <s v="0,00"/>
    <s v="ORC2022_2"/>
    <s v="0012"/>
    <m/>
    <m/>
    <m/>
    <m/>
    <m/>
  </r>
  <r>
    <s v="PECAS E ACESSORIOS"/>
    <x v="0"/>
    <x v="17"/>
    <n v="28.12"/>
    <s v="0000000127"/>
    <s v="1091"/>
    <d v="2022-10-01T00:00:00"/>
    <s v="320301004"/>
    <s v="305"/>
    <s v="33"/>
    <s v="Credito"/>
    <x v="2"/>
    <x v="216"/>
    <m/>
    <s v="000252"/>
    <s v="000132"/>
    <n v="28.12"/>
    <s v="0,00"/>
    <s v="0,00"/>
    <s v="0,00"/>
    <s v="0,00"/>
    <s v="ORC2022_2"/>
    <s v="0012"/>
    <m/>
    <m/>
    <m/>
    <m/>
    <m/>
  </r>
  <r>
    <s v="PECAS E ACESSORIOS"/>
    <x v="0"/>
    <x v="17"/>
    <n v="56704.639999999999"/>
    <s v="0000000127"/>
    <s v="1092"/>
    <d v="2022-10-01T00:00:00"/>
    <s v="320301004"/>
    <s v="306"/>
    <s v="33"/>
    <s v="Credito"/>
    <x v="2"/>
    <x v="216"/>
    <m/>
    <s v="000252"/>
    <s v="000132"/>
    <n v="56704.639999999999"/>
    <s v="0,00"/>
    <s v="0,00"/>
    <s v="0,00"/>
    <s v="0,00"/>
    <s v="ORC2022_2"/>
    <s v="0012"/>
    <m/>
    <m/>
    <m/>
    <m/>
    <m/>
  </r>
  <r>
    <s v="PECAS E ACESSORIOS"/>
    <x v="0"/>
    <x v="17"/>
    <n v="15793.64"/>
    <s v="0000000127"/>
    <s v="1093"/>
    <d v="2022-10-01T00:00:00"/>
    <s v="320301004"/>
    <s v="301"/>
    <s v="90"/>
    <s v="Credito"/>
    <x v="2"/>
    <x v="216"/>
    <m/>
    <s v="000252"/>
    <s v="000132"/>
    <n v="15793.64"/>
    <s v="0,00"/>
    <s v="0,00"/>
    <s v="0,00"/>
    <s v="0,00"/>
    <s v="ORC2022_2"/>
    <s v="0012"/>
    <m/>
    <m/>
    <m/>
    <m/>
    <m/>
  </r>
  <r>
    <s v="PECAS E ACESSORIOS"/>
    <x v="0"/>
    <x v="0"/>
    <n v="29539.74"/>
    <s v="0000000127"/>
    <s v="1094"/>
    <d v="2022-11-01T00:00:00"/>
    <s v="320301004"/>
    <s v="302"/>
    <s v="11"/>
    <s v="Credito"/>
    <x v="2"/>
    <x v="216"/>
    <m/>
    <s v="000252"/>
    <s v="000132"/>
    <n v="29539.74"/>
    <s v="0,00"/>
    <s v="0,00"/>
    <s v="0,00"/>
    <s v="0,00"/>
    <s v="ORC2022_2"/>
    <s v="0012"/>
    <m/>
    <m/>
    <m/>
    <m/>
    <m/>
  </r>
  <r>
    <s v="PECAS E ACESSORIOS"/>
    <x v="0"/>
    <x v="0"/>
    <n v="56605.279999999999"/>
    <s v="0000000127"/>
    <s v="1095"/>
    <d v="2022-11-01T00:00:00"/>
    <s v="320301004"/>
    <s v="304"/>
    <s v="11"/>
    <s v="Credito"/>
    <x v="2"/>
    <x v="216"/>
    <m/>
    <s v="000252"/>
    <s v="000132"/>
    <n v="56605.279999999999"/>
    <s v="0,00"/>
    <s v="0,00"/>
    <s v="0,00"/>
    <s v="0,00"/>
    <s v="ORC2022_2"/>
    <s v="0012"/>
    <m/>
    <m/>
    <m/>
    <m/>
    <m/>
  </r>
  <r>
    <s v="PECAS E ACESSORIOS"/>
    <x v="0"/>
    <x v="0"/>
    <n v="78.010000000000005"/>
    <s v="0000000127"/>
    <s v="1096"/>
    <d v="2022-11-01T00:00:00"/>
    <s v="320301004"/>
    <s v="305"/>
    <s v="11"/>
    <s v="Credito"/>
    <x v="2"/>
    <x v="216"/>
    <m/>
    <s v="000252"/>
    <s v="000132"/>
    <n v="78.010000000000005"/>
    <s v="0,00"/>
    <s v="0,00"/>
    <s v="0,00"/>
    <s v="0,00"/>
    <s v="ORC2022_2"/>
    <s v="0012"/>
    <m/>
    <m/>
    <m/>
    <m/>
    <m/>
  </r>
  <r>
    <s v="PECAS E ACESSORIOS"/>
    <x v="0"/>
    <x v="0"/>
    <n v="11627.67"/>
    <s v="0000000127"/>
    <s v="1097"/>
    <d v="2022-11-01T00:00:00"/>
    <s v="320301004"/>
    <s v="303"/>
    <s v="21"/>
    <s v="Credito"/>
    <x v="2"/>
    <x v="216"/>
    <m/>
    <s v="000252"/>
    <s v="000132"/>
    <n v="11627.67"/>
    <s v="0,00"/>
    <s v="0,00"/>
    <s v="0,00"/>
    <s v="0,00"/>
    <s v="ORC2022_2"/>
    <s v="0012"/>
    <m/>
    <m/>
    <m/>
    <m/>
    <m/>
  </r>
  <r>
    <s v="PECAS E ACESSORIOS"/>
    <x v="0"/>
    <x v="0"/>
    <n v="370736.08"/>
    <s v="0000000127"/>
    <s v="1098"/>
    <d v="2022-11-01T00:00:00"/>
    <s v="320301004"/>
    <s v="305"/>
    <s v="21"/>
    <s v="Credito"/>
    <x v="2"/>
    <x v="216"/>
    <m/>
    <s v="000252"/>
    <s v="000132"/>
    <n v="370736.08"/>
    <s v="0,00"/>
    <s v="0,00"/>
    <s v="0,00"/>
    <s v="0,00"/>
    <s v="ORC2022_2"/>
    <s v="0012"/>
    <m/>
    <m/>
    <m/>
    <m/>
    <m/>
  </r>
  <r>
    <s v="PECAS E ACESSORIOS"/>
    <x v="0"/>
    <x v="0"/>
    <n v="1899.14"/>
    <s v="0000000127"/>
    <s v="1099"/>
    <d v="2022-11-01T00:00:00"/>
    <s v="320301004"/>
    <s v="304"/>
    <s v="31"/>
    <s v="Credito"/>
    <x v="2"/>
    <x v="216"/>
    <m/>
    <s v="000252"/>
    <s v="000132"/>
    <n v="1899.14"/>
    <s v="0,00"/>
    <s v="0,00"/>
    <s v="0,00"/>
    <s v="0,00"/>
    <s v="ORC2022_2"/>
    <s v="0012"/>
    <m/>
    <m/>
    <m/>
    <m/>
    <m/>
  </r>
  <r>
    <s v="PECAS E ACESSORIOS"/>
    <x v="0"/>
    <x v="0"/>
    <n v="44694.61"/>
    <s v="0000000127"/>
    <s v="1100"/>
    <d v="2022-11-01T00:00:00"/>
    <s v="320301004"/>
    <s v="305"/>
    <s v="31"/>
    <s v="Credito"/>
    <x v="2"/>
    <x v="216"/>
    <m/>
    <s v="000252"/>
    <s v="000132"/>
    <n v="44694.61"/>
    <s v="0,00"/>
    <s v="0,00"/>
    <s v="0,00"/>
    <s v="0,00"/>
    <s v="ORC2022_2"/>
    <s v="0012"/>
    <m/>
    <m/>
    <m/>
    <m/>
    <m/>
  </r>
  <r>
    <s v="PECAS E ACESSORIOS"/>
    <x v="0"/>
    <x v="0"/>
    <n v="814.74"/>
    <s v="0000000127"/>
    <s v="1101"/>
    <d v="2022-11-01T00:00:00"/>
    <s v="320301004"/>
    <s v="302"/>
    <s v="33"/>
    <s v="Credito"/>
    <x v="2"/>
    <x v="216"/>
    <m/>
    <s v="000252"/>
    <s v="000132"/>
    <n v="814.74"/>
    <s v="0,00"/>
    <s v="0,00"/>
    <s v="0,00"/>
    <s v="0,00"/>
    <s v="ORC2022_2"/>
    <s v="0012"/>
    <m/>
    <m/>
    <m/>
    <m/>
    <m/>
  </r>
  <r>
    <s v="PECAS E ACESSORIOS"/>
    <x v="0"/>
    <x v="0"/>
    <n v="28.4"/>
    <s v="0000000127"/>
    <s v="1102"/>
    <d v="2022-11-01T00:00:00"/>
    <s v="320301004"/>
    <s v="305"/>
    <s v="33"/>
    <s v="Credito"/>
    <x v="2"/>
    <x v="216"/>
    <m/>
    <s v="000252"/>
    <s v="000132"/>
    <n v="28.4"/>
    <s v="0,00"/>
    <s v="0,00"/>
    <s v="0,00"/>
    <s v="0,00"/>
    <s v="ORC2022_2"/>
    <s v="0012"/>
    <m/>
    <m/>
    <m/>
    <m/>
    <m/>
  </r>
  <r>
    <s v="PECAS E ACESSORIOS"/>
    <x v="0"/>
    <x v="0"/>
    <n v="57271.69"/>
    <s v="0000000127"/>
    <s v="1103"/>
    <d v="2022-11-01T00:00:00"/>
    <s v="320301004"/>
    <s v="306"/>
    <s v="33"/>
    <s v="Credito"/>
    <x v="2"/>
    <x v="216"/>
    <m/>
    <s v="000252"/>
    <s v="000132"/>
    <n v="57271.69"/>
    <s v="0,00"/>
    <s v="0,00"/>
    <s v="0,00"/>
    <s v="0,00"/>
    <s v="ORC2022_2"/>
    <s v="0012"/>
    <m/>
    <m/>
    <m/>
    <m/>
    <m/>
  </r>
  <r>
    <s v="PECAS E ACESSORIOS"/>
    <x v="0"/>
    <x v="0"/>
    <n v="15951.58"/>
    <s v="0000000127"/>
    <s v="1104"/>
    <d v="2022-11-01T00:00:00"/>
    <s v="320301004"/>
    <s v="301"/>
    <s v="90"/>
    <s v="Credito"/>
    <x v="2"/>
    <x v="216"/>
    <m/>
    <s v="000252"/>
    <s v="000132"/>
    <n v="15951.58"/>
    <s v="0,00"/>
    <s v="0,00"/>
    <s v="0,00"/>
    <s v="0,00"/>
    <s v="ORC2022_2"/>
    <s v="0012"/>
    <m/>
    <m/>
    <m/>
    <m/>
    <m/>
  </r>
  <r>
    <s v="PECAS E ACESSORIOS"/>
    <x v="0"/>
    <x v="1"/>
    <n v="29835.14"/>
    <s v="0000000127"/>
    <s v="1105"/>
    <d v="2022-12-01T00:00:00"/>
    <s v="320301004"/>
    <s v="302"/>
    <s v="11"/>
    <s v="Credito"/>
    <x v="2"/>
    <x v="216"/>
    <m/>
    <s v="000252"/>
    <s v="000132"/>
    <n v="29835.14"/>
    <s v="0,00"/>
    <s v="0,00"/>
    <s v="0,00"/>
    <s v="0,00"/>
    <s v="ORC2022_2"/>
    <s v="0012"/>
    <m/>
    <m/>
    <m/>
    <m/>
    <m/>
  </r>
  <r>
    <s v="PECAS E ACESSORIOS"/>
    <x v="0"/>
    <x v="1"/>
    <n v="57171.33"/>
    <s v="0000000127"/>
    <s v="1106"/>
    <d v="2022-12-01T00:00:00"/>
    <s v="320301004"/>
    <s v="304"/>
    <s v="11"/>
    <s v="Credito"/>
    <x v="2"/>
    <x v="216"/>
    <m/>
    <s v="000252"/>
    <s v="000132"/>
    <n v="57171.33"/>
    <s v="0,00"/>
    <s v="0,00"/>
    <s v="0,00"/>
    <s v="0,00"/>
    <s v="ORC2022_2"/>
    <s v="0012"/>
    <m/>
    <m/>
    <m/>
    <m/>
    <m/>
  </r>
  <r>
    <s v="PECAS E ACESSORIOS"/>
    <x v="0"/>
    <x v="1"/>
    <n v="78.790000000000006"/>
    <s v="0000000127"/>
    <s v="1107"/>
    <d v="2022-12-01T00:00:00"/>
    <s v="320301004"/>
    <s v="305"/>
    <s v="11"/>
    <s v="Credito"/>
    <x v="2"/>
    <x v="216"/>
    <m/>
    <s v="000252"/>
    <s v="000132"/>
    <n v="78.790000000000006"/>
    <s v="0,00"/>
    <s v="0,00"/>
    <s v="0,00"/>
    <s v="0,00"/>
    <s v="ORC2022_2"/>
    <s v="0012"/>
    <m/>
    <m/>
    <m/>
    <m/>
    <m/>
  </r>
  <r>
    <s v="PECAS E ACESSORIOS"/>
    <x v="0"/>
    <x v="1"/>
    <n v="11743.95"/>
    <s v="0000000127"/>
    <s v="1108"/>
    <d v="2022-12-01T00:00:00"/>
    <s v="320301004"/>
    <s v="303"/>
    <s v="21"/>
    <s v="Credito"/>
    <x v="2"/>
    <x v="216"/>
    <m/>
    <s v="000252"/>
    <s v="000132"/>
    <n v="11743.95"/>
    <s v="0,00"/>
    <s v="0,00"/>
    <s v="0,00"/>
    <s v="0,00"/>
    <s v="ORC2022_2"/>
    <s v="0012"/>
    <m/>
    <m/>
    <m/>
    <m/>
    <m/>
  </r>
  <r>
    <s v="PECAS E ACESSORIOS"/>
    <x v="0"/>
    <x v="1"/>
    <n v="374443.44"/>
    <s v="0000000127"/>
    <s v="1109"/>
    <d v="2022-12-01T00:00:00"/>
    <s v="320301004"/>
    <s v="305"/>
    <s v="21"/>
    <s v="Credito"/>
    <x v="2"/>
    <x v="216"/>
    <m/>
    <s v="000252"/>
    <s v="000132"/>
    <n v="374443.44"/>
    <s v="0,00"/>
    <s v="0,00"/>
    <s v="0,00"/>
    <s v="0,00"/>
    <s v="ORC2022_2"/>
    <s v="0012"/>
    <m/>
    <m/>
    <m/>
    <m/>
    <m/>
  </r>
  <r>
    <s v="PECAS E ACESSORIOS"/>
    <x v="0"/>
    <x v="1"/>
    <n v="1918.13"/>
    <s v="0000000127"/>
    <s v="1110"/>
    <d v="2022-12-01T00:00:00"/>
    <s v="320301004"/>
    <s v="304"/>
    <s v="31"/>
    <s v="Credito"/>
    <x v="2"/>
    <x v="216"/>
    <m/>
    <s v="000252"/>
    <s v="000132"/>
    <n v="1918.13"/>
    <s v="0,00"/>
    <s v="0,00"/>
    <s v="0,00"/>
    <s v="0,00"/>
    <s v="ORC2022_2"/>
    <s v="0012"/>
    <m/>
    <m/>
    <m/>
    <m/>
    <m/>
  </r>
  <r>
    <s v="PECAS E ACESSORIOS"/>
    <x v="0"/>
    <x v="1"/>
    <n v="45141.56"/>
    <s v="0000000127"/>
    <s v="1111"/>
    <d v="2022-12-01T00:00:00"/>
    <s v="320301004"/>
    <s v="305"/>
    <s v="31"/>
    <s v="Credito"/>
    <x v="2"/>
    <x v="216"/>
    <m/>
    <s v="000252"/>
    <s v="000132"/>
    <n v="45141.56"/>
    <s v="0,00"/>
    <s v="0,00"/>
    <s v="0,00"/>
    <s v="0,00"/>
    <s v="ORC2022_2"/>
    <s v="0012"/>
    <m/>
    <m/>
    <m/>
    <m/>
    <m/>
  </r>
  <r>
    <s v="PECAS E ACESSORIOS"/>
    <x v="0"/>
    <x v="1"/>
    <n v="822.89"/>
    <s v="0000000127"/>
    <s v="1112"/>
    <d v="2022-12-01T00:00:00"/>
    <s v="320301004"/>
    <s v="302"/>
    <s v="33"/>
    <s v="Credito"/>
    <x v="2"/>
    <x v="216"/>
    <m/>
    <s v="000252"/>
    <s v="000132"/>
    <n v="822.89"/>
    <s v="0,00"/>
    <s v="0,00"/>
    <s v="0,00"/>
    <s v="0,00"/>
    <s v="ORC2022_2"/>
    <s v="0012"/>
    <m/>
    <m/>
    <m/>
    <m/>
    <m/>
  </r>
  <r>
    <s v="PECAS E ACESSORIOS"/>
    <x v="0"/>
    <x v="1"/>
    <n v="28.68"/>
    <s v="0000000127"/>
    <s v="1113"/>
    <d v="2022-12-01T00:00:00"/>
    <s v="320301004"/>
    <s v="305"/>
    <s v="33"/>
    <s v="Credito"/>
    <x v="2"/>
    <x v="216"/>
    <m/>
    <s v="000252"/>
    <s v="000132"/>
    <n v="28.68"/>
    <s v="0,00"/>
    <s v="0,00"/>
    <s v="0,00"/>
    <s v="0,00"/>
    <s v="ORC2022_2"/>
    <s v="0012"/>
    <m/>
    <m/>
    <m/>
    <m/>
    <m/>
  </r>
  <r>
    <s v="PECAS E ACESSORIOS"/>
    <x v="0"/>
    <x v="1"/>
    <n v="57844.41"/>
    <s v="0000000127"/>
    <s v="1114"/>
    <d v="2022-12-01T00:00:00"/>
    <s v="320301004"/>
    <s v="306"/>
    <s v="33"/>
    <s v="Credito"/>
    <x v="2"/>
    <x v="216"/>
    <m/>
    <s v="000252"/>
    <s v="000132"/>
    <n v="57844.41"/>
    <s v="0,00"/>
    <s v="0,00"/>
    <s v="0,00"/>
    <s v="0,00"/>
    <s v="ORC2022_2"/>
    <s v="0012"/>
    <m/>
    <m/>
    <m/>
    <m/>
    <m/>
  </r>
  <r>
    <s v="PECAS E ACESSORIOS"/>
    <x v="0"/>
    <x v="1"/>
    <n v="16111.09"/>
    <s v="0000000127"/>
    <s v="1115"/>
    <d v="2022-12-01T00:00:00"/>
    <s v="320301004"/>
    <s v="301"/>
    <s v="90"/>
    <s v="Credito"/>
    <x v="2"/>
    <x v="216"/>
    <m/>
    <s v="000252"/>
    <s v="000132"/>
    <n v="16111.09"/>
    <s v="0,00"/>
    <s v="0,00"/>
    <s v="0,00"/>
    <s v="0,00"/>
    <s v="ORC2022_2"/>
    <s v="0012"/>
    <m/>
    <m/>
    <m/>
    <m/>
    <m/>
  </r>
  <r>
    <s v="FERRAMENTAS"/>
    <x v="33"/>
    <x v="8"/>
    <n v="766.16"/>
    <s v="0000000127"/>
    <s v="1116"/>
    <d v="2022-01-01T00:00:00"/>
    <s v="320301005"/>
    <s v="304"/>
    <s v="11"/>
    <s v="Credito"/>
    <x v="2"/>
    <x v="216"/>
    <m/>
    <s v="000252"/>
    <s v="000132"/>
    <n v="766.16"/>
    <s v="0,00"/>
    <s v="0,00"/>
    <s v="0,00"/>
    <s v="0,00"/>
    <s v="ORC2022_2"/>
    <s v="0012"/>
    <m/>
    <m/>
    <m/>
    <m/>
    <m/>
  </r>
  <r>
    <s v="FERRAMENTAS"/>
    <x v="33"/>
    <x v="8"/>
    <n v="924.54"/>
    <s v="0000000127"/>
    <s v="1117"/>
    <d v="2022-01-01T00:00:00"/>
    <s v="320301005"/>
    <s v="303"/>
    <s v="21"/>
    <s v="Credito"/>
    <x v="2"/>
    <x v="216"/>
    <m/>
    <s v="000252"/>
    <s v="000132"/>
    <n v="924.54"/>
    <s v="0,00"/>
    <s v="0,00"/>
    <s v="0,00"/>
    <s v="0,00"/>
    <s v="ORC2022_2"/>
    <s v="0012"/>
    <m/>
    <m/>
    <m/>
    <m/>
    <m/>
  </r>
  <r>
    <s v="FERRAMENTAS"/>
    <x v="33"/>
    <x v="8"/>
    <n v="102564.82"/>
    <s v="0000000127"/>
    <s v="1118"/>
    <d v="2022-01-01T00:00:00"/>
    <s v="320301005"/>
    <s v="305"/>
    <s v="21"/>
    <s v="Credito"/>
    <x v="2"/>
    <x v="216"/>
    <m/>
    <s v="000252"/>
    <s v="000132"/>
    <n v="102564.82"/>
    <s v="0,00"/>
    <s v="0,00"/>
    <s v="0,00"/>
    <s v="0,00"/>
    <s v="ORC2022_2"/>
    <s v="0012"/>
    <m/>
    <m/>
    <m/>
    <m/>
    <m/>
  </r>
  <r>
    <s v="FERRAMENTAS"/>
    <x v="33"/>
    <x v="8"/>
    <n v="110508.79"/>
    <s v="0000000127"/>
    <s v="1119"/>
    <d v="2022-01-01T00:00:00"/>
    <s v="320301005"/>
    <s v="305"/>
    <s v="31"/>
    <s v="Credito"/>
    <x v="2"/>
    <x v="216"/>
    <m/>
    <s v="000252"/>
    <s v="000132"/>
    <n v="110508.79"/>
    <s v="0,00"/>
    <s v="0,00"/>
    <s v="0,00"/>
    <s v="0,00"/>
    <s v="ORC2022_2"/>
    <s v="0012"/>
    <m/>
    <m/>
    <m/>
    <m/>
    <m/>
  </r>
  <r>
    <s v="FERRAMENTAS"/>
    <x v="33"/>
    <x v="9"/>
    <n v="1114.43"/>
    <s v="0000000127"/>
    <s v="1120"/>
    <d v="2022-02-01T00:00:00"/>
    <s v="320301005"/>
    <s v="302"/>
    <s v="11"/>
    <s v="Credito"/>
    <x v="2"/>
    <x v="216"/>
    <m/>
    <s v="000252"/>
    <s v="000132"/>
    <n v="1114.43"/>
    <s v="0,00"/>
    <s v="0,00"/>
    <s v="0,00"/>
    <s v="0,00"/>
    <s v="ORC2022_2"/>
    <s v="0012"/>
    <m/>
    <m/>
    <m/>
    <m/>
    <m/>
  </r>
  <r>
    <s v="FERRAMENTAS"/>
    <x v="33"/>
    <x v="9"/>
    <n v="733.24"/>
    <s v="0000000127"/>
    <s v="1121"/>
    <d v="2022-02-01T00:00:00"/>
    <s v="320301005"/>
    <s v="304"/>
    <s v="11"/>
    <s v="Credito"/>
    <x v="2"/>
    <x v="216"/>
    <m/>
    <s v="000252"/>
    <s v="000132"/>
    <n v="733.24"/>
    <s v="0,00"/>
    <s v="0,00"/>
    <s v="0,00"/>
    <s v="0,00"/>
    <s v="ORC2022_2"/>
    <s v="0012"/>
    <m/>
    <m/>
    <m/>
    <m/>
    <m/>
  </r>
  <r>
    <s v="FERRAMENTAS"/>
    <x v="33"/>
    <x v="9"/>
    <n v="2909.33"/>
    <s v="0000000127"/>
    <s v="1122"/>
    <d v="2022-02-01T00:00:00"/>
    <s v="320301005"/>
    <s v="303"/>
    <s v="21"/>
    <s v="Credito"/>
    <x v="2"/>
    <x v="216"/>
    <m/>
    <s v="000252"/>
    <s v="000132"/>
    <n v="2909.33"/>
    <s v="0,00"/>
    <s v="0,00"/>
    <s v="0,00"/>
    <s v="0,00"/>
    <s v="ORC2022_2"/>
    <s v="0012"/>
    <m/>
    <m/>
    <m/>
    <m/>
    <m/>
  </r>
  <r>
    <s v="FERRAMENTAS"/>
    <x v="33"/>
    <x v="9"/>
    <n v="97972.85"/>
    <s v="0000000127"/>
    <s v="1123"/>
    <d v="2022-02-01T00:00:00"/>
    <s v="320301005"/>
    <s v="305"/>
    <s v="21"/>
    <s v="Credito"/>
    <x v="2"/>
    <x v="216"/>
    <m/>
    <s v="000252"/>
    <s v="000132"/>
    <n v="97972.85"/>
    <s v="0,00"/>
    <s v="0,00"/>
    <s v="0,00"/>
    <s v="0,00"/>
    <s v="ORC2022_2"/>
    <s v="0012"/>
    <m/>
    <m/>
    <m/>
    <m/>
    <m/>
  </r>
  <r>
    <s v="FERRAMENTAS"/>
    <x v="33"/>
    <x v="9"/>
    <n v="9090.42"/>
    <s v="0000000127"/>
    <s v="1124"/>
    <d v="2022-02-01T00:00:00"/>
    <s v="320301005"/>
    <s v="305"/>
    <s v="31"/>
    <s v="Credito"/>
    <x v="2"/>
    <x v="216"/>
    <m/>
    <s v="000252"/>
    <s v="000132"/>
    <n v="9090.42"/>
    <s v="0,00"/>
    <s v="0,00"/>
    <s v="0,00"/>
    <s v="0,00"/>
    <s v="ORC2022_2"/>
    <s v="0012"/>
    <m/>
    <m/>
    <m/>
    <m/>
    <m/>
  </r>
  <r>
    <s v="FERRAMENTAS"/>
    <x v="33"/>
    <x v="10"/>
    <n v="151307.56"/>
    <s v="0000000127"/>
    <s v="1125"/>
    <d v="2022-03-01T00:00:00"/>
    <s v="320301005"/>
    <s v="305"/>
    <s v="21"/>
    <s v="Credito"/>
    <x v="2"/>
    <x v="216"/>
    <m/>
    <s v="000252"/>
    <s v="000132"/>
    <n v="151307.56"/>
    <s v="0,00"/>
    <s v="0,00"/>
    <s v="0,00"/>
    <s v="0,00"/>
    <s v="ORC2022_2"/>
    <s v="0012"/>
    <m/>
    <m/>
    <m/>
    <m/>
    <m/>
  </r>
  <r>
    <s v="FERRAMENTAS"/>
    <x v="33"/>
    <x v="11"/>
    <n v="5800.91"/>
    <s v="0000000127"/>
    <s v="1126"/>
    <d v="2022-04-01T00:00:00"/>
    <s v="320301005"/>
    <s v="304"/>
    <s v="11"/>
    <s v="Credito"/>
    <x v="2"/>
    <x v="216"/>
    <m/>
    <s v="000252"/>
    <s v="000132"/>
    <n v="5800.91"/>
    <s v="0,00"/>
    <s v="0,00"/>
    <s v="0,00"/>
    <s v="0,00"/>
    <s v="ORC2022_2"/>
    <s v="0012"/>
    <m/>
    <m/>
    <m/>
    <m/>
    <m/>
  </r>
  <r>
    <s v="FERRAMENTAS"/>
    <x v="33"/>
    <x v="11"/>
    <n v="2944.55"/>
    <s v="0000000127"/>
    <s v="1127"/>
    <d v="2022-04-01T00:00:00"/>
    <s v="320301005"/>
    <s v="303"/>
    <s v="21"/>
    <s v="Credito"/>
    <x v="2"/>
    <x v="216"/>
    <m/>
    <s v="000252"/>
    <s v="000132"/>
    <n v="2944.55"/>
    <s v="0,00"/>
    <s v="0,00"/>
    <s v="0,00"/>
    <s v="0,00"/>
    <s v="ORC2022_2"/>
    <s v="0012"/>
    <m/>
    <m/>
    <m/>
    <m/>
    <m/>
  </r>
  <r>
    <s v="FERRAMENTAS"/>
    <x v="33"/>
    <x v="11"/>
    <n v="4213.3999999999996"/>
    <s v="0000000127"/>
    <s v="1128"/>
    <d v="2022-04-01T00:00:00"/>
    <s v="320301005"/>
    <s v="305"/>
    <s v="21"/>
    <s v="Credito"/>
    <x v="2"/>
    <x v="216"/>
    <m/>
    <s v="000252"/>
    <s v="000132"/>
    <n v="4213.3999999999996"/>
    <s v="0,00"/>
    <s v="0,00"/>
    <s v="0,00"/>
    <s v="0,00"/>
    <s v="ORC2022_2"/>
    <s v="0012"/>
    <m/>
    <m/>
    <m/>
    <m/>
    <m/>
  </r>
  <r>
    <s v="FERRAMENTAS"/>
    <x v="33"/>
    <x v="11"/>
    <n v="73560.94"/>
    <s v="0000000127"/>
    <s v="1129"/>
    <d v="2022-04-01T00:00:00"/>
    <s v="320301005"/>
    <s v="305"/>
    <s v="31"/>
    <s v="Credito"/>
    <x v="2"/>
    <x v="216"/>
    <m/>
    <s v="000252"/>
    <s v="000132"/>
    <n v="73560.94"/>
    <s v="0,00"/>
    <s v="0,00"/>
    <s v="0,00"/>
    <s v="0,00"/>
    <s v="ORC2022_2"/>
    <s v="0012"/>
    <m/>
    <m/>
    <m/>
    <m/>
    <m/>
  </r>
  <r>
    <s v="FERRAMENTAS"/>
    <x v="33"/>
    <x v="11"/>
    <n v="3042"/>
    <s v="0000000127"/>
    <s v="1130"/>
    <d v="2022-04-01T00:00:00"/>
    <s v="320301005"/>
    <s v="301"/>
    <s v="90"/>
    <s v="Credito"/>
    <x v="2"/>
    <x v="216"/>
    <m/>
    <s v="000252"/>
    <s v="000132"/>
    <n v="3042"/>
    <s v="0,00"/>
    <s v="0,00"/>
    <s v="0,00"/>
    <s v="0,00"/>
    <s v="ORC2022_2"/>
    <s v="0012"/>
    <m/>
    <m/>
    <m/>
    <m/>
    <m/>
  </r>
  <r>
    <s v="FERRAMENTAS"/>
    <x v="33"/>
    <x v="12"/>
    <n v="153.71"/>
    <s v="0000000127"/>
    <s v="1131"/>
    <d v="2022-05-01T00:00:00"/>
    <s v="320301005"/>
    <s v="302"/>
    <s v="11"/>
    <s v="Credito"/>
    <x v="2"/>
    <x v="216"/>
    <m/>
    <s v="000252"/>
    <s v="000132"/>
    <n v="153.71"/>
    <s v="0,00"/>
    <s v="0,00"/>
    <s v="0,00"/>
    <s v="0,00"/>
    <s v="ORC2022_2"/>
    <s v="0012"/>
    <m/>
    <m/>
    <m/>
    <m/>
    <m/>
  </r>
  <r>
    <s v="FERRAMENTAS"/>
    <x v="33"/>
    <x v="12"/>
    <n v="908.57"/>
    <s v="0000000127"/>
    <s v="1132"/>
    <d v="2022-05-01T00:00:00"/>
    <s v="320301005"/>
    <s v="304"/>
    <s v="11"/>
    <s v="Credito"/>
    <x v="2"/>
    <x v="216"/>
    <m/>
    <s v="000252"/>
    <s v="000132"/>
    <n v="908.57"/>
    <s v="0,00"/>
    <s v="0,00"/>
    <s v="0,00"/>
    <s v="0,00"/>
    <s v="ORC2022_2"/>
    <s v="0012"/>
    <m/>
    <m/>
    <m/>
    <m/>
    <m/>
  </r>
  <r>
    <s v="FERRAMENTAS"/>
    <x v="33"/>
    <x v="12"/>
    <n v="68"/>
    <s v="0000000127"/>
    <s v="1133"/>
    <d v="2022-05-01T00:00:00"/>
    <s v="320301005"/>
    <s v="303"/>
    <s v="21"/>
    <s v="Credito"/>
    <x v="2"/>
    <x v="216"/>
    <m/>
    <s v="000252"/>
    <s v="000132"/>
    <n v="68"/>
    <s v="0,00"/>
    <s v="0,00"/>
    <s v="0,00"/>
    <s v="0,00"/>
    <s v="ORC2022_2"/>
    <s v="0012"/>
    <m/>
    <m/>
    <m/>
    <m/>
    <m/>
  </r>
  <r>
    <s v="FERRAMENTAS"/>
    <x v="33"/>
    <x v="12"/>
    <n v="102155.18"/>
    <s v="0000000127"/>
    <s v="1134"/>
    <d v="2022-05-01T00:00:00"/>
    <s v="320301005"/>
    <s v="305"/>
    <s v="21"/>
    <s v="Credito"/>
    <x v="2"/>
    <x v="216"/>
    <m/>
    <s v="000252"/>
    <s v="000132"/>
    <n v="102155.18"/>
    <s v="0,00"/>
    <s v="0,00"/>
    <s v="0,00"/>
    <s v="0,00"/>
    <s v="ORC2022_2"/>
    <s v="0012"/>
    <m/>
    <m/>
    <m/>
    <m/>
    <m/>
  </r>
  <r>
    <s v="FERRAMENTAS"/>
    <x v="33"/>
    <x v="12"/>
    <n v="50210.86"/>
    <s v="0000000127"/>
    <s v="1135"/>
    <d v="2022-05-01T00:00:00"/>
    <s v="320301005"/>
    <s v="305"/>
    <s v="31"/>
    <s v="Credito"/>
    <x v="2"/>
    <x v="216"/>
    <m/>
    <s v="000252"/>
    <s v="000132"/>
    <n v="50210.86"/>
    <s v="0,00"/>
    <s v="0,00"/>
    <s v="0,00"/>
    <s v="0,00"/>
    <s v="ORC2022_2"/>
    <s v="0012"/>
    <m/>
    <m/>
    <m/>
    <m/>
    <m/>
  </r>
  <r>
    <s v="FERRAMENTAS"/>
    <x v="33"/>
    <x v="12"/>
    <n v="297.51"/>
    <s v="0000000127"/>
    <s v="1136"/>
    <d v="2022-05-01T00:00:00"/>
    <s v="320301005"/>
    <s v="301"/>
    <s v="90"/>
    <s v="Credito"/>
    <x v="2"/>
    <x v="216"/>
    <m/>
    <s v="000252"/>
    <s v="000132"/>
    <n v="297.51"/>
    <s v="0,00"/>
    <s v="0,00"/>
    <s v="0,00"/>
    <s v="0,00"/>
    <s v="ORC2022_2"/>
    <s v="0012"/>
    <m/>
    <m/>
    <m/>
    <m/>
    <m/>
  </r>
  <r>
    <s v="FERRAMENTAS"/>
    <x v="33"/>
    <x v="13"/>
    <n v="2839.54"/>
    <s v="0000000127"/>
    <s v="1137"/>
    <d v="2022-06-01T00:00:00"/>
    <s v="320301005"/>
    <s v="302"/>
    <s v="11"/>
    <s v="Credito"/>
    <x v="2"/>
    <x v="216"/>
    <m/>
    <s v="000252"/>
    <s v="000132"/>
    <n v="2839.54"/>
    <s v="0,00"/>
    <s v="0,00"/>
    <s v="0,00"/>
    <s v="0,00"/>
    <s v="ORC2022_2"/>
    <s v="0012"/>
    <m/>
    <m/>
    <m/>
    <m/>
    <m/>
  </r>
  <r>
    <s v="FERRAMENTAS"/>
    <x v="33"/>
    <x v="13"/>
    <n v="2142.4699999999998"/>
    <s v="0000000127"/>
    <s v="1138"/>
    <d v="2022-06-01T00:00:00"/>
    <s v="320301005"/>
    <s v="304"/>
    <s v="11"/>
    <s v="Credito"/>
    <x v="2"/>
    <x v="216"/>
    <m/>
    <s v="000252"/>
    <s v="000132"/>
    <n v="2142.4699999999998"/>
    <s v="0,00"/>
    <s v="0,00"/>
    <s v="0,00"/>
    <s v="0,00"/>
    <s v="ORC2022_2"/>
    <s v="0012"/>
    <m/>
    <m/>
    <m/>
    <m/>
    <m/>
  </r>
  <r>
    <s v="FERRAMENTAS"/>
    <x v="33"/>
    <x v="13"/>
    <n v="6610.24"/>
    <s v="0000000127"/>
    <s v="1139"/>
    <d v="2022-06-01T00:00:00"/>
    <s v="320301005"/>
    <s v="303"/>
    <s v="21"/>
    <s v="Credito"/>
    <x v="2"/>
    <x v="216"/>
    <m/>
    <s v="000252"/>
    <s v="000132"/>
    <n v="6610.24"/>
    <s v="0,00"/>
    <s v="0,00"/>
    <s v="0,00"/>
    <s v="0,00"/>
    <s v="ORC2022_2"/>
    <s v="0012"/>
    <m/>
    <m/>
    <m/>
    <m/>
    <m/>
  </r>
  <r>
    <s v="FERRAMENTAS"/>
    <x v="33"/>
    <x v="13"/>
    <n v="19642.310000000001"/>
    <s v="0000000127"/>
    <s v="1140"/>
    <d v="2022-06-01T00:00:00"/>
    <s v="320301005"/>
    <s v="305"/>
    <s v="21"/>
    <s v="Credito"/>
    <x v="2"/>
    <x v="216"/>
    <m/>
    <s v="000252"/>
    <s v="000132"/>
    <n v="19642.310000000001"/>
    <s v="0,00"/>
    <s v="0,00"/>
    <s v="0,00"/>
    <s v="0,00"/>
    <s v="ORC2022_2"/>
    <s v="0012"/>
    <m/>
    <m/>
    <m/>
    <m/>
    <m/>
  </r>
  <r>
    <s v="FERRAMENTAS"/>
    <x v="33"/>
    <x v="13"/>
    <n v="60129.1"/>
    <s v="0000000127"/>
    <s v="1141"/>
    <d v="2022-06-01T00:00:00"/>
    <s v="320301005"/>
    <s v="305"/>
    <s v="31"/>
    <s v="Credito"/>
    <x v="2"/>
    <x v="216"/>
    <m/>
    <s v="000252"/>
    <s v="000132"/>
    <n v="60129.1"/>
    <s v="0,00"/>
    <s v="0,00"/>
    <s v="0,00"/>
    <s v="0,00"/>
    <s v="ORC2022_2"/>
    <s v="0012"/>
    <m/>
    <m/>
    <m/>
    <m/>
    <m/>
  </r>
  <r>
    <s v="FERRAMENTAS"/>
    <x v="33"/>
    <x v="14"/>
    <n v="669.76"/>
    <s v="0000000127"/>
    <s v="1142"/>
    <d v="2022-07-01T00:00:00"/>
    <s v="320301005"/>
    <s v="302"/>
    <s v="11"/>
    <s v="Credito"/>
    <x v="2"/>
    <x v="216"/>
    <m/>
    <s v="000252"/>
    <s v="000132"/>
    <n v="669.76"/>
    <s v="0,00"/>
    <s v="0,00"/>
    <s v="0,00"/>
    <s v="0,00"/>
    <s v="ORC2022_2"/>
    <s v="0012"/>
    <m/>
    <m/>
    <m/>
    <m/>
    <m/>
  </r>
  <r>
    <s v="FERRAMENTAS"/>
    <x v="33"/>
    <x v="14"/>
    <n v="3409.44"/>
    <s v="0000000127"/>
    <s v="1143"/>
    <d v="2022-07-01T00:00:00"/>
    <s v="320301005"/>
    <s v="304"/>
    <s v="11"/>
    <s v="Credito"/>
    <x v="2"/>
    <x v="216"/>
    <m/>
    <s v="000252"/>
    <s v="000132"/>
    <n v="3409.44"/>
    <s v="0,00"/>
    <s v="0,00"/>
    <s v="0,00"/>
    <s v="0,00"/>
    <s v="ORC2022_2"/>
    <s v="0012"/>
    <m/>
    <m/>
    <m/>
    <m/>
    <m/>
  </r>
  <r>
    <s v="FERRAMENTAS"/>
    <x v="33"/>
    <x v="14"/>
    <n v="12308.56"/>
    <s v="0000000127"/>
    <s v="1144"/>
    <d v="2022-07-01T00:00:00"/>
    <s v="320301005"/>
    <s v="303"/>
    <s v="21"/>
    <s v="Credito"/>
    <x v="2"/>
    <x v="216"/>
    <m/>
    <s v="000252"/>
    <s v="000132"/>
    <n v="12308.56"/>
    <s v="0,00"/>
    <s v="0,00"/>
    <s v="0,00"/>
    <s v="0,00"/>
    <s v="ORC2022_2"/>
    <s v="0012"/>
    <m/>
    <m/>
    <m/>
    <m/>
    <m/>
  </r>
  <r>
    <s v="FERRAMENTAS"/>
    <x v="33"/>
    <x v="14"/>
    <n v="134048.14000000001"/>
    <s v="0000000127"/>
    <s v="1145"/>
    <d v="2022-07-01T00:00:00"/>
    <s v="320301005"/>
    <s v="305"/>
    <s v="21"/>
    <s v="Credito"/>
    <x v="2"/>
    <x v="216"/>
    <m/>
    <s v="000252"/>
    <s v="000132"/>
    <n v="134048.14000000001"/>
    <s v="0,00"/>
    <s v="0,00"/>
    <s v="0,00"/>
    <s v="0,00"/>
    <s v="ORC2022_2"/>
    <s v="0012"/>
    <m/>
    <m/>
    <m/>
    <m/>
    <m/>
  </r>
  <r>
    <s v="FERRAMENTAS"/>
    <x v="33"/>
    <x v="14"/>
    <n v="4020"/>
    <s v="0000000127"/>
    <s v="1146"/>
    <d v="2022-07-01T00:00:00"/>
    <s v="320301005"/>
    <s v="305"/>
    <s v="31"/>
    <s v="Credito"/>
    <x v="2"/>
    <x v="216"/>
    <m/>
    <s v="000252"/>
    <s v="000132"/>
    <n v="4020"/>
    <s v="0,00"/>
    <s v="0,00"/>
    <s v="0,00"/>
    <s v="0,00"/>
    <s v="ORC2022_2"/>
    <s v="0012"/>
    <m/>
    <m/>
    <m/>
    <m/>
    <m/>
  </r>
  <r>
    <s v="FERRAMENTAS"/>
    <x v="33"/>
    <x v="14"/>
    <n v="693.9"/>
    <s v="0000000127"/>
    <s v="1147"/>
    <d v="2022-07-01T00:00:00"/>
    <s v="320301005"/>
    <s v="301"/>
    <s v="90"/>
    <s v="Credito"/>
    <x v="2"/>
    <x v="216"/>
    <m/>
    <s v="000252"/>
    <s v="000132"/>
    <n v="693.9"/>
    <s v="0,00"/>
    <s v="0,00"/>
    <s v="0,00"/>
    <s v="0,00"/>
    <s v="ORC2022_2"/>
    <s v="0012"/>
    <m/>
    <m/>
    <m/>
    <m/>
    <m/>
  </r>
  <r>
    <s v="FERRAMENTAS"/>
    <x v="33"/>
    <x v="15"/>
    <n v="551.30999999999995"/>
    <s v="0000000127"/>
    <s v="1148"/>
    <d v="2022-08-01T00:00:00"/>
    <s v="320301005"/>
    <s v="302"/>
    <s v="11"/>
    <s v="Credito"/>
    <x v="2"/>
    <x v="216"/>
    <m/>
    <s v="000252"/>
    <s v="000132"/>
    <n v="551.30999999999995"/>
    <s v="0,00"/>
    <s v="0,00"/>
    <s v="0,00"/>
    <s v="0,00"/>
    <s v="ORC2022_2"/>
    <s v="0012"/>
    <m/>
    <m/>
    <m/>
    <m/>
    <m/>
  </r>
  <r>
    <s v="FERRAMENTAS"/>
    <x v="33"/>
    <x v="15"/>
    <n v="4147.12"/>
    <s v="0000000127"/>
    <s v="1149"/>
    <d v="2022-08-01T00:00:00"/>
    <s v="320301005"/>
    <s v="304"/>
    <s v="11"/>
    <s v="Credito"/>
    <x v="2"/>
    <x v="216"/>
    <m/>
    <s v="000252"/>
    <s v="000132"/>
    <n v="4147.12"/>
    <s v="0,00"/>
    <s v="0,00"/>
    <s v="0,00"/>
    <s v="0,00"/>
    <s v="ORC2022_2"/>
    <s v="0012"/>
    <m/>
    <m/>
    <m/>
    <m/>
    <m/>
  </r>
  <r>
    <s v="FERRAMENTAS"/>
    <x v="33"/>
    <x v="15"/>
    <n v="3616.2"/>
    <s v="0000000127"/>
    <s v="1150"/>
    <d v="2022-08-01T00:00:00"/>
    <s v="320301005"/>
    <s v="303"/>
    <s v="21"/>
    <s v="Credito"/>
    <x v="2"/>
    <x v="216"/>
    <m/>
    <s v="000252"/>
    <s v="000132"/>
    <n v="3616.2"/>
    <s v="0,00"/>
    <s v="0,00"/>
    <s v="0,00"/>
    <s v="0,00"/>
    <s v="ORC2022_2"/>
    <s v="0012"/>
    <m/>
    <m/>
    <m/>
    <m/>
    <m/>
  </r>
  <r>
    <s v="FERRAMENTAS"/>
    <x v="33"/>
    <x v="15"/>
    <n v="108530.62"/>
    <s v="0000000127"/>
    <s v="1151"/>
    <d v="2022-08-01T00:00:00"/>
    <s v="320301005"/>
    <s v="305"/>
    <s v="21"/>
    <s v="Credito"/>
    <x v="2"/>
    <x v="216"/>
    <m/>
    <s v="000252"/>
    <s v="000132"/>
    <n v="108530.62"/>
    <s v="0,00"/>
    <s v="0,00"/>
    <s v="0,00"/>
    <s v="0,00"/>
    <s v="ORC2022_2"/>
    <s v="0012"/>
    <m/>
    <m/>
    <m/>
    <m/>
    <m/>
  </r>
  <r>
    <s v="FERRAMENTAS"/>
    <x v="33"/>
    <x v="15"/>
    <n v="11351.31"/>
    <s v="0000000127"/>
    <s v="1152"/>
    <d v="2022-08-01T00:00:00"/>
    <s v="320301005"/>
    <s v="305"/>
    <s v="31"/>
    <s v="Credito"/>
    <x v="2"/>
    <x v="216"/>
    <m/>
    <s v="000252"/>
    <s v="000132"/>
    <n v="11351.31"/>
    <s v="0,00"/>
    <s v="0,00"/>
    <s v="0,00"/>
    <s v="0,00"/>
    <s v="ORC2022_2"/>
    <s v="0012"/>
    <m/>
    <m/>
    <m/>
    <m/>
    <m/>
  </r>
  <r>
    <s v="FERRAMENTAS"/>
    <x v="33"/>
    <x v="15"/>
    <n v="391.27"/>
    <s v="0000000127"/>
    <s v="1153"/>
    <d v="2022-08-01T00:00:00"/>
    <s v="320301005"/>
    <s v="301"/>
    <s v="90"/>
    <s v="Credito"/>
    <x v="2"/>
    <x v="216"/>
    <m/>
    <s v="000252"/>
    <s v="000132"/>
    <n v="391.27"/>
    <s v="0,00"/>
    <s v="0,00"/>
    <s v="0,00"/>
    <s v="0,00"/>
    <s v="ORC2022_2"/>
    <s v="0012"/>
    <m/>
    <m/>
    <m/>
    <m/>
    <m/>
  </r>
  <r>
    <s v="FERRAMENTAS"/>
    <x v="33"/>
    <x v="16"/>
    <n v="1450.72"/>
    <s v="0000000127"/>
    <s v="1154"/>
    <d v="2022-09-01T00:00:00"/>
    <s v="320301005"/>
    <s v="302"/>
    <s v="11"/>
    <s v="Credito"/>
    <x v="2"/>
    <x v="216"/>
    <m/>
    <s v="000252"/>
    <s v="000132"/>
    <n v="1450.72"/>
    <s v="0,00"/>
    <s v="0,00"/>
    <s v="0,00"/>
    <s v="0,00"/>
    <s v="ORC2022_2"/>
    <s v="0012"/>
    <m/>
    <m/>
    <m/>
    <m/>
    <m/>
  </r>
  <r>
    <s v="FERRAMENTAS"/>
    <x v="33"/>
    <x v="16"/>
    <n v="3206.52"/>
    <s v="0000000127"/>
    <s v="1155"/>
    <d v="2022-09-01T00:00:00"/>
    <s v="320301005"/>
    <s v="304"/>
    <s v="11"/>
    <s v="Credito"/>
    <x v="2"/>
    <x v="216"/>
    <m/>
    <s v="000252"/>
    <s v="000132"/>
    <n v="3206.52"/>
    <s v="0,00"/>
    <s v="0,00"/>
    <s v="0,00"/>
    <s v="0,00"/>
    <s v="ORC2022_2"/>
    <s v="0012"/>
    <m/>
    <m/>
    <m/>
    <m/>
    <m/>
  </r>
  <r>
    <s v="FERRAMENTAS"/>
    <x v="33"/>
    <x v="16"/>
    <n v="1687.42"/>
    <s v="0000000127"/>
    <s v="1156"/>
    <d v="2022-09-01T00:00:00"/>
    <s v="320301005"/>
    <s v="303"/>
    <s v="21"/>
    <s v="Credito"/>
    <x v="2"/>
    <x v="216"/>
    <m/>
    <s v="000252"/>
    <s v="000132"/>
    <n v="1687.42"/>
    <s v="0,00"/>
    <s v="0,00"/>
    <s v="0,00"/>
    <s v="0,00"/>
    <s v="ORC2022_2"/>
    <s v="0012"/>
    <m/>
    <m/>
    <m/>
    <m/>
    <m/>
  </r>
  <r>
    <s v="FERRAMENTAS"/>
    <x v="33"/>
    <x v="16"/>
    <n v="75502.73"/>
    <s v="0000000127"/>
    <s v="1157"/>
    <d v="2022-09-01T00:00:00"/>
    <s v="320301005"/>
    <s v="305"/>
    <s v="21"/>
    <s v="Credito"/>
    <x v="2"/>
    <x v="216"/>
    <m/>
    <s v="000252"/>
    <s v="000132"/>
    <n v="75502.73"/>
    <s v="0,00"/>
    <s v="0,00"/>
    <s v="0,00"/>
    <s v="0,00"/>
    <s v="ORC2022_2"/>
    <s v="0012"/>
    <m/>
    <m/>
    <m/>
    <m/>
    <m/>
  </r>
  <r>
    <s v="FERRAMENTAS"/>
    <x v="33"/>
    <x v="16"/>
    <n v="114348.11"/>
    <s v="0000000127"/>
    <s v="1158"/>
    <d v="2022-09-01T00:00:00"/>
    <s v="320301005"/>
    <s v="305"/>
    <s v="31"/>
    <s v="Credito"/>
    <x v="2"/>
    <x v="216"/>
    <m/>
    <s v="000252"/>
    <s v="000132"/>
    <n v="114348.11"/>
    <s v="0,00"/>
    <s v="0,00"/>
    <s v="0,00"/>
    <s v="0,00"/>
    <s v="ORC2022_2"/>
    <s v="0012"/>
    <m/>
    <m/>
    <m/>
    <m/>
    <m/>
  </r>
  <r>
    <s v="FERRAMENTAS"/>
    <x v="33"/>
    <x v="17"/>
    <n v="1465.23"/>
    <s v="0000000127"/>
    <s v="1159"/>
    <d v="2022-10-01T00:00:00"/>
    <s v="320301005"/>
    <s v="302"/>
    <s v="11"/>
    <s v="Credito"/>
    <x v="2"/>
    <x v="216"/>
    <m/>
    <s v="000252"/>
    <s v="000132"/>
    <n v="1465.23"/>
    <s v="0,00"/>
    <s v="0,00"/>
    <s v="0,00"/>
    <s v="0,00"/>
    <s v="ORC2022_2"/>
    <s v="0012"/>
    <m/>
    <m/>
    <m/>
    <m/>
    <m/>
  </r>
  <r>
    <s v="FERRAMENTAS"/>
    <x v="33"/>
    <x v="17"/>
    <n v="3238.59"/>
    <s v="0000000127"/>
    <s v="1160"/>
    <d v="2022-10-01T00:00:00"/>
    <s v="320301005"/>
    <s v="304"/>
    <s v="11"/>
    <s v="Credito"/>
    <x v="2"/>
    <x v="216"/>
    <m/>
    <s v="000252"/>
    <s v="000132"/>
    <n v="3238.59"/>
    <s v="0,00"/>
    <s v="0,00"/>
    <s v="0,00"/>
    <s v="0,00"/>
    <s v="ORC2022_2"/>
    <s v="0012"/>
    <m/>
    <m/>
    <m/>
    <m/>
    <m/>
  </r>
  <r>
    <s v="FERRAMENTAS"/>
    <x v="33"/>
    <x v="17"/>
    <n v="1704.29"/>
    <s v="0000000127"/>
    <s v="1161"/>
    <d v="2022-10-01T00:00:00"/>
    <s v="320301005"/>
    <s v="303"/>
    <s v="21"/>
    <s v="Credito"/>
    <x v="2"/>
    <x v="216"/>
    <m/>
    <s v="000252"/>
    <s v="000132"/>
    <n v="1704.29"/>
    <s v="0,00"/>
    <s v="0,00"/>
    <s v="0,00"/>
    <s v="0,00"/>
    <s v="ORC2022_2"/>
    <s v="0012"/>
    <m/>
    <m/>
    <m/>
    <m/>
    <m/>
  </r>
  <r>
    <s v="FERRAMENTAS"/>
    <x v="33"/>
    <x v="17"/>
    <n v="76257.759999999995"/>
    <s v="0000000127"/>
    <s v="1162"/>
    <d v="2022-10-01T00:00:00"/>
    <s v="320301005"/>
    <s v="305"/>
    <s v="21"/>
    <s v="Credito"/>
    <x v="2"/>
    <x v="216"/>
    <m/>
    <s v="000252"/>
    <s v="000132"/>
    <n v="76257.759999999995"/>
    <s v="0,00"/>
    <s v="0,00"/>
    <s v="0,00"/>
    <s v="0,00"/>
    <s v="ORC2022_2"/>
    <s v="0012"/>
    <m/>
    <m/>
    <m/>
    <m/>
    <m/>
  </r>
  <r>
    <s v="FERRAMENTAS"/>
    <x v="33"/>
    <x v="17"/>
    <n v="115491.59"/>
    <s v="0000000127"/>
    <s v="1163"/>
    <d v="2022-10-01T00:00:00"/>
    <s v="320301005"/>
    <s v="305"/>
    <s v="31"/>
    <s v="Credito"/>
    <x v="2"/>
    <x v="216"/>
    <m/>
    <s v="000252"/>
    <s v="000132"/>
    <n v="115491.59"/>
    <s v="0,00"/>
    <s v="0,00"/>
    <s v="0,00"/>
    <s v="0,00"/>
    <s v="ORC2022_2"/>
    <s v="0012"/>
    <m/>
    <m/>
    <m/>
    <m/>
    <m/>
  </r>
  <r>
    <s v="FERRAMENTAS"/>
    <x v="33"/>
    <x v="0"/>
    <n v="1479.88"/>
    <s v="0000000127"/>
    <s v="1164"/>
    <d v="2022-11-01T00:00:00"/>
    <s v="320301005"/>
    <s v="302"/>
    <s v="11"/>
    <s v="Credito"/>
    <x v="2"/>
    <x v="216"/>
    <m/>
    <s v="000252"/>
    <s v="000132"/>
    <n v="1479.88"/>
    <s v="0,00"/>
    <s v="0,00"/>
    <s v="0,00"/>
    <s v="0,00"/>
    <s v="ORC2022_2"/>
    <s v="0012"/>
    <m/>
    <m/>
    <m/>
    <m/>
    <m/>
  </r>
  <r>
    <s v="FERRAMENTAS"/>
    <x v="33"/>
    <x v="0"/>
    <n v="3270.97"/>
    <s v="0000000127"/>
    <s v="1165"/>
    <d v="2022-11-01T00:00:00"/>
    <s v="320301005"/>
    <s v="304"/>
    <s v="11"/>
    <s v="Credito"/>
    <x v="2"/>
    <x v="216"/>
    <m/>
    <s v="000252"/>
    <s v="000132"/>
    <n v="3270.97"/>
    <s v="0,00"/>
    <s v="0,00"/>
    <s v="0,00"/>
    <s v="0,00"/>
    <s v="ORC2022_2"/>
    <s v="0012"/>
    <m/>
    <m/>
    <m/>
    <m/>
    <m/>
  </r>
  <r>
    <s v="FERRAMENTAS"/>
    <x v="33"/>
    <x v="0"/>
    <n v="1721.34"/>
    <s v="0000000127"/>
    <s v="1166"/>
    <d v="2022-11-01T00:00:00"/>
    <s v="320301005"/>
    <s v="303"/>
    <s v="21"/>
    <s v="Credito"/>
    <x v="2"/>
    <x v="216"/>
    <m/>
    <s v="000252"/>
    <s v="000132"/>
    <n v="1721.34"/>
    <s v="0,00"/>
    <s v="0,00"/>
    <s v="0,00"/>
    <s v="0,00"/>
    <s v="ORC2022_2"/>
    <s v="0012"/>
    <m/>
    <m/>
    <m/>
    <m/>
    <m/>
  </r>
  <r>
    <s v="FERRAMENTAS"/>
    <x v="33"/>
    <x v="0"/>
    <n v="77020.33"/>
    <s v="0000000127"/>
    <s v="1167"/>
    <d v="2022-11-01T00:00:00"/>
    <s v="320301005"/>
    <s v="305"/>
    <s v="21"/>
    <s v="Credito"/>
    <x v="2"/>
    <x v="216"/>
    <m/>
    <s v="000252"/>
    <s v="000132"/>
    <n v="77020.33"/>
    <s v="0,00"/>
    <s v="0,00"/>
    <s v="0,00"/>
    <s v="0,00"/>
    <s v="ORC2022_2"/>
    <s v="0012"/>
    <m/>
    <m/>
    <m/>
    <m/>
    <m/>
  </r>
  <r>
    <s v="FERRAMENTAS"/>
    <x v="33"/>
    <x v="0"/>
    <n v="116646.51"/>
    <s v="0000000127"/>
    <s v="1168"/>
    <d v="2022-11-01T00:00:00"/>
    <s v="320301005"/>
    <s v="305"/>
    <s v="31"/>
    <s v="Credito"/>
    <x v="2"/>
    <x v="216"/>
    <m/>
    <s v="000252"/>
    <s v="000132"/>
    <n v="116646.51"/>
    <s v="0,00"/>
    <s v="0,00"/>
    <s v="0,00"/>
    <s v="0,00"/>
    <s v="ORC2022_2"/>
    <s v="0012"/>
    <m/>
    <m/>
    <m/>
    <m/>
    <m/>
  </r>
  <r>
    <s v="FERRAMENTAS"/>
    <x v="33"/>
    <x v="1"/>
    <n v="1494.68"/>
    <s v="0000000127"/>
    <s v="1169"/>
    <d v="2022-12-01T00:00:00"/>
    <s v="320301005"/>
    <s v="302"/>
    <s v="11"/>
    <s v="Credito"/>
    <x v="2"/>
    <x v="216"/>
    <m/>
    <s v="000252"/>
    <s v="000132"/>
    <n v="1494.68"/>
    <s v="0,00"/>
    <s v="0,00"/>
    <s v="0,00"/>
    <s v="0,00"/>
    <s v="ORC2022_2"/>
    <s v="0012"/>
    <m/>
    <m/>
    <m/>
    <m/>
    <m/>
  </r>
  <r>
    <s v="FERRAMENTAS"/>
    <x v="33"/>
    <x v="1"/>
    <n v="3303.68"/>
    <s v="0000000127"/>
    <s v="1170"/>
    <d v="2022-12-01T00:00:00"/>
    <s v="320301005"/>
    <s v="304"/>
    <s v="11"/>
    <s v="Credito"/>
    <x v="2"/>
    <x v="216"/>
    <m/>
    <s v="000252"/>
    <s v="000132"/>
    <n v="3303.68"/>
    <s v="0,00"/>
    <s v="0,00"/>
    <s v="0,00"/>
    <s v="0,00"/>
    <s v="ORC2022_2"/>
    <s v="0012"/>
    <m/>
    <m/>
    <m/>
    <m/>
    <m/>
  </r>
  <r>
    <s v="FERRAMENTAS"/>
    <x v="33"/>
    <x v="1"/>
    <n v="1738.55"/>
    <s v="0000000127"/>
    <s v="1171"/>
    <d v="2022-12-01T00:00:00"/>
    <s v="320301005"/>
    <s v="303"/>
    <s v="21"/>
    <s v="Credito"/>
    <x v="2"/>
    <x v="216"/>
    <m/>
    <s v="000252"/>
    <s v="000132"/>
    <n v="1738.55"/>
    <s v="0,00"/>
    <s v="0,00"/>
    <s v="0,00"/>
    <s v="0,00"/>
    <s v="ORC2022_2"/>
    <s v="0012"/>
    <m/>
    <m/>
    <m/>
    <m/>
    <m/>
  </r>
  <r>
    <s v="FERRAMENTAS"/>
    <x v="33"/>
    <x v="1"/>
    <n v="77790.539999999994"/>
    <s v="0000000127"/>
    <s v="1172"/>
    <d v="2022-12-01T00:00:00"/>
    <s v="320301005"/>
    <s v="305"/>
    <s v="21"/>
    <s v="Credito"/>
    <x v="2"/>
    <x v="216"/>
    <m/>
    <s v="000252"/>
    <s v="000132"/>
    <n v="77790.539999999994"/>
    <s v="0,00"/>
    <s v="0,00"/>
    <s v="0,00"/>
    <s v="0,00"/>
    <s v="ORC2022_2"/>
    <s v="0012"/>
    <m/>
    <m/>
    <m/>
    <m/>
    <m/>
  </r>
  <r>
    <s v="FERRAMENTAS"/>
    <x v="33"/>
    <x v="1"/>
    <n v="117812.97"/>
    <s v="0000000127"/>
    <s v="1173"/>
    <d v="2022-12-01T00:00:00"/>
    <s v="320301005"/>
    <s v="305"/>
    <s v="31"/>
    <s v="Credito"/>
    <x v="2"/>
    <x v="216"/>
    <m/>
    <s v="000252"/>
    <s v="000132"/>
    <n v="117812.97"/>
    <s v="0,00"/>
    <s v="0,00"/>
    <s v="0,00"/>
    <s v="0,00"/>
    <s v="ORC2022_2"/>
    <s v="0012"/>
    <m/>
    <m/>
    <m/>
    <m/>
    <m/>
  </r>
  <r>
    <s v="SERVICOS E MANUTENCAO DE VEICULOS EQ"/>
    <x v="10"/>
    <x v="8"/>
    <n v="16456.509999999998"/>
    <s v="0000000127"/>
    <s v="1174"/>
    <d v="2022-01-01T00:00:00"/>
    <s v="320301006"/>
    <s v="304"/>
    <s v="11"/>
    <s v="Credito"/>
    <x v="2"/>
    <x v="216"/>
    <m/>
    <s v="000252"/>
    <s v="000132"/>
    <n v="16456.509999999998"/>
    <s v="0,00"/>
    <s v="0,00"/>
    <s v="0,00"/>
    <s v="0,00"/>
    <s v="ORC2022_2"/>
    <s v="0012"/>
    <m/>
    <m/>
    <m/>
    <m/>
    <m/>
  </r>
  <r>
    <s v="SERVICOS E MANUTENCAO DE VEICULOS EQ"/>
    <x v="10"/>
    <x v="8"/>
    <n v="644.32000000000005"/>
    <s v="0000000127"/>
    <s v="1175"/>
    <d v="2022-01-01T00:00:00"/>
    <s v="320301006"/>
    <s v="305"/>
    <s v="11"/>
    <s v="Credito"/>
    <x v="2"/>
    <x v="216"/>
    <m/>
    <s v="000252"/>
    <s v="000132"/>
    <n v="644.32000000000005"/>
    <s v="0,00"/>
    <s v="0,00"/>
    <s v="0,00"/>
    <s v="0,00"/>
    <s v="ORC2022_2"/>
    <s v="0012"/>
    <m/>
    <m/>
    <m/>
    <m/>
    <m/>
  </r>
  <r>
    <s v="SERVICOS E MANUTENCAO DE VEICULOS EQ"/>
    <x v="10"/>
    <x v="8"/>
    <n v="7805.8"/>
    <s v="0000000127"/>
    <s v="1176"/>
    <d v="2022-01-01T00:00:00"/>
    <s v="320301006"/>
    <s v="303"/>
    <s v="21"/>
    <s v="Credito"/>
    <x v="2"/>
    <x v="216"/>
    <m/>
    <s v="000252"/>
    <s v="000132"/>
    <n v="7805.8"/>
    <s v="0,00"/>
    <s v="0,00"/>
    <s v="0,00"/>
    <s v="0,00"/>
    <s v="ORC2022_2"/>
    <s v="0012"/>
    <m/>
    <m/>
    <m/>
    <m/>
    <m/>
  </r>
  <r>
    <s v="SERVICOS E MANUTENCAO DE VEICULOS EQ"/>
    <x v="10"/>
    <x v="8"/>
    <n v="399.3"/>
    <s v="0000000127"/>
    <s v="1177"/>
    <d v="2022-01-01T00:00:00"/>
    <s v="320301006"/>
    <s v="304"/>
    <s v="21"/>
    <s v="Credito"/>
    <x v="2"/>
    <x v="216"/>
    <m/>
    <s v="000252"/>
    <s v="000132"/>
    <n v="399.3"/>
    <s v="0,00"/>
    <s v="0,00"/>
    <s v="0,00"/>
    <s v="0,00"/>
    <s v="ORC2022_2"/>
    <s v="0012"/>
    <m/>
    <m/>
    <m/>
    <m/>
    <m/>
  </r>
  <r>
    <s v="SERVICOS E MANUTENCAO DE VEICULOS EQ"/>
    <x v="10"/>
    <x v="8"/>
    <n v="53116.59"/>
    <s v="0000000127"/>
    <s v="1178"/>
    <d v="2022-01-01T00:00:00"/>
    <s v="320301006"/>
    <s v="305"/>
    <s v="21"/>
    <s v="Credito"/>
    <x v="2"/>
    <x v="216"/>
    <m/>
    <s v="000252"/>
    <s v="000132"/>
    <n v="53116.59"/>
    <s v="0,00"/>
    <s v="0,00"/>
    <s v="0,00"/>
    <s v="0,00"/>
    <s v="ORC2022_2"/>
    <s v="0012"/>
    <m/>
    <m/>
    <m/>
    <m/>
    <m/>
  </r>
  <r>
    <s v="SERVICOS E MANUTENCAO DE VEICULOS EQ"/>
    <x v="10"/>
    <x v="8"/>
    <n v="1360"/>
    <s v="0000000127"/>
    <s v="1179"/>
    <d v="2022-01-01T00:00:00"/>
    <s v="320301006"/>
    <s v="201"/>
    <s v="90"/>
    <s v="Credito"/>
    <x v="2"/>
    <x v="216"/>
    <m/>
    <s v="000252"/>
    <s v="000132"/>
    <n v="1360"/>
    <s v="0,00"/>
    <s v="0,00"/>
    <s v="0,00"/>
    <s v="0,00"/>
    <s v="ORC2022_2"/>
    <s v="0012"/>
    <m/>
    <m/>
    <m/>
    <m/>
    <m/>
  </r>
  <r>
    <s v="SERVICOS E MANUTENCAO DE VEICULOS EQ"/>
    <x v="10"/>
    <x v="8"/>
    <n v="240"/>
    <s v="0000000127"/>
    <s v="1180"/>
    <d v="2022-01-01T00:00:00"/>
    <s v="320301006"/>
    <s v="206"/>
    <s v="90"/>
    <s v="Credito"/>
    <x v="2"/>
    <x v="216"/>
    <m/>
    <s v="000252"/>
    <s v="000132"/>
    <n v="240"/>
    <s v="0,00"/>
    <s v="0,00"/>
    <s v="0,00"/>
    <s v="0,00"/>
    <s v="ORC2022_2"/>
    <s v="0012"/>
    <m/>
    <m/>
    <m/>
    <m/>
    <m/>
  </r>
  <r>
    <s v="SERVICOS E MANUTENCAO DE VEICULOS EQ"/>
    <x v="10"/>
    <x v="8"/>
    <n v="656.43"/>
    <s v="0000000127"/>
    <s v="1181"/>
    <d v="2022-01-01T00:00:00"/>
    <s v="320301006"/>
    <s v="301"/>
    <s v="90"/>
    <s v="Credito"/>
    <x v="2"/>
    <x v="216"/>
    <m/>
    <s v="000252"/>
    <s v="000132"/>
    <n v="656.43"/>
    <s v="0,00"/>
    <s v="0,00"/>
    <s v="0,00"/>
    <s v="0,00"/>
    <s v="ORC2022_2"/>
    <s v="0012"/>
    <m/>
    <m/>
    <m/>
    <m/>
    <m/>
  </r>
  <r>
    <s v="SERVICOS E MANUTENCAO DE VEICULOS EQ"/>
    <x v="10"/>
    <x v="9"/>
    <n v="2646.5"/>
    <s v="0000000127"/>
    <s v="1182"/>
    <d v="2022-02-01T00:00:00"/>
    <s v="320301006"/>
    <s v="302"/>
    <s v="11"/>
    <s v="Credito"/>
    <x v="2"/>
    <x v="216"/>
    <m/>
    <s v="000252"/>
    <s v="000132"/>
    <n v="2646.5"/>
    <s v="0,00"/>
    <s v="0,00"/>
    <s v="0,00"/>
    <s v="0,00"/>
    <s v="ORC2022_2"/>
    <s v="0012"/>
    <m/>
    <m/>
    <m/>
    <m/>
    <m/>
  </r>
  <r>
    <s v="SERVICOS E MANUTENCAO DE VEICULOS EQ"/>
    <x v="10"/>
    <x v="9"/>
    <n v="38512.949999999997"/>
    <s v="0000000127"/>
    <s v="1183"/>
    <d v="2022-02-01T00:00:00"/>
    <s v="320301006"/>
    <s v="304"/>
    <s v="11"/>
    <s v="Credito"/>
    <x v="2"/>
    <x v="216"/>
    <m/>
    <s v="000252"/>
    <s v="000132"/>
    <n v="38512.949999999997"/>
    <s v="0,00"/>
    <s v="0,00"/>
    <s v="0,00"/>
    <s v="0,00"/>
    <s v="ORC2022_2"/>
    <s v="0012"/>
    <m/>
    <m/>
    <m/>
    <m/>
    <m/>
  </r>
  <r>
    <s v="SERVICOS E MANUTENCAO DE VEICULOS EQ"/>
    <x v="10"/>
    <x v="9"/>
    <n v="7123.87"/>
    <s v="0000000127"/>
    <s v="1184"/>
    <d v="2022-02-01T00:00:00"/>
    <s v="320301006"/>
    <s v="303"/>
    <s v="21"/>
    <s v="Credito"/>
    <x v="2"/>
    <x v="216"/>
    <m/>
    <s v="000252"/>
    <s v="000132"/>
    <n v="7123.87"/>
    <s v="0,00"/>
    <s v="0,00"/>
    <s v="0,00"/>
    <s v="0,00"/>
    <s v="ORC2022_2"/>
    <s v="0012"/>
    <m/>
    <m/>
    <m/>
    <m/>
    <m/>
  </r>
  <r>
    <s v="SERVICOS E MANUTENCAO DE VEICULOS EQ"/>
    <x v="10"/>
    <x v="9"/>
    <n v="37457.81"/>
    <s v="0000000127"/>
    <s v="1185"/>
    <d v="2022-02-01T00:00:00"/>
    <s v="320301006"/>
    <s v="305"/>
    <s v="21"/>
    <s v="Credito"/>
    <x v="2"/>
    <x v="216"/>
    <m/>
    <s v="000252"/>
    <s v="000132"/>
    <n v="37457.81"/>
    <s v="0,00"/>
    <s v="0,00"/>
    <s v="0,00"/>
    <s v="0,00"/>
    <s v="ORC2022_2"/>
    <s v="0012"/>
    <m/>
    <m/>
    <m/>
    <m/>
    <m/>
  </r>
  <r>
    <s v="SERVICOS E MANUTENCAO DE VEICULOS EQ"/>
    <x v="10"/>
    <x v="9"/>
    <n v="5838.79"/>
    <s v="0000000127"/>
    <s v="1186"/>
    <d v="2022-02-01T00:00:00"/>
    <s v="320301006"/>
    <s v="303"/>
    <s v="33"/>
    <s v="Credito"/>
    <x v="2"/>
    <x v="216"/>
    <m/>
    <s v="000252"/>
    <s v="000132"/>
    <n v="5838.79"/>
    <s v="0,00"/>
    <s v="0,00"/>
    <s v="0,00"/>
    <s v="0,00"/>
    <s v="ORC2022_2"/>
    <s v="0012"/>
    <m/>
    <m/>
    <m/>
    <m/>
    <m/>
  </r>
  <r>
    <s v="SERVICOS E MANUTENCAO DE VEICULOS EQ"/>
    <x v="10"/>
    <x v="9"/>
    <n v="404"/>
    <s v="0000000127"/>
    <s v="1187"/>
    <d v="2022-02-01T00:00:00"/>
    <s v="320301006"/>
    <s v="201"/>
    <s v="90"/>
    <s v="Credito"/>
    <x v="2"/>
    <x v="216"/>
    <m/>
    <s v="000252"/>
    <s v="000132"/>
    <n v="404"/>
    <s v="0,00"/>
    <s v="0,00"/>
    <s v="0,00"/>
    <s v="0,00"/>
    <s v="ORC2022_2"/>
    <s v="0012"/>
    <m/>
    <m/>
    <m/>
    <m/>
    <m/>
  </r>
  <r>
    <s v="SERVICOS E MANUTENCAO DE VEICULOS EQ"/>
    <x v="10"/>
    <x v="9"/>
    <n v="3923.15"/>
    <s v="0000000127"/>
    <s v="1188"/>
    <d v="2022-02-01T00:00:00"/>
    <s v="320301006"/>
    <s v="301"/>
    <s v="90"/>
    <s v="Credito"/>
    <x v="2"/>
    <x v="216"/>
    <m/>
    <s v="000252"/>
    <s v="000132"/>
    <n v="3923.15"/>
    <s v="0,00"/>
    <s v="0,00"/>
    <s v="0,00"/>
    <s v="0,00"/>
    <s v="ORC2022_2"/>
    <s v="0012"/>
    <m/>
    <m/>
    <m/>
    <m/>
    <m/>
  </r>
  <r>
    <s v="SERVICOS E MANUTENCAO DE VEICULOS EQ"/>
    <x v="10"/>
    <x v="10"/>
    <n v="99.83"/>
    <s v="0000000127"/>
    <s v="1189"/>
    <d v="2022-03-01T00:00:00"/>
    <s v="320301006"/>
    <s v="302"/>
    <s v="11"/>
    <s v="Credito"/>
    <x v="2"/>
    <x v="216"/>
    <m/>
    <s v="000252"/>
    <s v="000132"/>
    <n v="99.83"/>
    <s v="0,00"/>
    <s v="0,00"/>
    <s v="0,00"/>
    <s v="0,00"/>
    <s v="ORC2022_2"/>
    <s v="0012"/>
    <m/>
    <m/>
    <m/>
    <m/>
    <m/>
  </r>
  <r>
    <s v="SERVICOS E MANUTENCAO DE VEICULOS EQ"/>
    <x v="10"/>
    <x v="10"/>
    <n v="20723.060000000001"/>
    <s v="0000000127"/>
    <s v="1190"/>
    <d v="2022-03-01T00:00:00"/>
    <s v="320301006"/>
    <s v="304"/>
    <s v="11"/>
    <s v="Credito"/>
    <x v="2"/>
    <x v="216"/>
    <m/>
    <s v="000252"/>
    <s v="000132"/>
    <n v="20723.060000000001"/>
    <s v="0,00"/>
    <s v="0,00"/>
    <s v="0,00"/>
    <s v="0,00"/>
    <s v="ORC2022_2"/>
    <s v="0012"/>
    <m/>
    <m/>
    <m/>
    <m/>
    <m/>
  </r>
  <r>
    <s v="SERVICOS E MANUTENCAO DE VEICULOS EQ"/>
    <x v="10"/>
    <x v="10"/>
    <n v="1344.9"/>
    <s v="0000000127"/>
    <s v="1191"/>
    <d v="2022-03-01T00:00:00"/>
    <s v="320301006"/>
    <s v="305"/>
    <s v="11"/>
    <s v="Credito"/>
    <x v="2"/>
    <x v="216"/>
    <m/>
    <s v="000252"/>
    <s v="000132"/>
    <n v="1344.9"/>
    <s v="0,00"/>
    <s v="0,00"/>
    <s v="0,00"/>
    <s v="0,00"/>
    <s v="ORC2022_2"/>
    <s v="0012"/>
    <m/>
    <m/>
    <m/>
    <m/>
    <m/>
  </r>
  <r>
    <s v="SERVICOS E MANUTENCAO DE VEICULOS EQ"/>
    <x v="10"/>
    <x v="10"/>
    <n v="56287.12"/>
    <s v="0000000127"/>
    <s v="1192"/>
    <d v="2022-03-01T00:00:00"/>
    <s v="320301006"/>
    <s v="303"/>
    <s v="21"/>
    <s v="Credito"/>
    <x v="2"/>
    <x v="216"/>
    <m/>
    <s v="000252"/>
    <s v="000132"/>
    <n v="56287.12"/>
    <s v="0,00"/>
    <s v="0,00"/>
    <s v="0,00"/>
    <s v="0,00"/>
    <s v="ORC2022_2"/>
    <s v="0012"/>
    <m/>
    <m/>
    <m/>
    <m/>
    <m/>
  </r>
  <r>
    <s v="SERVICOS E MANUTENCAO DE VEICULOS EQ"/>
    <x v="10"/>
    <x v="10"/>
    <n v="32930.79"/>
    <s v="0000000127"/>
    <s v="1193"/>
    <d v="2022-03-01T00:00:00"/>
    <s v="320301006"/>
    <s v="305"/>
    <s v="21"/>
    <s v="Credito"/>
    <x v="2"/>
    <x v="216"/>
    <m/>
    <s v="000252"/>
    <s v="000132"/>
    <n v="32930.79"/>
    <s v="0,00"/>
    <s v="0,00"/>
    <s v="0,00"/>
    <s v="0,00"/>
    <s v="ORC2022_2"/>
    <s v="0012"/>
    <m/>
    <m/>
    <m/>
    <m/>
    <m/>
  </r>
  <r>
    <s v="SERVICOS E MANUTENCAO DE VEICULOS EQ"/>
    <x v="10"/>
    <x v="10"/>
    <n v="67773.33"/>
    <s v="0000000127"/>
    <s v="1194"/>
    <d v="2022-03-01T00:00:00"/>
    <s v="320301006"/>
    <s v="306"/>
    <s v="33"/>
    <s v="Credito"/>
    <x v="2"/>
    <x v="216"/>
    <m/>
    <s v="000252"/>
    <s v="000132"/>
    <n v="67773.33"/>
    <s v="0,00"/>
    <s v="0,00"/>
    <s v="0,00"/>
    <s v="0,00"/>
    <s v="ORC2022_2"/>
    <s v="0012"/>
    <m/>
    <m/>
    <m/>
    <m/>
    <m/>
  </r>
  <r>
    <s v="SERVICOS E MANUTENCAO DE VEICULOS EQ"/>
    <x v="10"/>
    <x v="10"/>
    <n v="300"/>
    <s v="0000000127"/>
    <s v="1195"/>
    <d v="2022-03-01T00:00:00"/>
    <s v="320301006"/>
    <s v="201"/>
    <s v="90"/>
    <s v="Credito"/>
    <x v="2"/>
    <x v="216"/>
    <m/>
    <s v="000252"/>
    <s v="000132"/>
    <n v="300"/>
    <s v="0,00"/>
    <s v="0,00"/>
    <s v="0,00"/>
    <s v="0,00"/>
    <s v="ORC2022_2"/>
    <s v="0012"/>
    <m/>
    <m/>
    <m/>
    <m/>
    <m/>
  </r>
  <r>
    <s v="SERVICOS E MANUTENCAO DE VEICULOS EQ"/>
    <x v="10"/>
    <x v="10"/>
    <n v="610"/>
    <s v="0000000127"/>
    <s v="1196"/>
    <d v="2022-03-01T00:00:00"/>
    <s v="320301006"/>
    <s v="301"/>
    <s v="90"/>
    <s v="Credito"/>
    <x v="2"/>
    <x v="216"/>
    <m/>
    <s v="000252"/>
    <s v="000132"/>
    <n v="610"/>
    <s v="0,00"/>
    <s v="0,00"/>
    <s v="0,00"/>
    <s v="0,00"/>
    <s v="ORC2022_2"/>
    <s v="0012"/>
    <m/>
    <m/>
    <m/>
    <m/>
    <m/>
  </r>
  <r>
    <s v="SERVICOS E MANUTENCAO DE VEICULOS EQ"/>
    <x v="10"/>
    <x v="11"/>
    <n v="11996.87"/>
    <s v="0000000127"/>
    <s v="1197"/>
    <d v="2022-04-01T00:00:00"/>
    <s v="320301006"/>
    <s v="304"/>
    <s v="11"/>
    <s v="Credito"/>
    <x v="2"/>
    <x v="216"/>
    <m/>
    <s v="000252"/>
    <s v="000132"/>
    <n v="11996.87"/>
    <s v="0,00"/>
    <s v="0,00"/>
    <s v="0,00"/>
    <s v="0,00"/>
    <s v="ORC2022_2"/>
    <s v="0012"/>
    <m/>
    <m/>
    <m/>
    <m/>
    <m/>
  </r>
  <r>
    <s v="SERVICOS E MANUTENCAO DE VEICULOS EQ"/>
    <x v="10"/>
    <x v="11"/>
    <n v="2599.09"/>
    <s v="0000000127"/>
    <s v="1198"/>
    <d v="2022-04-01T00:00:00"/>
    <s v="320301006"/>
    <s v="305"/>
    <s v="11"/>
    <s v="Credito"/>
    <x v="2"/>
    <x v="216"/>
    <m/>
    <s v="000252"/>
    <s v="000132"/>
    <n v="2599.09"/>
    <s v="0,00"/>
    <s v="0,00"/>
    <s v="0,00"/>
    <s v="0,00"/>
    <s v="ORC2022_2"/>
    <s v="0012"/>
    <m/>
    <m/>
    <m/>
    <m/>
    <m/>
  </r>
  <r>
    <s v="SERVICOS E MANUTENCAO DE VEICULOS EQ"/>
    <x v="10"/>
    <x v="11"/>
    <n v="33527.589999999997"/>
    <s v="0000000127"/>
    <s v="1199"/>
    <d v="2022-04-01T00:00:00"/>
    <s v="320301006"/>
    <s v="303"/>
    <s v="21"/>
    <s v="Credito"/>
    <x v="2"/>
    <x v="216"/>
    <m/>
    <s v="000252"/>
    <s v="000132"/>
    <n v="33527.589999999997"/>
    <s v="0,00"/>
    <s v="0,00"/>
    <s v="0,00"/>
    <s v="0,00"/>
    <s v="ORC2022_2"/>
    <s v="0012"/>
    <m/>
    <m/>
    <m/>
    <m/>
    <m/>
  </r>
  <r>
    <s v="SERVICOS E MANUTENCAO DE VEICULOS EQ"/>
    <x v="10"/>
    <x v="11"/>
    <n v="109613.24"/>
    <s v="0000000127"/>
    <s v="1200"/>
    <d v="2022-04-01T00:00:00"/>
    <s v="320301006"/>
    <s v="305"/>
    <s v="21"/>
    <s v="Credito"/>
    <x v="2"/>
    <x v="216"/>
    <m/>
    <s v="000252"/>
    <s v="000132"/>
    <n v="109613.24"/>
    <s v="0,00"/>
    <s v="0,00"/>
    <s v="0,00"/>
    <s v="0,00"/>
    <s v="ORC2022_2"/>
    <s v="0012"/>
    <m/>
    <m/>
    <m/>
    <m/>
    <m/>
  </r>
  <r>
    <s v="SERVICOS E MANUTENCAO DE VEICULOS EQ"/>
    <x v="10"/>
    <x v="11"/>
    <n v="3750"/>
    <s v="0000000127"/>
    <s v="1201"/>
    <d v="2022-04-01T00:00:00"/>
    <s v="320301006"/>
    <s v="211"/>
    <s v="51"/>
    <s v="Credito"/>
    <x v="2"/>
    <x v="216"/>
    <m/>
    <s v="000252"/>
    <s v="000132"/>
    <n v="3750"/>
    <s v="0,00"/>
    <s v="0,00"/>
    <s v="0,00"/>
    <s v="0,00"/>
    <s v="ORC2022_2"/>
    <s v="0012"/>
    <m/>
    <m/>
    <m/>
    <m/>
    <m/>
  </r>
  <r>
    <s v="SERVICOS E MANUTENCAO DE VEICULOS EQ"/>
    <x v="10"/>
    <x v="11"/>
    <n v="360"/>
    <s v="0000000127"/>
    <s v="1202"/>
    <d v="2022-04-01T00:00:00"/>
    <s v="320301006"/>
    <s v="101"/>
    <s v="90"/>
    <s v="Credito"/>
    <x v="2"/>
    <x v="216"/>
    <m/>
    <s v="000252"/>
    <s v="000132"/>
    <n v="360"/>
    <s v="0,00"/>
    <s v="0,00"/>
    <s v="0,00"/>
    <s v="0,00"/>
    <s v="ORC2022_2"/>
    <s v="0012"/>
    <m/>
    <m/>
    <m/>
    <m/>
    <m/>
  </r>
  <r>
    <s v="SERVICOS E MANUTENCAO DE VEICULOS EQ"/>
    <x v="10"/>
    <x v="11"/>
    <n v="420"/>
    <s v="0000000127"/>
    <s v="1203"/>
    <d v="2022-04-01T00:00:00"/>
    <s v="320301006"/>
    <s v="301"/>
    <s v="90"/>
    <s v="Credito"/>
    <x v="2"/>
    <x v="216"/>
    <m/>
    <s v="000252"/>
    <s v="000132"/>
    <n v="420"/>
    <s v="0,00"/>
    <s v="0,00"/>
    <s v="0,00"/>
    <s v="0,00"/>
    <s v="ORC2022_2"/>
    <s v="0012"/>
    <m/>
    <m/>
    <m/>
    <m/>
    <m/>
  </r>
  <r>
    <s v="SERVICOS E MANUTENCAO DE VEICULOS EQ"/>
    <x v="10"/>
    <x v="12"/>
    <n v="8471.39"/>
    <s v="0000000127"/>
    <s v="1204"/>
    <d v="2022-05-01T00:00:00"/>
    <s v="320301006"/>
    <s v="304"/>
    <s v="11"/>
    <s v="Credito"/>
    <x v="2"/>
    <x v="216"/>
    <m/>
    <s v="000252"/>
    <s v="000132"/>
    <n v="8471.39"/>
    <s v="0,00"/>
    <s v="0,00"/>
    <s v="0,00"/>
    <s v="0,00"/>
    <s v="ORC2022_2"/>
    <s v="0012"/>
    <m/>
    <m/>
    <m/>
    <m/>
    <m/>
  </r>
  <r>
    <s v="SERVICOS E MANUTENCAO DE VEICULOS EQ"/>
    <x v="10"/>
    <x v="12"/>
    <n v="68242.679999999993"/>
    <s v="0000000127"/>
    <s v="1205"/>
    <d v="2022-05-01T00:00:00"/>
    <s v="320301006"/>
    <s v="305"/>
    <s v="21"/>
    <s v="Credito"/>
    <x v="2"/>
    <x v="216"/>
    <m/>
    <s v="000252"/>
    <s v="000132"/>
    <n v="68242.679999999993"/>
    <s v="0,00"/>
    <s v="0,00"/>
    <s v="0,00"/>
    <s v="0,00"/>
    <s v="ORC2022_2"/>
    <s v="0012"/>
    <m/>
    <m/>
    <m/>
    <m/>
    <m/>
  </r>
  <r>
    <s v="SERVICOS E MANUTENCAO DE VEICULOS EQ"/>
    <x v="10"/>
    <x v="12"/>
    <n v="390.57"/>
    <s v="0000000127"/>
    <s v="1206"/>
    <d v="2022-05-01T00:00:00"/>
    <s v="320301006"/>
    <s v="306"/>
    <s v="33"/>
    <s v="Credito"/>
    <x v="2"/>
    <x v="216"/>
    <m/>
    <s v="000252"/>
    <s v="000132"/>
    <n v="390.57"/>
    <s v="0,00"/>
    <s v="0,00"/>
    <s v="0,00"/>
    <s v="0,00"/>
    <s v="ORC2022_2"/>
    <s v="0012"/>
    <m/>
    <m/>
    <m/>
    <m/>
    <m/>
  </r>
  <r>
    <s v="SERVICOS E MANUTENCAO DE VEICULOS EQ"/>
    <x v="10"/>
    <x v="12"/>
    <n v="546.42999999999995"/>
    <s v="0000000127"/>
    <s v="1207"/>
    <d v="2022-05-01T00:00:00"/>
    <s v="320301006"/>
    <s v="201"/>
    <s v="90"/>
    <s v="Credito"/>
    <x v="2"/>
    <x v="216"/>
    <m/>
    <s v="000252"/>
    <s v="000132"/>
    <n v="546.42999999999995"/>
    <s v="0,00"/>
    <s v="0,00"/>
    <s v="0,00"/>
    <s v="0,00"/>
    <s v="ORC2022_2"/>
    <s v="0012"/>
    <m/>
    <m/>
    <m/>
    <m/>
    <m/>
  </r>
  <r>
    <s v="SERVICOS E MANUTENCAO DE VEICULOS EQ"/>
    <x v="10"/>
    <x v="12"/>
    <n v="2737.93"/>
    <s v="0000000127"/>
    <s v="1208"/>
    <d v="2022-05-01T00:00:00"/>
    <s v="320301006"/>
    <s v="209"/>
    <s v="90"/>
    <s v="Credito"/>
    <x v="2"/>
    <x v="216"/>
    <m/>
    <s v="000252"/>
    <s v="000132"/>
    <n v="2737.93"/>
    <s v="0,00"/>
    <s v="0,00"/>
    <s v="0,00"/>
    <s v="0,00"/>
    <s v="ORC2022_2"/>
    <s v="0012"/>
    <m/>
    <m/>
    <m/>
    <m/>
    <m/>
  </r>
  <r>
    <s v="SERVICOS E MANUTENCAO DE VEICULOS EQ"/>
    <x v="10"/>
    <x v="12"/>
    <n v="1750"/>
    <s v="0000000127"/>
    <s v="1209"/>
    <d v="2022-05-01T00:00:00"/>
    <s v="320301006"/>
    <s v="301"/>
    <s v="90"/>
    <s v="Credito"/>
    <x v="2"/>
    <x v="216"/>
    <m/>
    <s v="000252"/>
    <s v="000132"/>
    <n v="1750"/>
    <s v="0,00"/>
    <s v="0,00"/>
    <s v="0,00"/>
    <s v="0,00"/>
    <s v="ORC2022_2"/>
    <s v="0012"/>
    <m/>
    <m/>
    <m/>
    <m/>
    <m/>
  </r>
  <r>
    <s v="SERVICOS E MANUTENCAO DE VEICULOS EQ"/>
    <x v="10"/>
    <x v="13"/>
    <n v="19343.29"/>
    <s v="0000000127"/>
    <s v="1210"/>
    <d v="2022-06-01T00:00:00"/>
    <s v="320301006"/>
    <s v="304"/>
    <s v="11"/>
    <s v="Credito"/>
    <x v="2"/>
    <x v="216"/>
    <m/>
    <s v="000252"/>
    <s v="000132"/>
    <n v="19343.29"/>
    <s v="0,00"/>
    <s v="0,00"/>
    <s v="0,00"/>
    <s v="0,00"/>
    <s v="ORC2022_2"/>
    <s v="0012"/>
    <m/>
    <m/>
    <m/>
    <m/>
    <m/>
  </r>
  <r>
    <s v="SERVICOS E MANUTENCAO DE VEICULOS EQ"/>
    <x v="10"/>
    <x v="13"/>
    <n v="43740.6"/>
    <s v="0000000127"/>
    <s v="1211"/>
    <d v="2022-06-01T00:00:00"/>
    <s v="320301006"/>
    <s v="305"/>
    <s v="21"/>
    <s v="Credito"/>
    <x v="2"/>
    <x v="216"/>
    <m/>
    <s v="000252"/>
    <s v="000132"/>
    <n v="43740.6"/>
    <s v="0,00"/>
    <s v="0,00"/>
    <s v="0,00"/>
    <s v="0,00"/>
    <s v="ORC2022_2"/>
    <s v="0012"/>
    <m/>
    <m/>
    <m/>
    <m/>
    <m/>
  </r>
  <r>
    <s v="SERVICOS E MANUTENCAO DE VEICULOS EQ"/>
    <x v="10"/>
    <x v="13"/>
    <n v="977.38"/>
    <s v="0000000127"/>
    <s v="1212"/>
    <d v="2022-06-01T00:00:00"/>
    <s v="320301006"/>
    <s v="306"/>
    <s v="33"/>
    <s v="Credito"/>
    <x v="2"/>
    <x v="216"/>
    <m/>
    <s v="000252"/>
    <s v="000132"/>
    <n v="977.38"/>
    <s v="0,00"/>
    <s v="0,00"/>
    <s v="0,00"/>
    <s v="0,00"/>
    <s v="ORC2022_2"/>
    <s v="0012"/>
    <m/>
    <m/>
    <m/>
    <m/>
    <m/>
  </r>
  <r>
    <s v="SERVICOS E MANUTENCAO DE VEICULOS EQ"/>
    <x v="10"/>
    <x v="13"/>
    <n v="220"/>
    <s v="0000000127"/>
    <s v="1213"/>
    <d v="2022-06-01T00:00:00"/>
    <s v="320301006"/>
    <s v="201"/>
    <s v="90"/>
    <s v="Credito"/>
    <x v="2"/>
    <x v="216"/>
    <m/>
    <s v="000252"/>
    <s v="000132"/>
    <n v="220"/>
    <s v="0,00"/>
    <s v="0,00"/>
    <s v="0,00"/>
    <s v="0,00"/>
    <s v="ORC2022_2"/>
    <s v="0012"/>
    <m/>
    <m/>
    <m/>
    <m/>
    <m/>
  </r>
  <r>
    <s v="SERVICOS E MANUTENCAO DE VEICULOS EQ"/>
    <x v="10"/>
    <x v="13"/>
    <n v="230"/>
    <s v="0000000127"/>
    <s v="1214"/>
    <d v="2022-06-01T00:00:00"/>
    <s v="320301006"/>
    <s v="209"/>
    <s v="90"/>
    <s v="Credito"/>
    <x v="2"/>
    <x v="216"/>
    <m/>
    <s v="000252"/>
    <s v="000132"/>
    <n v="230"/>
    <s v="0,00"/>
    <s v="0,00"/>
    <s v="0,00"/>
    <s v="0,00"/>
    <s v="ORC2022_2"/>
    <s v="0012"/>
    <m/>
    <m/>
    <m/>
    <m/>
    <m/>
  </r>
  <r>
    <s v="SERVICOS E MANUTENCAO DE VEICULOS EQ"/>
    <x v="10"/>
    <x v="13"/>
    <n v="620"/>
    <s v="0000000127"/>
    <s v="1215"/>
    <d v="2022-06-01T00:00:00"/>
    <s v="320301006"/>
    <s v="301"/>
    <s v="90"/>
    <s v="Credito"/>
    <x v="2"/>
    <x v="216"/>
    <m/>
    <s v="000252"/>
    <s v="000132"/>
    <n v="620"/>
    <s v="0,00"/>
    <s v="0,00"/>
    <s v="0,00"/>
    <s v="0,00"/>
    <s v="ORC2022_2"/>
    <s v="0012"/>
    <m/>
    <m/>
    <m/>
    <m/>
    <m/>
  </r>
  <r>
    <s v="SERVICOS E MANUTENCAO DE VEICULOS EQ"/>
    <x v="10"/>
    <x v="14"/>
    <n v="21093.17"/>
    <s v="0000000127"/>
    <s v="1216"/>
    <d v="2022-07-01T00:00:00"/>
    <s v="320301006"/>
    <s v="304"/>
    <s v="11"/>
    <s v="Credito"/>
    <x v="2"/>
    <x v="216"/>
    <m/>
    <s v="000252"/>
    <s v="000132"/>
    <n v="21093.17"/>
    <s v="0,00"/>
    <s v="0,00"/>
    <s v="0,00"/>
    <s v="0,00"/>
    <s v="ORC2022_2"/>
    <s v="0012"/>
    <m/>
    <m/>
    <m/>
    <m/>
    <m/>
  </r>
  <r>
    <s v="SERVICOS E MANUTENCAO DE VEICULOS EQ"/>
    <x v="10"/>
    <x v="14"/>
    <n v="96342.1"/>
    <s v="0000000127"/>
    <s v="1217"/>
    <d v="2022-07-01T00:00:00"/>
    <s v="320301006"/>
    <s v="305"/>
    <s v="21"/>
    <s v="Credito"/>
    <x v="2"/>
    <x v="216"/>
    <m/>
    <s v="000252"/>
    <s v="000132"/>
    <n v="96342.1"/>
    <s v="0,00"/>
    <s v="0,00"/>
    <s v="0,00"/>
    <s v="0,00"/>
    <s v="ORC2022_2"/>
    <s v="0012"/>
    <m/>
    <m/>
    <m/>
    <m/>
    <m/>
  </r>
  <r>
    <s v="SERVICOS E MANUTENCAO DE VEICULOS EQ"/>
    <x v="10"/>
    <x v="14"/>
    <n v="72600"/>
    <s v="0000000127"/>
    <s v="1218"/>
    <d v="2022-07-01T00:00:00"/>
    <s v="320301006"/>
    <s v="306"/>
    <s v="33"/>
    <s v="Credito"/>
    <x v="2"/>
    <x v="216"/>
    <m/>
    <s v="000252"/>
    <s v="000132"/>
    <n v="72600"/>
    <s v="0,00"/>
    <s v="0,00"/>
    <s v="0,00"/>
    <s v="0,00"/>
    <s v="ORC2022_2"/>
    <s v="0012"/>
    <m/>
    <m/>
    <m/>
    <m/>
    <m/>
  </r>
  <r>
    <s v="SERVICOS E MANUTENCAO DE VEICULOS EQ"/>
    <x v="10"/>
    <x v="14"/>
    <n v="1200"/>
    <s v="0000000127"/>
    <s v="1219"/>
    <d v="2022-07-01T00:00:00"/>
    <s v="320301006"/>
    <s v="211"/>
    <s v="51"/>
    <s v="Credito"/>
    <x v="2"/>
    <x v="216"/>
    <m/>
    <s v="000252"/>
    <s v="000132"/>
    <n v="1200"/>
    <s v="0,00"/>
    <s v="0,00"/>
    <s v="0,00"/>
    <s v="0,00"/>
    <s v="ORC2022_2"/>
    <s v="0012"/>
    <m/>
    <m/>
    <m/>
    <m/>
    <m/>
  </r>
  <r>
    <s v="SERVICOS E MANUTENCAO DE VEICULOS EQ"/>
    <x v="10"/>
    <x v="14"/>
    <n v="548"/>
    <s v="0000000127"/>
    <s v="1220"/>
    <d v="2022-07-01T00:00:00"/>
    <s v="320301006"/>
    <s v="201"/>
    <s v="90"/>
    <s v="Credito"/>
    <x v="2"/>
    <x v="216"/>
    <m/>
    <s v="000252"/>
    <s v="000132"/>
    <n v="548"/>
    <s v="0,00"/>
    <s v="0,00"/>
    <s v="0,00"/>
    <s v="0,00"/>
    <s v="ORC2022_2"/>
    <s v="0012"/>
    <m/>
    <m/>
    <m/>
    <m/>
    <m/>
  </r>
  <r>
    <s v="SERVICOS E MANUTENCAO DE VEICULOS EQ"/>
    <x v="10"/>
    <x v="14"/>
    <n v="270"/>
    <s v="0000000127"/>
    <s v="1221"/>
    <d v="2022-07-01T00:00:00"/>
    <s v="320301006"/>
    <s v="204"/>
    <s v="90"/>
    <s v="Credito"/>
    <x v="2"/>
    <x v="216"/>
    <m/>
    <s v="000252"/>
    <s v="000132"/>
    <n v="270"/>
    <s v="0,00"/>
    <s v="0,00"/>
    <s v="0,00"/>
    <s v="0,00"/>
    <s v="ORC2022_2"/>
    <s v="0012"/>
    <m/>
    <m/>
    <m/>
    <m/>
    <m/>
  </r>
  <r>
    <s v="SERVICOS E MANUTENCAO DE VEICULOS EQ"/>
    <x v="10"/>
    <x v="14"/>
    <n v="480"/>
    <s v="0000000127"/>
    <s v="1222"/>
    <d v="2022-07-01T00:00:00"/>
    <s v="320301006"/>
    <s v="207"/>
    <s v="90"/>
    <s v="Credito"/>
    <x v="2"/>
    <x v="216"/>
    <m/>
    <s v="000252"/>
    <s v="000132"/>
    <n v="480"/>
    <s v="0,00"/>
    <s v="0,00"/>
    <s v="0,00"/>
    <s v="0,00"/>
    <s v="ORC2022_2"/>
    <s v="0012"/>
    <m/>
    <m/>
    <m/>
    <m/>
    <m/>
  </r>
  <r>
    <s v="SERVICOS E MANUTENCAO DE VEICULOS EQ"/>
    <x v="10"/>
    <x v="14"/>
    <n v="14005.96"/>
    <s v="0000000127"/>
    <s v="1223"/>
    <d v="2022-07-01T00:00:00"/>
    <s v="320301006"/>
    <s v="209"/>
    <s v="90"/>
    <s v="Credito"/>
    <x v="2"/>
    <x v="216"/>
    <m/>
    <s v="000252"/>
    <s v="000132"/>
    <n v="14005.96"/>
    <s v="0,00"/>
    <s v="0,00"/>
    <s v="0,00"/>
    <s v="0,00"/>
    <s v="ORC2022_2"/>
    <s v="0012"/>
    <m/>
    <m/>
    <m/>
    <m/>
    <m/>
  </r>
  <r>
    <s v="SERVICOS E MANUTENCAO DE VEICULOS EQ"/>
    <x v="10"/>
    <x v="14"/>
    <n v="1061.48"/>
    <s v="0000000127"/>
    <s v="1224"/>
    <d v="2022-07-01T00:00:00"/>
    <s v="320301006"/>
    <s v="301"/>
    <s v="90"/>
    <s v="Credito"/>
    <x v="2"/>
    <x v="216"/>
    <m/>
    <s v="000252"/>
    <s v="000132"/>
    <n v="1061.48"/>
    <s v="0,00"/>
    <s v="0,00"/>
    <s v="0,00"/>
    <s v="0,00"/>
    <s v="ORC2022_2"/>
    <s v="0012"/>
    <m/>
    <m/>
    <m/>
    <m/>
    <m/>
  </r>
  <r>
    <s v="SERVICOS E MANUTENCAO DE VEICULOS EQ"/>
    <x v="10"/>
    <x v="15"/>
    <n v="2181"/>
    <s v="0000000127"/>
    <s v="1225"/>
    <d v="2022-08-01T00:00:00"/>
    <s v="320301006"/>
    <s v="301"/>
    <s v="11"/>
    <s v="Credito"/>
    <x v="2"/>
    <x v="216"/>
    <m/>
    <s v="000252"/>
    <s v="000132"/>
    <n v="2181"/>
    <s v="0,00"/>
    <s v="0,00"/>
    <s v="0,00"/>
    <s v="0,00"/>
    <s v="ORC2022_2"/>
    <s v="0012"/>
    <m/>
    <m/>
    <m/>
    <m/>
    <m/>
  </r>
  <r>
    <s v="SERVICOS E MANUTENCAO DE VEICULOS EQ"/>
    <x v="10"/>
    <x v="15"/>
    <n v="29144.94"/>
    <s v="0000000127"/>
    <s v="1226"/>
    <d v="2022-08-01T00:00:00"/>
    <s v="320301006"/>
    <s v="304"/>
    <s v="11"/>
    <s v="Credito"/>
    <x v="2"/>
    <x v="216"/>
    <m/>
    <s v="000252"/>
    <s v="000132"/>
    <n v="29144.94"/>
    <s v="0,00"/>
    <s v="0,00"/>
    <s v="0,00"/>
    <s v="0,00"/>
    <s v="ORC2022_2"/>
    <s v="0012"/>
    <m/>
    <m/>
    <m/>
    <m/>
    <m/>
  </r>
  <r>
    <s v="SERVICOS E MANUTENCAO DE VEICULOS EQ"/>
    <x v="10"/>
    <x v="15"/>
    <n v="41720.370000000003"/>
    <s v="0000000127"/>
    <s v="1227"/>
    <d v="2022-08-01T00:00:00"/>
    <s v="320301006"/>
    <s v="305"/>
    <s v="21"/>
    <s v="Credito"/>
    <x v="2"/>
    <x v="216"/>
    <m/>
    <s v="000252"/>
    <s v="000132"/>
    <n v="41720.370000000003"/>
    <s v="0,00"/>
    <s v="0,00"/>
    <s v="0,00"/>
    <s v="0,00"/>
    <s v="ORC2022_2"/>
    <s v="0012"/>
    <m/>
    <m/>
    <m/>
    <m/>
    <m/>
  </r>
  <r>
    <s v="SERVICOS E MANUTENCAO DE VEICULOS EQ"/>
    <x v="10"/>
    <x v="15"/>
    <n v="1479.24"/>
    <s v="0000000127"/>
    <s v="1228"/>
    <d v="2022-08-01T00:00:00"/>
    <s v="320301006"/>
    <s v="305"/>
    <s v="31"/>
    <s v="Credito"/>
    <x v="2"/>
    <x v="216"/>
    <m/>
    <s v="000252"/>
    <s v="000132"/>
    <n v="1479.24"/>
    <s v="0,00"/>
    <s v="0,00"/>
    <s v="0,00"/>
    <s v="0,00"/>
    <s v="ORC2022_2"/>
    <s v="0012"/>
    <m/>
    <m/>
    <m/>
    <m/>
    <m/>
  </r>
  <r>
    <s v="SERVICOS E MANUTENCAO DE VEICULOS EQ"/>
    <x v="10"/>
    <x v="15"/>
    <n v="7888.09"/>
    <s v="0000000127"/>
    <s v="1229"/>
    <d v="2022-08-01T00:00:00"/>
    <s v="320301006"/>
    <s v="306"/>
    <s v="33"/>
    <s v="Credito"/>
    <x v="2"/>
    <x v="216"/>
    <m/>
    <s v="000252"/>
    <s v="000132"/>
    <n v="7888.09"/>
    <s v="0,00"/>
    <s v="0,00"/>
    <s v="0,00"/>
    <s v="0,00"/>
    <s v="ORC2022_2"/>
    <s v="0012"/>
    <m/>
    <m/>
    <m/>
    <m/>
    <m/>
  </r>
  <r>
    <s v="SERVICOS E MANUTENCAO DE VEICULOS EQ"/>
    <x v="10"/>
    <x v="15"/>
    <n v="320"/>
    <s v="0000000127"/>
    <s v="1230"/>
    <d v="2022-08-01T00:00:00"/>
    <s v="320301006"/>
    <s v="101"/>
    <s v="90"/>
    <s v="Credito"/>
    <x v="2"/>
    <x v="216"/>
    <m/>
    <s v="000252"/>
    <s v="000132"/>
    <n v="320"/>
    <s v="0,00"/>
    <s v="0,00"/>
    <s v="0,00"/>
    <s v="0,00"/>
    <s v="ORC2022_2"/>
    <s v="0012"/>
    <m/>
    <m/>
    <m/>
    <m/>
    <m/>
  </r>
  <r>
    <s v="SERVICOS E MANUTENCAO DE VEICULOS EQ"/>
    <x v="10"/>
    <x v="15"/>
    <n v="673"/>
    <s v="0000000127"/>
    <s v="1231"/>
    <d v="2022-08-01T00:00:00"/>
    <s v="320301006"/>
    <s v="201"/>
    <s v="90"/>
    <s v="Credito"/>
    <x v="2"/>
    <x v="216"/>
    <m/>
    <s v="000252"/>
    <s v="000132"/>
    <n v="673"/>
    <s v="0,00"/>
    <s v="0,00"/>
    <s v="0,00"/>
    <s v="0,00"/>
    <s v="ORC2022_2"/>
    <s v="0012"/>
    <m/>
    <m/>
    <m/>
    <m/>
    <m/>
  </r>
  <r>
    <s v="SERVICOS E MANUTENCAO DE VEICULOS EQ"/>
    <x v="10"/>
    <x v="15"/>
    <n v="930"/>
    <s v="0000000127"/>
    <s v="1232"/>
    <d v="2022-08-01T00:00:00"/>
    <s v="320301006"/>
    <s v="301"/>
    <s v="90"/>
    <s v="Credito"/>
    <x v="2"/>
    <x v="216"/>
    <m/>
    <s v="000252"/>
    <s v="000132"/>
    <n v="930"/>
    <s v="0,00"/>
    <s v="0,00"/>
    <s v="0,00"/>
    <s v="0,00"/>
    <s v="ORC2022_2"/>
    <s v="0012"/>
    <m/>
    <m/>
    <m/>
    <m/>
    <m/>
  </r>
  <r>
    <s v="SERVICOS E MANUTENCAO DE VEICULOS EQ"/>
    <x v="10"/>
    <x v="16"/>
    <n v="32861.4"/>
    <s v="0000000127"/>
    <s v="1233"/>
    <d v="2022-09-01T00:00:00"/>
    <s v="320301006"/>
    <s v="304"/>
    <s v="11"/>
    <s v="Credito"/>
    <x v="2"/>
    <x v="216"/>
    <m/>
    <s v="000252"/>
    <s v="000132"/>
    <n v="32861.4"/>
    <s v="0,00"/>
    <s v="0,00"/>
    <s v="0,00"/>
    <s v="0,00"/>
    <s v="ORC2022_2"/>
    <s v="0012"/>
    <m/>
    <m/>
    <m/>
    <m/>
    <m/>
  </r>
  <r>
    <s v="SERVICOS E MANUTENCAO DE VEICULOS EQ"/>
    <x v="10"/>
    <x v="16"/>
    <n v="1687.95"/>
    <s v="0000000127"/>
    <s v="1234"/>
    <d v="2022-09-01T00:00:00"/>
    <s v="320301006"/>
    <s v="305"/>
    <s v="11"/>
    <s v="Credito"/>
    <x v="2"/>
    <x v="216"/>
    <m/>
    <s v="000252"/>
    <s v="000132"/>
    <n v="1687.95"/>
    <s v="0,00"/>
    <s v="0,00"/>
    <s v="0,00"/>
    <s v="0,00"/>
    <s v="ORC2022_2"/>
    <s v="0012"/>
    <m/>
    <m/>
    <m/>
    <m/>
    <m/>
  </r>
  <r>
    <s v="SERVICOS E MANUTENCAO DE VEICULOS EQ"/>
    <x v="10"/>
    <x v="16"/>
    <n v="2522.85"/>
    <s v="0000000127"/>
    <s v="1235"/>
    <d v="2022-09-01T00:00:00"/>
    <s v="320301006"/>
    <s v="303"/>
    <s v="21"/>
    <s v="Credito"/>
    <x v="2"/>
    <x v="216"/>
    <m/>
    <s v="000252"/>
    <s v="000132"/>
    <n v="2522.85"/>
    <s v="0,00"/>
    <s v="0,00"/>
    <s v="0,00"/>
    <s v="0,00"/>
    <s v="ORC2022_2"/>
    <s v="0012"/>
    <m/>
    <m/>
    <m/>
    <m/>
    <m/>
  </r>
  <r>
    <s v="SERVICOS E MANUTENCAO DE VEICULOS EQ"/>
    <x v="10"/>
    <x v="16"/>
    <n v="23147.42"/>
    <s v="0000000127"/>
    <s v="1236"/>
    <d v="2022-09-01T00:00:00"/>
    <s v="320301006"/>
    <s v="305"/>
    <s v="21"/>
    <s v="Credito"/>
    <x v="2"/>
    <x v="216"/>
    <m/>
    <s v="000252"/>
    <s v="000132"/>
    <n v="23147.42"/>
    <s v="0,00"/>
    <s v="0,00"/>
    <s v="0,00"/>
    <s v="0,00"/>
    <s v="ORC2022_2"/>
    <s v="0012"/>
    <m/>
    <m/>
    <m/>
    <m/>
    <m/>
  </r>
  <r>
    <s v="SERVICOS E MANUTENCAO DE VEICULOS EQ"/>
    <x v="10"/>
    <x v="16"/>
    <n v="13657.32"/>
    <s v="0000000127"/>
    <s v="1237"/>
    <d v="2022-09-01T00:00:00"/>
    <s v="320301006"/>
    <s v="306"/>
    <s v="33"/>
    <s v="Credito"/>
    <x v="2"/>
    <x v="216"/>
    <m/>
    <s v="000252"/>
    <s v="000132"/>
    <n v="13657.32"/>
    <s v="0,00"/>
    <s v="0,00"/>
    <s v="0,00"/>
    <s v="0,00"/>
    <s v="ORC2022_2"/>
    <s v="0012"/>
    <m/>
    <m/>
    <m/>
    <m/>
    <m/>
  </r>
  <r>
    <s v="SERVICOS E MANUTENCAO DE VEICULOS EQ"/>
    <x v="10"/>
    <x v="16"/>
    <n v="1198"/>
    <s v="0000000127"/>
    <s v="1238"/>
    <d v="2022-09-01T00:00:00"/>
    <s v="320301006"/>
    <s v="201"/>
    <s v="90"/>
    <s v="Credito"/>
    <x v="2"/>
    <x v="216"/>
    <m/>
    <s v="000252"/>
    <s v="000132"/>
    <n v="1198"/>
    <s v="0,00"/>
    <s v="0,00"/>
    <s v="0,00"/>
    <s v="0,00"/>
    <s v="ORC2022_2"/>
    <s v="0012"/>
    <m/>
    <m/>
    <m/>
    <m/>
    <m/>
  </r>
  <r>
    <s v="SERVICOS E MANUTENCAO DE VEICULOS EQ"/>
    <x v="10"/>
    <x v="16"/>
    <n v="2020.35"/>
    <s v="0000000127"/>
    <s v="1239"/>
    <d v="2022-09-01T00:00:00"/>
    <s v="320301006"/>
    <s v="301"/>
    <s v="90"/>
    <s v="Credito"/>
    <x v="2"/>
    <x v="216"/>
    <m/>
    <s v="000252"/>
    <s v="000132"/>
    <n v="2020.35"/>
    <s v="0,00"/>
    <s v="0,00"/>
    <s v="0,00"/>
    <s v="0,00"/>
    <s v="ORC2022_2"/>
    <s v="0012"/>
    <m/>
    <m/>
    <m/>
    <m/>
    <m/>
  </r>
  <r>
    <s v="SERVICOS E MANUTENCAO DE VEICULOS EQ"/>
    <x v="10"/>
    <x v="17"/>
    <n v="33190.01"/>
    <s v="0000000127"/>
    <s v="1240"/>
    <d v="2022-10-01T00:00:00"/>
    <s v="320301006"/>
    <s v="304"/>
    <s v="11"/>
    <s v="Credito"/>
    <x v="2"/>
    <x v="216"/>
    <m/>
    <s v="000252"/>
    <s v="000132"/>
    <n v="33190.01"/>
    <s v="0,00"/>
    <s v="0,00"/>
    <s v="0,00"/>
    <s v="0,00"/>
    <s v="ORC2022_2"/>
    <s v="0012"/>
    <m/>
    <m/>
    <m/>
    <m/>
    <m/>
  </r>
  <r>
    <s v="SERVICOS E MANUTENCAO DE VEICULOS EQ"/>
    <x v="10"/>
    <x v="17"/>
    <n v="1704.83"/>
    <s v="0000000127"/>
    <s v="1241"/>
    <d v="2022-10-01T00:00:00"/>
    <s v="320301006"/>
    <s v="305"/>
    <s v="11"/>
    <s v="Credito"/>
    <x v="2"/>
    <x v="216"/>
    <m/>
    <s v="000252"/>
    <s v="000132"/>
    <n v="1704.83"/>
    <s v="0,00"/>
    <s v="0,00"/>
    <s v="0,00"/>
    <s v="0,00"/>
    <s v="ORC2022_2"/>
    <s v="0012"/>
    <m/>
    <m/>
    <m/>
    <m/>
    <m/>
  </r>
  <r>
    <s v="SERVICOS E MANUTENCAO DE VEICULOS EQ"/>
    <x v="10"/>
    <x v="17"/>
    <n v="2548.08"/>
    <s v="0000000127"/>
    <s v="1242"/>
    <d v="2022-10-01T00:00:00"/>
    <s v="320301006"/>
    <s v="303"/>
    <s v="21"/>
    <s v="Credito"/>
    <x v="2"/>
    <x v="216"/>
    <m/>
    <s v="000252"/>
    <s v="000132"/>
    <n v="2548.08"/>
    <s v="0,00"/>
    <s v="0,00"/>
    <s v="0,00"/>
    <s v="0,00"/>
    <s v="ORC2022_2"/>
    <s v="0012"/>
    <m/>
    <m/>
    <m/>
    <m/>
    <m/>
  </r>
  <r>
    <s v="SERVICOS E MANUTENCAO DE VEICULOS EQ"/>
    <x v="10"/>
    <x v="17"/>
    <n v="23378.89"/>
    <s v="0000000127"/>
    <s v="1243"/>
    <d v="2022-10-01T00:00:00"/>
    <s v="320301006"/>
    <s v="305"/>
    <s v="21"/>
    <s v="Credito"/>
    <x v="2"/>
    <x v="216"/>
    <m/>
    <s v="000252"/>
    <s v="000132"/>
    <n v="23378.89"/>
    <s v="0,00"/>
    <s v="0,00"/>
    <s v="0,00"/>
    <s v="0,00"/>
    <s v="ORC2022_2"/>
    <s v="0012"/>
    <m/>
    <m/>
    <m/>
    <m/>
    <m/>
  </r>
  <r>
    <s v="SERVICOS E MANUTENCAO DE VEICULOS EQ"/>
    <x v="10"/>
    <x v="17"/>
    <n v="13793.89"/>
    <s v="0000000127"/>
    <s v="1244"/>
    <d v="2022-10-01T00:00:00"/>
    <s v="320301006"/>
    <s v="306"/>
    <s v="33"/>
    <s v="Credito"/>
    <x v="2"/>
    <x v="216"/>
    <m/>
    <s v="000252"/>
    <s v="000132"/>
    <n v="13793.89"/>
    <s v="0,00"/>
    <s v="0,00"/>
    <s v="0,00"/>
    <s v="0,00"/>
    <s v="ORC2022_2"/>
    <s v="0012"/>
    <m/>
    <m/>
    <m/>
    <m/>
    <m/>
  </r>
  <r>
    <s v="SERVICOS E MANUTENCAO DE VEICULOS EQ"/>
    <x v="10"/>
    <x v="17"/>
    <n v="1209.98"/>
    <s v="0000000127"/>
    <s v="1245"/>
    <d v="2022-10-01T00:00:00"/>
    <s v="320301006"/>
    <s v="201"/>
    <s v="90"/>
    <s v="Credito"/>
    <x v="2"/>
    <x v="216"/>
    <m/>
    <s v="000252"/>
    <s v="000132"/>
    <n v="1209.98"/>
    <s v="0,00"/>
    <s v="0,00"/>
    <s v="0,00"/>
    <s v="0,00"/>
    <s v="ORC2022_2"/>
    <s v="0012"/>
    <m/>
    <m/>
    <m/>
    <m/>
    <m/>
  </r>
  <r>
    <s v="SERVICOS E MANUTENCAO DE VEICULOS EQ"/>
    <x v="10"/>
    <x v="17"/>
    <n v="2040.55"/>
    <s v="0000000127"/>
    <s v="1246"/>
    <d v="2022-10-01T00:00:00"/>
    <s v="320301006"/>
    <s v="301"/>
    <s v="90"/>
    <s v="Credito"/>
    <x v="2"/>
    <x v="216"/>
    <m/>
    <s v="000252"/>
    <s v="000132"/>
    <n v="2040.55"/>
    <s v="0,00"/>
    <s v="0,00"/>
    <s v="0,00"/>
    <s v="0,00"/>
    <s v="ORC2022_2"/>
    <s v="0012"/>
    <m/>
    <m/>
    <m/>
    <m/>
    <m/>
  </r>
  <r>
    <s v="SERVICOS E MANUTENCAO DE VEICULOS EQ"/>
    <x v="10"/>
    <x v="0"/>
    <n v="33521.910000000003"/>
    <s v="0000000127"/>
    <s v="1247"/>
    <d v="2022-11-01T00:00:00"/>
    <s v="320301006"/>
    <s v="304"/>
    <s v="11"/>
    <s v="Credito"/>
    <x v="2"/>
    <x v="216"/>
    <m/>
    <s v="000252"/>
    <s v="000132"/>
    <n v="33521.910000000003"/>
    <s v="0,00"/>
    <s v="0,00"/>
    <s v="0,00"/>
    <s v="0,00"/>
    <s v="ORC2022_2"/>
    <s v="0012"/>
    <m/>
    <m/>
    <m/>
    <m/>
    <m/>
  </r>
  <r>
    <s v="SERVICOS E MANUTENCAO DE VEICULOS EQ"/>
    <x v="10"/>
    <x v="0"/>
    <n v="1721.88"/>
    <s v="0000000127"/>
    <s v="1248"/>
    <d v="2022-11-01T00:00:00"/>
    <s v="320301006"/>
    <s v="305"/>
    <s v="11"/>
    <s v="Credito"/>
    <x v="2"/>
    <x v="216"/>
    <m/>
    <s v="000252"/>
    <s v="000132"/>
    <n v="1721.88"/>
    <s v="0,00"/>
    <s v="0,00"/>
    <s v="0,00"/>
    <s v="0,00"/>
    <s v="ORC2022_2"/>
    <s v="0012"/>
    <m/>
    <m/>
    <m/>
    <m/>
    <m/>
  </r>
  <r>
    <s v="SERVICOS E MANUTENCAO DE VEICULOS EQ"/>
    <x v="10"/>
    <x v="0"/>
    <n v="2573.56"/>
    <s v="0000000127"/>
    <s v="1249"/>
    <d v="2022-11-01T00:00:00"/>
    <s v="320301006"/>
    <s v="303"/>
    <s v="21"/>
    <s v="Credito"/>
    <x v="2"/>
    <x v="216"/>
    <m/>
    <s v="000252"/>
    <s v="000132"/>
    <n v="2573.56"/>
    <s v="0,00"/>
    <s v="0,00"/>
    <s v="0,00"/>
    <s v="0,00"/>
    <s v="ORC2022_2"/>
    <s v="0012"/>
    <m/>
    <m/>
    <m/>
    <m/>
    <m/>
  </r>
  <r>
    <s v="SERVICOS E MANUTENCAO DE VEICULOS EQ"/>
    <x v="10"/>
    <x v="0"/>
    <n v="23612.68"/>
    <s v="0000000127"/>
    <s v="1250"/>
    <d v="2022-11-01T00:00:00"/>
    <s v="320301006"/>
    <s v="305"/>
    <s v="21"/>
    <s v="Credito"/>
    <x v="2"/>
    <x v="216"/>
    <m/>
    <s v="000252"/>
    <s v="000132"/>
    <n v="23612.68"/>
    <s v="0,00"/>
    <s v="0,00"/>
    <s v="0,00"/>
    <s v="0,00"/>
    <s v="ORC2022_2"/>
    <s v="0012"/>
    <m/>
    <m/>
    <m/>
    <m/>
    <m/>
  </r>
  <r>
    <s v="SERVICOS E MANUTENCAO DE VEICULOS EQ"/>
    <x v="10"/>
    <x v="0"/>
    <n v="13931.83"/>
    <s v="0000000127"/>
    <s v="1251"/>
    <d v="2022-11-01T00:00:00"/>
    <s v="320301006"/>
    <s v="306"/>
    <s v="33"/>
    <s v="Credito"/>
    <x v="2"/>
    <x v="216"/>
    <m/>
    <s v="000252"/>
    <s v="000132"/>
    <n v="13931.83"/>
    <s v="0,00"/>
    <s v="0,00"/>
    <s v="0,00"/>
    <s v="0,00"/>
    <s v="ORC2022_2"/>
    <s v="0012"/>
    <m/>
    <m/>
    <m/>
    <m/>
    <m/>
  </r>
  <r>
    <s v="SERVICOS E MANUTENCAO DE VEICULOS EQ"/>
    <x v="10"/>
    <x v="0"/>
    <n v="1222.08"/>
    <s v="0000000127"/>
    <s v="1252"/>
    <d v="2022-11-01T00:00:00"/>
    <s v="320301006"/>
    <s v="201"/>
    <s v="90"/>
    <s v="Credito"/>
    <x v="2"/>
    <x v="216"/>
    <m/>
    <s v="000252"/>
    <s v="000132"/>
    <n v="1222.08"/>
    <s v="0,00"/>
    <s v="0,00"/>
    <s v="0,00"/>
    <s v="0,00"/>
    <s v="ORC2022_2"/>
    <s v="0012"/>
    <m/>
    <m/>
    <m/>
    <m/>
    <m/>
  </r>
  <r>
    <s v="SERVICOS E MANUTENCAO DE VEICULOS EQ"/>
    <x v="10"/>
    <x v="0"/>
    <n v="2060.96"/>
    <s v="0000000127"/>
    <s v="1253"/>
    <d v="2022-11-01T00:00:00"/>
    <s v="320301006"/>
    <s v="301"/>
    <s v="90"/>
    <s v="Credito"/>
    <x v="2"/>
    <x v="216"/>
    <m/>
    <s v="000252"/>
    <s v="000132"/>
    <n v="2060.96"/>
    <s v="0,00"/>
    <s v="0,00"/>
    <s v="0,00"/>
    <s v="0,00"/>
    <s v="ORC2022_2"/>
    <s v="0012"/>
    <m/>
    <m/>
    <m/>
    <m/>
    <m/>
  </r>
  <r>
    <s v="SERVICOS E MANUTENCAO DE VEICULOS EQ"/>
    <x v="10"/>
    <x v="1"/>
    <n v="33857.129999999997"/>
    <s v="0000000127"/>
    <s v="1254"/>
    <d v="2022-12-01T00:00:00"/>
    <s v="320301006"/>
    <s v="304"/>
    <s v="11"/>
    <s v="Credito"/>
    <x v="2"/>
    <x v="216"/>
    <m/>
    <s v="000252"/>
    <s v="000132"/>
    <n v="33857.129999999997"/>
    <s v="0,00"/>
    <s v="0,00"/>
    <s v="0,00"/>
    <s v="0,00"/>
    <s v="ORC2022_2"/>
    <s v="0012"/>
    <m/>
    <m/>
    <m/>
    <m/>
    <m/>
  </r>
  <r>
    <s v="SERVICOS E MANUTENCAO DE VEICULOS EQ"/>
    <x v="10"/>
    <x v="1"/>
    <n v="1739.1"/>
    <s v="0000000127"/>
    <s v="1255"/>
    <d v="2022-12-01T00:00:00"/>
    <s v="320301006"/>
    <s v="305"/>
    <s v="11"/>
    <s v="Credito"/>
    <x v="2"/>
    <x v="216"/>
    <m/>
    <s v="000252"/>
    <s v="000132"/>
    <n v="1739.1"/>
    <s v="0,00"/>
    <s v="0,00"/>
    <s v="0,00"/>
    <s v="0,00"/>
    <s v="ORC2022_2"/>
    <s v="0012"/>
    <m/>
    <m/>
    <m/>
    <m/>
    <m/>
  </r>
  <r>
    <s v="SERVICOS E MANUTENCAO DE VEICULOS EQ"/>
    <x v="10"/>
    <x v="1"/>
    <n v="2599.29"/>
    <s v="0000000127"/>
    <s v="1256"/>
    <d v="2022-12-01T00:00:00"/>
    <s v="320301006"/>
    <s v="303"/>
    <s v="21"/>
    <s v="Credito"/>
    <x v="2"/>
    <x v="216"/>
    <m/>
    <s v="000252"/>
    <s v="000132"/>
    <n v="2599.29"/>
    <s v="0,00"/>
    <s v="0,00"/>
    <s v="0,00"/>
    <s v="0,00"/>
    <s v="ORC2022_2"/>
    <s v="0012"/>
    <m/>
    <m/>
    <m/>
    <m/>
    <m/>
  </r>
  <r>
    <s v="SERVICOS E MANUTENCAO DE VEICULOS EQ"/>
    <x v="10"/>
    <x v="1"/>
    <n v="23848.81"/>
    <s v="0000000127"/>
    <s v="1257"/>
    <d v="2022-12-01T00:00:00"/>
    <s v="320301006"/>
    <s v="305"/>
    <s v="21"/>
    <s v="Credito"/>
    <x v="2"/>
    <x v="216"/>
    <m/>
    <s v="000252"/>
    <s v="000132"/>
    <n v="23848.81"/>
    <s v="0,00"/>
    <s v="0,00"/>
    <s v="0,00"/>
    <s v="0,00"/>
    <s v="ORC2022_2"/>
    <s v="0012"/>
    <m/>
    <m/>
    <m/>
    <m/>
    <m/>
  </r>
  <r>
    <s v="SERVICOS E MANUTENCAO DE VEICULOS EQ"/>
    <x v="10"/>
    <x v="1"/>
    <n v="14071.15"/>
    <s v="0000000127"/>
    <s v="1258"/>
    <d v="2022-12-01T00:00:00"/>
    <s v="320301006"/>
    <s v="306"/>
    <s v="33"/>
    <s v="Credito"/>
    <x v="2"/>
    <x v="216"/>
    <m/>
    <s v="000252"/>
    <s v="000132"/>
    <n v="14071.15"/>
    <s v="0,00"/>
    <s v="0,00"/>
    <s v="0,00"/>
    <s v="0,00"/>
    <s v="ORC2022_2"/>
    <s v="0012"/>
    <m/>
    <m/>
    <m/>
    <m/>
    <m/>
  </r>
  <r>
    <s v="SERVICOS E MANUTENCAO DE VEICULOS EQ"/>
    <x v="10"/>
    <x v="1"/>
    <n v="1234.3"/>
    <s v="0000000127"/>
    <s v="1259"/>
    <d v="2022-12-01T00:00:00"/>
    <s v="320301006"/>
    <s v="201"/>
    <s v="90"/>
    <s v="Credito"/>
    <x v="2"/>
    <x v="216"/>
    <m/>
    <s v="000252"/>
    <s v="000132"/>
    <n v="1234.3"/>
    <s v="0,00"/>
    <s v="0,00"/>
    <s v="0,00"/>
    <s v="0,00"/>
    <s v="ORC2022_2"/>
    <s v="0012"/>
    <m/>
    <m/>
    <m/>
    <m/>
    <m/>
  </r>
  <r>
    <s v="SERVICOS E MANUTENCAO DE VEICULOS EQ"/>
    <x v="10"/>
    <x v="1"/>
    <n v="2081.5700000000002"/>
    <s v="0000000127"/>
    <s v="1260"/>
    <d v="2022-12-01T00:00:00"/>
    <s v="320301006"/>
    <s v="301"/>
    <s v="90"/>
    <s v="Credito"/>
    <x v="2"/>
    <x v="216"/>
    <m/>
    <s v="000252"/>
    <s v="000132"/>
    <n v="2081.5700000000002"/>
    <s v="0,00"/>
    <s v="0,00"/>
    <s v="0,00"/>
    <s v="0,00"/>
    <s v="ORC2022_2"/>
    <s v="0012"/>
    <m/>
    <m/>
    <m/>
    <m/>
    <m/>
  </r>
  <r>
    <s v="LICENCIAMENTO - IPVA - DPVAT"/>
    <x v="34"/>
    <x v="8"/>
    <n v="2834.88"/>
    <s v="0000000127"/>
    <s v="1261"/>
    <d v="2022-01-01T00:00:00"/>
    <s v="320301007"/>
    <s v="302"/>
    <s v="11"/>
    <s v="Credito"/>
    <x v="2"/>
    <x v="216"/>
    <m/>
    <s v="000252"/>
    <s v="000132"/>
    <n v="2834.88"/>
    <s v="0,00"/>
    <s v="0,00"/>
    <s v="0,00"/>
    <s v="0,00"/>
    <s v="ORC2022_2"/>
    <s v="0012"/>
    <m/>
    <m/>
    <m/>
    <m/>
    <m/>
  </r>
  <r>
    <s v="LICENCIAMENTO - IPVA - DPVAT"/>
    <x v="34"/>
    <x v="8"/>
    <n v="166920.04"/>
    <s v="0000000127"/>
    <s v="1262"/>
    <d v="2022-01-01T00:00:00"/>
    <s v="320301007"/>
    <s v="304"/>
    <s v="11"/>
    <s v="Credito"/>
    <x v="2"/>
    <x v="216"/>
    <m/>
    <s v="000252"/>
    <s v="000132"/>
    <n v="166920.04"/>
    <s v="0,00"/>
    <s v="0,00"/>
    <s v="0,00"/>
    <s v="0,00"/>
    <s v="ORC2022_2"/>
    <s v="0012"/>
    <m/>
    <m/>
    <m/>
    <m/>
    <m/>
  </r>
  <r>
    <s v="LICENCIAMENTO - IPVA - DPVAT"/>
    <x v="34"/>
    <x v="8"/>
    <n v="3569.46"/>
    <s v="0000000127"/>
    <s v="1263"/>
    <d v="2022-01-01T00:00:00"/>
    <s v="320301007"/>
    <s v="305"/>
    <s v="11"/>
    <s v="Credito"/>
    <x v="2"/>
    <x v="216"/>
    <m/>
    <s v="000252"/>
    <s v="000132"/>
    <n v="3569.46"/>
    <s v="0,00"/>
    <s v="0,00"/>
    <s v="0,00"/>
    <s v="0,00"/>
    <s v="ORC2022_2"/>
    <s v="0012"/>
    <m/>
    <m/>
    <m/>
    <m/>
    <m/>
  </r>
  <r>
    <s v="LICENCIAMENTO - IPVA - DPVAT"/>
    <x v="34"/>
    <x v="8"/>
    <n v="1948.16"/>
    <s v="0000000127"/>
    <s v="1264"/>
    <d v="2022-01-01T00:00:00"/>
    <s v="320301007"/>
    <s v="301"/>
    <s v="21"/>
    <s v="Credito"/>
    <x v="2"/>
    <x v="216"/>
    <m/>
    <s v="000252"/>
    <s v="000132"/>
    <n v="1948.16"/>
    <s v="0,00"/>
    <s v="0,00"/>
    <s v="0,00"/>
    <s v="0,00"/>
    <s v="ORC2022_2"/>
    <s v="0012"/>
    <m/>
    <m/>
    <m/>
    <m/>
    <m/>
  </r>
  <r>
    <s v="LICENCIAMENTO - IPVA - DPVAT"/>
    <x v="34"/>
    <x v="8"/>
    <n v="21982.87"/>
    <s v="0000000127"/>
    <s v="1265"/>
    <d v="2022-01-01T00:00:00"/>
    <s v="320301007"/>
    <s v="305"/>
    <s v="21"/>
    <s v="Credito"/>
    <x v="2"/>
    <x v="216"/>
    <m/>
    <s v="000252"/>
    <s v="000132"/>
    <n v="21982.87"/>
    <s v="0,00"/>
    <s v="0,00"/>
    <s v="0,00"/>
    <s v="0,00"/>
    <s v="ORC2022_2"/>
    <s v="0012"/>
    <m/>
    <m/>
    <m/>
    <m/>
    <m/>
  </r>
  <r>
    <s v="LICENCIAMENTO - IPVA - DPVAT"/>
    <x v="34"/>
    <x v="8"/>
    <n v="2049.81"/>
    <s v="0000000127"/>
    <s v="1266"/>
    <d v="2022-01-01T00:00:00"/>
    <s v="320301007"/>
    <s v="301"/>
    <s v="90"/>
    <s v="Credito"/>
    <x v="2"/>
    <x v="216"/>
    <m/>
    <s v="000252"/>
    <s v="000132"/>
    <n v="2049.81"/>
    <s v="0,00"/>
    <s v="0,00"/>
    <s v="0,00"/>
    <s v="0,00"/>
    <s v="ORC2022_2"/>
    <s v="0012"/>
    <m/>
    <m/>
    <m/>
    <m/>
    <m/>
  </r>
  <r>
    <s v="LICENCIAMENTO - IPVA - DPVAT"/>
    <x v="34"/>
    <x v="10"/>
    <n v="181.52"/>
    <s v="0000000127"/>
    <s v="1267"/>
    <d v="2022-03-01T00:00:00"/>
    <s v="320301007"/>
    <s v="302"/>
    <s v="11"/>
    <s v="Credito"/>
    <x v="2"/>
    <x v="216"/>
    <m/>
    <s v="000252"/>
    <s v="000132"/>
    <n v="181.52"/>
    <s v="0,00"/>
    <s v="0,00"/>
    <s v="0,00"/>
    <s v="0,00"/>
    <s v="ORC2022_2"/>
    <s v="0012"/>
    <m/>
    <m/>
    <m/>
    <m/>
    <m/>
  </r>
  <r>
    <s v="LICENCIAMENTO - IPVA - DPVAT"/>
    <x v="34"/>
    <x v="10"/>
    <n v="6634.05"/>
    <s v="0000000127"/>
    <s v="1268"/>
    <d v="2022-03-01T00:00:00"/>
    <s v="320301007"/>
    <s v="304"/>
    <s v="11"/>
    <s v="Credito"/>
    <x v="2"/>
    <x v="216"/>
    <m/>
    <s v="000252"/>
    <s v="000132"/>
    <n v="6634.05"/>
    <s v="0,00"/>
    <s v="0,00"/>
    <s v="0,00"/>
    <s v="0,00"/>
    <s v="ORC2022_2"/>
    <s v="0012"/>
    <m/>
    <m/>
    <m/>
    <m/>
    <m/>
  </r>
  <r>
    <s v="LICENCIAMENTO - IPVA - DPVAT"/>
    <x v="34"/>
    <x v="10"/>
    <n v="363.04"/>
    <s v="0000000127"/>
    <s v="1269"/>
    <d v="2022-03-01T00:00:00"/>
    <s v="320301007"/>
    <s v="305"/>
    <s v="11"/>
    <s v="Credito"/>
    <x v="2"/>
    <x v="216"/>
    <m/>
    <s v="000252"/>
    <s v="000132"/>
    <n v="363.04"/>
    <s v="0,00"/>
    <s v="0,00"/>
    <s v="0,00"/>
    <s v="0,00"/>
    <s v="ORC2022_2"/>
    <s v="0012"/>
    <m/>
    <m/>
    <m/>
    <m/>
    <m/>
  </r>
  <r>
    <s v="LICENCIAMENTO - IPVA - DPVAT"/>
    <x v="34"/>
    <x v="10"/>
    <n v="544.55999999999995"/>
    <s v="0000000127"/>
    <s v="1270"/>
    <d v="2022-03-01T00:00:00"/>
    <s v="320301007"/>
    <s v="305"/>
    <s v="21"/>
    <s v="Credito"/>
    <x v="2"/>
    <x v="216"/>
    <m/>
    <s v="000252"/>
    <s v="000132"/>
    <n v="544.55999999999995"/>
    <s v="0,00"/>
    <s v="0,00"/>
    <s v="0,00"/>
    <s v="0,00"/>
    <s v="ORC2022_2"/>
    <s v="0012"/>
    <m/>
    <m/>
    <m/>
    <m/>
    <m/>
  </r>
  <r>
    <s v="LICENCIAMENTO - IPVA - DPVAT"/>
    <x v="34"/>
    <x v="11"/>
    <n v="1971.38"/>
    <s v="0000000127"/>
    <s v="1271"/>
    <d v="2022-04-01T00:00:00"/>
    <s v="320301007"/>
    <s v="304"/>
    <s v="11"/>
    <s v="Credito"/>
    <x v="2"/>
    <x v="216"/>
    <m/>
    <s v="000252"/>
    <s v="000132"/>
    <n v="1971.38"/>
    <s v="0,00"/>
    <s v="0,00"/>
    <s v="0,00"/>
    <s v="0,00"/>
    <s v="ORC2022_2"/>
    <s v="0012"/>
    <m/>
    <m/>
    <m/>
    <m/>
    <m/>
  </r>
  <r>
    <s v="LICENCIAMENTO - IPVA - DPVAT"/>
    <x v="34"/>
    <x v="11"/>
    <n v="318.54000000000002"/>
    <s v="0000000127"/>
    <s v="1272"/>
    <d v="2022-04-01T00:00:00"/>
    <s v="320301007"/>
    <s v="305"/>
    <s v="11"/>
    <s v="Credito"/>
    <x v="2"/>
    <x v="216"/>
    <m/>
    <s v="000252"/>
    <s v="000132"/>
    <n v="318.54000000000002"/>
    <s v="0,00"/>
    <s v="0,00"/>
    <s v="0,00"/>
    <s v="0,00"/>
    <s v="ORC2022_2"/>
    <s v="0012"/>
    <m/>
    <m/>
    <m/>
    <m/>
    <m/>
  </r>
  <r>
    <s v="LICENCIAMENTO - IPVA - DPVAT"/>
    <x v="34"/>
    <x v="11"/>
    <n v="907.6"/>
    <s v="0000000127"/>
    <s v="1273"/>
    <d v="2022-04-01T00:00:00"/>
    <s v="320301007"/>
    <s v="305"/>
    <s v="21"/>
    <s v="Credito"/>
    <x v="2"/>
    <x v="216"/>
    <m/>
    <s v="000252"/>
    <s v="000132"/>
    <n v="907.6"/>
    <s v="0,00"/>
    <s v="0,00"/>
    <s v="0,00"/>
    <s v="0,00"/>
    <s v="ORC2022_2"/>
    <s v="0012"/>
    <m/>
    <m/>
    <m/>
    <m/>
    <m/>
  </r>
  <r>
    <s v="LICENCIAMENTO - IPVA - DPVAT"/>
    <x v="34"/>
    <x v="11"/>
    <n v="797.69"/>
    <s v="0000000127"/>
    <s v="1274"/>
    <d v="2022-04-01T00:00:00"/>
    <s v="320301007"/>
    <s v="305"/>
    <s v="31"/>
    <s v="Credito"/>
    <x v="2"/>
    <x v="216"/>
    <m/>
    <s v="000252"/>
    <s v="000132"/>
    <n v="797.69"/>
    <s v="0,00"/>
    <s v="0,00"/>
    <s v="0,00"/>
    <s v="0,00"/>
    <s v="ORC2022_2"/>
    <s v="0012"/>
    <m/>
    <m/>
    <m/>
    <m/>
    <m/>
  </r>
  <r>
    <s v="LICENCIAMENTO - IPVA - DPVAT"/>
    <x v="34"/>
    <x v="11"/>
    <n v="181.52"/>
    <s v="0000000127"/>
    <s v="1275"/>
    <d v="2022-04-01T00:00:00"/>
    <s v="320301007"/>
    <s v="301"/>
    <s v="90"/>
    <s v="Credito"/>
    <x v="2"/>
    <x v="216"/>
    <m/>
    <s v="000252"/>
    <s v="000132"/>
    <n v="181.52"/>
    <s v="0,00"/>
    <s v="0,00"/>
    <s v="0,00"/>
    <s v="0,00"/>
    <s v="ORC2022_2"/>
    <s v="0012"/>
    <m/>
    <m/>
    <m/>
    <m/>
    <m/>
  </r>
  <r>
    <s v="LICENCIAMENTO - IPVA - DPVAT"/>
    <x v="34"/>
    <x v="12"/>
    <n v="2571.6999999999998"/>
    <s v="0000000127"/>
    <s v="1276"/>
    <d v="2022-05-01T00:00:00"/>
    <s v="320301007"/>
    <s v="304"/>
    <s v="11"/>
    <s v="Credito"/>
    <x v="2"/>
    <x v="216"/>
    <m/>
    <s v="000252"/>
    <s v="000132"/>
    <n v="2571.6999999999998"/>
    <s v="0,00"/>
    <s v="0,00"/>
    <s v="0,00"/>
    <s v="0,00"/>
    <s v="ORC2022_2"/>
    <s v="0012"/>
    <m/>
    <m/>
    <m/>
    <m/>
    <m/>
  </r>
  <r>
    <s v="LICENCIAMENTO - IPVA - DPVAT"/>
    <x v="34"/>
    <x v="13"/>
    <n v="6038.36"/>
    <s v="0000000127"/>
    <s v="1277"/>
    <d v="2022-06-01T00:00:00"/>
    <s v="320301007"/>
    <s v="304"/>
    <s v="11"/>
    <s v="Credito"/>
    <x v="2"/>
    <x v="216"/>
    <m/>
    <s v="000252"/>
    <s v="000132"/>
    <n v="6038.36"/>
    <s v="0,00"/>
    <s v="0,00"/>
    <s v="0,00"/>
    <s v="0,00"/>
    <s v="ORC2022_2"/>
    <s v="0012"/>
    <m/>
    <m/>
    <m/>
    <m/>
    <m/>
  </r>
  <r>
    <s v="LICENCIAMENTO - IPVA - DPVAT"/>
    <x v="34"/>
    <x v="13"/>
    <n v="733.65"/>
    <s v="0000000127"/>
    <s v="1278"/>
    <d v="2022-06-01T00:00:00"/>
    <s v="320301007"/>
    <s v="302"/>
    <s v="21"/>
    <s v="Credito"/>
    <x v="2"/>
    <x v="216"/>
    <m/>
    <s v="000252"/>
    <s v="000132"/>
    <n v="733.65"/>
    <s v="0,00"/>
    <s v="0,00"/>
    <s v="0,00"/>
    <s v="0,00"/>
    <s v="ORC2022_2"/>
    <s v="0012"/>
    <m/>
    <m/>
    <m/>
    <m/>
    <m/>
  </r>
  <r>
    <s v="LICENCIAMENTO - IPVA - DPVAT"/>
    <x v="34"/>
    <x v="13"/>
    <n v="3311.36"/>
    <s v="0000000127"/>
    <s v="1279"/>
    <d v="2022-06-01T00:00:00"/>
    <s v="320301007"/>
    <s v="305"/>
    <s v="21"/>
    <s v="Credito"/>
    <x v="2"/>
    <x v="216"/>
    <m/>
    <s v="000252"/>
    <s v="000132"/>
    <n v="3311.36"/>
    <s v="0,00"/>
    <s v="0,00"/>
    <s v="0,00"/>
    <s v="0,00"/>
    <s v="ORC2022_2"/>
    <s v="0012"/>
    <m/>
    <m/>
    <m/>
    <m/>
    <m/>
  </r>
  <r>
    <s v="LICENCIAMENTO - IPVA - DPVAT"/>
    <x v="34"/>
    <x v="13"/>
    <n v="363.04"/>
    <s v="0000000127"/>
    <s v="1280"/>
    <d v="2022-06-01T00:00:00"/>
    <s v="320301007"/>
    <s v="302"/>
    <s v="33"/>
    <s v="Credito"/>
    <x v="2"/>
    <x v="216"/>
    <m/>
    <s v="000252"/>
    <s v="000132"/>
    <n v="363.04"/>
    <s v="0,00"/>
    <s v="0,00"/>
    <s v="0,00"/>
    <s v="0,00"/>
    <s v="ORC2022_2"/>
    <s v="0012"/>
    <m/>
    <m/>
    <m/>
    <m/>
    <m/>
  </r>
  <r>
    <s v="LICENCIAMENTO - IPVA - DPVAT"/>
    <x v="34"/>
    <x v="14"/>
    <n v="3556.59"/>
    <s v="0000000127"/>
    <s v="1281"/>
    <d v="2022-07-01T00:00:00"/>
    <s v="320301007"/>
    <s v="304"/>
    <s v="11"/>
    <s v="Credito"/>
    <x v="2"/>
    <x v="216"/>
    <m/>
    <s v="000252"/>
    <s v="000132"/>
    <n v="3556.59"/>
    <s v="0,00"/>
    <s v="0,00"/>
    <s v="0,00"/>
    <s v="0,00"/>
    <s v="ORC2022_2"/>
    <s v="0012"/>
    <m/>
    <m/>
    <m/>
    <m/>
    <m/>
  </r>
  <r>
    <s v="LICENCIAMENTO - IPVA - DPVAT"/>
    <x v="34"/>
    <x v="14"/>
    <n v="363.04"/>
    <s v="0000000127"/>
    <s v="1282"/>
    <d v="2022-07-01T00:00:00"/>
    <s v="320301007"/>
    <s v="305"/>
    <s v="21"/>
    <s v="Credito"/>
    <x v="2"/>
    <x v="216"/>
    <m/>
    <s v="000252"/>
    <s v="000132"/>
    <n v="363.04"/>
    <s v="0,00"/>
    <s v="0,00"/>
    <s v="0,00"/>
    <s v="0,00"/>
    <s v="ORC2022_2"/>
    <s v="0012"/>
    <m/>
    <m/>
    <m/>
    <m/>
    <m/>
  </r>
  <r>
    <s v="LICENCIAMENTO - IPVA - DPVAT"/>
    <x v="34"/>
    <x v="14"/>
    <n v="322.86"/>
    <s v="0000000127"/>
    <s v="1283"/>
    <d v="2022-07-01T00:00:00"/>
    <s v="320301007"/>
    <s v="306"/>
    <s v="33"/>
    <s v="Credito"/>
    <x v="2"/>
    <x v="216"/>
    <m/>
    <s v="000252"/>
    <s v="000132"/>
    <n v="322.86"/>
    <s v="0,00"/>
    <s v="0,00"/>
    <s v="0,00"/>
    <s v="0,00"/>
    <s v="ORC2022_2"/>
    <s v="0012"/>
    <m/>
    <m/>
    <m/>
    <m/>
    <m/>
  </r>
  <r>
    <s v="LICENCIAMENTO - IPVA - DPVAT"/>
    <x v="34"/>
    <x v="15"/>
    <n v="18130.18"/>
    <s v="0000000127"/>
    <s v="1284"/>
    <d v="2022-08-01T00:00:00"/>
    <s v="320301007"/>
    <s v="304"/>
    <s v="11"/>
    <s v="Credito"/>
    <x v="2"/>
    <x v="216"/>
    <m/>
    <s v="000252"/>
    <s v="000132"/>
    <n v="18130.18"/>
    <s v="0,00"/>
    <s v="0,00"/>
    <s v="0,00"/>
    <s v="0,00"/>
    <s v="ORC2022_2"/>
    <s v="0012"/>
    <m/>
    <m/>
    <m/>
    <m/>
    <m/>
  </r>
  <r>
    <s v="LICENCIAMENTO - IPVA - DPVAT"/>
    <x v="34"/>
    <x v="15"/>
    <n v="323.63"/>
    <s v="0000000127"/>
    <s v="1285"/>
    <d v="2022-08-01T00:00:00"/>
    <s v="320301007"/>
    <s v="305"/>
    <s v="11"/>
    <s v="Credito"/>
    <x v="2"/>
    <x v="216"/>
    <m/>
    <s v="000252"/>
    <s v="000132"/>
    <n v="323.63"/>
    <s v="0,00"/>
    <s v="0,00"/>
    <s v="0,00"/>
    <s v="0,00"/>
    <s v="ORC2022_2"/>
    <s v="0012"/>
    <m/>
    <m/>
    <m/>
    <m/>
    <m/>
  </r>
  <r>
    <s v="LICENCIAMENTO - IPVA - DPVAT"/>
    <x v="34"/>
    <x v="15"/>
    <n v="5182.7299999999996"/>
    <s v="0000000127"/>
    <s v="1286"/>
    <d v="2022-08-01T00:00:00"/>
    <s v="320301007"/>
    <s v="305"/>
    <s v="21"/>
    <s v="Credito"/>
    <x v="2"/>
    <x v="216"/>
    <m/>
    <s v="000252"/>
    <s v="000132"/>
    <n v="5182.7299999999996"/>
    <s v="0,00"/>
    <s v="0,00"/>
    <s v="0,00"/>
    <s v="0,00"/>
    <s v="ORC2022_2"/>
    <s v="0012"/>
    <m/>
    <m/>
    <m/>
    <m/>
    <m/>
  </r>
  <r>
    <s v="LICENCIAMENTO - IPVA - DPVAT"/>
    <x v="34"/>
    <x v="16"/>
    <n v="9379.81"/>
    <s v="0000000127"/>
    <s v="1287"/>
    <d v="2022-09-01T00:00:00"/>
    <s v="320301007"/>
    <s v="304"/>
    <s v="11"/>
    <s v="Credito"/>
    <x v="2"/>
    <x v="216"/>
    <m/>
    <s v="000252"/>
    <s v="000132"/>
    <n v="9379.81"/>
    <s v="0,00"/>
    <s v="0,00"/>
    <s v="0,00"/>
    <s v="0,00"/>
    <s v="ORC2022_2"/>
    <s v="0012"/>
    <m/>
    <m/>
    <m/>
    <m/>
    <m/>
  </r>
  <r>
    <s v="LICENCIAMENTO - IPVA - DPVAT"/>
    <x v="34"/>
    <x v="16"/>
    <n v="181.52"/>
    <s v="0000000127"/>
    <s v="1288"/>
    <d v="2022-09-01T00:00:00"/>
    <s v="320301007"/>
    <s v="305"/>
    <s v="11"/>
    <s v="Credito"/>
    <x v="2"/>
    <x v="216"/>
    <m/>
    <s v="000252"/>
    <s v="000132"/>
    <n v="181.52"/>
    <s v="0,00"/>
    <s v="0,00"/>
    <s v="0,00"/>
    <s v="0,00"/>
    <s v="ORC2022_2"/>
    <s v="0012"/>
    <m/>
    <m/>
    <m/>
    <m/>
    <m/>
  </r>
  <r>
    <s v="LICENCIAMENTO - IPVA - DPVAT"/>
    <x v="34"/>
    <x v="16"/>
    <n v="384.99"/>
    <s v="0000000127"/>
    <s v="1289"/>
    <d v="2022-09-01T00:00:00"/>
    <s v="320301007"/>
    <s v="304"/>
    <s v="21"/>
    <s v="Credito"/>
    <x v="2"/>
    <x v="216"/>
    <m/>
    <s v="000252"/>
    <s v="000132"/>
    <n v="384.99"/>
    <s v="0,00"/>
    <s v="0,00"/>
    <s v="0,00"/>
    <s v="0,00"/>
    <s v="ORC2022_2"/>
    <s v="0012"/>
    <m/>
    <m/>
    <m/>
    <m/>
    <m/>
  </r>
  <r>
    <s v="LICENCIAMENTO - IPVA - DPVAT"/>
    <x v="34"/>
    <x v="16"/>
    <n v="502.32"/>
    <s v="0000000127"/>
    <s v="1290"/>
    <d v="2022-09-01T00:00:00"/>
    <s v="320301007"/>
    <s v="305"/>
    <s v="21"/>
    <s v="Credito"/>
    <x v="2"/>
    <x v="216"/>
    <m/>
    <s v="000252"/>
    <s v="000132"/>
    <n v="502.32"/>
    <s v="0,00"/>
    <s v="0,00"/>
    <s v="0,00"/>
    <s v="0,00"/>
    <s v="ORC2022_2"/>
    <s v="0012"/>
    <m/>
    <m/>
    <m/>
    <m/>
    <m/>
  </r>
  <r>
    <s v="LICENCIAMENTO - IPVA - DPVAT"/>
    <x v="34"/>
    <x v="16"/>
    <n v="944.44"/>
    <s v="0000000127"/>
    <s v="1291"/>
    <d v="2022-09-01T00:00:00"/>
    <s v="320301007"/>
    <s v="304"/>
    <s v="31"/>
    <s v="Credito"/>
    <x v="2"/>
    <x v="216"/>
    <m/>
    <s v="000252"/>
    <s v="000132"/>
    <n v="944.44"/>
    <s v="0,00"/>
    <s v="0,00"/>
    <s v="0,00"/>
    <s v="0,00"/>
    <s v="ORC2022_2"/>
    <s v="0012"/>
    <m/>
    <m/>
    <m/>
    <m/>
    <m/>
  </r>
  <r>
    <s v="LICENCIAMENTO - IPVA - DPVAT"/>
    <x v="34"/>
    <x v="16"/>
    <n v="1495.38"/>
    <s v="0000000127"/>
    <s v="1292"/>
    <d v="2022-09-01T00:00:00"/>
    <s v="320301007"/>
    <s v="305"/>
    <s v="31"/>
    <s v="Credito"/>
    <x v="2"/>
    <x v="216"/>
    <m/>
    <s v="000252"/>
    <s v="000132"/>
    <n v="1495.38"/>
    <s v="0,00"/>
    <s v="0,00"/>
    <s v="0,00"/>
    <s v="0,00"/>
    <s v="ORC2022_2"/>
    <s v="0012"/>
    <m/>
    <m/>
    <m/>
    <m/>
    <m/>
  </r>
  <r>
    <s v="LICENCIAMENTO - IPVA - DPVAT"/>
    <x v="34"/>
    <x v="17"/>
    <n v="9473.61"/>
    <s v="0000000127"/>
    <s v="1293"/>
    <d v="2022-10-01T00:00:00"/>
    <s v="320301007"/>
    <s v="304"/>
    <s v="11"/>
    <s v="Credito"/>
    <x v="2"/>
    <x v="216"/>
    <m/>
    <s v="000252"/>
    <s v="000132"/>
    <n v="9473.61"/>
    <s v="0,00"/>
    <s v="0,00"/>
    <s v="0,00"/>
    <s v="0,00"/>
    <s v="ORC2022_2"/>
    <s v="0012"/>
    <m/>
    <m/>
    <m/>
    <m/>
    <m/>
  </r>
  <r>
    <s v="LICENCIAMENTO - IPVA - DPVAT"/>
    <x v="34"/>
    <x v="17"/>
    <n v="183.34"/>
    <s v="0000000127"/>
    <s v="1294"/>
    <d v="2022-10-01T00:00:00"/>
    <s v="320301007"/>
    <s v="305"/>
    <s v="11"/>
    <s v="Credito"/>
    <x v="2"/>
    <x v="216"/>
    <m/>
    <s v="000252"/>
    <s v="000132"/>
    <n v="183.34"/>
    <s v="0,00"/>
    <s v="0,00"/>
    <s v="0,00"/>
    <s v="0,00"/>
    <s v="ORC2022_2"/>
    <s v="0012"/>
    <m/>
    <m/>
    <m/>
    <m/>
    <m/>
  </r>
  <r>
    <s v="LICENCIAMENTO - IPVA - DPVAT"/>
    <x v="34"/>
    <x v="17"/>
    <n v="388.84"/>
    <s v="0000000127"/>
    <s v="1295"/>
    <d v="2022-10-01T00:00:00"/>
    <s v="320301007"/>
    <s v="304"/>
    <s v="21"/>
    <s v="Credito"/>
    <x v="2"/>
    <x v="216"/>
    <m/>
    <s v="000252"/>
    <s v="000132"/>
    <n v="388.84"/>
    <s v="0,00"/>
    <s v="0,00"/>
    <s v="0,00"/>
    <s v="0,00"/>
    <s v="ORC2022_2"/>
    <s v="0012"/>
    <m/>
    <m/>
    <m/>
    <m/>
    <m/>
  </r>
  <r>
    <s v="LICENCIAMENTO - IPVA - DPVAT"/>
    <x v="34"/>
    <x v="17"/>
    <n v="507.34"/>
    <s v="0000000127"/>
    <s v="1296"/>
    <d v="2022-10-01T00:00:00"/>
    <s v="320301007"/>
    <s v="305"/>
    <s v="21"/>
    <s v="Credito"/>
    <x v="2"/>
    <x v="216"/>
    <m/>
    <s v="000252"/>
    <s v="000132"/>
    <n v="507.34"/>
    <s v="0,00"/>
    <s v="0,00"/>
    <s v="0,00"/>
    <s v="0,00"/>
    <s v="ORC2022_2"/>
    <s v="0012"/>
    <m/>
    <m/>
    <m/>
    <m/>
    <m/>
  </r>
  <r>
    <s v="LICENCIAMENTO - IPVA - DPVAT"/>
    <x v="34"/>
    <x v="17"/>
    <n v="953.88"/>
    <s v="0000000127"/>
    <s v="1297"/>
    <d v="2022-10-01T00:00:00"/>
    <s v="320301007"/>
    <s v="304"/>
    <s v="31"/>
    <s v="Credito"/>
    <x v="2"/>
    <x v="216"/>
    <m/>
    <s v="000252"/>
    <s v="000132"/>
    <n v="953.88"/>
    <s v="0,00"/>
    <s v="0,00"/>
    <s v="0,00"/>
    <s v="0,00"/>
    <s v="ORC2022_2"/>
    <s v="0012"/>
    <m/>
    <m/>
    <m/>
    <m/>
    <m/>
  </r>
  <r>
    <s v="LICENCIAMENTO - IPVA - DPVAT"/>
    <x v="34"/>
    <x v="17"/>
    <n v="1510.33"/>
    <s v="0000000127"/>
    <s v="1298"/>
    <d v="2022-10-01T00:00:00"/>
    <s v="320301007"/>
    <s v="305"/>
    <s v="31"/>
    <s v="Credito"/>
    <x v="2"/>
    <x v="216"/>
    <m/>
    <s v="000252"/>
    <s v="000132"/>
    <n v="1510.33"/>
    <s v="0,00"/>
    <s v="0,00"/>
    <s v="0,00"/>
    <s v="0,00"/>
    <s v="ORC2022_2"/>
    <s v="0012"/>
    <m/>
    <m/>
    <m/>
    <m/>
    <m/>
  </r>
  <r>
    <s v="LICENCIAMENTO - IPVA - DPVAT"/>
    <x v="34"/>
    <x v="0"/>
    <n v="9568.34"/>
    <s v="0000000127"/>
    <s v="1299"/>
    <d v="2022-11-01T00:00:00"/>
    <s v="320301007"/>
    <s v="304"/>
    <s v="11"/>
    <s v="Credito"/>
    <x v="2"/>
    <x v="216"/>
    <m/>
    <s v="000252"/>
    <s v="000132"/>
    <n v="9568.34"/>
    <s v="0,00"/>
    <s v="0,00"/>
    <s v="0,00"/>
    <s v="0,00"/>
    <s v="ORC2022_2"/>
    <s v="0012"/>
    <m/>
    <m/>
    <m/>
    <m/>
    <m/>
  </r>
  <r>
    <s v="LICENCIAMENTO - IPVA - DPVAT"/>
    <x v="34"/>
    <x v="0"/>
    <n v="185.17"/>
    <s v="0000000127"/>
    <s v="1300"/>
    <d v="2022-11-01T00:00:00"/>
    <s v="320301007"/>
    <s v="305"/>
    <s v="11"/>
    <s v="Credito"/>
    <x v="2"/>
    <x v="216"/>
    <m/>
    <s v="000252"/>
    <s v="000132"/>
    <n v="185.17"/>
    <s v="0,00"/>
    <s v="0,00"/>
    <s v="0,00"/>
    <s v="0,00"/>
    <s v="ORC2022_2"/>
    <s v="0012"/>
    <m/>
    <m/>
    <m/>
    <m/>
    <m/>
  </r>
  <r>
    <s v="LICENCIAMENTO - IPVA - DPVAT"/>
    <x v="34"/>
    <x v="0"/>
    <n v="392.73"/>
    <s v="0000000127"/>
    <s v="1301"/>
    <d v="2022-11-01T00:00:00"/>
    <s v="320301007"/>
    <s v="304"/>
    <s v="21"/>
    <s v="Credito"/>
    <x v="2"/>
    <x v="216"/>
    <m/>
    <s v="000252"/>
    <s v="000132"/>
    <n v="392.73"/>
    <s v="0,00"/>
    <s v="0,00"/>
    <s v="0,00"/>
    <s v="0,00"/>
    <s v="ORC2022_2"/>
    <s v="0012"/>
    <m/>
    <m/>
    <m/>
    <m/>
    <m/>
  </r>
  <r>
    <s v="LICENCIAMENTO - IPVA - DPVAT"/>
    <x v="34"/>
    <x v="0"/>
    <n v="512.41999999999996"/>
    <s v="0000000127"/>
    <s v="1302"/>
    <d v="2022-11-01T00:00:00"/>
    <s v="320301007"/>
    <s v="305"/>
    <s v="21"/>
    <s v="Credito"/>
    <x v="2"/>
    <x v="216"/>
    <m/>
    <s v="000252"/>
    <s v="000132"/>
    <n v="512.41999999999996"/>
    <s v="0,00"/>
    <s v="0,00"/>
    <s v="0,00"/>
    <s v="0,00"/>
    <s v="ORC2022_2"/>
    <s v="0012"/>
    <m/>
    <m/>
    <m/>
    <m/>
    <m/>
  </r>
  <r>
    <s v="LICENCIAMENTO - IPVA - DPVAT"/>
    <x v="34"/>
    <x v="0"/>
    <n v="963.42"/>
    <s v="0000000127"/>
    <s v="1303"/>
    <d v="2022-11-01T00:00:00"/>
    <s v="320301007"/>
    <s v="304"/>
    <s v="31"/>
    <s v="Credito"/>
    <x v="2"/>
    <x v="216"/>
    <m/>
    <s v="000252"/>
    <s v="000132"/>
    <n v="963.42"/>
    <s v="0,00"/>
    <s v="0,00"/>
    <s v="0,00"/>
    <s v="0,00"/>
    <s v="ORC2022_2"/>
    <s v="0012"/>
    <m/>
    <m/>
    <m/>
    <m/>
    <m/>
  </r>
  <r>
    <s v="LICENCIAMENTO - IPVA - DPVAT"/>
    <x v="34"/>
    <x v="0"/>
    <n v="1525.44"/>
    <s v="0000000127"/>
    <s v="1304"/>
    <d v="2022-11-01T00:00:00"/>
    <s v="320301007"/>
    <s v="305"/>
    <s v="31"/>
    <s v="Credito"/>
    <x v="2"/>
    <x v="216"/>
    <m/>
    <s v="000252"/>
    <s v="000132"/>
    <n v="1525.44"/>
    <s v="0,00"/>
    <s v="0,00"/>
    <s v="0,00"/>
    <s v="0,00"/>
    <s v="ORC2022_2"/>
    <s v="0012"/>
    <m/>
    <m/>
    <m/>
    <m/>
    <m/>
  </r>
  <r>
    <s v="LICENCIAMENTO - IPVA - DPVAT"/>
    <x v="34"/>
    <x v="1"/>
    <n v="9664.0300000000007"/>
    <s v="0000000127"/>
    <s v="1305"/>
    <d v="2022-12-01T00:00:00"/>
    <s v="320301007"/>
    <s v="304"/>
    <s v="11"/>
    <s v="Credito"/>
    <x v="2"/>
    <x v="216"/>
    <m/>
    <s v="000252"/>
    <s v="000132"/>
    <n v="9664.0300000000007"/>
    <s v="0,00"/>
    <s v="0,00"/>
    <s v="0,00"/>
    <s v="0,00"/>
    <s v="ORC2022_2"/>
    <s v="0012"/>
    <m/>
    <m/>
    <m/>
    <m/>
    <m/>
  </r>
  <r>
    <s v="LICENCIAMENTO - IPVA - DPVAT"/>
    <x v="34"/>
    <x v="1"/>
    <n v="187.02"/>
    <s v="0000000127"/>
    <s v="1306"/>
    <d v="2022-12-01T00:00:00"/>
    <s v="320301007"/>
    <s v="305"/>
    <s v="11"/>
    <s v="Credito"/>
    <x v="2"/>
    <x v="216"/>
    <m/>
    <s v="000252"/>
    <s v="000132"/>
    <n v="187.02"/>
    <s v="0,00"/>
    <s v="0,00"/>
    <s v="0,00"/>
    <s v="0,00"/>
    <s v="ORC2022_2"/>
    <s v="0012"/>
    <m/>
    <m/>
    <m/>
    <m/>
    <m/>
  </r>
  <r>
    <s v="LICENCIAMENTO - IPVA - DPVAT"/>
    <x v="34"/>
    <x v="1"/>
    <n v="396.66"/>
    <s v="0000000127"/>
    <s v="1307"/>
    <d v="2022-12-01T00:00:00"/>
    <s v="320301007"/>
    <s v="304"/>
    <s v="21"/>
    <s v="Credito"/>
    <x v="2"/>
    <x v="216"/>
    <m/>
    <s v="000252"/>
    <s v="000132"/>
    <n v="396.66"/>
    <s v="0,00"/>
    <s v="0,00"/>
    <s v="0,00"/>
    <s v="0,00"/>
    <s v="ORC2022_2"/>
    <s v="0012"/>
    <m/>
    <m/>
    <m/>
    <m/>
    <m/>
  </r>
  <r>
    <s v="LICENCIAMENTO - IPVA - DPVAT"/>
    <x v="34"/>
    <x v="1"/>
    <n v="517.54"/>
    <s v="0000000127"/>
    <s v="1308"/>
    <d v="2022-12-01T00:00:00"/>
    <s v="320301007"/>
    <s v="305"/>
    <s v="21"/>
    <s v="Credito"/>
    <x v="2"/>
    <x v="216"/>
    <m/>
    <s v="000252"/>
    <s v="000132"/>
    <n v="517.54"/>
    <s v="0,00"/>
    <s v="0,00"/>
    <s v="0,00"/>
    <s v="0,00"/>
    <s v="ORC2022_2"/>
    <s v="0012"/>
    <m/>
    <m/>
    <m/>
    <m/>
    <m/>
  </r>
  <r>
    <s v="LICENCIAMENTO - IPVA - DPVAT"/>
    <x v="34"/>
    <x v="1"/>
    <n v="973.06"/>
    <s v="0000000127"/>
    <s v="1309"/>
    <d v="2022-12-01T00:00:00"/>
    <s v="320301007"/>
    <s v="304"/>
    <s v="31"/>
    <s v="Credito"/>
    <x v="2"/>
    <x v="216"/>
    <m/>
    <s v="000252"/>
    <s v="000132"/>
    <n v="973.06"/>
    <s v="0,00"/>
    <s v="0,00"/>
    <s v="0,00"/>
    <s v="0,00"/>
    <s v="ORC2022_2"/>
    <s v="0012"/>
    <m/>
    <m/>
    <m/>
    <m/>
    <m/>
  </r>
  <r>
    <s v="LICENCIAMENTO - IPVA - DPVAT"/>
    <x v="34"/>
    <x v="1"/>
    <n v="1540.69"/>
    <s v="0000000127"/>
    <s v="1310"/>
    <d v="2022-12-01T00:00:00"/>
    <s v="320301007"/>
    <s v="305"/>
    <s v="31"/>
    <s v="Credito"/>
    <x v="2"/>
    <x v="216"/>
    <m/>
    <s v="000252"/>
    <s v="000132"/>
    <n v="1540.69"/>
    <s v="0,00"/>
    <s v="0,00"/>
    <s v="0,00"/>
    <s v="0,00"/>
    <s v="ORC2022_2"/>
    <s v="0012"/>
    <m/>
    <m/>
    <m/>
    <m/>
    <m/>
  </r>
  <r>
    <s v="MULTAS DE TRANSITO"/>
    <x v="35"/>
    <x v="8"/>
    <n v="156.19"/>
    <s v="0000000127"/>
    <s v="1311"/>
    <d v="2022-01-01T00:00:00"/>
    <s v="320301008"/>
    <s v="304"/>
    <s v="11"/>
    <s v="Credito"/>
    <x v="2"/>
    <x v="216"/>
    <m/>
    <s v="000252"/>
    <s v="000132"/>
    <n v="156.19"/>
    <s v="0,00"/>
    <s v="0,00"/>
    <s v="0,00"/>
    <s v="0,00"/>
    <s v="ORC2022_2"/>
    <s v="0012"/>
    <m/>
    <m/>
    <m/>
    <m/>
    <m/>
  </r>
  <r>
    <s v="MULTAS DE TRANSITO"/>
    <x v="35"/>
    <x v="9"/>
    <n v="528.69000000000005"/>
    <s v="0000000127"/>
    <s v="1312"/>
    <d v="2022-02-01T00:00:00"/>
    <s v="320301008"/>
    <s v="304"/>
    <s v="11"/>
    <s v="Credito"/>
    <x v="2"/>
    <x v="216"/>
    <m/>
    <s v="000252"/>
    <s v="000132"/>
    <n v="528.69000000000005"/>
    <s v="0,00"/>
    <s v="0,00"/>
    <s v="0,00"/>
    <s v="0,00"/>
    <s v="ORC2022_2"/>
    <s v="0012"/>
    <m/>
    <m/>
    <m/>
    <m/>
    <m/>
  </r>
  <r>
    <s v="MULTAS DE TRANSITO"/>
    <x v="35"/>
    <x v="9"/>
    <n v="374.88"/>
    <s v="0000000127"/>
    <s v="1313"/>
    <d v="2022-02-01T00:00:00"/>
    <s v="320301008"/>
    <s v="301"/>
    <s v="90"/>
    <s v="Credito"/>
    <x v="2"/>
    <x v="216"/>
    <m/>
    <s v="000252"/>
    <s v="000132"/>
    <n v="374.88"/>
    <s v="0,00"/>
    <s v="0,00"/>
    <s v="0,00"/>
    <s v="0,00"/>
    <s v="ORC2022_2"/>
    <s v="0012"/>
    <m/>
    <m/>
    <m/>
    <m/>
    <m/>
  </r>
  <r>
    <s v="MULTAS DE TRANSITO"/>
    <x v="35"/>
    <x v="10"/>
    <n v="136.38"/>
    <s v="0000000127"/>
    <s v="1314"/>
    <d v="2022-03-01T00:00:00"/>
    <s v="320301008"/>
    <s v="304"/>
    <s v="11"/>
    <s v="Credito"/>
    <x v="2"/>
    <x v="216"/>
    <m/>
    <s v="000252"/>
    <s v="000132"/>
    <n v="136.38"/>
    <s v="0,00"/>
    <s v="0,00"/>
    <s v="0,00"/>
    <s v="0,00"/>
    <s v="ORC2022_2"/>
    <s v="0012"/>
    <m/>
    <m/>
    <m/>
    <m/>
    <m/>
  </r>
  <r>
    <s v="MULTAS DE TRANSITO"/>
    <x v="35"/>
    <x v="10"/>
    <n v="196.46"/>
    <s v="0000000127"/>
    <s v="1315"/>
    <d v="2022-03-01T00:00:00"/>
    <s v="320301008"/>
    <s v="201"/>
    <s v="90"/>
    <s v="Credito"/>
    <x v="2"/>
    <x v="216"/>
    <m/>
    <s v="000252"/>
    <s v="000132"/>
    <n v="196.46"/>
    <s v="0,00"/>
    <s v="0,00"/>
    <s v="0,00"/>
    <s v="0,00"/>
    <s v="ORC2022_2"/>
    <s v="0012"/>
    <m/>
    <m/>
    <m/>
    <m/>
    <m/>
  </r>
  <r>
    <s v="MULTAS DE TRANSITO"/>
    <x v="35"/>
    <x v="10"/>
    <n v="249.92"/>
    <s v="0000000127"/>
    <s v="1316"/>
    <d v="2022-03-01T00:00:00"/>
    <s v="320301008"/>
    <s v="301"/>
    <s v="90"/>
    <s v="Credito"/>
    <x v="2"/>
    <x v="216"/>
    <m/>
    <s v="000252"/>
    <s v="000132"/>
    <n v="249.92"/>
    <s v="0,00"/>
    <s v="0,00"/>
    <s v="0,00"/>
    <s v="0,00"/>
    <s v="ORC2022_2"/>
    <s v="0012"/>
    <m/>
    <m/>
    <m/>
    <m/>
    <m/>
  </r>
  <r>
    <s v="MULTAS DE TRANSITO"/>
    <x v="35"/>
    <x v="11"/>
    <n v="263.64999999999998"/>
    <s v="0000000127"/>
    <s v="1317"/>
    <d v="2022-04-01T00:00:00"/>
    <s v="320301008"/>
    <s v="304"/>
    <s v="11"/>
    <s v="Credito"/>
    <x v="2"/>
    <x v="216"/>
    <m/>
    <s v="000252"/>
    <s v="000132"/>
    <n v="263.64999999999998"/>
    <s v="0,00"/>
    <s v="0,00"/>
    <s v="0,00"/>
    <s v="0,00"/>
    <s v="ORC2022_2"/>
    <s v="0012"/>
    <m/>
    <m/>
    <m/>
    <m/>
    <m/>
  </r>
  <r>
    <s v="MULTAS DE TRANSITO"/>
    <x v="35"/>
    <x v="11"/>
    <n v="159.69999999999999"/>
    <s v="0000000127"/>
    <s v="1318"/>
    <d v="2022-04-01T00:00:00"/>
    <s v="320301008"/>
    <s v="301"/>
    <s v="90"/>
    <s v="Credito"/>
    <x v="2"/>
    <x v="216"/>
    <m/>
    <s v="000252"/>
    <s v="000132"/>
    <n v="159.69999999999999"/>
    <s v="0,00"/>
    <s v="0,00"/>
    <s v="0,00"/>
    <s v="0,00"/>
    <s v="ORC2022_2"/>
    <s v="0012"/>
    <m/>
    <m/>
    <m/>
    <m/>
    <m/>
  </r>
  <r>
    <s v="MULTAS DE TRANSITO"/>
    <x v="35"/>
    <x v="12"/>
    <n v="130.18"/>
    <s v="0000000127"/>
    <s v="1319"/>
    <d v="2022-05-01T00:00:00"/>
    <s v="320301008"/>
    <s v="301"/>
    <s v="11"/>
    <s v="Credito"/>
    <x v="2"/>
    <x v="216"/>
    <m/>
    <s v="000252"/>
    <s v="000132"/>
    <n v="130.18"/>
    <s v="0,00"/>
    <s v="0,00"/>
    <s v="0,00"/>
    <s v="0,00"/>
    <s v="ORC2022_2"/>
    <s v="0012"/>
    <m/>
    <m/>
    <m/>
    <m/>
    <m/>
  </r>
  <r>
    <s v="MULTAS DE TRANSITO"/>
    <x v="35"/>
    <x v="12"/>
    <n v="139.56"/>
    <s v="0000000127"/>
    <s v="1320"/>
    <d v="2022-05-01T00:00:00"/>
    <s v="320301008"/>
    <s v="304"/>
    <s v="11"/>
    <s v="Credito"/>
    <x v="2"/>
    <x v="216"/>
    <m/>
    <s v="000252"/>
    <s v="000132"/>
    <n v="139.56"/>
    <s v="0,00"/>
    <s v="0,00"/>
    <s v="0,00"/>
    <s v="0,00"/>
    <s v="ORC2022_2"/>
    <s v="0012"/>
    <m/>
    <m/>
    <m/>
    <m/>
    <m/>
  </r>
  <r>
    <s v="MULTAS DE TRANSITO"/>
    <x v="35"/>
    <x v="12"/>
    <n v="913.74"/>
    <s v="0000000127"/>
    <s v="1321"/>
    <d v="2022-05-01T00:00:00"/>
    <s v="320301008"/>
    <s v="301"/>
    <s v="90"/>
    <s v="Credito"/>
    <x v="2"/>
    <x v="216"/>
    <m/>
    <s v="000252"/>
    <s v="000132"/>
    <n v="913.74"/>
    <s v="0,00"/>
    <s v="0,00"/>
    <s v="0,00"/>
    <s v="0,00"/>
    <s v="ORC2022_2"/>
    <s v="0012"/>
    <m/>
    <m/>
    <m/>
    <m/>
    <m/>
  </r>
  <r>
    <s v="MULTAS DE TRANSITO"/>
    <x v="35"/>
    <x v="13"/>
    <n v="3890.18"/>
    <s v="0000000127"/>
    <s v="1322"/>
    <d v="2022-06-01T00:00:00"/>
    <s v="320301008"/>
    <s v="304"/>
    <s v="11"/>
    <s v="Credito"/>
    <x v="2"/>
    <x v="216"/>
    <m/>
    <s v="000252"/>
    <s v="000132"/>
    <n v="3890.18"/>
    <s v="0,00"/>
    <s v="0,00"/>
    <s v="0,00"/>
    <s v="0,00"/>
    <s v="ORC2022_2"/>
    <s v="0012"/>
    <m/>
    <m/>
    <m/>
    <m/>
    <m/>
  </r>
  <r>
    <s v="MULTAS DE TRANSITO"/>
    <x v="35"/>
    <x v="13"/>
    <n v="505.72"/>
    <s v="0000000127"/>
    <s v="1323"/>
    <d v="2022-06-01T00:00:00"/>
    <s v="320301008"/>
    <s v="301"/>
    <s v="21"/>
    <s v="Credito"/>
    <x v="2"/>
    <x v="216"/>
    <m/>
    <s v="000252"/>
    <s v="000132"/>
    <n v="505.72"/>
    <s v="0,00"/>
    <s v="0,00"/>
    <s v="0,00"/>
    <s v="0,00"/>
    <s v="ORC2022_2"/>
    <s v="0012"/>
    <m/>
    <m/>
    <m/>
    <m/>
    <m/>
  </r>
  <r>
    <s v="MULTAS DE TRANSITO"/>
    <x v="35"/>
    <x v="13"/>
    <n v="853.89"/>
    <s v="0000000127"/>
    <s v="1324"/>
    <d v="2022-06-01T00:00:00"/>
    <s v="320301008"/>
    <s v="303"/>
    <s v="21"/>
    <s v="Credito"/>
    <x v="2"/>
    <x v="216"/>
    <m/>
    <s v="000252"/>
    <s v="000132"/>
    <n v="853.89"/>
    <s v="0,00"/>
    <s v="0,00"/>
    <s v="0,00"/>
    <s v="0,00"/>
    <s v="ORC2022_2"/>
    <s v="0012"/>
    <m/>
    <m/>
    <m/>
    <m/>
    <m/>
  </r>
  <r>
    <s v="MULTAS DE TRANSITO"/>
    <x v="35"/>
    <x v="13"/>
    <n v="165.75"/>
    <s v="0000000127"/>
    <s v="1325"/>
    <d v="2022-06-01T00:00:00"/>
    <s v="320301008"/>
    <s v="301"/>
    <s v="90"/>
    <s v="Credito"/>
    <x v="2"/>
    <x v="216"/>
    <m/>
    <s v="000252"/>
    <s v="000132"/>
    <n v="165.75"/>
    <s v="0,00"/>
    <s v="0,00"/>
    <s v="0,00"/>
    <s v="0,00"/>
    <s v="ORC2022_2"/>
    <s v="0012"/>
    <m/>
    <m/>
    <m/>
    <m/>
    <m/>
  </r>
  <r>
    <s v="MULTAS DE TRANSITO"/>
    <x v="35"/>
    <x v="14"/>
    <n v="43.83"/>
    <s v="0000000127"/>
    <s v="1326"/>
    <d v="2022-07-01T00:00:00"/>
    <s v="320301008"/>
    <s v="304"/>
    <s v="11"/>
    <s v="Credito"/>
    <x v="2"/>
    <x v="216"/>
    <m/>
    <s v="000252"/>
    <s v="000132"/>
    <n v="43.83"/>
    <s v="0,00"/>
    <s v="0,00"/>
    <s v="0,00"/>
    <s v="0,00"/>
    <s v="ORC2022_2"/>
    <s v="0012"/>
    <m/>
    <m/>
    <m/>
    <m/>
    <m/>
  </r>
  <r>
    <s v="MULTAS DE TRANSITO"/>
    <x v="35"/>
    <x v="14"/>
    <n v="371.84"/>
    <s v="0000000127"/>
    <s v="1327"/>
    <d v="2022-07-01T00:00:00"/>
    <s v="320301008"/>
    <s v="301"/>
    <s v="21"/>
    <s v="Credito"/>
    <x v="2"/>
    <x v="216"/>
    <m/>
    <s v="000252"/>
    <s v="000132"/>
    <n v="371.84"/>
    <s v="0,00"/>
    <s v="0,00"/>
    <s v="0,00"/>
    <s v="0,00"/>
    <s v="ORC2022_2"/>
    <s v="0012"/>
    <m/>
    <m/>
    <m/>
    <m/>
    <m/>
  </r>
  <r>
    <s v="MULTAS DE TRANSITO"/>
    <x v="35"/>
    <x v="14"/>
    <n v="415.67"/>
    <s v="0000000127"/>
    <s v="1328"/>
    <d v="2022-07-01T00:00:00"/>
    <s v="320301008"/>
    <s v="301"/>
    <s v="90"/>
    <s v="Credito"/>
    <x v="2"/>
    <x v="216"/>
    <m/>
    <s v="000252"/>
    <s v="000132"/>
    <n v="415.67"/>
    <s v="0,00"/>
    <s v="0,00"/>
    <s v="0,00"/>
    <s v="0,00"/>
    <s v="ORC2022_2"/>
    <s v="0012"/>
    <m/>
    <m/>
    <m/>
    <m/>
    <m/>
  </r>
  <r>
    <s v="MULTAS DE TRANSITO"/>
    <x v="35"/>
    <x v="15"/>
    <n v="590.55999999999995"/>
    <s v="0000000127"/>
    <s v="1329"/>
    <d v="2022-08-01T00:00:00"/>
    <s v="320301008"/>
    <s v="304"/>
    <s v="11"/>
    <s v="Credito"/>
    <x v="2"/>
    <x v="216"/>
    <m/>
    <s v="000252"/>
    <s v="000132"/>
    <n v="590.55999999999995"/>
    <s v="0,00"/>
    <s v="0,00"/>
    <s v="0,00"/>
    <s v="0,00"/>
    <s v="ORC2022_2"/>
    <s v="0012"/>
    <m/>
    <m/>
    <m/>
    <m/>
    <m/>
  </r>
  <r>
    <s v="MULTAS DE TRANSITO"/>
    <x v="35"/>
    <x v="15"/>
    <n v="371.84"/>
    <s v="0000000127"/>
    <s v="1330"/>
    <d v="2022-08-01T00:00:00"/>
    <s v="320301008"/>
    <s v="301"/>
    <s v="21"/>
    <s v="Credito"/>
    <x v="2"/>
    <x v="216"/>
    <m/>
    <s v="000252"/>
    <s v="000132"/>
    <n v="371.84"/>
    <s v="0,00"/>
    <s v="0,00"/>
    <s v="0,00"/>
    <s v="0,00"/>
    <s v="ORC2022_2"/>
    <s v="0012"/>
    <m/>
    <m/>
    <m/>
    <m/>
    <m/>
  </r>
  <r>
    <s v="MULTAS DE TRANSITO"/>
    <x v="35"/>
    <x v="15"/>
    <n v="550.15"/>
    <s v="0000000127"/>
    <s v="1331"/>
    <d v="2022-08-01T00:00:00"/>
    <s v="320301008"/>
    <s v="201"/>
    <s v="90"/>
    <s v="Credito"/>
    <x v="2"/>
    <x v="216"/>
    <m/>
    <s v="000252"/>
    <s v="000132"/>
    <n v="550.15"/>
    <s v="0,00"/>
    <s v="0,00"/>
    <s v="0,00"/>
    <s v="0,00"/>
    <s v="ORC2022_2"/>
    <s v="0012"/>
    <m/>
    <m/>
    <m/>
    <m/>
    <m/>
  </r>
  <r>
    <s v="MULTAS DE TRANSITO"/>
    <x v="35"/>
    <x v="15"/>
    <n v="656.62"/>
    <s v="0000000127"/>
    <s v="1332"/>
    <d v="2022-08-01T00:00:00"/>
    <s v="320301008"/>
    <s v="301"/>
    <s v="90"/>
    <s v="Credito"/>
    <x v="2"/>
    <x v="216"/>
    <m/>
    <s v="000252"/>
    <s v="000132"/>
    <n v="656.62"/>
    <s v="0,00"/>
    <s v="0,00"/>
    <s v="0,00"/>
    <s v="0,00"/>
    <s v="ORC2022_2"/>
    <s v="0012"/>
    <m/>
    <m/>
    <m/>
    <m/>
    <m/>
  </r>
  <r>
    <s v="MULTAS DE TRANSITO"/>
    <x v="35"/>
    <x v="16"/>
    <n v="748.52"/>
    <s v="0000000127"/>
    <s v="1333"/>
    <d v="2022-09-01T00:00:00"/>
    <s v="320301008"/>
    <s v="304"/>
    <s v="11"/>
    <s v="Credito"/>
    <x v="2"/>
    <x v="216"/>
    <m/>
    <s v="000252"/>
    <s v="000132"/>
    <n v="748.52"/>
    <s v="0,00"/>
    <s v="0,00"/>
    <s v="0,00"/>
    <s v="0,00"/>
    <s v="ORC2022_2"/>
    <s v="0012"/>
    <m/>
    <m/>
    <m/>
    <m/>
    <m/>
  </r>
  <r>
    <s v="MULTAS DE TRANSITO"/>
    <x v="35"/>
    <x v="16"/>
    <n v="371.84"/>
    <s v="0000000127"/>
    <s v="1334"/>
    <d v="2022-09-01T00:00:00"/>
    <s v="320301008"/>
    <s v="301"/>
    <s v="21"/>
    <s v="Credito"/>
    <x v="2"/>
    <x v="216"/>
    <m/>
    <s v="000252"/>
    <s v="000132"/>
    <n v="371.84"/>
    <s v="0,00"/>
    <s v="0,00"/>
    <s v="0,00"/>
    <s v="0,00"/>
    <s v="ORC2022_2"/>
    <s v="0012"/>
    <m/>
    <m/>
    <m/>
    <m/>
    <m/>
  </r>
  <r>
    <s v="MULTAS DE TRANSITO"/>
    <x v="35"/>
    <x v="16"/>
    <n v="1702.52"/>
    <s v="0000000127"/>
    <s v="1335"/>
    <d v="2022-09-01T00:00:00"/>
    <s v="320301008"/>
    <s v="301"/>
    <s v="90"/>
    <s v="Credito"/>
    <x v="2"/>
    <x v="216"/>
    <m/>
    <s v="000252"/>
    <s v="000132"/>
    <n v="1702.52"/>
    <s v="0,00"/>
    <s v="0,00"/>
    <s v="0,00"/>
    <s v="0,00"/>
    <s v="ORC2022_2"/>
    <s v="0012"/>
    <m/>
    <m/>
    <m/>
    <m/>
    <m/>
  </r>
  <r>
    <s v="MULTAS DE TRANSITO"/>
    <x v="35"/>
    <x v="16"/>
    <n v="195.23"/>
    <s v="0000000127"/>
    <s v="1336"/>
    <d v="2022-09-01T00:00:00"/>
    <s v="320301008"/>
    <s v="304"/>
    <s v="90"/>
    <s v="Credito"/>
    <x v="2"/>
    <x v="216"/>
    <m/>
    <s v="000252"/>
    <s v="000132"/>
    <n v="195.23"/>
    <s v="0,00"/>
    <s v="0,00"/>
    <s v="0,00"/>
    <s v="0,00"/>
    <s v="ORC2022_2"/>
    <s v="0012"/>
    <m/>
    <m/>
    <m/>
    <m/>
    <m/>
  </r>
  <r>
    <s v="MULTAS DE TRANSITO"/>
    <x v="35"/>
    <x v="17"/>
    <n v="756.01"/>
    <s v="0000000127"/>
    <s v="1337"/>
    <d v="2022-10-01T00:00:00"/>
    <s v="320301008"/>
    <s v="304"/>
    <s v="11"/>
    <s v="Credito"/>
    <x v="2"/>
    <x v="216"/>
    <m/>
    <s v="000252"/>
    <s v="000132"/>
    <n v="756.01"/>
    <s v="0,00"/>
    <s v="0,00"/>
    <s v="0,00"/>
    <s v="0,00"/>
    <s v="ORC2022_2"/>
    <s v="0012"/>
    <m/>
    <m/>
    <m/>
    <m/>
    <m/>
  </r>
  <r>
    <s v="MULTAS DE TRANSITO"/>
    <x v="35"/>
    <x v="17"/>
    <n v="375.56"/>
    <s v="0000000127"/>
    <s v="1338"/>
    <d v="2022-10-01T00:00:00"/>
    <s v="320301008"/>
    <s v="301"/>
    <s v="21"/>
    <s v="Credito"/>
    <x v="2"/>
    <x v="216"/>
    <m/>
    <s v="000252"/>
    <s v="000132"/>
    <n v="375.56"/>
    <s v="0,00"/>
    <s v="0,00"/>
    <s v="0,00"/>
    <s v="0,00"/>
    <s v="ORC2022_2"/>
    <s v="0012"/>
    <m/>
    <m/>
    <m/>
    <m/>
    <m/>
  </r>
  <r>
    <s v="MULTAS DE TRANSITO"/>
    <x v="35"/>
    <x v="17"/>
    <n v="1719.55"/>
    <s v="0000000127"/>
    <s v="1339"/>
    <d v="2022-10-01T00:00:00"/>
    <s v="320301008"/>
    <s v="301"/>
    <s v="90"/>
    <s v="Credito"/>
    <x v="2"/>
    <x v="216"/>
    <m/>
    <s v="000252"/>
    <s v="000132"/>
    <n v="1719.55"/>
    <s v="0,00"/>
    <s v="0,00"/>
    <s v="0,00"/>
    <s v="0,00"/>
    <s v="ORC2022_2"/>
    <s v="0012"/>
    <m/>
    <m/>
    <m/>
    <m/>
    <m/>
  </r>
  <r>
    <s v="MULTAS DE TRANSITO"/>
    <x v="35"/>
    <x v="17"/>
    <n v="197.18"/>
    <s v="0000000127"/>
    <s v="1340"/>
    <d v="2022-10-01T00:00:00"/>
    <s v="320301008"/>
    <s v="304"/>
    <s v="90"/>
    <s v="Credito"/>
    <x v="2"/>
    <x v="216"/>
    <m/>
    <s v="000252"/>
    <s v="000132"/>
    <n v="197.18"/>
    <s v="0,00"/>
    <s v="0,00"/>
    <s v="0,00"/>
    <s v="0,00"/>
    <s v="ORC2022_2"/>
    <s v="0012"/>
    <m/>
    <m/>
    <m/>
    <m/>
    <m/>
  </r>
  <r>
    <s v="MULTAS DE TRANSITO"/>
    <x v="35"/>
    <x v="0"/>
    <n v="763.57"/>
    <s v="0000000127"/>
    <s v="1341"/>
    <d v="2022-11-01T00:00:00"/>
    <s v="320301008"/>
    <s v="304"/>
    <s v="11"/>
    <s v="Credito"/>
    <x v="2"/>
    <x v="216"/>
    <m/>
    <s v="000252"/>
    <s v="000132"/>
    <n v="763.57"/>
    <s v="0,00"/>
    <s v="0,00"/>
    <s v="0,00"/>
    <s v="0,00"/>
    <s v="ORC2022_2"/>
    <s v="0012"/>
    <m/>
    <m/>
    <m/>
    <m/>
    <m/>
  </r>
  <r>
    <s v="MULTAS DE TRANSITO"/>
    <x v="35"/>
    <x v="0"/>
    <n v="379.31"/>
    <s v="0000000127"/>
    <s v="1342"/>
    <d v="2022-11-01T00:00:00"/>
    <s v="320301008"/>
    <s v="301"/>
    <s v="21"/>
    <s v="Credito"/>
    <x v="2"/>
    <x v="216"/>
    <m/>
    <s v="000252"/>
    <s v="000132"/>
    <n v="379.31"/>
    <s v="0,00"/>
    <s v="0,00"/>
    <s v="0,00"/>
    <s v="0,00"/>
    <s v="ORC2022_2"/>
    <s v="0012"/>
    <m/>
    <m/>
    <m/>
    <m/>
    <m/>
  </r>
  <r>
    <s v="MULTAS DE TRANSITO"/>
    <x v="35"/>
    <x v="0"/>
    <n v="1736.74"/>
    <s v="0000000127"/>
    <s v="1343"/>
    <d v="2022-11-01T00:00:00"/>
    <s v="320301008"/>
    <s v="301"/>
    <s v="90"/>
    <s v="Credito"/>
    <x v="2"/>
    <x v="216"/>
    <m/>
    <s v="000252"/>
    <s v="000132"/>
    <n v="1736.74"/>
    <s v="0,00"/>
    <s v="0,00"/>
    <s v="0,00"/>
    <s v="0,00"/>
    <s v="ORC2022_2"/>
    <s v="0012"/>
    <m/>
    <m/>
    <m/>
    <m/>
    <m/>
  </r>
  <r>
    <s v="MULTAS DE TRANSITO"/>
    <x v="35"/>
    <x v="0"/>
    <n v="199.15"/>
    <s v="0000000127"/>
    <s v="1344"/>
    <d v="2022-11-01T00:00:00"/>
    <s v="320301008"/>
    <s v="304"/>
    <s v="90"/>
    <s v="Credito"/>
    <x v="2"/>
    <x v="216"/>
    <m/>
    <s v="000252"/>
    <s v="000132"/>
    <n v="199.15"/>
    <s v="0,00"/>
    <s v="0,00"/>
    <s v="0,00"/>
    <s v="0,00"/>
    <s v="ORC2022_2"/>
    <s v="0012"/>
    <m/>
    <m/>
    <m/>
    <m/>
    <m/>
  </r>
  <r>
    <s v="MULTAS DE TRANSITO"/>
    <x v="35"/>
    <x v="1"/>
    <n v="771.2"/>
    <s v="0000000127"/>
    <s v="1345"/>
    <d v="2022-12-01T00:00:00"/>
    <s v="320301008"/>
    <s v="304"/>
    <s v="11"/>
    <s v="Credito"/>
    <x v="2"/>
    <x v="216"/>
    <m/>
    <s v="000252"/>
    <s v="000132"/>
    <n v="771.2"/>
    <s v="0,00"/>
    <s v="0,00"/>
    <s v="0,00"/>
    <s v="0,00"/>
    <s v="ORC2022_2"/>
    <s v="0012"/>
    <m/>
    <m/>
    <m/>
    <m/>
    <m/>
  </r>
  <r>
    <s v="MULTAS DE TRANSITO"/>
    <x v="35"/>
    <x v="1"/>
    <n v="383.11"/>
    <s v="0000000127"/>
    <s v="1346"/>
    <d v="2022-12-01T00:00:00"/>
    <s v="320301008"/>
    <s v="301"/>
    <s v="21"/>
    <s v="Credito"/>
    <x v="2"/>
    <x v="216"/>
    <m/>
    <s v="000252"/>
    <s v="000132"/>
    <n v="383.11"/>
    <s v="0,00"/>
    <s v="0,00"/>
    <s v="0,00"/>
    <s v="0,00"/>
    <s v="ORC2022_2"/>
    <s v="0012"/>
    <m/>
    <m/>
    <m/>
    <m/>
    <m/>
  </r>
  <r>
    <s v="MULTAS DE TRANSITO"/>
    <x v="35"/>
    <x v="1"/>
    <n v="1754.11"/>
    <s v="0000000127"/>
    <s v="1347"/>
    <d v="2022-12-01T00:00:00"/>
    <s v="320301008"/>
    <s v="301"/>
    <s v="90"/>
    <s v="Credito"/>
    <x v="2"/>
    <x v="216"/>
    <m/>
    <s v="000252"/>
    <s v="000132"/>
    <n v="1754.11"/>
    <s v="0,00"/>
    <s v="0,00"/>
    <s v="0,00"/>
    <s v="0,00"/>
    <s v="ORC2022_2"/>
    <s v="0012"/>
    <m/>
    <m/>
    <m/>
    <m/>
    <m/>
  </r>
  <r>
    <s v="MULTAS DE TRANSITO"/>
    <x v="35"/>
    <x v="1"/>
    <n v="201.15"/>
    <s v="0000000127"/>
    <s v="1348"/>
    <d v="2022-12-01T00:00:00"/>
    <s v="320301008"/>
    <s v="304"/>
    <s v="90"/>
    <s v="Credito"/>
    <x v="2"/>
    <x v="216"/>
    <m/>
    <s v="000252"/>
    <s v="000132"/>
    <n v="201.15"/>
    <s v="0,00"/>
    <s v="0,00"/>
    <s v="0,00"/>
    <s v="0,00"/>
    <s v="ORC2022_2"/>
    <s v="0012"/>
    <m/>
    <m/>
    <m/>
    <m/>
    <m/>
  </r>
  <r>
    <s v="GERENCIAMENTO DE RISCO"/>
    <x v="36"/>
    <x v="8"/>
    <n v="3804.98"/>
    <s v="0000000127"/>
    <s v="1349"/>
    <d v="2022-01-01T00:00:00"/>
    <s v="320301011"/>
    <s v="304"/>
    <s v="11"/>
    <s v="Credito"/>
    <x v="2"/>
    <x v="216"/>
    <m/>
    <s v="000252"/>
    <s v="000132"/>
    <n v="3804.98"/>
    <s v="0,00"/>
    <s v="0,00"/>
    <s v="0,00"/>
    <s v="0,00"/>
    <s v="ORC2022_2"/>
    <s v="0012"/>
    <m/>
    <m/>
    <m/>
    <m/>
    <m/>
  </r>
  <r>
    <s v="GERENCIAMENTO DE RISCO"/>
    <x v="36"/>
    <x v="8"/>
    <n v="5445"/>
    <s v="0000000127"/>
    <s v="1350"/>
    <d v="2022-01-01T00:00:00"/>
    <s v="320301011"/>
    <s v="305"/>
    <s v="21"/>
    <s v="Credito"/>
    <x v="2"/>
    <x v="216"/>
    <m/>
    <s v="000252"/>
    <s v="000132"/>
    <n v="5445"/>
    <s v="0,00"/>
    <s v="0,00"/>
    <s v="0,00"/>
    <s v="0,00"/>
    <s v="ORC2022_2"/>
    <s v="0012"/>
    <m/>
    <m/>
    <m/>
    <m/>
    <m/>
  </r>
  <r>
    <s v="GERENCIAMENTO DE RISCO"/>
    <x v="36"/>
    <x v="8"/>
    <n v="54.45"/>
    <s v="0000000127"/>
    <s v="1351"/>
    <d v="2022-01-01T00:00:00"/>
    <s v="320301011"/>
    <s v="306"/>
    <s v="33"/>
    <s v="Credito"/>
    <x v="2"/>
    <x v="216"/>
    <m/>
    <s v="000252"/>
    <s v="000132"/>
    <n v="54.45"/>
    <s v="0,00"/>
    <s v="0,00"/>
    <s v="0,00"/>
    <s v="0,00"/>
    <s v="ORC2022_2"/>
    <s v="0012"/>
    <m/>
    <m/>
    <m/>
    <m/>
    <m/>
  </r>
  <r>
    <s v="GERENCIAMENTO DE RISCO"/>
    <x v="36"/>
    <x v="8"/>
    <n v="272.25"/>
    <s v="0000000127"/>
    <s v="1352"/>
    <d v="2022-01-01T00:00:00"/>
    <s v="320301011"/>
    <s v="301"/>
    <s v="90"/>
    <s v="Credito"/>
    <x v="2"/>
    <x v="216"/>
    <m/>
    <s v="000252"/>
    <s v="000132"/>
    <n v="272.25"/>
    <s v="0,00"/>
    <s v="0,00"/>
    <s v="0,00"/>
    <s v="0,00"/>
    <s v="ORC2022_2"/>
    <s v="0012"/>
    <m/>
    <m/>
    <m/>
    <m/>
    <m/>
  </r>
  <r>
    <s v="GERENCIAMENTO DE RISCO"/>
    <x v="36"/>
    <x v="9"/>
    <n v="3503.43"/>
    <s v="0000000127"/>
    <s v="1353"/>
    <d v="2022-02-01T00:00:00"/>
    <s v="320301011"/>
    <s v="304"/>
    <s v="11"/>
    <s v="Credito"/>
    <x v="2"/>
    <x v="216"/>
    <m/>
    <s v="000252"/>
    <s v="000132"/>
    <n v="3503.43"/>
    <s v="0,00"/>
    <s v="0,00"/>
    <s v="0,00"/>
    <s v="0,00"/>
    <s v="ORC2022_2"/>
    <s v="0012"/>
    <m/>
    <m/>
    <m/>
    <m/>
    <m/>
  </r>
  <r>
    <s v="GERENCIAMENTO DE RISCO"/>
    <x v="36"/>
    <x v="9"/>
    <n v="6365.65"/>
    <s v="0000000127"/>
    <s v="1354"/>
    <d v="2022-02-01T00:00:00"/>
    <s v="320301011"/>
    <s v="305"/>
    <s v="21"/>
    <s v="Credito"/>
    <x v="2"/>
    <x v="216"/>
    <m/>
    <s v="000252"/>
    <s v="000132"/>
    <n v="6365.65"/>
    <s v="0,00"/>
    <s v="0,00"/>
    <s v="0,00"/>
    <s v="0,00"/>
    <s v="ORC2022_2"/>
    <s v="0012"/>
    <m/>
    <m/>
    <m/>
    <m/>
    <m/>
  </r>
  <r>
    <s v="GERENCIAMENTO DE RISCO"/>
    <x v="36"/>
    <x v="9"/>
    <n v="54.45"/>
    <s v="0000000127"/>
    <s v="1355"/>
    <d v="2022-02-01T00:00:00"/>
    <s v="320301011"/>
    <s v="306"/>
    <s v="33"/>
    <s v="Credito"/>
    <x v="2"/>
    <x v="216"/>
    <m/>
    <s v="000252"/>
    <s v="000132"/>
    <n v="54.45"/>
    <s v="0,00"/>
    <s v="0,00"/>
    <s v="0,00"/>
    <s v="0,00"/>
    <s v="ORC2022_2"/>
    <s v="0012"/>
    <m/>
    <m/>
    <m/>
    <m/>
    <m/>
  </r>
  <r>
    <s v="GERENCIAMENTO DE RISCO"/>
    <x v="36"/>
    <x v="9"/>
    <n v="272.25"/>
    <s v="0000000127"/>
    <s v="1356"/>
    <d v="2022-02-01T00:00:00"/>
    <s v="320301011"/>
    <s v="301"/>
    <s v="90"/>
    <s v="Credito"/>
    <x v="2"/>
    <x v="216"/>
    <m/>
    <s v="000252"/>
    <s v="000132"/>
    <n v="272.25"/>
    <s v="0,00"/>
    <s v="0,00"/>
    <s v="0,00"/>
    <s v="0,00"/>
    <s v="ORC2022_2"/>
    <s v="0012"/>
    <m/>
    <m/>
    <m/>
    <m/>
    <m/>
  </r>
  <r>
    <s v="GERENCIAMENTO DE RISCO"/>
    <x v="36"/>
    <x v="10"/>
    <n v="3647.32"/>
    <s v="0000000127"/>
    <s v="1357"/>
    <d v="2022-03-01T00:00:00"/>
    <s v="320301011"/>
    <s v="304"/>
    <s v="11"/>
    <s v="Credito"/>
    <x v="2"/>
    <x v="216"/>
    <m/>
    <s v="000252"/>
    <s v="000132"/>
    <n v="3647.32"/>
    <s v="0,00"/>
    <s v="0,00"/>
    <s v="0,00"/>
    <s v="0,00"/>
    <s v="ORC2022_2"/>
    <s v="0012"/>
    <m/>
    <m/>
    <m/>
    <m/>
    <m/>
  </r>
  <r>
    <s v="GERENCIAMENTO DE RISCO"/>
    <x v="36"/>
    <x v="10"/>
    <n v="6365.65"/>
    <s v="0000000127"/>
    <s v="1358"/>
    <d v="2022-03-01T00:00:00"/>
    <s v="320301011"/>
    <s v="305"/>
    <s v="21"/>
    <s v="Credito"/>
    <x v="2"/>
    <x v="216"/>
    <m/>
    <s v="000252"/>
    <s v="000132"/>
    <n v="6365.65"/>
    <s v="0,00"/>
    <s v="0,00"/>
    <s v="0,00"/>
    <s v="0,00"/>
    <s v="ORC2022_2"/>
    <s v="0012"/>
    <m/>
    <m/>
    <m/>
    <m/>
    <m/>
  </r>
  <r>
    <s v="GERENCIAMENTO DE RISCO"/>
    <x v="36"/>
    <x v="10"/>
    <n v="54.45"/>
    <s v="0000000127"/>
    <s v="1359"/>
    <d v="2022-03-01T00:00:00"/>
    <s v="320301011"/>
    <s v="306"/>
    <s v="33"/>
    <s v="Credito"/>
    <x v="2"/>
    <x v="216"/>
    <m/>
    <s v="000252"/>
    <s v="000132"/>
    <n v="54.45"/>
    <s v="0,00"/>
    <s v="0,00"/>
    <s v="0,00"/>
    <s v="0,00"/>
    <s v="ORC2022_2"/>
    <s v="0012"/>
    <m/>
    <m/>
    <m/>
    <m/>
    <m/>
  </r>
  <r>
    <s v="GERENCIAMENTO DE RISCO"/>
    <x v="36"/>
    <x v="10"/>
    <n v="272.25"/>
    <s v="0000000127"/>
    <s v="1360"/>
    <d v="2022-03-01T00:00:00"/>
    <s v="320301011"/>
    <s v="301"/>
    <s v="90"/>
    <s v="Credito"/>
    <x v="2"/>
    <x v="216"/>
    <m/>
    <s v="000252"/>
    <s v="000132"/>
    <n v="272.25"/>
    <s v="0,00"/>
    <s v="0,00"/>
    <s v="0,00"/>
    <s v="0,00"/>
    <s v="ORC2022_2"/>
    <s v="0012"/>
    <m/>
    <m/>
    <m/>
    <m/>
    <m/>
  </r>
  <r>
    <s v="GERENCIAMENTO DE RISCO"/>
    <x v="36"/>
    <x v="11"/>
    <n v="3828.74"/>
    <s v="0000000127"/>
    <s v="1361"/>
    <d v="2022-04-01T00:00:00"/>
    <s v="320301011"/>
    <s v="304"/>
    <s v="11"/>
    <s v="Credito"/>
    <x v="2"/>
    <x v="216"/>
    <m/>
    <s v="000252"/>
    <s v="000132"/>
    <n v="3828.74"/>
    <s v="0,00"/>
    <s v="0,00"/>
    <s v="0,00"/>
    <s v="0,00"/>
    <s v="ORC2022_2"/>
    <s v="0012"/>
    <m/>
    <m/>
    <m/>
    <m/>
    <m/>
  </r>
  <r>
    <s v="GERENCIAMENTO DE RISCO"/>
    <x v="36"/>
    <x v="11"/>
    <n v="6365.65"/>
    <s v="0000000127"/>
    <s v="1362"/>
    <d v="2022-04-01T00:00:00"/>
    <s v="320301011"/>
    <s v="305"/>
    <s v="21"/>
    <s v="Credito"/>
    <x v="2"/>
    <x v="216"/>
    <m/>
    <s v="000252"/>
    <s v="000132"/>
    <n v="6365.65"/>
    <s v="0,00"/>
    <s v="0,00"/>
    <s v="0,00"/>
    <s v="0,00"/>
    <s v="ORC2022_2"/>
    <s v="0012"/>
    <m/>
    <m/>
    <m/>
    <m/>
    <m/>
  </r>
  <r>
    <s v="GERENCIAMENTO DE RISCO"/>
    <x v="36"/>
    <x v="11"/>
    <n v="54.45"/>
    <s v="0000000127"/>
    <s v="1363"/>
    <d v="2022-04-01T00:00:00"/>
    <s v="320301011"/>
    <s v="306"/>
    <s v="33"/>
    <s v="Credito"/>
    <x v="2"/>
    <x v="216"/>
    <m/>
    <s v="000252"/>
    <s v="000132"/>
    <n v="54.45"/>
    <s v="0,00"/>
    <s v="0,00"/>
    <s v="0,00"/>
    <s v="0,00"/>
    <s v="ORC2022_2"/>
    <s v="0012"/>
    <m/>
    <m/>
    <m/>
    <m/>
    <m/>
  </r>
  <r>
    <s v="GERENCIAMENTO DE RISCO"/>
    <x v="36"/>
    <x v="11"/>
    <n v="272.25"/>
    <s v="0000000127"/>
    <s v="1364"/>
    <d v="2022-04-01T00:00:00"/>
    <s v="320301011"/>
    <s v="301"/>
    <s v="90"/>
    <s v="Credito"/>
    <x v="2"/>
    <x v="216"/>
    <m/>
    <s v="000252"/>
    <s v="000132"/>
    <n v="272.25"/>
    <s v="0,00"/>
    <s v="0,00"/>
    <s v="0,00"/>
    <s v="0,00"/>
    <s v="ORC2022_2"/>
    <s v="0012"/>
    <m/>
    <m/>
    <m/>
    <m/>
    <m/>
  </r>
  <r>
    <s v="GERENCIAMENTO DE RISCO"/>
    <x v="36"/>
    <x v="12"/>
    <n v="3790.81"/>
    <s v="0000000127"/>
    <s v="1365"/>
    <d v="2022-05-01T00:00:00"/>
    <s v="320301011"/>
    <s v="304"/>
    <s v="11"/>
    <s v="Credito"/>
    <x v="2"/>
    <x v="216"/>
    <m/>
    <s v="000252"/>
    <s v="000132"/>
    <n v="3790.81"/>
    <s v="0,00"/>
    <s v="0,00"/>
    <s v="0,00"/>
    <s v="0,00"/>
    <s v="ORC2022_2"/>
    <s v="0012"/>
    <m/>
    <m/>
    <m/>
    <m/>
    <m/>
  </r>
  <r>
    <s v="GERENCIAMENTO DE RISCO"/>
    <x v="36"/>
    <x v="12"/>
    <n v="6365.65"/>
    <s v="0000000127"/>
    <s v="1366"/>
    <d v="2022-05-01T00:00:00"/>
    <s v="320301011"/>
    <s v="305"/>
    <s v="21"/>
    <s v="Credito"/>
    <x v="2"/>
    <x v="216"/>
    <m/>
    <s v="000252"/>
    <s v="000132"/>
    <n v="6365.65"/>
    <s v="0,00"/>
    <s v="0,00"/>
    <s v="0,00"/>
    <s v="0,00"/>
    <s v="ORC2022_2"/>
    <s v="0012"/>
    <m/>
    <m/>
    <m/>
    <m/>
    <m/>
  </r>
  <r>
    <s v="GERENCIAMENTO DE RISCO"/>
    <x v="36"/>
    <x v="12"/>
    <n v="54.45"/>
    <s v="0000000127"/>
    <s v="1367"/>
    <d v="2022-05-01T00:00:00"/>
    <s v="320301011"/>
    <s v="306"/>
    <s v="33"/>
    <s v="Credito"/>
    <x v="2"/>
    <x v="216"/>
    <m/>
    <s v="000252"/>
    <s v="000132"/>
    <n v="54.45"/>
    <s v="0,00"/>
    <s v="0,00"/>
    <s v="0,00"/>
    <s v="0,00"/>
    <s v="ORC2022_2"/>
    <s v="0012"/>
    <m/>
    <m/>
    <m/>
    <m/>
    <m/>
  </r>
  <r>
    <s v="GERENCIAMENTO DE RISCO"/>
    <x v="36"/>
    <x v="12"/>
    <n v="272.25"/>
    <s v="0000000127"/>
    <s v="1368"/>
    <d v="2022-05-01T00:00:00"/>
    <s v="320301011"/>
    <s v="301"/>
    <s v="90"/>
    <s v="Credito"/>
    <x v="2"/>
    <x v="216"/>
    <m/>
    <s v="000252"/>
    <s v="000132"/>
    <n v="272.25"/>
    <s v="0,00"/>
    <s v="0,00"/>
    <s v="0,00"/>
    <s v="0,00"/>
    <s v="ORC2022_2"/>
    <s v="0012"/>
    <m/>
    <m/>
    <m/>
    <m/>
    <m/>
  </r>
  <r>
    <s v="GERENCIAMENTO DE RISCO"/>
    <x v="36"/>
    <x v="13"/>
    <n v="5231.92"/>
    <s v="0000000127"/>
    <s v="1369"/>
    <d v="2022-06-01T00:00:00"/>
    <s v="320301011"/>
    <s v="304"/>
    <s v="11"/>
    <s v="Credito"/>
    <x v="2"/>
    <x v="216"/>
    <m/>
    <s v="000252"/>
    <s v="000132"/>
    <n v="5231.92"/>
    <s v="0,00"/>
    <s v="0,00"/>
    <s v="0,00"/>
    <s v="0,00"/>
    <s v="ORC2022_2"/>
    <s v="0012"/>
    <m/>
    <m/>
    <m/>
    <m/>
    <m/>
  </r>
  <r>
    <s v="GERENCIAMENTO DE RISCO"/>
    <x v="36"/>
    <x v="13"/>
    <n v="6365.65"/>
    <s v="0000000127"/>
    <s v="1370"/>
    <d v="2022-06-01T00:00:00"/>
    <s v="320301011"/>
    <s v="305"/>
    <s v="21"/>
    <s v="Credito"/>
    <x v="2"/>
    <x v="216"/>
    <m/>
    <s v="000252"/>
    <s v="000132"/>
    <n v="6365.65"/>
    <s v="0,00"/>
    <s v="0,00"/>
    <s v="0,00"/>
    <s v="0,00"/>
    <s v="ORC2022_2"/>
    <s v="0012"/>
    <m/>
    <m/>
    <m/>
    <m/>
    <m/>
  </r>
  <r>
    <s v="GERENCIAMENTO DE RISCO"/>
    <x v="36"/>
    <x v="13"/>
    <n v="54.45"/>
    <s v="0000000127"/>
    <s v="1371"/>
    <d v="2022-06-01T00:00:00"/>
    <s v="320301011"/>
    <s v="306"/>
    <s v="33"/>
    <s v="Credito"/>
    <x v="2"/>
    <x v="216"/>
    <m/>
    <s v="000252"/>
    <s v="000132"/>
    <n v="54.45"/>
    <s v="0,00"/>
    <s v="0,00"/>
    <s v="0,00"/>
    <s v="0,00"/>
    <s v="ORC2022_2"/>
    <s v="0012"/>
    <m/>
    <m/>
    <m/>
    <m/>
    <m/>
  </r>
  <r>
    <s v="GERENCIAMENTO DE RISCO"/>
    <x v="36"/>
    <x v="13"/>
    <n v="272.25"/>
    <s v="0000000127"/>
    <s v="1372"/>
    <d v="2022-06-01T00:00:00"/>
    <s v="320301011"/>
    <s v="301"/>
    <s v="90"/>
    <s v="Credito"/>
    <x v="2"/>
    <x v="216"/>
    <m/>
    <s v="000252"/>
    <s v="000132"/>
    <n v="272.25"/>
    <s v="0,00"/>
    <s v="0,00"/>
    <s v="0,00"/>
    <s v="0,00"/>
    <s v="ORC2022_2"/>
    <s v="0012"/>
    <m/>
    <m/>
    <m/>
    <m/>
    <m/>
  </r>
  <r>
    <s v="GERENCIAMENTO DE RISCO"/>
    <x v="36"/>
    <x v="14"/>
    <n v="33008.21"/>
    <s v="0000000127"/>
    <s v="1373"/>
    <d v="2022-07-01T00:00:00"/>
    <s v="320301011"/>
    <s v="304"/>
    <s v="11"/>
    <s v="Credito"/>
    <x v="2"/>
    <x v="216"/>
    <m/>
    <s v="000252"/>
    <s v="000132"/>
    <n v="33008.21"/>
    <s v="0,00"/>
    <s v="0,00"/>
    <s v="0,00"/>
    <s v="0,00"/>
    <s v="ORC2022_2"/>
    <s v="0012"/>
    <m/>
    <m/>
    <m/>
    <m/>
    <m/>
  </r>
  <r>
    <s v="GERENCIAMENTO DE RISCO"/>
    <x v="36"/>
    <x v="14"/>
    <n v="6365.65"/>
    <s v="0000000127"/>
    <s v="1374"/>
    <d v="2022-07-01T00:00:00"/>
    <s v="320301011"/>
    <s v="305"/>
    <s v="21"/>
    <s v="Credito"/>
    <x v="2"/>
    <x v="216"/>
    <m/>
    <s v="000252"/>
    <s v="000132"/>
    <n v="6365.65"/>
    <s v="0,00"/>
    <s v="0,00"/>
    <s v="0,00"/>
    <s v="0,00"/>
    <s v="ORC2022_2"/>
    <s v="0012"/>
    <m/>
    <m/>
    <m/>
    <m/>
    <m/>
  </r>
  <r>
    <s v="GERENCIAMENTO DE RISCO"/>
    <x v="36"/>
    <x v="14"/>
    <n v="54.45"/>
    <s v="0000000127"/>
    <s v="1375"/>
    <d v="2022-07-01T00:00:00"/>
    <s v="320301011"/>
    <s v="306"/>
    <s v="33"/>
    <s v="Credito"/>
    <x v="2"/>
    <x v="216"/>
    <m/>
    <s v="000252"/>
    <s v="000132"/>
    <n v="54.45"/>
    <s v="0,00"/>
    <s v="0,00"/>
    <s v="0,00"/>
    <s v="0,00"/>
    <s v="ORC2022_2"/>
    <s v="0012"/>
    <m/>
    <m/>
    <m/>
    <m/>
    <m/>
  </r>
  <r>
    <s v="GERENCIAMENTO DE RISCO"/>
    <x v="36"/>
    <x v="14"/>
    <n v="272.25"/>
    <s v="0000000127"/>
    <s v="1376"/>
    <d v="2022-07-01T00:00:00"/>
    <s v="320301011"/>
    <s v="301"/>
    <s v="90"/>
    <s v="Credito"/>
    <x v="2"/>
    <x v="216"/>
    <m/>
    <s v="000252"/>
    <s v="000132"/>
    <n v="272.25"/>
    <s v="0,00"/>
    <s v="0,00"/>
    <s v="0,00"/>
    <s v="0,00"/>
    <s v="ORC2022_2"/>
    <s v="0012"/>
    <m/>
    <m/>
    <m/>
    <m/>
    <m/>
  </r>
  <r>
    <s v="GERENCIAMENTO DE RISCO"/>
    <x v="36"/>
    <x v="15"/>
    <n v="30659.45"/>
    <s v="0000000127"/>
    <s v="1377"/>
    <d v="2022-08-01T00:00:00"/>
    <s v="320301011"/>
    <s v="304"/>
    <s v="11"/>
    <s v="Credito"/>
    <x v="2"/>
    <x v="216"/>
    <m/>
    <s v="000252"/>
    <s v="000132"/>
    <n v="30659.45"/>
    <s v="0,00"/>
    <s v="0,00"/>
    <s v="0,00"/>
    <s v="0,00"/>
    <s v="ORC2022_2"/>
    <s v="0012"/>
    <m/>
    <m/>
    <m/>
    <m/>
    <m/>
  </r>
  <r>
    <s v="GERENCIAMENTO DE RISCO"/>
    <x v="36"/>
    <x v="15"/>
    <n v="8700.74"/>
    <s v="0000000127"/>
    <s v="1378"/>
    <d v="2022-08-01T00:00:00"/>
    <s v="320301011"/>
    <s v="305"/>
    <s v="21"/>
    <s v="Credito"/>
    <x v="2"/>
    <x v="216"/>
    <m/>
    <s v="000252"/>
    <s v="000132"/>
    <n v="8700.74"/>
    <s v="0,00"/>
    <s v="0,00"/>
    <s v="0,00"/>
    <s v="0,00"/>
    <s v="ORC2022_2"/>
    <s v="0012"/>
    <m/>
    <m/>
    <m/>
    <m/>
    <m/>
  </r>
  <r>
    <s v="GERENCIAMENTO DE RISCO"/>
    <x v="36"/>
    <x v="15"/>
    <n v="54.45"/>
    <s v="0000000127"/>
    <s v="1379"/>
    <d v="2022-08-01T00:00:00"/>
    <s v="320301011"/>
    <s v="306"/>
    <s v="33"/>
    <s v="Credito"/>
    <x v="2"/>
    <x v="216"/>
    <m/>
    <s v="000252"/>
    <s v="000132"/>
    <n v="54.45"/>
    <s v="0,00"/>
    <s v="0,00"/>
    <s v="0,00"/>
    <s v="0,00"/>
    <s v="ORC2022_2"/>
    <s v="0012"/>
    <m/>
    <m/>
    <m/>
    <m/>
    <m/>
  </r>
  <r>
    <s v="GERENCIAMENTO DE RISCO"/>
    <x v="36"/>
    <x v="15"/>
    <n v="272.25"/>
    <s v="0000000127"/>
    <s v="1380"/>
    <d v="2022-08-01T00:00:00"/>
    <s v="320301011"/>
    <s v="301"/>
    <s v="90"/>
    <s v="Credito"/>
    <x v="2"/>
    <x v="216"/>
    <m/>
    <s v="000252"/>
    <s v="000132"/>
    <n v="272.25"/>
    <s v="0,00"/>
    <s v="0,00"/>
    <s v="0,00"/>
    <s v="0,00"/>
    <s v="ORC2022_2"/>
    <s v="0012"/>
    <m/>
    <m/>
    <m/>
    <m/>
    <m/>
  </r>
  <r>
    <s v="GERENCIAMENTO DE RISCO"/>
    <x v="36"/>
    <x v="16"/>
    <n v="30882.81"/>
    <s v="0000000127"/>
    <s v="1381"/>
    <d v="2022-09-01T00:00:00"/>
    <s v="320301011"/>
    <s v="304"/>
    <s v="11"/>
    <s v="Credito"/>
    <x v="2"/>
    <x v="216"/>
    <m/>
    <s v="000252"/>
    <s v="000132"/>
    <n v="30882.81"/>
    <s v="0,00"/>
    <s v="0,00"/>
    <s v="0,00"/>
    <s v="0,00"/>
    <s v="ORC2022_2"/>
    <s v="0012"/>
    <m/>
    <m/>
    <m/>
    <m/>
    <m/>
  </r>
  <r>
    <s v="GERENCIAMENTO DE RISCO"/>
    <x v="36"/>
    <x v="16"/>
    <n v="6365.65"/>
    <s v="0000000127"/>
    <s v="1382"/>
    <d v="2022-09-01T00:00:00"/>
    <s v="320301011"/>
    <s v="305"/>
    <s v="21"/>
    <s v="Credito"/>
    <x v="2"/>
    <x v="216"/>
    <m/>
    <s v="000252"/>
    <s v="000132"/>
    <n v="6365.65"/>
    <s v="0,00"/>
    <s v="0,00"/>
    <s v="0,00"/>
    <s v="0,00"/>
    <s v="ORC2022_2"/>
    <s v="0012"/>
    <m/>
    <m/>
    <m/>
    <m/>
    <m/>
  </r>
  <r>
    <s v="GERENCIAMENTO DE RISCO"/>
    <x v="36"/>
    <x v="16"/>
    <n v="54.45"/>
    <s v="0000000127"/>
    <s v="1383"/>
    <d v="2022-09-01T00:00:00"/>
    <s v="320301011"/>
    <s v="306"/>
    <s v="33"/>
    <s v="Credito"/>
    <x v="2"/>
    <x v="216"/>
    <m/>
    <s v="000252"/>
    <s v="000132"/>
    <n v="54.45"/>
    <s v="0,00"/>
    <s v="0,00"/>
    <s v="0,00"/>
    <s v="0,00"/>
    <s v="ORC2022_2"/>
    <s v="0012"/>
    <m/>
    <m/>
    <m/>
    <m/>
    <m/>
  </r>
  <r>
    <s v="GERENCIAMENTO DE RISCO"/>
    <x v="36"/>
    <x v="16"/>
    <n v="272.25"/>
    <s v="0000000127"/>
    <s v="1384"/>
    <d v="2022-09-01T00:00:00"/>
    <s v="320301011"/>
    <s v="301"/>
    <s v="90"/>
    <s v="Credito"/>
    <x v="2"/>
    <x v="216"/>
    <m/>
    <s v="000252"/>
    <s v="000132"/>
    <n v="272.25"/>
    <s v="0,00"/>
    <s v="0,00"/>
    <s v="0,00"/>
    <s v="0,00"/>
    <s v="ORC2022_2"/>
    <s v="0012"/>
    <m/>
    <m/>
    <m/>
    <m/>
    <m/>
  </r>
  <r>
    <s v="GERENCIAMENTO DE RISCO"/>
    <x v="36"/>
    <x v="17"/>
    <n v="31191.64"/>
    <s v="0000000127"/>
    <s v="1385"/>
    <d v="2022-10-01T00:00:00"/>
    <s v="320301011"/>
    <s v="304"/>
    <s v="11"/>
    <s v="Credito"/>
    <x v="2"/>
    <x v="216"/>
    <m/>
    <s v="000252"/>
    <s v="000132"/>
    <n v="31191.64"/>
    <s v="0,00"/>
    <s v="0,00"/>
    <s v="0,00"/>
    <s v="0,00"/>
    <s v="ORC2022_2"/>
    <s v="0012"/>
    <m/>
    <m/>
    <m/>
    <m/>
    <m/>
  </r>
  <r>
    <s v="GERENCIAMENTO DE RISCO"/>
    <x v="36"/>
    <x v="17"/>
    <n v="6429.31"/>
    <s v="0000000127"/>
    <s v="1386"/>
    <d v="2022-10-01T00:00:00"/>
    <s v="320301011"/>
    <s v="305"/>
    <s v="21"/>
    <s v="Credito"/>
    <x v="2"/>
    <x v="216"/>
    <m/>
    <s v="000252"/>
    <s v="000132"/>
    <n v="6429.31"/>
    <s v="0,00"/>
    <s v="0,00"/>
    <s v="0,00"/>
    <s v="0,00"/>
    <s v="ORC2022_2"/>
    <s v="0012"/>
    <m/>
    <m/>
    <m/>
    <m/>
    <m/>
  </r>
  <r>
    <s v="GERENCIAMENTO DE RISCO"/>
    <x v="36"/>
    <x v="17"/>
    <n v="54.99"/>
    <s v="0000000127"/>
    <s v="1387"/>
    <d v="2022-10-01T00:00:00"/>
    <s v="320301011"/>
    <s v="306"/>
    <s v="33"/>
    <s v="Credito"/>
    <x v="2"/>
    <x v="216"/>
    <m/>
    <s v="000252"/>
    <s v="000132"/>
    <n v="54.99"/>
    <s v="0,00"/>
    <s v="0,00"/>
    <s v="0,00"/>
    <s v="0,00"/>
    <s v="ORC2022_2"/>
    <s v="0012"/>
    <m/>
    <m/>
    <m/>
    <m/>
    <m/>
  </r>
  <r>
    <s v="GERENCIAMENTO DE RISCO"/>
    <x v="36"/>
    <x v="17"/>
    <n v="274.97000000000003"/>
    <s v="0000000127"/>
    <s v="1388"/>
    <d v="2022-10-01T00:00:00"/>
    <s v="320301011"/>
    <s v="301"/>
    <s v="90"/>
    <s v="Credito"/>
    <x v="2"/>
    <x v="216"/>
    <m/>
    <s v="000252"/>
    <s v="000132"/>
    <n v="274.97000000000003"/>
    <s v="0,00"/>
    <s v="0,00"/>
    <s v="0,00"/>
    <s v="0,00"/>
    <s v="ORC2022_2"/>
    <s v="0012"/>
    <m/>
    <m/>
    <m/>
    <m/>
    <m/>
  </r>
  <r>
    <s v="GERENCIAMENTO DE RISCO"/>
    <x v="36"/>
    <x v="0"/>
    <n v="31503.55"/>
    <s v="0000000127"/>
    <s v="1389"/>
    <d v="2022-11-01T00:00:00"/>
    <s v="320301011"/>
    <s v="304"/>
    <s v="11"/>
    <s v="Credito"/>
    <x v="2"/>
    <x v="216"/>
    <m/>
    <s v="000252"/>
    <s v="000132"/>
    <n v="31503.55"/>
    <s v="0,00"/>
    <s v="0,00"/>
    <s v="0,00"/>
    <s v="0,00"/>
    <s v="ORC2022_2"/>
    <s v="0012"/>
    <m/>
    <m/>
    <m/>
    <m/>
    <m/>
  </r>
  <r>
    <s v="GERENCIAMENTO DE RISCO"/>
    <x v="36"/>
    <x v="0"/>
    <n v="6493.6"/>
    <s v="0000000127"/>
    <s v="1390"/>
    <d v="2022-11-01T00:00:00"/>
    <s v="320301011"/>
    <s v="305"/>
    <s v="21"/>
    <s v="Credito"/>
    <x v="2"/>
    <x v="216"/>
    <m/>
    <s v="000252"/>
    <s v="000132"/>
    <n v="6493.6"/>
    <s v="0,00"/>
    <s v="0,00"/>
    <s v="0,00"/>
    <s v="0,00"/>
    <s v="ORC2022_2"/>
    <s v="0012"/>
    <m/>
    <m/>
    <m/>
    <m/>
    <m/>
  </r>
  <r>
    <s v="GERENCIAMENTO DE RISCO"/>
    <x v="36"/>
    <x v="0"/>
    <n v="55.54"/>
    <s v="0000000127"/>
    <s v="1391"/>
    <d v="2022-11-01T00:00:00"/>
    <s v="320301011"/>
    <s v="306"/>
    <s v="33"/>
    <s v="Credito"/>
    <x v="2"/>
    <x v="216"/>
    <m/>
    <s v="000252"/>
    <s v="000132"/>
    <n v="55.54"/>
    <s v="0,00"/>
    <s v="0,00"/>
    <s v="0,00"/>
    <s v="0,00"/>
    <s v="ORC2022_2"/>
    <s v="0012"/>
    <m/>
    <m/>
    <m/>
    <m/>
    <m/>
  </r>
  <r>
    <s v="GERENCIAMENTO DE RISCO"/>
    <x v="36"/>
    <x v="0"/>
    <n v="277.72000000000003"/>
    <s v="0000000127"/>
    <s v="1392"/>
    <d v="2022-11-01T00:00:00"/>
    <s v="320301011"/>
    <s v="301"/>
    <s v="90"/>
    <s v="Credito"/>
    <x v="2"/>
    <x v="216"/>
    <m/>
    <s v="000252"/>
    <s v="000132"/>
    <n v="277.72000000000003"/>
    <s v="0,00"/>
    <s v="0,00"/>
    <s v="0,00"/>
    <s v="0,00"/>
    <s v="ORC2022_2"/>
    <s v="0012"/>
    <m/>
    <m/>
    <m/>
    <m/>
    <m/>
  </r>
  <r>
    <s v="GERENCIAMENTO DE RISCO"/>
    <x v="36"/>
    <x v="1"/>
    <n v="31818.59"/>
    <s v="0000000127"/>
    <s v="1393"/>
    <d v="2022-12-01T00:00:00"/>
    <s v="320301011"/>
    <s v="304"/>
    <s v="11"/>
    <s v="Credito"/>
    <x v="2"/>
    <x v="216"/>
    <m/>
    <s v="000252"/>
    <s v="000132"/>
    <n v="31818.59"/>
    <s v="0,00"/>
    <s v="0,00"/>
    <s v="0,00"/>
    <s v="0,00"/>
    <s v="ORC2022_2"/>
    <s v="0012"/>
    <m/>
    <m/>
    <m/>
    <m/>
    <m/>
  </r>
  <r>
    <s v="GERENCIAMENTO DE RISCO"/>
    <x v="36"/>
    <x v="1"/>
    <n v="6558.54"/>
    <s v="0000000127"/>
    <s v="1394"/>
    <d v="2022-12-01T00:00:00"/>
    <s v="320301011"/>
    <s v="305"/>
    <s v="21"/>
    <s v="Credito"/>
    <x v="2"/>
    <x v="216"/>
    <m/>
    <s v="000252"/>
    <s v="000132"/>
    <n v="6558.54"/>
    <s v="0,00"/>
    <s v="0,00"/>
    <s v="0,00"/>
    <s v="0,00"/>
    <s v="ORC2022_2"/>
    <s v="0012"/>
    <m/>
    <m/>
    <m/>
    <m/>
    <m/>
  </r>
  <r>
    <s v="GERENCIAMENTO DE RISCO"/>
    <x v="36"/>
    <x v="1"/>
    <n v="56.1"/>
    <s v="0000000127"/>
    <s v="1395"/>
    <d v="2022-12-01T00:00:00"/>
    <s v="320301011"/>
    <s v="306"/>
    <s v="33"/>
    <s v="Credito"/>
    <x v="2"/>
    <x v="216"/>
    <m/>
    <s v="000252"/>
    <s v="000132"/>
    <n v="56.1"/>
    <s v="0,00"/>
    <s v="0,00"/>
    <s v="0,00"/>
    <s v="0,00"/>
    <s v="ORC2022_2"/>
    <s v="0012"/>
    <m/>
    <m/>
    <m/>
    <m/>
    <m/>
  </r>
  <r>
    <s v="GERENCIAMENTO DE RISCO"/>
    <x v="36"/>
    <x v="1"/>
    <n v="280.5"/>
    <s v="0000000127"/>
    <s v="1396"/>
    <d v="2022-12-01T00:00:00"/>
    <s v="320301011"/>
    <s v="301"/>
    <s v="90"/>
    <s v="Credito"/>
    <x v="2"/>
    <x v="216"/>
    <m/>
    <s v="000252"/>
    <s v="000132"/>
    <n v="280.5"/>
    <s v="0,00"/>
    <s v="0,00"/>
    <s v="0,00"/>
    <s v="0,00"/>
    <s v="ORC2022_2"/>
    <s v="0012"/>
    <m/>
    <m/>
    <m/>
    <m/>
    <m/>
  </r>
  <r>
    <s v="ALUGUEIS, ARREND. E CONDOMINIOS"/>
    <x v="37"/>
    <x v="8"/>
    <n v="26836.23"/>
    <s v="0000000127"/>
    <s v="1397"/>
    <d v="2022-01-01T00:00:00"/>
    <s v="320401"/>
    <s v="301"/>
    <s v="11"/>
    <s v="Credito"/>
    <x v="2"/>
    <x v="216"/>
    <m/>
    <s v="000252"/>
    <s v="000132"/>
    <n v="26836.23"/>
    <s v="0,00"/>
    <s v="0,00"/>
    <s v="0,00"/>
    <s v="0,00"/>
    <s v="ORC2022_2"/>
    <s v="0012"/>
    <m/>
    <m/>
    <m/>
    <m/>
    <m/>
  </r>
  <r>
    <s v="ALUGUEIS, ARREND. E CONDOMINIOS"/>
    <x v="37"/>
    <x v="8"/>
    <n v="2513.83"/>
    <s v="0000000127"/>
    <s v="1398"/>
    <d v="2022-01-01T00:00:00"/>
    <s v="320401"/>
    <s v="305"/>
    <s v="32"/>
    <s v="Credito"/>
    <x v="2"/>
    <x v="216"/>
    <m/>
    <s v="000252"/>
    <s v="000132"/>
    <n v="2513.83"/>
    <s v="0,00"/>
    <s v="0,00"/>
    <s v="0,00"/>
    <s v="0,00"/>
    <s v="ORC2022_2"/>
    <s v="0012"/>
    <m/>
    <m/>
    <m/>
    <m/>
    <m/>
  </r>
  <r>
    <s v="ALUGUEIS, ARREND. E CONDOMINIOS"/>
    <x v="37"/>
    <x v="8"/>
    <n v="416.16"/>
    <s v="0000000127"/>
    <s v="1399"/>
    <d v="2022-01-01T00:00:00"/>
    <s v="320401"/>
    <s v="305"/>
    <s v="42"/>
    <s v="Credito"/>
    <x v="2"/>
    <x v="216"/>
    <m/>
    <s v="000252"/>
    <s v="000132"/>
    <n v="416.16"/>
    <s v="0,00"/>
    <s v="0,00"/>
    <s v="0,00"/>
    <s v="0,00"/>
    <s v="ORC2022_2"/>
    <s v="0012"/>
    <m/>
    <m/>
    <m/>
    <m/>
    <m/>
  </r>
  <r>
    <s v="ALUGUEIS, ARREND. E CONDOMINIOS"/>
    <x v="37"/>
    <x v="8"/>
    <n v="829.93"/>
    <s v="0000000127"/>
    <s v="1400"/>
    <d v="2022-01-01T00:00:00"/>
    <s v="320401"/>
    <s v="201"/>
    <s v="90"/>
    <s v="Credito"/>
    <x v="2"/>
    <x v="216"/>
    <m/>
    <s v="000252"/>
    <s v="000132"/>
    <n v="829.93"/>
    <s v="0,00"/>
    <s v="0,00"/>
    <s v="0,00"/>
    <s v="0,00"/>
    <s v="ORC2022_2"/>
    <s v="0012"/>
    <m/>
    <m/>
    <m/>
    <m/>
    <m/>
  </r>
  <r>
    <s v="ALUGUEIS, ARREND. E CONDOMINIOS"/>
    <x v="37"/>
    <x v="8"/>
    <n v="15496.18"/>
    <s v="0000000127"/>
    <s v="1401"/>
    <d v="2022-01-01T00:00:00"/>
    <s v="320401"/>
    <s v="301"/>
    <s v="90"/>
    <s v="Credito"/>
    <x v="2"/>
    <x v="216"/>
    <m/>
    <s v="000252"/>
    <s v="000132"/>
    <n v="15496.18"/>
    <s v="0,00"/>
    <s v="0,00"/>
    <s v="0,00"/>
    <s v="0,00"/>
    <s v="ORC2022_2"/>
    <s v="0012"/>
    <m/>
    <m/>
    <m/>
    <m/>
    <m/>
  </r>
  <r>
    <s v="ALUGUEIS, ARREND. E CONDOMINIOS"/>
    <x v="37"/>
    <x v="8"/>
    <n v="1808.02"/>
    <s v="0000000127"/>
    <s v="1402"/>
    <d v="2022-01-01T00:00:00"/>
    <s v="320401"/>
    <s v="303"/>
    <s v="90"/>
    <s v="Credito"/>
    <x v="2"/>
    <x v="216"/>
    <m/>
    <s v="000252"/>
    <s v="000132"/>
    <n v="1808.02"/>
    <s v="0,00"/>
    <s v="0,00"/>
    <s v="0,00"/>
    <s v="0,00"/>
    <s v="ORC2022_2"/>
    <s v="0012"/>
    <m/>
    <m/>
    <m/>
    <m/>
    <m/>
  </r>
  <r>
    <s v="ALUGUEIS, ARREND. E CONDOMINIOS"/>
    <x v="37"/>
    <x v="9"/>
    <n v="26836.23"/>
    <s v="0000000127"/>
    <s v="1403"/>
    <d v="2022-02-01T00:00:00"/>
    <s v="320401"/>
    <s v="301"/>
    <s v="11"/>
    <s v="Credito"/>
    <x v="2"/>
    <x v="216"/>
    <m/>
    <s v="000252"/>
    <s v="000132"/>
    <n v="26836.23"/>
    <s v="0,00"/>
    <s v="0,00"/>
    <s v="0,00"/>
    <s v="0,00"/>
    <s v="ORC2022_2"/>
    <s v="0012"/>
    <m/>
    <m/>
    <m/>
    <m/>
    <m/>
  </r>
  <r>
    <s v="ALUGUEIS, ARREND. E CONDOMINIOS"/>
    <x v="37"/>
    <x v="9"/>
    <n v="209.8"/>
    <s v="0000000127"/>
    <s v="1404"/>
    <d v="2022-02-01T00:00:00"/>
    <s v="320401"/>
    <s v="305"/>
    <s v="31"/>
    <s v="Credito"/>
    <x v="2"/>
    <x v="216"/>
    <m/>
    <s v="000252"/>
    <s v="000132"/>
    <n v="209.8"/>
    <s v="0,00"/>
    <s v="0,00"/>
    <s v="0,00"/>
    <s v="0,00"/>
    <s v="ORC2022_2"/>
    <s v="0012"/>
    <m/>
    <m/>
    <m/>
    <m/>
    <m/>
  </r>
  <r>
    <s v="ALUGUEIS, ARREND. E CONDOMINIOS"/>
    <x v="37"/>
    <x v="9"/>
    <n v="10140.530000000001"/>
    <s v="0000000127"/>
    <s v="1405"/>
    <d v="2022-02-01T00:00:00"/>
    <s v="320401"/>
    <s v="305"/>
    <s v="32"/>
    <s v="Credito"/>
    <x v="2"/>
    <x v="216"/>
    <m/>
    <s v="000252"/>
    <s v="000132"/>
    <n v="10140.530000000001"/>
    <s v="0,00"/>
    <s v="0,00"/>
    <s v="0,00"/>
    <s v="0,00"/>
    <s v="ORC2022_2"/>
    <s v="0012"/>
    <m/>
    <m/>
    <m/>
    <m/>
    <m/>
  </r>
  <r>
    <s v="ALUGUEIS, ARREND. E CONDOMINIOS"/>
    <x v="37"/>
    <x v="9"/>
    <n v="419.34"/>
    <s v="0000000127"/>
    <s v="1406"/>
    <d v="2022-02-01T00:00:00"/>
    <s v="320401"/>
    <s v="305"/>
    <s v="42"/>
    <s v="Credito"/>
    <x v="2"/>
    <x v="216"/>
    <m/>
    <s v="000252"/>
    <s v="000132"/>
    <n v="419.34"/>
    <s v="0,00"/>
    <s v="0,00"/>
    <s v="0,00"/>
    <s v="0,00"/>
    <s v="ORC2022_2"/>
    <s v="0012"/>
    <m/>
    <m/>
    <m/>
    <m/>
    <m/>
  </r>
  <r>
    <s v="ALUGUEIS, ARREND. E CONDOMINIOS"/>
    <x v="37"/>
    <x v="9"/>
    <n v="829.93"/>
    <s v="0000000127"/>
    <s v="1407"/>
    <d v="2022-02-01T00:00:00"/>
    <s v="320401"/>
    <s v="201"/>
    <s v="90"/>
    <s v="Credito"/>
    <x v="2"/>
    <x v="216"/>
    <m/>
    <s v="000252"/>
    <s v="000132"/>
    <n v="829.93"/>
    <s v="0,00"/>
    <s v="0,00"/>
    <s v="0,00"/>
    <s v="0,00"/>
    <s v="ORC2022_2"/>
    <s v="0012"/>
    <m/>
    <m/>
    <m/>
    <m/>
    <m/>
  </r>
  <r>
    <s v="ALUGUEIS, ARREND. E CONDOMINIOS"/>
    <x v="37"/>
    <x v="9"/>
    <n v="5314.87"/>
    <s v="0000000127"/>
    <s v="1408"/>
    <d v="2022-02-01T00:00:00"/>
    <s v="320401"/>
    <s v="301"/>
    <s v="90"/>
    <s v="Credito"/>
    <x v="2"/>
    <x v="216"/>
    <m/>
    <s v="000252"/>
    <s v="000132"/>
    <n v="5314.87"/>
    <s v="0,00"/>
    <s v="0,00"/>
    <s v="0,00"/>
    <s v="0,00"/>
    <s v="ORC2022_2"/>
    <s v="0012"/>
    <m/>
    <m/>
    <m/>
    <m/>
    <m/>
  </r>
  <r>
    <s v="ALUGUEIS, ARREND. E CONDOMINIOS"/>
    <x v="37"/>
    <x v="10"/>
    <n v="26836.23"/>
    <s v="0000000127"/>
    <s v="1409"/>
    <d v="2022-03-01T00:00:00"/>
    <s v="320401"/>
    <s v="301"/>
    <s v="11"/>
    <s v="Credito"/>
    <x v="2"/>
    <x v="216"/>
    <m/>
    <s v="000252"/>
    <s v="000132"/>
    <n v="26836.23"/>
    <s v="0,00"/>
    <s v="0,00"/>
    <s v="0,00"/>
    <s v="0,00"/>
    <s v="ORC2022_2"/>
    <s v="0012"/>
    <m/>
    <m/>
    <m/>
    <m/>
    <m/>
  </r>
  <r>
    <s v="ALUGUEIS, ARREND. E CONDOMINIOS"/>
    <x v="37"/>
    <x v="10"/>
    <n v="424.2"/>
    <s v="0000000127"/>
    <s v="1410"/>
    <d v="2022-03-01T00:00:00"/>
    <s v="320401"/>
    <s v="301"/>
    <s v="42"/>
    <s v="Credito"/>
    <x v="2"/>
    <x v="216"/>
    <m/>
    <s v="000252"/>
    <s v="000132"/>
    <n v="424.2"/>
    <s v="0,00"/>
    <s v="0,00"/>
    <s v="0,00"/>
    <s v="0,00"/>
    <s v="ORC2022_2"/>
    <s v="0012"/>
    <m/>
    <m/>
    <m/>
    <m/>
    <m/>
  </r>
  <r>
    <s v="ALUGUEIS, ARREND. E CONDOMINIOS"/>
    <x v="37"/>
    <x v="10"/>
    <n v="829.93"/>
    <s v="0000000127"/>
    <s v="1411"/>
    <d v="2022-03-01T00:00:00"/>
    <s v="320401"/>
    <s v="201"/>
    <s v="90"/>
    <s v="Credito"/>
    <x v="2"/>
    <x v="216"/>
    <m/>
    <s v="000252"/>
    <s v="000132"/>
    <n v="829.93"/>
    <s v="0,00"/>
    <s v="0,00"/>
    <s v="0,00"/>
    <s v="0,00"/>
    <s v="ORC2022_2"/>
    <s v="0012"/>
    <m/>
    <m/>
    <m/>
    <m/>
    <m/>
  </r>
  <r>
    <s v="ALUGUEIS, ARREND. E CONDOMINIOS"/>
    <x v="37"/>
    <x v="10"/>
    <n v="33234.11"/>
    <s v="0000000127"/>
    <s v="1412"/>
    <d v="2022-03-01T00:00:00"/>
    <s v="320401"/>
    <s v="301"/>
    <s v="90"/>
    <s v="Credito"/>
    <x v="2"/>
    <x v="216"/>
    <m/>
    <s v="000252"/>
    <s v="000132"/>
    <n v="33234.11"/>
    <s v="0,00"/>
    <s v="0,00"/>
    <s v="0,00"/>
    <s v="0,00"/>
    <s v="ORC2022_2"/>
    <s v="0012"/>
    <m/>
    <m/>
    <m/>
    <m/>
    <m/>
  </r>
  <r>
    <s v="ALUGUEIS, ARREND. E CONDOMINIOS"/>
    <x v="37"/>
    <x v="11"/>
    <n v="26836.23"/>
    <s v="0000000127"/>
    <s v="1413"/>
    <d v="2022-04-01T00:00:00"/>
    <s v="320401"/>
    <s v="301"/>
    <s v="11"/>
    <s v="Credito"/>
    <x v="2"/>
    <x v="216"/>
    <m/>
    <s v="000252"/>
    <s v="000132"/>
    <n v="26836.23"/>
    <s v="0,00"/>
    <s v="0,00"/>
    <s v="0,00"/>
    <s v="0,00"/>
    <s v="ORC2022_2"/>
    <s v="0012"/>
    <m/>
    <m/>
    <m/>
    <m/>
    <m/>
  </r>
  <r>
    <s v="ALUGUEIS, ARREND. E CONDOMINIOS"/>
    <x v="37"/>
    <x v="11"/>
    <n v="5210.8599999999997"/>
    <s v="0000000127"/>
    <s v="1414"/>
    <d v="2022-04-01T00:00:00"/>
    <s v="320401"/>
    <s v="305"/>
    <s v="21"/>
    <s v="Credito"/>
    <x v="2"/>
    <x v="216"/>
    <m/>
    <s v="000252"/>
    <s v="000132"/>
    <n v="5210.8599999999997"/>
    <s v="0,00"/>
    <s v="0,00"/>
    <s v="0,00"/>
    <s v="0,00"/>
    <s v="ORC2022_2"/>
    <s v="0012"/>
    <m/>
    <m/>
    <m/>
    <m/>
    <m/>
  </r>
  <r>
    <s v="ALUGUEIS, ARREND. E CONDOMINIOS"/>
    <x v="37"/>
    <x v="11"/>
    <n v="10483.42"/>
    <s v="0000000127"/>
    <s v="1415"/>
    <d v="2022-04-01T00:00:00"/>
    <s v="320401"/>
    <s v="305"/>
    <s v="32"/>
    <s v="Credito"/>
    <x v="2"/>
    <x v="216"/>
    <m/>
    <s v="000252"/>
    <s v="000132"/>
    <n v="10483.42"/>
    <s v="0,00"/>
    <s v="0,00"/>
    <s v="0,00"/>
    <s v="0,00"/>
    <s v="ORC2022_2"/>
    <s v="0012"/>
    <m/>
    <m/>
    <m/>
    <m/>
    <m/>
  </r>
  <r>
    <s v="ALUGUEIS, ARREND. E CONDOMINIOS"/>
    <x v="37"/>
    <x v="11"/>
    <n v="829.93"/>
    <s v="0000000127"/>
    <s v="1416"/>
    <d v="2022-04-01T00:00:00"/>
    <s v="320401"/>
    <s v="201"/>
    <s v="90"/>
    <s v="Credito"/>
    <x v="2"/>
    <x v="216"/>
    <m/>
    <s v="000252"/>
    <s v="000132"/>
    <n v="829.93"/>
    <s v="0,00"/>
    <s v="0,00"/>
    <s v="0,00"/>
    <s v="0,00"/>
    <s v="ORC2022_2"/>
    <s v="0012"/>
    <m/>
    <m/>
    <m/>
    <m/>
    <m/>
  </r>
  <r>
    <s v="ALUGUEIS, ARREND. E CONDOMINIOS"/>
    <x v="37"/>
    <x v="11"/>
    <n v="16990.189999999999"/>
    <s v="0000000127"/>
    <s v="1417"/>
    <d v="2022-04-01T00:00:00"/>
    <s v="320401"/>
    <s v="301"/>
    <s v="90"/>
    <s v="Credito"/>
    <x v="2"/>
    <x v="216"/>
    <m/>
    <s v="000252"/>
    <s v="000132"/>
    <n v="16990.189999999999"/>
    <s v="0,00"/>
    <s v="0,00"/>
    <s v="0,00"/>
    <s v="0,00"/>
    <s v="ORC2022_2"/>
    <s v="0012"/>
    <m/>
    <m/>
    <m/>
    <m/>
    <m/>
  </r>
  <r>
    <s v="ALUGUEIS, ARREND. E CONDOMINIOS"/>
    <x v="37"/>
    <x v="12"/>
    <n v="26836.23"/>
    <s v="0000000127"/>
    <s v="1418"/>
    <d v="2022-05-01T00:00:00"/>
    <s v="320401"/>
    <s v="301"/>
    <s v="11"/>
    <s v="Credito"/>
    <x v="2"/>
    <x v="216"/>
    <m/>
    <s v="000252"/>
    <s v="000132"/>
    <n v="26836.23"/>
    <s v="0,00"/>
    <s v="0,00"/>
    <s v="0,00"/>
    <s v="0,00"/>
    <s v="ORC2022_2"/>
    <s v="0012"/>
    <m/>
    <m/>
    <m/>
    <m/>
    <m/>
  </r>
  <r>
    <s v="ALUGUEIS, ARREND. E CONDOMINIOS"/>
    <x v="37"/>
    <x v="12"/>
    <n v="13791.82"/>
    <s v="0000000127"/>
    <s v="1419"/>
    <d v="2022-05-01T00:00:00"/>
    <s v="320401"/>
    <s v="305"/>
    <s v="21"/>
    <s v="Credito"/>
    <x v="2"/>
    <x v="216"/>
    <m/>
    <s v="000252"/>
    <s v="000132"/>
    <n v="13791.82"/>
    <s v="0,00"/>
    <s v="0,00"/>
    <s v="0,00"/>
    <s v="0,00"/>
    <s v="ORC2022_2"/>
    <s v="0012"/>
    <m/>
    <m/>
    <m/>
    <m/>
    <m/>
  </r>
  <r>
    <s v="ALUGUEIS, ARREND. E CONDOMINIOS"/>
    <x v="37"/>
    <x v="12"/>
    <n v="2856.72"/>
    <s v="0000000127"/>
    <s v="1420"/>
    <d v="2022-05-01T00:00:00"/>
    <s v="320401"/>
    <s v="305"/>
    <s v="32"/>
    <s v="Credito"/>
    <x v="2"/>
    <x v="216"/>
    <m/>
    <s v="000252"/>
    <s v="000132"/>
    <n v="2856.72"/>
    <s v="0,00"/>
    <s v="0,00"/>
    <s v="0,00"/>
    <s v="0,00"/>
    <s v="ORC2022_2"/>
    <s v="0012"/>
    <m/>
    <m/>
    <m/>
    <m/>
    <m/>
  </r>
  <r>
    <s v="ALUGUEIS, ARREND. E CONDOMINIOS"/>
    <x v="37"/>
    <x v="12"/>
    <n v="829.93"/>
    <s v="0000000127"/>
    <s v="1421"/>
    <d v="2022-05-01T00:00:00"/>
    <s v="320401"/>
    <s v="201"/>
    <s v="90"/>
    <s v="Credito"/>
    <x v="2"/>
    <x v="216"/>
    <m/>
    <s v="000252"/>
    <s v="000132"/>
    <n v="829.93"/>
    <s v="0,00"/>
    <s v="0,00"/>
    <s v="0,00"/>
    <s v="0,00"/>
    <s v="ORC2022_2"/>
    <s v="0012"/>
    <m/>
    <m/>
    <m/>
    <m/>
    <m/>
  </r>
  <r>
    <s v="ALUGUEIS, ARREND. E CONDOMINIOS"/>
    <x v="37"/>
    <x v="12"/>
    <n v="19133.07"/>
    <s v="0000000127"/>
    <s v="1422"/>
    <d v="2022-05-01T00:00:00"/>
    <s v="320401"/>
    <s v="301"/>
    <s v="90"/>
    <s v="Credito"/>
    <x v="2"/>
    <x v="216"/>
    <m/>
    <s v="000252"/>
    <s v="000132"/>
    <n v="19133.07"/>
    <s v="0,00"/>
    <s v="0,00"/>
    <s v="0,00"/>
    <s v="0,00"/>
    <s v="ORC2022_2"/>
    <s v="0012"/>
    <m/>
    <m/>
    <m/>
    <m/>
    <m/>
  </r>
  <r>
    <s v="ALUGUEIS, ARREND. E CONDOMINIOS"/>
    <x v="37"/>
    <x v="13"/>
    <n v="26836.23"/>
    <s v="0000000127"/>
    <s v="1423"/>
    <d v="2022-06-01T00:00:00"/>
    <s v="320401"/>
    <s v="301"/>
    <s v="11"/>
    <s v="Credito"/>
    <x v="2"/>
    <x v="216"/>
    <m/>
    <s v="000252"/>
    <s v="000132"/>
    <n v="26836.23"/>
    <s v="0,00"/>
    <s v="0,00"/>
    <s v="0,00"/>
    <s v="0,00"/>
    <s v="ORC2022_2"/>
    <s v="0012"/>
    <m/>
    <m/>
    <m/>
    <m/>
    <m/>
  </r>
  <r>
    <s v="ALUGUEIS, ARREND. E CONDOMINIOS"/>
    <x v="37"/>
    <x v="13"/>
    <n v="13908.55"/>
    <s v="0000000127"/>
    <s v="1424"/>
    <d v="2022-06-01T00:00:00"/>
    <s v="320401"/>
    <s v="305"/>
    <s v="21"/>
    <s v="Credito"/>
    <x v="2"/>
    <x v="216"/>
    <m/>
    <s v="000252"/>
    <s v="000132"/>
    <n v="13908.55"/>
    <s v="0,00"/>
    <s v="0,00"/>
    <s v="0,00"/>
    <s v="0,00"/>
    <s v="ORC2022_2"/>
    <s v="0012"/>
    <m/>
    <m/>
    <m/>
    <m/>
    <m/>
  </r>
  <r>
    <s v="ALUGUEIS, ARREND. E CONDOMINIOS"/>
    <x v="37"/>
    <x v="13"/>
    <n v="430.07"/>
    <s v="0000000127"/>
    <s v="1425"/>
    <d v="2022-06-01T00:00:00"/>
    <s v="320401"/>
    <s v="305"/>
    <s v="42"/>
    <s v="Credito"/>
    <x v="2"/>
    <x v="216"/>
    <m/>
    <s v="000252"/>
    <s v="000132"/>
    <n v="430.07"/>
    <s v="0,00"/>
    <s v="0,00"/>
    <s v="0,00"/>
    <s v="0,00"/>
    <s v="ORC2022_2"/>
    <s v="0012"/>
    <m/>
    <m/>
    <m/>
    <m/>
    <m/>
  </r>
  <r>
    <s v="ALUGUEIS, ARREND. E CONDOMINIOS"/>
    <x v="37"/>
    <x v="13"/>
    <n v="26836.23"/>
    <s v="0000000127"/>
    <s v="1426"/>
    <d v="2022-06-01T00:00:00"/>
    <s v="320401"/>
    <s v="201"/>
    <s v="90"/>
    <s v="Credito"/>
    <x v="2"/>
    <x v="216"/>
    <m/>
    <s v="000252"/>
    <s v="000132"/>
    <n v="26836.23"/>
    <s v="0,00"/>
    <s v="0,00"/>
    <s v="0,00"/>
    <s v="0,00"/>
    <s v="ORC2022_2"/>
    <s v="0012"/>
    <m/>
    <m/>
    <m/>
    <m/>
    <m/>
  </r>
  <r>
    <s v="ALUGUEIS, ARREND. E CONDOMINIOS"/>
    <x v="37"/>
    <x v="13"/>
    <n v="16990.189999999999"/>
    <s v="0000000127"/>
    <s v="1427"/>
    <d v="2022-06-01T00:00:00"/>
    <s v="320401"/>
    <s v="301"/>
    <s v="90"/>
    <s v="Credito"/>
    <x v="2"/>
    <x v="216"/>
    <m/>
    <s v="000252"/>
    <s v="000132"/>
    <n v="16990.189999999999"/>
    <s v="0,00"/>
    <s v="0,00"/>
    <s v="0,00"/>
    <s v="0,00"/>
    <s v="ORC2022_2"/>
    <s v="0012"/>
    <m/>
    <m/>
    <m/>
    <m/>
    <m/>
  </r>
  <r>
    <s v="ALUGUEIS, ARREND. E CONDOMINIOS"/>
    <x v="37"/>
    <x v="14"/>
    <n v="26836.23"/>
    <s v="0000000127"/>
    <s v="1428"/>
    <d v="2022-07-01T00:00:00"/>
    <s v="320401"/>
    <s v="301"/>
    <s v="11"/>
    <s v="Credito"/>
    <x v="2"/>
    <x v="216"/>
    <m/>
    <s v="000252"/>
    <s v="000132"/>
    <n v="26836.23"/>
    <s v="0,00"/>
    <s v="0,00"/>
    <s v="0,00"/>
    <s v="0,00"/>
    <s v="ORC2022_2"/>
    <s v="0012"/>
    <m/>
    <m/>
    <m/>
    <m/>
    <m/>
  </r>
  <r>
    <s v="ALUGUEIS, ARREND. E CONDOMINIOS"/>
    <x v="37"/>
    <x v="14"/>
    <n v="24725.49"/>
    <s v="0000000127"/>
    <s v="1429"/>
    <d v="2022-07-01T00:00:00"/>
    <s v="320401"/>
    <s v="304"/>
    <s v="11"/>
    <s v="Credito"/>
    <x v="2"/>
    <x v="216"/>
    <m/>
    <s v="000252"/>
    <s v="000132"/>
    <n v="24725.49"/>
    <s v="0,00"/>
    <s v="0,00"/>
    <s v="0,00"/>
    <s v="0,00"/>
    <s v="ORC2022_2"/>
    <s v="0012"/>
    <m/>
    <m/>
    <m/>
    <m/>
    <m/>
  </r>
  <r>
    <s v="ALUGUEIS, ARREND. E CONDOMINIOS"/>
    <x v="37"/>
    <x v="14"/>
    <n v="18815.46"/>
    <s v="0000000127"/>
    <s v="1430"/>
    <d v="2022-07-01T00:00:00"/>
    <s v="320401"/>
    <s v="301"/>
    <s v="21"/>
    <s v="Credito"/>
    <x v="2"/>
    <x v="216"/>
    <m/>
    <s v="000252"/>
    <s v="000132"/>
    <n v="18815.46"/>
    <s v="0,00"/>
    <s v="0,00"/>
    <s v="0,00"/>
    <s v="0,00"/>
    <s v="ORC2022_2"/>
    <s v="0012"/>
    <m/>
    <m/>
    <m/>
    <m/>
    <m/>
  </r>
  <r>
    <s v="ALUGUEIS, ARREND. E CONDOMINIOS"/>
    <x v="37"/>
    <x v="14"/>
    <n v="440.44"/>
    <s v="0000000127"/>
    <s v="1431"/>
    <d v="2022-07-01T00:00:00"/>
    <s v="320401"/>
    <s v="305"/>
    <s v="32"/>
    <s v="Credito"/>
    <x v="2"/>
    <x v="216"/>
    <m/>
    <s v="000252"/>
    <s v="000132"/>
    <n v="440.44"/>
    <s v="0,00"/>
    <s v="0,00"/>
    <s v="0,00"/>
    <s v="0,00"/>
    <s v="ORC2022_2"/>
    <s v="0012"/>
    <m/>
    <m/>
    <m/>
    <m/>
    <m/>
  </r>
  <r>
    <s v="ALUGUEIS, ARREND. E CONDOMINIOS"/>
    <x v="37"/>
    <x v="14"/>
    <n v="26836.23"/>
    <s v="0000000127"/>
    <s v="1432"/>
    <d v="2022-07-01T00:00:00"/>
    <s v="320401"/>
    <s v="201"/>
    <s v="90"/>
    <s v="Credito"/>
    <x v="2"/>
    <x v="216"/>
    <m/>
    <s v="000252"/>
    <s v="000132"/>
    <n v="26836.23"/>
    <s v="0,00"/>
    <s v="0,00"/>
    <s v="0,00"/>
    <s v="0,00"/>
    <s v="ORC2022_2"/>
    <s v="0012"/>
    <m/>
    <m/>
    <m/>
    <m/>
    <m/>
  </r>
  <r>
    <s v="ALUGUEIS, ARREND. E CONDOMINIOS"/>
    <x v="37"/>
    <x v="14"/>
    <n v="16990.189999999999"/>
    <s v="0000000127"/>
    <s v="1433"/>
    <d v="2022-07-01T00:00:00"/>
    <s v="320401"/>
    <s v="301"/>
    <s v="90"/>
    <s v="Credito"/>
    <x v="2"/>
    <x v="216"/>
    <m/>
    <s v="000252"/>
    <s v="000132"/>
    <n v="16990.189999999999"/>
    <s v="0,00"/>
    <s v="0,00"/>
    <s v="0,00"/>
    <s v="0,00"/>
    <s v="ORC2022_2"/>
    <s v="0012"/>
    <m/>
    <m/>
    <m/>
    <m/>
    <m/>
  </r>
  <r>
    <s v="ALUGUEIS, ARREND. E CONDOMINIOS"/>
    <x v="37"/>
    <x v="15"/>
    <n v="26836.23"/>
    <s v="0000000127"/>
    <s v="1434"/>
    <d v="2022-08-01T00:00:00"/>
    <s v="320401"/>
    <s v="301"/>
    <s v="11"/>
    <s v="Credito"/>
    <x v="2"/>
    <x v="216"/>
    <m/>
    <s v="000252"/>
    <s v="000132"/>
    <n v="26836.23"/>
    <s v="0,00"/>
    <s v="0,00"/>
    <s v="0,00"/>
    <s v="0,00"/>
    <s v="ORC2022_2"/>
    <s v="0012"/>
    <m/>
    <m/>
    <m/>
    <m/>
    <m/>
  </r>
  <r>
    <s v="ALUGUEIS, ARREND. E CONDOMINIOS"/>
    <x v="37"/>
    <x v="15"/>
    <n v="21743.56"/>
    <s v="0000000127"/>
    <s v="1435"/>
    <d v="2022-08-01T00:00:00"/>
    <s v="320401"/>
    <s v="305"/>
    <s v="21"/>
    <s v="Credito"/>
    <x v="2"/>
    <x v="216"/>
    <m/>
    <s v="000252"/>
    <s v="000132"/>
    <n v="21743.56"/>
    <s v="0,00"/>
    <s v="0,00"/>
    <s v="0,00"/>
    <s v="0,00"/>
    <s v="ORC2022_2"/>
    <s v="0012"/>
    <m/>
    <m/>
    <m/>
    <m/>
    <m/>
  </r>
  <r>
    <s v="ALUGUEIS, ARREND. E CONDOMINIOS"/>
    <x v="37"/>
    <x v="15"/>
    <n v="10483.42"/>
    <s v="0000000127"/>
    <s v="1436"/>
    <d v="2022-08-01T00:00:00"/>
    <s v="320401"/>
    <s v="305"/>
    <s v="32"/>
    <s v="Credito"/>
    <x v="2"/>
    <x v="216"/>
    <m/>
    <s v="000252"/>
    <s v="000132"/>
    <n v="10483.42"/>
    <s v="0,00"/>
    <s v="0,00"/>
    <s v="0,00"/>
    <s v="0,00"/>
    <s v="ORC2022_2"/>
    <s v="0012"/>
    <m/>
    <m/>
    <m/>
    <m/>
    <m/>
  </r>
  <r>
    <s v="ALUGUEIS, ARREND. E CONDOMINIOS"/>
    <x v="37"/>
    <x v="15"/>
    <n v="1626.93"/>
    <s v="0000000127"/>
    <s v="1437"/>
    <d v="2022-08-01T00:00:00"/>
    <s v="320401"/>
    <s v="301"/>
    <s v="42"/>
    <s v="Credito"/>
    <x v="2"/>
    <x v="216"/>
    <m/>
    <s v="000252"/>
    <s v="000132"/>
    <n v="1626.93"/>
    <s v="0,00"/>
    <s v="0,00"/>
    <s v="0,00"/>
    <s v="0,00"/>
    <s v="ORC2022_2"/>
    <s v="0012"/>
    <m/>
    <m/>
    <m/>
    <m/>
    <m/>
  </r>
  <r>
    <s v="ALUGUEIS, ARREND. E CONDOMINIOS"/>
    <x v="37"/>
    <x v="15"/>
    <n v="403.42"/>
    <s v="0000000127"/>
    <s v="1438"/>
    <d v="2022-08-01T00:00:00"/>
    <s v="320401"/>
    <s v="305"/>
    <s v="42"/>
    <s v="Credito"/>
    <x v="2"/>
    <x v="216"/>
    <m/>
    <s v="000252"/>
    <s v="000132"/>
    <n v="403.42"/>
    <s v="0,00"/>
    <s v="0,00"/>
    <s v="0,00"/>
    <s v="0,00"/>
    <s v="ORC2022_2"/>
    <s v="0012"/>
    <m/>
    <m/>
    <m/>
    <m/>
    <m/>
  </r>
  <r>
    <s v="ALUGUEIS, ARREND. E CONDOMINIOS"/>
    <x v="37"/>
    <x v="15"/>
    <n v="46836.23"/>
    <s v="0000000127"/>
    <s v="1439"/>
    <d v="2022-08-01T00:00:00"/>
    <s v="320401"/>
    <s v="201"/>
    <s v="90"/>
    <s v="Credito"/>
    <x v="2"/>
    <x v="216"/>
    <m/>
    <s v="000252"/>
    <s v="000132"/>
    <n v="46836.23"/>
    <s v="0,00"/>
    <s v="0,00"/>
    <s v="0,00"/>
    <s v="0,00"/>
    <s v="ORC2022_2"/>
    <s v="0012"/>
    <m/>
    <m/>
    <m/>
    <m/>
    <m/>
  </r>
  <r>
    <s v="ALUGUEIS, ARREND. E CONDOMINIOS"/>
    <x v="37"/>
    <x v="15"/>
    <n v="16990.189999999999"/>
    <s v="0000000127"/>
    <s v="1440"/>
    <d v="2022-08-01T00:00:00"/>
    <s v="320401"/>
    <s v="301"/>
    <s v="90"/>
    <s v="Credito"/>
    <x v="2"/>
    <x v="216"/>
    <m/>
    <s v="000252"/>
    <s v="000132"/>
    <n v="16990.189999999999"/>
    <s v="0,00"/>
    <s v="0,00"/>
    <s v="0,00"/>
    <s v="0,00"/>
    <s v="ORC2022_2"/>
    <s v="0012"/>
    <m/>
    <m/>
    <m/>
    <m/>
    <m/>
  </r>
  <r>
    <s v="ALUGUEIS, ARREND. E CONDOMINIOS"/>
    <x v="37"/>
    <x v="16"/>
    <n v="26836.23"/>
    <s v="0000000127"/>
    <s v="1441"/>
    <d v="2022-09-01T00:00:00"/>
    <s v="320401"/>
    <s v="301"/>
    <s v="11"/>
    <s v="Credito"/>
    <x v="2"/>
    <x v="216"/>
    <m/>
    <s v="000252"/>
    <s v="000132"/>
    <n v="26836.23"/>
    <s v="0,00"/>
    <s v="0,00"/>
    <s v="0,00"/>
    <s v="0,00"/>
    <s v="ORC2022_2"/>
    <s v="0012"/>
    <m/>
    <m/>
    <m/>
    <m/>
    <m/>
  </r>
  <r>
    <s v="ALUGUEIS, ARREND. E CONDOMINIOS"/>
    <x v="37"/>
    <x v="16"/>
    <n v="6887.39"/>
    <s v="0000000127"/>
    <s v="1442"/>
    <d v="2022-09-01T00:00:00"/>
    <s v="320401"/>
    <s v="304"/>
    <s v="11"/>
    <s v="Credito"/>
    <x v="2"/>
    <x v="216"/>
    <m/>
    <s v="000252"/>
    <s v="000132"/>
    <n v="6887.39"/>
    <s v="0,00"/>
    <s v="0,00"/>
    <s v="0,00"/>
    <s v="0,00"/>
    <s v="ORC2022_2"/>
    <s v="0012"/>
    <m/>
    <m/>
    <m/>
    <m/>
    <m/>
  </r>
  <r>
    <s v="ALUGUEIS, ARREND. E CONDOMINIOS"/>
    <x v="37"/>
    <x v="16"/>
    <n v="28199.48"/>
    <s v="0000000127"/>
    <s v="1443"/>
    <d v="2022-09-01T00:00:00"/>
    <s v="320401"/>
    <s v="305"/>
    <s v="21"/>
    <s v="Credito"/>
    <x v="2"/>
    <x v="216"/>
    <m/>
    <s v="000252"/>
    <s v="000132"/>
    <n v="28199.48"/>
    <s v="0,00"/>
    <s v="0,00"/>
    <s v="0,00"/>
    <s v="0,00"/>
    <s v="ORC2022_2"/>
    <s v="0012"/>
    <m/>
    <m/>
    <m/>
    <m/>
    <m/>
  </r>
  <r>
    <s v="ALUGUEIS, ARREND. E CONDOMINIOS"/>
    <x v="37"/>
    <x v="16"/>
    <n v="2856.72"/>
    <s v="0000000127"/>
    <s v="1444"/>
    <d v="2022-09-01T00:00:00"/>
    <s v="320401"/>
    <s v="305"/>
    <s v="32"/>
    <s v="Credito"/>
    <x v="2"/>
    <x v="216"/>
    <m/>
    <s v="000252"/>
    <s v="000132"/>
    <n v="2856.72"/>
    <s v="0,00"/>
    <s v="0,00"/>
    <s v="0,00"/>
    <s v="0,00"/>
    <s v="ORC2022_2"/>
    <s v="0012"/>
    <m/>
    <m/>
    <m/>
    <m/>
    <m/>
  </r>
  <r>
    <s v="ALUGUEIS, ARREND. E CONDOMINIOS"/>
    <x v="37"/>
    <x v="16"/>
    <n v="1626.93"/>
    <s v="0000000127"/>
    <s v="1445"/>
    <d v="2022-09-01T00:00:00"/>
    <s v="320401"/>
    <s v="301"/>
    <s v="42"/>
    <s v="Credito"/>
    <x v="2"/>
    <x v="216"/>
    <m/>
    <s v="000252"/>
    <s v="000132"/>
    <n v="1626.93"/>
    <s v="0,00"/>
    <s v="0,00"/>
    <s v="0,00"/>
    <s v="0,00"/>
    <s v="ORC2022_2"/>
    <s v="0012"/>
    <m/>
    <m/>
    <m/>
    <m/>
    <m/>
  </r>
  <r>
    <s v="ALUGUEIS, ARREND. E CONDOMINIOS"/>
    <x v="37"/>
    <x v="16"/>
    <n v="13027.48"/>
    <s v="0000000127"/>
    <s v="1446"/>
    <d v="2022-09-01T00:00:00"/>
    <s v="320401"/>
    <s v="201"/>
    <s v="90"/>
    <s v="Credito"/>
    <x v="2"/>
    <x v="216"/>
    <m/>
    <s v="000252"/>
    <s v="000132"/>
    <n v="13027.48"/>
    <s v="0,00"/>
    <s v="0,00"/>
    <s v="0,00"/>
    <s v="0,00"/>
    <s v="ORC2022_2"/>
    <s v="0012"/>
    <m/>
    <m/>
    <m/>
    <m/>
    <m/>
  </r>
  <r>
    <s v="ALUGUEIS, ARREND. E CONDOMINIOS"/>
    <x v="37"/>
    <x v="16"/>
    <n v="19532.7"/>
    <s v="0000000127"/>
    <s v="1447"/>
    <d v="2022-09-01T00:00:00"/>
    <s v="320401"/>
    <s v="301"/>
    <s v="90"/>
    <s v="Credito"/>
    <x v="2"/>
    <x v="216"/>
    <m/>
    <s v="000252"/>
    <s v="000132"/>
    <n v="19532.7"/>
    <s v="0,00"/>
    <s v="0,00"/>
    <s v="0,00"/>
    <s v="0,00"/>
    <s v="ORC2022_2"/>
    <s v="0012"/>
    <m/>
    <m/>
    <m/>
    <m/>
    <m/>
  </r>
  <r>
    <s v="ALUGUEIS, ARREND. E CONDOMINIOS"/>
    <x v="37"/>
    <x v="17"/>
    <n v="27104.59"/>
    <s v="0000000127"/>
    <s v="1448"/>
    <d v="2022-10-01T00:00:00"/>
    <s v="320401"/>
    <s v="301"/>
    <s v="11"/>
    <s v="Credito"/>
    <x v="2"/>
    <x v="216"/>
    <m/>
    <s v="000252"/>
    <s v="000132"/>
    <n v="27104.59"/>
    <s v="0,00"/>
    <s v="0,00"/>
    <s v="0,00"/>
    <s v="0,00"/>
    <s v="ORC2022_2"/>
    <s v="0012"/>
    <m/>
    <m/>
    <m/>
    <m/>
    <m/>
  </r>
  <r>
    <s v="ALUGUEIS, ARREND. E CONDOMINIOS"/>
    <x v="37"/>
    <x v="17"/>
    <n v="6956.26"/>
    <s v="0000000127"/>
    <s v="1449"/>
    <d v="2022-10-01T00:00:00"/>
    <s v="320401"/>
    <s v="304"/>
    <s v="11"/>
    <s v="Credito"/>
    <x v="2"/>
    <x v="216"/>
    <m/>
    <s v="000252"/>
    <s v="000132"/>
    <n v="6956.26"/>
    <s v="0,00"/>
    <s v="0,00"/>
    <s v="0,00"/>
    <s v="0,00"/>
    <s v="ORC2022_2"/>
    <s v="0012"/>
    <m/>
    <m/>
    <m/>
    <m/>
    <m/>
  </r>
  <r>
    <s v="ALUGUEIS, ARREND. E CONDOMINIOS"/>
    <x v="37"/>
    <x v="17"/>
    <n v="28481.47"/>
    <s v="0000000127"/>
    <s v="1450"/>
    <d v="2022-10-01T00:00:00"/>
    <s v="320401"/>
    <s v="305"/>
    <s v="21"/>
    <s v="Credito"/>
    <x v="2"/>
    <x v="216"/>
    <m/>
    <s v="000252"/>
    <s v="000132"/>
    <n v="28481.47"/>
    <s v="0,00"/>
    <s v="0,00"/>
    <s v="0,00"/>
    <s v="0,00"/>
    <s v="ORC2022_2"/>
    <s v="0012"/>
    <m/>
    <m/>
    <m/>
    <m/>
    <m/>
  </r>
  <r>
    <s v="ALUGUEIS, ARREND. E CONDOMINIOS"/>
    <x v="37"/>
    <x v="17"/>
    <n v="2885.29"/>
    <s v="0000000127"/>
    <s v="1451"/>
    <d v="2022-10-01T00:00:00"/>
    <s v="320401"/>
    <s v="305"/>
    <s v="32"/>
    <s v="Credito"/>
    <x v="2"/>
    <x v="216"/>
    <m/>
    <s v="000252"/>
    <s v="000132"/>
    <n v="2885.29"/>
    <s v="0,00"/>
    <s v="0,00"/>
    <s v="0,00"/>
    <s v="0,00"/>
    <s v="ORC2022_2"/>
    <s v="0012"/>
    <m/>
    <m/>
    <m/>
    <m/>
    <m/>
  </r>
  <r>
    <s v="ALUGUEIS, ARREND. E CONDOMINIOS"/>
    <x v="37"/>
    <x v="17"/>
    <n v="1643.2"/>
    <s v="0000000127"/>
    <s v="1452"/>
    <d v="2022-10-01T00:00:00"/>
    <s v="320401"/>
    <s v="301"/>
    <s v="42"/>
    <s v="Credito"/>
    <x v="2"/>
    <x v="216"/>
    <m/>
    <s v="000252"/>
    <s v="000132"/>
    <n v="1643.2"/>
    <s v="0,00"/>
    <s v="0,00"/>
    <s v="0,00"/>
    <s v="0,00"/>
    <s v="ORC2022_2"/>
    <s v="0012"/>
    <m/>
    <m/>
    <m/>
    <m/>
    <m/>
  </r>
  <r>
    <s v="ALUGUEIS, ARREND. E CONDOMINIOS"/>
    <x v="37"/>
    <x v="17"/>
    <n v="13157.75"/>
    <s v="0000000127"/>
    <s v="1453"/>
    <d v="2022-10-01T00:00:00"/>
    <s v="320401"/>
    <s v="201"/>
    <s v="90"/>
    <s v="Credito"/>
    <x v="2"/>
    <x v="216"/>
    <m/>
    <s v="000252"/>
    <s v="000132"/>
    <n v="13157.75"/>
    <s v="0,00"/>
    <s v="0,00"/>
    <s v="0,00"/>
    <s v="0,00"/>
    <s v="ORC2022_2"/>
    <s v="0012"/>
    <m/>
    <m/>
    <m/>
    <m/>
    <m/>
  </r>
  <r>
    <s v="ALUGUEIS, ARREND. E CONDOMINIOS"/>
    <x v="37"/>
    <x v="17"/>
    <n v="19728.03"/>
    <s v="0000000127"/>
    <s v="1454"/>
    <d v="2022-10-01T00:00:00"/>
    <s v="320401"/>
    <s v="301"/>
    <s v="90"/>
    <s v="Credito"/>
    <x v="2"/>
    <x v="216"/>
    <m/>
    <s v="000252"/>
    <s v="000132"/>
    <n v="19728.03"/>
    <s v="0,00"/>
    <s v="0,00"/>
    <s v="0,00"/>
    <s v="0,00"/>
    <s v="ORC2022_2"/>
    <s v="0012"/>
    <m/>
    <m/>
    <m/>
    <m/>
    <m/>
  </r>
  <r>
    <s v="ALUGUEIS, ARREND. E CONDOMINIOS"/>
    <x v="37"/>
    <x v="0"/>
    <n v="27375.64"/>
    <s v="0000000127"/>
    <s v="1455"/>
    <d v="2022-11-01T00:00:00"/>
    <s v="320401"/>
    <s v="301"/>
    <s v="11"/>
    <s v="Credito"/>
    <x v="2"/>
    <x v="216"/>
    <m/>
    <s v="000252"/>
    <s v="000132"/>
    <n v="27375.64"/>
    <s v="0,00"/>
    <s v="0,00"/>
    <s v="0,00"/>
    <s v="0,00"/>
    <s v="ORC2022_2"/>
    <s v="0012"/>
    <m/>
    <m/>
    <m/>
    <m/>
    <m/>
  </r>
  <r>
    <s v="ALUGUEIS, ARREND. E CONDOMINIOS"/>
    <x v="37"/>
    <x v="0"/>
    <n v="7025.83"/>
    <s v="0000000127"/>
    <s v="1456"/>
    <d v="2022-11-01T00:00:00"/>
    <s v="320401"/>
    <s v="304"/>
    <s v="11"/>
    <s v="Credito"/>
    <x v="2"/>
    <x v="216"/>
    <m/>
    <s v="000252"/>
    <s v="000132"/>
    <n v="7025.83"/>
    <s v="0,00"/>
    <s v="0,00"/>
    <s v="0,00"/>
    <s v="0,00"/>
    <s v="ORC2022_2"/>
    <s v="0012"/>
    <m/>
    <m/>
    <m/>
    <m/>
    <m/>
  </r>
  <r>
    <s v="ALUGUEIS, ARREND. E CONDOMINIOS"/>
    <x v="37"/>
    <x v="0"/>
    <n v="28766.29"/>
    <s v="0000000127"/>
    <s v="1457"/>
    <d v="2022-11-01T00:00:00"/>
    <s v="320401"/>
    <s v="305"/>
    <s v="21"/>
    <s v="Credito"/>
    <x v="2"/>
    <x v="216"/>
    <m/>
    <s v="000252"/>
    <s v="000132"/>
    <n v="28766.29"/>
    <s v="0,00"/>
    <s v="0,00"/>
    <s v="0,00"/>
    <s v="0,00"/>
    <s v="ORC2022_2"/>
    <s v="0012"/>
    <m/>
    <m/>
    <m/>
    <m/>
    <m/>
  </r>
  <r>
    <s v="ALUGUEIS, ARREND. E CONDOMINIOS"/>
    <x v="37"/>
    <x v="0"/>
    <n v="2914.14"/>
    <s v="0000000127"/>
    <s v="1458"/>
    <d v="2022-11-01T00:00:00"/>
    <s v="320401"/>
    <s v="305"/>
    <s v="32"/>
    <s v="Credito"/>
    <x v="2"/>
    <x v="216"/>
    <m/>
    <s v="000252"/>
    <s v="000132"/>
    <n v="2914.14"/>
    <s v="0,00"/>
    <s v="0,00"/>
    <s v="0,00"/>
    <s v="0,00"/>
    <s v="ORC2022_2"/>
    <s v="0012"/>
    <m/>
    <m/>
    <m/>
    <m/>
    <m/>
  </r>
  <r>
    <s v="ALUGUEIS, ARREND. E CONDOMINIOS"/>
    <x v="37"/>
    <x v="0"/>
    <n v="1659.63"/>
    <s v="0000000127"/>
    <s v="1459"/>
    <d v="2022-11-01T00:00:00"/>
    <s v="320401"/>
    <s v="301"/>
    <s v="42"/>
    <s v="Credito"/>
    <x v="2"/>
    <x v="216"/>
    <m/>
    <s v="000252"/>
    <s v="000132"/>
    <n v="1659.63"/>
    <s v="0,00"/>
    <s v="0,00"/>
    <s v="0,00"/>
    <s v="0,00"/>
    <s v="ORC2022_2"/>
    <s v="0012"/>
    <m/>
    <m/>
    <m/>
    <m/>
    <m/>
  </r>
  <r>
    <s v="ALUGUEIS, ARREND. E CONDOMINIOS"/>
    <x v="37"/>
    <x v="0"/>
    <n v="13289.33"/>
    <s v="0000000127"/>
    <s v="1460"/>
    <d v="2022-11-01T00:00:00"/>
    <s v="320401"/>
    <s v="201"/>
    <s v="90"/>
    <s v="Credito"/>
    <x v="2"/>
    <x v="216"/>
    <m/>
    <s v="000252"/>
    <s v="000132"/>
    <n v="13289.33"/>
    <s v="0,00"/>
    <s v="0,00"/>
    <s v="0,00"/>
    <s v="0,00"/>
    <s v="ORC2022_2"/>
    <s v="0012"/>
    <m/>
    <m/>
    <m/>
    <m/>
    <m/>
  </r>
  <r>
    <s v="ALUGUEIS, ARREND. E CONDOMINIOS"/>
    <x v="37"/>
    <x v="0"/>
    <n v="19925.310000000001"/>
    <s v="0000000127"/>
    <s v="1461"/>
    <d v="2022-11-01T00:00:00"/>
    <s v="320401"/>
    <s v="301"/>
    <s v="90"/>
    <s v="Credito"/>
    <x v="2"/>
    <x v="216"/>
    <m/>
    <s v="000252"/>
    <s v="000132"/>
    <n v="19925.310000000001"/>
    <s v="0,00"/>
    <s v="0,00"/>
    <s v="0,00"/>
    <s v="0,00"/>
    <s v="ORC2022_2"/>
    <s v="0012"/>
    <m/>
    <m/>
    <m/>
    <m/>
    <m/>
  </r>
  <r>
    <s v="ALUGUEIS, ARREND. E CONDOMINIOS"/>
    <x v="37"/>
    <x v="1"/>
    <n v="27649.39"/>
    <s v="0000000127"/>
    <s v="1462"/>
    <d v="2022-12-01T00:00:00"/>
    <s v="320401"/>
    <s v="301"/>
    <s v="11"/>
    <s v="Credito"/>
    <x v="2"/>
    <x v="216"/>
    <m/>
    <s v="000252"/>
    <s v="000132"/>
    <n v="27649.39"/>
    <s v="0,00"/>
    <s v="0,00"/>
    <s v="0,00"/>
    <s v="0,00"/>
    <s v="ORC2022_2"/>
    <s v="0012"/>
    <m/>
    <m/>
    <m/>
    <m/>
    <m/>
  </r>
  <r>
    <s v="ALUGUEIS, ARREND. E CONDOMINIOS"/>
    <x v="37"/>
    <x v="1"/>
    <n v="7096.08"/>
    <s v="0000000127"/>
    <s v="1463"/>
    <d v="2022-12-01T00:00:00"/>
    <s v="320401"/>
    <s v="304"/>
    <s v="11"/>
    <s v="Credito"/>
    <x v="2"/>
    <x v="216"/>
    <m/>
    <s v="000252"/>
    <s v="000132"/>
    <n v="7096.08"/>
    <s v="0,00"/>
    <s v="0,00"/>
    <s v="0,00"/>
    <s v="0,00"/>
    <s v="ORC2022_2"/>
    <s v="0012"/>
    <m/>
    <m/>
    <m/>
    <m/>
    <m/>
  </r>
  <r>
    <s v="ALUGUEIS, ARREND. E CONDOMINIOS"/>
    <x v="37"/>
    <x v="1"/>
    <n v="29053.95"/>
    <s v="0000000127"/>
    <s v="1464"/>
    <d v="2022-12-01T00:00:00"/>
    <s v="320401"/>
    <s v="305"/>
    <s v="21"/>
    <s v="Credito"/>
    <x v="2"/>
    <x v="216"/>
    <m/>
    <s v="000252"/>
    <s v="000132"/>
    <n v="29053.95"/>
    <s v="0,00"/>
    <s v="0,00"/>
    <s v="0,00"/>
    <s v="0,00"/>
    <s v="ORC2022_2"/>
    <s v="0012"/>
    <m/>
    <m/>
    <m/>
    <m/>
    <m/>
  </r>
  <r>
    <s v="ALUGUEIS, ARREND. E CONDOMINIOS"/>
    <x v="37"/>
    <x v="1"/>
    <n v="2943.28"/>
    <s v="0000000127"/>
    <s v="1465"/>
    <d v="2022-12-01T00:00:00"/>
    <s v="320401"/>
    <s v="305"/>
    <s v="32"/>
    <s v="Credito"/>
    <x v="2"/>
    <x v="216"/>
    <m/>
    <s v="000252"/>
    <s v="000132"/>
    <n v="2943.28"/>
    <s v="0,00"/>
    <s v="0,00"/>
    <s v="0,00"/>
    <s v="0,00"/>
    <s v="ORC2022_2"/>
    <s v="0012"/>
    <m/>
    <m/>
    <m/>
    <m/>
    <m/>
  </r>
  <r>
    <s v="ALUGUEIS, ARREND. E CONDOMINIOS"/>
    <x v="37"/>
    <x v="1"/>
    <n v="1676.23"/>
    <s v="0000000127"/>
    <s v="1466"/>
    <d v="2022-12-01T00:00:00"/>
    <s v="320401"/>
    <s v="301"/>
    <s v="42"/>
    <s v="Credito"/>
    <x v="2"/>
    <x v="216"/>
    <m/>
    <s v="000252"/>
    <s v="000132"/>
    <n v="1676.23"/>
    <s v="0,00"/>
    <s v="0,00"/>
    <s v="0,00"/>
    <s v="0,00"/>
    <s v="ORC2022_2"/>
    <s v="0012"/>
    <m/>
    <m/>
    <m/>
    <m/>
    <m/>
  </r>
  <r>
    <s v="ALUGUEIS, ARREND. E CONDOMINIOS"/>
    <x v="37"/>
    <x v="1"/>
    <n v="13422.23"/>
    <s v="0000000127"/>
    <s v="1467"/>
    <d v="2022-12-01T00:00:00"/>
    <s v="320401"/>
    <s v="201"/>
    <s v="90"/>
    <s v="Credito"/>
    <x v="2"/>
    <x v="216"/>
    <m/>
    <s v="000252"/>
    <s v="000132"/>
    <n v="13422.23"/>
    <s v="0,00"/>
    <s v="0,00"/>
    <s v="0,00"/>
    <s v="0,00"/>
    <s v="ORC2022_2"/>
    <s v="0012"/>
    <m/>
    <m/>
    <m/>
    <m/>
    <m/>
  </r>
  <r>
    <s v="ALUGUEIS, ARREND. E CONDOMINIOS"/>
    <x v="37"/>
    <x v="1"/>
    <n v="20124.560000000001"/>
    <s v="0000000127"/>
    <s v="1468"/>
    <d v="2022-12-01T00:00:00"/>
    <s v="320401"/>
    <s v="301"/>
    <s v="90"/>
    <s v="Credito"/>
    <x v="2"/>
    <x v="216"/>
    <m/>
    <s v="000252"/>
    <s v="000132"/>
    <n v="20124.560000000001"/>
    <s v="0,00"/>
    <s v="0,00"/>
    <s v="0,00"/>
    <s v="0,00"/>
    <s v="ORC2022_2"/>
    <s v="0012"/>
    <m/>
    <m/>
    <m/>
    <m/>
    <m/>
  </r>
  <r>
    <s v="UTILIDADES"/>
    <x v="38"/>
    <x v="8"/>
    <n v="12392.89"/>
    <s v="0000000127"/>
    <s v="1469"/>
    <d v="2022-01-01T00:00:00"/>
    <s v="320402"/>
    <s v="301"/>
    <s v="90"/>
    <s v="Credito"/>
    <x v="2"/>
    <x v="216"/>
    <m/>
    <s v="000252"/>
    <s v="000132"/>
    <n v="12392.89"/>
    <s v="0,00"/>
    <s v="0,00"/>
    <s v="0,00"/>
    <s v="0,00"/>
    <s v="ORC2022_2"/>
    <s v="0012"/>
    <m/>
    <m/>
    <m/>
    <m/>
    <m/>
  </r>
  <r>
    <s v="UTILIDADES"/>
    <x v="38"/>
    <x v="9"/>
    <n v="11800.26"/>
    <s v="0000000127"/>
    <s v="1470"/>
    <d v="2022-02-01T00:00:00"/>
    <s v="320402"/>
    <s v="301"/>
    <s v="90"/>
    <s v="Credito"/>
    <x v="2"/>
    <x v="216"/>
    <m/>
    <s v="000252"/>
    <s v="000132"/>
    <n v="11800.26"/>
    <s v="0,00"/>
    <s v="0,00"/>
    <s v="0,00"/>
    <s v="0,00"/>
    <s v="ORC2022_2"/>
    <s v="0012"/>
    <m/>
    <m/>
    <m/>
    <m/>
    <m/>
  </r>
  <r>
    <s v="UTILIDADES"/>
    <x v="38"/>
    <x v="10"/>
    <n v="9088.2900000000009"/>
    <s v="0000000127"/>
    <s v="1471"/>
    <d v="2022-03-01T00:00:00"/>
    <s v="320402"/>
    <s v="301"/>
    <s v="90"/>
    <s v="Credito"/>
    <x v="2"/>
    <x v="216"/>
    <m/>
    <s v="000252"/>
    <s v="000132"/>
    <n v="9088.2900000000009"/>
    <s v="0,00"/>
    <s v="0,00"/>
    <s v="0,00"/>
    <s v="0,00"/>
    <s v="ORC2022_2"/>
    <s v="0012"/>
    <m/>
    <m/>
    <m/>
    <m/>
    <m/>
  </r>
  <r>
    <s v="UTILIDADES"/>
    <x v="38"/>
    <x v="11"/>
    <n v="11594.4"/>
    <s v="0000000127"/>
    <s v="1472"/>
    <d v="2022-04-01T00:00:00"/>
    <s v="320402"/>
    <s v="301"/>
    <s v="90"/>
    <s v="Credito"/>
    <x v="2"/>
    <x v="216"/>
    <m/>
    <s v="000252"/>
    <s v="000132"/>
    <n v="11594.4"/>
    <s v="0,00"/>
    <s v="0,00"/>
    <s v="0,00"/>
    <s v="0,00"/>
    <s v="ORC2022_2"/>
    <s v="0012"/>
    <m/>
    <m/>
    <m/>
    <m/>
    <m/>
  </r>
  <r>
    <s v="UTILIDADES"/>
    <x v="38"/>
    <x v="12"/>
    <n v="11343.23"/>
    <s v="0000000127"/>
    <s v="1473"/>
    <d v="2022-05-01T00:00:00"/>
    <s v="320402"/>
    <s v="301"/>
    <s v="90"/>
    <s v="Credito"/>
    <x v="2"/>
    <x v="216"/>
    <m/>
    <s v="000252"/>
    <s v="000132"/>
    <n v="11343.23"/>
    <s v="0,00"/>
    <s v="0,00"/>
    <s v="0,00"/>
    <s v="0,00"/>
    <s v="ORC2022_2"/>
    <s v="0012"/>
    <m/>
    <m/>
    <m/>
    <m/>
    <m/>
  </r>
  <r>
    <s v="UTILIDADES"/>
    <x v="38"/>
    <x v="13"/>
    <n v="11816.69"/>
    <s v="0000000127"/>
    <s v="1474"/>
    <d v="2022-06-01T00:00:00"/>
    <s v="320402"/>
    <s v="301"/>
    <s v="90"/>
    <s v="Credito"/>
    <x v="2"/>
    <x v="216"/>
    <m/>
    <s v="000252"/>
    <s v="000132"/>
    <n v="11816.69"/>
    <s v="0,00"/>
    <s v="0,00"/>
    <s v="0,00"/>
    <s v="0,00"/>
    <s v="ORC2022_2"/>
    <s v="0012"/>
    <m/>
    <m/>
    <m/>
    <m/>
    <m/>
  </r>
  <r>
    <s v="UTILIDADES"/>
    <x v="38"/>
    <x v="14"/>
    <n v="12982.14"/>
    <s v="0000000127"/>
    <s v="1475"/>
    <d v="2022-07-01T00:00:00"/>
    <s v="320402"/>
    <s v="301"/>
    <s v="90"/>
    <s v="Credito"/>
    <x v="2"/>
    <x v="216"/>
    <m/>
    <s v="000252"/>
    <s v="000132"/>
    <n v="12982.14"/>
    <s v="0,00"/>
    <s v="0,00"/>
    <s v="0,00"/>
    <s v="0,00"/>
    <s v="ORC2022_2"/>
    <s v="0012"/>
    <m/>
    <m/>
    <m/>
    <m/>
    <m/>
  </r>
  <r>
    <s v="UTILIDADES"/>
    <x v="38"/>
    <x v="15"/>
    <n v="1957.88"/>
    <s v="0000000127"/>
    <s v="1476"/>
    <d v="2022-08-01T00:00:00"/>
    <s v="320402"/>
    <s v="201"/>
    <s v="90"/>
    <s v="Credito"/>
    <x v="2"/>
    <x v="216"/>
    <m/>
    <s v="000252"/>
    <s v="000132"/>
    <n v="1957.88"/>
    <s v="0,00"/>
    <s v="0,00"/>
    <s v="0,00"/>
    <s v="0,00"/>
    <s v="ORC2022_2"/>
    <s v="0012"/>
    <m/>
    <m/>
    <m/>
    <m/>
    <m/>
  </r>
  <r>
    <s v="UTILIDADES"/>
    <x v="38"/>
    <x v="15"/>
    <n v="10909.63"/>
    <s v="0000000127"/>
    <s v="1477"/>
    <d v="2022-08-01T00:00:00"/>
    <s v="320402"/>
    <s v="301"/>
    <s v="90"/>
    <s v="Credito"/>
    <x v="2"/>
    <x v="216"/>
    <m/>
    <s v="000252"/>
    <s v="000132"/>
    <n v="10909.63"/>
    <s v="0,00"/>
    <s v="0,00"/>
    <s v="0,00"/>
    <s v="0,00"/>
    <s v="ORC2022_2"/>
    <s v="0012"/>
    <m/>
    <m/>
    <m/>
    <m/>
    <m/>
  </r>
  <r>
    <s v="UTILIDADES"/>
    <x v="38"/>
    <x v="16"/>
    <n v="1957.88"/>
    <s v="0000000127"/>
    <s v="1478"/>
    <d v="2022-09-01T00:00:00"/>
    <s v="320402"/>
    <s v="201"/>
    <s v="90"/>
    <s v="Credito"/>
    <x v="2"/>
    <x v="216"/>
    <m/>
    <s v="000252"/>
    <s v="000132"/>
    <n v="1957.88"/>
    <s v="0,00"/>
    <s v="0,00"/>
    <s v="0,00"/>
    <s v="0,00"/>
    <s v="ORC2022_2"/>
    <s v="0012"/>
    <m/>
    <m/>
    <m/>
    <m/>
    <m/>
  </r>
  <r>
    <s v="UTILIDADES"/>
    <x v="38"/>
    <x v="16"/>
    <n v="14714.06"/>
    <s v="0000000127"/>
    <s v="1479"/>
    <d v="2022-09-01T00:00:00"/>
    <s v="320402"/>
    <s v="301"/>
    <s v="90"/>
    <s v="Credito"/>
    <x v="2"/>
    <x v="216"/>
    <m/>
    <s v="000252"/>
    <s v="000132"/>
    <n v="14714.06"/>
    <s v="0,00"/>
    <s v="0,00"/>
    <s v="0,00"/>
    <s v="0,00"/>
    <s v="ORC2022_2"/>
    <s v="0012"/>
    <m/>
    <m/>
    <m/>
    <m/>
    <m/>
  </r>
  <r>
    <s v="UTILIDADES"/>
    <x v="38"/>
    <x v="16"/>
    <n v="10728.99"/>
    <s v="0000000127"/>
    <s v="1480"/>
    <d v="2022-09-01T00:00:00"/>
    <s v="320402"/>
    <s v="302"/>
    <s v="90"/>
    <s v="Credito"/>
    <x v="2"/>
    <x v="216"/>
    <m/>
    <s v="000252"/>
    <s v="000132"/>
    <n v="10728.99"/>
    <s v="0,00"/>
    <s v="0,00"/>
    <s v="0,00"/>
    <s v="0,00"/>
    <s v="ORC2022_2"/>
    <s v="0012"/>
    <m/>
    <m/>
    <m/>
    <m/>
    <m/>
  </r>
  <r>
    <s v="UTILIDADES"/>
    <x v="38"/>
    <x v="17"/>
    <n v="1977.46"/>
    <s v="0000000127"/>
    <s v="1481"/>
    <d v="2022-10-01T00:00:00"/>
    <s v="320402"/>
    <s v="201"/>
    <s v="90"/>
    <s v="Credito"/>
    <x v="2"/>
    <x v="216"/>
    <m/>
    <s v="000252"/>
    <s v="000132"/>
    <n v="1977.46"/>
    <s v="0,00"/>
    <s v="0,00"/>
    <s v="0,00"/>
    <s v="0,00"/>
    <s v="ORC2022_2"/>
    <s v="0012"/>
    <m/>
    <m/>
    <m/>
    <m/>
    <m/>
  </r>
  <r>
    <s v="UTILIDADES"/>
    <x v="38"/>
    <x v="17"/>
    <n v="14861.2"/>
    <s v="0000000127"/>
    <s v="1482"/>
    <d v="2022-10-01T00:00:00"/>
    <s v="320402"/>
    <s v="301"/>
    <s v="90"/>
    <s v="Credito"/>
    <x v="2"/>
    <x v="216"/>
    <m/>
    <s v="000252"/>
    <s v="000132"/>
    <n v="14861.2"/>
    <s v="0,00"/>
    <s v="0,00"/>
    <s v="0,00"/>
    <s v="0,00"/>
    <s v="ORC2022_2"/>
    <s v="0012"/>
    <m/>
    <m/>
    <m/>
    <m/>
    <m/>
  </r>
  <r>
    <s v="UTILIDADES"/>
    <x v="38"/>
    <x v="17"/>
    <n v="10836.28"/>
    <s v="0000000127"/>
    <s v="1483"/>
    <d v="2022-10-01T00:00:00"/>
    <s v="320402"/>
    <s v="302"/>
    <s v="90"/>
    <s v="Credito"/>
    <x v="2"/>
    <x v="216"/>
    <m/>
    <s v="000252"/>
    <s v="000132"/>
    <n v="10836.28"/>
    <s v="0,00"/>
    <s v="0,00"/>
    <s v="0,00"/>
    <s v="0,00"/>
    <s v="ORC2022_2"/>
    <s v="0012"/>
    <m/>
    <m/>
    <m/>
    <m/>
    <m/>
  </r>
  <r>
    <s v="UTILIDADES"/>
    <x v="38"/>
    <x v="0"/>
    <n v="1997.23"/>
    <s v="0000000127"/>
    <s v="1484"/>
    <d v="2022-11-01T00:00:00"/>
    <s v="320402"/>
    <s v="201"/>
    <s v="90"/>
    <s v="Credito"/>
    <x v="2"/>
    <x v="216"/>
    <m/>
    <s v="000252"/>
    <s v="000132"/>
    <n v="1997.23"/>
    <s v="0,00"/>
    <s v="0,00"/>
    <s v="0,00"/>
    <s v="0,00"/>
    <s v="ORC2022_2"/>
    <s v="0012"/>
    <m/>
    <m/>
    <m/>
    <m/>
    <m/>
  </r>
  <r>
    <s v="UTILIDADES"/>
    <x v="38"/>
    <x v="0"/>
    <n v="15009.81"/>
    <s v="0000000127"/>
    <s v="1485"/>
    <d v="2022-11-01T00:00:00"/>
    <s v="320402"/>
    <s v="301"/>
    <s v="90"/>
    <s v="Credito"/>
    <x v="2"/>
    <x v="216"/>
    <m/>
    <s v="000252"/>
    <s v="000132"/>
    <n v="15009.81"/>
    <s v="0,00"/>
    <s v="0,00"/>
    <s v="0,00"/>
    <s v="0,00"/>
    <s v="ORC2022_2"/>
    <s v="0012"/>
    <m/>
    <m/>
    <m/>
    <m/>
    <m/>
  </r>
  <r>
    <s v="UTILIDADES"/>
    <x v="38"/>
    <x v="0"/>
    <n v="10944.64"/>
    <s v="0000000127"/>
    <s v="1486"/>
    <d v="2022-11-01T00:00:00"/>
    <s v="320402"/>
    <s v="302"/>
    <s v="90"/>
    <s v="Credito"/>
    <x v="2"/>
    <x v="216"/>
    <m/>
    <s v="000252"/>
    <s v="000132"/>
    <n v="10944.64"/>
    <s v="0,00"/>
    <s v="0,00"/>
    <s v="0,00"/>
    <s v="0,00"/>
    <s v="ORC2022_2"/>
    <s v="0012"/>
    <m/>
    <m/>
    <m/>
    <m/>
    <m/>
  </r>
  <r>
    <s v="UTILIDADES"/>
    <x v="38"/>
    <x v="1"/>
    <n v="2017.21"/>
    <s v="0000000127"/>
    <s v="1487"/>
    <d v="2022-12-01T00:00:00"/>
    <s v="320402"/>
    <s v="201"/>
    <s v="90"/>
    <s v="Credito"/>
    <x v="2"/>
    <x v="216"/>
    <m/>
    <s v="000252"/>
    <s v="000132"/>
    <n v="2017.21"/>
    <s v="0,00"/>
    <s v="0,00"/>
    <s v="0,00"/>
    <s v="0,00"/>
    <s v="ORC2022_2"/>
    <s v="0012"/>
    <m/>
    <m/>
    <m/>
    <m/>
    <m/>
  </r>
  <r>
    <s v="UTILIDADES"/>
    <x v="38"/>
    <x v="1"/>
    <n v="15159.91"/>
    <s v="0000000127"/>
    <s v="1488"/>
    <d v="2022-12-01T00:00:00"/>
    <s v="320402"/>
    <s v="301"/>
    <s v="90"/>
    <s v="Credito"/>
    <x v="2"/>
    <x v="216"/>
    <m/>
    <s v="000252"/>
    <s v="000132"/>
    <n v="15159.91"/>
    <s v="0,00"/>
    <s v="0,00"/>
    <s v="0,00"/>
    <s v="0,00"/>
    <s v="ORC2022_2"/>
    <s v="0012"/>
    <m/>
    <m/>
    <m/>
    <m/>
    <m/>
  </r>
  <r>
    <s v="UTILIDADES"/>
    <x v="38"/>
    <x v="1"/>
    <n v="11054.09"/>
    <s v="0000000127"/>
    <s v="1489"/>
    <d v="2022-12-01T00:00:00"/>
    <s v="320402"/>
    <s v="302"/>
    <s v="90"/>
    <s v="Credito"/>
    <x v="2"/>
    <x v="216"/>
    <m/>
    <s v="000252"/>
    <s v="000132"/>
    <n v="11054.09"/>
    <s v="0,00"/>
    <s v="0,00"/>
    <s v="0,00"/>
    <s v="0,00"/>
    <s v="ORC2022_2"/>
    <s v="0012"/>
    <m/>
    <m/>
    <m/>
    <m/>
    <m/>
  </r>
  <r>
    <s v="COMUNICACAO"/>
    <x v="39"/>
    <x v="8"/>
    <n v="1700"/>
    <s v="0000000127"/>
    <s v="1490"/>
    <d v="2022-01-01T00:00:00"/>
    <s v="320403"/>
    <s v="201"/>
    <s v="90"/>
    <s v="Credito"/>
    <x v="2"/>
    <x v="216"/>
    <m/>
    <s v="000252"/>
    <s v="000132"/>
    <n v="1700"/>
    <s v="0,00"/>
    <s v="0,00"/>
    <s v="0,00"/>
    <s v="0,00"/>
    <s v="ORC2022_2"/>
    <s v="0012"/>
    <m/>
    <m/>
    <m/>
    <m/>
    <m/>
  </r>
  <r>
    <s v="COMUNICACAO"/>
    <x v="39"/>
    <x v="9"/>
    <n v="596.86"/>
    <s v="0000000127"/>
    <s v="1491"/>
    <d v="2022-02-01T00:00:00"/>
    <s v="320403"/>
    <s v="301"/>
    <s v="90"/>
    <s v="Credito"/>
    <x v="2"/>
    <x v="216"/>
    <m/>
    <s v="000252"/>
    <s v="000132"/>
    <n v="596.86"/>
    <s v="0,00"/>
    <s v="0,00"/>
    <s v="0,00"/>
    <s v="0,00"/>
    <s v="ORC2022_2"/>
    <s v="0012"/>
    <m/>
    <m/>
    <m/>
    <m/>
    <m/>
  </r>
  <r>
    <s v="COMUNICACAO"/>
    <x v="39"/>
    <x v="10"/>
    <n v="520.70000000000005"/>
    <s v="0000000127"/>
    <s v="1492"/>
    <d v="2022-03-01T00:00:00"/>
    <s v="320403"/>
    <s v="304"/>
    <s v="11"/>
    <s v="Credito"/>
    <x v="2"/>
    <x v="216"/>
    <m/>
    <s v="000252"/>
    <s v="000132"/>
    <n v="520.70000000000005"/>
    <s v="0,00"/>
    <s v="0,00"/>
    <s v="0,00"/>
    <s v="0,00"/>
    <s v="ORC2022_2"/>
    <s v="0012"/>
    <m/>
    <m/>
    <m/>
    <m/>
    <m/>
  </r>
  <r>
    <s v="COMUNICACAO"/>
    <x v="39"/>
    <x v="10"/>
    <n v="1185.69"/>
    <s v="0000000127"/>
    <s v="1493"/>
    <d v="2022-03-01T00:00:00"/>
    <s v="320403"/>
    <s v="301"/>
    <s v="90"/>
    <s v="Credito"/>
    <x v="2"/>
    <x v="216"/>
    <m/>
    <s v="000252"/>
    <s v="000132"/>
    <n v="1185.69"/>
    <s v="0,00"/>
    <s v="0,00"/>
    <s v="0,00"/>
    <s v="0,00"/>
    <s v="ORC2022_2"/>
    <s v="0012"/>
    <m/>
    <m/>
    <m/>
    <m/>
    <m/>
  </r>
  <r>
    <s v="COMUNICACAO"/>
    <x v="39"/>
    <x v="11"/>
    <n v="1499.34"/>
    <s v="0000000127"/>
    <s v="1494"/>
    <d v="2022-04-01T00:00:00"/>
    <s v="320403"/>
    <s v="301"/>
    <s v="90"/>
    <s v="Credito"/>
    <x v="2"/>
    <x v="216"/>
    <m/>
    <s v="000252"/>
    <s v="000132"/>
    <n v="1499.34"/>
    <s v="0,00"/>
    <s v="0,00"/>
    <s v="0,00"/>
    <s v="0,00"/>
    <s v="ORC2022_2"/>
    <s v="0012"/>
    <m/>
    <m/>
    <m/>
    <m/>
    <m/>
  </r>
  <r>
    <s v="COMUNICACAO"/>
    <x v="39"/>
    <x v="12"/>
    <n v="209.12"/>
    <s v="0000000127"/>
    <s v="1495"/>
    <d v="2022-05-01T00:00:00"/>
    <s v="320403"/>
    <s v="201"/>
    <s v="90"/>
    <s v="Credito"/>
    <x v="2"/>
    <x v="216"/>
    <m/>
    <s v="000252"/>
    <s v="000132"/>
    <n v="209.12"/>
    <s v="0,00"/>
    <s v="0,00"/>
    <s v="0,00"/>
    <s v="0,00"/>
    <s v="ORC2022_2"/>
    <s v="0012"/>
    <m/>
    <m/>
    <m/>
    <m/>
    <m/>
  </r>
  <r>
    <s v="COMUNICACAO"/>
    <x v="39"/>
    <x v="12"/>
    <n v="9102.16"/>
    <s v="0000000127"/>
    <s v="1496"/>
    <d v="2022-05-01T00:00:00"/>
    <s v="320403"/>
    <s v="301"/>
    <s v="90"/>
    <s v="Credito"/>
    <x v="2"/>
    <x v="216"/>
    <m/>
    <s v="000252"/>
    <s v="000132"/>
    <n v="9102.16"/>
    <s v="0,00"/>
    <s v="0,00"/>
    <s v="0,00"/>
    <s v="0,00"/>
    <s v="ORC2022_2"/>
    <s v="0012"/>
    <m/>
    <m/>
    <m/>
    <m/>
    <m/>
  </r>
  <r>
    <s v="COMUNICACAO"/>
    <x v="39"/>
    <x v="13"/>
    <n v="2040.66"/>
    <s v="0000000127"/>
    <s v="1497"/>
    <d v="2022-06-01T00:00:00"/>
    <s v="320403"/>
    <s v="301"/>
    <s v="90"/>
    <s v="Credito"/>
    <x v="2"/>
    <x v="216"/>
    <m/>
    <s v="000252"/>
    <s v="000132"/>
    <n v="2040.66"/>
    <s v="0,00"/>
    <s v="0,00"/>
    <s v="0,00"/>
    <s v="0,00"/>
    <s v="ORC2022_2"/>
    <s v="0012"/>
    <m/>
    <m/>
    <m/>
    <m/>
    <m/>
  </r>
  <r>
    <s v="COMUNICACAO"/>
    <x v="39"/>
    <x v="14"/>
    <n v="4869.88"/>
    <s v="0000000127"/>
    <s v="1498"/>
    <d v="2022-07-01T00:00:00"/>
    <s v="320403"/>
    <s v="301"/>
    <s v="90"/>
    <s v="Credito"/>
    <x v="2"/>
    <x v="216"/>
    <m/>
    <s v="000252"/>
    <s v="000132"/>
    <n v="4869.88"/>
    <s v="0,00"/>
    <s v="0,00"/>
    <s v="0,00"/>
    <s v="0,00"/>
    <s v="ORC2022_2"/>
    <s v="0012"/>
    <m/>
    <m/>
    <m/>
    <m/>
    <m/>
  </r>
  <r>
    <s v="COMUNICACAO"/>
    <x v="39"/>
    <x v="15"/>
    <n v="560"/>
    <s v="0000000127"/>
    <s v="1499"/>
    <d v="2022-08-01T00:00:00"/>
    <s v="320403"/>
    <s v="301"/>
    <s v="11"/>
    <s v="Credito"/>
    <x v="2"/>
    <x v="216"/>
    <m/>
    <s v="000252"/>
    <s v="000132"/>
    <n v="560"/>
    <s v="0,00"/>
    <s v="0,00"/>
    <s v="0,00"/>
    <s v="0,00"/>
    <s v="ORC2022_2"/>
    <s v="0012"/>
    <m/>
    <m/>
    <m/>
    <m/>
    <m/>
  </r>
  <r>
    <s v="COMUNICACAO"/>
    <x v="39"/>
    <x v="15"/>
    <n v="158.15"/>
    <s v="0000000127"/>
    <s v="1500"/>
    <d v="2022-08-01T00:00:00"/>
    <s v="320403"/>
    <s v="201"/>
    <s v="90"/>
    <s v="Credito"/>
    <x v="2"/>
    <x v="216"/>
    <m/>
    <s v="000252"/>
    <s v="000132"/>
    <n v="158.15"/>
    <s v="0,00"/>
    <s v="0,00"/>
    <s v="0,00"/>
    <s v="0,00"/>
    <s v="ORC2022_2"/>
    <s v="0012"/>
    <m/>
    <m/>
    <m/>
    <m/>
    <m/>
  </r>
  <r>
    <s v="COMUNICACAO"/>
    <x v="39"/>
    <x v="15"/>
    <n v="2632"/>
    <s v="0000000127"/>
    <s v="1501"/>
    <d v="2022-08-01T00:00:00"/>
    <s v="320403"/>
    <s v="301"/>
    <s v="90"/>
    <s v="Credito"/>
    <x v="2"/>
    <x v="216"/>
    <m/>
    <s v="000252"/>
    <s v="000132"/>
    <n v="2632"/>
    <s v="0,00"/>
    <s v="0,00"/>
    <s v="0,00"/>
    <s v="0,00"/>
    <s v="ORC2022_2"/>
    <s v="0012"/>
    <m/>
    <m/>
    <m/>
    <m/>
    <m/>
  </r>
  <r>
    <s v="COMUNICACAO"/>
    <x v="39"/>
    <x v="16"/>
    <n v="893.83"/>
    <s v="0000000127"/>
    <s v="1502"/>
    <d v="2022-09-01T00:00:00"/>
    <s v="320403"/>
    <s v="201"/>
    <s v="90"/>
    <s v="Credito"/>
    <x v="2"/>
    <x v="216"/>
    <m/>
    <s v="000252"/>
    <s v="000132"/>
    <n v="893.83"/>
    <s v="0,00"/>
    <s v="0,00"/>
    <s v="0,00"/>
    <s v="0,00"/>
    <s v="ORC2022_2"/>
    <s v="0012"/>
    <m/>
    <m/>
    <m/>
    <m/>
    <m/>
  </r>
  <r>
    <s v="COMUNICACAO"/>
    <x v="39"/>
    <x v="16"/>
    <n v="741.03"/>
    <s v="0000000127"/>
    <s v="1503"/>
    <d v="2022-09-01T00:00:00"/>
    <s v="320403"/>
    <s v="301"/>
    <s v="90"/>
    <s v="Credito"/>
    <x v="2"/>
    <x v="216"/>
    <m/>
    <s v="000252"/>
    <s v="000132"/>
    <n v="741.03"/>
    <s v="0,00"/>
    <s v="0,00"/>
    <s v="0,00"/>
    <s v="0,00"/>
    <s v="ORC2022_2"/>
    <s v="0012"/>
    <m/>
    <m/>
    <m/>
    <m/>
    <m/>
  </r>
  <r>
    <s v="COMUNICACAO"/>
    <x v="39"/>
    <x v="17"/>
    <n v="902.77"/>
    <s v="0000000127"/>
    <s v="1504"/>
    <d v="2022-10-01T00:00:00"/>
    <s v="320403"/>
    <s v="201"/>
    <s v="90"/>
    <s v="Credito"/>
    <x v="2"/>
    <x v="216"/>
    <m/>
    <s v="000252"/>
    <s v="000132"/>
    <n v="902.77"/>
    <s v="0,00"/>
    <s v="0,00"/>
    <s v="0,00"/>
    <s v="0,00"/>
    <s v="ORC2022_2"/>
    <s v="0012"/>
    <m/>
    <m/>
    <m/>
    <m/>
    <m/>
  </r>
  <r>
    <s v="COMUNICACAO"/>
    <x v="39"/>
    <x v="17"/>
    <n v="748.44"/>
    <s v="0000000127"/>
    <s v="1505"/>
    <d v="2022-10-01T00:00:00"/>
    <s v="320403"/>
    <s v="301"/>
    <s v="90"/>
    <s v="Credito"/>
    <x v="2"/>
    <x v="216"/>
    <m/>
    <s v="000252"/>
    <s v="000132"/>
    <n v="748.44"/>
    <s v="0,00"/>
    <s v="0,00"/>
    <s v="0,00"/>
    <s v="0,00"/>
    <s v="ORC2022_2"/>
    <s v="0012"/>
    <m/>
    <m/>
    <m/>
    <m/>
    <m/>
  </r>
  <r>
    <s v="COMUNICACAO"/>
    <x v="39"/>
    <x v="0"/>
    <n v="911.8"/>
    <s v="0000000127"/>
    <s v="1506"/>
    <d v="2022-11-01T00:00:00"/>
    <s v="320403"/>
    <s v="201"/>
    <s v="90"/>
    <s v="Credito"/>
    <x v="2"/>
    <x v="216"/>
    <m/>
    <s v="000252"/>
    <s v="000132"/>
    <n v="911.8"/>
    <s v="0,00"/>
    <s v="0,00"/>
    <s v="0,00"/>
    <s v="0,00"/>
    <s v="ORC2022_2"/>
    <s v="0012"/>
    <m/>
    <m/>
    <m/>
    <m/>
    <m/>
  </r>
  <r>
    <s v="COMUNICACAO"/>
    <x v="39"/>
    <x v="0"/>
    <n v="755.92"/>
    <s v="0000000127"/>
    <s v="1507"/>
    <d v="2022-11-01T00:00:00"/>
    <s v="320403"/>
    <s v="301"/>
    <s v="90"/>
    <s v="Credito"/>
    <x v="2"/>
    <x v="216"/>
    <m/>
    <s v="000252"/>
    <s v="000132"/>
    <n v="755.92"/>
    <s v="0,00"/>
    <s v="0,00"/>
    <s v="0,00"/>
    <s v="0,00"/>
    <s v="ORC2022_2"/>
    <s v="0012"/>
    <m/>
    <m/>
    <m/>
    <m/>
    <m/>
  </r>
  <r>
    <s v="COMUNICACAO"/>
    <x v="39"/>
    <x v="1"/>
    <n v="920.91"/>
    <s v="0000000127"/>
    <s v="1508"/>
    <d v="2022-12-01T00:00:00"/>
    <s v="320403"/>
    <s v="201"/>
    <s v="90"/>
    <s v="Credito"/>
    <x v="2"/>
    <x v="216"/>
    <m/>
    <s v="000252"/>
    <s v="000132"/>
    <n v="920.91"/>
    <s v="0,00"/>
    <s v="0,00"/>
    <s v="0,00"/>
    <s v="0,00"/>
    <s v="ORC2022_2"/>
    <s v="0012"/>
    <m/>
    <m/>
    <m/>
    <m/>
    <m/>
  </r>
  <r>
    <s v="COMUNICACAO"/>
    <x v="39"/>
    <x v="1"/>
    <n v="763.48"/>
    <s v="0000000127"/>
    <s v="1509"/>
    <d v="2022-12-01T00:00:00"/>
    <s v="320403"/>
    <s v="301"/>
    <s v="90"/>
    <s v="Credito"/>
    <x v="2"/>
    <x v="216"/>
    <m/>
    <s v="000252"/>
    <s v="000132"/>
    <n v="763.48"/>
    <s v="0,00"/>
    <s v="0,00"/>
    <s v="0,00"/>
    <s v="0,00"/>
    <s v="ORC2022_2"/>
    <s v="0012"/>
    <m/>
    <m/>
    <m/>
    <m/>
    <m/>
  </r>
  <r>
    <s v="INFORMATICA"/>
    <x v="40"/>
    <x v="8"/>
    <n v="480.21"/>
    <s v="0000000127"/>
    <s v="1510"/>
    <d v="2022-01-01T00:00:00"/>
    <s v="320404"/>
    <s v="301"/>
    <s v="90"/>
    <s v="Credito"/>
    <x v="2"/>
    <x v="216"/>
    <m/>
    <s v="000252"/>
    <s v="000132"/>
    <n v="480.21"/>
    <s v="0,00"/>
    <s v="0,00"/>
    <s v="0,00"/>
    <s v="0,00"/>
    <s v="ORC2022_2"/>
    <s v="0012"/>
    <m/>
    <m/>
    <m/>
    <m/>
    <m/>
  </r>
  <r>
    <s v="INFORMATICA"/>
    <x v="40"/>
    <x v="9"/>
    <n v="193"/>
    <s v="0000000127"/>
    <s v="1511"/>
    <d v="2022-02-01T00:00:00"/>
    <s v="320404"/>
    <s v="304"/>
    <s v="11"/>
    <s v="Credito"/>
    <x v="2"/>
    <x v="216"/>
    <m/>
    <s v="000252"/>
    <s v="000132"/>
    <n v="193"/>
    <s v="0,00"/>
    <s v="0,00"/>
    <s v="0,00"/>
    <s v="0,00"/>
    <s v="ORC2022_2"/>
    <s v="0012"/>
    <m/>
    <m/>
    <m/>
    <m/>
    <m/>
  </r>
  <r>
    <s v="INFORMATICA"/>
    <x v="40"/>
    <x v="9"/>
    <n v="10.5"/>
    <s v="0000000127"/>
    <s v="1512"/>
    <d v="2022-02-01T00:00:00"/>
    <s v="320404"/>
    <s v="305"/>
    <s v="42"/>
    <s v="Credito"/>
    <x v="2"/>
    <x v="216"/>
    <m/>
    <s v="000252"/>
    <s v="000132"/>
    <n v="10.5"/>
    <s v="0,00"/>
    <s v="0,00"/>
    <s v="0,00"/>
    <s v="0,00"/>
    <s v="ORC2022_2"/>
    <s v="0012"/>
    <m/>
    <m/>
    <m/>
    <m/>
    <m/>
  </r>
  <r>
    <s v="INFORMATICA"/>
    <x v="40"/>
    <x v="9"/>
    <n v="1037.5"/>
    <s v="0000000127"/>
    <s v="1513"/>
    <d v="2022-02-01T00:00:00"/>
    <s v="320404"/>
    <s v="301"/>
    <s v="90"/>
    <s v="Credito"/>
    <x v="2"/>
    <x v="216"/>
    <m/>
    <s v="000252"/>
    <s v="000132"/>
    <n v="1037.5"/>
    <s v="0,00"/>
    <s v="0,00"/>
    <s v="0,00"/>
    <s v="0,00"/>
    <s v="ORC2022_2"/>
    <s v="0012"/>
    <m/>
    <m/>
    <m/>
    <m/>
    <m/>
  </r>
  <r>
    <s v="INFORMATICA"/>
    <x v="40"/>
    <x v="10"/>
    <n v="178.41"/>
    <s v="0000000127"/>
    <s v="1514"/>
    <d v="2022-03-01T00:00:00"/>
    <s v="320404"/>
    <s v="301"/>
    <s v="90"/>
    <s v="Credito"/>
    <x v="2"/>
    <x v="216"/>
    <m/>
    <s v="000252"/>
    <s v="000132"/>
    <n v="178.41"/>
    <s v="0,00"/>
    <s v="0,00"/>
    <s v="0,00"/>
    <s v="0,00"/>
    <s v="ORC2022_2"/>
    <s v="0012"/>
    <m/>
    <m/>
    <m/>
    <m/>
    <m/>
  </r>
  <r>
    <s v="INFORMATICA"/>
    <x v="40"/>
    <x v="13"/>
    <n v="65"/>
    <s v="0000000127"/>
    <s v="1515"/>
    <d v="2022-06-01T00:00:00"/>
    <s v="320404"/>
    <s v="301"/>
    <s v="90"/>
    <s v="Credito"/>
    <x v="2"/>
    <x v="216"/>
    <m/>
    <s v="000252"/>
    <s v="000132"/>
    <n v="65"/>
    <s v="0,00"/>
    <s v="0,00"/>
    <s v="0,00"/>
    <s v="0,00"/>
    <s v="ORC2022_2"/>
    <s v="0012"/>
    <m/>
    <m/>
    <m/>
    <m/>
    <m/>
  </r>
  <r>
    <s v="INFORMATICA"/>
    <x v="40"/>
    <x v="15"/>
    <n v="227.56"/>
    <s v="0000000127"/>
    <s v="1516"/>
    <d v="2022-08-01T00:00:00"/>
    <s v="320404"/>
    <s v="301"/>
    <s v="90"/>
    <s v="Credito"/>
    <x v="2"/>
    <x v="216"/>
    <m/>
    <s v="000252"/>
    <s v="000132"/>
    <n v="227.56"/>
    <s v="0,00"/>
    <s v="0,00"/>
    <s v="0,00"/>
    <s v="0,00"/>
    <s v="ORC2022_2"/>
    <s v="0012"/>
    <m/>
    <m/>
    <m/>
    <m/>
    <m/>
  </r>
  <r>
    <s v="INFORMATICA"/>
    <x v="40"/>
    <x v="16"/>
    <n v="580"/>
    <s v="0000000127"/>
    <s v="1517"/>
    <d v="2022-09-01T00:00:00"/>
    <s v="320404"/>
    <s v="301"/>
    <s v="90"/>
    <s v="Credito"/>
    <x v="2"/>
    <x v="216"/>
    <m/>
    <s v="000252"/>
    <s v="000132"/>
    <n v="580"/>
    <s v="0,00"/>
    <s v="0,00"/>
    <s v="0,00"/>
    <s v="0,00"/>
    <s v="ORC2022_2"/>
    <s v="0012"/>
    <m/>
    <m/>
    <m/>
    <m/>
    <m/>
  </r>
  <r>
    <s v="INFORMATICA"/>
    <x v="40"/>
    <x v="17"/>
    <n v="585.79999999999995"/>
    <s v="0000000127"/>
    <s v="1518"/>
    <d v="2022-10-01T00:00:00"/>
    <s v="320404"/>
    <s v="301"/>
    <s v="90"/>
    <s v="Credito"/>
    <x v="2"/>
    <x v="216"/>
    <m/>
    <s v="000252"/>
    <s v="000132"/>
    <n v="585.79999999999995"/>
    <s v="0,00"/>
    <s v="0,00"/>
    <s v="0,00"/>
    <s v="0,00"/>
    <s v="ORC2022_2"/>
    <s v="0012"/>
    <m/>
    <m/>
    <m/>
    <m/>
    <m/>
  </r>
  <r>
    <s v="INFORMATICA"/>
    <x v="40"/>
    <x v="0"/>
    <n v="591.66"/>
    <s v="0000000127"/>
    <s v="1519"/>
    <d v="2022-11-01T00:00:00"/>
    <s v="320404"/>
    <s v="301"/>
    <s v="90"/>
    <s v="Credito"/>
    <x v="2"/>
    <x v="216"/>
    <m/>
    <s v="000252"/>
    <s v="000132"/>
    <n v="591.66"/>
    <s v="0,00"/>
    <s v="0,00"/>
    <s v="0,00"/>
    <s v="0,00"/>
    <s v="ORC2022_2"/>
    <s v="0012"/>
    <m/>
    <m/>
    <m/>
    <m/>
    <m/>
  </r>
  <r>
    <s v="INFORMATICA"/>
    <x v="40"/>
    <x v="1"/>
    <n v="597.57000000000005"/>
    <s v="0000000127"/>
    <s v="1520"/>
    <d v="2022-12-01T00:00:00"/>
    <s v="320404"/>
    <s v="301"/>
    <s v="90"/>
    <s v="Credito"/>
    <x v="2"/>
    <x v="216"/>
    <m/>
    <s v="000252"/>
    <s v="000132"/>
    <n v="597.57000000000005"/>
    <s v="0,00"/>
    <s v="0,00"/>
    <s v="0,00"/>
    <s v="0,00"/>
    <s v="ORC2022_2"/>
    <s v="0012"/>
    <m/>
    <m/>
    <m/>
    <m/>
    <m/>
  </r>
  <r>
    <s v="PREMIO DE SEGUROS"/>
    <x v="41"/>
    <x v="8"/>
    <n v="20829.080000000002"/>
    <s v="0000000127"/>
    <s v="1521"/>
    <d v="2022-01-01T00:00:00"/>
    <s v="320405"/>
    <s v="301"/>
    <s v="11"/>
    <s v="Credito"/>
    <x v="2"/>
    <x v="216"/>
    <m/>
    <s v="000252"/>
    <s v="000132"/>
    <n v="20829.080000000002"/>
    <s v="0,00"/>
    <s v="0,00"/>
    <s v="0,00"/>
    <s v="0,00"/>
    <s v="ORC2022_2"/>
    <s v="0012"/>
    <m/>
    <m/>
    <m/>
    <m/>
    <m/>
  </r>
  <r>
    <s v="PREMIO DE SEGUROS"/>
    <x v="41"/>
    <x v="8"/>
    <n v="22370.83"/>
    <s v="0000000127"/>
    <s v="1522"/>
    <d v="2022-01-01T00:00:00"/>
    <s v="320405"/>
    <s v="201"/>
    <s v="90"/>
    <s v="Credito"/>
    <x v="2"/>
    <x v="216"/>
    <m/>
    <s v="000252"/>
    <s v="000132"/>
    <n v="22370.83"/>
    <s v="0,00"/>
    <s v="0,00"/>
    <s v="0,00"/>
    <s v="0,00"/>
    <s v="ORC2022_2"/>
    <s v="0012"/>
    <m/>
    <m/>
    <m/>
    <m/>
    <m/>
  </r>
  <r>
    <s v="PREMIO DE SEGUROS"/>
    <x v="41"/>
    <x v="9"/>
    <n v="20829.080000000002"/>
    <s v="0000000127"/>
    <s v="1523"/>
    <d v="2022-02-01T00:00:00"/>
    <s v="320405"/>
    <s v="301"/>
    <s v="11"/>
    <s v="Credito"/>
    <x v="2"/>
    <x v="216"/>
    <m/>
    <s v="000252"/>
    <s v="000132"/>
    <n v="20829.080000000002"/>
    <s v="0,00"/>
    <s v="0,00"/>
    <s v="0,00"/>
    <s v="0,00"/>
    <s v="ORC2022_2"/>
    <s v="0012"/>
    <m/>
    <m/>
    <m/>
    <m/>
    <m/>
  </r>
  <r>
    <s v="PREMIO DE SEGUROS"/>
    <x v="41"/>
    <x v="9"/>
    <n v="22370.83"/>
    <s v="0000000127"/>
    <s v="1524"/>
    <d v="2022-02-01T00:00:00"/>
    <s v="320405"/>
    <s v="301"/>
    <s v="21"/>
    <s v="Credito"/>
    <x v="2"/>
    <x v="216"/>
    <m/>
    <s v="000252"/>
    <s v="000132"/>
    <n v="22370.83"/>
    <s v="0,00"/>
    <s v="0,00"/>
    <s v="0,00"/>
    <s v="0,00"/>
    <s v="ORC2022_2"/>
    <s v="0012"/>
    <m/>
    <m/>
    <m/>
    <m/>
    <m/>
  </r>
  <r>
    <s v="PREMIO DE SEGUROS"/>
    <x v="41"/>
    <x v="10"/>
    <n v="20829.080000000002"/>
    <s v="0000000127"/>
    <s v="1525"/>
    <d v="2022-03-01T00:00:00"/>
    <s v="320405"/>
    <s v="301"/>
    <s v="11"/>
    <s v="Credito"/>
    <x v="2"/>
    <x v="216"/>
    <m/>
    <s v="000252"/>
    <s v="000132"/>
    <n v="20829.080000000002"/>
    <s v="0,00"/>
    <s v="0,00"/>
    <s v="0,00"/>
    <s v="0,00"/>
    <s v="ORC2022_2"/>
    <s v="0012"/>
    <m/>
    <m/>
    <m/>
    <m/>
    <m/>
  </r>
  <r>
    <s v="PREMIO DE SEGUROS"/>
    <x v="41"/>
    <x v="10"/>
    <n v="22370.83"/>
    <s v="0000000127"/>
    <s v="1526"/>
    <d v="2022-03-01T00:00:00"/>
    <s v="320405"/>
    <s v="305"/>
    <s v="21"/>
    <s v="Credito"/>
    <x v="2"/>
    <x v="216"/>
    <m/>
    <s v="000252"/>
    <s v="000132"/>
    <n v="22370.83"/>
    <s v="0,00"/>
    <s v="0,00"/>
    <s v="0,00"/>
    <s v="0,00"/>
    <s v="ORC2022_2"/>
    <s v="0012"/>
    <m/>
    <m/>
    <m/>
    <m/>
    <m/>
  </r>
  <r>
    <s v="PREMIO DE SEGUROS"/>
    <x v="41"/>
    <x v="11"/>
    <n v="20829.080000000002"/>
    <s v="0000000127"/>
    <s v="1527"/>
    <d v="2022-04-01T00:00:00"/>
    <s v="320405"/>
    <s v="304"/>
    <s v="11"/>
    <s v="Credito"/>
    <x v="2"/>
    <x v="216"/>
    <m/>
    <s v="000252"/>
    <s v="000132"/>
    <n v="20829.080000000002"/>
    <s v="0,00"/>
    <s v="0,00"/>
    <s v="0,00"/>
    <s v="0,00"/>
    <s v="ORC2022_2"/>
    <s v="0012"/>
    <m/>
    <m/>
    <m/>
    <m/>
    <m/>
  </r>
  <r>
    <s v="PREMIO DE SEGUROS"/>
    <x v="41"/>
    <x v="11"/>
    <n v="22370.83"/>
    <s v="0000000127"/>
    <s v="1528"/>
    <d v="2022-04-01T00:00:00"/>
    <s v="320405"/>
    <s v="305"/>
    <s v="90"/>
    <s v="Credito"/>
    <x v="2"/>
    <x v="216"/>
    <m/>
    <s v="000252"/>
    <s v="000132"/>
    <n v="22370.83"/>
    <s v="0,00"/>
    <s v="0,00"/>
    <s v="0,00"/>
    <s v="0,00"/>
    <s v="ORC2022_2"/>
    <s v="0012"/>
    <m/>
    <m/>
    <m/>
    <m/>
    <m/>
  </r>
  <r>
    <s v="PREMIO DE SEGUROS"/>
    <x v="41"/>
    <x v="12"/>
    <n v="20829.080000000002"/>
    <s v="0000000127"/>
    <s v="1529"/>
    <d v="2022-05-01T00:00:00"/>
    <s v="320405"/>
    <s v="301"/>
    <s v="11"/>
    <s v="Credito"/>
    <x v="2"/>
    <x v="216"/>
    <m/>
    <s v="000252"/>
    <s v="000132"/>
    <n v="20829.080000000002"/>
    <s v="0,00"/>
    <s v="0,00"/>
    <s v="0,00"/>
    <s v="0,00"/>
    <s v="ORC2022_2"/>
    <s v="0012"/>
    <m/>
    <m/>
    <m/>
    <m/>
    <m/>
  </r>
  <r>
    <s v="PREMIO DE SEGUROS"/>
    <x v="41"/>
    <x v="12"/>
    <n v="29393.41"/>
    <s v="0000000127"/>
    <s v="1530"/>
    <d v="2022-05-01T00:00:00"/>
    <s v="320405"/>
    <s v="301"/>
    <s v="90"/>
    <s v="Credito"/>
    <x v="2"/>
    <x v="216"/>
    <m/>
    <s v="000252"/>
    <s v="000132"/>
    <n v="29393.41"/>
    <s v="0,00"/>
    <s v="0,00"/>
    <s v="0,00"/>
    <s v="0,00"/>
    <s v="ORC2022_2"/>
    <s v="0012"/>
    <m/>
    <m/>
    <m/>
    <m/>
    <m/>
  </r>
  <r>
    <s v="PREMIO DE SEGUROS"/>
    <x v="41"/>
    <x v="13"/>
    <n v="30000.65"/>
    <s v="0000000127"/>
    <s v="1531"/>
    <d v="2022-06-01T00:00:00"/>
    <s v="320405"/>
    <s v="304"/>
    <s v="11"/>
    <s v="Credito"/>
    <x v="2"/>
    <x v="216"/>
    <m/>
    <s v="000252"/>
    <s v="000132"/>
    <n v="30000.65"/>
    <s v="0,00"/>
    <s v="0,00"/>
    <s v="0,00"/>
    <s v="0,00"/>
    <s v="ORC2022_2"/>
    <s v="0012"/>
    <m/>
    <m/>
    <m/>
    <m/>
    <m/>
  </r>
  <r>
    <s v="PREMIO DE SEGUROS"/>
    <x v="41"/>
    <x v="13"/>
    <n v="29393.41"/>
    <s v="0000000127"/>
    <s v="1532"/>
    <d v="2022-06-01T00:00:00"/>
    <s v="320405"/>
    <s v="305"/>
    <s v="21"/>
    <s v="Credito"/>
    <x v="2"/>
    <x v="216"/>
    <m/>
    <s v="000252"/>
    <s v="000132"/>
    <n v="29393.41"/>
    <s v="0,00"/>
    <s v="0,00"/>
    <s v="0,00"/>
    <s v="0,00"/>
    <s v="ORC2022_2"/>
    <s v="0012"/>
    <m/>
    <m/>
    <m/>
    <m/>
    <m/>
  </r>
  <r>
    <s v="PREMIO DE SEGUROS"/>
    <x v="41"/>
    <x v="14"/>
    <n v="31307.14"/>
    <s v="0000000127"/>
    <s v="1533"/>
    <d v="2022-07-01T00:00:00"/>
    <s v="320405"/>
    <s v="304"/>
    <s v="11"/>
    <s v="Credito"/>
    <x v="2"/>
    <x v="216"/>
    <m/>
    <s v="000252"/>
    <s v="000132"/>
    <n v="31307.14"/>
    <s v="0,00"/>
    <s v="0,00"/>
    <s v="0,00"/>
    <s v="0,00"/>
    <s v="ORC2022_2"/>
    <s v="0012"/>
    <m/>
    <m/>
    <m/>
    <m/>
    <m/>
  </r>
  <r>
    <s v="PREMIO DE SEGUROS"/>
    <x v="41"/>
    <x v="14"/>
    <n v="29393.41"/>
    <s v="0000000127"/>
    <s v="1534"/>
    <d v="2022-07-01T00:00:00"/>
    <s v="320405"/>
    <s v="305"/>
    <s v="21"/>
    <s v="Credito"/>
    <x v="2"/>
    <x v="216"/>
    <m/>
    <s v="000252"/>
    <s v="000132"/>
    <n v="29393.41"/>
    <s v="0,00"/>
    <s v="0,00"/>
    <s v="0,00"/>
    <s v="0,00"/>
    <s v="ORC2022_2"/>
    <s v="0012"/>
    <m/>
    <m/>
    <m/>
    <m/>
    <m/>
  </r>
  <r>
    <s v="PREMIO DE SEGUROS"/>
    <x v="41"/>
    <x v="14"/>
    <n v="5493.93"/>
    <s v="0000000127"/>
    <s v="1535"/>
    <d v="2022-07-01T00:00:00"/>
    <s v="320405"/>
    <s v="201"/>
    <s v="90"/>
    <s v="Credito"/>
    <x v="2"/>
    <x v="216"/>
    <m/>
    <s v="000252"/>
    <s v="000132"/>
    <n v="5493.93"/>
    <s v="0,00"/>
    <s v="0,00"/>
    <s v="0,00"/>
    <s v="0,00"/>
    <s v="ORC2022_2"/>
    <s v="0012"/>
    <m/>
    <m/>
    <m/>
    <m/>
    <m/>
  </r>
  <r>
    <s v="PREMIO DE SEGUROS"/>
    <x v="41"/>
    <x v="15"/>
    <n v="2775.05"/>
    <s v="0000000127"/>
    <s v="1536"/>
    <d v="2022-08-01T00:00:00"/>
    <s v="320405"/>
    <s v="301"/>
    <s v="11"/>
    <s v="Credito"/>
    <x v="2"/>
    <x v="216"/>
    <m/>
    <s v="000252"/>
    <s v="000132"/>
    <n v="2775.05"/>
    <s v="0,00"/>
    <s v="0,00"/>
    <s v="0,00"/>
    <s v="0,00"/>
    <s v="ORC2022_2"/>
    <s v="0012"/>
    <m/>
    <m/>
    <m/>
    <m/>
    <m/>
  </r>
  <r>
    <s v="PREMIO DE SEGUROS"/>
    <x v="41"/>
    <x v="15"/>
    <n v="30000.65"/>
    <s v="0000000127"/>
    <s v="1537"/>
    <d v="2022-08-01T00:00:00"/>
    <s v="320405"/>
    <s v="304"/>
    <s v="11"/>
    <s v="Credito"/>
    <x v="2"/>
    <x v="216"/>
    <m/>
    <s v="000252"/>
    <s v="000132"/>
    <n v="30000.65"/>
    <s v="0,00"/>
    <s v="0,00"/>
    <s v="0,00"/>
    <s v="0,00"/>
    <s v="ORC2022_2"/>
    <s v="0012"/>
    <m/>
    <m/>
    <m/>
    <m/>
    <m/>
  </r>
  <r>
    <s v="PREMIO DE SEGUROS"/>
    <x v="41"/>
    <x v="15"/>
    <n v="26674.53"/>
    <s v="0000000127"/>
    <s v="1538"/>
    <d v="2022-08-01T00:00:00"/>
    <s v="320405"/>
    <s v="305"/>
    <s v="21"/>
    <s v="Credito"/>
    <x v="2"/>
    <x v="216"/>
    <m/>
    <s v="000252"/>
    <s v="000132"/>
    <n v="26674.53"/>
    <s v="0,00"/>
    <s v="0,00"/>
    <s v="0,00"/>
    <s v="0,00"/>
    <s v="ORC2022_2"/>
    <s v="0012"/>
    <m/>
    <m/>
    <m/>
    <m/>
    <m/>
  </r>
  <r>
    <s v="PREMIO DE SEGUROS"/>
    <x v="41"/>
    <x v="16"/>
    <n v="27225.599999999999"/>
    <s v="0000000127"/>
    <s v="1539"/>
    <d v="2022-09-01T00:00:00"/>
    <s v="320405"/>
    <s v="304"/>
    <s v="11"/>
    <s v="Credito"/>
    <x v="2"/>
    <x v="216"/>
    <m/>
    <s v="000252"/>
    <s v="000132"/>
    <n v="27225.599999999999"/>
    <s v="0,00"/>
    <s v="0,00"/>
    <s v="0,00"/>
    <s v="0,00"/>
    <s v="ORC2022_2"/>
    <s v="0012"/>
    <m/>
    <m/>
    <m/>
    <m/>
    <m/>
  </r>
  <r>
    <s v="PREMIO DE SEGUROS"/>
    <x v="41"/>
    <x v="16"/>
    <n v="26674.53"/>
    <s v="0000000127"/>
    <s v="1540"/>
    <d v="2022-09-01T00:00:00"/>
    <s v="320405"/>
    <s v="305"/>
    <s v="21"/>
    <s v="Credito"/>
    <x v="2"/>
    <x v="216"/>
    <m/>
    <s v="000252"/>
    <s v="000132"/>
    <n v="26674.53"/>
    <s v="0,00"/>
    <s v="0,00"/>
    <s v="0,00"/>
    <s v="0,00"/>
    <s v="ORC2022_2"/>
    <s v="0012"/>
    <m/>
    <m/>
    <m/>
    <m/>
    <m/>
  </r>
  <r>
    <s v="PREMIO DE SEGUROS"/>
    <x v="41"/>
    <x v="17"/>
    <n v="27497.86"/>
    <s v="0000000127"/>
    <s v="1541"/>
    <d v="2022-10-01T00:00:00"/>
    <s v="320405"/>
    <s v="304"/>
    <s v="11"/>
    <s v="Credito"/>
    <x v="2"/>
    <x v="216"/>
    <m/>
    <s v="000252"/>
    <s v="000132"/>
    <n v="27497.86"/>
    <s v="0,00"/>
    <s v="0,00"/>
    <s v="0,00"/>
    <s v="0,00"/>
    <s v="ORC2022_2"/>
    <s v="0012"/>
    <m/>
    <m/>
    <m/>
    <m/>
    <m/>
  </r>
  <r>
    <s v="PREMIO DE SEGUROS"/>
    <x v="41"/>
    <x v="17"/>
    <n v="26941.279999999999"/>
    <s v="0000000127"/>
    <s v="1542"/>
    <d v="2022-10-01T00:00:00"/>
    <s v="320405"/>
    <s v="305"/>
    <s v="21"/>
    <s v="Credito"/>
    <x v="2"/>
    <x v="216"/>
    <m/>
    <s v="000252"/>
    <s v="000132"/>
    <n v="26941.279999999999"/>
    <s v="0,00"/>
    <s v="0,00"/>
    <s v="0,00"/>
    <s v="0,00"/>
    <s v="ORC2022_2"/>
    <s v="0012"/>
    <m/>
    <m/>
    <m/>
    <m/>
    <m/>
  </r>
  <r>
    <s v="PREMIO DE SEGUROS"/>
    <x v="41"/>
    <x v="0"/>
    <n v="27772.83"/>
    <s v="0000000127"/>
    <s v="1543"/>
    <d v="2022-11-01T00:00:00"/>
    <s v="320405"/>
    <s v="304"/>
    <s v="11"/>
    <s v="Credito"/>
    <x v="2"/>
    <x v="216"/>
    <m/>
    <s v="000252"/>
    <s v="000132"/>
    <n v="27772.83"/>
    <s v="0,00"/>
    <s v="0,00"/>
    <s v="0,00"/>
    <s v="0,00"/>
    <s v="ORC2022_2"/>
    <s v="0012"/>
    <m/>
    <m/>
    <m/>
    <m/>
    <m/>
  </r>
  <r>
    <s v="PREMIO DE SEGUROS"/>
    <x v="41"/>
    <x v="0"/>
    <n v="27210.69"/>
    <s v="0000000127"/>
    <s v="1544"/>
    <d v="2022-11-01T00:00:00"/>
    <s v="320405"/>
    <s v="305"/>
    <s v="21"/>
    <s v="Credito"/>
    <x v="2"/>
    <x v="216"/>
    <m/>
    <s v="000252"/>
    <s v="000132"/>
    <n v="27210.69"/>
    <s v="0,00"/>
    <s v="0,00"/>
    <s v="0,00"/>
    <s v="0,00"/>
    <s v="ORC2022_2"/>
    <s v="0012"/>
    <m/>
    <m/>
    <m/>
    <m/>
    <m/>
  </r>
  <r>
    <s v="PREMIO DE SEGUROS"/>
    <x v="41"/>
    <x v="1"/>
    <n v="28050.560000000001"/>
    <s v="0000000127"/>
    <s v="1545"/>
    <d v="2022-12-01T00:00:00"/>
    <s v="320405"/>
    <s v="304"/>
    <s v="11"/>
    <s v="Credito"/>
    <x v="2"/>
    <x v="216"/>
    <m/>
    <s v="000252"/>
    <s v="000132"/>
    <n v="28050.560000000001"/>
    <s v="0,00"/>
    <s v="0,00"/>
    <s v="0,00"/>
    <s v="0,00"/>
    <s v="ORC2022_2"/>
    <s v="0012"/>
    <m/>
    <m/>
    <m/>
    <m/>
    <m/>
  </r>
  <r>
    <s v="PREMIO DE SEGUROS"/>
    <x v="41"/>
    <x v="1"/>
    <n v="27482.79"/>
    <s v="0000000127"/>
    <s v="1546"/>
    <d v="2022-12-01T00:00:00"/>
    <s v="320405"/>
    <s v="305"/>
    <s v="21"/>
    <s v="Credito"/>
    <x v="2"/>
    <x v="216"/>
    <m/>
    <s v="000252"/>
    <s v="000132"/>
    <n v="27482.79"/>
    <s v="0,00"/>
    <s v="0,00"/>
    <s v="0,00"/>
    <s v="0,00"/>
    <s v="ORC2022_2"/>
    <s v="0012"/>
    <m/>
    <m/>
    <m/>
    <m/>
    <m/>
  </r>
  <r>
    <s v="MANUTENCAO E CONSERVACAO"/>
    <x v="42"/>
    <x v="8"/>
    <n v="103.62"/>
    <s v="0000000127"/>
    <s v="1547"/>
    <d v="2022-01-01T00:00:00"/>
    <s v="320406"/>
    <s v="302"/>
    <s v="11"/>
    <s v="Credito"/>
    <x v="2"/>
    <x v="216"/>
    <m/>
    <s v="000252"/>
    <s v="000132"/>
    <n v="103.62"/>
    <s v="0,00"/>
    <s v="0,00"/>
    <s v="0,00"/>
    <s v="0,00"/>
    <s v="ORC2022_2"/>
    <s v="0012"/>
    <m/>
    <m/>
    <m/>
    <m/>
    <m/>
  </r>
  <r>
    <s v="MANUTENCAO E CONSERVACAO"/>
    <x v="42"/>
    <x v="8"/>
    <n v="3339.4"/>
    <s v="0000000127"/>
    <s v="1548"/>
    <d v="2022-01-01T00:00:00"/>
    <s v="320406"/>
    <s v="304"/>
    <s v="11"/>
    <s v="Credito"/>
    <x v="2"/>
    <x v="216"/>
    <m/>
    <s v="000252"/>
    <s v="000132"/>
    <n v="3339.4"/>
    <s v="0,00"/>
    <s v="0,00"/>
    <s v="0,00"/>
    <s v="0,00"/>
    <s v="ORC2022_2"/>
    <s v="0012"/>
    <m/>
    <m/>
    <m/>
    <m/>
    <m/>
  </r>
  <r>
    <s v="MANUTENCAO E CONSERVACAO"/>
    <x v="42"/>
    <x v="8"/>
    <n v="513.71"/>
    <s v="0000000127"/>
    <s v="1549"/>
    <d v="2022-01-01T00:00:00"/>
    <s v="320406"/>
    <s v="303"/>
    <s v="21"/>
    <s v="Credito"/>
    <x v="2"/>
    <x v="216"/>
    <m/>
    <s v="000252"/>
    <s v="000132"/>
    <n v="513.71"/>
    <s v="0,00"/>
    <s v="0,00"/>
    <s v="0,00"/>
    <s v="0,00"/>
    <s v="ORC2022_2"/>
    <s v="0012"/>
    <m/>
    <m/>
    <m/>
    <m/>
    <m/>
  </r>
  <r>
    <s v="MANUTENCAO E CONSERVACAO"/>
    <x v="42"/>
    <x v="8"/>
    <n v="808.12"/>
    <s v="0000000127"/>
    <s v="1550"/>
    <d v="2022-01-01T00:00:00"/>
    <s v="320406"/>
    <s v="301"/>
    <s v="90"/>
    <s v="Credito"/>
    <x v="2"/>
    <x v="216"/>
    <m/>
    <s v="000252"/>
    <s v="000132"/>
    <n v="808.12"/>
    <s v="0,00"/>
    <s v="0,00"/>
    <s v="0,00"/>
    <s v="0,00"/>
    <s v="ORC2022_2"/>
    <s v="0012"/>
    <m/>
    <m/>
    <m/>
    <m/>
    <m/>
  </r>
  <r>
    <s v="MANUTENCAO E CONSERVACAO"/>
    <x v="42"/>
    <x v="9"/>
    <n v="721.47"/>
    <s v="0000000127"/>
    <s v="1551"/>
    <d v="2022-02-01T00:00:00"/>
    <s v="320406"/>
    <s v="304"/>
    <s v="11"/>
    <s v="Credito"/>
    <x v="2"/>
    <x v="216"/>
    <m/>
    <s v="000252"/>
    <s v="000132"/>
    <n v="721.47"/>
    <s v="0,00"/>
    <s v="0,00"/>
    <s v="0,00"/>
    <s v="0,00"/>
    <s v="ORC2022_2"/>
    <s v="0012"/>
    <m/>
    <m/>
    <m/>
    <m/>
    <m/>
  </r>
  <r>
    <s v="MANUTENCAO E CONSERVACAO"/>
    <x v="42"/>
    <x v="9"/>
    <n v="247.19"/>
    <s v="0000000127"/>
    <s v="1552"/>
    <d v="2022-02-01T00:00:00"/>
    <s v="320406"/>
    <s v="303"/>
    <s v="21"/>
    <s v="Credito"/>
    <x v="2"/>
    <x v="216"/>
    <m/>
    <s v="000252"/>
    <s v="000132"/>
    <n v="247.19"/>
    <s v="0,00"/>
    <s v="0,00"/>
    <s v="0,00"/>
    <s v="0,00"/>
    <s v="ORC2022_2"/>
    <s v="0012"/>
    <m/>
    <m/>
    <m/>
    <m/>
    <m/>
  </r>
  <r>
    <s v="MANUTENCAO E CONSERVACAO"/>
    <x v="42"/>
    <x v="9"/>
    <n v="211"/>
    <s v="0000000127"/>
    <s v="1553"/>
    <d v="2022-02-01T00:00:00"/>
    <s v="320406"/>
    <s v="301"/>
    <s v="90"/>
    <s v="Credito"/>
    <x v="2"/>
    <x v="216"/>
    <m/>
    <s v="000252"/>
    <s v="000132"/>
    <n v="211"/>
    <s v="0,00"/>
    <s v="0,00"/>
    <s v="0,00"/>
    <s v="0,00"/>
    <s v="ORC2022_2"/>
    <s v="0012"/>
    <m/>
    <m/>
    <m/>
    <m/>
    <m/>
  </r>
  <r>
    <s v="MANUTENCAO E CONSERVACAO"/>
    <x v="42"/>
    <x v="11"/>
    <n v="559.35"/>
    <s v="0000000127"/>
    <s v="1554"/>
    <d v="2022-04-01T00:00:00"/>
    <s v="320406"/>
    <s v="302"/>
    <s v="11"/>
    <s v="Credito"/>
    <x v="2"/>
    <x v="216"/>
    <m/>
    <s v="000252"/>
    <s v="000132"/>
    <n v="559.35"/>
    <s v="0,00"/>
    <s v="0,00"/>
    <s v="0,00"/>
    <s v="0,00"/>
    <s v="ORC2022_2"/>
    <s v="0012"/>
    <m/>
    <m/>
    <m/>
    <m/>
    <m/>
  </r>
  <r>
    <s v="MANUTENCAO E CONSERVACAO"/>
    <x v="42"/>
    <x v="11"/>
    <n v="25.32"/>
    <s v="0000000127"/>
    <s v="1555"/>
    <d v="2022-04-01T00:00:00"/>
    <s v="320406"/>
    <s v="304"/>
    <s v="11"/>
    <s v="Credito"/>
    <x v="2"/>
    <x v="216"/>
    <m/>
    <s v="000252"/>
    <s v="000132"/>
    <n v="25.32"/>
    <s v="0,00"/>
    <s v="0,00"/>
    <s v="0,00"/>
    <s v="0,00"/>
    <s v="ORC2022_2"/>
    <s v="0012"/>
    <m/>
    <m/>
    <m/>
    <m/>
    <m/>
  </r>
  <r>
    <s v="MANUTENCAO E CONSERVACAO"/>
    <x v="42"/>
    <x v="11"/>
    <n v="53.26"/>
    <s v="0000000127"/>
    <s v="1556"/>
    <d v="2022-04-01T00:00:00"/>
    <s v="320406"/>
    <s v="301"/>
    <s v="90"/>
    <s v="Credito"/>
    <x v="2"/>
    <x v="216"/>
    <m/>
    <s v="000252"/>
    <s v="000132"/>
    <n v="53.26"/>
    <s v="0,00"/>
    <s v="0,00"/>
    <s v="0,00"/>
    <s v="0,00"/>
    <s v="ORC2022_2"/>
    <s v="0012"/>
    <m/>
    <m/>
    <m/>
    <m/>
    <m/>
  </r>
  <r>
    <s v="MANUTENCAO E CONSERVACAO"/>
    <x v="42"/>
    <x v="11"/>
    <n v="488.05"/>
    <s v="0000000127"/>
    <s v="1557"/>
    <d v="2022-04-01T00:00:00"/>
    <s v="320406"/>
    <s v="302"/>
    <s v="90"/>
    <s v="Credito"/>
    <x v="2"/>
    <x v="216"/>
    <m/>
    <s v="000252"/>
    <s v="000132"/>
    <n v="488.05"/>
    <s v="0,00"/>
    <s v="0,00"/>
    <s v="0,00"/>
    <s v="0,00"/>
    <s v="ORC2022_2"/>
    <s v="0012"/>
    <m/>
    <m/>
    <m/>
    <m/>
    <m/>
  </r>
  <r>
    <s v="MANUTENCAO E CONSERVACAO"/>
    <x v="42"/>
    <x v="12"/>
    <n v="150"/>
    <s v="0000000127"/>
    <s v="1558"/>
    <d v="2022-05-01T00:00:00"/>
    <s v="320406"/>
    <s v="302"/>
    <s v="11"/>
    <s v="Credito"/>
    <x v="2"/>
    <x v="216"/>
    <m/>
    <s v="000252"/>
    <s v="000132"/>
    <n v="150"/>
    <s v="0,00"/>
    <s v="0,00"/>
    <s v="0,00"/>
    <s v="0,00"/>
    <s v="ORC2022_2"/>
    <s v="0012"/>
    <m/>
    <m/>
    <m/>
    <m/>
    <m/>
  </r>
  <r>
    <s v="MANUTENCAO E CONSERVACAO"/>
    <x v="42"/>
    <x v="12"/>
    <n v="17.54"/>
    <s v="0000000127"/>
    <s v="1559"/>
    <d v="2022-05-01T00:00:00"/>
    <s v="320406"/>
    <s v="304"/>
    <s v="11"/>
    <s v="Credito"/>
    <x v="2"/>
    <x v="216"/>
    <m/>
    <s v="000252"/>
    <s v="000132"/>
    <n v="17.54"/>
    <s v="0,00"/>
    <s v="0,00"/>
    <s v="0,00"/>
    <s v="0,00"/>
    <s v="ORC2022_2"/>
    <s v="0012"/>
    <m/>
    <m/>
    <m/>
    <m/>
    <m/>
  </r>
  <r>
    <s v="MANUTENCAO E CONSERVACAO"/>
    <x v="42"/>
    <x v="12"/>
    <n v="7.25"/>
    <s v="0000000127"/>
    <s v="1560"/>
    <d v="2022-05-01T00:00:00"/>
    <s v="320406"/>
    <s v="301"/>
    <s v="90"/>
    <s v="Credito"/>
    <x v="2"/>
    <x v="216"/>
    <m/>
    <s v="000252"/>
    <s v="000132"/>
    <n v="7.25"/>
    <s v="0,00"/>
    <s v="0,00"/>
    <s v="0,00"/>
    <s v="0,00"/>
    <s v="ORC2022_2"/>
    <s v="0012"/>
    <m/>
    <m/>
    <m/>
    <m/>
    <m/>
  </r>
  <r>
    <s v="MANUTENCAO E CONSERVACAO"/>
    <x v="42"/>
    <x v="13"/>
    <n v="1744.93"/>
    <s v="0000000127"/>
    <s v="1561"/>
    <d v="2022-06-01T00:00:00"/>
    <s v="320406"/>
    <s v="304"/>
    <s v="11"/>
    <s v="Credito"/>
    <x v="2"/>
    <x v="216"/>
    <m/>
    <s v="000252"/>
    <s v="000132"/>
    <n v="1744.93"/>
    <s v="0,00"/>
    <s v="0,00"/>
    <s v="0,00"/>
    <s v="0,00"/>
    <s v="ORC2022_2"/>
    <s v="0012"/>
    <m/>
    <m/>
    <m/>
    <m/>
    <m/>
  </r>
  <r>
    <s v="MANUTENCAO E CONSERVACAO"/>
    <x v="42"/>
    <x v="13"/>
    <n v="65.78"/>
    <s v="0000000127"/>
    <s v="1562"/>
    <d v="2022-06-01T00:00:00"/>
    <s v="320406"/>
    <s v="303"/>
    <s v="21"/>
    <s v="Credito"/>
    <x v="2"/>
    <x v="216"/>
    <m/>
    <s v="000252"/>
    <s v="000132"/>
    <n v="65.78"/>
    <s v="0,00"/>
    <s v="0,00"/>
    <s v="0,00"/>
    <s v="0,00"/>
    <s v="ORC2022_2"/>
    <s v="0012"/>
    <m/>
    <m/>
    <m/>
    <m/>
    <m/>
  </r>
  <r>
    <s v="MANUTENCAO E CONSERVACAO"/>
    <x v="42"/>
    <x v="13"/>
    <n v="411.39"/>
    <s v="0000000127"/>
    <s v="1563"/>
    <d v="2022-06-01T00:00:00"/>
    <s v="320406"/>
    <s v="302"/>
    <s v="90"/>
    <s v="Credito"/>
    <x v="2"/>
    <x v="216"/>
    <m/>
    <s v="000252"/>
    <s v="000132"/>
    <n v="411.39"/>
    <s v="0,00"/>
    <s v="0,00"/>
    <s v="0,00"/>
    <s v="0,00"/>
    <s v="ORC2022_2"/>
    <s v="0012"/>
    <m/>
    <m/>
    <m/>
    <m/>
    <m/>
  </r>
  <r>
    <s v="MANUTENCAO E CONSERVACAO"/>
    <x v="42"/>
    <x v="14"/>
    <n v="2761.44"/>
    <s v="0000000127"/>
    <s v="1564"/>
    <d v="2022-07-01T00:00:00"/>
    <s v="320406"/>
    <s v="302"/>
    <s v="11"/>
    <s v="Credito"/>
    <x v="2"/>
    <x v="216"/>
    <m/>
    <s v="000252"/>
    <s v="000132"/>
    <n v="2761.44"/>
    <s v="0,00"/>
    <s v="0,00"/>
    <s v="0,00"/>
    <s v="0,00"/>
    <s v="ORC2022_2"/>
    <s v="0012"/>
    <m/>
    <m/>
    <m/>
    <m/>
    <m/>
  </r>
  <r>
    <s v="MANUTENCAO E CONSERVACAO"/>
    <x v="42"/>
    <x v="14"/>
    <n v="3735.13"/>
    <s v="0000000127"/>
    <s v="1565"/>
    <d v="2022-07-01T00:00:00"/>
    <s v="320406"/>
    <s v="304"/>
    <s v="11"/>
    <s v="Credito"/>
    <x v="2"/>
    <x v="216"/>
    <m/>
    <s v="000252"/>
    <s v="000132"/>
    <n v="3735.13"/>
    <s v="0,00"/>
    <s v="0,00"/>
    <s v="0,00"/>
    <s v="0,00"/>
    <s v="ORC2022_2"/>
    <s v="0012"/>
    <m/>
    <m/>
    <m/>
    <m/>
    <m/>
  </r>
  <r>
    <s v="MANUTENCAO E CONSERVACAO"/>
    <x v="42"/>
    <x v="14"/>
    <n v="1358.2"/>
    <s v="0000000127"/>
    <s v="1566"/>
    <d v="2022-07-01T00:00:00"/>
    <s v="320406"/>
    <s v="301"/>
    <s v="90"/>
    <s v="Credito"/>
    <x v="2"/>
    <x v="216"/>
    <m/>
    <s v="000252"/>
    <s v="000132"/>
    <n v="1358.2"/>
    <s v="0,00"/>
    <s v="0,00"/>
    <s v="0,00"/>
    <s v="0,00"/>
    <s v="ORC2022_2"/>
    <s v="0012"/>
    <m/>
    <m/>
    <m/>
    <m/>
    <m/>
  </r>
  <r>
    <s v="MANUTENCAO E CONSERVACAO"/>
    <x v="42"/>
    <x v="15"/>
    <n v="641.23"/>
    <s v="0000000127"/>
    <s v="1567"/>
    <d v="2022-08-01T00:00:00"/>
    <s v="320406"/>
    <s v="302"/>
    <s v="11"/>
    <s v="Credito"/>
    <x v="2"/>
    <x v="216"/>
    <m/>
    <s v="000252"/>
    <s v="000132"/>
    <n v="641.23"/>
    <s v="0,00"/>
    <s v="0,00"/>
    <s v="0,00"/>
    <s v="0,00"/>
    <s v="ORC2022_2"/>
    <s v="0012"/>
    <m/>
    <m/>
    <m/>
    <m/>
    <m/>
  </r>
  <r>
    <s v="MANUTENCAO E CONSERVACAO"/>
    <x v="42"/>
    <x v="15"/>
    <n v="2245.12"/>
    <s v="0000000127"/>
    <s v="1568"/>
    <d v="2022-08-01T00:00:00"/>
    <s v="320406"/>
    <s v="304"/>
    <s v="11"/>
    <s v="Credito"/>
    <x v="2"/>
    <x v="216"/>
    <m/>
    <s v="000252"/>
    <s v="000132"/>
    <n v="2245.12"/>
    <s v="0,00"/>
    <s v="0,00"/>
    <s v="0,00"/>
    <s v="0,00"/>
    <s v="ORC2022_2"/>
    <s v="0012"/>
    <m/>
    <m/>
    <m/>
    <m/>
    <m/>
  </r>
  <r>
    <s v="MANUTENCAO E CONSERVACAO"/>
    <x v="42"/>
    <x v="15"/>
    <n v="412.42"/>
    <s v="0000000127"/>
    <s v="1569"/>
    <d v="2022-08-01T00:00:00"/>
    <s v="320406"/>
    <s v="304"/>
    <s v="21"/>
    <s v="Credito"/>
    <x v="2"/>
    <x v="216"/>
    <m/>
    <s v="000252"/>
    <s v="000132"/>
    <n v="412.42"/>
    <s v="0,00"/>
    <s v="0,00"/>
    <s v="0,00"/>
    <s v="0,00"/>
    <s v="ORC2022_2"/>
    <s v="0012"/>
    <m/>
    <m/>
    <m/>
    <m/>
    <m/>
  </r>
  <r>
    <s v="MANUTENCAO E CONSERVACAO"/>
    <x v="42"/>
    <x v="15"/>
    <n v="167.8"/>
    <s v="0000000127"/>
    <s v="1570"/>
    <d v="2022-08-01T00:00:00"/>
    <s v="320406"/>
    <s v="305"/>
    <s v="21"/>
    <s v="Credito"/>
    <x v="2"/>
    <x v="216"/>
    <m/>
    <s v="000252"/>
    <s v="000132"/>
    <n v="167.8"/>
    <s v="0,00"/>
    <s v="0,00"/>
    <s v="0,00"/>
    <s v="0,00"/>
    <s v="ORC2022_2"/>
    <s v="0012"/>
    <m/>
    <m/>
    <m/>
    <m/>
    <m/>
  </r>
  <r>
    <s v="MANUTENCAO E CONSERVACAO"/>
    <x v="42"/>
    <x v="15"/>
    <n v="167.04"/>
    <s v="0000000127"/>
    <s v="1571"/>
    <d v="2022-08-01T00:00:00"/>
    <s v="320406"/>
    <s v="305"/>
    <s v="31"/>
    <s v="Credito"/>
    <x v="2"/>
    <x v="216"/>
    <m/>
    <s v="000252"/>
    <s v="000132"/>
    <n v="167.04"/>
    <s v="0,00"/>
    <s v="0,00"/>
    <s v="0,00"/>
    <s v="0,00"/>
    <s v="ORC2022_2"/>
    <s v="0012"/>
    <m/>
    <m/>
    <m/>
    <m/>
    <m/>
  </r>
  <r>
    <s v="MANUTENCAO E CONSERVACAO"/>
    <x v="42"/>
    <x v="16"/>
    <n v="695.43"/>
    <s v="0000000127"/>
    <s v="1572"/>
    <d v="2022-09-01T00:00:00"/>
    <s v="320406"/>
    <s v="302"/>
    <s v="11"/>
    <s v="Credito"/>
    <x v="2"/>
    <x v="216"/>
    <m/>
    <s v="000252"/>
    <s v="000132"/>
    <n v="695.43"/>
    <s v="0,00"/>
    <s v="0,00"/>
    <s v="0,00"/>
    <s v="0,00"/>
    <s v="ORC2022_2"/>
    <s v="0012"/>
    <m/>
    <m/>
    <m/>
    <m/>
    <m/>
  </r>
  <r>
    <s v="MANUTENCAO E CONSERVACAO"/>
    <x v="42"/>
    <x v="16"/>
    <n v="295.86"/>
    <s v="0000000127"/>
    <s v="1573"/>
    <d v="2022-09-01T00:00:00"/>
    <s v="320406"/>
    <s v="304"/>
    <s v="11"/>
    <s v="Credito"/>
    <x v="2"/>
    <x v="216"/>
    <m/>
    <s v="000252"/>
    <s v="000132"/>
    <n v="295.86"/>
    <s v="0,00"/>
    <s v="0,00"/>
    <s v="0,00"/>
    <s v="0,00"/>
    <s v="ORC2022_2"/>
    <s v="0012"/>
    <m/>
    <m/>
    <m/>
    <m/>
    <m/>
  </r>
  <r>
    <s v="MANUTENCAO E CONSERVACAO"/>
    <x v="42"/>
    <x v="16"/>
    <n v="401.24"/>
    <s v="0000000127"/>
    <s v="1574"/>
    <d v="2022-09-01T00:00:00"/>
    <s v="320406"/>
    <s v="301"/>
    <s v="90"/>
    <s v="Credito"/>
    <x v="2"/>
    <x v="216"/>
    <m/>
    <s v="000252"/>
    <s v="000132"/>
    <n v="401.24"/>
    <s v="0,00"/>
    <s v="0,00"/>
    <s v="0,00"/>
    <s v="0,00"/>
    <s v="ORC2022_2"/>
    <s v="0012"/>
    <m/>
    <m/>
    <m/>
    <m/>
    <m/>
  </r>
  <r>
    <s v="MANUTENCAO E CONSERVACAO"/>
    <x v="42"/>
    <x v="17"/>
    <n v="702.38"/>
    <s v="0000000127"/>
    <s v="1575"/>
    <d v="2022-10-01T00:00:00"/>
    <s v="320406"/>
    <s v="302"/>
    <s v="11"/>
    <s v="Credito"/>
    <x v="2"/>
    <x v="216"/>
    <m/>
    <s v="000252"/>
    <s v="000132"/>
    <n v="702.38"/>
    <s v="0,00"/>
    <s v="0,00"/>
    <s v="0,00"/>
    <s v="0,00"/>
    <s v="ORC2022_2"/>
    <s v="0012"/>
    <m/>
    <m/>
    <m/>
    <m/>
    <m/>
  </r>
  <r>
    <s v="MANUTENCAO E CONSERVACAO"/>
    <x v="42"/>
    <x v="17"/>
    <n v="298.82"/>
    <s v="0000000127"/>
    <s v="1576"/>
    <d v="2022-10-01T00:00:00"/>
    <s v="320406"/>
    <s v="304"/>
    <s v="11"/>
    <s v="Credito"/>
    <x v="2"/>
    <x v="216"/>
    <m/>
    <s v="000252"/>
    <s v="000132"/>
    <n v="298.82"/>
    <s v="0,00"/>
    <s v="0,00"/>
    <s v="0,00"/>
    <s v="0,00"/>
    <s v="ORC2022_2"/>
    <s v="0012"/>
    <m/>
    <m/>
    <m/>
    <m/>
    <m/>
  </r>
  <r>
    <s v="MANUTENCAO E CONSERVACAO"/>
    <x v="42"/>
    <x v="17"/>
    <n v="405.25"/>
    <s v="0000000127"/>
    <s v="1577"/>
    <d v="2022-10-01T00:00:00"/>
    <s v="320406"/>
    <s v="301"/>
    <s v="90"/>
    <s v="Credito"/>
    <x v="2"/>
    <x v="216"/>
    <m/>
    <s v="000252"/>
    <s v="000132"/>
    <n v="405.25"/>
    <s v="0,00"/>
    <s v="0,00"/>
    <s v="0,00"/>
    <s v="0,00"/>
    <s v="ORC2022_2"/>
    <s v="0012"/>
    <m/>
    <m/>
    <m/>
    <m/>
    <m/>
  </r>
  <r>
    <s v="MANUTENCAO E CONSERVACAO"/>
    <x v="42"/>
    <x v="0"/>
    <n v="709.41"/>
    <s v="0000000127"/>
    <s v="1578"/>
    <d v="2022-11-01T00:00:00"/>
    <s v="320406"/>
    <s v="302"/>
    <s v="11"/>
    <s v="Credito"/>
    <x v="2"/>
    <x v="216"/>
    <m/>
    <s v="000252"/>
    <s v="000132"/>
    <n v="709.41"/>
    <s v="0,00"/>
    <s v="0,00"/>
    <s v="0,00"/>
    <s v="0,00"/>
    <s v="ORC2022_2"/>
    <s v="0012"/>
    <m/>
    <m/>
    <m/>
    <m/>
    <m/>
  </r>
  <r>
    <s v="MANUTENCAO E CONSERVACAO"/>
    <x v="42"/>
    <x v="0"/>
    <n v="301.81"/>
    <s v="0000000127"/>
    <s v="1579"/>
    <d v="2022-11-01T00:00:00"/>
    <s v="320406"/>
    <s v="304"/>
    <s v="11"/>
    <s v="Credito"/>
    <x v="2"/>
    <x v="216"/>
    <m/>
    <s v="000252"/>
    <s v="000132"/>
    <n v="301.81"/>
    <s v="0,00"/>
    <s v="0,00"/>
    <s v="0,00"/>
    <s v="0,00"/>
    <s v="ORC2022_2"/>
    <s v="0012"/>
    <m/>
    <m/>
    <m/>
    <m/>
    <m/>
  </r>
  <r>
    <s v="MANUTENCAO E CONSERVACAO"/>
    <x v="42"/>
    <x v="0"/>
    <n v="409.3"/>
    <s v="0000000127"/>
    <s v="1580"/>
    <d v="2022-11-01T00:00:00"/>
    <s v="320406"/>
    <s v="301"/>
    <s v="90"/>
    <s v="Credito"/>
    <x v="2"/>
    <x v="216"/>
    <m/>
    <s v="000252"/>
    <s v="000132"/>
    <n v="409.3"/>
    <s v="0,00"/>
    <s v="0,00"/>
    <s v="0,00"/>
    <s v="0,00"/>
    <s v="ORC2022_2"/>
    <s v="0012"/>
    <m/>
    <m/>
    <m/>
    <m/>
    <m/>
  </r>
  <r>
    <s v="MANUTENCAO E CONSERVACAO"/>
    <x v="42"/>
    <x v="1"/>
    <n v="716.5"/>
    <s v="0000000127"/>
    <s v="1581"/>
    <d v="2022-12-01T00:00:00"/>
    <s v="320406"/>
    <s v="302"/>
    <s v="11"/>
    <s v="Credito"/>
    <x v="2"/>
    <x v="216"/>
    <m/>
    <s v="000252"/>
    <s v="000132"/>
    <n v="716.5"/>
    <s v="0,00"/>
    <s v="0,00"/>
    <s v="0,00"/>
    <s v="0,00"/>
    <s v="ORC2022_2"/>
    <s v="0012"/>
    <m/>
    <m/>
    <m/>
    <m/>
    <m/>
  </r>
  <r>
    <s v="MANUTENCAO E CONSERVACAO"/>
    <x v="42"/>
    <x v="1"/>
    <n v="304.82"/>
    <s v="0000000127"/>
    <s v="1582"/>
    <d v="2022-12-01T00:00:00"/>
    <s v="320406"/>
    <s v="304"/>
    <s v="11"/>
    <s v="Credito"/>
    <x v="2"/>
    <x v="216"/>
    <m/>
    <s v="000252"/>
    <s v="000132"/>
    <n v="304.82"/>
    <s v="0,00"/>
    <s v="0,00"/>
    <s v="0,00"/>
    <s v="0,00"/>
    <s v="ORC2022_2"/>
    <s v="0012"/>
    <m/>
    <m/>
    <m/>
    <m/>
    <m/>
  </r>
  <r>
    <s v="MANUTENCAO E CONSERVACAO"/>
    <x v="42"/>
    <x v="1"/>
    <n v="413.4"/>
    <s v="0000000127"/>
    <s v="1583"/>
    <d v="2022-12-01T00:00:00"/>
    <s v="320406"/>
    <s v="301"/>
    <s v="90"/>
    <s v="Credito"/>
    <x v="2"/>
    <x v="216"/>
    <m/>
    <s v="000252"/>
    <s v="000132"/>
    <n v="413.4"/>
    <s v="0,00"/>
    <s v="0,00"/>
    <s v="0,00"/>
    <s v="0,00"/>
    <s v="ORC2022_2"/>
    <s v="0012"/>
    <m/>
    <m/>
    <m/>
    <m/>
    <m/>
  </r>
  <r>
    <s v="IMPOSTOS, MULTAS E TAXAS DIVERSAS"/>
    <x v="23"/>
    <x v="8"/>
    <n v="38650.839999999997"/>
    <s v="0000000127"/>
    <s v="1584"/>
    <d v="2022-01-01T00:00:00"/>
    <s v="320408"/>
    <s v="301"/>
    <s v="90"/>
    <s v="Credito"/>
    <x v="2"/>
    <x v="216"/>
    <m/>
    <s v="000252"/>
    <s v="000132"/>
    <n v="38650.839999999997"/>
    <s v="0,00"/>
    <s v="0,00"/>
    <s v="0,00"/>
    <s v="0,00"/>
    <s v="ORC2022_2"/>
    <s v="0012"/>
    <m/>
    <m/>
    <m/>
    <m/>
    <m/>
  </r>
  <r>
    <s v="DESPESAS GERAIS"/>
    <x v="43"/>
    <x v="8"/>
    <n v="2197.29"/>
    <s v="0000000127"/>
    <s v="1585"/>
    <d v="2022-01-01T00:00:00"/>
    <s v="320409"/>
    <s v="302"/>
    <s v="11"/>
    <s v="Credito"/>
    <x v="2"/>
    <x v="216"/>
    <m/>
    <s v="000252"/>
    <s v="000132"/>
    <n v="2197.29"/>
    <s v="0,00"/>
    <s v="0,00"/>
    <s v="0,00"/>
    <s v="0,00"/>
    <s v="ORC2022_2"/>
    <s v="0012"/>
    <m/>
    <m/>
    <m/>
    <m/>
    <m/>
  </r>
  <r>
    <s v="DESPESAS GERAIS"/>
    <x v="43"/>
    <x v="8"/>
    <n v="2853.96"/>
    <s v="0000000127"/>
    <s v="1586"/>
    <d v="2022-01-01T00:00:00"/>
    <s v="320409"/>
    <s v="304"/>
    <s v="11"/>
    <s v="Credito"/>
    <x v="2"/>
    <x v="216"/>
    <m/>
    <s v="000252"/>
    <s v="000132"/>
    <n v="2853.96"/>
    <s v="0,00"/>
    <s v="0,00"/>
    <s v="0,00"/>
    <s v="0,00"/>
    <s v="ORC2022_2"/>
    <s v="0012"/>
    <m/>
    <m/>
    <m/>
    <m/>
    <m/>
  </r>
  <r>
    <s v="DESPESAS GERAIS"/>
    <x v="43"/>
    <x v="8"/>
    <n v="470.57"/>
    <s v="0000000127"/>
    <s v="1587"/>
    <d v="2022-01-01T00:00:00"/>
    <s v="320409"/>
    <s v="303"/>
    <s v="21"/>
    <s v="Credito"/>
    <x v="2"/>
    <x v="216"/>
    <m/>
    <s v="000252"/>
    <s v="000132"/>
    <n v="470.57"/>
    <s v="0,00"/>
    <s v="0,00"/>
    <s v="0,00"/>
    <s v="0,00"/>
    <s v="ORC2022_2"/>
    <s v="0012"/>
    <m/>
    <m/>
    <m/>
    <m/>
    <m/>
  </r>
  <r>
    <s v="DESPESAS GERAIS"/>
    <x v="43"/>
    <x v="8"/>
    <n v="1426.74"/>
    <s v="0000000127"/>
    <s v="1588"/>
    <d v="2022-01-01T00:00:00"/>
    <s v="320409"/>
    <s v="305"/>
    <s v="21"/>
    <s v="Credito"/>
    <x v="2"/>
    <x v="216"/>
    <m/>
    <s v="000252"/>
    <s v="000132"/>
    <n v="1426.74"/>
    <s v="0,00"/>
    <s v="0,00"/>
    <s v="0,00"/>
    <s v="0,00"/>
    <s v="ORC2022_2"/>
    <s v="0012"/>
    <m/>
    <m/>
    <m/>
    <m/>
    <m/>
  </r>
  <r>
    <s v="DESPESAS GERAIS"/>
    <x v="43"/>
    <x v="8"/>
    <n v="630.17999999999995"/>
    <s v="0000000127"/>
    <s v="1589"/>
    <d v="2022-01-01T00:00:00"/>
    <s v="320409"/>
    <s v="305"/>
    <s v="31"/>
    <s v="Credito"/>
    <x v="2"/>
    <x v="216"/>
    <m/>
    <s v="000252"/>
    <s v="000132"/>
    <n v="630.17999999999995"/>
    <s v="0,00"/>
    <s v="0,00"/>
    <s v="0,00"/>
    <s v="0,00"/>
    <s v="ORC2022_2"/>
    <s v="0012"/>
    <m/>
    <m/>
    <m/>
    <m/>
    <m/>
  </r>
  <r>
    <s v="DESPESAS GERAIS"/>
    <x v="43"/>
    <x v="8"/>
    <n v="71.09"/>
    <s v="0000000127"/>
    <s v="1590"/>
    <d v="2022-01-01T00:00:00"/>
    <s v="320409"/>
    <s v="305"/>
    <s v="42"/>
    <s v="Credito"/>
    <x v="2"/>
    <x v="216"/>
    <m/>
    <s v="000252"/>
    <s v="000132"/>
    <n v="71.09"/>
    <s v="0,00"/>
    <s v="0,00"/>
    <s v="0,00"/>
    <s v="0,00"/>
    <s v="ORC2022_2"/>
    <s v="0012"/>
    <m/>
    <m/>
    <m/>
    <m/>
    <m/>
  </r>
  <r>
    <s v="DESPESAS GERAIS"/>
    <x v="43"/>
    <x v="8"/>
    <n v="7092.44"/>
    <s v="0000000127"/>
    <s v="1591"/>
    <d v="2022-01-01T00:00:00"/>
    <s v="320409"/>
    <s v="301"/>
    <s v="90"/>
    <s v="Credito"/>
    <x v="2"/>
    <x v="216"/>
    <m/>
    <s v="000252"/>
    <s v="000132"/>
    <n v="7092.44"/>
    <s v="0,00"/>
    <s v="0,00"/>
    <s v="0,00"/>
    <s v="0,00"/>
    <s v="ORC2022_2"/>
    <s v="0012"/>
    <m/>
    <m/>
    <m/>
    <m/>
    <m/>
  </r>
  <r>
    <s v="DESPESAS GERAIS"/>
    <x v="43"/>
    <x v="9"/>
    <n v="7533.93"/>
    <s v="0000000127"/>
    <s v="1592"/>
    <d v="2022-02-01T00:00:00"/>
    <s v="320409"/>
    <s v="302"/>
    <s v="11"/>
    <s v="Credito"/>
    <x v="2"/>
    <x v="216"/>
    <m/>
    <s v="000252"/>
    <s v="000132"/>
    <n v="7533.93"/>
    <s v="0,00"/>
    <s v="0,00"/>
    <s v="0,00"/>
    <s v="0,00"/>
    <s v="ORC2022_2"/>
    <s v="0012"/>
    <m/>
    <m/>
    <m/>
    <m/>
    <m/>
  </r>
  <r>
    <s v="DESPESAS GERAIS"/>
    <x v="43"/>
    <x v="9"/>
    <n v="2794.62"/>
    <s v="0000000127"/>
    <s v="1593"/>
    <d v="2022-02-01T00:00:00"/>
    <s v="320409"/>
    <s v="304"/>
    <s v="11"/>
    <s v="Credito"/>
    <x v="2"/>
    <x v="216"/>
    <m/>
    <s v="000252"/>
    <s v="000132"/>
    <n v="2794.62"/>
    <s v="0,00"/>
    <s v="0,00"/>
    <s v="0,00"/>
    <s v="0,00"/>
    <s v="ORC2022_2"/>
    <s v="0012"/>
    <m/>
    <m/>
    <m/>
    <m/>
    <m/>
  </r>
  <r>
    <s v="DESPESAS GERAIS"/>
    <x v="43"/>
    <x v="9"/>
    <n v="598.53"/>
    <s v="0000000127"/>
    <s v="1594"/>
    <d v="2022-02-01T00:00:00"/>
    <s v="320409"/>
    <s v="303"/>
    <s v="21"/>
    <s v="Credito"/>
    <x v="2"/>
    <x v="216"/>
    <m/>
    <s v="000252"/>
    <s v="000132"/>
    <n v="598.53"/>
    <s v="0,00"/>
    <s v="0,00"/>
    <s v="0,00"/>
    <s v="0,00"/>
    <s v="ORC2022_2"/>
    <s v="0012"/>
    <m/>
    <m/>
    <m/>
    <m/>
    <m/>
  </r>
  <r>
    <s v="DESPESAS GERAIS"/>
    <x v="43"/>
    <x v="9"/>
    <n v="4570.68"/>
    <s v="0000000127"/>
    <s v="1595"/>
    <d v="2022-02-01T00:00:00"/>
    <s v="320409"/>
    <s v="305"/>
    <s v="21"/>
    <s v="Credito"/>
    <x v="2"/>
    <x v="216"/>
    <m/>
    <s v="000252"/>
    <s v="000132"/>
    <n v="4570.68"/>
    <s v="0,00"/>
    <s v="0,00"/>
    <s v="0,00"/>
    <s v="0,00"/>
    <s v="ORC2022_2"/>
    <s v="0012"/>
    <m/>
    <m/>
    <m/>
    <m/>
    <m/>
  </r>
  <r>
    <s v="DESPESAS GERAIS"/>
    <x v="43"/>
    <x v="9"/>
    <n v="14.5"/>
    <s v="0000000127"/>
    <s v="1596"/>
    <d v="2022-02-01T00:00:00"/>
    <s v="320409"/>
    <s v="303"/>
    <s v="31"/>
    <s v="Credito"/>
    <x v="2"/>
    <x v="216"/>
    <m/>
    <s v="000252"/>
    <s v="000132"/>
    <n v="14.5"/>
    <s v="0,00"/>
    <s v="0,00"/>
    <s v="0,00"/>
    <s v="0,00"/>
    <s v="ORC2022_2"/>
    <s v="0012"/>
    <m/>
    <m/>
    <m/>
    <m/>
    <m/>
  </r>
  <r>
    <s v="DESPESAS GERAIS"/>
    <x v="43"/>
    <x v="9"/>
    <n v="781.79"/>
    <s v="0000000127"/>
    <s v="1597"/>
    <d v="2022-02-01T00:00:00"/>
    <s v="320409"/>
    <s v="305"/>
    <s v="31"/>
    <s v="Credito"/>
    <x v="2"/>
    <x v="216"/>
    <m/>
    <s v="000252"/>
    <s v="000132"/>
    <n v="781.79"/>
    <s v="0,00"/>
    <s v="0,00"/>
    <s v="0,00"/>
    <s v="0,00"/>
    <s v="ORC2022_2"/>
    <s v="0012"/>
    <m/>
    <m/>
    <m/>
    <m/>
    <m/>
  </r>
  <r>
    <s v="DESPESAS GERAIS"/>
    <x v="43"/>
    <x v="9"/>
    <n v="9.48"/>
    <s v="0000000127"/>
    <s v="1598"/>
    <d v="2022-02-01T00:00:00"/>
    <s v="320409"/>
    <s v="305"/>
    <s v="42"/>
    <s v="Credito"/>
    <x v="2"/>
    <x v="216"/>
    <m/>
    <s v="000252"/>
    <s v="000132"/>
    <n v="9.48"/>
    <s v="0,00"/>
    <s v="0,00"/>
    <s v="0,00"/>
    <s v="0,00"/>
    <s v="ORC2022_2"/>
    <s v="0012"/>
    <m/>
    <m/>
    <m/>
    <m/>
    <m/>
  </r>
  <r>
    <s v="DESPESAS GERAIS"/>
    <x v="43"/>
    <x v="9"/>
    <n v="6426.23"/>
    <s v="0000000127"/>
    <s v="1599"/>
    <d v="2022-02-01T00:00:00"/>
    <s v="320409"/>
    <s v="301"/>
    <s v="90"/>
    <s v="Credito"/>
    <x v="2"/>
    <x v="216"/>
    <m/>
    <s v="000252"/>
    <s v="000132"/>
    <n v="6426.23"/>
    <s v="0,00"/>
    <s v="0,00"/>
    <s v="0,00"/>
    <s v="0,00"/>
    <s v="ORC2022_2"/>
    <s v="0012"/>
    <m/>
    <m/>
    <m/>
    <m/>
    <m/>
  </r>
  <r>
    <s v="DESPESAS GERAIS"/>
    <x v="43"/>
    <x v="10"/>
    <n v="555.22"/>
    <s v="0000000127"/>
    <s v="1600"/>
    <d v="2022-03-01T00:00:00"/>
    <s v="320409"/>
    <s v="303"/>
    <s v="21"/>
    <s v="Credito"/>
    <x v="2"/>
    <x v="216"/>
    <m/>
    <s v="000252"/>
    <s v="000132"/>
    <n v="555.22"/>
    <s v="0,00"/>
    <s v="0,00"/>
    <s v="0,00"/>
    <s v="0,00"/>
    <s v="ORC2022_2"/>
    <s v="0012"/>
    <m/>
    <m/>
    <m/>
    <m/>
    <m/>
  </r>
  <r>
    <s v="DESPESAS GERAIS"/>
    <x v="43"/>
    <x v="10"/>
    <n v="247.4"/>
    <s v="0000000127"/>
    <s v="1601"/>
    <d v="2022-03-01T00:00:00"/>
    <s v="320409"/>
    <s v="305"/>
    <s v="31"/>
    <s v="Credito"/>
    <x v="2"/>
    <x v="216"/>
    <m/>
    <s v="000252"/>
    <s v="000132"/>
    <n v="247.4"/>
    <s v="0,00"/>
    <s v="0,00"/>
    <s v="0,00"/>
    <s v="0,00"/>
    <s v="ORC2022_2"/>
    <s v="0012"/>
    <m/>
    <m/>
    <m/>
    <m/>
    <m/>
  </r>
  <r>
    <s v="DESPESAS GERAIS"/>
    <x v="43"/>
    <x v="10"/>
    <n v="91.57"/>
    <s v="0000000127"/>
    <s v="1602"/>
    <d v="2022-03-01T00:00:00"/>
    <s v="320409"/>
    <s v="306"/>
    <s v="33"/>
    <s v="Credito"/>
    <x v="2"/>
    <x v="216"/>
    <m/>
    <s v="000252"/>
    <s v="000132"/>
    <n v="91.57"/>
    <s v="0,00"/>
    <s v="0,00"/>
    <s v="0,00"/>
    <s v="0,00"/>
    <s v="ORC2022_2"/>
    <s v="0012"/>
    <m/>
    <m/>
    <m/>
    <m/>
    <m/>
  </r>
  <r>
    <s v="DESPESAS GERAIS"/>
    <x v="43"/>
    <x v="10"/>
    <n v="111.66"/>
    <s v="0000000127"/>
    <s v="1603"/>
    <d v="2022-03-01T00:00:00"/>
    <s v="320409"/>
    <s v="201"/>
    <s v="90"/>
    <s v="Credito"/>
    <x v="2"/>
    <x v="216"/>
    <m/>
    <s v="000252"/>
    <s v="000132"/>
    <n v="111.66"/>
    <s v="0,00"/>
    <s v="0,00"/>
    <s v="0,00"/>
    <s v="0,00"/>
    <s v="ORC2022_2"/>
    <s v="0012"/>
    <m/>
    <m/>
    <m/>
    <m/>
    <m/>
  </r>
  <r>
    <s v="DESPESAS GERAIS"/>
    <x v="43"/>
    <x v="10"/>
    <n v="101.96"/>
    <s v="0000000127"/>
    <s v="1604"/>
    <d v="2022-03-01T00:00:00"/>
    <s v="320409"/>
    <s v="301"/>
    <s v="90"/>
    <s v="Credito"/>
    <x v="2"/>
    <x v="216"/>
    <m/>
    <s v="000252"/>
    <s v="000132"/>
    <n v="101.96"/>
    <s v="0,00"/>
    <s v="0,00"/>
    <s v="0,00"/>
    <s v="0,00"/>
    <s v="ORC2022_2"/>
    <s v="0012"/>
    <m/>
    <m/>
    <m/>
    <m/>
    <m/>
  </r>
  <r>
    <s v="DESPESAS GERAIS"/>
    <x v="43"/>
    <x v="11"/>
    <n v="898.96"/>
    <s v="0000000127"/>
    <s v="1605"/>
    <d v="2022-04-01T00:00:00"/>
    <s v="320409"/>
    <s v="302"/>
    <s v="11"/>
    <s v="Credito"/>
    <x v="2"/>
    <x v="216"/>
    <m/>
    <s v="000252"/>
    <s v="000132"/>
    <n v="898.96"/>
    <s v="0,00"/>
    <s v="0,00"/>
    <s v="0,00"/>
    <s v="0,00"/>
    <s v="ORC2022_2"/>
    <s v="0012"/>
    <m/>
    <m/>
    <m/>
    <m/>
    <m/>
  </r>
  <r>
    <s v="DESPESAS GERAIS"/>
    <x v="43"/>
    <x v="11"/>
    <n v="432.9"/>
    <s v="0000000127"/>
    <s v="1606"/>
    <d v="2022-04-01T00:00:00"/>
    <s v="320409"/>
    <s v="304"/>
    <s v="11"/>
    <s v="Credito"/>
    <x v="2"/>
    <x v="216"/>
    <m/>
    <s v="000252"/>
    <s v="000132"/>
    <n v="432.9"/>
    <s v="0,00"/>
    <s v="0,00"/>
    <s v="0,00"/>
    <s v="0,00"/>
    <s v="ORC2022_2"/>
    <s v="0012"/>
    <m/>
    <m/>
    <m/>
    <m/>
    <m/>
  </r>
  <r>
    <s v="DESPESAS GERAIS"/>
    <x v="43"/>
    <x v="11"/>
    <n v="500.23"/>
    <s v="0000000127"/>
    <s v="1607"/>
    <d v="2022-04-01T00:00:00"/>
    <s v="320409"/>
    <s v="303"/>
    <s v="21"/>
    <s v="Credito"/>
    <x v="2"/>
    <x v="216"/>
    <m/>
    <s v="000252"/>
    <s v="000132"/>
    <n v="500.23"/>
    <s v="0,00"/>
    <s v="0,00"/>
    <s v="0,00"/>
    <s v="0,00"/>
    <s v="ORC2022_2"/>
    <s v="0012"/>
    <m/>
    <m/>
    <m/>
    <m/>
    <m/>
  </r>
  <r>
    <s v="DESPESAS GERAIS"/>
    <x v="43"/>
    <x v="11"/>
    <n v="5071.76"/>
    <s v="0000000127"/>
    <s v="1608"/>
    <d v="2022-04-01T00:00:00"/>
    <s v="320409"/>
    <s v="305"/>
    <s v="21"/>
    <s v="Credito"/>
    <x v="2"/>
    <x v="216"/>
    <m/>
    <s v="000252"/>
    <s v="000132"/>
    <n v="5071.76"/>
    <s v="0,00"/>
    <s v="0,00"/>
    <s v="0,00"/>
    <s v="0,00"/>
    <s v="ORC2022_2"/>
    <s v="0012"/>
    <m/>
    <m/>
    <m/>
    <m/>
    <m/>
  </r>
  <r>
    <s v="DESPESAS GERAIS"/>
    <x v="43"/>
    <x v="11"/>
    <n v="107.41"/>
    <s v="0000000127"/>
    <s v="1609"/>
    <d v="2022-04-01T00:00:00"/>
    <s v="320409"/>
    <s v="305"/>
    <s v="31"/>
    <s v="Credito"/>
    <x v="2"/>
    <x v="216"/>
    <m/>
    <s v="000252"/>
    <s v="000132"/>
    <n v="107.41"/>
    <s v="0,00"/>
    <s v="0,00"/>
    <s v="0,00"/>
    <s v="0,00"/>
    <s v="ORC2022_2"/>
    <s v="0012"/>
    <m/>
    <m/>
    <m/>
    <m/>
    <m/>
  </r>
  <r>
    <s v="DESPESAS GERAIS"/>
    <x v="43"/>
    <x v="11"/>
    <n v="3992.78"/>
    <s v="0000000127"/>
    <s v="1610"/>
    <d v="2022-04-01T00:00:00"/>
    <s v="320409"/>
    <s v="301"/>
    <s v="90"/>
    <s v="Credito"/>
    <x v="2"/>
    <x v="216"/>
    <m/>
    <s v="000252"/>
    <s v="000132"/>
    <n v="3992.78"/>
    <s v="0,00"/>
    <s v="0,00"/>
    <s v="0,00"/>
    <s v="0,00"/>
    <s v="ORC2022_2"/>
    <s v="0012"/>
    <m/>
    <m/>
    <m/>
    <m/>
    <m/>
  </r>
  <r>
    <s v="DESPESAS GERAIS"/>
    <x v="43"/>
    <x v="11"/>
    <n v="70.819999999999993"/>
    <s v="0000000127"/>
    <s v="1611"/>
    <d v="2022-04-01T00:00:00"/>
    <s v="320409"/>
    <s v="304"/>
    <s v="90"/>
    <s v="Credito"/>
    <x v="2"/>
    <x v="216"/>
    <m/>
    <s v="000252"/>
    <s v="000132"/>
    <n v="70.819999999999993"/>
    <s v="0,00"/>
    <s v="0,00"/>
    <s v="0,00"/>
    <s v="0,00"/>
    <s v="ORC2022_2"/>
    <s v="0012"/>
    <m/>
    <m/>
    <m/>
    <m/>
    <m/>
  </r>
  <r>
    <s v="DESPESAS GERAIS"/>
    <x v="43"/>
    <x v="12"/>
    <n v="90.69"/>
    <s v="0000000127"/>
    <s v="1612"/>
    <d v="2022-05-01T00:00:00"/>
    <s v="320409"/>
    <s v="302"/>
    <s v="11"/>
    <s v="Credito"/>
    <x v="2"/>
    <x v="216"/>
    <m/>
    <s v="000252"/>
    <s v="000132"/>
    <n v="90.69"/>
    <s v="0,00"/>
    <s v="0,00"/>
    <s v="0,00"/>
    <s v="0,00"/>
    <s v="ORC2022_2"/>
    <s v="0012"/>
    <m/>
    <m/>
    <m/>
    <m/>
    <m/>
  </r>
  <r>
    <s v="DESPESAS GERAIS"/>
    <x v="43"/>
    <x v="12"/>
    <n v="973.46"/>
    <s v="0000000127"/>
    <s v="1613"/>
    <d v="2022-05-01T00:00:00"/>
    <s v="320409"/>
    <s v="304"/>
    <s v="11"/>
    <s v="Credito"/>
    <x v="2"/>
    <x v="216"/>
    <m/>
    <s v="000252"/>
    <s v="000132"/>
    <n v="973.46"/>
    <s v="0,00"/>
    <s v="0,00"/>
    <s v="0,00"/>
    <s v="0,00"/>
    <s v="ORC2022_2"/>
    <s v="0012"/>
    <m/>
    <m/>
    <m/>
    <m/>
    <m/>
  </r>
  <r>
    <s v="DESPESAS GERAIS"/>
    <x v="43"/>
    <x v="12"/>
    <n v="465.9"/>
    <s v="0000000127"/>
    <s v="1614"/>
    <d v="2022-05-01T00:00:00"/>
    <s v="320409"/>
    <s v="303"/>
    <s v="21"/>
    <s v="Credito"/>
    <x v="2"/>
    <x v="216"/>
    <m/>
    <s v="000252"/>
    <s v="000132"/>
    <n v="465.9"/>
    <s v="0,00"/>
    <s v="0,00"/>
    <s v="0,00"/>
    <s v="0,00"/>
    <s v="ORC2022_2"/>
    <s v="0012"/>
    <m/>
    <m/>
    <m/>
    <m/>
    <m/>
  </r>
  <r>
    <s v="DESPESAS GERAIS"/>
    <x v="43"/>
    <x v="12"/>
    <n v="823.81"/>
    <s v="0000000127"/>
    <s v="1615"/>
    <d v="2022-05-01T00:00:00"/>
    <s v="320409"/>
    <s v="305"/>
    <s v="21"/>
    <s v="Credito"/>
    <x v="2"/>
    <x v="216"/>
    <m/>
    <s v="000252"/>
    <s v="000132"/>
    <n v="823.81"/>
    <s v="0,00"/>
    <s v="0,00"/>
    <s v="0,00"/>
    <s v="0,00"/>
    <s v="ORC2022_2"/>
    <s v="0012"/>
    <m/>
    <m/>
    <m/>
    <m/>
    <m/>
  </r>
  <r>
    <s v="DESPESAS GERAIS"/>
    <x v="43"/>
    <x v="12"/>
    <n v="1961.76"/>
    <s v="0000000127"/>
    <s v="1616"/>
    <d v="2022-05-01T00:00:00"/>
    <s v="320409"/>
    <s v="305"/>
    <s v="31"/>
    <s v="Credito"/>
    <x v="2"/>
    <x v="216"/>
    <m/>
    <s v="000252"/>
    <s v="000132"/>
    <n v="1961.76"/>
    <s v="0,00"/>
    <s v="0,00"/>
    <s v="0,00"/>
    <s v="0,00"/>
    <s v="ORC2022_2"/>
    <s v="0012"/>
    <m/>
    <m/>
    <m/>
    <m/>
    <m/>
  </r>
  <r>
    <s v="DESPESAS GERAIS"/>
    <x v="43"/>
    <x v="12"/>
    <n v="34.200000000000003"/>
    <s v="0000000127"/>
    <s v="1617"/>
    <d v="2022-05-01T00:00:00"/>
    <s v="320409"/>
    <s v="305"/>
    <s v="42"/>
    <s v="Credito"/>
    <x v="2"/>
    <x v="216"/>
    <m/>
    <s v="000252"/>
    <s v="000132"/>
    <n v="34.200000000000003"/>
    <s v="0,00"/>
    <s v="0,00"/>
    <s v="0,00"/>
    <s v="0,00"/>
    <s v="ORC2022_2"/>
    <s v="0012"/>
    <m/>
    <m/>
    <m/>
    <m/>
    <m/>
  </r>
  <r>
    <s v="DESPESAS GERAIS"/>
    <x v="43"/>
    <x v="12"/>
    <n v="11064.04"/>
    <s v="0000000127"/>
    <s v="1618"/>
    <d v="2022-05-01T00:00:00"/>
    <s v="320409"/>
    <s v="301"/>
    <s v="90"/>
    <s v="Credito"/>
    <x v="2"/>
    <x v="216"/>
    <m/>
    <s v="000252"/>
    <s v="000132"/>
    <n v="11064.04"/>
    <s v="0,00"/>
    <s v="0,00"/>
    <s v="0,00"/>
    <s v="0,00"/>
    <s v="ORC2022_2"/>
    <s v="0012"/>
    <m/>
    <m/>
    <m/>
    <m/>
    <m/>
  </r>
  <r>
    <s v="DESPESAS GERAIS"/>
    <x v="43"/>
    <x v="12"/>
    <n v="214.99"/>
    <s v="0000000127"/>
    <s v="1619"/>
    <d v="2022-05-01T00:00:00"/>
    <s v="320409"/>
    <s v="302"/>
    <s v="90"/>
    <s v="Credito"/>
    <x v="2"/>
    <x v="216"/>
    <m/>
    <s v="000252"/>
    <s v="000132"/>
    <n v="214.99"/>
    <s v="0,00"/>
    <s v="0,00"/>
    <s v="0,00"/>
    <s v="0,00"/>
    <s v="ORC2022_2"/>
    <s v="0012"/>
    <m/>
    <m/>
    <m/>
    <m/>
    <m/>
  </r>
  <r>
    <s v="DESPESAS GERAIS"/>
    <x v="43"/>
    <x v="13"/>
    <n v="2.23"/>
    <s v="0000000127"/>
    <s v="1620"/>
    <d v="2022-06-01T00:00:00"/>
    <s v="320409"/>
    <s v="301"/>
    <s v="11"/>
    <s v="Credito"/>
    <x v="2"/>
    <x v="216"/>
    <m/>
    <s v="000252"/>
    <s v="000132"/>
    <n v="2.23"/>
    <s v="0,00"/>
    <s v="0,00"/>
    <s v="0,00"/>
    <s v="0,00"/>
    <s v="ORC2022_2"/>
    <s v="0012"/>
    <m/>
    <m/>
    <m/>
    <m/>
    <m/>
  </r>
  <r>
    <s v="DESPESAS GERAIS"/>
    <x v="43"/>
    <x v="13"/>
    <n v="6583.21"/>
    <s v="0000000127"/>
    <s v="1621"/>
    <d v="2022-06-01T00:00:00"/>
    <s v="320409"/>
    <s v="302"/>
    <s v="11"/>
    <s v="Credito"/>
    <x v="2"/>
    <x v="216"/>
    <m/>
    <s v="000252"/>
    <s v="000132"/>
    <n v="6583.21"/>
    <s v="0,00"/>
    <s v="0,00"/>
    <s v="0,00"/>
    <s v="0,00"/>
    <s v="ORC2022_2"/>
    <s v="0012"/>
    <m/>
    <m/>
    <m/>
    <m/>
    <m/>
  </r>
  <r>
    <s v="DESPESAS GERAIS"/>
    <x v="43"/>
    <x v="13"/>
    <n v="2988.08"/>
    <s v="0000000127"/>
    <s v="1622"/>
    <d v="2022-06-01T00:00:00"/>
    <s v="320409"/>
    <s v="304"/>
    <s v="11"/>
    <s v="Credito"/>
    <x v="2"/>
    <x v="216"/>
    <m/>
    <s v="000252"/>
    <s v="000132"/>
    <n v="2988.08"/>
    <s v="0,00"/>
    <s v="0,00"/>
    <s v="0,00"/>
    <s v="0,00"/>
    <s v="ORC2022_2"/>
    <s v="0012"/>
    <m/>
    <m/>
    <m/>
    <m/>
    <m/>
  </r>
  <r>
    <s v="DESPESAS GERAIS"/>
    <x v="43"/>
    <x v="13"/>
    <n v="83.26"/>
    <s v="0000000127"/>
    <s v="1623"/>
    <d v="2022-06-01T00:00:00"/>
    <s v="320409"/>
    <s v="303"/>
    <s v="21"/>
    <s v="Credito"/>
    <x v="2"/>
    <x v="216"/>
    <m/>
    <s v="000252"/>
    <s v="000132"/>
    <n v="83.26"/>
    <s v="0,00"/>
    <s v="0,00"/>
    <s v="0,00"/>
    <s v="0,00"/>
    <s v="ORC2022_2"/>
    <s v="0012"/>
    <m/>
    <m/>
    <m/>
    <m/>
    <m/>
  </r>
  <r>
    <s v="DESPESAS GERAIS"/>
    <x v="43"/>
    <x v="13"/>
    <n v="26.76"/>
    <s v="0000000127"/>
    <s v="1624"/>
    <d v="2022-06-01T00:00:00"/>
    <s v="320409"/>
    <s v="304"/>
    <s v="21"/>
    <s v="Credito"/>
    <x v="2"/>
    <x v="216"/>
    <m/>
    <s v="000252"/>
    <s v="000132"/>
    <n v="26.76"/>
    <s v="0,00"/>
    <s v="0,00"/>
    <s v="0,00"/>
    <s v="0,00"/>
    <s v="ORC2022_2"/>
    <s v="0012"/>
    <m/>
    <m/>
    <m/>
    <m/>
    <m/>
  </r>
  <r>
    <s v="DESPESAS GERAIS"/>
    <x v="43"/>
    <x v="13"/>
    <n v="2233.37"/>
    <s v="0000000127"/>
    <s v="1625"/>
    <d v="2022-06-01T00:00:00"/>
    <s v="320409"/>
    <s v="305"/>
    <s v="21"/>
    <s v="Credito"/>
    <x v="2"/>
    <x v="216"/>
    <m/>
    <s v="000252"/>
    <s v="000132"/>
    <n v="2233.37"/>
    <s v="0,00"/>
    <s v="0,00"/>
    <s v="0,00"/>
    <s v="0,00"/>
    <s v="ORC2022_2"/>
    <s v="0012"/>
    <m/>
    <m/>
    <m/>
    <m/>
    <m/>
  </r>
  <r>
    <s v="DESPESAS GERAIS"/>
    <x v="43"/>
    <x v="13"/>
    <n v="1103.1099999999999"/>
    <s v="0000000127"/>
    <s v="1626"/>
    <d v="2022-06-01T00:00:00"/>
    <s v="320409"/>
    <s v="305"/>
    <s v="31"/>
    <s v="Credito"/>
    <x v="2"/>
    <x v="216"/>
    <m/>
    <s v="000252"/>
    <s v="000132"/>
    <n v="1103.1099999999999"/>
    <s v="0,00"/>
    <s v="0,00"/>
    <s v="0,00"/>
    <s v="0,00"/>
    <s v="ORC2022_2"/>
    <s v="0012"/>
    <m/>
    <m/>
    <m/>
    <m/>
    <m/>
  </r>
  <r>
    <s v="DESPESAS GERAIS"/>
    <x v="43"/>
    <x v="13"/>
    <n v="6521.24"/>
    <s v="0000000127"/>
    <s v="1627"/>
    <d v="2022-06-01T00:00:00"/>
    <s v="320409"/>
    <s v="301"/>
    <s v="90"/>
    <s v="Credito"/>
    <x v="2"/>
    <x v="216"/>
    <m/>
    <s v="000252"/>
    <s v="000132"/>
    <n v="6521.24"/>
    <s v="0,00"/>
    <s v="0,00"/>
    <s v="0,00"/>
    <s v="0,00"/>
    <s v="ORC2022_2"/>
    <s v="0012"/>
    <m/>
    <m/>
    <m/>
    <m/>
    <m/>
  </r>
  <r>
    <s v="DESPESAS GERAIS"/>
    <x v="43"/>
    <x v="14"/>
    <n v="2918.21"/>
    <s v="0000000127"/>
    <s v="1628"/>
    <d v="2022-07-01T00:00:00"/>
    <s v="320409"/>
    <s v="302"/>
    <s v="11"/>
    <s v="Credito"/>
    <x v="2"/>
    <x v="216"/>
    <m/>
    <s v="000252"/>
    <s v="000132"/>
    <n v="2918.21"/>
    <s v="0,00"/>
    <s v="0,00"/>
    <s v="0,00"/>
    <s v="0,00"/>
    <s v="ORC2022_2"/>
    <s v="0012"/>
    <m/>
    <m/>
    <m/>
    <m/>
    <m/>
  </r>
  <r>
    <s v="DESPESAS GERAIS"/>
    <x v="43"/>
    <x v="14"/>
    <n v="324.18"/>
    <s v="0000000127"/>
    <s v="1629"/>
    <d v="2022-07-01T00:00:00"/>
    <s v="320409"/>
    <s v="304"/>
    <s v="11"/>
    <s v="Credito"/>
    <x v="2"/>
    <x v="216"/>
    <m/>
    <s v="000252"/>
    <s v="000132"/>
    <n v="324.18"/>
    <s v="0,00"/>
    <s v="0,00"/>
    <s v="0,00"/>
    <s v="0,00"/>
    <s v="ORC2022_2"/>
    <s v="0012"/>
    <m/>
    <m/>
    <m/>
    <m/>
    <m/>
  </r>
  <r>
    <s v="DESPESAS GERAIS"/>
    <x v="43"/>
    <x v="14"/>
    <n v="167.43"/>
    <s v="0000000127"/>
    <s v="1630"/>
    <d v="2022-07-01T00:00:00"/>
    <s v="320409"/>
    <s v="303"/>
    <s v="21"/>
    <s v="Credito"/>
    <x v="2"/>
    <x v="216"/>
    <m/>
    <s v="000252"/>
    <s v="000132"/>
    <n v="167.43"/>
    <s v="0,00"/>
    <s v="0,00"/>
    <s v="0,00"/>
    <s v="0,00"/>
    <s v="ORC2022_2"/>
    <s v="0012"/>
    <m/>
    <m/>
    <m/>
    <m/>
    <m/>
  </r>
  <r>
    <s v="DESPESAS GERAIS"/>
    <x v="43"/>
    <x v="14"/>
    <n v="3390.13"/>
    <s v="0000000127"/>
    <s v="1631"/>
    <d v="2022-07-01T00:00:00"/>
    <s v="320409"/>
    <s v="305"/>
    <s v="21"/>
    <s v="Credito"/>
    <x v="2"/>
    <x v="216"/>
    <m/>
    <s v="000252"/>
    <s v="000132"/>
    <n v="3390.13"/>
    <s v="0,00"/>
    <s v="0,00"/>
    <s v="0,00"/>
    <s v="0,00"/>
    <s v="ORC2022_2"/>
    <s v="0012"/>
    <m/>
    <m/>
    <m/>
    <m/>
    <m/>
  </r>
  <r>
    <s v="DESPESAS GERAIS"/>
    <x v="43"/>
    <x v="14"/>
    <n v="1223.76"/>
    <s v="0000000127"/>
    <s v="1632"/>
    <d v="2022-07-01T00:00:00"/>
    <s v="320409"/>
    <s v="305"/>
    <s v="31"/>
    <s v="Credito"/>
    <x v="2"/>
    <x v="216"/>
    <m/>
    <s v="000252"/>
    <s v="000132"/>
    <n v="1223.76"/>
    <s v="0,00"/>
    <s v="0,00"/>
    <s v="0,00"/>
    <s v="0,00"/>
    <s v="ORC2022_2"/>
    <s v="0012"/>
    <m/>
    <m/>
    <m/>
    <m/>
    <m/>
  </r>
  <r>
    <s v="DESPESAS GERAIS"/>
    <x v="43"/>
    <x v="14"/>
    <n v="5.48"/>
    <s v="0000000127"/>
    <s v="1633"/>
    <d v="2022-07-01T00:00:00"/>
    <s v="320409"/>
    <s v="303"/>
    <s v="33"/>
    <s v="Credito"/>
    <x v="2"/>
    <x v="216"/>
    <m/>
    <s v="000252"/>
    <s v="000132"/>
    <n v="5.48"/>
    <s v="0,00"/>
    <s v="0,00"/>
    <s v="0,00"/>
    <s v="0,00"/>
    <s v="ORC2022_2"/>
    <s v="0012"/>
    <m/>
    <m/>
    <m/>
    <m/>
    <m/>
  </r>
  <r>
    <s v="DESPESAS GERAIS"/>
    <x v="43"/>
    <x v="14"/>
    <n v="8533.58"/>
    <s v="0000000127"/>
    <s v="1634"/>
    <d v="2022-07-01T00:00:00"/>
    <s v="320409"/>
    <s v="305"/>
    <s v="34"/>
    <s v="Credito"/>
    <x v="2"/>
    <x v="216"/>
    <m/>
    <s v="000252"/>
    <s v="000132"/>
    <n v="8533.58"/>
    <s v="0,00"/>
    <s v="0,00"/>
    <s v="0,00"/>
    <s v="0,00"/>
    <s v="ORC2022_2"/>
    <s v="0012"/>
    <m/>
    <m/>
    <m/>
    <m/>
    <m/>
  </r>
  <r>
    <s v="DESPESAS GERAIS"/>
    <x v="43"/>
    <x v="14"/>
    <n v="6892.92"/>
    <s v="0000000127"/>
    <s v="1635"/>
    <d v="2022-07-01T00:00:00"/>
    <s v="320409"/>
    <s v="301"/>
    <s v="90"/>
    <s v="Credito"/>
    <x v="2"/>
    <x v="216"/>
    <m/>
    <s v="000252"/>
    <s v="000132"/>
    <n v="6892.92"/>
    <s v="0,00"/>
    <s v="0,00"/>
    <s v="0,00"/>
    <s v="0,00"/>
    <s v="ORC2022_2"/>
    <s v="0012"/>
    <m/>
    <m/>
    <m/>
    <m/>
    <m/>
  </r>
  <r>
    <s v="DESPESAS GERAIS"/>
    <x v="43"/>
    <x v="15"/>
    <n v="8"/>
    <s v="0000000127"/>
    <s v="1636"/>
    <d v="2022-08-01T00:00:00"/>
    <s v="320409"/>
    <s v="301"/>
    <s v="11"/>
    <s v="Credito"/>
    <x v="2"/>
    <x v="216"/>
    <m/>
    <s v="000252"/>
    <s v="000132"/>
    <n v="8"/>
    <s v="0,00"/>
    <s v="0,00"/>
    <s v="0,00"/>
    <s v="0,00"/>
    <s v="ORC2022_2"/>
    <s v="0012"/>
    <m/>
    <m/>
    <m/>
    <m/>
    <m/>
  </r>
  <r>
    <s v="DESPESAS GERAIS"/>
    <x v="43"/>
    <x v="15"/>
    <n v="613.86"/>
    <s v="0000000127"/>
    <s v="1637"/>
    <d v="2022-08-01T00:00:00"/>
    <s v="320409"/>
    <s v="302"/>
    <s v="11"/>
    <s v="Credito"/>
    <x v="2"/>
    <x v="216"/>
    <m/>
    <s v="000252"/>
    <s v="000132"/>
    <n v="613.86"/>
    <s v="0,00"/>
    <s v="0,00"/>
    <s v="0,00"/>
    <s v="0,00"/>
    <s v="ORC2022_2"/>
    <s v="0012"/>
    <m/>
    <m/>
    <m/>
    <m/>
    <m/>
  </r>
  <r>
    <s v="DESPESAS GERAIS"/>
    <x v="43"/>
    <x v="15"/>
    <n v="1455.65"/>
    <s v="0000000127"/>
    <s v="1638"/>
    <d v="2022-08-01T00:00:00"/>
    <s v="320409"/>
    <s v="304"/>
    <s v="11"/>
    <s v="Credito"/>
    <x v="2"/>
    <x v="216"/>
    <m/>
    <s v="000252"/>
    <s v="000132"/>
    <n v="1455.65"/>
    <s v="0,00"/>
    <s v="0,00"/>
    <s v="0,00"/>
    <s v="0,00"/>
    <s v="ORC2022_2"/>
    <s v="0012"/>
    <m/>
    <m/>
    <m/>
    <m/>
    <m/>
  </r>
  <r>
    <s v="DESPESAS GERAIS"/>
    <x v="43"/>
    <x v="15"/>
    <n v="26.25"/>
    <s v="0000000127"/>
    <s v="1639"/>
    <d v="2022-08-01T00:00:00"/>
    <s v="320409"/>
    <s v="303"/>
    <s v="21"/>
    <s v="Credito"/>
    <x v="2"/>
    <x v="216"/>
    <m/>
    <s v="000252"/>
    <s v="000132"/>
    <n v="26.25"/>
    <s v="0,00"/>
    <s v="0,00"/>
    <s v="0,00"/>
    <s v="0,00"/>
    <s v="ORC2022_2"/>
    <s v="0012"/>
    <m/>
    <m/>
    <m/>
    <m/>
    <m/>
  </r>
  <r>
    <s v="DESPESAS GERAIS"/>
    <x v="43"/>
    <x v="15"/>
    <n v="7243.47"/>
    <s v="0000000127"/>
    <s v="1640"/>
    <d v="2022-08-01T00:00:00"/>
    <s v="320409"/>
    <s v="305"/>
    <s v="21"/>
    <s v="Credito"/>
    <x v="2"/>
    <x v="216"/>
    <m/>
    <s v="000252"/>
    <s v="000132"/>
    <n v="7243.47"/>
    <s v="0,00"/>
    <s v="0,00"/>
    <s v="0,00"/>
    <s v="0,00"/>
    <s v="ORC2022_2"/>
    <s v="0012"/>
    <m/>
    <m/>
    <m/>
    <m/>
    <m/>
  </r>
  <r>
    <s v="DESPESAS GERAIS"/>
    <x v="43"/>
    <x v="15"/>
    <n v="474.46"/>
    <s v="0000000127"/>
    <s v="1641"/>
    <d v="2022-08-01T00:00:00"/>
    <s v="320409"/>
    <s v="305"/>
    <s v="31"/>
    <s v="Credito"/>
    <x v="2"/>
    <x v="216"/>
    <m/>
    <s v="000252"/>
    <s v="000132"/>
    <n v="474.46"/>
    <s v="0,00"/>
    <s v="0,00"/>
    <s v="0,00"/>
    <s v="0,00"/>
    <s v="ORC2022_2"/>
    <s v="0012"/>
    <m/>
    <m/>
    <m/>
    <m/>
    <m/>
  </r>
  <r>
    <s v="DESPESAS GERAIS"/>
    <x v="43"/>
    <x v="15"/>
    <n v="17.82"/>
    <s v="0000000127"/>
    <s v="1642"/>
    <d v="2022-08-01T00:00:00"/>
    <s v="320409"/>
    <s v="305"/>
    <s v="42"/>
    <s v="Credito"/>
    <x v="2"/>
    <x v="216"/>
    <m/>
    <s v="000252"/>
    <s v="000132"/>
    <n v="17.82"/>
    <s v="0,00"/>
    <s v="0,00"/>
    <s v="0,00"/>
    <s v="0,00"/>
    <s v="ORC2022_2"/>
    <s v="0012"/>
    <m/>
    <m/>
    <m/>
    <m/>
    <m/>
  </r>
  <r>
    <s v="DESPESAS GERAIS"/>
    <x v="43"/>
    <x v="15"/>
    <n v="7259.98"/>
    <s v="0000000127"/>
    <s v="1643"/>
    <d v="2022-08-01T00:00:00"/>
    <s v="320409"/>
    <s v="301"/>
    <s v="90"/>
    <s v="Credito"/>
    <x v="2"/>
    <x v="216"/>
    <m/>
    <s v="000252"/>
    <s v="000132"/>
    <n v="7259.98"/>
    <s v="0,00"/>
    <s v="0,00"/>
    <s v="0,00"/>
    <s v="0,00"/>
    <s v="ORC2022_2"/>
    <s v="0012"/>
    <m/>
    <m/>
    <m/>
    <m/>
    <m/>
  </r>
  <r>
    <s v="DESPESAS GERAIS"/>
    <x v="43"/>
    <x v="16"/>
    <n v="1218.45"/>
    <s v="0000000127"/>
    <s v="1644"/>
    <d v="2022-09-01T00:00:00"/>
    <s v="320409"/>
    <s v="302"/>
    <s v="11"/>
    <s v="Credito"/>
    <x v="2"/>
    <x v="216"/>
    <m/>
    <s v="000252"/>
    <s v="000132"/>
    <n v="1218.45"/>
    <s v="0,00"/>
    <s v="0,00"/>
    <s v="0,00"/>
    <s v="0,00"/>
    <s v="ORC2022_2"/>
    <s v="0012"/>
    <m/>
    <m/>
    <m/>
    <m/>
    <m/>
  </r>
  <r>
    <s v="DESPESAS GERAIS"/>
    <x v="43"/>
    <x v="16"/>
    <n v="180.73"/>
    <s v="0000000127"/>
    <s v="1645"/>
    <d v="2022-09-01T00:00:00"/>
    <s v="320409"/>
    <s v="304"/>
    <s v="11"/>
    <s v="Credito"/>
    <x v="2"/>
    <x v="216"/>
    <m/>
    <s v="000252"/>
    <s v="000132"/>
    <n v="180.73"/>
    <s v="0,00"/>
    <s v="0,00"/>
    <s v="0,00"/>
    <s v="0,00"/>
    <s v="ORC2022_2"/>
    <s v="0012"/>
    <m/>
    <m/>
    <m/>
    <m/>
    <m/>
  </r>
  <r>
    <s v="DESPESAS GERAIS"/>
    <x v="43"/>
    <x v="16"/>
    <n v="33.83"/>
    <s v="0000000127"/>
    <s v="1646"/>
    <d v="2022-09-01T00:00:00"/>
    <s v="320409"/>
    <s v="303"/>
    <s v="21"/>
    <s v="Credito"/>
    <x v="2"/>
    <x v="216"/>
    <m/>
    <s v="000252"/>
    <s v="000132"/>
    <n v="33.83"/>
    <s v="0,00"/>
    <s v="0,00"/>
    <s v="0,00"/>
    <s v="0,00"/>
    <s v="ORC2022_2"/>
    <s v="0012"/>
    <m/>
    <m/>
    <m/>
    <m/>
    <m/>
  </r>
  <r>
    <s v="DESPESAS GERAIS"/>
    <x v="43"/>
    <x v="16"/>
    <n v="1984.83"/>
    <s v="0000000127"/>
    <s v="1647"/>
    <d v="2022-09-01T00:00:00"/>
    <s v="320409"/>
    <s v="305"/>
    <s v="21"/>
    <s v="Credito"/>
    <x v="2"/>
    <x v="216"/>
    <m/>
    <s v="000252"/>
    <s v="000132"/>
    <n v="1984.83"/>
    <s v="0,00"/>
    <s v="0,00"/>
    <s v="0,00"/>
    <s v="0,00"/>
    <s v="ORC2022_2"/>
    <s v="0012"/>
    <m/>
    <m/>
    <m/>
    <m/>
    <m/>
  </r>
  <r>
    <s v="DESPESAS GERAIS"/>
    <x v="43"/>
    <x v="16"/>
    <n v="868.96"/>
    <s v="0000000127"/>
    <s v="1648"/>
    <d v="2022-09-01T00:00:00"/>
    <s v="320409"/>
    <s v="305"/>
    <s v="31"/>
    <s v="Credito"/>
    <x v="2"/>
    <x v="216"/>
    <m/>
    <s v="000252"/>
    <s v="000132"/>
    <n v="868.96"/>
    <s v="0,00"/>
    <s v="0,00"/>
    <s v="0,00"/>
    <s v="0,00"/>
    <s v="ORC2022_2"/>
    <s v="0012"/>
    <m/>
    <m/>
    <m/>
    <m/>
    <m/>
  </r>
  <r>
    <s v="DESPESAS GERAIS"/>
    <x v="43"/>
    <x v="16"/>
    <n v="12238.49"/>
    <s v="0000000127"/>
    <s v="1649"/>
    <d v="2022-09-01T00:00:00"/>
    <s v="320409"/>
    <s v="301"/>
    <s v="90"/>
    <s v="Credito"/>
    <x v="2"/>
    <x v="216"/>
    <m/>
    <s v="000252"/>
    <s v="000132"/>
    <n v="12238.49"/>
    <s v="0,00"/>
    <s v="0,00"/>
    <s v="0,00"/>
    <s v="0,00"/>
    <s v="ORC2022_2"/>
    <s v="0012"/>
    <m/>
    <m/>
    <m/>
    <m/>
    <m/>
  </r>
  <r>
    <s v="DESPESAS GERAIS"/>
    <x v="43"/>
    <x v="17"/>
    <n v="1230.6300000000001"/>
    <s v="0000000127"/>
    <s v="1650"/>
    <d v="2022-10-01T00:00:00"/>
    <s v="320409"/>
    <s v="302"/>
    <s v="11"/>
    <s v="Credito"/>
    <x v="2"/>
    <x v="216"/>
    <m/>
    <s v="000252"/>
    <s v="000132"/>
    <n v="1230.6300000000001"/>
    <s v="0,00"/>
    <s v="0,00"/>
    <s v="0,00"/>
    <s v="0,00"/>
    <s v="ORC2022_2"/>
    <s v="0012"/>
    <m/>
    <m/>
    <m/>
    <m/>
    <m/>
  </r>
  <r>
    <s v="DESPESAS GERAIS"/>
    <x v="43"/>
    <x v="17"/>
    <n v="182.54"/>
    <s v="0000000127"/>
    <s v="1651"/>
    <d v="2022-10-01T00:00:00"/>
    <s v="320409"/>
    <s v="304"/>
    <s v="11"/>
    <s v="Credito"/>
    <x v="2"/>
    <x v="216"/>
    <m/>
    <s v="000252"/>
    <s v="000132"/>
    <n v="182.54"/>
    <s v="0,00"/>
    <s v="0,00"/>
    <s v="0,00"/>
    <s v="0,00"/>
    <s v="ORC2022_2"/>
    <s v="0012"/>
    <m/>
    <m/>
    <m/>
    <m/>
    <m/>
  </r>
  <r>
    <s v="DESPESAS GERAIS"/>
    <x v="43"/>
    <x v="17"/>
    <n v="34.17"/>
    <s v="0000000127"/>
    <s v="1652"/>
    <d v="2022-10-01T00:00:00"/>
    <s v="320409"/>
    <s v="303"/>
    <s v="21"/>
    <s v="Credito"/>
    <x v="2"/>
    <x v="216"/>
    <m/>
    <s v="000252"/>
    <s v="000132"/>
    <n v="34.17"/>
    <s v="0,00"/>
    <s v="0,00"/>
    <s v="0,00"/>
    <s v="0,00"/>
    <s v="ORC2022_2"/>
    <s v="0012"/>
    <m/>
    <m/>
    <m/>
    <m/>
    <m/>
  </r>
  <r>
    <s v="DESPESAS GERAIS"/>
    <x v="43"/>
    <x v="17"/>
    <n v="2004.68"/>
    <s v="0000000127"/>
    <s v="1653"/>
    <d v="2022-10-01T00:00:00"/>
    <s v="320409"/>
    <s v="305"/>
    <s v="21"/>
    <s v="Credito"/>
    <x v="2"/>
    <x v="216"/>
    <m/>
    <s v="000252"/>
    <s v="000132"/>
    <n v="2004.68"/>
    <s v="0,00"/>
    <s v="0,00"/>
    <s v="0,00"/>
    <s v="0,00"/>
    <s v="ORC2022_2"/>
    <s v="0012"/>
    <m/>
    <m/>
    <m/>
    <m/>
    <m/>
  </r>
  <r>
    <s v="DESPESAS GERAIS"/>
    <x v="43"/>
    <x v="17"/>
    <n v="877.65"/>
    <s v="0000000127"/>
    <s v="1654"/>
    <d v="2022-10-01T00:00:00"/>
    <s v="320409"/>
    <s v="305"/>
    <s v="31"/>
    <s v="Credito"/>
    <x v="2"/>
    <x v="216"/>
    <m/>
    <s v="000252"/>
    <s v="000132"/>
    <n v="877.65"/>
    <s v="0,00"/>
    <s v="0,00"/>
    <s v="0,00"/>
    <s v="0,00"/>
    <s v="ORC2022_2"/>
    <s v="0012"/>
    <m/>
    <m/>
    <m/>
    <m/>
    <m/>
  </r>
  <r>
    <s v="DESPESAS GERAIS"/>
    <x v="43"/>
    <x v="17"/>
    <n v="12360.87"/>
    <s v="0000000127"/>
    <s v="1655"/>
    <d v="2022-10-01T00:00:00"/>
    <s v="320409"/>
    <s v="301"/>
    <s v="90"/>
    <s v="Credito"/>
    <x v="2"/>
    <x v="216"/>
    <m/>
    <s v="000252"/>
    <s v="000132"/>
    <n v="12360.87"/>
    <s v="0,00"/>
    <s v="0,00"/>
    <s v="0,00"/>
    <s v="0,00"/>
    <s v="ORC2022_2"/>
    <s v="0012"/>
    <m/>
    <m/>
    <m/>
    <m/>
    <m/>
  </r>
  <r>
    <s v="DESPESAS GERAIS"/>
    <x v="43"/>
    <x v="0"/>
    <n v="1242.94"/>
    <s v="0000000127"/>
    <s v="1656"/>
    <d v="2022-11-01T00:00:00"/>
    <s v="320409"/>
    <s v="302"/>
    <s v="11"/>
    <s v="Credito"/>
    <x v="2"/>
    <x v="216"/>
    <m/>
    <s v="000252"/>
    <s v="000132"/>
    <n v="1242.94"/>
    <s v="0,00"/>
    <s v="0,00"/>
    <s v="0,00"/>
    <s v="0,00"/>
    <s v="ORC2022_2"/>
    <s v="0012"/>
    <m/>
    <m/>
    <m/>
    <m/>
    <m/>
  </r>
  <r>
    <s v="DESPESAS GERAIS"/>
    <x v="43"/>
    <x v="0"/>
    <n v="184.36"/>
    <s v="0000000127"/>
    <s v="1657"/>
    <d v="2022-11-01T00:00:00"/>
    <s v="320409"/>
    <s v="304"/>
    <s v="11"/>
    <s v="Credito"/>
    <x v="2"/>
    <x v="216"/>
    <m/>
    <s v="000252"/>
    <s v="000132"/>
    <n v="184.36"/>
    <s v="0,00"/>
    <s v="0,00"/>
    <s v="0,00"/>
    <s v="0,00"/>
    <s v="ORC2022_2"/>
    <s v="0012"/>
    <m/>
    <m/>
    <m/>
    <m/>
    <m/>
  </r>
  <r>
    <s v="DESPESAS GERAIS"/>
    <x v="43"/>
    <x v="0"/>
    <n v="34.51"/>
    <s v="0000000127"/>
    <s v="1658"/>
    <d v="2022-11-01T00:00:00"/>
    <s v="320409"/>
    <s v="303"/>
    <s v="21"/>
    <s v="Credito"/>
    <x v="2"/>
    <x v="216"/>
    <m/>
    <s v="000252"/>
    <s v="000132"/>
    <n v="34.51"/>
    <s v="0,00"/>
    <s v="0,00"/>
    <s v="0,00"/>
    <s v="0,00"/>
    <s v="ORC2022_2"/>
    <s v="0012"/>
    <m/>
    <m/>
    <m/>
    <m/>
    <m/>
  </r>
  <r>
    <s v="DESPESAS GERAIS"/>
    <x v="43"/>
    <x v="0"/>
    <n v="2024.73"/>
    <s v="0000000127"/>
    <s v="1659"/>
    <d v="2022-11-01T00:00:00"/>
    <s v="320409"/>
    <s v="305"/>
    <s v="21"/>
    <s v="Credito"/>
    <x v="2"/>
    <x v="216"/>
    <m/>
    <s v="000252"/>
    <s v="000132"/>
    <n v="2024.73"/>
    <s v="0,00"/>
    <s v="0,00"/>
    <s v="0,00"/>
    <s v="0,00"/>
    <s v="ORC2022_2"/>
    <s v="0012"/>
    <m/>
    <m/>
    <m/>
    <m/>
    <m/>
  </r>
  <r>
    <s v="DESPESAS GERAIS"/>
    <x v="43"/>
    <x v="0"/>
    <n v="886.43"/>
    <s v="0000000127"/>
    <s v="1660"/>
    <d v="2022-11-01T00:00:00"/>
    <s v="320409"/>
    <s v="305"/>
    <s v="31"/>
    <s v="Credito"/>
    <x v="2"/>
    <x v="216"/>
    <m/>
    <s v="000252"/>
    <s v="000132"/>
    <n v="886.43"/>
    <s v="0,00"/>
    <s v="0,00"/>
    <s v="0,00"/>
    <s v="0,00"/>
    <s v="ORC2022_2"/>
    <s v="0012"/>
    <m/>
    <m/>
    <m/>
    <m/>
    <m/>
  </r>
  <r>
    <s v="DESPESAS GERAIS"/>
    <x v="43"/>
    <x v="0"/>
    <n v="12484.48"/>
    <s v="0000000127"/>
    <s v="1661"/>
    <d v="2022-11-01T00:00:00"/>
    <s v="320409"/>
    <s v="301"/>
    <s v="90"/>
    <s v="Credito"/>
    <x v="2"/>
    <x v="216"/>
    <m/>
    <s v="000252"/>
    <s v="000132"/>
    <n v="12484.48"/>
    <s v="0,00"/>
    <s v="0,00"/>
    <s v="0,00"/>
    <s v="0,00"/>
    <s v="ORC2022_2"/>
    <s v="0012"/>
    <m/>
    <m/>
    <m/>
    <m/>
    <m/>
  </r>
  <r>
    <s v="DESPESAS GERAIS"/>
    <x v="43"/>
    <x v="1"/>
    <n v="1255.3699999999999"/>
    <s v="0000000127"/>
    <s v="1662"/>
    <d v="2022-12-01T00:00:00"/>
    <s v="320409"/>
    <s v="302"/>
    <s v="11"/>
    <s v="Credito"/>
    <x v="2"/>
    <x v="216"/>
    <m/>
    <s v="000252"/>
    <s v="000132"/>
    <n v="1255.3699999999999"/>
    <s v="0,00"/>
    <s v="0,00"/>
    <s v="0,00"/>
    <s v="0,00"/>
    <s v="ORC2022_2"/>
    <s v="0012"/>
    <m/>
    <m/>
    <m/>
    <m/>
    <m/>
  </r>
  <r>
    <s v="DESPESAS GERAIS"/>
    <x v="43"/>
    <x v="1"/>
    <n v="186.21"/>
    <s v="0000000127"/>
    <s v="1663"/>
    <d v="2022-12-01T00:00:00"/>
    <s v="320409"/>
    <s v="304"/>
    <s v="11"/>
    <s v="Credito"/>
    <x v="2"/>
    <x v="216"/>
    <m/>
    <s v="000252"/>
    <s v="000132"/>
    <n v="186.21"/>
    <s v="0,00"/>
    <s v="0,00"/>
    <s v="0,00"/>
    <s v="0,00"/>
    <s v="ORC2022_2"/>
    <s v="0012"/>
    <m/>
    <m/>
    <m/>
    <m/>
    <m/>
  </r>
  <r>
    <s v="DESPESAS GERAIS"/>
    <x v="43"/>
    <x v="1"/>
    <n v="34.86"/>
    <s v="0000000127"/>
    <s v="1664"/>
    <d v="2022-12-01T00:00:00"/>
    <s v="320409"/>
    <s v="303"/>
    <s v="21"/>
    <s v="Credito"/>
    <x v="2"/>
    <x v="216"/>
    <m/>
    <s v="000252"/>
    <s v="000132"/>
    <n v="34.86"/>
    <s v="0,00"/>
    <s v="0,00"/>
    <s v="0,00"/>
    <s v="0,00"/>
    <s v="ORC2022_2"/>
    <s v="0012"/>
    <m/>
    <m/>
    <m/>
    <m/>
    <m/>
  </r>
  <r>
    <s v="DESPESAS GERAIS"/>
    <x v="43"/>
    <x v="1"/>
    <n v="2044.97"/>
    <s v="0000000127"/>
    <s v="1665"/>
    <d v="2022-12-01T00:00:00"/>
    <s v="320409"/>
    <s v="305"/>
    <s v="21"/>
    <s v="Credito"/>
    <x v="2"/>
    <x v="216"/>
    <m/>
    <s v="000252"/>
    <s v="000132"/>
    <n v="2044.97"/>
    <s v="0,00"/>
    <s v="0,00"/>
    <s v="0,00"/>
    <s v="0,00"/>
    <s v="ORC2022_2"/>
    <s v="0012"/>
    <m/>
    <m/>
    <m/>
    <m/>
    <m/>
  </r>
  <r>
    <s v="DESPESAS GERAIS"/>
    <x v="43"/>
    <x v="1"/>
    <n v="895.29"/>
    <s v="0000000127"/>
    <s v="1666"/>
    <d v="2022-12-01T00:00:00"/>
    <s v="320409"/>
    <s v="305"/>
    <s v="31"/>
    <s v="Credito"/>
    <x v="2"/>
    <x v="216"/>
    <m/>
    <s v="000252"/>
    <s v="000132"/>
    <n v="895.29"/>
    <s v="0,00"/>
    <s v="0,00"/>
    <s v="0,00"/>
    <s v="0,00"/>
    <s v="ORC2022_2"/>
    <s v="0012"/>
    <m/>
    <m/>
    <m/>
    <m/>
    <m/>
  </r>
  <r>
    <s v="DESPESAS GERAIS"/>
    <x v="43"/>
    <x v="1"/>
    <n v="12609.33"/>
    <s v="0000000127"/>
    <s v="1667"/>
    <d v="2022-12-01T00:00:00"/>
    <s v="320409"/>
    <s v="301"/>
    <s v="90"/>
    <s v="Credito"/>
    <x v="2"/>
    <x v="216"/>
    <m/>
    <s v="000252"/>
    <s v="000132"/>
    <n v="12609.33"/>
    <s v="0,00"/>
    <s v="0,00"/>
    <s v="0,00"/>
    <s v="0,00"/>
    <s v="ORC2022_2"/>
    <s v="0012"/>
    <m/>
    <m/>
    <m/>
    <m/>
    <m/>
  </r>
  <r>
    <s v="DEPRECIACOES E AMORTIZACOES"/>
    <x v="44"/>
    <x v="8"/>
    <n v="8592.98"/>
    <s v="0000000127"/>
    <s v="1668"/>
    <d v="2022-01-01T00:00:00"/>
    <s v="320501"/>
    <s v="302"/>
    <s v="11"/>
    <s v="Credito"/>
    <x v="2"/>
    <x v="216"/>
    <m/>
    <s v="000252"/>
    <s v="000132"/>
    <n v="8592.98"/>
    <s v="0,00"/>
    <s v="0,00"/>
    <s v="0,00"/>
    <s v="0,00"/>
    <s v="ORC2022_2"/>
    <s v="0012"/>
    <m/>
    <m/>
    <m/>
    <m/>
    <m/>
  </r>
  <r>
    <s v="DEPRECIACOES E AMORTIZACOES"/>
    <x v="44"/>
    <x v="8"/>
    <n v="233717.83"/>
    <s v="0000000127"/>
    <s v="1669"/>
    <d v="2022-01-01T00:00:00"/>
    <s v="320501"/>
    <s v="304"/>
    <s v="11"/>
    <s v="Credito"/>
    <x v="2"/>
    <x v="216"/>
    <m/>
    <s v="000252"/>
    <s v="000132"/>
    <n v="233717.83"/>
    <s v="0,00"/>
    <s v="0,00"/>
    <s v="0,00"/>
    <s v="0,00"/>
    <s v="ORC2022_2"/>
    <s v="0012"/>
    <m/>
    <m/>
    <m/>
    <m/>
    <m/>
  </r>
  <r>
    <s v="DEPRECIACOES E AMORTIZACOES"/>
    <x v="44"/>
    <x v="8"/>
    <n v="260701.35"/>
    <s v="0000000127"/>
    <s v="1670"/>
    <d v="2022-01-01T00:00:00"/>
    <s v="320501"/>
    <s v="305"/>
    <s v="21"/>
    <s v="Credito"/>
    <x v="2"/>
    <x v="216"/>
    <m/>
    <s v="000252"/>
    <s v="000132"/>
    <n v="260701.35"/>
    <s v="0,00"/>
    <s v="0,00"/>
    <s v="0,00"/>
    <s v="0,00"/>
    <s v="ORC2022_2"/>
    <s v="0012"/>
    <m/>
    <m/>
    <m/>
    <m/>
    <m/>
  </r>
  <r>
    <s v="DEPRECIACOES E AMORTIZACOES"/>
    <x v="44"/>
    <x v="8"/>
    <n v="1891.67"/>
    <s v="0000000127"/>
    <s v="1671"/>
    <d v="2022-01-01T00:00:00"/>
    <s v="320501"/>
    <s v="305"/>
    <s v="31"/>
    <s v="Credito"/>
    <x v="2"/>
    <x v="216"/>
    <m/>
    <s v="000252"/>
    <s v="000132"/>
    <n v="1891.67"/>
    <s v="0,00"/>
    <s v="0,00"/>
    <s v="0,00"/>
    <s v="0,00"/>
    <s v="ORC2022_2"/>
    <s v="0012"/>
    <m/>
    <m/>
    <m/>
    <m/>
    <m/>
  </r>
  <r>
    <s v="DEPRECIACOES E AMORTIZACOES"/>
    <x v="44"/>
    <x v="8"/>
    <n v="14.51"/>
    <s v="0000000127"/>
    <s v="1672"/>
    <d v="2022-01-01T00:00:00"/>
    <s v="320501"/>
    <s v="306"/>
    <s v="33"/>
    <s v="Credito"/>
    <x v="2"/>
    <x v="216"/>
    <m/>
    <s v="000252"/>
    <s v="000132"/>
    <n v="14.51"/>
    <s v="0,00"/>
    <s v="0,00"/>
    <s v="0,00"/>
    <s v="0,00"/>
    <s v="ORC2022_2"/>
    <s v="0012"/>
    <m/>
    <m/>
    <m/>
    <m/>
    <m/>
  </r>
  <r>
    <s v="DEPRECIACOES E AMORTIZACOES"/>
    <x v="44"/>
    <x v="8"/>
    <n v="84.69"/>
    <s v="0000000127"/>
    <s v="1673"/>
    <d v="2022-01-01T00:00:00"/>
    <s v="320501"/>
    <s v="101"/>
    <s v="90"/>
    <s v="Credito"/>
    <x v="2"/>
    <x v="216"/>
    <m/>
    <s v="000252"/>
    <s v="000132"/>
    <n v="84.69"/>
    <s v="0,00"/>
    <s v="0,00"/>
    <s v="0,00"/>
    <s v="0,00"/>
    <s v="ORC2022_2"/>
    <s v="0012"/>
    <m/>
    <m/>
    <m/>
    <m/>
    <m/>
  </r>
  <r>
    <s v="DEPRECIACOES E AMORTIZACOES"/>
    <x v="44"/>
    <x v="8"/>
    <n v="123.93"/>
    <s v="0000000127"/>
    <s v="1674"/>
    <d v="2022-01-01T00:00:00"/>
    <s v="320501"/>
    <s v="203"/>
    <s v="90"/>
    <s v="Credito"/>
    <x v="2"/>
    <x v="216"/>
    <m/>
    <s v="000252"/>
    <s v="000132"/>
    <n v="123.93"/>
    <s v="0,00"/>
    <s v="0,00"/>
    <s v="0,00"/>
    <s v="0,00"/>
    <s v="ORC2022_2"/>
    <s v="0012"/>
    <m/>
    <m/>
    <m/>
    <m/>
    <m/>
  </r>
  <r>
    <s v="DEPRECIACOES E AMORTIZACOES"/>
    <x v="44"/>
    <x v="8"/>
    <n v="28.68"/>
    <s v="0000000127"/>
    <s v="1675"/>
    <d v="2022-01-01T00:00:00"/>
    <s v="320501"/>
    <s v="204"/>
    <s v="90"/>
    <s v="Credito"/>
    <x v="2"/>
    <x v="216"/>
    <m/>
    <s v="000252"/>
    <s v="000132"/>
    <n v="28.68"/>
    <s v="0,00"/>
    <s v="0,00"/>
    <s v="0,00"/>
    <s v="0,00"/>
    <s v="ORC2022_2"/>
    <s v="0012"/>
    <m/>
    <m/>
    <m/>
    <m/>
    <m/>
  </r>
  <r>
    <s v="DEPRECIACOES E AMORTIZACOES"/>
    <x v="44"/>
    <x v="8"/>
    <n v="47.45"/>
    <s v="0000000127"/>
    <s v="1676"/>
    <d v="2022-01-01T00:00:00"/>
    <s v="320501"/>
    <s v="208"/>
    <s v="90"/>
    <s v="Credito"/>
    <x v="2"/>
    <x v="216"/>
    <m/>
    <s v="000252"/>
    <s v="000132"/>
    <n v="47.45"/>
    <s v="0,00"/>
    <s v="0,00"/>
    <s v="0,00"/>
    <s v="0,00"/>
    <s v="ORC2022_2"/>
    <s v="0012"/>
    <m/>
    <m/>
    <m/>
    <m/>
    <m/>
  </r>
  <r>
    <s v="DEPRECIACOES E AMORTIZACOES"/>
    <x v="44"/>
    <x v="8"/>
    <n v="237.06"/>
    <s v="0000000127"/>
    <s v="1677"/>
    <d v="2022-01-01T00:00:00"/>
    <s v="320501"/>
    <s v="209"/>
    <s v="90"/>
    <s v="Credito"/>
    <x v="2"/>
    <x v="216"/>
    <m/>
    <s v="000252"/>
    <s v="000132"/>
    <n v="237.06"/>
    <s v="0,00"/>
    <s v="0,00"/>
    <s v="0,00"/>
    <s v="0,00"/>
    <s v="ORC2022_2"/>
    <s v="0012"/>
    <m/>
    <m/>
    <m/>
    <m/>
    <m/>
  </r>
  <r>
    <s v="DEPRECIACOES E AMORTIZACOES"/>
    <x v="44"/>
    <x v="8"/>
    <n v="1623.01"/>
    <s v="0000000127"/>
    <s v="1678"/>
    <d v="2022-01-01T00:00:00"/>
    <s v="320501"/>
    <s v="301"/>
    <s v="90"/>
    <s v="Credito"/>
    <x v="2"/>
    <x v="216"/>
    <m/>
    <s v="000252"/>
    <s v="000132"/>
    <n v="1623.01"/>
    <s v="0,00"/>
    <s v="0,00"/>
    <s v="0,00"/>
    <s v="0,00"/>
    <s v="ORC2022_2"/>
    <s v="0012"/>
    <m/>
    <m/>
    <m/>
    <m/>
    <m/>
  </r>
  <r>
    <s v="DEPRECIACOES E AMORTIZACOES"/>
    <x v="44"/>
    <x v="9"/>
    <n v="8585.48"/>
    <s v="0000000127"/>
    <s v="1679"/>
    <d v="2022-02-01T00:00:00"/>
    <s v="320501"/>
    <s v="302"/>
    <s v="11"/>
    <s v="Credito"/>
    <x v="2"/>
    <x v="216"/>
    <m/>
    <s v="000252"/>
    <s v="000132"/>
    <n v="8585.48"/>
    <s v="0,00"/>
    <s v="0,00"/>
    <s v="0,00"/>
    <s v="0,00"/>
    <s v="ORC2022_2"/>
    <s v="0012"/>
    <m/>
    <m/>
    <m/>
    <m/>
    <m/>
  </r>
  <r>
    <s v="DEPRECIACOES E AMORTIZACOES"/>
    <x v="44"/>
    <x v="9"/>
    <n v="233717.83"/>
    <s v="0000000127"/>
    <s v="1680"/>
    <d v="2022-02-01T00:00:00"/>
    <s v="320501"/>
    <s v="304"/>
    <s v="11"/>
    <s v="Credito"/>
    <x v="2"/>
    <x v="216"/>
    <m/>
    <s v="000252"/>
    <s v="000132"/>
    <n v="233717.83"/>
    <s v="0,00"/>
    <s v="0,00"/>
    <s v="0,00"/>
    <s v="0,00"/>
    <s v="ORC2022_2"/>
    <s v="0012"/>
    <m/>
    <m/>
    <m/>
    <m/>
    <m/>
  </r>
  <r>
    <s v="DEPRECIACOES E AMORTIZACOES"/>
    <x v="44"/>
    <x v="9"/>
    <n v="12500"/>
    <s v="0000000127"/>
    <s v="1681"/>
    <d v="2022-02-01T00:00:00"/>
    <s v="320501"/>
    <s v="305"/>
    <s v="11"/>
    <s v="Credito"/>
    <x v="2"/>
    <x v="216"/>
    <m/>
    <s v="000252"/>
    <s v="000132"/>
    <n v="12500"/>
    <s v="0,00"/>
    <s v="0,00"/>
    <s v="0,00"/>
    <s v="0,00"/>
    <s v="ORC2022_2"/>
    <s v="0012"/>
    <m/>
    <m/>
    <m/>
    <m/>
    <m/>
  </r>
  <r>
    <s v="DEPRECIACOES E AMORTIZACOES"/>
    <x v="44"/>
    <x v="9"/>
    <n v="31665.85"/>
    <s v="0000000127"/>
    <s v="1682"/>
    <d v="2022-02-01T00:00:00"/>
    <s v="320501"/>
    <s v="303"/>
    <s v="21"/>
    <s v="Credito"/>
    <x v="2"/>
    <x v="216"/>
    <m/>
    <s v="000252"/>
    <s v="000132"/>
    <n v="31665.85"/>
    <s v="0,00"/>
    <s v="0,00"/>
    <s v="0,00"/>
    <s v="0,00"/>
    <s v="ORC2022_2"/>
    <s v="0012"/>
    <m/>
    <m/>
    <m/>
    <m/>
    <m/>
  </r>
  <r>
    <s v="DEPRECIACOES E AMORTIZACOES"/>
    <x v="44"/>
    <x v="9"/>
    <n v="218085.17"/>
    <s v="0000000127"/>
    <s v="1683"/>
    <d v="2022-02-01T00:00:00"/>
    <s v="320501"/>
    <s v="305"/>
    <s v="21"/>
    <s v="Credito"/>
    <x v="2"/>
    <x v="216"/>
    <m/>
    <s v="000252"/>
    <s v="000132"/>
    <n v="218085.17"/>
    <s v="0,00"/>
    <s v="0,00"/>
    <s v="0,00"/>
    <s v="0,00"/>
    <s v="ORC2022_2"/>
    <s v="0012"/>
    <m/>
    <m/>
    <m/>
    <m/>
    <m/>
  </r>
  <r>
    <s v="DEPRECIACOES E AMORTIZACOES"/>
    <x v="44"/>
    <x v="9"/>
    <n v="1891.67"/>
    <s v="0000000127"/>
    <s v="1684"/>
    <d v="2022-02-01T00:00:00"/>
    <s v="320501"/>
    <s v="305"/>
    <s v="31"/>
    <s v="Credito"/>
    <x v="2"/>
    <x v="216"/>
    <m/>
    <s v="000252"/>
    <s v="000132"/>
    <n v="1891.67"/>
    <s v="0,00"/>
    <s v="0,00"/>
    <s v="0,00"/>
    <s v="0,00"/>
    <s v="ORC2022_2"/>
    <s v="0012"/>
    <m/>
    <m/>
    <m/>
    <m/>
    <m/>
  </r>
  <r>
    <s v="DEPRECIACOES E AMORTIZACOES"/>
    <x v="44"/>
    <x v="9"/>
    <n v="14.51"/>
    <s v="0000000127"/>
    <s v="1685"/>
    <d v="2022-02-01T00:00:00"/>
    <s v="320501"/>
    <s v="306"/>
    <s v="33"/>
    <s v="Credito"/>
    <x v="2"/>
    <x v="216"/>
    <m/>
    <s v="000252"/>
    <s v="000132"/>
    <n v="14.51"/>
    <s v="0,00"/>
    <s v="0,00"/>
    <s v="0,00"/>
    <s v="0,00"/>
    <s v="ORC2022_2"/>
    <s v="0012"/>
    <m/>
    <m/>
    <m/>
    <m/>
    <m/>
  </r>
  <r>
    <s v="DEPRECIACOES E AMORTIZACOES"/>
    <x v="44"/>
    <x v="9"/>
    <n v="38.869999999999997"/>
    <s v="0000000127"/>
    <s v="1686"/>
    <d v="2022-02-01T00:00:00"/>
    <s v="320501"/>
    <s v="305"/>
    <s v="42"/>
    <s v="Credito"/>
    <x v="2"/>
    <x v="216"/>
    <m/>
    <s v="000252"/>
    <s v="000132"/>
    <n v="38.869999999999997"/>
    <s v="0,00"/>
    <s v="0,00"/>
    <s v="0,00"/>
    <s v="0,00"/>
    <s v="ORC2022_2"/>
    <s v="0012"/>
    <m/>
    <m/>
    <m/>
    <m/>
    <m/>
  </r>
  <r>
    <s v="DEPRECIACOES E AMORTIZACOES"/>
    <x v="44"/>
    <x v="9"/>
    <n v="2625.47"/>
    <s v="0000000127"/>
    <s v="1687"/>
    <d v="2022-02-01T00:00:00"/>
    <s v="320501"/>
    <s v="101"/>
    <s v="90"/>
    <s v="Credito"/>
    <x v="2"/>
    <x v="216"/>
    <m/>
    <s v="000252"/>
    <s v="000132"/>
    <n v="2625.47"/>
    <s v="0,00"/>
    <s v="0,00"/>
    <s v="0,00"/>
    <s v="0,00"/>
    <s v="ORC2022_2"/>
    <s v="0012"/>
    <m/>
    <m/>
    <m/>
    <m/>
    <m/>
  </r>
  <r>
    <s v="DEPRECIACOES E AMORTIZACOES"/>
    <x v="44"/>
    <x v="9"/>
    <n v="123.93"/>
    <s v="0000000127"/>
    <s v="1688"/>
    <d v="2022-02-01T00:00:00"/>
    <s v="320501"/>
    <s v="203"/>
    <s v="90"/>
    <s v="Credito"/>
    <x v="2"/>
    <x v="216"/>
    <m/>
    <s v="000252"/>
    <s v="000132"/>
    <n v="123.93"/>
    <s v="0,00"/>
    <s v="0,00"/>
    <s v="0,00"/>
    <s v="0,00"/>
    <s v="ORC2022_2"/>
    <s v="0012"/>
    <m/>
    <m/>
    <m/>
    <m/>
    <m/>
  </r>
  <r>
    <s v="DEPRECIACOES E AMORTIZACOES"/>
    <x v="44"/>
    <x v="9"/>
    <n v="28.68"/>
    <s v="0000000127"/>
    <s v="1689"/>
    <d v="2022-02-01T00:00:00"/>
    <s v="320501"/>
    <s v="204"/>
    <s v="90"/>
    <s v="Credito"/>
    <x v="2"/>
    <x v="216"/>
    <m/>
    <s v="000252"/>
    <s v="000132"/>
    <n v="28.68"/>
    <s v="0,00"/>
    <s v="0,00"/>
    <s v="0,00"/>
    <s v="0,00"/>
    <s v="ORC2022_2"/>
    <s v="0012"/>
    <m/>
    <m/>
    <m/>
    <m/>
    <m/>
  </r>
  <r>
    <s v="DEPRECIACOES E AMORTIZACOES"/>
    <x v="44"/>
    <x v="9"/>
    <n v="116.48"/>
    <s v="0000000127"/>
    <s v="1690"/>
    <d v="2022-02-01T00:00:00"/>
    <s v="320501"/>
    <s v="208"/>
    <s v="90"/>
    <s v="Credito"/>
    <x v="2"/>
    <x v="216"/>
    <m/>
    <s v="000252"/>
    <s v="000132"/>
    <n v="116.48"/>
    <s v="0,00"/>
    <s v="0,00"/>
    <s v="0,00"/>
    <s v="0,00"/>
    <s v="ORC2022_2"/>
    <s v="0012"/>
    <m/>
    <m/>
    <m/>
    <m/>
    <m/>
  </r>
  <r>
    <s v="DEPRECIACOES E AMORTIZACOES"/>
    <x v="44"/>
    <x v="9"/>
    <n v="244.08"/>
    <s v="0000000127"/>
    <s v="1691"/>
    <d v="2022-02-01T00:00:00"/>
    <s v="320501"/>
    <s v="209"/>
    <s v="90"/>
    <s v="Credito"/>
    <x v="2"/>
    <x v="216"/>
    <m/>
    <s v="000252"/>
    <s v="000132"/>
    <n v="244.08"/>
    <s v="0,00"/>
    <s v="0,00"/>
    <s v="0,00"/>
    <s v="0,00"/>
    <s v="ORC2022_2"/>
    <s v="0012"/>
    <m/>
    <m/>
    <m/>
    <m/>
    <m/>
  </r>
  <r>
    <s v="DEPRECIACOES E AMORTIZACOES"/>
    <x v="44"/>
    <x v="9"/>
    <n v="1677.58"/>
    <s v="0000000127"/>
    <s v="1692"/>
    <d v="2022-02-01T00:00:00"/>
    <s v="320501"/>
    <s v="301"/>
    <s v="90"/>
    <s v="Credito"/>
    <x v="2"/>
    <x v="216"/>
    <m/>
    <s v="000252"/>
    <s v="000132"/>
    <n v="1677.58"/>
    <s v="0,00"/>
    <s v="0,00"/>
    <s v="0,00"/>
    <s v="0,00"/>
    <s v="ORC2022_2"/>
    <s v="0012"/>
    <m/>
    <m/>
    <m/>
    <m/>
    <m/>
  </r>
  <r>
    <s v="DEPRECIACOES E AMORTIZACOES"/>
    <x v="44"/>
    <x v="9"/>
    <n v="7.5"/>
    <s v="0000000127"/>
    <s v="1693"/>
    <d v="2022-02-01T00:00:00"/>
    <s v="320501"/>
    <s v="302"/>
    <s v="90"/>
    <s v="Credito"/>
    <x v="2"/>
    <x v="216"/>
    <m/>
    <s v="000252"/>
    <s v="000132"/>
    <n v="7.5"/>
    <s v="0,00"/>
    <s v="0,00"/>
    <s v="0,00"/>
    <s v="0,00"/>
    <s v="ORC2022_2"/>
    <s v="0012"/>
    <m/>
    <m/>
    <m/>
    <m/>
    <m/>
  </r>
  <r>
    <s v="DEPRECIACOES E AMORTIZACOES"/>
    <x v="44"/>
    <x v="10"/>
    <n v="54.23"/>
    <s v="0000000127"/>
    <s v="1694"/>
    <d v="2022-03-01T00:00:00"/>
    <s v="320501"/>
    <s v="302"/>
    <s v="11"/>
    <s v="Credito"/>
    <x v="2"/>
    <x v="216"/>
    <m/>
    <s v="000252"/>
    <s v="000132"/>
    <n v="54.23"/>
    <s v="0,00"/>
    <s v="0,00"/>
    <s v="0,00"/>
    <s v="0,00"/>
    <s v="ORC2022_2"/>
    <s v="0012"/>
    <m/>
    <m/>
    <m/>
    <m/>
    <m/>
  </r>
  <r>
    <s v="DEPRECIACOES E AMORTIZACOES"/>
    <x v="44"/>
    <x v="10"/>
    <n v="242249.08"/>
    <s v="0000000127"/>
    <s v="1695"/>
    <d v="2022-03-01T00:00:00"/>
    <s v="320501"/>
    <s v="304"/>
    <s v="11"/>
    <s v="Credito"/>
    <x v="2"/>
    <x v="216"/>
    <m/>
    <s v="000252"/>
    <s v="000132"/>
    <n v="242249.08"/>
    <s v="0,00"/>
    <s v="0,00"/>
    <s v="0,00"/>
    <s v="0,00"/>
    <s v="ORC2022_2"/>
    <s v="0012"/>
    <m/>
    <m/>
    <m/>
    <m/>
    <m/>
  </r>
  <r>
    <s v="DEPRECIACOES E AMORTIZACOES"/>
    <x v="44"/>
    <x v="10"/>
    <n v="12500"/>
    <s v="0000000127"/>
    <s v="1696"/>
    <d v="2022-03-01T00:00:00"/>
    <s v="320501"/>
    <s v="305"/>
    <s v="11"/>
    <s v="Credito"/>
    <x v="2"/>
    <x v="216"/>
    <m/>
    <s v="000252"/>
    <s v="000132"/>
    <n v="12500"/>
    <s v="0,00"/>
    <s v="0,00"/>
    <s v="0,00"/>
    <s v="0,00"/>
    <s v="ORC2022_2"/>
    <s v="0012"/>
    <m/>
    <m/>
    <m/>
    <m/>
    <m/>
  </r>
  <r>
    <s v="DEPRECIACOES E AMORTIZACOES"/>
    <x v="44"/>
    <x v="10"/>
    <n v="689.6"/>
    <s v="0000000127"/>
    <s v="1697"/>
    <d v="2022-03-01T00:00:00"/>
    <s v="320501"/>
    <s v="303"/>
    <s v="21"/>
    <s v="Credito"/>
    <x v="2"/>
    <x v="216"/>
    <m/>
    <s v="000252"/>
    <s v="000132"/>
    <n v="689.6"/>
    <s v="0,00"/>
    <s v="0,00"/>
    <s v="0,00"/>
    <s v="0,00"/>
    <s v="ORC2022_2"/>
    <s v="0012"/>
    <m/>
    <m/>
    <m/>
    <m/>
    <m/>
  </r>
  <r>
    <s v="DEPRECIACOES E AMORTIZACOES"/>
    <x v="44"/>
    <x v="10"/>
    <n v="249061.42"/>
    <s v="0000000127"/>
    <s v="1698"/>
    <d v="2022-03-01T00:00:00"/>
    <s v="320501"/>
    <s v="305"/>
    <s v="21"/>
    <s v="Credito"/>
    <x v="2"/>
    <x v="216"/>
    <m/>
    <s v="000252"/>
    <s v="000132"/>
    <n v="249061.42"/>
    <s v="0,00"/>
    <s v="0,00"/>
    <s v="0,00"/>
    <s v="0,00"/>
    <s v="ORC2022_2"/>
    <s v="0012"/>
    <m/>
    <m/>
    <m/>
    <m/>
    <m/>
  </r>
  <r>
    <s v="DEPRECIACOES E AMORTIZACOES"/>
    <x v="44"/>
    <x v="10"/>
    <n v="1891.67"/>
    <s v="0000000127"/>
    <s v="1699"/>
    <d v="2022-03-01T00:00:00"/>
    <s v="320501"/>
    <s v="305"/>
    <s v="31"/>
    <s v="Credito"/>
    <x v="2"/>
    <x v="216"/>
    <m/>
    <s v="000252"/>
    <s v="000132"/>
    <n v="1891.67"/>
    <s v="0,00"/>
    <s v="0,00"/>
    <s v="0,00"/>
    <s v="0,00"/>
    <s v="ORC2022_2"/>
    <s v="0012"/>
    <m/>
    <m/>
    <m/>
    <m/>
    <m/>
  </r>
  <r>
    <s v="DEPRECIACOES E AMORTIZACOES"/>
    <x v="44"/>
    <x v="10"/>
    <n v="14.51"/>
    <s v="0000000127"/>
    <s v="1700"/>
    <d v="2022-03-01T00:00:00"/>
    <s v="320501"/>
    <s v="306"/>
    <s v="33"/>
    <s v="Credito"/>
    <x v="2"/>
    <x v="216"/>
    <m/>
    <s v="000252"/>
    <s v="000132"/>
    <n v="14.51"/>
    <s v="0,00"/>
    <s v="0,00"/>
    <s v="0,00"/>
    <s v="0,00"/>
    <s v="ORC2022_2"/>
    <s v="0012"/>
    <m/>
    <m/>
    <m/>
    <m/>
    <m/>
  </r>
  <r>
    <s v="DEPRECIACOES E AMORTIZACOES"/>
    <x v="44"/>
    <x v="10"/>
    <n v="38.869999999999997"/>
    <s v="0000000127"/>
    <s v="1701"/>
    <d v="2022-03-01T00:00:00"/>
    <s v="320501"/>
    <s v="305"/>
    <s v="42"/>
    <s v="Credito"/>
    <x v="2"/>
    <x v="216"/>
    <m/>
    <s v="000252"/>
    <s v="000132"/>
    <n v="38.869999999999997"/>
    <s v="0,00"/>
    <s v="0,00"/>
    <s v="0,00"/>
    <s v="0,00"/>
    <s v="ORC2022_2"/>
    <s v="0012"/>
    <m/>
    <m/>
    <m/>
    <m/>
    <m/>
  </r>
  <r>
    <s v="DEPRECIACOES E AMORTIZACOES"/>
    <x v="44"/>
    <x v="10"/>
    <n v="2631.11"/>
    <s v="0000000127"/>
    <s v="1702"/>
    <d v="2022-03-01T00:00:00"/>
    <s v="320501"/>
    <s v="101"/>
    <s v="90"/>
    <s v="Credito"/>
    <x v="2"/>
    <x v="216"/>
    <m/>
    <s v="000252"/>
    <s v="000132"/>
    <n v="2631.11"/>
    <s v="0,00"/>
    <s v="0,00"/>
    <s v="0,00"/>
    <s v="0,00"/>
    <s v="ORC2022_2"/>
    <s v="0012"/>
    <m/>
    <m/>
    <m/>
    <m/>
    <m/>
  </r>
  <r>
    <s v="DEPRECIACOES E AMORTIZACOES"/>
    <x v="44"/>
    <x v="10"/>
    <n v="123.93"/>
    <s v="0000000127"/>
    <s v="1703"/>
    <d v="2022-03-01T00:00:00"/>
    <s v="320501"/>
    <s v="203"/>
    <s v="90"/>
    <s v="Credito"/>
    <x v="2"/>
    <x v="216"/>
    <m/>
    <s v="000252"/>
    <s v="000132"/>
    <n v="123.93"/>
    <s v="0,00"/>
    <s v="0,00"/>
    <s v="0,00"/>
    <s v="0,00"/>
    <s v="ORC2022_2"/>
    <s v="0012"/>
    <m/>
    <m/>
    <m/>
    <m/>
    <m/>
  </r>
  <r>
    <s v="DEPRECIACOES E AMORTIZACOES"/>
    <x v="44"/>
    <x v="10"/>
    <n v="28.68"/>
    <s v="0000000127"/>
    <s v="1704"/>
    <d v="2022-03-01T00:00:00"/>
    <s v="320501"/>
    <s v="204"/>
    <s v="90"/>
    <s v="Credito"/>
    <x v="2"/>
    <x v="216"/>
    <m/>
    <s v="000252"/>
    <s v="000132"/>
    <n v="28.68"/>
    <s v="0,00"/>
    <s v="0,00"/>
    <s v="0,00"/>
    <s v="0,00"/>
    <s v="ORC2022_2"/>
    <s v="0012"/>
    <m/>
    <m/>
    <m/>
    <m/>
    <m/>
  </r>
  <r>
    <s v="DEPRECIACOES E AMORTIZACOES"/>
    <x v="44"/>
    <x v="10"/>
    <n v="116.48"/>
    <s v="0000000127"/>
    <s v="1705"/>
    <d v="2022-03-01T00:00:00"/>
    <s v="320501"/>
    <s v="208"/>
    <s v="90"/>
    <s v="Credito"/>
    <x v="2"/>
    <x v="216"/>
    <m/>
    <s v="000252"/>
    <s v="000132"/>
    <n v="116.48"/>
    <s v="0,00"/>
    <s v="0,00"/>
    <s v="0,00"/>
    <s v="0,00"/>
    <s v="ORC2022_2"/>
    <s v="0012"/>
    <m/>
    <m/>
    <m/>
    <m/>
    <m/>
  </r>
  <r>
    <s v="DEPRECIACOES E AMORTIZACOES"/>
    <x v="44"/>
    <x v="10"/>
    <n v="244.08"/>
    <s v="0000000127"/>
    <s v="1706"/>
    <d v="2022-03-01T00:00:00"/>
    <s v="320501"/>
    <s v="209"/>
    <s v="90"/>
    <s v="Credito"/>
    <x v="2"/>
    <x v="216"/>
    <m/>
    <s v="000252"/>
    <s v="000132"/>
    <n v="244.08"/>
    <s v="0,00"/>
    <s v="0,00"/>
    <s v="0,00"/>
    <s v="0,00"/>
    <s v="ORC2022_2"/>
    <s v="0012"/>
    <m/>
    <m/>
    <m/>
    <m/>
    <m/>
  </r>
  <r>
    <s v="DEPRECIACOES E AMORTIZACOES"/>
    <x v="44"/>
    <x v="10"/>
    <n v="1766.22"/>
    <s v="0000000127"/>
    <s v="1707"/>
    <d v="2022-03-01T00:00:00"/>
    <s v="320501"/>
    <s v="301"/>
    <s v="90"/>
    <s v="Credito"/>
    <x v="2"/>
    <x v="216"/>
    <m/>
    <s v="000252"/>
    <s v="000132"/>
    <n v="1766.22"/>
    <s v="0,00"/>
    <s v="0,00"/>
    <s v="0,00"/>
    <s v="0,00"/>
    <s v="ORC2022_2"/>
    <s v="0012"/>
    <m/>
    <m/>
    <m/>
    <m/>
    <m/>
  </r>
  <r>
    <s v="DEPRECIACOES E AMORTIZACOES"/>
    <x v="44"/>
    <x v="10"/>
    <n v="7.5"/>
    <s v="0000000127"/>
    <s v="1708"/>
    <d v="2022-03-01T00:00:00"/>
    <s v="320501"/>
    <s v="302"/>
    <s v="90"/>
    <s v="Credito"/>
    <x v="2"/>
    <x v="216"/>
    <m/>
    <s v="000252"/>
    <s v="000132"/>
    <n v="7.5"/>
    <s v="0,00"/>
    <s v="0,00"/>
    <s v="0,00"/>
    <s v="0,00"/>
    <s v="ORC2022_2"/>
    <s v="0012"/>
    <m/>
    <m/>
    <m/>
    <m/>
    <m/>
  </r>
  <r>
    <s v="DEPRECIACOES E AMORTIZACOES"/>
    <x v="44"/>
    <x v="11"/>
    <n v="54.23"/>
    <s v="0000000127"/>
    <s v="1709"/>
    <d v="2022-04-01T00:00:00"/>
    <s v="320501"/>
    <s v="302"/>
    <s v="11"/>
    <s v="Credito"/>
    <x v="2"/>
    <x v="216"/>
    <m/>
    <s v="000252"/>
    <s v="000132"/>
    <n v="54.23"/>
    <s v="0,00"/>
    <s v="0,00"/>
    <s v="0,00"/>
    <s v="0,00"/>
    <s v="ORC2022_2"/>
    <s v="0012"/>
    <m/>
    <m/>
    <m/>
    <m/>
    <m/>
  </r>
  <r>
    <s v="DEPRECIACOES E AMORTIZACOES"/>
    <x v="44"/>
    <x v="11"/>
    <n v="242249.08"/>
    <s v="0000000127"/>
    <s v="1710"/>
    <d v="2022-04-01T00:00:00"/>
    <s v="320501"/>
    <s v="304"/>
    <s v="11"/>
    <s v="Credito"/>
    <x v="2"/>
    <x v="216"/>
    <m/>
    <s v="000252"/>
    <s v="000132"/>
    <n v="242249.08"/>
    <s v="0,00"/>
    <s v="0,00"/>
    <s v="0,00"/>
    <s v="0,00"/>
    <s v="ORC2022_2"/>
    <s v="0012"/>
    <m/>
    <m/>
    <m/>
    <m/>
    <m/>
  </r>
  <r>
    <s v="DEPRECIACOES E AMORTIZACOES"/>
    <x v="44"/>
    <x v="11"/>
    <n v="12500"/>
    <s v="0000000127"/>
    <s v="1711"/>
    <d v="2022-04-01T00:00:00"/>
    <s v="320501"/>
    <s v="305"/>
    <s v="11"/>
    <s v="Credito"/>
    <x v="2"/>
    <x v="216"/>
    <m/>
    <s v="000252"/>
    <s v="000132"/>
    <n v="12500"/>
    <s v="0,00"/>
    <s v="0,00"/>
    <s v="0,00"/>
    <s v="0,00"/>
    <s v="ORC2022_2"/>
    <s v="0012"/>
    <m/>
    <m/>
    <m/>
    <m/>
    <m/>
  </r>
  <r>
    <s v="DEPRECIACOES E AMORTIZACOES"/>
    <x v="44"/>
    <x v="11"/>
    <n v="689.6"/>
    <s v="0000000127"/>
    <s v="1712"/>
    <d v="2022-04-01T00:00:00"/>
    <s v="320501"/>
    <s v="303"/>
    <s v="21"/>
    <s v="Credito"/>
    <x v="2"/>
    <x v="216"/>
    <m/>
    <s v="000252"/>
    <s v="000132"/>
    <n v="689.6"/>
    <s v="0,00"/>
    <s v="0,00"/>
    <s v="0,00"/>
    <s v="0,00"/>
    <s v="ORC2022_2"/>
    <s v="0012"/>
    <m/>
    <m/>
    <m/>
    <m/>
    <m/>
  </r>
  <r>
    <s v="DEPRECIACOES E AMORTIZACOES"/>
    <x v="44"/>
    <x v="11"/>
    <n v="249061.42"/>
    <s v="0000000127"/>
    <s v="1713"/>
    <d v="2022-04-01T00:00:00"/>
    <s v="320501"/>
    <s v="305"/>
    <s v="21"/>
    <s v="Credito"/>
    <x v="2"/>
    <x v="216"/>
    <m/>
    <s v="000252"/>
    <s v="000132"/>
    <n v="249061.42"/>
    <s v="0,00"/>
    <s v="0,00"/>
    <s v="0,00"/>
    <s v="0,00"/>
    <s v="ORC2022_2"/>
    <s v="0012"/>
    <m/>
    <m/>
    <m/>
    <m/>
    <m/>
  </r>
  <r>
    <s v="DEPRECIACOES E AMORTIZACOES"/>
    <x v="44"/>
    <x v="11"/>
    <n v="1891.67"/>
    <s v="0000000127"/>
    <s v="1714"/>
    <d v="2022-04-01T00:00:00"/>
    <s v="320501"/>
    <s v="305"/>
    <s v="31"/>
    <s v="Credito"/>
    <x v="2"/>
    <x v="216"/>
    <m/>
    <s v="000252"/>
    <s v="000132"/>
    <n v="1891.67"/>
    <s v="0,00"/>
    <s v="0,00"/>
    <s v="0,00"/>
    <s v="0,00"/>
    <s v="ORC2022_2"/>
    <s v="0012"/>
    <m/>
    <m/>
    <m/>
    <m/>
    <m/>
  </r>
  <r>
    <s v="DEPRECIACOES E AMORTIZACOES"/>
    <x v="44"/>
    <x v="11"/>
    <n v="14.51"/>
    <s v="0000000127"/>
    <s v="1715"/>
    <d v="2022-04-01T00:00:00"/>
    <s v="320501"/>
    <s v="306"/>
    <s v="33"/>
    <s v="Credito"/>
    <x v="2"/>
    <x v="216"/>
    <m/>
    <s v="000252"/>
    <s v="000132"/>
    <n v="14.51"/>
    <s v="0,00"/>
    <s v="0,00"/>
    <s v="0,00"/>
    <s v="0,00"/>
    <s v="ORC2022_2"/>
    <s v="0012"/>
    <m/>
    <m/>
    <m/>
    <m/>
    <m/>
  </r>
  <r>
    <s v="DEPRECIACOES E AMORTIZACOES"/>
    <x v="44"/>
    <x v="11"/>
    <n v="38.869999999999997"/>
    <s v="0000000127"/>
    <s v="1716"/>
    <d v="2022-04-01T00:00:00"/>
    <s v="320501"/>
    <s v="305"/>
    <s v="42"/>
    <s v="Credito"/>
    <x v="2"/>
    <x v="216"/>
    <m/>
    <s v="000252"/>
    <s v="000132"/>
    <n v="38.869999999999997"/>
    <s v="0,00"/>
    <s v="0,00"/>
    <s v="0,00"/>
    <s v="0,00"/>
    <s v="ORC2022_2"/>
    <s v="0012"/>
    <m/>
    <m/>
    <m/>
    <m/>
    <m/>
  </r>
  <r>
    <s v="DEPRECIACOES E AMORTIZACOES"/>
    <x v="44"/>
    <x v="11"/>
    <n v="2800.3"/>
    <s v="0000000127"/>
    <s v="1717"/>
    <d v="2022-04-01T00:00:00"/>
    <s v="320501"/>
    <s v="101"/>
    <s v="90"/>
    <s v="Credito"/>
    <x v="2"/>
    <x v="216"/>
    <m/>
    <s v="000252"/>
    <s v="000132"/>
    <n v="2800.3"/>
    <s v="0,00"/>
    <s v="0,00"/>
    <s v="0,00"/>
    <s v="0,00"/>
    <s v="ORC2022_2"/>
    <s v="0012"/>
    <m/>
    <m/>
    <m/>
    <m/>
    <m/>
  </r>
  <r>
    <s v="DEPRECIACOES E AMORTIZACOES"/>
    <x v="44"/>
    <x v="11"/>
    <n v="123.93"/>
    <s v="0000000127"/>
    <s v="1718"/>
    <d v="2022-04-01T00:00:00"/>
    <s v="320501"/>
    <s v="203"/>
    <s v="90"/>
    <s v="Credito"/>
    <x v="2"/>
    <x v="216"/>
    <m/>
    <s v="000252"/>
    <s v="000132"/>
    <n v="123.93"/>
    <s v="0,00"/>
    <s v="0,00"/>
    <s v="0,00"/>
    <s v="0,00"/>
    <s v="ORC2022_2"/>
    <s v="0012"/>
    <m/>
    <m/>
    <m/>
    <m/>
    <m/>
  </r>
  <r>
    <s v="DEPRECIACOES E AMORTIZACOES"/>
    <x v="44"/>
    <x v="11"/>
    <n v="28.68"/>
    <s v="0000000127"/>
    <s v="1719"/>
    <d v="2022-04-01T00:00:00"/>
    <s v="320501"/>
    <s v="204"/>
    <s v="90"/>
    <s v="Credito"/>
    <x v="2"/>
    <x v="216"/>
    <m/>
    <s v="000252"/>
    <s v="000132"/>
    <n v="28.68"/>
    <s v="0,00"/>
    <s v="0,00"/>
    <s v="0,00"/>
    <s v="0,00"/>
    <s v="ORC2022_2"/>
    <s v="0012"/>
    <m/>
    <m/>
    <m/>
    <m/>
    <m/>
  </r>
  <r>
    <s v="DEPRECIACOES E AMORTIZACOES"/>
    <x v="44"/>
    <x v="11"/>
    <n v="116.48"/>
    <s v="0000000127"/>
    <s v="1720"/>
    <d v="2022-04-01T00:00:00"/>
    <s v="320501"/>
    <s v="208"/>
    <s v="90"/>
    <s v="Credito"/>
    <x v="2"/>
    <x v="216"/>
    <m/>
    <s v="000252"/>
    <s v="000132"/>
    <n v="116.48"/>
    <s v="0,00"/>
    <s v="0,00"/>
    <s v="0,00"/>
    <s v="0,00"/>
    <s v="ORC2022_2"/>
    <s v="0012"/>
    <m/>
    <m/>
    <m/>
    <m/>
    <m/>
  </r>
  <r>
    <s v="DEPRECIACOES E AMORTIZACOES"/>
    <x v="44"/>
    <x v="11"/>
    <n v="417.41"/>
    <s v="0000000127"/>
    <s v="1721"/>
    <d v="2022-04-01T00:00:00"/>
    <s v="320501"/>
    <s v="209"/>
    <s v="90"/>
    <s v="Credito"/>
    <x v="2"/>
    <x v="216"/>
    <m/>
    <s v="000252"/>
    <s v="000132"/>
    <n v="417.41"/>
    <s v="0,00"/>
    <s v="0,00"/>
    <s v="0,00"/>
    <s v="0,00"/>
    <s v="ORC2022_2"/>
    <s v="0012"/>
    <m/>
    <m/>
    <m/>
    <m/>
    <m/>
  </r>
  <r>
    <s v="DEPRECIACOES E AMORTIZACOES"/>
    <x v="44"/>
    <x v="11"/>
    <n v="1850.82"/>
    <s v="0000000127"/>
    <s v="1722"/>
    <d v="2022-04-01T00:00:00"/>
    <s v="320501"/>
    <s v="301"/>
    <s v="90"/>
    <s v="Credito"/>
    <x v="2"/>
    <x v="216"/>
    <m/>
    <s v="000252"/>
    <s v="000132"/>
    <n v="1850.82"/>
    <s v="0,00"/>
    <s v="0,00"/>
    <s v="0,00"/>
    <s v="0,00"/>
    <s v="ORC2022_2"/>
    <s v="0012"/>
    <m/>
    <m/>
    <m/>
    <m/>
    <m/>
  </r>
  <r>
    <s v="DEPRECIACOES E AMORTIZACOES"/>
    <x v="44"/>
    <x v="11"/>
    <n v="7.5"/>
    <s v="0000000127"/>
    <s v="1723"/>
    <d v="2022-04-01T00:00:00"/>
    <s v="320501"/>
    <s v="302"/>
    <s v="90"/>
    <s v="Credito"/>
    <x v="2"/>
    <x v="216"/>
    <m/>
    <s v="000252"/>
    <s v="000132"/>
    <n v="7.5"/>
    <s v="0,00"/>
    <s v="0,00"/>
    <s v="0,00"/>
    <s v="0,00"/>
    <s v="ORC2022_2"/>
    <s v="0012"/>
    <m/>
    <m/>
    <m/>
    <m/>
    <m/>
  </r>
  <r>
    <s v="DEPRECIACOES E AMORTIZACOES"/>
    <x v="44"/>
    <x v="12"/>
    <n v="54.23"/>
    <s v="0000000127"/>
    <s v="1724"/>
    <d v="2022-05-01T00:00:00"/>
    <s v="320501"/>
    <s v="302"/>
    <s v="11"/>
    <s v="Credito"/>
    <x v="2"/>
    <x v="216"/>
    <m/>
    <s v="000252"/>
    <s v="000132"/>
    <n v="54.23"/>
    <s v="0,00"/>
    <s v="0,00"/>
    <s v="0,00"/>
    <s v="0,00"/>
    <s v="ORC2022_2"/>
    <s v="0012"/>
    <m/>
    <m/>
    <m/>
    <m/>
    <m/>
  </r>
  <r>
    <s v="DEPRECIACOES E AMORTIZACOES"/>
    <x v="44"/>
    <x v="12"/>
    <n v="242249.08"/>
    <s v="0000000127"/>
    <s v="1725"/>
    <d v="2022-05-01T00:00:00"/>
    <s v="320501"/>
    <s v="304"/>
    <s v="11"/>
    <s v="Credito"/>
    <x v="2"/>
    <x v="216"/>
    <m/>
    <s v="000252"/>
    <s v="000132"/>
    <n v="242249.08"/>
    <s v="0,00"/>
    <s v="0,00"/>
    <s v="0,00"/>
    <s v="0,00"/>
    <s v="ORC2022_2"/>
    <s v="0012"/>
    <m/>
    <m/>
    <m/>
    <m/>
    <m/>
  </r>
  <r>
    <s v="DEPRECIACOES E AMORTIZACOES"/>
    <x v="44"/>
    <x v="12"/>
    <n v="12500"/>
    <s v="0000000127"/>
    <s v="1726"/>
    <d v="2022-05-01T00:00:00"/>
    <s v="320501"/>
    <s v="305"/>
    <s v="11"/>
    <s v="Credito"/>
    <x v="2"/>
    <x v="216"/>
    <m/>
    <s v="000252"/>
    <s v="000132"/>
    <n v="12500"/>
    <s v="0,00"/>
    <s v="0,00"/>
    <s v="0,00"/>
    <s v="0,00"/>
    <s v="ORC2022_2"/>
    <s v="0012"/>
    <m/>
    <m/>
    <m/>
    <m/>
    <m/>
  </r>
  <r>
    <s v="DEPRECIACOES E AMORTIZACOES"/>
    <x v="44"/>
    <x v="12"/>
    <n v="689.6"/>
    <s v="0000000127"/>
    <s v="1727"/>
    <d v="2022-05-01T00:00:00"/>
    <s v="320501"/>
    <s v="303"/>
    <s v="21"/>
    <s v="Credito"/>
    <x v="2"/>
    <x v="216"/>
    <m/>
    <s v="000252"/>
    <s v="000132"/>
    <n v="689.6"/>
    <s v="0,00"/>
    <s v="0,00"/>
    <s v="0,00"/>
    <s v="0,00"/>
    <s v="ORC2022_2"/>
    <s v="0012"/>
    <m/>
    <m/>
    <m/>
    <m/>
    <m/>
  </r>
  <r>
    <s v="DEPRECIACOES E AMORTIZACOES"/>
    <x v="44"/>
    <x v="12"/>
    <n v="249061.42"/>
    <s v="0000000127"/>
    <s v="1728"/>
    <d v="2022-05-01T00:00:00"/>
    <s v="320501"/>
    <s v="305"/>
    <s v="21"/>
    <s v="Credito"/>
    <x v="2"/>
    <x v="216"/>
    <m/>
    <s v="000252"/>
    <s v="000132"/>
    <n v="249061.42"/>
    <s v="0,00"/>
    <s v="0,00"/>
    <s v="0,00"/>
    <s v="0,00"/>
    <s v="ORC2022_2"/>
    <s v="0012"/>
    <m/>
    <m/>
    <m/>
    <m/>
    <m/>
  </r>
  <r>
    <s v="DEPRECIACOES E AMORTIZACOES"/>
    <x v="44"/>
    <x v="12"/>
    <n v="1891.67"/>
    <s v="0000000127"/>
    <s v="1729"/>
    <d v="2022-05-01T00:00:00"/>
    <s v="320501"/>
    <s v="305"/>
    <s v="31"/>
    <s v="Credito"/>
    <x v="2"/>
    <x v="216"/>
    <m/>
    <s v="000252"/>
    <s v="000132"/>
    <n v="1891.67"/>
    <s v="0,00"/>
    <s v="0,00"/>
    <s v="0,00"/>
    <s v="0,00"/>
    <s v="ORC2022_2"/>
    <s v="0012"/>
    <m/>
    <m/>
    <m/>
    <m/>
    <m/>
  </r>
  <r>
    <s v="DEPRECIACOES E AMORTIZACOES"/>
    <x v="44"/>
    <x v="12"/>
    <n v="14.51"/>
    <s v="0000000127"/>
    <s v="1730"/>
    <d v="2022-05-01T00:00:00"/>
    <s v="320501"/>
    <s v="306"/>
    <s v="33"/>
    <s v="Credito"/>
    <x v="2"/>
    <x v="216"/>
    <m/>
    <s v="000252"/>
    <s v="000132"/>
    <n v="14.51"/>
    <s v="0,00"/>
    <s v="0,00"/>
    <s v="0,00"/>
    <s v="0,00"/>
    <s v="ORC2022_2"/>
    <s v="0012"/>
    <m/>
    <m/>
    <m/>
    <m/>
    <m/>
  </r>
  <r>
    <s v="DEPRECIACOES E AMORTIZACOES"/>
    <x v="44"/>
    <x v="12"/>
    <n v="38.869999999999997"/>
    <s v="0000000127"/>
    <s v="1731"/>
    <d v="2022-05-01T00:00:00"/>
    <s v="320501"/>
    <s v="305"/>
    <s v="42"/>
    <s v="Credito"/>
    <x v="2"/>
    <x v="216"/>
    <m/>
    <s v="000252"/>
    <s v="000132"/>
    <n v="38.869999999999997"/>
    <s v="0,00"/>
    <s v="0,00"/>
    <s v="0,00"/>
    <s v="0,00"/>
    <s v="ORC2022_2"/>
    <s v="0012"/>
    <m/>
    <m/>
    <m/>
    <m/>
    <m/>
  </r>
  <r>
    <s v="DEPRECIACOES E AMORTIZACOES"/>
    <x v="44"/>
    <x v="12"/>
    <n v="2800.3"/>
    <s v="0000000127"/>
    <s v="1732"/>
    <d v="2022-05-01T00:00:00"/>
    <s v="320501"/>
    <s v="101"/>
    <s v="90"/>
    <s v="Credito"/>
    <x v="2"/>
    <x v="216"/>
    <m/>
    <s v="000252"/>
    <s v="000132"/>
    <n v="2800.3"/>
    <s v="0,00"/>
    <s v="0,00"/>
    <s v="0,00"/>
    <s v="0,00"/>
    <s v="ORC2022_2"/>
    <s v="0012"/>
    <m/>
    <m/>
    <m/>
    <m/>
    <m/>
  </r>
  <r>
    <s v="DEPRECIACOES E AMORTIZACOES"/>
    <x v="44"/>
    <x v="12"/>
    <n v="123.93"/>
    <s v="0000000127"/>
    <s v="1733"/>
    <d v="2022-05-01T00:00:00"/>
    <s v="320501"/>
    <s v="203"/>
    <s v="90"/>
    <s v="Credito"/>
    <x v="2"/>
    <x v="216"/>
    <m/>
    <s v="000252"/>
    <s v="000132"/>
    <n v="123.93"/>
    <s v="0,00"/>
    <s v="0,00"/>
    <s v="0,00"/>
    <s v="0,00"/>
    <s v="ORC2022_2"/>
    <s v="0012"/>
    <m/>
    <m/>
    <m/>
    <m/>
    <m/>
  </r>
  <r>
    <s v="DEPRECIACOES E AMORTIZACOES"/>
    <x v="44"/>
    <x v="12"/>
    <n v="28.68"/>
    <s v="0000000127"/>
    <s v="1734"/>
    <d v="2022-05-01T00:00:00"/>
    <s v="320501"/>
    <s v="204"/>
    <s v="90"/>
    <s v="Credito"/>
    <x v="2"/>
    <x v="216"/>
    <m/>
    <s v="000252"/>
    <s v="000132"/>
    <n v="28.68"/>
    <s v="0,00"/>
    <s v="0,00"/>
    <s v="0,00"/>
    <s v="0,00"/>
    <s v="ORC2022_2"/>
    <s v="0012"/>
    <m/>
    <m/>
    <m/>
    <m/>
    <m/>
  </r>
  <r>
    <s v="DEPRECIACOES E AMORTIZACOES"/>
    <x v="44"/>
    <x v="12"/>
    <n v="4.92"/>
    <s v="0000000127"/>
    <s v="1735"/>
    <d v="2022-05-01T00:00:00"/>
    <s v="320501"/>
    <s v="207"/>
    <s v="90"/>
    <s v="Credito"/>
    <x v="2"/>
    <x v="216"/>
    <m/>
    <s v="000252"/>
    <s v="000132"/>
    <n v="4.92"/>
    <s v="0,00"/>
    <s v="0,00"/>
    <s v="0,00"/>
    <s v="0,00"/>
    <s v="ORC2022_2"/>
    <s v="0012"/>
    <m/>
    <m/>
    <m/>
    <m/>
    <m/>
  </r>
  <r>
    <s v="DEPRECIACOES E AMORTIZACOES"/>
    <x v="44"/>
    <x v="12"/>
    <n v="149.29"/>
    <s v="0000000127"/>
    <s v="1736"/>
    <d v="2022-05-01T00:00:00"/>
    <s v="320501"/>
    <s v="208"/>
    <s v="90"/>
    <s v="Credito"/>
    <x v="2"/>
    <x v="216"/>
    <m/>
    <s v="000252"/>
    <s v="000132"/>
    <n v="149.29"/>
    <s v="0,00"/>
    <s v="0,00"/>
    <s v="0,00"/>
    <s v="0,00"/>
    <s v="ORC2022_2"/>
    <s v="0012"/>
    <m/>
    <m/>
    <m/>
    <m/>
    <m/>
  </r>
  <r>
    <s v="DEPRECIACOES E AMORTIZACOES"/>
    <x v="44"/>
    <x v="12"/>
    <n v="677.41"/>
    <s v="0000000127"/>
    <s v="1737"/>
    <d v="2022-05-01T00:00:00"/>
    <s v="320501"/>
    <s v="209"/>
    <s v="90"/>
    <s v="Credito"/>
    <x v="2"/>
    <x v="216"/>
    <m/>
    <s v="000252"/>
    <s v="000132"/>
    <n v="677.41"/>
    <s v="0,00"/>
    <s v="0,00"/>
    <s v="0,00"/>
    <s v="0,00"/>
    <s v="ORC2022_2"/>
    <s v="0012"/>
    <m/>
    <m/>
    <m/>
    <m/>
    <m/>
  </r>
  <r>
    <s v="DEPRECIACOES E AMORTIZACOES"/>
    <x v="44"/>
    <x v="12"/>
    <n v="6.52"/>
    <s v="0000000127"/>
    <s v="1738"/>
    <d v="2022-05-01T00:00:00"/>
    <s v="320501"/>
    <s v="210"/>
    <s v="90"/>
    <s v="Credito"/>
    <x v="2"/>
    <x v="216"/>
    <m/>
    <s v="000252"/>
    <s v="000132"/>
    <n v="6.52"/>
    <s v="0,00"/>
    <s v="0,00"/>
    <s v="0,00"/>
    <s v="0,00"/>
    <s v="ORC2022_2"/>
    <s v="0012"/>
    <m/>
    <m/>
    <m/>
    <m/>
    <m/>
  </r>
  <r>
    <s v="DEPRECIACOES E AMORTIZACOES"/>
    <x v="44"/>
    <x v="12"/>
    <n v="1902.88"/>
    <s v="0000000127"/>
    <s v="1739"/>
    <d v="2022-05-01T00:00:00"/>
    <s v="320501"/>
    <s v="301"/>
    <s v="90"/>
    <s v="Credito"/>
    <x v="2"/>
    <x v="216"/>
    <m/>
    <s v="000252"/>
    <s v="000132"/>
    <n v="1902.88"/>
    <s v="0,00"/>
    <s v="0,00"/>
    <s v="0,00"/>
    <s v="0,00"/>
    <s v="ORC2022_2"/>
    <s v="0012"/>
    <m/>
    <m/>
    <m/>
    <m/>
    <m/>
  </r>
  <r>
    <s v="DEPRECIACOES E AMORTIZACOES"/>
    <x v="44"/>
    <x v="12"/>
    <n v="7.5"/>
    <s v="0000000127"/>
    <s v="1740"/>
    <d v="2022-05-01T00:00:00"/>
    <s v="320501"/>
    <s v="302"/>
    <s v="90"/>
    <s v="Credito"/>
    <x v="2"/>
    <x v="216"/>
    <m/>
    <s v="000252"/>
    <s v="000132"/>
    <n v="7.5"/>
    <s v="0,00"/>
    <s v="0,00"/>
    <s v="0,00"/>
    <s v="0,00"/>
    <s v="ORC2022_2"/>
    <s v="0012"/>
    <m/>
    <m/>
    <m/>
    <m/>
    <m/>
  </r>
  <r>
    <s v="DEPRECIACOES E AMORTIZACOES"/>
    <x v="44"/>
    <x v="13"/>
    <n v="54.23"/>
    <s v="0000000127"/>
    <s v="1741"/>
    <d v="2022-06-01T00:00:00"/>
    <s v="320501"/>
    <s v="302"/>
    <s v="11"/>
    <s v="Credito"/>
    <x v="2"/>
    <x v="216"/>
    <m/>
    <s v="000252"/>
    <s v="000132"/>
    <n v="54.23"/>
    <s v="0,00"/>
    <s v="0,00"/>
    <s v="0,00"/>
    <s v="0,00"/>
    <s v="ORC2022_2"/>
    <s v="0012"/>
    <m/>
    <m/>
    <m/>
    <m/>
    <m/>
  </r>
  <r>
    <s v="DEPRECIACOES E AMORTIZACOES"/>
    <x v="44"/>
    <x v="13"/>
    <n v="242249.08"/>
    <s v="0000000127"/>
    <s v="1742"/>
    <d v="2022-06-01T00:00:00"/>
    <s v="320501"/>
    <s v="304"/>
    <s v="11"/>
    <s v="Credito"/>
    <x v="2"/>
    <x v="216"/>
    <m/>
    <s v="000252"/>
    <s v="000132"/>
    <n v="242249.08"/>
    <s v="0,00"/>
    <s v="0,00"/>
    <s v="0,00"/>
    <s v="0,00"/>
    <s v="ORC2022_2"/>
    <s v="0012"/>
    <m/>
    <m/>
    <m/>
    <m/>
    <m/>
  </r>
  <r>
    <s v="DEPRECIACOES E AMORTIZACOES"/>
    <x v="44"/>
    <x v="13"/>
    <n v="12500"/>
    <s v="0000000127"/>
    <s v="1743"/>
    <d v="2022-06-01T00:00:00"/>
    <s v="320501"/>
    <s v="305"/>
    <s v="11"/>
    <s v="Credito"/>
    <x v="2"/>
    <x v="216"/>
    <m/>
    <s v="000252"/>
    <s v="000132"/>
    <n v="12500"/>
    <s v="0,00"/>
    <s v="0,00"/>
    <s v="0,00"/>
    <s v="0,00"/>
    <s v="ORC2022_2"/>
    <s v="0012"/>
    <m/>
    <m/>
    <m/>
    <m/>
    <m/>
  </r>
  <r>
    <s v="DEPRECIACOES E AMORTIZACOES"/>
    <x v="44"/>
    <x v="13"/>
    <n v="689.6"/>
    <s v="0000000127"/>
    <s v="1744"/>
    <d v="2022-06-01T00:00:00"/>
    <s v="320501"/>
    <s v="303"/>
    <s v="21"/>
    <s v="Credito"/>
    <x v="2"/>
    <x v="216"/>
    <m/>
    <s v="000252"/>
    <s v="000132"/>
    <n v="689.6"/>
    <s v="0,00"/>
    <s v="0,00"/>
    <s v="0,00"/>
    <s v="0,00"/>
    <s v="ORC2022_2"/>
    <s v="0012"/>
    <m/>
    <m/>
    <m/>
    <m/>
    <m/>
  </r>
  <r>
    <s v="DEPRECIACOES E AMORTIZACOES"/>
    <x v="44"/>
    <x v="13"/>
    <n v="251292.59"/>
    <s v="0000000127"/>
    <s v="1745"/>
    <d v="2022-06-01T00:00:00"/>
    <s v="320501"/>
    <s v="305"/>
    <s v="21"/>
    <s v="Credito"/>
    <x v="2"/>
    <x v="216"/>
    <m/>
    <s v="000252"/>
    <s v="000132"/>
    <n v="251292.59"/>
    <s v="0,00"/>
    <s v="0,00"/>
    <s v="0,00"/>
    <s v="0,00"/>
    <s v="ORC2022_2"/>
    <s v="0012"/>
    <m/>
    <m/>
    <m/>
    <m/>
    <m/>
  </r>
  <r>
    <s v="DEPRECIACOES E AMORTIZACOES"/>
    <x v="44"/>
    <x v="13"/>
    <n v="1891.67"/>
    <s v="0000000127"/>
    <s v="1746"/>
    <d v="2022-06-01T00:00:00"/>
    <s v="320501"/>
    <s v="305"/>
    <s v="31"/>
    <s v="Credito"/>
    <x v="2"/>
    <x v="216"/>
    <m/>
    <s v="000252"/>
    <s v="000132"/>
    <n v="1891.67"/>
    <s v="0,00"/>
    <s v="0,00"/>
    <s v="0,00"/>
    <s v="0,00"/>
    <s v="ORC2022_2"/>
    <s v="0012"/>
    <m/>
    <m/>
    <m/>
    <m/>
    <m/>
  </r>
  <r>
    <s v="DEPRECIACOES E AMORTIZACOES"/>
    <x v="44"/>
    <x v="13"/>
    <n v="14.51"/>
    <s v="0000000127"/>
    <s v="1747"/>
    <d v="2022-06-01T00:00:00"/>
    <s v="320501"/>
    <s v="306"/>
    <s v="33"/>
    <s v="Credito"/>
    <x v="2"/>
    <x v="216"/>
    <m/>
    <s v="000252"/>
    <s v="000132"/>
    <n v="14.51"/>
    <s v="0,00"/>
    <s v="0,00"/>
    <s v="0,00"/>
    <s v="0,00"/>
    <s v="ORC2022_2"/>
    <s v="0012"/>
    <m/>
    <m/>
    <m/>
    <m/>
    <m/>
  </r>
  <r>
    <s v="DEPRECIACOES E AMORTIZACOES"/>
    <x v="44"/>
    <x v="13"/>
    <n v="38.869999999999997"/>
    <s v="0000000127"/>
    <s v="1748"/>
    <d v="2022-06-01T00:00:00"/>
    <s v="320501"/>
    <s v="305"/>
    <s v="42"/>
    <s v="Credito"/>
    <x v="2"/>
    <x v="216"/>
    <m/>
    <s v="000252"/>
    <s v="000132"/>
    <n v="38.869999999999997"/>
    <s v="0,00"/>
    <s v="0,00"/>
    <s v="0,00"/>
    <s v="0,00"/>
    <s v="ORC2022_2"/>
    <s v="0012"/>
    <m/>
    <m/>
    <m/>
    <m/>
    <m/>
  </r>
  <r>
    <s v="DEPRECIACOES E AMORTIZACOES"/>
    <x v="44"/>
    <x v="13"/>
    <n v="2800.3"/>
    <s v="0000000127"/>
    <s v="1749"/>
    <d v="2022-06-01T00:00:00"/>
    <s v="320501"/>
    <s v="101"/>
    <s v="90"/>
    <s v="Credito"/>
    <x v="2"/>
    <x v="216"/>
    <m/>
    <s v="000252"/>
    <s v="000132"/>
    <n v="2800.3"/>
    <s v="0,00"/>
    <s v="0,00"/>
    <s v="0,00"/>
    <s v="0,00"/>
    <s v="ORC2022_2"/>
    <s v="0012"/>
    <m/>
    <m/>
    <m/>
    <m/>
    <m/>
  </r>
  <r>
    <s v="DEPRECIACOES E AMORTIZACOES"/>
    <x v="44"/>
    <x v="13"/>
    <n v="123.93"/>
    <s v="0000000127"/>
    <s v="1750"/>
    <d v="2022-06-01T00:00:00"/>
    <s v="320501"/>
    <s v="203"/>
    <s v="90"/>
    <s v="Credito"/>
    <x v="2"/>
    <x v="216"/>
    <m/>
    <s v="000252"/>
    <s v="000132"/>
    <n v="123.93"/>
    <s v="0,00"/>
    <s v="0,00"/>
    <s v="0,00"/>
    <s v="0,00"/>
    <s v="ORC2022_2"/>
    <s v="0012"/>
    <m/>
    <m/>
    <m/>
    <m/>
    <m/>
  </r>
  <r>
    <s v="DEPRECIACOES E AMORTIZACOES"/>
    <x v="44"/>
    <x v="13"/>
    <n v="28.68"/>
    <s v="0000000127"/>
    <s v="1751"/>
    <d v="2022-06-01T00:00:00"/>
    <s v="320501"/>
    <s v="204"/>
    <s v="90"/>
    <s v="Credito"/>
    <x v="2"/>
    <x v="216"/>
    <m/>
    <s v="000252"/>
    <s v="000132"/>
    <n v="28.68"/>
    <s v="0,00"/>
    <s v="0,00"/>
    <s v="0,00"/>
    <s v="0,00"/>
    <s v="ORC2022_2"/>
    <s v="0012"/>
    <m/>
    <m/>
    <m/>
    <m/>
    <m/>
  </r>
  <r>
    <s v="DEPRECIACOES E AMORTIZACOES"/>
    <x v="44"/>
    <x v="13"/>
    <n v="25.42"/>
    <s v="0000000127"/>
    <s v="1752"/>
    <d v="2022-06-01T00:00:00"/>
    <s v="320501"/>
    <s v="207"/>
    <s v="90"/>
    <s v="Credito"/>
    <x v="2"/>
    <x v="216"/>
    <m/>
    <s v="000252"/>
    <s v="000132"/>
    <n v="25.42"/>
    <s v="0,00"/>
    <s v="0,00"/>
    <s v="0,00"/>
    <s v="0,00"/>
    <s v="ORC2022_2"/>
    <s v="0012"/>
    <m/>
    <m/>
    <m/>
    <m/>
    <m/>
  </r>
  <r>
    <s v="DEPRECIACOES E AMORTIZACOES"/>
    <x v="44"/>
    <x v="13"/>
    <n v="285.98"/>
    <s v="0000000127"/>
    <s v="1753"/>
    <d v="2022-06-01T00:00:00"/>
    <s v="320501"/>
    <s v="208"/>
    <s v="90"/>
    <s v="Credito"/>
    <x v="2"/>
    <x v="216"/>
    <m/>
    <s v="000252"/>
    <s v="000132"/>
    <n v="285.98"/>
    <s v="0,00"/>
    <s v="0,00"/>
    <s v="0,00"/>
    <s v="0,00"/>
    <s v="ORC2022_2"/>
    <s v="0012"/>
    <m/>
    <m/>
    <m/>
    <m/>
    <m/>
  </r>
  <r>
    <s v="DEPRECIACOES E AMORTIZACOES"/>
    <x v="44"/>
    <x v="13"/>
    <n v="677.41"/>
    <s v="0000000127"/>
    <s v="1754"/>
    <d v="2022-06-01T00:00:00"/>
    <s v="320501"/>
    <s v="209"/>
    <s v="90"/>
    <s v="Credito"/>
    <x v="2"/>
    <x v="216"/>
    <m/>
    <s v="000252"/>
    <s v="000132"/>
    <n v="677.41"/>
    <s v="0,00"/>
    <s v="0,00"/>
    <s v="0,00"/>
    <s v="0,00"/>
    <s v="ORC2022_2"/>
    <s v="0012"/>
    <m/>
    <m/>
    <m/>
    <m/>
    <m/>
  </r>
  <r>
    <s v="DEPRECIACOES E AMORTIZACOES"/>
    <x v="44"/>
    <x v="13"/>
    <n v="33.67"/>
    <s v="0000000127"/>
    <s v="1755"/>
    <d v="2022-06-01T00:00:00"/>
    <s v="320501"/>
    <s v="210"/>
    <s v="90"/>
    <s v="Credito"/>
    <x v="2"/>
    <x v="216"/>
    <m/>
    <s v="000252"/>
    <s v="000132"/>
    <n v="33.67"/>
    <s v="0,00"/>
    <s v="0,00"/>
    <s v="0,00"/>
    <s v="0,00"/>
    <s v="ORC2022_2"/>
    <s v="0012"/>
    <m/>
    <m/>
    <m/>
    <m/>
    <m/>
  </r>
  <r>
    <s v="DEPRECIACOES E AMORTIZACOES"/>
    <x v="44"/>
    <x v="13"/>
    <n v="1987.97"/>
    <s v="0000000127"/>
    <s v="1756"/>
    <d v="2022-06-01T00:00:00"/>
    <s v="320501"/>
    <s v="301"/>
    <s v="90"/>
    <s v="Credito"/>
    <x v="2"/>
    <x v="216"/>
    <m/>
    <s v="000252"/>
    <s v="000132"/>
    <n v="1987.97"/>
    <s v="0,00"/>
    <s v="0,00"/>
    <s v="0,00"/>
    <s v="0,00"/>
    <s v="ORC2022_2"/>
    <s v="0012"/>
    <m/>
    <m/>
    <m/>
    <m/>
    <m/>
  </r>
  <r>
    <s v="DEPRECIACOES E AMORTIZACOES"/>
    <x v="44"/>
    <x v="13"/>
    <n v="7.5"/>
    <s v="0000000127"/>
    <s v="1757"/>
    <d v="2022-06-01T00:00:00"/>
    <s v="320501"/>
    <s v="302"/>
    <s v="90"/>
    <s v="Credito"/>
    <x v="2"/>
    <x v="216"/>
    <m/>
    <s v="000252"/>
    <s v="000132"/>
    <n v="7.5"/>
    <s v="0,00"/>
    <s v="0,00"/>
    <s v="0,00"/>
    <s v="0,00"/>
    <s v="ORC2022_2"/>
    <s v="0012"/>
    <m/>
    <m/>
    <m/>
    <m/>
    <m/>
  </r>
  <r>
    <s v="DEPRECIACOES E AMORTIZACOES"/>
    <x v="44"/>
    <x v="14"/>
    <n v="54.23"/>
    <s v="0000000127"/>
    <s v="1758"/>
    <d v="2022-07-01T00:00:00"/>
    <s v="320501"/>
    <s v="302"/>
    <s v="11"/>
    <s v="Credito"/>
    <x v="2"/>
    <x v="216"/>
    <m/>
    <s v="000252"/>
    <s v="000132"/>
    <n v="54.23"/>
    <s v="0,00"/>
    <s v="0,00"/>
    <s v="0,00"/>
    <s v="0,00"/>
    <s v="ORC2022_2"/>
    <s v="0012"/>
    <m/>
    <m/>
    <m/>
    <m/>
    <m/>
  </r>
  <r>
    <s v="DEPRECIACOES E AMORTIZACOES"/>
    <x v="44"/>
    <x v="14"/>
    <n v="238447.28"/>
    <s v="0000000127"/>
    <s v="1759"/>
    <d v="2022-07-01T00:00:00"/>
    <s v="320501"/>
    <s v="304"/>
    <s v="11"/>
    <s v="Credito"/>
    <x v="2"/>
    <x v="216"/>
    <m/>
    <s v="000252"/>
    <s v="000132"/>
    <n v="238447.28"/>
    <s v="0,00"/>
    <s v="0,00"/>
    <s v="0,00"/>
    <s v="0,00"/>
    <s v="ORC2022_2"/>
    <s v="0012"/>
    <m/>
    <m/>
    <m/>
    <m/>
    <m/>
  </r>
  <r>
    <s v="DEPRECIACOES E AMORTIZACOES"/>
    <x v="44"/>
    <x v="14"/>
    <n v="12500"/>
    <s v="0000000127"/>
    <s v="1760"/>
    <d v="2022-07-01T00:00:00"/>
    <s v="320501"/>
    <s v="305"/>
    <s v="11"/>
    <s v="Credito"/>
    <x v="2"/>
    <x v="216"/>
    <m/>
    <s v="000252"/>
    <s v="000132"/>
    <n v="12500"/>
    <s v="0,00"/>
    <s v="0,00"/>
    <s v="0,00"/>
    <s v="0,00"/>
    <s v="ORC2022_2"/>
    <s v="0012"/>
    <m/>
    <m/>
    <m/>
    <m/>
    <m/>
  </r>
  <r>
    <s v="DEPRECIACOES E AMORTIZACOES"/>
    <x v="44"/>
    <x v="14"/>
    <n v="689.6"/>
    <s v="0000000127"/>
    <s v="1761"/>
    <d v="2022-07-01T00:00:00"/>
    <s v="320501"/>
    <s v="303"/>
    <s v="21"/>
    <s v="Credito"/>
    <x v="2"/>
    <x v="216"/>
    <m/>
    <s v="000252"/>
    <s v="000132"/>
    <n v="689.6"/>
    <s v="0,00"/>
    <s v="0,00"/>
    <s v="0,00"/>
    <s v="0,00"/>
    <s v="ORC2022_2"/>
    <s v="0012"/>
    <m/>
    <m/>
    <m/>
    <m/>
    <m/>
  </r>
  <r>
    <s v="DEPRECIACOES E AMORTIZACOES"/>
    <x v="44"/>
    <x v="14"/>
    <n v="253259.22"/>
    <s v="0000000127"/>
    <s v="1762"/>
    <d v="2022-07-01T00:00:00"/>
    <s v="320501"/>
    <s v="305"/>
    <s v="21"/>
    <s v="Credito"/>
    <x v="2"/>
    <x v="216"/>
    <m/>
    <s v="000252"/>
    <s v="000132"/>
    <n v="253259.22"/>
    <s v="0,00"/>
    <s v="0,00"/>
    <s v="0,00"/>
    <s v="0,00"/>
    <s v="ORC2022_2"/>
    <s v="0012"/>
    <m/>
    <m/>
    <m/>
    <m/>
    <m/>
  </r>
  <r>
    <s v="DEPRECIACOES E AMORTIZACOES"/>
    <x v="44"/>
    <x v="14"/>
    <n v="1891.67"/>
    <s v="0000000127"/>
    <s v="1763"/>
    <d v="2022-07-01T00:00:00"/>
    <s v="320501"/>
    <s v="305"/>
    <s v="31"/>
    <s v="Credito"/>
    <x v="2"/>
    <x v="216"/>
    <m/>
    <s v="000252"/>
    <s v="000132"/>
    <n v="1891.67"/>
    <s v="0,00"/>
    <s v="0,00"/>
    <s v="0,00"/>
    <s v="0,00"/>
    <s v="ORC2022_2"/>
    <s v="0012"/>
    <m/>
    <m/>
    <m/>
    <m/>
    <m/>
  </r>
  <r>
    <s v="DEPRECIACOES E AMORTIZACOES"/>
    <x v="44"/>
    <x v="14"/>
    <n v="14.51"/>
    <s v="0000000127"/>
    <s v="1764"/>
    <d v="2022-07-01T00:00:00"/>
    <s v="320501"/>
    <s v="306"/>
    <s v="33"/>
    <s v="Credito"/>
    <x v="2"/>
    <x v="216"/>
    <m/>
    <s v="000252"/>
    <s v="000132"/>
    <n v="14.51"/>
    <s v="0,00"/>
    <s v="0,00"/>
    <s v="0,00"/>
    <s v="0,00"/>
    <s v="ORC2022_2"/>
    <s v="0012"/>
    <m/>
    <m/>
    <m/>
    <m/>
    <m/>
  </r>
  <r>
    <s v="DEPRECIACOES E AMORTIZACOES"/>
    <x v="44"/>
    <x v="14"/>
    <n v="38.869999999999997"/>
    <s v="0000000127"/>
    <s v="1765"/>
    <d v="2022-07-01T00:00:00"/>
    <s v="320501"/>
    <s v="305"/>
    <s v="42"/>
    <s v="Credito"/>
    <x v="2"/>
    <x v="216"/>
    <m/>
    <s v="000252"/>
    <s v="000132"/>
    <n v="38.869999999999997"/>
    <s v="0,00"/>
    <s v="0,00"/>
    <s v="0,00"/>
    <s v="0,00"/>
    <s v="ORC2022_2"/>
    <s v="0012"/>
    <m/>
    <m/>
    <m/>
    <m/>
    <m/>
  </r>
  <r>
    <s v="DEPRECIACOES E AMORTIZACOES"/>
    <x v="44"/>
    <x v="14"/>
    <n v="2800.3"/>
    <s v="0000000127"/>
    <s v="1766"/>
    <d v="2022-07-01T00:00:00"/>
    <s v="320501"/>
    <s v="101"/>
    <s v="90"/>
    <s v="Credito"/>
    <x v="2"/>
    <x v="216"/>
    <m/>
    <s v="000252"/>
    <s v="000132"/>
    <n v="2800.3"/>
    <s v="0,00"/>
    <s v="0,00"/>
    <s v="0,00"/>
    <s v="0,00"/>
    <s v="ORC2022_2"/>
    <s v="0012"/>
    <m/>
    <m/>
    <m/>
    <m/>
    <m/>
  </r>
  <r>
    <s v="DEPRECIACOES E AMORTIZACOES"/>
    <x v="44"/>
    <x v="14"/>
    <n v="47590.61"/>
    <s v="0000000127"/>
    <s v="1767"/>
    <d v="2022-07-01T00:00:00"/>
    <s v="320501"/>
    <s v="201"/>
    <s v="90"/>
    <s v="Credito"/>
    <x v="2"/>
    <x v="216"/>
    <m/>
    <s v="000252"/>
    <s v="000132"/>
    <n v="47590.61"/>
    <s v="0,00"/>
    <s v="0,00"/>
    <s v="0,00"/>
    <s v="0,00"/>
    <s v="ORC2022_2"/>
    <s v="0012"/>
    <m/>
    <m/>
    <m/>
    <m/>
    <m/>
  </r>
  <r>
    <s v="DEPRECIACOES E AMORTIZACOES"/>
    <x v="44"/>
    <x v="14"/>
    <n v="123.93"/>
    <s v="0000000127"/>
    <s v="1768"/>
    <d v="2022-07-01T00:00:00"/>
    <s v="320501"/>
    <s v="203"/>
    <s v="90"/>
    <s v="Credito"/>
    <x v="2"/>
    <x v="216"/>
    <m/>
    <s v="000252"/>
    <s v="000132"/>
    <n v="123.93"/>
    <s v="0,00"/>
    <s v="0,00"/>
    <s v="0,00"/>
    <s v="0,00"/>
    <s v="ORC2022_2"/>
    <s v="0012"/>
    <m/>
    <m/>
    <m/>
    <m/>
    <m/>
  </r>
  <r>
    <s v="DEPRECIACOES E AMORTIZACOES"/>
    <x v="44"/>
    <x v="14"/>
    <n v="28.68"/>
    <s v="0000000127"/>
    <s v="1769"/>
    <d v="2022-07-01T00:00:00"/>
    <s v="320501"/>
    <s v="204"/>
    <s v="90"/>
    <s v="Credito"/>
    <x v="2"/>
    <x v="216"/>
    <m/>
    <s v="000252"/>
    <s v="000132"/>
    <n v="28.68"/>
    <s v="0,00"/>
    <s v="0,00"/>
    <s v="0,00"/>
    <s v="0,00"/>
    <s v="ORC2022_2"/>
    <s v="0012"/>
    <m/>
    <m/>
    <m/>
    <m/>
    <m/>
  </r>
  <r>
    <s v="DEPRECIACOES E AMORTIZACOES"/>
    <x v="44"/>
    <x v="14"/>
    <n v="25.42"/>
    <s v="0000000127"/>
    <s v="1770"/>
    <d v="2022-07-01T00:00:00"/>
    <s v="320501"/>
    <s v="207"/>
    <s v="90"/>
    <s v="Credito"/>
    <x v="2"/>
    <x v="216"/>
    <m/>
    <s v="000252"/>
    <s v="000132"/>
    <n v="25.42"/>
    <s v="0,00"/>
    <s v="0,00"/>
    <s v="0,00"/>
    <s v="0,00"/>
    <s v="ORC2022_2"/>
    <s v="0012"/>
    <m/>
    <m/>
    <m/>
    <m/>
    <m/>
  </r>
  <r>
    <s v="DEPRECIACOES E AMORTIZACOES"/>
    <x v="44"/>
    <x v="14"/>
    <n v="285.98"/>
    <s v="0000000127"/>
    <s v="1771"/>
    <d v="2022-07-01T00:00:00"/>
    <s v="320501"/>
    <s v="208"/>
    <s v="90"/>
    <s v="Credito"/>
    <x v="2"/>
    <x v="216"/>
    <m/>
    <s v="000252"/>
    <s v="000132"/>
    <n v="285.98"/>
    <s v="0,00"/>
    <s v="0,00"/>
    <s v="0,00"/>
    <s v="0,00"/>
    <s v="ORC2022_2"/>
    <s v="0012"/>
    <m/>
    <m/>
    <m/>
    <m/>
    <m/>
  </r>
  <r>
    <s v="DEPRECIACOES E AMORTIZACOES"/>
    <x v="44"/>
    <x v="14"/>
    <n v="678.07"/>
    <s v="0000000127"/>
    <s v="1772"/>
    <d v="2022-07-01T00:00:00"/>
    <s v="320501"/>
    <s v="209"/>
    <s v="90"/>
    <s v="Credito"/>
    <x v="2"/>
    <x v="216"/>
    <m/>
    <s v="000252"/>
    <s v="000132"/>
    <n v="678.07"/>
    <s v="0,00"/>
    <s v="0,00"/>
    <s v="0,00"/>
    <s v="0,00"/>
    <s v="ORC2022_2"/>
    <s v="0012"/>
    <m/>
    <m/>
    <m/>
    <m/>
    <m/>
  </r>
  <r>
    <s v="DEPRECIACOES E AMORTIZACOES"/>
    <x v="44"/>
    <x v="14"/>
    <n v="33.67"/>
    <s v="0000000127"/>
    <s v="1773"/>
    <d v="2022-07-01T00:00:00"/>
    <s v="320501"/>
    <s v="210"/>
    <s v="90"/>
    <s v="Credito"/>
    <x v="2"/>
    <x v="216"/>
    <m/>
    <s v="000252"/>
    <s v="000132"/>
    <n v="33.67"/>
    <s v="0,00"/>
    <s v="0,00"/>
    <s v="0,00"/>
    <s v="0,00"/>
    <s v="ORC2022_2"/>
    <s v="0012"/>
    <m/>
    <m/>
    <m/>
    <m/>
    <m/>
  </r>
  <r>
    <s v="DEPRECIACOES E AMORTIZACOES"/>
    <x v="44"/>
    <x v="14"/>
    <n v="1994.96"/>
    <s v="0000000127"/>
    <s v="1774"/>
    <d v="2022-07-01T00:00:00"/>
    <s v="320501"/>
    <s v="301"/>
    <s v="90"/>
    <s v="Credito"/>
    <x v="2"/>
    <x v="216"/>
    <m/>
    <s v="000252"/>
    <s v="000132"/>
    <n v="1994.96"/>
    <s v="0,00"/>
    <s v="0,00"/>
    <s v="0,00"/>
    <s v="0,00"/>
    <s v="ORC2022_2"/>
    <s v="0012"/>
    <m/>
    <m/>
    <m/>
    <m/>
    <m/>
  </r>
  <r>
    <s v="DEPRECIACOES E AMORTIZACOES"/>
    <x v="44"/>
    <x v="14"/>
    <n v="7.5"/>
    <s v="0000000127"/>
    <s v="1775"/>
    <d v="2022-07-01T00:00:00"/>
    <s v="320501"/>
    <s v="302"/>
    <s v="90"/>
    <s v="Credito"/>
    <x v="2"/>
    <x v="216"/>
    <m/>
    <s v="000252"/>
    <s v="000132"/>
    <n v="7.5"/>
    <s v="0,00"/>
    <s v="0,00"/>
    <s v="0,00"/>
    <s v="0,00"/>
    <s v="ORC2022_2"/>
    <s v="0012"/>
    <m/>
    <m/>
    <m/>
    <m/>
    <m/>
  </r>
  <r>
    <s v="DEPRECIACOES E AMORTIZACOES"/>
    <x v="44"/>
    <x v="15"/>
    <n v="24112.71"/>
    <s v="0000000127"/>
    <s v="1776"/>
    <d v="2022-08-01T00:00:00"/>
    <s v="320501"/>
    <s v="301"/>
    <s v="11"/>
    <s v="Credito"/>
    <x v="2"/>
    <x v="216"/>
    <m/>
    <s v="000252"/>
    <s v="000132"/>
    <n v="24112.71"/>
    <s v="0,00"/>
    <s v="0,00"/>
    <s v="0,00"/>
    <s v="0,00"/>
    <s v="ORC2022_2"/>
    <s v="0012"/>
    <m/>
    <m/>
    <m/>
    <m/>
    <m/>
  </r>
  <r>
    <s v="DEPRECIACOES E AMORTIZACOES"/>
    <x v="44"/>
    <x v="15"/>
    <n v="54.23"/>
    <s v="0000000127"/>
    <s v="1777"/>
    <d v="2022-08-01T00:00:00"/>
    <s v="320501"/>
    <s v="302"/>
    <s v="11"/>
    <s v="Credito"/>
    <x v="2"/>
    <x v="216"/>
    <m/>
    <s v="000252"/>
    <s v="000132"/>
    <n v="54.23"/>
    <s v="0,00"/>
    <s v="0,00"/>
    <s v="0,00"/>
    <s v="0,00"/>
    <s v="ORC2022_2"/>
    <s v="0012"/>
    <m/>
    <m/>
    <m/>
    <m/>
    <m/>
  </r>
  <r>
    <s v="DEPRECIACOES E AMORTIZACOES"/>
    <x v="44"/>
    <x v="15"/>
    <n v="243936.58"/>
    <s v="0000000127"/>
    <s v="1778"/>
    <d v="2022-08-01T00:00:00"/>
    <s v="320501"/>
    <s v="304"/>
    <s v="11"/>
    <s v="Credito"/>
    <x v="2"/>
    <x v="216"/>
    <m/>
    <s v="000252"/>
    <s v="000132"/>
    <n v="243936.58"/>
    <s v="0,00"/>
    <s v="0,00"/>
    <s v="0,00"/>
    <s v="0,00"/>
    <s v="ORC2022_2"/>
    <s v="0012"/>
    <m/>
    <m/>
    <m/>
    <m/>
    <m/>
  </r>
  <r>
    <s v="DEPRECIACOES E AMORTIZACOES"/>
    <x v="44"/>
    <x v="15"/>
    <n v="12500"/>
    <s v="0000000127"/>
    <s v="1779"/>
    <d v="2022-08-01T00:00:00"/>
    <s v="320501"/>
    <s v="305"/>
    <s v="11"/>
    <s v="Credito"/>
    <x v="2"/>
    <x v="216"/>
    <m/>
    <s v="000252"/>
    <s v="000132"/>
    <n v="12500"/>
    <s v="0,00"/>
    <s v="0,00"/>
    <s v="0,00"/>
    <s v="0,00"/>
    <s v="ORC2022_2"/>
    <s v="0012"/>
    <m/>
    <m/>
    <m/>
    <m/>
    <m/>
  </r>
  <r>
    <s v="DEPRECIACOES E AMORTIZACOES"/>
    <x v="44"/>
    <x v="15"/>
    <n v="689.6"/>
    <s v="0000000127"/>
    <s v="1780"/>
    <d v="2022-08-01T00:00:00"/>
    <s v="320501"/>
    <s v="303"/>
    <s v="21"/>
    <s v="Credito"/>
    <x v="2"/>
    <x v="216"/>
    <m/>
    <s v="000252"/>
    <s v="000132"/>
    <n v="689.6"/>
    <s v="0,00"/>
    <s v="0,00"/>
    <s v="0,00"/>
    <s v="0,00"/>
    <s v="ORC2022_2"/>
    <s v="0012"/>
    <m/>
    <m/>
    <m/>
    <m/>
    <m/>
  </r>
  <r>
    <s v="DEPRECIACOES E AMORTIZACOES"/>
    <x v="44"/>
    <x v="15"/>
    <n v="283166.40000000002"/>
    <s v="0000000127"/>
    <s v="1781"/>
    <d v="2022-08-01T00:00:00"/>
    <s v="320501"/>
    <s v="305"/>
    <s v="21"/>
    <s v="Credito"/>
    <x v="2"/>
    <x v="216"/>
    <m/>
    <s v="000252"/>
    <s v="000132"/>
    <n v="283166.40000000002"/>
    <s v="0,00"/>
    <s v="0,00"/>
    <s v="0,00"/>
    <s v="0,00"/>
    <s v="ORC2022_2"/>
    <s v="0012"/>
    <m/>
    <m/>
    <m/>
    <m/>
    <m/>
  </r>
  <r>
    <s v="DEPRECIACOES E AMORTIZACOES"/>
    <x v="44"/>
    <x v="15"/>
    <n v="1891.67"/>
    <s v="0000000127"/>
    <s v="1782"/>
    <d v="2022-08-01T00:00:00"/>
    <s v="320501"/>
    <s v="305"/>
    <s v="31"/>
    <s v="Credito"/>
    <x v="2"/>
    <x v="216"/>
    <m/>
    <s v="000252"/>
    <s v="000132"/>
    <n v="1891.67"/>
    <s v="0,00"/>
    <s v="0,00"/>
    <s v="0,00"/>
    <s v="0,00"/>
    <s v="ORC2022_2"/>
    <s v="0012"/>
    <m/>
    <m/>
    <m/>
    <m/>
    <m/>
  </r>
  <r>
    <s v="DEPRECIACOES E AMORTIZACOES"/>
    <x v="44"/>
    <x v="15"/>
    <n v="14.51"/>
    <s v="0000000127"/>
    <s v="1783"/>
    <d v="2022-08-01T00:00:00"/>
    <s v="320501"/>
    <s v="306"/>
    <s v="33"/>
    <s v="Credito"/>
    <x v="2"/>
    <x v="216"/>
    <m/>
    <s v="000252"/>
    <s v="000132"/>
    <n v="14.51"/>
    <s v="0,00"/>
    <s v="0,00"/>
    <s v="0,00"/>
    <s v="0,00"/>
    <s v="ORC2022_2"/>
    <s v="0012"/>
    <m/>
    <m/>
    <m/>
    <m/>
    <m/>
  </r>
  <r>
    <s v="DEPRECIACOES E AMORTIZACOES"/>
    <x v="44"/>
    <x v="15"/>
    <n v="38.869999999999997"/>
    <s v="0000000127"/>
    <s v="1784"/>
    <d v="2022-08-01T00:00:00"/>
    <s v="320501"/>
    <s v="305"/>
    <s v="42"/>
    <s v="Credito"/>
    <x v="2"/>
    <x v="216"/>
    <m/>
    <s v="000252"/>
    <s v="000132"/>
    <n v="38.869999999999997"/>
    <s v="0,00"/>
    <s v="0,00"/>
    <s v="0,00"/>
    <s v="0,00"/>
    <s v="ORC2022_2"/>
    <s v="0012"/>
    <m/>
    <m/>
    <m/>
    <m/>
    <m/>
  </r>
  <r>
    <s v="DEPRECIACOES E AMORTIZACOES"/>
    <x v="44"/>
    <x v="15"/>
    <n v="2800.3"/>
    <s v="0000000127"/>
    <s v="1785"/>
    <d v="2022-08-01T00:00:00"/>
    <s v="320501"/>
    <s v="101"/>
    <s v="90"/>
    <s v="Credito"/>
    <x v="2"/>
    <x v="216"/>
    <m/>
    <s v="000252"/>
    <s v="000132"/>
    <n v="2800.3"/>
    <s v="0,00"/>
    <s v="0,00"/>
    <s v="0,00"/>
    <s v="0,00"/>
    <s v="ORC2022_2"/>
    <s v="0012"/>
    <m/>
    <m/>
    <m/>
    <m/>
    <m/>
  </r>
  <r>
    <s v="DEPRECIACOES E AMORTIZACOES"/>
    <x v="44"/>
    <x v="15"/>
    <n v="123.93"/>
    <s v="0000000127"/>
    <s v="1786"/>
    <d v="2022-08-01T00:00:00"/>
    <s v="320501"/>
    <s v="203"/>
    <s v="90"/>
    <s v="Credito"/>
    <x v="2"/>
    <x v="216"/>
    <m/>
    <s v="000252"/>
    <s v="000132"/>
    <n v="123.93"/>
    <s v="0,00"/>
    <s v="0,00"/>
    <s v="0,00"/>
    <s v="0,00"/>
    <s v="ORC2022_2"/>
    <s v="0012"/>
    <m/>
    <m/>
    <m/>
    <m/>
    <m/>
  </r>
  <r>
    <s v="DEPRECIACOES E AMORTIZACOES"/>
    <x v="44"/>
    <x v="15"/>
    <n v="28.68"/>
    <s v="0000000127"/>
    <s v="1787"/>
    <d v="2022-08-01T00:00:00"/>
    <s v="320501"/>
    <s v="204"/>
    <s v="90"/>
    <s v="Credito"/>
    <x v="2"/>
    <x v="216"/>
    <m/>
    <s v="000252"/>
    <s v="000132"/>
    <n v="28.68"/>
    <s v="0,00"/>
    <s v="0,00"/>
    <s v="0,00"/>
    <s v="0,00"/>
    <s v="ORC2022_2"/>
    <s v="0012"/>
    <m/>
    <m/>
    <m/>
    <m/>
    <m/>
  </r>
  <r>
    <s v="DEPRECIACOES E AMORTIZACOES"/>
    <x v="44"/>
    <x v="15"/>
    <n v="25.42"/>
    <s v="0000000127"/>
    <s v="1788"/>
    <d v="2022-08-01T00:00:00"/>
    <s v="320501"/>
    <s v="207"/>
    <s v="90"/>
    <s v="Credito"/>
    <x v="2"/>
    <x v="216"/>
    <m/>
    <s v="000252"/>
    <s v="000132"/>
    <n v="25.42"/>
    <s v="0,00"/>
    <s v="0,00"/>
    <s v="0,00"/>
    <s v="0,00"/>
    <s v="ORC2022_2"/>
    <s v="0012"/>
    <m/>
    <m/>
    <m/>
    <m/>
    <m/>
  </r>
  <r>
    <s v="DEPRECIACOES E AMORTIZACOES"/>
    <x v="44"/>
    <x v="15"/>
    <n v="285.98"/>
    <s v="0000000127"/>
    <s v="1789"/>
    <d v="2022-08-01T00:00:00"/>
    <s v="320501"/>
    <s v="208"/>
    <s v="90"/>
    <s v="Credito"/>
    <x v="2"/>
    <x v="216"/>
    <m/>
    <s v="000252"/>
    <s v="000132"/>
    <n v="285.98"/>
    <s v="0,00"/>
    <s v="0,00"/>
    <s v="0,00"/>
    <s v="0,00"/>
    <s v="ORC2022_2"/>
    <s v="0012"/>
    <m/>
    <m/>
    <m/>
    <m/>
    <m/>
  </r>
  <r>
    <s v="DEPRECIACOES E AMORTIZACOES"/>
    <x v="44"/>
    <x v="15"/>
    <n v="697.97"/>
    <s v="0000000127"/>
    <s v="1790"/>
    <d v="2022-08-01T00:00:00"/>
    <s v="320501"/>
    <s v="209"/>
    <s v="90"/>
    <s v="Credito"/>
    <x v="2"/>
    <x v="216"/>
    <m/>
    <s v="000252"/>
    <s v="000132"/>
    <n v="697.97"/>
    <s v="0,00"/>
    <s v="0,00"/>
    <s v="0,00"/>
    <s v="0,00"/>
    <s v="ORC2022_2"/>
    <s v="0012"/>
    <m/>
    <m/>
    <m/>
    <m/>
    <m/>
  </r>
  <r>
    <s v="DEPRECIACOES E AMORTIZACOES"/>
    <x v="44"/>
    <x v="15"/>
    <n v="33.67"/>
    <s v="0000000127"/>
    <s v="1791"/>
    <d v="2022-08-01T00:00:00"/>
    <s v="320501"/>
    <s v="210"/>
    <s v="90"/>
    <s v="Credito"/>
    <x v="2"/>
    <x v="216"/>
    <m/>
    <s v="000252"/>
    <s v="000132"/>
    <n v="33.67"/>
    <s v="0,00"/>
    <s v="0,00"/>
    <s v="0,00"/>
    <s v="0,00"/>
    <s v="ORC2022_2"/>
    <s v="0012"/>
    <m/>
    <m/>
    <m/>
    <m/>
    <m/>
  </r>
  <r>
    <s v="DEPRECIACOES E AMORTIZACOES"/>
    <x v="44"/>
    <x v="15"/>
    <n v="2211.73"/>
    <s v="0000000127"/>
    <s v="1792"/>
    <d v="2022-08-01T00:00:00"/>
    <s v="320501"/>
    <s v="301"/>
    <s v="90"/>
    <s v="Credito"/>
    <x v="2"/>
    <x v="216"/>
    <m/>
    <s v="000252"/>
    <s v="000132"/>
    <n v="2211.73"/>
    <s v="0,00"/>
    <s v="0,00"/>
    <s v="0,00"/>
    <s v="0,00"/>
    <s v="ORC2022_2"/>
    <s v="0012"/>
    <m/>
    <m/>
    <m/>
    <m/>
    <m/>
  </r>
  <r>
    <s v="DEPRECIACOES E AMORTIZACOES"/>
    <x v="44"/>
    <x v="15"/>
    <n v="7.5"/>
    <s v="0000000127"/>
    <s v="1793"/>
    <d v="2022-08-01T00:00:00"/>
    <s v="320501"/>
    <s v="302"/>
    <s v="90"/>
    <s v="Credito"/>
    <x v="2"/>
    <x v="216"/>
    <m/>
    <s v="000252"/>
    <s v="000132"/>
    <n v="7.5"/>
    <s v="0,00"/>
    <s v="0,00"/>
    <s v="0,00"/>
    <s v="0,00"/>
    <s v="ORC2022_2"/>
    <s v="0012"/>
    <m/>
    <m/>
    <m/>
    <m/>
    <m/>
  </r>
  <r>
    <s v="DEPRECIACOES E AMORTIZACOES"/>
    <x v="44"/>
    <x v="16"/>
    <n v="54.23"/>
    <s v="0000000127"/>
    <s v="1794"/>
    <d v="2022-09-01T00:00:00"/>
    <s v="320501"/>
    <s v="302"/>
    <s v="11"/>
    <s v="Credito"/>
    <x v="2"/>
    <x v="216"/>
    <m/>
    <s v="000252"/>
    <s v="000132"/>
    <n v="54.23"/>
    <s v="0,00"/>
    <s v="0,00"/>
    <s v="0,00"/>
    <s v="0,00"/>
    <s v="ORC2022_2"/>
    <s v="0012"/>
    <m/>
    <m/>
    <m/>
    <m/>
    <m/>
  </r>
  <r>
    <s v="DEPRECIACOES E AMORTIZACOES"/>
    <x v="44"/>
    <x v="16"/>
    <n v="233535.04"/>
    <s v="0000000127"/>
    <s v="1795"/>
    <d v="2022-09-01T00:00:00"/>
    <s v="320501"/>
    <s v="304"/>
    <s v="11"/>
    <s v="Credito"/>
    <x v="2"/>
    <x v="216"/>
    <m/>
    <s v="000252"/>
    <s v="000132"/>
    <n v="233535.04"/>
    <s v="0,00"/>
    <s v="0,00"/>
    <s v="0,00"/>
    <s v="0,00"/>
    <s v="ORC2022_2"/>
    <s v="0012"/>
    <m/>
    <m/>
    <m/>
    <m/>
    <m/>
  </r>
  <r>
    <s v="DEPRECIACOES E AMORTIZACOES"/>
    <x v="44"/>
    <x v="16"/>
    <n v="12500"/>
    <s v="0000000127"/>
    <s v="1796"/>
    <d v="2022-09-01T00:00:00"/>
    <s v="320501"/>
    <s v="305"/>
    <s v="11"/>
    <s v="Credito"/>
    <x v="2"/>
    <x v="216"/>
    <m/>
    <s v="000252"/>
    <s v="000132"/>
    <n v="12500"/>
    <s v="0,00"/>
    <s v="0,00"/>
    <s v="0,00"/>
    <s v="0,00"/>
    <s v="ORC2022_2"/>
    <s v="0012"/>
    <m/>
    <m/>
    <m/>
    <m/>
    <m/>
  </r>
  <r>
    <s v="DEPRECIACOES E AMORTIZACOES"/>
    <x v="44"/>
    <x v="16"/>
    <n v="689.6"/>
    <s v="0000000127"/>
    <s v="1797"/>
    <d v="2022-09-01T00:00:00"/>
    <s v="320501"/>
    <s v="303"/>
    <s v="21"/>
    <s v="Credito"/>
    <x v="2"/>
    <x v="216"/>
    <m/>
    <s v="000252"/>
    <s v="000132"/>
    <n v="689.6"/>
    <s v="0,00"/>
    <s v="0,00"/>
    <s v="0,00"/>
    <s v="0,00"/>
    <s v="ORC2022_2"/>
    <s v="0012"/>
    <m/>
    <m/>
    <m/>
    <m/>
    <m/>
  </r>
  <r>
    <s v="DEPRECIACOES E AMORTIZACOES"/>
    <x v="44"/>
    <x v="16"/>
    <n v="314299.96999999997"/>
    <s v="0000000127"/>
    <s v="1798"/>
    <d v="2022-09-01T00:00:00"/>
    <s v="320501"/>
    <s v="305"/>
    <s v="21"/>
    <s v="Credito"/>
    <x v="2"/>
    <x v="216"/>
    <m/>
    <s v="000252"/>
    <s v="000132"/>
    <n v="314299.96999999997"/>
    <s v="0,00"/>
    <s v="0,00"/>
    <s v="0,00"/>
    <s v="0,00"/>
    <s v="ORC2022_2"/>
    <s v="0012"/>
    <m/>
    <m/>
    <m/>
    <m/>
    <m/>
  </r>
  <r>
    <s v="DEPRECIACOES E AMORTIZACOES"/>
    <x v="44"/>
    <x v="16"/>
    <n v="1891.67"/>
    <s v="0000000127"/>
    <s v="1799"/>
    <d v="2022-09-01T00:00:00"/>
    <s v="320501"/>
    <s v="305"/>
    <s v="31"/>
    <s v="Credito"/>
    <x v="2"/>
    <x v="216"/>
    <m/>
    <s v="000252"/>
    <s v="000132"/>
    <n v="1891.67"/>
    <s v="0,00"/>
    <s v="0,00"/>
    <s v="0,00"/>
    <s v="0,00"/>
    <s v="ORC2022_2"/>
    <s v="0012"/>
    <m/>
    <m/>
    <m/>
    <m/>
    <m/>
  </r>
  <r>
    <s v="DEPRECIACOES E AMORTIZACOES"/>
    <x v="44"/>
    <x v="16"/>
    <n v="14.51"/>
    <s v="0000000127"/>
    <s v="1800"/>
    <d v="2022-09-01T00:00:00"/>
    <s v="320501"/>
    <s v="306"/>
    <s v="33"/>
    <s v="Credito"/>
    <x v="2"/>
    <x v="216"/>
    <m/>
    <s v="000252"/>
    <s v="000132"/>
    <n v="14.51"/>
    <s v="0,00"/>
    <s v="0,00"/>
    <s v="0,00"/>
    <s v="0,00"/>
    <s v="ORC2022_2"/>
    <s v="0012"/>
    <m/>
    <m/>
    <m/>
    <m/>
    <m/>
  </r>
  <r>
    <s v="DEPRECIACOES E AMORTIZACOES"/>
    <x v="44"/>
    <x v="16"/>
    <n v="38.869999999999997"/>
    <s v="0000000127"/>
    <s v="1801"/>
    <d v="2022-09-01T00:00:00"/>
    <s v="320501"/>
    <s v="305"/>
    <s v="42"/>
    <s v="Credito"/>
    <x v="2"/>
    <x v="216"/>
    <m/>
    <s v="000252"/>
    <s v="000132"/>
    <n v="38.869999999999997"/>
    <s v="0,00"/>
    <s v="0,00"/>
    <s v="0,00"/>
    <s v="0,00"/>
    <s v="ORC2022_2"/>
    <s v="0012"/>
    <m/>
    <m/>
    <m/>
    <m/>
    <m/>
  </r>
  <r>
    <s v="DEPRECIACOES E AMORTIZACOES"/>
    <x v="44"/>
    <x v="16"/>
    <n v="2800.3"/>
    <s v="0000000127"/>
    <s v="1802"/>
    <d v="2022-09-01T00:00:00"/>
    <s v="320501"/>
    <s v="101"/>
    <s v="90"/>
    <s v="Credito"/>
    <x v="2"/>
    <x v="216"/>
    <m/>
    <s v="000252"/>
    <s v="000132"/>
    <n v="2800.3"/>
    <s v="0,00"/>
    <s v="0,00"/>
    <s v="0,00"/>
    <s v="0,00"/>
    <s v="ORC2022_2"/>
    <s v="0012"/>
    <m/>
    <m/>
    <m/>
    <m/>
    <m/>
  </r>
  <r>
    <s v="DEPRECIACOES E AMORTIZACOES"/>
    <x v="44"/>
    <x v="16"/>
    <n v="123.93"/>
    <s v="0000000127"/>
    <s v="1803"/>
    <d v="2022-09-01T00:00:00"/>
    <s v="320501"/>
    <s v="203"/>
    <s v="90"/>
    <s v="Credito"/>
    <x v="2"/>
    <x v="216"/>
    <m/>
    <s v="000252"/>
    <s v="000132"/>
    <n v="123.93"/>
    <s v="0,00"/>
    <s v="0,00"/>
    <s v="0,00"/>
    <s v="0,00"/>
    <s v="ORC2022_2"/>
    <s v="0012"/>
    <m/>
    <m/>
    <m/>
    <m/>
    <m/>
  </r>
  <r>
    <s v="DEPRECIACOES E AMORTIZACOES"/>
    <x v="44"/>
    <x v="16"/>
    <n v="28.68"/>
    <s v="0000000127"/>
    <s v="1804"/>
    <d v="2022-09-01T00:00:00"/>
    <s v="320501"/>
    <s v="204"/>
    <s v="90"/>
    <s v="Credito"/>
    <x v="2"/>
    <x v="216"/>
    <m/>
    <s v="000252"/>
    <s v="000132"/>
    <n v="28.68"/>
    <s v="0,00"/>
    <s v="0,00"/>
    <s v="0,00"/>
    <s v="0,00"/>
    <s v="ORC2022_2"/>
    <s v="0012"/>
    <m/>
    <m/>
    <m/>
    <m/>
    <m/>
  </r>
  <r>
    <s v="DEPRECIACOES E AMORTIZACOES"/>
    <x v="44"/>
    <x v="16"/>
    <n v="25.42"/>
    <s v="0000000127"/>
    <s v="1805"/>
    <d v="2022-09-01T00:00:00"/>
    <s v="320501"/>
    <s v="207"/>
    <s v="90"/>
    <s v="Credito"/>
    <x v="2"/>
    <x v="216"/>
    <m/>
    <s v="000252"/>
    <s v="000132"/>
    <n v="25.42"/>
    <s v="0,00"/>
    <s v="0,00"/>
    <s v="0,00"/>
    <s v="0,00"/>
    <s v="ORC2022_2"/>
    <s v="0012"/>
    <m/>
    <m/>
    <m/>
    <m/>
    <m/>
  </r>
  <r>
    <s v="DEPRECIACOES E AMORTIZACOES"/>
    <x v="44"/>
    <x v="16"/>
    <n v="285.98"/>
    <s v="0000000127"/>
    <s v="1806"/>
    <d v="2022-09-01T00:00:00"/>
    <s v="320501"/>
    <s v="208"/>
    <s v="90"/>
    <s v="Credito"/>
    <x v="2"/>
    <x v="216"/>
    <m/>
    <s v="000252"/>
    <s v="000132"/>
    <n v="285.98"/>
    <s v="0,00"/>
    <s v="0,00"/>
    <s v="0,00"/>
    <s v="0,00"/>
    <s v="ORC2022_2"/>
    <s v="0012"/>
    <m/>
    <m/>
    <m/>
    <m/>
    <m/>
  </r>
  <r>
    <s v="DEPRECIACOES E AMORTIZACOES"/>
    <x v="44"/>
    <x v="16"/>
    <n v="697.97"/>
    <s v="0000000127"/>
    <s v="1807"/>
    <d v="2022-09-01T00:00:00"/>
    <s v="320501"/>
    <s v="209"/>
    <s v="90"/>
    <s v="Credito"/>
    <x v="2"/>
    <x v="216"/>
    <m/>
    <s v="000252"/>
    <s v="000132"/>
    <n v="697.97"/>
    <s v="0,00"/>
    <s v="0,00"/>
    <s v="0,00"/>
    <s v="0,00"/>
    <s v="ORC2022_2"/>
    <s v="0012"/>
    <m/>
    <m/>
    <m/>
    <m/>
    <m/>
  </r>
  <r>
    <s v="DEPRECIACOES E AMORTIZACOES"/>
    <x v="44"/>
    <x v="16"/>
    <n v="33.67"/>
    <s v="0000000127"/>
    <s v="1808"/>
    <d v="2022-09-01T00:00:00"/>
    <s v="320501"/>
    <s v="210"/>
    <s v="90"/>
    <s v="Credito"/>
    <x v="2"/>
    <x v="216"/>
    <m/>
    <s v="000252"/>
    <s v="000132"/>
    <n v="33.67"/>
    <s v="0,00"/>
    <s v="0,00"/>
    <s v="0,00"/>
    <s v="0,00"/>
    <s v="ORC2022_2"/>
    <s v="0012"/>
    <m/>
    <m/>
    <m/>
    <m/>
    <m/>
  </r>
  <r>
    <s v="DEPRECIACOES E AMORTIZACOES"/>
    <x v="44"/>
    <x v="16"/>
    <n v="2504.1"/>
    <s v="0000000127"/>
    <s v="1809"/>
    <d v="2022-09-01T00:00:00"/>
    <s v="320501"/>
    <s v="301"/>
    <s v="90"/>
    <s v="Credito"/>
    <x v="2"/>
    <x v="216"/>
    <m/>
    <s v="000252"/>
    <s v="000132"/>
    <n v="2504.1"/>
    <s v="0,00"/>
    <s v="0,00"/>
    <s v="0,00"/>
    <s v="0,00"/>
    <s v="ORC2022_2"/>
    <s v="0012"/>
    <m/>
    <m/>
    <m/>
    <m/>
    <m/>
  </r>
  <r>
    <s v="DEPRECIACOES E AMORTIZACOES"/>
    <x v="44"/>
    <x v="16"/>
    <n v="7.5"/>
    <s v="0000000127"/>
    <s v="1810"/>
    <d v="2022-09-01T00:00:00"/>
    <s v="320501"/>
    <s v="302"/>
    <s v="90"/>
    <s v="Credito"/>
    <x v="2"/>
    <x v="216"/>
    <m/>
    <s v="000252"/>
    <s v="000132"/>
    <n v="7.5"/>
    <s v="0,00"/>
    <s v="0,00"/>
    <s v="0,00"/>
    <s v="0,00"/>
    <s v="ORC2022_2"/>
    <s v="0012"/>
    <m/>
    <m/>
    <m/>
    <m/>
    <m/>
  </r>
  <r>
    <s v="DEPRECIACOES E AMORTIZACOES"/>
    <x v="44"/>
    <x v="17"/>
    <n v="54.77"/>
    <s v="0000000127"/>
    <s v="1811"/>
    <d v="2022-10-01T00:00:00"/>
    <s v="320501"/>
    <s v="302"/>
    <s v="11"/>
    <s v="Credito"/>
    <x v="2"/>
    <x v="216"/>
    <m/>
    <s v="000252"/>
    <s v="000132"/>
    <n v="54.77"/>
    <s v="0,00"/>
    <s v="0,00"/>
    <s v="0,00"/>
    <s v="0,00"/>
    <s v="ORC2022_2"/>
    <s v="0012"/>
    <m/>
    <m/>
    <m/>
    <m/>
    <m/>
  </r>
  <r>
    <s v="DEPRECIACOES E AMORTIZACOES"/>
    <x v="44"/>
    <x v="17"/>
    <n v="235870.39"/>
    <s v="0000000127"/>
    <s v="1812"/>
    <d v="2022-10-01T00:00:00"/>
    <s v="320501"/>
    <s v="304"/>
    <s v="11"/>
    <s v="Credito"/>
    <x v="2"/>
    <x v="216"/>
    <m/>
    <s v="000252"/>
    <s v="000132"/>
    <n v="235870.39"/>
    <s v="0,00"/>
    <s v="0,00"/>
    <s v="0,00"/>
    <s v="0,00"/>
    <s v="ORC2022_2"/>
    <s v="0012"/>
    <m/>
    <m/>
    <m/>
    <m/>
    <m/>
  </r>
  <r>
    <s v="DEPRECIACOES E AMORTIZACOES"/>
    <x v="44"/>
    <x v="17"/>
    <n v="12625"/>
    <s v="0000000127"/>
    <s v="1813"/>
    <d v="2022-10-01T00:00:00"/>
    <s v="320501"/>
    <s v="305"/>
    <s v="11"/>
    <s v="Credito"/>
    <x v="2"/>
    <x v="216"/>
    <m/>
    <s v="000252"/>
    <s v="000132"/>
    <n v="12625"/>
    <s v="0,00"/>
    <s v="0,00"/>
    <s v="0,00"/>
    <s v="0,00"/>
    <s v="ORC2022_2"/>
    <s v="0012"/>
    <m/>
    <m/>
    <m/>
    <m/>
    <m/>
  </r>
  <r>
    <s v="DEPRECIACOES E AMORTIZACOES"/>
    <x v="44"/>
    <x v="17"/>
    <n v="696.5"/>
    <s v="0000000127"/>
    <s v="1814"/>
    <d v="2022-10-01T00:00:00"/>
    <s v="320501"/>
    <s v="303"/>
    <s v="21"/>
    <s v="Credito"/>
    <x v="2"/>
    <x v="216"/>
    <m/>
    <s v="000252"/>
    <s v="000132"/>
    <n v="696.5"/>
    <s v="0,00"/>
    <s v="0,00"/>
    <s v="0,00"/>
    <s v="0,00"/>
    <s v="ORC2022_2"/>
    <s v="0012"/>
    <m/>
    <m/>
    <m/>
    <m/>
    <m/>
  </r>
  <r>
    <s v="DEPRECIACOES E AMORTIZACOES"/>
    <x v="44"/>
    <x v="17"/>
    <n v="317442.96999999997"/>
    <s v="0000000127"/>
    <s v="1815"/>
    <d v="2022-10-01T00:00:00"/>
    <s v="320501"/>
    <s v="305"/>
    <s v="21"/>
    <s v="Credito"/>
    <x v="2"/>
    <x v="216"/>
    <m/>
    <s v="000252"/>
    <s v="000132"/>
    <n v="317442.96999999997"/>
    <s v="0,00"/>
    <s v="0,00"/>
    <s v="0,00"/>
    <s v="0,00"/>
    <s v="ORC2022_2"/>
    <s v="0012"/>
    <m/>
    <m/>
    <m/>
    <m/>
    <m/>
  </r>
  <r>
    <s v="DEPRECIACOES E AMORTIZACOES"/>
    <x v="44"/>
    <x v="17"/>
    <n v="1910.59"/>
    <s v="0000000127"/>
    <s v="1816"/>
    <d v="2022-10-01T00:00:00"/>
    <s v="320501"/>
    <s v="305"/>
    <s v="31"/>
    <s v="Credito"/>
    <x v="2"/>
    <x v="216"/>
    <m/>
    <s v="000252"/>
    <s v="000132"/>
    <n v="1910.59"/>
    <s v="0,00"/>
    <s v="0,00"/>
    <s v="0,00"/>
    <s v="0,00"/>
    <s v="ORC2022_2"/>
    <s v="0012"/>
    <m/>
    <m/>
    <m/>
    <m/>
    <m/>
  </r>
  <r>
    <s v="DEPRECIACOES E AMORTIZACOES"/>
    <x v="44"/>
    <x v="17"/>
    <n v="14.66"/>
    <s v="0000000127"/>
    <s v="1817"/>
    <d v="2022-10-01T00:00:00"/>
    <s v="320501"/>
    <s v="306"/>
    <s v="33"/>
    <s v="Credito"/>
    <x v="2"/>
    <x v="216"/>
    <m/>
    <s v="000252"/>
    <s v="000132"/>
    <n v="14.66"/>
    <s v="0,00"/>
    <s v="0,00"/>
    <s v="0,00"/>
    <s v="0,00"/>
    <s v="ORC2022_2"/>
    <s v="0012"/>
    <m/>
    <m/>
    <m/>
    <m/>
    <m/>
  </r>
  <r>
    <s v="DEPRECIACOES E AMORTIZACOES"/>
    <x v="44"/>
    <x v="17"/>
    <n v="39.26"/>
    <s v="0000000127"/>
    <s v="1818"/>
    <d v="2022-10-01T00:00:00"/>
    <s v="320501"/>
    <s v="305"/>
    <s v="42"/>
    <s v="Credito"/>
    <x v="2"/>
    <x v="216"/>
    <m/>
    <s v="000252"/>
    <s v="000132"/>
    <n v="39.26"/>
    <s v="0,00"/>
    <s v="0,00"/>
    <s v="0,00"/>
    <s v="0,00"/>
    <s v="ORC2022_2"/>
    <s v="0012"/>
    <m/>
    <m/>
    <m/>
    <m/>
    <m/>
  </r>
  <r>
    <s v="DEPRECIACOES E AMORTIZACOES"/>
    <x v="44"/>
    <x v="17"/>
    <n v="2828.3"/>
    <s v="0000000127"/>
    <s v="1819"/>
    <d v="2022-10-01T00:00:00"/>
    <s v="320501"/>
    <s v="101"/>
    <s v="90"/>
    <s v="Credito"/>
    <x v="2"/>
    <x v="216"/>
    <m/>
    <s v="000252"/>
    <s v="000132"/>
    <n v="2828.3"/>
    <s v="0,00"/>
    <s v="0,00"/>
    <s v="0,00"/>
    <s v="0,00"/>
    <s v="ORC2022_2"/>
    <s v="0012"/>
    <m/>
    <m/>
    <m/>
    <m/>
    <m/>
  </r>
  <r>
    <s v="DEPRECIACOES E AMORTIZACOES"/>
    <x v="44"/>
    <x v="17"/>
    <n v="125.17"/>
    <s v="0000000127"/>
    <s v="1820"/>
    <d v="2022-10-01T00:00:00"/>
    <s v="320501"/>
    <s v="203"/>
    <s v="90"/>
    <s v="Credito"/>
    <x v="2"/>
    <x v="216"/>
    <m/>
    <s v="000252"/>
    <s v="000132"/>
    <n v="125.17"/>
    <s v="0,00"/>
    <s v="0,00"/>
    <s v="0,00"/>
    <s v="0,00"/>
    <s v="ORC2022_2"/>
    <s v="0012"/>
    <m/>
    <m/>
    <m/>
    <m/>
    <m/>
  </r>
  <r>
    <s v="DEPRECIACOES E AMORTIZACOES"/>
    <x v="44"/>
    <x v="17"/>
    <n v="28.97"/>
    <s v="0000000127"/>
    <s v="1821"/>
    <d v="2022-10-01T00:00:00"/>
    <s v="320501"/>
    <s v="204"/>
    <s v="90"/>
    <s v="Credito"/>
    <x v="2"/>
    <x v="216"/>
    <m/>
    <s v="000252"/>
    <s v="000132"/>
    <n v="28.97"/>
    <s v="0,00"/>
    <s v="0,00"/>
    <s v="0,00"/>
    <s v="0,00"/>
    <s v="ORC2022_2"/>
    <s v="0012"/>
    <m/>
    <m/>
    <m/>
    <m/>
    <m/>
  </r>
  <r>
    <s v="DEPRECIACOES E AMORTIZACOES"/>
    <x v="44"/>
    <x v="17"/>
    <n v="25.67"/>
    <s v="0000000127"/>
    <s v="1822"/>
    <d v="2022-10-01T00:00:00"/>
    <s v="320501"/>
    <s v="207"/>
    <s v="90"/>
    <s v="Credito"/>
    <x v="2"/>
    <x v="216"/>
    <m/>
    <s v="000252"/>
    <s v="000132"/>
    <n v="25.67"/>
    <s v="0,00"/>
    <s v="0,00"/>
    <s v="0,00"/>
    <s v="0,00"/>
    <s v="ORC2022_2"/>
    <s v="0012"/>
    <m/>
    <m/>
    <m/>
    <m/>
    <m/>
  </r>
  <r>
    <s v="DEPRECIACOES E AMORTIZACOES"/>
    <x v="44"/>
    <x v="17"/>
    <n v="288.83999999999997"/>
    <s v="0000000127"/>
    <s v="1823"/>
    <d v="2022-10-01T00:00:00"/>
    <s v="320501"/>
    <s v="208"/>
    <s v="90"/>
    <s v="Credito"/>
    <x v="2"/>
    <x v="216"/>
    <m/>
    <s v="000252"/>
    <s v="000132"/>
    <n v="288.83999999999997"/>
    <s v="0,00"/>
    <s v="0,00"/>
    <s v="0,00"/>
    <s v="0,00"/>
    <s v="ORC2022_2"/>
    <s v="0012"/>
    <m/>
    <m/>
    <m/>
    <m/>
    <m/>
  </r>
  <r>
    <s v="DEPRECIACOES E AMORTIZACOES"/>
    <x v="44"/>
    <x v="17"/>
    <n v="704.95"/>
    <s v="0000000127"/>
    <s v="1824"/>
    <d v="2022-10-01T00:00:00"/>
    <s v="320501"/>
    <s v="209"/>
    <s v="90"/>
    <s v="Credito"/>
    <x v="2"/>
    <x v="216"/>
    <m/>
    <s v="000252"/>
    <s v="000132"/>
    <n v="704.95"/>
    <s v="0,00"/>
    <s v="0,00"/>
    <s v="0,00"/>
    <s v="0,00"/>
    <s v="ORC2022_2"/>
    <s v="0012"/>
    <m/>
    <m/>
    <m/>
    <m/>
    <m/>
  </r>
  <r>
    <s v="DEPRECIACOES E AMORTIZACOES"/>
    <x v="44"/>
    <x v="17"/>
    <n v="34.01"/>
    <s v="0000000127"/>
    <s v="1825"/>
    <d v="2022-10-01T00:00:00"/>
    <s v="320501"/>
    <s v="210"/>
    <s v="90"/>
    <s v="Credito"/>
    <x v="2"/>
    <x v="216"/>
    <m/>
    <s v="000252"/>
    <s v="000132"/>
    <n v="34.01"/>
    <s v="0,00"/>
    <s v="0,00"/>
    <s v="0,00"/>
    <s v="0,00"/>
    <s v="ORC2022_2"/>
    <s v="0012"/>
    <m/>
    <m/>
    <m/>
    <m/>
    <m/>
  </r>
  <r>
    <s v="DEPRECIACOES E AMORTIZACOES"/>
    <x v="44"/>
    <x v="17"/>
    <n v="2529.14"/>
    <s v="0000000127"/>
    <s v="1826"/>
    <d v="2022-10-01T00:00:00"/>
    <s v="320501"/>
    <s v="301"/>
    <s v="90"/>
    <s v="Credito"/>
    <x v="2"/>
    <x v="216"/>
    <m/>
    <s v="000252"/>
    <s v="000132"/>
    <n v="2529.14"/>
    <s v="0,00"/>
    <s v="0,00"/>
    <s v="0,00"/>
    <s v="0,00"/>
    <s v="ORC2022_2"/>
    <s v="0012"/>
    <m/>
    <m/>
    <m/>
    <m/>
    <m/>
  </r>
  <r>
    <s v="DEPRECIACOES E AMORTIZACOES"/>
    <x v="44"/>
    <x v="17"/>
    <n v="7.58"/>
    <s v="0000000127"/>
    <s v="1827"/>
    <d v="2022-10-01T00:00:00"/>
    <s v="320501"/>
    <s v="302"/>
    <s v="90"/>
    <s v="Credito"/>
    <x v="2"/>
    <x v="216"/>
    <m/>
    <s v="000252"/>
    <s v="000132"/>
    <n v="7.58"/>
    <s v="0,00"/>
    <s v="0,00"/>
    <s v="0,00"/>
    <s v="0,00"/>
    <s v="ORC2022_2"/>
    <s v="0012"/>
    <m/>
    <m/>
    <m/>
    <m/>
    <m/>
  </r>
  <r>
    <s v="DEPRECIACOES E AMORTIZACOES"/>
    <x v="44"/>
    <x v="0"/>
    <n v="55.32"/>
    <s v="0000000127"/>
    <s v="1828"/>
    <d v="2022-11-01T00:00:00"/>
    <s v="320501"/>
    <s v="302"/>
    <s v="11"/>
    <s v="Credito"/>
    <x v="2"/>
    <x v="216"/>
    <m/>
    <s v="000252"/>
    <s v="000132"/>
    <n v="55.32"/>
    <s v="0,00"/>
    <s v="0,00"/>
    <s v="0,00"/>
    <s v="0,00"/>
    <s v="ORC2022_2"/>
    <s v="0012"/>
    <m/>
    <m/>
    <m/>
    <m/>
    <m/>
  </r>
  <r>
    <s v="DEPRECIACOES E AMORTIZACOES"/>
    <x v="44"/>
    <x v="0"/>
    <n v="238229.09"/>
    <s v="0000000127"/>
    <s v="1829"/>
    <d v="2022-11-01T00:00:00"/>
    <s v="320501"/>
    <s v="304"/>
    <s v="11"/>
    <s v="Credito"/>
    <x v="2"/>
    <x v="216"/>
    <m/>
    <s v="000252"/>
    <s v="000132"/>
    <n v="238229.09"/>
    <s v="0,00"/>
    <s v="0,00"/>
    <s v="0,00"/>
    <s v="0,00"/>
    <s v="ORC2022_2"/>
    <s v="0012"/>
    <m/>
    <m/>
    <m/>
    <m/>
    <m/>
  </r>
  <r>
    <s v="DEPRECIACOES E AMORTIZACOES"/>
    <x v="44"/>
    <x v="0"/>
    <n v="12751.25"/>
    <s v="0000000127"/>
    <s v="1830"/>
    <d v="2022-11-01T00:00:00"/>
    <s v="320501"/>
    <s v="305"/>
    <s v="11"/>
    <s v="Credito"/>
    <x v="2"/>
    <x v="216"/>
    <m/>
    <s v="000252"/>
    <s v="000132"/>
    <n v="12751.25"/>
    <s v="0,00"/>
    <s v="0,00"/>
    <s v="0,00"/>
    <s v="0,00"/>
    <s v="ORC2022_2"/>
    <s v="0012"/>
    <m/>
    <m/>
    <m/>
    <m/>
    <m/>
  </r>
  <r>
    <s v="DEPRECIACOES E AMORTIZACOES"/>
    <x v="44"/>
    <x v="0"/>
    <n v="703.46"/>
    <s v="0000000127"/>
    <s v="1831"/>
    <d v="2022-11-01T00:00:00"/>
    <s v="320501"/>
    <s v="303"/>
    <s v="21"/>
    <s v="Credito"/>
    <x v="2"/>
    <x v="216"/>
    <m/>
    <s v="000252"/>
    <s v="000132"/>
    <n v="703.46"/>
    <s v="0,00"/>
    <s v="0,00"/>
    <s v="0,00"/>
    <s v="0,00"/>
    <s v="ORC2022_2"/>
    <s v="0012"/>
    <m/>
    <m/>
    <m/>
    <m/>
    <m/>
  </r>
  <r>
    <s v="DEPRECIACOES E AMORTIZACOES"/>
    <x v="44"/>
    <x v="0"/>
    <n v="320617.40000000002"/>
    <s v="0000000127"/>
    <s v="1832"/>
    <d v="2022-11-01T00:00:00"/>
    <s v="320501"/>
    <s v="305"/>
    <s v="21"/>
    <s v="Credito"/>
    <x v="2"/>
    <x v="216"/>
    <m/>
    <s v="000252"/>
    <s v="000132"/>
    <n v="320617.40000000002"/>
    <s v="0,00"/>
    <s v="0,00"/>
    <s v="0,00"/>
    <s v="0,00"/>
    <s v="ORC2022_2"/>
    <s v="0012"/>
    <m/>
    <m/>
    <m/>
    <m/>
    <m/>
  </r>
  <r>
    <s v="DEPRECIACOES E AMORTIZACOES"/>
    <x v="44"/>
    <x v="0"/>
    <n v="1929.69"/>
    <s v="0000000127"/>
    <s v="1833"/>
    <d v="2022-11-01T00:00:00"/>
    <s v="320501"/>
    <s v="305"/>
    <s v="31"/>
    <s v="Credito"/>
    <x v="2"/>
    <x v="216"/>
    <m/>
    <s v="000252"/>
    <s v="000132"/>
    <n v="1929.69"/>
    <s v="0,00"/>
    <s v="0,00"/>
    <s v="0,00"/>
    <s v="0,00"/>
    <s v="ORC2022_2"/>
    <s v="0012"/>
    <m/>
    <m/>
    <m/>
    <m/>
    <m/>
  </r>
  <r>
    <s v="DEPRECIACOES E AMORTIZACOES"/>
    <x v="44"/>
    <x v="0"/>
    <n v="14.8"/>
    <s v="0000000127"/>
    <s v="1834"/>
    <d v="2022-11-01T00:00:00"/>
    <s v="320501"/>
    <s v="306"/>
    <s v="33"/>
    <s v="Credito"/>
    <x v="2"/>
    <x v="216"/>
    <m/>
    <s v="000252"/>
    <s v="000132"/>
    <n v="14.8"/>
    <s v="0,00"/>
    <s v="0,00"/>
    <s v="0,00"/>
    <s v="0,00"/>
    <s v="ORC2022_2"/>
    <s v="0012"/>
    <m/>
    <m/>
    <m/>
    <m/>
    <m/>
  </r>
  <r>
    <s v="DEPRECIACOES E AMORTIZACOES"/>
    <x v="44"/>
    <x v="0"/>
    <n v="39.65"/>
    <s v="0000000127"/>
    <s v="1835"/>
    <d v="2022-11-01T00:00:00"/>
    <s v="320501"/>
    <s v="305"/>
    <s v="42"/>
    <s v="Credito"/>
    <x v="2"/>
    <x v="216"/>
    <m/>
    <s v="000252"/>
    <s v="000132"/>
    <n v="39.65"/>
    <s v="0,00"/>
    <s v="0,00"/>
    <s v="0,00"/>
    <s v="0,00"/>
    <s v="ORC2022_2"/>
    <s v="0012"/>
    <m/>
    <m/>
    <m/>
    <m/>
    <m/>
  </r>
  <r>
    <s v="DEPRECIACOES E AMORTIZACOES"/>
    <x v="44"/>
    <x v="0"/>
    <n v="2856.59"/>
    <s v="0000000127"/>
    <s v="1836"/>
    <d v="2022-11-01T00:00:00"/>
    <s v="320501"/>
    <s v="101"/>
    <s v="90"/>
    <s v="Credito"/>
    <x v="2"/>
    <x v="216"/>
    <m/>
    <s v="000252"/>
    <s v="000132"/>
    <n v="2856.59"/>
    <s v="0,00"/>
    <s v="0,00"/>
    <s v="0,00"/>
    <s v="0,00"/>
    <s v="ORC2022_2"/>
    <s v="0012"/>
    <m/>
    <m/>
    <m/>
    <m/>
    <m/>
  </r>
  <r>
    <s v="DEPRECIACOES E AMORTIZACOES"/>
    <x v="44"/>
    <x v="0"/>
    <n v="126.42"/>
    <s v="0000000127"/>
    <s v="1837"/>
    <d v="2022-11-01T00:00:00"/>
    <s v="320501"/>
    <s v="203"/>
    <s v="90"/>
    <s v="Credito"/>
    <x v="2"/>
    <x v="216"/>
    <m/>
    <s v="000252"/>
    <s v="000132"/>
    <n v="126.42"/>
    <s v="0,00"/>
    <s v="0,00"/>
    <s v="0,00"/>
    <s v="0,00"/>
    <s v="ORC2022_2"/>
    <s v="0012"/>
    <m/>
    <m/>
    <m/>
    <m/>
    <m/>
  </r>
  <r>
    <s v="DEPRECIACOES E AMORTIZACOES"/>
    <x v="44"/>
    <x v="0"/>
    <n v="29.26"/>
    <s v="0000000127"/>
    <s v="1838"/>
    <d v="2022-11-01T00:00:00"/>
    <s v="320501"/>
    <s v="204"/>
    <s v="90"/>
    <s v="Credito"/>
    <x v="2"/>
    <x v="216"/>
    <m/>
    <s v="000252"/>
    <s v="000132"/>
    <n v="29.26"/>
    <s v="0,00"/>
    <s v="0,00"/>
    <s v="0,00"/>
    <s v="0,00"/>
    <s v="ORC2022_2"/>
    <s v="0012"/>
    <m/>
    <m/>
    <m/>
    <m/>
    <m/>
  </r>
  <r>
    <s v="DEPRECIACOES E AMORTIZACOES"/>
    <x v="44"/>
    <x v="0"/>
    <n v="25.93"/>
    <s v="0000000127"/>
    <s v="1839"/>
    <d v="2022-11-01T00:00:00"/>
    <s v="320501"/>
    <s v="207"/>
    <s v="90"/>
    <s v="Credito"/>
    <x v="2"/>
    <x v="216"/>
    <m/>
    <s v="000252"/>
    <s v="000132"/>
    <n v="25.93"/>
    <s v="0,00"/>
    <s v="0,00"/>
    <s v="0,00"/>
    <s v="0,00"/>
    <s v="ORC2022_2"/>
    <s v="0012"/>
    <m/>
    <m/>
    <m/>
    <m/>
    <m/>
  </r>
  <r>
    <s v="DEPRECIACOES E AMORTIZACOES"/>
    <x v="44"/>
    <x v="0"/>
    <n v="291.73"/>
    <s v="0000000127"/>
    <s v="1840"/>
    <d v="2022-11-01T00:00:00"/>
    <s v="320501"/>
    <s v="208"/>
    <s v="90"/>
    <s v="Credito"/>
    <x v="2"/>
    <x v="216"/>
    <m/>
    <s v="000252"/>
    <s v="000132"/>
    <n v="291.73"/>
    <s v="0,00"/>
    <s v="0,00"/>
    <s v="0,00"/>
    <s v="0,00"/>
    <s v="ORC2022_2"/>
    <s v="0012"/>
    <m/>
    <m/>
    <m/>
    <m/>
    <m/>
  </r>
  <r>
    <s v="DEPRECIACOES E AMORTIZACOES"/>
    <x v="44"/>
    <x v="0"/>
    <n v="712"/>
    <s v="0000000127"/>
    <s v="1841"/>
    <d v="2022-11-01T00:00:00"/>
    <s v="320501"/>
    <s v="209"/>
    <s v="90"/>
    <s v="Credito"/>
    <x v="2"/>
    <x v="216"/>
    <m/>
    <s v="000252"/>
    <s v="000132"/>
    <n v="712"/>
    <s v="0,00"/>
    <s v="0,00"/>
    <s v="0,00"/>
    <s v="0,00"/>
    <s v="ORC2022_2"/>
    <s v="0012"/>
    <m/>
    <m/>
    <m/>
    <m/>
    <m/>
  </r>
  <r>
    <s v="DEPRECIACOES E AMORTIZACOES"/>
    <x v="44"/>
    <x v="0"/>
    <n v="34.35"/>
    <s v="0000000127"/>
    <s v="1842"/>
    <d v="2022-11-01T00:00:00"/>
    <s v="320501"/>
    <s v="210"/>
    <s v="90"/>
    <s v="Credito"/>
    <x v="2"/>
    <x v="216"/>
    <m/>
    <s v="000252"/>
    <s v="000132"/>
    <n v="34.35"/>
    <s v="0,00"/>
    <s v="0,00"/>
    <s v="0,00"/>
    <s v="0,00"/>
    <s v="ORC2022_2"/>
    <s v="0012"/>
    <m/>
    <m/>
    <m/>
    <m/>
    <m/>
  </r>
  <r>
    <s v="DEPRECIACOES E AMORTIZACOES"/>
    <x v="44"/>
    <x v="0"/>
    <n v="2554.4299999999998"/>
    <s v="0000000127"/>
    <s v="1843"/>
    <d v="2022-11-01T00:00:00"/>
    <s v="320501"/>
    <s v="301"/>
    <s v="90"/>
    <s v="Credito"/>
    <x v="2"/>
    <x v="216"/>
    <m/>
    <s v="000252"/>
    <s v="000132"/>
    <n v="2554.4299999999998"/>
    <s v="0,00"/>
    <s v="0,00"/>
    <s v="0,00"/>
    <s v="0,00"/>
    <s v="ORC2022_2"/>
    <s v="0012"/>
    <m/>
    <m/>
    <m/>
    <m/>
    <m/>
  </r>
  <r>
    <s v="DEPRECIACOES E AMORTIZACOES"/>
    <x v="44"/>
    <x v="0"/>
    <n v="7.65"/>
    <s v="0000000127"/>
    <s v="1844"/>
    <d v="2022-11-01T00:00:00"/>
    <s v="320501"/>
    <s v="302"/>
    <s v="90"/>
    <s v="Credito"/>
    <x v="2"/>
    <x v="216"/>
    <m/>
    <s v="000252"/>
    <s v="000132"/>
    <n v="7.65"/>
    <s v="0,00"/>
    <s v="0,00"/>
    <s v="0,00"/>
    <s v="0,00"/>
    <s v="ORC2022_2"/>
    <s v="0012"/>
    <m/>
    <m/>
    <m/>
    <m/>
    <m/>
  </r>
  <r>
    <s v="DEPRECIACOES E AMORTIZACOES"/>
    <x v="44"/>
    <x v="1"/>
    <n v="55.87"/>
    <s v="0000000127"/>
    <s v="1845"/>
    <d v="2022-12-01T00:00:00"/>
    <s v="320501"/>
    <s v="302"/>
    <s v="11"/>
    <s v="Credito"/>
    <x v="2"/>
    <x v="216"/>
    <m/>
    <s v="000252"/>
    <s v="000132"/>
    <n v="55.87"/>
    <s v="0,00"/>
    <s v="0,00"/>
    <s v="0,00"/>
    <s v="0,00"/>
    <s v="ORC2022_2"/>
    <s v="0012"/>
    <m/>
    <m/>
    <m/>
    <m/>
    <m/>
  </r>
  <r>
    <s v="DEPRECIACOES E AMORTIZACOES"/>
    <x v="44"/>
    <x v="1"/>
    <n v="240611.39"/>
    <s v="0000000127"/>
    <s v="1846"/>
    <d v="2022-12-01T00:00:00"/>
    <s v="320501"/>
    <s v="304"/>
    <s v="11"/>
    <s v="Credito"/>
    <x v="2"/>
    <x v="216"/>
    <m/>
    <s v="000252"/>
    <s v="000132"/>
    <n v="240611.39"/>
    <s v="0,00"/>
    <s v="0,00"/>
    <s v="0,00"/>
    <s v="0,00"/>
    <s v="ORC2022_2"/>
    <s v="0012"/>
    <m/>
    <m/>
    <m/>
    <m/>
    <m/>
  </r>
  <r>
    <s v="DEPRECIACOES E AMORTIZACOES"/>
    <x v="44"/>
    <x v="1"/>
    <n v="12878.76"/>
    <s v="0000000127"/>
    <s v="1847"/>
    <d v="2022-12-01T00:00:00"/>
    <s v="320501"/>
    <s v="305"/>
    <s v="11"/>
    <s v="Credito"/>
    <x v="2"/>
    <x v="216"/>
    <m/>
    <s v="000252"/>
    <s v="000132"/>
    <n v="12878.76"/>
    <s v="0,00"/>
    <s v="0,00"/>
    <s v="0,00"/>
    <s v="0,00"/>
    <s v="ORC2022_2"/>
    <s v="0012"/>
    <m/>
    <m/>
    <m/>
    <m/>
    <m/>
  </r>
  <r>
    <s v="DEPRECIACOES E AMORTIZACOES"/>
    <x v="44"/>
    <x v="1"/>
    <n v="710.5"/>
    <s v="0000000127"/>
    <s v="1848"/>
    <d v="2022-12-01T00:00:00"/>
    <s v="320501"/>
    <s v="303"/>
    <s v="21"/>
    <s v="Credito"/>
    <x v="2"/>
    <x v="216"/>
    <m/>
    <s v="000252"/>
    <s v="000132"/>
    <n v="710.5"/>
    <s v="0,00"/>
    <s v="0,00"/>
    <s v="0,00"/>
    <s v="0,00"/>
    <s v="ORC2022_2"/>
    <s v="0012"/>
    <m/>
    <m/>
    <m/>
    <m/>
    <m/>
  </r>
  <r>
    <s v="DEPRECIACOES E AMORTIZACOES"/>
    <x v="44"/>
    <x v="1"/>
    <n v="323823.57"/>
    <s v="0000000127"/>
    <s v="1849"/>
    <d v="2022-12-01T00:00:00"/>
    <s v="320501"/>
    <s v="305"/>
    <s v="21"/>
    <s v="Credito"/>
    <x v="2"/>
    <x v="216"/>
    <m/>
    <s v="000252"/>
    <s v="000132"/>
    <n v="323823.57"/>
    <s v="0,00"/>
    <s v="0,00"/>
    <s v="0,00"/>
    <s v="0,00"/>
    <s v="ORC2022_2"/>
    <s v="0012"/>
    <m/>
    <m/>
    <m/>
    <m/>
    <m/>
  </r>
  <r>
    <s v="DEPRECIACOES E AMORTIZACOES"/>
    <x v="44"/>
    <x v="1"/>
    <n v="1948.99"/>
    <s v="0000000127"/>
    <s v="1850"/>
    <d v="2022-12-01T00:00:00"/>
    <s v="320501"/>
    <s v="305"/>
    <s v="31"/>
    <s v="Credito"/>
    <x v="2"/>
    <x v="216"/>
    <m/>
    <s v="000252"/>
    <s v="000132"/>
    <n v="1948.99"/>
    <s v="0,00"/>
    <s v="0,00"/>
    <s v="0,00"/>
    <s v="0,00"/>
    <s v="ORC2022_2"/>
    <s v="0012"/>
    <m/>
    <m/>
    <m/>
    <m/>
    <m/>
  </r>
  <r>
    <s v="DEPRECIACOES E AMORTIZACOES"/>
    <x v="44"/>
    <x v="1"/>
    <n v="14.95"/>
    <s v="0000000127"/>
    <s v="1851"/>
    <d v="2022-12-01T00:00:00"/>
    <s v="320501"/>
    <s v="306"/>
    <s v="33"/>
    <s v="Credito"/>
    <x v="2"/>
    <x v="216"/>
    <m/>
    <s v="000252"/>
    <s v="000132"/>
    <n v="14.95"/>
    <s v="0,00"/>
    <s v="0,00"/>
    <s v="0,00"/>
    <s v="0,00"/>
    <s v="ORC2022_2"/>
    <s v="0012"/>
    <m/>
    <m/>
    <m/>
    <m/>
    <m/>
  </r>
  <r>
    <s v="DEPRECIACOES E AMORTIZACOES"/>
    <x v="44"/>
    <x v="1"/>
    <n v="40.049999999999997"/>
    <s v="0000000127"/>
    <s v="1852"/>
    <d v="2022-12-01T00:00:00"/>
    <s v="320501"/>
    <s v="305"/>
    <s v="42"/>
    <s v="Credito"/>
    <x v="2"/>
    <x v="216"/>
    <m/>
    <s v="000252"/>
    <s v="000132"/>
    <n v="40.049999999999997"/>
    <s v="0,00"/>
    <s v="0,00"/>
    <s v="0,00"/>
    <s v="0,00"/>
    <s v="ORC2022_2"/>
    <s v="0012"/>
    <m/>
    <m/>
    <m/>
    <m/>
    <m/>
  </r>
  <r>
    <s v="DEPRECIACOES E AMORTIZACOES"/>
    <x v="44"/>
    <x v="1"/>
    <n v="2885.15"/>
    <s v="0000000127"/>
    <s v="1853"/>
    <d v="2022-12-01T00:00:00"/>
    <s v="320501"/>
    <s v="101"/>
    <s v="90"/>
    <s v="Credito"/>
    <x v="2"/>
    <x v="216"/>
    <m/>
    <s v="000252"/>
    <s v="000132"/>
    <n v="2885.15"/>
    <s v="0,00"/>
    <s v="0,00"/>
    <s v="0,00"/>
    <s v="0,00"/>
    <s v="ORC2022_2"/>
    <s v="0012"/>
    <m/>
    <m/>
    <m/>
    <m/>
    <m/>
  </r>
  <r>
    <s v="DEPRECIACOES E AMORTIZACOES"/>
    <x v="44"/>
    <x v="1"/>
    <n v="127.69"/>
    <s v="0000000127"/>
    <s v="1854"/>
    <d v="2022-12-01T00:00:00"/>
    <s v="320501"/>
    <s v="203"/>
    <s v="90"/>
    <s v="Credito"/>
    <x v="2"/>
    <x v="216"/>
    <m/>
    <s v="000252"/>
    <s v="000132"/>
    <n v="127.69"/>
    <s v="0,00"/>
    <s v="0,00"/>
    <s v="0,00"/>
    <s v="0,00"/>
    <s v="ORC2022_2"/>
    <s v="0012"/>
    <m/>
    <m/>
    <m/>
    <m/>
    <m/>
  </r>
  <r>
    <s v="DEPRECIACOES E AMORTIZACOES"/>
    <x v="44"/>
    <x v="1"/>
    <n v="29.55"/>
    <s v="0000000127"/>
    <s v="1855"/>
    <d v="2022-12-01T00:00:00"/>
    <s v="320501"/>
    <s v="204"/>
    <s v="90"/>
    <s v="Credito"/>
    <x v="2"/>
    <x v="216"/>
    <m/>
    <s v="000252"/>
    <s v="000132"/>
    <n v="29.55"/>
    <s v="0,00"/>
    <s v="0,00"/>
    <s v="0,00"/>
    <s v="0,00"/>
    <s v="ORC2022_2"/>
    <s v="0012"/>
    <m/>
    <m/>
    <m/>
    <m/>
    <m/>
  </r>
  <r>
    <s v="DEPRECIACOES E AMORTIZACOES"/>
    <x v="44"/>
    <x v="1"/>
    <n v="26.19"/>
    <s v="0000000127"/>
    <s v="1856"/>
    <d v="2022-12-01T00:00:00"/>
    <s v="320501"/>
    <s v="207"/>
    <s v="90"/>
    <s v="Credito"/>
    <x v="2"/>
    <x v="216"/>
    <m/>
    <s v="000252"/>
    <s v="000132"/>
    <n v="26.19"/>
    <s v="0,00"/>
    <s v="0,00"/>
    <s v="0,00"/>
    <s v="0,00"/>
    <s v="ORC2022_2"/>
    <s v="0012"/>
    <m/>
    <m/>
    <m/>
    <m/>
    <m/>
  </r>
  <r>
    <s v="DEPRECIACOES E AMORTIZACOES"/>
    <x v="44"/>
    <x v="1"/>
    <n v="294.64999999999998"/>
    <s v="0000000127"/>
    <s v="1857"/>
    <d v="2022-12-01T00:00:00"/>
    <s v="320501"/>
    <s v="208"/>
    <s v="90"/>
    <s v="Credito"/>
    <x v="2"/>
    <x v="216"/>
    <m/>
    <s v="000252"/>
    <s v="000132"/>
    <n v="294.64999999999998"/>
    <s v="0,00"/>
    <s v="0,00"/>
    <s v="0,00"/>
    <s v="0,00"/>
    <s v="ORC2022_2"/>
    <s v="0012"/>
    <m/>
    <m/>
    <m/>
    <m/>
    <m/>
  </r>
  <r>
    <s v="DEPRECIACOES E AMORTIZACOES"/>
    <x v="44"/>
    <x v="1"/>
    <n v="719.12"/>
    <s v="0000000127"/>
    <s v="1858"/>
    <d v="2022-12-01T00:00:00"/>
    <s v="320501"/>
    <s v="209"/>
    <s v="90"/>
    <s v="Credito"/>
    <x v="2"/>
    <x v="216"/>
    <m/>
    <s v="000252"/>
    <s v="000132"/>
    <n v="719.12"/>
    <s v="0,00"/>
    <s v="0,00"/>
    <s v="0,00"/>
    <s v="0,00"/>
    <s v="ORC2022_2"/>
    <s v="0012"/>
    <m/>
    <m/>
    <m/>
    <m/>
    <m/>
  </r>
  <r>
    <s v="DEPRECIACOES E AMORTIZACOES"/>
    <x v="44"/>
    <x v="1"/>
    <n v="34.69"/>
    <s v="0000000127"/>
    <s v="1859"/>
    <d v="2022-12-01T00:00:00"/>
    <s v="320501"/>
    <s v="210"/>
    <s v="90"/>
    <s v="Credito"/>
    <x v="2"/>
    <x v="216"/>
    <m/>
    <s v="000252"/>
    <s v="000132"/>
    <n v="34.69"/>
    <s v="0,00"/>
    <s v="0,00"/>
    <s v="0,00"/>
    <s v="0,00"/>
    <s v="ORC2022_2"/>
    <s v="0012"/>
    <m/>
    <m/>
    <m/>
    <m/>
    <m/>
  </r>
  <r>
    <s v="DEPRECIACOES E AMORTIZACOES"/>
    <x v="44"/>
    <x v="1"/>
    <n v="2579.98"/>
    <s v="0000000127"/>
    <s v="1860"/>
    <d v="2022-12-01T00:00:00"/>
    <s v="320501"/>
    <s v="301"/>
    <s v="90"/>
    <s v="Credito"/>
    <x v="2"/>
    <x v="216"/>
    <m/>
    <s v="000252"/>
    <s v="000132"/>
    <n v="2579.98"/>
    <s v="0,00"/>
    <s v="0,00"/>
    <s v="0,00"/>
    <s v="0,00"/>
    <s v="ORC2022_2"/>
    <s v="0012"/>
    <m/>
    <m/>
    <m/>
    <m/>
    <m/>
  </r>
  <r>
    <s v="DEPRECIACOES E AMORTIZACOES"/>
    <x v="44"/>
    <x v="1"/>
    <n v="7.73"/>
    <s v="0000000127"/>
    <s v="1861"/>
    <d v="2022-12-01T00:00:00"/>
    <s v="320501"/>
    <s v="302"/>
    <s v="90"/>
    <s v="Credito"/>
    <x v="2"/>
    <x v="216"/>
    <m/>
    <s v="000252"/>
    <s v="000132"/>
    <n v="7.73"/>
    <s v="0,00"/>
    <s v="0,00"/>
    <s v="0,00"/>
    <s v="0,00"/>
    <s v="ORC2022_2"/>
    <s v="0012"/>
    <m/>
    <m/>
    <m/>
    <m/>
    <m/>
  </r>
  <r>
    <s v="MATERIAIS DIRETOS"/>
    <x v="16"/>
    <x v="8"/>
    <n v="638393.38"/>
    <s v="0000000127"/>
    <s v="1862"/>
    <d v="2022-01-01T00:00:00"/>
    <s v="320601001"/>
    <s v="305"/>
    <s v="21"/>
    <s v="Credito"/>
    <x v="2"/>
    <x v="216"/>
    <m/>
    <s v="000252"/>
    <s v="000132"/>
    <n v="638393.38"/>
    <s v="0,00"/>
    <s v="0,00"/>
    <s v="0,00"/>
    <s v="0,00"/>
    <s v="ORC2022_2"/>
    <s v="0012"/>
    <m/>
    <m/>
    <m/>
    <m/>
    <m/>
  </r>
  <r>
    <s v="MATERIAIS DIRETOS"/>
    <x v="16"/>
    <x v="8"/>
    <n v="29.3"/>
    <s v="0000000127"/>
    <s v="1863"/>
    <d v="2022-01-01T00:00:00"/>
    <s v="320601001"/>
    <s v="305"/>
    <s v="31"/>
    <s v="Credito"/>
    <x v="2"/>
    <x v="216"/>
    <m/>
    <s v="000252"/>
    <s v="000132"/>
    <n v="29.3"/>
    <s v="0,00"/>
    <s v="0,00"/>
    <s v="0,00"/>
    <s v="0,00"/>
    <s v="ORC2022_2"/>
    <s v="0012"/>
    <m/>
    <m/>
    <m/>
    <m/>
    <m/>
  </r>
  <r>
    <s v="MATERIAIS DIRETOS"/>
    <x v="16"/>
    <x v="9"/>
    <n v="236716.65"/>
    <s v="0000000127"/>
    <s v="1864"/>
    <d v="2022-02-01T00:00:00"/>
    <s v="320601001"/>
    <s v="305"/>
    <s v="21"/>
    <s v="Credito"/>
    <x v="2"/>
    <x v="216"/>
    <m/>
    <s v="000252"/>
    <s v="000132"/>
    <n v="236716.65"/>
    <s v="0,00"/>
    <s v="0,00"/>
    <s v="0,00"/>
    <s v="0,00"/>
    <s v="ORC2022_2"/>
    <s v="0012"/>
    <m/>
    <m/>
    <m/>
    <m/>
    <m/>
  </r>
  <r>
    <s v="MATERIAIS DIRETOS"/>
    <x v="16"/>
    <x v="10"/>
    <n v="260003.29"/>
    <s v="0000000127"/>
    <s v="1865"/>
    <d v="2022-03-01T00:00:00"/>
    <s v="320601001"/>
    <s v="305"/>
    <s v="21"/>
    <s v="Credito"/>
    <x v="2"/>
    <x v="216"/>
    <m/>
    <s v="000252"/>
    <s v="000132"/>
    <n v="260003.29"/>
    <s v="0,00"/>
    <s v="0,00"/>
    <s v="0,00"/>
    <s v="0,00"/>
    <s v="ORC2022_2"/>
    <s v="0012"/>
    <m/>
    <m/>
    <m/>
    <m/>
    <m/>
  </r>
  <r>
    <s v="MATERIAIS DIRETOS"/>
    <x v="16"/>
    <x v="11"/>
    <n v="612558.14"/>
    <s v="0000000127"/>
    <s v="1866"/>
    <d v="2022-04-01T00:00:00"/>
    <s v="320601001"/>
    <s v="305"/>
    <s v="21"/>
    <s v="Credito"/>
    <x v="2"/>
    <x v="216"/>
    <m/>
    <s v="000252"/>
    <s v="000132"/>
    <n v="612558.14"/>
    <s v="0,00"/>
    <s v="0,00"/>
    <s v="0,00"/>
    <s v="0,00"/>
    <s v="ORC2022_2"/>
    <s v="0012"/>
    <m/>
    <m/>
    <m/>
    <m/>
    <m/>
  </r>
  <r>
    <s v="MATERIAIS DIRETOS"/>
    <x v="16"/>
    <x v="12"/>
    <n v="276285.34000000003"/>
    <s v="0000000127"/>
    <s v="1867"/>
    <d v="2022-05-01T00:00:00"/>
    <s v="320601001"/>
    <s v="305"/>
    <s v="21"/>
    <s v="Credito"/>
    <x v="2"/>
    <x v="216"/>
    <m/>
    <s v="000252"/>
    <s v="000132"/>
    <n v="276285.34000000003"/>
    <s v="0,00"/>
    <s v="0,00"/>
    <s v="0,00"/>
    <s v="0,00"/>
    <s v="ORC2022_2"/>
    <s v="0012"/>
    <m/>
    <m/>
    <m/>
    <m/>
    <m/>
  </r>
  <r>
    <s v="MATERIAIS DIRETOS"/>
    <x v="16"/>
    <x v="12"/>
    <n v="5737.15"/>
    <s v="0000000127"/>
    <s v="1868"/>
    <d v="2022-05-01T00:00:00"/>
    <s v="320601001"/>
    <s v="305"/>
    <s v="31"/>
    <s v="Credito"/>
    <x v="2"/>
    <x v="216"/>
    <m/>
    <s v="000252"/>
    <s v="000132"/>
    <n v="5737.15"/>
    <s v="0,00"/>
    <s v="0,00"/>
    <s v="0,00"/>
    <s v="0,00"/>
    <s v="ORC2022_2"/>
    <s v="0012"/>
    <m/>
    <m/>
    <m/>
    <m/>
    <m/>
  </r>
  <r>
    <s v="MATERIAIS DIRETOS"/>
    <x v="16"/>
    <x v="13"/>
    <n v="656718.6"/>
    <s v="0000000127"/>
    <s v="1869"/>
    <d v="2022-06-01T00:00:00"/>
    <s v="320601001"/>
    <s v="305"/>
    <s v="21"/>
    <s v="Credito"/>
    <x v="2"/>
    <x v="216"/>
    <m/>
    <s v="000252"/>
    <s v="000132"/>
    <n v="656718.6"/>
    <s v="0,00"/>
    <s v="0,00"/>
    <s v="0,00"/>
    <s v="0,00"/>
    <s v="ORC2022_2"/>
    <s v="0012"/>
    <m/>
    <m/>
    <m/>
    <m/>
    <m/>
  </r>
  <r>
    <s v="MATERIAIS DIRETOS"/>
    <x v="16"/>
    <x v="14"/>
    <n v="525253.51"/>
    <s v="0000000127"/>
    <s v="1870"/>
    <d v="2022-07-01T00:00:00"/>
    <s v="320601001"/>
    <s v="305"/>
    <s v="21"/>
    <s v="Credito"/>
    <x v="2"/>
    <x v="216"/>
    <m/>
    <s v="000252"/>
    <s v="000132"/>
    <n v="525253.51"/>
    <s v="0,00"/>
    <s v="0,00"/>
    <s v="0,00"/>
    <s v="0,00"/>
    <s v="ORC2022_2"/>
    <s v="0012"/>
    <m/>
    <m/>
    <m/>
    <m/>
    <m/>
  </r>
  <r>
    <s v="MATERIAIS DIRETOS"/>
    <x v="16"/>
    <x v="15"/>
    <n v="5461.5"/>
    <s v="0000000127"/>
    <s v="1871"/>
    <d v="2022-08-01T00:00:00"/>
    <s v="320601001"/>
    <s v="301"/>
    <s v="21"/>
    <s v="Credito"/>
    <x v="2"/>
    <x v="216"/>
    <m/>
    <s v="000252"/>
    <s v="000132"/>
    <n v="5461.5"/>
    <s v="0,00"/>
    <s v="0,00"/>
    <s v="0,00"/>
    <s v="0,00"/>
    <s v="ORC2022_2"/>
    <s v="0012"/>
    <m/>
    <m/>
    <m/>
    <m/>
    <m/>
  </r>
  <r>
    <s v="MATERIAIS DIRETOS"/>
    <x v="16"/>
    <x v="15"/>
    <n v="509690.86"/>
    <s v="0000000127"/>
    <s v="1872"/>
    <d v="2022-08-01T00:00:00"/>
    <s v="320601001"/>
    <s v="305"/>
    <s v="21"/>
    <s v="Credito"/>
    <x v="2"/>
    <x v="216"/>
    <m/>
    <s v="000252"/>
    <s v="000132"/>
    <n v="509690.86"/>
    <s v="0,00"/>
    <s v="0,00"/>
    <s v="0,00"/>
    <s v="0,00"/>
    <s v="ORC2022_2"/>
    <s v="0012"/>
    <m/>
    <m/>
    <m/>
    <m/>
    <m/>
  </r>
  <r>
    <s v="MATERIAIS DIRETOS"/>
    <x v="16"/>
    <x v="15"/>
    <n v="3641.1"/>
    <s v="0000000127"/>
    <s v="1873"/>
    <d v="2022-08-01T00:00:00"/>
    <s v="320601001"/>
    <s v="301"/>
    <s v="31"/>
    <s v="Credito"/>
    <x v="2"/>
    <x v="216"/>
    <m/>
    <s v="000252"/>
    <s v="000132"/>
    <n v="3641.1"/>
    <s v="0,00"/>
    <s v="0,00"/>
    <s v="0,00"/>
    <s v="0,00"/>
    <s v="ORC2022_2"/>
    <s v="0012"/>
    <m/>
    <m/>
    <m/>
    <m/>
    <m/>
  </r>
  <r>
    <s v="MATERIAIS DIRETOS"/>
    <x v="16"/>
    <x v="15"/>
    <n v="96773.54"/>
    <s v="0000000127"/>
    <s v="1874"/>
    <d v="2022-08-01T00:00:00"/>
    <s v="320601001"/>
    <s v="305"/>
    <s v="31"/>
    <s v="Credito"/>
    <x v="2"/>
    <x v="216"/>
    <m/>
    <s v="000252"/>
    <s v="000132"/>
    <n v="96773.54"/>
    <s v="0,00"/>
    <s v="0,00"/>
    <s v="0,00"/>
    <s v="0,00"/>
    <s v="ORC2022_2"/>
    <s v="0012"/>
    <m/>
    <m/>
    <m/>
    <m/>
    <m/>
  </r>
  <r>
    <s v="MATERIAIS DIRETOS"/>
    <x v="16"/>
    <x v="15"/>
    <n v="1820.55"/>
    <s v="0000000127"/>
    <s v="1875"/>
    <d v="2022-08-01T00:00:00"/>
    <s v="320601001"/>
    <s v="301"/>
    <s v="90"/>
    <s v="Credito"/>
    <x v="2"/>
    <x v="216"/>
    <m/>
    <s v="000252"/>
    <s v="000132"/>
    <n v="1820.55"/>
    <s v="0,00"/>
    <s v="0,00"/>
    <s v="0,00"/>
    <s v="0,00"/>
    <s v="ORC2022_2"/>
    <s v="0012"/>
    <m/>
    <m/>
    <m/>
    <m/>
    <m/>
  </r>
  <r>
    <s v="MATERIAIS DIRETOS"/>
    <x v="16"/>
    <x v="16"/>
    <n v="573744.07999999996"/>
    <s v="0000000127"/>
    <s v="1876"/>
    <d v="2022-09-01T00:00:00"/>
    <s v="320601001"/>
    <s v="305"/>
    <s v="21"/>
    <s v="Credito"/>
    <x v="2"/>
    <x v="216"/>
    <m/>
    <s v="000252"/>
    <s v="000132"/>
    <n v="573744.07999999996"/>
    <s v="0,00"/>
    <s v="0,00"/>
    <s v="0,00"/>
    <s v="0,00"/>
    <s v="ORC2022_2"/>
    <s v="0012"/>
    <m/>
    <m/>
    <m/>
    <m/>
    <m/>
  </r>
  <r>
    <s v="MATERIAIS DIRETOS"/>
    <x v="16"/>
    <x v="16"/>
    <n v="4190.62"/>
    <s v="0000000127"/>
    <s v="1877"/>
    <d v="2022-09-01T00:00:00"/>
    <s v="320601001"/>
    <s v="305"/>
    <s v="31"/>
    <s v="Credito"/>
    <x v="2"/>
    <x v="216"/>
    <m/>
    <s v="000252"/>
    <s v="000132"/>
    <n v="4190.62"/>
    <s v="0,00"/>
    <s v="0,00"/>
    <s v="0,00"/>
    <s v="0,00"/>
    <s v="ORC2022_2"/>
    <s v="0012"/>
    <m/>
    <m/>
    <m/>
    <m/>
    <m/>
  </r>
  <r>
    <s v="MATERIAIS DIRETOS"/>
    <x v="16"/>
    <x v="17"/>
    <n v="579481.52"/>
    <s v="0000000127"/>
    <s v="1878"/>
    <d v="2022-10-01T00:00:00"/>
    <s v="320601001"/>
    <s v="305"/>
    <s v="21"/>
    <s v="Credito"/>
    <x v="2"/>
    <x v="216"/>
    <m/>
    <s v="000252"/>
    <s v="000132"/>
    <n v="579481.52"/>
    <s v="0,00"/>
    <s v="0,00"/>
    <s v="0,00"/>
    <s v="0,00"/>
    <s v="ORC2022_2"/>
    <s v="0012"/>
    <m/>
    <m/>
    <m/>
    <m/>
    <m/>
  </r>
  <r>
    <s v="MATERIAIS DIRETOS"/>
    <x v="16"/>
    <x v="17"/>
    <n v="4232.53"/>
    <s v="0000000127"/>
    <s v="1879"/>
    <d v="2022-10-01T00:00:00"/>
    <s v="320601001"/>
    <s v="305"/>
    <s v="31"/>
    <s v="Credito"/>
    <x v="2"/>
    <x v="216"/>
    <m/>
    <s v="000252"/>
    <s v="000132"/>
    <n v="4232.53"/>
    <s v="0,00"/>
    <s v="0,00"/>
    <s v="0,00"/>
    <s v="0,00"/>
    <s v="ORC2022_2"/>
    <s v="0012"/>
    <m/>
    <m/>
    <m/>
    <m/>
    <m/>
  </r>
  <r>
    <s v="MATERIAIS DIRETOS"/>
    <x v="16"/>
    <x v="0"/>
    <n v="585276.34"/>
    <s v="0000000127"/>
    <s v="1880"/>
    <d v="2022-11-01T00:00:00"/>
    <s v="320601001"/>
    <s v="305"/>
    <s v="21"/>
    <s v="Credito"/>
    <x v="2"/>
    <x v="216"/>
    <m/>
    <s v="000252"/>
    <s v="000132"/>
    <n v="585276.34"/>
    <s v="0,00"/>
    <s v="0,00"/>
    <s v="0,00"/>
    <s v="0,00"/>
    <s v="ORC2022_2"/>
    <s v="0012"/>
    <m/>
    <m/>
    <m/>
    <m/>
    <m/>
  </r>
  <r>
    <s v="MATERIAIS DIRETOS"/>
    <x v="16"/>
    <x v="0"/>
    <n v="4274.8500000000004"/>
    <s v="0000000127"/>
    <s v="1881"/>
    <d v="2022-11-01T00:00:00"/>
    <s v="320601001"/>
    <s v="305"/>
    <s v="31"/>
    <s v="Credito"/>
    <x v="2"/>
    <x v="216"/>
    <m/>
    <s v="000252"/>
    <s v="000132"/>
    <n v="4274.8500000000004"/>
    <s v="0,00"/>
    <s v="0,00"/>
    <s v="0,00"/>
    <s v="0,00"/>
    <s v="ORC2022_2"/>
    <s v="0012"/>
    <m/>
    <m/>
    <m/>
    <m/>
    <m/>
  </r>
  <r>
    <s v="MATERIAIS DIRETOS"/>
    <x v="16"/>
    <x v="1"/>
    <n v="591129.1"/>
    <s v="0000000127"/>
    <s v="1882"/>
    <d v="2022-12-01T00:00:00"/>
    <s v="320601001"/>
    <s v="305"/>
    <s v="21"/>
    <s v="Credito"/>
    <x v="2"/>
    <x v="216"/>
    <m/>
    <s v="000252"/>
    <s v="000132"/>
    <n v="591129.1"/>
    <s v="0,00"/>
    <s v="0,00"/>
    <s v="0,00"/>
    <s v="0,00"/>
    <s v="ORC2022_2"/>
    <s v="0012"/>
    <m/>
    <m/>
    <m/>
    <m/>
    <m/>
  </r>
  <r>
    <s v="MATERIAIS DIRETOS"/>
    <x v="16"/>
    <x v="1"/>
    <n v="4317.6000000000004"/>
    <s v="0000000127"/>
    <s v="1883"/>
    <d v="2022-12-01T00:00:00"/>
    <s v="320601001"/>
    <s v="305"/>
    <s v="31"/>
    <s v="Credito"/>
    <x v="2"/>
    <x v="216"/>
    <m/>
    <s v="000252"/>
    <s v="000132"/>
    <n v="4317.6000000000004"/>
    <s v="0,00"/>
    <s v="0,00"/>
    <s v="0,00"/>
    <s v="0,00"/>
    <s v="ORC2022_2"/>
    <s v="0012"/>
    <m/>
    <m/>
    <m/>
    <m/>
    <m/>
  </r>
  <r>
    <s v="TARIFAS PORTUµRIAS"/>
    <x v="13"/>
    <x v="8"/>
    <n v="592254.52"/>
    <s v="0000000127"/>
    <s v="1884"/>
    <d v="2022-01-01T00:00:00"/>
    <s v="320601002"/>
    <s v="305"/>
    <s v="21"/>
    <s v="Credito"/>
    <x v="2"/>
    <x v="216"/>
    <m/>
    <s v="000252"/>
    <s v="000132"/>
    <n v="592254.52"/>
    <s v="0,00"/>
    <s v="0,00"/>
    <s v="0,00"/>
    <s v="0,00"/>
    <s v="ORC2022_2"/>
    <s v="0012"/>
    <m/>
    <m/>
    <m/>
    <m/>
    <m/>
  </r>
  <r>
    <s v="TARIFAS PORTUµRIAS"/>
    <x v="13"/>
    <x v="8"/>
    <n v="87140.22"/>
    <s v="0000000127"/>
    <s v="1885"/>
    <d v="2022-01-01T00:00:00"/>
    <s v="320601002"/>
    <s v="305"/>
    <s v="31"/>
    <s v="Credito"/>
    <x v="2"/>
    <x v="216"/>
    <m/>
    <s v="000252"/>
    <s v="000132"/>
    <n v="87140.22"/>
    <s v="0,00"/>
    <s v="0,00"/>
    <s v="0,00"/>
    <s v="0,00"/>
    <s v="ORC2022_2"/>
    <s v="0012"/>
    <m/>
    <m/>
    <m/>
    <m/>
    <m/>
  </r>
  <r>
    <s v="TARIFAS PORTUµRIAS"/>
    <x v="13"/>
    <x v="8"/>
    <n v="2162.2600000000002"/>
    <s v="0000000127"/>
    <s v="1886"/>
    <d v="2022-01-01T00:00:00"/>
    <s v="320601002"/>
    <s v="305"/>
    <s v="32"/>
    <s v="Credito"/>
    <x v="2"/>
    <x v="216"/>
    <m/>
    <s v="000252"/>
    <s v="000132"/>
    <n v="2162.2600000000002"/>
    <s v="0,00"/>
    <s v="0,00"/>
    <s v="0,00"/>
    <s v="0,00"/>
    <s v="ORC2022_2"/>
    <s v="0012"/>
    <m/>
    <m/>
    <m/>
    <m/>
    <m/>
  </r>
  <r>
    <s v="TARIFAS PORTUµRIAS"/>
    <x v="13"/>
    <x v="8"/>
    <n v="766.81"/>
    <s v="0000000127"/>
    <s v="1887"/>
    <d v="2022-01-01T00:00:00"/>
    <s v="320601002"/>
    <s v="305"/>
    <s v="42"/>
    <s v="Credito"/>
    <x v="2"/>
    <x v="216"/>
    <m/>
    <s v="000252"/>
    <s v="000132"/>
    <n v="766.81"/>
    <s v="0,00"/>
    <s v="0,00"/>
    <s v="0,00"/>
    <s v="0,00"/>
    <s v="ORC2022_2"/>
    <s v="0012"/>
    <m/>
    <m/>
    <m/>
    <m/>
    <m/>
  </r>
  <r>
    <s v="TARIFAS PORTUµRIAS"/>
    <x v="13"/>
    <x v="9"/>
    <n v="472934.58"/>
    <s v="0000000127"/>
    <s v="1888"/>
    <d v="2022-02-01T00:00:00"/>
    <s v="320601002"/>
    <s v="305"/>
    <s v="21"/>
    <s v="Credito"/>
    <x v="2"/>
    <x v="216"/>
    <m/>
    <s v="000252"/>
    <s v="000132"/>
    <n v="472934.58"/>
    <s v="0,00"/>
    <s v="0,00"/>
    <s v="0,00"/>
    <s v="0,00"/>
    <s v="ORC2022_2"/>
    <s v="0012"/>
    <m/>
    <m/>
    <m/>
    <m/>
    <m/>
  </r>
  <r>
    <s v="TARIFAS PORTUµRIAS"/>
    <x v="13"/>
    <x v="9"/>
    <n v="11423.35"/>
    <s v="0000000127"/>
    <s v="1889"/>
    <d v="2022-02-01T00:00:00"/>
    <s v="320601002"/>
    <s v="305"/>
    <s v="31"/>
    <s v="Credito"/>
    <x v="2"/>
    <x v="216"/>
    <m/>
    <s v="000252"/>
    <s v="000132"/>
    <n v="11423.35"/>
    <s v="0,00"/>
    <s v="0,00"/>
    <s v="0,00"/>
    <s v="0,00"/>
    <s v="ORC2022_2"/>
    <s v="0012"/>
    <m/>
    <m/>
    <m/>
    <m/>
    <m/>
  </r>
  <r>
    <s v="TARIFAS PORTUµRIAS"/>
    <x v="13"/>
    <x v="9"/>
    <n v="2814.21"/>
    <s v="0000000127"/>
    <s v="1890"/>
    <d v="2022-02-01T00:00:00"/>
    <s v="320601002"/>
    <s v="305"/>
    <s v="32"/>
    <s v="Credito"/>
    <x v="2"/>
    <x v="216"/>
    <m/>
    <s v="000252"/>
    <s v="000132"/>
    <n v="2814.21"/>
    <s v="0,00"/>
    <s v="0,00"/>
    <s v="0,00"/>
    <s v="0,00"/>
    <s v="ORC2022_2"/>
    <s v="0012"/>
    <m/>
    <m/>
    <m/>
    <m/>
    <m/>
  </r>
  <r>
    <s v="TARIFAS PORTUµRIAS"/>
    <x v="13"/>
    <x v="9"/>
    <n v="747.8"/>
    <s v="0000000127"/>
    <s v="1891"/>
    <d v="2022-02-01T00:00:00"/>
    <s v="320601002"/>
    <s v="305"/>
    <s v="42"/>
    <s v="Credito"/>
    <x v="2"/>
    <x v="216"/>
    <m/>
    <s v="000252"/>
    <s v="000132"/>
    <n v="747.8"/>
    <s v="0,00"/>
    <s v="0,00"/>
    <s v="0,00"/>
    <s v="0,00"/>
    <s v="ORC2022_2"/>
    <s v="0012"/>
    <m/>
    <m/>
    <m/>
    <m/>
    <m/>
  </r>
  <r>
    <s v="TARIFAS PORTUµRIAS"/>
    <x v="13"/>
    <x v="10"/>
    <n v="479015.03"/>
    <s v="0000000127"/>
    <s v="1892"/>
    <d v="2022-03-01T00:00:00"/>
    <s v="320601002"/>
    <s v="305"/>
    <s v="21"/>
    <s v="Credito"/>
    <x v="2"/>
    <x v="216"/>
    <m/>
    <s v="000252"/>
    <s v="000132"/>
    <n v="479015.03"/>
    <s v="0,00"/>
    <s v="0,00"/>
    <s v="0,00"/>
    <s v="0,00"/>
    <s v="ORC2022_2"/>
    <s v="0012"/>
    <m/>
    <m/>
    <m/>
    <m/>
    <m/>
  </r>
  <r>
    <s v="TARIFAS PORTUµRIAS"/>
    <x v="13"/>
    <x v="10"/>
    <n v="43347.87"/>
    <s v="0000000127"/>
    <s v="1893"/>
    <d v="2022-03-01T00:00:00"/>
    <s v="320601002"/>
    <s v="305"/>
    <s v="31"/>
    <s v="Credito"/>
    <x v="2"/>
    <x v="216"/>
    <m/>
    <s v="000252"/>
    <s v="000132"/>
    <n v="43347.87"/>
    <s v="0,00"/>
    <s v="0,00"/>
    <s v="0,00"/>
    <s v="0,00"/>
    <s v="ORC2022_2"/>
    <s v="0012"/>
    <m/>
    <m/>
    <m/>
    <m/>
    <m/>
  </r>
  <r>
    <s v="TARIFAS PORTUµRIAS"/>
    <x v="13"/>
    <x v="10"/>
    <n v="2582.94"/>
    <s v="0000000127"/>
    <s v="1894"/>
    <d v="2022-03-01T00:00:00"/>
    <s v="320601002"/>
    <s v="305"/>
    <s v="32"/>
    <s v="Credito"/>
    <x v="2"/>
    <x v="216"/>
    <m/>
    <s v="000252"/>
    <s v="000132"/>
    <n v="2582.94"/>
    <s v="0,00"/>
    <s v="0,00"/>
    <s v="0,00"/>
    <s v="0,00"/>
    <s v="ORC2022_2"/>
    <s v="0012"/>
    <m/>
    <m/>
    <m/>
    <m/>
    <m/>
  </r>
  <r>
    <s v="TARIFAS PORTUµRIAS"/>
    <x v="13"/>
    <x v="10"/>
    <n v="691.16"/>
    <s v="0000000127"/>
    <s v="1895"/>
    <d v="2022-03-01T00:00:00"/>
    <s v="320601002"/>
    <s v="301"/>
    <s v="42"/>
    <s v="Credito"/>
    <x v="2"/>
    <x v="216"/>
    <m/>
    <s v="000252"/>
    <s v="000132"/>
    <n v="691.16"/>
    <s v="0,00"/>
    <s v="0,00"/>
    <s v="0,00"/>
    <s v="0,00"/>
    <s v="ORC2022_2"/>
    <s v="0012"/>
    <m/>
    <m/>
    <m/>
    <m/>
    <m/>
  </r>
  <r>
    <s v="TARIFAS PORTUµRIAS"/>
    <x v="13"/>
    <x v="11"/>
    <n v="618902.66"/>
    <s v="0000000127"/>
    <s v="1896"/>
    <d v="2022-04-01T00:00:00"/>
    <s v="320601002"/>
    <s v="305"/>
    <s v="21"/>
    <s v="Credito"/>
    <x v="2"/>
    <x v="216"/>
    <m/>
    <s v="000252"/>
    <s v="000132"/>
    <n v="618902.66"/>
    <s v="0,00"/>
    <s v="0,00"/>
    <s v="0,00"/>
    <s v="0,00"/>
    <s v="ORC2022_2"/>
    <s v="0012"/>
    <m/>
    <m/>
    <m/>
    <m/>
    <m/>
  </r>
  <r>
    <s v="TARIFAS PORTUµRIAS"/>
    <x v="13"/>
    <x v="11"/>
    <n v="46641.440000000002"/>
    <s v="0000000127"/>
    <s v="1897"/>
    <d v="2022-04-01T00:00:00"/>
    <s v="320601002"/>
    <s v="305"/>
    <s v="31"/>
    <s v="Credito"/>
    <x v="2"/>
    <x v="216"/>
    <m/>
    <s v="000252"/>
    <s v="000132"/>
    <n v="46641.440000000002"/>
    <s v="0,00"/>
    <s v="0,00"/>
    <s v="0,00"/>
    <s v="0,00"/>
    <s v="ORC2022_2"/>
    <s v="0012"/>
    <m/>
    <m/>
    <m/>
    <m/>
    <m/>
  </r>
  <r>
    <s v="TARIFAS PORTUµRIAS"/>
    <x v="13"/>
    <x v="11"/>
    <n v="1836.04"/>
    <s v="0000000127"/>
    <s v="1898"/>
    <d v="2022-04-01T00:00:00"/>
    <s v="320601002"/>
    <s v="305"/>
    <s v="32"/>
    <s v="Credito"/>
    <x v="2"/>
    <x v="216"/>
    <m/>
    <s v="000252"/>
    <s v="000132"/>
    <n v="1836.04"/>
    <s v="0,00"/>
    <s v="0,00"/>
    <s v="0,00"/>
    <s v="0,00"/>
    <s v="ORC2022_2"/>
    <s v="0012"/>
    <m/>
    <m/>
    <m/>
    <m/>
    <m/>
  </r>
  <r>
    <s v="TARIFAS PORTUµRIAS"/>
    <x v="13"/>
    <x v="11"/>
    <n v="574.58000000000004"/>
    <s v="0000000127"/>
    <s v="1899"/>
    <d v="2022-04-01T00:00:00"/>
    <s v="320601002"/>
    <s v="301"/>
    <s v="42"/>
    <s v="Credito"/>
    <x v="2"/>
    <x v="216"/>
    <m/>
    <s v="000252"/>
    <s v="000132"/>
    <n v="574.58000000000004"/>
    <s v="0,00"/>
    <s v="0,00"/>
    <s v="0,00"/>
    <s v="0,00"/>
    <s v="ORC2022_2"/>
    <s v="0012"/>
    <m/>
    <m/>
    <m/>
    <m/>
    <m/>
  </r>
  <r>
    <s v="TARIFAS PORTUµRIAS"/>
    <x v="13"/>
    <x v="12"/>
    <n v="658376.55000000005"/>
    <s v="0000000127"/>
    <s v="1900"/>
    <d v="2022-05-01T00:00:00"/>
    <s v="320601002"/>
    <s v="305"/>
    <s v="21"/>
    <s v="Credito"/>
    <x v="2"/>
    <x v="216"/>
    <m/>
    <s v="000252"/>
    <s v="000132"/>
    <n v="658376.55000000005"/>
    <s v="0,00"/>
    <s v="0,00"/>
    <s v="0,00"/>
    <s v="0,00"/>
    <s v="ORC2022_2"/>
    <s v="0012"/>
    <m/>
    <m/>
    <m/>
    <m/>
    <m/>
  </r>
  <r>
    <s v="TARIFAS PORTUµRIAS"/>
    <x v="13"/>
    <x v="12"/>
    <n v="263994.48"/>
    <s v="0000000127"/>
    <s v="1901"/>
    <d v="2022-05-01T00:00:00"/>
    <s v="320601002"/>
    <s v="305"/>
    <s v="31"/>
    <s v="Credito"/>
    <x v="2"/>
    <x v="216"/>
    <m/>
    <s v="000252"/>
    <s v="000132"/>
    <n v="263994.48"/>
    <s v="0,00"/>
    <s v="0,00"/>
    <s v="0,00"/>
    <s v="0,00"/>
    <s v="ORC2022_2"/>
    <s v="0012"/>
    <m/>
    <m/>
    <m/>
    <m/>
    <m/>
  </r>
  <r>
    <s v="TARIFAS PORTUµRIAS"/>
    <x v="13"/>
    <x v="12"/>
    <n v="1899.03"/>
    <s v="0000000127"/>
    <s v="1902"/>
    <d v="2022-05-01T00:00:00"/>
    <s v="320601002"/>
    <s v="305"/>
    <s v="32"/>
    <s v="Credito"/>
    <x v="2"/>
    <x v="216"/>
    <m/>
    <s v="000252"/>
    <s v="000132"/>
    <n v="1899.03"/>
    <s v="0,00"/>
    <s v="0,00"/>
    <s v="0,00"/>
    <s v="0,00"/>
    <s v="ORC2022_2"/>
    <s v="0012"/>
    <m/>
    <m/>
    <m/>
    <m/>
    <m/>
  </r>
  <r>
    <s v="TARIFAS PORTUµRIAS"/>
    <x v="13"/>
    <x v="12"/>
    <n v="404.19"/>
    <s v="0000000127"/>
    <s v="1903"/>
    <d v="2022-05-01T00:00:00"/>
    <s v="320601002"/>
    <s v="301"/>
    <s v="90"/>
    <s v="Credito"/>
    <x v="2"/>
    <x v="216"/>
    <m/>
    <s v="000252"/>
    <s v="000132"/>
    <n v="404.19"/>
    <s v="0,00"/>
    <s v="0,00"/>
    <s v="0,00"/>
    <s v="0,00"/>
    <s v="ORC2022_2"/>
    <s v="0012"/>
    <m/>
    <m/>
    <m/>
    <m/>
    <m/>
  </r>
  <r>
    <s v="TARIFAS PORTUµRIAS"/>
    <x v="13"/>
    <x v="13"/>
    <n v="660317.73"/>
    <s v="0000000127"/>
    <s v="1904"/>
    <d v="2022-06-01T00:00:00"/>
    <s v="320601002"/>
    <s v="305"/>
    <s v="21"/>
    <s v="Credito"/>
    <x v="2"/>
    <x v="216"/>
    <m/>
    <s v="000252"/>
    <s v="000132"/>
    <n v="660317.73"/>
    <s v="0,00"/>
    <s v="0,00"/>
    <s v="0,00"/>
    <s v="0,00"/>
    <s v="ORC2022_2"/>
    <s v="0012"/>
    <m/>
    <m/>
    <m/>
    <m/>
    <m/>
  </r>
  <r>
    <s v="TARIFAS PORTUµRIAS"/>
    <x v="13"/>
    <x v="13"/>
    <n v="68303.22"/>
    <s v="0000000127"/>
    <s v="1905"/>
    <d v="2022-06-01T00:00:00"/>
    <s v="320601002"/>
    <s v="305"/>
    <s v="31"/>
    <s v="Credito"/>
    <x v="2"/>
    <x v="216"/>
    <m/>
    <s v="000252"/>
    <s v="000132"/>
    <n v="68303.22"/>
    <s v="0,00"/>
    <s v="0,00"/>
    <s v="0,00"/>
    <s v="0,00"/>
    <s v="ORC2022_2"/>
    <s v="0012"/>
    <m/>
    <m/>
    <m/>
    <m/>
    <m/>
  </r>
  <r>
    <s v="TARIFAS PORTUµRIAS"/>
    <x v="13"/>
    <x v="13"/>
    <n v="2940.93"/>
    <s v="0000000127"/>
    <s v="1906"/>
    <d v="2022-06-01T00:00:00"/>
    <s v="320601002"/>
    <s v="305"/>
    <s v="32"/>
    <s v="Credito"/>
    <x v="2"/>
    <x v="216"/>
    <m/>
    <s v="000252"/>
    <s v="000132"/>
    <n v="2940.93"/>
    <s v="0,00"/>
    <s v="0,00"/>
    <s v="0,00"/>
    <s v="0,00"/>
    <s v="ORC2022_2"/>
    <s v="0012"/>
    <m/>
    <m/>
    <m/>
    <m/>
    <m/>
  </r>
  <r>
    <s v="TARIFAS PORTUµRIAS"/>
    <x v="13"/>
    <x v="13"/>
    <n v="410.93"/>
    <s v="0000000127"/>
    <s v="1907"/>
    <d v="2022-06-01T00:00:00"/>
    <s v="320601002"/>
    <s v="301"/>
    <s v="90"/>
    <s v="Credito"/>
    <x v="2"/>
    <x v="216"/>
    <m/>
    <s v="000252"/>
    <s v="000132"/>
    <n v="410.93"/>
    <s v="0,00"/>
    <s v="0,00"/>
    <s v="0,00"/>
    <s v="0,00"/>
    <s v="ORC2022_2"/>
    <s v="0012"/>
    <m/>
    <m/>
    <m/>
    <m/>
    <m/>
  </r>
  <r>
    <s v="TARIFAS PORTUµRIAS"/>
    <x v="13"/>
    <x v="14"/>
    <n v="651730.28"/>
    <s v="0000000127"/>
    <s v="1908"/>
    <d v="2022-07-01T00:00:00"/>
    <s v="320601002"/>
    <s v="305"/>
    <s v="21"/>
    <s v="Credito"/>
    <x v="2"/>
    <x v="216"/>
    <m/>
    <s v="000252"/>
    <s v="000132"/>
    <n v="651730.28"/>
    <s v="0,00"/>
    <s v="0,00"/>
    <s v="0,00"/>
    <s v="0,00"/>
    <s v="ORC2022_2"/>
    <s v="0012"/>
    <m/>
    <m/>
    <m/>
    <m/>
    <m/>
  </r>
  <r>
    <s v="TARIFAS PORTUµRIAS"/>
    <x v="13"/>
    <x v="14"/>
    <n v="21973.19"/>
    <s v="0000000127"/>
    <s v="1909"/>
    <d v="2022-07-01T00:00:00"/>
    <s v="320601002"/>
    <s v="305"/>
    <s v="31"/>
    <s v="Credito"/>
    <x v="2"/>
    <x v="216"/>
    <m/>
    <s v="000252"/>
    <s v="000132"/>
    <n v="21973.19"/>
    <s v="0,00"/>
    <s v="0,00"/>
    <s v="0,00"/>
    <s v="0,00"/>
    <s v="ORC2022_2"/>
    <s v="0012"/>
    <m/>
    <m/>
    <m/>
    <m/>
    <m/>
  </r>
  <r>
    <s v="TARIFAS PORTUµRIAS"/>
    <x v="13"/>
    <x v="14"/>
    <n v="5579.61"/>
    <s v="0000000127"/>
    <s v="1910"/>
    <d v="2022-07-01T00:00:00"/>
    <s v="320601002"/>
    <s v="305"/>
    <s v="32"/>
    <s v="Credito"/>
    <x v="2"/>
    <x v="216"/>
    <m/>
    <s v="000252"/>
    <s v="000132"/>
    <n v="5579.61"/>
    <s v="0,00"/>
    <s v="0,00"/>
    <s v="0,00"/>
    <s v="0,00"/>
    <s v="ORC2022_2"/>
    <s v="0012"/>
    <m/>
    <m/>
    <m/>
    <m/>
    <m/>
  </r>
  <r>
    <s v="TARIFAS PORTUµRIAS"/>
    <x v="13"/>
    <x v="14"/>
    <n v="192.68"/>
    <s v="0000000127"/>
    <s v="1911"/>
    <d v="2022-07-01T00:00:00"/>
    <s v="320601002"/>
    <s v="301"/>
    <s v="90"/>
    <s v="Credito"/>
    <x v="2"/>
    <x v="216"/>
    <m/>
    <s v="000252"/>
    <s v="000132"/>
    <n v="192.68"/>
    <s v="0,00"/>
    <s v="0,00"/>
    <s v="0,00"/>
    <s v="0,00"/>
    <s v="ORC2022_2"/>
    <s v="0012"/>
    <m/>
    <m/>
    <m/>
    <m/>
    <m/>
  </r>
  <r>
    <s v="TARIFAS PORTUµRIAS"/>
    <x v="13"/>
    <x v="15"/>
    <n v="530816.68999999994"/>
    <s v="0000000127"/>
    <s v="1912"/>
    <d v="2022-08-01T00:00:00"/>
    <s v="320601002"/>
    <s v="305"/>
    <s v="21"/>
    <s v="Credito"/>
    <x v="2"/>
    <x v="216"/>
    <m/>
    <s v="000252"/>
    <s v="000132"/>
    <n v="530816.68999999994"/>
    <s v="0,00"/>
    <s v="0,00"/>
    <s v="0,00"/>
    <s v="0,00"/>
    <s v="ORC2022_2"/>
    <s v="0012"/>
    <m/>
    <m/>
    <m/>
    <m/>
    <m/>
  </r>
  <r>
    <s v="TARIFAS PORTUµRIAS"/>
    <x v="13"/>
    <x v="15"/>
    <n v="33752.14"/>
    <s v="0000000127"/>
    <s v="1913"/>
    <d v="2022-08-01T00:00:00"/>
    <s v="320601002"/>
    <s v="305"/>
    <s v="31"/>
    <s v="Credito"/>
    <x v="2"/>
    <x v="216"/>
    <m/>
    <s v="000252"/>
    <s v="000132"/>
    <n v="33752.14"/>
    <s v="0,00"/>
    <s v="0,00"/>
    <s v="0,00"/>
    <s v="0,00"/>
    <s v="ORC2022_2"/>
    <s v="0012"/>
    <m/>
    <m/>
    <m/>
    <m/>
    <m/>
  </r>
  <r>
    <s v="TARIFAS PORTUµRIAS"/>
    <x v="13"/>
    <x v="15"/>
    <n v="4406.58"/>
    <s v="0000000127"/>
    <s v="1914"/>
    <d v="2022-08-01T00:00:00"/>
    <s v="320601002"/>
    <s v="305"/>
    <s v="32"/>
    <s v="Credito"/>
    <x v="2"/>
    <x v="216"/>
    <m/>
    <s v="000252"/>
    <s v="000132"/>
    <n v="4406.58"/>
    <s v="0,00"/>
    <s v="0,00"/>
    <s v="0,00"/>
    <s v="0,00"/>
    <s v="ORC2022_2"/>
    <s v="0012"/>
    <m/>
    <m/>
    <m/>
    <m/>
    <m/>
  </r>
  <r>
    <s v="TARIFAS PORTUµRIAS"/>
    <x v="13"/>
    <x v="15"/>
    <n v="548.48"/>
    <s v="0000000127"/>
    <s v="1915"/>
    <d v="2022-08-01T00:00:00"/>
    <s v="320601002"/>
    <s v="301"/>
    <s v="90"/>
    <s v="Credito"/>
    <x v="2"/>
    <x v="216"/>
    <m/>
    <s v="000252"/>
    <s v="000132"/>
    <n v="548.48"/>
    <s v="0,00"/>
    <s v="0,00"/>
    <s v="0,00"/>
    <s v="0,00"/>
    <s v="ORC2022_2"/>
    <s v="0012"/>
    <m/>
    <m/>
    <m/>
    <m/>
    <m/>
  </r>
  <r>
    <s v="TARIFAS PORTUµRIAS"/>
    <x v="13"/>
    <x v="16"/>
    <n v="711634.21"/>
    <s v="0000000127"/>
    <s v="1916"/>
    <d v="2022-09-01T00:00:00"/>
    <s v="320601002"/>
    <s v="305"/>
    <s v="21"/>
    <s v="Credito"/>
    <x v="2"/>
    <x v="216"/>
    <m/>
    <s v="000252"/>
    <s v="000132"/>
    <n v="711634.21"/>
    <s v="0,00"/>
    <s v="0,00"/>
    <s v="0,00"/>
    <s v="0,00"/>
    <s v="ORC2022_2"/>
    <s v="0012"/>
    <m/>
    <m/>
    <m/>
    <m/>
    <m/>
  </r>
  <r>
    <s v="TARIFAS PORTUµRIAS"/>
    <x v="13"/>
    <x v="16"/>
    <n v="217236.05"/>
    <s v="0000000127"/>
    <s v="1917"/>
    <d v="2022-09-01T00:00:00"/>
    <s v="320601002"/>
    <s v="305"/>
    <s v="31"/>
    <s v="Credito"/>
    <x v="2"/>
    <x v="216"/>
    <m/>
    <s v="000252"/>
    <s v="000132"/>
    <n v="217236.05"/>
    <s v="0,00"/>
    <s v="0,00"/>
    <s v="0,00"/>
    <s v="0,00"/>
    <s v="ORC2022_2"/>
    <s v="0012"/>
    <m/>
    <m/>
    <m/>
    <m/>
    <m/>
  </r>
  <r>
    <s v="TARIFAS PORTUµRIAS"/>
    <x v="13"/>
    <x v="16"/>
    <n v="3418.87"/>
    <s v="0000000127"/>
    <s v="1918"/>
    <d v="2022-09-01T00:00:00"/>
    <s v="320601002"/>
    <s v="305"/>
    <s v="32"/>
    <s v="Credito"/>
    <x v="2"/>
    <x v="216"/>
    <m/>
    <s v="000252"/>
    <s v="000132"/>
    <n v="3418.87"/>
    <s v="0,00"/>
    <s v="0,00"/>
    <s v="0,00"/>
    <s v="0,00"/>
    <s v="ORC2022_2"/>
    <s v="0012"/>
    <m/>
    <m/>
    <m/>
    <m/>
    <m/>
  </r>
  <r>
    <s v="TARIFAS PORTUµRIAS"/>
    <x v="13"/>
    <x v="16"/>
    <n v="4856.57"/>
    <s v="0000000127"/>
    <s v="1919"/>
    <d v="2022-09-01T00:00:00"/>
    <s v="320601002"/>
    <s v="305"/>
    <s v="42"/>
    <s v="Credito"/>
    <x v="2"/>
    <x v="216"/>
    <m/>
    <s v="000252"/>
    <s v="000132"/>
    <n v="4856.57"/>
    <s v="0,00"/>
    <s v="0,00"/>
    <s v="0,00"/>
    <s v="0,00"/>
    <s v="ORC2022_2"/>
    <s v="0012"/>
    <m/>
    <m/>
    <m/>
    <m/>
    <m/>
  </r>
  <r>
    <s v="TARIFAS PORTUµRIAS"/>
    <x v="13"/>
    <x v="17"/>
    <n v="718750.55"/>
    <s v="0000000127"/>
    <s v="1920"/>
    <d v="2022-10-01T00:00:00"/>
    <s v="320601002"/>
    <s v="305"/>
    <s v="21"/>
    <s v="Credito"/>
    <x v="2"/>
    <x v="216"/>
    <m/>
    <s v="000252"/>
    <s v="000132"/>
    <n v="718750.55"/>
    <s v="0,00"/>
    <s v="0,00"/>
    <s v="0,00"/>
    <s v="0,00"/>
    <s v="ORC2022_2"/>
    <s v="0012"/>
    <m/>
    <m/>
    <m/>
    <m/>
    <m/>
  </r>
  <r>
    <s v="TARIFAS PORTUµRIAS"/>
    <x v="13"/>
    <x v="17"/>
    <n v="219408.41"/>
    <s v="0000000127"/>
    <s v="1921"/>
    <d v="2022-10-01T00:00:00"/>
    <s v="320601002"/>
    <s v="305"/>
    <s v="31"/>
    <s v="Credito"/>
    <x v="2"/>
    <x v="216"/>
    <m/>
    <s v="000252"/>
    <s v="000132"/>
    <n v="219408.41"/>
    <s v="0,00"/>
    <s v="0,00"/>
    <s v="0,00"/>
    <s v="0,00"/>
    <s v="ORC2022_2"/>
    <s v="0012"/>
    <m/>
    <m/>
    <m/>
    <m/>
    <m/>
  </r>
  <r>
    <s v="TARIFAS PORTUµRIAS"/>
    <x v="13"/>
    <x v="17"/>
    <n v="3453.06"/>
    <s v="0000000127"/>
    <s v="1922"/>
    <d v="2022-10-01T00:00:00"/>
    <s v="320601002"/>
    <s v="305"/>
    <s v="32"/>
    <s v="Credito"/>
    <x v="2"/>
    <x v="216"/>
    <m/>
    <s v="000252"/>
    <s v="000132"/>
    <n v="3453.06"/>
    <s v="0,00"/>
    <s v="0,00"/>
    <s v="0,00"/>
    <s v="0,00"/>
    <s v="ORC2022_2"/>
    <s v="0012"/>
    <m/>
    <m/>
    <m/>
    <m/>
    <m/>
  </r>
  <r>
    <s v="TARIFAS PORTUµRIAS"/>
    <x v="13"/>
    <x v="17"/>
    <n v="4905.1400000000003"/>
    <s v="0000000127"/>
    <s v="1923"/>
    <d v="2022-10-01T00:00:00"/>
    <s v="320601002"/>
    <s v="305"/>
    <s v="42"/>
    <s v="Credito"/>
    <x v="2"/>
    <x v="216"/>
    <m/>
    <s v="000252"/>
    <s v="000132"/>
    <n v="4905.1400000000003"/>
    <s v="0,00"/>
    <s v="0,00"/>
    <s v="0,00"/>
    <s v="0,00"/>
    <s v="ORC2022_2"/>
    <s v="0012"/>
    <m/>
    <m/>
    <m/>
    <m/>
    <m/>
  </r>
  <r>
    <s v="TARIFAS PORTUµRIAS"/>
    <x v="13"/>
    <x v="0"/>
    <n v="725938.06"/>
    <s v="0000000127"/>
    <s v="1924"/>
    <d v="2022-11-01T00:00:00"/>
    <s v="320601002"/>
    <s v="305"/>
    <s v="21"/>
    <s v="Credito"/>
    <x v="2"/>
    <x v="216"/>
    <m/>
    <s v="000252"/>
    <s v="000132"/>
    <n v="725938.06"/>
    <s v="0,00"/>
    <s v="0,00"/>
    <s v="0,00"/>
    <s v="0,00"/>
    <s v="ORC2022_2"/>
    <s v="0012"/>
    <m/>
    <m/>
    <m/>
    <m/>
    <m/>
  </r>
  <r>
    <s v="TARIFAS PORTUµRIAS"/>
    <x v="13"/>
    <x v="0"/>
    <n v="221602.49"/>
    <s v="0000000127"/>
    <s v="1925"/>
    <d v="2022-11-01T00:00:00"/>
    <s v="320601002"/>
    <s v="305"/>
    <s v="31"/>
    <s v="Credito"/>
    <x v="2"/>
    <x v="216"/>
    <m/>
    <s v="000252"/>
    <s v="000132"/>
    <n v="221602.49"/>
    <s v="0,00"/>
    <s v="0,00"/>
    <s v="0,00"/>
    <s v="0,00"/>
    <s v="ORC2022_2"/>
    <s v="0012"/>
    <m/>
    <m/>
    <m/>
    <m/>
    <m/>
  </r>
  <r>
    <s v="TARIFAS PORTUµRIAS"/>
    <x v="13"/>
    <x v="0"/>
    <n v="3487.59"/>
    <s v="0000000127"/>
    <s v="1926"/>
    <d v="2022-11-01T00:00:00"/>
    <s v="320601002"/>
    <s v="305"/>
    <s v="32"/>
    <s v="Credito"/>
    <x v="2"/>
    <x v="216"/>
    <m/>
    <s v="000252"/>
    <s v="000132"/>
    <n v="3487.59"/>
    <s v="0,00"/>
    <s v="0,00"/>
    <s v="0,00"/>
    <s v="0,00"/>
    <s v="ORC2022_2"/>
    <s v="0012"/>
    <m/>
    <m/>
    <m/>
    <m/>
    <m/>
  </r>
  <r>
    <s v="TARIFAS PORTUµRIAS"/>
    <x v="13"/>
    <x v="0"/>
    <n v="4954.1899999999996"/>
    <s v="0000000127"/>
    <s v="1927"/>
    <d v="2022-11-01T00:00:00"/>
    <s v="320601002"/>
    <s v="305"/>
    <s v="42"/>
    <s v="Credito"/>
    <x v="2"/>
    <x v="216"/>
    <m/>
    <s v="000252"/>
    <s v="000132"/>
    <n v="4954.1899999999996"/>
    <s v="0,00"/>
    <s v="0,00"/>
    <s v="0,00"/>
    <s v="0,00"/>
    <s v="ORC2022_2"/>
    <s v="0012"/>
    <m/>
    <m/>
    <m/>
    <m/>
    <m/>
  </r>
  <r>
    <s v="TARIFAS PORTUµRIAS"/>
    <x v="13"/>
    <x v="1"/>
    <n v="733197.44"/>
    <s v="0000000127"/>
    <s v="1928"/>
    <d v="2022-12-01T00:00:00"/>
    <s v="320601002"/>
    <s v="305"/>
    <s v="21"/>
    <s v="Credito"/>
    <x v="2"/>
    <x v="216"/>
    <m/>
    <s v="000252"/>
    <s v="000132"/>
    <n v="733197.44"/>
    <s v="0,00"/>
    <s v="0,00"/>
    <s v="0,00"/>
    <s v="0,00"/>
    <s v="ORC2022_2"/>
    <s v="0012"/>
    <m/>
    <m/>
    <m/>
    <m/>
    <m/>
  </r>
  <r>
    <s v="TARIFAS PORTUµRIAS"/>
    <x v="13"/>
    <x v="1"/>
    <n v="223818.52"/>
    <s v="0000000127"/>
    <s v="1929"/>
    <d v="2022-12-01T00:00:00"/>
    <s v="320601002"/>
    <s v="305"/>
    <s v="31"/>
    <s v="Credito"/>
    <x v="2"/>
    <x v="216"/>
    <m/>
    <s v="000252"/>
    <s v="000132"/>
    <n v="223818.52"/>
    <s v="0,00"/>
    <s v="0,00"/>
    <s v="0,00"/>
    <s v="0,00"/>
    <s v="ORC2022_2"/>
    <s v="0012"/>
    <m/>
    <m/>
    <m/>
    <m/>
    <m/>
  </r>
  <r>
    <s v="TARIFAS PORTUµRIAS"/>
    <x v="13"/>
    <x v="1"/>
    <n v="3522.47"/>
    <s v="0000000127"/>
    <s v="1930"/>
    <d v="2022-12-01T00:00:00"/>
    <s v="320601002"/>
    <s v="305"/>
    <s v="32"/>
    <s v="Credito"/>
    <x v="2"/>
    <x v="216"/>
    <m/>
    <s v="000252"/>
    <s v="000132"/>
    <n v="3522.47"/>
    <s v="0,00"/>
    <s v="0,00"/>
    <s v="0,00"/>
    <s v="0,00"/>
    <s v="ORC2022_2"/>
    <s v="0012"/>
    <m/>
    <m/>
    <m/>
    <m/>
    <m/>
  </r>
  <r>
    <s v="TARIFAS PORTUµRIAS"/>
    <x v="13"/>
    <x v="1"/>
    <n v="5003.7299999999996"/>
    <s v="0000000127"/>
    <s v="1931"/>
    <d v="2022-12-01T00:00:00"/>
    <s v="320601002"/>
    <s v="305"/>
    <s v="42"/>
    <s v="Credito"/>
    <x v="2"/>
    <x v="216"/>
    <m/>
    <s v="000252"/>
    <s v="000132"/>
    <n v="5003.7299999999996"/>
    <s v="0,00"/>
    <s v="0,00"/>
    <s v="0,00"/>
    <s v="0,00"/>
    <s v="ORC2022_2"/>
    <s v="0012"/>
    <m/>
    <m/>
    <m/>
    <m/>
    <m/>
  </r>
  <r>
    <s v="REMUNERACOES"/>
    <x v="45"/>
    <x v="8"/>
    <n v="15404.97"/>
    <s v="0000000127"/>
    <s v="1932"/>
    <d v="2022-01-01T00:00:00"/>
    <s v="330101"/>
    <s v="206"/>
    <s v="11"/>
    <s v="Credito"/>
    <x v="2"/>
    <x v="216"/>
    <m/>
    <s v="000252"/>
    <s v="000132"/>
    <n v="15404.97"/>
    <s v="0,00"/>
    <s v="0,00"/>
    <s v="0,00"/>
    <s v="0,00"/>
    <s v="ORC2022_2"/>
    <s v="0012"/>
    <m/>
    <m/>
    <m/>
    <m/>
    <m/>
  </r>
  <r>
    <s v="REMUNERACOES"/>
    <x v="45"/>
    <x v="8"/>
    <n v="206.33"/>
    <s v="0000000127"/>
    <s v="1933"/>
    <d v="2022-01-01T00:00:00"/>
    <s v="330101"/>
    <s v="302"/>
    <s v="11"/>
    <s v="Credito"/>
    <x v="2"/>
    <x v="216"/>
    <m/>
    <s v="000252"/>
    <s v="000132"/>
    <n v="206.33"/>
    <s v="0,00"/>
    <s v="0,00"/>
    <s v="0,00"/>
    <s v="0,00"/>
    <s v="ORC2022_2"/>
    <s v="0012"/>
    <m/>
    <m/>
    <m/>
    <m/>
    <m/>
  </r>
  <r>
    <s v="REMUNERACOES"/>
    <x v="45"/>
    <x v="8"/>
    <n v="13780.45"/>
    <s v="0000000127"/>
    <s v="1934"/>
    <d v="2022-01-01T00:00:00"/>
    <s v="330101"/>
    <s v="209"/>
    <s v="21"/>
    <s v="Credito"/>
    <x v="2"/>
    <x v="216"/>
    <m/>
    <s v="000252"/>
    <s v="000132"/>
    <n v="13780.45"/>
    <s v="0,00"/>
    <s v="0,00"/>
    <s v="0,00"/>
    <s v="0,00"/>
    <s v="ORC2022_2"/>
    <s v="0012"/>
    <m/>
    <m/>
    <m/>
    <m/>
    <m/>
  </r>
  <r>
    <s v="REMUNERACOES"/>
    <x v="45"/>
    <x v="8"/>
    <n v="125.45"/>
    <s v="0000000127"/>
    <s v="1935"/>
    <d v="2022-01-01T00:00:00"/>
    <s v="330101"/>
    <s v="303"/>
    <s v="21"/>
    <s v="Credito"/>
    <x v="2"/>
    <x v="216"/>
    <m/>
    <s v="000252"/>
    <s v="000132"/>
    <n v="125.45"/>
    <s v="0,00"/>
    <s v="0,00"/>
    <s v="0,00"/>
    <s v="0,00"/>
    <s v="ORC2022_2"/>
    <s v="0012"/>
    <m/>
    <m/>
    <m/>
    <m/>
    <m/>
  </r>
  <r>
    <s v="REMUNERACOES"/>
    <x v="45"/>
    <x v="8"/>
    <n v="3.68"/>
    <s v="0000000127"/>
    <s v="1936"/>
    <d v="2022-01-01T00:00:00"/>
    <s v="330101"/>
    <s v="305"/>
    <s v="21"/>
    <s v="Credito"/>
    <x v="2"/>
    <x v="216"/>
    <m/>
    <s v="000252"/>
    <s v="000132"/>
    <n v="3.68"/>
    <s v="0,00"/>
    <s v="0,00"/>
    <s v="0,00"/>
    <s v="0,00"/>
    <s v="ORC2022_2"/>
    <s v="0012"/>
    <m/>
    <m/>
    <m/>
    <m/>
    <m/>
  </r>
  <r>
    <s v="REMUNERACOES"/>
    <x v="45"/>
    <x v="8"/>
    <n v="2146.9"/>
    <s v="0000000127"/>
    <s v="1937"/>
    <d v="2022-01-01T00:00:00"/>
    <s v="330101"/>
    <s v="211"/>
    <s v="51"/>
    <s v="Credito"/>
    <x v="2"/>
    <x v="216"/>
    <m/>
    <s v="000252"/>
    <s v="000132"/>
    <n v="2146.9"/>
    <s v="0,00"/>
    <s v="0,00"/>
    <s v="0,00"/>
    <s v="0,00"/>
    <s v="ORC2022_2"/>
    <s v="0012"/>
    <m/>
    <m/>
    <m/>
    <m/>
    <m/>
  </r>
  <r>
    <s v="REMUNERACOES"/>
    <x v="45"/>
    <x v="8"/>
    <n v="15224.36"/>
    <s v="0000000127"/>
    <s v="1938"/>
    <d v="2022-01-01T00:00:00"/>
    <s v="330101"/>
    <s v="101"/>
    <s v="90"/>
    <s v="Credito"/>
    <x v="2"/>
    <x v="216"/>
    <m/>
    <s v="000252"/>
    <s v="000132"/>
    <n v="15224.36"/>
    <s v="0,00"/>
    <s v="0,00"/>
    <s v="0,00"/>
    <s v="0,00"/>
    <s v="ORC2022_2"/>
    <s v="0012"/>
    <m/>
    <m/>
    <m/>
    <m/>
    <m/>
  </r>
  <r>
    <s v="REMUNERACOES"/>
    <x v="45"/>
    <x v="8"/>
    <n v="39896.69"/>
    <s v="0000000127"/>
    <s v="1939"/>
    <d v="2022-01-01T00:00:00"/>
    <s v="330101"/>
    <s v="201"/>
    <s v="90"/>
    <s v="Credito"/>
    <x v="2"/>
    <x v="216"/>
    <m/>
    <s v="000252"/>
    <s v="000132"/>
    <n v="39896.69"/>
    <s v="0,00"/>
    <s v="0,00"/>
    <s v="0,00"/>
    <s v="0,00"/>
    <s v="ORC2022_2"/>
    <s v="0012"/>
    <m/>
    <m/>
    <m/>
    <m/>
    <m/>
  </r>
  <r>
    <s v="REMUNERACOES"/>
    <x v="45"/>
    <x v="8"/>
    <n v="6100.8"/>
    <s v="0000000127"/>
    <s v="1940"/>
    <d v="2022-01-01T00:00:00"/>
    <s v="330101"/>
    <s v="202"/>
    <s v="90"/>
    <s v="Credito"/>
    <x v="2"/>
    <x v="216"/>
    <m/>
    <s v="000252"/>
    <s v="000132"/>
    <n v="6100.8"/>
    <s v="0,00"/>
    <s v="0,00"/>
    <s v="0,00"/>
    <s v="0,00"/>
    <s v="ORC2022_2"/>
    <s v="0012"/>
    <m/>
    <m/>
    <m/>
    <m/>
    <m/>
  </r>
  <r>
    <s v="REMUNERACOES"/>
    <x v="45"/>
    <x v="8"/>
    <n v="2980.02"/>
    <s v="0000000127"/>
    <s v="1941"/>
    <d v="2022-01-01T00:00:00"/>
    <s v="330101"/>
    <s v="203"/>
    <s v="90"/>
    <s v="Credito"/>
    <x v="2"/>
    <x v="216"/>
    <m/>
    <s v="000252"/>
    <s v="000132"/>
    <n v="2980.02"/>
    <s v="0,00"/>
    <s v="0,00"/>
    <s v="0,00"/>
    <s v="0,00"/>
    <s v="ORC2022_2"/>
    <s v="0012"/>
    <m/>
    <m/>
    <m/>
    <m/>
    <m/>
  </r>
  <r>
    <s v="REMUNERACOES"/>
    <x v="45"/>
    <x v="8"/>
    <n v="16325.43"/>
    <s v="0000000127"/>
    <s v="1942"/>
    <d v="2022-01-01T00:00:00"/>
    <s v="330101"/>
    <s v="204"/>
    <s v="90"/>
    <s v="Credito"/>
    <x v="2"/>
    <x v="216"/>
    <m/>
    <s v="000252"/>
    <s v="000132"/>
    <n v="16325.43"/>
    <s v="0,00"/>
    <s v="0,00"/>
    <s v="0,00"/>
    <s v="0,00"/>
    <s v="ORC2022_2"/>
    <s v="0012"/>
    <m/>
    <m/>
    <m/>
    <m/>
    <m/>
  </r>
  <r>
    <s v="REMUNERACOES"/>
    <x v="45"/>
    <x v="8"/>
    <n v="5380.81"/>
    <s v="0000000127"/>
    <s v="1943"/>
    <d v="2022-01-01T00:00:00"/>
    <s v="330101"/>
    <s v="205"/>
    <s v="90"/>
    <s v="Credito"/>
    <x v="2"/>
    <x v="216"/>
    <m/>
    <s v="000252"/>
    <s v="000132"/>
    <n v="5380.81"/>
    <s v="0,00"/>
    <s v="0,00"/>
    <s v="0,00"/>
    <s v="0,00"/>
    <s v="ORC2022_2"/>
    <s v="0012"/>
    <m/>
    <m/>
    <m/>
    <m/>
    <m/>
  </r>
  <r>
    <s v="REMUNERACOES"/>
    <x v="45"/>
    <x v="8"/>
    <n v="26187.03"/>
    <s v="0000000127"/>
    <s v="1944"/>
    <d v="2022-01-01T00:00:00"/>
    <s v="330101"/>
    <s v="207"/>
    <s v="90"/>
    <s v="Credito"/>
    <x v="2"/>
    <x v="216"/>
    <m/>
    <s v="000252"/>
    <s v="000132"/>
    <n v="26187.03"/>
    <s v="0,00"/>
    <s v="0,00"/>
    <s v="0,00"/>
    <s v="0,00"/>
    <s v="ORC2022_2"/>
    <s v="0012"/>
    <m/>
    <m/>
    <m/>
    <m/>
    <m/>
  </r>
  <r>
    <s v="REMUNERACOES"/>
    <x v="45"/>
    <x v="8"/>
    <n v="21425.27"/>
    <s v="0000000127"/>
    <s v="1945"/>
    <d v="2022-01-01T00:00:00"/>
    <s v="330101"/>
    <s v="208"/>
    <s v="90"/>
    <s v="Credito"/>
    <x v="2"/>
    <x v="216"/>
    <m/>
    <s v="000252"/>
    <s v="000132"/>
    <n v="21425.27"/>
    <s v="0,00"/>
    <s v="0,00"/>
    <s v="0,00"/>
    <s v="0,00"/>
    <s v="ORC2022_2"/>
    <s v="0012"/>
    <m/>
    <m/>
    <m/>
    <m/>
    <m/>
  </r>
  <r>
    <s v="REMUNERACOES"/>
    <x v="45"/>
    <x v="8"/>
    <n v="38977.120000000003"/>
    <s v="0000000127"/>
    <s v="1946"/>
    <d v="2022-01-01T00:00:00"/>
    <s v="330101"/>
    <s v="209"/>
    <s v="90"/>
    <s v="Credito"/>
    <x v="2"/>
    <x v="216"/>
    <m/>
    <s v="000252"/>
    <s v="000132"/>
    <n v="38977.120000000003"/>
    <s v="0,00"/>
    <s v="0,00"/>
    <s v="0,00"/>
    <s v="0,00"/>
    <s v="ORC2022_2"/>
    <s v="0012"/>
    <m/>
    <m/>
    <m/>
    <m/>
    <m/>
  </r>
  <r>
    <s v="REMUNERACOES"/>
    <x v="45"/>
    <x v="8"/>
    <n v="6979.3"/>
    <s v="0000000127"/>
    <s v="1947"/>
    <d v="2022-01-01T00:00:00"/>
    <s v="330101"/>
    <s v="210"/>
    <s v="90"/>
    <s v="Credito"/>
    <x v="2"/>
    <x v="216"/>
    <m/>
    <s v="000252"/>
    <s v="000132"/>
    <n v="6979.3"/>
    <s v="0,00"/>
    <s v="0,00"/>
    <s v="0,00"/>
    <s v="0,00"/>
    <s v="ORC2022_2"/>
    <s v="0012"/>
    <m/>
    <m/>
    <m/>
    <m/>
    <m/>
  </r>
  <r>
    <s v="REMUNERACOES"/>
    <x v="45"/>
    <x v="8"/>
    <n v="1.28"/>
    <s v="0000000127"/>
    <s v="1948"/>
    <d v="2022-01-01T00:00:00"/>
    <s v="330101"/>
    <s v="301"/>
    <s v="90"/>
    <s v="Credito"/>
    <x v="2"/>
    <x v="216"/>
    <m/>
    <s v="000252"/>
    <s v="000132"/>
    <n v="1.28"/>
    <s v="0,00"/>
    <s v="0,00"/>
    <s v="0,00"/>
    <s v="0,00"/>
    <s v="ORC2022_2"/>
    <s v="0012"/>
    <m/>
    <m/>
    <m/>
    <m/>
    <m/>
  </r>
  <r>
    <s v="REMUNERACOES"/>
    <x v="45"/>
    <x v="9"/>
    <n v="15136.08"/>
    <s v="0000000127"/>
    <s v="1949"/>
    <d v="2022-02-01T00:00:00"/>
    <s v="330101"/>
    <s v="206"/>
    <s v="11"/>
    <s v="Credito"/>
    <x v="2"/>
    <x v="216"/>
    <m/>
    <s v="000252"/>
    <s v="000132"/>
    <n v="15136.08"/>
    <s v="0,00"/>
    <s v="0,00"/>
    <s v="0,00"/>
    <s v="0,00"/>
    <s v="ORC2022_2"/>
    <s v="0012"/>
    <m/>
    <m/>
    <m/>
    <m/>
    <m/>
  </r>
  <r>
    <s v="REMUNERACOES"/>
    <x v="45"/>
    <x v="9"/>
    <n v="23.55"/>
    <s v="0000000127"/>
    <s v="1950"/>
    <d v="2022-02-01T00:00:00"/>
    <s v="330101"/>
    <s v="302"/>
    <s v="11"/>
    <s v="Credito"/>
    <x v="2"/>
    <x v="216"/>
    <m/>
    <s v="000252"/>
    <s v="000132"/>
    <n v="23.55"/>
    <s v="0,00"/>
    <s v="0,00"/>
    <s v="0,00"/>
    <s v="0,00"/>
    <s v="ORC2022_2"/>
    <s v="0012"/>
    <m/>
    <m/>
    <m/>
    <m/>
    <m/>
  </r>
  <r>
    <s v="REMUNERACOES"/>
    <x v="45"/>
    <x v="9"/>
    <n v="55.69"/>
    <s v="0000000127"/>
    <s v="1951"/>
    <d v="2022-02-01T00:00:00"/>
    <s v="330101"/>
    <s v="304"/>
    <s v="11"/>
    <s v="Credito"/>
    <x v="2"/>
    <x v="216"/>
    <m/>
    <s v="000252"/>
    <s v="000132"/>
    <n v="55.69"/>
    <s v="0,00"/>
    <s v="0,00"/>
    <s v="0,00"/>
    <s v="0,00"/>
    <s v="ORC2022_2"/>
    <s v="0012"/>
    <m/>
    <m/>
    <m/>
    <m/>
    <m/>
  </r>
  <r>
    <s v="REMUNERACOES"/>
    <x v="45"/>
    <x v="9"/>
    <n v="7617.34"/>
    <s v="0000000127"/>
    <s v="1952"/>
    <d v="2022-02-01T00:00:00"/>
    <s v="330101"/>
    <s v="209"/>
    <s v="21"/>
    <s v="Credito"/>
    <x v="2"/>
    <x v="216"/>
    <m/>
    <s v="000252"/>
    <s v="000132"/>
    <n v="7617.34"/>
    <s v="0,00"/>
    <s v="0,00"/>
    <s v="0,00"/>
    <s v="0,00"/>
    <s v="ORC2022_2"/>
    <s v="0012"/>
    <m/>
    <m/>
    <m/>
    <m/>
    <m/>
  </r>
  <r>
    <s v="REMUNERACOES"/>
    <x v="45"/>
    <x v="9"/>
    <n v="33.61"/>
    <s v="0000000127"/>
    <s v="1953"/>
    <d v="2022-02-01T00:00:00"/>
    <s v="330101"/>
    <s v="303"/>
    <s v="21"/>
    <s v="Credito"/>
    <x v="2"/>
    <x v="216"/>
    <m/>
    <s v="000252"/>
    <s v="000132"/>
    <n v="33.61"/>
    <s v="0,00"/>
    <s v="0,00"/>
    <s v="0,00"/>
    <s v="0,00"/>
    <s v="ORC2022_2"/>
    <s v="0012"/>
    <m/>
    <m/>
    <m/>
    <m/>
    <m/>
  </r>
  <r>
    <s v="REMUNERACOES"/>
    <x v="45"/>
    <x v="9"/>
    <n v="9.2200000000000006"/>
    <s v="0000000127"/>
    <s v="1954"/>
    <d v="2022-02-01T00:00:00"/>
    <s v="330101"/>
    <s v="305"/>
    <s v="21"/>
    <s v="Credito"/>
    <x v="2"/>
    <x v="216"/>
    <m/>
    <s v="000252"/>
    <s v="000132"/>
    <n v="9.2200000000000006"/>
    <s v="0,00"/>
    <s v="0,00"/>
    <s v="0,00"/>
    <s v="0,00"/>
    <s v="ORC2022_2"/>
    <s v="0012"/>
    <m/>
    <m/>
    <m/>
    <m/>
    <m/>
  </r>
  <r>
    <s v="REMUNERACOES"/>
    <x v="45"/>
    <x v="9"/>
    <n v="2145.8200000000002"/>
    <s v="0000000127"/>
    <s v="1955"/>
    <d v="2022-02-01T00:00:00"/>
    <s v="330101"/>
    <s v="211"/>
    <s v="51"/>
    <s v="Credito"/>
    <x v="2"/>
    <x v="216"/>
    <m/>
    <s v="000252"/>
    <s v="000132"/>
    <n v="2145.8200000000002"/>
    <s v="0,00"/>
    <s v="0,00"/>
    <s v="0,00"/>
    <s v="0,00"/>
    <s v="ORC2022_2"/>
    <s v="0012"/>
    <m/>
    <m/>
    <m/>
    <m/>
    <m/>
  </r>
  <r>
    <s v="REMUNERACOES"/>
    <x v="45"/>
    <x v="9"/>
    <n v="15223.35"/>
    <s v="0000000127"/>
    <s v="1956"/>
    <d v="2022-02-01T00:00:00"/>
    <s v="330101"/>
    <s v="101"/>
    <s v="90"/>
    <s v="Credito"/>
    <x v="2"/>
    <x v="216"/>
    <m/>
    <s v="000252"/>
    <s v="000132"/>
    <n v="15223.35"/>
    <s v="0,00"/>
    <s v="0,00"/>
    <s v="0,00"/>
    <s v="0,00"/>
    <s v="ORC2022_2"/>
    <s v="0012"/>
    <m/>
    <m/>
    <m/>
    <m/>
    <m/>
  </r>
  <r>
    <s v="REMUNERACOES"/>
    <x v="45"/>
    <x v="9"/>
    <n v="38402.160000000003"/>
    <s v="0000000127"/>
    <s v="1957"/>
    <d v="2022-02-01T00:00:00"/>
    <s v="330101"/>
    <s v="201"/>
    <s v="90"/>
    <s v="Credito"/>
    <x v="2"/>
    <x v="216"/>
    <m/>
    <s v="000252"/>
    <s v="000132"/>
    <n v="38402.160000000003"/>
    <s v="0,00"/>
    <s v="0,00"/>
    <s v="0,00"/>
    <s v="0,00"/>
    <s v="ORC2022_2"/>
    <s v="0012"/>
    <m/>
    <m/>
    <m/>
    <m/>
    <m/>
  </r>
  <r>
    <s v="REMUNERACOES"/>
    <x v="45"/>
    <x v="9"/>
    <n v="6106.2"/>
    <s v="0000000127"/>
    <s v="1958"/>
    <d v="2022-02-01T00:00:00"/>
    <s v="330101"/>
    <s v="202"/>
    <s v="90"/>
    <s v="Credito"/>
    <x v="2"/>
    <x v="216"/>
    <m/>
    <s v="000252"/>
    <s v="000132"/>
    <n v="6106.2"/>
    <s v="0,00"/>
    <s v="0,00"/>
    <s v="0,00"/>
    <s v="0,00"/>
    <s v="ORC2022_2"/>
    <s v="0012"/>
    <m/>
    <m/>
    <m/>
    <m/>
    <m/>
  </r>
  <r>
    <s v="REMUNERACOES"/>
    <x v="45"/>
    <x v="9"/>
    <n v="3165.58"/>
    <s v="0000000127"/>
    <s v="1959"/>
    <d v="2022-02-01T00:00:00"/>
    <s v="330101"/>
    <s v="203"/>
    <s v="90"/>
    <s v="Credito"/>
    <x v="2"/>
    <x v="216"/>
    <m/>
    <s v="000252"/>
    <s v="000132"/>
    <n v="3165.58"/>
    <s v="0,00"/>
    <s v="0,00"/>
    <s v="0,00"/>
    <s v="0,00"/>
    <s v="ORC2022_2"/>
    <s v="0012"/>
    <m/>
    <m/>
    <m/>
    <m/>
    <m/>
  </r>
  <r>
    <s v="REMUNERACOES"/>
    <x v="45"/>
    <x v="9"/>
    <n v="16259.4"/>
    <s v="0000000127"/>
    <s v="1960"/>
    <d v="2022-02-01T00:00:00"/>
    <s v="330101"/>
    <s v="204"/>
    <s v="90"/>
    <s v="Credito"/>
    <x v="2"/>
    <x v="216"/>
    <m/>
    <s v="000252"/>
    <s v="000132"/>
    <n v="16259.4"/>
    <s v="0,00"/>
    <s v="0,00"/>
    <s v="0,00"/>
    <s v="0,00"/>
    <s v="ORC2022_2"/>
    <s v="0012"/>
    <m/>
    <m/>
    <m/>
    <m/>
    <m/>
  </r>
  <r>
    <s v="REMUNERACOES"/>
    <x v="45"/>
    <x v="9"/>
    <n v="5381.33"/>
    <s v="0000000127"/>
    <s v="1961"/>
    <d v="2022-02-01T00:00:00"/>
    <s v="330101"/>
    <s v="205"/>
    <s v="90"/>
    <s v="Credito"/>
    <x v="2"/>
    <x v="216"/>
    <m/>
    <s v="000252"/>
    <s v="000132"/>
    <n v="5381.33"/>
    <s v="0,00"/>
    <s v="0,00"/>
    <s v="0,00"/>
    <s v="0,00"/>
    <s v="ORC2022_2"/>
    <s v="0012"/>
    <m/>
    <m/>
    <m/>
    <m/>
    <m/>
  </r>
  <r>
    <s v="REMUNERACOES"/>
    <x v="45"/>
    <x v="9"/>
    <n v="26086.71"/>
    <s v="0000000127"/>
    <s v="1962"/>
    <d v="2022-02-01T00:00:00"/>
    <s v="330101"/>
    <s v="207"/>
    <s v="90"/>
    <s v="Credito"/>
    <x v="2"/>
    <x v="216"/>
    <m/>
    <s v="000252"/>
    <s v="000132"/>
    <n v="26086.71"/>
    <s v="0,00"/>
    <s v="0,00"/>
    <s v="0,00"/>
    <s v="0,00"/>
    <s v="ORC2022_2"/>
    <s v="0012"/>
    <m/>
    <m/>
    <m/>
    <m/>
    <m/>
  </r>
  <r>
    <s v="REMUNERACOES"/>
    <x v="45"/>
    <x v="9"/>
    <n v="19317.439999999999"/>
    <s v="0000000127"/>
    <s v="1963"/>
    <d v="2022-02-01T00:00:00"/>
    <s v="330101"/>
    <s v="208"/>
    <s v="90"/>
    <s v="Credito"/>
    <x v="2"/>
    <x v="216"/>
    <m/>
    <s v="000252"/>
    <s v="000132"/>
    <n v="19317.439999999999"/>
    <s v="0,00"/>
    <s v="0,00"/>
    <s v="0,00"/>
    <s v="0,00"/>
    <s v="ORC2022_2"/>
    <s v="0012"/>
    <m/>
    <m/>
    <m/>
    <m/>
    <m/>
  </r>
  <r>
    <s v="REMUNERACOES"/>
    <x v="45"/>
    <x v="9"/>
    <n v="11837.52"/>
    <s v="0000000127"/>
    <s v="1964"/>
    <d v="2022-02-01T00:00:00"/>
    <s v="330101"/>
    <s v="209"/>
    <s v="90"/>
    <s v="Credito"/>
    <x v="2"/>
    <x v="216"/>
    <m/>
    <s v="000252"/>
    <s v="000132"/>
    <n v="11837.52"/>
    <s v="0,00"/>
    <s v="0,00"/>
    <s v="0,00"/>
    <s v="0,00"/>
    <s v="ORC2022_2"/>
    <s v="0012"/>
    <m/>
    <m/>
    <m/>
    <m/>
    <m/>
  </r>
  <r>
    <s v="REMUNERACOES"/>
    <x v="45"/>
    <x v="9"/>
    <n v="6781.65"/>
    <s v="0000000127"/>
    <s v="1965"/>
    <d v="2022-02-01T00:00:00"/>
    <s v="330101"/>
    <s v="210"/>
    <s v="90"/>
    <s v="Credito"/>
    <x v="2"/>
    <x v="216"/>
    <m/>
    <s v="000252"/>
    <s v="000132"/>
    <n v="6781.65"/>
    <s v="0,00"/>
    <s v="0,00"/>
    <s v="0,00"/>
    <s v="0,00"/>
    <s v="ORC2022_2"/>
    <s v="0012"/>
    <m/>
    <m/>
    <m/>
    <m/>
    <m/>
  </r>
  <r>
    <s v="REMUNERACOES"/>
    <x v="45"/>
    <x v="10"/>
    <n v="15529.98"/>
    <s v="0000000127"/>
    <s v="1966"/>
    <d v="2022-03-01T00:00:00"/>
    <s v="330101"/>
    <s v="206"/>
    <s v="11"/>
    <s v="Credito"/>
    <x v="2"/>
    <x v="216"/>
    <m/>
    <s v="000252"/>
    <s v="000132"/>
    <n v="15529.98"/>
    <s v="0,00"/>
    <s v="0,00"/>
    <s v="0,00"/>
    <s v="0,00"/>
    <s v="ORC2022_2"/>
    <s v="0012"/>
    <m/>
    <m/>
    <m/>
    <m/>
    <m/>
  </r>
  <r>
    <s v="REMUNERACOES"/>
    <x v="45"/>
    <x v="10"/>
    <n v="11.64"/>
    <s v="0000000127"/>
    <s v="1967"/>
    <d v="2022-03-01T00:00:00"/>
    <s v="330101"/>
    <s v="302"/>
    <s v="11"/>
    <s v="Credito"/>
    <x v="2"/>
    <x v="216"/>
    <m/>
    <s v="000252"/>
    <s v="000132"/>
    <n v="11.64"/>
    <s v="0,00"/>
    <s v="0,00"/>
    <s v="0,00"/>
    <s v="0,00"/>
    <s v="ORC2022_2"/>
    <s v="0012"/>
    <m/>
    <m/>
    <m/>
    <m/>
    <m/>
  </r>
  <r>
    <s v="REMUNERACOES"/>
    <x v="45"/>
    <x v="10"/>
    <n v="23.87"/>
    <s v="0000000127"/>
    <s v="1968"/>
    <d v="2022-03-01T00:00:00"/>
    <s v="330101"/>
    <s v="304"/>
    <s v="11"/>
    <s v="Credito"/>
    <x v="2"/>
    <x v="216"/>
    <m/>
    <s v="000252"/>
    <s v="000132"/>
    <n v="23.87"/>
    <s v="0,00"/>
    <s v="0,00"/>
    <s v="0,00"/>
    <s v="0,00"/>
    <s v="ORC2022_2"/>
    <s v="0012"/>
    <m/>
    <m/>
    <m/>
    <m/>
    <m/>
  </r>
  <r>
    <s v="REMUNERACOES"/>
    <x v="45"/>
    <x v="10"/>
    <n v="9177.3700000000008"/>
    <s v="0000000127"/>
    <s v="1969"/>
    <d v="2022-03-01T00:00:00"/>
    <s v="330101"/>
    <s v="209"/>
    <s v="21"/>
    <s v="Credito"/>
    <x v="2"/>
    <x v="216"/>
    <m/>
    <s v="000252"/>
    <s v="000132"/>
    <n v="9177.3700000000008"/>
    <s v="0,00"/>
    <s v="0,00"/>
    <s v="0,00"/>
    <s v="0,00"/>
    <s v="ORC2022_2"/>
    <s v="0012"/>
    <m/>
    <m/>
    <m/>
    <m/>
    <m/>
  </r>
  <r>
    <s v="REMUNERACOES"/>
    <x v="45"/>
    <x v="10"/>
    <n v="8.2799999999999994"/>
    <s v="0000000127"/>
    <s v="1970"/>
    <d v="2022-03-01T00:00:00"/>
    <s v="330101"/>
    <s v="303"/>
    <s v="21"/>
    <s v="Credito"/>
    <x v="2"/>
    <x v="216"/>
    <m/>
    <s v="000252"/>
    <s v="000132"/>
    <n v="8.2799999999999994"/>
    <s v="0,00"/>
    <s v="0,00"/>
    <s v="0,00"/>
    <s v="0,00"/>
    <s v="ORC2022_2"/>
    <s v="0012"/>
    <m/>
    <m/>
    <m/>
    <m/>
    <m/>
  </r>
  <r>
    <s v="REMUNERACOES"/>
    <x v="45"/>
    <x v="10"/>
    <n v="62.45"/>
    <s v="0000000127"/>
    <s v="1971"/>
    <d v="2022-03-01T00:00:00"/>
    <s v="330101"/>
    <s v="305"/>
    <s v="21"/>
    <s v="Credito"/>
    <x v="2"/>
    <x v="216"/>
    <m/>
    <s v="000252"/>
    <s v="000132"/>
    <n v="62.45"/>
    <s v="0,00"/>
    <s v="0,00"/>
    <s v="0,00"/>
    <s v="0,00"/>
    <s v="ORC2022_2"/>
    <s v="0012"/>
    <m/>
    <m/>
    <m/>
    <m/>
    <m/>
  </r>
  <r>
    <s v="REMUNERACOES"/>
    <x v="45"/>
    <x v="10"/>
    <n v="15225.37"/>
    <s v="0000000127"/>
    <s v="1972"/>
    <d v="2022-03-01T00:00:00"/>
    <s v="330101"/>
    <s v="101"/>
    <s v="90"/>
    <s v="Credito"/>
    <x v="2"/>
    <x v="216"/>
    <m/>
    <s v="000252"/>
    <s v="000132"/>
    <n v="15225.37"/>
    <s v="0,00"/>
    <s v="0,00"/>
    <s v="0,00"/>
    <s v="0,00"/>
    <s v="ORC2022_2"/>
    <s v="0012"/>
    <m/>
    <m/>
    <m/>
    <m/>
    <m/>
  </r>
  <r>
    <s v="REMUNERACOES"/>
    <x v="45"/>
    <x v="10"/>
    <n v="38379.699999999997"/>
    <s v="0000000127"/>
    <s v="1973"/>
    <d v="2022-03-01T00:00:00"/>
    <s v="330101"/>
    <s v="201"/>
    <s v="90"/>
    <s v="Credito"/>
    <x v="2"/>
    <x v="216"/>
    <m/>
    <s v="000252"/>
    <s v="000132"/>
    <n v="38379.699999999997"/>
    <s v="0,00"/>
    <s v="0,00"/>
    <s v="0,00"/>
    <s v="0,00"/>
    <s v="ORC2022_2"/>
    <s v="0012"/>
    <m/>
    <m/>
    <m/>
    <m/>
    <m/>
  </r>
  <r>
    <s v="REMUNERACOES"/>
    <x v="45"/>
    <x v="10"/>
    <n v="6105.23"/>
    <s v="0000000127"/>
    <s v="1974"/>
    <d v="2022-03-01T00:00:00"/>
    <s v="330101"/>
    <s v="202"/>
    <s v="90"/>
    <s v="Credito"/>
    <x v="2"/>
    <x v="216"/>
    <m/>
    <s v="000252"/>
    <s v="000132"/>
    <n v="6105.23"/>
    <s v="0,00"/>
    <s v="0,00"/>
    <s v="0,00"/>
    <s v="0,00"/>
    <s v="ORC2022_2"/>
    <s v="0012"/>
    <m/>
    <m/>
    <m/>
    <m/>
    <m/>
  </r>
  <r>
    <s v="REMUNERACOES"/>
    <x v="45"/>
    <x v="10"/>
    <n v="3173.41"/>
    <s v="0000000127"/>
    <s v="1975"/>
    <d v="2022-03-01T00:00:00"/>
    <s v="330101"/>
    <s v="203"/>
    <s v="90"/>
    <s v="Credito"/>
    <x v="2"/>
    <x v="216"/>
    <m/>
    <s v="000252"/>
    <s v="000132"/>
    <n v="3173.41"/>
    <s v="0,00"/>
    <s v="0,00"/>
    <s v="0,00"/>
    <s v="0,00"/>
    <s v="ORC2022_2"/>
    <s v="0012"/>
    <m/>
    <m/>
    <m/>
    <m/>
    <m/>
  </r>
  <r>
    <s v="REMUNERACOES"/>
    <x v="45"/>
    <x v="10"/>
    <n v="17183.53"/>
    <s v="0000000127"/>
    <s v="1976"/>
    <d v="2022-03-01T00:00:00"/>
    <s v="330101"/>
    <s v="204"/>
    <s v="90"/>
    <s v="Credito"/>
    <x v="2"/>
    <x v="216"/>
    <m/>
    <s v="000252"/>
    <s v="000132"/>
    <n v="17183.53"/>
    <s v="0,00"/>
    <s v="0,00"/>
    <s v="0,00"/>
    <s v="0,00"/>
    <s v="ORC2022_2"/>
    <s v="0012"/>
    <m/>
    <m/>
    <m/>
    <m/>
    <m/>
  </r>
  <r>
    <s v="REMUNERACOES"/>
    <x v="45"/>
    <x v="10"/>
    <n v="5379.97"/>
    <s v="0000000127"/>
    <s v="1977"/>
    <d v="2022-03-01T00:00:00"/>
    <s v="330101"/>
    <s v="205"/>
    <s v="90"/>
    <s v="Credito"/>
    <x v="2"/>
    <x v="216"/>
    <m/>
    <s v="000252"/>
    <s v="000132"/>
    <n v="5379.97"/>
    <s v="0,00"/>
    <s v="0,00"/>
    <s v="0,00"/>
    <s v="0,00"/>
    <s v="ORC2022_2"/>
    <s v="0012"/>
    <m/>
    <m/>
    <m/>
    <m/>
    <m/>
  </r>
  <r>
    <s v="REMUNERACOES"/>
    <x v="45"/>
    <x v="10"/>
    <n v="26682.63"/>
    <s v="0000000127"/>
    <s v="1978"/>
    <d v="2022-03-01T00:00:00"/>
    <s v="330101"/>
    <s v="207"/>
    <s v="90"/>
    <s v="Credito"/>
    <x v="2"/>
    <x v="216"/>
    <m/>
    <s v="000252"/>
    <s v="000132"/>
    <n v="26682.63"/>
    <s v="0,00"/>
    <s v="0,00"/>
    <s v="0,00"/>
    <s v="0,00"/>
    <s v="ORC2022_2"/>
    <s v="0012"/>
    <m/>
    <m/>
    <m/>
    <m/>
    <m/>
  </r>
  <r>
    <s v="REMUNERACOES"/>
    <x v="45"/>
    <x v="10"/>
    <n v="27314.86"/>
    <s v="0000000127"/>
    <s v="1979"/>
    <d v="2022-03-01T00:00:00"/>
    <s v="330101"/>
    <s v="208"/>
    <s v="90"/>
    <s v="Credito"/>
    <x v="2"/>
    <x v="216"/>
    <m/>
    <s v="000252"/>
    <s v="000132"/>
    <n v="27314.86"/>
    <s v="0,00"/>
    <s v="0,00"/>
    <s v="0,00"/>
    <s v="0,00"/>
    <s v="ORC2022_2"/>
    <s v="0012"/>
    <m/>
    <m/>
    <m/>
    <m/>
    <m/>
  </r>
  <r>
    <s v="REMUNERACOES"/>
    <x v="45"/>
    <x v="10"/>
    <n v="11831.99"/>
    <s v="0000000127"/>
    <s v="1980"/>
    <d v="2022-03-01T00:00:00"/>
    <s v="330101"/>
    <s v="209"/>
    <s v="90"/>
    <s v="Credito"/>
    <x v="2"/>
    <x v="216"/>
    <m/>
    <s v="000252"/>
    <s v="000132"/>
    <n v="11831.99"/>
    <s v="0,00"/>
    <s v="0,00"/>
    <s v="0,00"/>
    <s v="0,00"/>
    <s v="ORC2022_2"/>
    <s v="0012"/>
    <m/>
    <m/>
    <m/>
    <m/>
    <m/>
  </r>
  <r>
    <s v="REMUNERACOES"/>
    <x v="45"/>
    <x v="10"/>
    <n v="7076.4"/>
    <s v="0000000127"/>
    <s v="1981"/>
    <d v="2022-03-01T00:00:00"/>
    <s v="330101"/>
    <s v="210"/>
    <s v="90"/>
    <s v="Credito"/>
    <x v="2"/>
    <x v="216"/>
    <m/>
    <s v="000252"/>
    <s v="000132"/>
    <n v="7076.4"/>
    <s v="0,00"/>
    <s v="0,00"/>
    <s v="0,00"/>
    <s v="0,00"/>
    <s v="ORC2022_2"/>
    <s v="0012"/>
    <m/>
    <m/>
    <m/>
    <m/>
    <m/>
  </r>
  <r>
    <s v="REMUNERACOES"/>
    <x v="45"/>
    <x v="10"/>
    <n v="225.24"/>
    <s v="0000000127"/>
    <s v="1982"/>
    <d v="2022-03-01T00:00:00"/>
    <s v="330101"/>
    <s v="301"/>
    <s v="90"/>
    <s v="Credito"/>
    <x v="2"/>
    <x v="216"/>
    <m/>
    <s v="000252"/>
    <s v="000132"/>
    <n v="225.24"/>
    <s v="0,00"/>
    <s v="0,00"/>
    <s v="0,00"/>
    <s v="0,00"/>
    <s v="ORC2022_2"/>
    <s v="0012"/>
    <m/>
    <m/>
    <m/>
    <m/>
    <m/>
  </r>
  <r>
    <s v="REMUNERACOES"/>
    <x v="45"/>
    <x v="11"/>
    <n v="14598.23"/>
    <s v="0000000127"/>
    <s v="1983"/>
    <d v="2022-04-01T00:00:00"/>
    <s v="330101"/>
    <s v="206"/>
    <s v="11"/>
    <s v="Credito"/>
    <x v="2"/>
    <x v="216"/>
    <m/>
    <s v="000252"/>
    <s v="000132"/>
    <n v="14598.23"/>
    <s v="0,00"/>
    <s v="0,00"/>
    <s v="0,00"/>
    <s v="0,00"/>
    <s v="ORC2022_2"/>
    <s v="0012"/>
    <m/>
    <m/>
    <m/>
    <m/>
    <m/>
  </r>
  <r>
    <s v="REMUNERACOES"/>
    <x v="45"/>
    <x v="11"/>
    <n v="20.23"/>
    <s v="0000000127"/>
    <s v="1984"/>
    <d v="2022-04-01T00:00:00"/>
    <s v="330101"/>
    <s v="302"/>
    <s v="11"/>
    <s v="Credito"/>
    <x v="2"/>
    <x v="216"/>
    <m/>
    <s v="000252"/>
    <s v="000132"/>
    <n v="20.23"/>
    <s v="0,00"/>
    <s v="0,00"/>
    <s v="0,00"/>
    <s v="0,00"/>
    <s v="ORC2022_2"/>
    <s v="0012"/>
    <m/>
    <m/>
    <m/>
    <m/>
    <m/>
  </r>
  <r>
    <s v="REMUNERACOES"/>
    <x v="45"/>
    <x v="11"/>
    <n v="10352.030000000001"/>
    <s v="0000000127"/>
    <s v="1985"/>
    <d v="2022-04-01T00:00:00"/>
    <s v="330101"/>
    <s v="209"/>
    <s v="21"/>
    <s v="Credito"/>
    <x v="2"/>
    <x v="216"/>
    <m/>
    <s v="000252"/>
    <s v="000132"/>
    <n v="10352.030000000001"/>
    <s v="0,00"/>
    <s v="0,00"/>
    <s v="0,00"/>
    <s v="0,00"/>
    <s v="ORC2022_2"/>
    <s v="0012"/>
    <m/>
    <m/>
    <m/>
    <m/>
    <m/>
  </r>
  <r>
    <s v="REMUNERACOES"/>
    <x v="45"/>
    <x v="11"/>
    <n v="0.03"/>
    <s v="0000000127"/>
    <s v="1986"/>
    <d v="2022-04-01T00:00:00"/>
    <s v="330101"/>
    <s v="303"/>
    <s v="21"/>
    <s v="Credito"/>
    <x v="2"/>
    <x v="216"/>
    <m/>
    <s v="000252"/>
    <s v="000132"/>
    <n v="0.03"/>
    <s v="0,00"/>
    <s v="0,00"/>
    <s v="0,00"/>
    <s v="0,00"/>
    <s v="ORC2022_2"/>
    <s v="0012"/>
    <m/>
    <m/>
    <m/>
    <m/>
    <m/>
  </r>
  <r>
    <s v="REMUNERACOES"/>
    <x v="45"/>
    <x v="11"/>
    <n v="42.37"/>
    <s v="0000000127"/>
    <s v="1987"/>
    <d v="2022-04-01T00:00:00"/>
    <s v="330101"/>
    <s v="305"/>
    <s v="21"/>
    <s v="Credito"/>
    <x v="2"/>
    <x v="216"/>
    <m/>
    <s v="000252"/>
    <s v="000132"/>
    <n v="42.37"/>
    <s v="0,00"/>
    <s v="0,00"/>
    <s v="0,00"/>
    <s v="0,00"/>
    <s v="ORC2022_2"/>
    <s v="0012"/>
    <m/>
    <m/>
    <m/>
    <m/>
    <m/>
  </r>
  <r>
    <s v="REMUNERACOES"/>
    <x v="45"/>
    <x v="11"/>
    <n v="81.39"/>
    <s v="0000000127"/>
    <s v="1988"/>
    <d v="2022-04-01T00:00:00"/>
    <s v="330101"/>
    <s v="305"/>
    <s v="32"/>
    <s v="Credito"/>
    <x v="2"/>
    <x v="216"/>
    <m/>
    <s v="000252"/>
    <s v="000132"/>
    <n v="81.39"/>
    <s v="0,00"/>
    <s v="0,00"/>
    <s v="0,00"/>
    <s v="0,00"/>
    <s v="ORC2022_2"/>
    <s v="0012"/>
    <m/>
    <m/>
    <m/>
    <m/>
    <m/>
  </r>
  <r>
    <s v="REMUNERACOES"/>
    <x v="45"/>
    <x v="11"/>
    <n v="105.27"/>
    <s v="0000000127"/>
    <s v="1989"/>
    <d v="2022-04-01T00:00:00"/>
    <s v="330101"/>
    <s v="306"/>
    <s v="33"/>
    <s v="Credito"/>
    <x v="2"/>
    <x v="216"/>
    <m/>
    <s v="000252"/>
    <s v="000132"/>
    <n v="105.27"/>
    <s v="0,00"/>
    <s v="0,00"/>
    <s v="0,00"/>
    <s v="0,00"/>
    <s v="ORC2022_2"/>
    <s v="0012"/>
    <m/>
    <m/>
    <m/>
    <m/>
    <m/>
  </r>
  <r>
    <s v="REMUNERACOES"/>
    <x v="45"/>
    <x v="11"/>
    <n v="15223.35"/>
    <s v="0000000127"/>
    <s v="1990"/>
    <d v="2022-04-01T00:00:00"/>
    <s v="330101"/>
    <s v="101"/>
    <s v="90"/>
    <s v="Credito"/>
    <x v="2"/>
    <x v="216"/>
    <m/>
    <s v="000252"/>
    <s v="000132"/>
    <n v="15223.35"/>
    <s v="0,00"/>
    <s v="0,00"/>
    <s v="0,00"/>
    <s v="0,00"/>
    <s v="ORC2022_2"/>
    <s v="0012"/>
    <m/>
    <m/>
    <m/>
    <m/>
    <m/>
  </r>
  <r>
    <s v="REMUNERACOES"/>
    <x v="45"/>
    <x v="11"/>
    <n v="38544.15"/>
    <s v="0000000127"/>
    <s v="1991"/>
    <d v="2022-04-01T00:00:00"/>
    <s v="330101"/>
    <s v="201"/>
    <s v="90"/>
    <s v="Credito"/>
    <x v="2"/>
    <x v="216"/>
    <m/>
    <s v="000252"/>
    <s v="000132"/>
    <n v="38544.15"/>
    <s v="0,00"/>
    <s v="0,00"/>
    <s v="0,00"/>
    <s v="0,00"/>
    <s v="ORC2022_2"/>
    <s v="0012"/>
    <m/>
    <m/>
    <m/>
    <m/>
    <m/>
  </r>
  <r>
    <s v="REMUNERACOES"/>
    <x v="45"/>
    <x v="11"/>
    <n v="6105.22"/>
    <s v="0000000127"/>
    <s v="1992"/>
    <d v="2022-04-01T00:00:00"/>
    <s v="330101"/>
    <s v="202"/>
    <s v="90"/>
    <s v="Credito"/>
    <x v="2"/>
    <x v="216"/>
    <m/>
    <s v="000252"/>
    <s v="000132"/>
    <n v="6105.22"/>
    <s v="0,00"/>
    <s v="0,00"/>
    <s v="0,00"/>
    <s v="0,00"/>
    <s v="ORC2022_2"/>
    <s v="0012"/>
    <m/>
    <m/>
    <m/>
    <m/>
    <m/>
  </r>
  <r>
    <s v="REMUNERACOES"/>
    <x v="45"/>
    <x v="11"/>
    <n v="3173.36"/>
    <s v="0000000127"/>
    <s v="1993"/>
    <d v="2022-04-01T00:00:00"/>
    <s v="330101"/>
    <s v="203"/>
    <s v="90"/>
    <s v="Credito"/>
    <x v="2"/>
    <x v="216"/>
    <m/>
    <s v="000252"/>
    <s v="000132"/>
    <n v="3173.36"/>
    <s v="0,00"/>
    <s v="0,00"/>
    <s v="0,00"/>
    <s v="0,00"/>
    <s v="ORC2022_2"/>
    <s v="0012"/>
    <m/>
    <m/>
    <m/>
    <m/>
    <m/>
  </r>
  <r>
    <s v="REMUNERACOES"/>
    <x v="45"/>
    <x v="11"/>
    <n v="16045.49"/>
    <s v="0000000127"/>
    <s v="1994"/>
    <d v="2022-04-01T00:00:00"/>
    <s v="330101"/>
    <s v="204"/>
    <s v="90"/>
    <s v="Credito"/>
    <x v="2"/>
    <x v="216"/>
    <m/>
    <s v="000252"/>
    <s v="000132"/>
    <n v="16045.49"/>
    <s v="0,00"/>
    <s v="0,00"/>
    <s v="0,00"/>
    <s v="0,00"/>
    <s v="ORC2022_2"/>
    <s v="0012"/>
    <m/>
    <m/>
    <m/>
    <m/>
    <m/>
  </r>
  <r>
    <s v="REMUNERACOES"/>
    <x v="45"/>
    <x v="11"/>
    <n v="5379.98"/>
    <s v="0000000127"/>
    <s v="1995"/>
    <d v="2022-04-01T00:00:00"/>
    <s v="330101"/>
    <s v="205"/>
    <s v="90"/>
    <s v="Credito"/>
    <x v="2"/>
    <x v="216"/>
    <m/>
    <s v="000252"/>
    <s v="000132"/>
    <n v="5379.98"/>
    <s v="0,00"/>
    <s v="0,00"/>
    <s v="0,00"/>
    <s v="0,00"/>
    <s v="ORC2022_2"/>
    <s v="0012"/>
    <m/>
    <m/>
    <m/>
    <m/>
    <m/>
  </r>
  <r>
    <s v="REMUNERACOES"/>
    <x v="45"/>
    <x v="11"/>
    <n v="25467.39"/>
    <s v="0000000127"/>
    <s v="1996"/>
    <d v="2022-04-01T00:00:00"/>
    <s v="330101"/>
    <s v="207"/>
    <s v="90"/>
    <s v="Credito"/>
    <x v="2"/>
    <x v="216"/>
    <m/>
    <s v="000252"/>
    <s v="000132"/>
    <n v="25467.39"/>
    <s v="0,00"/>
    <s v="0,00"/>
    <s v="0,00"/>
    <s v="0,00"/>
    <s v="ORC2022_2"/>
    <s v="0012"/>
    <m/>
    <m/>
    <m/>
    <m/>
    <m/>
  </r>
  <r>
    <s v="REMUNERACOES"/>
    <x v="45"/>
    <x v="11"/>
    <n v="21054.85"/>
    <s v="0000000127"/>
    <s v="1997"/>
    <d v="2022-04-01T00:00:00"/>
    <s v="330101"/>
    <s v="208"/>
    <s v="90"/>
    <s v="Credito"/>
    <x v="2"/>
    <x v="216"/>
    <m/>
    <s v="000252"/>
    <s v="000132"/>
    <n v="21054.85"/>
    <s v="0,00"/>
    <s v="0,00"/>
    <s v="0,00"/>
    <s v="0,00"/>
    <s v="ORC2022_2"/>
    <s v="0012"/>
    <m/>
    <m/>
    <m/>
    <m/>
    <m/>
  </r>
  <r>
    <s v="REMUNERACOES"/>
    <x v="45"/>
    <x v="11"/>
    <n v="13565.14"/>
    <s v="0000000127"/>
    <s v="1998"/>
    <d v="2022-04-01T00:00:00"/>
    <s v="330101"/>
    <s v="209"/>
    <s v="90"/>
    <s v="Credito"/>
    <x v="2"/>
    <x v="216"/>
    <m/>
    <s v="000252"/>
    <s v="000132"/>
    <n v="13565.14"/>
    <s v="0,00"/>
    <s v="0,00"/>
    <s v="0,00"/>
    <s v="0,00"/>
    <s v="ORC2022_2"/>
    <s v="0012"/>
    <m/>
    <m/>
    <m/>
    <m/>
    <m/>
  </r>
  <r>
    <s v="REMUNERACOES"/>
    <x v="45"/>
    <x v="11"/>
    <n v="6960.01"/>
    <s v="0000000127"/>
    <s v="1999"/>
    <d v="2022-04-01T00:00:00"/>
    <s v="330101"/>
    <s v="210"/>
    <s v="90"/>
    <s v="Credito"/>
    <x v="2"/>
    <x v="216"/>
    <m/>
    <s v="000252"/>
    <s v="000132"/>
    <n v="6960.01"/>
    <s v="0,00"/>
    <s v="0,00"/>
    <s v="0,00"/>
    <s v="0,00"/>
    <s v="ORC2022_2"/>
    <s v="0012"/>
    <m/>
    <m/>
    <m/>
    <m/>
    <m/>
  </r>
  <r>
    <s v="REMUNERACOES"/>
    <x v="45"/>
    <x v="11"/>
    <n v="11.69"/>
    <s v="0000000127"/>
    <s v="2000"/>
    <d v="2022-04-01T00:00:00"/>
    <s v="330101"/>
    <s v="301"/>
    <s v="90"/>
    <s v="Credito"/>
    <x v="2"/>
    <x v="216"/>
    <m/>
    <s v="000252"/>
    <s v="000132"/>
    <n v="11.69"/>
    <s v="0,00"/>
    <s v="0,00"/>
    <s v="0,00"/>
    <s v="0,00"/>
    <s v="ORC2022_2"/>
    <s v="0012"/>
    <m/>
    <m/>
    <m/>
    <m/>
    <m/>
  </r>
  <r>
    <s v="REMUNERACOES"/>
    <x v="45"/>
    <x v="12"/>
    <n v="17664.349999999999"/>
    <s v="0000000127"/>
    <s v="2001"/>
    <d v="2022-05-01T00:00:00"/>
    <s v="330101"/>
    <s v="206"/>
    <s v="11"/>
    <s v="Credito"/>
    <x v="2"/>
    <x v="216"/>
    <m/>
    <s v="000252"/>
    <s v="000132"/>
    <n v="17664.349999999999"/>
    <s v="0,00"/>
    <s v="0,00"/>
    <s v="0,00"/>
    <s v="0,00"/>
    <s v="ORC2022_2"/>
    <s v="0012"/>
    <m/>
    <m/>
    <m/>
    <m/>
    <m/>
  </r>
  <r>
    <s v="REMUNERACOES"/>
    <x v="45"/>
    <x v="12"/>
    <n v="8.67"/>
    <s v="0000000127"/>
    <s v="2002"/>
    <d v="2022-05-01T00:00:00"/>
    <s v="330101"/>
    <s v="302"/>
    <s v="11"/>
    <s v="Credito"/>
    <x v="2"/>
    <x v="216"/>
    <m/>
    <s v="000252"/>
    <s v="000132"/>
    <n v="8.67"/>
    <s v="0,00"/>
    <s v="0,00"/>
    <s v="0,00"/>
    <s v="0,00"/>
    <s v="ORC2022_2"/>
    <s v="0012"/>
    <m/>
    <m/>
    <m/>
    <m/>
    <m/>
  </r>
  <r>
    <s v="REMUNERACOES"/>
    <x v="45"/>
    <x v="12"/>
    <n v="11511.2"/>
    <s v="0000000127"/>
    <s v="2003"/>
    <d v="2022-05-01T00:00:00"/>
    <s v="330101"/>
    <s v="209"/>
    <s v="21"/>
    <s v="Credito"/>
    <x v="2"/>
    <x v="216"/>
    <m/>
    <s v="000252"/>
    <s v="000132"/>
    <n v="11511.2"/>
    <s v="0,00"/>
    <s v="0,00"/>
    <s v="0,00"/>
    <s v="0,00"/>
    <s v="ORC2022_2"/>
    <s v="0012"/>
    <m/>
    <m/>
    <m/>
    <m/>
    <m/>
  </r>
  <r>
    <s v="REMUNERACOES"/>
    <x v="45"/>
    <x v="12"/>
    <n v="135.62"/>
    <s v="0000000127"/>
    <s v="2004"/>
    <d v="2022-05-01T00:00:00"/>
    <s v="330101"/>
    <s v="301"/>
    <s v="21"/>
    <s v="Credito"/>
    <x v="2"/>
    <x v="216"/>
    <m/>
    <s v="000252"/>
    <s v="000132"/>
    <n v="135.62"/>
    <s v="0,00"/>
    <s v="0,00"/>
    <s v="0,00"/>
    <s v="0,00"/>
    <s v="ORC2022_2"/>
    <s v="0012"/>
    <m/>
    <m/>
    <m/>
    <m/>
    <m/>
  </r>
  <r>
    <s v="REMUNERACOES"/>
    <x v="45"/>
    <x v="12"/>
    <n v="0.01"/>
    <s v="0000000127"/>
    <s v="2005"/>
    <d v="2022-05-01T00:00:00"/>
    <s v="330101"/>
    <s v="303"/>
    <s v="21"/>
    <s v="Credito"/>
    <x v="2"/>
    <x v="216"/>
    <m/>
    <s v="000252"/>
    <s v="000132"/>
    <n v="0.01"/>
    <s v="0,00"/>
    <s v="0,00"/>
    <s v="0,00"/>
    <s v="0,00"/>
    <s v="ORC2022_2"/>
    <s v="0012"/>
    <m/>
    <m/>
    <m/>
    <m/>
    <m/>
  </r>
  <r>
    <s v="REMUNERACOES"/>
    <x v="45"/>
    <x v="12"/>
    <n v="9.1199999999999992"/>
    <s v="0000000127"/>
    <s v="2006"/>
    <d v="2022-05-01T00:00:00"/>
    <s v="330101"/>
    <s v="305"/>
    <s v="21"/>
    <s v="Credito"/>
    <x v="2"/>
    <x v="216"/>
    <m/>
    <s v="000252"/>
    <s v="000132"/>
    <n v="9.1199999999999992"/>
    <s v="0,00"/>
    <s v="0,00"/>
    <s v="0,00"/>
    <s v="0,00"/>
    <s v="ORC2022_2"/>
    <s v="0012"/>
    <m/>
    <m/>
    <m/>
    <m/>
    <m/>
  </r>
  <r>
    <s v="REMUNERACOES"/>
    <x v="45"/>
    <x v="12"/>
    <n v="143.44"/>
    <s v="0000000127"/>
    <s v="2007"/>
    <d v="2022-05-01T00:00:00"/>
    <s v="330101"/>
    <s v="305"/>
    <s v="32"/>
    <s v="Credito"/>
    <x v="2"/>
    <x v="216"/>
    <m/>
    <s v="000252"/>
    <s v="000132"/>
    <n v="143.44"/>
    <s v="0,00"/>
    <s v="0,00"/>
    <s v="0,00"/>
    <s v="0,00"/>
    <s v="ORC2022_2"/>
    <s v="0012"/>
    <m/>
    <m/>
    <m/>
    <m/>
    <m/>
  </r>
  <r>
    <s v="REMUNERACOES"/>
    <x v="45"/>
    <x v="12"/>
    <n v="56.93"/>
    <s v="0000000127"/>
    <s v="2008"/>
    <d v="2022-05-01T00:00:00"/>
    <s v="330101"/>
    <s v="306"/>
    <s v="33"/>
    <s v="Credito"/>
    <x v="2"/>
    <x v="216"/>
    <m/>
    <s v="000252"/>
    <s v="000132"/>
    <n v="56.93"/>
    <s v="0,00"/>
    <s v="0,00"/>
    <s v="0,00"/>
    <s v="0,00"/>
    <s v="ORC2022_2"/>
    <s v="0012"/>
    <m/>
    <m/>
    <m/>
    <m/>
    <m/>
  </r>
  <r>
    <s v="REMUNERACOES"/>
    <x v="45"/>
    <x v="12"/>
    <n v="15224.35"/>
    <s v="0000000127"/>
    <s v="2009"/>
    <d v="2022-05-01T00:00:00"/>
    <s v="330101"/>
    <s v="101"/>
    <s v="90"/>
    <s v="Credito"/>
    <x v="2"/>
    <x v="216"/>
    <m/>
    <s v="000252"/>
    <s v="000132"/>
    <n v="15224.35"/>
    <s v="0,00"/>
    <s v="0,00"/>
    <s v="0,00"/>
    <s v="0,00"/>
    <s v="ORC2022_2"/>
    <s v="0012"/>
    <m/>
    <m/>
    <m/>
    <m/>
    <m/>
  </r>
  <r>
    <s v="REMUNERACOES"/>
    <x v="45"/>
    <x v="12"/>
    <n v="39277.06"/>
    <s v="0000000127"/>
    <s v="2010"/>
    <d v="2022-05-01T00:00:00"/>
    <s v="330101"/>
    <s v="201"/>
    <s v="90"/>
    <s v="Credito"/>
    <x v="2"/>
    <x v="216"/>
    <m/>
    <s v="000252"/>
    <s v="000132"/>
    <n v="39277.06"/>
    <s v="0,00"/>
    <s v="0,00"/>
    <s v="0,00"/>
    <s v="0,00"/>
    <s v="ORC2022_2"/>
    <s v="0012"/>
    <m/>
    <m/>
    <m/>
    <m/>
    <m/>
  </r>
  <r>
    <s v="REMUNERACOES"/>
    <x v="45"/>
    <x v="12"/>
    <n v="6105.2"/>
    <s v="0000000127"/>
    <s v="2011"/>
    <d v="2022-05-01T00:00:00"/>
    <s v="330101"/>
    <s v="202"/>
    <s v="90"/>
    <s v="Credito"/>
    <x v="2"/>
    <x v="216"/>
    <m/>
    <s v="000252"/>
    <s v="000132"/>
    <n v="6105.2"/>
    <s v="0,00"/>
    <s v="0,00"/>
    <s v="0,00"/>
    <s v="0,00"/>
    <s v="ORC2022_2"/>
    <s v="0012"/>
    <m/>
    <m/>
    <m/>
    <m/>
    <m/>
  </r>
  <r>
    <s v="REMUNERACOES"/>
    <x v="45"/>
    <x v="12"/>
    <n v="3165.14"/>
    <s v="0000000127"/>
    <s v="2012"/>
    <d v="2022-05-01T00:00:00"/>
    <s v="330101"/>
    <s v="203"/>
    <s v="90"/>
    <s v="Credito"/>
    <x v="2"/>
    <x v="216"/>
    <m/>
    <s v="000252"/>
    <s v="000132"/>
    <n v="3165.14"/>
    <s v="0,00"/>
    <s v="0,00"/>
    <s v="0,00"/>
    <s v="0,00"/>
    <s v="ORC2022_2"/>
    <s v="0012"/>
    <m/>
    <m/>
    <m/>
    <m/>
    <m/>
  </r>
  <r>
    <s v="REMUNERACOES"/>
    <x v="45"/>
    <x v="12"/>
    <n v="16112"/>
    <s v="0000000127"/>
    <s v="2013"/>
    <d v="2022-05-01T00:00:00"/>
    <s v="330101"/>
    <s v="204"/>
    <s v="90"/>
    <s v="Credito"/>
    <x v="2"/>
    <x v="216"/>
    <m/>
    <s v="000252"/>
    <s v="000132"/>
    <n v="16112"/>
    <s v="0,00"/>
    <s v="0,00"/>
    <s v="0,00"/>
    <s v="0,00"/>
    <s v="ORC2022_2"/>
    <s v="0012"/>
    <m/>
    <m/>
    <m/>
    <m/>
    <m/>
  </r>
  <r>
    <s v="REMUNERACOES"/>
    <x v="45"/>
    <x v="12"/>
    <n v="5380.97"/>
    <s v="0000000127"/>
    <s v="2014"/>
    <d v="2022-05-01T00:00:00"/>
    <s v="330101"/>
    <s v="205"/>
    <s v="90"/>
    <s v="Credito"/>
    <x v="2"/>
    <x v="216"/>
    <m/>
    <s v="000252"/>
    <s v="000132"/>
    <n v="5380.97"/>
    <s v="0,00"/>
    <s v="0,00"/>
    <s v="0,00"/>
    <s v="0,00"/>
    <s v="ORC2022_2"/>
    <s v="0012"/>
    <m/>
    <m/>
    <m/>
    <m/>
    <m/>
  </r>
  <r>
    <s v="REMUNERACOES"/>
    <x v="45"/>
    <x v="12"/>
    <n v="28929.56"/>
    <s v="0000000127"/>
    <s v="2015"/>
    <d v="2022-05-01T00:00:00"/>
    <s v="330101"/>
    <s v="207"/>
    <s v="90"/>
    <s v="Credito"/>
    <x v="2"/>
    <x v="216"/>
    <m/>
    <s v="000252"/>
    <s v="000132"/>
    <n v="28929.56"/>
    <s v="0,00"/>
    <s v="0,00"/>
    <s v="0,00"/>
    <s v="0,00"/>
    <s v="ORC2022_2"/>
    <s v="0012"/>
    <m/>
    <m/>
    <m/>
    <m/>
    <m/>
  </r>
  <r>
    <s v="REMUNERACOES"/>
    <x v="45"/>
    <x v="12"/>
    <n v="21230.6"/>
    <s v="0000000127"/>
    <s v="2016"/>
    <d v="2022-05-01T00:00:00"/>
    <s v="330101"/>
    <s v="208"/>
    <s v="90"/>
    <s v="Credito"/>
    <x v="2"/>
    <x v="216"/>
    <m/>
    <s v="000252"/>
    <s v="000132"/>
    <n v="21230.6"/>
    <s v="0,00"/>
    <s v="0,00"/>
    <s v="0,00"/>
    <s v="0,00"/>
    <s v="ORC2022_2"/>
    <s v="0012"/>
    <m/>
    <m/>
    <m/>
    <m/>
    <m/>
  </r>
  <r>
    <s v="REMUNERACOES"/>
    <x v="45"/>
    <x v="12"/>
    <n v="10394.19"/>
    <s v="0000000127"/>
    <s v="2017"/>
    <d v="2022-05-01T00:00:00"/>
    <s v="330101"/>
    <s v="209"/>
    <s v="90"/>
    <s v="Credito"/>
    <x v="2"/>
    <x v="216"/>
    <m/>
    <s v="000252"/>
    <s v="000132"/>
    <n v="10394.19"/>
    <s v="0,00"/>
    <s v="0,00"/>
    <s v="0,00"/>
    <s v="0,00"/>
    <s v="ORC2022_2"/>
    <s v="0012"/>
    <m/>
    <m/>
    <m/>
    <m/>
    <m/>
  </r>
  <r>
    <s v="REMUNERACOES"/>
    <x v="45"/>
    <x v="12"/>
    <n v="6968.8"/>
    <s v="0000000127"/>
    <s v="2018"/>
    <d v="2022-05-01T00:00:00"/>
    <s v="330101"/>
    <s v="210"/>
    <s v="90"/>
    <s v="Credito"/>
    <x v="2"/>
    <x v="216"/>
    <m/>
    <s v="000252"/>
    <s v="000132"/>
    <n v="6968.8"/>
    <s v="0,00"/>
    <s v="0,00"/>
    <s v="0,00"/>
    <s v="0,00"/>
    <s v="ORC2022_2"/>
    <s v="0012"/>
    <m/>
    <m/>
    <m/>
    <m/>
    <m/>
  </r>
  <r>
    <s v="REMUNERACOES"/>
    <x v="45"/>
    <x v="12"/>
    <n v="125.86"/>
    <s v="0000000127"/>
    <s v="2019"/>
    <d v="2022-05-01T00:00:00"/>
    <s v="330101"/>
    <s v="301"/>
    <s v="90"/>
    <s v="Credito"/>
    <x v="2"/>
    <x v="216"/>
    <m/>
    <s v="000252"/>
    <s v="000132"/>
    <n v="125.86"/>
    <s v="0,00"/>
    <s v="0,00"/>
    <s v="0,00"/>
    <s v="0,00"/>
    <s v="ORC2022_2"/>
    <s v="0012"/>
    <m/>
    <m/>
    <m/>
    <m/>
    <m/>
  </r>
  <r>
    <s v="REMUNERACOES"/>
    <x v="45"/>
    <x v="13"/>
    <n v="16796.419999999998"/>
    <s v="0000000127"/>
    <s v="2020"/>
    <d v="2022-06-01T00:00:00"/>
    <s v="330101"/>
    <s v="206"/>
    <s v="11"/>
    <s v="Credito"/>
    <x v="2"/>
    <x v="216"/>
    <m/>
    <s v="000252"/>
    <s v="000132"/>
    <n v="16796.419999999998"/>
    <s v="0,00"/>
    <s v="0,00"/>
    <s v="0,00"/>
    <s v="0,00"/>
    <s v="ORC2022_2"/>
    <s v="0012"/>
    <m/>
    <m/>
    <m/>
    <m/>
    <m/>
  </r>
  <r>
    <s v="REMUNERACOES"/>
    <x v="45"/>
    <x v="13"/>
    <n v="323.69"/>
    <s v="0000000127"/>
    <s v="2021"/>
    <d v="2022-06-01T00:00:00"/>
    <s v="330101"/>
    <s v="304"/>
    <s v="11"/>
    <s v="Credito"/>
    <x v="2"/>
    <x v="216"/>
    <m/>
    <s v="000252"/>
    <s v="000132"/>
    <n v="323.69"/>
    <s v="0,00"/>
    <s v="0,00"/>
    <s v="0,00"/>
    <s v="0,00"/>
    <s v="ORC2022_2"/>
    <s v="0012"/>
    <m/>
    <m/>
    <m/>
    <m/>
    <m/>
  </r>
  <r>
    <s v="REMUNERACOES"/>
    <x v="45"/>
    <x v="13"/>
    <n v="14535.21"/>
    <s v="0000000127"/>
    <s v="2022"/>
    <d v="2022-06-01T00:00:00"/>
    <s v="330101"/>
    <s v="209"/>
    <s v="21"/>
    <s v="Credito"/>
    <x v="2"/>
    <x v="216"/>
    <m/>
    <s v="000252"/>
    <s v="000132"/>
    <n v="14535.21"/>
    <s v="0,00"/>
    <s v="0,00"/>
    <s v="0,00"/>
    <s v="0,00"/>
    <s v="ORC2022_2"/>
    <s v="0012"/>
    <m/>
    <m/>
    <m/>
    <m/>
    <m/>
  </r>
  <r>
    <s v="REMUNERACOES"/>
    <x v="45"/>
    <x v="13"/>
    <n v="260.33999999999997"/>
    <s v="0000000127"/>
    <s v="2023"/>
    <d v="2022-06-01T00:00:00"/>
    <s v="330101"/>
    <s v="305"/>
    <s v="21"/>
    <s v="Credito"/>
    <x v="2"/>
    <x v="216"/>
    <m/>
    <s v="000252"/>
    <s v="000132"/>
    <n v="260.33999999999997"/>
    <s v="0,00"/>
    <s v="0,00"/>
    <s v="0,00"/>
    <s v="0,00"/>
    <s v="ORC2022_2"/>
    <s v="0012"/>
    <m/>
    <m/>
    <m/>
    <m/>
    <m/>
  </r>
  <r>
    <s v="REMUNERACOES"/>
    <x v="45"/>
    <x v="13"/>
    <n v="15684.73"/>
    <s v="0000000127"/>
    <s v="2024"/>
    <d v="2022-06-01T00:00:00"/>
    <s v="330101"/>
    <s v="101"/>
    <s v="90"/>
    <s v="Credito"/>
    <x v="2"/>
    <x v="216"/>
    <m/>
    <s v="000252"/>
    <s v="000132"/>
    <n v="15684.73"/>
    <s v="0,00"/>
    <s v="0,00"/>
    <s v="0,00"/>
    <s v="0,00"/>
    <s v="ORC2022_2"/>
    <s v="0012"/>
    <m/>
    <m/>
    <m/>
    <m/>
    <m/>
  </r>
  <r>
    <s v="REMUNERACOES"/>
    <x v="45"/>
    <x v="13"/>
    <n v="44898.62"/>
    <s v="0000000127"/>
    <s v="2025"/>
    <d v="2022-06-01T00:00:00"/>
    <s v="330101"/>
    <s v="201"/>
    <s v="90"/>
    <s v="Credito"/>
    <x v="2"/>
    <x v="216"/>
    <m/>
    <s v="000252"/>
    <s v="000132"/>
    <n v="44898.62"/>
    <s v="0,00"/>
    <s v="0,00"/>
    <s v="0,00"/>
    <s v="0,00"/>
    <s v="ORC2022_2"/>
    <s v="0012"/>
    <m/>
    <m/>
    <m/>
    <m/>
    <m/>
  </r>
  <r>
    <s v="REMUNERACOES"/>
    <x v="45"/>
    <x v="13"/>
    <n v="6943.43"/>
    <s v="0000000127"/>
    <s v="2026"/>
    <d v="2022-06-01T00:00:00"/>
    <s v="330101"/>
    <s v="202"/>
    <s v="90"/>
    <s v="Credito"/>
    <x v="2"/>
    <x v="216"/>
    <m/>
    <s v="000252"/>
    <s v="000132"/>
    <n v="6943.43"/>
    <s v="0,00"/>
    <s v="0,00"/>
    <s v="0,00"/>
    <s v="0,00"/>
    <s v="ORC2022_2"/>
    <s v="0012"/>
    <m/>
    <m/>
    <m/>
    <m/>
    <m/>
  </r>
  <r>
    <s v="REMUNERACOES"/>
    <x v="45"/>
    <x v="13"/>
    <n v="4928.9399999999996"/>
    <s v="0000000127"/>
    <s v="2027"/>
    <d v="2022-06-01T00:00:00"/>
    <s v="330101"/>
    <s v="203"/>
    <s v="90"/>
    <s v="Credito"/>
    <x v="2"/>
    <x v="216"/>
    <m/>
    <s v="000252"/>
    <s v="000132"/>
    <n v="4928.9399999999996"/>
    <s v="0,00"/>
    <s v="0,00"/>
    <s v="0,00"/>
    <s v="0,00"/>
    <s v="ORC2022_2"/>
    <s v="0012"/>
    <m/>
    <m/>
    <m/>
    <m/>
    <m/>
  </r>
  <r>
    <s v="REMUNERACOES"/>
    <x v="45"/>
    <x v="13"/>
    <n v="26451.59"/>
    <s v="0000000127"/>
    <s v="2028"/>
    <d v="2022-06-01T00:00:00"/>
    <s v="330101"/>
    <s v="204"/>
    <s v="90"/>
    <s v="Credito"/>
    <x v="2"/>
    <x v="216"/>
    <m/>
    <s v="000252"/>
    <s v="000132"/>
    <n v="26451.59"/>
    <s v="0,00"/>
    <s v="0,00"/>
    <s v="0,00"/>
    <s v="0,00"/>
    <s v="ORC2022_2"/>
    <s v="0012"/>
    <m/>
    <m/>
    <m/>
    <m/>
    <m/>
  </r>
  <r>
    <s v="REMUNERACOES"/>
    <x v="45"/>
    <x v="13"/>
    <n v="6080.25"/>
    <s v="0000000127"/>
    <s v="2029"/>
    <d v="2022-06-01T00:00:00"/>
    <s v="330101"/>
    <s v="205"/>
    <s v="90"/>
    <s v="Credito"/>
    <x v="2"/>
    <x v="216"/>
    <m/>
    <s v="000252"/>
    <s v="000132"/>
    <n v="6080.25"/>
    <s v="0,00"/>
    <s v="0,00"/>
    <s v="0,00"/>
    <s v="0,00"/>
    <s v="ORC2022_2"/>
    <s v="0012"/>
    <m/>
    <m/>
    <m/>
    <m/>
    <m/>
  </r>
  <r>
    <s v="REMUNERACOES"/>
    <x v="45"/>
    <x v="13"/>
    <n v="34545.83"/>
    <s v="0000000127"/>
    <s v="2030"/>
    <d v="2022-06-01T00:00:00"/>
    <s v="330101"/>
    <s v="207"/>
    <s v="90"/>
    <s v="Credito"/>
    <x v="2"/>
    <x v="216"/>
    <m/>
    <s v="000252"/>
    <s v="000132"/>
    <n v="34545.83"/>
    <s v="0,00"/>
    <s v="0,00"/>
    <s v="0,00"/>
    <s v="0,00"/>
    <s v="ORC2022_2"/>
    <s v="0012"/>
    <m/>
    <m/>
    <m/>
    <m/>
    <m/>
  </r>
  <r>
    <s v="REMUNERACOES"/>
    <x v="45"/>
    <x v="13"/>
    <n v="24780.76"/>
    <s v="0000000127"/>
    <s v="2031"/>
    <d v="2022-06-01T00:00:00"/>
    <s v="330101"/>
    <s v="208"/>
    <s v="90"/>
    <s v="Credito"/>
    <x v="2"/>
    <x v="216"/>
    <m/>
    <s v="000252"/>
    <s v="000132"/>
    <n v="24780.76"/>
    <s v="0,00"/>
    <s v="0,00"/>
    <s v="0,00"/>
    <s v="0,00"/>
    <s v="ORC2022_2"/>
    <s v="0012"/>
    <m/>
    <m/>
    <m/>
    <m/>
    <m/>
  </r>
  <r>
    <s v="REMUNERACOES"/>
    <x v="45"/>
    <x v="13"/>
    <n v="9940.23"/>
    <s v="0000000127"/>
    <s v="2032"/>
    <d v="2022-06-01T00:00:00"/>
    <s v="330101"/>
    <s v="209"/>
    <s v="90"/>
    <s v="Credito"/>
    <x v="2"/>
    <x v="216"/>
    <m/>
    <s v="000252"/>
    <s v="000132"/>
    <n v="9940.23"/>
    <s v="0,00"/>
    <s v="0,00"/>
    <s v="0,00"/>
    <s v="0,00"/>
    <s v="ORC2022_2"/>
    <s v="0012"/>
    <m/>
    <m/>
    <m/>
    <m/>
    <m/>
  </r>
  <r>
    <s v="REMUNERACOES"/>
    <x v="45"/>
    <x v="13"/>
    <n v="7942.47"/>
    <s v="0000000127"/>
    <s v="2033"/>
    <d v="2022-06-01T00:00:00"/>
    <s v="330101"/>
    <s v="210"/>
    <s v="90"/>
    <s v="Credito"/>
    <x v="2"/>
    <x v="216"/>
    <m/>
    <s v="000252"/>
    <s v="000132"/>
    <n v="7942.47"/>
    <s v="0,00"/>
    <s v="0,00"/>
    <s v="0,00"/>
    <s v="0,00"/>
    <s v="ORC2022_2"/>
    <s v="0012"/>
    <m/>
    <m/>
    <m/>
    <m/>
    <m/>
  </r>
  <r>
    <s v="REMUNERACOES"/>
    <x v="45"/>
    <x v="13"/>
    <n v="10.029999999999999"/>
    <s v="0000000127"/>
    <s v="2034"/>
    <d v="2022-06-01T00:00:00"/>
    <s v="330101"/>
    <s v="301"/>
    <s v="90"/>
    <s v="Credito"/>
    <x v="2"/>
    <x v="216"/>
    <m/>
    <s v="000252"/>
    <s v="000132"/>
    <n v="10.029999999999999"/>
    <s v="0,00"/>
    <s v="0,00"/>
    <s v="0,00"/>
    <s v="0,00"/>
    <s v="ORC2022_2"/>
    <s v="0012"/>
    <m/>
    <m/>
    <m/>
    <m/>
    <m/>
  </r>
  <r>
    <s v="REMUNERACOES"/>
    <x v="45"/>
    <x v="14"/>
    <n v="16813.939999999999"/>
    <s v="0000000127"/>
    <s v="2035"/>
    <d v="2022-07-01T00:00:00"/>
    <s v="330101"/>
    <s v="206"/>
    <s v="11"/>
    <s v="Credito"/>
    <x v="2"/>
    <x v="216"/>
    <m/>
    <s v="000252"/>
    <s v="000132"/>
    <n v="16813.939999999999"/>
    <s v="0,00"/>
    <s v="0,00"/>
    <s v="0,00"/>
    <s v="0,00"/>
    <s v="ORC2022_2"/>
    <s v="0012"/>
    <m/>
    <m/>
    <m/>
    <m/>
    <m/>
  </r>
  <r>
    <s v="REMUNERACOES"/>
    <x v="45"/>
    <x v="14"/>
    <n v="42.33"/>
    <s v="0000000127"/>
    <s v="2036"/>
    <d v="2022-07-01T00:00:00"/>
    <s v="330101"/>
    <s v="302"/>
    <s v="11"/>
    <s v="Credito"/>
    <x v="2"/>
    <x v="216"/>
    <m/>
    <s v="000252"/>
    <s v="000132"/>
    <n v="42.33"/>
    <s v="0,00"/>
    <s v="0,00"/>
    <s v="0,00"/>
    <s v="0,00"/>
    <s v="ORC2022_2"/>
    <s v="0012"/>
    <m/>
    <m/>
    <m/>
    <m/>
    <m/>
  </r>
  <r>
    <s v="REMUNERACOES"/>
    <x v="45"/>
    <x v="14"/>
    <n v="82.97"/>
    <s v="0000000127"/>
    <s v="2037"/>
    <d v="2022-07-01T00:00:00"/>
    <s v="330101"/>
    <s v="304"/>
    <s v="11"/>
    <s v="Credito"/>
    <x v="2"/>
    <x v="216"/>
    <m/>
    <s v="000252"/>
    <s v="000132"/>
    <n v="82.97"/>
    <s v="0,00"/>
    <s v="0,00"/>
    <s v="0,00"/>
    <s v="0,00"/>
    <s v="ORC2022_2"/>
    <s v="0012"/>
    <m/>
    <m/>
    <m/>
    <m/>
    <m/>
  </r>
  <r>
    <s v="REMUNERACOES"/>
    <x v="45"/>
    <x v="14"/>
    <n v="11677.43"/>
    <s v="0000000127"/>
    <s v="2038"/>
    <d v="2022-07-01T00:00:00"/>
    <s v="330101"/>
    <s v="209"/>
    <s v="21"/>
    <s v="Credito"/>
    <x v="2"/>
    <x v="216"/>
    <m/>
    <s v="000252"/>
    <s v="000132"/>
    <n v="11677.43"/>
    <s v="0,00"/>
    <s v="0,00"/>
    <s v="0,00"/>
    <s v="0,00"/>
    <s v="ORC2022_2"/>
    <s v="0012"/>
    <m/>
    <m/>
    <m/>
    <m/>
    <m/>
  </r>
  <r>
    <s v="REMUNERACOES"/>
    <x v="45"/>
    <x v="14"/>
    <n v="193.63"/>
    <s v="0000000127"/>
    <s v="2039"/>
    <d v="2022-07-01T00:00:00"/>
    <s v="330101"/>
    <s v="303"/>
    <s v="21"/>
    <s v="Credito"/>
    <x v="2"/>
    <x v="216"/>
    <m/>
    <s v="000252"/>
    <s v="000132"/>
    <n v="193.63"/>
    <s v="0,00"/>
    <s v="0,00"/>
    <s v="0,00"/>
    <s v="0,00"/>
    <s v="ORC2022_2"/>
    <s v="0012"/>
    <m/>
    <m/>
    <m/>
    <m/>
    <m/>
  </r>
  <r>
    <s v="REMUNERACOES"/>
    <x v="45"/>
    <x v="14"/>
    <n v="39.1"/>
    <s v="0000000127"/>
    <s v="2040"/>
    <d v="2022-07-01T00:00:00"/>
    <s v="330101"/>
    <s v="305"/>
    <s v="21"/>
    <s v="Credito"/>
    <x v="2"/>
    <x v="216"/>
    <m/>
    <s v="000252"/>
    <s v="000132"/>
    <n v="39.1"/>
    <s v="0,00"/>
    <s v="0,00"/>
    <s v="0,00"/>
    <s v="0,00"/>
    <s v="ORC2022_2"/>
    <s v="0012"/>
    <m/>
    <m/>
    <m/>
    <m/>
    <m/>
  </r>
  <r>
    <s v="REMUNERACOES"/>
    <x v="45"/>
    <x v="14"/>
    <n v="11895.61"/>
    <s v="0000000127"/>
    <s v="2041"/>
    <d v="2022-07-01T00:00:00"/>
    <s v="330101"/>
    <s v="101"/>
    <s v="90"/>
    <s v="Credito"/>
    <x v="2"/>
    <x v="216"/>
    <m/>
    <s v="000252"/>
    <s v="000132"/>
    <n v="11895.61"/>
    <s v="0,00"/>
    <s v="0,00"/>
    <s v="0,00"/>
    <s v="0,00"/>
    <s v="ORC2022_2"/>
    <s v="0012"/>
    <m/>
    <m/>
    <m/>
    <m/>
    <m/>
  </r>
  <r>
    <s v="REMUNERACOES"/>
    <x v="45"/>
    <x v="14"/>
    <n v="41697.01"/>
    <s v="0000000127"/>
    <s v="2042"/>
    <d v="2022-07-01T00:00:00"/>
    <s v="330101"/>
    <s v="201"/>
    <s v="90"/>
    <s v="Credito"/>
    <x v="2"/>
    <x v="216"/>
    <m/>
    <s v="000252"/>
    <s v="000132"/>
    <n v="41697.01"/>
    <s v="0,00"/>
    <s v="0,00"/>
    <s v="0,00"/>
    <s v="0,00"/>
    <s v="ORC2022_2"/>
    <s v="0012"/>
    <m/>
    <m/>
    <m/>
    <m/>
    <m/>
  </r>
  <r>
    <s v="REMUNERACOES"/>
    <x v="45"/>
    <x v="14"/>
    <n v="6547.39"/>
    <s v="0000000127"/>
    <s v="2043"/>
    <d v="2022-07-01T00:00:00"/>
    <s v="330101"/>
    <s v="202"/>
    <s v="90"/>
    <s v="Credito"/>
    <x v="2"/>
    <x v="216"/>
    <m/>
    <s v="000252"/>
    <s v="000132"/>
    <n v="6547.39"/>
    <s v="0,00"/>
    <s v="0,00"/>
    <s v="0,00"/>
    <s v="0,00"/>
    <s v="ORC2022_2"/>
    <s v="0012"/>
    <m/>
    <m/>
    <m/>
    <m/>
    <m/>
  </r>
  <r>
    <s v="REMUNERACOES"/>
    <x v="45"/>
    <x v="14"/>
    <n v="3885.11"/>
    <s v="0000000127"/>
    <s v="2044"/>
    <d v="2022-07-01T00:00:00"/>
    <s v="330101"/>
    <s v="203"/>
    <s v="90"/>
    <s v="Credito"/>
    <x v="2"/>
    <x v="216"/>
    <m/>
    <s v="000252"/>
    <s v="000132"/>
    <n v="3885.11"/>
    <s v="0,00"/>
    <s v="0,00"/>
    <s v="0,00"/>
    <s v="0,00"/>
    <s v="ORC2022_2"/>
    <s v="0012"/>
    <m/>
    <m/>
    <m/>
    <m/>
    <m/>
  </r>
  <r>
    <s v="REMUNERACOES"/>
    <x v="45"/>
    <x v="14"/>
    <n v="18441.77"/>
    <s v="0000000127"/>
    <s v="2045"/>
    <d v="2022-07-01T00:00:00"/>
    <s v="330101"/>
    <s v="204"/>
    <s v="90"/>
    <s v="Credito"/>
    <x v="2"/>
    <x v="216"/>
    <m/>
    <s v="000252"/>
    <s v="000132"/>
    <n v="18441.77"/>
    <s v="0,00"/>
    <s v="0,00"/>
    <s v="0,00"/>
    <s v="0,00"/>
    <s v="ORC2022_2"/>
    <s v="0012"/>
    <m/>
    <m/>
    <m/>
    <m/>
    <m/>
  </r>
  <r>
    <s v="REMUNERACOES"/>
    <x v="45"/>
    <x v="14"/>
    <n v="5759.54"/>
    <s v="0000000127"/>
    <s v="2046"/>
    <d v="2022-07-01T00:00:00"/>
    <s v="330101"/>
    <s v="205"/>
    <s v="90"/>
    <s v="Credito"/>
    <x v="2"/>
    <x v="216"/>
    <m/>
    <s v="000252"/>
    <s v="000132"/>
    <n v="5759.54"/>
    <s v="0,00"/>
    <s v="0,00"/>
    <s v="0,00"/>
    <s v="0,00"/>
    <s v="ORC2022_2"/>
    <s v="0012"/>
    <m/>
    <m/>
    <m/>
    <m/>
    <m/>
  </r>
  <r>
    <s v="REMUNERACOES"/>
    <x v="45"/>
    <x v="14"/>
    <n v="32573.58"/>
    <s v="0000000127"/>
    <s v="2047"/>
    <d v="2022-07-01T00:00:00"/>
    <s v="330101"/>
    <s v="207"/>
    <s v="90"/>
    <s v="Credito"/>
    <x v="2"/>
    <x v="216"/>
    <m/>
    <s v="000252"/>
    <s v="000132"/>
    <n v="32573.58"/>
    <s v="0,00"/>
    <s v="0,00"/>
    <s v="0,00"/>
    <s v="0,00"/>
    <s v="ORC2022_2"/>
    <s v="0012"/>
    <m/>
    <m/>
    <m/>
    <m/>
    <m/>
  </r>
  <r>
    <s v="REMUNERACOES"/>
    <x v="45"/>
    <x v="14"/>
    <n v="22888.01"/>
    <s v="0000000127"/>
    <s v="2048"/>
    <d v="2022-07-01T00:00:00"/>
    <s v="330101"/>
    <s v="208"/>
    <s v="90"/>
    <s v="Credito"/>
    <x v="2"/>
    <x v="216"/>
    <m/>
    <s v="000252"/>
    <s v="000132"/>
    <n v="22888.01"/>
    <s v="0,00"/>
    <s v="0,00"/>
    <s v="0,00"/>
    <s v="0,00"/>
    <s v="ORC2022_2"/>
    <s v="0012"/>
    <m/>
    <m/>
    <m/>
    <m/>
    <m/>
  </r>
  <r>
    <s v="REMUNERACOES"/>
    <x v="45"/>
    <x v="14"/>
    <n v="10240.799999999999"/>
    <s v="0000000127"/>
    <s v="2049"/>
    <d v="2022-07-01T00:00:00"/>
    <s v="330101"/>
    <s v="209"/>
    <s v="90"/>
    <s v="Credito"/>
    <x v="2"/>
    <x v="216"/>
    <m/>
    <s v="000252"/>
    <s v="000132"/>
    <n v="10240.799999999999"/>
    <s v="0,00"/>
    <s v="0,00"/>
    <s v="0,00"/>
    <s v="0,00"/>
    <s v="ORC2022_2"/>
    <s v="0012"/>
    <m/>
    <m/>
    <m/>
    <m/>
    <m/>
  </r>
  <r>
    <s v="REMUNERACOES"/>
    <x v="45"/>
    <x v="14"/>
    <n v="7493.3"/>
    <s v="0000000127"/>
    <s v="2050"/>
    <d v="2022-07-01T00:00:00"/>
    <s v="330101"/>
    <s v="210"/>
    <s v="90"/>
    <s v="Credito"/>
    <x v="2"/>
    <x v="216"/>
    <m/>
    <s v="000252"/>
    <s v="000132"/>
    <n v="7493.3"/>
    <s v="0,00"/>
    <s v="0,00"/>
    <s v="0,00"/>
    <s v="0,00"/>
    <s v="ORC2022_2"/>
    <s v="0012"/>
    <m/>
    <m/>
    <m/>
    <m/>
    <m/>
  </r>
  <r>
    <s v="REMUNERACOES"/>
    <x v="45"/>
    <x v="14"/>
    <n v="87.73"/>
    <s v="0000000127"/>
    <s v="2051"/>
    <d v="2022-07-01T00:00:00"/>
    <s v="330101"/>
    <s v="301"/>
    <s v="90"/>
    <s v="Credito"/>
    <x v="2"/>
    <x v="216"/>
    <m/>
    <s v="000252"/>
    <s v="000132"/>
    <n v="87.73"/>
    <s v="0,00"/>
    <s v="0,00"/>
    <s v="0,00"/>
    <s v="0,00"/>
    <s v="ORC2022_2"/>
    <s v="0012"/>
    <m/>
    <m/>
    <m/>
    <m/>
    <m/>
  </r>
  <r>
    <s v="REMUNERACOES"/>
    <x v="45"/>
    <x v="15"/>
    <n v="16464.34"/>
    <s v="0000000127"/>
    <s v="2052"/>
    <d v="2022-08-01T00:00:00"/>
    <s v="330101"/>
    <s v="206"/>
    <s v="11"/>
    <s v="Credito"/>
    <x v="2"/>
    <x v="216"/>
    <m/>
    <s v="000252"/>
    <s v="000132"/>
    <n v="16464.34"/>
    <s v="0,00"/>
    <s v="0,00"/>
    <s v="0,00"/>
    <s v="0,00"/>
    <s v="ORC2022_2"/>
    <s v="0012"/>
    <m/>
    <m/>
    <m/>
    <m/>
    <m/>
  </r>
  <r>
    <s v="REMUNERACOES"/>
    <x v="45"/>
    <x v="15"/>
    <n v="87.11"/>
    <s v="0000000127"/>
    <s v="2053"/>
    <d v="2022-08-01T00:00:00"/>
    <s v="330101"/>
    <s v="302"/>
    <s v="11"/>
    <s v="Credito"/>
    <x v="2"/>
    <x v="216"/>
    <m/>
    <s v="000252"/>
    <s v="000132"/>
    <n v="87.11"/>
    <s v="0,00"/>
    <s v="0,00"/>
    <s v="0,00"/>
    <s v="0,00"/>
    <s v="ORC2022_2"/>
    <s v="0012"/>
    <m/>
    <m/>
    <m/>
    <m/>
    <m/>
  </r>
  <r>
    <s v="REMUNERACOES"/>
    <x v="45"/>
    <x v="15"/>
    <n v="610.47"/>
    <s v="0000000127"/>
    <s v="2054"/>
    <d v="2022-08-01T00:00:00"/>
    <s v="330101"/>
    <s v="304"/>
    <s v="11"/>
    <s v="Credito"/>
    <x v="2"/>
    <x v="216"/>
    <m/>
    <s v="000252"/>
    <s v="000132"/>
    <n v="610.47"/>
    <s v="0,00"/>
    <s v="0,00"/>
    <s v="0,00"/>
    <s v="0,00"/>
    <s v="ORC2022_2"/>
    <s v="0012"/>
    <m/>
    <m/>
    <m/>
    <m/>
    <m/>
  </r>
  <r>
    <s v="REMUNERACOES"/>
    <x v="45"/>
    <x v="15"/>
    <n v="11631.5"/>
    <s v="0000000127"/>
    <s v="2055"/>
    <d v="2022-08-01T00:00:00"/>
    <s v="330101"/>
    <s v="209"/>
    <s v="21"/>
    <s v="Credito"/>
    <x v="2"/>
    <x v="216"/>
    <m/>
    <s v="000252"/>
    <s v="000132"/>
    <n v="11631.5"/>
    <s v="0,00"/>
    <s v="0,00"/>
    <s v="0,00"/>
    <s v="0,00"/>
    <s v="ORC2022_2"/>
    <s v="0012"/>
    <m/>
    <m/>
    <m/>
    <m/>
    <m/>
  </r>
  <r>
    <s v="REMUNERACOES"/>
    <x v="45"/>
    <x v="15"/>
    <n v="33.94"/>
    <s v="0000000127"/>
    <s v="2056"/>
    <d v="2022-08-01T00:00:00"/>
    <s v="330101"/>
    <s v="303"/>
    <s v="21"/>
    <s v="Credito"/>
    <x v="2"/>
    <x v="216"/>
    <m/>
    <s v="000252"/>
    <s v="000132"/>
    <n v="33.94"/>
    <s v="0,00"/>
    <s v="0,00"/>
    <s v="0,00"/>
    <s v="0,00"/>
    <s v="ORC2022_2"/>
    <s v="0012"/>
    <m/>
    <m/>
    <m/>
    <m/>
    <m/>
  </r>
  <r>
    <s v="REMUNERACOES"/>
    <x v="45"/>
    <x v="15"/>
    <n v="60.03"/>
    <s v="0000000127"/>
    <s v="2057"/>
    <d v="2022-08-01T00:00:00"/>
    <s v="330101"/>
    <s v="305"/>
    <s v="21"/>
    <s v="Credito"/>
    <x v="2"/>
    <x v="216"/>
    <m/>
    <s v="000252"/>
    <s v="000132"/>
    <n v="60.03"/>
    <s v="0,00"/>
    <s v="0,00"/>
    <s v="0,00"/>
    <s v="0,00"/>
    <s v="ORC2022_2"/>
    <s v="0012"/>
    <m/>
    <m/>
    <m/>
    <m/>
    <m/>
  </r>
  <r>
    <s v="REMUNERACOES"/>
    <x v="45"/>
    <x v="15"/>
    <n v="29493.19"/>
    <s v="0000000127"/>
    <s v="2058"/>
    <d v="2022-08-01T00:00:00"/>
    <s v="330101"/>
    <s v="101"/>
    <s v="90"/>
    <s v="Credito"/>
    <x v="2"/>
    <x v="216"/>
    <m/>
    <s v="000252"/>
    <s v="000132"/>
    <n v="29493.19"/>
    <s v="0,00"/>
    <s v="0,00"/>
    <s v="0,00"/>
    <s v="0,00"/>
    <s v="ORC2022_2"/>
    <s v="0012"/>
    <m/>
    <m/>
    <m/>
    <m/>
    <m/>
  </r>
  <r>
    <s v="REMUNERACOES"/>
    <x v="45"/>
    <x v="15"/>
    <n v="41822.129999999997"/>
    <s v="0000000127"/>
    <s v="2059"/>
    <d v="2022-08-01T00:00:00"/>
    <s v="330101"/>
    <s v="201"/>
    <s v="90"/>
    <s v="Credito"/>
    <x v="2"/>
    <x v="216"/>
    <m/>
    <s v="000252"/>
    <s v="000132"/>
    <n v="41822.129999999997"/>
    <s v="0,00"/>
    <s v="0,00"/>
    <s v="0,00"/>
    <s v="0,00"/>
    <s v="ORC2022_2"/>
    <s v="0012"/>
    <m/>
    <m/>
    <m/>
    <m/>
    <m/>
  </r>
  <r>
    <s v="REMUNERACOES"/>
    <x v="45"/>
    <x v="15"/>
    <n v="6547.57"/>
    <s v="0000000127"/>
    <s v="2060"/>
    <d v="2022-08-01T00:00:00"/>
    <s v="330101"/>
    <s v="202"/>
    <s v="90"/>
    <s v="Credito"/>
    <x v="2"/>
    <x v="216"/>
    <m/>
    <s v="000252"/>
    <s v="000132"/>
    <n v="6547.57"/>
    <s v="0,00"/>
    <s v="0,00"/>
    <s v="0,00"/>
    <s v="0,00"/>
    <s v="ORC2022_2"/>
    <s v="0012"/>
    <m/>
    <m/>
    <m/>
    <m/>
    <m/>
  </r>
  <r>
    <s v="REMUNERACOES"/>
    <x v="45"/>
    <x v="15"/>
    <n v="3887.33"/>
    <s v="0000000127"/>
    <s v="2061"/>
    <d v="2022-08-01T00:00:00"/>
    <s v="330101"/>
    <s v="203"/>
    <s v="90"/>
    <s v="Credito"/>
    <x v="2"/>
    <x v="216"/>
    <m/>
    <s v="000252"/>
    <s v="000132"/>
    <n v="3887.33"/>
    <s v="0,00"/>
    <s v="0,00"/>
    <s v="0,00"/>
    <s v="0,00"/>
    <s v="ORC2022_2"/>
    <s v="0012"/>
    <m/>
    <m/>
    <m/>
    <m/>
    <m/>
  </r>
  <r>
    <s v="REMUNERACOES"/>
    <x v="45"/>
    <x v="15"/>
    <n v="17054.12"/>
    <s v="0000000127"/>
    <s v="2062"/>
    <d v="2022-08-01T00:00:00"/>
    <s v="330101"/>
    <s v="204"/>
    <s v="90"/>
    <s v="Credito"/>
    <x v="2"/>
    <x v="216"/>
    <m/>
    <s v="000252"/>
    <s v="000132"/>
    <n v="17054.12"/>
    <s v="0,00"/>
    <s v="0,00"/>
    <s v="0,00"/>
    <s v="0,00"/>
    <s v="ORC2022_2"/>
    <s v="0012"/>
    <m/>
    <m/>
    <m/>
    <m/>
    <m/>
  </r>
  <r>
    <s v="REMUNERACOES"/>
    <x v="45"/>
    <x v="15"/>
    <n v="2074.92"/>
    <s v="0000000127"/>
    <s v="2063"/>
    <d v="2022-08-01T00:00:00"/>
    <s v="330101"/>
    <s v="205"/>
    <s v="90"/>
    <s v="Credito"/>
    <x v="2"/>
    <x v="216"/>
    <m/>
    <s v="000252"/>
    <s v="000132"/>
    <n v="2074.92"/>
    <s v="0,00"/>
    <s v="0,00"/>
    <s v="0,00"/>
    <s v="0,00"/>
    <s v="ORC2022_2"/>
    <s v="0012"/>
    <m/>
    <m/>
    <m/>
    <m/>
    <m/>
  </r>
  <r>
    <s v="REMUNERACOES"/>
    <x v="45"/>
    <x v="15"/>
    <n v="31778.85"/>
    <s v="0000000127"/>
    <s v="2064"/>
    <d v="2022-08-01T00:00:00"/>
    <s v="330101"/>
    <s v="207"/>
    <s v="90"/>
    <s v="Credito"/>
    <x v="2"/>
    <x v="216"/>
    <m/>
    <s v="000252"/>
    <s v="000132"/>
    <n v="31778.85"/>
    <s v="0,00"/>
    <s v="0,00"/>
    <s v="0,00"/>
    <s v="0,00"/>
    <s v="ORC2022_2"/>
    <s v="0012"/>
    <m/>
    <m/>
    <m/>
    <m/>
    <m/>
  </r>
  <r>
    <s v="REMUNERACOES"/>
    <x v="45"/>
    <x v="15"/>
    <n v="20403.560000000001"/>
    <s v="0000000127"/>
    <s v="2065"/>
    <d v="2022-08-01T00:00:00"/>
    <s v="330101"/>
    <s v="208"/>
    <s v="90"/>
    <s v="Credito"/>
    <x v="2"/>
    <x v="216"/>
    <m/>
    <s v="000252"/>
    <s v="000132"/>
    <n v="20403.560000000001"/>
    <s v="0,00"/>
    <s v="0,00"/>
    <s v="0,00"/>
    <s v="0,00"/>
    <s v="ORC2022_2"/>
    <s v="0012"/>
    <m/>
    <m/>
    <m/>
    <m/>
    <m/>
  </r>
  <r>
    <s v="REMUNERACOES"/>
    <x v="45"/>
    <x v="15"/>
    <n v="10575.35"/>
    <s v="0000000127"/>
    <s v="2066"/>
    <d v="2022-08-01T00:00:00"/>
    <s v="330101"/>
    <s v="209"/>
    <s v="90"/>
    <s v="Credito"/>
    <x v="2"/>
    <x v="216"/>
    <m/>
    <s v="000252"/>
    <s v="000132"/>
    <n v="10575.35"/>
    <s v="0,00"/>
    <s v="0,00"/>
    <s v="0,00"/>
    <s v="0,00"/>
    <s v="ORC2022_2"/>
    <s v="0012"/>
    <m/>
    <m/>
    <m/>
    <m/>
    <m/>
  </r>
  <r>
    <s v="REMUNERACOES"/>
    <x v="45"/>
    <x v="15"/>
    <n v="8404.23"/>
    <s v="0000000127"/>
    <s v="2067"/>
    <d v="2022-08-01T00:00:00"/>
    <s v="330101"/>
    <s v="210"/>
    <s v="90"/>
    <s v="Credito"/>
    <x v="2"/>
    <x v="216"/>
    <m/>
    <s v="000252"/>
    <s v="000132"/>
    <n v="8404.23"/>
    <s v="0,00"/>
    <s v="0,00"/>
    <s v="0,00"/>
    <s v="0,00"/>
    <s v="ORC2022_2"/>
    <s v="0012"/>
    <m/>
    <m/>
    <m/>
    <m/>
    <m/>
  </r>
  <r>
    <s v="REMUNERACOES"/>
    <x v="45"/>
    <x v="15"/>
    <n v="21.94"/>
    <s v="0000000127"/>
    <s v="2068"/>
    <d v="2022-08-01T00:00:00"/>
    <s v="330101"/>
    <s v="301"/>
    <s v="90"/>
    <s v="Credito"/>
    <x v="2"/>
    <x v="216"/>
    <m/>
    <s v="000252"/>
    <s v="000132"/>
    <n v="21.94"/>
    <s v="0,00"/>
    <s v="0,00"/>
    <s v="0,00"/>
    <s v="0,00"/>
    <s v="ORC2022_2"/>
    <s v="0012"/>
    <m/>
    <m/>
    <m/>
    <m/>
    <m/>
  </r>
  <r>
    <s v="REMUNERACOES"/>
    <x v="45"/>
    <x v="16"/>
    <n v="15639.27"/>
    <s v="0000000127"/>
    <s v="2069"/>
    <d v="2022-09-01T00:00:00"/>
    <s v="330101"/>
    <s v="206"/>
    <s v="11"/>
    <s v="Credito"/>
    <x v="2"/>
    <x v="216"/>
    <m/>
    <s v="000252"/>
    <s v="000132"/>
    <n v="15639.27"/>
    <s v="0,00"/>
    <s v="0,00"/>
    <s v="0,00"/>
    <s v="0,00"/>
    <s v="ORC2022_2"/>
    <s v="0012"/>
    <m/>
    <m/>
    <m/>
    <m/>
    <m/>
  </r>
  <r>
    <s v="REMUNERACOES"/>
    <x v="45"/>
    <x v="16"/>
    <n v="323.02"/>
    <s v="0000000127"/>
    <s v="2070"/>
    <d v="2022-09-01T00:00:00"/>
    <s v="330101"/>
    <s v="304"/>
    <s v="11"/>
    <s v="Credito"/>
    <x v="2"/>
    <x v="216"/>
    <m/>
    <s v="000252"/>
    <s v="000132"/>
    <n v="323.02"/>
    <s v="0,00"/>
    <s v="0,00"/>
    <s v="0,00"/>
    <s v="0,00"/>
    <s v="ORC2022_2"/>
    <s v="0012"/>
    <m/>
    <m/>
    <m/>
    <m/>
    <m/>
  </r>
  <r>
    <s v="REMUNERACOES"/>
    <x v="45"/>
    <x v="16"/>
    <n v="11641.93"/>
    <s v="0000000127"/>
    <s v="2071"/>
    <d v="2022-09-01T00:00:00"/>
    <s v="330101"/>
    <s v="209"/>
    <s v="21"/>
    <s v="Credito"/>
    <x v="2"/>
    <x v="216"/>
    <m/>
    <s v="000252"/>
    <s v="000132"/>
    <n v="11641.93"/>
    <s v="0,00"/>
    <s v="0,00"/>
    <s v="0,00"/>
    <s v="0,00"/>
    <s v="ORC2022_2"/>
    <s v="0012"/>
    <m/>
    <m/>
    <m/>
    <m/>
    <m/>
  </r>
  <r>
    <s v="REMUNERACOES"/>
    <x v="45"/>
    <x v="16"/>
    <n v="38.36"/>
    <s v="0000000127"/>
    <s v="2072"/>
    <d v="2022-09-01T00:00:00"/>
    <s v="330101"/>
    <s v="305"/>
    <s v="21"/>
    <s v="Credito"/>
    <x v="2"/>
    <x v="216"/>
    <m/>
    <s v="000252"/>
    <s v="000132"/>
    <n v="38.36"/>
    <s v="0,00"/>
    <s v="0,00"/>
    <s v="0,00"/>
    <s v="0,00"/>
    <s v="ORC2022_2"/>
    <s v="0012"/>
    <m/>
    <m/>
    <m/>
    <m/>
    <m/>
  </r>
  <r>
    <s v="REMUNERACOES"/>
    <x v="45"/>
    <x v="16"/>
    <n v="9.61"/>
    <s v="0000000127"/>
    <s v="2073"/>
    <d v="2022-09-01T00:00:00"/>
    <s v="330101"/>
    <s v="306"/>
    <s v="33"/>
    <s v="Credito"/>
    <x v="2"/>
    <x v="216"/>
    <m/>
    <s v="000252"/>
    <s v="000132"/>
    <n v="9.61"/>
    <s v="0,00"/>
    <s v="0,00"/>
    <s v="0,00"/>
    <s v="0,00"/>
    <s v="ORC2022_2"/>
    <s v="0012"/>
    <m/>
    <m/>
    <m/>
    <m/>
    <m/>
  </r>
  <r>
    <s v="REMUNERACOES"/>
    <x v="45"/>
    <x v="16"/>
    <n v="9338.6200000000008"/>
    <s v="0000000127"/>
    <s v="2074"/>
    <d v="2022-09-01T00:00:00"/>
    <s v="330101"/>
    <s v="101"/>
    <s v="90"/>
    <s v="Credito"/>
    <x v="2"/>
    <x v="216"/>
    <m/>
    <s v="000252"/>
    <s v="000132"/>
    <n v="9338.6200000000008"/>
    <s v="0,00"/>
    <s v="0,00"/>
    <s v="0,00"/>
    <s v="0,00"/>
    <s v="ORC2022_2"/>
    <s v="0012"/>
    <m/>
    <m/>
    <m/>
    <m/>
    <m/>
  </r>
  <r>
    <s v="REMUNERACOES"/>
    <x v="45"/>
    <x v="16"/>
    <n v="42751.48"/>
    <s v="0000000127"/>
    <s v="2075"/>
    <d v="2022-09-01T00:00:00"/>
    <s v="330101"/>
    <s v="201"/>
    <s v="90"/>
    <s v="Credito"/>
    <x v="2"/>
    <x v="216"/>
    <m/>
    <s v="000252"/>
    <s v="000132"/>
    <n v="42751.48"/>
    <s v="0,00"/>
    <s v="0,00"/>
    <s v="0,00"/>
    <s v="0,00"/>
    <s v="ORC2022_2"/>
    <s v="0012"/>
    <m/>
    <m/>
    <m/>
    <m/>
    <m/>
  </r>
  <r>
    <s v="REMUNERACOES"/>
    <x v="45"/>
    <x v="16"/>
    <n v="6547.38"/>
    <s v="0000000127"/>
    <s v="2076"/>
    <d v="2022-09-01T00:00:00"/>
    <s v="330101"/>
    <s v="202"/>
    <s v="90"/>
    <s v="Credito"/>
    <x v="2"/>
    <x v="216"/>
    <m/>
    <s v="000252"/>
    <s v="000132"/>
    <n v="6547.38"/>
    <s v="0,00"/>
    <s v="0,00"/>
    <s v="0,00"/>
    <s v="0,00"/>
    <s v="ORC2022_2"/>
    <s v="0012"/>
    <m/>
    <m/>
    <m/>
    <m/>
    <m/>
  </r>
  <r>
    <s v="REMUNERACOES"/>
    <x v="45"/>
    <x v="16"/>
    <n v="3886.82"/>
    <s v="0000000127"/>
    <s v="2077"/>
    <d v="2022-09-01T00:00:00"/>
    <s v="330101"/>
    <s v="203"/>
    <s v="90"/>
    <s v="Credito"/>
    <x v="2"/>
    <x v="216"/>
    <m/>
    <s v="000252"/>
    <s v="000132"/>
    <n v="3886.82"/>
    <s v="0,00"/>
    <s v="0,00"/>
    <s v="0,00"/>
    <s v="0,00"/>
    <s v="ORC2022_2"/>
    <s v="0012"/>
    <m/>
    <m/>
    <m/>
    <m/>
    <m/>
  </r>
  <r>
    <s v="REMUNERACOES"/>
    <x v="45"/>
    <x v="16"/>
    <n v="14546.2"/>
    <s v="0000000127"/>
    <s v="2078"/>
    <d v="2022-09-01T00:00:00"/>
    <s v="330101"/>
    <s v="204"/>
    <s v="90"/>
    <s v="Credito"/>
    <x v="2"/>
    <x v="216"/>
    <m/>
    <s v="000252"/>
    <s v="000132"/>
    <n v="14546.2"/>
    <s v="0,00"/>
    <s v="0,00"/>
    <s v="0,00"/>
    <s v="0,00"/>
    <s v="ORC2022_2"/>
    <s v="0012"/>
    <m/>
    <m/>
    <m/>
    <m/>
    <m/>
  </r>
  <r>
    <s v="REMUNERACOES"/>
    <x v="45"/>
    <x v="16"/>
    <n v="7923.15"/>
    <s v="0000000127"/>
    <s v="2079"/>
    <d v="2022-09-01T00:00:00"/>
    <s v="330101"/>
    <s v="205"/>
    <s v="90"/>
    <s v="Credito"/>
    <x v="2"/>
    <x v="216"/>
    <m/>
    <s v="000252"/>
    <s v="000132"/>
    <n v="7923.15"/>
    <s v="0,00"/>
    <s v="0,00"/>
    <s v="0,00"/>
    <s v="0,00"/>
    <s v="ORC2022_2"/>
    <s v="0012"/>
    <m/>
    <m/>
    <m/>
    <m/>
    <m/>
  </r>
  <r>
    <s v="REMUNERACOES"/>
    <x v="45"/>
    <x v="16"/>
    <n v="31654.6"/>
    <s v="0000000127"/>
    <s v="2080"/>
    <d v="2022-09-01T00:00:00"/>
    <s v="330101"/>
    <s v="207"/>
    <s v="90"/>
    <s v="Credito"/>
    <x v="2"/>
    <x v="216"/>
    <m/>
    <s v="000252"/>
    <s v="000132"/>
    <n v="31654.6"/>
    <s v="0,00"/>
    <s v="0,00"/>
    <s v="0,00"/>
    <s v="0,00"/>
    <s v="ORC2022_2"/>
    <s v="0012"/>
    <m/>
    <m/>
    <m/>
    <m/>
    <m/>
  </r>
  <r>
    <s v="REMUNERACOES"/>
    <x v="45"/>
    <x v="16"/>
    <n v="22488.49"/>
    <s v="0000000127"/>
    <s v="2081"/>
    <d v="2022-09-01T00:00:00"/>
    <s v="330101"/>
    <s v="208"/>
    <s v="90"/>
    <s v="Credito"/>
    <x v="2"/>
    <x v="216"/>
    <m/>
    <s v="000252"/>
    <s v="000132"/>
    <n v="22488.49"/>
    <s v="0,00"/>
    <s v="0,00"/>
    <s v="0,00"/>
    <s v="0,00"/>
    <s v="ORC2022_2"/>
    <s v="0012"/>
    <m/>
    <m/>
    <m/>
    <m/>
    <m/>
  </r>
  <r>
    <s v="REMUNERACOES"/>
    <x v="45"/>
    <x v="16"/>
    <n v="10526.81"/>
    <s v="0000000127"/>
    <s v="2082"/>
    <d v="2022-09-01T00:00:00"/>
    <s v="330101"/>
    <s v="209"/>
    <s v="90"/>
    <s v="Credito"/>
    <x v="2"/>
    <x v="216"/>
    <m/>
    <s v="000252"/>
    <s v="000132"/>
    <n v="10526.81"/>
    <s v="0,00"/>
    <s v="0,00"/>
    <s v="0,00"/>
    <s v="0,00"/>
    <s v="ORC2022_2"/>
    <s v="0012"/>
    <m/>
    <m/>
    <m/>
    <m/>
    <m/>
  </r>
  <r>
    <s v="REMUNERACOES"/>
    <x v="45"/>
    <x v="16"/>
    <n v="5487.38"/>
    <s v="0000000127"/>
    <s v="2083"/>
    <d v="2022-09-01T00:00:00"/>
    <s v="330101"/>
    <s v="210"/>
    <s v="90"/>
    <s v="Credito"/>
    <x v="2"/>
    <x v="216"/>
    <m/>
    <s v="000252"/>
    <s v="000132"/>
    <n v="5487.38"/>
    <s v="0,00"/>
    <s v="0,00"/>
    <s v="0,00"/>
    <s v="0,00"/>
    <s v="ORC2022_2"/>
    <s v="0012"/>
    <m/>
    <m/>
    <m/>
    <m/>
    <m/>
  </r>
  <r>
    <s v="REMUNERACOES"/>
    <x v="45"/>
    <x v="16"/>
    <n v="1658.65"/>
    <s v="0000000127"/>
    <s v="2084"/>
    <d v="2022-09-01T00:00:00"/>
    <s v="330101"/>
    <s v="301"/>
    <s v="90"/>
    <s v="Credito"/>
    <x v="2"/>
    <x v="216"/>
    <m/>
    <s v="000252"/>
    <s v="000132"/>
    <n v="1658.65"/>
    <s v="0,00"/>
    <s v="0,00"/>
    <s v="0,00"/>
    <s v="0,00"/>
    <s v="ORC2022_2"/>
    <s v="0012"/>
    <m/>
    <m/>
    <m/>
    <m/>
    <m/>
  </r>
  <r>
    <s v="REMUNERACOES"/>
    <x v="45"/>
    <x v="17"/>
    <n v="15795.66"/>
    <s v="0000000127"/>
    <s v="2085"/>
    <d v="2022-10-01T00:00:00"/>
    <s v="330101"/>
    <s v="206"/>
    <s v="11"/>
    <s v="Credito"/>
    <x v="2"/>
    <x v="216"/>
    <m/>
    <s v="000252"/>
    <s v="000132"/>
    <n v="15795.66"/>
    <s v="0,00"/>
    <s v="0,00"/>
    <s v="0,00"/>
    <s v="0,00"/>
    <s v="ORC2022_2"/>
    <s v="0012"/>
    <m/>
    <m/>
    <m/>
    <m/>
    <m/>
  </r>
  <r>
    <s v="REMUNERACOES"/>
    <x v="45"/>
    <x v="17"/>
    <n v="326.25"/>
    <s v="0000000127"/>
    <s v="2086"/>
    <d v="2022-10-01T00:00:00"/>
    <s v="330101"/>
    <s v="304"/>
    <s v="11"/>
    <s v="Credito"/>
    <x v="2"/>
    <x v="216"/>
    <m/>
    <s v="000252"/>
    <s v="000132"/>
    <n v="326.25"/>
    <s v="0,00"/>
    <s v="0,00"/>
    <s v="0,00"/>
    <s v="0,00"/>
    <s v="ORC2022_2"/>
    <s v="0012"/>
    <m/>
    <m/>
    <m/>
    <m/>
    <m/>
  </r>
  <r>
    <s v="REMUNERACOES"/>
    <x v="45"/>
    <x v="17"/>
    <n v="11758.35"/>
    <s v="0000000127"/>
    <s v="2087"/>
    <d v="2022-10-01T00:00:00"/>
    <s v="330101"/>
    <s v="209"/>
    <s v="21"/>
    <s v="Credito"/>
    <x v="2"/>
    <x v="216"/>
    <m/>
    <s v="000252"/>
    <s v="000132"/>
    <n v="11758.35"/>
    <s v="0,00"/>
    <s v="0,00"/>
    <s v="0,00"/>
    <s v="0,00"/>
    <s v="ORC2022_2"/>
    <s v="0012"/>
    <m/>
    <m/>
    <m/>
    <m/>
    <m/>
  </r>
  <r>
    <s v="REMUNERACOES"/>
    <x v="45"/>
    <x v="17"/>
    <n v="38.74"/>
    <s v="0000000127"/>
    <s v="2088"/>
    <d v="2022-10-01T00:00:00"/>
    <s v="330101"/>
    <s v="305"/>
    <s v="21"/>
    <s v="Credito"/>
    <x v="2"/>
    <x v="216"/>
    <m/>
    <s v="000252"/>
    <s v="000132"/>
    <n v="38.74"/>
    <s v="0,00"/>
    <s v="0,00"/>
    <s v="0,00"/>
    <s v="0,00"/>
    <s v="ORC2022_2"/>
    <s v="0012"/>
    <m/>
    <m/>
    <m/>
    <m/>
    <m/>
  </r>
  <r>
    <s v="REMUNERACOES"/>
    <x v="45"/>
    <x v="17"/>
    <n v="9.7100000000000009"/>
    <s v="0000000127"/>
    <s v="2089"/>
    <d v="2022-10-01T00:00:00"/>
    <s v="330101"/>
    <s v="306"/>
    <s v="33"/>
    <s v="Credito"/>
    <x v="2"/>
    <x v="216"/>
    <m/>
    <s v="000252"/>
    <s v="000132"/>
    <n v="9.7100000000000009"/>
    <s v="0,00"/>
    <s v="0,00"/>
    <s v="0,00"/>
    <s v="0,00"/>
    <s v="ORC2022_2"/>
    <s v="0012"/>
    <m/>
    <m/>
    <m/>
    <m/>
    <m/>
  </r>
  <r>
    <s v="REMUNERACOES"/>
    <x v="45"/>
    <x v="17"/>
    <n v="9432.01"/>
    <s v="0000000127"/>
    <s v="2090"/>
    <d v="2022-10-01T00:00:00"/>
    <s v="330101"/>
    <s v="101"/>
    <s v="90"/>
    <s v="Credito"/>
    <x v="2"/>
    <x v="216"/>
    <m/>
    <s v="000252"/>
    <s v="000132"/>
    <n v="9432.01"/>
    <s v="0,00"/>
    <s v="0,00"/>
    <s v="0,00"/>
    <s v="0,00"/>
    <s v="ORC2022_2"/>
    <s v="0012"/>
    <m/>
    <m/>
    <m/>
    <m/>
    <m/>
  </r>
  <r>
    <s v="REMUNERACOES"/>
    <x v="45"/>
    <x v="17"/>
    <n v="43178.99"/>
    <s v="0000000127"/>
    <s v="2091"/>
    <d v="2022-10-01T00:00:00"/>
    <s v="330101"/>
    <s v="201"/>
    <s v="90"/>
    <s v="Credito"/>
    <x v="2"/>
    <x v="216"/>
    <m/>
    <s v="000252"/>
    <s v="000132"/>
    <n v="43178.99"/>
    <s v="0,00"/>
    <s v="0,00"/>
    <s v="0,00"/>
    <s v="0,00"/>
    <s v="ORC2022_2"/>
    <s v="0012"/>
    <m/>
    <m/>
    <m/>
    <m/>
    <m/>
  </r>
  <r>
    <s v="REMUNERACOES"/>
    <x v="45"/>
    <x v="17"/>
    <n v="6612.85"/>
    <s v="0000000127"/>
    <s v="2092"/>
    <d v="2022-10-01T00:00:00"/>
    <s v="330101"/>
    <s v="202"/>
    <s v="90"/>
    <s v="Credito"/>
    <x v="2"/>
    <x v="216"/>
    <m/>
    <s v="000252"/>
    <s v="000132"/>
    <n v="6612.85"/>
    <s v="0,00"/>
    <s v="0,00"/>
    <s v="0,00"/>
    <s v="0,00"/>
    <s v="ORC2022_2"/>
    <s v="0012"/>
    <m/>
    <m/>
    <m/>
    <m/>
    <m/>
  </r>
  <r>
    <s v="REMUNERACOES"/>
    <x v="45"/>
    <x v="17"/>
    <n v="3925.69"/>
    <s v="0000000127"/>
    <s v="2093"/>
    <d v="2022-10-01T00:00:00"/>
    <s v="330101"/>
    <s v="203"/>
    <s v="90"/>
    <s v="Credito"/>
    <x v="2"/>
    <x v="216"/>
    <m/>
    <s v="000252"/>
    <s v="000132"/>
    <n v="3925.69"/>
    <s v="0,00"/>
    <s v="0,00"/>
    <s v="0,00"/>
    <s v="0,00"/>
    <s v="ORC2022_2"/>
    <s v="0012"/>
    <m/>
    <m/>
    <m/>
    <m/>
    <m/>
  </r>
  <r>
    <s v="REMUNERACOES"/>
    <x v="45"/>
    <x v="17"/>
    <n v="14691.66"/>
    <s v="0000000127"/>
    <s v="2094"/>
    <d v="2022-10-01T00:00:00"/>
    <s v="330101"/>
    <s v="204"/>
    <s v="90"/>
    <s v="Credito"/>
    <x v="2"/>
    <x v="216"/>
    <m/>
    <s v="000252"/>
    <s v="000132"/>
    <n v="14691.66"/>
    <s v="0,00"/>
    <s v="0,00"/>
    <s v="0,00"/>
    <s v="0,00"/>
    <s v="ORC2022_2"/>
    <s v="0012"/>
    <m/>
    <m/>
    <m/>
    <m/>
    <m/>
  </r>
  <r>
    <s v="REMUNERACOES"/>
    <x v="45"/>
    <x v="17"/>
    <n v="8002.38"/>
    <s v="0000000127"/>
    <s v="2095"/>
    <d v="2022-10-01T00:00:00"/>
    <s v="330101"/>
    <s v="205"/>
    <s v="90"/>
    <s v="Credito"/>
    <x v="2"/>
    <x v="216"/>
    <m/>
    <s v="000252"/>
    <s v="000132"/>
    <n v="8002.38"/>
    <s v="0,00"/>
    <s v="0,00"/>
    <s v="0,00"/>
    <s v="0,00"/>
    <s v="ORC2022_2"/>
    <s v="0012"/>
    <m/>
    <m/>
    <m/>
    <m/>
    <m/>
  </r>
  <r>
    <s v="REMUNERACOES"/>
    <x v="45"/>
    <x v="17"/>
    <n v="31971.15"/>
    <s v="0000000127"/>
    <s v="2096"/>
    <d v="2022-10-01T00:00:00"/>
    <s v="330101"/>
    <s v="207"/>
    <s v="90"/>
    <s v="Credito"/>
    <x v="2"/>
    <x v="216"/>
    <m/>
    <s v="000252"/>
    <s v="000132"/>
    <n v="31971.15"/>
    <s v="0,00"/>
    <s v="0,00"/>
    <s v="0,00"/>
    <s v="0,00"/>
    <s v="ORC2022_2"/>
    <s v="0012"/>
    <m/>
    <m/>
    <m/>
    <m/>
    <m/>
  </r>
  <r>
    <s v="REMUNERACOES"/>
    <x v="45"/>
    <x v="17"/>
    <n v="22713.37"/>
    <s v="0000000127"/>
    <s v="2097"/>
    <d v="2022-10-01T00:00:00"/>
    <s v="330101"/>
    <s v="208"/>
    <s v="90"/>
    <s v="Credito"/>
    <x v="2"/>
    <x v="216"/>
    <m/>
    <s v="000252"/>
    <s v="000132"/>
    <n v="22713.37"/>
    <s v="0,00"/>
    <s v="0,00"/>
    <s v="0,00"/>
    <s v="0,00"/>
    <s v="ORC2022_2"/>
    <s v="0012"/>
    <m/>
    <m/>
    <m/>
    <m/>
    <m/>
  </r>
  <r>
    <s v="REMUNERACOES"/>
    <x v="45"/>
    <x v="17"/>
    <n v="10632.08"/>
    <s v="0000000127"/>
    <s v="2098"/>
    <d v="2022-10-01T00:00:00"/>
    <s v="330101"/>
    <s v="209"/>
    <s v="90"/>
    <s v="Credito"/>
    <x v="2"/>
    <x v="216"/>
    <m/>
    <s v="000252"/>
    <s v="000132"/>
    <n v="10632.08"/>
    <s v="0,00"/>
    <s v="0,00"/>
    <s v="0,00"/>
    <s v="0,00"/>
    <s v="ORC2022_2"/>
    <s v="0012"/>
    <m/>
    <m/>
    <m/>
    <m/>
    <m/>
  </r>
  <r>
    <s v="REMUNERACOES"/>
    <x v="45"/>
    <x v="17"/>
    <n v="5542.25"/>
    <s v="0000000127"/>
    <s v="2099"/>
    <d v="2022-10-01T00:00:00"/>
    <s v="330101"/>
    <s v="210"/>
    <s v="90"/>
    <s v="Credito"/>
    <x v="2"/>
    <x v="216"/>
    <m/>
    <s v="000252"/>
    <s v="000132"/>
    <n v="5542.25"/>
    <s v="0,00"/>
    <s v="0,00"/>
    <s v="0,00"/>
    <s v="0,00"/>
    <s v="ORC2022_2"/>
    <s v="0012"/>
    <m/>
    <m/>
    <m/>
    <m/>
    <m/>
  </r>
  <r>
    <s v="REMUNERACOES"/>
    <x v="45"/>
    <x v="17"/>
    <n v="1675.24"/>
    <s v="0000000127"/>
    <s v="2100"/>
    <d v="2022-10-01T00:00:00"/>
    <s v="330101"/>
    <s v="301"/>
    <s v="90"/>
    <s v="Credito"/>
    <x v="2"/>
    <x v="216"/>
    <m/>
    <s v="000252"/>
    <s v="000132"/>
    <n v="1675.24"/>
    <s v="0,00"/>
    <s v="0,00"/>
    <s v="0,00"/>
    <s v="0,00"/>
    <s v="ORC2022_2"/>
    <s v="0012"/>
    <m/>
    <m/>
    <m/>
    <m/>
    <m/>
  </r>
  <r>
    <s v="REMUNERACOES"/>
    <x v="45"/>
    <x v="0"/>
    <n v="15953.62"/>
    <s v="0000000127"/>
    <s v="2101"/>
    <d v="2022-11-01T00:00:00"/>
    <s v="330101"/>
    <s v="206"/>
    <s v="11"/>
    <s v="Credito"/>
    <x v="2"/>
    <x v="216"/>
    <m/>
    <s v="000252"/>
    <s v="000132"/>
    <n v="15953.62"/>
    <s v="0,00"/>
    <s v="0,00"/>
    <s v="0,00"/>
    <s v="0,00"/>
    <s v="ORC2022_2"/>
    <s v="0012"/>
    <m/>
    <m/>
    <m/>
    <m/>
    <m/>
  </r>
  <r>
    <s v="REMUNERACOES"/>
    <x v="45"/>
    <x v="0"/>
    <n v="329.51"/>
    <s v="0000000127"/>
    <s v="2102"/>
    <d v="2022-11-01T00:00:00"/>
    <s v="330101"/>
    <s v="304"/>
    <s v="11"/>
    <s v="Credito"/>
    <x v="2"/>
    <x v="216"/>
    <m/>
    <s v="000252"/>
    <s v="000132"/>
    <n v="329.51"/>
    <s v="0,00"/>
    <s v="0,00"/>
    <s v="0,00"/>
    <s v="0,00"/>
    <s v="ORC2022_2"/>
    <s v="0012"/>
    <m/>
    <m/>
    <m/>
    <m/>
    <m/>
  </r>
  <r>
    <s v="REMUNERACOES"/>
    <x v="45"/>
    <x v="0"/>
    <n v="11875.93"/>
    <s v="0000000127"/>
    <s v="2103"/>
    <d v="2022-11-01T00:00:00"/>
    <s v="330101"/>
    <s v="209"/>
    <s v="21"/>
    <s v="Credito"/>
    <x v="2"/>
    <x v="216"/>
    <m/>
    <s v="000252"/>
    <s v="000132"/>
    <n v="11875.93"/>
    <s v="0,00"/>
    <s v="0,00"/>
    <s v="0,00"/>
    <s v="0,00"/>
    <s v="ORC2022_2"/>
    <s v="0012"/>
    <m/>
    <m/>
    <m/>
    <m/>
    <m/>
  </r>
  <r>
    <s v="REMUNERACOES"/>
    <x v="45"/>
    <x v="0"/>
    <n v="39.130000000000003"/>
    <s v="0000000127"/>
    <s v="2104"/>
    <d v="2022-11-01T00:00:00"/>
    <s v="330101"/>
    <s v="305"/>
    <s v="21"/>
    <s v="Credito"/>
    <x v="2"/>
    <x v="216"/>
    <m/>
    <s v="000252"/>
    <s v="000132"/>
    <n v="39.130000000000003"/>
    <s v="0,00"/>
    <s v="0,00"/>
    <s v="0,00"/>
    <s v="0,00"/>
    <s v="ORC2022_2"/>
    <s v="0012"/>
    <m/>
    <m/>
    <m/>
    <m/>
    <m/>
  </r>
  <r>
    <s v="REMUNERACOES"/>
    <x v="45"/>
    <x v="0"/>
    <n v="9.8000000000000007"/>
    <s v="0000000127"/>
    <s v="2105"/>
    <d v="2022-11-01T00:00:00"/>
    <s v="330101"/>
    <s v="306"/>
    <s v="33"/>
    <s v="Credito"/>
    <x v="2"/>
    <x v="216"/>
    <m/>
    <s v="000252"/>
    <s v="000132"/>
    <n v="9.8000000000000007"/>
    <s v="0,00"/>
    <s v="0,00"/>
    <s v="0,00"/>
    <s v="0,00"/>
    <s v="ORC2022_2"/>
    <s v="0012"/>
    <m/>
    <m/>
    <m/>
    <m/>
    <m/>
  </r>
  <r>
    <s v="REMUNERACOES"/>
    <x v="45"/>
    <x v="0"/>
    <n v="9526.33"/>
    <s v="0000000127"/>
    <s v="2106"/>
    <d v="2022-11-01T00:00:00"/>
    <s v="330101"/>
    <s v="101"/>
    <s v="90"/>
    <s v="Credito"/>
    <x v="2"/>
    <x v="216"/>
    <m/>
    <s v="000252"/>
    <s v="000132"/>
    <n v="9526.33"/>
    <s v="0,00"/>
    <s v="0,00"/>
    <s v="0,00"/>
    <s v="0,00"/>
    <s v="ORC2022_2"/>
    <s v="0012"/>
    <m/>
    <m/>
    <m/>
    <m/>
    <m/>
  </r>
  <r>
    <s v="REMUNERACOES"/>
    <x v="45"/>
    <x v="0"/>
    <n v="43610.78"/>
    <s v="0000000127"/>
    <s v="2107"/>
    <d v="2022-11-01T00:00:00"/>
    <s v="330101"/>
    <s v="201"/>
    <s v="90"/>
    <s v="Credito"/>
    <x v="2"/>
    <x v="216"/>
    <m/>
    <s v="000252"/>
    <s v="000132"/>
    <n v="43610.78"/>
    <s v="0,00"/>
    <s v="0,00"/>
    <s v="0,00"/>
    <s v="0,00"/>
    <s v="ORC2022_2"/>
    <s v="0012"/>
    <m/>
    <m/>
    <m/>
    <m/>
    <m/>
  </r>
  <r>
    <s v="REMUNERACOES"/>
    <x v="45"/>
    <x v="0"/>
    <n v="6678.98"/>
    <s v="0000000127"/>
    <s v="2108"/>
    <d v="2022-11-01T00:00:00"/>
    <s v="330101"/>
    <s v="202"/>
    <s v="90"/>
    <s v="Credito"/>
    <x v="2"/>
    <x v="216"/>
    <m/>
    <s v="000252"/>
    <s v="000132"/>
    <n v="6678.98"/>
    <s v="0,00"/>
    <s v="0,00"/>
    <s v="0,00"/>
    <s v="0,00"/>
    <s v="ORC2022_2"/>
    <s v="0012"/>
    <m/>
    <m/>
    <m/>
    <m/>
    <m/>
  </r>
  <r>
    <s v="REMUNERACOES"/>
    <x v="45"/>
    <x v="0"/>
    <n v="3964.95"/>
    <s v="0000000127"/>
    <s v="2109"/>
    <d v="2022-11-01T00:00:00"/>
    <s v="330101"/>
    <s v="203"/>
    <s v="90"/>
    <s v="Credito"/>
    <x v="2"/>
    <x v="216"/>
    <m/>
    <s v="000252"/>
    <s v="000132"/>
    <n v="3964.95"/>
    <s v="0,00"/>
    <s v="0,00"/>
    <s v="0,00"/>
    <s v="0,00"/>
    <s v="ORC2022_2"/>
    <s v="0012"/>
    <m/>
    <m/>
    <m/>
    <m/>
    <m/>
  </r>
  <r>
    <s v="REMUNERACOES"/>
    <x v="45"/>
    <x v="0"/>
    <n v="14838.58"/>
    <s v="0000000127"/>
    <s v="2110"/>
    <d v="2022-11-01T00:00:00"/>
    <s v="330101"/>
    <s v="204"/>
    <s v="90"/>
    <s v="Credito"/>
    <x v="2"/>
    <x v="216"/>
    <m/>
    <s v="000252"/>
    <s v="000132"/>
    <n v="14838.58"/>
    <s v="0,00"/>
    <s v="0,00"/>
    <s v="0,00"/>
    <s v="0,00"/>
    <s v="ORC2022_2"/>
    <s v="0012"/>
    <m/>
    <m/>
    <m/>
    <m/>
    <m/>
  </r>
  <r>
    <s v="REMUNERACOES"/>
    <x v="45"/>
    <x v="0"/>
    <n v="8082.41"/>
    <s v="0000000127"/>
    <s v="2111"/>
    <d v="2022-11-01T00:00:00"/>
    <s v="330101"/>
    <s v="205"/>
    <s v="90"/>
    <s v="Credito"/>
    <x v="2"/>
    <x v="216"/>
    <m/>
    <s v="000252"/>
    <s v="000132"/>
    <n v="8082.41"/>
    <s v="0,00"/>
    <s v="0,00"/>
    <s v="0,00"/>
    <s v="0,00"/>
    <s v="ORC2022_2"/>
    <s v="0012"/>
    <m/>
    <m/>
    <m/>
    <m/>
    <m/>
  </r>
  <r>
    <s v="REMUNERACOES"/>
    <x v="45"/>
    <x v="0"/>
    <n v="32290.86"/>
    <s v="0000000127"/>
    <s v="2112"/>
    <d v="2022-11-01T00:00:00"/>
    <s v="330101"/>
    <s v="207"/>
    <s v="90"/>
    <s v="Credito"/>
    <x v="2"/>
    <x v="216"/>
    <m/>
    <s v="000252"/>
    <s v="000132"/>
    <n v="32290.86"/>
    <s v="0,00"/>
    <s v="0,00"/>
    <s v="0,00"/>
    <s v="0,00"/>
    <s v="ORC2022_2"/>
    <s v="0012"/>
    <m/>
    <m/>
    <m/>
    <m/>
    <m/>
  </r>
  <r>
    <s v="REMUNERACOES"/>
    <x v="45"/>
    <x v="0"/>
    <n v="22940.51"/>
    <s v="0000000127"/>
    <s v="2113"/>
    <d v="2022-11-01T00:00:00"/>
    <s v="330101"/>
    <s v="208"/>
    <s v="90"/>
    <s v="Credito"/>
    <x v="2"/>
    <x v="216"/>
    <m/>
    <s v="000252"/>
    <s v="000132"/>
    <n v="22940.51"/>
    <s v="0,00"/>
    <s v="0,00"/>
    <s v="0,00"/>
    <s v="0,00"/>
    <s v="ORC2022_2"/>
    <s v="0012"/>
    <m/>
    <m/>
    <m/>
    <m/>
    <m/>
  </r>
  <r>
    <s v="REMUNERACOES"/>
    <x v="45"/>
    <x v="0"/>
    <n v="10738.4"/>
    <s v="0000000127"/>
    <s v="2114"/>
    <d v="2022-11-01T00:00:00"/>
    <s v="330101"/>
    <s v="209"/>
    <s v="90"/>
    <s v="Credito"/>
    <x v="2"/>
    <x v="216"/>
    <m/>
    <s v="000252"/>
    <s v="000132"/>
    <n v="10738.4"/>
    <s v="0,00"/>
    <s v="0,00"/>
    <s v="0,00"/>
    <s v="0,00"/>
    <s v="ORC2022_2"/>
    <s v="0012"/>
    <m/>
    <m/>
    <m/>
    <m/>
    <m/>
  </r>
  <r>
    <s v="REMUNERACOES"/>
    <x v="45"/>
    <x v="0"/>
    <n v="5597.68"/>
    <s v="0000000127"/>
    <s v="2115"/>
    <d v="2022-11-01T00:00:00"/>
    <s v="330101"/>
    <s v="210"/>
    <s v="90"/>
    <s v="Credito"/>
    <x v="2"/>
    <x v="216"/>
    <m/>
    <s v="000252"/>
    <s v="000132"/>
    <n v="5597.68"/>
    <s v="0,00"/>
    <s v="0,00"/>
    <s v="0,00"/>
    <s v="0,00"/>
    <s v="ORC2022_2"/>
    <s v="0012"/>
    <m/>
    <m/>
    <m/>
    <m/>
    <m/>
  </r>
  <r>
    <s v="REMUNERACOES"/>
    <x v="45"/>
    <x v="0"/>
    <n v="1691.99"/>
    <s v="0000000127"/>
    <s v="2116"/>
    <d v="2022-11-01T00:00:00"/>
    <s v="330101"/>
    <s v="301"/>
    <s v="90"/>
    <s v="Credito"/>
    <x v="2"/>
    <x v="216"/>
    <m/>
    <s v="000252"/>
    <s v="000132"/>
    <n v="1691.99"/>
    <s v="0,00"/>
    <s v="0,00"/>
    <s v="0,00"/>
    <s v="0,00"/>
    <s v="ORC2022_2"/>
    <s v="0012"/>
    <m/>
    <m/>
    <m/>
    <m/>
    <m/>
  </r>
  <r>
    <s v="REMUNERACOES"/>
    <x v="45"/>
    <x v="1"/>
    <n v="16113.16"/>
    <s v="0000000127"/>
    <s v="2117"/>
    <d v="2022-12-01T00:00:00"/>
    <s v="330101"/>
    <s v="206"/>
    <s v="11"/>
    <s v="Credito"/>
    <x v="2"/>
    <x v="216"/>
    <m/>
    <s v="000252"/>
    <s v="000132"/>
    <n v="16113.16"/>
    <s v="0,00"/>
    <s v="0,00"/>
    <s v="0,00"/>
    <s v="0,00"/>
    <s v="ORC2022_2"/>
    <s v="0012"/>
    <m/>
    <m/>
    <m/>
    <m/>
    <m/>
  </r>
  <r>
    <s v="REMUNERACOES"/>
    <x v="45"/>
    <x v="1"/>
    <n v="332.81"/>
    <s v="0000000127"/>
    <s v="2118"/>
    <d v="2022-12-01T00:00:00"/>
    <s v="330101"/>
    <s v="304"/>
    <s v="11"/>
    <s v="Credito"/>
    <x v="2"/>
    <x v="216"/>
    <m/>
    <s v="000252"/>
    <s v="000132"/>
    <n v="332.81"/>
    <s v="0,00"/>
    <s v="0,00"/>
    <s v="0,00"/>
    <s v="0,00"/>
    <s v="ORC2022_2"/>
    <s v="0012"/>
    <m/>
    <m/>
    <m/>
    <m/>
    <m/>
  </r>
  <r>
    <s v="REMUNERACOES"/>
    <x v="45"/>
    <x v="1"/>
    <n v="11994.69"/>
    <s v="0000000127"/>
    <s v="2119"/>
    <d v="2022-12-01T00:00:00"/>
    <s v="330101"/>
    <s v="209"/>
    <s v="21"/>
    <s v="Credito"/>
    <x v="2"/>
    <x v="216"/>
    <m/>
    <s v="000252"/>
    <s v="000132"/>
    <n v="11994.69"/>
    <s v="0,00"/>
    <s v="0,00"/>
    <s v="0,00"/>
    <s v="0,00"/>
    <s v="ORC2022_2"/>
    <s v="0012"/>
    <m/>
    <m/>
    <m/>
    <m/>
    <m/>
  </r>
  <r>
    <s v="REMUNERACOES"/>
    <x v="45"/>
    <x v="1"/>
    <n v="39.520000000000003"/>
    <s v="0000000127"/>
    <s v="2120"/>
    <d v="2022-12-01T00:00:00"/>
    <s v="330101"/>
    <s v="305"/>
    <s v="21"/>
    <s v="Credito"/>
    <x v="2"/>
    <x v="216"/>
    <m/>
    <s v="000252"/>
    <s v="000132"/>
    <n v="39.520000000000003"/>
    <s v="0,00"/>
    <s v="0,00"/>
    <s v="0,00"/>
    <s v="0,00"/>
    <s v="ORC2022_2"/>
    <s v="0012"/>
    <m/>
    <m/>
    <m/>
    <m/>
    <m/>
  </r>
  <r>
    <s v="REMUNERACOES"/>
    <x v="45"/>
    <x v="1"/>
    <n v="9.9"/>
    <s v="0000000127"/>
    <s v="2121"/>
    <d v="2022-12-01T00:00:00"/>
    <s v="330101"/>
    <s v="306"/>
    <s v="33"/>
    <s v="Credito"/>
    <x v="2"/>
    <x v="216"/>
    <m/>
    <s v="000252"/>
    <s v="000132"/>
    <n v="9.9"/>
    <s v="0,00"/>
    <s v="0,00"/>
    <s v="0,00"/>
    <s v="0,00"/>
    <s v="ORC2022_2"/>
    <s v="0012"/>
    <m/>
    <m/>
    <m/>
    <m/>
    <m/>
  </r>
  <r>
    <s v="REMUNERACOES"/>
    <x v="45"/>
    <x v="1"/>
    <n v="9621.59"/>
    <s v="0000000127"/>
    <s v="2122"/>
    <d v="2022-12-01T00:00:00"/>
    <s v="330101"/>
    <s v="101"/>
    <s v="90"/>
    <s v="Credito"/>
    <x v="2"/>
    <x v="216"/>
    <m/>
    <s v="000252"/>
    <s v="000132"/>
    <n v="9621.59"/>
    <s v="0,00"/>
    <s v="0,00"/>
    <s v="0,00"/>
    <s v="0,00"/>
    <s v="ORC2022_2"/>
    <s v="0012"/>
    <m/>
    <m/>
    <m/>
    <m/>
    <m/>
  </r>
  <r>
    <s v="REMUNERACOES"/>
    <x v="45"/>
    <x v="1"/>
    <n v="44046.89"/>
    <s v="0000000127"/>
    <s v="2123"/>
    <d v="2022-12-01T00:00:00"/>
    <s v="330101"/>
    <s v="201"/>
    <s v="90"/>
    <s v="Credito"/>
    <x v="2"/>
    <x v="216"/>
    <m/>
    <s v="000252"/>
    <s v="000132"/>
    <n v="44046.89"/>
    <s v="0,00"/>
    <s v="0,00"/>
    <s v="0,00"/>
    <s v="0,00"/>
    <s v="ORC2022_2"/>
    <s v="0012"/>
    <m/>
    <m/>
    <m/>
    <m/>
    <m/>
  </r>
  <r>
    <s v="REMUNERACOES"/>
    <x v="45"/>
    <x v="1"/>
    <n v="6745.77"/>
    <s v="0000000127"/>
    <s v="2124"/>
    <d v="2022-12-01T00:00:00"/>
    <s v="330101"/>
    <s v="202"/>
    <s v="90"/>
    <s v="Credito"/>
    <x v="2"/>
    <x v="216"/>
    <m/>
    <s v="000252"/>
    <s v="000132"/>
    <n v="6745.77"/>
    <s v="0,00"/>
    <s v="0,00"/>
    <s v="0,00"/>
    <s v="0,00"/>
    <s v="ORC2022_2"/>
    <s v="0012"/>
    <m/>
    <m/>
    <m/>
    <m/>
    <m/>
  </r>
  <r>
    <s v="REMUNERACOES"/>
    <x v="45"/>
    <x v="1"/>
    <n v="4004.59"/>
    <s v="0000000127"/>
    <s v="2125"/>
    <d v="2022-12-01T00:00:00"/>
    <s v="330101"/>
    <s v="203"/>
    <s v="90"/>
    <s v="Credito"/>
    <x v="2"/>
    <x v="216"/>
    <m/>
    <s v="000252"/>
    <s v="000132"/>
    <n v="4004.59"/>
    <s v="0,00"/>
    <s v="0,00"/>
    <s v="0,00"/>
    <s v="0,00"/>
    <s v="ORC2022_2"/>
    <s v="0012"/>
    <m/>
    <m/>
    <m/>
    <m/>
    <m/>
  </r>
  <r>
    <s v="REMUNERACOES"/>
    <x v="45"/>
    <x v="1"/>
    <n v="14986.96"/>
    <s v="0000000127"/>
    <s v="2126"/>
    <d v="2022-12-01T00:00:00"/>
    <s v="330101"/>
    <s v="204"/>
    <s v="90"/>
    <s v="Credito"/>
    <x v="2"/>
    <x v="216"/>
    <m/>
    <s v="000252"/>
    <s v="000132"/>
    <n v="14986.96"/>
    <s v="0,00"/>
    <s v="0,00"/>
    <s v="0,00"/>
    <s v="0,00"/>
    <s v="ORC2022_2"/>
    <s v="0012"/>
    <m/>
    <m/>
    <m/>
    <m/>
    <m/>
  </r>
  <r>
    <s v="REMUNERACOES"/>
    <x v="45"/>
    <x v="1"/>
    <n v="8163.23"/>
    <s v="0000000127"/>
    <s v="2127"/>
    <d v="2022-12-01T00:00:00"/>
    <s v="330101"/>
    <s v="205"/>
    <s v="90"/>
    <s v="Credito"/>
    <x v="2"/>
    <x v="216"/>
    <m/>
    <s v="000252"/>
    <s v="000132"/>
    <n v="8163.23"/>
    <s v="0,00"/>
    <s v="0,00"/>
    <s v="0,00"/>
    <s v="0,00"/>
    <s v="ORC2022_2"/>
    <s v="0012"/>
    <m/>
    <m/>
    <m/>
    <m/>
    <m/>
  </r>
  <r>
    <s v="REMUNERACOES"/>
    <x v="45"/>
    <x v="1"/>
    <n v="32613.77"/>
    <s v="0000000127"/>
    <s v="2128"/>
    <d v="2022-12-01T00:00:00"/>
    <s v="330101"/>
    <s v="207"/>
    <s v="90"/>
    <s v="Credito"/>
    <x v="2"/>
    <x v="216"/>
    <m/>
    <s v="000252"/>
    <s v="000132"/>
    <n v="32613.77"/>
    <s v="0,00"/>
    <s v="0,00"/>
    <s v="0,00"/>
    <s v="0,00"/>
    <s v="ORC2022_2"/>
    <s v="0012"/>
    <m/>
    <m/>
    <m/>
    <m/>
    <m/>
  </r>
  <r>
    <s v="REMUNERACOES"/>
    <x v="45"/>
    <x v="1"/>
    <n v="23169.91"/>
    <s v="0000000127"/>
    <s v="2129"/>
    <d v="2022-12-01T00:00:00"/>
    <s v="330101"/>
    <s v="208"/>
    <s v="90"/>
    <s v="Credito"/>
    <x v="2"/>
    <x v="216"/>
    <m/>
    <s v="000252"/>
    <s v="000132"/>
    <n v="23169.91"/>
    <s v="0,00"/>
    <s v="0,00"/>
    <s v="0,00"/>
    <s v="0,00"/>
    <s v="ORC2022_2"/>
    <s v="0012"/>
    <m/>
    <m/>
    <m/>
    <m/>
    <m/>
  </r>
  <r>
    <s v="REMUNERACOES"/>
    <x v="45"/>
    <x v="1"/>
    <n v="10845.78"/>
    <s v="0000000127"/>
    <s v="2130"/>
    <d v="2022-12-01T00:00:00"/>
    <s v="330101"/>
    <s v="209"/>
    <s v="90"/>
    <s v="Credito"/>
    <x v="2"/>
    <x v="216"/>
    <m/>
    <s v="000252"/>
    <s v="000132"/>
    <n v="10845.78"/>
    <s v="0,00"/>
    <s v="0,00"/>
    <s v="0,00"/>
    <s v="0,00"/>
    <s v="ORC2022_2"/>
    <s v="0012"/>
    <m/>
    <m/>
    <m/>
    <m/>
    <m/>
  </r>
  <r>
    <s v="REMUNERACOES"/>
    <x v="45"/>
    <x v="1"/>
    <n v="5653.65"/>
    <s v="0000000127"/>
    <s v="2131"/>
    <d v="2022-12-01T00:00:00"/>
    <s v="330101"/>
    <s v="210"/>
    <s v="90"/>
    <s v="Credito"/>
    <x v="2"/>
    <x v="216"/>
    <m/>
    <s v="000252"/>
    <s v="000132"/>
    <n v="5653.65"/>
    <s v="0,00"/>
    <s v="0,00"/>
    <s v="0,00"/>
    <s v="0,00"/>
    <s v="ORC2022_2"/>
    <s v="0012"/>
    <m/>
    <m/>
    <m/>
    <m/>
    <m/>
  </r>
  <r>
    <s v="REMUNERACOES"/>
    <x v="45"/>
    <x v="1"/>
    <n v="1708.91"/>
    <s v="0000000127"/>
    <s v="2132"/>
    <d v="2022-12-01T00:00:00"/>
    <s v="330101"/>
    <s v="301"/>
    <s v="90"/>
    <s v="Credito"/>
    <x v="2"/>
    <x v="216"/>
    <m/>
    <s v="000252"/>
    <s v="000132"/>
    <n v="1708.91"/>
    <s v="0,00"/>
    <s v="0,00"/>
    <s v="0,00"/>
    <s v="0,00"/>
    <s v="ORC2022_2"/>
    <s v="0012"/>
    <m/>
    <m/>
    <m/>
    <m/>
    <m/>
  </r>
  <r>
    <s v="ENCARGOS SOCIAIS"/>
    <x v="46"/>
    <x v="8"/>
    <n v="2015.15"/>
    <s v="0000000127"/>
    <s v="2133"/>
    <d v="2022-01-01T00:00:00"/>
    <s v="330102"/>
    <s v="206"/>
    <s v="11"/>
    <s v="Credito"/>
    <x v="2"/>
    <x v="216"/>
    <m/>
    <s v="000252"/>
    <s v="000132"/>
    <n v="2015.15"/>
    <s v="0,00"/>
    <s v="0,00"/>
    <s v="0,00"/>
    <s v="0,00"/>
    <s v="ORC2022_2"/>
    <s v="0012"/>
    <m/>
    <m/>
    <m/>
    <m/>
    <m/>
  </r>
  <r>
    <s v="ENCARGOS SOCIAIS"/>
    <x v="46"/>
    <x v="8"/>
    <n v="2388.84"/>
    <s v="0000000127"/>
    <s v="2134"/>
    <d v="2022-01-01T00:00:00"/>
    <s v="330102"/>
    <s v="209"/>
    <s v="21"/>
    <s v="Credito"/>
    <x v="2"/>
    <x v="216"/>
    <m/>
    <s v="000252"/>
    <s v="000132"/>
    <n v="2388.84"/>
    <s v="0,00"/>
    <s v="0,00"/>
    <s v="0,00"/>
    <s v="0,00"/>
    <s v="ORC2022_2"/>
    <s v="0012"/>
    <m/>
    <m/>
    <m/>
    <m/>
    <m/>
  </r>
  <r>
    <s v="ENCARGOS SOCIAIS"/>
    <x v="46"/>
    <x v="8"/>
    <n v="362.11"/>
    <s v="0000000127"/>
    <s v="2135"/>
    <d v="2022-01-01T00:00:00"/>
    <s v="330102"/>
    <s v="211"/>
    <s v="51"/>
    <s v="Credito"/>
    <x v="2"/>
    <x v="216"/>
    <m/>
    <s v="000252"/>
    <s v="000132"/>
    <n v="362.11"/>
    <s v="0,00"/>
    <s v="0,00"/>
    <s v="0,00"/>
    <s v="0,00"/>
    <s v="ORC2022_2"/>
    <s v="0012"/>
    <m/>
    <m/>
    <m/>
    <m/>
    <m/>
  </r>
  <r>
    <s v="ENCARGOS SOCIAIS"/>
    <x v="46"/>
    <x v="8"/>
    <n v="398.79"/>
    <s v="0000000127"/>
    <s v="2136"/>
    <d v="2022-01-01T00:00:00"/>
    <s v="330102"/>
    <s v="101"/>
    <s v="90"/>
    <s v="Credito"/>
    <x v="2"/>
    <x v="216"/>
    <m/>
    <s v="000252"/>
    <s v="000132"/>
    <n v="398.79"/>
    <s v="0,00"/>
    <s v="0,00"/>
    <s v="0,00"/>
    <s v="0,00"/>
    <s v="ORC2022_2"/>
    <s v="0012"/>
    <m/>
    <m/>
    <m/>
    <m/>
    <m/>
  </r>
  <r>
    <s v="ENCARGOS SOCIAIS"/>
    <x v="46"/>
    <x v="8"/>
    <n v="7052.78"/>
    <s v="0000000127"/>
    <s v="2137"/>
    <d v="2022-01-01T00:00:00"/>
    <s v="330102"/>
    <s v="201"/>
    <s v="90"/>
    <s v="Credito"/>
    <x v="2"/>
    <x v="216"/>
    <m/>
    <s v="000252"/>
    <s v="000132"/>
    <n v="7052.78"/>
    <s v="0,00"/>
    <s v="0,00"/>
    <s v="0,00"/>
    <s v="0,00"/>
    <s v="ORC2022_2"/>
    <s v="0012"/>
    <m/>
    <m/>
    <m/>
    <m/>
    <m/>
  </r>
  <r>
    <s v="ENCARGOS SOCIAIS"/>
    <x v="46"/>
    <x v="8"/>
    <n v="1013.68"/>
    <s v="0000000127"/>
    <s v="2138"/>
    <d v="2022-01-01T00:00:00"/>
    <s v="330102"/>
    <s v="202"/>
    <s v="90"/>
    <s v="Credito"/>
    <x v="2"/>
    <x v="216"/>
    <m/>
    <s v="000252"/>
    <s v="000132"/>
    <n v="1013.68"/>
    <s v="0,00"/>
    <s v="0,00"/>
    <s v="0,00"/>
    <s v="0,00"/>
    <s v="ORC2022_2"/>
    <s v="0012"/>
    <m/>
    <m/>
    <m/>
    <m/>
    <m/>
  </r>
  <r>
    <s v="ENCARGOS SOCIAIS"/>
    <x v="46"/>
    <x v="8"/>
    <n v="435.29"/>
    <s v="0000000127"/>
    <s v="2139"/>
    <d v="2022-01-01T00:00:00"/>
    <s v="330102"/>
    <s v="203"/>
    <s v="90"/>
    <s v="Credito"/>
    <x v="2"/>
    <x v="216"/>
    <m/>
    <s v="000252"/>
    <s v="000132"/>
    <n v="435.29"/>
    <s v="0,00"/>
    <s v="0,00"/>
    <s v="0,00"/>
    <s v="0,00"/>
    <s v="ORC2022_2"/>
    <s v="0012"/>
    <m/>
    <m/>
    <m/>
    <m/>
    <m/>
  </r>
  <r>
    <s v="ENCARGOS SOCIAIS"/>
    <x v="46"/>
    <x v="8"/>
    <n v="2489.6799999999998"/>
    <s v="0000000127"/>
    <s v="2140"/>
    <d v="2022-01-01T00:00:00"/>
    <s v="330102"/>
    <s v="204"/>
    <s v="90"/>
    <s v="Credito"/>
    <x v="2"/>
    <x v="216"/>
    <m/>
    <s v="000252"/>
    <s v="000132"/>
    <n v="2489.6799999999998"/>
    <s v="0,00"/>
    <s v="0,00"/>
    <s v="0,00"/>
    <s v="0,00"/>
    <s v="ORC2022_2"/>
    <s v="0012"/>
    <m/>
    <m/>
    <m/>
    <m/>
    <m/>
  </r>
  <r>
    <s v="ENCARGOS SOCIAIS"/>
    <x v="46"/>
    <x v="8"/>
    <n v="605.86"/>
    <s v="0000000127"/>
    <s v="2141"/>
    <d v="2022-01-01T00:00:00"/>
    <s v="330102"/>
    <s v="205"/>
    <s v="90"/>
    <s v="Credito"/>
    <x v="2"/>
    <x v="216"/>
    <m/>
    <s v="000252"/>
    <s v="000132"/>
    <n v="605.86"/>
    <s v="0,00"/>
    <s v="0,00"/>
    <s v="0,00"/>
    <s v="0,00"/>
    <s v="ORC2022_2"/>
    <s v="0012"/>
    <m/>
    <m/>
    <m/>
    <m/>
    <m/>
  </r>
  <r>
    <s v="ENCARGOS SOCIAIS"/>
    <x v="46"/>
    <x v="8"/>
    <n v="4239.97"/>
    <s v="0000000127"/>
    <s v="2142"/>
    <d v="2022-01-01T00:00:00"/>
    <s v="330102"/>
    <s v="207"/>
    <s v="90"/>
    <s v="Credito"/>
    <x v="2"/>
    <x v="216"/>
    <m/>
    <s v="000252"/>
    <s v="000132"/>
    <n v="4239.97"/>
    <s v="0,00"/>
    <s v="0,00"/>
    <s v="0,00"/>
    <s v="0,00"/>
    <s v="ORC2022_2"/>
    <s v="0012"/>
    <m/>
    <m/>
    <m/>
    <m/>
    <m/>
  </r>
  <r>
    <s v="ENCARGOS SOCIAIS"/>
    <x v="46"/>
    <x v="8"/>
    <n v="3541.29"/>
    <s v="0000000127"/>
    <s v="2143"/>
    <d v="2022-01-01T00:00:00"/>
    <s v="330102"/>
    <s v="208"/>
    <s v="90"/>
    <s v="Credito"/>
    <x v="2"/>
    <x v="216"/>
    <m/>
    <s v="000252"/>
    <s v="000132"/>
    <n v="3541.29"/>
    <s v="0,00"/>
    <s v="0,00"/>
    <s v="0,00"/>
    <s v="0,00"/>
    <s v="ORC2022_2"/>
    <s v="0012"/>
    <m/>
    <m/>
    <m/>
    <m/>
    <m/>
  </r>
  <r>
    <s v="ENCARGOS SOCIAIS"/>
    <x v="46"/>
    <x v="8"/>
    <n v="2218.79"/>
    <s v="0000000127"/>
    <s v="2144"/>
    <d v="2022-01-01T00:00:00"/>
    <s v="330102"/>
    <s v="209"/>
    <s v="90"/>
    <s v="Credito"/>
    <x v="2"/>
    <x v="216"/>
    <m/>
    <s v="000252"/>
    <s v="000132"/>
    <n v="2218.79"/>
    <s v="0,00"/>
    <s v="0,00"/>
    <s v="0,00"/>
    <s v="0,00"/>
    <s v="ORC2022_2"/>
    <s v="0012"/>
    <m/>
    <m/>
    <m/>
    <m/>
    <m/>
  </r>
  <r>
    <s v="ENCARGOS SOCIAIS"/>
    <x v="46"/>
    <x v="8"/>
    <n v="1063.69"/>
    <s v="0000000127"/>
    <s v="2145"/>
    <d v="2022-01-01T00:00:00"/>
    <s v="330102"/>
    <s v="210"/>
    <s v="90"/>
    <s v="Credito"/>
    <x v="2"/>
    <x v="216"/>
    <m/>
    <s v="000252"/>
    <s v="000132"/>
    <n v="1063.69"/>
    <s v="0,00"/>
    <s v="0,00"/>
    <s v="0,00"/>
    <s v="0,00"/>
    <s v="ORC2022_2"/>
    <s v="0012"/>
    <m/>
    <m/>
    <m/>
    <m/>
    <m/>
  </r>
  <r>
    <s v="ENCARGOS SOCIAIS"/>
    <x v="46"/>
    <x v="9"/>
    <n v="2295.66"/>
    <s v="0000000127"/>
    <s v="2146"/>
    <d v="2022-02-01T00:00:00"/>
    <s v="330102"/>
    <s v="206"/>
    <s v="11"/>
    <s v="Credito"/>
    <x v="2"/>
    <x v="216"/>
    <m/>
    <s v="000252"/>
    <s v="000132"/>
    <n v="2295.66"/>
    <s v="0,00"/>
    <s v="0,00"/>
    <s v="0,00"/>
    <s v="0,00"/>
    <s v="ORC2022_2"/>
    <s v="0012"/>
    <m/>
    <m/>
    <m/>
    <m/>
    <m/>
  </r>
  <r>
    <s v="ENCARGOS SOCIAIS"/>
    <x v="46"/>
    <x v="9"/>
    <n v="1314.98"/>
    <s v="0000000127"/>
    <s v="2147"/>
    <d v="2022-02-01T00:00:00"/>
    <s v="330102"/>
    <s v="209"/>
    <s v="21"/>
    <s v="Credito"/>
    <x v="2"/>
    <x v="216"/>
    <m/>
    <s v="000252"/>
    <s v="000132"/>
    <n v="1314.98"/>
    <s v="0,00"/>
    <s v="0,00"/>
    <s v="0,00"/>
    <s v="0,00"/>
    <s v="ORC2022_2"/>
    <s v="0012"/>
    <m/>
    <m/>
    <m/>
    <m/>
    <m/>
  </r>
  <r>
    <s v="ENCARGOS SOCIAIS"/>
    <x v="46"/>
    <x v="9"/>
    <n v="352.67"/>
    <s v="0000000127"/>
    <s v="2148"/>
    <d v="2022-02-01T00:00:00"/>
    <s v="330102"/>
    <s v="211"/>
    <s v="51"/>
    <s v="Credito"/>
    <x v="2"/>
    <x v="216"/>
    <m/>
    <s v="000252"/>
    <s v="000132"/>
    <n v="352.67"/>
    <s v="0,00"/>
    <s v="0,00"/>
    <s v="0,00"/>
    <s v="0,00"/>
    <s v="ORC2022_2"/>
    <s v="0012"/>
    <m/>
    <m/>
    <m/>
    <m/>
    <m/>
  </r>
  <r>
    <s v="ENCARGOS SOCIAIS"/>
    <x v="46"/>
    <x v="9"/>
    <n v="386.62"/>
    <s v="0000000127"/>
    <s v="2149"/>
    <d v="2022-02-01T00:00:00"/>
    <s v="330102"/>
    <s v="101"/>
    <s v="90"/>
    <s v="Credito"/>
    <x v="2"/>
    <x v="216"/>
    <m/>
    <s v="000252"/>
    <s v="000132"/>
    <n v="386.62"/>
    <s v="0,00"/>
    <s v="0,00"/>
    <s v="0,00"/>
    <s v="0,00"/>
    <s v="ORC2022_2"/>
    <s v="0012"/>
    <m/>
    <m/>
    <m/>
    <m/>
    <m/>
  </r>
  <r>
    <s v="ENCARGOS SOCIAIS"/>
    <x v="46"/>
    <x v="9"/>
    <n v="6631.17"/>
    <s v="0000000127"/>
    <s v="2150"/>
    <d v="2022-02-01T00:00:00"/>
    <s v="330102"/>
    <s v="201"/>
    <s v="90"/>
    <s v="Credito"/>
    <x v="2"/>
    <x v="216"/>
    <m/>
    <s v="000252"/>
    <s v="000132"/>
    <n v="6631.17"/>
    <s v="0,00"/>
    <s v="0,00"/>
    <s v="0,00"/>
    <s v="0,00"/>
    <s v="ORC2022_2"/>
    <s v="0012"/>
    <m/>
    <m/>
    <m/>
    <m/>
    <m/>
  </r>
  <r>
    <s v="ENCARGOS SOCIAIS"/>
    <x v="46"/>
    <x v="9"/>
    <n v="999.78"/>
    <s v="0000000127"/>
    <s v="2151"/>
    <d v="2022-02-01T00:00:00"/>
    <s v="330102"/>
    <s v="202"/>
    <s v="90"/>
    <s v="Credito"/>
    <x v="2"/>
    <x v="216"/>
    <m/>
    <s v="000252"/>
    <s v="000132"/>
    <n v="999.78"/>
    <s v="0,00"/>
    <s v="0,00"/>
    <s v="0,00"/>
    <s v="0,00"/>
    <s v="ORC2022_2"/>
    <s v="0012"/>
    <m/>
    <m/>
    <m/>
    <m/>
    <m/>
  </r>
  <r>
    <s v="ENCARGOS SOCIAIS"/>
    <x v="46"/>
    <x v="9"/>
    <n v="516.55999999999995"/>
    <s v="0000000127"/>
    <s v="2152"/>
    <d v="2022-02-01T00:00:00"/>
    <s v="330102"/>
    <s v="203"/>
    <s v="90"/>
    <s v="Credito"/>
    <x v="2"/>
    <x v="216"/>
    <m/>
    <s v="000252"/>
    <s v="000132"/>
    <n v="516.55999999999995"/>
    <s v="0,00"/>
    <s v="0,00"/>
    <s v="0,00"/>
    <s v="0,00"/>
    <s v="ORC2022_2"/>
    <s v="0012"/>
    <m/>
    <m/>
    <m/>
    <m/>
    <m/>
  </r>
  <r>
    <s v="ENCARGOS SOCIAIS"/>
    <x v="46"/>
    <x v="9"/>
    <n v="2567.6999999999998"/>
    <s v="0000000127"/>
    <s v="2153"/>
    <d v="2022-02-01T00:00:00"/>
    <s v="330102"/>
    <s v="204"/>
    <s v="90"/>
    <s v="Credito"/>
    <x v="2"/>
    <x v="216"/>
    <m/>
    <s v="000252"/>
    <s v="000132"/>
    <n v="2567.6999999999998"/>
    <s v="0,00"/>
    <s v="0,00"/>
    <s v="0,00"/>
    <s v="0,00"/>
    <s v="ORC2022_2"/>
    <s v="0012"/>
    <m/>
    <m/>
    <m/>
    <m/>
    <m/>
  </r>
  <r>
    <s v="ENCARGOS SOCIAIS"/>
    <x v="46"/>
    <x v="9"/>
    <n v="690.41"/>
    <s v="0000000127"/>
    <s v="2154"/>
    <d v="2022-02-01T00:00:00"/>
    <s v="330102"/>
    <s v="205"/>
    <s v="90"/>
    <s v="Credito"/>
    <x v="2"/>
    <x v="216"/>
    <m/>
    <s v="000252"/>
    <s v="000132"/>
    <n v="690.41"/>
    <s v="0,00"/>
    <s v="0,00"/>
    <s v="0,00"/>
    <s v="0,00"/>
    <s v="ORC2022_2"/>
    <s v="0012"/>
    <m/>
    <m/>
    <m/>
    <m/>
    <m/>
  </r>
  <r>
    <s v="ENCARGOS SOCIAIS"/>
    <x v="46"/>
    <x v="9"/>
    <n v="4057.77"/>
    <s v="0000000127"/>
    <s v="2155"/>
    <d v="2022-02-01T00:00:00"/>
    <s v="330102"/>
    <s v="207"/>
    <s v="90"/>
    <s v="Credito"/>
    <x v="2"/>
    <x v="216"/>
    <m/>
    <s v="000252"/>
    <s v="000132"/>
    <n v="4057.77"/>
    <s v="0,00"/>
    <s v="0,00"/>
    <s v="0,00"/>
    <s v="0,00"/>
    <s v="ORC2022_2"/>
    <s v="0012"/>
    <m/>
    <m/>
    <m/>
    <m/>
    <m/>
  </r>
  <r>
    <s v="ENCARGOS SOCIAIS"/>
    <x v="46"/>
    <x v="9"/>
    <n v="3063.98"/>
    <s v="0000000127"/>
    <s v="2156"/>
    <d v="2022-02-01T00:00:00"/>
    <s v="330102"/>
    <s v="208"/>
    <s v="90"/>
    <s v="Credito"/>
    <x v="2"/>
    <x v="216"/>
    <m/>
    <s v="000252"/>
    <s v="000132"/>
    <n v="3063.98"/>
    <s v="0,00"/>
    <s v="0,00"/>
    <s v="0,00"/>
    <s v="0,00"/>
    <s v="ORC2022_2"/>
    <s v="0012"/>
    <m/>
    <m/>
    <m/>
    <m/>
    <m/>
  </r>
  <r>
    <s v="ENCARGOS SOCIAIS"/>
    <x v="46"/>
    <x v="9"/>
    <n v="1764.57"/>
    <s v="0000000127"/>
    <s v="2157"/>
    <d v="2022-02-01T00:00:00"/>
    <s v="330102"/>
    <s v="209"/>
    <s v="90"/>
    <s v="Credito"/>
    <x v="2"/>
    <x v="216"/>
    <m/>
    <s v="000252"/>
    <s v="000132"/>
    <n v="1764.57"/>
    <s v="0,00"/>
    <s v="0,00"/>
    <s v="0,00"/>
    <s v="0,00"/>
    <s v="ORC2022_2"/>
    <s v="0012"/>
    <m/>
    <m/>
    <m/>
    <m/>
    <m/>
  </r>
  <r>
    <s v="ENCARGOS SOCIAIS"/>
    <x v="46"/>
    <x v="9"/>
    <n v="1064.99"/>
    <s v="0000000127"/>
    <s v="2158"/>
    <d v="2022-02-01T00:00:00"/>
    <s v="330102"/>
    <s v="210"/>
    <s v="90"/>
    <s v="Credito"/>
    <x v="2"/>
    <x v="216"/>
    <m/>
    <s v="000252"/>
    <s v="000132"/>
    <n v="1064.99"/>
    <s v="0,00"/>
    <s v="0,00"/>
    <s v="0,00"/>
    <s v="0,00"/>
    <s v="ORC2022_2"/>
    <s v="0012"/>
    <m/>
    <m/>
    <m/>
    <m/>
    <m/>
  </r>
  <r>
    <s v="ENCARGOS SOCIAIS"/>
    <x v="46"/>
    <x v="9"/>
    <n v="304.14999999999998"/>
    <s v="0000000127"/>
    <s v="2159"/>
    <d v="2022-02-01T00:00:00"/>
    <s v="330102"/>
    <s v="301"/>
    <s v="90"/>
    <s v="Credito"/>
    <x v="2"/>
    <x v="216"/>
    <m/>
    <s v="000252"/>
    <s v="000132"/>
    <n v="304.14999999999998"/>
    <s v="0,00"/>
    <s v="0,00"/>
    <s v="0,00"/>
    <s v="0,00"/>
    <s v="ORC2022_2"/>
    <s v="0012"/>
    <m/>
    <m/>
    <m/>
    <m/>
    <m/>
  </r>
  <r>
    <s v="ENCARGOS SOCIAIS"/>
    <x v="46"/>
    <x v="10"/>
    <n v="2643.43"/>
    <s v="0000000127"/>
    <s v="2160"/>
    <d v="2022-03-01T00:00:00"/>
    <s v="330102"/>
    <s v="206"/>
    <s v="11"/>
    <s v="Credito"/>
    <x v="2"/>
    <x v="216"/>
    <m/>
    <s v="000252"/>
    <s v="000132"/>
    <n v="2643.43"/>
    <s v="0,00"/>
    <s v="0,00"/>
    <s v="0,00"/>
    <s v="0,00"/>
    <s v="ORC2022_2"/>
    <s v="0012"/>
    <m/>
    <m/>
    <m/>
    <m/>
    <m/>
  </r>
  <r>
    <s v="ENCARGOS SOCIAIS"/>
    <x v="46"/>
    <x v="10"/>
    <n v="1600.2"/>
    <s v="0000000127"/>
    <s v="2161"/>
    <d v="2022-03-01T00:00:00"/>
    <s v="330102"/>
    <s v="209"/>
    <s v="21"/>
    <s v="Credito"/>
    <x v="2"/>
    <x v="216"/>
    <m/>
    <s v="000252"/>
    <s v="000132"/>
    <n v="1600.2"/>
    <s v="0,00"/>
    <s v="0,00"/>
    <s v="0,00"/>
    <s v="0,00"/>
    <s v="ORC2022_2"/>
    <s v="0012"/>
    <m/>
    <m/>
    <m/>
    <m/>
    <m/>
  </r>
  <r>
    <s v="ENCARGOS SOCIAIS"/>
    <x v="46"/>
    <x v="10"/>
    <n v="392.38"/>
    <s v="0000000127"/>
    <s v="2162"/>
    <d v="2022-03-01T00:00:00"/>
    <s v="330102"/>
    <s v="101"/>
    <s v="90"/>
    <s v="Credito"/>
    <x v="2"/>
    <x v="216"/>
    <m/>
    <s v="000252"/>
    <s v="000132"/>
    <n v="392.38"/>
    <s v="0,00"/>
    <s v="0,00"/>
    <s v="0,00"/>
    <s v="0,00"/>
    <s v="ORC2022_2"/>
    <s v="0012"/>
    <m/>
    <m/>
    <m/>
    <m/>
    <m/>
  </r>
  <r>
    <s v="ENCARGOS SOCIAIS"/>
    <x v="46"/>
    <x v="10"/>
    <n v="7267.57"/>
    <s v="0000000127"/>
    <s v="2163"/>
    <d v="2022-03-01T00:00:00"/>
    <s v="330102"/>
    <s v="201"/>
    <s v="90"/>
    <s v="Credito"/>
    <x v="2"/>
    <x v="216"/>
    <m/>
    <s v="000252"/>
    <s v="000132"/>
    <n v="7267.57"/>
    <s v="0,00"/>
    <s v="0,00"/>
    <s v="0,00"/>
    <s v="0,00"/>
    <s v="ORC2022_2"/>
    <s v="0012"/>
    <m/>
    <m/>
    <m/>
    <m/>
    <m/>
  </r>
  <r>
    <s v="ENCARGOS SOCIAIS"/>
    <x v="46"/>
    <x v="10"/>
    <n v="1004.54"/>
    <s v="0000000127"/>
    <s v="2164"/>
    <d v="2022-03-01T00:00:00"/>
    <s v="330102"/>
    <s v="202"/>
    <s v="90"/>
    <s v="Credito"/>
    <x v="2"/>
    <x v="216"/>
    <m/>
    <s v="000252"/>
    <s v="000132"/>
    <n v="1004.54"/>
    <s v="0,00"/>
    <s v="0,00"/>
    <s v="0,00"/>
    <s v="0,00"/>
    <s v="ORC2022_2"/>
    <s v="0012"/>
    <m/>
    <m/>
    <m/>
    <m/>
    <m/>
  </r>
  <r>
    <s v="ENCARGOS SOCIAIS"/>
    <x v="46"/>
    <x v="10"/>
    <n v="522.58000000000004"/>
    <s v="0000000127"/>
    <s v="2165"/>
    <d v="2022-03-01T00:00:00"/>
    <s v="330102"/>
    <s v="203"/>
    <s v="90"/>
    <s v="Credito"/>
    <x v="2"/>
    <x v="216"/>
    <m/>
    <s v="000252"/>
    <s v="000132"/>
    <n v="522.58000000000004"/>
    <s v="0,00"/>
    <s v="0,00"/>
    <s v="0,00"/>
    <s v="0,00"/>
    <s v="ORC2022_2"/>
    <s v="0012"/>
    <m/>
    <m/>
    <m/>
    <m/>
    <m/>
  </r>
  <r>
    <s v="ENCARGOS SOCIAIS"/>
    <x v="46"/>
    <x v="10"/>
    <n v="2829.25"/>
    <s v="0000000127"/>
    <s v="2166"/>
    <d v="2022-03-01T00:00:00"/>
    <s v="330102"/>
    <s v="204"/>
    <s v="90"/>
    <s v="Credito"/>
    <x v="2"/>
    <x v="216"/>
    <m/>
    <s v="000252"/>
    <s v="000132"/>
    <n v="2829.25"/>
    <s v="0,00"/>
    <s v="0,00"/>
    <s v="0,00"/>
    <s v="0,00"/>
    <s v="ORC2022_2"/>
    <s v="0012"/>
    <m/>
    <m/>
    <m/>
    <m/>
    <m/>
  </r>
  <r>
    <s v="ENCARGOS SOCIAIS"/>
    <x v="46"/>
    <x v="10"/>
    <n v="695.01"/>
    <s v="0000000127"/>
    <s v="2167"/>
    <d v="2022-03-01T00:00:00"/>
    <s v="330102"/>
    <s v="205"/>
    <s v="90"/>
    <s v="Credito"/>
    <x v="2"/>
    <x v="216"/>
    <m/>
    <s v="000252"/>
    <s v="000132"/>
    <n v="695.01"/>
    <s v="0,00"/>
    <s v="0,00"/>
    <s v="0,00"/>
    <s v="0,00"/>
    <s v="ORC2022_2"/>
    <s v="0012"/>
    <m/>
    <m/>
    <m/>
    <m/>
    <m/>
  </r>
  <r>
    <s v="ENCARGOS SOCIAIS"/>
    <x v="46"/>
    <x v="10"/>
    <n v="4298.49"/>
    <s v="0000000127"/>
    <s v="2168"/>
    <d v="2022-03-01T00:00:00"/>
    <s v="330102"/>
    <s v="207"/>
    <s v="90"/>
    <s v="Credito"/>
    <x v="2"/>
    <x v="216"/>
    <m/>
    <s v="000252"/>
    <s v="000132"/>
    <n v="4298.49"/>
    <s v="0,00"/>
    <s v="0,00"/>
    <s v="0,00"/>
    <s v="0,00"/>
    <s v="ORC2022_2"/>
    <s v="0012"/>
    <m/>
    <m/>
    <m/>
    <m/>
    <m/>
  </r>
  <r>
    <s v="ENCARGOS SOCIAIS"/>
    <x v="46"/>
    <x v="10"/>
    <n v="4488.49"/>
    <s v="0000000127"/>
    <s v="2169"/>
    <d v="2022-03-01T00:00:00"/>
    <s v="330102"/>
    <s v="208"/>
    <s v="90"/>
    <s v="Credito"/>
    <x v="2"/>
    <x v="216"/>
    <m/>
    <s v="000252"/>
    <s v="000132"/>
    <n v="4488.49"/>
    <s v="0,00"/>
    <s v="0,00"/>
    <s v="0,00"/>
    <s v="0,00"/>
    <s v="ORC2022_2"/>
    <s v="0012"/>
    <m/>
    <m/>
    <m/>
    <m/>
    <m/>
  </r>
  <r>
    <s v="ENCARGOS SOCIAIS"/>
    <x v="46"/>
    <x v="10"/>
    <n v="1878.07"/>
    <s v="0000000127"/>
    <s v="2170"/>
    <d v="2022-03-01T00:00:00"/>
    <s v="330102"/>
    <s v="209"/>
    <s v="90"/>
    <s v="Credito"/>
    <x v="2"/>
    <x v="216"/>
    <m/>
    <s v="000252"/>
    <s v="000132"/>
    <n v="1878.07"/>
    <s v="0,00"/>
    <s v="0,00"/>
    <s v="0,00"/>
    <s v="0,00"/>
    <s v="ORC2022_2"/>
    <s v="0012"/>
    <m/>
    <m/>
    <m/>
    <m/>
    <m/>
  </r>
  <r>
    <s v="ENCARGOS SOCIAIS"/>
    <x v="46"/>
    <x v="10"/>
    <n v="1157.67"/>
    <s v="0000000127"/>
    <s v="2171"/>
    <d v="2022-03-01T00:00:00"/>
    <s v="330102"/>
    <s v="210"/>
    <s v="90"/>
    <s v="Credito"/>
    <x v="2"/>
    <x v="216"/>
    <m/>
    <s v="000252"/>
    <s v="000132"/>
    <n v="1157.67"/>
    <s v="0,00"/>
    <s v="0,00"/>
    <s v="0,00"/>
    <s v="0,00"/>
    <s v="ORC2022_2"/>
    <s v="0012"/>
    <m/>
    <m/>
    <m/>
    <m/>
    <m/>
  </r>
  <r>
    <s v="ENCARGOS SOCIAIS"/>
    <x v="46"/>
    <x v="11"/>
    <n v="3514.19"/>
    <s v="0000000127"/>
    <s v="2172"/>
    <d v="2022-04-01T00:00:00"/>
    <s v="330102"/>
    <s v="206"/>
    <s v="11"/>
    <s v="Credito"/>
    <x v="2"/>
    <x v="216"/>
    <m/>
    <s v="000252"/>
    <s v="000132"/>
    <n v="3514.19"/>
    <s v="0,00"/>
    <s v="0,00"/>
    <s v="0,00"/>
    <s v="0,00"/>
    <s v="ORC2022_2"/>
    <s v="0012"/>
    <m/>
    <m/>
    <m/>
    <m/>
    <m/>
  </r>
  <r>
    <s v="ENCARGOS SOCIAIS"/>
    <x v="46"/>
    <x v="11"/>
    <n v="1812.48"/>
    <s v="0000000127"/>
    <s v="2173"/>
    <d v="2022-04-01T00:00:00"/>
    <s v="330102"/>
    <s v="209"/>
    <s v="21"/>
    <s v="Credito"/>
    <x v="2"/>
    <x v="216"/>
    <m/>
    <s v="000252"/>
    <s v="000132"/>
    <n v="1812.48"/>
    <s v="0,00"/>
    <s v="0,00"/>
    <s v="0,00"/>
    <s v="0,00"/>
    <s v="ORC2022_2"/>
    <s v="0012"/>
    <m/>
    <m/>
    <m/>
    <m/>
    <m/>
  </r>
  <r>
    <s v="ENCARGOS SOCIAIS"/>
    <x v="46"/>
    <x v="11"/>
    <n v="392.37"/>
    <s v="0000000127"/>
    <s v="2174"/>
    <d v="2022-04-01T00:00:00"/>
    <s v="330102"/>
    <s v="101"/>
    <s v="90"/>
    <s v="Credito"/>
    <x v="2"/>
    <x v="216"/>
    <m/>
    <s v="000252"/>
    <s v="000132"/>
    <n v="392.37"/>
    <s v="0,00"/>
    <s v="0,00"/>
    <s v="0,00"/>
    <s v="0,00"/>
    <s v="ORC2022_2"/>
    <s v="0012"/>
    <m/>
    <m/>
    <m/>
    <m/>
    <m/>
  </r>
  <r>
    <s v="ENCARGOS SOCIAIS"/>
    <x v="46"/>
    <x v="11"/>
    <n v="7065.01"/>
    <s v="0000000127"/>
    <s v="2175"/>
    <d v="2022-04-01T00:00:00"/>
    <s v="330102"/>
    <s v="201"/>
    <s v="90"/>
    <s v="Credito"/>
    <x v="2"/>
    <x v="216"/>
    <m/>
    <s v="000252"/>
    <s v="000132"/>
    <n v="7065.01"/>
    <s v="0,00"/>
    <s v="0,00"/>
    <s v="0,00"/>
    <s v="0,00"/>
    <s v="ORC2022_2"/>
    <s v="0012"/>
    <m/>
    <m/>
    <m/>
    <m/>
    <m/>
  </r>
  <r>
    <s v="ENCARGOS SOCIAIS"/>
    <x v="46"/>
    <x v="11"/>
    <n v="1004.51"/>
    <s v="0000000127"/>
    <s v="2176"/>
    <d v="2022-04-01T00:00:00"/>
    <s v="330102"/>
    <s v="202"/>
    <s v="90"/>
    <s v="Credito"/>
    <x v="2"/>
    <x v="216"/>
    <m/>
    <s v="000252"/>
    <s v="000132"/>
    <n v="1004.51"/>
    <s v="0,00"/>
    <s v="0,00"/>
    <s v="0,00"/>
    <s v="0,00"/>
    <s v="ORC2022_2"/>
    <s v="0012"/>
    <m/>
    <m/>
    <m/>
    <m/>
    <m/>
  </r>
  <r>
    <s v="ENCARGOS SOCIAIS"/>
    <x v="46"/>
    <x v="11"/>
    <n v="522.52"/>
    <s v="0000000127"/>
    <s v="2177"/>
    <d v="2022-04-01T00:00:00"/>
    <s v="330102"/>
    <s v="203"/>
    <s v="90"/>
    <s v="Credito"/>
    <x v="2"/>
    <x v="216"/>
    <m/>
    <s v="000252"/>
    <s v="000132"/>
    <n v="522.52"/>
    <s v="0,00"/>
    <s v="0,00"/>
    <s v="0,00"/>
    <s v="0,00"/>
    <s v="ORC2022_2"/>
    <s v="0012"/>
    <m/>
    <m/>
    <m/>
    <m/>
    <m/>
  </r>
  <r>
    <s v="ENCARGOS SOCIAIS"/>
    <x v="46"/>
    <x v="11"/>
    <n v="2546.04"/>
    <s v="0000000127"/>
    <s v="2178"/>
    <d v="2022-04-01T00:00:00"/>
    <s v="330102"/>
    <s v="204"/>
    <s v="90"/>
    <s v="Credito"/>
    <x v="2"/>
    <x v="216"/>
    <m/>
    <s v="000252"/>
    <s v="000132"/>
    <n v="2546.04"/>
    <s v="0,00"/>
    <s v="0,00"/>
    <s v="0,00"/>
    <s v="0,00"/>
    <s v="ORC2022_2"/>
    <s v="0012"/>
    <m/>
    <m/>
    <m/>
    <m/>
    <m/>
  </r>
  <r>
    <s v="ENCARGOS SOCIAIS"/>
    <x v="46"/>
    <x v="11"/>
    <n v="695.02"/>
    <s v="0000000127"/>
    <s v="2179"/>
    <d v="2022-04-01T00:00:00"/>
    <s v="330102"/>
    <s v="205"/>
    <s v="90"/>
    <s v="Credito"/>
    <x v="2"/>
    <x v="216"/>
    <m/>
    <s v="000252"/>
    <s v="000132"/>
    <n v="695.02"/>
    <s v="0,00"/>
    <s v="0,00"/>
    <s v="0,00"/>
    <s v="0,00"/>
    <s v="ORC2022_2"/>
    <s v="0012"/>
    <m/>
    <m/>
    <m/>
    <m/>
    <m/>
  </r>
  <r>
    <s v="ENCARGOS SOCIAIS"/>
    <x v="46"/>
    <x v="11"/>
    <n v="1089.3399999999999"/>
    <s v="0000000127"/>
    <s v="2180"/>
    <d v="2022-04-01T00:00:00"/>
    <s v="330102"/>
    <s v="206"/>
    <s v="90"/>
    <s v="Credito"/>
    <x v="2"/>
    <x v="216"/>
    <m/>
    <s v="000252"/>
    <s v="000132"/>
    <n v="1089.3399999999999"/>
    <s v="0,00"/>
    <s v="0,00"/>
    <s v="0,00"/>
    <s v="0,00"/>
    <s v="ORC2022_2"/>
    <s v="0012"/>
    <m/>
    <m/>
    <m/>
    <m/>
    <m/>
  </r>
  <r>
    <s v="ENCARGOS SOCIAIS"/>
    <x v="46"/>
    <x v="11"/>
    <n v="4029.99"/>
    <s v="0000000127"/>
    <s v="2181"/>
    <d v="2022-04-01T00:00:00"/>
    <s v="330102"/>
    <s v="207"/>
    <s v="90"/>
    <s v="Credito"/>
    <x v="2"/>
    <x v="216"/>
    <m/>
    <s v="000252"/>
    <s v="000132"/>
    <n v="4029.99"/>
    <s v="0,00"/>
    <s v="0,00"/>
    <s v="0,00"/>
    <s v="0,00"/>
    <s v="ORC2022_2"/>
    <s v="0012"/>
    <m/>
    <m/>
    <m/>
    <m/>
    <m/>
  </r>
  <r>
    <s v="ENCARGOS SOCIAIS"/>
    <x v="46"/>
    <x v="11"/>
    <n v="3329.05"/>
    <s v="0000000127"/>
    <s v="2182"/>
    <d v="2022-04-01T00:00:00"/>
    <s v="330102"/>
    <s v="208"/>
    <s v="90"/>
    <s v="Credito"/>
    <x v="2"/>
    <x v="216"/>
    <m/>
    <s v="000252"/>
    <s v="000132"/>
    <n v="3329.05"/>
    <s v="0,00"/>
    <s v="0,00"/>
    <s v="0,00"/>
    <s v="0,00"/>
    <s v="ORC2022_2"/>
    <s v="0012"/>
    <m/>
    <m/>
    <m/>
    <m/>
    <m/>
  </r>
  <r>
    <s v="ENCARGOS SOCIAIS"/>
    <x v="46"/>
    <x v="11"/>
    <n v="1842.62"/>
    <s v="0000000127"/>
    <s v="2183"/>
    <d v="2022-04-01T00:00:00"/>
    <s v="330102"/>
    <s v="209"/>
    <s v="90"/>
    <s v="Credito"/>
    <x v="2"/>
    <x v="216"/>
    <m/>
    <s v="000252"/>
    <s v="000132"/>
    <n v="1842.62"/>
    <s v="0,00"/>
    <s v="0,00"/>
    <s v="0,00"/>
    <s v="0,00"/>
    <s v="ORC2022_2"/>
    <s v="0012"/>
    <m/>
    <m/>
    <m/>
    <m/>
    <m/>
  </r>
  <r>
    <s v="ENCARGOS SOCIAIS"/>
    <x v="46"/>
    <x v="11"/>
    <n v="1096.06"/>
    <s v="0000000127"/>
    <s v="2184"/>
    <d v="2022-04-01T00:00:00"/>
    <s v="330102"/>
    <s v="210"/>
    <s v="90"/>
    <s v="Credito"/>
    <x v="2"/>
    <x v="216"/>
    <m/>
    <s v="000252"/>
    <s v="000132"/>
    <n v="1096.06"/>
    <s v="0,00"/>
    <s v="0,00"/>
    <s v="0,00"/>
    <s v="0,00"/>
    <s v="ORC2022_2"/>
    <s v="0012"/>
    <m/>
    <m/>
    <m/>
    <m/>
    <m/>
  </r>
  <r>
    <s v="ENCARGOS SOCIAIS"/>
    <x v="46"/>
    <x v="12"/>
    <n v="2824.4"/>
    <s v="0000000127"/>
    <s v="2185"/>
    <d v="2022-05-01T00:00:00"/>
    <s v="330102"/>
    <s v="206"/>
    <s v="11"/>
    <s v="Credito"/>
    <x v="2"/>
    <x v="216"/>
    <m/>
    <s v="000252"/>
    <s v="000132"/>
    <n v="2824.4"/>
    <s v="0,00"/>
    <s v="0,00"/>
    <s v="0,00"/>
    <s v="0,00"/>
    <s v="ORC2022_2"/>
    <s v="0012"/>
    <m/>
    <m/>
    <m/>
    <m/>
    <m/>
  </r>
  <r>
    <s v="ENCARGOS SOCIAIS"/>
    <x v="46"/>
    <x v="12"/>
    <n v="1385.87"/>
    <s v="0000000127"/>
    <s v="2186"/>
    <d v="2022-05-01T00:00:00"/>
    <s v="330102"/>
    <s v="209"/>
    <s v="21"/>
    <s v="Credito"/>
    <x v="2"/>
    <x v="216"/>
    <m/>
    <s v="000252"/>
    <s v="000132"/>
    <n v="1385.87"/>
    <s v="0,00"/>
    <s v="0,00"/>
    <s v="0,00"/>
    <s v="0,00"/>
    <s v="ORC2022_2"/>
    <s v="0012"/>
    <m/>
    <m/>
    <m/>
    <m/>
    <m/>
  </r>
  <r>
    <s v="ENCARGOS SOCIAIS"/>
    <x v="46"/>
    <x v="12"/>
    <n v="392.37"/>
    <s v="0000000127"/>
    <s v="2187"/>
    <d v="2022-05-01T00:00:00"/>
    <s v="330102"/>
    <s v="101"/>
    <s v="90"/>
    <s v="Credito"/>
    <x v="2"/>
    <x v="216"/>
    <m/>
    <s v="000252"/>
    <s v="000132"/>
    <n v="392.37"/>
    <s v="0,00"/>
    <s v="0,00"/>
    <s v="0,00"/>
    <s v="0,00"/>
    <s v="ORC2022_2"/>
    <s v="0012"/>
    <m/>
    <m/>
    <m/>
    <m/>
    <m/>
  </r>
  <r>
    <s v="ENCARGOS SOCIAIS"/>
    <x v="46"/>
    <x v="12"/>
    <n v="6926.48"/>
    <s v="0000000127"/>
    <s v="2188"/>
    <d v="2022-05-01T00:00:00"/>
    <s v="330102"/>
    <s v="201"/>
    <s v="90"/>
    <s v="Credito"/>
    <x v="2"/>
    <x v="216"/>
    <m/>
    <s v="000252"/>
    <s v="000132"/>
    <n v="6926.48"/>
    <s v="0,00"/>
    <s v="0,00"/>
    <s v="0,00"/>
    <s v="0,00"/>
    <s v="ORC2022_2"/>
    <s v="0012"/>
    <m/>
    <m/>
    <m/>
    <m/>
    <m/>
  </r>
  <r>
    <s v="ENCARGOS SOCIAIS"/>
    <x v="46"/>
    <x v="12"/>
    <n v="1004.52"/>
    <s v="0000000127"/>
    <s v="2189"/>
    <d v="2022-05-01T00:00:00"/>
    <s v="330102"/>
    <s v="202"/>
    <s v="90"/>
    <s v="Credito"/>
    <x v="2"/>
    <x v="216"/>
    <m/>
    <s v="000252"/>
    <s v="000132"/>
    <n v="1004.52"/>
    <s v="0,00"/>
    <s v="0,00"/>
    <s v="0,00"/>
    <s v="0,00"/>
    <s v="ORC2022_2"/>
    <s v="0012"/>
    <m/>
    <m/>
    <m/>
    <m/>
    <m/>
  </r>
  <r>
    <s v="ENCARGOS SOCIAIS"/>
    <x v="46"/>
    <x v="12"/>
    <n v="521.04999999999995"/>
    <s v="0000000127"/>
    <s v="2190"/>
    <d v="2022-05-01T00:00:00"/>
    <s v="330102"/>
    <s v="203"/>
    <s v="90"/>
    <s v="Credito"/>
    <x v="2"/>
    <x v="216"/>
    <m/>
    <s v="000252"/>
    <s v="000132"/>
    <n v="521.04999999999995"/>
    <s v="0,00"/>
    <s v="0,00"/>
    <s v="0,00"/>
    <s v="0,00"/>
    <s v="ORC2022_2"/>
    <s v="0012"/>
    <m/>
    <m/>
    <m/>
    <m/>
    <m/>
  </r>
  <r>
    <s v="ENCARGOS SOCIAIS"/>
    <x v="46"/>
    <x v="12"/>
    <n v="2537.79"/>
    <s v="0000000127"/>
    <s v="2191"/>
    <d v="2022-05-01T00:00:00"/>
    <s v="330102"/>
    <s v="204"/>
    <s v="90"/>
    <s v="Credito"/>
    <x v="2"/>
    <x v="216"/>
    <m/>
    <s v="000252"/>
    <s v="000132"/>
    <n v="2537.79"/>
    <s v="0,00"/>
    <s v="0,00"/>
    <s v="0,00"/>
    <s v="0,00"/>
    <s v="ORC2022_2"/>
    <s v="0012"/>
    <m/>
    <m/>
    <m/>
    <m/>
    <m/>
  </r>
  <r>
    <s v="ENCARGOS SOCIAIS"/>
    <x v="46"/>
    <x v="12"/>
    <n v="695"/>
    <s v="0000000127"/>
    <s v="2192"/>
    <d v="2022-05-01T00:00:00"/>
    <s v="330102"/>
    <s v="205"/>
    <s v="90"/>
    <s v="Credito"/>
    <x v="2"/>
    <x v="216"/>
    <m/>
    <s v="000252"/>
    <s v="000132"/>
    <n v="695"/>
    <s v="0,00"/>
    <s v="0,00"/>
    <s v="0,00"/>
    <s v="0,00"/>
    <s v="ORC2022_2"/>
    <s v="0012"/>
    <m/>
    <m/>
    <m/>
    <m/>
    <m/>
  </r>
  <r>
    <s v="ENCARGOS SOCIAIS"/>
    <x v="46"/>
    <x v="12"/>
    <n v="4615.1000000000004"/>
    <s v="0000000127"/>
    <s v="2193"/>
    <d v="2022-05-01T00:00:00"/>
    <s v="330102"/>
    <s v="207"/>
    <s v="90"/>
    <s v="Credito"/>
    <x v="2"/>
    <x v="216"/>
    <m/>
    <s v="000252"/>
    <s v="000132"/>
    <n v="4615.1000000000004"/>
    <s v="0,00"/>
    <s v="0,00"/>
    <s v="0,00"/>
    <s v="0,00"/>
    <s v="ORC2022_2"/>
    <s v="0012"/>
    <m/>
    <m/>
    <m/>
    <m/>
    <m/>
  </r>
  <r>
    <s v="ENCARGOS SOCIAIS"/>
    <x v="46"/>
    <x v="12"/>
    <n v="3398.06"/>
    <s v="0000000127"/>
    <s v="2194"/>
    <d v="2022-05-01T00:00:00"/>
    <s v="330102"/>
    <s v="208"/>
    <s v="90"/>
    <s v="Credito"/>
    <x v="2"/>
    <x v="216"/>
    <m/>
    <s v="000252"/>
    <s v="000132"/>
    <n v="3398.06"/>
    <s v="0,00"/>
    <s v="0,00"/>
    <s v="0,00"/>
    <s v="0,00"/>
    <s v="ORC2022_2"/>
    <s v="0012"/>
    <m/>
    <m/>
    <m/>
    <m/>
    <m/>
  </r>
  <r>
    <s v="ENCARGOS SOCIAIS"/>
    <x v="46"/>
    <x v="12"/>
    <n v="1648.42"/>
    <s v="0000000127"/>
    <s v="2195"/>
    <d v="2022-05-01T00:00:00"/>
    <s v="330102"/>
    <s v="209"/>
    <s v="90"/>
    <s v="Credito"/>
    <x v="2"/>
    <x v="216"/>
    <m/>
    <s v="000252"/>
    <s v="000132"/>
    <n v="1648.42"/>
    <s v="0,00"/>
    <s v="0,00"/>
    <s v="0,00"/>
    <s v="0,00"/>
    <s v="ORC2022_2"/>
    <s v="0012"/>
    <m/>
    <m/>
    <m/>
    <m/>
    <m/>
  </r>
  <r>
    <s v="ENCARGOS SOCIAIS"/>
    <x v="46"/>
    <x v="12"/>
    <n v="1077.67"/>
    <s v="0000000127"/>
    <s v="2196"/>
    <d v="2022-05-01T00:00:00"/>
    <s v="330102"/>
    <s v="210"/>
    <s v="90"/>
    <s v="Credito"/>
    <x v="2"/>
    <x v="216"/>
    <m/>
    <s v="000252"/>
    <s v="000132"/>
    <n v="1077.67"/>
    <s v="0,00"/>
    <s v="0,00"/>
    <s v="0,00"/>
    <s v="0,00"/>
    <s v="ORC2022_2"/>
    <s v="0012"/>
    <m/>
    <m/>
    <m/>
    <m/>
    <m/>
  </r>
  <r>
    <s v="ENCARGOS SOCIAIS"/>
    <x v="46"/>
    <x v="13"/>
    <n v="2643.14"/>
    <s v="0000000127"/>
    <s v="2197"/>
    <d v="2022-06-01T00:00:00"/>
    <s v="330102"/>
    <s v="206"/>
    <s v="11"/>
    <s v="Credito"/>
    <x v="2"/>
    <x v="216"/>
    <m/>
    <s v="000252"/>
    <s v="000132"/>
    <n v="2643.14"/>
    <s v="0,00"/>
    <s v="0,00"/>
    <s v="0,00"/>
    <s v="0,00"/>
    <s v="ORC2022_2"/>
    <s v="0012"/>
    <m/>
    <m/>
    <m/>
    <m/>
    <m/>
  </r>
  <r>
    <s v="ENCARGOS SOCIAIS"/>
    <x v="46"/>
    <x v="13"/>
    <n v="2629.19"/>
    <s v="0000000127"/>
    <s v="2198"/>
    <d v="2022-06-01T00:00:00"/>
    <s v="330102"/>
    <s v="209"/>
    <s v="21"/>
    <s v="Credito"/>
    <x v="2"/>
    <x v="216"/>
    <m/>
    <s v="000252"/>
    <s v="000132"/>
    <n v="2629.19"/>
    <s v="0,00"/>
    <s v="0,00"/>
    <s v="0,00"/>
    <s v="0,00"/>
    <s v="ORC2022_2"/>
    <s v="0012"/>
    <m/>
    <m/>
    <m/>
    <m/>
    <m/>
  </r>
  <r>
    <s v="ENCARGOS SOCIAIS"/>
    <x v="46"/>
    <x v="13"/>
    <n v="464.13"/>
    <s v="0000000127"/>
    <s v="2199"/>
    <d v="2022-06-01T00:00:00"/>
    <s v="330102"/>
    <s v="101"/>
    <s v="90"/>
    <s v="Credito"/>
    <x v="2"/>
    <x v="216"/>
    <m/>
    <s v="000252"/>
    <s v="000132"/>
    <n v="464.13"/>
    <s v="0,00"/>
    <s v="0,00"/>
    <s v="0,00"/>
    <s v="0,00"/>
    <s v="ORC2022_2"/>
    <s v="0012"/>
    <m/>
    <m/>
    <m/>
    <m/>
    <m/>
  </r>
  <r>
    <s v="ENCARGOS SOCIAIS"/>
    <x v="46"/>
    <x v="13"/>
    <n v="7320.95"/>
    <s v="0000000127"/>
    <s v="2200"/>
    <d v="2022-06-01T00:00:00"/>
    <s v="330102"/>
    <s v="201"/>
    <s v="90"/>
    <s v="Credito"/>
    <x v="2"/>
    <x v="216"/>
    <m/>
    <s v="000252"/>
    <s v="000132"/>
    <n v="7320.95"/>
    <s v="0,00"/>
    <s v="0,00"/>
    <s v="0,00"/>
    <s v="0,00"/>
    <s v="ORC2022_2"/>
    <s v="0012"/>
    <m/>
    <m/>
    <m/>
    <m/>
    <m/>
  </r>
  <r>
    <s v="ENCARGOS SOCIAIS"/>
    <x v="46"/>
    <x v="13"/>
    <n v="1131.51"/>
    <s v="0000000127"/>
    <s v="2201"/>
    <d v="2022-06-01T00:00:00"/>
    <s v="330102"/>
    <s v="202"/>
    <s v="90"/>
    <s v="Credito"/>
    <x v="2"/>
    <x v="216"/>
    <m/>
    <s v="000252"/>
    <s v="000132"/>
    <n v="1131.51"/>
    <s v="0,00"/>
    <s v="0,00"/>
    <s v="0,00"/>
    <s v="0,00"/>
    <s v="ORC2022_2"/>
    <s v="0012"/>
    <m/>
    <m/>
    <m/>
    <m/>
    <m/>
  </r>
  <r>
    <s v="ENCARGOS SOCIAIS"/>
    <x v="46"/>
    <x v="13"/>
    <n v="806.27"/>
    <s v="0000000127"/>
    <s v="2202"/>
    <d v="2022-06-01T00:00:00"/>
    <s v="330102"/>
    <s v="203"/>
    <s v="90"/>
    <s v="Credito"/>
    <x v="2"/>
    <x v="216"/>
    <m/>
    <s v="000252"/>
    <s v="000132"/>
    <n v="806.27"/>
    <s v="0,00"/>
    <s v="0,00"/>
    <s v="0,00"/>
    <s v="0,00"/>
    <s v="ORC2022_2"/>
    <s v="0012"/>
    <m/>
    <m/>
    <m/>
    <m/>
    <m/>
  </r>
  <r>
    <s v="ENCARGOS SOCIAIS"/>
    <x v="46"/>
    <x v="13"/>
    <n v="3012.02"/>
    <s v="0000000127"/>
    <s v="2203"/>
    <d v="2022-06-01T00:00:00"/>
    <s v="330102"/>
    <s v="204"/>
    <s v="90"/>
    <s v="Credito"/>
    <x v="2"/>
    <x v="216"/>
    <m/>
    <s v="000252"/>
    <s v="000132"/>
    <n v="3012.02"/>
    <s v="0,00"/>
    <s v="0,00"/>
    <s v="0,00"/>
    <s v="0,00"/>
    <s v="ORC2022_2"/>
    <s v="0012"/>
    <m/>
    <m/>
    <m/>
    <m/>
    <m/>
  </r>
  <r>
    <s v="ENCARGOS SOCIAIS"/>
    <x v="46"/>
    <x v="13"/>
    <n v="790.06"/>
    <s v="0000000127"/>
    <s v="2204"/>
    <d v="2022-06-01T00:00:00"/>
    <s v="330102"/>
    <s v="205"/>
    <s v="90"/>
    <s v="Credito"/>
    <x v="2"/>
    <x v="216"/>
    <m/>
    <s v="000252"/>
    <s v="000132"/>
    <n v="790.06"/>
    <s v="0,00"/>
    <s v="0,00"/>
    <s v="0,00"/>
    <s v="0,00"/>
    <s v="ORC2022_2"/>
    <s v="0012"/>
    <m/>
    <m/>
    <m/>
    <m/>
    <m/>
  </r>
  <r>
    <s v="ENCARGOS SOCIAIS"/>
    <x v="46"/>
    <x v="13"/>
    <n v="5457.31"/>
    <s v="0000000127"/>
    <s v="2205"/>
    <d v="2022-06-01T00:00:00"/>
    <s v="330102"/>
    <s v="207"/>
    <s v="90"/>
    <s v="Credito"/>
    <x v="2"/>
    <x v="216"/>
    <m/>
    <s v="000252"/>
    <s v="000132"/>
    <n v="5457.31"/>
    <s v="0,00"/>
    <s v="0,00"/>
    <s v="0,00"/>
    <s v="0,00"/>
    <s v="ORC2022_2"/>
    <s v="0012"/>
    <m/>
    <m/>
    <m/>
    <m/>
    <m/>
  </r>
  <r>
    <s v="ENCARGOS SOCIAIS"/>
    <x v="46"/>
    <x v="13"/>
    <n v="3836.25"/>
    <s v="0000000127"/>
    <s v="2206"/>
    <d v="2022-06-01T00:00:00"/>
    <s v="330102"/>
    <s v="208"/>
    <s v="90"/>
    <s v="Credito"/>
    <x v="2"/>
    <x v="216"/>
    <m/>
    <s v="000252"/>
    <s v="000132"/>
    <n v="3836.25"/>
    <s v="0,00"/>
    <s v="0,00"/>
    <s v="0,00"/>
    <s v="0,00"/>
    <s v="ORC2022_2"/>
    <s v="0012"/>
    <m/>
    <m/>
    <m/>
    <m/>
    <m/>
  </r>
  <r>
    <s v="ENCARGOS SOCIAIS"/>
    <x v="46"/>
    <x v="13"/>
    <n v="1476.18"/>
    <s v="0000000127"/>
    <s v="2207"/>
    <d v="2022-06-01T00:00:00"/>
    <s v="330102"/>
    <s v="209"/>
    <s v="90"/>
    <s v="Credito"/>
    <x v="2"/>
    <x v="216"/>
    <m/>
    <s v="000252"/>
    <s v="000132"/>
    <n v="1476.18"/>
    <s v="0,00"/>
    <s v="0,00"/>
    <s v="0,00"/>
    <s v="0,00"/>
    <s v="ORC2022_2"/>
    <s v="0012"/>
    <m/>
    <m/>
    <m/>
    <m/>
    <m/>
  </r>
  <r>
    <s v="ENCARGOS SOCIAIS"/>
    <x v="46"/>
    <x v="13"/>
    <n v="1177.3699999999999"/>
    <s v="0000000127"/>
    <s v="2208"/>
    <d v="2022-06-01T00:00:00"/>
    <s v="330102"/>
    <s v="210"/>
    <s v="90"/>
    <s v="Credito"/>
    <x v="2"/>
    <x v="216"/>
    <m/>
    <s v="000252"/>
    <s v="000132"/>
    <n v="1177.3699999999999"/>
    <s v="0,00"/>
    <s v="0,00"/>
    <s v="0,00"/>
    <s v="0,00"/>
    <s v="ORC2022_2"/>
    <s v="0012"/>
    <m/>
    <m/>
    <m/>
    <m/>
    <m/>
  </r>
  <r>
    <s v="ENCARGOS SOCIAIS"/>
    <x v="46"/>
    <x v="14"/>
    <n v="2652.73"/>
    <s v="0000000127"/>
    <s v="2209"/>
    <d v="2022-07-01T00:00:00"/>
    <s v="330102"/>
    <s v="206"/>
    <s v="11"/>
    <s v="Credito"/>
    <x v="2"/>
    <x v="216"/>
    <m/>
    <s v="000252"/>
    <s v="000132"/>
    <n v="2652.73"/>
    <s v="0,00"/>
    <s v="0,00"/>
    <s v="0,00"/>
    <s v="0,00"/>
    <s v="ORC2022_2"/>
    <s v="0012"/>
    <m/>
    <m/>
    <m/>
    <m/>
    <m/>
  </r>
  <r>
    <s v="ENCARGOS SOCIAIS"/>
    <x v="46"/>
    <x v="14"/>
    <n v="1936.15"/>
    <s v="0000000127"/>
    <s v="2210"/>
    <d v="2022-07-01T00:00:00"/>
    <s v="330102"/>
    <s v="209"/>
    <s v="21"/>
    <s v="Credito"/>
    <x v="2"/>
    <x v="216"/>
    <m/>
    <s v="000252"/>
    <s v="000132"/>
    <n v="1936.15"/>
    <s v="0,00"/>
    <s v="0,00"/>
    <s v="0,00"/>
    <s v="0,00"/>
    <s v="ORC2022_2"/>
    <s v="0012"/>
    <m/>
    <m/>
    <m/>
    <m/>
    <m/>
  </r>
  <r>
    <s v="ENCARGOS SOCIAIS"/>
    <x v="46"/>
    <x v="14"/>
    <n v="415.91"/>
    <s v="0000000127"/>
    <s v="2211"/>
    <d v="2022-07-01T00:00:00"/>
    <s v="330102"/>
    <s v="101"/>
    <s v="90"/>
    <s v="Credito"/>
    <x v="2"/>
    <x v="216"/>
    <m/>
    <s v="000252"/>
    <s v="000132"/>
    <n v="415.91"/>
    <s v="0,00"/>
    <s v="0,00"/>
    <s v="0,00"/>
    <s v="0,00"/>
    <s v="ORC2022_2"/>
    <s v="0012"/>
    <m/>
    <m/>
    <m/>
    <m/>
    <m/>
  </r>
  <r>
    <s v="ENCARGOS SOCIAIS"/>
    <x v="46"/>
    <x v="14"/>
    <n v="7259.01"/>
    <s v="0000000127"/>
    <s v="2212"/>
    <d v="2022-07-01T00:00:00"/>
    <s v="330102"/>
    <s v="201"/>
    <s v="90"/>
    <s v="Credito"/>
    <x v="2"/>
    <x v="216"/>
    <m/>
    <s v="000252"/>
    <s v="000132"/>
    <n v="7259.01"/>
    <s v="0,00"/>
    <s v="0,00"/>
    <s v="0,00"/>
    <s v="0,00"/>
    <s v="ORC2022_2"/>
    <s v="0012"/>
    <m/>
    <m/>
    <m/>
    <m/>
    <m/>
  </r>
  <r>
    <s v="ENCARGOS SOCIAIS"/>
    <x v="46"/>
    <x v="14"/>
    <n v="1064.79"/>
    <s v="0000000127"/>
    <s v="2213"/>
    <d v="2022-07-01T00:00:00"/>
    <s v="330102"/>
    <s v="202"/>
    <s v="90"/>
    <s v="Credito"/>
    <x v="2"/>
    <x v="216"/>
    <m/>
    <s v="000252"/>
    <s v="000132"/>
    <n v="1064.79"/>
    <s v="0,00"/>
    <s v="0,00"/>
    <s v="0,00"/>
    <s v="0,00"/>
    <s v="ORC2022_2"/>
    <s v="0012"/>
    <m/>
    <m/>
    <m/>
    <m/>
    <m/>
  </r>
  <r>
    <s v="ENCARGOS SOCIAIS"/>
    <x v="46"/>
    <x v="14"/>
    <n v="615.58000000000004"/>
    <s v="0000000127"/>
    <s v="2214"/>
    <d v="2022-07-01T00:00:00"/>
    <s v="330102"/>
    <s v="203"/>
    <s v="90"/>
    <s v="Credito"/>
    <x v="2"/>
    <x v="216"/>
    <m/>
    <s v="000252"/>
    <s v="000132"/>
    <n v="615.58000000000004"/>
    <s v="0,00"/>
    <s v="0,00"/>
    <s v="0,00"/>
    <s v="0,00"/>
    <s v="ORC2022_2"/>
    <s v="0012"/>
    <m/>
    <m/>
    <m/>
    <m/>
    <m/>
  </r>
  <r>
    <s v="ENCARGOS SOCIAIS"/>
    <x v="46"/>
    <x v="14"/>
    <n v="2826.5"/>
    <s v="0000000127"/>
    <s v="2215"/>
    <d v="2022-07-01T00:00:00"/>
    <s v="330102"/>
    <s v="204"/>
    <s v="90"/>
    <s v="Credito"/>
    <x v="2"/>
    <x v="216"/>
    <m/>
    <s v="000252"/>
    <s v="000132"/>
    <n v="2826.5"/>
    <s v="0,00"/>
    <s v="0,00"/>
    <s v="0,00"/>
    <s v="0,00"/>
    <s v="ORC2022_2"/>
    <s v="0012"/>
    <m/>
    <m/>
    <m/>
    <m/>
    <m/>
  </r>
  <r>
    <s v="ENCARGOS SOCIAIS"/>
    <x v="46"/>
    <x v="14"/>
    <n v="736.7"/>
    <s v="0000000127"/>
    <s v="2216"/>
    <d v="2022-07-01T00:00:00"/>
    <s v="330102"/>
    <s v="205"/>
    <s v="90"/>
    <s v="Credito"/>
    <x v="2"/>
    <x v="216"/>
    <m/>
    <s v="000252"/>
    <s v="000132"/>
    <n v="736.7"/>
    <s v="0,00"/>
    <s v="0,00"/>
    <s v="0,00"/>
    <s v="0,00"/>
    <s v="ORC2022_2"/>
    <s v="0012"/>
    <m/>
    <m/>
    <m/>
    <m/>
    <m/>
  </r>
  <r>
    <s v="ENCARGOS SOCIAIS"/>
    <x v="46"/>
    <x v="14"/>
    <n v="5146.75"/>
    <s v="0000000127"/>
    <s v="2217"/>
    <d v="2022-07-01T00:00:00"/>
    <s v="330102"/>
    <s v="207"/>
    <s v="90"/>
    <s v="Credito"/>
    <x v="2"/>
    <x v="216"/>
    <m/>
    <s v="000252"/>
    <s v="000132"/>
    <n v="5146.75"/>
    <s v="0,00"/>
    <s v="0,00"/>
    <s v="0,00"/>
    <s v="0,00"/>
    <s v="ORC2022_2"/>
    <s v="0012"/>
    <m/>
    <m/>
    <m/>
    <m/>
    <m/>
  </r>
  <r>
    <s v="ENCARGOS SOCIAIS"/>
    <x v="46"/>
    <x v="14"/>
    <n v="3622.7"/>
    <s v="0000000127"/>
    <s v="2218"/>
    <d v="2022-07-01T00:00:00"/>
    <s v="330102"/>
    <s v="208"/>
    <s v="90"/>
    <s v="Credito"/>
    <x v="2"/>
    <x v="216"/>
    <m/>
    <s v="000252"/>
    <s v="000132"/>
    <n v="3622.7"/>
    <s v="0,00"/>
    <s v="0,00"/>
    <s v="0,00"/>
    <s v="0,00"/>
    <s v="ORC2022_2"/>
    <s v="0012"/>
    <m/>
    <m/>
    <m/>
    <m/>
    <m/>
  </r>
  <r>
    <s v="ENCARGOS SOCIAIS"/>
    <x v="46"/>
    <x v="14"/>
    <n v="1579.74"/>
    <s v="0000000127"/>
    <s v="2219"/>
    <d v="2022-07-01T00:00:00"/>
    <s v="330102"/>
    <s v="209"/>
    <s v="90"/>
    <s v="Credito"/>
    <x v="2"/>
    <x v="216"/>
    <m/>
    <s v="000252"/>
    <s v="000132"/>
    <n v="1579.74"/>
    <s v="0,00"/>
    <s v="0,00"/>
    <s v="0,00"/>
    <s v="0,00"/>
    <s v="ORC2022_2"/>
    <s v="0012"/>
    <m/>
    <m/>
    <m/>
    <m/>
    <m/>
  </r>
  <r>
    <s v="ENCARGOS SOCIAIS"/>
    <x v="46"/>
    <x v="14"/>
    <n v="1114.8"/>
    <s v="0000000127"/>
    <s v="2220"/>
    <d v="2022-07-01T00:00:00"/>
    <s v="330102"/>
    <s v="210"/>
    <s v="90"/>
    <s v="Credito"/>
    <x v="2"/>
    <x v="216"/>
    <m/>
    <s v="000252"/>
    <s v="000132"/>
    <n v="1114.8"/>
    <s v="0,00"/>
    <s v="0,00"/>
    <s v="0,00"/>
    <s v="0,00"/>
    <s v="ORC2022_2"/>
    <s v="0012"/>
    <m/>
    <m/>
    <m/>
    <m/>
    <m/>
  </r>
  <r>
    <s v="ENCARGOS SOCIAIS"/>
    <x v="46"/>
    <x v="15"/>
    <n v="2586.2399999999998"/>
    <s v="0000000127"/>
    <s v="2221"/>
    <d v="2022-08-01T00:00:00"/>
    <s v="330102"/>
    <s v="206"/>
    <s v="11"/>
    <s v="Credito"/>
    <x v="2"/>
    <x v="216"/>
    <m/>
    <s v="000252"/>
    <s v="000132"/>
    <n v="2586.2399999999998"/>
    <s v="0,00"/>
    <s v="0,00"/>
    <s v="0,00"/>
    <s v="0,00"/>
    <s v="ORC2022_2"/>
    <s v="0012"/>
    <m/>
    <m/>
    <m/>
    <m/>
    <m/>
  </r>
  <r>
    <s v="ENCARGOS SOCIAIS"/>
    <x v="46"/>
    <x v="15"/>
    <n v="2013.27"/>
    <s v="0000000127"/>
    <s v="2222"/>
    <d v="2022-08-01T00:00:00"/>
    <s v="330102"/>
    <s v="209"/>
    <s v="21"/>
    <s v="Credito"/>
    <x v="2"/>
    <x v="216"/>
    <m/>
    <s v="000252"/>
    <s v="000132"/>
    <n v="2013.27"/>
    <s v="0,00"/>
    <s v="0,00"/>
    <s v="0,00"/>
    <s v="0,00"/>
    <s v="ORC2022_2"/>
    <s v="0012"/>
    <m/>
    <m/>
    <m/>
    <m/>
    <m/>
  </r>
  <r>
    <s v="ENCARGOS SOCIAIS"/>
    <x v="46"/>
    <x v="15"/>
    <n v="229.49"/>
    <s v="0000000127"/>
    <s v="2223"/>
    <d v="2022-08-01T00:00:00"/>
    <s v="330102"/>
    <s v="101"/>
    <s v="90"/>
    <s v="Credito"/>
    <x v="2"/>
    <x v="216"/>
    <m/>
    <s v="000252"/>
    <s v="000132"/>
    <n v="229.49"/>
    <s v="0,00"/>
    <s v="0,00"/>
    <s v="0,00"/>
    <s v="0,00"/>
    <s v="ORC2022_2"/>
    <s v="0012"/>
    <m/>
    <m/>
    <m/>
    <m/>
    <m/>
  </r>
  <r>
    <s v="ENCARGOS SOCIAIS"/>
    <x v="46"/>
    <x v="15"/>
    <n v="7513.65"/>
    <s v="0000000127"/>
    <s v="2224"/>
    <d v="2022-08-01T00:00:00"/>
    <s v="330102"/>
    <s v="201"/>
    <s v="90"/>
    <s v="Credito"/>
    <x v="2"/>
    <x v="216"/>
    <m/>
    <s v="000252"/>
    <s v="000132"/>
    <n v="7513.65"/>
    <s v="0,00"/>
    <s v="0,00"/>
    <s v="0,00"/>
    <s v="0,00"/>
    <s v="ORC2022_2"/>
    <s v="0012"/>
    <m/>
    <m/>
    <m/>
    <m/>
    <m/>
  </r>
  <r>
    <s v="ENCARGOS SOCIAIS"/>
    <x v="46"/>
    <x v="15"/>
    <n v="1078.1400000000001"/>
    <s v="0000000127"/>
    <s v="2225"/>
    <d v="2022-08-01T00:00:00"/>
    <s v="330102"/>
    <s v="202"/>
    <s v="90"/>
    <s v="Credito"/>
    <x v="2"/>
    <x v="216"/>
    <m/>
    <s v="000252"/>
    <s v="000132"/>
    <n v="1078.1400000000001"/>
    <s v="0,00"/>
    <s v="0,00"/>
    <s v="0,00"/>
    <s v="0,00"/>
    <s v="ORC2022_2"/>
    <s v="0012"/>
    <m/>
    <m/>
    <m/>
    <m/>
    <m/>
  </r>
  <r>
    <s v="ENCARGOS SOCIAIS"/>
    <x v="46"/>
    <x v="15"/>
    <n v="641.17999999999995"/>
    <s v="0000000127"/>
    <s v="2226"/>
    <d v="2022-08-01T00:00:00"/>
    <s v="330102"/>
    <s v="203"/>
    <s v="90"/>
    <s v="Credito"/>
    <x v="2"/>
    <x v="216"/>
    <m/>
    <s v="000252"/>
    <s v="000132"/>
    <n v="641.17999999999995"/>
    <s v="0,00"/>
    <s v="0,00"/>
    <s v="0,00"/>
    <s v="0,00"/>
    <s v="ORC2022_2"/>
    <s v="0012"/>
    <m/>
    <m/>
    <m/>
    <m/>
    <m/>
  </r>
  <r>
    <s v="ENCARGOS SOCIAIS"/>
    <x v="46"/>
    <x v="15"/>
    <n v="2684.4"/>
    <s v="0000000127"/>
    <s v="2227"/>
    <d v="2022-08-01T00:00:00"/>
    <s v="330102"/>
    <s v="204"/>
    <s v="90"/>
    <s v="Credito"/>
    <x v="2"/>
    <x v="216"/>
    <m/>
    <s v="000252"/>
    <s v="000132"/>
    <n v="2684.4"/>
    <s v="0,00"/>
    <s v="0,00"/>
    <s v="0,00"/>
    <s v="0,00"/>
    <s v="ORC2022_2"/>
    <s v="0012"/>
    <m/>
    <m/>
    <m/>
    <m/>
    <m/>
  </r>
  <r>
    <s v="ENCARGOS SOCIAIS"/>
    <x v="46"/>
    <x v="15"/>
    <n v="942.29"/>
    <s v="0000000127"/>
    <s v="2228"/>
    <d v="2022-08-01T00:00:00"/>
    <s v="330102"/>
    <s v="205"/>
    <s v="90"/>
    <s v="Credito"/>
    <x v="2"/>
    <x v="216"/>
    <m/>
    <s v="000252"/>
    <s v="000132"/>
    <n v="942.29"/>
    <s v="0,00"/>
    <s v="0,00"/>
    <s v="0,00"/>
    <s v="0,00"/>
    <s v="ORC2022_2"/>
    <s v="0012"/>
    <m/>
    <m/>
    <m/>
    <m/>
    <m/>
  </r>
  <r>
    <s v="ENCARGOS SOCIAIS"/>
    <x v="46"/>
    <x v="15"/>
    <n v="5150.22"/>
    <s v="0000000127"/>
    <s v="2229"/>
    <d v="2022-08-01T00:00:00"/>
    <s v="330102"/>
    <s v="207"/>
    <s v="90"/>
    <s v="Credito"/>
    <x v="2"/>
    <x v="216"/>
    <m/>
    <s v="000252"/>
    <s v="000132"/>
    <n v="5150.22"/>
    <s v="0,00"/>
    <s v="0,00"/>
    <s v="0,00"/>
    <s v="0,00"/>
    <s v="ORC2022_2"/>
    <s v="0012"/>
    <m/>
    <m/>
    <m/>
    <m/>
    <m/>
  </r>
  <r>
    <s v="ENCARGOS SOCIAIS"/>
    <x v="46"/>
    <x v="15"/>
    <n v="3766.04"/>
    <s v="0000000127"/>
    <s v="2230"/>
    <d v="2022-08-01T00:00:00"/>
    <s v="330102"/>
    <s v="208"/>
    <s v="90"/>
    <s v="Credito"/>
    <x v="2"/>
    <x v="216"/>
    <m/>
    <s v="000252"/>
    <s v="000132"/>
    <n v="3766.04"/>
    <s v="0,00"/>
    <s v="0,00"/>
    <s v="0,00"/>
    <s v="0,00"/>
    <s v="ORC2022_2"/>
    <s v="0012"/>
    <m/>
    <m/>
    <m/>
    <m/>
    <m/>
  </r>
  <r>
    <s v="ENCARGOS SOCIAIS"/>
    <x v="46"/>
    <x v="15"/>
    <n v="1569.35"/>
    <s v="0000000127"/>
    <s v="2231"/>
    <d v="2022-08-01T00:00:00"/>
    <s v="330102"/>
    <s v="209"/>
    <s v="90"/>
    <s v="Credito"/>
    <x v="2"/>
    <x v="216"/>
    <m/>
    <s v="000252"/>
    <s v="000132"/>
    <n v="1569.35"/>
    <s v="0,00"/>
    <s v="0,00"/>
    <s v="0,00"/>
    <s v="0,00"/>
    <s v="ORC2022_2"/>
    <s v="0012"/>
    <m/>
    <m/>
    <m/>
    <m/>
    <m/>
  </r>
  <r>
    <s v="ENCARGOS SOCIAIS"/>
    <x v="46"/>
    <x v="15"/>
    <n v="1053.29"/>
    <s v="0000000127"/>
    <s v="2232"/>
    <d v="2022-08-01T00:00:00"/>
    <s v="330102"/>
    <s v="210"/>
    <s v="90"/>
    <s v="Credito"/>
    <x v="2"/>
    <x v="216"/>
    <m/>
    <s v="000252"/>
    <s v="000132"/>
    <n v="1053.29"/>
    <s v="0,00"/>
    <s v="0,00"/>
    <s v="0,00"/>
    <s v="0,00"/>
    <s v="ORC2022_2"/>
    <s v="0012"/>
    <m/>
    <m/>
    <m/>
    <m/>
    <m/>
  </r>
  <r>
    <s v="ENCARGOS SOCIAIS"/>
    <x v="46"/>
    <x v="16"/>
    <n v="2538.5700000000002"/>
    <s v="0000000127"/>
    <s v="2233"/>
    <d v="2022-09-01T00:00:00"/>
    <s v="330102"/>
    <s v="206"/>
    <s v="11"/>
    <s v="Credito"/>
    <x v="2"/>
    <x v="216"/>
    <m/>
    <s v="000252"/>
    <s v="000132"/>
    <n v="2538.5700000000002"/>
    <s v="0,00"/>
    <s v="0,00"/>
    <s v="0,00"/>
    <s v="0,00"/>
    <s v="ORC2022_2"/>
    <s v="0012"/>
    <m/>
    <m/>
    <m/>
    <m/>
    <m/>
  </r>
  <r>
    <s v="ENCARGOS SOCIAIS"/>
    <x v="46"/>
    <x v="16"/>
    <n v="2034.98"/>
    <s v="0000000127"/>
    <s v="2234"/>
    <d v="2022-09-01T00:00:00"/>
    <s v="330102"/>
    <s v="209"/>
    <s v="21"/>
    <s v="Credito"/>
    <x v="2"/>
    <x v="216"/>
    <m/>
    <s v="000252"/>
    <s v="000132"/>
    <n v="2034.98"/>
    <s v="0,00"/>
    <s v="0,00"/>
    <s v="0,00"/>
    <s v="0,00"/>
    <s v="ORC2022_2"/>
    <s v="0012"/>
    <m/>
    <m/>
    <m/>
    <m/>
    <m/>
  </r>
  <r>
    <s v="ENCARGOS SOCIAIS"/>
    <x v="46"/>
    <x v="16"/>
    <n v="7382.63"/>
    <s v="0000000127"/>
    <s v="2235"/>
    <d v="2022-09-01T00:00:00"/>
    <s v="330102"/>
    <s v="201"/>
    <s v="90"/>
    <s v="Credito"/>
    <x v="2"/>
    <x v="216"/>
    <m/>
    <s v="000252"/>
    <s v="000132"/>
    <n v="7382.63"/>
    <s v="0,00"/>
    <s v="0,00"/>
    <s v="0,00"/>
    <s v="0,00"/>
    <s v="ORC2022_2"/>
    <s v="0012"/>
    <m/>
    <m/>
    <m/>
    <m/>
    <m/>
  </r>
  <r>
    <s v="ENCARGOS SOCIAIS"/>
    <x v="46"/>
    <x v="16"/>
    <n v="1078.1500000000001"/>
    <s v="0000000127"/>
    <s v="2236"/>
    <d v="2022-09-01T00:00:00"/>
    <s v="330102"/>
    <s v="202"/>
    <s v="90"/>
    <s v="Credito"/>
    <x v="2"/>
    <x v="216"/>
    <m/>
    <s v="000252"/>
    <s v="000132"/>
    <n v="1078.1500000000001"/>
    <s v="0,00"/>
    <s v="0,00"/>
    <s v="0,00"/>
    <s v="0,00"/>
    <s v="ORC2022_2"/>
    <s v="0012"/>
    <m/>
    <m/>
    <m/>
    <m/>
    <m/>
  </r>
  <r>
    <s v="ENCARGOS SOCIAIS"/>
    <x v="46"/>
    <x v="16"/>
    <n v="641.16"/>
    <s v="0000000127"/>
    <s v="2237"/>
    <d v="2022-09-01T00:00:00"/>
    <s v="330102"/>
    <s v="203"/>
    <s v="90"/>
    <s v="Credito"/>
    <x v="2"/>
    <x v="216"/>
    <m/>
    <s v="000252"/>
    <s v="000132"/>
    <n v="641.16"/>
    <s v="0,00"/>
    <s v="0,00"/>
    <s v="0,00"/>
    <s v="0,00"/>
    <s v="ORC2022_2"/>
    <s v="0012"/>
    <m/>
    <m/>
    <m/>
    <m/>
    <m/>
  </r>
  <r>
    <s v="ENCARGOS SOCIAIS"/>
    <x v="46"/>
    <x v="16"/>
    <n v="2472.4499999999998"/>
    <s v="0000000127"/>
    <s v="2238"/>
    <d v="2022-09-01T00:00:00"/>
    <s v="330102"/>
    <s v="204"/>
    <s v="90"/>
    <s v="Credito"/>
    <x v="2"/>
    <x v="216"/>
    <m/>
    <s v="000252"/>
    <s v="000132"/>
    <n v="2472.4499999999998"/>
    <s v="0,00"/>
    <s v="0,00"/>
    <s v="0,00"/>
    <s v="0,00"/>
    <s v="ORC2022_2"/>
    <s v="0012"/>
    <m/>
    <m/>
    <m/>
    <m/>
    <m/>
  </r>
  <r>
    <s v="ENCARGOS SOCIAIS"/>
    <x v="46"/>
    <x v="16"/>
    <n v="1203.54"/>
    <s v="0000000127"/>
    <s v="2239"/>
    <d v="2022-09-01T00:00:00"/>
    <s v="330102"/>
    <s v="205"/>
    <s v="90"/>
    <s v="Credito"/>
    <x v="2"/>
    <x v="216"/>
    <m/>
    <s v="000252"/>
    <s v="000132"/>
    <n v="1203.54"/>
    <s v="0,00"/>
    <s v="0,00"/>
    <s v="0,00"/>
    <s v="0,00"/>
    <s v="ORC2022_2"/>
    <s v="0012"/>
    <m/>
    <m/>
    <m/>
    <m/>
    <m/>
  </r>
  <r>
    <s v="ENCARGOS SOCIAIS"/>
    <x v="46"/>
    <x v="16"/>
    <n v="5367.26"/>
    <s v="0000000127"/>
    <s v="2240"/>
    <d v="2022-09-01T00:00:00"/>
    <s v="330102"/>
    <s v="207"/>
    <s v="90"/>
    <s v="Credito"/>
    <x v="2"/>
    <x v="216"/>
    <m/>
    <s v="000252"/>
    <s v="000132"/>
    <n v="5367.26"/>
    <s v="0,00"/>
    <s v="0,00"/>
    <s v="0,00"/>
    <s v="0,00"/>
    <s v="ORC2022_2"/>
    <s v="0012"/>
    <m/>
    <m/>
    <m/>
    <m/>
    <m/>
  </r>
  <r>
    <s v="ENCARGOS SOCIAIS"/>
    <x v="46"/>
    <x v="16"/>
    <n v="3622.72"/>
    <s v="0000000127"/>
    <s v="2241"/>
    <d v="2022-09-01T00:00:00"/>
    <s v="330102"/>
    <s v="208"/>
    <s v="90"/>
    <s v="Credito"/>
    <x v="2"/>
    <x v="216"/>
    <m/>
    <s v="000252"/>
    <s v="000132"/>
    <n v="3622.72"/>
    <s v="0,00"/>
    <s v="0,00"/>
    <s v="0,00"/>
    <s v="0,00"/>
    <s v="ORC2022_2"/>
    <s v="0012"/>
    <m/>
    <m/>
    <m/>
    <m/>
    <m/>
  </r>
  <r>
    <s v="ENCARGOS SOCIAIS"/>
    <x v="46"/>
    <x v="16"/>
    <n v="1600.05"/>
    <s v="0000000127"/>
    <s v="2242"/>
    <d v="2022-09-01T00:00:00"/>
    <s v="330102"/>
    <s v="209"/>
    <s v="90"/>
    <s v="Credito"/>
    <x v="2"/>
    <x v="216"/>
    <m/>
    <s v="000252"/>
    <s v="000132"/>
    <n v="1600.05"/>
    <s v="0,00"/>
    <s v="0,00"/>
    <s v="0,00"/>
    <s v="0,00"/>
    <s v="ORC2022_2"/>
    <s v="0012"/>
    <m/>
    <m/>
    <m/>
    <m/>
    <m/>
  </r>
  <r>
    <s v="ENCARGOS SOCIAIS"/>
    <x v="46"/>
    <x v="16"/>
    <n v="883.33"/>
    <s v="0000000127"/>
    <s v="2243"/>
    <d v="2022-09-01T00:00:00"/>
    <s v="330102"/>
    <s v="210"/>
    <s v="90"/>
    <s v="Credito"/>
    <x v="2"/>
    <x v="216"/>
    <m/>
    <s v="000252"/>
    <s v="000132"/>
    <n v="883.33"/>
    <s v="0,00"/>
    <s v="0,00"/>
    <s v="0,00"/>
    <s v="0,00"/>
    <s v="ORC2022_2"/>
    <s v="0012"/>
    <m/>
    <m/>
    <m/>
    <m/>
    <m/>
  </r>
  <r>
    <s v="ENCARGOS SOCIAIS"/>
    <x v="46"/>
    <x v="17"/>
    <n v="2563.96"/>
    <s v="0000000127"/>
    <s v="2244"/>
    <d v="2022-10-01T00:00:00"/>
    <s v="330102"/>
    <s v="206"/>
    <s v="11"/>
    <s v="Credito"/>
    <x v="2"/>
    <x v="216"/>
    <m/>
    <s v="000252"/>
    <s v="000132"/>
    <n v="2563.96"/>
    <s v="0,00"/>
    <s v="0,00"/>
    <s v="0,00"/>
    <s v="0,00"/>
    <s v="ORC2022_2"/>
    <s v="0012"/>
    <m/>
    <m/>
    <m/>
    <m/>
    <m/>
  </r>
  <r>
    <s v="ENCARGOS SOCIAIS"/>
    <x v="46"/>
    <x v="17"/>
    <n v="2055.33"/>
    <s v="0000000127"/>
    <s v="2245"/>
    <d v="2022-10-01T00:00:00"/>
    <s v="330102"/>
    <s v="209"/>
    <s v="21"/>
    <s v="Credito"/>
    <x v="2"/>
    <x v="216"/>
    <m/>
    <s v="000252"/>
    <s v="000132"/>
    <n v="2055.33"/>
    <s v="0,00"/>
    <s v="0,00"/>
    <s v="0,00"/>
    <s v="0,00"/>
    <s v="ORC2022_2"/>
    <s v="0012"/>
    <m/>
    <m/>
    <m/>
    <m/>
    <m/>
  </r>
  <r>
    <s v="ENCARGOS SOCIAIS"/>
    <x v="46"/>
    <x v="17"/>
    <n v="7456.46"/>
    <s v="0000000127"/>
    <s v="2246"/>
    <d v="2022-10-01T00:00:00"/>
    <s v="330102"/>
    <s v="201"/>
    <s v="90"/>
    <s v="Credito"/>
    <x v="2"/>
    <x v="216"/>
    <m/>
    <s v="000252"/>
    <s v="000132"/>
    <n v="7456.46"/>
    <s v="0,00"/>
    <s v="0,00"/>
    <s v="0,00"/>
    <s v="0,00"/>
    <s v="ORC2022_2"/>
    <s v="0012"/>
    <m/>
    <m/>
    <m/>
    <m/>
    <m/>
  </r>
  <r>
    <s v="ENCARGOS SOCIAIS"/>
    <x v="46"/>
    <x v="17"/>
    <n v="1088.93"/>
    <s v="0000000127"/>
    <s v="2247"/>
    <d v="2022-10-01T00:00:00"/>
    <s v="330102"/>
    <s v="202"/>
    <s v="90"/>
    <s v="Credito"/>
    <x v="2"/>
    <x v="216"/>
    <m/>
    <s v="000252"/>
    <s v="000132"/>
    <n v="1088.93"/>
    <s v="0,00"/>
    <s v="0,00"/>
    <s v="0,00"/>
    <s v="0,00"/>
    <s v="ORC2022_2"/>
    <s v="0012"/>
    <m/>
    <m/>
    <m/>
    <m/>
    <m/>
  </r>
  <r>
    <s v="ENCARGOS SOCIAIS"/>
    <x v="46"/>
    <x v="17"/>
    <n v="647.57000000000005"/>
    <s v="0000000127"/>
    <s v="2248"/>
    <d v="2022-10-01T00:00:00"/>
    <s v="330102"/>
    <s v="203"/>
    <s v="90"/>
    <s v="Credito"/>
    <x v="2"/>
    <x v="216"/>
    <m/>
    <s v="000252"/>
    <s v="000132"/>
    <n v="647.57000000000005"/>
    <s v="0,00"/>
    <s v="0,00"/>
    <s v="0,00"/>
    <s v="0,00"/>
    <s v="ORC2022_2"/>
    <s v="0012"/>
    <m/>
    <m/>
    <m/>
    <m/>
    <m/>
  </r>
  <r>
    <s v="ENCARGOS SOCIAIS"/>
    <x v="46"/>
    <x v="17"/>
    <n v="2497.17"/>
    <s v="0000000127"/>
    <s v="2249"/>
    <d v="2022-10-01T00:00:00"/>
    <s v="330102"/>
    <s v="204"/>
    <s v="90"/>
    <s v="Credito"/>
    <x v="2"/>
    <x v="216"/>
    <m/>
    <s v="000252"/>
    <s v="000132"/>
    <n v="2497.17"/>
    <s v="0,00"/>
    <s v="0,00"/>
    <s v="0,00"/>
    <s v="0,00"/>
    <s v="ORC2022_2"/>
    <s v="0012"/>
    <m/>
    <m/>
    <m/>
    <m/>
    <m/>
  </r>
  <r>
    <s v="ENCARGOS SOCIAIS"/>
    <x v="46"/>
    <x v="17"/>
    <n v="1215.58"/>
    <s v="0000000127"/>
    <s v="2250"/>
    <d v="2022-10-01T00:00:00"/>
    <s v="330102"/>
    <s v="205"/>
    <s v="90"/>
    <s v="Credito"/>
    <x v="2"/>
    <x v="216"/>
    <m/>
    <s v="000252"/>
    <s v="000132"/>
    <n v="1215.58"/>
    <s v="0,00"/>
    <s v="0,00"/>
    <s v="0,00"/>
    <s v="0,00"/>
    <s v="ORC2022_2"/>
    <s v="0012"/>
    <m/>
    <m/>
    <m/>
    <m/>
    <m/>
  </r>
  <r>
    <s v="ENCARGOS SOCIAIS"/>
    <x v="46"/>
    <x v="17"/>
    <n v="5420.93"/>
    <s v="0000000127"/>
    <s v="2251"/>
    <d v="2022-10-01T00:00:00"/>
    <s v="330102"/>
    <s v="207"/>
    <s v="90"/>
    <s v="Credito"/>
    <x v="2"/>
    <x v="216"/>
    <m/>
    <s v="000252"/>
    <s v="000132"/>
    <n v="5420.93"/>
    <s v="0,00"/>
    <s v="0,00"/>
    <s v="0,00"/>
    <s v="0,00"/>
    <s v="ORC2022_2"/>
    <s v="0012"/>
    <m/>
    <m/>
    <m/>
    <m/>
    <m/>
  </r>
  <r>
    <s v="ENCARGOS SOCIAIS"/>
    <x v="46"/>
    <x v="17"/>
    <n v="3658.95"/>
    <s v="0000000127"/>
    <s v="2252"/>
    <d v="2022-10-01T00:00:00"/>
    <s v="330102"/>
    <s v="208"/>
    <s v="90"/>
    <s v="Credito"/>
    <x v="2"/>
    <x v="216"/>
    <m/>
    <s v="000252"/>
    <s v="000132"/>
    <n v="3658.95"/>
    <s v="0,00"/>
    <s v="0,00"/>
    <s v="0,00"/>
    <s v="0,00"/>
    <s v="ORC2022_2"/>
    <s v="0012"/>
    <m/>
    <m/>
    <m/>
    <m/>
    <m/>
  </r>
  <r>
    <s v="ENCARGOS SOCIAIS"/>
    <x v="46"/>
    <x v="17"/>
    <n v="1616.05"/>
    <s v="0000000127"/>
    <s v="2253"/>
    <d v="2022-10-01T00:00:00"/>
    <s v="330102"/>
    <s v="209"/>
    <s v="90"/>
    <s v="Credito"/>
    <x v="2"/>
    <x v="216"/>
    <m/>
    <s v="000252"/>
    <s v="000132"/>
    <n v="1616.05"/>
    <s v="0,00"/>
    <s v="0,00"/>
    <s v="0,00"/>
    <s v="0,00"/>
    <s v="ORC2022_2"/>
    <s v="0012"/>
    <m/>
    <m/>
    <m/>
    <m/>
    <m/>
  </r>
  <r>
    <s v="ENCARGOS SOCIAIS"/>
    <x v="46"/>
    <x v="17"/>
    <n v="892.16"/>
    <s v="0000000127"/>
    <s v="2254"/>
    <d v="2022-10-01T00:00:00"/>
    <s v="330102"/>
    <s v="210"/>
    <s v="90"/>
    <s v="Credito"/>
    <x v="2"/>
    <x v="216"/>
    <m/>
    <s v="000252"/>
    <s v="000132"/>
    <n v="892.16"/>
    <s v="0,00"/>
    <s v="0,00"/>
    <s v="0,00"/>
    <s v="0,00"/>
    <s v="ORC2022_2"/>
    <s v="0012"/>
    <m/>
    <m/>
    <m/>
    <m/>
    <m/>
  </r>
  <r>
    <s v="ENCARGOS SOCIAIS"/>
    <x v="46"/>
    <x v="0"/>
    <n v="2589.6"/>
    <s v="0000000127"/>
    <s v="2255"/>
    <d v="2022-11-01T00:00:00"/>
    <s v="330102"/>
    <s v="206"/>
    <s v="11"/>
    <s v="Credito"/>
    <x v="2"/>
    <x v="216"/>
    <m/>
    <s v="000252"/>
    <s v="000132"/>
    <n v="2589.6"/>
    <s v="0,00"/>
    <s v="0,00"/>
    <s v="0,00"/>
    <s v="0,00"/>
    <s v="ORC2022_2"/>
    <s v="0012"/>
    <m/>
    <m/>
    <m/>
    <m/>
    <m/>
  </r>
  <r>
    <s v="ENCARGOS SOCIAIS"/>
    <x v="46"/>
    <x v="0"/>
    <n v="2075.88"/>
    <s v="0000000127"/>
    <s v="2256"/>
    <d v="2022-11-01T00:00:00"/>
    <s v="330102"/>
    <s v="209"/>
    <s v="21"/>
    <s v="Credito"/>
    <x v="2"/>
    <x v="216"/>
    <m/>
    <s v="000252"/>
    <s v="000132"/>
    <n v="2075.88"/>
    <s v="0,00"/>
    <s v="0,00"/>
    <s v="0,00"/>
    <s v="0,00"/>
    <s v="ORC2022_2"/>
    <s v="0012"/>
    <m/>
    <m/>
    <m/>
    <m/>
    <m/>
  </r>
  <r>
    <s v="ENCARGOS SOCIAIS"/>
    <x v="46"/>
    <x v="0"/>
    <n v="7531.02"/>
    <s v="0000000127"/>
    <s v="2257"/>
    <d v="2022-11-01T00:00:00"/>
    <s v="330102"/>
    <s v="201"/>
    <s v="90"/>
    <s v="Credito"/>
    <x v="2"/>
    <x v="216"/>
    <m/>
    <s v="000252"/>
    <s v="000132"/>
    <n v="7531.02"/>
    <s v="0,00"/>
    <s v="0,00"/>
    <s v="0,00"/>
    <s v="0,00"/>
    <s v="ORC2022_2"/>
    <s v="0012"/>
    <m/>
    <m/>
    <m/>
    <m/>
    <m/>
  </r>
  <r>
    <s v="ENCARGOS SOCIAIS"/>
    <x v="46"/>
    <x v="0"/>
    <n v="1099.82"/>
    <s v="0000000127"/>
    <s v="2258"/>
    <d v="2022-11-01T00:00:00"/>
    <s v="330102"/>
    <s v="202"/>
    <s v="90"/>
    <s v="Credito"/>
    <x v="2"/>
    <x v="216"/>
    <m/>
    <s v="000252"/>
    <s v="000132"/>
    <n v="1099.82"/>
    <s v="0,00"/>
    <s v="0,00"/>
    <s v="0,00"/>
    <s v="0,00"/>
    <s v="ORC2022_2"/>
    <s v="0012"/>
    <m/>
    <m/>
    <m/>
    <m/>
    <m/>
  </r>
  <r>
    <s v="ENCARGOS SOCIAIS"/>
    <x v="46"/>
    <x v="0"/>
    <n v="654.04999999999995"/>
    <s v="0000000127"/>
    <s v="2259"/>
    <d v="2022-11-01T00:00:00"/>
    <s v="330102"/>
    <s v="203"/>
    <s v="90"/>
    <s v="Credito"/>
    <x v="2"/>
    <x v="216"/>
    <m/>
    <s v="000252"/>
    <s v="000132"/>
    <n v="654.04999999999995"/>
    <s v="0,00"/>
    <s v="0,00"/>
    <s v="0,00"/>
    <s v="0,00"/>
    <s v="ORC2022_2"/>
    <s v="0012"/>
    <m/>
    <m/>
    <m/>
    <m/>
    <m/>
  </r>
  <r>
    <s v="ENCARGOS SOCIAIS"/>
    <x v="46"/>
    <x v="0"/>
    <n v="2522.15"/>
    <s v="0000000127"/>
    <s v="2260"/>
    <d v="2022-11-01T00:00:00"/>
    <s v="330102"/>
    <s v="204"/>
    <s v="90"/>
    <s v="Credito"/>
    <x v="2"/>
    <x v="216"/>
    <m/>
    <s v="000252"/>
    <s v="000132"/>
    <n v="2522.15"/>
    <s v="0,00"/>
    <s v="0,00"/>
    <s v="0,00"/>
    <s v="0,00"/>
    <s v="ORC2022_2"/>
    <s v="0012"/>
    <m/>
    <m/>
    <m/>
    <m/>
    <m/>
  </r>
  <r>
    <s v="ENCARGOS SOCIAIS"/>
    <x v="46"/>
    <x v="0"/>
    <n v="1227.73"/>
    <s v="0000000127"/>
    <s v="2261"/>
    <d v="2022-11-01T00:00:00"/>
    <s v="330102"/>
    <s v="205"/>
    <s v="90"/>
    <s v="Credito"/>
    <x v="2"/>
    <x v="216"/>
    <m/>
    <s v="000252"/>
    <s v="000132"/>
    <n v="1227.73"/>
    <s v="0,00"/>
    <s v="0,00"/>
    <s v="0,00"/>
    <s v="0,00"/>
    <s v="ORC2022_2"/>
    <s v="0012"/>
    <m/>
    <m/>
    <m/>
    <m/>
    <m/>
  </r>
  <r>
    <s v="ENCARGOS SOCIAIS"/>
    <x v="46"/>
    <x v="0"/>
    <n v="5475.14"/>
    <s v="0000000127"/>
    <s v="2262"/>
    <d v="2022-11-01T00:00:00"/>
    <s v="330102"/>
    <s v="207"/>
    <s v="90"/>
    <s v="Credito"/>
    <x v="2"/>
    <x v="216"/>
    <m/>
    <s v="000252"/>
    <s v="000132"/>
    <n v="5475.14"/>
    <s v="0,00"/>
    <s v="0,00"/>
    <s v="0,00"/>
    <s v="0,00"/>
    <s v="ORC2022_2"/>
    <s v="0012"/>
    <m/>
    <m/>
    <m/>
    <m/>
    <m/>
  </r>
  <r>
    <s v="ENCARGOS SOCIAIS"/>
    <x v="46"/>
    <x v="0"/>
    <n v="3695.54"/>
    <s v="0000000127"/>
    <s v="2263"/>
    <d v="2022-11-01T00:00:00"/>
    <s v="330102"/>
    <s v="208"/>
    <s v="90"/>
    <s v="Credito"/>
    <x v="2"/>
    <x v="216"/>
    <m/>
    <s v="000252"/>
    <s v="000132"/>
    <n v="3695.54"/>
    <s v="0,00"/>
    <s v="0,00"/>
    <s v="0,00"/>
    <s v="0,00"/>
    <s v="ORC2022_2"/>
    <s v="0012"/>
    <m/>
    <m/>
    <m/>
    <m/>
    <m/>
  </r>
  <r>
    <s v="ENCARGOS SOCIAIS"/>
    <x v="46"/>
    <x v="0"/>
    <n v="1632.21"/>
    <s v="0000000127"/>
    <s v="2264"/>
    <d v="2022-11-01T00:00:00"/>
    <s v="330102"/>
    <s v="209"/>
    <s v="90"/>
    <s v="Credito"/>
    <x v="2"/>
    <x v="216"/>
    <m/>
    <s v="000252"/>
    <s v="000132"/>
    <n v="1632.21"/>
    <s v="0,00"/>
    <s v="0,00"/>
    <s v="0,00"/>
    <s v="0,00"/>
    <s v="ORC2022_2"/>
    <s v="0012"/>
    <m/>
    <m/>
    <m/>
    <m/>
    <m/>
  </r>
  <r>
    <s v="ENCARGOS SOCIAIS"/>
    <x v="46"/>
    <x v="0"/>
    <n v="901.08"/>
    <s v="0000000127"/>
    <s v="2265"/>
    <d v="2022-11-01T00:00:00"/>
    <s v="330102"/>
    <s v="210"/>
    <s v="90"/>
    <s v="Credito"/>
    <x v="2"/>
    <x v="216"/>
    <m/>
    <s v="000252"/>
    <s v="000132"/>
    <n v="901.08"/>
    <s v="0,00"/>
    <s v="0,00"/>
    <s v="0,00"/>
    <s v="0,00"/>
    <s v="ORC2022_2"/>
    <s v="0012"/>
    <m/>
    <m/>
    <m/>
    <m/>
    <m/>
  </r>
  <r>
    <s v="ENCARGOS SOCIAIS"/>
    <x v="46"/>
    <x v="1"/>
    <n v="2615.4899999999998"/>
    <s v="0000000127"/>
    <s v="2266"/>
    <d v="2022-12-01T00:00:00"/>
    <s v="330102"/>
    <s v="206"/>
    <s v="11"/>
    <s v="Credito"/>
    <x v="2"/>
    <x v="216"/>
    <m/>
    <s v="000252"/>
    <s v="000132"/>
    <n v="2615.4899999999998"/>
    <s v="0,00"/>
    <s v="0,00"/>
    <s v="0,00"/>
    <s v="0,00"/>
    <s v="ORC2022_2"/>
    <s v="0012"/>
    <m/>
    <m/>
    <m/>
    <m/>
    <m/>
  </r>
  <r>
    <s v="ENCARGOS SOCIAIS"/>
    <x v="46"/>
    <x v="1"/>
    <n v="2096.64"/>
    <s v="0000000127"/>
    <s v="2267"/>
    <d v="2022-12-01T00:00:00"/>
    <s v="330102"/>
    <s v="209"/>
    <s v="21"/>
    <s v="Credito"/>
    <x v="2"/>
    <x v="216"/>
    <m/>
    <s v="000252"/>
    <s v="000132"/>
    <n v="2096.64"/>
    <s v="0,00"/>
    <s v="0,00"/>
    <s v="0,00"/>
    <s v="0,00"/>
    <s v="ORC2022_2"/>
    <s v="0012"/>
    <m/>
    <m/>
    <m/>
    <m/>
    <m/>
  </r>
  <r>
    <s v="ENCARGOS SOCIAIS"/>
    <x v="46"/>
    <x v="1"/>
    <n v="7606.33"/>
    <s v="0000000127"/>
    <s v="2268"/>
    <d v="2022-12-01T00:00:00"/>
    <s v="330102"/>
    <s v="201"/>
    <s v="90"/>
    <s v="Credito"/>
    <x v="2"/>
    <x v="216"/>
    <m/>
    <s v="000252"/>
    <s v="000132"/>
    <n v="7606.33"/>
    <s v="0,00"/>
    <s v="0,00"/>
    <s v="0,00"/>
    <s v="0,00"/>
    <s v="ORC2022_2"/>
    <s v="0012"/>
    <m/>
    <m/>
    <m/>
    <m/>
    <m/>
  </r>
  <r>
    <s v="ENCARGOS SOCIAIS"/>
    <x v="46"/>
    <x v="1"/>
    <n v="1110.82"/>
    <s v="0000000127"/>
    <s v="2269"/>
    <d v="2022-12-01T00:00:00"/>
    <s v="330102"/>
    <s v="202"/>
    <s v="90"/>
    <s v="Credito"/>
    <x v="2"/>
    <x v="216"/>
    <m/>
    <s v="000252"/>
    <s v="000132"/>
    <n v="1110.82"/>
    <s v="0,00"/>
    <s v="0,00"/>
    <s v="0,00"/>
    <s v="0,00"/>
    <s v="ORC2022_2"/>
    <s v="0012"/>
    <m/>
    <m/>
    <m/>
    <m/>
    <m/>
  </r>
  <r>
    <s v="ENCARGOS SOCIAIS"/>
    <x v="46"/>
    <x v="1"/>
    <n v="660.59"/>
    <s v="0000000127"/>
    <s v="2270"/>
    <d v="2022-12-01T00:00:00"/>
    <s v="330102"/>
    <s v="203"/>
    <s v="90"/>
    <s v="Credito"/>
    <x v="2"/>
    <x v="216"/>
    <m/>
    <s v="000252"/>
    <s v="000132"/>
    <n v="660.59"/>
    <s v="0,00"/>
    <s v="0,00"/>
    <s v="0,00"/>
    <s v="0,00"/>
    <s v="ORC2022_2"/>
    <s v="0012"/>
    <m/>
    <m/>
    <m/>
    <m/>
    <m/>
  </r>
  <r>
    <s v="ENCARGOS SOCIAIS"/>
    <x v="46"/>
    <x v="1"/>
    <n v="2547.37"/>
    <s v="0000000127"/>
    <s v="2271"/>
    <d v="2022-12-01T00:00:00"/>
    <s v="330102"/>
    <s v="204"/>
    <s v="90"/>
    <s v="Credito"/>
    <x v="2"/>
    <x v="216"/>
    <m/>
    <s v="000252"/>
    <s v="000132"/>
    <n v="2547.37"/>
    <s v="0,00"/>
    <s v="0,00"/>
    <s v="0,00"/>
    <s v="0,00"/>
    <s v="ORC2022_2"/>
    <s v="0012"/>
    <m/>
    <m/>
    <m/>
    <m/>
    <m/>
  </r>
  <r>
    <s v="ENCARGOS SOCIAIS"/>
    <x v="46"/>
    <x v="1"/>
    <n v="1240.01"/>
    <s v="0000000127"/>
    <s v="2272"/>
    <d v="2022-12-01T00:00:00"/>
    <s v="330102"/>
    <s v="205"/>
    <s v="90"/>
    <s v="Credito"/>
    <x v="2"/>
    <x v="216"/>
    <m/>
    <s v="000252"/>
    <s v="000132"/>
    <n v="1240.01"/>
    <s v="0,00"/>
    <s v="0,00"/>
    <s v="0,00"/>
    <s v="0,00"/>
    <s v="ORC2022_2"/>
    <s v="0012"/>
    <m/>
    <m/>
    <m/>
    <m/>
    <m/>
  </r>
  <r>
    <s v="ENCARGOS SOCIAIS"/>
    <x v="46"/>
    <x v="1"/>
    <n v="5529.89"/>
    <s v="0000000127"/>
    <s v="2273"/>
    <d v="2022-12-01T00:00:00"/>
    <s v="330102"/>
    <s v="207"/>
    <s v="90"/>
    <s v="Credito"/>
    <x v="2"/>
    <x v="216"/>
    <m/>
    <s v="000252"/>
    <s v="000132"/>
    <n v="5529.89"/>
    <s v="0,00"/>
    <s v="0,00"/>
    <s v="0,00"/>
    <s v="0,00"/>
    <s v="ORC2022_2"/>
    <s v="0012"/>
    <m/>
    <m/>
    <m/>
    <m/>
    <m/>
  </r>
  <r>
    <s v="ENCARGOS SOCIAIS"/>
    <x v="46"/>
    <x v="1"/>
    <n v="3732.49"/>
    <s v="0000000127"/>
    <s v="2274"/>
    <d v="2022-12-01T00:00:00"/>
    <s v="330102"/>
    <s v="208"/>
    <s v="90"/>
    <s v="Credito"/>
    <x v="2"/>
    <x v="216"/>
    <m/>
    <s v="000252"/>
    <s v="000132"/>
    <n v="3732.49"/>
    <s v="0,00"/>
    <s v="0,00"/>
    <s v="0,00"/>
    <s v="0,00"/>
    <s v="ORC2022_2"/>
    <s v="0012"/>
    <m/>
    <m/>
    <m/>
    <m/>
    <m/>
  </r>
  <r>
    <s v="ENCARGOS SOCIAIS"/>
    <x v="46"/>
    <x v="1"/>
    <n v="1648.53"/>
    <s v="0000000127"/>
    <s v="2275"/>
    <d v="2022-12-01T00:00:00"/>
    <s v="330102"/>
    <s v="209"/>
    <s v="90"/>
    <s v="Credito"/>
    <x v="2"/>
    <x v="216"/>
    <m/>
    <s v="000252"/>
    <s v="000132"/>
    <n v="1648.53"/>
    <s v="0,00"/>
    <s v="0,00"/>
    <s v="0,00"/>
    <s v="0,00"/>
    <s v="ORC2022_2"/>
    <s v="0012"/>
    <m/>
    <m/>
    <m/>
    <m/>
    <m/>
  </r>
  <r>
    <s v="ENCARGOS SOCIAIS"/>
    <x v="46"/>
    <x v="1"/>
    <n v="910.1"/>
    <s v="0000000127"/>
    <s v="2276"/>
    <d v="2022-12-01T00:00:00"/>
    <s v="330102"/>
    <s v="210"/>
    <s v="90"/>
    <s v="Credito"/>
    <x v="2"/>
    <x v="216"/>
    <m/>
    <s v="000252"/>
    <s v="000132"/>
    <n v="910.1"/>
    <s v="0,00"/>
    <s v="0,00"/>
    <s v="0,00"/>
    <s v="0,00"/>
    <s v="ORC2022_2"/>
    <s v="0012"/>
    <m/>
    <m/>
    <m/>
    <m/>
    <m/>
  </r>
  <r>
    <s v="BENEFICIOS"/>
    <x v="4"/>
    <x v="8"/>
    <n v="3104.92"/>
    <s v="0000000127"/>
    <s v="2277"/>
    <d v="2022-01-01T00:00:00"/>
    <s v="330103"/>
    <s v="206"/>
    <s v="11"/>
    <s v="Credito"/>
    <x v="2"/>
    <x v="216"/>
    <m/>
    <s v="000252"/>
    <s v="000132"/>
    <n v="3104.92"/>
    <s v="0,00"/>
    <s v="0,00"/>
    <s v="0,00"/>
    <s v="0,00"/>
    <s v="ORC2022_2"/>
    <s v="0012"/>
    <m/>
    <m/>
    <m/>
    <m/>
    <m/>
  </r>
  <r>
    <s v="BENEFICIOS"/>
    <x v="4"/>
    <x v="8"/>
    <n v="1978.02"/>
    <s v="0000000127"/>
    <s v="2278"/>
    <d v="2022-01-01T00:00:00"/>
    <s v="330103"/>
    <s v="209"/>
    <s v="21"/>
    <s v="Credito"/>
    <x v="2"/>
    <x v="216"/>
    <m/>
    <s v="000252"/>
    <s v="000132"/>
    <n v="1978.02"/>
    <s v="0,00"/>
    <s v="0,00"/>
    <s v="0,00"/>
    <s v="0,00"/>
    <s v="ORC2022_2"/>
    <s v="0012"/>
    <m/>
    <m/>
    <m/>
    <m/>
    <m/>
  </r>
  <r>
    <s v="BENEFICIOS"/>
    <x v="4"/>
    <x v="8"/>
    <n v="848.95"/>
    <s v="0000000127"/>
    <s v="2279"/>
    <d v="2022-01-01T00:00:00"/>
    <s v="330103"/>
    <s v="211"/>
    <s v="51"/>
    <s v="Credito"/>
    <x v="2"/>
    <x v="216"/>
    <m/>
    <s v="000252"/>
    <s v="000132"/>
    <n v="848.95"/>
    <s v="0,00"/>
    <s v="0,00"/>
    <s v="0,00"/>
    <s v="0,00"/>
    <s v="ORC2022_2"/>
    <s v="0012"/>
    <m/>
    <m/>
    <m/>
    <m/>
    <m/>
  </r>
  <r>
    <s v="BENEFICIOS"/>
    <x v="4"/>
    <x v="8"/>
    <n v="10828.99"/>
    <s v="0000000127"/>
    <s v="2280"/>
    <d v="2022-01-01T00:00:00"/>
    <s v="330103"/>
    <s v="101"/>
    <s v="90"/>
    <s v="Credito"/>
    <x v="2"/>
    <x v="216"/>
    <m/>
    <s v="000252"/>
    <s v="000132"/>
    <n v="10828.99"/>
    <s v="0,00"/>
    <s v="0,00"/>
    <s v="0,00"/>
    <s v="0,00"/>
    <s v="ORC2022_2"/>
    <s v="0012"/>
    <m/>
    <m/>
    <m/>
    <m/>
    <m/>
  </r>
  <r>
    <s v="BENEFICIOS"/>
    <x v="4"/>
    <x v="8"/>
    <n v="28621.599999999999"/>
    <s v="0000000127"/>
    <s v="2281"/>
    <d v="2022-01-01T00:00:00"/>
    <s v="330103"/>
    <s v="201"/>
    <s v="90"/>
    <s v="Credito"/>
    <x v="2"/>
    <x v="216"/>
    <m/>
    <s v="000252"/>
    <s v="000132"/>
    <n v="28621.599999999999"/>
    <s v="0,00"/>
    <s v="0,00"/>
    <s v="0,00"/>
    <s v="0,00"/>
    <s v="ORC2022_2"/>
    <s v="0012"/>
    <m/>
    <m/>
    <m/>
    <m/>
    <m/>
  </r>
  <r>
    <s v="BENEFICIOS"/>
    <x v="4"/>
    <x v="8"/>
    <n v="635.96"/>
    <s v="0000000127"/>
    <s v="2282"/>
    <d v="2022-01-01T00:00:00"/>
    <s v="330103"/>
    <s v="202"/>
    <s v="90"/>
    <s v="Credito"/>
    <x v="2"/>
    <x v="216"/>
    <m/>
    <s v="000252"/>
    <s v="000132"/>
    <n v="635.96"/>
    <s v="0,00"/>
    <s v="0,00"/>
    <s v="0,00"/>
    <s v="0,00"/>
    <s v="ORC2022_2"/>
    <s v="0012"/>
    <m/>
    <m/>
    <m/>
    <m/>
    <m/>
  </r>
  <r>
    <s v="BENEFICIOS"/>
    <x v="4"/>
    <x v="8"/>
    <n v="713.75"/>
    <s v="0000000127"/>
    <s v="2283"/>
    <d v="2022-01-01T00:00:00"/>
    <s v="330103"/>
    <s v="203"/>
    <s v="90"/>
    <s v="Credito"/>
    <x v="2"/>
    <x v="216"/>
    <m/>
    <s v="000252"/>
    <s v="000132"/>
    <n v="713.75"/>
    <s v="0,00"/>
    <s v="0,00"/>
    <s v="0,00"/>
    <s v="0,00"/>
    <s v="ORC2022_2"/>
    <s v="0012"/>
    <m/>
    <m/>
    <m/>
    <m/>
    <m/>
  </r>
  <r>
    <s v="BENEFICIOS"/>
    <x v="4"/>
    <x v="8"/>
    <n v="3878.22"/>
    <s v="0000000127"/>
    <s v="2284"/>
    <d v="2022-01-01T00:00:00"/>
    <s v="330103"/>
    <s v="204"/>
    <s v="90"/>
    <s v="Credito"/>
    <x v="2"/>
    <x v="216"/>
    <m/>
    <s v="000252"/>
    <s v="000132"/>
    <n v="3878.22"/>
    <s v="0,00"/>
    <s v="0,00"/>
    <s v="0,00"/>
    <s v="0,00"/>
    <s v="ORC2022_2"/>
    <s v="0012"/>
    <m/>
    <m/>
    <m/>
    <m/>
    <m/>
  </r>
  <r>
    <s v="BENEFICIOS"/>
    <x v="4"/>
    <x v="8"/>
    <n v="807.54"/>
    <s v="0000000127"/>
    <s v="2285"/>
    <d v="2022-01-01T00:00:00"/>
    <s v="330103"/>
    <s v="205"/>
    <s v="90"/>
    <s v="Credito"/>
    <x v="2"/>
    <x v="216"/>
    <m/>
    <s v="000252"/>
    <s v="000132"/>
    <n v="807.54"/>
    <s v="0,00"/>
    <s v="0,00"/>
    <s v="0,00"/>
    <s v="0,00"/>
    <s v="ORC2022_2"/>
    <s v="0012"/>
    <m/>
    <m/>
    <m/>
    <m/>
    <m/>
  </r>
  <r>
    <s v="BENEFICIOS"/>
    <x v="4"/>
    <x v="8"/>
    <n v="26"/>
    <s v="0000000127"/>
    <s v="2286"/>
    <d v="2022-01-01T00:00:00"/>
    <s v="330103"/>
    <s v="206"/>
    <s v="90"/>
    <s v="Credito"/>
    <x v="2"/>
    <x v="216"/>
    <m/>
    <s v="000252"/>
    <s v="000132"/>
    <n v="26"/>
    <s v="0,00"/>
    <s v="0,00"/>
    <s v="0,00"/>
    <s v="0,00"/>
    <s v="ORC2022_2"/>
    <s v="0012"/>
    <m/>
    <m/>
    <m/>
    <m/>
    <m/>
  </r>
  <r>
    <s v="BENEFICIOS"/>
    <x v="4"/>
    <x v="8"/>
    <n v="5486.67"/>
    <s v="0000000127"/>
    <s v="2287"/>
    <d v="2022-01-01T00:00:00"/>
    <s v="330103"/>
    <s v="207"/>
    <s v="90"/>
    <s v="Credito"/>
    <x v="2"/>
    <x v="216"/>
    <m/>
    <s v="000252"/>
    <s v="000132"/>
    <n v="5486.67"/>
    <s v="0,00"/>
    <s v="0,00"/>
    <s v="0,00"/>
    <s v="0,00"/>
    <s v="ORC2022_2"/>
    <s v="0012"/>
    <m/>
    <m/>
    <m/>
    <m/>
    <m/>
  </r>
  <r>
    <s v="BENEFICIOS"/>
    <x v="4"/>
    <x v="8"/>
    <n v="5091.16"/>
    <s v="0000000127"/>
    <s v="2288"/>
    <d v="2022-01-01T00:00:00"/>
    <s v="330103"/>
    <s v="208"/>
    <s v="90"/>
    <s v="Credito"/>
    <x v="2"/>
    <x v="216"/>
    <m/>
    <s v="000252"/>
    <s v="000132"/>
    <n v="5091.16"/>
    <s v="0,00"/>
    <s v="0,00"/>
    <s v="0,00"/>
    <s v="0,00"/>
    <s v="ORC2022_2"/>
    <s v="0012"/>
    <m/>
    <m/>
    <m/>
    <m/>
    <m/>
  </r>
  <r>
    <s v="BENEFICIOS"/>
    <x v="4"/>
    <x v="8"/>
    <n v="6466.95"/>
    <s v="0000000127"/>
    <s v="2289"/>
    <d v="2022-01-01T00:00:00"/>
    <s v="330103"/>
    <s v="209"/>
    <s v="90"/>
    <s v="Credito"/>
    <x v="2"/>
    <x v="216"/>
    <m/>
    <s v="000252"/>
    <s v="000132"/>
    <n v="6466.95"/>
    <s v="0,00"/>
    <s v="0,00"/>
    <s v="0,00"/>
    <s v="0,00"/>
    <s v="ORC2022_2"/>
    <s v="0012"/>
    <m/>
    <m/>
    <m/>
    <m/>
    <m/>
  </r>
  <r>
    <s v="BENEFICIOS"/>
    <x v="4"/>
    <x v="8"/>
    <n v="2919.3"/>
    <s v="0000000127"/>
    <s v="2290"/>
    <d v="2022-01-01T00:00:00"/>
    <s v="330103"/>
    <s v="210"/>
    <s v="90"/>
    <s v="Credito"/>
    <x v="2"/>
    <x v="216"/>
    <m/>
    <s v="000252"/>
    <s v="000132"/>
    <n v="2919.3"/>
    <s v="0,00"/>
    <s v="0,00"/>
    <s v="0,00"/>
    <s v="0,00"/>
    <s v="ORC2022_2"/>
    <s v="0012"/>
    <m/>
    <m/>
    <m/>
    <m/>
    <m/>
  </r>
  <r>
    <s v="BENEFICIOS"/>
    <x v="4"/>
    <x v="9"/>
    <n v="2832.92"/>
    <s v="0000000127"/>
    <s v="2291"/>
    <d v="2022-02-01T00:00:00"/>
    <s v="330103"/>
    <s v="206"/>
    <s v="11"/>
    <s v="Credito"/>
    <x v="2"/>
    <x v="216"/>
    <m/>
    <s v="000252"/>
    <s v="000132"/>
    <n v="2832.92"/>
    <s v="0,00"/>
    <s v="0,00"/>
    <s v="0,00"/>
    <s v="0,00"/>
    <s v="ORC2022_2"/>
    <s v="0012"/>
    <m/>
    <m/>
    <m/>
    <m/>
    <m/>
  </r>
  <r>
    <s v="BENEFICIOS"/>
    <x v="4"/>
    <x v="9"/>
    <n v="1904.48"/>
    <s v="0000000127"/>
    <s v="2292"/>
    <d v="2022-02-01T00:00:00"/>
    <s v="330103"/>
    <s v="209"/>
    <s v="21"/>
    <s v="Credito"/>
    <x v="2"/>
    <x v="216"/>
    <m/>
    <s v="000252"/>
    <s v="000132"/>
    <n v="1904.48"/>
    <s v="0,00"/>
    <s v="0,00"/>
    <s v="0,00"/>
    <s v="0,00"/>
    <s v="ORC2022_2"/>
    <s v="0012"/>
    <m/>
    <m/>
    <m/>
    <m/>
    <m/>
  </r>
  <r>
    <s v="BENEFICIOS"/>
    <x v="4"/>
    <x v="9"/>
    <n v="683.96"/>
    <s v="0000000127"/>
    <s v="2293"/>
    <d v="2022-02-01T00:00:00"/>
    <s v="330103"/>
    <s v="211"/>
    <s v="51"/>
    <s v="Credito"/>
    <x v="2"/>
    <x v="216"/>
    <m/>
    <s v="000252"/>
    <s v="000132"/>
    <n v="683.96"/>
    <s v="0,00"/>
    <s v="0,00"/>
    <s v="0,00"/>
    <s v="0,00"/>
    <s v="ORC2022_2"/>
    <s v="0012"/>
    <m/>
    <m/>
    <m/>
    <m/>
    <m/>
  </r>
  <r>
    <s v="BENEFICIOS"/>
    <x v="4"/>
    <x v="9"/>
    <n v="11649.63"/>
    <s v="0000000127"/>
    <s v="2294"/>
    <d v="2022-02-01T00:00:00"/>
    <s v="330103"/>
    <s v="101"/>
    <s v="90"/>
    <s v="Credito"/>
    <x v="2"/>
    <x v="216"/>
    <m/>
    <s v="000252"/>
    <s v="000132"/>
    <n v="11649.63"/>
    <s v="0,00"/>
    <s v="0,00"/>
    <s v="0,00"/>
    <s v="0,00"/>
    <s v="ORC2022_2"/>
    <s v="0012"/>
    <m/>
    <m/>
    <m/>
    <m/>
    <m/>
  </r>
  <r>
    <s v="BENEFICIOS"/>
    <x v="4"/>
    <x v="9"/>
    <n v="28791.25"/>
    <s v="0000000127"/>
    <s v="2295"/>
    <d v="2022-02-01T00:00:00"/>
    <s v="330103"/>
    <s v="201"/>
    <s v="90"/>
    <s v="Credito"/>
    <x v="2"/>
    <x v="216"/>
    <m/>
    <s v="000252"/>
    <s v="000132"/>
    <n v="28791.25"/>
    <s v="0,00"/>
    <s v="0,00"/>
    <s v="0,00"/>
    <s v="0,00"/>
    <s v="ORC2022_2"/>
    <s v="0012"/>
    <m/>
    <m/>
    <m/>
    <m/>
    <m/>
  </r>
  <r>
    <s v="BENEFICIOS"/>
    <x v="4"/>
    <x v="9"/>
    <n v="633.96"/>
    <s v="0000000127"/>
    <s v="2296"/>
    <d v="2022-02-01T00:00:00"/>
    <s v="330103"/>
    <s v="202"/>
    <s v="90"/>
    <s v="Credito"/>
    <x v="2"/>
    <x v="216"/>
    <m/>
    <s v="000252"/>
    <s v="000132"/>
    <n v="633.96"/>
    <s v="0,00"/>
    <s v="0,00"/>
    <s v="0,00"/>
    <s v="0,00"/>
    <s v="ORC2022_2"/>
    <s v="0012"/>
    <m/>
    <m/>
    <m/>
    <m/>
    <m/>
  </r>
  <r>
    <s v="BENEFICIOS"/>
    <x v="4"/>
    <x v="9"/>
    <n v="665.75"/>
    <s v="0000000127"/>
    <s v="2297"/>
    <d v="2022-02-01T00:00:00"/>
    <s v="330103"/>
    <s v="203"/>
    <s v="90"/>
    <s v="Credito"/>
    <x v="2"/>
    <x v="216"/>
    <m/>
    <s v="000252"/>
    <s v="000132"/>
    <n v="665.75"/>
    <s v="0,00"/>
    <s v="0,00"/>
    <s v="0,00"/>
    <s v="0,00"/>
    <s v="ORC2022_2"/>
    <s v="0012"/>
    <m/>
    <m/>
    <m/>
    <m/>
    <m/>
  </r>
  <r>
    <s v="BENEFICIOS"/>
    <x v="4"/>
    <x v="9"/>
    <n v="3719.02"/>
    <s v="0000000127"/>
    <s v="2298"/>
    <d v="2022-02-01T00:00:00"/>
    <s v="330103"/>
    <s v="204"/>
    <s v="90"/>
    <s v="Credito"/>
    <x v="2"/>
    <x v="216"/>
    <m/>
    <s v="000252"/>
    <s v="000132"/>
    <n v="3719.02"/>
    <s v="0,00"/>
    <s v="0,00"/>
    <s v="0,00"/>
    <s v="0,00"/>
    <s v="ORC2022_2"/>
    <s v="0012"/>
    <m/>
    <m/>
    <m/>
    <m/>
    <m/>
  </r>
  <r>
    <s v="BENEFICIOS"/>
    <x v="4"/>
    <x v="9"/>
    <n v="791.54"/>
    <s v="0000000127"/>
    <s v="2299"/>
    <d v="2022-02-01T00:00:00"/>
    <s v="330103"/>
    <s v="205"/>
    <s v="90"/>
    <s v="Credito"/>
    <x v="2"/>
    <x v="216"/>
    <m/>
    <s v="000252"/>
    <s v="000132"/>
    <n v="791.54"/>
    <s v="0,00"/>
    <s v="0,00"/>
    <s v="0,00"/>
    <s v="0,00"/>
    <s v="ORC2022_2"/>
    <s v="0012"/>
    <m/>
    <m/>
    <m/>
    <m/>
    <m/>
  </r>
  <r>
    <s v="BENEFICIOS"/>
    <x v="4"/>
    <x v="9"/>
    <n v="14"/>
    <s v="0000000127"/>
    <s v="2300"/>
    <d v="2022-02-01T00:00:00"/>
    <s v="330103"/>
    <s v="206"/>
    <s v="90"/>
    <s v="Credito"/>
    <x v="2"/>
    <x v="216"/>
    <m/>
    <s v="000252"/>
    <s v="000132"/>
    <n v="14"/>
    <s v="0,00"/>
    <s v="0,00"/>
    <s v="0,00"/>
    <s v="0,00"/>
    <s v="ORC2022_2"/>
    <s v="0012"/>
    <m/>
    <m/>
    <m/>
    <m/>
    <m/>
  </r>
  <r>
    <s v="BENEFICIOS"/>
    <x v="4"/>
    <x v="9"/>
    <n v="5457.87"/>
    <s v="0000000127"/>
    <s v="2301"/>
    <d v="2022-02-01T00:00:00"/>
    <s v="330103"/>
    <s v="207"/>
    <s v="90"/>
    <s v="Credito"/>
    <x v="2"/>
    <x v="216"/>
    <m/>
    <s v="000252"/>
    <s v="000132"/>
    <n v="5457.87"/>
    <s v="0,00"/>
    <s v="0,00"/>
    <s v="0,00"/>
    <s v="0,00"/>
    <s v="ORC2022_2"/>
    <s v="0012"/>
    <m/>
    <m/>
    <m/>
    <m/>
    <m/>
  </r>
  <r>
    <s v="BENEFICIOS"/>
    <x v="4"/>
    <x v="9"/>
    <n v="4863.3500000000004"/>
    <s v="0000000127"/>
    <s v="2302"/>
    <d v="2022-02-01T00:00:00"/>
    <s v="330103"/>
    <s v="208"/>
    <s v="90"/>
    <s v="Credito"/>
    <x v="2"/>
    <x v="216"/>
    <m/>
    <s v="000252"/>
    <s v="000132"/>
    <n v="4863.3500000000004"/>
    <s v="0,00"/>
    <s v="0,00"/>
    <s v="0,00"/>
    <s v="0,00"/>
    <s v="ORC2022_2"/>
    <s v="0012"/>
    <m/>
    <m/>
    <m/>
    <m/>
    <m/>
  </r>
  <r>
    <s v="BENEFICIOS"/>
    <x v="4"/>
    <x v="9"/>
    <n v="6042.75"/>
    <s v="0000000127"/>
    <s v="2303"/>
    <d v="2022-02-01T00:00:00"/>
    <s v="330103"/>
    <s v="209"/>
    <s v="90"/>
    <s v="Credito"/>
    <x v="2"/>
    <x v="216"/>
    <m/>
    <s v="000252"/>
    <s v="000132"/>
    <n v="6042.75"/>
    <s v="0,00"/>
    <s v="0,00"/>
    <s v="0,00"/>
    <s v="0,00"/>
    <s v="ORC2022_2"/>
    <s v="0012"/>
    <m/>
    <m/>
    <m/>
    <m/>
    <m/>
  </r>
  <r>
    <s v="BENEFICIOS"/>
    <x v="4"/>
    <x v="9"/>
    <n v="2788.31"/>
    <s v="0000000127"/>
    <s v="2304"/>
    <d v="2022-02-01T00:00:00"/>
    <s v="330103"/>
    <s v="210"/>
    <s v="90"/>
    <s v="Credito"/>
    <x v="2"/>
    <x v="216"/>
    <m/>
    <s v="000252"/>
    <s v="000132"/>
    <n v="2788.31"/>
    <s v="0,00"/>
    <s v="0,00"/>
    <s v="0,00"/>
    <s v="0,00"/>
    <s v="ORC2022_2"/>
    <s v="0012"/>
    <m/>
    <m/>
    <m/>
    <m/>
    <m/>
  </r>
  <r>
    <s v="BENEFICIOS"/>
    <x v="4"/>
    <x v="9"/>
    <n v="320"/>
    <s v="0000000127"/>
    <s v="2305"/>
    <d v="2022-02-01T00:00:00"/>
    <s v="330103"/>
    <s v="211"/>
    <s v="90"/>
    <s v="Credito"/>
    <x v="2"/>
    <x v="216"/>
    <m/>
    <s v="000252"/>
    <s v="000132"/>
    <n v="320"/>
    <s v="0,00"/>
    <s v="0,00"/>
    <s v="0,00"/>
    <s v="0,00"/>
    <s v="ORC2022_2"/>
    <s v="0012"/>
    <m/>
    <m/>
    <m/>
    <m/>
    <m/>
  </r>
  <r>
    <s v="BENEFICIOS"/>
    <x v="4"/>
    <x v="10"/>
    <n v="2821.52"/>
    <s v="0000000127"/>
    <s v="2306"/>
    <d v="2022-03-01T00:00:00"/>
    <s v="330103"/>
    <s v="206"/>
    <s v="11"/>
    <s v="Credito"/>
    <x v="2"/>
    <x v="216"/>
    <m/>
    <s v="000252"/>
    <s v="000132"/>
    <n v="2821.52"/>
    <s v="0,00"/>
    <s v="0,00"/>
    <s v="0,00"/>
    <s v="0,00"/>
    <s v="ORC2022_2"/>
    <s v="0012"/>
    <m/>
    <m/>
    <m/>
    <m/>
    <m/>
  </r>
  <r>
    <s v="BENEFICIOS"/>
    <x v="4"/>
    <x v="10"/>
    <n v="2217.36"/>
    <s v="0000000127"/>
    <s v="2307"/>
    <d v="2022-03-01T00:00:00"/>
    <s v="330103"/>
    <s v="209"/>
    <s v="21"/>
    <s v="Credito"/>
    <x v="2"/>
    <x v="216"/>
    <m/>
    <s v="000252"/>
    <s v="000132"/>
    <n v="2217.36"/>
    <s v="0,00"/>
    <s v="0,00"/>
    <s v="0,00"/>
    <s v="0,00"/>
    <s v="ORC2022_2"/>
    <s v="0012"/>
    <m/>
    <m/>
    <m/>
    <m/>
    <m/>
  </r>
  <r>
    <s v="BENEFICIOS"/>
    <x v="4"/>
    <x v="10"/>
    <n v="288.5"/>
    <s v="0000000127"/>
    <s v="2308"/>
    <d v="2022-03-01T00:00:00"/>
    <s v="330103"/>
    <s v="211"/>
    <s v="51"/>
    <s v="Credito"/>
    <x v="2"/>
    <x v="216"/>
    <m/>
    <s v="000252"/>
    <s v="000132"/>
    <n v="288.5"/>
    <s v="0,00"/>
    <s v="0,00"/>
    <s v="0,00"/>
    <s v="0,00"/>
    <s v="ORC2022_2"/>
    <s v="0012"/>
    <m/>
    <m/>
    <m/>
    <m/>
    <m/>
  </r>
  <r>
    <s v="BENEFICIOS"/>
    <x v="4"/>
    <x v="10"/>
    <n v="11649.63"/>
    <s v="0000000127"/>
    <s v="2309"/>
    <d v="2022-03-01T00:00:00"/>
    <s v="330103"/>
    <s v="101"/>
    <s v="90"/>
    <s v="Credito"/>
    <x v="2"/>
    <x v="216"/>
    <m/>
    <s v="000252"/>
    <s v="000132"/>
    <n v="11649.63"/>
    <s v="0,00"/>
    <s v="0,00"/>
    <s v="0,00"/>
    <s v="0,00"/>
    <s v="ORC2022_2"/>
    <s v="0012"/>
    <m/>
    <m/>
    <m/>
    <m/>
    <m/>
  </r>
  <r>
    <s v="BENEFICIOS"/>
    <x v="4"/>
    <x v="10"/>
    <n v="28656.42"/>
    <s v="0000000127"/>
    <s v="2310"/>
    <d v="2022-03-01T00:00:00"/>
    <s v="330103"/>
    <s v="201"/>
    <s v="90"/>
    <s v="Credito"/>
    <x v="2"/>
    <x v="216"/>
    <m/>
    <s v="000252"/>
    <s v="000132"/>
    <n v="28656.42"/>
    <s v="0,00"/>
    <s v="0,00"/>
    <s v="0,00"/>
    <s v="0,00"/>
    <s v="ORC2022_2"/>
    <s v="0012"/>
    <m/>
    <m/>
    <m/>
    <m/>
    <m/>
  </r>
  <r>
    <s v="BENEFICIOS"/>
    <x v="4"/>
    <x v="10"/>
    <n v="651.96"/>
    <s v="0000000127"/>
    <s v="2311"/>
    <d v="2022-03-01T00:00:00"/>
    <s v="330103"/>
    <s v="202"/>
    <s v="90"/>
    <s v="Credito"/>
    <x v="2"/>
    <x v="216"/>
    <m/>
    <s v="000252"/>
    <s v="000132"/>
    <n v="651.96"/>
    <s v="0,00"/>
    <s v="0,00"/>
    <s v="0,00"/>
    <s v="0,00"/>
    <s v="ORC2022_2"/>
    <s v="0012"/>
    <m/>
    <m/>
    <m/>
    <m/>
    <m/>
  </r>
  <r>
    <s v="BENEFICIOS"/>
    <x v="4"/>
    <x v="10"/>
    <n v="655.14"/>
    <s v="0000000127"/>
    <s v="2312"/>
    <d v="2022-03-01T00:00:00"/>
    <s v="330103"/>
    <s v="203"/>
    <s v="90"/>
    <s v="Credito"/>
    <x v="2"/>
    <x v="216"/>
    <m/>
    <s v="000252"/>
    <s v="000132"/>
    <n v="655.14"/>
    <s v="0,00"/>
    <s v="0,00"/>
    <s v="0,00"/>
    <s v="0,00"/>
    <s v="ORC2022_2"/>
    <s v="0012"/>
    <m/>
    <m/>
    <m/>
    <m/>
    <m/>
  </r>
  <r>
    <s v="BENEFICIOS"/>
    <x v="4"/>
    <x v="10"/>
    <n v="3808.83"/>
    <s v="0000000127"/>
    <s v="2313"/>
    <d v="2022-03-01T00:00:00"/>
    <s v="330103"/>
    <s v="204"/>
    <s v="90"/>
    <s v="Credito"/>
    <x v="2"/>
    <x v="216"/>
    <m/>
    <s v="000252"/>
    <s v="000132"/>
    <n v="3808.83"/>
    <s v="0,00"/>
    <s v="0,00"/>
    <s v="0,00"/>
    <s v="0,00"/>
    <s v="ORC2022_2"/>
    <s v="0012"/>
    <m/>
    <m/>
    <m/>
    <m/>
    <m/>
  </r>
  <r>
    <s v="BENEFICIOS"/>
    <x v="4"/>
    <x v="10"/>
    <n v="753.85"/>
    <s v="0000000127"/>
    <s v="2314"/>
    <d v="2022-03-01T00:00:00"/>
    <s v="330103"/>
    <s v="205"/>
    <s v="90"/>
    <s v="Credito"/>
    <x v="2"/>
    <x v="216"/>
    <m/>
    <s v="000252"/>
    <s v="000132"/>
    <n v="753.85"/>
    <s v="0,00"/>
    <s v="0,00"/>
    <s v="0,00"/>
    <s v="0,00"/>
    <s v="ORC2022_2"/>
    <s v="0012"/>
    <m/>
    <m/>
    <m/>
    <m/>
    <m/>
  </r>
  <r>
    <s v="BENEFICIOS"/>
    <x v="4"/>
    <x v="10"/>
    <n v="4829.67"/>
    <s v="0000000127"/>
    <s v="2315"/>
    <d v="2022-03-01T00:00:00"/>
    <s v="330103"/>
    <s v="207"/>
    <s v="90"/>
    <s v="Credito"/>
    <x v="2"/>
    <x v="216"/>
    <m/>
    <s v="000252"/>
    <s v="000132"/>
    <n v="4829.67"/>
    <s v="0,00"/>
    <s v="0,00"/>
    <s v="0,00"/>
    <s v="0,00"/>
    <s v="ORC2022_2"/>
    <s v="0012"/>
    <m/>
    <m/>
    <m/>
    <m/>
    <m/>
  </r>
  <r>
    <s v="BENEFICIOS"/>
    <x v="4"/>
    <x v="10"/>
    <n v="4485.63"/>
    <s v="0000000127"/>
    <s v="2316"/>
    <d v="2022-03-01T00:00:00"/>
    <s v="330103"/>
    <s v="208"/>
    <s v="90"/>
    <s v="Credito"/>
    <x v="2"/>
    <x v="216"/>
    <m/>
    <s v="000252"/>
    <s v="000132"/>
    <n v="4485.63"/>
    <s v="0,00"/>
    <s v="0,00"/>
    <s v="0,00"/>
    <s v="0,00"/>
    <s v="ORC2022_2"/>
    <s v="0012"/>
    <m/>
    <m/>
    <m/>
    <m/>
    <m/>
  </r>
  <r>
    <s v="BENEFICIOS"/>
    <x v="4"/>
    <x v="10"/>
    <n v="5399.44"/>
    <s v="0000000127"/>
    <s v="2317"/>
    <d v="2022-03-01T00:00:00"/>
    <s v="330103"/>
    <s v="209"/>
    <s v="90"/>
    <s v="Credito"/>
    <x v="2"/>
    <x v="216"/>
    <m/>
    <s v="000252"/>
    <s v="000132"/>
    <n v="5399.44"/>
    <s v="0,00"/>
    <s v="0,00"/>
    <s v="0,00"/>
    <s v="0,00"/>
    <s v="ORC2022_2"/>
    <s v="0012"/>
    <m/>
    <m/>
    <m/>
    <m/>
    <m/>
  </r>
  <r>
    <s v="BENEFICIOS"/>
    <x v="4"/>
    <x v="10"/>
    <n v="2845.41"/>
    <s v="0000000127"/>
    <s v="2318"/>
    <d v="2022-03-01T00:00:00"/>
    <s v="330103"/>
    <s v="210"/>
    <s v="90"/>
    <s v="Credito"/>
    <x v="2"/>
    <x v="216"/>
    <m/>
    <s v="000252"/>
    <s v="000132"/>
    <n v="2845.41"/>
    <s v="0,00"/>
    <s v="0,00"/>
    <s v="0,00"/>
    <s v="0,00"/>
    <s v="ORC2022_2"/>
    <s v="0012"/>
    <m/>
    <m/>
    <m/>
    <m/>
    <m/>
  </r>
  <r>
    <s v="BENEFICIOS"/>
    <x v="4"/>
    <x v="11"/>
    <n v="3036.19"/>
    <s v="0000000127"/>
    <s v="2319"/>
    <d v="2022-04-01T00:00:00"/>
    <s v="330103"/>
    <s v="206"/>
    <s v="11"/>
    <s v="Credito"/>
    <x v="2"/>
    <x v="216"/>
    <m/>
    <s v="000252"/>
    <s v="000132"/>
    <n v="3036.19"/>
    <s v="0,00"/>
    <s v="0,00"/>
    <s v="0,00"/>
    <s v="0,00"/>
    <s v="ORC2022_2"/>
    <s v="0012"/>
    <m/>
    <m/>
    <m/>
    <m/>
    <m/>
  </r>
  <r>
    <s v="BENEFICIOS"/>
    <x v="4"/>
    <x v="11"/>
    <n v="2797.28"/>
    <s v="0000000127"/>
    <s v="2320"/>
    <d v="2022-04-01T00:00:00"/>
    <s v="330103"/>
    <s v="209"/>
    <s v="21"/>
    <s v="Credito"/>
    <x v="2"/>
    <x v="216"/>
    <m/>
    <s v="000252"/>
    <s v="000132"/>
    <n v="2797.28"/>
    <s v="0,00"/>
    <s v="0,00"/>
    <s v="0,00"/>
    <s v="0,00"/>
    <s v="ORC2022_2"/>
    <s v="0012"/>
    <m/>
    <m/>
    <m/>
    <m/>
    <m/>
  </r>
  <r>
    <s v="BENEFICIOS"/>
    <x v="4"/>
    <x v="11"/>
    <n v="8673.11"/>
    <s v="0000000127"/>
    <s v="2321"/>
    <d v="2022-04-01T00:00:00"/>
    <s v="330103"/>
    <s v="101"/>
    <s v="90"/>
    <s v="Credito"/>
    <x v="2"/>
    <x v="216"/>
    <m/>
    <s v="000252"/>
    <s v="000132"/>
    <n v="8673.11"/>
    <s v="0,00"/>
    <s v="0,00"/>
    <s v="0,00"/>
    <s v="0,00"/>
    <s v="ORC2022_2"/>
    <s v="0012"/>
    <m/>
    <m/>
    <m/>
    <m/>
    <m/>
  </r>
  <r>
    <s v="BENEFICIOS"/>
    <x v="4"/>
    <x v="11"/>
    <n v="27012.75"/>
    <s v="0000000127"/>
    <s v="2322"/>
    <d v="2022-04-01T00:00:00"/>
    <s v="330103"/>
    <s v="201"/>
    <s v="90"/>
    <s v="Credito"/>
    <x v="2"/>
    <x v="216"/>
    <m/>
    <s v="000252"/>
    <s v="000132"/>
    <n v="27012.75"/>
    <s v="0,00"/>
    <s v="0,00"/>
    <s v="0,00"/>
    <s v="0,00"/>
    <s v="ORC2022_2"/>
    <s v="0012"/>
    <m/>
    <m/>
    <m/>
    <m/>
    <m/>
  </r>
  <r>
    <s v="BENEFICIOS"/>
    <x v="4"/>
    <x v="11"/>
    <n v="453.96"/>
    <s v="0000000127"/>
    <s v="2323"/>
    <d v="2022-04-01T00:00:00"/>
    <s v="330103"/>
    <s v="202"/>
    <s v="90"/>
    <s v="Credito"/>
    <x v="2"/>
    <x v="216"/>
    <m/>
    <s v="000252"/>
    <s v="000132"/>
    <n v="453.96"/>
    <s v="0,00"/>
    <s v="0,00"/>
    <s v="0,00"/>
    <s v="0,00"/>
    <s v="ORC2022_2"/>
    <s v="0012"/>
    <m/>
    <m/>
    <m/>
    <m/>
    <m/>
  </r>
  <r>
    <s v="BENEFICIOS"/>
    <x v="4"/>
    <x v="11"/>
    <n v="588.48"/>
    <s v="0000000127"/>
    <s v="2324"/>
    <d v="2022-04-01T00:00:00"/>
    <s v="330103"/>
    <s v="203"/>
    <s v="90"/>
    <s v="Credito"/>
    <x v="2"/>
    <x v="216"/>
    <m/>
    <s v="000252"/>
    <s v="000132"/>
    <n v="588.48"/>
    <s v="0,00"/>
    <s v="0,00"/>
    <s v="0,00"/>
    <s v="0,00"/>
    <s v="ORC2022_2"/>
    <s v="0012"/>
    <m/>
    <m/>
    <m/>
    <m/>
    <m/>
  </r>
  <r>
    <s v="BENEFICIOS"/>
    <x v="4"/>
    <x v="11"/>
    <n v="2994.76"/>
    <s v="0000000127"/>
    <s v="2325"/>
    <d v="2022-04-01T00:00:00"/>
    <s v="330103"/>
    <s v="204"/>
    <s v="90"/>
    <s v="Credito"/>
    <x v="2"/>
    <x v="216"/>
    <m/>
    <s v="000252"/>
    <s v="000132"/>
    <n v="2994.76"/>
    <s v="0,00"/>
    <s v="0,00"/>
    <s v="0,00"/>
    <s v="0,00"/>
    <s v="ORC2022_2"/>
    <s v="0012"/>
    <m/>
    <m/>
    <m/>
    <m/>
    <m/>
  </r>
  <r>
    <s v="BENEFICIOS"/>
    <x v="4"/>
    <x v="11"/>
    <n v="765.99"/>
    <s v="0000000127"/>
    <s v="2326"/>
    <d v="2022-04-01T00:00:00"/>
    <s v="330103"/>
    <s v="205"/>
    <s v="90"/>
    <s v="Credito"/>
    <x v="2"/>
    <x v="216"/>
    <m/>
    <s v="000252"/>
    <s v="000132"/>
    <n v="765.99"/>
    <s v="0,00"/>
    <s v="0,00"/>
    <s v="0,00"/>
    <s v="0,00"/>
    <s v="ORC2022_2"/>
    <s v="0012"/>
    <m/>
    <m/>
    <m/>
    <m/>
    <m/>
  </r>
  <r>
    <s v="BENEFICIOS"/>
    <x v="4"/>
    <x v="11"/>
    <n v="4359.21"/>
    <s v="0000000127"/>
    <s v="2327"/>
    <d v="2022-04-01T00:00:00"/>
    <s v="330103"/>
    <s v="207"/>
    <s v="90"/>
    <s v="Credito"/>
    <x v="2"/>
    <x v="216"/>
    <m/>
    <s v="000252"/>
    <s v="000132"/>
    <n v="4359.21"/>
    <s v="0,00"/>
    <s v="0,00"/>
    <s v="0,00"/>
    <s v="0,00"/>
    <s v="ORC2022_2"/>
    <s v="0012"/>
    <m/>
    <m/>
    <m/>
    <m/>
    <m/>
  </r>
  <r>
    <s v="BENEFICIOS"/>
    <x v="4"/>
    <x v="11"/>
    <n v="3821.85"/>
    <s v="0000000127"/>
    <s v="2328"/>
    <d v="2022-04-01T00:00:00"/>
    <s v="330103"/>
    <s v="208"/>
    <s v="90"/>
    <s v="Credito"/>
    <x v="2"/>
    <x v="216"/>
    <m/>
    <s v="000252"/>
    <s v="000132"/>
    <n v="3821.85"/>
    <s v="0,00"/>
    <s v="0,00"/>
    <s v="0,00"/>
    <s v="0,00"/>
    <s v="ORC2022_2"/>
    <s v="0012"/>
    <m/>
    <m/>
    <m/>
    <m/>
    <m/>
  </r>
  <r>
    <s v="BENEFICIOS"/>
    <x v="4"/>
    <x v="11"/>
    <n v="4523.97"/>
    <s v="0000000127"/>
    <s v="2329"/>
    <d v="2022-04-01T00:00:00"/>
    <s v="330103"/>
    <s v="209"/>
    <s v="90"/>
    <s v="Credito"/>
    <x v="2"/>
    <x v="216"/>
    <m/>
    <s v="000252"/>
    <s v="000132"/>
    <n v="4523.97"/>
    <s v="0,00"/>
    <s v="0,00"/>
    <s v="0,00"/>
    <s v="0,00"/>
    <s v="ORC2022_2"/>
    <s v="0012"/>
    <m/>
    <m/>
    <m/>
    <m/>
    <m/>
  </r>
  <r>
    <s v="BENEFICIOS"/>
    <x v="4"/>
    <x v="11"/>
    <n v="2291.62"/>
    <s v="0000000127"/>
    <s v="2330"/>
    <d v="2022-04-01T00:00:00"/>
    <s v="330103"/>
    <s v="210"/>
    <s v="90"/>
    <s v="Credito"/>
    <x v="2"/>
    <x v="216"/>
    <m/>
    <s v="000252"/>
    <s v="000132"/>
    <n v="2291.62"/>
    <s v="0,00"/>
    <s v="0,00"/>
    <s v="0,00"/>
    <s v="0,00"/>
    <s v="ORC2022_2"/>
    <s v="0012"/>
    <m/>
    <m/>
    <m/>
    <m/>
    <m/>
  </r>
  <r>
    <s v="BENEFICIOS"/>
    <x v="4"/>
    <x v="12"/>
    <n v="2933.22"/>
    <s v="0000000127"/>
    <s v="2331"/>
    <d v="2022-05-01T00:00:00"/>
    <s v="330103"/>
    <s v="206"/>
    <s v="11"/>
    <s v="Credito"/>
    <x v="2"/>
    <x v="216"/>
    <m/>
    <s v="000252"/>
    <s v="000132"/>
    <n v="2933.22"/>
    <s v="0,00"/>
    <s v="0,00"/>
    <s v="0,00"/>
    <s v="0,00"/>
    <s v="ORC2022_2"/>
    <s v="0012"/>
    <m/>
    <m/>
    <m/>
    <m/>
    <m/>
  </r>
  <r>
    <s v="BENEFICIOS"/>
    <x v="4"/>
    <x v="12"/>
    <n v="2049"/>
    <s v="0000000127"/>
    <s v="2332"/>
    <d v="2022-05-01T00:00:00"/>
    <s v="330103"/>
    <s v="209"/>
    <s v="21"/>
    <s v="Credito"/>
    <x v="2"/>
    <x v="216"/>
    <m/>
    <s v="000252"/>
    <s v="000132"/>
    <n v="2049"/>
    <s v="0,00"/>
    <s v="0,00"/>
    <s v="0,00"/>
    <s v="0,00"/>
    <s v="ORC2022_2"/>
    <s v="0012"/>
    <m/>
    <m/>
    <m/>
    <m/>
    <m/>
  </r>
  <r>
    <s v="BENEFICIOS"/>
    <x v="4"/>
    <x v="12"/>
    <n v="12533.27"/>
    <s v="0000000127"/>
    <s v="2333"/>
    <d v="2022-05-01T00:00:00"/>
    <s v="330103"/>
    <s v="211"/>
    <s v="51"/>
    <s v="Credito"/>
    <x v="2"/>
    <x v="216"/>
    <m/>
    <s v="000252"/>
    <s v="000132"/>
    <n v="12533.27"/>
    <s v="0,00"/>
    <s v="0,00"/>
    <s v="0,00"/>
    <s v="0,00"/>
    <s v="ORC2022_2"/>
    <s v="0012"/>
    <m/>
    <m/>
    <m/>
    <m/>
    <m/>
  </r>
  <r>
    <s v="BENEFICIOS"/>
    <x v="4"/>
    <x v="12"/>
    <n v="115.6"/>
    <s v="0000000127"/>
    <s v="2334"/>
    <d v="2022-05-01T00:00:00"/>
    <s v="330103"/>
    <s v="101"/>
    <s v="90"/>
    <s v="Credito"/>
    <x v="2"/>
    <x v="216"/>
    <m/>
    <s v="000252"/>
    <s v="000132"/>
    <n v="115.6"/>
    <s v="0,00"/>
    <s v="0,00"/>
    <s v="0,00"/>
    <s v="0,00"/>
    <s v="ORC2022_2"/>
    <s v="0012"/>
    <m/>
    <m/>
    <m/>
    <m/>
    <m/>
  </r>
  <r>
    <s v="BENEFICIOS"/>
    <x v="4"/>
    <x v="12"/>
    <n v="27492.2"/>
    <s v="0000000127"/>
    <s v="2335"/>
    <d v="2022-05-01T00:00:00"/>
    <s v="330103"/>
    <s v="201"/>
    <s v="90"/>
    <s v="Credito"/>
    <x v="2"/>
    <x v="216"/>
    <m/>
    <s v="000252"/>
    <s v="000132"/>
    <n v="27492.2"/>
    <s v="0,00"/>
    <s v="0,00"/>
    <s v="0,00"/>
    <s v="0,00"/>
    <s v="ORC2022_2"/>
    <s v="0012"/>
    <m/>
    <m/>
    <m/>
    <m/>
    <m/>
  </r>
  <r>
    <s v="BENEFICIOS"/>
    <x v="4"/>
    <x v="12"/>
    <n v="501.96"/>
    <s v="0000000127"/>
    <s v="2336"/>
    <d v="2022-05-01T00:00:00"/>
    <s v="330103"/>
    <s v="202"/>
    <s v="90"/>
    <s v="Credito"/>
    <x v="2"/>
    <x v="216"/>
    <m/>
    <s v="000252"/>
    <s v="000132"/>
    <n v="501.96"/>
    <s v="0,00"/>
    <s v="0,00"/>
    <s v="0,00"/>
    <s v="0,00"/>
    <s v="ORC2022_2"/>
    <s v="0012"/>
    <m/>
    <m/>
    <m/>
    <m/>
    <m/>
  </r>
  <r>
    <s v="BENEFICIOS"/>
    <x v="4"/>
    <x v="12"/>
    <n v="593.49"/>
    <s v="0000000127"/>
    <s v="2337"/>
    <d v="2022-05-01T00:00:00"/>
    <s v="330103"/>
    <s v="203"/>
    <s v="90"/>
    <s v="Credito"/>
    <x v="2"/>
    <x v="216"/>
    <m/>
    <s v="000252"/>
    <s v="000132"/>
    <n v="593.49"/>
    <s v="0,00"/>
    <s v="0,00"/>
    <s v="0,00"/>
    <s v="0,00"/>
    <s v="ORC2022_2"/>
    <s v="0012"/>
    <m/>
    <m/>
    <m/>
    <m/>
    <m/>
  </r>
  <r>
    <s v="BENEFICIOS"/>
    <x v="4"/>
    <x v="12"/>
    <n v="3052.72"/>
    <s v="0000000127"/>
    <s v="2338"/>
    <d v="2022-05-01T00:00:00"/>
    <s v="330103"/>
    <s v="204"/>
    <s v="90"/>
    <s v="Credito"/>
    <x v="2"/>
    <x v="216"/>
    <m/>
    <s v="000252"/>
    <s v="000132"/>
    <n v="3052.72"/>
    <s v="0,00"/>
    <s v="0,00"/>
    <s v="0,00"/>
    <s v="0,00"/>
    <s v="ORC2022_2"/>
    <s v="0012"/>
    <m/>
    <m/>
    <m/>
    <m/>
    <m/>
  </r>
  <r>
    <s v="BENEFICIOS"/>
    <x v="4"/>
    <x v="12"/>
    <n v="699.35"/>
    <s v="0000000127"/>
    <s v="2339"/>
    <d v="2022-05-01T00:00:00"/>
    <s v="330103"/>
    <s v="205"/>
    <s v="90"/>
    <s v="Credito"/>
    <x v="2"/>
    <x v="216"/>
    <m/>
    <s v="000252"/>
    <s v="000132"/>
    <n v="699.35"/>
    <s v="0,00"/>
    <s v="0,00"/>
    <s v="0,00"/>
    <s v="0,00"/>
    <s v="ORC2022_2"/>
    <s v="0012"/>
    <m/>
    <m/>
    <m/>
    <m/>
    <m/>
  </r>
  <r>
    <s v="BENEFICIOS"/>
    <x v="4"/>
    <x v="12"/>
    <n v="5120.6400000000003"/>
    <s v="0000000127"/>
    <s v="2340"/>
    <d v="2022-05-01T00:00:00"/>
    <s v="330103"/>
    <s v="207"/>
    <s v="90"/>
    <s v="Credito"/>
    <x v="2"/>
    <x v="216"/>
    <m/>
    <s v="000252"/>
    <s v="000132"/>
    <n v="5120.6400000000003"/>
    <s v="0,00"/>
    <s v="0,00"/>
    <s v="0,00"/>
    <s v="0,00"/>
    <s v="ORC2022_2"/>
    <s v="0012"/>
    <m/>
    <m/>
    <m/>
    <m/>
    <m/>
  </r>
  <r>
    <s v="BENEFICIOS"/>
    <x v="4"/>
    <x v="12"/>
    <n v="4045.33"/>
    <s v="0000000127"/>
    <s v="2341"/>
    <d v="2022-05-01T00:00:00"/>
    <s v="330103"/>
    <s v="208"/>
    <s v="90"/>
    <s v="Credito"/>
    <x v="2"/>
    <x v="216"/>
    <m/>
    <s v="000252"/>
    <s v="000132"/>
    <n v="4045.33"/>
    <s v="0,00"/>
    <s v="0,00"/>
    <s v="0,00"/>
    <s v="0,00"/>
    <s v="ORC2022_2"/>
    <s v="0012"/>
    <m/>
    <m/>
    <m/>
    <m/>
    <m/>
  </r>
  <r>
    <s v="BENEFICIOS"/>
    <x v="4"/>
    <x v="12"/>
    <n v="3830.17"/>
    <s v="0000000127"/>
    <s v="2342"/>
    <d v="2022-05-01T00:00:00"/>
    <s v="330103"/>
    <s v="209"/>
    <s v="90"/>
    <s v="Credito"/>
    <x v="2"/>
    <x v="216"/>
    <m/>
    <s v="000252"/>
    <s v="000132"/>
    <n v="3830.17"/>
    <s v="0,00"/>
    <s v="0,00"/>
    <s v="0,00"/>
    <s v="0,00"/>
    <s v="ORC2022_2"/>
    <s v="0012"/>
    <m/>
    <m/>
    <m/>
    <m/>
    <m/>
  </r>
  <r>
    <s v="BENEFICIOS"/>
    <x v="4"/>
    <x v="12"/>
    <n v="2385.9299999999998"/>
    <s v="0000000127"/>
    <s v="2343"/>
    <d v="2022-05-01T00:00:00"/>
    <s v="330103"/>
    <s v="210"/>
    <s v="90"/>
    <s v="Credito"/>
    <x v="2"/>
    <x v="216"/>
    <m/>
    <s v="000252"/>
    <s v="000132"/>
    <n v="2385.9299999999998"/>
    <s v="0,00"/>
    <s v="0,00"/>
    <s v="0,00"/>
    <s v="0,00"/>
    <s v="ORC2022_2"/>
    <s v="0012"/>
    <m/>
    <m/>
    <m/>
    <m/>
    <m/>
  </r>
  <r>
    <s v="BENEFICIOS"/>
    <x v="4"/>
    <x v="13"/>
    <n v="2592.16"/>
    <s v="0000000127"/>
    <s v="2344"/>
    <d v="2022-06-01T00:00:00"/>
    <s v="330103"/>
    <s v="206"/>
    <s v="11"/>
    <s v="Credito"/>
    <x v="2"/>
    <x v="216"/>
    <m/>
    <s v="000252"/>
    <s v="000132"/>
    <n v="2592.16"/>
    <s v="0,00"/>
    <s v="0,00"/>
    <s v="0,00"/>
    <s v="0,00"/>
    <s v="ORC2022_2"/>
    <s v="0012"/>
    <m/>
    <m/>
    <m/>
    <m/>
    <m/>
  </r>
  <r>
    <s v="BENEFICIOS"/>
    <x v="4"/>
    <x v="13"/>
    <n v="3057.18"/>
    <s v="0000000127"/>
    <s v="2345"/>
    <d v="2022-06-01T00:00:00"/>
    <s v="330103"/>
    <s v="209"/>
    <s v="21"/>
    <s v="Credito"/>
    <x v="2"/>
    <x v="216"/>
    <m/>
    <s v="000252"/>
    <s v="000132"/>
    <n v="3057.18"/>
    <s v="0,00"/>
    <s v="0,00"/>
    <s v="0,00"/>
    <s v="0,00"/>
    <s v="ORC2022_2"/>
    <s v="0012"/>
    <m/>
    <m/>
    <m/>
    <m/>
    <m/>
  </r>
  <r>
    <s v="BENEFICIOS"/>
    <x v="4"/>
    <x v="13"/>
    <n v="115.6"/>
    <s v="0000000127"/>
    <s v="2346"/>
    <d v="2022-06-01T00:00:00"/>
    <s v="330103"/>
    <s v="101"/>
    <s v="90"/>
    <s v="Credito"/>
    <x v="2"/>
    <x v="216"/>
    <m/>
    <s v="000252"/>
    <s v="000132"/>
    <n v="115.6"/>
    <s v="0,00"/>
    <s v="0,00"/>
    <s v="0,00"/>
    <s v="0,00"/>
    <s v="ORC2022_2"/>
    <s v="0012"/>
    <m/>
    <m/>
    <m/>
    <m/>
    <m/>
  </r>
  <r>
    <s v="BENEFICIOS"/>
    <x v="4"/>
    <x v="13"/>
    <n v="27277.63"/>
    <s v="0000000127"/>
    <s v="2347"/>
    <d v="2022-06-01T00:00:00"/>
    <s v="330103"/>
    <s v="201"/>
    <s v="90"/>
    <s v="Credito"/>
    <x v="2"/>
    <x v="216"/>
    <m/>
    <s v="000252"/>
    <s v="000132"/>
    <n v="27277.63"/>
    <s v="0,00"/>
    <s v="0,00"/>
    <s v="0,00"/>
    <s v="0,00"/>
    <s v="ORC2022_2"/>
    <s v="0012"/>
    <m/>
    <m/>
    <m/>
    <m/>
    <m/>
  </r>
  <r>
    <s v="BENEFICIOS"/>
    <x v="4"/>
    <x v="13"/>
    <n v="485.96"/>
    <s v="0000000127"/>
    <s v="2348"/>
    <d v="2022-06-01T00:00:00"/>
    <s v="330103"/>
    <s v="202"/>
    <s v="90"/>
    <s v="Credito"/>
    <x v="2"/>
    <x v="216"/>
    <m/>
    <s v="000252"/>
    <s v="000132"/>
    <n v="485.96"/>
    <s v="0,00"/>
    <s v="0,00"/>
    <s v="0,00"/>
    <s v="0,00"/>
    <s v="ORC2022_2"/>
    <s v="0012"/>
    <m/>
    <m/>
    <m/>
    <m/>
    <m/>
  </r>
  <r>
    <s v="BENEFICIOS"/>
    <x v="4"/>
    <x v="13"/>
    <n v="594.49"/>
    <s v="0000000127"/>
    <s v="2349"/>
    <d v="2022-06-01T00:00:00"/>
    <s v="330103"/>
    <s v="203"/>
    <s v="90"/>
    <s v="Credito"/>
    <x v="2"/>
    <x v="216"/>
    <m/>
    <s v="000252"/>
    <s v="000132"/>
    <n v="594.49"/>
    <s v="0,00"/>
    <s v="0,00"/>
    <s v="0,00"/>
    <s v="0,00"/>
    <s v="ORC2022_2"/>
    <s v="0012"/>
    <m/>
    <m/>
    <m/>
    <m/>
    <m/>
  </r>
  <r>
    <s v="BENEFICIOS"/>
    <x v="4"/>
    <x v="13"/>
    <n v="3152.3"/>
    <s v="0000000127"/>
    <s v="2350"/>
    <d v="2022-06-01T00:00:00"/>
    <s v="330103"/>
    <s v="204"/>
    <s v="90"/>
    <s v="Credito"/>
    <x v="2"/>
    <x v="216"/>
    <m/>
    <s v="000252"/>
    <s v="000132"/>
    <n v="3152.3"/>
    <s v="0,00"/>
    <s v="0,00"/>
    <s v="0,00"/>
    <s v="0,00"/>
    <s v="ORC2022_2"/>
    <s v="0012"/>
    <m/>
    <m/>
    <m/>
    <m/>
    <m/>
  </r>
  <r>
    <s v="BENEFICIOS"/>
    <x v="4"/>
    <x v="13"/>
    <n v="697.68"/>
    <s v="0000000127"/>
    <s v="2351"/>
    <d v="2022-06-01T00:00:00"/>
    <s v="330103"/>
    <s v="205"/>
    <s v="90"/>
    <s v="Credito"/>
    <x v="2"/>
    <x v="216"/>
    <m/>
    <s v="000252"/>
    <s v="000132"/>
    <n v="697.68"/>
    <s v="0,00"/>
    <s v="0,00"/>
    <s v="0,00"/>
    <s v="0,00"/>
    <s v="ORC2022_2"/>
    <s v="0012"/>
    <m/>
    <m/>
    <m/>
    <m/>
    <m/>
  </r>
  <r>
    <s v="BENEFICIOS"/>
    <x v="4"/>
    <x v="13"/>
    <n v="5056.4399999999996"/>
    <s v="0000000127"/>
    <s v="2352"/>
    <d v="2022-06-01T00:00:00"/>
    <s v="330103"/>
    <s v="207"/>
    <s v="90"/>
    <s v="Credito"/>
    <x v="2"/>
    <x v="216"/>
    <m/>
    <s v="000252"/>
    <s v="000132"/>
    <n v="5056.4399999999996"/>
    <s v="0,00"/>
    <s v="0,00"/>
    <s v="0,00"/>
    <s v="0,00"/>
    <s v="ORC2022_2"/>
    <s v="0012"/>
    <m/>
    <m/>
    <m/>
    <m/>
    <m/>
  </r>
  <r>
    <s v="BENEFICIOS"/>
    <x v="4"/>
    <x v="13"/>
    <n v="3669.48"/>
    <s v="0000000127"/>
    <s v="2353"/>
    <d v="2022-06-01T00:00:00"/>
    <s v="330103"/>
    <s v="208"/>
    <s v="90"/>
    <s v="Credito"/>
    <x v="2"/>
    <x v="216"/>
    <m/>
    <s v="000252"/>
    <s v="000132"/>
    <n v="3669.48"/>
    <s v="0,00"/>
    <s v="0,00"/>
    <s v="0,00"/>
    <s v="0,00"/>
    <s v="ORC2022_2"/>
    <s v="0012"/>
    <m/>
    <m/>
    <m/>
    <m/>
    <m/>
  </r>
  <r>
    <s v="BENEFICIOS"/>
    <x v="4"/>
    <x v="13"/>
    <n v="4109.26"/>
    <s v="0000000127"/>
    <s v="2354"/>
    <d v="2022-06-01T00:00:00"/>
    <s v="330103"/>
    <s v="209"/>
    <s v="90"/>
    <s v="Credito"/>
    <x v="2"/>
    <x v="216"/>
    <m/>
    <s v="000252"/>
    <s v="000132"/>
    <n v="4109.26"/>
    <s v="0,00"/>
    <s v="0,00"/>
    <s v="0,00"/>
    <s v="0,00"/>
    <s v="ORC2022_2"/>
    <s v="0012"/>
    <m/>
    <m/>
    <m/>
    <m/>
    <m/>
  </r>
  <r>
    <s v="BENEFICIOS"/>
    <x v="4"/>
    <x v="13"/>
    <n v="2298.92"/>
    <s v="0000000127"/>
    <s v="2355"/>
    <d v="2022-06-01T00:00:00"/>
    <s v="330103"/>
    <s v="210"/>
    <s v="90"/>
    <s v="Credito"/>
    <x v="2"/>
    <x v="216"/>
    <m/>
    <s v="000252"/>
    <s v="000132"/>
    <n v="2298.92"/>
    <s v="0,00"/>
    <s v="0,00"/>
    <s v="0,00"/>
    <s v="0,00"/>
    <s v="ORC2022_2"/>
    <s v="0012"/>
    <m/>
    <m/>
    <m/>
    <m/>
    <m/>
  </r>
  <r>
    <s v="BENEFICIOS"/>
    <x v="4"/>
    <x v="14"/>
    <n v="2918.92"/>
    <s v="0000000127"/>
    <s v="2356"/>
    <d v="2022-07-01T00:00:00"/>
    <s v="330103"/>
    <s v="206"/>
    <s v="11"/>
    <s v="Credito"/>
    <x v="2"/>
    <x v="216"/>
    <m/>
    <s v="000252"/>
    <s v="000132"/>
    <n v="2918.92"/>
    <s v="0,00"/>
    <s v="0,00"/>
    <s v="0,00"/>
    <s v="0,00"/>
    <s v="ORC2022_2"/>
    <s v="0012"/>
    <m/>
    <m/>
    <m/>
    <m/>
    <m/>
  </r>
  <r>
    <s v="BENEFICIOS"/>
    <x v="4"/>
    <x v="14"/>
    <n v="2970.98"/>
    <s v="0000000127"/>
    <s v="2357"/>
    <d v="2022-07-01T00:00:00"/>
    <s v="330103"/>
    <s v="209"/>
    <s v="21"/>
    <s v="Credito"/>
    <x v="2"/>
    <x v="216"/>
    <m/>
    <s v="000252"/>
    <s v="000132"/>
    <n v="2970.98"/>
    <s v="0,00"/>
    <s v="0,00"/>
    <s v="0,00"/>
    <s v="0,00"/>
    <s v="ORC2022_2"/>
    <s v="0012"/>
    <m/>
    <m/>
    <m/>
    <m/>
    <m/>
  </r>
  <r>
    <s v="BENEFICIOS"/>
    <x v="4"/>
    <x v="14"/>
    <n v="114.21"/>
    <s v="0000000127"/>
    <s v="2358"/>
    <d v="2022-07-01T00:00:00"/>
    <s v="330103"/>
    <s v="211"/>
    <s v="51"/>
    <s v="Credito"/>
    <x v="2"/>
    <x v="216"/>
    <m/>
    <s v="000252"/>
    <s v="000132"/>
    <n v="114.21"/>
    <s v="0,00"/>
    <s v="0,00"/>
    <s v="0,00"/>
    <s v="0,00"/>
    <s v="ORC2022_2"/>
    <s v="0012"/>
    <m/>
    <m/>
    <m/>
    <m/>
    <m/>
  </r>
  <r>
    <s v="BENEFICIOS"/>
    <x v="4"/>
    <x v="14"/>
    <n v="181.6"/>
    <s v="0000000127"/>
    <s v="2359"/>
    <d v="2022-07-01T00:00:00"/>
    <s v="330103"/>
    <s v="101"/>
    <s v="90"/>
    <s v="Credito"/>
    <x v="2"/>
    <x v="216"/>
    <m/>
    <s v="000252"/>
    <s v="000132"/>
    <n v="181.6"/>
    <s v="0,00"/>
    <s v="0,00"/>
    <s v="0,00"/>
    <s v="0,00"/>
    <s v="ORC2022_2"/>
    <s v="0012"/>
    <m/>
    <m/>
    <m/>
    <m/>
    <m/>
  </r>
  <r>
    <s v="BENEFICIOS"/>
    <x v="4"/>
    <x v="14"/>
    <n v="25108.32"/>
    <s v="0000000127"/>
    <s v="2360"/>
    <d v="2022-07-01T00:00:00"/>
    <s v="330103"/>
    <s v="201"/>
    <s v="90"/>
    <s v="Credito"/>
    <x v="2"/>
    <x v="216"/>
    <m/>
    <s v="000252"/>
    <s v="000132"/>
    <n v="25108.32"/>
    <s v="0,00"/>
    <s v="0,00"/>
    <s v="0,00"/>
    <s v="0,00"/>
    <s v="ORC2022_2"/>
    <s v="0012"/>
    <m/>
    <m/>
    <m/>
    <m/>
    <m/>
  </r>
  <r>
    <s v="BENEFICIOS"/>
    <x v="4"/>
    <x v="14"/>
    <n v="588.96"/>
    <s v="0000000127"/>
    <s v="2361"/>
    <d v="2022-07-01T00:00:00"/>
    <s v="330103"/>
    <s v="202"/>
    <s v="90"/>
    <s v="Credito"/>
    <x v="2"/>
    <x v="216"/>
    <m/>
    <s v="000252"/>
    <s v="000132"/>
    <n v="588.96"/>
    <s v="0,00"/>
    <s v="0,00"/>
    <s v="0,00"/>
    <s v="0,00"/>
    <s v="ORC2022_2"/>
    <s v="0012"/>
    <m/>
    <m/>
    <m/>
    <m/>
    <m/>
  </r>
  <r>
    <s v="BENEFICIOS"/>
    <x v="4"/>
    <x v="14"/>
    <n v="792.98"/>
    <s v="0000000127"/>
    <s v="2362"/>
    <d v="2022-07-01T00:00:00"/>
    <s v="330103"/>
    <s v="203"/>
    <s v="90"/>
    <s v="Credito"/>
    <x v="2"/>
    <x v="216"/>
    <m/>
    <s v="000252"/>
    <s v="000132"/>
    <n v="792.98"/>
    <s v="0,00"/>
    <s v="0,00"/>
    <s v="0,00"/>
    <s v="0,00"/>
    <s v="ORC2022_2"/>
    <s v="0012"/>
    <m/>
    <m/>
    <m/>
    <m/>
    <m/>
  </r>
  <r>
    <s v="BENEFICIOS"/>
    <x v="4"/>
    <x v="14"/>
    <n v="3385.88"/>
    <s v="0000000127"/>
    <s v="2363"/>
    <d v="2022-07-01T00:00:00"/>
    <s v="330103"/>
    <s v="204"/>
    <s v="90"/>
    <s v="Credito"/>
    <x v="2"/>
    <x v="216"/>
    <m/>
    <s v="000252"/>
    <s v="000132"/>
    <n v="3385.88"/>
    <s v="0,00"/>
    <s v="0,00"/>
    <s v="0,00"/>
    <s v="0,00"/>
    <s v="ORC2022_2"/>
    <s v="0012"/>
    <m/>
    <m/>
    <m/>
    <m/>
    <m/>
  </r>
  <r>
    <s v="BENEFICIOS"/>
    <x v="4"/>
    <x v="14"/>
    <n v="676.52"/>
    <s v="0000000127"/>
    <s v="2364"/>
    <d v="2022-07-01T00:00:00"/>
    <s v="330103"/>
    <s v="205"/>
    <s v="90"/>
    <s v="Credito"/>
    <x v="2"/>
    <x v="216"/>
    <m/>
    <s v="000252"/>
    <s v="000132"/>
    <n v="676.52"/>
    <s v="0,00"/>
    <s v="0,00"/>
    <s v="0,00"/>
    <s v="0,00"/>
    <s v="ORC2022_2"/>
    <s v="0012"/>
    <m/>
    <m/>
    <m/>
    <m/>
    <m/>
  </r>
  <r>
    <s v="BENEFICIOS"/>
    <x v="4"/>
    <x v="14"/>
    <n v="6699.22"/>
    <s v="0000000127"/>
    <s v="2365"/>
    <d v="2022-07-01T00:00:00"/>
    <s v="330103"/>
    <s v="207"/>
    <s v="90"/>
    <s v="Credito"/>
    <x v="2"/>
    <x v="216"/>
    <m/>
    <s v="000252"/>
    <s v="000132"/>
    <n v="6699.22"/>
    <s v="0,00"/>
    <s v="0,00"/>
    <s v="0,00"/>
    <s v="0,00"/>
    <s v="ORC2022_2"/>
    <s v="0012"/>
    <m/>
    <m/>
    <m/>
    <m/>
    <m/>
  </r>
  <r>
    <s v="BENEFICIOS"/>
    <x v="4"/>
    <x v="14"/>
    <n v="4040.9"/>
    <s v="0000000127"/>
    <s v="2366"/>
    <d v="2022-07-01T00:00:00"/>
    <s v="330103"/>
    <s v="208"/>
    <s v="90"/>
    <s v="Credito"/>
    <x v="2"/>
    <x v="216"/>
    <m/>
    <s v="000252"/>
    <s v="000132"/>
    <n v="4040.9"/>
    <s v="0,00"/>
    <s v="0,00"/>
    <s v="0,00"/>
    <s v="0,00"/>
    <s v="ORC2022_2"/>
    <s v="0012"/>
    <m/>
    <m/>
    <m/>
    <m/>
    <m/>
  </r>
  <r>
    <s v="BENEFICIOS"/>
    <x v="4"/>
    <x v="14"/>
    <n v="2982.14"/>
    <s v="0000000127"/>
    <s v="2367"/>
    <d v="2022-07-01T00:00:00"/>
    <s v="330103"/>
    <s v="209"/>
    <s v="90"/>
    <s v="Credito"/>
    <x v="2"/>
    <x v="216"/>
    <m/>
    <s v="000252"/>
    <s v="000132"/>
    <n v="2982.14"/>
    <s v="0,00"/>
    <s v="0,00"/>
    <s v="0,00"/>
    <s v="0,00"/>
    <s v="ORC2022_2"/>
    <s v="0012"/>
    <m/>
    <m/>
    <m/>
    <m/>
    <m/>
  </r>
  <r>
    <s v="BENEFICIOS"/>
    <x v="4"/>
    <x v="14"/>
    <n v="2446.9299999999998"/>
    <s v="0000000127"/>
    <s v="2368"/>
    <d v="2022-07-01T00:00:00"/>
    <s v="330103"/>
    <s v="210"/>
    <s v="90"/>
    <s v="Credito"/>
    <x v="2"/>
    <x v="216"/>
    <m/>
    <s v="000252"/>
    <s v="000132"/>
    <n v="2446.9299999999998"/>
    <s v="0,00"/>
    <s v="0,00"/>
    <s v="0,00"/>
    <s v="0,00"/>
    <s v="ORC2022_2"/>
    <s v="0012"/>
    <m/>
    <m/>
    <m/>
    <m/>
    <m/>
  </r>
  <r>
    <s v="BENEFICIOS"/>
    <x v="4"/>
    <x v="15"/>
    <n v="28.66"/>
    <s v="0000000127"/>
    <s v="2369"/>
    <d v="2022-08-01T00:00:00"/>
    <s v="330103"/>
    <s v="204"/>
    <s v="11"/>
    <s v="Credito"/>
    <x v="2"/>
    <x v="216"/>
    <m/>
    <s v="000252"/>
    <s v="000132"/>
    <n v="28.66"/>
    <s v="0,00"/>
    <s v="0,00"/>
    <s v="0,00"/>
    <s v="0,00"/>
    <s v="ORC2022_2"/>
    <s v="0012"/>
    <m/>
    <m/>
    <m/>
    <m/>
    <m/>
  </r>
  <r>
    <s v="BENEFICIOS"/>
    <x v="4"/>
    <x v="15"/>
    <n v="3512.08"/>
    <s v="0000000127"/>
    <s v="2370"/>
    <d v="2022-08-01T00:00:00"/>
    <s v="330103"/>
    <s v="206"/>
    <s v="11"/>
    <s v="Credito"/>
    <x v="2"/>
    <x v="216"/>
    <m/>
    <s v="000252"/>
    <s v="000132"/>
    <n v="3512.08"/>
    <s v="0,00"/>
    <s v="0,00"/>
    <s v="0,00"/>
    <s v="0,00"/>
    <s v="ORC2022_2"/>
    <s v="0012"/>
    <m/>
    <m/>
    <m/>
    <m/>
    <m/>
  </r>
  <r>
    <s v="BENEFICIOS"/>
    <x v="4"/>
    <x v="15"/>
    <n v="3049.38"/>
    <s v="0000000127"/>
    <s v="2371"/>
    <d v="2022-08-01T00:00:00"/>
    <s v="330103"/>
    <s v="209"/>
    <s v="21"/>
    <s v="Credito"/>
    <x v="2"/>
    <x v="216"/>
    <m/>
    <s v="000252"/>
    <s v="000132"/>
    <n v="3049.38"/>
    <s v="0,00"/>
    <s v="0,00"/>
    <s v="0,00"/>
    <s v="0,00"/>
    <s v="ORC2022_2"/>
    <s v="0012"/>
    <m/>
    <m/>
    <m/>
    <m/>
    <m/>
  </r>
  <r>
    <s v="BENEFICIOS"/>
    <x v="4"/>
    <x v="15"/>
    <n v="49.6"/>
    <s v="0000000127"/>
    <s v="2372"/>
    <d v="2022-08-01T00:00:00"/>
    <s v="330103"/>
    <s v="101"/>
    <s v="90"/>
    <s v="Credito"/>
    <x v="2"/>
    <x v="216"/>
    <m/>
    <s v="000252"/>
    <s v="000132"/>
    <n v="49.6"/>
    <s v="0,00"/>
    <s v="0,00"/>
    <s v="0,00"/>
    <s v="0,00"/>
    <s v="ORC2022_2"/>
    <s v="0012"/>
    <m/>
    <m/>
    <m/>
    <m/>
    <m/>
  </r>
  <r>
    <s v="BENEFICIOS"/>
    <x v="4"/>
    <x v="15"/>
    <n v="31465.52"/>
    <s v="0000000127"/>
    <s v="2373"/>
    <d v="2022-08-01T00:00:00"/>
    <s v="330103"/>
    <s v="201"/>
    <s v="90"/>
    <s v="Credito"/>
    <x v="2"/>
    <x v="216"/>
    <m/>
    <s v="000252"/>
    <s v="000132"/>
    <n v="31465.52"/>
    <s v="0,00"/>
    <s v="0,00"/>
    <s v="0,00"/>
    <s v="0,00"/>
    <s v="ORC2022_2"/>
    <s v="0012"/>
    <m/>
    <m/>
    <m/>
    <m/>
    <m/>
  </r>
  <r>
    <s v="BENEFICIOS"/>
    <x v="4"/>
    <x v="15"/>
    <n v="554.96"/>
    <s v="0000000127"/>
    <s v="2374"/>
    <d v="2022-08-01T00:00:00"/>
    <s v="330103"/>
    <s v="202"/>
    <s v="90"/>
    <s v="Credito"/>
    <x v="2"/>
    <x v="216"/>
    <m/>
    <s v="000252"/>
    <s v="000132"/>
    <n v="554.96"/>
    <s v="0,00"/>
    <s v="0,00"/>
    <s v="0,00"/>
    <s v="0,00"/>
    <s v="ORC2022_2"/>
    <s v="0012"/>
    <m/>
    <m/>
    <m/>
    <m/>
    <m/>
  </r>
  <r>
    <s v="BENEFICIOS"/>
    <x v="4"/>
    <x v="15"/>
    <n v="1010.52"/>
    <s v="0000000127"/>
    <s v="2375"/>
    <d v="2022-08-01T00:00:00"/>
    <s v="330103"/>
    <s v="203"/>
    <s v="90"/>
    <s v="Credito"/>
    <x v="2"/>
    <x v="216"/>
    <m/>
    <s v="000252"/>
    <s v="000132"/>
    <n v="1010.52"/>
    <s v="0,00"/>
    <s v="0,00"/>
    <s v="0,00"/>
    <s v="0,00"/>
    <s v="ORC2022_2"/>
    <s v="0012"/>
    <m/>
    <m/>
    <m/>
    <m/>
    <m/>
  </r>
  <r>
    <s v="BENEFICIOS"/>
    <x v="4"/>
    <x v="15"/>
    <n v="3713.13"/>
    <s v="0000000127"/>
    <s v="2376"/>
    <d v="2022-08-01T00:00:00"/>
    <s v="330103"/>
    <s v="204"/>
    <s v="90"/>
    <s v="Credito"/>
    <x v="2"/>
    <x v="216"/>
    <m/>
    <s v="000252"/>
    <s v="000132"/>
    <n v="3713.13"/>
    <s v="0,00"/>
    <s v="0,00"/>
    <s v="0,00"/>
    <s v="0,00"/>
    <s v="ORC2022_2"/>
    <s v="0012"/>
    <m/>
    <m/>
    <m/>
    <m/>
    <m/>
  </r>
  <r>
    <s v="BENEFICIOS"/>
    <x v="4"/>
    <x v="15"/>
    <n v="694.93"/>
    <s v="0000000127"/>
    <s v="2377"/>
    <d v="2022-08-01T00:00:00"/>
    <s v="330103"/>
    <s v="205"/>
    <s v="90"/>
    <s v="Credito"/>
    <x v="2"/>
    <x v="216"/>
    <m/>
    <s v="000252"/>
    <s v="000132"/>
    <n v="694.93"/>
    <s v="0,00"/>
    <s v="0,00"/>
    <s v="0,00"/>
    <s v="0,00"/>
    <s v="ORC2022_2"/>
    <s v="0012"/>
    <m/>
    <m/>
    <m/>
    <m/>
    <m/>
  </r>
  <r>
    <s v="BENEFICIOS"/>
    <x v="4"/>
    <x v="15"/>
    <n v="4526.54"/>
    <s v="0000000127"/>
    <s v="2378"/>
    <d v="2022-08-01T00:00:00"/>
    <s v="330103"/>
    <s v="207"/>
    <s v="90"/>
    <s v="Credito"/>
    <x v="2"/>
    <x v="216"/>
    <m/>
    <s v="000252"/>
    <s v="000132"/>
    <n v="4526.54"/>
    <s v="0,00"/>
    <s v="0,00"/>
    <s v="0,00"/>
    <s v="0,00"/>
    <s v="ORC2022_2"/>
    <s v="0012"/>
    <m/>
    <m/>
    <m/>
    <m/>
    <m/>
  </r>
  <r>
    <s v="BENEFICIOS"/>
    <x v="4"/>
    <x v="15"/>
    <n v="4505.18"/>
    <s v="0000000127"/>
    <s v="2379"/>
    <d v="2022-08-01T00:00:00"/>
    <s v="330103"/>
    <s v="208"/>
    <s v="90"/>
    <s v="Credito"/>
    <x v="2"/>
    <x v="216"/>
    <m/>
    <s v="000252"/>
    <s v="000132"/>
    <n v="4505.18"/>
    <s v="0,00"/>
    <s v="0,00"/>
    <s v="0,00"/>
    <s v="0,00"/>
    <s v="ORC2022_2"/>
    <s v="0012"/>
    <m/>
    <m/>
    <m/>
    <m/>
    <m/>
  </r>
  <r>
    <s v="BENEFICIOS"/>
    <x v="4"/>
    <x v="15"/>
    <n v="5937.6"/>
    <s v="0000000127"/>
    <s v="2380"/>
    <d v="2022-08-01T00:00:00"/>
    <s v="330103"/>
    <s v="209"/>
    <s v="90"/>
    <s v="Credito"/>
    <x v="2"/>
    <x v="216"/>
    <m/>
    <s v="000252"/>
    <s v="000132"/>
    <n v="5937.6"/>
    <s v="0,00"/>
    <s v="0,00"/>
    <s v="0,00"/>
    <s v="0,00"/>
    <s v="ORC2022_2"/>
    <s v="0012"/>
    <m/>
    <m/>
    <m/>
    <m/>
    <m/>
  </r>
  <r>
    <s v="BENEFICIOS"/>
    <x v="4"/>
    <x v="15"/>
    <n v="2851.16"/>
    <s v="0000000127"/>
    <s v="2381"/>
    <d v="2022-08-01T00:00:00"/>
    <s v="330103"/>
    <s v="210"/>
    <s v="90"/>
    <s v="Credito"/>
    <x v="2"/>
    <x v="216"/>
    <m/>
    <s v="000252"/>
    <s v="000132"/>
    <n v="2851.16"/>
    <s v="0,00"/>
    <s v="0,00"/>
    <s v="0,00"/>
    <s v="0,00"/>
    <s v="ORC2022_2"/>
    <s v="0012"/>
    <m/>
    <m/>
    <m/>
    <m/>
    <m/>
  </r>
  <r>
    <s v="BENEFICIOS"/>
    <x v="4"/>
    <x v="16"/>
    <n v="2887.7"/>
    <s v="0000000127"/>
    <s v="2382"/>
    <d v="2022-09-01T00:00:00"/>
    <s v="330103"/>
    <s v="206"/>
    <s v="11"/>
    <s v="Credito"/>
    <x v="2"/>
    <x v="216"/>
    <m/>
    <s v="000252"/>
    <s v="000132"/>
    <n v="2887.7"/>
    <s v="0,00"/>
    <s v="0,00"/>
    <s v="0,00"/>
    <s v="0,00"/>
    <s v="ORC2022_2"/>
    <s v="0012"/>
    <m/>
    <m/>
    <m/>
    <m/>
    <m/>
  </r>
  <r>
    <s v="BENEFICIOS"/>
    <x v="4"/>
    <x v="16"/>
    <n v="3057.18"/>
    <s v="0000000127"/>
    <s v="2383"/>
    <d v="2022-09-01T00:00:00"/>
    <s v="330103"/>
    <s v="209"/>
    <s v="21"/>
    <s v="Credito"/>
    <x v="2"/>
    <x v="216"/>
    <m/>
    <s v="000252"/>
    <s v="000132"/>
    <n v="3057.18"/>
    <s v="0,00"/>
    <s v="0,00"/>
    <s v="0,00"/>
    <s v="0,00"/>
    <s v="ORC2022_2"/>
    <s v="0012"/>
    <m/>
    <m/>
    <m/>
    <m/>
    <m/>
  </r>
  <r>
    <s v="BENEFICIOS"/>
    <x v="4"/>
    <x v="16"/>
    <n v="16472.400000000001"/>
    <s v="0000000127"/>
    <s v="2384"/>
    <d v="2022-09-01T00:00:00"/>
    <s v="330103"/>
    <s v="211"/>
    <s v="51"/>
    <s v="Credito"/>
    <x v="2"/>
    <x v="216"/>
    <m/>
    <s v="000252"/>
    <s v="000132"/>
    <n v="16472.400000000001"/>
    <s v="0,00"/>
    <s v="0,00"/>
    <s v="0,00"/>
    <s v="0,00"/>
    <s v="ORC2022_2"/>
    <s v="0012"/>
    <m/>
    <m/>
    <m/>
    <m/>
    <m/>
  </r>
  <r>
    <s v="BENEFICIOS"/>
    <x v="4"/>
    <x v="16"/>
    <n v="9051.3700000000008"/>
    <s v="0000000127"/>
    <s v="2385"/>
    <d v="2022-09-01T00:00:00"/>
    <s v="330103"/>
    <s v="101"/>
    <s v="90"/>
    <s v="Credito"/>
    <x v="2"/>
    <x v="216"/>
    <m/>
    <s v="000252"/>
    <s v="000132"/>
    <n v="9051.3700000000008"/>
    <s v="0,00"/>
    <s v="0,00"/>
    <s v="0,00"/>
    <s v="0,00"/>
    <s v="ORC2022_2"/>
    <s v="0012"/>
    <m/>
    <m/>
    <m/>
    <m/>
    <m/>
  </r>
  <r>
    <s v="BENEFICIOS"/>
    <x v="4"/>
    <x v="16"/>
    <n v="27460.33"/>
    <s v="0000000127"/>
    <s v="2386"/>
    <d v="2022-09-01T00:00:00"/>
    <s v="330103"/>
    <s v="201"/>
    <s v="90"/>
    <s v="Credito"/>
    <x v="2"/>
    <x v="216"/>
    <m/>
    <s v="000252"/>
    <s v="000132"/>
    <n v="27460.33"/>
    <s v="0,00"/>
    <s v="0,00"/>
    <s v="0,00"/>
    <s v="0,00"/>
    <s v="ORC2022_2"/>
    <s v="0012"/>
    <m/>
    <m/>
    <m/>
    <m/>
    <m/>
  </r>
  <r>
    <s v="BENEFICIOS"/>
    <x v="4"/>
    <x v="16"/>
    <n v="537.46"/>
    <s v="0000000127"/>
    <s v="2387"/>
    <d v="2022-09-01T00:00:00"/>
    <s v="330103"/>
    <s v="202"/>
    <s v="90"/>
    <s v="Credito"/>
    <x v="2"/>
    <x v="216"/>
    <m/>
    <s v="000252"/>
    <s v="000132"/>
    <n v="537.46"/>
    <s v="0,00"/>
    <s v="0,00"/>
    <s v="0,00"/>
    <s v="0,00"/>
    <s v="ORC2022_2"/>
    <s v="0012"/>
    <m/>
    <m/>
    <m/>
    <m/>
    <m/>
  </r>
  <r>
    <s v="BENEFICIOS"/>
    <x v="4"/>
    <x v="16"/>
    <n v="628.99"/>
    <s v="0000000127"/>
    <s v="2388"/>
    <d v="2022-09-01T00:00:00"/>
    <s v="330103"/>
    <s v="203"/>
    <s v="90"/>
    <s v="Credito"/>
    <x v="2"/>
    <x v="216"/>
    <m/>
    <s v="000252"/>
    <s v="000132"/>
    <n v="628.99"/>
    <s v="0,00"/>
    <s v="0,00"/>
    <s v="0,00"/>
    <s v="0,00"/>
    <s v="ORC2022_2"/>
    <s v="0012"/>
    <m/>
    <m/>
    <m/>
    <m/>
    <m/>
  </r>
  <r>
    <s v="BENEFICIOS"/>
    <x v="4"/>
    <x v="16"/>
    <n v="3112.09"/>
    <s v="0000000127"/>
    <s v="2389"/>
    <d v="2022-09-01T00:00:00"/>
    <s v="330103"/>
    <s v="204"/>
    <s v="90"/>
    <s v="Credito"/>
    <x v="2"/>
    <x v="216"/>
    <m/>
    <s v="000252"/>
    <s v="000132"/>
    <n v="3112.09"/>
    <s v="0,00"/>
    <s v="0,00"/>
    <s v="0,00"/>
    <s v="0,00"/>
    <s v="ORC2022_2"/>
    <s v="0012"/>
    <m/>
    <m/>
    <m/>
    <m/>
    <m/>
  </r>
  <r>
    <s v="BENEFICIOS"/>
    <x v="4"/>
    <x v="16"/>
    <n v="988.63"/>
    <s v="0000000127"/>
    <s v="2390"/>
    <d v="2022-09-01T00:00:00"/>
    <s v="330103"/>
    <s v="205"/>
    <s v="90"/>
    <s v="Credito"/>
    <x v="2"/>
    <x v="216"/>
    <m/>
    <s v="000252"/>
    <s v="000132"/>
    <n v="988.63"/>
    <s v="0,00"/>
    <s v="0,00"/>
    <s v="0,00"/>
    <s v="0,00"/>
    <s v="ORC2022_2"/>
    <s v="0012"/>
    <m/>
    <m/>
    <m/>
    <m/>
    <m/>
  </r>
  <r>
    <s v="BENEFICIOS"/>
    <x v="4"/>
    <x v="16"/>
    <n v="5217.5600000000004"/>
    <s v="0000000127"/>
    <s v="2391"/>
    <d v="2022-09-01T00:00:00"/>
    <s v="330103"/>
    <s v="207"/>
    <s v="90"/>
    <s v="Credito"/>
    <x v="2"/>
    <x v="216"/>
    <m/>
    <s v="000252"/>
    <s v="000132"/>
    <n v="5217.5600000000004"/>
    <s v="0,00"/>
    <s v="0,00"/>
    <s v="0,00"/>
    <s v="0,00"/>
    <s v="ORC2022_2"/>
    <s v="0012"/>
    <m/>
    <m/>
    <m/>
    <m/>
    <m/>
  </r>
  <r>
    <s v="BENEFICIOS"/>
    <x v="4"/>
    <x v="16"/>
    <n v="3408.34"/>
    <s v="0000000127"/>
    <s v="2392"/>
    <d v="2022-09-01T00:00:00"/>
    <s v="330103"/>
    <s v="208"/>
    <s v="90"/>
    <s v="Credito"/>
    <x v="2"/>
    <x v="216"/>
    <m/>
    <s v="000252"/>
    <s v="000132"/>
    <n v="3408.34"/>
    <s v="0,00"/>
    <s v="0,00"/>
    <s v="0,00"/>
    <s v="0,00"/>
    <s v="ORC2022_2"/>
    <s v="0012"/>
    <m/>
    <m/>
    <m/>
    <m/>
    <m/>
  </r>
  <r>
    <s v="BENEFICIOS"/>
    <x v="4"/>
    <x v="16"/>
    <n v="4539.07"/>
    <s v="0000000127"/>
    <s v="2393"/>
    <d v="2022-09-01T00:00:00"/>
    <s v="330103"/>
    <s v="209"/>
    <s v="90"/>
    <s v="Credito"/>
    <x v="2"/>
    <x v="216"/>
    <m/>
    <s v="000252"/>
    <s v="000132"/>
    <n v="4539.07"/>
    <s v="0,00"/>
    <s v="0,00"/>
    <s v="0,00"/>
    <s v="0,00"/>
    <s v="ORC2022_2"/>
    <s v="0012"/>
    <m/>
    <m/>
    <m/>
    <m/>
    <m/>
  </r>
  <r>
    <s v="BENEFICIOS"/>
    <x v="4"/>
    <x v="16"/>
    <n v="1960.86"/>
    <s v="0000000127"/>
    <s v="2394"/>
    <d v="2022-09-01T00:00:00"/>
    <s v="330103"/>
    <s v="210"/>
    <s v="90"/>
    <s v="Credito"/>
    <x v="2"/>
    <x v="216"/>
    <m/>
    <s v="000252"/>
    <s v="000132"/>
    <n v="1960.86"/>
    <s v="0,00"/>
    <s v="0,00"/>
    <s v="0,00"/>
    <s v="0,00"/>
    <s v="ORC2022_2"/>
    <s v="0012"/>
    <m/>
    <m/>
    <m/>
    <m/>
    <m/>
  </r>
  <r>
    <s v="BENEFICIOS"/>
    <x v="4"/>
    <x v="16"/>
    <n v="518.99"/>
    <s v="0000000127"/>
    <s v="2395"/>
    <d v="2022-09-01T00:00:00"/>
    <s v="330103"/>
    <s v="301"/>
    <s v="90"/>
    <s v="Credito"/>
    <x v="2"/>
    <x v="216"/>
    <m/>
    <s v="000252"/>
    <s v="000132"/>
    <n v="518.99"/>
    <s v="0,00"/>
    <s v="0,00"/>
    <s v="0,00"/>
    <s v="0,00"/>
    <s v="ORC2022_2"/>
    <s v="0012"/>
    <m/>
    <m/>
    <m/>
    <m/>
    <m/>
  </r>
  <r>
    <s v="BENEFICIOS"/>
    <x v="4"/>
    <x v="17"/>
    <n v="2916.58"/>
    <s v="0000000127"/>
    <s v="2396"/>
    <d v="2022-10-01T00:00:00"/>
    <s v="330103"/>
    <s v="206"/>
    <s v="11"/>
    <s v="Credito"/>
    <x v="2"/>
    <x v="216"/>
    <m/>
    <s v="000252"/>
    <s v="000132"/>
    <n v="2916.58"/>
    <s v="0,00"/>
    <s v="0,00"/>
    <s v="0,00"/>
    <s v="0,00"/>
    <s v="ORC2022_2"/>
    <s v="0012"/>
    <m/>
    <m/>
    <m/>
    <m/>
    <m/>
  </r>
  <r>
    <s v="BENEFICIOS"/>
    <x v="4"/>
    <x v="17"/>
    <n v="3087.75"/>
    <s v="0000000127"/>
    <s v="2397"/>
    <d v="2022-10-01T00:00:00"/>
    <s v="330103"/>
    <s v="209"/>
    <s v="21"/>
    <s v="Credito"/>
    <x v="2"/>
    <x v="216"/>
    <m/>
    <s v="000252"/>
    <s v="000132"/>
    <n v="3087.75"/>
    <s v="0,00"/>
    <s v="0,00"/>
    <s v="0,00"/>
    <s v="0,00"/>
    <s v="ORC2022_2"/>
    <s v="0012"/>
    <m/>
    <m/>
    <m/>
    <m/>
    <m/>
  </r>
  <r>
    <s v="BENEFICIOS"/>
    <x v="4"/>
    <x v="17"/>
    <n v="16637.12"/>
    <s v="0000000127"/>
    <s v="2398"/>
    <d v="2022-10-01T00:00:00"/>
    <s v="330103"/>
    <s v="211"/>
    <s v="51"/>
    <s v="Credito"/>
    <x v="2"/>
    <x v="216"/>
    <m/>
    <s v="000252"/>
    <s v="000132"/>
    <n v="16637.12"/>
    <s v="0,00"/>
    <s v="0,00"/>
    <s v="0,00"/>
    <s v="0,00"/>
    <s v="ORC2022_2"/>
    <s v="0012"/>
    <m/>
    <m/>
    <m/>
    <m/>
    <m/>
  </r>
  <r>
    <s v="BENEFICIOS"/>
    <x v="4"/>
    <x v="17"/>
    <n v="9141.8799999999992"/>
    <s v="0000000127"/>
    <s v="2399"/>
    <d v="2022-10-01T00:00:00"/>
    <s v="330103"/>
    <s v="101"/>
    <s v="90"/>
    <s v="Credito"/>
    <x v="2"/>
    <x v="216"/>
    <m/>
    <s v="000252"/>
    <s v="000132"/>
    <n v="9141.8799999999992"/>
    <s v="0,00"/>
    <s v="0,00"/>
    <s v="0,00"/>
    <s v="0,00"/>
    <s v="ORC2022_2"/>
    <s v="0012"/>
    <m/>
    <m/>
    <m/>
    <m/>
    <m/>
  </r>
  <r>
    <s v="BENEFICIOS"/>
    <x v="4"/>
    <x v="17"/>
    <n v="27734.93"/>
    <s v="0000000127"/>
    <s v="2400"/>
    <d v="2022-10-01T00:00:00"/>
    <s v="330103"/>
    <s v="201"/>
    <s v="90"/>
    <s v="Credito"/>
    <x v="2"/>
    <x v="216"/>
    <m/>
    <s v="000252"/>
    <s v="000132"/>
    <n v="27734.93"/>
    <s v="0,00"/>
    <s v="0,00"/>
    <s v="0,00"/>
    <s v="0,00"/>
    <s v="ORC2022_2"/>
    <s v="0012"/>
    <m/>
    <m/>
    <m/>
    <m/>
    <m/>
  </r>
  <r>
    <s v="BENEFICIOS"/>
    <x v="4"/>
    <x v="17"/>
    <n v="542.83000000000004"/>
    <s v="0000000127"/>
    <s v="2401"/>
    <d v="2022-10-01T00:00:00"/>
    <s v="330103"/>
    <s v="202"/>
    <s v="90"/>
    <s v="Credito"/>
    <x v="2"/>
    <x v="216"/>
    <m/>
    <s v="000252"/>
    <s v="000132"/>
    <n v="542.83000000000004"/>
    <s v="0,00"/>
    <s v="0,00"/>
    <s v="0,00"/>
    <s v="0,00"/>
    <s v="ORC2022_2"/>
    <s v="0012"/>
    <m/>
    <m/>
    <m/>
    <m/>
    <m/>
  </r>
  <r>
    <s v="BENEFICIOS"/>
    <x v="4"/>
    <x v="17"/>
    <n v="635.28"/>
    <s v="0000000127"/>
    <s v="2402"/>
    <d v="2022-10-01T00:00:00"/>
    <s v="330103"/>
    <s v="203"/>
    <s v="90"/>
    <s v="Credito"/>
    <x v="2"/>
    <x v="216"/>
    <m/>
    <s v="000252"/>
    <s v="000132"/>
    <n v="635.28"/>
    <s v="0,00"/>
    <s v="0,00"/>
    <s v="0,00"/>
    <s v="0,00"/>
    <s v="ORC2022_2"/>
    <s v="0012"/>
    <m/>
    <m/>
    <m/>
    <m/>
    <m/>
  </r>
  <r>
    <s v="BENEFICIOS"/>
    <x v="4"/>
    <x v="17"/>
    <n v="3143.21"/>
    <s v="0000000127"/>
    <s v="2403"/>
    <d v="2022-10-01T00:00:00"/>
    <s v="330103"/>
    <s v="204"/>
    <s v="90"/>
    <s v="Credito"/>
    <x v="2"/>
    <x v="216"/>
    <m/>
    <s v="000252"/>
    <s v="000132"/>
    <n v="3143.21"/>
    <s v="0,00"/>
    <s v="0,00"/>
    <s v="0,00"/>
    <s v="0,00"/>
    <s v="ORC2022_2"/>
    <s v="0012"/>
    <m/>
    <m/>
    <m/>
    <m/>
    <m/>
  </r>
  <r>
    <s v="BENEFICIOS"/>
    <x v="4"/>
    <x v="17"/>
    <n v="998.52"/>
    <s v="0000000127"/>
    <s v="2404"/>
    <d v="2022-10-01T00:00:00"/>
    <s v="330103"/>
    <s v="205"/>
    <s v="90"/>
    <s v="Credito"/>
    <x v="2"/>
    <x v="216"/>
    <m/>
    <s v="000252"/>
    <s v="000132"/>
    <n v="998.52"/>
    <s v="0,00"/>
    <s v="0,00"/>
    <s v="0,00"/>
    <s v="0,00"/>
    <s v="ORC2022_2"/>
    <s v="0012"/>
    <m/>
    <m/>
    <m/>
    <m/>
    <m/>
  </r>
  <r>
    <s v="BENEFICIOS"/>
    <x v="4"/>
    <x v="17"/>
    <n v="5269.74"/>
    <s v="0000000127"/>
    <s v="2405"/>
    <d v="2022-10-01T00:00:00"/>
    <s v="330103"/>
    <s v="207"/>
    <s v="90"/>
    <s v="Credito"/>
    <x v="2"/>
    <x v="216"/>
    <m/>
    <s v="000252"/>
    <s v="000132"/>
    <n v="5269.74"/>
    <s v="0,00"/>
    <s v="0,00"/>
    <s v="0,00"/>
    <s v="0,00"/>
    <s v="ORC2022_2"/>
    <s v="0012"/>
    <m/>
    <m/>
    <m/>
    <m/>
    <m/>
  </r>
  <r>
    <s v="BENEFICIOS"/>
    <x v="4"/>
    <x v="17"/>
    <n v="3442.42"/>
    <s v="0000000127"/>
    <s v="2406"/>
    <d v="2022-10-01T00:00:00"/>
    <s v="330103"/>
    <s v="208"/>
    <s v="90"/>
    <s v="Credito"/>
    <x v="2"/>
    <x v="216"/>
    <m/>
    <s v="000252"/>
    <s v="000132"/>
    <n v="3442.42"/>
    <s v="0,00"/>
    <s v="0,00"/>
    <s v="0,00"/>
    <s v="0,00"/>
    <s v="ORC2022_2"/>
    <s v="0012"/>
    <m/>
    <m/>
    <m/>
    <m/>
    <m/>
  </r>
  <r>
    <s v="BENEFICIOS"/>
    <x v="4"/>
    <x v="17"/>
    <n v="4584.46"/>
    <s v="0000000127"/>
    <s v="2407"/>
    <d v="2022-10-01T00:00:00"/>
    <s v="330103"/>
    <s v="209"/>
    <s v="90"/>
    <s v="Credito"/>
    <x v="2"/>
    <x v="216"/>
    <m/>
    <s v="000252"/>
    <s v="000132"/>
    <n v="4584.46"/>
    <s v="0,00"/>
    <s v="0,00"/>
    <s v="0,00"/>
    <s v="0,00"/>
    <s v="ORC2022_2"/>
    <s v="0012"/>
    <m/>
    <m/>
    <m/>
    <m/>
    <m/>
  </r>
  <r>
    <s v="BENEFICIOS"/>
    <x v="4"/>
    <x v="17"/>
    <n v="1980.47"/>
    <s v="0000000127"/>
    <s v="2408"/>
    <d v="2022-10-01T00:00:00"/>
    <s v="330103"/>
    <s v="210"/>
    <s v="90"/>
    <s v="Credito"/>
    <x v="2"/>
    <x v="216"/>
    <m/>
    <s v="000252"/>
    <s v="000132"/>
    <n v="1980.47"/>
    <s v="0,00"/>
    <s v="0,00"/>
    <s v="0,00"/>
    <s v="0,00"/>
    <s v="ORC2022_2"/>
    <s v="0012"/>
    <m/>
    <m/>
    <m/>
    <m/>
    <m/>
  </r>
  <r>
    <s v="BENEFICIOS"/>
    <x v="4"/>
    <x v="17"/>
    <n v="524.17999999999995"/>
    <s v="0000000127"/>
    <s v="2409"/>
    <d v="2022-10-01T00:00:00"/>
    <s v="330103"/>
    <s v="301"/>
    <s v="90"/>
    <s v="Credito"/>
    <x v="2"/>
    <x v="216"/>
    <m/>
    <s v="000252"/>
    <s v="000132"/>
    <n v="524.17999999999995"/>
    <s v="0,00"/>
    <s v="0,00"/>
    <s v="0,00"/>
    <s v="0,00"/>
    <s v="ORC2022_2"/>
    <s v="0012"/>
    <m/>
    <m/>
    <m/>
    <m/>
    <m/>
  </r>
  <r>
    <s v="BENEFICIOS"/>
    <x v="4"/>
    <x v="0"/>
    <n v="2945.74"/>
    <s v="0000000127"/>
    <s v="2410"/>
    <d v="2022-11-01T00:00:00"/>
    <s v="330103"/>
    <s v="206"/>
    <s v="11"/>
    <s v="Credito"/>
    <x v="2"/>
    <x v="216"/>
    <m/>
    <s v="000252"/>
    <s v="000132"/>
    <n v="2945.74"/>
    <s v="0,00"/>
    <s v="0,00"/>
    <s v="0,00"/>
    <s v="0,00"/>
    <s v="ORC2022_2"/>
    <s v="0012"/>
    <m/>
    <m/>
    <m/>
    <m/>
    <m/>
  </r>
  <r>
    <s v="BENEFICIOS"/>
    <x v="4"/>
    <x v="0"/>
    <n v="3118.63"/>
    <s v="0000000127"/>
    <s v="2411"/>
    <d v="2022-11-01T00:00:00"/>
    <s v="330103"/>
    <s v="209"/>
    <s v="21"/>
    <s v="Credito"/>
    <x v="2"/>
    <x v="216"/>
    <m/>
    <s v="000252"/>
    <s v="000132"/>
    <n v="3118.63"/>
    <s v="0,00"/>
    <s v="0,00"/>
    <s v="0,00"/>
    <s v="0,00"/>
    <s v="ORC2022_2"/>
    <s v="0012"/>
    <m/>
    <m/>
    <m/>
    <m/>
    <m/>
  </r>
  <r>
    <s v="BENEFICIOS"/>
    <x v="4"/>
    <x v="0"/>
    <n v="16803.5"/>
    <s v="0000000127"/>
    <s v="2412"/>
    <d v="2022-11-01T00:00:00"/>
    <s v="330103"/>
    <s v="211"/>
    <s v="51"/>
    <s v="Credito"/>
    <x v="2"/>
    <x v="216"/>
    <m/>
    <s v="000252"/>
    <s v="000132"/>
    <n v="16803.5"/>
    <s v="0,00"/>
    <s v="0,00"/>
    <s v="0,00"/>
    <s v="0,00"/>
    <s v="ORC2022_2"/>
    <s v="0012"/>
    <m/>
    <m/>
    <m/>
    <m/>
    <m/>
  </r>
  <r>
    <s v="BENEFICIOS"/>
    <x v="4"/>
    <x v="0"/>
    <n v="9233.2999999999993"/>
    <s v="0000000127"/>
    <s v="2413"/>
    <d v="2022-11-01T00:00:00"/>
    <s v="330103"/>
    <s v="101"/>
    <s v="90"/>
    <s v="Credito"/>
    <x v="2"/>
    <x v="216"/>
    <m/>
    <s v="000252"/>
    <s v="000132"/>
    <n v="9233.2999999999993"/>
    <s v="0,00"/>
    <s v="0,00"/>
    <s v="0,00"/>
    <s v="0,00"/>
    <s v="ORC2022_2"/>
    <s v="0012"/>
    <m/>
    <m/>
    <m/>
    <m/>
    <m/>
  </r>
  <r>
    <s v="BENEFICIOS"/>
    <x v="4"/>
    <x v="0"/>
    <n v="28012.28"/>
    <s v="0000000127"/>
    <s v="2414"/>
    <d v="2022-11-01T00:00:00"/>
    <s v="330103"/>
    <s v="201"/>
    <s v="90"/>
    <s v="Credito"/>
    <x v="2"/>
    <x v="216"/>
    <m/>
    <s v="000252"/>
    <s v="000132"/>
    <n v="28012.28"/>
    <s v="0,00"/>
    <s v="0,00"/>
    <s v="0,00"/>
    <s v="0,00"/>
    <s v="ORC2022_2"/>
    <s v="0012"/>
    <m/>
    <m/>
    <m/>
    <m/>
    <m/>
  </r>
  <r>
    <s v="BENEFICIOS"/>
    <x v="4"/>
    <x v="0"/>
    <n v="548.26"/>
    <s v="0000000127"/>
    <s v="2415"/>
    <d v="2022-11-01T00:00:00"/>
    <s v="330103"/>
    <s v="202"/>
    <s v="90"/>
    <s v="Credito"/>
    <x v="2"/>
    <x v="216"/>
    <m/>
    <s v="000252"/>
    <s v="000132"/>
    <n v="548.26"/>
    <s v="0,00"/>
    <s v="0,00"/>
    <s v="0,00"/>
    <s v="0,00"/>
    <s v="ORC2022_2"/>
    <s v="0012"/>
    <m/>
    <m/>
    <m/>
    <m/>
    <m/>
  </r>
  <r>
    <s v="BENEFICIOS"/>
    <x v="4"/>
    <x v="0"/>
    <n v="641.63"/>
    <s v="0000000127"/>
    <s v="2416"/>
    <d v="2022-11-01T00:00:00"/>
    <s v="330103"/>
    <s v="203"/>
    <s v="90"/>
    <s v="Credito"/>
    <x v="2"/>
    <x v="216"/>
    <m/>
    <s v="000252"/>
    <s v="000132"/>
    <n v="641.63"/>
    <s v="0,00"/>
    <s v="0,00"/>
    <s v="0,00"/>
    <s v="0,00"/>
    <s v="ORC2022_2"/>
    <s v="0012"/>
    <m/>
    <m/>
    <m/>
    <m/>
    <m/>
  </r>
  <r>
    <s v="BENEFICIOS"/>
    <x v="4"/>
    <x v="0"/>
    <n v="3174.64"/>
    <s v="0000000127"/>
    <s v="2417"/>
    <d v="2022-11-01T00:00:00"/>
    <s v="330103"/>
    <s v="204"/>
    <s v="90"/>
    <s v="Credito"/>
    <x v="2"/>
    <x v="216"/>
    <m/>
    <s v="000252"/>
    <s v="000132"/>
    <n v="3174.64"/>
    <s v="0,00"/>
    <s v="0,00"/>
    <s v="0,00"/>
    <s v="0,00"/>
    <s v="ORC2022_2"/>
    <s v="0012"/>
    <m/>
    <m/>
    <m/>
    <m/>
    <m/>
  </r>
  <r>
    <s v="BENEFICIOS"/>
    <x v="4"/>
    <x v="0"/>
    <n v="1008.5"/>
    <s v="0000000127"/>
    <s v="2418"/>
    <d v="2022-11-01T00:00:00"/>
    <s v="330103"/>
    <s v="205"/>
    <s v="90"/>
    <s v="Credito"/>
    <x v="2"/>
    <x v="216"/>
    <m/>
    <s v="000252"/>
    <s v="000132"/>
    <n v="1008.5"/>
    <s v="0,00"/>
    <s v="0,00"/>
    <s v="0,00"/>
    <s v="0,00"/>
    <s v="ORC2022_2"/>
    <s v="0012"/>
    <m/>
    <m/>
    <m/>
    <m/>
    <m/>
  </r>
  <r>
    <s v="BENEFICIOS"/>
    <x v="4"/>
    <x v="0"/>
    <n v="5322.43"/>
    <s v="0000000127"/>
    <s v="2419"/>
    <d v="2022-11-01T00:00:00"/>
    <s v="330103"/>
    <s v="207"/>
    <s v="90"/>
    <s v="Credito"/>
    <x v="2"/>
    <x v="216"/>
    <m/>
    <s v="000252"/>
    <s v="000132"/>
    <n v="5322.43"/>
    <s v="0,00"/>
    <s v="0,00"/>
    <s v="0,00"/>
    <s v="0,00"/>
    <s v="ORC2022_2"/>
    <s v="0012"/>
    <m/>
    <m/>
    <m/>
    <m/>
    <m/>
  </r>
  <r>
    <s v="BENEFICIOS"/>
    <x v="4"/>
    <x v="0"/>
    <n v="3476.85"/>
    <s v="0000000127"/>
    <s v="2420"/>
    <d v="2022-11-01T00:00:00"/>
    <s v="330103"/>
    <s v="208"/>
    <s v="90"/>
    <s v="Credito"/>
    <x v="2"/>
    <x v="216"/>
    <m/>
    <s v="000252"/>
    <s v="000132"/>
    <n v="3476.85"/>
    <s v="0,00"/>
    <s v="0,00"/>
    <s v="0,00"/>
    <s v="0,00"/>
    <s v="ORC2022_2"/>
    <s v="0012"/>
    <m/>
    <m/>
    <m/>
    <m/>
    <m/>
  </r>
  <r>
    <s v="BENEFICIOS"/>
    <x v="4"/>
    <x v="0"/>
    <n v="4630.3100000000004"/>
    <s v="0000000127"/>
    <s v="2421"/>
    <d v="2022-11-01T00:00:00"/>
    <s v="330103"/>
    <s v="209"/>
    <s v="90"/>
    <s v="Credito"/>
    <x v="2"/>
    <x v="216"/>
    <m/>
    <s v="000252"/>
    <s v="000132"/>
    <n v="4630.3100000000004"/>
    <s v="0,00"/>
    <s v="0,00"/>
    <s v="0,00"/>
    <s v="0,00"/>
    <s v="ORC2022_2"/>
    <s v="0012"/>
    <m/>
    <m/>
    <m/>
    <m/>
    <m/>
  </r>
  <r>
    <s v="BENEFICIOS"/>
    <x v="4"/>
    <x v="0"/>
    <n v="2000.27"/>
    <s v="0000000127"/>
    <s v="2422"/>
    <d v="2022-11-01T00:00:00"/>
    <s v="330103"/>
    <s v="210"/>
    <s v="90"/>
    <s v="Credito"/>
    <x v="2"/>
    <x v="216"/>
    <m/>
    <s v="000252"/>
    <s v="000132"/>
    <n v="2000.27"/>
    <s v="0,00"/>
    <s v="0,00"/>
    <s v="0,00"/>
    <s v="0,00"/>
    <s v="ORC2022_2"/>
    <s v="0012"/>
    <m/>
    <m/>
    <m/>
    <m/>
    <m/>
  </r>
  <r>
    <s v="BENEFICIOS"/>
    <x v="4"/>
    <x v="0"/>
    <n v="529.41999999999996"/>
    <s v="0000000127"/>
    <s v="2423"/>
    <d v="2022-11-01T00:00:00"/>
    <s v="330103"/>
    <s v="301"/>
    <s v="90"/>
    <s v="Credito"/>
    <x v="2"/>
    <x v="216"/>
    <m/>
    <s v="000252"/>
    <s v="000132"/>
    <n v="529.41999999999996"/>
    <s v="0,00"/>
    <s v="0,00"/>
    <s v="0,00"/>
    <s v="0,00"/>
    <s v="ORC2022_2"/>
    <s v="0012"/>
    <m/>
    <m/>
    <m/>
    <m/>
    <m/>
  </r>
  <r>
    <s v="BENEFICIOS"/>
    <x v="4"/>
    <x v="1"/>
    <n v="2975.2"/>
    <s v="0000000127"/>
    <s v="2424"/>
    <d v="2022-12-01T00:00:00"/>
    <s v="330103"/>
    <s v="206"/>
    <s v="11"/>
    <s v="Credito"/>
    <x v="2"/>
    <x v="216"/>
    <m/>
    <s v="000252"/>
    <s v="000132"/>
    <n v="2975.2"/>
    <s v="0,00"/>
    <s v="0,00"/>
    <s v="0,00"/>
    <s v="0,00"/>
    <s v="ORC2022_2"/>
    <s v="0012"/>
    <m/>
    <m/>
    <m/>
    <m/>
    <m/>
  </r>
  <r>
    <s v="BENEFICIOS"/>
    <x v="4"/>
    <x v="1"/>
    <n v="3149.82"/>
    <s v="0000000127"/>
    <s v="2425"/>
    <d v="2022-12-01T00:00:00"/>
    <s v="330103"/>
    <s v="209"/>
    <s v="21"/>
    <s v="Credito"/>
    <x v="2"/>
    <x v="216"/>
    <m/>
    <s v="000252"/>
    <s v="000132"/>
    <n v="3149.82"/>
    <s v="0,00"/>
    <s v="0,00"/>
    <s v="0,00"/>
    <s v="0,00"/>
    <s v="ORC2022_2"/>
    <s v="0012"/>
    <m/>
    <m/>
    <m/>
    <m/>
    <m/>
  </r>
  <r>
    <s v="BENEFICIOS"/>
    <x v="4"/>
    <x v="1"/>
    <n v="16971.53"/>
    <s v="0000000127"/>
    <s v="2426"/>
    <d v="2022-12-01T00:00:00"/>
    <s v="330103"/>
    <s v="211"/>
    <s v="51"/>
    <s v="Credito"/>
    <x v="2"/>
    <x v="216"/>
    <m/>
    <s v="000252"/>
    <s v="000132"/>
    <n v="16971.53"/>
    <s v="0,00"/>
    <s v="0,00"/>
    <s v="0,00"/>
    <s v="0,00"/>
    <s v="ORC2022_2"/>
    <s v="0012"/>
    <m/>
    <m/>
    <m/>
    <m/>
    <m/>
  </r>
  <r>
    <s v="BENEFICIOS"/>
    <x v="4"/>
    <x v="1"/>
    <n v="9325.64"/>
    <s v="0000000127"/>
    <s v="2427"/>
    <d v="2022-12-01T00:00:00"/>
    <s v="330103"/>
    <s v="101"/>
    <s v="90"/>
    <s v="Credito"/>
    <x v="2"/>
    <x v="216"/>
    <m/>
    <s v="000252"/>
    <s v="000132"/>
    <n v="9325.64"/>
    <s v="0,00"/>
    <s v="0,00"/>
    <s v="0,00"/>
    <s v="0,00"/>
    <s v="ORC2022_2"/>
    <s v="0012"/>
    <m/>
    <m/>
    <m/>
    <m/>
    <m/>
  </r>
  <r>
    <s v="BENEFICIOS"/>
    <x v="4"/>
    <x v="1"/>
    <n v="28292.41"/>
    <s v="0000000127"/>
    <s v="2428"/>
    <d v="2022-12-01T00:00:00"/>
    <s v="330103"/>
    <s v="201"/>
    <s v="90"/>
    <s v="Credito"/>
    <x v="2"/>
    <x v="216"/>
    <m/>
    <s v="000252"/>
    <s v="000132"/>
    <n v="28292.41"/>
    <s v="0,00"/>
    <s v="0,00"/>
    <s v="0,00"/>
    <s v="0,00"/>
    <s v="ORC2022_2"/>
    <s v="0012"/>
    <m/>
    <m/>
    <m/>
    <m/>
    <m/>
  </r>
  <r>
    <s v="BENEFICIOS"/>
    <x v="4"/>
    <x v="1"/>
    <n v="553.75"/>
    <s v="0000000127"/>
    <s v="2429"/>
    <d v="2022-12-01T00:00:00"/>
    <s v="330103"/>
    <s v="202"/>
    <s v="90"/>
    <s v="Credito"/>
    <x v="2"/>
    <x v="216"/>
    <m/>
    <s v="000252"/>
    <s v="000132"/>
    <n v="553.75"/>
    <s v="0,00"/>
    <s v="0,00"/>
    <s v="0,00"/>
    <s v="0,00"/>
    <s v="ORC2022_2"/>
    <s v="0012"/>
    <m/>
    <m/>
    <m/>
    <m/>
    <m/>
  </r>
  <r>
    <s v="BENEFICIOS"/>
    <x v="4"/>
    <x v="1"/>
    <n v="648.04999999999995"/>
    <s v="0000000127"/>
    <s v="2430"/>
    <d v="2022-12-01T00:00:00"/>
    <s v="330103"/>
    <s v="203"/>
    <s v="90"/>
    <s v="Credito"/>
    <x v="2"/>
    <x v="216"/>
    <m/>
    <s v="000252"/>
    <s v="000132"/>
    <n v="648.04999999999995"/>
    <s v="0,00"/>
    <s v="0,00"/>
    <s v="0,00"/>
    <s v="0,00"/>
    <s v="ORC2022_2"/>
    <s v="0012"/>
    <m/>
    <m/>
    <m/>
    <m/>
    <m/>
  </r>
  <r>
    <s v="BENEFICIOS"/>
    <x v="4"/>
    <x v="1"/>
    <n v="3206.39"/>
    <s v="0000000127"/>
    <s v="2431"/>
    <d v="2022-12-01T00:00:00"/>
    <s v="330103"/>
    <s v="204"/>
    <s v="90"/>
    <s v="Credito"/>
    <x v="2"/>
    <x v="216"/>
    <m/>
    <s v="000252"/>
    <s v="000132"/>
    <n v="3206.39"/>
    <s v="0,00"/>
    <s v="0,00"/>
    <s v="0,00"/>
    <s v="0,00"/>
    <s v="ORC2022_2"/>
    <s v="0012"/>
    <m/>
    <m/>
    <m/>
    <m/>
    <m/>
  </r>
  <r>
    <s v="BENEFICIOS"/>
    <x v="4"/>
    <x v="1"/>
    <n v="1018.59"/>
    <s v="0000000127"/>
    <s v="2432"/>
    <d v="2022-12-01T00:00:00"/>
    <s v="330103"/>
    <s v="205"/>
    <s v="90"/>
    <s v="Credito"/>
    <x v="2"/>
    <x v="216"/>
    <m/>
    <s v="000252"/>
    <s v="000132"/>
    <n v="1018.59"/>
    <s v="0,00"/>
    <s v="0,00"/>
    <s v="0,00"/>
    <s v="0,00"/>
    <s v="ORC2022_2"/>
    <s v="0012"/>
    <m/>
    <m/>
    <m/>
    <m/>
    <m/>
  </r>
  <r>
    <s v="BENEFICIOS"/>
    <x v="4"/>
    <x v="1"/>
    <n v="5375.66"/>
    <s v="0000000127"/>
    <s v="2433"/>
    <d v="2022-12-01T00:00:00"/>
    <s v="330103"/>
    <s v="207"/>
    <s v="90"/>
    <s v="Credito"/>
    <x v="2"/>
    <x v="216"/>
    <m/>
    <s v="000252"/>
    <s v="000132"/>
    <n v="5375.66"/>
    <s v="0,00"/>
    <s v="0,00"/>
    <s v="0,00"/>
    <s v="0,00"/>
    <s v="ORC2022_2"/>
    <s v="0012"/>
    <m/>
    <m/>
    <m/>
    <m/>
    <m/>
  </r>
  <r>
    <s v="BENEFICIOS"/>
    <x v="4"/>
    <x v="1"/>
    <n v="3511.62"/>
    <s v="0000000127"/>
    <s v="2434"/>
    <d v="2022-12-01T00:00:00"/>
    <s v="330103"/>
    <s v="208"/>
    <s v="90"/>
    <s v="Credito"/>
    <x v="2"/>
    <x v="216"/>
    <m/>
    <s v="000252"/>
    <s v="000132"/>
    <n v="3511.62"/>
    <s v="0,00"/>
    <s v="0,00"/>
    <s v="0,00"/>
    <s v="0,00"/>
    <s v="ORC2022_2"/>
    <s v="0012"/>
    <m/>
    <m/>
    <m/>
    <m/>
    <m/>
  </r>
  <r>
    <s v="BENEFICIOS"/>
    <x v="4"/>
    <x v="1"/>
    <n v="4676.6099999999997"/>
    <s v="0000000127"/>
    <s v="2435"/>
    <d v="2022-12-01T00:00:00"/>
    <s v="330103"/>
    <s v="209"/>
    <s v="90"/>
    <s v="Credito"/>
    <x v="2"/>
    <x v="216"/>
    <m/>
    <s v="000252"/>
    <s v="000132"/>
    <n v="4676.6099999999997"/>
    <s v="0,00"/>
    <s v="0,00"/>
    <s v="0,00"/>
    <s v="0,00"/>
    <s v="ORC2022_2"/>
    <s v="0012"/>
    <m/>
    <m/>
    <m/>
    <m/>
    <m/>
  </r>
  <r>
    <s v="BENEFICIOS"/>
    <x v="4"/>
    <x v="1"/>
    <n v="2020.28"/>
    <s v="0000000127"/>
    <s v="2436"/>
    <d v="2022-12-01T00:00:00"/>
    <s v="330103"/>
    <s v="210"/>
    <s v="90"/>
    <s v="Credito"/>
    <x v="2"/>
    <x v="216"/>
    <m/>
    <s v="000252"/>
    <s v="000132"/>
    <n v="2020.28"/>
    <s v="0,00"/>
    <s v="0,00"/>
    <s v="0,00"/>
    <s v="0,00"/>
    <s v="ORC2022_2"/>
    <s v="0012"/>
    <m/>
    <m/>
    <m/>
    <m/>
    <m/>
  </r>
  <r>
    <s v="BENEFICIOS"/>
    <x v="4"/>
    <x v="1"/>
    <n v="534.72"/>
    <s v="0000000127"/>
    <s v="2437"/>
    <d v="2022-12-01T00:00:00"/>
    <s v="330103"/>
    <s v="301"/>
    <s v="90"/>
    <s v="Credito"/>
    <x v="2"/>
    <x v="216"/>
    <m/>
    <s v="000252"/>
    <s v="000132"/>
    <n v="534.72"/>
    <s v="0,00"/>
    <s v="0,00"/>
    <s v="0,00"/>
    <s v="0,00"/>
    <s v="ORC2022_2"/>
    <s v="0012"/>
    <m/>
    <m/>
    <m/>
    <m/>
    <m/>
  </r>
  <r>
    <s v="OUTROS GASTOS COM PESSOAL"/>
    <x v="15"/>
    <x v="8"/>
    <n v="48.99"/>
    <s v="0000000127"/>
    <s v="2438"/>
    <d v="2022-01-01T00:00:00"/>
    <s v="330104"/>
    <s v="206"/>
    <s v="11"/>
    <s v="Credito"/>
    <x v="2"/>
    <x v="216"/>
    <m/>
    <s v="000252"/>
    <s v="000132"/>
    <n v="48.99"/>
    <s v="0,00"/>
    <s v="0,00"/>
    <s v="0,00"/>
    <s v="0,00"/>
    <s v="ORC2022_2"/>
    <s v="0012"/>
    <m/>
    <m/>
    <m/>
    <m/>
    <m/>
  </r>
  <r>
    <s v="OUTROS GASTOS COM PESSOAL"/>
    <x v="15"/>
    <x v="8"/>
    <n v="1418"/>
    <s v="0000000127"/>
    <s v="2439"/>
    <d v="2022-01-01T00:00:00"/>
    <s v="330104"/>
    <s v="211"/>
    <s v="51"/>
    <s v="Credito"/>
    <x v="2"/>
    <x v="216"/>
    <m/>
    <s v="000252"/>
    <s v="000132"/>
    <n v="1418"/>
    <s v="0,00"/>
    <s v="0,00"/>
    <s v="0,00"/>
    <s v="0,00"/>
    <s v="ORC2022_2"/>
    <s v="0012"/>
    <m/>
    <m/>
    <m/>
    <m/>
    <m/>
  </r>
  <r>
    <s v="OUTROS GASTOS COM PESSOAL"/>
    <x v="15"/>
    <x v="8"/>
    <n v="4.66"/>
    <s v="0000000127"/>
    <s v="2440"/>
    <d v="2022-01-01T00:00:00"/>
    <s v="330104"/>
    <s v="201"/>
    <s v="90"/>
    <s v="Credito"/>
    <x v="2"/>
    <x v="216"/>
    <m/>
    <s v="000252"/>
    <s v="000132"/>
    <n v="4.66"/>
    <s v="0,00"/>
    <s v="0,00"/>
    <s v="0,00"/>
    <s v="0,00"/>
    <s v="ORC2022_2"/>
    <s v="0012"/>
    <m/>
    <m/>
    <m/>
    <m/>
    <m/>
  </r>
  <r>
    <s v="OUTROS GASTOS COM PESSOAL"/>
    <x v="15"/>
    <x v="8"/>
    <n v="94.79"/>
    <s v="0000000127"/>
    <s v="2441"/>
    <d v="2022-01-01T00:00:00"/>
    <s v="330104"/>
    <s v="202"/>
    <s v="90"/>
    <s v="Credito"/>
    <x v="2"/>
    <x v="216"/>
    <m/>
    <s v="000252"/>
    <s v="000132"/>
    <n v="94.79"/>
    <s v="0,00"/>
    <s v="0,00"/>
    <s v="0,00"/>
    <s v="0,00"/>
    <s v="ORC2022_2"/>
    <s v="0012"/>
    <m/>
    <m/>
    <m/>
    <m/>
    <m/>
  </r>
  <r>
    <s v="OUTROS GASTOS COM PESSOAL"/>
    <x v="15"/>
    <x v="8"/>
    <n v="514.33000000000004"/>
    <s v="0000000127"/>
    <s v="2442"/>
    <d v="2022-01-01T00:00:00"/>
    <s v="330104"/>
    <s v="204"/>
    <s v="90"/>
    <s v="Credito"/>
    <x v="2"/>
    <x v="216"/>
    <m/>
    <s v="000252"/>
    <s v="000132"/>
    <n v="514.33000000000004"/>
    <s v="0,00"/>
    <s v="0,00"/>
    <s v="0,00"/>
    <s v="0,00"/>
    <s v="ORC2022_2"/>
    <s v="0012"/>
    <m/>
    <m/>
    <m/>
    <m/>
    <m/>
  </r>
  <r>
    <s v="OUTROS GASTOS COM PESSOAL"/>
    <x v="15"/>
    <x v="8"/>
    <n v="265"/>
    <s v="0000000127"/>
    <s v="2443"/>
    <d v="2022-01-01T00:00:00"/>
    <s v="330104"/>
    <s v="207"/>
    <s v="90"/>
    <s v="Credito"/>
    <x v="2"/>
    <x v="216"/>
    <m/>
    <s v="000252"/>
    <s v="000132"/>
    <n v="265"/>
    <s v="0,00"/>
    <s v="0,00"/>
    <s v="0,00"/>
    <s v="0,00"/>
    <s v="ORC2022_2"/>
    <s v="0012"/>
    <m/>
    <m/>
    <m/>
    <m/>
    <m/>
  </r>
  <r>
    <s v="OUTROS GASTOS COM PESSOAL"/>
    <x v="15"/>
    <x v="8"/>
    <n v="97.98"/>
    <s v="0000000127"/>
    <s v="2444"/>
    <d v="2022-01-01T00:00:00"/>
    <s v="330104"/>
    <s v="208"/>
    <s v="90"/>
    <s v="Credito"/>
    <x v="2"/>
    <x v="216"/>
    <m/>
    <s v="000252"/>
    <s v="000132"/>
    <n v="97.98"/>
    <s v="0,00"/>
    <s v="0,00"/>
    <s v="0,00"/>
    <s v="0,00"/>
    <s v="ORC2022_2"/>
    <s v="0012"/>
    <m/>
    <m/>
    <m/>
    <m/>
    <m/>
  </r>
  <r>
    <s v="OUTROS GASTOS COM PESSOAL"/>
    <x v="15"/>
    <x v="8"/>
    <n v="145.19999999999999"/>
    <s v="0000000127"/>
    <s v="2445"/>
    <d v="2022-01-01T00:00:00"/>
    <s v="330104"/>
    <s v="209"/>
    <s v="90"/>
    <s v="Credito"/>
    <x v="2"/>
    <x v="216"/>
    <m/>
    <s v="000252"/>
    <s v="000132"/>
    <n v="145.19999999999999"/>
    <s v="0,00"/>
    <s v="0,00"/>
    <s v="0,00"/>
    <s v="0,00"/>
    <s v="ORC2022_2"/>
    <s v="0012"/>
    <m/>
    <m/>
    <m/>
    <m/>
    <m/>
  </r>
  <r>
    <s v="OUTROS GASTOS COM PESSOAL"/>
    <x v="15"/>
    <x v="8"/>
    <n v="97.39"/>
    <s v="0000000127"/>
    <s v="2446"/>
    <d v="2022-01-01T00:00:00"/>
    <s v="330104"/>
    <s v="210"/>
    <s v="90"/>
    <s v="Credito"/>
    <x v="2"/>
    <x v="216"/>
    <m/>
    <s v="000252"/>
    <s v="000132"/>
    <n v="97.39"/>
    <s v="0,00"/>
    <s v="0,00"/>
    <s v="0,00"/>
    <s v="0,00"/>
    <s v="ORC2022_2"/>
    <s v="0012"/>
    <m/>
    <m/>
    <m/>
    <m/>
    <m/>
  </r>
  <r>
    <s v="OUTROS GASTOS COM PESSOAL"/>
    <x v="15"/>
    <x v="9"/>
    <n v="297.2"/>
    <s v="0000000127"/>
    <s v="2447"/>
    <d v="2022-02-01T00:00:00"/>
    <s v="330104"/>
    <s v="206"/>
    <s v="11"/>
    <s v="Credito"/>
    <x v="2"/>
    <x v="216"/>
    <m/>
    <s v="000252"/>
    <s v="000132"/>
    <n v="297.2"/>
    <s v="0,00"/>
    <s v="0,00"/>
    <s v="0,00"/>
    <s v="0,00"/>
    <s v="ORC2022_2"/>
    <s v="0012"/>
    <m/>
    <m/>
    <m/>
    <m/>
    <m/>
  </r>
  <r>
    <s v="OUTROS GASTOS COM PESSOAL"/>
    <x v="15"/>
    <x v="9"/>
    <n v="4.8899999999999997"/>
    <s v="0000000127"/>
    <s v="2448"/>
    <d v="2022-02-01T00:00:00"/>
    <s v="330104"/>
    <s v="209"/>
    <s v="21"/>
    <s v="Credito"/>
    <x v="2"/>
    <x v="216"/>
    <m/>
    <s v="000252"/>
    <s v="000132"/>
    <n v="4.8899999999999997"/>
    <s v="0,00"/>
    <s v="0,00"/>
    <s v="0,00"/>
    <s v="0,00"/>
    <s v="ORC2022_2"/>
    <s v="0012"/>
    <m/>
    <m/>
    <m/>
    <m/>
    <m/>
  </r>
  <r>
    <s v="OUTROS GASTOS COM PESSOAL"/>
    <x v="15"/>
    <x v="9"/>
    <n v="3211.25"/>
    <s v="0000000127"/>
    <s v="2449"/>
    <d v="2022-02-01T00:00:00"/>
    <s v="330104"/>
    <s v="211"/>
    <s v="51"/>
    <s v="Credito"/>
    <x v="2"/>
    <x v="216"/>
    <m/>
    <s v="000252"/>
    <s v="000132"/>
    <n v="3211.25"/>
    <s v="0,00"/>
    <s v="0,00"/>
    <s v="0,00"/>
    <s v="0,00"/>
    <s v="ORC2022_2"/>
    <s v="0012"/>
    <m/>
    <m/>
    <m/>
    <m/>
    <m/>
  </r>
  <r>
    <s v="OUTROS GASTOS COM PESSOAL"/>
    <x v="15"/>
    <x v="9"/>
    <n v="313.64"/>
    <s v="0000000127"/>
    <s v="2450"/>
    <d v="2022-02-01T00:00:00"/>
    <s v="330104"/>
    <s v="201"/>
    <s v="90"/>
    <s v="Credito"/>
    <x v="2"/>
    <x v="216"/>
    <m/>
    <s v="000252"/>
    <s v="000132"/>
    <n v="313.64"/>
    <s v="0,00"/>
    <s v="0,00"/>
    <s v="0,00"/>
    <s v="0,00"/>
    <s v="ORC2022_2"/>
    <s v="0012"/>
    <m/>
    <m/>
    <m/>
    <m/>
    <m/>
  </r>
  <r>
    <s v="OUTROS GASTOS COM PESSOAL"/>
    <x v="15"/>
    <x v="9"/>
    <n v="122.33"/>
    <s v="0000000127"/>
    <s v="2451"/>
    <d v="2022-02-01T00:00:00"/>
    <s v="330104"/>
    <s v="204"/>
    <s v="90"/>
    <s v="Credito"/>
    <x v="2"/>
    <x v="216"/>
    <m/>
    <s v="000252"/>
    <s v="000132"/>
    <n v="122.33"/>
    <s v="0,00"/>
    <s v="0,00"/>
    <s v="0,00"/>
    <s v="0,00"/>
    <s v="ORC2022_2"/>
    <s v="0012"/>
    <m/>
    <m/>
    <m/>
    <m/>
    <m/>
  </r>
  <r>
    <s v="OUTROS GASTOS COM PESSOAL"/>
    <x v="15"/>
    <x v="9"/>
    <n v="953.51"/>
    <s v="0000000127"/>
    <s v="2452"/>
    <d v="2022-02-01T00:00:00"/>
    <s v="330104"/>
    <s v="208"/>
    <s v="90"/>
    <s v="Credito"/>
    <x v="2"/>
    <x v="216"/>
    <m/>
    <s v="000252"/>
    <s v="000132"/>
    <n v="953.51"/>
    <s v="0,00"/>
    <s v="0,00"/>
    <s v="0,00"/>
    <s v="0,00"/>
    <s v="ORC2022_2"/>
    <s v="0012"/>
    <m/>
    <m/>
    <m/>
    <m/>
    <m/>
  </r>
  <r>
    <s v="OUTROS GASTOS COM PESSOAL"/>
    <x v="15"/>
    <x v="9"/>
    <n v="161.22"/>
    <s v="0000000127"/>
    <s v="2453"/>
    <d v="2022-02-01T00:00:00"/>
    <s v="330104"/>
    <s v="209"/>
    <s v="90"/>
    <s v="Credito"/>
    <x v="2"/>
    <x v="216"/>
    <m/>
    <s v="000252"/>
    <s v="000132"/>
    <n v="161.22"/>
    <s v="0,00"/>
    <s v="0,00"/>
    <s v="0,00"/>
    <s v="0,00"/>
    <s v="ORC2022_2"/>
    <s v="0012"/>
    <m/>
    <m/>
    <m/>
    <m/>
    <m/>
  </r>
  <r>
    <s v="OUTROS GASTOS COM PESSOAL"/>
    <x v="15"/>
    <x v="10"/>
    <n v="1866.7"/>
    <s v="0000000127"/>
    <s v="2454"/>
    <d v="2022-03-01T00:00:00"/>
    <s v="330104"/>
    <s v="211"/>
    <s v="51"/>
    <s v="Credito"/>
    <x v="2"/>
    <x v="216"/>
    <m/>
    <s v="000252"/>
    <s v="000132"/>
    <n v="1866.7"/>
    <s v="0,00"/>
    <s v="0,00"/>
    <s v="0,00"/>
    <s v="0,00"/>
    <s v="ORC2022_2"/>
    <s v="0012"/>
    <m/>
    <m/>
    <m/>
    <m/>
    <m/>
  </r>
  <r>
    <s v="OUTROS GASTOS COM PESSOAL"/>
    <x v="15"/>
    <x v="10"/>
    <n v="203.67"/>
    <s v="0000000127"/>
    <s v="2455"/>
    <d v="2022-03-01T00:00:00"/>
    <s v="330104"/>
    <s v="201"/>
    <s v="90"/>
    <s v="Credito"/>
    <x v="2"/>
    <x v="216"/>
    <m/>
    <s v="000252"/>
    <s v="000132"/>
    <n v="203.67"/>
    <s v="0,00"/>
    <s v="0,00"/>
    <s v="0,00"/>
    <s v="0,00"/>
    <s v="ORC2022_2"/>
    <s v="0012"/>
    <m/>
    <m/>
    <m/>
    <m/>
    <m/>
  </r>
  <r>
    <s v="OUTROS GASTOS COM PESSOAL"/>
    <x v="15"/>
    <x v="10"/>
    <n v="280"/>
    <s v="0000000127"/>
    <s v="2456"/>
    <d v="2022-03-01T00:00:00"/>
    <s v="330104"/>
    <s v="204"/>
    <s v="90"/>
    <s v="Credito"/>
    <x v="2"/>
    <x v="216"/>
    <m/>
    <s v="000252"/>
    <s v="000132"/>
    <n v="280"/>
    <s v="0,00"/>
    <s v="0,00"/>
    <s v="0,00"/>
    <s v="0,00"/>
    <s v="ORC2022_2"/>
    <s v="0012"/>
    <m/>
    <m/>
    <m/>
    <m/>
    <m/>
  </r>
  <r>
    <s v="OUTROS GASTOS COM PESSOAL"/>
    <x v="15"/>
    <x v="11"/>
    <n v="849.95"/>
    <s v="0000000127"/>
    <s v="2457"/>
    <d v="2022-04-01T00:00:00"/>
    <s v="330104"/>
    <s v="206"/>
    <s v="11"/>
    <s v="Credito"/>
    <x v="2"/>
    <x v="216"/>
    <m/>
    <s v="000252"/>
    <s v="000132"/>
    <n v="849.95"/>
    <s v="0,00"/>
    <s v="0,00"/>
    <s v="0,00"/>
    <s v="0,00"/>
    <s v="ORC2022_2"/>
    <s v="0012"/>
    <m/>
    <m/>
    <m/>
    <m/>
    <m/>
  </r>
  <r>
    <s v="OUTROS GASTOS COM PESSOAL"/>
    <x v="15"/>
    <x v="11"/>
    <n v="34.090000000000003"/>
    <s v="0000000127"/>
    <s v="2458"/>
    <d v="2022-04-01T00:00:00"/>
    <s v="330104"/>
    <s v="201"/>
    <s v="90"/>
    <s v="Credito"/>
    <x v="2"/>
    <x v="216"/>
    <m/>
    <s v="000252"/>
    <s v="000132"/>
    <n v="34.090000000000003"/>
    <s v="0,00"/>
    <s v="0,00"/>
    <s v="0,00"/>
    <s v="0,00"/>
    <s v="ORC2022_2"/>
    <s v="0012"/>
    <m/>
    <m/>
    <m/>
    <m/>
    <m/>
  </r>
  <r>
    <s v="OUTROS GASTOS COM PESSOAL"/>
    <x v="15"/>
    <x v="11"/>
    <n v="159.94999999999999"/>
    <s v="0000000127"/>
    <s v="2459"/>
    <d v="2022-04-01T00:00:00"/>
    <s v="330104"/>
    <s v="202"/>
    <s v="90"/>
    <s v="Credito"/>
    <x v="2"/>
    <x v="216"/>
    <m/>
    <s v="000252"/>
    <s v="000132"/>
    <n v="159.94999999999999"/>
    <s v="0,00"/>
    <s v="0,00"/>
    <s v="0,00"/>
    <s v="0,00"/>
    <s v="ORC2022_2"/>
    <s v="0012"/>
    <m/>
    <m/>
    <m/>
    <m/>
    <m/>
  </r>
  <r>
    <s v="OUTROS GASTOS COM PESSOAL"/>
    <x v="15"/>
    <x v="11"/>
    <n v="560.08000000000004"/>
    <s v="0000000127"/>
    <s v="2460"/>
    <d v="2022-04-01T00:00:00"/>
    <s v="330104"/>
    <s v="204"/>
    <s v="90"/>
    <s v="Credito"/>
    <x v="2"/>
    <x v="216"/>
    <m/>
    <s v="000252"/>
    <s v="000132"/>
    <n v="560.08000000000004"/>
    <s v="0,00"/>
    <s v="0,00"/>
    <s v="0,00"/>
    <s v="0,00"/>
    <s v="ORC2022_2"/>
    <s v="0012"/>
    <m/>
    <m/>
    <m/>
    <m/>
    <m/>
  </r>
  <r>
    <s v="OUTROS GASTOS COM PESSOAL"/>
    <x v="15"/>
    <x v="11"/>
    <n v="350.41"/>
    <s v="0000000127"/>
    <s v="2461"/>
    <d v="2022-04-01T00:00:00"/>
    <s v="330104"/>
    <s v="207"/>
    <s v="90"/>
    <s v="Credito"/>
    <x v="2"/>
    <x v="216"/>
    <m/>
    <s v="000252"/>
    <s v="000132"/>
    <n v="350.41"/>
    <s v="0,00"/>
    <s v="0,00"/>
    <s v="0,00"/>
    <s v="0,00"/>
    <s v="ORC2022_2"/>
    <s v="0012"/>
    <m/>
    <m/>
    <m/>
    <m/>
    <m/>
  </r>
  <r>
    <s v="OUTROS GASTOS COM PESSOAL"/>
    <x v="15"/>
    <x v="11"/>
    <n v="282.58"/>
    <s v="0000000127"/>
    <s v="2462"/>
    <d v="2022-04-01T00:00:00"/>
    <s v="330104"/>
    <s v="208"/>
    <s v="90"/>
    <s v="Credito"/>
    <x v="2"/>
    <x v="216"/>
    <m/>
    <s v="000252"/>
    <s v="000132"/>
    <n v="282.58"/>
    <s v="0,00"/>
    <s v="0,00"/>
    <s v="0,00"/>
    <s v="0,00"/>
    <s v="ORC2022_2"/>
    <s v="0012"/>
    <m/>
    <m/>
    <m/>
    <m/>
    <m/>
  </r>
  <r>
    <s v="OUTROS GASTOS COM PESSOAL"/>
    <x v="15"/>
    <x v="11"/>
    <n v="181.89"/>
    <s v="0000000127"/>
    <s v="2463"/>
    <d v="2022-04-01T00:00:00"/>
    <s v="330104"/>
    <s v="209"/>
    <s v="90"/>
    <s v="Credito"/>
    <x v="2"/>
    <x v="216"/>
    <m/>
    <s v="000252"/>
    <s v="000132"/>
    <n v="181.89"/>
    <s v="0,00"/>
    <s v="0,00"/>
    <s v="0,00"/>
    <s v="0,00"/>
    <s v="ORC2022_2"/>
    <s v="0012"/>
    <m/>
    <m/>
    <m/>
    <m/>
    <m/>
  </r>
  <r>
    <s v="OUTROS GASTOS COM PESSOAL"/>
    <x v="15"/>
    <x v="12"/>
    <n v="74.819999999999993"/>
    <s v="0000000127"/>
    <s v="2464"/>
    <d v="2022-05-01T00:00:00"/>
    <s v="330104"/>
    <s v="206"/>
    <s v="11"/>
    <s v="Credito"/>
    <x v="2"/>
    <x v="216"/>
    <m/>
    <s v="000252"/>
    <s v="000132"/>
    <n v="74.819999999999993"/>
    <s v="0,00"/>
    <s v="0,00"/>
    <s v="0,00"/>
    <s v="0,00"/>
    <s v="ORC2022_2"/>
    <s v="0012"/>
    <m/>
    <m/>
    <m/>
    <m/>
    <m/>
  </r>
  <r>
    <s v="OUTROS GASTOS COM PESSOAL"/>
    <x v="15"/>
    <x v="12"/>
    <n v="4.42"/>
    <s v="0000000127"/>
    <s v="2465"/>
    <d v="2022-05-01T00:00:00"/>
    <s v="330104"/>
    <s v="209"/>
    <s v="31"/>
    <s v="Credito"/>
    <x v="2"/>
    <x v="216"/>
    <m/>
    <s v="000252"/>
    <s v="000132"/>
    <n v="4.42"/>
    <s v="0,00"/>
    <s v="0,00"/>
    <s v="0,00"/>
    <s v="0,00"/>
    <s v="ORC2022_2"/>
    <s v="0012"/>
    <m/>
    <m/>
    <m/>
    <m/>
    <m/>
  </r>
  <r>
    <s v="OUTROS GASTOS COM PESSOAL"/>
    <x v="15"/>
    <x v="12"/>
    <n v="1638"/>
    <s v="0000000127"/>
    <s v="2466"/>
    <d v="2022-05-01T00:00:00"/>
    <s v="330104"/>
    <s v="211"/>
    <s v="51"/>
    <s v="Credito"/>
    <x v="2"/>
    <x v="216"/>
    <m/>
    <s v="000252"/>
    <s v="000132"/>
    <n v="1638"/>
    <s v="0,00"/>
    <s v="0,00"/>
    <s v="0,00"/>
    <s v="0,00"/>
    <s v="ORC2022_2"/>
    <s v="0012"/>
    <m/>
    <m/>
    <m/>
    <m/>
    <m/>
  </r>
  <r>
    <s v="OUTROS GASTOS COM PESSOAL"/>
    <x v="15"/>
    <x v="12"/>
    <n v="55.39"/>
    <s v="0000000127"/>
    <s v="2467"/>
    <d v="2022-05-01T00:00:00"/>
    <s v="330104"/>
    <s v="202"/>
    <s v="90"/>
    <s v="Credito"/>
    <x v="2"/>
    <x v="216"/>
    <m/>
    <s v="000252"/>
    <s v="000132"/>
    <n v="55.39"/>
    <s v="0,00"/>
    <s v="0,00"/>
    <s v="0,00"/>
    <s v="0,00"/>
    <s v="ORC2022_2"/>
    <s v="0012"/>
    <m/>
    <m/>
    <m/>
    <m/>
    <m/>
  </r>
  <r>
    <s v="OUTROS GASTOS COM PESSOAL"/>
    <x v="15"/>
    <x v="12"/>
    <n v="203.67"/>
    <s v="0000000127"/>
    <s v="2468"/>
    <d v="2022-05-01T00:00:00"/>
    <s v="330104"/>
    <s v="208"/>
    <s v="90"/>
    <s v="Credito"/>
    <x v="2"/>
    <x v="216"/>
    <m/>
    <s v="000252"/>
    <s v="000132"/>
    <n v="203.67"/>
    <s v="0,00"/>
    <s v="0,00"/>
    <s v="0,00"/>
    <s v="0,00"/>
    <s v="ORC2022_2"/>
    <s v="0012"/>
    <m/>
    <m/>
    <m/>
    <m/>
    <m/>
  </r>
  <r>
    <s v="OUTROS GASTOS COM PESSOAL"/>
    <x v="15"/>
    <x v="12"/>
    <n v="152.97999999999999"/>
    <s v="0000000127"/>
    <s v="2469"/>
    <d v="2022-05-01T00:00:00"/>
    <s v="330104"/>
    <s v="209"/>
    <s v="90"/>
    <s v="Credito"/>
    <x v="2"/>
    <x v="216"/>
    <m/>
    <s v="000252"/>
    <s v="000132"/>
    <n v="152.97999999999999"/>
    <s v="0,00"/>
    <s v="0,00"/>
    <s v="0,00"/>
    <s v="0,00"/>
    <s v="ORC2022_2"/>
    <s v="0012"/>
    <m/>
    <m/>
    <m/>
    <m/>
    <m/>
  </r>
  <r>
    <s v="OUTROS GASTOS COM PESSOAL"/>
    <x v="15"/>
    <x v="13"/>
    <n v="218.09"/>
    <s v="0000000127"/>
    <s v="2470"/>
    <d v="2022-06-01T00:00:00"/>
    <s v="330104"/>
    <s v="206"/>
    <s v="11"/>
    <s v="Credito"/>
    <x v="2"/>
    <x v="216"/>
    <m/>
    <s v="000252"/>
    <s v="000132"/>
    <n v="218.09"/>
    <s v="0,00"/>
    <s v="0,00"/>
    <s v="0,00"/>
    <s v="0,00"/>
    <s v="ORC2022_2"/>
    <s v="0012"/>
    <m/>
    <m/>
    <m/>
    <m/>
    <m/>
  </r>
  <r>
    <s v="OUTROS GASTOS COM PESSOAL"/>
    <x v="15"/>
    <x v="13"/>
    <n v="72.25"/>
    <s v="0000000127"/>
    <s v="2471"/>
    <d v="2022-06-01T00:00:00"/>
    <s v="330104"/>
    <s v="209"/>
    <s v="11"/>
    <s v="Credito"/>
    <x v="2"/>
    <x v="216"/>
    <m/>
    <s v="000252"/>
    <s v="000132"/>
    <n v="72.25"/>
    <s v="0,00"/>
    <s v="0,00"/>
    <s v="0,00"/>
    <s v="0,00"/>
    <s v="ORC2022_2"/>
    <s v="0012"/>
    <m/>
    <m/>
    <m/>
    <m/>
    <m/>
  </r>
  <r>
    <s v="OUTROS GASTOS COM PESSOAL"/>
    <x v="15"/>
    <x v="13"/>
    <n v="1798"/>
    <s v="0000000127"/>
    <s v="2472"/>
    <d v="2022-06-01T00:00:00"/>
    <s v="330104"/>
    <s v="211"/>
    <s v="51"/>
    <s v="Credito"/>
    <x v="2"/>
    <x v="216"/>
    <m/>
    <s v="000252"/>
    <s v="000132"/>
    <n v="1798"/>
    <s v="0,00"/>
    <s v="0,00"/>
    <s v="0,00"/>
    <s v="0,00"/>
    <s v="ORC2022_2"/>
    <s v="0012"/>
    <m/>
    <m/>
    <m/>
    <m/>
    <m/>
  </r>
  <r>
    <s v="OUTROS GASTOS COM PESSOAL"/>
    <x v="15"/>
    <x v="13"/>
    <n v="794.91"/>
    <s v="0000000127"/>
    <s v="2473"/>
    <d v="2022-06-01T00:00:00"/>
    <s v="330104"/>
    <s v="204"/>
    <s v="90"/>
    <s v="Credito"/>
    <x v="2"/>
    <x v="216"/>
    <m/>
    <s v="000252"/>
    <s v="000132"/>
    <n v="794.91"/>
    <s v="0,00"/>
    <s v="0,00"/>
    <s v="0,00"/>
    <s v="0,00"/>
    <s v="ORC2022_2"/>
    <s v="0012"/>
    <m/>
    <m/>
    <m/>
    <m/>
    <m/>
  </r>
  <r>
    <s v="OUTROS GASTOS COM PESSOAL"/>
    <x v="15"/>
    <x v="13"/>
    <n v="288.43"/>
    <s v="0000000127"/>
    <s v="2474"/>
    <d v="2022-06-01T00:00:00"/>
    <s v="330104"/>
    <s v="208"/>
    <s v="90"/>
    <s v="Credito"/>
    <x v="2"/>
    <x v="216"/>
    <m/>
    <s v="000252"/>
    <s v="000132"/>
    <n v="288.43"/>
    <s v="0,00"/>
    <s v="0,00"/>
    <s v="0,00"/>
    <s v="0,00"/>
    <s v="ORC2022_2"/>
    <s v="0012"/>
    <m/>
    <m/>
    <m/>
    <m/>
    <m/>
  </r>
  <r>
    <s v="OUTROS GASTOS COM PESSOAL"/>
    <x v="15"/>
    <x v="13"/>
    <n v="6.79"/>
    <s v="0000000127"/>
    <s v="2475"/>
    <d v="2022-06-01T00:00:00"/>
    <s v="330104"/>
    <s v="209"/>
    <s v="90"/>
    <s v="Credito"/>
    <x v="2"/>
    <x v="216"/>
    <m/>
    <s v="000252"/>
    <s v="000132"/>
    <n v="6.79"/>
    <s v="0,00"/>
    <s v="0,00"/>
    <s v="0,00"/>
    <s v="0,00"/>
    <s v="ORC2022_2"/>
    <s v="0012"/>
    <m/>
    <m/>
    <m/>
    <m/>
    <m/>
  </r>
  <r>
    <s v="OUTROS GASTOS COM PESSOAL"/>
    <x v="15"/>
    <x v="14"/>
    <n v="547.75"/>
    <s v="0000000127"/>
    <s v="2476"/>
    <d v="2022-07-01T00:00:00"/>
    <s v="330104"/>
    <s v="201"/>
    <s v="90"/>
    <s v="Credito"/>
    <x v="2"/>
    <x v="216"/>
    <m/>
    <s v="000252"/>
    <s v="000132"/>
    <n v="547.75"/>
    <s v="0,00"/>
    <s v="0,00"/>
    <s v="0,00"/>
    <s v="0,00"/>
    <s v="ORC2022_2"/>
    <s v="0012"/>
    <m/>
    <m/>
    <m/>
    <m/>
    <m/>
  </r>
  <r>
    <s v="OUTROS GASTOS COM PESSOAL"/>
    <x v="15"/>
    <x v="14"/>
    <n v="71.709999999999994"/>
    <s v="0000000127"/>
    <s v="2477"/>
    <d v="2022-07-01T00:00:00"/>
    <s v="330104"/>
    <s v="204"/>
    <s v="90"/>
    <s v="Credito"/>
    <x v="2"/>
    <x v="216"/>
    <m/>
    <s v="000252"/>
    <s v="000132"/>
    <n v="71.709999999999994"/>
    <s v="0,00"/>
    <s v="0,00"/>
    <s v="0,00"/>
    <s v="0,00"/>
    <s v="ORC2022_2"/>
    <s v="0012"/>
    <m/>
    <m/>
    <m/>
    <m/>
    <m/>
  </r>
  <r>
    <s v="OUTROS GASTOS COM PESSOAL"/>
    <x v="15"/>
    <x v="14"/>
    <n v="269.77"/>
    <s v="0000000127"/>
    <s v="2478"/>
    <d v="2022-07-01T00:00:00"/>
    <s v="330104"/>
    <s v="205"/>
    <s v="90"/>
    <s v="Credito"/>
    <x v="2"/>
    <x v="216"/>
    <m/>
    <s v="000252"/>
    <s v="000132"/>
    <n v="269.77"/>
    <s v="0,00"/>
    <s v="0,00"/>
    <s v="0,00"/>
    <s v="0,00"/>
    <s v="ORC2022_2"/>
    <s v="0012"/>
    <m/>
    <m/>
    <m/>
    <m/>
    <m/>
  </r>
  <r>
    <s v="OUTROS GASTOS COM PESSOAL"/>
    <x v="15"/>
    <x v="14"/>
    <n v="231.45"/>
    <s v="0000000127"/>
    <s v="2479"/>
    <d v="2022-07-01T00:00:00"/>
    <s v="330104"/>
    <s v="208"/>
    <s v="90"/>
    <s v="Credito"/>
    <x v="2"/>
    <x v="216"/>
    <m/>
    <s v="000252"/>
    <s v="000132"/>
    <n v="231.45"/>
    <s v="0,00"/>
    <s v="0,00"/>
    <s v="0,00"/>
    <s v="0,00"/>
    <s v="ORC2022_2"/>
    <s v="0012"/>
    <m/>
    <m/>
    <m/>
    <m/>
    <m/>
  </r>
  <r>
    <s v="OUTROS GASTOS COM PESSOAL"/>
    <x v="15"/>
    <x v="14"/>
    <n v="319.16000000000003"/>
    <s v="0000000127"/>
    <s v="2480"/>
    <d v="2022-07-01T00:00:00"/>
    <s v="330104"/>
    <s v="209"/>
    <s v="90"/>
    <s v="Credito"/>
    <x v="2"/>
    <x v="216"/>
    <m/>
    <s v="000252"/>
    <s v="000132"/>
    <n v="319.16000000000003"/>
    <s v="0,00"/>
    <s v="0,00"/>
    <s v="0,00"/>
    <s v="0,00"/>
    <s v="ORC2022_2"/>
    <s v="0012"/>
    <m/>
    <m/>
    <m/>
    <m/>
    <m/>
  </r>
  <r>
    <s v="OUTROS GASTOS COM PESSOAL"/>
    <x v="15"/>
    <x v="15"/>
    <n v="4.3"/>
    <s v="0000000127"/>
    <s v="2481"/>
    <d v="2022-08-01T00:00:00"/>
    <s v="330104"/>
    <s v="201"/>
    <s v="21"/>
    <s v="Credito"/>
    <x v="2"/>
    <x v="216"/>
    <m/>
    <s v="000252"/>
    <s v="000132"/>
    <n v="4.3"/>
    <s v="0,00"/>
    <s v="0,00"/>
    <s v="0,00"/>
    <s v="0,00"/>
    <s v="ORC2022_2"/>
    <s v="0012"/>
    <m/>
    <m/>
    <m/>
    <m/>
    <m/>
  </r>
  <r>
    <s v="OUTROS GASTOS COM PESSOAL"/>
    <x v="15"/>
    <x v="15"/>
    <n v="1400"/>
    <s v="0000000127"/>
    <s v="2482"/>
    <d v="2022-08-01T00:00:00"/>
    <s v="330104"/>
    <s v="201"/>
    <s v="90"/>
    <s v="Credito"/>
    <x v="2"/>
    <x v="216"/>
    <m/>
    <s v="000252"/>
    <s v="000132"/>
    <n v="1400"/>
    <s v="0,00"/>
    <s v="0,00"/>
    <s v="0,00"/>
    <s v="0,00"/>
    <s v="ORC2022_2"/>
    <s v="0012"/>
    <m/>
    <m/>
    <m/>
    <m/>
    <m/>
  </r>
  <r>
    <s v="OUTROS GASTOS COM PESSOAL"/>
    <x v="15"/>
    <x v="15"/>
    <n v="146.97"/>
    <s v="0000000127"/>
    <s v="2483"/>
    <d v="2022-08-01T00:00:00"/>
    <s v="330104"/>
    <s v="202"/>
    <s v="90"/>
    <s v="Credito"/>
    <x v="2"/>
    <x v="216"/>
    <m/>
    <s v="000252"/>
    <s v="000132"/>
    <n v="146.97"/>
    <s v="0,00"/>
    <s v="0,00"/>
    <s v="0,00"/>
    <s v="0,00"/>
    <s v="ORC2022_2"/>
    <s v="0012"/>
    <m/>
    <m/>
    <m/>
    <m/>
    <m/>
  </r>
  <r>
    <s v="OUTROS GASTOS COM PESSOAL"/>
    <x v="15"/>
    <x v="15"/>
    <n v="273"/>
    <s v="0000000127"/>
    <s v="2484"/>
    <d v="2022-08-01T00:00:00"/>
    <s v="330104"/>
    <s v="204"/>
    <s v="90"/>
    <s v="Credito"/>
    <x v="2"/>
    <x v="216"/>
    <m/>
    <s v="000252"/>
    <s v="000132"/>
    <n v="273"/>
    <s v="0,00"/>
    <s v="0,00"/>
    <s v="0,00"/>
    <s v="0,00"/>
    <s v="ORC2022_2"/>
    <s v="0012"/>
    <m/>
    <m/>
    <m/>
    <m/>
    <m/>
  </r>
  <r>
    <s v="OUTROS GASTOS COM PESSOAL"/>
    <x v="15"/>
    <x v="15"/>
    <n v="149"/>
    <s v="0000000127"/>
    <s v="2485"/>
    <d v="2022-08-01T00:00:00"/>
    <s v="330104"/>
    <s v="205"/>
    <s v="90"/>
    <s v="Credito"/>
    <x v="2"/>
    <x v="216"/>
    <m/>
    <s v="000252"/>
    <s v="000132"/>
    <n v="149"/>
    <s v="0,00"/>
    <s v="0,00"/>
    <s v="0,00"/>
    <s v="0,00"/>
    <s v="ORC2022_2"/>
    <s v="0012"/>
    <m/>
    <m/>
    <m/>
    <m/>
    <m/>
  </r>
  <r>
    <s v="OUTROS GASTOS COM PESSOAL"/>
    <x v="15"/>
    <x v="15"/>
    <n v="55.38"/>
    <s v="0000000127"/>
    <s v="2486"/>
    <d v="2022-08-01T00:00:00"/>
    <s v="330104"/>
    <s v="207"/>
    <s v="90"/>
    <s v="Credito"/>
    <x v="2"/>
    <x v="216"/>
    <m/>
    <s v="000252"/>
    <s v="000132"/>
    <n v="55.38"/>
    <s v="0,00"/>
    <s v="0,00"/>
    <s v="0,00"/>
    <s v="0,00"/>
    <s v="ORC2022_2"/>
    <s v="0012"/>
    <m/>
    <m/>
    <m/>
    <m/>
    <m/>
  </r>
  <r>
    <s v="OUTROS GASTOS COM PESSOAL"/>
    <x v="15"/>
    <x v="15"/>
    <n v="16.63"/>
    <s v="0000000127"/>
    <s v="2487"/>
    <d v="2022-08-01T00:00:00"/>
    <s v="330104"/>
    <s v="209"/>
    <s v="90"/>
    <s v="Credito"/>
    <x v="2"/>
    <x v="216"/>
    <m/>
    <s v="000252"/>
    <s v="000132"/>
    <n v="16.63"/>
    <s v="0,00"/>
    <s v="0,00"/>
    <s v="0,00"/>
    <s v="0,00"/>
    <s v="ORC2022_2"/>
    <s v="0012"/>
    <m/>
    <m/>
    <m/>
    <m/>
    <m/>
  </r>
  <r>
    <s v="OUTROS GASTOS COM PESSOAL"/>
    <x v="15"/>
    <x v="15"/>
    <n v="119.25"/>
    <s v="0000000127"/>
    <s v="2488"/>
    <d v="2022-08-01T00:00:00"/>
    <s v="330104"/>
    <s v="210"/>
    <s v="90"/>
    <s v="Credito"/>
    <x v="2"/>
    <x v="216"/>
    <m/>
    <s v="000252"/>
    <s v="000132"/>
    <n v="119.25"/>
    <s v="0,00"/>
    <s v="0,00"/>
    <s v="0,00"/>
    <s v="0,00"/>
    <s v="ORC2022_2"/>
    <s v="0012"/>
    <m/>
    <m/>
    <m/>
    <m/>
    <m/>
  </r>
  <r>
    <s v="OUTROS GASTOS COM PESSOAL"/>
    <x v="15"/>
    <x v="16"/>
    <n v="119.96"/>
    <s v="0000000127"/>
    <s v="2489"/>
    <d v="2022-09-01T00:00:00"/>
    <s v="330104"/>
    <s v="202"/>
    <s v="11"/>
    <s v="Credito"/>
    <x v="2"/>
    <x v="216"/>
    <m/>
    <s v="000252"/>
    <s v="000132"/>
    <n v="119.96"/>
    <s v="0,00"/>
    <s v="0,00"/>
    <s v="0,00"/>
    <s v="0,00"/>
    <s v="ORC2022_2"/>
    <s v="0012"/>
    <m/>
    <m/>
    <m/>
    <m/>
    <m/>
  </r>
  <r>
    <s v="OUTROS GASTOS COM PESSOAL"/>
    <x v="15"/>
    <x v="16"/>
    <n v="331.19"/>
    <s v="0000000127"/>
    <s v="2490"/>
    <d v="2022-09-01T00:00:00"/>
    <s v="330104"/>
    <s v="206"/>
    <s v="11"/>
    <s v="Credito"/>
    <x v="2"/>
    <x v="216"/>
    <m/>
    <s v="000252"/>
    <s v="000132"/>
    <n v="331.19"/>
    <s v="0,00"/>
    <s v="0,00"/>
    <s v="0,00"/>
    <s v="0,00"/>
    <s v="ORC2022_2"/>
    <s v="0012"/>
    <m/>
    <m/>
    <m/>
    <m/>
    <m/>
  </r>
  <r>
    <s v="OUTROS GASTOS COM PESSOAL"/>
    <x v="15"/>
    <x v="16"/>
    <n v="15.36"/>
    <s v="0000000127"/>
    <s v="2491"/>
    <d v="2022-09-01T00:00:00"/>
    <s v="330104"/>
    <s v="209"/>
    <s v="11"/>
    <s v="Credito"/>
    <x v="2"/>
    <x v="216"/>
    <m/>
    <s v="000252"/>
    <s v="000132"/>
    <n v="15.36"/>
    <s v="0,00"/>
    <s v="0,00"/>
    <s v="0,00"/>
    <s v="0,00"/>
    <s v="ORC2022_2"/>
    <s v="0012"/>
    <m/>
    <m/>
    <m/>
    <m/>
    <m/>
  </r>
  <r>
    <s v="OUTROS GASTOS COM PESSOAL"/>
    <x v="15"/>
    <x v="16"/>
    <n v="127.5"/>
    <s v="0000000127"/>
    <s v="2492"/>
    <d v="2022-09-01T00:00:00"/>
    <s v="330104"/>
    <s v="211"/>
    <s v="51"/>
    <s v="Credito"/>
    <x v="2"/>
    <x v="216"/>
    <m/>
    <s v="000252"/>
    <s v="000132"/>
    <n v="127.5"/>
    <s v="0,00"/>
    <s v="0,00"/>
    <s v="0,00"/>
    <s v="0,00"/>
    <s v="ORC2022_2"/>
    <s v="0012"/>
    <m/>
    <m/>
    <m/>
    <m/>
    <m/>
  </r>
  <r>
    <s v="OUTROS GASTOS COM PESSOAL"/>
    <x v="15"/>
    <x v="16"/>
    <n v="1243.76"/>
    <s v="0000000127"/>
    <s v="2493"/>
    <d v="2022-09-01T00:00:00"/>
    <s v="330104"/>
    <s v="201"/>
    <s v="90"/>
    <s v="Credito"/>
    <x v="2"/>
    <x v="216"/>
    <m/>
    <s v="000252"/>
    <s v="000132"/>
    <n v="1243.76"/>
    <s v="0,00"/>
    <s v="0,00"/>
    <s v="0,00"/>
    <s v="0,00"/>
    <s v="ORC2022_2"/>
    <s v="0012"/>
    <m/>
    <m/>
    <m/>
    <m/>
    <m/>
  </r>
  <r>
    <s v="OUTROS GASTOS COM PESSOAL"/>
    <x v="15"/>
    <x v="16"/>
    <n v="327.74"/>
    <s v="0000000127"/>
    <s v="2494"/>
    <d v="2022-09-01T00:00:00"/>
    <s v="330104"/>
    <s v="202"/>
    <s v="90"/>
    <s v="Credito"/>
    <x v="2"/>
    <x v="216"/>
    <m/>
    <s v="000252"/>
    <s v="000132"/>
    <n v="327.74"/>
    <s v="0,00"/>
    <s v="0,00"/>
    <s v="0,00"/>
    <s v="0,00"/>
    <s v="ORC2022_2"/>
    <s v="0012"/>
    <m/>
    <m/>
    <m/>
    <m/>
    <m/>
  </r>
  <r>
    <s v="OUTROS GASTOS COM PESSOAL"/>
    <x v="15"/>
    <x v="16"/>
    <n v="399.88"/>
    <s v="0000000127"/>
    <s v="2495"/>
    <d v="2022-09-01T00:00:00"/>
    <s v="330104"/>
    <s v="204"/>
    <s v="90"/>
    <s v="Credito"/>
    <x v="2"/>
    <x v="216"/>
    <m/>
    <s v="000252"/>
    <s v="000132"/>
    <n v="399.88"/>
    <s v="0,00"/>
    <s v="0,00"/>
    <s v="0,00"/>
    <s v="0,00"/>
    <s v="ORC2022_2"/>
    <s v="0012"/>
    <m/>
    <m/>
    <m/>
    <m/>
    <m/>
  </r>
  <r>
    <s v="OUTROS GASTOS COM PESSOAL"/>
    <x v="15"/>
    <x v="16"/>
    <n v="146.97"/>
    <s v="0000000127"/>
    <s v="2496"/>
    <d v="2022-09-01T00:00:00"/>
    <s v="330104"/>
    <s v="205"/>
    <s v="90"/>
    <s v="Credito"/>
    <x v="2"/>
    <x v="216"/>
    <m/>
    <s v="000252"/>
    <s v="000132"/>
    <n v="146.97"/>
    <s v="0,00"/>
    <s v="0,00"/>
    <s v="0,00"/>
    <s v="0,00"/>
    <s v="ORC2022_2"/>
    <s v="0012"/>
    <m/>
    <m/>
    <m/>
    <m/>
    <m/>
  </r>
  <r>
    <s v="OUTROS GASTOS COM PESSOAL"/>
    <x v="15"/>
    <x v="16"/>
    <n v="54.06"/>
    <s v="0000000127"/>
    <s v="2497"/>
    <d v="2022-09-01T00:00:00"/>
    <s v="330104"/>
    <s v="208"/>
    <s v="90"/>
    <s v="Credito"/>
    <x v="2"/>
    <x v="216"/>
    <m/>
    <s v="000252"/>
    <s v="000132"/>
    <n v="54.06"/>
    <s v="0,00"/>
    <s v="0,00"/>
    <s v="0,00"/>
    <s v="0,00"/>
    <s v="ORC2022_2"/>
    <s v="0012"/>
    <m/>
    <m/>
    <m/>
    <m/>
    <m/>
  </r>
  <r>
    <s v="OUTROS GASTOS COM PESSOAL"/>
    <x v="15"/>
    <x v="16"/>
    <n v="312.45999999999998"/>
    <s v="0000000127"/>
    <s v="2498"/>
    <d v="2022-09-01T00:00:00"/>
    <s v="330104"/>
    <s v="209"/>
    <s v="90"/>
    <s v="Credito"/>
    <x v="2"/>
    <x v="216"/>
    <m/>
    <s v="000252"/>
    <s v="000132"/>
    <n v="312.45999999999998"/>
    <s v="0,00"/>
    <s v="0,00"/>
    <s v="0,00"/>
    <s v="0,00"/>
    <s v="ORC2022_2"/>
    <s v="0012"/>
    <m/>
    <m/>
    <m/>
    <m/>
    <m/>
  </r>
  <r>
    <s v="OUTROS GASTOS COM PESSOAL"/>
    <x v="15"/>
    <x v="16"/>
    <n v="70.510000000000005"/>
    <s v="0000000127"/>
    <s v="2499"/>
    <d v="2022-09-01T00:00:00"/>
    <s v="330104"/>
    <s v="210"/>
    <s v="90"/>
    <s v="Credito"/>
    <x v="2"/>
    <x v="216"/>
    <m/>
    <s v="000252"/>
    <s v="000132"/>
    <n v="70.510000000000005"/>
    <s v="0,00"/>
    <s v="0,00"/>
    <s v="0,00"/>
    <s v="0,00"/>
    <s v="ORC2022_2"/>
    <s v="0012"/>
    <m/>
    <m/>
    <m/>
    <m/>
    <m/>
  </r>
  <r>
    <s v="OUTROS GASTOS COM PESSOAL"/>
    <x v="15"/>
    <x v="17"/>
    <n v="121.16"/>
    <s v="0000000127"/>
    <s v="2500"/>
    <d v="2022-10-01T00:00:00"/>
    <s v="330104"/>
    <s v="202"/>
    <s v="11"/>
    <s v="Credito"/>
    <x v="2"/>
    <x v="216"/>
    <m/>
    <s v="000252"/>
    <s v="000132"/>
    <n v="121.16"/>
    <s v="0,00"/>
    <s v="0,00"/>
    <s v="0,00"/>
    <s v="0,00"/>
    <s v="ORC2022_2"/>
    <s v="0012"/>
    <m/>
    <m/>
    <m/>
    <m/>
    <m/>
  </r>
  <r>
    <s v="OUTROS GASTOS COM PESSOAL"/>
    <x v="15"/>
    <x v="17"/>
    <n v="334.5"/>
    <s v="0000000127"/>
    <s v="2501"/>
    <d v="2022-10-01T00:00:00"/>
    <s v="330104"/>
    <s v="206"/>
    <s v="11"/>
    <s v="Credito"/>
    <x v="2"/>
    <x v="216"/>
    <m/>
    <s v="000252"/>
    <s v="000132"/>
    <n v="334.5"/>
    <s v="0,00"/>
    <s v="0,00"/>
    <s v="0,00"/>
    <s v="0,00"/>
    <s v="ORC2022_2"/>
    <s v="0012"/>
    <m/>
    <m/>
    <m/>
    <m/>
    <m/>
  </r>
  <r>
    <s v="OUTROS GASTOS COM PESSOAL"/>
    <x v="15"/>
    <x v="17"/>
    <n v="15.51"/>
    <s v="0000000127"/>
    <s v="2502"/>
    <d v="2022-10-01T00:00:00"/>
    <s v="330104"/>
    <s v="209"/>
    <s v="11"/>
    <s v="Credito"/>
    <x v="2"/>
    <x v="216"/>
    <m/>
    <s v="000252"/>
    <s v="000132"/>
    <n v="15.51"/>
    <s v="0,00"/>
    <s v="0,00"/>
    <s v="0,00"/>
    <s v="0,00"/>
    <s v="ORC2022_2"/>
    <s v="0012"/>
    <m/>
    <m/>
    <m/>
    <m/>
    <m/>
  </r>
  <r>
    <s v="OUTROS GASTOS COM PESSOAL"/>
    <x v="15"/>
    <x v="17"/>
    <n v="128.78"/>
    <s v="0000000127"/>
    <s v="2503"/>
    <d v="2022-10-01T00:00:00"/>
    <s v="330104"/>
    <s v="211"/>
    <s v="51"/>
    <s v="Credito"/>
    <x v="2"/>
    <x v="216"/>
    <m/>
    <s v="000252"/>
    <s v="000132"/>
    <n v="128.78"/>
    <s v="0,00"/>
    <s v="0,00"/>
    <s v="0,00"/>
    <s v="0,00"/>
    <s v="ORC2022_2"/>
    <s v="0012"/>
    <m/>
    <m/>
    <m/>
    <m/>
    <m/>
  </r>
  <r>
    <s v="OUTROS GASTOS COM PESSOAL"/>
    <x v="15"/>
    <x v="17"/>
    <n v="1256.2"/>
    <s v="0000000127"/>
    <s v="2504"/>
    <d v="2022-10-01T00:00:00"/>
    <s v="330104"/>
    <s v="201"/>
    <s v="90"/>
    <s v="Credito"/>
    <x v="2"/>
    <x v="216"/>
    <m/>
    <s v="000252"/>
    <s v="000132"/>
    <n v="1256.2"/>
    <s v="0,00"/>
    <s v="0,00"/>
    <s v="0,00"/>
    <s v="0,00"/>
    <s v="ORC2022_2"/>
    <s v="0012"/>
    <m/>
    <m/>
    <m/>
    <m/>
    <m/>
  </r>
  <r>
    <s v="OUTROS GASTOS COM PESSOAL"/>
    <x v="15"/>
    <x v="17"/>
    <n v="331.02"/>
    <s v="0000000127"/>
    <s v="2505"/>
    <d v="2022-10-01T00:00:00"/>
    <s v="330104"/>
    <s v="202"/>
    <s v="90"/>
    <s v="Credito"/>
    <x v="2"/>
    <x v="216"/>
    <m/>
    <s v="000252"/>
    <s v="000132"/>
    <n v="331.02"/>
    <s v="0,00"/>
    <s v="0,00"/>
    <s v="0,00"/>
    <s v="0,00"/>
    <s v="ORC2022_2"/>
    <s v="0012"/>
    <m/>
    <m/>
    <m/>
    <m/>
    <m/>
  </r>
  <r>
    <s v="OUTROS GASTOS COM PESSOAL"/>
    <x v="15"/>
    <x v="17"/>
    <n v="403.88"/>
    <s v="0000000127"/>
    <s v="2506"/>
    <d v="2022-10-01T00:00:00"/>
    <s v="330104"/>
    <s v="204"/>
    <s v="90"/>
    <s v="Credito"/>
    <x v="2"/>
    <x v="216"/>
    <m/>
    <s v="000252"/>
    <s v="000132"/>
    <n v="403.88"/>
    <s v="0,00"/>
    <s v="0,00"/>
    <s v="0,00"/>
    <s v="0,00"/>
    <s v="ORC2022_2"/>
    <s v="0012"/>
    <m/>
    <m/>
    <m/>
    <m/>
    <m/>
  </r>
  <r>
    <s v="OUTROS GASTOS COM PESSOAL"/>
    <x v="15"/>
    <x v="17"/>
    <n v="148.44"/>
    <s v="0000000127"/>
    <s v="2507"/>
    <d v="2022-10-01T00:00:00"/>
    <s v="330104"/>
    <s v="205"/>
    <s v="90"/>
    <s v="Credito"/>
    <x v="2"/>
    <x v="216"/>
    <m/>
    <s v="000252"/>
    <s v="000132"/>
    <n v="148.44"/>
    <s v="0,00"/>
    <s v="0,00"/>
    <s v="0,00"/>
    <s v="0,00"/>
    <s v="ORC2022_2"/>
    <s v="0012"/>
    <m/>
    <m/>
    <m/>
    <m/>
    <m/>
  </r>
  <r>
    <s v="OUTROS GASTOS COM PESSOAL"/>
    <x v="15"/>
    <x v="17"/>
    <n v="54.6"/>
    <s v="0000000127"/>
    <s v="2508"/>
    <d v="2022-10-01T00:00:00"/>
    <s v="330104"/>
    <s v="208"/>
    <s v="90"/>
    <s v="Credito"/>
    <x v="2"/>
    <x v="216"/>
    <m/>
    <s v="000252"/>
    <s v="000132"/>
    <n v="54.6"/>
    <s v="0,00"/>
    <s v="0,00"/>
    <s v="0,00"/>
    <s v="0,00"/>
    <s v="ORC2022_2"/>
    <s v="0012"/>
    <m/>
    <m/>
    <m/>
    <m/>
    <m/>
  </r>
  <r>
    <s v="OUTROS GASTOS COM PESSOAL"/>
    <x v="15"/>
    <x v="17"/>
    <n v="315.58"/>
    <s v="0000000127"/>
    <s v="2509"/>
    <d v="2022-10-01T00:00:00"/>
    <s v="330104"/>
    <s v="209"/>
    <s v="90"/>
    <s v="Credito"/>
    <x v="2"/>
    <x v="216"/>
    <m/>
    <s v="000252"/>
    <s v="000132"/>
    <n v="315.58"/>
    <s v="0,00"/>
    <s v="0,00"/>
    <s v="0,00"/>
    <s v="0,00"/>
    <s v="ORC2022_2"/>
    <s v="0012"/>
    <m/>
    <m/>
    <m/>
    <m/>
    <m/>
  </r>
  <r>
    <s v="OUTROS GASTOS COM PESSOAL"/>
    <x v="15"/>
    <x v="17"/>
    <n v="71.22"/>
    <s v="0000000127"/>
    <s v="2510"/>
    <d v="2022-10-01T00:00:00"/>
    <s v="330104"/>
    <s v="210"/>
    <s v="90"/>
    <s v="Credito"/>
    <x v="2"/>
    <x v="216"/>
    <m/>
    <s v="000252"/>
    <s v="000132"/>
    <n v="71.22"/>
    <s v="0,00"/>
    <s v="0,00"/>
    <s v="0,00"/>
    <s v="0,00"/>
    <s v="ORC2022_2"/>
    <s v="0012"/>
    <m/>
    <m/>
    <m/>
    <m/>
    <m/>
  </r>
  <r>
    <s v="OUTROS GASTOS COM PESSOAL"/>
    <x v="15"/>
    <x v="0"/>
    <n v="122.37"/>
    <s v="0000000127"/>
    <s v="2511"/>
    <d v="2022-11-01T00:00:00"/>
    <s v="330104"/>
    <s v="202"/>
    <s v="11"/>
    <s v="Credito"/>
    <x v="2"/>
    <x v="216"/>
    <m/>
    <s v="000252"/>
    <s v="000132"/>
    <n v="122.37"/>
    <s v="0,00"/>
    <s v="0,00"/>
    <s v="0,00"/>
    <s v="0,00"/>
    <s v="ORC2022_2"/>
    <s v="0012"/>
    <m/>
    <m/>
    <m/>
    <m/>
    <m/>
  </r>
  <r>
    <s v="OUTROS GASTOS COM PESSOAL"/>
    <x v="15"/>
    <x v="0"/>
    <n v="337.85"/>
    <s v="0000000127"/>
    <s v="2512"/>
    <d v="2022-11-01T00:00:00"/>
    <s v="330104"/>
    <s v="206"/>
    <s v="11"/>
    <s v="Credito"/>
    <x v="2"/>
    <x v="216"/>
    <m/>
    <s v="000252"/>
    <s v="000132"/>
    <n v="337.85"/>
    <s v="0,00"/>
    <s v="0,00"/>
    <s v="0,00"/>
    <s v="0,00"/>
    <s v="ORC2022_2"/>
    <s v="0012"/>
    <m/>
    <m/>
    <m/>
    <m/>
    <m/>
  </r>
  <r>
    <s v="OUTROS GASTOS COM PESSOAL"/>
    <x v="15"/>
    <x v="0"/>
    <n v="15.67"/>
    <s v="0000000127"/>
    <s v="2513"/>
    <d v="2022-11-01T00:00:00"/>
    <s v="330104"/>
    <s v="209"/>
    <s v="11"/>
    <s v="Credito"/>
    <x v="2"/>
    <x v="216"/>
    <m/>
    <s v="000252"/>
    <s v="000132"/>
    <n v="15.67"/>
    <s v="0,00"/>
    <s v="0,00"/>
    <s v="0,00"/>
    <s v="0,00"/>
    <s v="ORC2022_2"/>
    <s v="0012"/>
    <m/>
    <m/>
    <m/>
    <m/>
    <m/>
  </r>
  <r>
    <s v="OUTROS GASTOS COM PESSOAL"/>
    <x v="15"/>
    <x v="0"/>
    <n v="130.06"/>
    <s v="0000000127"/>
    <s v="2514"/>
    <d v="2022-11-01T00:00:00"/>
    <s v="330104"/>
    <s v="211"/>
    <s v="51"/>
    <s v="Credito"/>
    <x v="2"/>
    <x v="216"/>
    <m/>
    <s v="000252"/>
    <s v="000132"/>
    <n v="130.06"/>
    <s v="0,00"/>
    <s v="0,00"/>
    <s v="0,00"/>
    <s v="0,00"/>
    <s v="ORC2022_2"/>
    <s v="0012"/>
    <m/>
    <m/>
    <m/>
    <m/>
    <m/>
  </r>
  <r>
    <s v="OUTROS GASTOS COM PESSOAL"/>
    <x v="15"/>
    <x v="0"/>
    <n v="1268.76"/>
    <s v="0000000127"/>
    <s v="2515"/>
    <d v="2022-11-01T00:00:00"/>
    <s v="330104"/>
    <s v="201"/>
    <s v="90"/>
    <s v="Credito"/>
    <x v="2"/>
    <x v="216"/>
    <m/>
    <s v="000252"/>
    <s v="000132"/>
    <n v="1268.76"/>
    <s v="0,00"/>
    <s v="0,00"/>
    <s v="0,00"/>
    <s v="0,00"/>
    <s v="ORC2022_2"/>
    <s v="0012"/>
    <m/>
    <m/>
    <m/>
    <m/>
    <m/>
  </r>
  <r>
    <s v="OUTROS GASTOS COM PESSOAL"/>
    <x v="15"/>
    <x v="0"/>
    <n v="334.33"/>
    <s v="0000000127"/>
    <s v="2516"/>
    <d v="2022-11-01T00:00:00"/>
    <s v="330104"/>
    <s v="202"/>
    <s v="90"/>
    <s v="Credito"/>
    <x v="2"/>
    <x v="216"/>
    <m/>
    <s v="000252"/>
    <s v="000132"/>
    <n v="334.33"/>
    <s v="0,00"/>
    <s v="0,00"/>
    <s v="0,00"/>
    <s v="0,00"/>
    <s v="ORC2022_2"/>
    <s v="0012"/>
    <m/>
    <m/>
    <m/>
    <m/>
    <m/>
  </r>
  <r>
    <s v="OUTROS GASTOS COM PESSOAL"/>
    <x v="15"/>
    <x v="0"/>
    <n v="407.92"/>
    <s v="0000000127"/>
    <s v="2517"/>
    <d v="2022-11-01T00:00:00"/>
    <s v="330104"/>
    <s v="204"/>
    <s v="90"/>
    <s v="Credito"/>
    <x v="2"/>
    <x v="216"/>
    <m/>
    <s v="000252"/>
    <s v="000132"/>
    <n v="407.92"/>
    <s v="0,00"/>
    <s v="0,00"/>
    <s v="0,00"/>
    <s v="0,00"/>
    <s v="ORC2022_2"/>
    <s v="0012"/>
    <m/>
    <m/>
    <m/>
    <m/>
    <m/>
  </r>
  <r>
    <s v="OUTROS GASTOS COM PESSOAL"/>
    <x v="15"/>
    <x v="0"/>
    <n v="149.91999999999999"/>
    <s v="0000000127"/>
    <s v="2518"/>
    <d v="2022-11-01T00:00:00"/>
    <s v="330104"/>
    <s v="205"/>
    <s v="90"/>
    <s v="Credito"/>
    <x v="2"/>
    <x v="216"/>
    <m/>
    <s v="000252"/>
    <s v="000132"/>
    <n v="149.91999999999999"/>
    <s v="0,00"/>
    <s v="0,00"/>
    <s v="0,00"/>
    <s v="0,00"/>
    <s v="ORC2022_2"/>
    <s v="0012"/>
    <m/>
    <m/>
    <m/>
    <m/>
    <m/>
  </r>
  <r>
    <s v="OUTROS GASTOS COM PESSOAL"/>
    <x v="15"/>
    <x v="0"/>
    <n v="55.15"/>
    <s v="0000000127"/>
    <s v="2519"/>
    <d v="2022-11-01T00:00:00"/>
    <s v="330104"/>
    <s v="208"/>
    <s v="90"/>
    <s v="Credito"/>
    <x v="2"/>
    <x v="216"/>
    <m/>
    <s v="000252"/>
    <s v="000132"/>
    <n v="55.15"/>
    <s v="0,00"/>
    <s v="0,00"/>
    <s v="0,00"/>
    <s v="0,00"/>
    <s v="ORC2022_2"/>
    <s v="0012"/>
    <m/>
    <m/>
    <m/>
    <m/>
    <m/>
  </r>
  <r>
    <s v="OUTROS GASTOS COM PESSOAL"/>
    <x v="15"/>
    <x v="0"/>
    <n v="318.74"/>
    <s v="0000000127"/>
    <s v="2520"/>
    <d v="2022-11-01T00:00:00"/>
    <s v="330104"/>
    <s v="209"/>
    <s v="90"/>
    <s v="Credito"/>
    <x v="2"/>
    <x v="216"/>
    <m/>
    <s v="000252"/>
    <s v="000132"/>
    <n v="318.74"/>
    <s v="0,00"/>
    <s v="0,00"/>
    <s v="0,00"/>
    <s v="0,00"/>
    <s v="ORC2022_2"/>
    <s v="0012"/>
    <m/>
    <m/>
    <m/>
    <m/>
    <m/>
  </r>
  <r>
    <s v="OUTROS GASTOS COM PESSOAL"/>
    <x v="15"/>
    <x v="0"/>
    <n v="71.930000000000007"/>
    <s v="0000000127"/>
    <s v="2521"/>
    <d v="2022-11-01T00:00:00"/>
    <s v="330104"/>
    <s v="210"/>
    <s v="90"/>
    <s v="Credito"/>
    <x v="2"/>
    <x v="216"/>
    <m/>
    <s v="000252"/>
    <s v="000132"/>
    <n v="71.930000000000007"/>
    <s v="0,00"/>
    <s v="0,00"/>
    <s v="0,00"/>
    <s v="0,00"/>
    <s v="ORC2022_2"/>
    <s v="0012"/>
    <m/>
    <m/>
    <m/>
    <m/>
    <m/>
  </r>
  <r>
    <s v="OUTROS GASTOS COM PESSOAL"/>
    <x v="15"/>
    <x v="1"/>
    <n v="123.59"/>
    <s v="0000000127"/>
    <s v="2522"/>
    <d v="2022-12-01T00:00:00"/>
    <s v="330104"/>
    <s v="202"/>
    <s v="11"/>
    <s v="Credito"/>
    <x v="2"/>
    <x v="216"/>
    <m/>
    <s v="000252"/>
    <s v="000132"/>
    <n v="123.59"/>
    <s v="0,00"/>
    <s v="0,00"/>
    <s v="0,00"/>
    <s v="0,00"/>
    <s v="ORC2022_2"/>
    <s v="0012"/>
    <m/>
    <m/>
    <m/>
    <m/>
    <m/>
  </r>
  <r>
    <s v="OUTROS GASTOS COM PESSOAL"/>
    <x v="15"/>
    <x v="1"/>
    <n v="341.23"/>
    <s v="0000000127"/>
    <s v="2523"/>
    <d v="2022-12-01T00:00:00"/>
    <s v="330104"/>
    <s v="206"/>
    <s v="11"/>
    <s v="Credito"/>
    <x v="2"/>
    <x v="216"/>
    <m/>
    <s v="000252"/>
    <s v="000132"/>
    <n v="341.23"/>
    <s v="0,00"/>
    <s v="0,00"/>
    <s v="0,00"/>
    <s v="0,00"/>
    <s v="ORC2022_2"/>
    <s v="0012"/>
    <m/>
    <m/>
    <m/>
    <m/>
    <m/>
  </r>
  <r>
    <s v="OUTROS GASTOS COM PESSOAL"/>
    <x v="15"/>
    <x v="1"/>
    <n v="15.83"/>
    <s v="0000000127"/>
    <s v="2524"/>
    <d v="2022-12-01T00:00:00"/>
    <s v="330104"/>
    <s v="209"/>
    <s v="11"/>
    <s v="Credito"/>
    <x v="2"/>
    <x v="216"/>
    <m/>
    <s v="000252"/>
    <s v="000132"/>
    <n v="15.83"/>
    <s v="0,00"/>
    <s v="0,00"/>
    <s v="0,00"/>
    <s v="0,00"/>
    <s v="ORC2022_2"/>
    <s v="0012"/>
    <m/>
    <m/>
    <m/>
    <m/>
    <m/>
  </r>
  <r>
    <s v="OUTROS GASTOS COM PESSOAL"/>
    <x v="15"/>
    <x v="1"/>
    <n v="131.36000000000001"/>
    <s v="0000000127"/>
    <s v="2525"/>
    <d v="2022-12-01T00:00:00"/>
    <s v="330104"/>
    <s v="211"/>
    <s v="51"/>
    <s v="Credito"/>
    <x v="2"/>
    <x v="216"/>
    <m/>
    <s v="000252"/>
    <s v="000132"/>
    <n v="131.36000000000001"/>
    <s v="0,00"/>
    <s v="0,00"/>
    <s v="0,00"/>
    <s v="0,00"/>
    <s v="ORC2022_2"/>
    <s v="0012"/>
    <m/>
    <m/>
    <m/>
    <m/>
    <m/>
  </r>
  <r>
    <s v="OUTROS GASTOS COM PESSOAL"/>
    <x v="15"/>
    <x v="1"/>
    <n v="1281.45"/>
    <s v="0000000127"/>
    <s v="2526"/>
    <d v="2022-12-01T00:00:00"/>
    <s v="330104"/>
    <s v="201"/>
    <s v="90"/>
    <s v="Credito"/>
    <x v="2"/>
    <x v="216"/>
    <m/>
    <s v="000252"/>
    <s v="000132"/>
    <n v="1281.45"/>
    <s v="0,00"/>
    <s v="0,00"/>
    <s v="0,00"/>
    <s v="0,00"/>
    <s v="ORC2022_2"/>
    <s v="0012"/>
    <m/>
    <m/>
    <m/>
    <m/>
    <m/>
  </r>
  <r>
    <s v="OUTROS GASTOS COM PESSOAL"/>
    <x v="15"/>
    <x v="1"/>
    <n v="337.67"/>
    <s v="0000000127"/>
    <s v="2527"/>
    <d v="2022-12-01T00:00:00"/>
    <s v="330104"/>
    <s v="202"/>
    <s v="90"/>
    <s v="Credito"/>
    <x v="2"/>
    <x v="216"/>
    <m/>
    <s v="000252"/>
    <s v="000132"/>
    <n v="337.67"/>
    <s v="0,00"/>
    <s v="0,00"/>
    <s v="0,00"/>
    <s v="0,00"/>
    <s v="ORC2022_2"/>
    <s v="0012"/>
    <m/>
    <m/>
    <m/>
    <m/>
    <m/>
  </r>
  <r>
    <s v="OUTROS GASTOS COM PESSOAL"/>
    <x v="15"/>
    <x v="1"/>
    <n v="412"/>
    <s v="0000000127"/>
    <s v="2528"/>
    <d v="2022-12-01T00:00:00"/>
    <s v="330104"/>
    <s v="204"/>
    <s v="90"/>
    <s v="Credito"/>
    <x v="2"/>
    <x v="216"/>
    <m/>
    <s v="000252"/>
    <s v="000132"/>
    <n v="412"/>
    <s v="0,00"/>
    <s v="0,00"/>
    <s v="0,00"/>
    <s v="0,00"/>
    <s v="ORC2022_2"/>
    <s v="0012"/>
    <m/>
    <m/>
    <m/>
    <m/>
    <m/>
  </r>
  <r>
    <s v="OUTROS GASTOS COM PESSOAL"/>
    <x v="15"/>
    <x v="1"/>
    <n v="151.41999999999999"/>
    <s v="0000000127"/>
    <s v="2529"/>
    <d v="2022-12-01T00:00:00"/>
    <s v="330104"/>
    <s v="205"/>
    <s v="90"/>
    <s v="Credito"/>
    <x v="2"/>
    <x v="216"/>
    <m/>
    <s v="000252"/>
    <s v="000132"/>
    <n v="151.41999999999999"/>
    <s v="0,00"/>
    <s v="0,00"/>
    <s v="0,00"/>
    <s v="0,00"/>
    <s v="ORC2022_2"/>
    <s v="0012"/>
    <m/>
    <m/>
    <m/>
    <m/>
    <m/>
  </r>
  <r>
    <s v="OUTROS GASTOS COM PESSOAL"/>
    <x v="15"/>
    <x v="1"/>
    <n v="55.7"/>
    <s v="0000000127"/>
    <s v="2530"/>
    <d v="2022-12-01T00:00:00"/>
    <s v="330104"/>
    <s v="208"/>
    <s v="90"/>
    <s v="Credito"/>
    <x v="2"/>
    <x v="216"/>
    <m/>
    <s v="000252"/>
    <s v="000132"/>
    <n v="55.7"/>
    <s v="0,00"/>
    <s v="0,00"/>
    <s v="0,00"/>
    <s v="0,00"/>
    <s v="ORC2022_2"/>
    <s v="0012"/>
    <m/>
    <m/>
    <m/>
    <m/>
    <m/>
  </r>
  <r>
    <s v="OUTROS GASTOS COM PESSOAL"/>
    <x v="15"/>
    <x v="1"/>
    <n v="321.93"/>
    <s v="0000000127"/>
    <s v="2531"/>
    <d v="2022-12-01T00:00:00"/>
    <s v="330104"/>
    <s v="209"/>
    <s v="90"/>
    <s v="Credito"/>
    <x v="2"/>
    <x v="216"/>
    <m/>
    <s v="000252"/>
    <s v="000132"/>
    <n v="321.93"/>
    <s v="0,00"/>
    <s v="0,00"/>
    <s v="0,00"/>
    <s v="0,00"/>
    <s v="ORC2022_2"/>
    <s v="0012"/>
    <m/>
    <m/>
    <m/>
    <m/>
    <m/>
  </r>
  <r>
    <s v="OUTROS GASTOS COM PESSOAL"/>
    <x v="15"/>
    <x v="1"/>
    <n v="72.650000000000006"/>
    <s v="0000000127"/>
    <s v="2532"/>
    <d v="2022-12-01T00:00:00"/>
    <s v="330104"/>
    <s v="210"/>
    <s v="90"/>
    <s v="Credito"/>
    <x v="2"/>
    <x v="216"/>
    <m/>
    <s v="000252"/>
    <s v="000132"/>
    <n v="72.650000000000006"/>
    <s v="0,00"/>
    <s v="0,00"/>
    <s v="0,00"/>
    <s v="0,00"/>
    <s v="ORC2022_2"/>
    <s v="0012"/>
    <m/>
    <m/>
    <m/>
    <m/>
    <m/>
  </r>
  <r>
    <s v="PJ-CONSULTORIA E ASSESSORIA"/>
    <x v="47"/>
    <x v="8"/>
    <n v="2600"/>
    <s v="0000000127"/>
    <s v="2533"/>
    <d v="2022-01-01T00:00:00"/>
    <s v="330201001"/>
    <s v="211"/>
    <s v="51"/>
    <s v="Credito"/>
    <x v="2"/>
    <x v="216"/>
    <m/>
    <s v="000252"/>
    <s v="000132"/>
    <n v="2600"/>
    <s v="0,00"/>
    <s v="0,00"/>
    <s v="0,00"/>
    <s v="0,00"/>
    <s v="ORC2022_2"/>
    <s v="0012"/>
    <m/>
    <m/>
    <m/>
    <m/>
    <m/>
  </r>
  <r>
    <s v="PJ-CONSULTORIA E ASSESSORIA"/>
    <x v="47"/>
    <x v="9"/>
    <n v="2850"/>
    <s v="0000000127"/>
    <s v="2534"/>
    <d v="2022-02-01T00:00:00"/>
    <s v="330201001"/>
    <s v="211"/>
    <s v="11"/>
    <s v="Credito"/>
    <x v="2"/>
    <x v="216"/>
    <m/>
    <s v="000252"/>
    <s v="000132"/>
    <n v="2850"/>
    <s v="0,00"/>
    <s v="0,00"/>
    <s v="0,00"/>
    <s v="0,00"/>
    <s v="ORC2022_2"/>
    <s v="0012"/>
    <m/>
    <m/>
    <m/>
    <m/>
    <m/>
  </r>
  <r>
    <s v="PJ-CONSULTORIA E ASSESSORIA"/>
    <x v="47"/>
    <x v="9"/>
    <n v="4250"/>
    <s v="0000000127"/>
    <s v="2535"/>
    <d v="2022-02-01T00:00:00"/>
    <s v="330201001"/>
    <s v="211"/>
    <s v="51"/>
    <s v="Credito"/>
    <x v="2"/>
    <x v="216"/>
    <m/>
    <s v="000252"/>
    <s v="000132"/>
    <n v="4250"/>
    <s v="0,00"/>
    <s v="0,00"/>
    <s v="0,00"/>
    <s v="0,00"/>
    <s v="ORC2022_2"/>
    <s v="0012"/>
    <m/>
    <m/>
    <m/>
    <m/>
    <m/>
  </r>
  <r>
    <s v="PJ-CONSULTORIA E ASSESSORIA"/>
    <x v="47"/>
    <x v="10"/>
    <n v="7220.4"/>
    <s v="0000000127"/>
    <s v="2536"/>
    <d v="2022-03-01T00:00:00"/>
    <s v="330201001"/>
    <s v="211"/>
    <s v="51"/>
    <s v="Credito"/>
    <x v="2"/>
    <x v="216"/>
    <m/>
    <s v="000252"/>
    <s v="000132"/>
    <n v="7220.4"/>
    <s v="0,00"/>
    <s v="0,00"/>
    <s v="0,00"/>
    <s v="0,00"/>
    <s v="ORC2022_2"/>
    <s v="0012"/>
    <m/>
    <m/>
    <m/>
    <m/>
    <m/>
  </r>
  <r>
    <s v="PJ-CONSULTORIA E ASSESSORIA"/>
    <x v="47"/>
    <x v="11"/>
    <n v="7350"/>
    <s v="0000000127"/>
    <s v="2537"/>
    <d v="2022-04-01T00:00:00"/>
    <s v="330201001"/>
    <s v="211"/>
    <s v="51"/>
    <s v="Credito"/>
    <x v="2"/>
    <x v="216"/>
    <m/>
    <s v="000252"/>
    <s v="000132"/>
    <n v="7350"/>
    <s v="0,00"/>
    <s v="0,00"/>
    <s v="0,00"/>
    <s v="0,00"/>
    <s v="ORC2022_2"/>
    <s v="0012"/>
    <m/>
    <m/>
    <m/>
    <m/>
    <m/>
  </r>
  <r>
    <s v="PJ-CONSULTORIA E ASSESSORIA"/>
    <x v="47"/>
    <x v="12"/>
    <n v="7618"/>
    <s v="0000000127"/>
    <s v="2538"/>
    <d v="2022-05-01T00:00:00"/>
    <s v="330201001"/>
    <s v="211"/>
    <s v="51"/>
    <s v="Credito"/>
    <x v="2"/>
    <x v="216"/>
    <m/>
    <s v="000252"/>
    <s v="000132"/>
    <n v="7618"/>
    <s v="0,00"/>
    <s v="0,00"/>
    <s v="0,00"/>
    <s v="0,00"/>
    <s v="ORC2022_2"/>
    <s v="0012"/>
    <m/>
    <m/>
    <m/>
    <m/>
    <m/>
  </r>
  <r>
    <s v="PJ-CONSULTORIA E ASSESSORIA"/>
    <x v="47"/>
    <x v="13"/>
    <n v="132"/>
    <s v="0000000127"/>
    <s v="2539"/>
    <d v="2022-06-01T00:00:00"/>
    <s v="330201001"/>
    <s v="211"/>
    <s v="51"/>
    <s v="Credito"/>
    <x v="2"/>
    <x v="216"/>
    <m/>
    <s v="000252"/>
    <s v="000132"/>
    <n v="132"/>
    <s v="0,00"/>
    <s v="0,00"/>
    <s v="0,00"/>
    <s v="0,00"/>
    <s v="ORC2022_2"/>
    <s v="0012"/>
    <m/>
    <m/>
    <m/>
    <m/>
    <m/>
  </r>
  <r>
    <s v="PJ-CONSULTORIA E ASSESSORIA"/>
    <x v="47"/>
    <x v="14"/>
    <n v="96"/>
    <s v="0000000127"/>
    <s v="2540"/>
    <d v="2022-07-01T00:00:00"/>
    <s v="330201001"/>
    <s v="211"/>
    <s v="51"/>
    <s v="Credito"/>
    <x v="2"/>
    <x v="216"/>
    <m/>
    <s v="000252"/>
    <s v="000132"/>
    <n v="96"/>
    <s v="0,00"/>
    <s v="0,00"/>
    <s v="0,00"/>
    <s v="0,00"/>
    <s v="ORC2022_2"/>
    <s v="0012"/>
    <m/>
    <m/>
    <m/>
    <m/>
    <m/>
  </r>
  <r>
    <s v="PJ-CONSULTORIA E ASSESSORIA"/>
    <x v="47"/>
    <x v="15"/>
    <n v="132"/>
    <s v="0000000127"/>
    <s v="2541"/>
    <d v="2022-08-01T00:00:00"/>
    <s v="330201001"/>
    <s v="211"/>
    <s v="51"/>
    <s v="Credito"/>
    <x v="2"/>
    <x v="216"/>
    <m/>
    <s v="000252"/>
    <s v="000132"/>
    <n v="132"/>
    <s v="0,00"/>
    <s v="0,00"/>
    <s v="0,00"/>
    <s v="0,00"/>
    <s v="ORC2022_2"/>
    <s v="0012"/>
    <m/>
    <m/>
    <m/>
    <m/>
    <m/>
  </r>
  <r>
    <s v="PJ-LOCACAO DE MAQUINAS E EQUIPAMENTO"/>
    <x v="48"/>
    <x v="8"/>
    <n v="1800"/>
    <s v="0000000127"/>
    <s v="2542"/>
    <d v="2022-01-01T00:00:00"/>
    <s v="330201004"/>
    <s v="211"/>
    <s v="51"/>
    <s v="Credito"/>
    <x v="2"/>
    <x v="216"/>
    <m/>
    <s v="000252"/>
    <s v="000132"/>
    <n v="1800"/>
    <s v="0,00"/>
    <s v="0,00"/>
    <s v="0,00"/>
    <s v="0,00"/>
    <s v="ORC2022_2"/>
    <s v="0012"/>
    <m/>
    <m/>
    <m/>
    <m/>
    <m/>
  </r>
  <r>
    <s v="PJ-LOCACAO DE MAQUINAS E EQUIPAMENTO"/>
    <x v="48"/>
    <x v="8"/>
    <n v="2158.8000000000002"/>
    <s v="0000000127"/>
    <s v="2543"/>
    <d v="2022-01-01T00:00:00"/>
    <s v="330201004"/>
    <s v="201"/>
    <s v="90"/>
    <s v="Credito"/>
    <x v="2"/>
    <x v="216"/>
    <m/>
    <s v="000252"/>
    <s v="000132"/>
    <n v="2158.8000000000002"/>
    <s v="0,00"/>
    <s v="0,00"/>
    <s v="0,00"/>
    <s v="0,00"/>
    <s v="ORC2022_2"/>
    <s v="0012"/>
    <m/>
    <m/>
    <m/>
    <m/>
    <m/>
  </r>
  <r>
    <s v="PJ-LOCACAO DE MAQUINAS E EQUIPAMENTO"/>
    <x v="48"/>
    <x v="9"/>
    <n v="21164.21"/>
    <s v="0000000127"/>
    <s v="2544"/>
    <d v="2022-02-01T00:00:00"/>
    <s v="330201004"/>
    <s v="211"/>
    <s v="51"/>
    <s v="Credito"/>
    <x v="2"/>
    <x v="216"/>
    <m/>
    <s v="000252"/>
    <s v="000132"/>
    <n v="21164.21"/>
    <s v="0,00"/>
    <s v="0,00"/>
    <s v="0,00"/>
    <s v="0,00"/>
    <s v="ORC2022_2"/>
    <s v="0012"/>
    <m/>
    <m/>
    <m/>
    <m/>
    <m/>
  </r>
  <r>
    <s v="PJ-LOCACAO DE MAQUINAS E EQUIPAMENTO"/>
    <x v="48"/>
    <x v="9"/>
    <n v="2399.04"/>
    <s v="0000000127"/>
    <s v="2545"/>
    <d v="2022-02-01T00:00:00"/>
    <s v="330201004"/>
    <s v="201"/>
    <s v="90"/>
    <s v="Credito"/>
    <x v="2"/>
    <x v="216"/>
    <m/>
    <s v="000252"/>
    <s v="000132"/>
    <n v="2399.04"/>
    <s v="0,00"/>
    <s v="0,00"/>
    <s v="0,00"/>
    <s v="0,00"/>
    <s v="ORC2022_2"/>
    <s v="0012"/>
    <m/>
    <m/>
    <m/>
    <m/>
    <m/>
  </r>
  <r>
    <s v="PJ-LOCACAO DE MAQUINAS E EQUIPAMENTO"/>
    <x v="48"/>
    <x v="10"/>
    <n v="3600"/>
    <s v="0000000127"/>
    <s v="2546"/>
    <d v="2022-03-01T00:00:00"/>
    <s v="330201004"/>
    <s v="211"/>
    <s v="51"/>
    <s v="Credito"/>
    <x v="2"/>
    <x v="216"/>
    <m/>
    <s v="000252"/>
    <s v="000132"/>
    <n v="3600"/>
    <s v="0,00"/>
    <s v="0,00"/>
    <s v="0,00"/>
    <s v="0,00"/>
    <s v="ORC2022_2"/>
    <s v="0012"/>
    <m/>
    <m/>
    <m/>
    <m/>
    <m/>
  </r>
  <r>
    <s v="PJ-LOCACAO DE MAQUINAS E EQUIPAMENTO"/>
    <x v="48"/>
    <x v="10"/>
    <n v="2198.3200000000002"/>
    <s v="0000000127"/>
    <s v="2547"/>
    <d v="2022-03-01T00:00:00"/>
    <s v="330201004"/>
    <s v="201"/>
    <s v="90"/>
    <s v="Credito"/>
    <x v="2"/>
    <x v="216"/>
    <m/>
    <s v="000252"/>
    <s v="000132"/>
    <n v="2198.3200000000002"/>
    <s v="0,00"/>
    <s v="0,00"/>
    <s v="0,00"/>
    <s v="0,00"/>
    <s v="ORC2022_2"/>
    <s v="0012"/>
    <m/>
    <m/>
    <m/>
    <m/>
    <m/>
  </r>
  <r>
    <s v="PJ-LOCACAO DE MAQUINAS E EQUIPAMENTO"/>
    <x v="48"/>
    <x v="11"/>
    <n v="1800"/>
    <s v="0000000127"/>
    <s v="2548"/>
    <d v="2022-04-01T00:00:00"/>
    <s v="330201004"/>
    <s v="211"/>
    <s v="51"/>
    <s v="Credito"/>
    <x v="2"/>
    <x v="216"/>
    <m/>
    <s v="000252"/>
    <s v="000132"/>
    <n v="1800"/>
    <s v="0,00"/>
    <s v="0,00"/>
    <s v="0,00"/>
    <s v="0,00"/>
    <s v="ORC2022_2"/>
    <s v="0012"/>
    <m/>
    <m/>
    <m/>
    <m/>
    <m/>
  </r>
  <r>
    <s v="PJ-LOCACAO DE MAQUINAS E EQUIPAMENTO"/>
    <x v="48"/>
    <x v="11"/>
    <n v="2668.92"/>
    <s v="0000000127"/>
    <s v="2549"/>
    <d v="2022-04-01T00:00:00"/>
    <s v="330201004"/>
    <s v="201"/>
    <s v="90"/>
    <s v="Credito"/>
    <x v="2"/>
    <x v="216"/>
    <m/>
    <s v="000252"/>
    <s v="000132"/>
    <n v="2668.92"/>
    <s v="0,00"/>
    <s v="0,00"/>
    <s v="0,00"/>
    <s v="0,00"/>
    <s v="ORC2022_2"/>
    <s v="0012"/>
    <m/>
    <m/>
    <m/>
    <m/>
    <m/>
  </r>
  <r>
    <s v="PJ-LOCACAO DE MAQUINAS E EQUIPAMENTO"/>
    <x v="48"/>
    <x v="12"/>
    <n v="1800"/>
    <s v="0000000127"/>
    <s v="2550"/>
    <d v="2022-05-01T00:00:00"/>
    <s v="330201004"/>
    <s v="211"/>
    <s v="51"/>
    <s v="Credito"/>
    <x v="2"/>
    <x v="216"/>
    <m/>
    <s v="000252"/>
    <s v="000132"/>
    <n v="1800"/>
    <s v="0,00"/>
    <s v="0,00"/>
    <s v="0,00"/>
    <s v="0,00"/>
    <s v="ORC2022_2"/>
    <s v="0012"/>
    <m/>
    <m/>
    <m/>
    <m/>
    <m/>
  </r>
  <r>
    <s v="PJ-LOCACAO DE MAQUINAS E EQUIPAMENTO"/>
    <x v="48"/>
    <x v="12"/>
    <n v="2544"/>
    <s v="0000000127"/>
    <s v="2551"/>
    <d v="2022-05-01T00:00:00"/>
    <s v="330201004"/>
    <s v="201"/>
    <s v="90"/>
    <s v="Credito"/>
    <x v="2"/>
    <x v="216"/>
    <m/>
    <s v="000252"/>
    <s v="000132"/>
    <n v="2544"/>
    <s v="0,00"/>
    <s v="0,00"/>
    <s v="0,00"/>
    <s v="0,00"/>
    <s v="ORC2022_2"/>
    <s v="0012"/>
    <m/>
    <m/>
    <m/>
    <m/>
    <m/>
  </r>
  <r>
    <s v="PJ-LOCACAO DE MAQUINAS E EQUIPAMENTO"/>
    <x v="48"/>
    <x v="13"/>
    <n v="2500"/>
    <s v="0000000127"/>
    <s v="2552"/>
    <d v="2022-06-01T00:00:00"/>
    <s v="330201004"/>
    <s v="211"/>
    <s v="51"/>
    <s v="Credito"/>
    <x v="2"/>
    <x v="216"/>
    <m/>
    <s v="000252"/>
    <s v="000132"/>
    <n v="2500"/>
    <s v="0,00"/>
    <s v="0,00"/>
    <s v="0,00"/>
    <s v="0,00"/>
    <s v="ORC2022_2"/>
    <s v="0012"/>
    <m/>
    <m/>
    <m/>
    <m/>
    <m/>
  </r>
  <r>
    <s v="PJ-LOCACAO DE MAQUINAS E EQUIPAMENTO"/>
    <x v="48"/>
    <x v="13"/>
    <n v="3700"/>
    <s v="0000000127"/>
    <s v="2553"/>
    <d v="2022-06-01T00:00:00"/>
    <s v="330201004"/>
    <s v="101"/>
    <s v="90"/>
    <s v="Credito"/>
    <x v="2"/>
    <x v="216"/>
    <m/>
    <s v="000252"/>
    <s v="000132"/>
    <n v="3700"/>
    <s v="0,00"/>
    <s v="0,00"/>
    <s v="0,00"/>
    <s v="0,00"/>
    <s v="ORC2022_2"/>
    <s v="0012"/>
    <m/>
    <m/>
    <m/>
    <m/>
    <m/>
  </r>
  <r>
    <s v="PJ-LOCACAO DE MAQUINAS E EQUIPAMENTO"/>
    <x v="48"/>
    <x v="13"/>
    <n v="2746.38"/>
    <s v="0000000127"/>
    <s v="2554"/>
    <d v="2022-06-01T00:00:00"/>
    <s v="330201004"/>
    <s v="201"/>
    <s v="90"/>
    <s v="Credito"/>
    <x v="2"/>
    <x v="216"/>
    <m/>
    <s v="000252"/>
    <s v="000132"/>
    <n v="2746.38"/>
    <s v="0,00"/>
    <s v="0,00"/>
    <s v="0,00"/>
    <s v="0,00"/>
    <s v="ORC2022_2"/>
    <s v="0012"/>
    <m/>
    <m/>
    <m/>
    <m/>
    <m/>
  </r>
  <r>
    <s v="PJ-LOCACAO DE MAQUINAS E EQUIPAMENTO"/>
    <x v="48"/>
    <x v="14"/>
    <n v="10400"/>
    <s v="0000000127"/>
    <s v="2555"/>
    <d v="2022-07-01T00:00:00"/>
    <s v="330201004"/>
    <s v="211"/>
    <s v="51"/>
    <s v="Credito"/>
    <x v="2"/>
    <x v="216"/>
    <m/>
    <s v="000252"/>
    <s v="000132"/>
    <n v="10400"/>
    <s v="0,00"/>
    <s v="0,00"/>
    <s v="0,00"/>
    <s v="0,00"/>
    <s v="ORC2022_2"/>
    <s v="0012"/>
    <m/>
    <m/>
    <m/>
    <m/>
    <m/>
  </r>
  <r>
    <s v="PJ-LOCACAO DE MAQUINAS E EQUIPAMENTO"/>
    <x v="48"/>
    <x v="14"/>
    <n v="2898.01"/>
    <s v="0000000127"/>
    <s v="2556"/>
    <d v="2022-07-01T00:00:00"/>
    <s v="330201004"/>
    <s v="201"/>
    <s v="90"/>
    <s v="Credito"/>
    <x v="2"/>
    <x v="216"/>
    <m/>
    <s v="000252"/>
    <s v="000132"/>
    <n v="2898.01"/>
    <s v="0,00"/>
    <s v="0,00"/>
    <s v="0,00"/>
    <s v="0,00"/>
    <s v="ORC2022_2"/>
    <s v="0012"/>
    <m/>
    <m/>
    <m/>
    <m/>
    <m/>
  </r>
  <r>
    <s v="PJ-LOCACAO DE MAQUINAS E EQUIPAMENTO"/>
    <x v="48"/>
    <x v="15"/>
    <n v="4700"/>
    <s v="0000000127"/>
    <s v="2557"/>
    <d v="2022-08-01T00:00:00"/>
    <s v="330201004"/>
    <s v="211"/>
    <s v="51"/>
    <s v="Credito"/>
    <x v="2"/>
    <x v="216"/>
    <m/>
    <s v="000252"/>
    <s v="000132"/>
    <n v="4700"/>
    <s v="0,00"/>
    <s v="0,00"/>
    <s v="0,00"/>
    <s v="0,00"/>
    <s v="ORC2022_2"/>
    <s v="0012"/>
    <m/>
    <m/>
    <m/>
    <m/>
    <m/>
  </r>
  <r>
    <s v="PJ-LOCACAO DE MAQUINAS E EQUIPAMENTO"/>
    <x v="48"/>
    <x v="15"/>
    <n v="2761.25"/>
    <s v="0000000127"/>
    <s v="2558"/>
    <d v="2022-08-01T00:00:00"/>
    <s v="330201004"/>
    <s v="201"/>
    <s v="90"/>
    <s v="Credito"/>
    <x v="2"/>
    <x v="216"/>
    <m/>
    <s v="000252"/>
    <s v="000132"/>
    <n v="2761.25"/>
    <s v="0,00"/>
    <s v="0,00"/>
    <s v="0,00"/>
    <s v="0,00"/>
    <s v="ORC2022_2"/>
    <s v="0012"/>
    <m/>
    <m/>
    <m/>
    <m/>
    <m/>
  </r>
  <r>
    <s v="PJ-LOCACAO DE MAQUINAS E EQUIPAMENTO"/>
    <x v="48"/>
    <x v="16"/>
    <n v="900"/>
    <s v="0000000127"/>
    <s v="2559"/>
    <d v="2022-09-01T00:00:00"/>
    <s v="330201004"/>
    <s v="211"/>
    <s v="51"/>
    <s v="Credito"/>
    <x v="2"/>
    <x v="216"/>
    <m/>
    <s v="000252"/>
    <s v="000132"/>
    <n v="900"/>
    <s v="0,00"/>
    <s v="0,00"/>
    <s v="0,00"/>
    <s v="0,00"/>
    <s v="ORC2022_2"/>
    <s v="0012"/>
    <m/>
    <m/>
    <m/>
    <m/>
    <m/>
  </r>
  <r>
    <s v="PJ-LOCACAO DE MAQUINAS E EQUIPAMENTO"/>
    <x v="48"/>
    <x v="16"/>
    <n v="3000.64"/>
    <s v="0000000127"/>
    <s v="2560"/>
    <d v="2022-09-01T00:00:00"/>
    <s v="330201004"/>
    <s v="201"/>
    <s v="90"/>
    <s v="Credito"/>
    <x v="2"/>
    <x v="216"/>
    <m/>
    <s v="000252"/>
    <s v="000132"/>
    <n v="3000.64"/>
    <s v="0,00"/>
    <s v="0,00"/>
    <s v="0,00"/>
    <s v="0,00"/>
    <s v="ORC2022_2"/>
    <s v="0012"/>
    <m/>
    <m/>
    <m/>
    <m/>
    <m/>
  </r>
  <r>
    <s v="PJ-LOCACAO DE MAQUINAS E EQUIPAMENTO"/>
    <x v="48"/>
    <x v="17"/>
    <n v="909"/>
    <s v="0000000127"/>
    <s v="2561"/>
    <d v="2022-10-01T00:00:00"/>
    <s v="330201004"/>
    <s v="211"/>
    <s v="51"/>
    <s v="Credito"/>
    <x v="2"/>
    <x v="216"/>
    <m/>
    <s v="000252"/>
    <s v="000132"/>
    <n v="909"/>
    <s v="0,00"/>
    <s v="0,00"/>
    <s v="0,00"/>
    <s v="0,00"/>
    <s v="ORC2022_2"/>
    <s v="0012"/>
    <m/>
    <m/>
    <m/>
    <m/>
    <m/>
  </r>
  <r>
    <s v="PJ-LOCACAO DE MAQUINAS E EQUIPAMENTO"/>
    <x v="48"/>
    <x v="17"/>
    <n v="3030.65"/>
    <s v="0000000127"/>
    <s v="2562"/>
    <d v="2022-10-01T00:00:00"/>
    <s v="330201004"/>
    <s v="201"/>
    <s v="90"/>
    <s v="Credito"/>
    <x v="2"/>
    <x v="216"/>
    <m/>
    <s v="000252"/>
    <s v="000132"/>
    <n v="3030.65"/>
    <s v="0,00"/>
    <s v="0,00"/>
    <s v="0,00"/>
    <s v="0,00"/>
    <s v="ORC2022_2"/>
    <s v="0012"/>
    <m/>
    <m/>
    <m/>
    <m/>
    <m/>
  </r>
  <r>
    <s v="PJ-LOCACAO DE MAQUINAS E EQUIPAMENTO"/>
    <x v="48"/>
    <x v="0"/>
    <n v="918.09"/>
    <s v="0000000127"/>
    <s v="2563"/>
    <d v="2022-11-01T00:00:00"/>
    <s v="330201004"/>
    <s v="211"/>
    <s v="51"/>
    <s v="Credito"/>
    <x v="2"/>
    <x v="216"/>
    <m/>
    <s v="000252"/>
    <s v="000132"/>
    <n v="918.09"/>
    <s v="0,00"/>
    <s v="0,00"/>
    <s v="0,00"/>
    <s v="0,00"/>
    <s v="ORC2022_2"/>
    <s v="0012"/>
    <m/>
    <m/>
    <m/>
    <m/>
    <m/>
  </r>
  <r>
    <s v="PJ-LOCACAO DE MAQUINAS E EQUIPAMENTO"/>
    <x v="48"/>
    <x v="0"/>
    <n v="3060.95"/>
    <s v="0000000127"/>
    <s v="2564"/>
    <d v="2022-11-01T00:00:00"/>
    <s v="330201004"/>
    <s v="201"/>
    <s v="90"/>
    <s v="Credito"/>
    <x v="2"/>
    <x v="216"/>
    <m/>
    <s v="000252"/>
    <s v="000132"/>
    <n v="3060.95"/>
    <s v="0,00"/>
    <s v="0,00"/>
    <s v="0,00"/>
    <s v="0,00"/>
    <s v="ORC2022_2"/>
    <s v="0012"/>
    <m/>
    <m/>
    <m/>
    <m/>
    <m/>
  </r>
  <r>
    <s v="PJ-LOCACAO DE MAQUINAS E EQUIPAMENTO"/>
    <x v="48"/>
    <x v="1"/>
    <n v="927.27"/>
    <s v="0000000127"/>
    <s v="2565"/>
    <d v="2022-12-01T00:00:00"/>
    <s v="330201004"/>
    <s v="211"/>
    <s v="51"/>
    <s v="Credito"/>
    <x v="2"/>
    <x v="216"/>
    <m/>
    <s v="000252"/>
    <s v="000132"/>
    <n v="927.27"/>
    <s v="0,00"/>
    <s v="0,00"/>
    <s v="0,00"/>
    <s v="0,00"/>
    <s v="ORC2022_2"/>
    <s v="0012"/>
    <m/>
    <m/>
    <m/>
    <m/>
    <m/>
  </r>
  <r>
    <s v="PJ-LOCACAO DE MAQUINAS E EQUIPAMENTO"/>
    <x v="48"/>
    <x v="1"/>
    <n v="3091.56"/>
    <s v="0000000127"/>
    <s v="2566"/>
    <d v="2022-12-01T00:00:00"/>
    <s v="330201004"/>
    <s v="201"/>
    <s v="90"/>
    <s v="Credito"/>
    <x v="2"/>
    <x v="216"/>
    <m/>
    <s v="000252"/>
    <s v="000132"/>
    <n v="3091.56"/>
    <s v="0,00"/>
    <s v="0,00"/>
    <s v="0,00"/>
    <s v="0,00"/>
    <s v="ORC2022_2"/>
    <s v="0012"/>
    <m/>
    <m/>
    <m/>
    <m/>
    <m/>
  </r>
  <r>
    <s v="PJ-MAO-DE-OBRA TERCEIRIZADA"/>
    <x v="49"/>
    <x v="12"/>
    <n v="20"/>
    <s v="0000000127"/>
    <s v="2567"/>
    <d v="2022-05-01T00:00:00"/>
    <s v="330201005"/>
    <s v="201"/>
    <s v="90"/>
    <s v="Credito"/>
    <x v="2"/>
    <x v="216"/>
    <m/>
    <s v="000252"/>
    <s v="000132"/>
    <n v="20"/>
    <s v="0,00"/>
    <s v="0,00"/>
    <s v="0,00"/>
    <s v="0,00"/>
    <s v="ORC2022_2"/>
    <s v="0012"/>
    <m/>
    <m/>
    <m/>
    <m/>
    <m/>
  </r>
  <r>
    <s v="PJ-OUTROS SERVICOS CONTRATADOS-PJ"/>
    <x v="3"/>
    <x v="8"/>
    <n v="95.74"/>
    <s v="0000000127"/>
    <s v="2568"/>
    <d v="2022-01-01T00:00:00"/>
    <s v="330201006"/>
    <s v="304"/>
    <s v="11"/>
    <s v="Credito"/>
    <x v="2"/>
    <x v="216"/>
    <m/>
    <s v="000252"/>
    <s v="000132"/>
    <n v="95.74"/>
    <s v="0,00"/>
    <s v="0,00"/>
    <s v="0,00"/>
    <s v="0,00"/>
    <s v="ORC2022_2"/>
    <s v="0012"/>
    <m/>
    <m/>
    <m/>
    <m/>
    <m/>
  </r>
  <r>
    <s v="PJ-OUTROS SERVICOS CONTRATADOS-PJ"/>
    <x v="3"/>
    <x v="8"/>
    <n v="133108.48000000001"/>
    <s v="0000000127"/>
    <s v="2569"/>
    <d v="2022-01-01T00:00:00"/>
    <s v="330201006"/>
    <s v="211"/>
    <s v="51"/>
    <s v="Credito"/>
    <x v="2"/>
    <x v="216"/>
    <m/>
    <s v="000252"/>
    <s v="000132"/>
    <n v="133108.48000000001"/>
    <s v="0,00"/>
    <s v="0,00"/>
    <s v="0,00"/>
    <s v="0,00"/>
    <s v="ORC2022_2"/>
    <s v="0012"/>
    <m/>
    <m/>
    <m/>
    <m/>
    <m/>
  </r>
  <r>
    <s v="PJ-OUTROS SERVICOS CONTRATADOS-PJ"/>
    <x v="3"/>
    <x v="8"/>
    <n v="1721"/>
    <s v="0000000127"/>
    <s v="2570"/>
    <d v="2022-01-01T00:00:00"/>
    <s v="330201006"/>
    <s v="101"/>
    <s v="90"/>
    <s v="Credito"/>
    <x v="2"/>
    <x v="216"/>
    <m/>
    <s v="000252"/>
    <s v="000132"/>
    <n v="1721"/>
    <s v="0,00"/>
    <s v="0,00"/>
    <s v="0,00"/>
    <s v="0,00"/>
    <s v="ORC2022_2"/>
    <s v="0012"/>
    <m/>
    <m/>
    <m/>
    <m/>
    <m/>
  </r>
  <r>
    <s v="PJ-OUTROS SERVICOS CONTRATADOS-PJ"/>
    <x v="3"/>
    <x v="8"/>
    <n v="55648.13"/>
    <s v="0000000127"/>
    <s v="2571"/>
    <d v="2022-01-01T00:00:00"/>
    <s v="330201006"/>
    <s v="201"/>
    <s v="90"/>
    <s v="Credito"/>
    <x v="2"/>
    <x v="216"/>
    <m/>
    <s v="000252"/>
    <s v="000132"/>
    <n v="55648.13"/>
    <s v="0,00"/>
    <s v="0,00"/>
    <s v="0,00"/>
    <s v="0,00"/>
    <s v="ORC2022_2"/>
    <s v="0012"/>
    <m/>
    <m/>
    <m/>
    <m/>
    <m/>
  </r>
  <r>
    <s v="PJ-OUTROS SERVICOS CONTRATADOS-PJ"/>
    <x v="3"/>
    <x v="8"/>
    <n v="4800"/>
    <s v="0000000127"/>
    <s v="2572"/>
    <d v="2022-01-01T00:00:00"/>
    <s v="330201006"/>
    <s v="207"/>
    <s v="90"/>
    <s v="Credito"/>
    <x v="2"/>
    <x v="216"/>
    <m/>
    <s v="000252"/>
    <s v="000132"/>
    <n v="4800"/>
    <s v="0,00"/>
    <s v="0,00"/>
    <s v="0,00"/>
    <s v="0,00"/>
    <s v="ORC2022_2"/>
    <s v="0012"/>
    <m/>
    <m/>
    <m/>
    <m/>
    <m/>
  </r>
  <r>
    <s v="PJ-OUTROS SERVICOS CONTRATADOS-PJ"/>
    <x v="3"/>
    <x v="8"/>
    <n v="12401.52"/>
    <s v="0000000127"/>
    <s v="2573"/>
    <d v="2022-01-01T00:00:00"/>
    <s v="330201006"/>
    <s v="209"/>
    <s v="90"/>
    <s v="Credito"/>
    <x v="2"/>
    <x v="216"/>
    <m/>
    <s v="000252"/>
    <s v="000132"/>
    <n v="12401.52"/>
    <s v="0,00"/>
    <s v="0,00"/>
    <s v="0,00"/>
    <s v="0,00"/>
    <s v="ORC2022_2"/>
    <s v="0012"/>
    <m/>
    <m/>
    <m/>
    <m/>
    <m/>
  </r>
  <r>
    <s v="PJ-OUTROS SERVICOS CONTRATADOS-PJ"/>
    <x v="3"/>
    <x v="9"/>
    <n v="460"/>
    <s v="0000000127"/>
    <s v="2574"/>
    <d v="2022-02-01T00:00:00"/>
    <s v="330201006"/>
    <s v="303"/>
    <s v="21"/>
    <s v="Credito"/>
    <x v="2"/>
    <x v="216"/>
    <m/>
    <s v="000252"/>
    <s v="000132"/>
    <n v="460"/>
    <s v="0,00"/>
    <s v="0,00"/>
    <s v="0,00"/>
    <s v="0,00"/>
    <s v="ORC2022_2"/>
    <s v="0012"/>
    <m/>
    <m/>
    <m/>
    <m/>
    <m/>
  </r>
  <r>
    <s v="PJ-OUTROS SERVICOS CONTRATADOS-PJ"/>
    <x v="3"/>
    <x v="9"/>
    <n v="223654.75"/>
    <s v="0000000127"/>
    <s v="2575"/>
    <d v="2022-02-01T00:00:00"/>
    <s v="330201006"/>
    <s v="211"/>
    <s v="51"/>
    <s v="Credito"/>
    <x v="2"/>
    <x v="216"/>
    <m/>
    <s v="000252"/>
    <s v="000132"/>
    <n v="223654.75"/>
    <s v="0,00"/>
    <s v="0,00"/>
    <s v="0,00"/>
    <s v="0,00"/>
    <s v="ORC2022_2"/>
    <s v="0012"/>
    <m/>
    <m/>
    <m/>
    <m/>
    <m/>
  </r>
  <r>
    <s v="PJ-OUTROS SERVICOS CONTRATADOS-PJ"/>
    <x v="3"/>
    <x v="9"/>
    <n v="720"/>
    <s v="0000000127"/>
    <s v="2576"/>
    <d v="2022-02-01T00:00:00"/>
    <s v="330201006"/>
    <s v="101"/>
    <s v="90"/>
    <s v="Credito"/>
    <x v="2"/>
    <x v="216"/>
    <m/>
    <s v="000252"/>
    <s v="000132"/>
    <n v="720"/>
    <s v="0,00"/>
    <s v="0,00"/>
    <s v="0,00"/>
    <s v="0,00"/>
    <s v="ORC2022_2"/>
    <s v="0012"/>
    <m/>
    <m/>
    <m/>
    <m/>
    <m/>
  </r>
  <r>
    <s v="PJ-OUTROS SERVICOS CONTRATADOS-PJ"/>
    <x v="3"/>
    <x v="9"/>
    <n v="83463.25"/>
    <s v="0000000127"/>
    <s v="2577"/>
    <d v="2022-02-01T00:00:00"/>
    <s v="330201006"/>
    <s v="201"/>
    <s v="90"/>
    <s v="Credito"/>
    <x v="2"/>
    <x v="216"/>
    <m/>
    <s v="000252"/>
    <s v="000132"/>
    <n v="83463.25"/>
    <s v="0,00"/>
    <s v="0,00"/>
    <s v="0,00"/>
    <s v="0,00"/>
    <s v="ORC2022_2"/>
    <s v="0012"/>
    <m/>
    <m/>
    <m/>
    <m/>
    <m/>
  </r>
  <r>
    <s v="PJ-OUTROS SERVICOS CONTRATADOS-PJ"/>
    <x v="3"/>
    <x v="9"/>
    <n v="4800"/>
    <s v="0000000127"/>
    <s v="2578"/>
    <d v="2022-02-01T00:00:00"/>
    <s v="330201006"/>
    <s v="207"/>
    <s v="90"/>
    <s v="Credito"/>
    <x v="2"/>
    <x v="216"/>
    <m/>
    <s v="000252"/>
    <s v="000132"/>
    <n v="4800"/>
    <s v="0,00"/>
    <s v="0,00"/>
    <s v="0,00"/>
    <s v="0,00"/>
    <s v="ORC2022_2"/>
    <s v="0012"/>
    <m/>
    <m/>
    <m/>
    <m/>
    <m/>
  </r>
  <r>
    <s v="PJ-OUTROS SERVICOS CONTRATADOS-PJ"/>
    <x v="3"/>
    <x v="9"/>
    <n v="19087.400000000001"/>
    <s v="0000000127"/>
    <s v="2579"/>
    <d v="2022-02-01T00:00:00"/>
    <s v="330201006"/>
    <s v="209"/>
    <s v="90"/>
    <s v="Credito"/>
    <x v="2"/>
    <x v="216"/>
    <m/>
    <s v="000252"/>
    <s v="000132"/>
    <n v="19087.400000000001"/>
    <s v="0,00"/>
    <s v="0,00"/>
    <s v="0,00"/>
    <s v="0,00"/>
    <s v="ORC2022_2"/>
    <s v="0012"/>
    <m/>
    <m/>
    <m/>
    <m/>
    <m/>
  </r>
  <r>
    <s v="PJ-OUTROS SERVICOS CONTRATADOS-PJ"/>
    <x v="3"/>
    <x v="9"/>
    <n v="939.91"/>
    <s v="0000000127"/>
    <s v="2580"/>
    <d v="2022-02-01T00:00:00"/>
    <s v="330201006"/>
    <s v="210"/>
    <s v="90"/>
    <s v="Credito"/>
    <x v="2"/>
    <x v="216"/>
    <m/>
    <s v="000252"/>
    <s v="000132"/>
    <n v="939.91"/>
    <s v="0,00"/>
    <s v="0,00"/>
    <s v="0,00"/>
    <s v="0,00"/>
    <s v="ORC2022_2"/>
    <s v="0012"/>
    <m/>
    <m/>
    <m/>
    <m/>
    <m/>
  </r>
  <r>
    <s v="PJ-OUTROS SERVICOS CONTRATADOS-PJ"/>
    <x v="3"/>
    <x v="10"/>
    <n v="175400.16"/>
    <s v="0000000127"/>
    <s v="2581"/>
    <d v="2022-03-01T00:00:00"/>
    <s v="330201006"/>
    <s v="211"/>
    <s v="51"/>
    <s v="Credito"/>
    <x v="2"/>
    <x v="216"/>
    <m/>
    <s v="000252"/>
    <s v="000132"/>
    <n v="175400.16"/>
    <s v="0,00"/>
    <s v="0,00"/>
    <s v="0,00"/>
    <s v="0,00"/>
    <s v="ORC2022_2"/>
    <s v="0012"/>
    <m/>
    <m/>
    <m/>
    <m/>
    <m/>
  </r>
  <r>
    <s v="PJ-OUTROS SERVICOS CONTRATADOS-PJ"/>
    <x v="3"/>
    <x v="10"/>
    <n v="186.14"/>
    <s v="0000000127"/>
    <s v="2582"/>
    <d v="2022-03-01T00:00:00"/>
    <s v="330201006"/>
    <s v="101"/>
    <s v="90"/>
    <s v="Credito"/>
    <x v="2"/>
    <x v="216"/>
    <m/>
    <s v="000252"/>
    <s v="000132"/>
    <n v="186.14"/>
    <s v="0,00"/>
    <s v="0,00"/>
    <s v="0,00"/>
    <s v="0,00"/>
    <s v="ORC2022_2"/>
    <s v="0012"/>
    <m/>
    <m/>
    <m/>
    <m/>
    <m/>
  </r>
  <r>
    <s v="PJ-OUTROS SERVICOS CONTRATADOS-PJ"/>
    <x v="3"/>
    <x v="10"/>
    <n v="76801.13"/>
    <s v="0000000127"/>
    <s v="2583"/>
    <d v="2022-03-01T00:00:00"/>
    <s v="330201006"/>
    <s v="201"/>
    <s v="90"/>
    <s v="Credito"/>
    <x v="2"/>
    <x v="216"/>
    <m/>
    <s v="000252"/>
    <s v="000132"/>
    <n v="76801.13"/>
    <s v="0,00"/>
    <s v="0,00"/>
    <s v="0,00"/>
    <s v="0,00"/>
    <s v="ORC2022_2"/>
    <s v="0012"/>
    <m/>
    <m/>
    <m/>
    <m/>
    <m/>
  </r>
  <r>
    <s v="PJ-OUTROS SERVICOS CONTRATADOS-PJ"/>
    <x v="3"/>
    <x v="10"/>
    <n v="4000"/>
    <s v="0000000127"/>
    <s v="2584"/>
    <d v="2022-03-01T00:00:00"/>
    <s v="330201006"/>
    <s v="207"/>
    <s v="90"/>
    <s v="Credito"/>
    <x v="2"/>
    <x v="216"/>
    <m/>
    <s v="000252"/>
    <s v="000132"/>
    <n v="4000"/>
    <s v="0,00"/>
    <s v="0,00"/>
    <s v="0,00"/>
    <s v="0,00"/>
    <s v="ORC2022_2"/>
    <s v="0012"/>
    <m/>
    <m/>
    <m/>
    <m/>
    <m/>
  </r>
  <r>
    <s v="PJ-OUTROS SERVICOS CONTRATADOS-PJ"/>
    <x v="3"/>
    <x v="10"/>
    <n v="114006.55"/>
    <s v="0000000127"/>
    <s v="2585"/>
    <d v="2022-03-01T00:00:00"/>
    <s v="330201006"/>
    <s v="209"/>
    <s v="90"/>
    <s v="Credito"/>
    <x v="2"/>
    <x v="216"/>
    <m/>
    <s v="000252"/>
    <s v="000132"/>
    <n v="114006.55"/>
    <s v="0,00"/>
    <s v="0,00"/>
    <s v="0,00"/>
    <s v="0,00"/>
    <s v="ORC2022_2"/>
    <s v="0012"/>
    <m/>
    <m/>
    <m/>
    <m/>
    <m/>
  </r>
  <r>
    <s v="PJ-OUTROS SERVICOS CONTRATADOS-PJ"/>
    <x v="3"/>
    <x v="11"/>
    <n v="97015.3"/>
    <s v="0000000127"/>
    <s v="2586"/>
    <d v="2022-04-01T00:00:00"/>
    <s v="330201006"/>
    <s v="211"/>
    <s v="51"/>
    <s v="Credito"/>
    <x v="2"/>
    <x v="216"/>
    <m/>
    <s v="000252"/>
    <s v="000132"/>
    <n v="97015.3"/>
    <s v="0,00"/>
    <s v="0,00"/>
    <s v="0,00"/>
    <s v="0,00"/>
    <s v="ORC2022_2"/>
    <s v="0012"/>
    <m/>
    <m/>
    <m/>
    <m/>
    <m/>
  </r>
  <r>
    <s v="PJ-OUTROS SERVICOS CONTRATADOS-PJ"/>
    <x v="3"/>
    <x v="11"/>
    <n v="4293.55"/>
    <s v="0000000127"/>
    <s v="2587"/>
    <d v="2022-04-01T00:00:00"/>
    <s v="330201006"/>
    <s v="101"/>
    <s v="90"/>
    <s v="Credito"/>
    <x v="2"/>
    <x v="216"/>
    <m/>
    <s v="000252"/>
    <s v="000132"/>
    <n v="4293.55"/>
    <s v="0,00"/>
    <s v="0,00"/>
    <s v="0,00"/>
    <s v="0,00"/>
    <s v="ORC2022_2"/>
    <s v="0012"/>
    <m/>
    <m/>
    <m/>
    <m/>
    <m/>
  </r>
  <r>
    <s v="PJ-OUTROS SERVICOS CONTRATADOS-PJ"/>
    <x v="3"/>
    <x v="11"/>
    <n v="84536.68"/>
    <s v="0000000127"/>
    <s v="2588"/>
    <d v="2022-04-01T00:00:00"/>
    <s v="330201006"/>
    <s v="201"/>
    <s v="90"/>
    <s v="Credito"/>
    <x v="2"/>
    <x v="216"/>
    <m/>
    <s v="000252"/>
    <s v="000132"/>
    <n v="84536.68"/>
    <s v="0,00"/>
    <s v="0,00"/>
    <s v="0,00"/>
    <s v="0,00"/>
    <s v="ORC2022_2"/>
    <s v="0012"/>
    <m/>
    <m/>
    <m/>
    <m/>
    <m/>
  </r>
  <r>
    <s v="PJ-OUTROS SERVICOS CONTRATADOS-PJ"/>
    <x v="3"/>
    <x v="11"/>
    <n v="24205.13"/>
    <s v="0000000127"/>
    <s v="2589"/>
    <d v="2022-04-01T00:00:00"/>
    <s v="330201006"/>
    <s v="209"/>
    <s v="90"/>
    <s v="Credito"/>
    <x v="2"/>
    <x v="216"/>
    <m/>
    <s v="000252"/>
    <s v="000132"/>
    <n v="24205.13"/>
    <s v="0,00"/>
    <s v="0,00"/>
    <s v="0,00"/>
    <s v="0,00"/>
    <s v="ORC2022_2"/>
    <s v="0012"/>
    <m/>
    <m/>
    <m/>
    <m/>
    <m/>
  </r>
  <r>
    <s v="PJ-OUTROS SERVICOS CONTRATADOS-PJ"/>
    <x v="3"/>
    <x v="12"/>
    <n v="1907.24"/>
    <s v="0000000127"/>
    <s v="2590"/>
    <d v="2022-05-01T00:00:00"/>
    <s v="330201006"/>
    <s v="305"/>
    <s v="21"/>
    <s v="Credito"/>
    <x v="2"/>
    <x v="216"/>
    <m/>
    <s v="000252"/>
    <s v="000132"/>
    <n v="1907.24"/>
    <s v="0,00"/>
    <s v="0,00"/>
    <s v="0,00"/>
    <s v="0,00"/>
    <s v="ORC2022_2"/>
    <s v="0012"/>
    <m/>
    <m/>
    <m/>
    <m/>
    <m/>
  </r>
  <r>
    <s v="PJ-OUTROS SERVICOS CONTRATADOS-PJ"/>
    <x v="3"/>
    <x v="12"/>
    <n v="247217.55"/>
    <s v="0000000127"/>
    <s v="2591"/>
    <d v="2022-05-01T00:00:00"/>
    <s v="330201006"/>
    <s v="211"/>
    <s v="51"/>
    <s v="Credito"/>
    <x v="2"/>
    <x v="216"/>
    <m/>
    <s v="000252"/>
    <s v="000132"/>
    <n v="247217.55"/>
    <s v="0,00"/>
    <s v="0,00"/>
    <s v="0,00"/>
    <s v="0,00"/>
    <s v="ORC2022_2"/>
    <s v="0012"/>
    <m/>
    <m/>
    <m/>
    <m/>
    <m/>
  </r>
  <r>
    <s v="PJ-OUTROS SERVICOS CONTRATADOS-PJ"/>
    <x v="3"/>
    <x v="12"/>
    <n v="8500"/>
    <s v="0000000127"/>
    <s v="2592"/>
    <d v="2022-05-01T00:00:00"/>
    <s v="330201006"/>
    <s v="101"/>
    <s v="90"/>
    <s v="Credito"/>
    <x v="2"/>
    <x v="216"/>
    <m/>
    <s v="000252"/>
    <s v="000132"/>
    <n v="8500"/>
    <s v="0,00"/>
    <s v="0,00"/>
    <s v="0,00"/>
    <s v="0,00"/>
    <s v="ORC2022_2"/>
    <s v="0012"/>
    <m/>
    <m/>
    <m/>
    <m/>
    <m/>
  </r>
  <r>
    <s v="PJ-OUTROS SERVICOS CONTRATADOS-PJ"/>
    <x v="3"/>
    <x v="12"/>
    <n v="103355.01"/>
    <s v="0000000127"/>
    <s v="2593"/>
    <d v="2022-05-01T00:00:00"/>
    <s v="330201006"/>
    <s v="201"/>
    <s v="90"/>
    <s v="Credito"/>
    <x v="2"/>
    <x v="216"/>
    <m/>
    <s v="000252"/>
    <s v="000132"/>
    <n v="103355.01"/>
    <s v="0,00"/>
    <s v="0,00"/>
    <s v="0,00"/>
    <s v="0,00"/>
    <s v="ORC2022_2"/>
    <s v="0012"/>
    <m/>
    <m/>
    <m/>
    <m/>
    <m/>
  </r>
  <r>
    <s v="PJ-OUTROS SERVICOS CONTRATADOS-PJ"/>
    <x v="3"/>
    <x v="12"/>
    <n v="406.8"/>
    <s v="0000000127"/>
    <s v="2594"/>
    <d v="2022-05-01T00:00:00"/>
    <s v="330201006"/>
    <s v="205"/>
    <s v="90"/>
    <s v="Credito"/>
    <x v="2"/>
    <x v="216"/>
    <m/>
    <s v="000252"/>
    <s v="000132"/>
    <n v="406.8"/>
    <s v="0,00"/>
    <s v="0,00"/>
    <s v="0,00"/>
    <s v="0,00"/>
    <s v="ORC2022_2"/>
    <s v="0012"/>
    <m/>
    <m/>
    <m/>
    <m/>
    <m/>
  </r>
  <r>
    <s v="PJ-OUTROS SERVICOS CONTRATADOS-PJ"/>
    <x v="3"/>
    <x v="12"/>
    <n v="15474.25"/>
    <s v="0000000127"/>
    <s v="2595"/>
    <d v="2022-05-01T00:00:00"/>
    <s v="330201006"/>
    <s v="209"/>
    <s v="90"/>
    <s v="Credito"/>
    <x v="2"/>
    <x v="216"/>
    <m/>
    <s v="000252"/>
    <s v="000132"/>
    <n v="15474.25"/>
    <s v="0,00"/>
    <s v="0,00"/>
    <s v="0,00"/>
    <s v="0,00"/>
    <s v="ORC2022_2"/>
    <s v="0012"/>
    <m/>
    <m/>
    <m/>
    <m/>
    <m/>
  </r>
  <r>
    <s v="PJ-OUTROS SERVICOS CONTRATADOS-PJ"/>
    <x v="3"/>
    <x v="12"/>
    <n v="2700"/>
    <s v="0000000127"/>
    <s v="2596"/>
    <d v="2022-05-01T00:00:00"/>
    <s v="330201006"/>
    <s v="210"/>
    <s v="90"/>
    <s v="Credito"/>
    <x v="2"/>
    <x v="216"/>
    <m/>
    <s v="000252"/>
    <s v="000132"/>
    <n v="2700"/>
    <s v="0,00"/>
    <s v="0,00"/>
    <s v="0,00"/>
    <s v="0,00"/>
    <s v="ORC2022_2"/>
    <s v="0012"/>
    <m/>
    <m/>
    <m/>
    <m/>
    <m/>
  </r>
  <r>
    <s v="PJ-OUTROS SERVICOS CONTRATADOS-PJ"/>
    <x v="3"/>
    <x v="13"/>
    <n v="1535.1"/>
    <s v="0000000127"/>
    <s v="2597"/>
    <d v="2022-06-01T00:00:00"/>
    <s v="330201006"/>
    <s v="305"/>
    <s v="21"/>
    <s v="Credito"/>
    <x v="2"/>
    <x v="216"/>
    <m/>
    <s v="000252"/>
    <s v="000132"/>
    <n v="1535.1"/>
    <s v="0,00"/>
    <s v="0,00"/>
    <s v="0,00"/>
    <s v="0,00"/>
    <s v="ORC2022_2"/>
    <s v="0012"/>
    <m/>
    <m/>
    <m/>
    <m/>
    <m/>
  </r>
  <r>
    <s v="PJ-OUTROS SERVICOS CONTRATADOS-PJ"/>
    <x v="3"/>
    <x v="13"/>
    <n v="88219.77"/>
    <s v="0000000127"/>
    <s v="2598"/>
    <d v="2022-06-01T00:00:00"/>
    <s v="330201006"/>
    <s v="211"/>
    <s v="51"/>
    <s v="Credito"/>
    <x v="2"/>
    <x v="216"/>
    <m/>
    <s v="000252"/>
    <s v="000132"/>
    <n v="88219.77"/>
    <s v="0,00"/>
    <s v="0,00"/>
    <s v="0,00"/>
    <s v="0,00"/>
    <s v="ORC2022_2"/>
    <s v="0012"/>
    <m/>
    <m/>
    <m/>
    <m/>
    <m/>
  </r>
  <r>
    <s v="PJ-OUTROS SERVICOS CONTRATADOS-PJ"/>
    <x v="3"/>
    <x v="13"/>
    <n v="8465.73"/>
    <s v="0000000127"/>
    <s v="2599"/>
    <d v="2022-06-01T00:00:00"/>
    <s v="330201006"/>
    <s v="101"/>
    <s v="90"/>
    <s v="Credito"/>
    <x v="2"/>
    <x v="216"/>
    <m/>
    <s v="000252"/>
    <s v="000132"/>
    <n v="8465.73"/>
    <s v="0,00"/>
    <s v="0,00"/>
    <s v="0,00"/>
    <s v="0,00"/>
    <s v="ORC2022_2"/>
    <s v="0012"/>
    <m/>
    <m/>
    <m/>
    <m/>
    <m/>
  </r>
  <r>
    <s v="PJ-OUTROS SERVICOS CONTRATADOS-PJ"/>
    <x v="3"/>
    <x v="13"/>
    <n v="92652.79"/>
    <s v="0000000127"/>
    <s v="2600"/>
    <d v="2022-06-01T00:00:00"/>
    <s v="330201006"/>
    <s v="201"/>
    <s v="90"/>
    <s v="Credito"/>
    <x v="2"/>
    <x v="216"/>
    <m/>
    <s v="000252"/>
    <s v="000132"/>
    <n v="92652.79"/>
    <s v="0,00"/>
    <s v="0,00"/>
    <s v="0,00"/>
    <s v="0,00"/>
    <s v="ORC2022_2"/>
    <s v="0012"/>
    <m/>
    <m/>
    <m/>
    <m/>
    <m/>
  </r>
  <r>
    <s v="PJ-OUTROS SERVICOS CONTRATADOS-PJ"/>
    <x v="3"/>
    <x v="13"/>
    <n v="169.9"/>
    <s v="0000000127"/>
    <s v="2601"/>
    <d v="2022-06-01T00:00:00"/>
    <s v="330201006"/>
    <s v="204"/>
    <s v="90"/>
    <s v="Credito"/>
    <x v="2"/>
    <x v="216"/>
    <m/>
    <s v="000252"/>
    <s v="000132"/>
    <n v="169.9"/>
    <s v="0,00"/>
    <s v="0,00"/>
    <s v="0,00"/>
    <s v="0,00"/>
    <s v="ORC2022_2"/>
    <s v="0012"/>
    <m/>
    <m/>
    <m/>
    <m/>
    <m/>
  </r>
  <r>
    <s v="PJ-OUTROS SERVICOS CONTRATADOS-PJ"/>
    <x v="3"/>
    <x v="13"/>
    <n v="281.49"/>
    <s v="0000000127"/>
    <s v="2602"/>
    <d v="2022-06-01T00:00:00"/>
    <s v="330201006"/>
    <s v="207"/>
    <s v="90"/>
    <s v="Credito"/>
    <x v="2"/>
    <x v="216"/>
    <m/>
    <s v="000252"/>
    <s v="000132"/>
    <n v="281.49"/>
    <s v="0,00"/>
    <s v="0,00"/>
    <s v="0,00"/>
    <s v="0,00"/>
    <s v="ORC2022_2"/>
    <s v="0012"/>
    <m/>
    <m/>
    <m/>
    <m/>
    <m/>
  </r>
  <r>
    <s v="PJ-OUTROS SERVICOS CONTRATADOS-PJ"/>
    <x v="3"/>
    <x v="13"/>
    <n v="17093.57"/>
    <s v="0000000127"/>
    <s v="2603"/>
    <d v="2022-06-01T00:00:00"/>
    <s v="330201006"/>
    <s v="209"/>
    <s v="90"/>
    <s v="Credito"/>
    <x v="2"/>
    <x v="216"/>
    <m/>
    <s v="000252"/>
    <s v="000132"/>
    <n v="17093.57"/>
    <s v="0,00"/>
    <s v="0,00"/>
    <s v="0,00"/>
    <s v="0,00"/>
    <s v="ORC2022_2"/>
    <s v="0012"/>
    <m/>
    <m/>
    <m/>
    <m/>
    <m/>
  </r>
  <r>
    <s v="PJ-OUTROS SERVICOS CONTRATADOS-PJ"/>
    <x v="3"/>
    <x v="14"/>
    <n v="21780"/>
    <s v="0000000127"/>
    <s v="2604"/>
    <d v="2022-07-01T00:00:00"/>
    <s v="330201006"/>
    <s v="304"/>
    <s v="11"/>
    <s v="Credito"/>
    <x v="2"/>
    <x v="216"/>
    <m/>
    <s v="000252"/>
    <s v="000132"/>
    <n v="21780"/>
    <s v="0,00"/>
    <s v="0,00"/>
    <s v="0,00"/>
    <s v="0,00"/>
    <s v="ORC2022_2"/>
    <s v="0012"/>
    <m/>
    <m/>
    <m/>
    <m/>
    <m/>
  </r>
  <r>
    <s v="PJ-OUTROS SERVICOS CONTRATADOS-PJ"/>
    <x v="3"/>
    <x v="14"/>
    <n v="97050.14"/>
    <s v="0000000127"/>
    <s v="2605"/>
    <d v="2022-07-01T00:00:00"/>
    <s v="330201006"/>
    <s v="211"/>
    <s v="51"/>
    <s v="Credito"/>
    <x v="2"/>
    <x v="216"/>
    <m/>
    <s v="000252"/>
    <s v="000132"/>
    <n v="97050.14"/>
    <s v="0,00"/>
    <s v="0,00"/>
    <s v="0,00"/>
    <s v="0,00"/>
    <s v="ORC2022_2"/>
    <s v="0012"/>
    <m/>
    <m/>
    <m/>
    <m/>
    <m/>
  </r>
  <r>
    <s v="PJ-OUTROS SERVICOS CONTRATADOS-PJ"/>
    <x v="3"/>
    <x v="14"/>
    <n v="35000"/>
    <s v="0000000127"/>
    <s v="2606"/>
    <d v="2022-07-01T00:00:00"/>
    <s v="330201006"/>
    <s v="211"/>
    <s v="53"/>
    <s v="Credito"/>
    <x v="2"/>
    <x v="216"/>
    <m/>
    <s v="000252"/>
    <s v="000132"/>
    <n v="35000"/>
    <s v="0,00"/>
    <s v="0,00"/>
    <s v="0,00"/>
    <s v="0,00"/>
    <s v="ORC2022_2"/>
    <s v="0012"/>
    <m/>
    <m/>
    <m/>
    <m/>
    <m/>
  </r>
  <r>
    <s v="PJ-OUTROS SERVICOS CONTRATADOS-PJ"/>
    <x v="3"/>
    <x v="14"/>
    <n v="4825.24"/>
    <s v="0000000127"/>
    <s v="2607"/>
    <d v="2022-07-01T00:00:00"/>
    <s v="330201006"/>
    <s v="101"/>
    <s v="90"/>
    <s v="Credito"/>
    <x v="2"/>
    <x v="216"/>
    <m/>
    <s v="000252"/>
    <s v="000132"/>
    <n v="4825.24"/>
    <s v="0,00"/>
    <s v="0,00"/>
    <s v="0,00"/>
    <s v="0,00"/>
    <s v="ORC2022_2"/>
    <s v="0012"/>
    <m/>
    <m/>
    <m/>
    <m/>
    <m/>
  </r>
  <r>
    <s v="PJ-OUTROS SERVICOS CONTRATADOS-PJ"/>
    <x v="3"/>
    <x v="14"/>
    <n v="98774.41"/>
    <s v="0000000127"/>
    <s v="2608"/>
    <d v="2022-07-01T00:00:00"/>
    <s v="330201006"/>
    <s v="201"/>
    <s v="90"/>
    <s v="Credito"/>
    <x v="2"/>
    <x v="216"/>
    <m/>
    <s v="000252"/>
    <s v="000132"/>
    <n v="98774.41"/>
    <s v="0,00"/>
    <s v="0,00"/>
    <s v="0,00"/>
    <s v="0,00"/>
    <s v="ORC2022_2"/>
    <s v="0012"/>
    <m/>
    <m/>
    <m/>
    <m/>
    <m/>
  </r>
  <r>
    <s v="PJ-OUTROS SERVICOS CONTRATADOS-PJ"/>
    <x v="3"/>
    <x v="14"/>
    <n v="4500"/>
    <s v="0000000127"/>
    <s v="2609"/>
    <d v="2022-07-01T00:00:00"/>
    <s v="330201006"/>
    <s v="204"/>
    <s v="90"/>
    <s v="Credito"/>
    <x v="2"/>
    <x v="216"/>
    <m/>
    <s v="000252"/>
    <s v="000132"/>
    <n v="4500"/>
    <s v="0,00"/>
    <s v="0,00"/>
    <s v="0,00"/>
    <s v="0,00"/>
    <s v="ORC2022_2"/>
    <s v="0012"/>
    <m/>
    <m/>
    <m/>
    <m/>
    <m/>
  </r>
  <r>
    <s v="PJ-OUTROS SERVICOS CONTRATADOS-PJ"/>
    <x v="3"/>
    <x v="14"/>
    <n v="25897.599999999999"/>
    <s v="0000000127"/>
    <s v="2610"/>
    <d v="2022-07-01T00:00:00"/>
    <s v="330201006"/>
    <s v="208"/>
    <s v="90"/>
    <s v="Credito"/>
    <x v="2"/>
    <x v="216"/>
    <m/>
    <s v="000252"/>
    <s v="000132"/>
    <n v="25897.599999999999"/>
    <s v="0,00"/>
    <s v="0,00"/>
    <s v="0,00"/>
    <s v="0,00"/>
    <s v="ORC2022_2"/>
    <s v="0012"/>
    <m/>
    <m/>
    <m/>
    <m/>
    <m/>
  </r>
  <r>
    <s v="PJ-OUTROS SERVICOS CONTRATADOS-PJ"/>
    <x v="3"/>
    <x v="15"/>
    <n v="5758.53"/>
    <s v="0000000127"/>
    <s v="2611"/>
    <d v="2022-08-01T00:00:00"/>
    <s v="330201006"/>
    <s v="305"/>
    <s v="21"/>
    <s v="Credito"/>
    <x v="2"/>
    <x v="216"/>
    <m/>
    <s v="000252"/>
    <s v="000132"/>
    <n v="5758.53"/>
    <s v="0,00"/>
    <s v="0,00"/>
    <s v="0,00"/>
    <s v="0,00"/>
    <s v="ORC2022_2"/>
    <s v="0012"/>
    <m/>
    <m/>
    <m/>
    <m/>
    <m/>
  </r>
  <r>
    <s v="PJ-OUTROS SERVICOS CONTRATADOS-PJ"/>
    <x v="3"/>
    <x v="15"/>
    <n v="213.65"/>
    <s v="0000000127"/>
    <s v="2612"/>
    <d v="2022-08-01T00:00:00"/>
    <s v="330201006"/>
    <s v="306"/>
    <s v="33"/>
    <s v="Credito"/>
    <x v="2"/>
    <x v="216"/>
    <m/>
    <s v="000252"/>
    <s v="000132"/>
    <n v="213.65"/>
    <s v="0,00"/>
    <s v="0,00"/>
    <s v="0,00"/>
    <s v="0,00"/>
    <s v="ORC2022_2"/>
    <s v="0012"/>
    <m/>
    <m/>
    <m/>
    <m/>
    <m/>
  </r>
  <r>
    <s v="PJ-OUTROS SERVICOS CONTRATADOS-PJ"/>
    <x v="3"/>
    <x v="15"/>
    <n v="134604.84"/>
    <s v="0000000127"/>
    <s v="2613"/>
    <d v="2022-08-01T00:00:00"/>
    <s v="330201006"/>
    <s v="211"/>
    <s v="51"/>
    <s v="Credito"/>
    <x v="2"/>
    <x v="216"/>
    <m/>
    <s v="000252"/>
    <s v="000132"/>
    <n v="134604.84"/>
    <s v="0,00"/>
    <s v="0,00"/>
    <s v="0,00"/>
    <s v="0,00"/>
    <s v="ORC2022_2"/>
    <s v="0012"/>
    <m/>
    <m/>
    <m/>
    <m/>
    <m/>
  </r>
  <r>
    <s v="PJ-OUTROS SERVICOS CONTRATADOS-PJ"/>
    <x v="3"/>
    <x v="15"/>
    <n v="1909"/>
    <s v="0000000127"/>
    <s v="2614"/>
    <d v="2022-08-01T00:00:00"/>
    <s v="330201006"/>
    <s v="101"/>
    <s v="90"/>
    <s v="Credito"/>
    <x v="2"/>
    <x v="216"/>
    <m/>
    <s v="000252"/>
    <s v="000132"/>
    <n v="1909"/>
    <s v="0,00"/>
    <s v="0,00"/>
    <s v="0,00"/>
    <s v="0,00"/>
    <s v="ORC2022_2"/>
    <s v="0012"/>
    <m/>
    <m/>
    <m/>
    <m/>
    <m/>
  </r>
  <r>
    <s v="PJ-OUTROS SERVICOS CONTRATADOS-PJ"/>
    <x v="3"/>
    <x v="15"/>
    <n v="62720.79"/>
    <s v="0000000127"/>
    <s v="2615"/>
    <d v="2022-08-01T00:00:00"/>
    <s v="330201006"/>
    <s v="201"/>
    <s v="90"/>
    <s v="Credito"/>
    <x v="2"/>
    <x v="216"/>
    <m/>
    <s v="000252"/>
    <s v="000132"/>
    <n v="62720.79"/>
    <s v="0,00"/>
    <s v="0,00"/>
    <s v="0,00"/>
    <s v="0,00"/>
    <s v="ORC2022_2"/>
    <s v="0012"/>
    <m/>
    <m/>
    <m/>
    <m/>
    <m/>
  </r>
  <r>
    <s v="PJ-OUTROS SERVICOS CONTRATADOS-PJ"/>
    <x v="3"/>
    <x v="15"/>
    <n v="17.5"/>
    <s v="0000000127"/>
    <s v="2616"/>
    <d v="2022-08-01T00:00:00"/>
    <s v="330201006"/>
    <s v="205"/>
    <s v="90"/>
    <s v="Credito"/>
    <x v="2"/>
    <x v="216"/>
    <m/>
    <s v="000252"/>
    <s v="000132"/>
    <n v="17.5"/>
    <s v="0,00"/>
    <s v="0,00"/>
    <s v="0,00"/>
    <s v="0,00"/>
    <s v="ORC2022_2"/>
    <s v="0012"/>
    <m/>
    <m/>
    <m/>
    <m/>
    <m/>
  </r>
  <r>
    <s v="PJ-OUTROS SERVICOS CONTRATADOS-PJ"/>
    <x v="3"/>
    <x v="15"/>
    <n v="1110"/>
    <s v="0000000127"/>
    <s v="2617"/>
    <d v="2022-08-01T00:00:00"/>
    <s v="330201006"/>
    <s v="209"/>
    <s v="90"/>
    <s v="Credito"/>
    <x v="2"/>
    <x v="216"/>
    <m/>
    <s v="000252"/>
    <s v="000132"/>
    <n v="1110"/>
    <s v="0,00"/>
    <s v="0,00"/>
    <s v="0,00"/>
    <s v="0,00"/>
    <s v="ORC2022_2"/>
    <s v="0012"/>
    <m/>
    <m/>
    <m/>
    <m/>
    <m/>
  </r>
  <r>
    <s v="PJ-OUTROS SERVICOS CONTRATADOS-PJ"/>
    <x v="3"/>
    <x v="16"/>
    <n v="108350.57"/>
    <s v="0000000127"/>
    <s v="2618"/>
    <d v="2022-09-01T00:00:00"/>
    <s v="330201006"/>
    <s v="211"/>
    <s v="51"/>
    <s v="Credito"/>
    <x v="2"/>
    <x v="216"/>
    <m/>
    <s v="000252"/>
    <s v="000132"/>
    <n v="108350.57"/>
    <s v="0,00"/>
    <s v="0,00"/>
    <s v="0,00"/>
    <s v="0,00"/>
    <s v="ORC2022_2"/>
    <s v="0012"/>
    <m/>
    <m/>
    <m/>
    <m/>
    <m/>
  </r>
  <r>
    <s v="PJ-OUTROS SERVICOS CONTRATADOS-PJ"/>
    <x v="3"/>
    <x v="16"/>
    <n v="2700"/>
    <s v="0000000127"/>
    <s v="2619"/>
    <d v="2022-09-01T00:00:00"/>
    <s v="330201006"/>
    <s v="101"/>
    <s v="90"/>
    <s v="Credito"/>
    <x v="2"/>
    <x v="216"/>
    <m/>
    <s v="000252"/>
    <s v="000132"/>
    <n v="2700"/>
    <s v="0,00"/>
    <s v="0,00"/>
    <s v="0,00"/>
    <s v="0,00"/>
    <s v="ORC2022_2"/>
    <s v="0012"/>
    <m/>
    <m/>
    <m/>
    <m/>
    <m/>
  </r>
  <r>
    <s v="PJ-OUTROS SERVICOS CONTRATADOS-PJ"/>
    <x v="3"/>
    <x v="16"/>
    <n v="70328.179999999993"/>
    <s v="0000000127"/>
    <s v="2620"/>
    <d v="2022-09-01T00:00:00"/>
    <s v="330201006"/>
    <s v="201"/>
    <s v="90"/>
    <s v="Credito"/>
    <x v="2"/>
    <x v="216"/>
    <m/>
    <s v="000252"/>
    <s v="000132"/>
    <n v="70328.179999999993"/>
    <s v="0,00"/>
    <s v="0,00"/>
    <s v="0,00"/>
    <s v="0,00"/>
    <s v="ORC2022_2"/>
    <s v="0012"/>
    <m/>
    <m/>
    <m/>
    <m/>
    <m/>
  </r>
  <r>
    <s v="PJ-OUTROS SERVICOS CONTRATADOS-PJ"/>
    <x v="3"/>
    <x v="16"/>
    <n v="1650"/>
    <s v="0000000127"/>
    <s v="2621"/>
    <d v="2022-09-01T00:00:00"/>
    <s v="330201006"/>
    <s v="204"/>
    <s v="90"/>
    <s v="Credito"/>
    <x v="2"/>
    <x v="216"/>
    <m/>
    <s v="000252"/>
    <s v="000132"/>
    <n v="1650"/>
    <s v="0,00"/>
    <s v="0,00"/>
    <s v="0,00"/>
    <s v="0,00"/>
    <s v="ORC2022_2"/>
    <s v="0012"/>
    <m/>
    <m/>
    <m/>
    <m/>
    <m/>
  </r>
  <r>
    <s v="PJ-OUTROS SERVICOS CONTRATADOS-PJ"/>
    <x v="3"/>
    <x v="16"/>
    <n v="16520"/>
    <s v="0000000127"/>
    <s v="2622"/>
    <d v="2022-09-01T00:00:00"/>
    <s v="330201006"/>
    <s v="208"/>
    <s v="90"/>
    <s v="Credito"/>
    <x v="2"/>
    <x v="216"/>
    <m/>
    <s v="000252"/>
    <s v="000132"/>
    <n v="16520"/>
    <s v="0,00"/>
    <s v="0,00"/>
    <s v="0,00"/>
    <s v="0,00"/>
    <s v="ORC2022_2"/>
    <s v="0012"/>
    <m/>
    <m/>
    <m/>
    <m/>
    <m/>
  </r>
  <r>
    <s v="PJ-OUTROS SERVICOS CONTRATADOS-PJ"/>
    <x v="3"/>
    <x v="16"/>
    <n v="2500"/>
    <s v="0000000127"/>
    <s v="2623"/>
    <d v="2022-09-01T00:00:00"/>
    <s v="330201006"/>
    <s v="301"/>
    <s v="90"/>
    <s v="Credito"/>
    <x v="2"/>
    <x v="216"/>
    <m/>
    <s v="000252"/>
    <s v="000132"/>
    <n v="2500"/>
    <s v="0,00"/>
    <s v="0,00"/>
    <s v="0,00"/>
    <s v="0,00"/>
    <s v="ORC2022_2"/>
    <s v="0012"/>
    <m/>
    <m/>
    <m/>
    <m/>
    <m/>
  </r>
  <r>
    <s v="PJ-OUTROS SERVICOS CONTRATADOS-PJ"/>
    <x v="3"/>
    <x v="17"/>
    <n v="109434.08"/>
    <s v="0000000127"/>
    <s v="2624"/>
    <d v="2022-10-01T00:00:00"/>
    <s v="330201006"/>
    <s v="211"/>
    <s v="51"/>
    <s v="Credito"/>
    <x v="2"/>
    <x v="216"/>
    <m/>
    <s v="000252"/>
    <s v="000132"/>
    <n v="109434.08"/>
    <s v="0,00"/>
    <s v="0,00"/>
    <s v="0,00"/>
    <s v="0,00"/>
    <s v="ORC2022_2"/>
    <s v="0012"/>
    <m/>
    <m/>
    <m/>
    <m/>
    <m/>
  </r>
  <r>
    <s v="PJ-OUTROS SERVICOS CONTRATADOS-PJ"/>
    <x v="3"/>
    <x v="17"/>
    <n v="2727"/>
    <s v="0000000127"/>
    <s v="2625"/>
    <d v="2022-10-01T00:00:00"/>
    <s v="330201006"/>
    <s v="101"/>
    <s v="90"/>
    <s v="Credito"/>
    <x v="2"/>
    <x v="216"/>
    <m/>
    <s v="000252"/>
    <s v="000132"/>
    <n v="2727"/>
    <s v="0,00"/>
    <s v="0,00"/>
    <s v="0,00"/>
    <s v="0,00"/>
    <s v="ORC2022_2"/>
    <s v="0012"/>
    <m/>
    <m/>
    <m/>
    <m/>
    <m/>
  </r>
  <r>
    <s v="PJ-OUTROS SERVICOS CONTRATADOS-PJ"/>
    <x v="3"/>
    <x v="17"/>
    <n v="71031.460000000006"/>
    <s v="0000000127"/>
    <s v="2626"/>
    <d v="2022-10-01T00:00:00"/>
    <s v="330201006"/>
    <s v="201"/>
    <s v="90"/>
    <s v="Credito"/>
    <x v="2"/>
    <x v="216"/>
    <m/>
    <s v="000252"/>
    <s v="000132"/>
    <n v="71031.460000000006"/>
    <s v="0,00"/>
    <s v="0,00"/>
    <s v="0,00"/>
    <s v="0,00"/>
    <s v="ORC2022_2"/>
    <s v="0012"/>
    <m/>
    <m/>
    <m/>
    <m/>
    <m/>
  </r>
  <r>
    <s v="PJ-OUTROS SERVICOS CONTRATADOS-PJ"/>
    <x v="3"/>
    <x v="17"/>
    <n v="1666.5"/>
    <s v="0000000127"/>
    <s v="2627"/>
    <d v="2022-10-01T00:00:00"/>
    <s v="330201006"/>
    <s v="204"/>
    <s v="90"/>
    <s v="Credito"/>
    <x v="2"/>
    <x v="216"/>
    <m/>
    <s v="000252"/>
    <s v="000132"/>
    <n v="1666.5"/>
    <s v="0,00"/>
    <s v="0,00"/>
    <s v="0,00"/>
    <s v="0,00"/>
    <s v="ORC2022_2"/>
    <s v="0012"/>
    <m/>
    <m/>
    <m/>
    <m/>
    <m/>
  </r>
  <r>
    <s v="PJ-OUTROS SERVICOS CONTRATADOS-PJ"/>
    <x v="3"/>
    <x v="17"/>
    <n v="16685.2"/>
    <s v="0000000127"/>
    <s v="2628"/>
    <d v="2022-10-01T00:00:00"/>
    <s v="330201006"/>
    <s v="208"/>
    <s v="90"/>
    <s v="Credito"/>
    <x v="2"/>
    <x v="216"/>
    <m/>
    <s v="000252"/>
    <s v="000132"/>
    <n v="16685.2"/>
    <s v="0,00"/>
    <s v="0,00"/>
    <s v="0,00"/>
    <s v="0,00"/>
    <s v="ORC2022_2"/>
    <s v="0012"/>
    <m/>
    <m/>
    <m/>
    <m/>
    <m/>
  </r>
  <r>
    <s v="PJ-OUTROS SERVICOS CONTRATADOS-PJ"/>
    <x v="3"/>
    <x v="17"/>
    <n v="2525"/>
    <s v="0000000127"/>
    <s v="2629"/>
    <d v="2022-10-01T00:00:00"/>
    <s v="330201006"/>
    <s v="301"/>
    <s v="90"/>
    <s v="Credito"/>
    <x v="2"/>
    <x v="216"/>
    <m/>
    <s v="000252"/>
    <s v="000132"/>
    <n v="2525"/>
    <s v="0,00"/>
    <s v="0,00"/>
    <s v="0,00"/>
    <s v="0,00"/>
    <s v="ORC2022_2"/>
    <s v="0012"/>
    <m/>
    <m/>
    <m/>
    <m/>
    <m/>
  </r>
  <r>
    <s v="PJ-OUTROS SERVICOS CONTRATADOS-PJ"/>
    <x v="3"/>
    <x v="0"/>
    <n v="110528.42"/>
    <s v="0000000127"/>
    <s v="2630"/>
    <d v="2022-11-01T00:00:00"/>
    <s v="330201006"/>
    <s v="211"/>
    <s v="51"/>
    <s v="Credito"/>
    <x v="2"/>
    <x v="216"/>
    <m/>
    <s v="000252"/>
    <s v="000132"/>
    <n v="110528.42"/>
    <s v="0,00"/>
    <s v="0,00"/>
    <s v="0,00"/>
    <s v="0,00"/>
    <s v="ORC2022_2"/>
    <s v="0012"/>
    <m/>
    <m/>
    <m/>
    <m/>
    <m/>
  </r>
  <r>
    <s v="PJ-OUTROS SERVICOS CONTRATADOS-PJ"/>
    <x v="3"/>
    <x v="0"/>
    <n v="2754.27"/>
    <s v="0000000127"/>
    <s v="2631"/>
    <d v="2022-11-01T00:00:00"/>
    <s v="330201006"/>
    <s v="101"/>
    <s v="90"/>
    <s v="Credito"/>
    <x v="2"/>
    <x v="216"/>
    <m/>
    <s v="000252"/>
    <s v="000132"/>
    <n v="2754.27"/>
    <s v="0,00"/>
    <s v="0,00"/>
    <s v="0,00"/>
    <s v="0,00"/>
    <s v="ORC2022_2"/>
    <s v="0012"/>
    <m/>
    <m/>
    <m/>
    <m/>
    <m/>
  </r>
  <r>
    <s v="PJ-OUTROS SERVICOS CONTRATADOS-PJ"/>
    <x v="3"/>
    <x v="0"/>
    <n v="71741.78"/>
    <s v="0000000127"/>
    <s v="2632"/>
    <d v="2022-11-01T00:00:00"/>
    <s v="330201006"/>
    <s v="201"/>
    <s v="90"/>
    <s v="Credito"/>
    <x v="2"/>
    <x v="216"/>
    <m/>
    <s v="000252"/>
    <s v="000132"/>
    <n v="71741.78"/>
    <s v="0,00"/>
    <s v="0,00"/>
    <s v="0,00"/>
    <s v="0,00"/>
    <s v="ORC2022_2"/>
    <s v="0012"/>
    <m/>
    <m/>
    <m/>
    <m/>
    <m/>
  </r>
  <r>
    <s v="PJ-OUTROS SERVICOS CONTRATADOS-PJ"/>
    <x v="3"/>
    <x v="0"/>
    <n v="1683.17"/>
    <s v="0000000127"/>
    <s v="2633"/>
    <d v="2022-11-01T00:00:00"/>
    <s v="330201006"/>
    <s v="204"/>
    <s v="90"/>
    <s v="Credito"/>
    <x v="2"/>
    <x v="216"/>
    <m/>
    <s v="000252"/>
    <s v="000132"/>
    <n v="1683.17"/>
    <s v="0,00"/>
    <s v="0,00"/>
    <s v="0,00"/>
    <s v="0,00"/>
    <s v="ORC2022_2"/>
    <s v="0012"/>
    <m/>
    <m/>
    <m/>
    <m/>
    <m/>
  </r>
  <r>
    <s v="PJ-OUTROS SERVICOS CONTRATADOS-PJ"/>
    <x v="3"/>
    <x v="0"/>
    <n v="16852.05"/>
    <s v="0000000127"/>
    <s v="2634"/>
    <d v="2022-11-01T00:00:00"/>
    <s v="330201006"/>
    <s v="208"/>
    <s v="90"/>
    <s v="Credito"/>
    <x v="2"/>
    <x v="216"/>
    <m/>
    <s v="000252"/>
    <s v="000132"/>
    <n v="16852.05"/>
    <s v="0,00"/>
    <s v="0,00"/>
    <s v="0,00"/>
    <s v="0,00"/>
    <s v="ORC2022_2"/>
    <s v="0012"/>
    <m/>
    <m/>
    <m/>
    <m/>
    <m/>
  </r>
  <r>
    <s v="PJ-OUTROS SERVICOS CONTRATADOS-PJ"/>
    <x v="3"/>
    <x v="0"/>
    <n v="2550.25"/>
    <s v="0000000127"/>
    <s v="2635"/>
    <d v="2022-11-01T00:00:00"/>
    <s v="330201006"/>
    <s v="301"/>
    <s v="90"/>
    <s v="Credito"/>
    <x v="2"/>
    <x v="216"/>
    <m/>
    <s v="000252"/>
    <s v="000132"/>
    <n v="2550.25"/>
    <s v="0,00"/>
    <s v="0,00"/>
    <s v="0,00"/>
    <s v="0,00"/>
    <s v="ORC2022_2"/>
    <s v="0012"/>
    <m/>
    <m/>
    <m/>
    <m/>
    <m/>
  </r>
  <r>
    <s v="PJ-OUTROS SERVICOS CONTRATADOS-PJ"/>
    <x v="3"/>
    <x v="1"/>
    <n v="111633.7"/>
    <s v="0000000127"/>
    <s v="2636"/>
    <d v="2022-12-01T00:00:00"/>
    <s v="330201006"/>
    <s v="211"/>
    <s v="51"/>
    <s v="Credito"/>
    <x v="2"/>
    <x v="216"/>
    <m/>
    <s v="000252"/>
    <s v="000132"/>
    <n v="111633.7"/>
    <s v="0,00"/>
    <s v="0,00"/>
    <s v="0,00"/>
    <s v="0,00"/>
    <s v="ORC2022_2"/>
    <s v="0012"/>
    <m/>
    <m/>
    <m/>
    <m/>
    <m/>
  </r>
  <r>
    <s v="PJ-OUTROS SERVICOS CONTRATADOS-PJ"/>
    <x v="3"/>
    <x v="1"/>
    <n v="2781.81"/>
    <s v="0000000127"/>
    <s v="2637"/>
    <d v="2022-12-01T00:00:00"/>
    <s v="330201006"/>
    <s v="101"/>
    <s v="90"/>
    <s v="Credito"/>
    <x v="2"/>
    <x v="216"/>
    <m/>
    <s v="000252"/>
    <s v="000132"/>
    <n v="2781.81"/>
    <s v="0,00"/>
    <s v="0,00"/>
    <s v="0,00"/>
    <s v="0,00"/>
    <s v="ORC2022_2"/>
    <s v="0012"/>
    <m/>
    <m/>
    <m/>
    <m/>
    <m/>
  </r>
  <r>
    <s v="PJ-OUTROS SERVICOS CONTRATADOS-PJ"/>
    <x v="3"/>
    <x v="1"/>
    <n v="72459.19"/>
    <s v="0000000127"/>
    <s v="2638"/>
    <d v="2022-12-01T00:00:00"/>
    <s v="330201006"/>
    <s v="201"/>
    <s v="90"/>
    <s v="Credito"/>
    <x v="2"/>
    <x v="216"/>
    <m/>
    <s v="000252"/>
    <s v="000132"/>
    <n v="72459.19"/>
    <s v="0,00"/>
    <s v="0,00"/>
    <s v="0,00"/>
    <s v="0,00"/>
    <s v="ORC2022_2"/>
    <s v="0012"/>
    <m/>
    <m/>
    <m/>
    <m/>
    <m/>
  </r>
  <r>
    <s v="PJ-OUTROS SERVICOS CONTRATADOS-PJ"/>
    <x v="3"/>
    <x v="1"/>
    <n v="1700"/>
    <s v="0000000127"/>
    <s v="2639"/>
    <d v="2022-12-01T00:00:00"/>
    <s v="330201006"/>
    <s v="204"/>
    <s v="90"/>
    <s v="Credito"/>
    <x v="2"/>
    <x v="216"/>
    <m/>
    <s v="000252"/>
    <s v="000132"/>
    <n v="1700"/>
    <s v="0,00"/>
    <s v="0,00"/>
    <s v="0,00"/>
    <s v="0,00"/>
    <s v="ORC2022_2"/>
    <s v="0012"/>
    <m/>
    <m/>
    <m/>
    <m/>
    <m/>
  </r>
  <r>
    <s v="PJ-OUTROS SERVICOS CONTRATADOS-PJ"/>
    <x v="3"/>
    <x v="1"/>
    <n v="17020.57"/>
    <s v="0000000127"/>
    <s v="2640"/>
    <d v="2022-12-01T00:00:00"/>
    <s v="330201006"/>
    <s v="208"/>
    <s v="90"/>
    <s v="Credito"/>
    <x v="2"/>
    <x v="216"/>
    <m/>
    <s v="000252"/>
    <s v="000132"/>
    <n v="17020.57"/>
    <s v="0,00"/>
    <s v="0,00"/>
    <s v="0,00"/>
    <s v="0,00"/>
    <s v="ORC2022_2"/>
    <s v="0012"/>
    <m/>
    <m/>
    <m/>
    <m/>
    <m/>
  </r>
  <r>
    <s v="PJ-OUTROS SERVICOS CONTRATADOS-PJ"/>
    <x v="3"/>
    <x v="1"/>
    <n v="2575.75"/>
    <s v="0000000127"/>
    <s v="2641"/>
    <d v="2022-12-01T00:00:00"/>
    <s v="330201006"/>
    <s v="301"/>
    <s v="90"/>
    <s v="Credito"/>
    <x v="2"/>
    <x v="216"/>
    <m/>
    <s v="000252"/>
    <s v="000132"/>
    <n v="2575.75"/>
    <s v="0,00"/>
    <s v="0,00"/>
    <s v="0,00"/>
    <s v="0,00"/>
    <s v="ORC2022_2"/>
    <s v="0012"/>
    <m/>
    <m/>
    <m/>
    <m/>
    <m/>
  </r>
  <r>
    <s v="PF-CONSULTORIA E ASSESSORIA"/>
    <x v="7"/>
    <x v="8"/>
    <n v="5000"/>
    <s v="0000000127"/>
    <s v="2642"/>
    <d v="2022-01-01T00:00:00"/>
    <s v="330202001"/>
    <s v="301"/>
    <s v="21"/>
    <s v="Credito"/>
    <x v="2"/>
    <x v="216"/>
    <m/>
    <s v="000252"/>
    <s v="000132"/>
    <n v="5000"/>
    <s v="0,00"/>
    <s v="0,00"/>
    <s v="0,00"/>
    <s v="0,00"/>
    <s v="ORC2022_2"/>
    <s v="0012"/>
    <m/>
    <m/>
    <m/>
    <m/>
    <m/>
  </r>
  <r>
    <s v="PF-CONSULTORIA E ASSESSORIA"/>
    <x v="7"/>
    <x v="8"/>
    <n v="153342.56"/>
    <s v="0000000127"/>
    <s v="2643"/>
    <d v="2022-01-01T00:00:00"/>
    <s v="330202001"/>
    <s v="201"/>
    <s v="90"/>
    <s v="Credito"/>
    <x v="2"/>
    <x v="216"/>
    <m/>
    <s v="000252"/>
    <s v="000132"/>
    <n v="153342.56"/>
    <s v="0,00"/>
    <s v="0,00"/>
    <s v="0,00"/>
    <s v="0,00"/>
    <s v="ORC2022_2"/>
    <s v="0012"/>
    <m/>
    <m/>
    <m/>
    <m/>
    <m/>
  </r>
  <r>
    <s v="PF-CONSULTORIA E ASSESSORIA"/>
    <x v="7"/>
    <x v="8"/>
    <n v="1795.56"/>
    <s v="0000000127"/>
    <s v="2644"/>
    <d v="2022-01-01T00:00:00"/>
    <s v="330202001"/>
    <s v="207"/>
    <s v="90"/>
    <s v="Credito"/>
    <x v="2"/>
    <x v="216"/>
    <m/>
    <s v="000252"/>
    <s v="000132"/>
    <n v="1795.56"/>
    <s v="0,00"/>
    <s v="0,00"/>
    <s v="0,00"/>
    <s v="0,00"/>
    <s v="ORC2022_2"/>
    <s v="0012"/>
    <m/>
    <m/>
    <m/>
    <m/>
    <m/>
  </r>
  <r>
    <s v="PF-CONSULTORIA E ASSESSORIA"/>
    <x v="7"/>
    <x v="9"/>
    <n v="5000"/>
    <s v="0000000127"/>
    <s v="2645"/>
    <d v="2022-02-01T00:00:00"/>
    <s v="330202001"/>
    <s v="301"/>
    <s v="21"/>
    <s v="Credito"/>
    <x v="2"/>
    <x v="216"/>
    <m/>
    <s v="000252"/>
    <s v="000132"/>
    <n v="5000"/>
    <s v="0,00"/>
    <s v="0,00"/>
    <s v="0,00"/>
    <s v="0,00"/>
    <s v="ORC2022_2"/>
    <s v="0012"/>
    <m/>
    <m/>
    <m/>
    <m/>
    <m/>
  </r>
  <r>
    <s v="PF-CONSULTORIA E ASSESSORIA"/>
    <x v="7"/>
    <x v="9"/>
    <n v="111002.24000000001"/>
    <s v="0000000127"/>
    <s v="2646"/>
    <d v="2022-02-01T00:00:00"/>
    <s v="330202001"/>
    <s v="201"/>
    <s v="90"/>
    <s v="Credito"/>
    <x v="2"/>
    <x v="216"/>
    <m/>
    <s v="000252"/>
    <s v="000132"/>
    <n v="111002.24000000001"/>
    <s v="0,00"/>
    <s v="0,00"/>
    <s v="0,00"/>
    <s v="0,00"/>
    <s v="ORC2022_2"/>
    <s v="0012"/>
    <m/>
    <m/>
    <m/>
    <m/>
    <m/>
  </r>
  <r>
    <s v="PF-CONSULTORIA E ASSESSORIA"/>
    <x v="7"/>
    <x v="9"/>
    <n v="1795.61"/>
    <s v="0000000127"/>
    <s v="2647"/>
    <d v="2022-02-01T00:00:00"/>
    <s v="330202001"/>
    <s v="207"/>
    <s v="90"/>
    <s v="Credito"/>
    <x v="2"/>
    <x v="216"/>
    <m/>
    <s v="000252"/>
    <s v="000132"/>
    <n v="1795.61"/>
    <s v="0,00"/>
    <s v="0,00"/>
    <s v="0,00"/>
    <s v="0,00"/>
    <s v="ORC2022_2"/>
    <s v="0012"/>
    <m/>
    <m/>
    <m/>
    <m/>
    <m/>
  </r>
  <r>
    <s v="PF-CONSULTORIA E ASSESSORIA"/>
    <x v="7"/>
    <x v="10"/>
    <n v="5000"/>
    <s v="0000000127"/>
    <s v="2648"/>
    <d v="2022-03-01T00:00:00"/>
    <s v="330202001"/>
    <s v="301"/>
    <s v="21"/>
    <s v="Credito"/>
    <x v="2"/>
    <x v="216"/>
    <m/>
    <s v="000252"/>
    <s v="000132"/>
    <n v="5000"/>
    <s v="0,00"/>
    <s v="0,00"/>
    <s v="0,00"/>
    <s v="0,00"/>
    <s v="ORC2022_2"/>
    <s v="0012"/>
    <m/>
    <m/>
    <m/>
    <m/>
    <m/>
  </r>
  <r>
    <s v="PF-CONSULTORIA E ASSESSORIA"/>
    <x v="7"/>
    <x v="10"/>
    <n v="1396"/>
    <s v="0000000127"/>
    <s v="2649"/>
    <d v="2022-03-01T00:00:00"/>
    <s v="330202001"/>
    <s v="306"/>
    <s v="33"/>
    <s v="Credito"/>
    <x v="2"/>
    <x v="216"/>
    <m/>
    <s v="000252"/>
    <s v="000132"/>
    <n v="1396"/>
    <s v="0,00"/>
    <s v="0,00"/>
    <s v="0,00"/>
    <s v="0,00"/>
    <s v="ORC2022_2"/>
    <s v="0012"/>
    <m/>
    <m/>
    <m/>
    <m/>
    <m/>
  </r>
  <r>
    <s v="PF-CONSULTORIA E ASSESSORIA"/>
    <x v="7"/>
    <x v="10"/>
    <n v="121305.5"/>
    <s v="0000000127"/>
    <s v="2650"/>
    <d v="2022-03-01T00:00:00"/>
    <s v="330202001"/>
    <s v="201"/>
    <s v="90"/>
    <s v="Credito"/>
    <x v="2"/>
    <x v="216"/>
    <m/>
    <s v="000252"/>
    <s v="000132"/>
    <n v="121305.5"/>
    <s v="0,00"/>
    <s v="0,00"/>
    <s v="0,00"/>
    <s v="0,00"/>
    <s v="ORC2022_2"/>
    <s v="0012"/>
    <m/>
    <m/>
    <m/>
    <m/>
    <m/>
  </r>
  <r>
    <s v="PF-CONSULTORIA E ASSESSORIA"/>
    <x v="7"/>
    <x v="10"/>
    <n v="399.61"/>
    <s v="0000000127"/>
    <s v="2651"/>
    <d v="2022-03-01T00:00:00"/>
    <s v="330202001"/>
    <s v="207"/>
    <s v="90"/>
    <s v="Credito"/>
    <x v="2"/>
    <x v="216"/>
    <m/>
    <s v="000252"/>
    <s v="000132"/>
    <n v="399.61"/>
    <s v="0,00"/>
    <s v="0,00"/>
    <s v="0,00"/>
    <s v="0,00"/>
    <s v="ORC2022_2"/>
    <s v="0012"/>
    <m/>
    <m/>
    <m/>
    <m/>
    <m/>
  </r>
  <r>
    <s v="PF-CONSULTORIA E ASSESSORIA"/>
    <x v="7"/>
    <x v="11"/>
    <n v="5000"/>
    <s v="0000000127"/>
    <s v="2652"/>
    <d v="2022-04-01T00:00:00"/>
    <s v="330202001"/>
    <s v="301"/>
    <s v="21"/>
    <s v="Credito"/>
    <x v="2"/>
    <x v="216"/>
    <m/>
    <s v="000252"/>
    <s v="000132"/>
    <n v="5000"/>
    <s v="0,00"/>
    <s v="0,00"/>
    <s v="0,00"/>
    <s v="0,00"/>
    <s v="ORC2022_2"/>
    <s v="0012"/>
    <m/>
    <m/>
    <m/>
    <m/>
    <m/>
  </r>
  <r>
    <s v="PF-CONSULTORIA E ASSESSORIA"/>
    <x v="7"/>
    <x v="11"/>
    <n v="1396"/>
    <s v="0000000127"/>
    <s v="2653"/>
    <d v="2022-04-01T00:00:00"/>
    <s v="330202001"/>
    <s v="306"/>
    <s v="33"/>
    <s v="Credito"/>
    <x v="2"/>
    <x v="216"/>
    <m/>
    <s v="000252"/>
    <s v="000132"/>
    <n v="1396"/>
    <s v="0,00"/>
    <s v="0,00"/>
    <s v="0,00"/>
    <s v="0,00"/>
    <s v="ORC2022_2"/>
    <s v="0012"/>
    <m/>
    <m/>
    <m/>
    <m/>
    <m/>
  </r>
  <r>
    <s v="PF-CONSULTORIA E ASSESSORIA"/>
    <x v="7"/>
    <x v="11"/>
    <n v="126857.62"/>
    <s v="0000000127"/>
    <s v="2654"/>
    <d v="2022-04-01T00:00:00"/>
    <s v="330202001"/>
    <s v="201"/>
    <s v="90"/>
    <s v="Credito"/>
    <x v="2"/>
    <x v="216"/>
    <m/>
    <s v="000252"/>
    <s v="000132"/>
    <n v="126857.62"/>
    <s v="0,00"/>
    <s v="0,00"/>
    <s v="0,00"/>
    <s v="0,00"/>
    <s v="ORC2022_2"/>
    <s v="0012"/>
    <m/>
    <m/>
    <m/>
    <m/>
    <m/>
  </r>
  <r>
    <s v="PF-CONSULTORIA E ASSESSORIA"/>
    <x v="7"/>
    <x v="11"/>
    <n v="399.61"/>
    <s v="0000000127"/>
    <s v="2655"/>
    <d v="2022-04-01T00:00:00"/>
    <s v="330202001"/>
    <s v="207"/>
    <s v="90"/>
    <s v="Credito"/>
    <x v="2"/>
    <x v="216"/>
    <m/>
    <s v="000252"/>
    <s v="000132"/>
    <n v="399.61"/>
    <s v="0,00"/>
    <s v="0,00"/>
    <s v="0,00"/>
    <s v="0,00"/>
    <s v="ORC2022_2"/>
    <s v="0012"/>
    <m/>
    <m/>
    <m/>
    <m/>
    <m/>
  </r>
  <r>
    <s v="PF-CONSULTORIA E ASSESSORIA"/>
    <x v="7"/>
    <x v="12"/>
    <n v="1396"/>
    <s v="0000000127"/>
    <s v="2656"/>
    <d v="2022-05-01T00:00:00"/>
    <s v="330202001"/>
    <s v="306"/>
    <s v="33"/>
    <s v="Credito"/>
    <x v="2"/>
    <x v="216"/>
    <m/>
    <s v="000252"/>
    <s v="000132"/>
    <n v="1396"/>
    <s v="0,00"/>
    <s v="0,00"/>
    <s v="0,00"/>
    <s v="0,00"/>
    <s v="ORC2022_2"/>
    <s v="0012"/>
    <m/>
    <m/>
    <m/>
    <m/>
    <m/>
  </r>
  <r>
    <s v="PF-CONSULTORIA E ASSESSORIA"/>
    <x v="7"/>
    <x v="12"/>
    <n v="323308.59999999998"/>
    <s v="0000000127"/>
    <s v="2657"/>
    <d v="2022-05-01T00:00:00"/>
    <s v="330202001"/>
    <s v="201"/>
    <s v="90"/>
    <s v="Credito"/>
    <x v="2"/>
    <x v="216"/>
    <m/>
    <s v="000252"/>
    <s v="000132"/>
    <n v="323308.59999999998"/>
    <s v="0,00"/>
    <s v="0,00"/>
    <s v="0,00"/>
    <s v="0,00"/>
    <s v="ORC2022_2"/>
    <s v="0012"/>
    <m/>
    <m/>
    <m/>
    <m/>
    <m/>
  </r>
  <r>
    <s v="PF-CONSULTORIA E ASSESSORIA"/>
    <x v="7"/>
    <x v="12"/>
    <n v="399.61"/>
    <s v="0000000127"/>
    <s v="2658"/>
    <d v="2022-05-01T00:00:00"/>
    <s v="330202001"/>
    <s v="207"/>
    <s v="90"/>
    <s v="Credito"/>
    <x v="2"/>
    <x v="216"/>
    <m/>
    <s v="000252"/>
    <s v="000132"/>
    <n v="399.61"/>
    <s v="0,00"/>
    <s v="0,00"/>
    <s v="0,00"/>
    <s v="0,00"/>
    <s v="ORC2022_2"/>
    <s v="0012"/>
    <m/>
    <m/>
    <m/>
    <m/>
    <m/>
  </r>
  <r>
    <s v="PF-CONSULTORIA E ASSESSORIA"/>
    <x v="7"/>
    <x v="12"/>
    <n v="5000"/>
    <s v="0000000127"/>
    <s v="2659"/>
    <d v="2022-05-01T00:00:00"/>
    <s v="330202001"/>
    <s v="301"/>
    <s v="90"/>
    <s v="Credito"/>
    <x v="2"/>
    <x v="216"/>
    <m/>
    <s v="000252"/>
    <s v="000132"/>
    <n v="5000"/>
    <s v="0,00"/>
    <s v="0,00"/>
    <s v="0,00"/>
    <s v="0,00"/>
    <s v="ORC2022_2"/>
    <s v="0012"/>
    <m/>
    <m/>
    <m/>
    <m/>
    <m/>
  </r>
  <r>
    <s v="PF-CONSULTORIA E ASSESSORIA"/>
    <x v="7"/>
    <x v="13"/>
    <n v="5000"/>
    <s v="0000000127"/>
    <s v="2660"/>
    <d v="2022-06-01T00:00:00"/>
    <s v="330202001"/>
    <s v="301"/>
    <s v="21"/>
    <s v="Credito"/>
    <x v="2"/>
    <x v="216"/>
    <m/>
    <s v="000252"/>
    <s v="000132"/>
    <n v="5000"/>
    <s v="0,00"/>
    <s v="0,00"/>
    <s v="0,00"/>
    <s v="0,00"/>
    <s v="ORC2022_2"/>
    <s v="0012"/>
    <m/>
    <m/>
    <m/>
    <m/>
    <m/>
  </r>
  <r>
    <s v="PF-CONSULTORIA E ASSESSORIA"/>
    <x v="7"/>
    <x v="13"/>
    <n v="1396"/>
    <s v="0000000127"/>
    <s v="2661"/>
    <d v="2022-06-01T00:00:00"/>
    <s v="330202001"/>
    <s v="306"/>
    <s v="33"/>
    <s v="Credito"/>
    <x v="2"/>
    <x v="216"/>
    <m/>
    <s v="000252"/>
    <s v="000132"/>
    <n v="1396"/>
    <s v="0,00"/>
    <s v="0,00"/>
    <s v="0,00"/>
    <s v="0,00"/>
    <s v="ORC2022_2"/>
    <s v="0012"/>
    <m/>
    <m/>
    <m/>
    <m/>
    <m/>
  </r>
  <r>
    <s v="PF-CONSULTORIA E ASSESSORIA"/>
    <x v="7"/>
    <x v="13"/>
    <n v="158152.64000000001"/>
    <s v="0000000127"/>
    <s v="2662"/>
    <d v="2022-06-01T00:00:00"/>
    <s v="330202001"/>
    <s v="201"/>
    <s v="90"/>
    <s v="Credito"/>
    <x v="2"/>
    <x v="216"/>
    <m/>
    <s v="000252"/>
    <s v="000132"/>
    <n v="158152.64000000001"/>
    <s v="0,00"/>
    <s v="0,00"/>
    <s v="0,00"/>
    <s v="0,00"/>
    <s v="ORC2022_2"/>
    <s v="0012"/>
    <m/>
    <m/>
    <m/>
    <m/>
    <m/>
  </r>
  <r>
    <s v="PF-CONSULTORIA E ASSESSORIA"/>
    <x v="7"/>
    <x v="13"/>
    <n v="399.61"/>
    <s v="0000000127"/>
    <s v="2663"/>
    <d v="2022-06-01T00:00:00"/>
    <s v="330202001"/>
    <s v="207"/>
    <s v="90"/>
    <s v="Credito"/>
    <x v="2"/>
    <x v="216"/>
    <m/>
    <s v="000252"/>
    <s v="000132"/>
    <n v="399.61"/>
    <s v="0,00"/>
    <s v="0,00"/>
    <s v="0,00"/>
    <s v="0,00"/>
    <s v="ORC2022_2"/>
    <s v="0012"/>
    <m/>
    <m/>
    <m/>
    <m/>
    <m/>
  </r>
  <r>
    <s v="PF-CONSULTORIA E ASSESSORIA"/>
    <x v="7"/>
    <x v="14"/>
    <n v="5000"/>
    <s v="0000000127"/>
    <s v="2664"/>
    <d v="2022-07-01T00:00:00"/>
    <s v="330202001"/>
    <s v="301"/>
    <s v="21"/>
    <s v="Credito"/>
    <x v="2"/>
    <x v="216"/>
    <m/>
    <s v="000252"/>
    <s v="000132"/>
    <n v="5000"/>
    <s v="0,00"/>
    <s v="0,00"/>
    <s v="0,00"/>
    <s v="0,00"/>
    <s v="ORC2022_2"/>
    <s v="0012"/>
    <m/>
    <m/>
    <m/>
    <m/>
    <m/>
  </r>
  <r>
    <s v="PF-CONSULTORIA E ASSESSORIA"/>
    <x v="7"/>
    <x v="14"/>
    <n v="1396"/>
    <s v="0000000127"/>
    <s v="2665"/>
    <d v="2022-07-01T00:00:00"/>
    <s v="330202001"/>
    <s v="306"/>
    <s v="33"/>
    <s v="Credito"/>
    <x v="2"/>
    <x v="216"/>
    <m/>
    <s v="000252"/>
    <s v="000132"/>
    <n v="1396"/>
    <s v="0,00"/>
    <s v="0,00"/>
    <s v="0,00"/>
    <s v="0,00"/>
    <s v="ORC2022_2"/>
    <s v="0012"/>
    <m/>
    <m/>
    <m/>
    <m/>
    <m/>
  </r>
  <r>
    <s v="PF-CONSULTORIA E ASSESSORIA"/>
    <x v="7"/>
    <x v="14"/>
    <n v="148005.4"/>
    <s v="0000000127"/>
    <s v="2666"/>
    <d v="2022-07-01T00:00:00"/>
    <s v="330202001"/>
    <s v="201"/>
    <s v="90"/>
    <s v="Credito"/>
    <x v="2"/>
    <x v="216"/>
    <m/>
    <s v="000252"/>
    <s v="000132"/>
    <n v="148005.4"/>
    <s v="0,00"/>
    <s v="0,00"/>
    <s v="0,00"/>
    <s v="0,00"/>
    <s v="ORC2022_2"/>
    <s v="0012"/>
    <m/>
    <m/>
    <m/>
    <m/>
    <m/>
  </r>
  <r>
    <s v="PF-CONSULTORIA E ASSESSORIA"/>
    <x v="7"/>
    <x v="14"/>
    <n v="399.61"/>
    <s v="0000000127"/>
    <s v="2667"/>
    <d v="2022-07-01T00:00:00"/>
    <s v="330202001"/>
    <s v="207"/>
    <s v="90"/>
    <s v="Credito"/>
    <x v="2"/>
    <x v="216"/>
    <m/>
    <s v="000252"/>
    <s v="000132"/>
    <n v="399.61"/>
    <s v="0,00"/>
    <s v="0,00"/>
    <s v="0,00"/>
    <s v="0,00"/>
    <s v="ORC2022_2"/>
    <s v="0012"/>
    <m/>
    <m/>
    <m/>
    <m/>
    <m/>
  </r>
  <r>
    <s v="PF-CONSULTORIA E ASSESSORIA"/>
    <x v="7"/>
    <x v="15"/>
    <n v="5000"/>
    <s v="0000000127"/>
    <s v="2668"/>
    <d v="2022-08-01T00:00:00"/>
    <s v="330202001"/>
    <s v="301"/>
    <s v="21"/>
    <s v="Credito"/>
    <x v="2"/>
    <x v="216"/>
    <m/>
    <s v="000252"/>
    <s v="000132"/>
    <n v="5000"/>
    <s v="0,00"/>
    <s v="0,00"/>
    <s v="0,00"/>
    <s v="0,00"/>
    <s v="ORC2022_2"/>
    <s v="0012"/>
    <m/>
    <m/>
    <m/>
    <m/>
    <m/>
  </r>
  <r>
    <s v="PF-CONSULTORIA E ASSESSORIA"/>
    <x v="7"/>
    <x v="15"/>
    <n v="1396"/>
    <s v="0000000127"/>
    <s v="2669"/>
    <d v="2022-08-01T00:00:00"/>
    <s v="330202001"/>
    <s v="306"/>
    <s v="33"/>
    <s v="Credito"/>
    <x v="2"/>
    <x v="216"/>
    <m/>
    <s v="000252"/>
    <s v="000132"/>
    <n v="1396"/>
    <s v="0,00"/>
    <s v="0,00"/>
    <s v="0,00"/>
    <s v="0,00"/>
    <s v="ORC2022_2"/>
    <s v="0012"/>
    <m/>
    <m/>
    <m/>
    <m/>
    <m/>
  </r>
  <r>
    <s v="PF-CONSULTORIA E ASSESSORIA"/>
    <x v="7"/>
    <x v="15"/>
    <n v="268764.18"/>
    <s v="0000000127"/>
    <s v="2670"/>
    <d v="2022-08-01T00:00:00"/>
    <s v="330202001"/>
    <s v="201"/>
    <s v="90"/>
    <s v="Credito"/>
    <x v="2"/>
    <x v="216"/>
    <m/>
    <s v="000252"/>
    <s v="000132"/>
    <n v="268764.18"/>
    <s v="0,00"/>
    <s v="0,00"/>
    <s v="0,00"/>
    <s v="0,00"/>
    <s v="ORC2022_2"/>
    <s v="0012"/>
    <m/>
    <m/>
    <m/>
    <m/>
    <m/>
  </r>
  <r>
    <s v="PF-CONSULTORIA E ASSESSORIA"/>
    <x v="7"/>
    <x v="15"/>
    <n v="399.61"/>
    <s v="0000000127"/>
    <s v="2671"/>
    <d v="2022-08-01T00:00:00"/>
    <s v="330202001"/>
    <s v="207"/>
    <s v="90"/>
    <s v="Credito"/>
    <x v="2"/>
    <x v="216"/>
    <m/>
    <s v="000252"/>
    <s v="000132"/>
    <n v="399.61"/>
    <s v="0,00"/>
    <s v="0,00"/>
    <s v="0,00"/>
    <s v="0,00"/>
    <s v="ORC2022_2"/>
    <s v="0012"/>
    <m/>
    <m/>
    <m/>
    <m/>
    <m/>
  </r>
  <r>
    <s v="PF-CONSULTORIA E ASSESSORIA"/>
    <x v="7"/>
    <x v="16"/>
    <n v="1515.92"/>
    <s v="0000000127"/>
    <s v="2672"/>
    <d v="2022-09-01T00:00:00"/>
    <s v="330202001"/>
    <s v="306"/>
    <s v="33"/>
    <s v="Credito"/>
    <x v="2"/>
    <x v="216"/>
    <m/>
    <s v="000252"/>
    <s v="000132"/>
    <n v="1515.92"/>
    <s v="0,00"/>
    <s v="0,00"/>
    <s v="0,00"/>
    <s v="0,00"/>
    <s v="ORC2022_2"/>
    <s v="0012"/>
    <m/>
    <m/>
    <m/>
    <m/>
    <m/>
  </r>
  <r>
    <s v="PF-CONSULTORIA E ASSESSORIA"/>
    <x v="7"/>
    <x v="16"/>
    <n v="117695.95"/>
    <s v="0000000127"/>
    <s v="2673"/>
    <d v="2022-09-01T00:00:00"/>
    <s v="330202001"/>
    <s v="201"/>
    <s v="90"/>
    <s v="Credito"/>
    <x v="2"/>
    <x v="216"/>
    <m/>
    <s v="000252"/>
    <s v="000132"/>
    <n v="117695.95"/>
    <s v="0,00"/>
    <s v="0,00"/>
    <s v="0,00"/>
    <s v="0,00"/>
    <s v="ORC2022_2"/>
    <s v="0012"/>
    <m/>
    <m/>
    <m/>
    <m/>
    <m/>
  </r>
  <r>
    <s v="PF-CONSULTORIA E ASSESSORIA"/>
    <x v="7"/>
    <x v="16"/>
    <n v="399.61"/>
    <s v="0000000127"/>
    <s v="2674"/>
    <d v="2022-09-01T00:00:00"/>
    <s v="330202001"/>
    <s v="207"/>
    <s v="90"/>
    <s v="Credito"/>
    <x v="2"/>
    <x v="216"/>
    <m/>
    <s v="000252"/>
    <s v="000132"/>
    <n v="399.61"/>
    <s v="0,00"/>
    <s v="0,00"/>
    <s v="0,00"/>
    <s v="0,00"/>
    <s v="ORC2022_2"/>
    <s v="0012"/>
    <m/>
    <m/>
    <m/>
    <m/>
    <m/>
  </r>
  <r>
    <s v="PF-CONSULTORIA E ASSESSORIA"/>
    <x v="7"/>
    <x v="16"/>
    <n v="5000"/>
    <s v="0000000127"/>
    <s v="2675"/>
    <d v="2022-09-01T00:00:00"/>
    <s v="330202001"/>
    <s v="301"/>
    <s v="90"/>
    <s v="Credito"/>
    <x v="2"/>
    <x v="216"/>
    <m/>
    <s v="000252"/>
    <s v="000132"/>
    <n v="5000"/>
    <s v="0,00"/>
    <s v="0,00"/>
    <s v="0,00"/>
    <s v="0,00"/>
    <s v="ORC2022_2"/>
    <s v="0012"/>
    <m/>
    <m/>
    <m/>
    <m/>
    <m/>
  </r>
  <r>
    <s v="PF-CONSULTORIA E ASSESSORIA"/>
    <x v="7"/>
    <x v="17"/>
    <n v="1531.08"/>
    <s v="0000000127"/>
    <s v="2676"/>
    <d v="2022-10-01T00:00:00"/>
    <s v="330202001"/>
    <s v="306"/>
    <s v="33"/>
    <s v="Credito"/>
    <x v="2"/>
    <x v="216"/>
    <m/>
    <s v="000252"/>
    <s v="000132"/>
    <n v="1531.08"/>
    <s v="0,00"/>
    <s v="0,00"/>
    <s v="0,00"/>
    <s v="0,00"/>
    <s v="ORC2022_2"/>
    <s v="0012"/>
    <m/>
    <m/>
    <m/>
    <m/>
    <m/>
  </r>
  <r>
    <s v="PF-CONSULTORIA E ASSESSORIA"/>
    <x v="7"/>
    <x v="17"/>
    <n v="118872.91"/>
    <s v="0000000127"/>
    <s v="2677"/>
    <d v="2022-10-01T00:00:00"/>
    <s v="330202001"/>
    <s v="201"/>
    <s v="90"/>
    <s v="Credito"/>
    <x v="2"/>
    <x v="216"/>
    <m/>
    <s v="000252"/>
    <s v="000132"/>
    <n v="118872.91"/>
    <s v="0,00"/>
    <s v="0,00"/>
    <s v="0,00"/>
    <s v="0,00"/>
    <s v="ORC2022_2"/>
    <s v="0012"/>
    <m/>
    <m/>
    <m/>
    <m/>
    <m/>
  </r>
  <r>
    <s v="PF-CONSULTORIA E ASSESSORIA"/>
    <x v="7"/>
    <x v="17"/>
    <n v="403.61"/>
    <s v="0000000127"/>
    <s v="2678"/>
    <d v="2022-10-01T00:00:00"/>
    <s v="330202001"/>
    <s v="207"/>
    <s v="90"/>
    <s v="Credito"/>
    <x v="2"/>
    <x v="216"/>
    <m/>
    <s v="000252"/>
    <s v="000132"/>
    <n v="403.61"/>
    <s v="0,00"/>
    <s v="0,00"/>
    <s v="0,00"/>
    <s v="0,00"/>
    <s v="ORC2022_2"/>
    <s v="0012"/>
    <m/>
    <m/>
    <m/>
    <m/>
    <m/>
  </r>
  <r>
    <s v="PF-CONSULTORIA E ASSESSORIA"/>
    <x v="7"/>
    <x v="17"/>
    <n v="5050"/>
    <s v="0000000127"/>
    <s v="2679"/>
    <d v="2022-10-01T00:00:00"/>
    <s v="330202001"/>
    <s v="301"/>
    <s v="90"/>
    <s v="Credito"/>
    <x v="2"/>
    <x v="216"/>
    <m/>
    <s v="000252"/>
    <s v="000132"/>
    <n v="5050"/>
    <s v="0,00"/>
    <s v="0,00"/>
    <s v="0,00"/>
    <s v="0,00"/>
    <s v="ORC2022_2"/>
    <s v="0012"/>
    <m/>
    <m/>
    <m/>
    <m/>
    <m/>
  </r>
  <r>
    <s v="PF-CONSULTORIA E ASSESSORIA"/>
    <x v="7"/>
    <x v="0"/>
    <n v="1546.39"/>
    <s v="0000000127"/>
    <s v="2680"/>
    <d v="2022-11-01T00:00:00"/>
    <s v="330202001"/>
    <s v="306"/>
    <s v="33"/>
    <s v="Credito"/>
    <x v="2"/>
    <x v="216"/>
    <m/>
    <s v="000252"/>
    <s v="000132"/>
    <n v="1546.39"/>
    <s v="0,00"/>
    <s v="0,00"/>
    <s v="0,00"/>
    <s v="0,00"/>
    <s v="ORC2022_2"/>
    <s v="0012"/>
    <m/>
    <m/>
    <m/>
    <m/>
    <m/>
  </r>
  <r>
    <s v="PF-CONSULTORIA E ASSESSORIA"/>
    <x v="7"/>
    <x v="0"/>
    <n v="120061.64"/>
    <s v="0000000127"/>
    <s v="2681"/>
    <d v="2022-11-01T00:00:00"/>
    <s v="330202001"/>
    <s v="201"/>
    <s v="90"/>
    <s v="Credito"/>
    <x v="2"/>
    <x v="216"/>
    <m/>
    <s v="000252"/>
    <s v="000132"/>
    <n v="120061.64"/>
    <s v="0,00"/>
    <s v="0,00"/>
    <s v="0,00"/>
    <s v="0,00"/>
    <s v="ORC2022_2"/>
    <s v="0012"/>
    <m/>
    <m/>
    <m/>
    <m/>
    <m/>
  </r>
  <r>
    <s v="PF-CONSULTORIA E ASSESSORIA"/>
    <x v="7"/>
    <x v="0"/>
    <n v="407.64"/>
    <s v="0000000127"/>
    <s v="2682"/>
    <d v="2022-11-01T00:00:00"/>
    <s v="330202001"/>
    <s v="207"/>
    <s v="90"/>
    <s v="Credito"/>
    <x v="2"/>
    <x v="216"/>
    <m/>
    <s v="000252"/>
    <s v="000132"/>
    <n v="407.64"/>
    <s v="0,00"/>
    <s v="0,00"/>
    <s v="0,00"/>
    <s v="0,00"/>
    <s v="ORC2022_2"/>
    <s v="0012"/>
    <m/>
    <m/>
    <m/>
    <m/>
    <m/>
  </r>
  <r>
    <s v="PF-CONSULTORIA E ASSESSORIA"/>
    <x v="7"/>
    <x v="0"/>
    <n v="5100.5"/>
    <s v="0000000127"/>
    <s v="2683"/>
    <d v="2022-11-01T00:00:00"/>
    <s v="330202001"/>
    <s v="301"/>
    <s v="90"/>
    <s v="Credito"/>
    <x v="2"/>
    <x v="216"/>
    <m/>
    <s v="000252"/>
    <s v="000132"/>
    <n v="5100.5"/>
    <s v="0,00"/>
    <s v="0,00"/>
    <s v="0,00"/>
    <s v="0,00"/>
    <s v="ORC2022_2"/>
    <s v="0012"/>
    <m/>
    <m/>
    <m/>
    <m/>
    <m/>
  </r>
  <r>
    <s v="PF-CONSULTORIA E ASSESSORIA"/>
    <x v="7"/>
    <x v="1"/>
    <n v="1561.85"/>
    <s v="0000000127"/>
    <s v="2684"/>
    <d v="2022-12-01T00:00:00"/>
    <s v="330202001"/>
    <s v="306"/>
    <s v="33"/>
    <s v="Credito"/>
    <x v="2"/>
    <x v="216"/>
    <m/>
    <s v="000252"/>
    <s v="000132"/>
    <n v="1561.85"/>
    <s v="0,00"/>
    <s v="0,00"/>
    <s v="0,00"/>
    <s v="0,00"/>
    <s v="ORC2022_2"/>
    <s v="0012"/>
    <m/>
    <m/>
    <m/>
    <m/>
    <m/>
  </r>
  <r>
    <s v="PF-CONSULTORIA E ASSESSORIA"/>
    <x v="7"/>
    <x v="1"/>
    <n v="121262.25"/>
    <s v="0000000127"/>
    <s v="2685"/>
    <d v="2022-12-01T00:00:00"/>
    <s v="330202001"/>
    <s v="201"/>
    <s v="90"/>
    <s v="Credito"/>
    <x v="2"/>
    <x v="216"/>
    <m/>
    <s v="000252"/>
    <s v="000132"/>
    <n v="121262.25"/>
    <s v="0,00"/>
    <s v="0,00"/>
    <s v="0,00"/>
    <s v="0,00"/>
    <s v="ORC2022_2"/>
    <s v="0012"/>
    <m/>
    <m/>
    <m/>
    <m/>
    <m/>
  </r>
  <r>
    <s v="PF-CONSULTORIA E ASSESSORIA"/>
    <x v="7"/>
    <x v="1"/>
    <n v="411.72"/>
    <s v="0000000127"/>
    <s v="2686"/>
    <d v="2022-12-01T00:00:00"/>
    <s v="330202001"/>
    <s v="207"/>
    <s v="90"/>
    <s v="Credito"/>
    <x v="2"/>
    <x v="216"/>
    <m/>
    <s v="000252"/>
    <s v="000132"/>
    <n v="411.72"/>
    <s v="0,00"/>
    <s v="0,00"/>
    <s v="0,00"/>
    <s v="0,00"/>
    <s v="ORC2022_2"/>
    <s v="0012"/>
    <m/>
    <m/>
    <m/>
    <m/>
    <m/>
  </r>
  <r>
    <s v="PF-CONSULTORIA E ASSESSORIA"/>
    <x v="7"/>
    <x v="1"/>
    <n v="5151.51"/>
    <s v="0000000127"/>
    <s v="2687"/>
    <d v="2022-12-01T00:00:00"/>
    <s v="330202001"/>
    <s v="301"/>
    <s v="90"/>
    <s v="Credito"/>
    <x v="2"/>
    <x v="216"/>
    <m/>
    <s v="000252"/>
    <s v="000132"/>
    <n v="5151.51"/>
    <s v="0,00"/>
    <s v="0,00"/>
    <s v="0,00"/>
    <s v="0,00"/>
    <s v="ORC2022_2"/>
    <s v="0012"/>
    <m/>
    <m/>
    <m/>
    <m/>
    <m/>
  </r>
  <r>
    <s v="PF-OUTROS SERVICOS CONTRATADOS-PF"/>
    <x v="50"/>
    <x v="16"/>
    <n v="150"/>
    <s v="0000000127"/>
    <s v="2688"/>
    <d v="2022-09-01T00:00:00"/>
    <s v="330202003"/>
    <s v="301"/>
    <s v="90"/>
    <s v="Credito"/>
    <x v="2"/>
    <x v="216"/>
    <m/>
    <s v="000252"/>
    <s v="000132"/>
    <n v="150"/>
    <s v="0,00"/>
    <s v="0,00"/>
    <s v="0,00"/>
    <s v="0,00"/>
    <s v="ORC2022_2"/>
    <s v="0012"/>
    <m/>
    <m/>
    <m/>
    <m/>
    <m/>
  </r>
  <r>
    <s v="PF-OUTROS SERVICOS CONTRATADOS-PF"/>
    <x v="50"/>
    <x v="17"/>
    <n v="151.5"/>
    <s v="0000000127"/>
    <s v="2689"/>
    <d v="2022-10-01T00:00:00"/>
    <s v="330202003"/>
    <s v="301"/>
    <s v="90"/>
    <s v="Credito"/>
    <x v="2"/>
    <x v="216"/>
    <m/>
    <s v="000252"/>
    <s v="000132"/>
    <n v="151.5"/>
    <s v="0,00"/>
    <s v="0,00"/>
    <s v="0,00"/>
    <s v="0,00"/>
    <s v="ORC2022_2"/>
    <s v="0012"/>
    <m/>
    <m/>
    <m/>
    <m/>
    <m/>
  </r>
  <r>
    <s v="PF-OUTROS SERVICOS CONTRATADOS-PF"/>
    <x v="50"/>
    <x v="0"/>
    <n v="153.02000000000001"/>
    <s v="0000000127"/>
    <s v="2690"/>
    <d v="2022-11-01T00:00:00"/>
    <s v="330202003"/>
    <s v="301"/>
    <s v="90"/>
    <s v="Credito"/>
    <x v="2"/>
    <x v="216"/>
    <m/>
    <s v="000252"/>
    <s v="000132"/>
    <n v="153.02000000000001"/>
    <s v="0,00"/>
    <s v="0,00"/>
    <s v="0,00"/>
    <s v="0,00"/>
    <s v="ORC2022_2"/>
    <s v="0012"/>
    <m/>
    <m/>
    <m/>
    <m/>
    <m/>
  </r>
  <r>
    <s v="PF-OUTROS SERVICOS CONTRATADOS-PF"/>
    <x v="50"/>
    <x v="1"/>
    <n v="154.55000000000001"/>
    <s v="0000000127"/>
    <s v="2691"/>
    <d v="2022-12-01T00:00:00"/>
    <s v="330202003"/>
    <s v="301"/>
    <s v="90"/>
    <s v="Credito"/>
    <x v="2"/>
    <x v="216"/>
    <m/>
    <s v="000252"/>
    <s v="000132"/>
    <n v="154.55000000000001"/>
    <s v="0,00"/>
    <s v="0,00"/>
    <s v="0,00"/>
    <s v="0,00"/>
    <s v="ORC2022_2"/>
    <s v="0012"/>
    <m/>
    <m/>
    <m/>
    <m/>
    <m/>
  </r>
  <r>
    <s v="COMBUSTIVEIS"/>
    <x v="11"/>
    <x v="8"/>
    <n v="701.66"/>
    <s v="0000000127"/>
    <s v="2692"/>
    <d v="2022-01-01T00:00:00"/>
    <s v="330301001"/>
    <s v="211"/>
    <s v="51"/>
    <s v="Credito"/>
    <x v="2"/>
    <x v="216"/>
    <m/>
    <s v="000252"/>
    <s v="000132"/>
    <n v="701.66"/>
    <s v="0,00"/>
    <s v="0,00"/>
    <s v="0,00"/>
    <s v="0,00"/>
    <s v="ORC2022_2"/>
    <s v="0012"/>
    <m/>
    <m/>
    <m/>
    <m/>
    <m/>
  </r>
  <r>
    <s v="COMBUSTIVEIS"/>
    <x v="11"/>
    <x v="8"/>
    <n v="859.85"/>
    <s v="0000000127"/>
    <s v="2693"/>
    <d v="2022-01-01T00:00:00"/>
    <s v="330301001"/>
    <s v="101"/>
    <s v="90"/>
    <s v="Credito"/>
    <x v="2"/>
    <x v="216"/>
    <m/>
    <s v="000252"/>
    <s v="000132"/>
    <n v="859.85"/>
    <s v="0,00"/>
    <s v="0,00"/>
    <s v="0,00"/>
    <s v="0,00"/>
    <s v="ORC2022_2"/>
    <s v="0012"/>
    <m/>
    <m/>
    <m/>
    <m/>
    <m/>
  </r>
  <r>
    <s v="COMBUSTIVEIS"/>
    <x v="11"/>
    <x v="8"/>
    <n v="1325.58"/>
    <s v="0000000127"/>
    <s v="2694"/>
    <d v="2022-01-01T00:00:00"/>
    <s v="330301001"/>
    <s v="201"/>
    <s v="90"/>
    <s v="Credito"/>
    <x v="2"/>
    <x v="216"/>
    <m/>
    <s v="000252"/>
    <s v="000132"/>
    <n v="1325.58"/>
    <s v="0,00"/>
    <s v="0,00"/>
    <s v="0,00"/>
    <s v="0,00"/>
    <s v="ORC2022_2"/>
    <s v="0012"/>
    <m/>
    <m/>
    <m/>
    <m/>
    <m/>
  </r>
  <r>
    <s v="COMBUSTIVEIS"/>
    <x v="11"/>
    <x v="9"/>
    <n v="544.24"/>
    <s v="0000000127"/>
    <s v="2695"/>
    <d v="2022-02-01T00:00:00"/>
    <s v="330301001"/>
    <s v="211"/>
    <s v="51"/>
    <s v="Credito"/>
    <x v="2"/>
    <x v="216"/>
    <m/>
    <s v="000252"/>
    <s v="000132"/>
    <n v="544.24"/>
    <s v="0,00"/>
    <s v="0,00"/>
    <s v="0,00"/>
    <s v="0,00"/>
    <s v="ORC2022_2"/>
    <s v="0012"/>
    <m/>
    <m/>
    <m/>
    <m/>
    <m/>
  </r>
  <r>
    <s v="COMBUSTIVEIS"/>
    <x v="11"/>
    <x v="9"/>
    <n v="1457.09"/>
    <s v="0000000127"/>
    <s v="2696"/>
    <d v="2022-02-01T00:00:00"/>
    <s v="330301001"/>
    <s v="201"/>
    <s v="90"/>
    <s v="Credito"/>
    <x v="2"/>
    <x v="216"/>
    <m/>
    <s v="000252"/>
    <s v="000132"/>
    <n v="1457.09"/>
    <s v="0,00"/>
    <s v="0,00"/>
    <s v="0,00"/>
    <s v="0,00"/>
    <s v="ORC2022_2"/>
    <s v="0012"/>
    <m/>
    <m/>
    <m/>
    <m/>
    <m/>
  </r>
  <r>
    <s v="COMBUSTIVEIS"/>
    <x v="11"/>
    <x v="10"/>
    <n v="443.53"/>
    <s v="0000000127"/>
    <s v="2697"/>
    <d v="2022-03-01T00:00:00"/>
    <s v="330301001"/>
    <s v="211"/>
    <s v="51"/>
    <s v="Credito"/>
    <x v="2"/>
    <x v="216"/>
    <m/>
    <s v="000252"/>
    <s v="000132"/>
    <n v="443.53"/>
    <s v="0,00"/>
    <s v="0,00"/>
    <s v="0,00"/>
    <s v="0,00"/>
    <s v="ORC2022_2"/>
    <s v="0012"/>
    <m/>
    <m/>
    <m/>
    <m/>
    <m/>
  </r>
  <r>
    <s v="COMBUSTIVEIS"/>
    <x v="11"/>
    <x v="10"/>
    <n v="1016.24"/>
    <s v="0000000127"/>
    <s v="2698"/>
    <d v="2022-03-01T00:00:00"/>
    <s v="330301001"/>
    <s v="201"/>
    <s v="90"/>
    <s v="Credito"/>
    <x v="2"/>
    <x v="216"/>
    <m/>
    <s v="000252"/>
    <s v="000132"/>
    <n v="1016.24"/>
    <s v="0,00"/>
    <s v="0,00"/>
    <s v="0,00"/>
    <s v="0,00"/>
    <s v="ORC2022_2"/>
    <s v="0012"/>
    <m/>
    <m/>
    <m/>
    <m/>
    <m/>
  </r>
  <r>
    <s v="COMBUSTIVEIS"/>
    <x v="11"/>
    <x v="11"/>
    <n v="832.71"/>
    <s v="0000000127"/>
    <s v="2699"/>
    <d v="2022-04-01T00:00:00"/>
    <s v="330301001"/>
    <s v="211"/>
    <s v="51"/>
    <s v="Credito"/>
    <x v="2"/>
    <x v="216"/>
    <m/>
    <s v="000252"/>
    <s v="000132"/>
    <n v="832.71"/>
    <s v="0,00"/>
    <s v="0,00"/>
    <s v="0,00"/>
    <s v="0,00"/>
    <s v="ORC2022_2"/>
    <s v="0012"/>
    <m/>
    <m/>
    <m/>
    <m/>
    <m/>
  </r>
  <r>
    <s v="COMBUSTIVEIS"/>
    <x v="11"/>
    <x v="11"/>
    <n v="1520.45"/>
    <s v="0000000127"/>
    <s v="2700"/>
    <d v="2022-04-01T00:00:00"/>
    <s v="330301001"/>
    <s v="201"/>
    <s v="90"/>
    <s v="Credito"/>
    <x v="2"/>
    <x v="216"/>
    <m/>
    <s v="000252"/>
    <s v="000132"/>
    <n v="1520.45"/>
    <s v="0,00"/>
    <s v="0,00"/>
    <s v="0,00"/>
    <s v="0,00"/>
    <s v="ORC2022_2"/>
    <s v="0012"/>
    <m/>
    <m/>
    <m/>
    <m/>
    <m/>
  </r>
  <r>
    <s v="COMBUSTIVEIS"/>
    <x v="11"/>
    <x v="12"/>
    <n v="1685.19"/>
    <s v="0000000127"/>
    <s v="2701"/>
    <d v="2022-05-01T00:00:00"/>
    <s v="330301001"/>
    <s v="211"/>
    <s v="51"/>
    <s v="Credito"/>
    <x v="2"/>
    <x v="216"/>
    <m/>
    <s v="000252"/>
    <s v="000132"/>
    <n v="1685.19"/>
    <s v="0,00"/>
    <s v="0,00"/>
    <s v="0,00"/>
    <s v="0,00"/>
    <s v="ORC2022_2"/>
    <s v="0012"/>
    <m/>
    <m/>
    <m/>
    <m/>
    <m/>
  </r>
  <r>
    <s v="COMBUSTIVEIS"/>
    <x v="11"/>
    <x v="12"/>
    <n v="1467.93"/>
    <s v="0000000127"/>
    <s v="2702"/>
    <d v="2022-05-01T00:00:00"/>
    <s v="330301001"/>
    <s v="201"/>
    <s v="90"/>
    <s v="Credito"/>
    <x v="2"/>
    <x v="216"/>
    <m/>
    <s v="000252"/>
    <s v="000132"/>
    <n v="1467.93"/>
    <s v="0,00"/>
    <s v="0,00"/>
    <s v="0,00"/>
    <s v="0,00"/>
    <s v="ORC2022_2"/>
    <s v="0012"/>
    <m/>
    <m/>
    <m/>
    <m/>
    <m/>
  </r>
  <r>
    <s v="COMBUSTIVEIS"/>
    <x v="11"/>
    <x v="12"/>
    <n v="1615.17"/>
    <s v="0000000127"/>
    <s v="2703"/>
    <d v="2022-05-01T00:00:00"/>
    <s v="330301001"/>
    <s v="210"/>
    <s v="90"/>
    <s v="Credito"/>
    <x v="2"/>
    <x v="216"/>
    <m/>
    <s v="000252"/>
    <s v="000132"/>
    <n v="1615.17"/>
    <s v="0,00"/>
    <s v="0,00"/>
    <s v="0,00"/>
    <s v="0,00"/>
    <s v="ORC2022_2"/>
    <s v="0012"/>
    <m/>
    <m/>
    <m/>
    <m/>
    <m/>
  </r>
  <r>
    <s v="COMBUSTIVEIS"/>
    <x v="11"/>
    <x v="13"/>
    <n v="1229.79"/>
    <s v="0000000127"/>
    <s v="2704"/>
    <d v="2022-06-01T00:00:00"/>
    <s v="330301001"/>
    <s v="211"/>
    <s v="51"/>
    <s v="Credito"/>
    <x v="2"/>
    <x v="216"/>
    <m/>
    <s v="000252"/>
    <s v="000132"/>
    <n v="1229.79"/>
    <s v="0,00"/>
    <s v="0,00"/>
    <s v="0,00"/>
    <s v="0,00"/>
    <s v="ORC2022_2"/>
    <s v="0012"/>
    <m/>
    <m/>
    <m/>
    <m/>
    <m/>
  </r>
  <r>
    <s v="COMBUSTIVEIS"/>
    <x v="11"/>
    <x v="13"/>
    <n v="424.98"/>
    <s v="0000000127"/>
    <s v="2705"/>
    <d v="2022-06-01T00:00:00"/>
    <s v="330301001"/>
    <s v="101"/>
    <s v="90"/>
    <s v="Credito"/>
    <x v="2"/>
    <x v="216"/>
    <m/>
    <s v="000252"/>
    <s v="000132"/>
    <n v="424.98"/>
    <s v="0,00"/>
    <s v="0,00"/>
    <s v="0,00"/>
    <s v="0,00"/>
    <s v="ORC2022_2"/>
    <s v="0012"/>
    <m/>
    <m/>
    <m/>
    <m/>
    <m/>
  </r>
  <r>
    <s v="COMBUSTIVEIS"/>
    <x v="11"/>
    <x v="13"/>
    <n v="1749.89"/>
    <s v="0000000127"/>
    <s v="2706"/>
    <d v="2022-06-01T00:00:00"/>
    <s v="330301001"/>
    <s v="201"/>
    <s v="90"/>
    <s v="Credito"/>
    <x v="2"/>
    <x v="216"/>
    <m/>
    <s v="000252"/>
    <s v="000132"/>
    <n v="1749.89"/>
    <s v="0,00"/>
    <s v="0,00"/>
    <s v="0,00"/>
    <s v="0,00"/>
    <s v="ORC2022_2"/>
    <s v="0012"/>
    <m/>
    <m/>
    <m/>
    <m/>
    <m/>
  </r>
  <r>
    <s v="COMBUSTIVEIS"/>
    <x v="11"/>
    <x v="14"/>
    <n v="443.29"/>
    <s v="0000000127"/>
    <s v="2707"/>
    <d v="2022-07-01T00:00:00"/>
    <s v="330301001"/>
    <s v="211"/>
    <s v="51"/>
    <s v="Credito"/>
    <x v="2"/>
    <x v="216"/>
    <m/>
    <s v="000252"/>
    <s v="000132"/>
    <n v="443.29"/>
    <s v="0,00"/>
    <s v="0,00"/>
    <s v="0,00"/>
    <s v="0,00"/>
    <s v="ORC2022_2"/>
    <s v="0012"/>
    <m/>
    <m/>
    <m/>
    <m/>
    <m/>
  </r>
  <r>
    <s v="COMBUSTIVEIS"/>
    <x v="11"/>
    <x v="14"/>
    <n v="1690.14"/>
    <s v="0000000127"/>
    <s v="2708"/>
    <d v="2022-07-01T00:00:00"/>
    <s v="330301001"/>
    <s v="201"/>
    <s v="90"/>
    <s v="Credito"/>
    <x v="2"/>
    <x v="216"/>
    <m/>
    <s v="000252"/>
    <s v="000132"/>
    <n v="1690.14"/>
    <s v="0,00"/>
    <s v="0,00"/>
    <s v="0,00"/>
    <s v="0,00"/>
    <s v="ORC2022_2"/>
    <s v="0012"/>
    <m/>
    <m/>
    <m/>
    <m/>
    <m/>
  </r>
  <r>
    <s v="COMBUSTIVEIS"/>
    <x v="11"/>
    <x v="15"/>
    <n v="283.58999999999997"/>
    <s v="0000000127"/>
    <s v="2709"/>
    <d v="2022-08-01T00:00:00"/>
    <s v="330301001"/>
    <s v="211"/>
    <s v="51"/>
    <s v="Credito"/>
    <x v="2"/>
    <x v="216"/>
    <m/>
    <s v="000252"/>
    <s v="000132"/>
    <n v="283.58999999999997"/>
    <s v="0,00"/>
    <s v="0,00"/>
    <s v="0,00"/>
    <s v="0,00"/>
    <s v="ORC2022_2"/>
    <s v="0012"/>
    <m/>
    <m/>
    <m/>
    <m/>
    <m/>
  </r>
  <r>
    <s v="COMBUSTIVEIS"/>
    <x v="11"/>
    <x v="15"/>
    <n v="230.57"/>
    <s v="0000000127"/>
    <s v="2710"/>
    <d v="2022-08-01T00:00:00"/>
    <s v="330301001"/>
    <s v="101"/>
    <s v="90"/>
    <s v="Credito"/>
    <x v="2"/>
    <x v="216"/>
    <m/>
    <s v="000252"/>
    <s v="000132"/>
    <n v="230.57"/>
    <s v="0,00"/>
    <s v="0,00"/>
    <s v="0,00"/>
    <s v="0,00"/>
    <s v="ORC2022_2"/>
    <s v="0012"/>
    <m/>
    <m/>
    <m/>
    <m/>
    <m/>
  </r>
  <r>
    <s v="COMBUSTIVEIS"/>
    <x v="11"/>
    <x v="15"/>
    <n v="1333.04"/>
    <s v="0000000127"/>
    <s v="2711"/>
    <d v="2022-08-01T00:00:00"/>
    <s v="330301001"/>
    <s v="201"/>
    <s v="90"/>
    <s v="Credito"/>
    <x v="2"/>
    <x v="216"/>
    <m/>
    <s v="000252"/>
    <s v="000132"/>
    <n v="1333.04"/>
    <s v="0,00"/>
    <s v="0,00"/>
    <s v="0,00"/>
    <s v="0,00"/>
    <s v="ORC2022_2"/>
    <s v="0012"/>
    <m/>
    <m/>
    <m/>
    <m/>
    <m/>
  </r>
  <r>
    <s v="COMBUSTIVEIS"/>
    <x v="11"/>
    <x v="16"/>
    <n v="640.66"/>
    <s v="0000000127"/>
    <s v="2712"/>
    <d v="2022-09-01T00:00:00"/>
    <s v="330301001"/>
    <s v="211"/>
    <s v="51"/>
    <s v="Credito"/>
    <x v="2"/>
    <x v="216"/>
    <m/>
    <s v="000252"/>
    <s v="000132"/>
    <n v="640.66"/>
    <s v="0,00"/>
    <s v="0,00"/>
    <s v="0,00"/>
    <s v="0,00"/>
    <s v="ORC2022_2"/>
    <s v="0012"/>
    <m/>
    <m/>
    <m/>
    <m/>
    <m/>
  </r>
  <r>
    <s v="COMBUSTIVEIS"/>
    <x v="11"/>
    <x v="16"/>
    <n v="232.43"/>
    <s v="0000000127"/>
    <s v="2713"/>
    <d v="2022-09-01T00:00:00"/>
    <s v="330301001"/>
    <s v="101"/>
    <s v="90"/>
    <s v="Credito"/>
    <x v="2"/>
    <x v="216"/>
    <m/>
    <s v="000252"/>
    <s v="000132"/>
    <n v="232.43"/>
    <s v="0,00"/>
    <s v="0,00"/>
    <s v="0,00"/>
    <s v="0,00"/>
    <s v="ORC2022_2"/>
    <s v="0012"/>
    <m/>
    <m/>
    <m/>
    <m/>
    <m/>
  </r>
  <r>
    <s v="COMBUSTIVEIS"/>
    <x v="11"/>
    <x v="16"/>
    <n v="9655.42"/>
    <s v="0000000127"/>
    <s v="2714"/>
    <d v="2022-09-01T00:00:00"/>
    <s v="330301001"/>
    <s v="201"/>
    <s v="90"/>
    <s v="Credito"/>
    <x v="2"/>
    <x v="216"/>
    <m/>
    <s v="000252"/>
    <s v="000132"/>
    <n v="9655.42"/>
    <s v="0,00"/>
    <s v="0,00"/>
    <s v="0,00"/>
    <s v="0,00"/>
    <s v="ORC2022_2"/>
    <s v="0012"/>
    <m/>
    <m/>
    <m/>
    <m/>
    <m/>
  </r>
  <r>
    <s v="COMBUSTIVEIS"/>
    <x v="11"/>
    <x v="16"/>
    <n v="2830"/>
    <s v="0000000127"/>
    <s v="2715"/>
    <d v="2022-09-01T00:00:00"/>
    <s v="330301001"/>
    <s v="209"/>
    <s v="90"/>
    <s v="Credito"/>
    <x v="2"/>
    <x v="216"/>
    <m/>
    <s v="000252"/>
    <s v="000132"/>
    <n v="2830"/>
    <s v="0,00"/>
    <s v="0,00"/>
    <s v="0,00"/>
    <s v="0,00"/>
    <s v="ORC2022_2"/>
    <s v="0012"/>
    <m/>
    <m/>
    <m/>
    <m/>
    <m/>
  </r>
  <r>
    <s v="COMBUSTIVEIS"/>
    <x v="11"/>
    <x v="17"/>
    <n v="647.07000000000005"/>
    <s v="0000000127"/>
    <s v="2716"/>
    <d v="2022-10-01T00:00:00"/>
    <s v="330301001"/>
    <s v="211"/>
    <s v="51"/>
    <s v="Credito"/>
    <x v="2"/>
    <x v="216"/>
    <m/>
    <s v="000252"/>
    <s v="000132"/>
    <n v="647.07000000000005"/>
    <s v="0,00"/>
    <s v="0,00"/>
    <s v="0,00"/>
    <s v="0,00"/>
    <s v="ORC2022_2"/>
    <s v="0012"/>
    <m/>
    <m/>
    <m/>
    <m/>
    <m/>
  </r>
  <r>
    <s v="COMBUSTIVEIS"/>
    <x v="11"/>
    <x v="17"/>
    <n v="234.75"/>
    <s v="0000000127"/>
    <s v="2717"/>
    <d v="2022-10-01T00:00:00"/>
    <s v="330301001"/>
    <s v="101"/>
    <s v="90"/>
    <s v="Credito"/>
    <x v="2"/>
    <x v="216"/>
    <m/>
    <s v="000252"/>
    <s v="000132"/>
    <n v="234.75"/>
    <s v="0,00"/>
    <s v="0,00"/>
    <s v="0,00"/>
    <s v="0,00"/>
    <s v="ORC2022_2"/>
    <s v="0012"/>
    <m/>
    <m/>
    <m/>
    <m/>
    <m/>
  </r>
  <r>
    <s v="COMBUSTIVEIS"/>
    <x v="11"/>
    <x v="17"/>
    <n v="9751.9699999999993"/>
    <s v="0000000127"/>
    <s v="2718"/>
    <d v="2022-10-01T00:00:00"/>
    <s v="330301001"/>
    <s v="201"/>
    <s v="90"/>
    <s v="Credito"/>
    <x v="2"/>
    <x v="216"/>
    <m/>
    <s v="000252"/>
    <s v="000132"/>
    <n v="9751.9699999999993"/>
    <s v="0,00"/>
    <s v="0,00"/>
    <s v="0,00"/>
    <s v="0,00"/>
    <s v="ORC2022_2"/>
    <s v="0012"/>
    <m/>
    <m/>
    <m/>
    <m/>
    <m/>
  </r>
  <r>
    <s v="COMBUSTIVEIS"/>
    <x v="11"/>
    <x v="17"/>
    <n v="2858.3"/>
    <s v="0000000127"/>
    <s v="2719"/>
    <d v="2022-10-01T00:00:00"/>
    <s v="330301001"/>
    <s v="209"/>
    <s v="90"/>
    <s v="Credito"/>
    <x v="2"/>
    <x v="216"/>
    <m/>
    <s v="000252"/>
    <s v="000132"/>
    <n v="2858.3"/>
    <s v="0,00"/>
    <s v="0,00"/>
    <s v="0,00"/>
    <s v="0,00"/>
    <s v="ORC2022_2"/>
    <s v="0012"/>
    <m/>
    <m/>
    <m/>
    <m/>
    <m/>
  </r>
  <r>
    <s v="COMBUSTIVEIS"/>
    <x v="11"/>
    <x v="0"/>
    <n v="653.54"/>
    <s v="0000000127"/>
    <s v="2720"/>
    <d v="2022-11-01T00:00:00"/>
    <s v="330301001"/>
    <s v="211"/>
    <s v="51"/>
    <s v="Credito"/>
    <x v="2"/>
    <x v="216"/>
    <m/>
    <s v="000252"/>
    <s v="000132"/>
    <n v="653.54"/>
    <s v="0,00"/>
    <s v="0,00"/>
    <s v="0,00"/>
    <s v="0,00"/>
    <s v="ORC2022_2"/>
    <s v="0012"/>
    <m/>
    <m/>
    <m/>
    <m/>
    <m/>
  </r>
  <r>
    <s v="COMBUSTIVEIS"/>
    <x v="11"/>
    <x v="0"/>
    <n v="237.1"/>
    <s v="0000000127"/>
    <s v="2721"/>
    <d v="2022-11-01T00:00:00"/>
    <s v="330301001"/>
    <s v="101"/>
    <s v="90"/>
    <s v="Credito"/>
    <x v="2"/>
    <x v="216"/>
    <m/>
    <s v="000252"/>
    <s v="000132"/>
    <n v="237.1"/>
    <s v="0,00"/>
    <s v="0,00"/>
    <s v="0,00"/>
    <s v="0,00"/>
    <s v="ORC2022_2"/>
    <s v="0012"/>
    <m/>
    <m/>
    <m/>
    <m/>
    <m/>
  </r>
  <r>
    <s v="COMBUSTIVEIS"/>
    <x v="11"/>
    <x v="0"/>
    <n v="9849.49"/>
    <s v="0000000127"/>
    <s v="2722"/>
    <d v="2022-11-01T00:00:00"/>
    <s v="330301001"/>
    <s v="201"/>
    <s v="90"/>
    <s v="Credito"/>
    <x v="2"/>
    <x v="216"/>
    <m/>
    <s v="000252"/>
    <s v="000132"/>
    <n v="9849.49"/>
    <s v="0,00"/>
    <s v="0,00"/>
    <s v="0,00"/>
    <s v="0,00"/>
    <s v="ORC2022_2"/>
    <s v="0012"/>
    <m/>
    <m/>
    <m/>
    <m/>
    <m/>
  </r>
  <r>
    <s v="COMBUSTIVEIS"/>
    <x v="11"/>
    <x v="0"/>
    <n v="2886.88"/>
    <s v="0000000127"/>
    <s v="2723"/>
    <d v="2022-11-01T00:00:00"/>
    <s v="330301001"/>
    <s v="209"/>
    <s v="90"/>
    <s v="Credito"/>
    <x v="2"/>
    <x v="216"/>
    <m/>
    <s v="000252"/>
    <s v="000132"/>
    <n v="2886.88"/>
    <s v="0,00"/>
    <s v="0,00"/>
    <s v="0,00"/>
    <s v="0,00"/>
    <s v="ORC2022_2"/>
    <s v="0012"/>
    <m/>
    <m/>
    <m/>
    <m/>
    <m/>
  </r>
  <r>
    <s v="COMBUSTIVEIS"/>
    <x v="11"/>
    <x v="1"/>
    <n v="660.07"/>
    <s v="0000000127"/>
    <s v="2724"/>
    <d v="2022-12-01T00:00:00"/>
    <s v="330301001"/>
    <s v="211"/>
    <s v="51"/>
    <s v="Credito"/>
    <x v="2"/>
    <x v="216"/>
    <m/>
    <s v="000252"/>
    <s v="000132"/>
    <n v="660.07"/>
    <s v="0,00"/>
    <s v="0,00"/>
    <s v="0,00"/>
    <s v="0,00"/>
    <s v="ORC2022_2"/>
    <s v="0012"/>
    <m/>
    <m/>
    <m/>
    <m/>
    <m/>
  </r>
  <r>
    <s v="COMBUSTIVEIS"/>
    <x v="11"/>
    <x v="1"/>
    <n v="239.47"/>
    <s v="0000000127"/>
    <s v="2725"/>
    <d v="2022-12-01T00:00:00"/>
    <s v="330301001"/>
    <s v="101"/>
    <s v="90"/>
    <s v="Credito"/>
    <x v="2"/>
    <x v="216"/>
    <m/>
    <s v="000252"/>
    <s v="000132"/>
    <n v="239.47"/>
    <s v="0,00"/>
    <s v="0,00"/>
    <s v="0,00"/>
    <s v="0,00"/>
    <s v="ORC2022_2"/>
    <s v="0012"/>
    <m/>
    <m/>
    <m/>
    <m/>
    <m/>
  </r>
  <r>
    <s v="COMBUSTIVEIS"/>
    <x v="11"/>
    <x v="1"/>
    <n v="9947.99"/>
    <s v="0000000127"/>
    <s v="2726"/>
    <d v="2022-12-01T00:00:00"/>
    <s v="330301001"/>
    <s v="201"/>
    <s v="90"/>
    <s v="Credito"/>
    <x v="2"/>
    <x v="216"/>
    <m/>
    <s v="000252"/>
    <s v="000132"/>
    <n v="9947.99"/>
    <s v="0,00"/>
    <s v="0,00"/>
    <s v="0,00"/>
    <s v="0,00"/>
    <s v="ORC2022_2"/>
    <s v="0012"/>
    <m/>
    <m/>
    <m/>
    <m/>
    <m/>
  </r>
  <r>
    <s v="COMBUSTIVEIS"/>
    <x v="11"/>
    <x v="1"/>
    <n v="2915.75"/>
    <s v="0000000127"/>
    <s v="2727"/>
    <d v="2022-12-01T00:00:00"/>
    <s v="330301001"/>
    <s v="209"/>
    <s v="90"/>
    <s v="Credito"/>
    <x v="2"/>
    <x v="216"/>
    <m/>
    <s v="000252"/>
    <s v="000132"/>
    <n v="2915.75"/>
    <s v="0,00"/>
    <s v="0,00"/>
    <s v="0,00"/>
    <s v="0,00"/>
    <s v="ORC2022_2"/>
    <s v="0012"/>
    <m/>
    <m/>
    <m/>
    <m/>
    <m/>
  </r>
  <r>
    <s v="LUBRIFICANTES"/>
    <x v="51"/>
    <x v="8"/>
    <n v="38"/>
    <s v="0000000127"/>
    <s v="2728"/>
    <d v="2022-01-01T00:00:00"/>
    <s v="330301002"/>
    <s v="101"/>
    <s v="90"/>
    <s v="Credito"/>
    <x v="2"/>
    <x v="216"/>
    <m/>
    <s v="000252"/>
    <s v="000132"/>
    <n v="38"/>
    <s v="0,00"/>
    <s v="0,00"/>
    <s v="0,00"/>
    <s v="0,00"/>
    <s v="ORC2022_2"/>
    <s v="0012"/>
    <m/>
    <m/>
    <m/>
    <m/>
    <m/>
  </r>
  <r>
    <s v="LUBRIFICANTES"/>
    <x v="51"/>
    <x v="8"/>
    <n v="247.57"/>
    <s v="0000000127"/>
    <s v="2729"/>
    <d v="2022-01-01T00:00:00"/>
    <s v="330301002"/>
    <s v="201"/>
    <s v="90"/>
    <s v="Credito"/>
    <x v="2"/>
    <x v="216"/>
    <m/>
    <s v="000252"/>
    <s v="000132"/>
    <n v="247.57"/>
    <s v="0,00"/>
    <s v="0,00"/>
    <s v="0,00"/>
    <s v="0,00"/>
    <s v="ORC2022_2"/>
    <s v="0012"/>
    <m/>
    <m/>
    <m/>
    <m/>
    <m/>
  </r>
  <r>
    <s v="LUBRIFICANTES"/>
    <x v="51"/>
    <x v="9"/>
    <n v="814.7"/>
    <s v="0000000127"/>
    <s v="2730"/>
    <d v="2022-02-01T00:00:00"/>
    <s v="330301002"/>
    <s v="101"/>
    <s v="90"/>
    <s v="Credito"/>
    <x v="2"/>
    <x v="216"/>
    <m/>
    <s v="000252"/>
    <s v="000132"/>
    <n v="814.7"/>
    <s v="0,00"/>
    <s v="0,00"/>
    <s v="0,00"/>
    <s v="0,00"/>
    <s v="ORC2022_2"/>
    <s v="0012"/>
    <m/>
    <m/>
    <m/>
    <m/>
    <m/>
  </r>
  <r>
    <s v="LUBRIFICANTES"/>
    <x v="51"/>
    <x v="9"/>
    <n v="157.54"/>
    <s v="0000000127"/>
    <s v="2731"/>
    <d v="2022-02-01T00:00:00"/>
    <s v="330301002"/>
    <s v="201"/>
    <s v="90"/>
    <s v="Credito"/>
    <x v="2"/>
    <x v="216"/>
    <m/>
    <s v="000252"/>
    <s v="000132"/>
    <n v="157.54"/>
    <s v="0,00"/>
    <s v="0,00"/>
    <s v="0,00"/>
    <s v="0,00"/>
    <s v="ORC2022_2"/>
    <s v="0012"/>
    <m/>
    <m/>
    <m/>
    <m/>
    <m/>
  </r>
  <r>
    <s v="LUBRIFICANTES"/>
    <x v="51"/>
    <x v="9"/>
    <n v="230.82"/>
    <s v="0000000127"/>
    <s v="2732"/>
    <d v="2022-02-01T00:00:00"/>
    <s v="330301002"/>
    <s v="210"/>
    <s v="90"/>
    <s v="Credito"/>
    <x v="2"/>
    <x v="216"/>
    <m/>
    <s v="000252"/>
    <s v="000132"/>
    <n v="230.82"/>
    <s v="0,00"/>
    <s v="0,00"/>
    <s v="0,00"/>
    <s v="0,00"/>
    <s v="ORC2022_2"/>
    <s v="0012"/>
    <m/>
    <m/>
    <m/>
    <m/>
    <m/>
  </r>
  <r>
    <s v="LUBRIFICANTES"/>
    <x v="51"/>
    <x v="10"/>
    <n v="158.52000000000001"/>
    <s v="0000000127"/>
    <s v="2733"/>
    <d v="2022-03-01T00:00:00"/>
    <s v="330301002"/>
    <s v="201"/>
    <s v="90"/>
    <s v="Credito"/>
    <x v="2"/>
    <x v="216"/>
    <m/>
    <s v="000252"/>
    <s v="000132"/>
    <n v="158.52000000000001"/>
    <s v="0,00"/>
    <s v="0,00"/>
    <s v="0,00"/>
    <s v="0,00"/>
    <s v="ORC2022_2"/>
    <s v="0012"/>
    <m/>
    <m/>
    <m/>
    <m/>
    <m/>
  </r>
  <r>
    <s v="LUBRIFICANTES"/>
    <x v="51"/>
    <x v="12"/>
    <n v="228.27"/>
    <s v="0000000127"/>
    <s v="2734"/>
    <d v="2022-05-01T00:00:00"/>
    <s v="330301002"/>
    <s v="201"/>
    <s v="90"/>
    <s v="Credito"/>
    <x v="2"/>
    <x v="216"/>
    <m/>
    <s v="000252"/>
    <s v="000132"/>
    <n v="228.27"/>
    <s v="0,00"/>
    <s v="0,00"/>
    <s v="0,00"/>
    <s v="0,00"/>
    <s v="ORC2022_2"/>
    <s v="0012"/>
    <m/>
    <m/>
    <m/>
    <m/>
    <m/>
  </r>
  <r>
    <s v="LUBRIFICANTES"/>
    <x v="51"/>
    <x v="13"/>
    <n v="477.6"/>
    <s v="0000000127"/>
    <s v="2735"/>
    <d v="2022-06-01T00:00:00"/>
    <s v="330301002"/>
    <s v="101"/>
    <s v="90"/>
    <s v="Credito"/>
    <x v="2"/>
    <x v="216"/>
    <m/>
    <s v="000252"/>
    <s v="000132"/>
    <n v="477.6"/>
    <s v="0,00"/>
    <s v="0,00"/>
    <s v="0,00"/>
    <s v="0,00"/>
    <s v="ORC2022_2"/>
    <s v="0012"/>
    <m/>
    <m/>
    <m/>
    <m/>
    <m/>
  </r>
  <r>
    <s v="LUBRIFICANTES"/>
    <x v="51"/>
    <x v="14"/>
    <n v="784.4"/>
    <s v="0000000127"/>
    <s v="2736"/>
    <d v="2022-07-01T00:00:00"/>
    <s v="330301002"/>
    <s v="101"/>
    <s v="90"/>
    <s v="Credito"/>
    <x v="2"/>
    <x v="216"/>
    <m/>
    <s v="000252"/>
    <s v="000132"/>
    <n v="784.4"/>
    <s v="0,00"/>
    <s v="0,00"/>
    <s v="0,00"/>
    <s v="0,00"/>
    <s v="ORC2022_2"/>
    <s v="0012"/>
    <m/>
    <m/>
    <m/>
    <m/>
    <m/>
  </r>
  <r>
    <s v="LUBRIFICANTES"/>
    <x v="51"/>
    <x v="14"/>
    <n v="119.57"/>
    <s v="0000000127"/>
    <s v="2737"/>
    <d v="2022-07-01T00:00:00"/>
    <s v="330301002"/>
    <s v="201"/>
    <s v="90"/>
    <s v="Credito"/>
    <x v="2"/>
    <x v="216"/>
    <m/>
    <s v="000252"/>
    <s v="000132"/>
    <n v="119.57"/>
    <s v="0,00"/>
    <s v="0,00"/>
    <s v="0,00"/>
    <s v="0,00"/>
    <s v="ORC2022_2"/>
    <s v="0012"/>
    <m/>
    <m/>
    <m/>
    <m/>
    <m/>
  </r>
  <r>
    <s v="LUBRIFICANTES"/>
    <x v="51"/>
    <x v="15"/>
    <n v="30.88"/>
    <s v="0000000127"/>
    <s v="2738"/>
    <d v="2022-08-01T00:00:00"/>
    <s v="330301002"/>
    <s v="201"/>
    <s v="90"/>
    <s v="Credito"/>
    <x v="2"/>
    <x v="216"/>
    <m/>
    <s v="000252"/>
    <s v="000132"/>
    <n v="30.88"/>
    <s v="0,00"/>
    <s v="0,00"/>
    <s v="0,00"/>
    <s v="0,00"/>
    <s v="ORC2022_2"/>
    <s v="0012"/>
    <m/>
    <m/>
    <m/>
    <m/>
    <m/>
  </r>
  <r>
    <s v="LUBRIFICANTES"/>
    <x v="51"/>
    <x v="16"/>
    <n v="171.15"/>
    <s v="0000000127"/>
    <s v="2739"/>
    <d v="2022-09-01T00:00:00"/>
    <s v="330301002"/>
    <s v="201"/>
    <s v="90"/>
    <s v="Credito"/>
    <x v="2"/>
    <x v="216"/>
    <m/>
    <s v="000252"/>
    <s v="000132"/>
    <n v="171.15"/>
    <s v="0,00"/>
    <s v="0,00"/>
    <s v="0,00"/>
    <s v="0,00"/>
    <s v="ORC2022_2"/>
    <s v="0012"/>
    <m/>
    <m/>
    <m/>
    <m/>
    <m/>
  </r>
  <r>
    <s v="LUBRIFICANTES"/>
    <x v="51"/>
    <x v="17"/>
    <n v="172.86"/>
    <s v="0000000127"/>
    <s v="2740"/>
    <d v="2022-10-01T00:00:00"/>
    <s v="330301002"/>
    <s v="201"/>
    <s v="90"/>
    <s v="Credito"/>
    <x v="2"/>
    <x v="216"/>
    <m/>
    <s v="000252"/>
    <s v="000132"/>
    <n v="172.86"/>
    <s v="0,00"/>
    <s v="0,00"/>
    <s v="0,00"/>
    <s v="0,00"/>
    <s v="ORC2022_2"/>
    <s v="0012"/>
    <m/>
    <m/>
    <m/>
    <m/>
    <m/>
  </r>
  <r>
    <s v="LUBRIFICANTES"/>
    <x v="51"/>
    <x v="0"/>
    <n v="174.59"/>
    <s v="0000000127"/>
    <s v="2741"/>
    <d v="2022-11-01T00:00:00"/>
    <s v="330301002"/>
    <s v="201"/>
    <s v="90"/>
    <s v="Credito"/>
    <x v="2"/>
    <x v="216"/>
    <m/>
    <s v="000252"/>
    <s v="000132"/>
    <n v="174.59"/>
    <s v="0,00"/>
    <s v="0,00"/>
    <s v="0,00"/>
    <s v="0,00"/>
    <s v="ORC2022_2"/>
    <s v="0012"/>
    <m/>
    <m/>
    <m/>
    <m/>
    <m/>
  </r>
  <r>
    <s v="LUBRIFICANTES"/>
    <x v="51"/>
    <x v="1"/>
    <n v="176.34"/>
    <s v="0000000127"/>
    <s v="2742"/>
    <d v="2022-12-01T00:00:00"/>
    <s v="330301002"/>
    <s v="201"/>
    <s v="90"/>
    <s v="Credito"/>
    <x v="2"/>
    <x v="216"/>
    <m/>
    <s v="000252"/>
    <s v="000132"/>
    <n v="176.34"/>
    <s v="0,00"/>
    <s v="0,00"/>
    <s v="0,00"/>
    <s v="0,00"/>
    <s v="ORC2022_2"/>
    <s v="0012"/>
    <m/>
    <m/>
    <m/>
    <m/>
    <m/>
  </r>
  <r>
    <s v="PNEUS E RECAPAGENS"/>
    <x v="52"/>
    <x v="14"/>
    <n v="14520"/>
    <s v="0000000127"/>
    <s v="2743"/>
    <d v="2022-07-01T00:00:00"/>
    <s v="330301003"/>
    <s v="101"/>
    <s v="90"/>
    <s v="Credito"/>
    <x v="2"/>
    <x v="216"/>
    <m/>
    <s v="000252"/>
    <s v="000132"/>
    <n v="14520"/>
    <s v="0,00"/>
    <s v="0,00"/>
    <s v="0,00"/>
    <s v="0,00"/>
    <s v="ORC2022_2"/>
    <s v="0012"/>
    <m/>
    <m/>
    <m/>
    <m/>
    <m/>
  </r>
  <r>
    <s v="PNEUS E RECAPAGENS"/>
    <x v="52"/>
    <x v="15"/>
    <n v="15380"/>
    <s v="0000000127"/>
    <s v="2744"/>
    <d v="2022-08-01T00:00:00"/>
    <s v="330301003"/>
    <s v="101"/>
    <s v="90"/>
    <s v="Credito"/>
    <x v="2"/>
    <x v="216"/>
    <m/>
    <s v="000252"/>
    <s v="000132"/>
    <n v="15380"/>
    <s v="0,00"/>
    <s v="0,00"/>
    <s v="0,00"/>
    <s v="0,00"/>
    <s v="ORC2022_2"/>
    <s v="0012"/>
    <m/>
    <m/>
    <m/>
    <m/>
    <m/>
  </r>
  <r>
    <s v="PNEUS E RECAPAGENS"/>
    <x v="52"/>
    <x v="15"/>
    <n v="25364.31"/>
    <s v="0000000127"/>
    <s v="2745"/>
    <d v="2022-08-01T00:00:00"/>
    <s v="330301003"/>
    <s v="209"/>
    <s v="90"/>
    <s v="Credito"/>
    <x v="2"/>
    <x v="216"/>
    <m/>
    <s v="000252"/>
    <s v="000132"/>
    <n v="25364.31"/>
    <s v="0,00"/>
    <s v="0,00"/>
    <s v="0,00"/>
    <s v="0,00"/>
    <s v="ORC2022_2"/>
    <s v="0012"/>
    <m/>
    <m/>
    <m/>
    <m/>
    <m/>
  </r>
  <r>
    <s v="PECAS E ACESSORIOS"/>
    <x v="1"/>
    <x v="8"/>
    <n v="671.45"/>
    <s v="0000000127"/>
    <s v="2746"/>
    <d v="2022-01-01T00:00:00"/>
    <s v="330301004"/>
    <s v="206"/>
    <s v="11"/>
    <s v="Credito"/>
    <x v="2"/>
    <x v="216"/>
    <m/>
    <s v="000252"/>
    <s v="000132"/>
    <n v="671.45"/>
    <s v="0,00"/>
    <s v="0,00"/>
    <s v="0,00"/>
    <s v="0,00"/>
    <s v="ORC2022_2"/>
    <s v="0012"/>
    <m/>
    <m/>
    <m/>
    <m/>
    <m/>
  </r>
  <r>
    <s v="PECAS E ACESSORIOS"/>
    <x v="1"/>
    <x v="8"/>
    <n v="7810.28"/>
    <s v="0000000127"/>
    <s v="2747"/>
    <d v="2022-01-01T00:00:00"/>
    <s v="330301004"/>
    <s v="211"/>
    <s v="51"/>
    <s v="Credito"/>
    <x v="2"/>
    <x v="216"/>
    <m/>
    <s v="000252"/>
    <s v="000132"/>
    <n v="7810.28"/>
    <s v="0,00"/>
    <s v="0,00"/>
    <s v="0,00"/>
    <s v="0,00"/>
    <s v="ORC2022_2"/>
    <s v="0012"/>
    <m/>
    <m/>
    <m/>
    <m/>
    <m/>
  </r>
  <r>
    <s v="PECAS E ACESSORIOS"/>
    <x v="1"/>
    <x v="8"/>
    <n v="3796.43"/>
    <s v="0000000127"/>
    <s v="2748"/>
    <d v="2022-01-01T00:00:00"/>
    <s v="330301004"/>
    <s v="101"/>
    <s v="90"/>
    <s v="Credito"/>
    <x v="2"/>
    <x v="216"/>
    <m/>
    <s v="000252"/>
    <s v="000132"/>
    <n v="3796.43"/>
    <s v="0,00"/>
    <s v="0,00"/>
    <s v="0,00"/>
    <s v="0,00"/>
    <s v="ORC2022_2"/>
    <s v="0012"/>
    <m/>
    <m/>
    <m/>
    <m/>
    <m/>
  </r>
  <r>
    <s v="PECAS E ACESSORIOS"/>
    <x v="1"/>
    <x v="8"/>
    <n v="8502.7099999999991"/>
    <s v="0000000127"/>
    <s v="2749"/>
    <d v="2022-01-01T00:00:00"/>
    <s v="330301004"/>
    <s v="201"/>
    <s v="90"/>
    <s v="Credito"/>
    <x v="2"/>
    <x v="216"/>
    <m/>
    <s v="000252"/>
    <s v="000132"/>
    <n v="8502.7099999999991"/>
    <s v="0,00"/>
    <s v="0,00"/>
    <s v="0,00"/>
    <s v="0,00"/>
    <s v="ORC2022_2"/>
    <s v="0012"/>
    <m/>
    <m/>
    <m/>
    <m/>
    <m/>
  </r>
  <r>
    <s v="PECAS E ACESSORIOS"/>
    <x v="1"/>
    <x v="8"/>
    <n v="356.13"/>
    <s v="0000000127"/>
    <s v="2750"/>
    <d v="2022-01-01T00:00:00"/>
    <s v="330301004"/>
    <s v="208"/>
    <s v="90"/>
    <s v="Credito"/>
    <x v="2"/>
    <x v="216"/>
    <m/>
    <s v="000252"/>
    <s v="000132"/>
    <n v="356.13"/>
    <s v="0,00"/>
    <s v="0,00"/>
    <s v="0,00"/>
    <s v="0,00"/>
    <s v="ORC2022_2"/>
    <s v="0012"/>
    <m/>
    <m/>
    <m/>
    <m/>
    <m/>
  </r>
  <r>
    <s v="PECAS E ACESSORIOS"/>
    <x v="1"/>
    <x v="8"/>
    <n v="28021.62"/>
    <s v="0000000127"/>
    <s v="2751"/>
    <d v="2022-01-01T00:00:00"/>
    <s v="330301004"/>
    <s v="209"/>
    <s v="90"/>
    <s v="Credito"/>
    <x v="2"/>
    <x v="216"/>
    <m/>
    <s v="000252"/>
    <s v="000132"/>
    <n v="28021.62"/>
    <s v="0,00"/>
    <s v="0,00"/>
    <s v="0,00"/>
    <s v="0,00"/>
    <s v="ORC2022_2"/>
    <s v="0012"/>
    <m/>
    <m/>
    <m/>
    <m/>
    <m/>
  </r>
  <r>
    <s v="PECAS E ACESSORIOS"/>
    <x v="1"/>
    <x v="8"/>
    <n v="1933.67"/>
    <s v="0000000127"/>
    <s v="2752"/>
    <d v="2022-01-01T00:00:00"/>
    <s v="330301004"/>
    <s v="210"/>
    <s v="90"/>
    <s v="Credito"/>
    <x v="2"/>
    <x v="216"/>
    <m/>
    <s v="000252"/>
    <s v="000132"/>
    <n v="1933.67"/>
    <s v="0,00"/>
    <s v="0,00"/>
    <s v="0,00"/>
    <s v="0,00"/>
    <s v="ORC2022_2"/>
    <s v="0012"/>
    <m/>
    <m/>
    <m/>
    <m/>
    <m/>
  </r>
  <r>
    <s v="PECAS E ACESSORIOS"/>
    <x v="1"/>
    <x v="9"/>
    <n v="62.74"/>
    <s v="0000000127"/>
    <s v="2753"/>
    <d v="2022-02-01T00:00:00"/>
    <s v="330301004"/>
    <s v="206"/>
    <s v="11"/>
    <s v="Credito"/>
    <x v="2"/>
    <x v="216"/>
    <m/>
    <s v="000252"/>
    <s v="000132"/>
    <n v="62.74"/>
    <s v="0,00"/>
    <s v="0,00"/>
    <s v="0,00"/>
    <s v="0,00"/>
    <s v="ORC2022_2"/>
    <s v="0012"/>
    <m/>
    <m/>
    <m/>
    <m/>
    <m/>
  </r>
  <r>
    <s v="PECAS E ACESSORIOS"/>
    <x v="1"/>
    <x v="9"/>
    <n v="6812.48"/>
    <s v="0000000127"/>
    <s v="2754"/>
    <d v="2022-02-01T00:00:00"/>
    <s v="330301004"/>
    <s v="211"/>
    <s v="51"/>
    <s v="Credito"/>
    <x v="2"/>
    <x v="216"/>
    <m/>
    <s v="000252"/>
    <s v="000132"/>
    <n v="6812.48"/>
    <s v="0,00"/>
    <s v="0,00"/>
    <s v="0,00"/>
    <s v="0,00"/>
    <s v="ORC2022_2"/>
    <s v="0012"/>
    <m/>
    <m/>
    <m/>
    <m/>
    <m/>
  </r>
  <r>
    <s v="PECAS E ACESSORIOS"/>
    <x v="1"/>
    <x v="9"/>
    <n v="3469.8"/>
    <s v="0000000127"/>
    <s v="2755"/>
    <d v="2022-02-01T00:00:00"/>
    <s v="330301004"/>
    <s v="101"/>
    <s v="90"/>
    <s v="Credito"/>
    <x v="2"/>
    <x v="216"/>
    <m/>
    <s v="000252"/>
    <s v="000132"/>
    <n v="3469.8"/>
    <s v="0,00"/>
    <s v="0,00"/>
    <s v="0,00"/>
    <s v="0,00"/>
    <s v="ORC2022_2"/>
    <s v="0012"/>
    <m/>
    <m/>
    <m/>
    <m/>
    <m/>
  </r>
  <r>
    <s v="PECAS E ACESSORIOS"/>
    <x v="1"/>
    <x v="9"/>
    <n v="9442.7999999999993"/>
    <s v="0000000127"/>
    <s v="2756"/>
    <d v="2022-02-01T00:00:00"/>
    <s v="330301004"/>
    <s v="201"/>
    <s v="90"/>
    <s v="Credito"/>
    <x v="2"/>
    <x v="216"/>
    <m/>
    <s v="000252"/>
    <s v="000132"/>
    <n v="9442.7999999999993"/>
    <s v="0,00"/>
    <s v="0,00"/>
    <s v="0,00"/>
    <s v="0,00"/>
    <s v="ORC2022_2"/>
    <s v="0012"/>
    <m/>
    <m/>
    <m/>
    <m/>
    <m/>
  </r>
  <r>
    <s v="PECAS E ACESSORIOS"/>
    <x v="1"/>
    <x v="9"/>
    <n v="4.0599999999999996"/>
    <s v="0000000127"/>
    <s v="2757"/>
    <d v="2022-02-01T00:00:00"/>
    <s v="330301004"/>
    <s v="208"/>
    <s v="90"/>
    <s v="Credito"/>
    <x v="2"/>
    <x v="216"/>
    <m/>
    <s v="000252"/>
    <s v="000132"/>
    <n v="4.0599999999999996"/>
    <s v="0,00"/>
    <s v="0,00"/>
    <s v="0,00"/>
    <s v="0,00"/>
    <s v="ORC2022_2"/>
    <s v="0012"/>
    <m/>
    <m/>
    <m/>
    <m/>
    <m/>
  </r>
  <r>
    <s v="PECAS E ACESSORIOS"/>
    <x v="1"/>
    <x v="9"/>
    <n v="8917"/>
    <s v="0000000127"/>
    <s v="2758"/>
    <d v="2022-02-01T00:00:00"/>
    <s v="330301004"/>
    <s v="209"/>
    <s v="90"/>
    <s v="Credito"/>
    <x v="2"/>
    <x v="216"/>
    <m/>
    <s v="000252"/>
    <s v="000132"/>
    <n v="8917"/>
    <s v="0,00"/>
    <s v="0,00"/>
    <s v="0,00"/>
    <s v="0,00"/>
    <s v="ORC2022_2"/>
    <s v="0012"/>
    <m/>
    <m/>
    <m/>
    <m/>
    <m/>
  </r>
  <r>
    <s v="PECAS E ACESSORIOS"/>
    <x v="1"/>
    <x v="9"/>
    <n v="3007.25"/>
    <s v="0000000127"/>
    <s v="2759"/>
    <d v="2022-02-01T00:00:00"/>
    <s v="330301004"/>
    <s v="210"/>
    <s v="90"/>
    <s v="Credito"/>
    <x v="2"/>
    <x v="216"/>
    <m/>
    <s v="000252"/>
    <s v="000132"/>
    <n v="3007.25"/>
    <s v="0,00"/>
    <s v="0,00"/>
    <s v="0,00"/>
    <s v="0,00"/>
    <s v="ORC2022_2"/>
    <s v="0012"/>
    <m/>
    <m/>
    <m/>
    <m/>
    <m/>
  </r>
  <r>
    <s v="PECAS E ACESSORIOS"/>
    <x v="1"/>
    <x v="10"/>
    <n v="6864.77"/>
    <s v="0000000127"/>
    <s v="2760"/>
    <d v="2022-03-01T00:00:00"/>
    <s v="330301004"/>
    <s v="211"/>
    <s v="51"/>
    <s v="Credito"/>
    <x v="2"/>
    <x v="216"/>
    <m/>
    <s v="000252"/>
    <s v="000132"/>
    <n v="6864.77"/>
    <s v="0,00"/>
    <s v="0,00"/>
    <s v="0,00"/>
    <s v="0,00"/>
    <s v="ORC2022_2"/>
    <s v="0012"/>
    <m/>
    <m/>
    <m/>
    <m/>
    <m/>
  </r>
  <r>
    <s v="PECAS E ACESSORIOS"/>
    <x v="1"/>
    <x v="10"/>
    <n v="10427.06"/>
    <s v="0000000127"/>
    <s v="2761"/>
    <d v="2022-03-01T00:00:00"/>
    <s v="330301004"/>
    <s v="101"/>
    <s v="90"/>
    <s v="Credito"/>
    <x v="2"/>
    <x v="216"/>
    <m/>
    <s v="000252"/>
    <s v="000132"/>
    <n v="10427.06"/>
    <s v="0,00"/>
    <s v="0,00"/>
    <s v="0,00"/>
    <s v="0,00"/>
    <s v="ORC2022_2"/>
    <s v="0012"/>
    <m/>
    <m/>
    <m/>
    <m/>
    <m/>
  </r>
  <r>
    <s v="PECAS E ACESSORIOS"/>
    <x v="1"/>
    <x v="10"/>
    <n v="8706.73"/>
    <s v="0000000127"/>
    <s v="2762"/>
    <d v="2022-03-01T00:00:00"/>
    <s v="330301004"/>
    <s v="201"/>
    <s v="90"/>
    <s v="Credito"/>
    <x v="2"/>
    <x v="216"/>
    <m/>
    <s v="000252"/>
    <s v="000132"/>
    <n v="8706.73"/>
    <s v="0,00"/>
    <s v="0,00"/>
    <s v="0,00"/>
    <s v="0,00"/>
    <s v="ORC2022_2"/>
    <s v="0012"/>
    <m/>
    <m/>
    <m/>
    <m/>
    <m/>
  </r>
  <r>
    <s v="PECAS E ACESSORIOS"/>
    <x v="1"/>
    <x v="10"/>
    <n v="1995.31"/>
    <s v="0000000127"/>
    <s v="2763"/>
    <d v="2022-03-01T00:00:00"/>
    <s v="330301004"/>
    <s v="210"/>
    <s v="90"/>
    <s v="Credito"/>
    <x v="2"/>
    <x v="216"/>
    <m/>
    <s v="000252"/>
    <s v="000132"/>
    <n v="1995.31"/>
    <s v="0,00"/>
    <s v="0,00"/>
    <s v="0,00"/>
    <s v="0,00"/>
    <s v="ORC2022_2"/>
    <s v="0012"/>
    <m/>
    <m/>
    <m/>
    <m/>
    <m/>
  </r>
  <r>
    <s v="PECAS E ACESSORIOS"/>
    <x v="1"/>
    <x v="11"/>
    <n v="1337.87"/>
    <s v="0000000127"/>
    <s v="2764"/>
    <d v="2022-04-01T00:00:00"/>
    <s v="330301004"/>
    <s v="206"/>
    <s v="11"/>
    <s v="Credito"/>
    <x v="2"/>
    <x v="216"/>
    <m/>
    <s v="000252"/>
    <s v="000132"/>
    <n v="1337.87"/>
    <s v="0,00"/>
    <s v="0,00"/>
    <s v="0,00"/>
    <s v="0,00"/>
    <s v="ORC2022_2"/>
    <s v="0012"/>
    <m/>
    <m/>
    <m/>
    <m/>
    <m/>
  </r>
  <r>
    <s v="PECAS E ACESSORIOS"/>
    <x v="1"/>
    <x v="11"/>
    <n v="6671.13"/>
    <s v="0000000127"/>
    <s v="2765"/>
    <d v="2022-04-01T00:00:00"/>
    <s v="330301004"/>
    <s v="211"/>
    <s v="51"/>
    <s v="Credito"/>
    <x v="2"/>
    <x v="216"/>
    <m/>
    <s v="000252"/>
    <s v="000132"/>
    <n v="6671.13"/>
    <s v="0,00"/>
    <s v="0,00"/>
    <s v="0,00"/>
    <s v="0,00"/>
    <s v="ORC2022_2"/>
    <s v="0012"/>
    <m/>
    <m/>
    <m/>
    <m/>
    <m/>
  </r>
  <r>
    <s v="PECAS E ACESSORIOS"/>
    <x v="1"/>
    <x v="11"/>
    <n v="6150.06"/>
    <s v="0000000127"/>
    <s v="2766"/>
    <d v="2022-04-01T00:00:00"/>
    <s v="330301004"/>
    <s v="101"/>
    <s v="90"/>
    <s v="Credito"/>
    <x v="2"/>
    <x v="216"/>
    <m/>
    <s v="000252"/>
    <s v="000132"/>
    <n v="6150.06"/>
    <s v="0,00"/>
    <s v="0,00"/>
    <s v="0,00"/>
    <s v="0,00"/>
    <s v="ORC2022_2"/>
    <s v="0012"/>
    <m/>
    <m/>
    <m/>
    <m/>
    <m/>
  </r>
  <r>
    <s v="PECAS E ACESSORIOS"/>
    <x v="1"/>
    <x v="11"/>
    <n v="10899.19"/>
    <s v="0000000127"/>
    <s v="2767"/>
    <d v="2022-04-01T00:00:00"/>
    <s v="330301004"/>
    <s v="201"/>
    <s v="90"/>
    <s v="Credito"/>
    <x v="2"/>
    <x v="216"/>
    <m/>
    <s v="000252"/>
    <s v="000132"/>
    <n v="10899.19"/>
    <s v="0,00"/>
    <s v="0,00"/>
    <s v="0,00"/>
    <s v="0,00"/>
    <s v="ORC2022_2"/>
    <s v="0012"/>
    <m/>
    <m/>
    <m/>
    <m/>
    <m/>
  </r>
  <r>
    <s v="PECAS E ACESSORIOS"/>
    <x v="1"/>
    <x v="11"/>
    <n v="91.06"/>
    <s v="0000000127"/>
    <s v="2768"/>
    <d v="2022-04-01T00:00:00"/>
    <s v="330301004"/>
    <s v="206"/>
    <s v="90"/>
    <s v="Credito"/>
    <x v="2"/>
    <x v="216"/>
    <m/>
    <s v="000252"/>
    <s v="000132"/>
    <n v="91.06"/>
    <s v="0,00"/>
    <s v="0,00"/>
    <s v="0,00"/>
    <s v="0,00"/>
    <s v="ORC2022_2"/>
    <s v="0012"/>
    <m/>
    <m/>
    <m/>
    <m/>
    <m/>
  </r>
  <r>
    <s v="PECAS E ACESSORIOS"/>
    <x v="1"/>
    <x v="11"/>
    <n v="20.55"/>
    <s v="0000000127"/>
    <s v="2769"/>
    <d v="2022-04-01T00:00:00"/>
    <s v="330301004"/>
    <s v="208"/>
    <s v="90"/>
    <s v="Credito"/>
    <x v="2"/>
    <x v="216"/>
    <m/>
    <s v="000252"/>
    <s v="000132"/>
    <n v="20.55"/>
    <s v="0,00"/>
    <s v="0,00"/>
    <s v="0,00"/>
    <s v="0,00"/>
    <s v="ORC2022_2"/>
    <s v="0012"/>
    <m/>
    <m/>
    <m/>
    <m/>
    <m/>
  </r>
  <r>
    <s v="PECAS E ACESSORIOS"/>
    <x v="1"/>
    <x v="11"/>
    <n v="671.25"/>
    <s v="0000000127"/>
    <s v="2770"/>
    <d v="2022-04-01T00:00:00"/>
    <s v="330301004"/>
    <s v="209"/>
    <s v="90"/>
    <s v="Credito"/>
    <x v="2"/>
    <x v="216"/>
    <m/>
    <s v="000252"/>
    <s v="000132"/>
    <n v="671.25"/>
    <s v="0,00"/>
    <s v="0,00"/>
    <s v="0,00"/>
    <s v="0,00"/>
    <s v="ORC2022_2"/>
    <s v="0012"/>
    <m/>
    <m/>
    <m/>
    <m/>
    <m/>
  </r>
  <r>
    <s v="PECAS E ACESSORIOS"/>
    <x v="1"/>
    <x v="11"/>
    <n v="2807.31"/>
    <s v="0000000127"/>
    <s v="2771"/>
    <d v="2022-04-01T00:00:00"/>
    <s v="330301004"/>
    <s v="210"/>
    <s v="90"/>
    <s v="Credito"/>
    <x v="2"/>
    <x v="216"/>
    <m/>
    <s v="000252"/>
    <s v="000132"/>
    <n v="2807.31"/>
    <s v="0,00"/>
    <s v="0,00"/>
    <s v="0,00"/>
    <s v="0,00"/>
    <s v="ORC2022_2"/>
    <s v="0012"/>
    <m/>
    <m/>
    <m/>
    <m/>
    <m/>
  </r>
  <r>
    <s v="PECAS E ACESSORIOS"/>
    <x v="1"/>
    <x v="12"/>
    <n v="659.19"/>
    <s v="0000000127"/>
    <s v="2772"/>
    <d v="2022-05-01T00:00:00"/>
    <s v="330301004"/>
    <s v="206"/>
    <s v="11"/>
    <s v="Credito"/>
    <x v="2"/>
    <x v="216"/>
    <m/>
    <s v="000252"/>
    <s v="000132"/>
    <n v="659.19"/>
    <s v="0,00"/>
    <s v="0,00"/>
    <s v="0,00"/>
    <s v="0,00"/>
    <s v="ORC2022_2"/>
    <s v="0012"/>
    <m/>
    <m/>
    <m/>
    <m/>
    <m/>
  </r>
  <r>
    <s v="PECAS E ACESSORIOS"/>
    <x v="1"/>
    <x v="12"/>
    <n v="6800.59"/>
    <s v="0000000127"/>
    <s v="2773"/>
    <d v="2022-05-01T00:00:00"/>
    <s v="330301004"/>
    <s v="211"/>
    <s v="51"/>
    <s v="Credito"/>
    <x v="2"/>
    <x v="216"/>
    <m/>
    <s v="000252"/>
    <s v="000132"/>
    <n v="6800.59"/>
    <s v="0,00"/>
    <s v="0,00"/>
    <s v="0,00"/>
    <s v="0,00"/>
    <s v="ORC2022_2"/>
    <s v="0012"/>
    <m/>
    <m/>
    <m/>
    <m/>
    <m/>
  </r>
  <r>
    <s v="PECAS E ACESSORIOS"/>
    <x v="1"/>
    <x v="12"/>
    <n v="11262.34"/>
    <s v="0000000127"/>
    <s v="2774"/>
    <d v="2022-05-01T00:00:00"/>
    <s v="330301004"/>
    <s v="101"/>
    <s v="90"/>
    <s v="Credito"/>
    <x v="2"/>
    <x v="216"/>
    <m/>
    <s v="000252"/>
    <s v="000132"/>
    <n v="11262.34"/>
    <s v="0,00"/>
    <s v="0,00"/>
    <s v="0,00"/>
    <s v="0,00"/>
    <s v="ORC2022_2"/>
    <s v="0012"/>
    <m/>
    <m/>
    <m/>
    <m/>
    <m/>
  </r>
  <r>
    <s v="PECAS E ACESSORIOS"/>
    <x v="1"/>
    <x v="12"/>
    <n v="9504.32"/>
    <s v="0000000127"/>
    <s v="2775"/>
    <d v="2022-05-01T00:00:00"/>
    <s v="330301004"/>
    <s v="201"/>
    <s v="90"/>
    <s v="Credito"/>
    <x v="2"/>
    <x v="216"/>
    <m/>
    <s v="000252"/>
    <s v="000132"/>
    <n v="9504.32"/>
    <s v="0,00"/>
    <s v="0,00"/>
    <s v="0,00"/>
    <s v="0,00"/>
    <s v="ORC2022_2"/>
    <s v="0012"/>
    <m/>
    <m/>
    <m/>
    <m/>
    <m/>
  </r>
  <r>
    <s v="PECAS E ACESSORIOS"/>
    <x v="1"/>
    <x v="12"/>
    <n v="522.78"/>
    <s v="0000000127"/>
    <s v="2776"/>
    <d v="2022-05-01T00:00:00"/>
    <s v="330301004"/>
    <s v="204"/>
    <s v="90"/>
    <s v="Credito"/>
    <x v="2"/>
    <x v="216"/>
    <m/>
    <s v="000252"/>
    <s v="000132"/>
    <n v="522.78"/>
    <s v="0,00"/>
    <s v="0,00"/>
    <s v="0,00"/>
    <s v="0,00"/>
    <s v="ORC2022_2"/>
    <s v="0012"/>
    <m/>
    <m/>
    <m/>
    <m/>
    <m/>
  </r>
  <r>
    <s v="PECAS E ACESSORIOS"/>
    <x v="1"/>
    <x v="12"/>
    <n v="2481.17"/>
    <s v="0000000127"/>
    <s v="2777"/>
    <d v="2022-05-01T00:00:00"/>
    <s v="330301004"/>
    <s v="206"/>
    <s v="90"/>
    <s v="Credito"/>
    <x v="2"/>
    <x v="216"/>
    <m/>
    <s v="000252"/>
    <s v="000132"/>
    <n v="2481.17"/>
    <s v="0,00"/>
    <s v="0,00"/>
    <s v="0,00"/>
    <s v="0,00"/>
    <s v="ORC2022_2"/>
    <s v="0012"/>
    <m/>
    <m/>
    <m/>
    <m/>
    <m/>
  </r>
  <r>
    <s v="PECAS E ACESSORIOS"/>
    <x v="1"/>
    <x v="12"/>
    <n v="2.95"/>
    <s v="0000000127"/>
    <s v="2778"/>
    <d v="2022-05-01T00:00:00"/>
    <s v="330301004"/>
    <s v="208"/>
    <s v="90"/>
    <s v="Credito"/>
    <x v="2"/>
    <x v="216"/>
    <m/>
    <s v="000252"/>
    <s v="000132"/>
    <n v="2.95"/>
    <s v="0,00"/>
    <s v="0,00"/>
    <s v="0,00"/>
    <s v="0,00"/>
    <s v="ORC2022_2"/>
    <s v="0012"/>
    <m/>
    <m/>
    <m/>
    <m/>
    <m/>
  </r>
  <r>
    <s v="PECAS E ACESSORIOS"/>
    <x v="1"/>
    <x v="12"/>
    <n v="369.78"/>
    <s v="0000000127"/>
    <s v="2779"/>
    <d v="2022-05-01T00:00:00"/>
    <s v="330301004"/>
    <s v="209"/>
    <s v="90"/>
    <s v="Credito"/>
    <x v="2"/>
    <x v="216"/>
    <m/>
    <s v="000252"/>
    <s v="000132"/>
    <n v="369.78"/>
    <s v="0,00"/>
    <s v="0,00"/>
    <s v="0,00"/>
    <s v="0,00"/>
    <s v="ORC2022_2"/>
    <s v="0012"/>
    <m/>
    <m/>
    <m/>
    <m/>
    <m/>
  </r>
  <r>
    <s v="PECAS E ACESSORIOS"/>
    <x v="1"/>
    <x v="12"/>
    <n v="5568.48"/>
    <s v="0000000127"/>
    <s v="2780"/>
    <d v="2022-05-01T00:00:00"/>
    <s v="330301004"/>
    <s v="210"/>
    <s v="90"/>
    <s v="Credito"/>
    <x v="2"/>
    <x v="216"/>
    <m/>
    <s v="000252"/>
    <s v="000132"/>
    <n v="5568.48"/>
    <s v="0,00"/>
    <s v="0,00"/>
    <s v="0,00"/>
    <s v="0,00"/>
    <s v="ORC2022_2"/>
    <s v="0012"/>
    <m/>
    <m/>
    <m/>
    <m/>
    <m/>
  </r>
  <r>
    <s v="PECAS E ACESSORIOS"/>
    <x v="1"/>
    <x v="13"/>
    <n v="6964.34"/>
    <s v="0000000127"/>
    <s v="2781"/>
    <d v="2022-06-01T00:00:00"/>
    <s v="330301004"/>
    <s v="211"/>
    <s v="51"/>
    <s v="Credito"/>
    <x v="2"/>
    <x v="216"/>
    <m/>
    <s v="000252"/>
    <s v="000132"/>
    <n v="6964.34"/>
    <s v="0,00"/>
    <s v="0,00"/>
    <s v="0,00"/>
    <s v="0,00"/>
    <s v="ORC2022_2"/>
    <s v="0012"/>
    <m/>
    <m/>
    <m/>
    <m/>
    <m/>
  </r>
  <r>
    <s v="PECAS E ACESSORIOS"/>
    <x v="1"/>
    <x v="13"/>
    <n v="14836.13"/>
    <s v="0000000127"/>
    <s v="2782"/>
    <d v="2022-06-01T00:00:00"/>
    <s v="330301004"/>
    <s v="101"/>
    <s v="90"/>
    <s v="Credito"/>
    <x v="2"/>
    <x v="216"/>
    <m/>
    <s v="000252"/>
    <s v="000132"/>
    <n v="14836.13"/>
    <s v="0,00"/>
    <s v="0,00"/>
    <s v="0,00"/>
    <s v="0,00"/>
    <s v="ORC2022_2"/>
    <s v="0012"/>
    <m/>
    <m/>
    <m/>
    <m/>
    <m/>
  </r>
  <r>
    <s v="PECAS E ACESSORIOS"/>
    <x v="1"/>
    <x v="13"/>
    <n v="9485.7800000000007"/>
    <s v="0000000127"/>
    <s v="2783"/>
    <d v="2022-06-01T00:00:00"/>
    <s v="330301004"/>
    <s v="201"/>
    <s v="90"/>
    <s v="Credito"/>
    <x v="2"/>
    <x v="216"/>
    <m/>
    <s v="000252"/>
    <s v="000132"/>
    <n v="9485.7800000000007"/>
    <s v="0,00"/>
    <s v="0,00"/>
    <s v="0,00"/>
    <s v="0,00"/>
    <s v="ORC2022_2"/>
    <s v="0012"/>
    <m/>
    <m/>
    <m/>
    <m/>
    <m/>
  </r>
  <r>
    <s v="PECAS E ACESSORIOS"/>
    <x v="1"/>
    <x v="13"/>
    <n v="481.52"/>
    <s v="0000000127"/>
    <s v="2784"/>
    <d v="2022-06-01T00:00:00"/>
    <s v="330301004"/>
    <s v="204"/>
    <s v="90"/>
    <s v="Credito"/>
    <x v="2"/>
    <x v="216"/>
    <m/>
    <s v="000252"/>
    <s v="000132"/>
    <n v="481.52"/>
    <s v="0,00"/>
    <s v="0,00"/>
    <s v="0,00"/>
    <s v="0,00"/>
    <s v="ORC2022_2"/>
    <s v="0012"/>
    <m/>
    <m/>
    <m/>
    <m/>
    <m/>
  </r>
  <r>
    <s v="PECAS E ACESSORIOS"/>
    <x v="1"/>
    <x v="13"/>
    <n v="1187.6199999999999"/>
    <s v="0000000127"/>
    <s v="2785"/>
    <d v="2022-06-01T00:00:00"/>
    <s v="330301004"/>
    <s v="206"/>
    <s v="90"/>
    <s v="Credito"/>
    <x v="2"/>
    <x v="216"/>
    <m/>
    <s v="000252"/>
    <s v="000132"/>
    <n v="1187.6199999999999"/>
    <s v="0,00"/>
    <s v="0,00"/>
    <s v="0,00"/>
    <s v="0,00"/>
    <s v="ORC2022_2"/>
    <s v="0012"/>
    <m/>
    <m/>
    <m/>
    <m/>
    <m/>
  </r>
  <r>
    <s v="PECAS E ACESSORIOS"/>
    <x v="1"/>
    <x v="13"/>
    <n v="57.31"/>
    <s v="0000000127"/>
    <s v="2786"/>
    <d v="2022-06-01T00:00:00"/>
    <s v="330301004"/>
    <s v="208"/>
    <s v="90"/>
    <s v="Credito"/>
    <x v="2"/>
    <x v="216"/>
    <m/>
    <s v="000252"/>
    <s v="000132"/>
    <n v="57.31"/>
    <s v="0,00"/>
    <s v="0,00"/>
    <s v="0,00"/>
    <s v="0,00"/>
    <s v="ORC2022_2"/>
    <s v="0012"/>
    <m/>
    <m/>
    <m/>
    <m/>
    <m/>
  </r>
  <r>
    <s v="PECAS E ACESSORIOS"/>
    <x v="1"/>
    <x v="13"/>
    <n v="305.73"/>
    <s v="0000000127"/>
    <s v="2787"/>
    <d v="2022-06-01T00:00:00"/>
    <s v="330301004"/>
    <s v="209"/>
    <s v="90"/>
    <s v="Credito"/>
    <x v="2"/>
    <x v="216"/>
    <m/>
    <s v="000252"/>
    <s v="000132"/>
    <n v="305.73"/>
    <s v="0,00"/>
    <s v="0,00"/>
    <s v="0,00"/>
    <s v="0,00"/>
    <s v="ORC2022_2"/>
    <s v="0012"/>
    <m/>
    <m/>
    <m/>
    <m/>
    <m/>
  </r>
  <r>
    <s v="PECAS E ACESSORIOS"/>
    <x v="1"/>
    <x v="13"/>
    <n v="2777.7"/>
    <s v="0000000127"/>
    <s v="2788"/>
    <d v="2022-06-01T00:00:00"/>
    <s v="330301004"/>
    <s v="210"/>
    <s v="90"/>
    <s v="Credito"/>
    <x v="2"/>
    <x v="216"/>
    <m/>
    <s v="000252"/>
    <s v="000132"/>
    <n v="2777.7"/>
    <s v="0,00"/>
    <s v="0,00"/>
    <s v="0,00"/>
    <s v="0,00"/>
    <s v="ORC2022_2"/>
    <s v="0012"/>
    <m/>
    <m/>
    <m/>
    <m/>
    <m/>
  </r>
  <r>
    <s v="PECAS E ACESSORIOS"/>
    <x v="1"/>
    <x v="14"/>
    <n v="6024.06"/>
    <s v="0000000127"/>
    <s v="2789"/>
    <d v="2022-07-01T00:00:00"/>
    <s v="330301004"/>
    <s v="211"/>
    <s v="51"/>
    <s v="Credito"/>
    <x v="2"/>
    <x v="216"/>
    <m/>
    <s v="000252"/>
    <s v="000132"/>
    <n v="6024.06"/>
    <s v="0,00"/>
    <s v="0,00"/>
    <s v="0,00"/>
    <s v="0,00"/>
    <s v="ORC2022_2"/>
    <s v="0012"/>
    <m/>
    <m/>
    <m/>
    <m/>
    <m/>
  </r>
  <r>
    <s v="PECAS E ACESSORIOS"/>
    <x v="1"/>
    <x v="14"/>
    <n v="6017"/>
    <s v="0000000127"/>
    <s v="2790"/>
    <d v="2022-07-01T00:00:00"/>
    <s v="330301004"/>
    <s v="101"/>
    <s v="90"/>
    <s v="Credito"/>
    <x v="2"/>
    <x v="216"/>
    <m/>
    <s v="000252"/>
    <s v="000132"/>
    <n v="6017"/>
    <s v="0,00"/>
    <s v="0,00"/>
    <s v="0,00"/>
    <s v="0,00"/>
    <s v="ORC2022_2"/>
    <s v="0012"/>
    <m/>
    <m/>
    <m/>
    <m/>
    <m/>
  </r>
  <r>
    <s v="PECAS E ACESSORIOS"/>
    <x v="1"/>
    <x v="14"/>
    <n v="8081.8"/>
    <s v="0000000127"/>
    <s v="2791"/>
    <d v="2022-07-01T00:00:00"/>
    <s v="330301004"/>
    <s v="201"/>
    <s v="90"/>
    <s v="Credito"/>
    <x v="2"/>
    <x v="216"/>
    <m/>
    <s v="000252"/>
    <s v="000132"/>
    <n v="8081.8"/>
    <s v="0,00"/>
    <s v="0,00"/>
    <s v="0,00"/>
    <s v="0,00"/>
    <s v="ORC2022_2"/>
    <s v="0012"/>
    <m/>
    <m/>
    <m/>
    <m/>
    <m/>
  </r>
  <r>
    <s v="PECAS E ACESSORIOS"/>
    <x v="1"/>
    <x v="14"/>
    <n v="240.01"/>
    <s v="0000000127"/>
    <s v="2792"/>
    <d v="2022-07-01T00:00:00"/>
    <s v="330301004"/>
    <s v="204"/>
    <s v="90"/>
    <s v="Credito"/>
    <x v="2"/>
    <x v="216"/>
    <m/>
    <s v="000252"/>
    <s v="000132"/>
    <n v="240.01"/>
    <s v="0,00"/>
    <s v="0,00"/>
    <s v="0,00"/>
    <s v="0,00"/>
    <s v="ORC2022_2"/>
    <s v="0012"/>
    <m/>
    <m/>
    <m/>
    <m/>
    <m/>
  </r>
  <r>
    <s v="PECAS E ACESSORIOS"/>
    <x v="1"/>
    <x v="14"/>
    <n v="1851.28"/>
    <s v="0000000127"/>
    <s v="2793"/>
    <d v="2022-07-01T00:00:00"/>
    <s v="330301004"/>
    <s v="206"/>
    <s v="90"/>
    <s v="Credito"/>
    <x v="2"/>
    <x v="216"/>
    <m/>
    <s v="000252"/>
    <s v="000132"/>
    <n v="1851.28"/>
    <s v="0,00"/>
    <s v="0,00"/>
    <s v="0,00"/>
    <s v="0,00"/>
    <s v="ORC2022_2"/>
    <s v="0012"/>
    <m/>
    <m/>
    <m/>
    <m/>
    <m/>
  </r>
  <r>
    <s v="PECAS E ACESSORIOS"/>
    <x v="1"/>
    <x v="14"/>
    <n v="6.9"/>
    <s v="0000000127"/>
    <s v="2794"/>
    <d v="2022-07-01T00:00:00"/>
    <s v="330301004"/>
    <s v="208"/>
    <s v="90"/>
    <s v="Credito"/>
    <x v="2"/>
    <x v="216"/>
    <m/>
    <s v="000252"/>
    <s v="000132"/>
    <n v="6.9"/>
    <s v="0,00"/>
    <s v="0,00"/>
    <s v="0,00"/>
    <s v="0,00"/>
    <s v="ORC2022_2"/>
    <s v="0012"/>
    <m/>
    <m/>
    <m/>
    <m/>
    <m/>
  </r>
  <r>
    <s v="PECAS E ACESSORIOS"/>
    <x v="1"/>
    <x v="14"/>
    <n v="515.02"/>
    <s v="0000000127"/>
    <s v="2795"/>
    <d v="2022-07-01T00:00:00"/>
    <s v="330301004"/>
    <s v="209"/>
    <s v="90"/>
    <s v="Credito"/>
    <x v="2"/>
    <x v="216"/>
    <m/>
    <s v="000252"/>
    <s v="000132"/>
    <n v="515.02"/>
    <s v="0,00"/>
    <s v="0,00"/>
    <s v="0,00"/>
    <s v="0,00"/>
    <s v="ORC2022_2"/>
    <s v="0012"/>
    <m/>
    <m/>
    <m/>
    <m/>
    <m/>
  </r>
  <r>
    <s v="PECAS E ACESSORIOS"/>
    <x v="1"/>
    <x v="14"/>
    <n v="2260.31"/>
    <s v="0000000127"/>
    <s v="2796"/>
    <d v="2022-07-01T00:00:00"/>
    <s v="330301004"/>
    <s v="210"/>
    <s v="90"/>
    <s v="Credito"/>
    <x v="2"/>
    <x v="216"/>
    <m/>
    <s v="000252"/>
    <s v="000132"/>
    <n v="2260.31"/>
    <s v="0,00"/>
    <s v="0,00"/>
    <s v="0,00"/>
    <s v="0,00"/>
    <s v="ORC2022_2"/>
    <s v="0012"/>
    <m/>
    <m/>
    <m/>
    <m/>
    <m/>
  </r>
  <r>
    <s v="PECAS E ACESSORIOS"/>
    <x v="1"/>
    <x v="15"/>
    <n v="958.79"/>
    <s v="0000000127"/>
    <s v="2797"/>
    <d v="2022-08-01T00:00:00"/>
    <s v="330301004"/>
    <s v="206"/>
    <s v="11"/>
    <s v="Credito"/>
    <x v="2"/>
    <x v="216"/>
    <m/>
    <s v="000252"/>
    <s v="000132"/>
    <n v="958.79"/>
    <s v="0,00"/>
    <s v="0,00"/>
    <s v="0,00"/>
    <s v="0,00"/>
    <s v="ORC2022_2"/>
    <s v="0012"/>
    <m/>
    <m/>
    <m/>
    <m/>
    <m/>
  </r>
  <r>
    <s v="PECAS E ACESSORIOS"/>
    <x v="1"/>
    <x v="15"/>
    <n v="10181.18"/>
    <s v="0000000127"/>
    <s v="2798"/>
    <d v="2022-08-01T00:00:00"/>
    <s v="330301004"/>
    <s v="211"/>
    <s v="51"/>
    <s v="Credito"/>
    <x v="2"/>
    <x v="216"/>
    <m/>
    <s v="000252"/>
    <s v="000132"/>
    <n v="10181.18"/>
    <s v="0,00"/>
    <s v="0,00"/>
    <s v="0,00"/>
    <s v="0,00"/>
    <s v="ORC2022_2"/>
    <s v="0012"/>
    <m/>
    <m/>
    <m/>
    <m/>
    <m/>
  </r>
  <r>
    <s v="PECAS E ACESSORIOS"/>
    <x v="1"/>
    <x v="15"/>
    <n v="1204.32"/>
    <s v="0000000127"/>
    <s v="2799"/>
    <d v="2022-08-01T00:00:00"/>
    <s v="330301004"/>
    <s v="101"/>
    <s v="90"/>
    <s v="Credito"/>
    <x v="2"/>
    <x v="216"/>
    <m/>
    <s v="000252"/>
    <s v="000132"/>
    <n v="1204.32"/>
    <s v="0,00"/>
    <s v="0,00"/>
    <s v="0,00"/>
    <s v="0,00"/>
    <s v="ORC2022_2"/>
    <s v="0012"/>
    <m/>
    <m/>
    <m/>
    <m/>
    <m/>
  </r>
  <r>
    <s v="PECAS E ACESSORIOS"/>
    <x v="1"/>
    <x v="15"/>
    <n v="6731.54"/>
    <s v="0000000127"/>
    <s v="2800"/>
    <d v="2022-08-01T00:00:00"/>
    <s v="330301004"/>
    <s v="201"/>
    <s v="90"/>
    <s v="Credito"/>
    <x v="2"/>
    <x v="216"/>
    <m/>
    <s v="000252"/>
    <s v="000132"/>
    <n v="6731.54"/>
    <s v="0,00"/>
    <s v="0,00"/>
    <s v="0,00"/>
    <s v="0,00"/>
    <s v="ORC2022_2"/>
    <s v="0012"/>
    <m/>
    <m/>
    <m/>
    <m/>
    <m/>
  </r>
  <r>
    <s v="PECAS E ACESSORIOS"/>
    <x v="1"/>
    <x v="15"/>
    <n v="787.12"/>
    <s v="0000000127"/>
    <s v="2801"/>
    <d v="2022-08-01T00:00:00"/>
    <s v="330301004"/>
    <s v="204"/>
    <s v="90"/>
    <s v="Credito"/>
    <x v="2"/>
    <x v="216"/>
    <m/>
    <s v="000252"/>
    <s v="000132"/>
    <n v="787.12"/>
    <s v="0,00"/>
    <s v="0,00"/>
    <s v="0,00"/>
    <s v="0,00"/>
    <s v="ORC2022_2"/>
    <s v="0012"/>
    <m/>
    <m/>
    <m/>
    <m/>
    <m/>
  </r>
  <r>
    <s v="PECAS E ACESSORIOS"/>
    <x v="1"/>
    <x v="15"/>
    <n v="1508.63"/>
    <s v="0000000127"/>
    <s v="2802"/>
    <d v="2022-08-01T00:00:00"/>
    <s v="330301004"/>
    <s v="206"/>
    <s v="90"/>
    <s v="Credito"/>
    <x v="2"/>
    <x v="216"/>
    <m/>
    <s v="000252"/>
    <s v="000132"/>
    <n v="1508.63"/>
    <s v="0,00"/>
    <s v="0,00"/>
    <s v="0,00"/>
    <s v="0,00"/>
    <s v="ORC2022_2"/>
    <s v="0012"/>
    <m/>
    <m/>
    <m/>
    <m/>
    <m/>
  </r>
  <r>
    <s v="PECAS E ACESSORIOS"/>
    <x v="1"/>
    <x v="15"/>
    <n v="3.73"/>
    <s v="0000000127"/>
    <s v="2803"/>
    <d v="2022-08-01T00:00:00"/>
    <s v="330301004"/>
    <s v="208"/>
    <s v="90"/>
    <s v="Credito"/>
    <x v="2"/>
    <x v="216"/>
    <m/>
    <s v="000252"/>
    <s v="000132"/>
    <n v="3.73"/>
    <s v="0,00"/>
    <s v="0,00"/>
    <s v="0,00"/>
    <s v="0,00"/>
    <s v="ORC2022_2"/>
    <s v="0012"/>
    <m/>
    <m/>
    <m/>
    <m/>
    <m/>
  </r>
  <r>
    <s v="PECAS E ACESSORIOS"/>
    <x v="1"/>
    <x v="15"/>
    <n v="13868.01"/>
    <s v="0000000127"/>
    <s v="2804"/>
    <d v="2022-08-01T00:00:00"/>
    <s v="330301004"/>
    <s v="209"/>
    <s v="90"/>
    <s v="Credito"/>
    <x v="2"/>
    <x v="216"/>
    <m/>
    <s v="000252"/>
    <s v="000132"/>
    <n v="13868.01"/>
    <s v="0,00"/>
    <s v="0,00"/>
    <s v="0,00"/>
    <s v="0,00"/>
    <s v="ORC2022_2"/>
    <s v="0012"/>
    <m/>
    <m/>
    <m/>
    <m/>
    <m/>
  </r>
  <r>
    <s v="PECAS E ACESSORIOS"/>
    <x v="1"/>
    <x v="15"/>
    <n v="1495.87"/>
    <s v="0000000127"/>
    <s v="2805"/>
    <d v="2022-08-01T00:00:00"/>
    <s v="330301004"/>
    <s v="210"/>
    <s v="90"/>
    <s v="Credito"/>
    <x v="2"/>
    <x v="216"/>
    <m/>
    <s v="000252"/>
    <s v="000132"/>
    <n v="1495.87"/>
    <s v="0,00"/>
    <s v="0,00"/>
    <s v="0,00"/>
    <s v="0,00"/>
    <s v="ORC2022_2"/>
    <s v="0012"/>
    <m/>
    <m/>
    <m/>
    <m/>
    <m/>
  </r>
  <r>
    <s v="PECAS E ACESSORIOS"/>
    <x v="1"/>
    <x v="16"/>
    <n v="8745.92"/>
    <s v="0000000127"/>
    <s v="2806"/>
    <d v="2022-09-01T00:00:00"/>
    <s v="330301004"/>
    <s v="211"/>
    <s v="51"/>
    <s v="Credito"/>
    <x v="2"/>
    <x v="216"/>
    <m/>
    <s v="000252"/>
    <s v="000132"/>
    <n v="8745.92"/>
    <s v="0,00"/>
    <s v="0,00"/>
    <s v="0,00"/>
    <s v="0,00"/>
    <s v="ORC2022_2"/>
    <s v="0012"/>
    <m/>
    <m/>
    <m/>
    <m/>
    <m/>
  </r>
  <r>
    <s v="PECAS E ACESSORIOS"/>
    <x v="1"/>
    <x v="16"/>
    <n v="1622.92"/>
    <s v="0000000127"/>
    <s v="2807"/>
    <d v="2022-09-01T00:00:00"/>
    <s v="330301004"/>
    <s v="101"/>
    <s v="90"/>
    <s v="Credito"/>
    <x v="2"/>
    <x v="216"/>
    <m/>
    <s v="000252"/>
    <s v="000132"/>
    <n v="1622.92"/>
    <s v="0,00"/>
    <s v="0,00"/>
    <s v="0,00"/>
    <s v="0,00"/>
    <s v="ORC2022_2"/>
    <s v="0012"/>
    <m/>
    <m/>
    <m/>
    <m/>
    <m/>
  </r>
  <r>
    <s v="PECAS E ACESSORIOS"/>
    <x v="1"/>
    <x v="16"/>
    <n v="7615.74"/>
    <s v="0000000127"/>
    <s v="2808"/>
    <d v="2022-09-01T00:00:00"/>
    <s v="330301004"/>
    <s v="201"/>
    <s v="90"/>
    <s v="Credito"/>
    <x v="2"/>
    <x v="216"/>
    <m/>
    <s v="000252"/>
    <s v="000132"/>
    <n v="7615.74"/>
    <s v="0,00"/>
    <s v="0,00"/>
    <s v="0,00"/>
    <s v="0,00"/>
    <s v="ORC2022_2"/>
    <s v="0012"/>
    <m/>
    <m/>
    <m/>
    <m/>
    <m/>
  </r>
  <r>
    <s v="PECAS E ACESSORIOS"/>
    <x v="1"/>
    <x v="16"/>
    <n v="200.01"/>
    <s v="0000000127"/>
    <s v="2809"/>
    <d v="2022-09-01T00:00:00"/>
    <s v="330301004"/>
    <s v="204"/>
    <s v="90"/>
    <s v="Credito"/>
    <x v="2"/>
    <x v="216"/>
    <m/>
    <s v="000252"/>
    <s v="000132"/>
    <n v="200.01"/>
    <s v="0,00"/>
    <s v="0,00"/>
    <s v="0,00"/>
    <s v="0,00"/>
    <s v="ORC2022_2"/>
    <s v="0012"/>
    <m/>
    <m/>
    <m/>
    <m/>
    <m/>
  </r>
  <r>
    <s v="PECAS E ACESSORIOS"/>
    <x v="1"/>
    <x v="16"/>
    <n v="1492.5"/>
    <s v="0000000127"/>
    <s v="2810"/>
    <d v="2022-09-01T00:00:00"/>
    <s v="330301004"/>
    <s v="206"/>
    <s v="90"/>
    <s v="Credito"/>
    <x v="2"/>
    <x v="216"/>
    <m/>
    <s v="000252"/>
    <s v="000132"/>
    <n v="1492.5"/>
    <s v="0,00"/>
    <s v="0,00"/>
    <s v="0,00"/>
    <s v="0,00"/>
    <s v="ORC2022_2"/>
    <s v="0012"/>
    <m/>
    <m/>
    <m/>
    <m/>
    <m/>
  </r>
  <r>
    <s v="PECAS E ACESSORIOS"/>
    <x v="1"/>
    <x v="16"/>
    <n v="557.77"/>
    <s v="0000000127"/>
    <s v="2811"/>
    <d v="2022-09-01T00:00:00"/>
    <s v="330301004"/>
    <s v="209"/>
    <s v="90"/>
    <s v="Credito"/>
    <x v="2"/>
    <x v="216"/>
    <m/>
    <s v="000252"/>
    <s v="000132"/>
    <n v="557.77"/>
    <s v="0,00"/>
    <s v="0,00"/>
    <s v="0,00"/>
    <s v="0,00"/>
    <s v="ORC2022_2"/>
    <s v="0012"/>
    <m/>
    <m/>
    <m/>
    <m/>
    <m/>
  </r>
  <r>
    <s v="PECAS E ACESSORIOS"/>
    <x v="1"/>
    <x v="16"/>
    <n v="2071.7199999999998"/>
    <s v="0000000127"/>
    <s v="2812"/>
    <d v="2022-09-01T00:00:00"/>
    <s v="330301004"/>
    <s v="210"/>
    <s v="90"/>
    <s v="Credito"/>
    <x v="2"/>
    <x v="216"/>
    <m/>
    <s v="000252"/>
    <s v="000132"/>
    <n v="2071.7199999999998"/>
    <s v="0,00"/>
    <s v="0,00"/>
    <s v="0,00"/>
    <s v="0,00"/>
    <s v="ORC2022_2"/>
    <s v="0012"/>
    <m/>
    <m/>
    <m/>
    <m/>
    <m/>
  </r>
  <r>
    <s v="PECAS E ACESSORIOS"/>
    <x v="1"/>
    <x v="17"/>
    <n v="8833.3799999999992"/>
    <s v="0000000127"/>
    <s v="2813"/>
    <d v="2022-10-01T00:00:00"/>
    <s v="330301004"/>
    <s v="211"/>
    <s v="51"/>
    <s v="Credito"/>
    <x v="2"/>
    <x v="216"/>
    <m/>
    <s v="000252"/>
    <s v="000132"/>
    <n v="8833.3799999999992"/>
    <s v="0,00"/>
    <s v="0,00"/>
    <s v="0,00"/>
    <s v="0,00"/>
    <s v="ORC2022_2"/>
    <s v="0012"/>
    <m/>
    <m/>
    <m/>
    <m/>
    <m/>
  </r>
  <r>
    <s v="PECAS E ACESSORIOS"/>
    <x v="1"/>
    <x v="17"/>
    <n v="1639.15"/>
    <s v="0000000127"/>
    <s v="2814"/>
    <d v="2022-10-01T00:00:00"/>
    <s v="330301004"/>
    <s v="101"/>
    <s v="90"/>
    <s v="Credito"/>
    <x v="2"/>
    <x v="216"/>
    <m/>
    <s v="000252"/>
    <s v="000132"/>
    <n v="1639.15"/>
    <s v="0,00"/>
    <s v="0,00"/>
    <s v="0,00"/>
    <s v="0,00"/>
    <s v="ORC2022_2"/>
    <s v="0012"/>
    <m/>
    <m/>
    <m/>
    <m/>
    <m/>
  </r>
  <r>
    <s v="PECAS E ACESSORIOS"/>
    <x v="1"/>
    <x v="17"/>
    <n v="7691.9"/>
    <s v="0000000127"/>
    <s v="2815"/>
    <d v="2022-10-01T00:00:00"/>
    <s v="330301004"/>
    <s v="201"/>
    <s v="90"/>
    <s v="Credito"/>
    <x v="2"/>
    <x v="216"/>
    <m/>
    <s v="000252"/>
    <s v="000132"/>
    <n v="7691.9"/>
    <s v="0,00"/>
    <s v="0,00"/>
    <s v="0,00"/>
    <s v="0,00"/>
    <s v="ORC2022_2"/>
    <s v="0012"/>
    <m/>
    <m/>
    <m/>
    <m/>
    <m/>
  </r>
  <r>
    <s v="PECAS E ACESSORIOS"/>
    <x v="1"/>
    <x v="17"/>
    <n v="202.01"/>
    <s v="0000000127"/>
    <s v="2816"/>
    <d v="2022-10-01T00:00:00"/>
    <s v="330301004"/>
    <s v="204"/>
    <s v="90"/>
    <s v="Credito"/>
    <x v="2"/>
    <x v="216"/>
    <m/>
    <s v="000252"/>
    <s v="000132"/>
    <n v="202.01"/>
    <s v="0,00"/>
    <s v="0,00"/>
    <s v="0,00"/>
    <s v="0,00"/>
    <s v="ORC2022_2"/>
    <s v="0012"/>
    <m/>
    <m/>
    <m/>
    <m/>
    <m/>
  </r>
  <r>
    <s v="PECAS E ACESSORIOS"/>
    <x v="1"/>
    <x v="17"/>
    <n v="1507.43"/>
    <s v="0000000127"/>
    <s v="2817"/>
    <d v="2022-10-01T00:00:00"/>
    <s v="330301004"/>
    <s v="206"/>
    <s v="90"/>
    <s v="Credito"/>
    <x v="2"/>
    <x v="216"/>
    <m/>
    <s v="000252"/>
    <s v="000132"/>
    <n v="1507.43"/>
    <s v="0,00"/>
    <s v="0,00"/>
    <s v="0,00"/>
    <s v="0,00"/>
    <s v="ORC2022_2"/>
    <s v="0012"/>
    <m/>
    <m/>
    <m/>
    <m/>
    <m/>
  </r>
  <r>
    <s v="PECAS E ACESSORIOS"/>
    <x v="1"/>
    <x v="17"/>
    <n v="563.35"/>
    <s v="0000000127"/>
    <s v="2818"/>
    <d v="2022-10-01T00:00:00"/>
    <s v="330301004"/>
    <s v="209"/>
    <s v="90"/>
    <s v="Credito"/>
    <x v="2"/>
    <x v="216"/>
    <m/>
    <s v="000252"/>
    <s v="000132"/>
    <n v="563.35"/>
    <s v="0,00"/>
    <s v="0,00"/>
    <s v="0,00"/>
    <s v="0,00"/>
    <s v="ORC2022_2"/>
    <s v="0012"/>
    <m/>
    <m/>
    <m/>
    <m/>
    <m/>
  </r>
  <r>
    <s v="PECAS E ACESSORIOS"/>
    <x v="1"/>
    <x v="17"/>
    <n v="2092.44"/>
    <s v="0000000127"/>
    <s v="2819"/>
    <d v="2022-10-01T00:00:00"/>
    <s v="330301004"/>
    <s v="210"/>
    <s v="90"/>
    <s v="Credito"/>
    <x v="2"/>
    <x v="216"/>
    <m/>
    <s v="000252"/>
    <s v="000132"/>
    <n v="2092.44"/>
    <s v="0,00"/>
    <s v="0,00"/>
    <s v="0,00"/>
    <s v="0,00"/>
    <s v="ORC2022_2"/>
    <s v="0012"/>
    <m/>
    <m/>
    <m/>
    <m/>
    <m/>
  </r>
  <r>
    <s v="PECAS E ACESSORIOS"/>
    <x v="1"/>
    <x v="0"/>
    <n v="8921.7099999999991"/>
    <s v="0000000127"/>
    <s v="2820"/>
    <d v="2022-11-01T00:00:00"/>
    <s v="330301004"/>
    <s v="211"/>
    <s v="51"/>
    <s v="Credito"/>
    <x v="2"/>
    <x v="216"/>
    <m/>
    <s v="000252"/>
    <s v="000132"/>
    <n v="8921.7099999999991"/>
    <s v="0,00"/>
    <s v="0,00"/>
    <s v="0,00"/>
    <s v="0,00"/>
    <s v="ORC2022_2"/>
    <s v="0012"/>
    <m/>
    <m/>
    <m/>
    <m/>
    <m/>
  </r>
  <r>
    <s v="PECAS E ACESSORIOS"/>
    <x v="1"/>
    <x v="0"/>
    <n v="1655.54"/>
    <s v="0000000127"/>
    <s v="2821"/>
    <d v="2022-11-01T00:00:00"/>
    <s v="330301004"/>
    <s v="101"/>
    <s v="90"/>
    <s v="Credito"/>
    <x v="2"/>
    <x v="216"/>
    <m/>
    <s v="000252"/>
    <s v="000132"/>
    <n v="1655.54"/>
    <s v="0,00"/>
    <s v="0,00"/>
    <s v="0,00"/>
    <s v="0,00"/>
    <s v="ORC2022_2"/>
    <s v="0012"/>
    <m/>
    <m/>
    <m/>
    <m/>
    <m/>
  </r>
  <r>
    <s v="PECAS E ACESSORIOS"/>
    <x v="1"/>
    <x v="0"/>
    <n v="7768.82"/>
    <s v="0000000127"/>
    <s v="2822"/>
    <d v="2022-11-01T00:00:00"/>
    <s v="330301004"/>
    <s v="201"/>
    <s v="90"/>
    <s v="Credito"/>
    <x v="2"/>
    <x v="216"/>
    <m/>
    <s v="000252"/>
    <s v="000132"/>
    <n v="7768.82"/>
    <s v="0,00"/>
    <s v="0,00"/>
    <s v="0,00"/>
    <s v="0,00"/>
    <s v="ORC2022_2"/>
    <s v="0012"/>
    <m/>
    <m/>
    <m/>
    <m/>
    <m/>
  </r>
  <r>
    <s v="PECAS E ACESSORIOS"/>
    <x v="1"/>
    <x v="0"/>
    <n v="204.03"/>
    <s v="0000000127"/>
    <s v="2823"/>
    <d v="2022-11-01T00:00:00"/>
    <s v="330301004"/>
    <s v="204"/>
    <s v="90"/>
    <s v="Credito"/>
    <x v="2"/>
    <x v="216"/>
    <m/>
    <s v="000252"/>
    <s v="000132"/>
    <n v="204.03"/>
    <s v="0,00"/>
    <s v="0,00"/>
    <s v="0,00"/>
    <s v="0,00"/>
    <s v="ORC2022_2"/>
    <s v="0012"/>
    <m/>
    <m/>
    <m/>
    <m/>
    <m/>
  </r>
  <r>
    <s v="PECAS E ACESSORIOS"/>
    <x v="1"/>
    <x v="0"/>
    <n v="1522.5"/>
    <s v="0000000127"/>
    <s v="2824"/>
    <d v="2022-11-01T00:00:00"/>
    <s v="330301004"/>
    <s v="206"/>
    <s v="90"/>
    <s v="Credito"/>
    <x v="2"/>
    <x v="216"/>
    <m/>
    <s v="000252"/>
    <s v="000132"/>
    <n v="1522.5"/>
    <s v="0,00"/>
    <s v="0,00"/>
    <s v="0,00"/>
    <s v="0,00"/>
    <s v="ORC2022_2"/>
    <s v="0012"/>
    <m/>
    <m/>
    <m/>
    <m/>
    <m/>
  </r>
  <r>
    <s v="PECAS E ACESSORIOS"/>
    <x v="1"/>
    <x v="0"/>
    <n v="568.98"/>
    <s v="0000000127"/>
    <s v="2825"/>
    <d v="2022-11-01T00:00:00"/>
    <s v="330301004"/>
    <s v="209"/>
    <s v="90"/>
    <s v="Credito"/>
    <x v="2"/>
    <x v="216"/>
    <m/>
    <s v="000252"/>
    <s v="000132"/>
    <n v="568.98"/>
    <s v="0,00"/>
    <s v="0,00"/>
    <s v="0,00"/>
    <s v="0,00"/>
    <s v="ORC2022_2"/>
    <s v="0012"/>
    <m/>
    <m/>
    <m/>
    <m/>
    <m/>
  </r>
  <r>
    <s v="PECAS E ACESSORIOS"/>
    <x v="1"/>
    <x v="0"/>
    <n v="2113.36"/>
    <s v="0000000127"/>
    <s v="2826"/>
    <d v="2022-11-01T00:00:00"/>
    <s v="330301004"/>
    <s v="210"/>
    <s v="90"/>
    <s v="Credito"/>
    <x v="2"/>
    <x v="216"/>
    <m/>
    <s v="000252"/>
    <s v="000132"/>
    <n v="2113.36"/>
    <s v="0,00"/>
    <s v="0,00"/>
    <s v="0,00"/>
    <s v="0,00"/>
    <s v="ORC2022_2"/>
    <s v="0012"/>
    <m/>
    <m/>
    <m/>
    <m/>
    <m/>
  </r>
  <r>
    <s v="PECAS E ACESSORIOS"/>
    <x v="1"/>
    <x v="1"/>
    <n v="9010.93"/>
    <s v="0000000127"/>
    <s v="2827"/>
    <d v="2022-12-01T00:00:00"/>
    <s v="330301004"/>
    <s v="211"/>
    <s v="51"/>
    <s v="Credito"/>
    <x v="2"/>
    <x v="216"/>
    <m/>
    <s v="000252"/>
    <s v="000132"/>
    <n v="9010.93"/>
    <s v="0,00"/>
    <s v="0,00"/>
    <s v="0,00"/>
    <s v="0,00"/>
    <s v="ORC2022_2"/>
    <s v="0012"/>
    <m/>
    <m/>
    <m/>
    <m/>
    <m/>
  </r>
  <r>
    <s v="PECAS E ACESSORIOS"/>
    <x v="1"/>
    <x v="1"/>
    <n v="1672.1"/>
    <s v="0000000127"/>
    <s v="2828"/>
    <d v="2022-12-01T00:00:00"/>
    <s v="330301004"/>
    <s v="101"/>
    <s v="90"/>
    <s v="Credito"/>
    <x v="2"/>
    <x v="216"/>
    <m/>
    <s v="000252"/>
    <s v="000132"/>
    <n v="1672.1"/>
    <s v="0,00"/>
    <s v="0,00"/>
    <s v="0,00"/>
    <s v="0,00"/>
    <s v="ORC2022_2"/>
    <s v="0012"/>
    <m/>
    <m/>
    <m/>
    <m/>
    <m/>
  </r>
  <r>
    <s v="PECAS E ACESSORIOS"/>
    <x v="1"/>
    <x v="1"/>
    <n v="7846.5"/>
    <s v="0000000127"/>
    <s v="2829"/>
    <d v="2022-12-01T00:00:00"/>
    <s v="330301004"/>
    <s v="201"/>
    <s v="90"/>
    <s v="Credito"/>
    <x v="2"/>
    <x v="216"/>
    <m/>
    <s v="000252"/>
    <s v="000132"/>
    <n v="7846.5"/>
    <s v="0,00"/>
    <s v="0,00"/>
    <s v="0,00"/>
    <s v="0,00"/>
    <s v="ORC2022_2"/>
    <s v="0012"/>
    <m/>
    <m/>
    <m/>
    <m/>
    <m/>
  </r>
  <r>
    <s v="PECAS E ACESSORIOS"/>
    <x v="1"/>
    <x v="1"/>
    <n v="206.07"/>
    <s v="0000000127"/>
    <s v="2830"/>
    <d v="2022-12-01T00:00:00"/>
    <s v="330301004"/>
    <s v="204"/>
    <s v="90"/>
    <s v="Credito"/>
    <x v="2"/>
    <x v="216"/>
    <m/>
    <s v="000252"/>
    <s v="000132"/>
    <n v="206.07"/>
    <s v="0,00"/>
    <s v="0,00"/>
    <s v="0,00"/>
    <s v="0,00"/>
    <s v="ORC2022_2"/>
    <s v="0012"/>
    <m/>
    <m/>
    <m/>
    <m/>
    <m/>
  </r>
  <r>
    <s v="PECAS E ACESSORIOS"/>
    <x v="1"/>
    <x v="1"/>
    <n v="1537.72"/>
    <s v="0000000127"/>
    <s v="2831"/>
    <d v="2022-12-01T00:00:00"/>
    <s v="330301004"/>
    <s v="206"/>
    <s v="90"/>
    <s v="Credito"/>
    <x v="2"/>
    <x v="216"/>
    <m/>
    <s v="000252"/>
    <s v="000132"/>
    <n v="1537.72"/>
    <s v="0,00"/>
    <s v="0,00"/>
    <s v="0,00"/>
    <s v="0,00"/>
    <s v="ORC2022_2"/>
    <s v="0012"/>
    <m/>
    <m/>
    <m/>
    <m/>
    <m/>
  </r>
  <r>
    <s v="PECAS E ACESSORIOS"/>
    <x v="1"/>
    <x v="1"/>
    <n v="574.66999999999996"/>
    <s v="0000000127"/>
    <s v="2832"/>
    <d v="2022-12-01T00:00:00"/>
    <s v="330301004"/>
    <s v="209"/>
    <s v="90"/>
    <s v="Credito"/>
    <x v="2"/>
    <x v="216"/>
    <m/>
    <s v="000252"/>
    <s v="000132"/>
    <n v="574.66999999999996"/>
    <s v="0,00"/>
    <s v="0,00"/>
    <s v="0,00"/>
    <s v="0,00"/>
    <s v="ORC2022_2"/>
    <s v="0012"/>
    <m/>
    <m/>
    <m/>
    <m/>
    <m/>
  </r>
  <r>
    <s v="PECAS E ACESSORIOS"/>
    <x v="1"/>
    <x v="1"/>
    <n v="2134.5"/>
    <s v="0000000127"/>
    <s v="2833"/>
    <d v="2022-12-01T00:00:00"/>
    <s v="330301004"/>
    <s v="210"/>
    <s v="90"/>
    <s v="Credito"/>
    <x v="2"/>
    <x v="216"/>
    <m/>
    <s v="000252"/>
    <s v="000132"/>
    <n v="2134.5"/>
    <s v="0,00"/>
    <s v="0,00"/>
    <s v="0,00"/>
    <s v="0,00"/>
    <s v="ORC2022_2"/>
    <s v="0012"/>
    <m/>
    <m/>
    <m/>
    <m/>
    <m/>
  </r>
  <r>
    <s v="FERRAMENTAS"/>
    <x v="53"/>
    <x v="8"/>
    <n v="11.43"/>
    <s v="0000000127"/>
    <s v="2834"/>
    <d v="2022-01-01T00:00:00"/>
    <s v="330301005"/>
    <s v="209"/>
    <s v="90"/>
    <s v="Credito"/>
    <x v="2"/>
    <x v="216"/>
    <m/>
    <s v="000252"/>
    <s v="000132"/>
    <n v="11.43"/>
    <s v="0,00"/>
    <s v="0,00"/>
    <s v="0,00"/>
    <s v="0,00"/>
    <s v="ORC2022_2"/>
    <s v="0012"/>
    <m/>
    <m/>
    <m/>
    <m/>
    <m/>
  </r>
  <r>
    <s v="FERRAMENTAS"/>
    <x v="53"/>
    <x v="9"/>
    <n v="422"/>
    <s v="0000000127"/>
    <s v="2835"/>
    <d v="2022-02-01T00:00:00"/>
    <s v="330301005"/>
    <s v="209"/>
    <s v="90"/>
    <s v="Credito"/>
    <x v="2"/>
    <x v="216"/>
    <m/>
    <s v="000252"/>
    <s v="000132"/>
    <n v="422"/>
    <s v="0,00"/>
    <s v="0,00"/>
    <s v="0,00"/>
    <s v="0,00"/>
    <s v="ORC2022_2"/>
    <s v="0012"/>
    <m/>
    <m/>
    <m/>
    <m/>
    <m/>
  </r>
  <r>
    <s v="FERRAMENTAS"/>
    <x v="53"/>
    <x v="11"/>
    <n v="2945.75"/>
    <s v="0000000127"/>
    <s v="2836"/>
    <d v="2022-04-01T00:00:00"/>
    <s v="330301005"/>
    <s v="209"/>
    <s v="90"/>
    <s v="Credito"/>
    <x v="2"/>
    <x v="216"/>
    <m/>
    <s v="000252"/>
    <s v="000132"/>
    <n v="2945.75"/>
    <s v="0,00"/>
    <s v="0,00"/>
    <s v="0,00"/>
    <s v="0,00"/>
    <s v="ORC2022_2"/>
    <s v="0012"/>
    <m/>
    <m/>
    <m/>
    <m/>
    <m/>
  </r>
  <r>
    <s v="FERRAMENTAS"/>
    <x v="53"/>
    <x v="11"/>
    <n v="25.9"/>
    <s v="0000000127"/>
    <s v="2837"/>
    <d v="2022-04-01T00:00:00"/>
    <s v="330301005"/>
    <s v="210"/>
    <s v="90"/>
    <s v="Credito"/>
    <x v="2"/>
    <x v="216"/>
    <m/>
    <s v="000252"/>
    <s v="000132"/>
    <n v="25.9"/>
    <s v="0,00"/>
    <s v="0,00"/>
    <s v="0,00"/>
    <s v="0,00"/>
    <s v="ORC2022_2"/>
    <s v="0012"/>
    <m/>
    <m/>
    <m/>
    <m/>
    <m/>
  </r>
  <r>
    <s v="FERRAMENTAS"/>
    <x v="53"/>
    <x v="12"/>
    <n v="19692.75"/>
    <s v="0000000127"/>
    <s v="2838"/>
    <d v="2022-05-01T00:00:00"/>
    <s v="330301005"/>
    <s v="206"/>
    <s v="90"/>
    <s v="Credito"/>
    <x v="2"/>
    <x v="216"/>
    <m/>
    <s v="000252"/>
    <s v="000132"/>
    <n v="19692.75"/>
    <s v="0,00"/>
    <s v="0,00"/>
    <s v="0,00"/>
    <s v="0,00"/>
    <s v="ORC2022_2"/>
    <s v="0012"/>
    <m/>
    <m/>
    <m/>
    <m/>
    <m/>
  </r>
  <r>
    <s v="FERRAMENTAS"/>
    <x v="53"/>
    <x v="13"/>
    <n v="29.8"/>
    <s v="0000000127"/>
    <s v="2839"/>
    <d v="2022-06-01T00:00:00"/>
    <s v="330301005"/>
    <s v="209"/>
    <s v="90"/>
    <s v="Credito"/>
    <x v="2"/>
    <x v="216"/>
    <m/>
    <s v="000252"/>
    <s v="000132"/>
    <n v="29.8"/>
    <s v="0,00"/>
    <s v="0,00"/>
    <s v="0,00"/>
    <s v="0,00"/>
    <s v="ORC2022_2"/>
    <s v="0012"/>
    <m/>
    <m/>
    <m/>
    <m/>
    <m/>
  </r>
  <r>
    <s v="FERRAMENTAS"/>
    <x v="53"/>
    <x v="14"/>
    <n v="133.22999999999999"/>
    <s v="0000000127"/>
    <s v="2840"/>
    <d v="2022-07-01T00:00:00"/>
    <s v="330301005"/>
    <s v="204"/>
    <s v="90"/>
    <s v="Credito"/>
    <x v="2"/>
    <x v="216"/>
    <m/>
    <s v="000252"/>
    <s v="000132"/>
    <n v="133.22999999999999"/>
    <s v="0,00"/>
    <s v="0,00"/>
    <s v="0,00"/>
    <s v="0,00"/>
    <s v="ORC2022_2"/>
    <s v="0012"/>
    <m/>
    <m/>
    <m/>
    <m/>
    <m/>
  </r>
  <r>
    <s v="FERRAMENTAS"/>
    <x v="53"/>
    <x v="14"/>
    <n v="2924.99"/>
    <s v="0000000127"/>
    <s v="2841"/>
    <d v="2022-07-01T00:00:00"/>
    <s v="330301005"/>
    <s v="209"/>
    <s v="90"/>
    <s v="Credito"/>
    <x v="2"/>
    <x v="216"/>
    <m/>
    <s v="000252"/>
    <s v="000132"/>
    <n v="2924.99"/>
    <s v="0,00"/>
    <s v="0,00"/>
    <s v="0,00"/>
    <s v="0,00"/>
    <s v="ORC2022_2"/>
    <s v="0012"/>
    <m/>
    <m/>
    <m/>
    <m/>
    <m/>
  </r>
  <r>
    <s v="FERRAMENTAS"/>
    <x v="53"/>
    <x v="15"/>
    <n v="720"/>
    <s v="0000000127"/>
    <s v="2842"/>
    <d v="2022-08-01T00:00:00"/>
    <s v="330301005"/>
    <s v="201"/>
    <s v="90"/>
    <s v="Credito"/>
    <x v="2"/>
    <x v="216"/>
    <m/>
    <s v="000252"/>
    <s v="000132"/>
    <n v="720"/>
    <s v="0,00"/>
    <s v="0,00"/>
    <s v="0,00"/>
    <s v="0,00"/>
    <s v="ORC2022_2"/>
    <s v="0012"/>
    <m/>
    <m/>
    <m/>
    <m/>
    <m/>
  </r>
  <r>
    <s v="FERRAMENTAS"/>
    <x v="53"/>
    <x v="15"/>
    <n v="4998.78"/>
    <s v="0000000127"/>
    <s v="2843"/>
    <d v="2022-08-01T00:00:00"/>
    <s v="330301005"/>
    <s v="209"/>
    <s v="90"/>
    <s v="Credito"/>
    <x v="2"/>
    <x v="216"/>
    <m/>
    <s v="000252"/>
    <s v="000132"/>
    <n v="4998.78"/>
    <s v="0,00"/>
    <s v="0,00"/>
    <s v="0,00"/>
    <s v="0,00"/>
    <s v="ORC2022_2"/>
    <s v="0012"/>
    <m/>
    <m/>
    <m/>
    <m/>
    <m/>
  </r>
  <r>
    <s v="SERVICOS E MANUTENCAO DE VEICULOS EQ"/>
    <x v="54"/>
    <x v="12"/>
    <n v="200"/>
    <s v="0000000127"/>
    <s v="2844"/>
    <d v="2022-05-01T00:00:00"/>
    <s v="330301006"/>
    <s v="201"/>
    <s v="90"/>
    <s v="Credito"/>
    <x v="2"/>
    <x v="216"/>
    <m/>
    <s v="000252"/>
    <s v="000132"/>
    <n v="200"/>
    <s v="0,00"/>
    <s v="0,00"/>
    <s v="0,00"/>
    <s v="0,00"/>
    <s v="ORC2022_2"/>
    <s v="0012"/>
    <m/>
    <m/>
    <m/>
    <m/>
    <m/>
  </r>
  <r>
    <s v="LICENCIAMENTO - IPVA - DPVAT"/>
    <x v="55"/>
    <x v="8"/>
    <n v="105408.9"/>
    <s v="0000000127"/>
    <s v="2845"/>
    <d v="2022-01-01T00:00:00"/>
    <s v="330301007"/>
    <s v="101"/>
    <s v="90"/>
    <s v="Credito"/>
    <x v="2"/>
    <x v="216"/>
    <m/>
    <s v="000252"/>
    <s v="000132"/>
    <n v="105408.9"/>
    <s v="0,00"/>
    <s v="0,00"/>
    <s v="0,00"/>
    <s v="0,00"/>
    <s v="ORC2022_2"/>
    <s v="0012"/>
    <m/>
    <m/>
    <m/>
    <m/>
    <m/>
  </r>
  <r>
    <s v="LICENCIAMENTO - IPVA - DPVAT"/>
    <x v="55"/>
    <x v="8"/>
    <n v="8264.01"/>
    <s v="0000000127"/>
    <s v="2846"/>
    <d v="2022-01-01T00:00:00"/>
    <s v="330301007"/>
    <s v="201"/>
    <s v="90"/>
    <s v="Credito"/>
    <x v="2"/>
    <x v="216"/>
    <m/>
    <s v="000252"/>
    <s v="000132"/>
    <n v="8264.01"/>
    <s v="0,00"/>
    <s v="0,00"/>
    <s v="0,00"/>
    <s v="0,00"/>
    <s v="ORC2022_2"/>
    <s v="0012"/>
    <m/>
    <m/>
    <m/>
    <m/>
    <m/>
  </r>
  <r>
    <s v="LICENCIAMENTO - IPVA - DPVAT"/>
    <x v="55"/>
    <x v="11"/>
    <n v="181.52"/>
    <s v="0000000127"/>
    <s v="2847"/>
    <d v="2022-04-01T00:00:00"/>
    <s v="330301007"/>
    <s v="101"/>
    <s v="90"/>
    <s v="Credito"/>
    <x v="2"/>
    <x v="216"/>
    <m/>
    <s v="000252"/>
    <s v="000132"/>
    <n v="181.52"/>
    <s v="0,00"/>
    <s v="0,00"/>
    <s v="0,00"/>
    <s v="0,00"/>
    <s v="ORC2022_2"/>
    <s v="0012"/>
    <m/>
    <m/>
    <m/>
    <m/>
    <m/>
  </r>
  <r>
    <s v="LICENCIAMENTO - IPVA - DPVAT"/>
    <x v="55"/>
    <x v="12"/>
    <n v="3186.24"/>
    <s v="0000000127"/>
    <s v="2848"/>
    <d v="2022-05-01T00:00:00"/>
    <s v="330301007"/>
    <s v="101"/>
    <s v="90"/>
    <s v="Credito"/>
    <x v="2"/>
    <x v="216"/>
    <m/>
    <s v="000252"/>
    <s v="000132"/>
    <n v="3186.24"/>
    <s v="0,00"/>
    <s v="0,00"/>
    <s v="0,00"/>
    <s v="0,00"/>
    <s v="ORC2022_2"/>
    <s v="0012"/>
    <m/>
    <m/>
    <m/>
    <m/>
    <m/>
  </r>
  <r>
    <s v="LICENCIAMENTO - IPVA - DPVAT"/>
    <x v="55"/>
    <x v="14"/>
    <n v="2040.08"/>
    <s v="0000000127"/>
    <s v="2849"/>
    <d v="2022-07-01T00:00:00"/>
    <s v="330301007"/>
    <s v="201"/>
    <s v="90"/>
    <s v="Credito"/>
    <x v="2"/>
    <x v="216"/>
    <m/>
    <s v="000252"/>
    <s v="000132"/>
    <n v="2040.08"/>
    <s v="0,00"/>
    <s v="0,00"/>
    <s v="0,00"/>
    <s v="0,00"/>
    <s v="ORC2022_2"/>
    <s v="0012"/>
    <m/>
    <m/>
    <m/>
    <m/>
    <m/>
  </r>
  <r>
    <s v="LICENCIAMENTO - IPVA - DPVAT"/>
    <x v="55"/>
    <x v="15"/>
    <n v="1943.08"/>
    <s v="0000000127"/>
    <s v="2850"/>
    <d v="2022-08-01T00:00:00"/>
    <s v="330301007"/>
    <s v="201"/>
    <s v="90"/>
    <s v="Credito"/>
    <x v="2"/>
    <x v="216"/>
    <m/>
    <s v="000252"/>
    <s v="000132"/>
    <n v="1943.08"/>
    <s v="0,00"/>
    <s v="0,00"/>
    <s v="0,00"/>
    <s v="0,00"/>
    <s v="ORC2022_2"/>
    <s v="0012"/>
    <m/>
    <m/>
    <m/>
    <m/>
    <m/>
  </r>
  <r>
    <s v="LICENCIAMENTO - IPVA - DPVAT"/>
    <x v="55"/>
    <x v="16"/>
    <n v="181.52"/>
    <s v="0000000127"/>
    <s v="2851"/>
    <d v="2022-09-01T00:00:00"/>
    <s v="330301007"/>
    <s v="101"/>
    <s v="90"/>
    <s v="Credito"/>
    <x v="2"/>
    <x v="216"/>
    <m/>
    <s v="000252"/>
    <s v="000132"/>
    <n v="181.52"/>
    <s v="0,00"/>
    <s v="0,00"/>
    <s v="0,00"/>
    <s v="0,00"/>
    <s v="ORC2022_2"/>
    <s v="0012"/>
    <m/>
    <m/>
    <m/>
    <m/>
    <m/>
  </r>
  <r>
    <s v="LICENCIAMENTO - IPVA - DPVAT"/>
    <x v="55"/>
    <x v="16"/>
    <n v="3716.19"/>
    <s v="0000000127"/>
    <s v="2852"/>
    <d v="2022-09-01T00:00:00"/>
    <s v="330301007"/>
    <s v="201"/>
    <s v="90"/>
    <s v="Credito"/>
    <x v="2"/>
    <x v="216"/>
    <m/>
    <s v="000252"/>
    <s v="000132"/>
    <n v="3716.19"/>
    <s v="0,00"/>
    <s v="0,00"/>
    <s v="0,00"/>
    <s v="0,00"/>
    <s v="ORC2022_2"/>
    <s v="0012"/>
    <m/>
    <m/>
    <m/>
    <m/>
    <m/>
  </r>
  <r>
    <s v="LICENCIAMENTO - IPVA - DPVAT"/>
    <x v="55"/>
    <x v="17"/>
    <n v="183.34"/>
    <s v="0000000127"/>
    <s v="2853"/>
    <d v="2022-10-01T00:00:00"/>
    <s v="330301007"/>
    <s v="101"/>
    <s v="90"/>
    <s v="Credito"/>
    <x v="2"/>
    <x v="216"/>
    <m/>
    <s v="000252"/>
    <s v="000132"/>
    <n v="183.34"/>
    <s v="0,00"/>
    <s v="0,00"/>
    <s v="0,00"/>
    <s v="0,00"/>
    <s v="ORC2022_2"/>
    <s v="0012"/>
    <m/>
    <m/>
    <m/>
    <m/>
    <m/>
  </r>
  <r>
    <s v="LICENCIAMENTO - IPVA - DPVAT"/>
    <x v="55"/>
    <x v="17"/>
    <n v="3753.35"/>
    <s v="0000000127"/>
    <s v="2854"/>
    <d v="2022-10-01T00:00:00"/>
    <s v="330301007"/>
    <s v="201"/>
    <s v="90"/>
    <s v="Credito"/>
    <x v="2"/>
    <x v="216"/>
    <m/>
    <s v="000252"/>
    <s v="000132"/>
    <n v="3753.35"/>
    <s v="0,00"/>
    <s v="0,00"/>
    <s v="0,00"/>
    <s v="0,00"/>
    <s v="ORC2022_2"/>
    <s v="0012"/>
    <m/>
    <m/>
    <m/>
    <m/>
    <m/>
  </r>
  <r>
    <s v="LICENCIAMENTO - IPVA - DPVAT"/>
    <x v="55"/>
    <x v="0"/>
    <n v="185.17"/>
    <s v="0000000127"/>
    <s v="2855"/>
    <d v="2022-11-01T00:00:00"/>
    <s v="330301007"/>
    <s v="101"/>
    <s v="90"/>
    <s v="Credito"/>
    <x v="2"/>
    <x v="216"/>
    <m/>
    <s v="000252"/>
    <s v="000132"/>
    <n v="185.17"/>
    <s v="0,00"/>
    <s v="0,00"/>
    <s v="0,00"/>
    <s v="0,00"/>
    <s v="ORC2022_2"/>
    <s v="0012"/>
    <m/>
    <m/>
    <m/>
    <m/>
    <m/>
  </r>
  <r>
    <s v="LICENCIAMENTO - IPVA - DPVAT"/>
    <x v="55"/>
    <x v="0"/>
    <n v="3790.89"/>
    <s v="0000000127"/>
    <s v="2856"/>
    <d v="2022-11-01T00:00:00"/>
    <s v="330301007"/>
    <s v="201"/>
    <s v="90"/>
    <s v="Credito"/>
    <x v="2"/>
    <x v="216"/>
    <m/>
    <s v="000252"/>
    <s v="000132"/>
    <n v="3790.89"/>
    <s v="0,00"/>
    <s v="0,00"/>
    <s v="0,00"/>
    <s v="0,00"/>
    <s v="ORC2022_2"/>
    <s v="0012"/>
    <m/>
    <m/>
    <m/>
    <m/>
    <m/>
  </r>
  <r>
    <s v="LICENCIAMENTO - IPVA - DPVAT"/>
    <x v="55"/>
    <x v="1"/>
    <n v="187.02"/>
    <s v="0000000127"/>
    <s v="2857"/>
    <d v="2022-12-01T00:00:00"/>
    <s v="330301007"/>
    <s v="101"/>
    <s v="90"/>
    <s v="Credito"/>
    <x v="2"/>
    <x v="216"/>
    <m/>
    <s v="000252"/>
    <s v="000132"/>
    <n v="187.02"/>
    <s v="0,00"/>
    <s v="0,00"/>
    <s v="0,00"/>
    <s v="0,00"/>
    <s v="ORC2022_2"/>
    <s v="0012"/>
    <m/>
    <m/>
    <m/>
    <m/>
    <m/>
  </r>
  <r>
    <s v="LICENCIAMENTO - IPVA - DPVAT"/>
    <x v="55"/>
    <x v="1"/>
    <n v="3828.79"/>
    <s v="0000000127"/>
    <s v="2858"/>
    <d v="2022-12-01T00:00:00"/>
    <s v="330301007"/>
    <s v="201"/>
    <s v="90"/>
    <s v="Credito"/>
    <x v="2"/>
    <x v="216"/>
    <m/>
    <s v="000252"/>
    <s v="000132"/>
    <n v="3828.79"/>
    <s v="0,00"/>
    <s v="0,00"/>
    <s v="0,00"/>
    <s v="0,00"/>
    <s v="ORC2022_2"/>
    <s v="0012"/>
    <m/>
    <m/>
    <m/>
    <m/>
    <m/>
  </r>
  <r>
    <s v="MULTAS DE TRANSITO"/>
    <x v="56"/>
    <x v="9"/>
    <n v="196.46"/>
    <s v="0000000127"/>
    <s v="2859"/>
    <d v="2022-02-01T00:00:00"/>
    <s v="330301008"/>
    <s v="201"/>
    <s v="90"/>
    <s v="Credito"/>
    <x v="2"/>
    <x v="216"/>
    <m/>
    <s v="000252"/>
    <s v="000132"/>
    <n v="196.46"/>
    <s v="0,00"/>
    <s v="0,00"/>
    <s v="0,00"/>
    <s v="0,00"/>
    <s v="ORC2022_2"/>
    <s v="0012"/>
    <m/>
    <m/>
    <m/>
    <m/>
    <m/>
  </r>
  <r>
    <s v="ALUGUEIS, ARREND. E CONDOMINIOS"/>
    <x v="57"/>
    <x v="8"/>
    <n v="20000"/>
    <s v="0000000127"/>
    <s v="2860"/>
    <d v="2022-01-01T00:00:00"/>
    <s v="330401"/>
    <s v="201"/>
    <s v="90"/>
    <s v="Credito"/>
    <x v="2"/>
    <x v="216"/>
    <m/>
    <s v="000252"/>
    <s v="000132"/>
    <n v="20000"/>
    <s v="0,00"/>
    <s v="0,00"/>
    <s v="0,00"/>
    <s v="0,00"/>
    <s v="ORC2022_2"/>
    <s v="0012"/>
    <m/>
    <m/>
    <m/>
    <m/>
    <m/>
  </r>
  <r>
    <s v="ALUGUEIS, ARREND. E CONDOMINIOS"/>
    <x v="57"/>
    <x v="9"/>
    <n v="20000"/>
    <s v="0000000127"/>
    <s v="2861"/>
    <d v="2022-02-01T00:00:00"/>
    <s v="330401"/>
    <s v="201"/>
    <s v="90"/>
    <s v="Credito"/>
    <x v="2"/>
    <x v="216"/>
    <m/>
    <s v="000252"/>
    <s v="000132"/>
    <n v="20000"/>
    <s v="0,00"/>
    <s v="0,00"/>
    <s v="0,00"/>
    <s v="0,00"/>
    <s v="ORC2022_2"/>
    <s v="0012"/>
    <m/>
    <m/>
    <m/>
    <m/>
    <m/>
  </r>
  <r>
    <s v="ALUGUEIS, ARREND. E CONDOMINIOS"/>
    <x v="57"/>
    <x v="10"/>
    <n v="20000"/>
    <s v="0000000127"/>
    <s v="2862"/>
    <d v="2022-03-01T00:00:00"/>
    <s v="330401"/>
    <s v="201"/>
    <s v="90"/>
    <s v="Credito"/>
    <x v="2"/>
    <x v="216"/>
    <m/>
    <s v="000252"/>
    <s v="000132"/>
    <n v="20000"/>
    <s v="0,00"/>
    <s v="0,00"/>
    <s v="0,00"/>
    <s v="0,00"/>
    <s v="ORC2022_2"/>
    <s v="0012"/>
    <m/>
    <m/>
    <m/>
    <m/>
    <m/>
  </r>
  <r>
    <s v="ALUGUEIS, ARREND. E CONDOMINIOS"/>
    <x v="57"/>
    <x v="11"/>
    <n v="429.28"/>
    <s v="0000000127"/>
    <s v="2863"/>
    <d v="2022-04-01T00:00:00"/>
    <s v="330401"/>
    <s v="305"/>
    <s v="42"/>
    <s v="Credito"/>
    <x v="2"/>
    <x v="216"/>
    <m/>
    <s v="000252"/>
    <s v="000132"/>
    <n v="429.28"/>
    <s v="0,00"/>
    <s v="0,00"/>
    <s v="0,00"/>
    <s v="0,00"/>
    <s v="ORC2022_2"/>
    <s v="0012"/>
    <m/>
    <m/>
    <m/>
    <m/>
    <m/>
  </r>
  <r>
    <s v="ALUGUEIS, ARREND. E CONDOMINIOS"/>
    <x v="57"/>
    <x v="11"/>
    <n v="20000"/>
    <s v="0000000127"/>
    <s v="2864"/>
    <d v="2022-04-01T00:00:00"/>
    <s v="330401"/>
    <s v="201"/>
    <s v="90"/>
    <s v="Credito"/>
    <x v="2"/>
    <x v="216"/>
    <m/>
    <s v="000252"/>
    <s v="000132"/>
    <n v="20000"/>
    <s v="0,00"/>
    <s v="0,00"/>
    <s v="0,00"/>
    <s v="0,00"/>
    <s v="ORC2022_2"/>
    <s v="0012"/>
    <m/>
    <m/>
    <m/>
    <m/>
    <m/>
  </r>
  <r>
    <s v="ALUGUEIS, ARREND. E CONDOMINIOS"/>
    <x v="57"/>
    <x v="12"/>
    <n v="443.3"/>
    <s v="0000000127"/>
    <s v="2865"/>
    <d v="2022-05-01T00:00:00"/>
    <s v="330401"/>
    <s v="305"/>
    <s v="42"/>
    <s v="Credito"/>
    <x v="2"/>
    <x v="216"/>
    <m/>
    <s v="000252"/>
    <s v="000132"/>
    <n v="443.3"/>
    <s v="0,00"/>
    <s v="0,00"/>
    <s v="0,00"/>
    <s v="0,00"/>
    <s v="ORC2022_2"/>
    <s v="0012"/>
    <m/>
    <m/>
    <m/>
    <m/>
    <m/>
  </r>
  <r>
    <s v="ALUGUEIS, ARREND. E CONDOMINIOS"/>
    <x v="57"/>
    <x v="12"/>
    <n v="20000"/>
    <s v="0000000127"/>
    <s v="2866"/>
    <d v="2022-05-01T00:00:00"/>
    <s v="330401"/>
    <s v="201"/>
    <s v="90"/>
    <s v="Credito"/>
    <x v="2"/>
    <x v="216"/>
    <m/>
    <s v="000252"/>
    <s v="000132"/>
    <n v="20000"/>
    <s v="0,00"/>
    <s v="0,00"/>
    <s v="0,00"/>
    <s v="0,00"/>
    <s v="ORC2022_2"/>
    <s v="0012"/>
    <m/>
    <m/>
    <m/>
    <m/>
    <m/>
  </r>
  <r>
    <s v="ALUGUEIS, ARREND. E CONDOMINIOS"/>
    <x v="57"/>
    <x v="13"/>
    <n v="20000"/>
    <s v="0000000127"/>
    <s v="2867"/>
    <d v="2022-06-01T00:00:00"/>
    <s v="330401"/>
    <s v="201"/>
    <s v="90"/>
    <s v="Credito"/>
    <x v="2"/>
    <x v="216"/>
    <m/>
    <s v="000252"/>
    <s v="000132"/>
    <n v="20000"/>
    <s v="0,00"/>
    <s v="0,00"/>
    <s v="0,00"/>
    <s v="0,00"/>
    <s v="ORC2022_2"/>
    <s v="0012"/>
    <m/>
    <m/>
    <m/>
    <m/>
    <m/>
  </r>
  <r>
    <s v="ALUGUEIS, ARREND. E CONDOMINIOS"/>
    <x v="57"/>
    <x v="14"/>
    <n v="2856.72"/>
    <s v="0000000127"/>
    <s v="2868"/>
    <d v="2022-07-01T00:00:00"/>
    <s v="330401"/>
    <s v="305"/>
    <s v="32"/>
    <s v="Credito"/>
    <x v="2"/>
    <x v="216"/>
    <m/>
    <s v="000252"/>
    <s v="000132"/>
    <n v="2856.72"/>
    <s v="0,00"/>
    <s v="0,00"/>
    <s v="0,00"/>
    <s v="0,00"/>
    <s v="ORC2022_2"/>
    <s v="0012"/>
    <m/>
    <m/>
    <m/>
    <m/>
    <m/>
  </r>
  <r>
    <s v="ALUGUEIS, ARREND. E CONDOMINIOS"/>
    <x v="57"/>
    <x v="14"/>
    <n v="1626.93"/>
    <s v="0000000127"/>
    <s v="2869"/>
    <d v="2022-07-01T00:00:00"/>
    <s v="330401"/>
    <s v="301"/>
    <s v="42"/>
    <s v="Credito"/>
    <x v="2"/>
    <x v="216"/>
    <m/>
    <s v="000252"/>
    <s v="000132"/>
    <n v="1626.93"/>
    <s v="0,00"/>
    <s v="0,00"/>
    <s v="0,00"/>
    <s v="0,00"/>
    <s v="ORC2022_2"/>
    <s v="0012"/>
    <m/>
    <m/>
    <m/>
    <m/>
    <m/>
  </r>
  <r>
    <s v="ALUGUEIS, ARREND. E CONDOMINIOS"/>
    <x v="57"/>
    <x v="14"/>
    <n v="20000"/>
    <s v="0000000127"/>
    <s v="2870"/>
    <d v="2022-07-01T00:00:00"/>
    <s v="330401"/>
    <s v="201"/>
    <s v="90"/>
    <s v="Credito"/>
    <x v="2"/>
    <x v="216"/>
    <m/>
    <s v="000252"/>
    <s v="000132"/>
    <n v="20000"/>
    <s v="0,00"/>
    <s v="0,00"/>
    <s v="0,00"/>
    <s v="0,00"/>
    <s v="ORC2022_2"/>
    <s v="0012"/>
    <m/>
    <m/>
    <m/>
    <m/>
    <m/>
  </r>
  <r>
    <s v="ALUGUEIS, ARREND. E CONDOMINIOS"/>
    <x v="57"/>
    <x v="15"/>
    <n v="20000"/>
    <s v="0000000127"/>
    <s v="2871"/>
    <d v="2022-08-01T00:00:00"/>
    <s v="330401"/>
    <s v="201"/>
    <s v="90"/>
    <s v="Credito"/>
    <x v="2"/>
    <x v="216"/>
    <m/>
    <s v="000252"/>
    <s v="000132"/>
    <n v="20000"/>
    <s v="0,00"/>
    <s v="0,00"/>
    <s v="0,00"/>
    <s v="0,00"/>
    <s v="ORC2022_2"/>
    <s v="0012"/>
    <m/>
    <m/>
    <m/>
    <m/>
    <m/>
  </r>
  <r>
    <s v="ALUGUEIS, ARREND. E CONDOMINIOS"/>
    <x v="57"/>
    <x v="16"/>
    <n v="434.83"/>
    <s v="0000000127"/>
    <s v="2872"/>
    <d v="2022-09-01T00:00:00"/>
    <s v="330401"/>
    <s v="305"/>
    <s v="42"/>
    <s v="Credito"/>
    <x v="2"/>
    <x v="216"/>
    <m/>
    <s v="000252"/>
    <s v="000132"/>
    <n v="434.83"/>
    <s v="0,00"/>
    <s v="0,00"/>
    <s v="0,00"/>
    <s v="0,00"/>
    <s v="ORC2022_2"/>
    <s v="0012"/>
    <m/>
    <m/>
    <m/>
    <m/>
    <m/>
  </r>
  <r>
    <s v="ALUGUEIS, ARREND. E CONDOMINIOS"/>
    <x v="57"/>
    <x v="16"/>
    <n v="20000"/>
    <s v="0000000127"/>
    <s v="2873"/>
    <d v="2022-09-01T00:00:00"/>
    <s v="330401"/>
    <s v="201"/>
    <s v="90"/>
    <s v="Credito"/>
    <x v="2"/>
    <x v="216"/>
    <m/>
    <s v="000252"/>
    <s v="000132"/>
    <n v="20000"/>
    <s v="0,00"/>
    <s v="0,00"/>
    <s v="0,00"/>
    <s v="0,00"/>
    <s v="ORC2022_2"/>
    <s v="0012"/>
    <m/>
    <m/>
    <m/>
    <m/>
    <m/>
  </r>
  <r>
    <s v="ALUGUEIS, ARREND. E CONDOMINIOS"/>
    <x v="57"/>
    <x v="17"/>
    <n v="439.18"/>
    <s v="0000000127"/>
    <s v="2874"/>
    <d v="2022-10-01T00:00:00"/>
    <s v="330401"/>
    <s v="305"/>
    <s v="42"/>
    <s v="Credito"/>
    <x v="2"/>
    <x v="216"/>
    <m/>
    <s v="000252"/>
    <s v="000132"/>
    <n v="439.18"/>
    <s v="0,00"/>
    <s v="0,00"/>
    <s v="0,00"/>
    <s v="0,00"/>
    <s v="ORC2022_2"/>
    <s v="0012"/>
    <m/>
    <m/>
    <m/>
    <m/>
    <m/>
  </r>
  <r>
    <s v="ALUGUEIS, ARREND. E CONDOMINIOS"/>
    <x v="57"/>
    <x v="17"/>
    <n v="20200"/>
    <s v="0000000127"/>
    <s v="2875"/>
    <d v="2022-10-01T00:00:00"/>
    <s v="330401"/>
    <s v="201"/>
    <s v="90"/>
    <s v="Credito"/>
    <x v="2"/>
    <x v="216"/>
    <m/>
    <s v="000252"/>
    <s v="000132"/>
    <n v="20200"/>
    <s v="0,00"/>
    <s v="0,00"/>
    <s v="0,00"/>
    <s v="0,00"/>
    <s v="ORC2022_2"/>
    <s v="0012"/>
    <m/>
    <m/>
    <m/>
    <m/>
    <m/>
  </r>
  <r>
    <s v="ALUGUEIS, ARREND. E CONDOMINIOS"/>
    <x v="57"/>
    <x v="0"/>
    <n v="443.57"/>
    <s v="0000000127"/>
    <s v="2876"/>
    <d v="2022-11-01T00:00:00"/>
    <s v="330401"/>
    <s v="305"/>
    <s v="42"/>
    <s v="Credito"/>
    <x v="2"/>
    <x v="216"/>
    <m/>
    <s v="000252"/>
    <s v="000132"/>
    <n v="443.57"/>
    <s v="0,00"/>
    <s v="0,00"/>
    <s v="0,00"/>
    <s v="0,00"/>
    <s v="ORC2022_2"/>
    <s v="0012"/>
    <m/>
    <m/>
    <m/>
    <m/>
    <m/>
  </r>
  <r>
    <s v="ALUGUEIS, ARREND. E CONDOMINIOS"/>
    <x v="57"/>
    <x v="0"/>
    <n v="20402"/>
    <s v="0000000127"/>
    <s v="2877"/>
    <d v="2022-11-01T00:00:00"/>
    <s v="330401"/>
    <s v="201"/>
    <s v="90"/>
    <s v="Credito"/>
    <x v="2"/>
    <x v="216"/>
    <m/>
    <s v="000252"/>
    <s v="000132"/>
    <n v="20402"/>
    <s v="0,00"/>
    <s v="0,00"/>
    <s v="0,00"/>
    <s v="0,00"/>
    <s v="ORC2022_2"/>
    <s v="0012"/>
    <m/>
    <m/>
    <m/>
    <m/>
    <m/>
  </r>
  <r>
    <s v="ALUGUEIS, ARREND. E CONDOMINIOS"/>
    <x v="57"/>
    <x v="1"/>
    <n v="448.01"/>
    <s v="0000000127"/>
    <s v="2878"/>
    <d v="2022-12-01T00:00:00"/>
    <s v="330401"/>
    <s v="305"/>
    <s v="42"/>
    <s v="Credito"/>
    <x v="2"/>
    <x v="216"/>
    <m/>
    <s v="000252"/>
    <s v="000132"/>
    <n v="448.01"/>
    <s v="0,00"/>
    <s v="0,00"/>
    <s v="0,00"/>
    <s v="0,00"/>
    <s v="ORC2022_2"/>
    <s v="0012"/>
    <m/>
    <m/>
    <m/>
    <m/>
    <m/>
  </r>
  <r>
    <s v="ALUGUEIS, ARREND. E CONDOMINIOS"/>
    <x v="57"/>
    <x v="1"/>
    <n v="20606.02"/>
    <s v="0000000127"/>
    <s v="2879"/>
    <d v="2022-12-01T00:00:00"/>
    <s v="330401"/>
    <s v="201"/>
    <s v="90"/>
    <s v="Credito"/>
    <x v="2"/>
    <x v="216"/>
    <m/>
    <s v="000252"/>
    <s v="000132"/>
    <n v="20606.02"/>
    <s v="0,00"/>
    <s v="0,00"/>
    <s v="0,00"/>
    <s v="0,00"/>
    <s v="ORC2022_2"/>
    <s v="0012"/>
    <m/>
    <m/>
    <m/>
    <m/>
    <m/>
  </r>
  <r>
    <s v="UTILIDADES"/>
    <x v="58"/>
    <x v="10"/>
    <n v="2461.4499999999998"/>
    <s v="0000000127"/>
    <s v="2880"/>
    <d v="2022-03-01T00:00:00"/>
    <s v="330402"/>
    <s v="201"/>
    <s v="90"/>
    <s v="Credito"/>
    <x v="2"/>
    <x v="216"/>
    <m/>
    <s v="000252"/>
    <s v="000132"/>
    <n v="2461.4499999999998"/>
    <s v="0,00"/>
    <s v="0,00"/>
    <s v="0,00"/>
    <s v="0,00"/>
    <s v="ORC2022_2"/>
    <s v="0012"/>
    <m/>
    <m/>
    <m/>
    <m/>
    <m/>
  </r>
  <r>
    <s v="UTILIDADES"/>
    <x v="58"/>
    <x v="13"/>
    <n v="334.18"/>
    <s v="0000000127"/>
    <s v="2881"/>
    <d v="2022-06-01T00:00:00"/>
    <s v="330402"/>
    <s v="211"/>
    <s v="51"/>
    <s v="Credito"/>
    <x v="2"/>
    <x v="216"/>
    <m/>
    <s v="000252"/>
    <s v="000132"/>
    <n v="334.18"/>
    <s v="0,00"/>
    <s v="0,00"/>
    <s v="0,00"/>
    <s v="0,00"/>
    <s v="ORC2022_2"/>
    <s v="0012"/>
    <m/>
    <m/>
    <m/>
    <m/>
    <m/>
  </r>
  <r>
    <s v="UTILIDADES"/>
    <x v="58"/>
    <x v="14"/>
    <n v="4468.58"/>
    <s v="0000000127"/>
    <s v="2882"/>
    <d v="2022-07-01T00:00:00"/>
    <s v="330402"/>
    <s v="201"/>
    <s v="90"/>
    <s v="Credito"/>
    <x v="2"/>
    <x v="216"/>
    <m/>
    <s v="000252"/>
    <s v="000132"/>
    <n v="4468.58"/>
    <s v="0,00"/>
    <s v="0,00"/>
    <s v="0,00"/>
    <s v="0,00"/>
    <s v="ORC2022_2"/>
    <s v="0012"/>
    <m/>
    <m/>
    <m/>
    <m/>
    <m/>
  </r>
  <r>
    <s v="UTILIDADES"/>
    <x v="58"/>
    <x v="15"/>
    <n v="241.37"/>
    <s v="0000000127"/>
    <s v="2883"/>
    <d v="2022-08-01T00:00:00"/>
    <s v="330402"/>
    <s v="211"/>
    <s v="51"/>
    <s v="Credito"/>
    <x v="2"/>
    <x v="216"/>
    <m/>
    <s v="000252"/>
    <s v="000132"/>
    <n v="241.37"/>
    <s v="0,00"/>
    <s v="0,00"/>
    <s v="0,00"/>
    <s v="0,00"/>
    <s v="ORC2022_2"/>
    <s v="0012"/>
    <m/>
    <m/>
    <m/>
    <m/>
    <m/>
  </r>
  <r>
    <s v="UTILIDADES"/>
    <x v="58"/>
    <x v="15"/>
    <n v="4768.78"/>
    <s v="0000000127"/>
    <s v="2884"/>
    <d v="2022-08-01T00:00:00"/>
    <s v="330402"/>
    <s v="201"/>
    <s v="90"/>
    <s v="Credito"/>
    <x v="2"/>
    <x v="216"/>
    <m/>
    <s v="000252"/>
    <s v="000132"/>
    <n v="4768.78"/>
    <s v="0,00"/>
    <s v="0,00"/>
    <s v="0,00"/>
    <s v="0,00"/>
    <s v="ORC2022_2"/>
    <s v="0012"/>
    <m/>
    <m/>
    <m/>
    <m/>
    <m/>
  </r>
  <r>
    <s v="UTILIDADES"/>
    <x v="58"/>
    <x v="16"/>
    <n v="2144.25"/>
    <s v="0000000127"/>
    <s v="2885"/>
    <d v="2022-09-01T00:00:00"/>
    <s v="330402"/>
    <s v="201"/>
    <s v="90"/>
    <s v="Credito"/>
    <x v="2"/>
    <x v="216"/>
    <m/>
    <s v="000252"/>
    <s v="000132"/>
    <n v="2144.25"/>
    <s v="0,00"/>
    <s v="0,00"/>
    <s v="0,00"/>
    <s v="0,00"/>
    <s v="ORC2022_2"/>
    <s v="0012"/>
    <m/>
    <m/>
    <m/>
    <m/>
    <m/>
  </r>
  <r>
    <s v="UTILIDADES"/>
    <x v="58"/>
    <x v="17"/>
    <n v="2165.69"/>
    <s v="0000000127"/>
    <s v="2886"/>
    <d v="2022-10-01T00:00:00"/>
    <s v="330402"/>
    <s v="201"/>
    <s v="90"/>
    <s v="Credito"/>
    <x v="2"/>
    <x v="216"/>
    <m/>
    <s v="000252"/>
    <s v="000132"/>
    <n v="2165.69"/>
    <s v="0,00"/>
    <s v="0,00"/>
    <s v="0,00"/>
    <s v="0,00"/>
    <s v="ORC2022_2"/>
    <s v="0012"/>
    <m/>
    <m/>
    <m/>
    <m/>
    <m/>
  </r>
  <r>
    <s v="UTILIDADES"/>
    <x v="58"/>
    <x v="0"/>
    <n v="2187.35"/>
    <s v="0000000127"/>
    <s v="2887"/>
    <d v="2022-11-01T00:00:00"/>
    <s v="330402"/>
    <s v="201"/>
    <s v="90"/>
    <s v="Credito"/>
    <x v="2"/>
    <x v="216"/>
    <m/>
    <s v="000252"/>
    <s v="000132"/>
    <n v="2187.35"/>
    <s v="0,00"/>
    <s v="0,00"/>
    <s v="0,00"/>
    <s v="0,00"/>
    <s v="ORC2022_2"/>
    <s v="0012"/>
    <m/>
    <m/>
    <m/>
    <m/>
    <m/>
  </r>
  <r>
    <s v="UTILIDADES"/>
    <x v="58"/>
    <x v="1"/>
    <n v="2209.2199999999998"/>
    <s v="0000000127"/>
    <s v="2888"/>
    <d v="2022-12-01T00:00:00"/>
    <s v="330402"/>
    <s v="201"/>
    <s v="90"/>
    <s v="Credito"/>
    <x v="2"/>
    <x v="216"/>
    <m/>
    <s v="000252"/>
    <s v="000132"/>
    <n v="2209.2199999999998"/>
    <s v="0,00"/>
    <s v="0,00"/>
    <s v="0,00"/>
    <s v="0,00"/>
    <s v="ORC2022_2"/>
    <s v="0012"/>
    <m/>
    <m/>
    <m/>
    <m/>
    <m/>
  </r>
  <r>
    <s v="COMUNICACAO"/>
    <x v="59"/>
    <x v="8"/>
    <n v="2515.36"/>
    <s v="0000000127"/>
    <s v="2889"/>
    <d v="2022-01-01T00:00:00"/>
    <s v="330403"/>
    <s v="101"/>
    <s v="90"/>
    <s v="Credito"/>
    <x v="2"/>
    <x v="216"/>
    <m/>
    <s v="000252"/>
    <s v="000132"/>
    <n v="2515.36"/>
    <s v="0,00"/>
    <s v="0,00"/>
    <s v="0,00"/>
    <s v="0,00"/>
    <s v="ORC2022_2"/>
    <s v="0012"/>
    <m/>
    <m/>
    <m/>
    <m/>
    <m/>
  </r>
  <r>
    <s v="COMUNICACAO"/>
    <x v="59"/>
    <x v="8"/>
    <n v="11765.98"/>
    <s v="0000000127"/>
    <s v="2890"/>
    <d v="2022-01-01T00:00:00"/>
    <s v="330403"/>
    <s v="201"/>
    <s v="90"/>
    <s v="Credito"/>
    <x v="2"/>
    <x v="216"/>
    <m/>
    <s v="000252"/>
    <s v="000132"/>
    <n v="11765.98"/>
    <s v="0,00"/>
    <s v="0,00"/>
    <s v="0,00"/>
    <s v="0,00"/>
    <s v="ORC2022_2"/>
    <s v="0012"/>
    <m/>
    <m/>
    <m/>
    <m/>
    <m/>
  </r>
  <r>
    <s v="COMUNICACAO"/>
    <x v="59"/>
    <x v="9"/>
    <n v="1977.99"/>
    <s v="0000000127"/>
    <s v="2891"/>
    <d v="2022-02-01T00:00:00"/>
    <s v="330403"/>
    <s v="101"/>
    <s v="90"/>
    <s v="Credito"/>
    <x v="2"/>
    <x v="216"/>
    <m/>
    <s v="000252"/>
    <s v="000132"/>
    <n v="1977.99"/>
    <s v="0,00"/>
    <s v="0,00"/>
    <s v="0,00"/>
    <s v="0,00"/>
    <s v="ORC2022_2"/>
    <s v="0012"/>
    <m/>
    <m/>
    <m/>
    <m/>
    <m/>
  </r>
  <r>
    <s v="COMUNICACAO"/>
    <x v="59"/>
    <x v="9"/>
    <n v="11612.43"/>
    <s v="0000000127"/>
    <s v="2892"/>
    <d v="2022-02-01T00:00:00"/>
    <s v="330403"/>
    <s v="201"/>
    <s v="90"/>
    <s v="Credito"/>
    <x v="2"/>
    <x v="216"/>
    <m/>
    <s v="000252"/>
    <s v="000132"/>
    <n v="11612.43"/>
    <s v="0,00"/>
    <s v="0,00"/>
    <s v="0,00"/>
    <s v="0,00"/>
    <s v="ORC2022_2"/>
    <s v="0012"/>
    <m/>
    <m/>
    <m/>
    <m/>
    <m/>
  </r>
  <r>
    <s v="COMUNICACAO"/>
    <x v="59"/>
    <x v="9"/>
    <n v="218.23"/>
    <s v="0000000127"/>
    <s v="2893"/>
    <d v="2022-02-01T00:00:00"/>
    <s v="330403"/>
    <s v="301"/>
    <s v="90"/>
    <s v="Credito"/>
    <x v="2"/>
    <x v="216"/>
    <m/>
    <s v="000252"/>
    <s v="000132"/>
    <n v="218.23"/>
    <s v="0,00"/>
    <s v="0,00"/>
    <s v="0,00"/>
    <s v="0,00"/>
    <s v="ORC2022_2"/>
    <s v="0012"/>
    <m/>
    <m/>
    <m/>
    <m/>
    <m/>
  </r>
  <r>
    <s v="COMUNICACAO"/>
    <x v="59"/>
    <x v="10"/>
    <n v="1977.99"/>
    <s v="0000000127"/>
    <s v="2894"/>
    <d v="2022-03-01T00:00:00"/>
    <s v="330403"/>
    <s v="101"/>
    <s v="90"/>
    <s v="Credito"/>
    <x v="2"/>
    <x v="216"/>
    <m/>
    <s v="000252"/>
    <s v="000132"/>
    <n v="1977.99"/>
    <s v="0,00"/>
    <s v="0,00"/>
    <s v="0,00"/>
    <s v="0,00"/>
    <s v="ORC2022_2"/>
    <s v="0012"/>
    <m/>
    <m/>
    <m/>
    <m/>
    <m/>
  </r>
  <r>
    <s v="COMUNICACAO"/>
    <x v="59"/>
    <x v="10"/>
    <n v="10785.64"/>
    <s v="0000000127"/>
    <s v="2895"/>
    <d v="2022-03-01T00:00:00"/>
    <s v="330403"/>
    <s v="201"/>
    <s v="90"/>
    <s v="Credito"/>
    <x v="2"/>
    <x v="216"/>
    <m/>
    <s v="000252"/>
    <s v="000132"/>
    <n v="10785.64"/>
    <s v="0,00"/>
    <s v="0,00"/>
    <s v="0,00"/>
    <s v="0,00"/>
    <s v="ORC2022_2"/>
    <s v="0012"/>
    <m/>
    <m/>
    <m/>
    <m/>
    <m/>
  </r>
  <r>
    <s v="COMUNICACAO"/>
    <x v="59"/>
    <x v="11"/>
    <n v="1868"/>
    <s v="0000000127"/>
    <s v="2896"/>
    <d v="2022-04-01T00:00:00"/>
    <s v="330403"/>
    <s v="101"/>
    <s v="90"/>
    <s v="Credito"/>
    <x v="2"/>
    <x v="216"/>
    <m/>
    <s v="000252"/>
    <s v="000132"/>
    <n v="1868"/>
    <s v="0,00"/>
    <s v="0,00"/>
    <s v="0,00"/>
    <s v="0,00"/>
    <s v="ORC2022_2"/>
    <s v="0012"/>
    <m/>
    <m/>
    <m/>
    <m/>
    <m/>
  </r>
  <r>
    <s v="COMUNICACAO"/>
    <x v="59"/>
    <x v="11"/>
    <n v="10933.99"/>
    <s v="0000000127"/>
    <s v="2897"/>
    <d v="2022-04-01T00:00:00"/>
    <s v="330403"/>
    <s v="201"/>
    <s v="90"/>
    <s v="Credito"/>
    <x v="2"/>
    <x v="216"/>
    <m/>
    <s v="000252"/>
    <s v="000132"/>
    <n v="10933.99"/>
    <s v="0,00"/>
    <s v="0,00"/>
    <s v="0,00"/>
    <s v="0,00"/>
    <s v="ORC2022_2"/>
    <s v="0012"/>
    <m/>
    <m/>
    <m/>
    <m/>
    <m/>
  </r>
  <r>
    <s v="COMUNICACAO"/>
    <x v="59"/>
    <x v="11"/>
    <n v="218.23"/>
    <s v="0000000127"/>
    <s v="2898"/>
    <d v="2022-04-01T00:00:00"/>
    <s v="330403"/>
    <s v="301"/>
    <s v="90"/>
    <s v="Credito"/>
    <x v="2"/>
    <x v="216"/>
    <m/>
    <s v="000252"/>
    <s v="000132"/>
    <n v="218.23"/>
    <s v="0,00"/>
    <s v="0,00"/>
    <s v="0,00"/>
    <s v="0,00"/>
    <s v="ORC2022_2"/>
    <s v="0012"/>
    <m/>
    <m/>
    <m/>
    <m/>
    <m/>
  </r>
  <r>
    <s v="COMUNICACAO"/>
    <x v="59"/>
    <x v="12"/>
    <n v="2257.9499999999998"/>
    <s v="0000000127"/>
    <s v="2899"/>
    <d v="2022-05-01T00:00:00"/>
    <s v="330403"/>
    <s v="101"/>
    <s v="90"/>
    <s v="Credito"/>
    <x v="2"/>
    <x v="216"/>
    <m/>
    <s v="000252"/>
    <s v="000132"/>
    <n v="2257.9499999999998"/>
    <s v="0,00"/>
    <s v="0,00"/>
    <s v="0,00"/>
    <s v="0,00"/>
    <s v="ORC2022_2"/>
    <s v="0012"/>
    <m/>
    <m/>
    <m/>
    <m/>
    <m/>
  </r>
  <r>
    <s v="COMUNICACAO"/>
    <x v="59"/>
    <x v="12"/>
    <n v="8902.25"/>
    <s v="0000000127"/>
    <s v="2900"/>
    <d v="2022-05-01T00:00:00"/>
    <s v="330403"/>
    <s v="201"/>
    <s v="90"/>
    <s v="Credito"/>
    <x v="2"/>
    <x v="216"/>
    <m/>
    <s v="000252"/>
    <s v="000132"/>
    <n v="8902.25"/>
    <s v="0,00"/>
    <s v="0,00"/>
    <s v="0,00"/>
    <s v="0,00"/>
    <s v="ORC2022_2"/>
    <s v="0012"/>
    <m/>
    <m/>
    <m/>
    <m/>
    <m/>
  </r>
  <r>
    <s v="COMUNICACAO"/>
    <x v="59"/>
    <x v="13"/>
    <n v="1977.99"/>
    <s v="0000000127"/>
    <s v="2901"/>
    <d v="2022-06-01T00:00:00"/>
    <s v="330403"/>
    <s v="101"/>
    <s v="90"/>
    <s v="Credito"/>
    <x v="2"/>
    <x v="216"/>
    <m/>
    <s v="000252"/>
    <s v="000132"/>
    <n v="1977.99"/>
    <s v="0,00"/>
    <s v="0,00"/>
    <s v="0,00"/>
    <s v="0,00"/>
    <s v="ORC2022_2"/>
    <s v="0012"/>
    <m/>
    <m/>
    <m/>
    <m/>
    <m/>
  </r>
  <r>
    <s v="COMUNICACAO"/>
    <x v="59"/>
    <x v="13"/>
    <n v="12878.97"/>
    <s v="0000000127"/>
    <s v="2902"/>
    <d v="2022-06-01T00:00:00"/>
    <s v="330403"/>
    <s v="201"/>
    <s v="90"/>
    <s v="Credito"/>
    <x v="2"/>
    <x v="216"/>
    <m/>
    <s v="000252"/>
    <s v="000132"/>
    <n v="12878.97"/>
    <s v="0,00"/>
    <s v="0,00"/>
    <s v="0,00"/>
    <s v="0,00"/>
    <s v="ORC2022_2"/>
    <s v="0012"/>
    <m/>
    <m/>
    <m/>
    <m/>
    <m/>
  </r>
  <r>
    <s v="COMUNICACAO"/>
    <x v="59"/>
    <x v="14"/>
    <n v="1977.99"/>
    <s v="0000000127"/>
    <s v="2903"/>
    <d v="2022-07-01T00:00:00"/>
    <s v="330403"/>
    <s v="101"/>
    <s v="90"/>
    <s v="Credito"/>
    <x v="2"/>
    <x v="216"/>
    <m/>
    <s v="000252"/>
    <s v="000132"/>
    <n v="1977.99"/>
    <s v="0,00"/>
    <s v="0,00"/>
    <s v="0,00"/>
    <s v="0,00"/>
    <s v="ORC2022_2"/>
    <s v="0012"/>
    <m/>
    <m/>
    <m/>
    <m/>
    <m/>
  </r>
  <r>
    <s v="COMUNICACAO"/>
    <x v="59"/>
    <x v="14"/>
    <n v="8813.82"/>
    <s v="0000000127"/>
    <s v="2904"/>
    <d v="2022-07-01T00:00:00"/>
    <s v="330403"/>
    <s v="201"/>
    <s v="90"/>
    <s v="Credito"/>
    <x v="2"/>
    <x v="216"/>
    <m/>
    <s v="000252"/>
    <s v="000132"/>
    <n v="8813.82"/>
    <s v="0,00"/>
    <s v="0,00"/>
    <s v="0,00"/>
    <s v="0,00"/>
    <s v="ORC2022_2"/>
    <s v="0012"/>
    <m/>
    <m/>
    <m/>
    <m/>
    <m/>
  </r>
  <r>
    <s v="COMUNICACAO"/>
    <x v="59"/>
    <x v="15"/>
    <n v="1986.76"/>
    <s v="0000000127"/>
    <s v="2905"/>
    <d v="2022-08-01T00:00:00"/>
    <s v="330403"/>
    <s v="101"/>
    <s v="90"/>
    <s v="Credito"/>
    <x v="2"/>
    <x v="216"/>
    <m/>
    <s v="000252"/>
    <s v="000132"/>
    <n v="1986.76"/>
    <s v="0,00"/>
    <s v="0,00"/>
    <s v="0,00"/>
    <s v="0,00"/>
    <s v="ORC2022_2"/>
    <s v="0012"/>
    <m/>
    <m/>
    <m/>
    <m/>
    <m/>
  </r>
  <r>
    <s v="COMUNICACAO"/>
    <x v="59"/>
    <x v="15"/>
    <n v="10736.3"/>
    <s v="0000000127"/>
    <s v="2906"/>
    <d v="2022-08-01T00:00:00"/>
    <s v="330403"/>
    <s v="201"/>
    <s v="90"/>
    <s v="Credito"/>
    <x v="2"/>
    <x v="216"/>
    <m/>
    <s v="000252"/>
    <s v="000132"/>
    <n v="10736.3"/>
    <s v="0,00"/>
    <s v="0,00"/>
    <s v="0,00"/>
    <s v="0,00"/>
    <s v="ORC2022_2"/>
    <s v="0012"/>
    <m/>
    <m/>
    <m/>
    <m/>
    <m/>
  </r>
  <r>
    <s v="COMUNICACAO"/>
    <x v="59"/>
    <x v="16"/>
    <n v="1986.76"/>
    <s v="0000000127"/>
    <s v="2907"/>
    <d v="2022-09-01T00:00:00"/>
    <s v="330403"/>
    <s v="101"/>
    <s v="90"/>
    <s v="Credito"/>
    <x v="2"/>
    <x v="216"/>
    <m/>
    <s v="000252"/>
    <s v="000132"/>
    <n v="1986.76"/>
    <s v="0,00"/>
    <s v="0,00"/>
    <s v="0,00"/>
    <s v="0,00"/>
    <s v="ORC2022_2"/>
    <s v="0012"/>
    <m/>
    <m/>
    <m/>
    <m/>
    <m/>
  </r>
  <r>
    <s v="COMUNICACAO"/>
    <x v="59"/>
    <x v="16"/>
    <n v="13419.58"/>
    <s v="0000000127"/>
    <s v="2908"/>
    <d v="2022-09-01T00:00:00"/>
    <s v="330403"/>
    <s v="201"/>
    <s v="90"/>
    <s v="Credito"/>
    <x v="2"/>
    <x v="216"/>
    <m/>
    <s v="000252"/>
    <s v="000132"/>
    <n v="13419.58"/>
    <s v="0,00"/>
    <s v="0,00"/>
    <s v="0,00"/>
    <s v="0,00"/>
    <s v="ORC2022_2"/>
    <s v="0012"/>
    <m/>
    <m/>
    <m/>
    <m/>
    <m/>
  </r>
  <r>
    <s v="COMUNICACAO"/>
    <x v="59"/>
    <x v="16"/>
    <n v="745"/>
    <s v="0000000127"/>
    <s v="2909"/>
    <d v="2022-09-01T00:00:00"/>
    <s v="330403"/>
    <s v="211"/>
    <s v="90"/>
    <s v="Credito"/>
    <x v="2"/>
    <x v="216"/>
    <m/>
    <s v="000252"/>
    <s v="000132"/>
    <n v="745"/>
    <s v="0,00"/>
    <s v="0,00"/>
    <s v="0,00"/>
    <s v="0,00"/>
    <s v="ORC2022_2"/>
    <s v="0012"/>
    <m/>
    <m/>
    <m/>
    <m/>
    <m/>
  </r>
  <r>
    <s v="COMUNICACAO"/>
    <x v="59"/>
    <x v="17"/>
    <n v="2006.63"/>
    <s v="0000000127"/>
    <s v="2910"/>
    <d v="2022-10-01T00:00:00"/>
    <s v="330403"/>
    <s v="101"/>
    <s v="90"/>
    <s v="Credito"/>
    <x v="2"/>
    <x v="216"/>
    <m/>
    <s v="000252"/>
    <s v="000132"/>
    <n v="2006.63"/>
    <s v="0,00"/>
    <s v="0,00"/>
    <s v="0,00"/>
    <s v="0,00"/>
    <s v="ORC2022_2"/>
    <s v="0012"/>
    <m/>
    <m/>
    <m/>
    <m/>
    <m/>
  </r>
  <r>
    <s v="COMUNICACAO"/>
    <x v="59"/>
    <x v="17"/>
    <n v="13553.78"/>
    <s v="0000000127"/>
    <s v="2911"/>
    <d v="2022-10-01T00:00:00"/>
    <s v="330403"/>
    <s v="201"/>
    <s v="90"/>
    <s v="Credito"/>
    <x v="2"/>
    <x v="216"/>
    <m/>
    <s v="000252"/>
    <s v="000132"/>
    <n v="13553.78"/>
    <s v="0,00"/>
    <s v="0,00"/>
    <s v="0,00"/>
    <s v="0,00"/>
    <s v="ORC2022_2"/>
    <s v="0012"/>
    <m/>
    <m/>
    <m/>
    <m/>
    <m/>
  </r>
  <r>
    <s v="COMUNICACAO"/>
    <x v="59"/>
    <x v="17"/>
    <n v="752.45"/>
    <s v="0000000127"/>
    <s v="2912"/>
    <d v="2022-10-01T00:00:00"/>
    <s v="330403"/>
    <s v="211"/>
    <s v="90"/>
    <s v="Credito"/>
    <x v="2"/>
    <x v="216"/>
    <m/>
    <s v="000252"/>
    <s v="000132"/>
    <n v="752.45"/>
    <s v="0,00"/>
    <s v="0,00"/>
    <s v="0,00"/>
    <s v="0,00"/>
    <s v="ORC2022_2"/>
    <s v="0012"/>
    <m/>
    <m/>
    <m/>
    <m/>
    <m/>
  </r>
  <r>
    <s v="COMUNICACAO"/>
    <x v="59"/>
    <x v="0"/>
    <n v="2026.69"/>
    <s v="0000000127"/>
    <s v="2913"/>
    <d v="2022-11-01T00:00:00"/>
    <s v="330403"/>
    <s v="101"/>
    <s v="90"/>
    <s v="Credito"/>
    <x v="2"/>
    <x v="216"/>
    <m/>
    <s v="000252"/>
    <s v="000132"/>
    <n v="2026.69"/>
    <s v="0,00"/>
    <s v="0,00"/>
    <s v="0,00"/>
    <s v="0,00"/>
    <s v="ORC2022_2"/>
    <s v="0012"/>
    <m/>
    <m/>
    <m/>
    <m/>
    <m/>
  </r>
  <r>
    <s v="COMUNICACAO"/>
    <x v="59"/>
    <x v="0"/>
    <n v="13689.31"/>
    <s v="0000000127"/>
    <s v="2914"/>
    <d v="2022-11-01T00:00:00"/>
    <s v="330403"/>
    <s v="201"/>
    <s v="90"/>
    <s v="Credito"/>
    <x v="2"/>
    <x v="216"/>
    <m/>
    <s v="000252"/>
    <s v="000132"/>
    <n v="13689.31"/>
    <s v="0,00"/>
    <s v="0,00"/>
    <s v="0,00"/>
    <s v="0,00"/>
    <s v="ORC2022_2"/>
    <s v="0012"/>
    <m/>
    <m/>
    <m/>
    <m/>
    <m/>
  </r>
  <r>
    <s v="COMUNICACAO"/>
    <x v="59"/>
    <x v="0"/>
    <n v="759.97"/>
    <s v="0000000127"/>
    <s v="2915"/>
    <d v="2022-11-01T00:00:00"/>
    <s v="330403"/>
    <s v="211"/>
    <s v="90"/>
    <s v="Credito"/>
    <x v="2"/>
    <x v="216"/>
    <m/>
    <s v="000252"/>
    <s v="000132"/>
    <n v="759.97"/>
    <s v="0,00"/>
    <s v="0,00"/>
    <s v="0,00"/>
    <s v="0,00"/>
    <s v="ORC2022_2"/>
    <s v="0012"/>
    <m/>
    <m/>
    <m/>
    <m/>
    <m/>
  </r>
  <r>
    <s v="COMUNICACAO"/>
    <x v="59"/>
    <x v="1"/>
    <n v="2046.96"/>
    <s v="0000000127"/>
    <s v="2916"/>
    <d v="2022-12-01T00:00:00"/>
    <s v="330403"/>
    <s v="101"/>
    <s v="90"/>
    <s v="Credito"/>
    <x v="2"/>
    <x v="216"/>
    <m/>
    <s v="000252"/>
    <s v="000132"/>
    <n v="2046.96"/>
    <s v="0,00"/>
    <s v="0,00"/>
    <s v="0,00"/>
    <s v="0,00"/>
    <s v="ORC2022_2"/>
    <s v="0012"/>
    <m/>
    <m/>
    <m/>
    <m/>
    <m/>
  </r>
  <r>
    <s v="COMUNICACAO"/>
    <x v="59"/>
    <x v="1"/>
    <n v="13826.21"/>
    <s v="0000000127"/>
    <s v="2917"/>
    <d v="2022-12-01T00:00:00"/>
    <s v="330403"/>
    <s v="201"/>
    <s v="90"/>
    <s v="Credito"/>
    <x v="2"/>
    <x v="216"/>
    <m/>
    <s v="000252"/>
    <s v="000132"/>
    <n v="13826.21"/>
    <s v="0,00"/>
    <s v="0,00"/>
    <s v="0,00"/>
    <s v="0,00"/>
    <s v="ORC2022_2"/>
    <s v="0012"/>
    <m/>
    <m/>
    <m/>
    <m/>
    <m/>
  </r>
  <r>
    <s v="COMUNICACAO"/>
    <x v="59"/>
    <x v="1"/>
    <n v="767.57"/>
    <s v="0000000127"/>
    <s v="2918"/>
    <d v="2022-12-01T00:00:00"/>
    <s v="330403"/>
    <s v="211"/>
    <s v="90"/>
    <s v="Credito"/>
    <x v="2"/>
    <x v="216"/>
    <m/>
    <s v="000252"/>
    <s v="000132"/>
    <n v="767.57"/>
    <s v="0,00"/>
    <s v="0,00"/>
    <s v="0,00"/>
    <s v="0,00"/>
    <s v="ORC2022_2"/>
    <s v="0012"/>
    <m/>
    <m/>
    <m/>
    <m/>
    <m/>
  </r>
  <r>
    <s v="INFORMATICA"/>
    <x v="60"/>
    <x v="8"/>
    <n v="812"/>
    <s v="0000000127"/>
    <s v="2919"/>
    <d v="2022-01-01T00:00:00"/>
    <s v="330404"/>
    <s v="101"/>
    <s v="90"/>
    <s v="Credito"/>
    <x v="2"/>
    <x v="216"/>
    <m/>
    <s v="000252"/>
    <s v="000132"/>
    <n v="812"/>
    <s v="0,00"/>
    <s v="0,00"/>
    <s v="0,00"/>
    <s v="0,00"/>
    <s v="ORC2022_2"/>
    <s v="0012"/>
    <m/>
    <m/>
    <m/>
    <m/>
    <m/>
  </r>
  <r>
    <s v="INFORMATICA"/>
    <x v="60"/>
    <x v="8"/>
    <n v="182"/>
    <s v="0000000127"/>
    <s v="2920"/>
    <d v="2022-01-01T00:00:00"/>
    <s v="330404"/>
    <s v="208"/>
    <s v="90"/>
    <s v="Credito"/>
    <x v="2"/>
    <x v="216"/>
    <m/>
    <s v="000252"/>
    <s v="000132"/>
    <n v="182"/>
    <s v="0,00"/>
    <s v="0,00"/>
    <s v="0,00"/>
    <s v="0,00"/>
    <s v="ORC2022_2"/>
    <s v="0012"/>
    <m/>
    <m/>
    <m/>
    <m/>
    <m/>
  </r>
  <r>
    <s v="INFORMATICA"/>
    <x v="60"/>
    <x v="8"/>
    <n v="117.04"/>
    <s v="0000000127"/>
    <s v="2921"/>
    <d v="2022-01-01T00:00:00"/>
    <s v="330404"/>
    <s v="209"/>
    <s v="90"/>
    <s v="Credito"/>
    <x v="2"/>
    <x v="216"/>
    <m/>
    <s v="000252"/>
    <s v="000132"/>
    <n v="117.04"/>
    <s v="0,00"/>
    <s v="0,00"/>
    <s v="0,00"/>
    <s v="0,00"/>
    <s v="ORC2022_2"/>
    <s v="0012"/>
    <m/>
    <m/>
    <m/>
    <m/>
    <m/>
  </r>
  <r>
    <s v="INFORMATICA"/>
    <x v="60"/>
    <x v="9"/>
    <n v="2029"/>
    <s v="0000000127"/>
    <s v="2922"/>
    <d v="2022-02-01T00:00:00"/>
    <s v="330404"/>
    <s v="201"/>
    <s v="90"/>
    <s v="Credito"/>
    <x v="2"/>
    <x v="216"/>
    <m/>
    <s v="000252"/>
    <s v="000132"/>
    <n v="2029"/>
    <s v="0,00"/>
    <s v="0,00"/>
    <s v="0,00"/>
    <s v="0,00"/>
    <s v="ORC2022_2"/>
    <s v="0012"/>
    <m/>
    <m/>
    <m/>
    <m/>
    <m/>
  </r>
  <r>
    <s v="INFORMATICA"/>
    <x v="60"/>
    <x v="9"/>
    <n v="97"/>
    <s v="0000000127"/>
    <s v="2923"/>
    <d v="2022-02-01T00:00:00"/>
    <s v="330404"/>
    <s v="209"/>
    <s v="90"/>
    <s v="Credito"/>
    <x v="2"/>
    <x v="216"/>
    <m/>
    <s v="000252"/>
    <s v="000132"/>
    <n v="97"/>
    <s v="0,00"/>
    <s v="0,00"/>
    <s v="0,00"/>
    <s v="0,00"/>
    <s v="ORC2022_2"/>
    <s v="0012"/>
    <m/>
    <m/>
    <m/>
    <m/>
    <m/>
  </r>
  <r>
    <s v="INFORMATICA"/>
    <x v="60"/>
    <x v="11"/>
    <n v="89.9"/>
    <s v="0000000127"/>
    <s v="2924"/>
    <d v="2022-04-01T00:00:00"/>
    <s v="330404"/>
    <s v="201"/>
    <s v="90"/>
    <s v="Credito"/>
    <x v="2"/>
    <x v="216"/>
    <m/>
    <s v="000252"/>
    <s v="000132"/>
    <n v="89.9"/>
    <s v="0,00"/>
    <s v="0,00"/>
    <s v="0,00"/>
    <s v="0,00"/>
    <s v="ORC2022_2"/>
    <s v="0012"/>
    <m/>
    <m/>
    <m/>
    <m/>
    <m/>
  </r>
  <r>
    <s v="INFORMATICA"/>
    <x v="60"/>
    <x v="12"/>
    <n v="322"/>
    <s v="0000000127"/>
    <s v="2925"/>
    <d v="2022-05-01T00:00:00"/>
    <s v="330404"/>
    <s v="101"/>
    <s v="90"/>
    <s v="Credito"/>
    <x v="2"/>
    <x v="216"/>
    <m/>
    <s v="000252"/>
    <s v="000132"/>
    <n v="322"/>
    <s v="0,00"/>
    <s v="0,00"/>
    <s v="0,00"/>
    <s v="0,00"/>
    <s v="ORC2022_2"/>
    <s v="0012"/>
    <m/>
    <m/>
    <m/>
    <m/>
    <m/>
  </r>
  <r>
    <s v="INFORMATICA"/>
    <x v="60"/>
    <x v="12"/>
    <n v="80"/>
    <s v="0000000127"/>
    <s v="2926"/>
    <d v="2022-05-01T00:00:00"/>
    <s v="330404"/>
    <s v="208"/>
    <s v="90"/>
    <s v="Credito"/>
    <x v="2"/>
    <x v="216"/>
    <m/>
    <s v="000252"/>
    <s v="000132"/>
    <n v="80"/>
    <s v="0,00"/>
    <s v="0,00"/>
    <s v="0,00"/>
    <s v="0,00"/>
    <s v="ORC2022_2"/>
    <s v="0012"/>
    <m/>
    <m/>
    <m/>
    <m/>
    <m/>
  </r>
  <r>
    <s v="INFORMATICA"/>
    <x v="60"/>
    <x v="12"/>
    <n v="430.9"/>
    <s v="0000000127"/>
    <s v="2927"/>
    <d v="2022-05-01T00:00:00"/>
    <s v="330404"/>
    <s v="210"/>
    <s v="90"/>
    <s v="Credito"/>
    <x v="2"/>
    <x v="216"/>
    <m/>
    <s v="000252"/>
    <s v="000132"/>
    <n v="430.9"/>
    <s v="0,00"/>
    <s v="0,00"/>
    <s v="0,00"/>
    <s v="0,00"/>
    <s v="ORC2022_2"/>
    <s v="0012"/>
    <m/>
    <m/>
    <m/>
    <m/>
    <m/>
  </r>
  <r>
    <s v="INFORMATICA"/>
    <x v="60"/>
    <x v="13"/>
    <n v="839.5"/>
    <s v="0000000127"/>
    <s v="2928"/>
    <d v="2022-06-01T00:00:00"/>
    <s v="330404"/>
    <s v="201"/>
    <s v="90"/>
    <s v="Credito"/>
    <x v="2"/>
    <x v="216"/>
    <m/>
    <s v="000252"/>
    <s v="000132"/>
    <n v="839.5"/>
    <s v="0,00"/>
    <s v="0,00"/>
    <s v="0,00"/>
    <s v="0,00"/>
    <s v="ORC2022_2"/>
    <s v="0012"/>
    <m/>
    <m/>
    <m/>
    <m/>
    <m/>
  </r>
  <r>
    <s v="INFORMATICA"/>
    <x v="60"/>
    <x v="13"/>
    <n v="512"/>
    <s v="0000000127"/>
    <s v="2929"/>
    <d v="2022-06-01T00:00:00"/>
    <s v="330404"/>
    <s v="206"/>
    <s v="90"/>
    <s v="Credito"/>
    <x v="2"/>
    <x v="216"/>
    <m/>
    <s v="000252"/>
    <s v="000132"/>
    <n v="512"/>
    <s v="0,00"/>
    <s v="0,00"/>
    <s v="0,00"/>
    <s v="0,00"/>
    <s v="ORC2022_2"/>
    <s v="0012"/>
    <m/>
    <m/>
    <m/>
    <m/>
    <m/>
  </r>
  <r>
    <s v="INFORMATICA"/>
    <x v="60"/>
    <x v="13"/>
    <n v="178.41"/>
    <s v="0000000127"/>
    <s v="2930"/>
    <d v="2022-06-01T00:00:00"/>
    <s v="330404"/>
    <s v="207"/>
    <s v="90"/>
    <s v="Credito"/>
    <x v="2"/>
    <x v="216"/>
    <m/>
    <s v="000252"/>
    <s v="000132"/>
    <n v="178.41"/>
    <s v="0,00"/>
    <s v="0,00"/>
    <s v="0,00"/>
    <s v="0,00"/>
    <s v="ORC2022_2"/>
    <s v="0012"/>
    <m/>
    <m/>
    <m/>
    <m/>
    <m/>
  </r>
  <r>
    <s v="INFORMATICA"/>
    <x v="60"/>
    <x v="14"/>
    <n v="699.89"/>
    <s v="0000000127"/>
    <s v="2931"/>
    <d v="2022-07-01T00:00:00"/>
    <s v="330404"/>
    <s v="208"/>
    <s v="90"/>
    <s v="Credito"/>
    <x v="2"/>
    <x v="216"/>
    <m/>
    <s v="000252"/>
    <s v="000132"/>
    <n v="699.89"/>
    <s v="0,00"/>
    <s v="0,00"/>
    <s v="0,00"/>
    <s v="0,00"/>
    <s v="ORC2022_2"/>
    <s v="0012"/>
    <m/>
    <m/>
    <m/>
    <m/>
    <m/>
  </r>
  <r>
    <s v="INFORMATICA"/>
    <x v="60"/>
    <x v="15"/>
    <n v="1391.05"/>
    <s v="0000000127"/>
    <s v="2932"/>
    <d v="2022-08-01T00:00:00"/>
    <s v="330404"/>
    <s v="201"/>
    <s v="90"/>
    <s v="Credito"/>
    <x v="2"/>
    <x v="216"/>
    <m/>
    <s v="000252"/>
    <s v="000132"/>
    <n v="1391.05"/>
    <s v="0,00"/>
    <s v="0,00"/>
    <s v="0,00"/>
    <s v="0,00"/>
    <s v="ORC2022_2"/>
    <s v="0012"/>
    <m/>
    <m/>
    <m/>
    <m/>
    <m/>
  </r>
  <r>
    <s v="INFORMATICA"/>
    <x v="60"/>
    <x v="16"/>
    <n v="100"/>
    <s v="0000000127"/>
    <s v="2933"/>
    <d v="2022-09-01T00:00:00"/>
    <s v="330404"/>
    <s v="201"/>
    <s v="90"/>
    <s v="Credito"/>
    <x v="2"/>
    <x v="216"/>
    <m/>
    <s v="000252"/>
    <s v="000132"/>
    <n v="100"/>
    <s v="0,00"/>
    <s v="0,00"/>
    <s v="0,00"/>
    <s v="0,00"/>
    <s v="ORC2022_2"/>
    <s v="0012"/>
    <m/>
    <m/>
    <m/>
    <m/>
    <m/>
  </r>
  <r>
    <s v="INFORMATICA"/>
    <x v="60"/>
    <x v="17"/>
    <n v="101"/>
    <s v="0000000127"/>
    <s v="2934"/>
    <d v="2022-10-01T00:00:00"/>
    <s v="330404"/>
    <s v="201"/>
    <s v="90"/>
    <s v="Credito"/>
    <x v="2"/>
    <x v="216"/>
    <m/>
    <s v="000252"/>
    <s v="000132"/>
    <n v="101"/>
    <s v="0,00"/>
    <s v="0,00"/>
    <s v="0,00"/>
    <s v="0,00"/>
    <s v="ORC2022_2"/>
    <s v="0012"/>
    <m/>
    <m/>
    <m/>
    <m/>
    <m/>
  </r>
  <r>
    <s v="INFORMATICA"/>
    <x v="60"/>
    <x v="0"/>
    <n v="102.01"/>
    <s v="0000000127"/>
    <s v="2935"/>
    <d v="2022-11-01T00:00:00"/>
    <s v="330404"/>
    <s v="201"/>
    <s v="90"/>
    <s v="Credito"/>
    <x v="2"/>
    <x v="216"/>
    <m/>
    <s v="000252"/>
    <s v="000132"/>
    <n v="102.01"/>
    <s v="0,00"/>
    <s v="0,00"/>
    <s v="0,00"/>
    <s v="0,00"/>
    <s v="ORC2022_2"/>
    <s v="0012"/>
    <m/>
    <m/>
    <m/>
    <m/>
    <m/>
  </r>
  <r>
    <s v="INFORMATICA"/>
    <x v="60"/>
    <x v="1"/>
    <n v="103.03"/>
    <s v="0000000127"/>
    <s v="2936"/>
    <d v="2022-12-01T00:00:00"/>
    <s v="330404"/>
    <s v="201"/>
    <s v="90"/>
    <s v="Credito"/>
    <x v="2"/>
    <x v="216"/>
    <m/>
    <s v="000252"/>
    <s v="000132"/>
    <n v="103.03"/>
    <s v="0,00"/>
    <s v="0,00"/>
    <s v="0,00"/>
    <s v="0,00"/>
    <s v="ORC2022_2"/>
    <s v="0012"/>
    <m/>
    <m/>
    <m/>
    <m/>
    <m/>
  </r>
  <r>
    <s v="PREMIO DE SEGUROS"/>
    <x v="61"/>
    <x v="8"/>
    <n v="4830.28"/>
    <s v="0000000127"/>
    <s v="2937"/>
    <d v="2022-01-01T00:00:00"/>
    <s v="330405"/>
    <s v="201"/>
    <s v="90"/>
    <s v="Credito"/>
    <x v="2"/>
    <x v="216"/>
    <m/>
    <s v="000252"/>
    <s v="000132"/>
    <n v="4830.28"/>
    <s v="0,00"/>
    <s v="0,00"/>
    <s v="0,00"/>
    <s v="0,00"/>
    <s v="ORC2022_2"/>
    <s v="0012"/>
    <m/>
    <m/>
    <m/>
    <m/>
    <m/>
  </r>
  <r>
    <s v="PREMIO DE SEGUROS"/>
    <x v="61"/>
    <x v="9"/>
    <n v="4830.28"/>
    <s v="0000000127"/>
    <s v="2938"/>
    <d v="2022-02-01T00:00:00"/>
    <s v="330405"/>
    <s v="201"/>
    <s v="90"/>
    <s v="Credito"/>
    <x v="2"/>
    <x v="216"/>
    <m/>
    <s v="000252"/>
    <s v="000132"/>
    <n v="4830.28"/>
    <s v="0,00"/>
    <s v="0,00"/>
    <s v="0,00"/>
    <s v="0,00"/>
    <s v="ORC2022_2"/>
    <s v="0012"/>
    <m/>
    <m/>
    <m/>
    <m/>
    <m/>
  </r>
  <r>
    <s v="PREMIO DE SEGUROS"/>
    <x v="61"/>
    <x v="10"/>
    <n v="3663.12"/>
    <s v="0000000127"/>
    <s v="2939"/>
    <d v="2022-03-01T00:00:00"/>
    <s v="330405"/>
    <s v="201"/>
    <s v="90"/>
    <s v="Credito"/>
    <x v="2"/>
    <x v="216"/>
    <m/>
    <s v="000252"/>
    <s v="000132"/>
    <n v="3663.12"/>
    <s v="0,00"/>
    <s v="0,00"/>
    <s v="0,00"/>
    <s v="0,00"/>
    <s v="ORC2022_2"/>
    <s v="0012"/>
    <m/>
    <m/>
    <m/>
    <m/>
    <m/>
  </r>
  <r>
    <s v="PREMIO DE SEGUROS"/>
    <x v="61"/>
    <x v="11"/>
    <n v="428.35"/>
    <s v="0000000127"/>
    <s v="2940"/>
    <d v="2022-04-01T00:00:00"/>
    <s v="330405"/>
    <s v="201"/>
    <s v="90"/>
    <s v="Credito"/>
    <x v="2"/>
    <x v="216"/>
    <m/>
    <s v="000252"/>
    <s v="000132"/>
    <n v="428.35"/>
    <s v="0,00"/>
    <s v="0,00"/>
    <s v="0,00"/>
    <s v="0,00"/>
    <s v="ORC2022_2"/>
    <s v="0012"/>
    <m/>
    <m/>
    <m/>
    <m/>
    <m/>
  </r>
  <r>
    <s v="PREMIO DE SEGUROS"/>
    <x v="61"/>
    <x v="12"/>
    <n v="428.35"/>
    <s v="0000000127"/>
    <s v="2941"/>
    <d v="2022-05-01T00:00:00"/>
    <s v="330405"/>
    <s v="201"/>
    <s v="90"/>
    <s v="Credito"/>
    <x v="2"/>
    <x v="216"/>
    <m/>
    <s v="000252"/>
    <s v="000132"/>
    <n v="428.35"/>
    <s v="0,00"/>
    <s v="0,00"/>
    <s v="0,00"/>
    <s v="0,00"/>
    <s v="ORC2022_2"/>
    <s v="0012"/>
    <m/>
    <m/>
    <m/>
    <m/>
    <m/>
  </r>
  <r>
    <s v="PREMIO DE SEGUROS"/>
    <x v="61"/>
    <x v="13"/>
    <n v="428.35"/>
    <s v="0000000127"/>
    <s v="2942"/>
    <d v="2022-06-01T00:00:00"/>
    <s v="330405"/>
    <s v="201"/>
    <s v="90"/>
    <s v="Credito"/>
    <x v="2"/>
    <x v="216"/>
    <m/>
    <s v="000252"/>
    <s v="000132"/>
    <n v="428.35"/>
    <s v="0,00"/>
    <s v="0,00"/>
    <s v="0,00"/>
    <s v="0,00"/>
    <s v="ORC2022_2"/>
    <s v="0012"/>
    <m/>
    <m/>
    <m/>
    <m/>
    <m/>
  </r>
  <r>
    <s v="PREMIO DE SEGUROS"/>
    <x v="61"/>
    <x v="14"/>
    <n v="428.35"/>
    <s v="0000000127"/>
    <s v="2943"/>
    <d v="2022-07-01T00:00:00"/>
    <s v="330405"/>
    <s v="201"/>
    <s v="90"/>
    <s v="Credito"/>
    <x v="2"/>
    <x v="216"/>
    <m/>
    <s v="000252"/>
    <s v="000132"/>
    <n v="428.35"/>
    <s v="0,00"/>
    <s v="0,00"/>
    <s v="0,00"/>
    <s v="0,00"/>
    <s v="ORC2022_2"/>
    <s v="0012"/>
    <m/>
    <m/>
    <m/>
    <m/>
    <m/>
  </r>
  <r>
    <s v="MANUTENCAO E CONSERVACAO"/>
    <x v="14"/>
    <x v="8"/>
    <n v="1520"/>
    <s v="0000000127"/>
    <s v="2944"/>
    <d v="2022-01-01T00:00:00"/>
    <s v="330406"/>
    <s v="211"/>
    <s v="51"/>
    <s v="Credito"/>
    <x v="2"/>
    <x v="216"/>
    <m/>
    <s v="000252"/>
    <s v="000132"/>
    <n v="1520"/>
    <s v="0,00"/>
    <s v="0,00"/>
    <s v="0,00"/>
    <s v="0,00"/>
    <s v="ORC2022_2"/>
    <s v="0012"/>
    <m/>
    <m/>
    <m/>
    <m/>
    <m/>
  </r>
  <r>
    <s v="MANUTENCAO E CONSERVACAO"/>
    <x v="14"/>
    <x v="8"/>
    <n v="165.45"/>
    <s v="0000000127"/>
    <s v="2945"/>
    <d v="2022-01-01T00:00:00"/>
    <s v="330406"/>
    <s v="209"/>
    <s v="90"/>
    <s v="Credito"/>
    <x v="2"/>
    <x v="216"/>
    <m/>
    <s v="000252"/>
    <s v="000132"/>
    <n v="165.45"/>
    <s v="0,00"/>
    <s v="0,00"/>
    <s v="0,00"/>
    <s v="0,00"/>
    <s v="ORC2022_2"/>
    <s v="0012"/>
    <m/>
    <m/>
    <m/>
    <m/>
    <m/>
  </r>
  <r>
    <s v="MANUTENCAO E CONSERVACAO"/>
    <x v="14"/>
    <x v="8"/>
    <n v="359.9"/>
    <s v="0000000127"/>
    <s v="2946"/>
    <d v="2022-01-01T00:00:00"/>
    <s v="330406"/>
    <s v="210"/>
    <s v="90"/>
    <s v="Credito"/>
    <x v="2"/>
    <x v="216"/>
    <m/>
    <s v="000252"/>
    <s v="000132"/>
    <n v="359.9"/>
    <s v="0,00"/>
    <s v="0,00"/>
    <s v="0,00"/>
    <s v="0,00"/>
    <s v="ORC2022_2"/>
    <s v="0012"/>
    <m/>
    <m/>
    <m/>
    <m/>
    <m/>
  </r>
  <r>
    <s v="MANUTENCAO E CONSERVACAO"/>
    <x v="14"/>
    <x v="9"/>
    <n v="395.1"/>
    <s v="0000000127"/>
    <s v="2947"/>
    <d v="2022-02-01T00:00:00"/>
    <s v="330406"/>
    <s v="101"/>
    <s v="90"/>
    <s v="Credito"/>
    <x v="2"/>
    <x v="216"/>
    <m/>
    <s v="000252"/>
    <s v="000132"/>
    <n v="395.1"/>
    <s v="0,00"/>
    <s v="0,00"/>
    <s v="0,00"/>
    <s v="0,00"/>
    <s v="ORC2022_2"/>
    <s v="0012"/>
    <m/>
    <m/>
    <m/>
    <m/>
    <m/>
  </r>
  <r>
    <s v="MANUTENCAO E CONSERVACAO"/>
    <x v="14"/>
    <x v="9"/>
    <n v="768.9"/>
    <s v="0000000127"/>
    <s v="2948"/>
    <d v="2022-02-01T00:00:00"/>
    <s v="330406"/>
    <s v="201"/>
    <s v="90"/>
    <s v="Credito"/>
    <x v="2"/>
    <x v="216"/>
    <m/>
    <s v="000252"/>
    <s v="000132"/>
    <n v="768.9"/>
    <s v="0,00"/>
    <s v="0,00"/>
    <s v="0,00"/>
    <s v="0,00"/>
    <s v="ORC2022_2"/>
    <s v="0012"/>
    <m/>
    <m/>
    <m/>
    <m/>
    <m/>
  </r>
  <r>
    <s v="MANUTENCAO E CONSERVACAO"/>
    <x v="14"/>
    <x v="10"/>
    <n v="220"/>
    <s v="0000000127"/>
    <s v="2949"/>
    <d v="2022-03-01T00:00:00"/>
    <s v="330406"/>
    <s v="101"/>
    <s v="90"/>
    <s v="Credito"/>
    <x v="2"/>
    <x v="216"/>
    <m/>
    <s v="000252"/>
    <s v="000132"/>
    <n v="220"/>
    <s v="0,00"/>
    <s v="0,00"/>
    <s v="0,00"/>
    <s v="0,00"/>
    <s v="ORC2022_2"/>
    <s v="0012"/>
    <m/>
    <m/>
    <m/>
    <m/>
    <m/>
  </r>
  <r>
    <s v="MANUTENCAO E CONSERVACAO"/>
    <x v="14"/>
    <x v="11"/>
    <n v="410"/>
    <s v="0000000127"/>
    <s v="2950"/>
    <d v="2022-04-01T00:00:00"/>
    <s v="330406"/>
    <s v="201"/>
    <s v="90"/>
    <s v="Credito"/>
    <x v="2"/>
    <x v="216"/>
    <m/>
    <s v="000252"/>
    <s v="000132"/>
    <n v="410"/>
    <s v="0,00"/>
    <s v="0,00"/>
    <s v="0,00"/>
    <s v="0,00"/>
    <s v="ORC2022_2"/>
    <s v="0012"/>
    <m/>
    <m/>
    <m/>
    <m/>
    <m/>
  </r>
  <r>
    <s v="MANUTENCAO E CONSERVACAO"/>
    <x v="14"/>
    <x v="11"/>
    <n v="7456.1"/>
    <s v="0000000127"/>
    <s v="2951"/>
    <d v="2022-04-01T00:00:00"/>
    <s v="330406"/>
    <s v="210"/>
    <s v="90"/>
    <s v="Credito"/>
    <x v="2"/>
    <x v="216"/>
    <m/>
    <s v="000252"/>
    <s v="000132"/>
    <n v="7456.1"/>
    <s v="0,00"/>
    <s v="0,00"/>
    <s v="0,00"/>
    <s v="0,00"/>
    <s v="ORC2022_2"/>
    <s v="0012"/>
    <m/>
    <m/>
    <m/>
    <m/>
    <m/>
  </r>
  <r>
    <s v="MANUTENCAO E CONSERVACAO"/>
    <x v="14"/>
    <x v="12"/>
    <n v="2358.98"/>
    <s v="0000000127"/>
    <s v="2952"/>
    <d v="2022-05-01T00:00:00"/>
    <s v="330406"/>
    <s v="101"/>
    <s v="90"/>
    <s v="Credito"/>
    <x v="2"/>
    <x v="216"/>
    <m/>
    <s v="000252"/>
    <s v="000132"/>
    <n v="2358.98"/>
    <s v="0,00"/>
    <s v="0,00"/>
    <s v="0,00"/>
    <s v="0,00"/>
    <s v="ORC2022_2"/>
    <s v="0012"/>
    <m/>
    <m/>
    <m/>
    <m/>
    <m/>
  </r>
  <r>
    <s v="MANUTENCAO E CONSERVACAO"/>
    <x v="14"/>
    <x v="12"/>
    <n v="41.76"/>
    <s v="0000000127"/>
    <s v="2953"/>
    <d v="2022-05-01T00:00:00"/>
    <s v="330406"/>
    <s v="209"/>
    <s v="90"/>
    <s v="Credito"/>
    <x v="2"/>
    <x v="216"/>
    <m/>
    <s v="000252"/>
    <s v="000132"/>
    <n v="41.76"/>
    <s v="0,00"/>
    <s v="0,00"/>
    <s v="0,00"/>
    <s v="0,00"/>
    <s v="ORC2022_2"/>
    <s v="0012"/>
    <m/>
    <m/>
    <m/>
    <m/>
    <m/>
  </r>
  <r>
    <s v="MANUTENCAO E CONSERVACAO"/>
    <x v="14"/>
    <x v="12"/>
    <n v="611.95000000000005"/>
    <s v="0000000127"/>
    <s v="2954"/>
    <d v="2022-05-01T00:00:00"/>
    <s v="330406"/>
    <s v="210"/>
    <s v="90"/>
    <s v="Credito"/>
    <x v="2"/>
    <x v="216"/>
    <m/>
    <s v="000252"/>
    <s v="000132"/>
    <n v="611.95000000000005"/>
    <s v="0,00"/>
    <s v="0,00"/>
    <s v="0,00"/>
    <s v="0,00"/>
    <s v="ORC2022_2"/>
    <s v="0012"/>
    <m/>
    <m/>
    <m/>
    <m/>
    <m/>
  </r>
  <r>
    <s v="MANUTENCAO E CONSERVACAO"/>
    <x v="14"/>
    <x v="13"/>
    <n v="2747.5"/>
    <s v="0000000127"/>
    <s v="2955"/>
    <d v="2022-06-01T00:00:00"/>
    <s v="330406"/>
    <s v="101"/>
    <s v="90"/>
    <s v="Credito"/>
    <x v="2"/>
    <x v="216"/>
    <m/>
    <s v="000252"/>
    <s v="000132"/>
    <n v="2747.5"/>
    <s v="0,00"/>
    <s v="0,00"/>
    <s v="0,00"/>
    <s v="0,00"/>
    <s v="ORC2022_2"/>
    <s v="0012"/>
    <m/>
    <m/>
    <m/>
    <m/>
    <m/>
  </r>
  <r>
    <s v="MANUTENCAO E CONSERVACAO"/>
    <x v="14"/>
    <x v="14"/>
    <n v="25.45"/>
    <s v="0000000127"/>
    <s v="2956"/>
    <d v="2022-07-01T00:00:00"/>
    <s v="330406"/>
    <s v="211"/>
    <s v="51"/>
    <s v="Credito"/>
    <x v="2"/>
    <x v="216"/>
    <m/>
    <s v="000252"/>
    <s v="000132"/>
    <n v="25.45"/>
    <s v="0,00"/>
    <s v="0,00"/>
    <s v="0,00"/>
    <s v="0,00"/>
    <s v="ORC2022_2"/>
    <s v="0012"/>
    <m/>
    <m/>
    <m/>
    <m/>
    <m/>
  </r>
  <r>
    <s v="MANUTENCAO E CONSERVACAO"/>
    <x v="14"/>
    <x v="14"/>
    <n v="381.6"/>
    <s v="0000000127"/>
    <s v="2957"/>
    <d v="2022-07-01T00:00:00"/>
    <s v="330406"/>
    <s v="201"/>
    <s v="90"/>
    <s v="Credito"/>
    <x v="2"/>
    <x v="216"/>
    <m/>
    <s v="000252"/>
    <s v="000132"/>
    <n v="381.6"/>
    <s v="0,00"/>
    <s v="0,00"/>
    <s v="0,00"/>
    <s v="0,00"/>
    <s v="ORC2022_2"/>
    <s v="0012"/>
    <m/>
    <m/>
    <m/>
    <m/>
    <m/>
  </r>
  <r>
    <s v="MANUTENCAO E CONSERVACAO"/>
    <x v="14"/>
    <x v="14"/>
    <n v="6112.3"/>
    <s v="0000000127"/>
    <s v="2958"/>
    <d v="2022-07-01T00:00:00"/>
    <s v="330406"/>
    <s v="209"/>
    <s v="90"/>
    <s v="Credito"/>
    <x v="2"/>
    <x v="216"/>
    <m/>
    <s v="000252"/>
    <s v="000132"/>
    <n v="6112.3"/>
    <s v="0,00"/>
    <s v="0,00"/>
    <s v="0,00"/>
    <s v="0,00"/>
    <s v="ORC2022_2"/>
    <s v="0012"/>
    <m/>
    <m/>
    <m/>
    <m/>
    <m/>
  </r>
  <r>
    <s v="MANUTENCAO E CONSERVACAO"/>
    <x v="14"/>
    <x v="15"/>
    <n v="2"/>
    <s v="0000000127"/>
    <s v="2959"/>
    <d v="2022-08-01T00:00:00"/>
    <s v="330406"/>
    <s v="201"/>
    <s v="90"/>
    <s v="Credito"/>
    <x v="2"/>
    <x v="216"/>
    <m/>
    <s v="000252"/>
    <s v="000132"/>
    <n v="2"/>
    <s v="0,00"/>
    <s v="0,00"/>
    <s v="0,00"/>
    <s v="0,00"/>
    <s v="ORC2022_2"/>
    <s v="0012"/>
    <m/>
    <m/>
    <m/>
    <m/>
    <m/>
  </r>
  <r>
    <s v="MANUTENCAO E CONSERVACAO"/>
    <x v="14"/>
    <x v="16"/>
    <n v="90"/>
    <s v="0000000127"/>
    <s v="2960"/>
    <d v="2022-09-01T00:00:00"/>
    <s v="330406"/>
    <s v="211"/>
    <s v="51"/>
    <s v="Credito"/>
    <x v="2"/>
    <x v="216"/>
    <m/>
    <s v="000252"/>
    <s v="000132"/>
    <n v="90"/>
    <s v="0,00"/>
    <s v="0,00"/>
    <s v="0,00"/>
    <s v="0,00"/>
    <s v="ORC2022_2"/>
    <s v="0012"/>
    <m/>
    <m/>
    <m/>
    <m/>
    <m/>
  </r>
  <r>
    <s v="MANUTENCAO E CONSERVACAO"/>
    <x v="14"/>
    <x v="16"/>
    <n v="41.76"/>
    <s v="0000000127"/>
    <s v="2961"/>
    <d v="2022-09-01T00:00:00"/>
    <s v="330406"/>
    <s v="209"/>
    <s v="90"/>
    <s v="Credito"/>
    <x v="2"/>
    <x v="216"/>
    <m/>
    <s v="000252"/>
    <s v="000132"/>
    <n v="41.76"/>
    <s v="0,00"/>
    <s v="0,00"/>
    <s v="0,00"/>
    <s v="0,00"/>
    <s v="ORC2022_2"/>
    <s v="0012"/>
    <m/>
    <m/>
    <m/>
    <m/>
    <m/>
  </r>
  <r>
    <s v="MANUTENCAO E CONSERVACAO"/>
    <x v="14"/>
    <x v="17"/>
    <n v="90.9"/>
    <s v="0000000127"/>
    <s v="2962"/>
    <d v="2022-10-01T00:00:00"/>
    <s v="330406"/>
    <s v="211"/>
    <s v="51"/>
    <s v="Credito"/>
    <x v="2"/>
    <x v="216"/>
    <m/>
    <s v="000252"/>
    <s v="000132"/>
    <n v="90.9"/>
    <s v="0,00"/>
    <s v="0,00"/>
    <s v="0,00"/>
    <s v="0,00"/>
    <s v="ORC2022_2"/>
    <s v="0012"/>
    <m/>
    <m/>
    <m/>
    <m/>
    <m/>
  </r>
  <r>
    <s v="MANUTENCAO E CONSERVACAO"/>
    <x v="14"/>
    <x v="17"/>
    <n v="42.18"/>
    <s v="0000000127"/>
    <s v="2963"/>
    <d v="2022-10-01T00:00:00"/>
    <s v="330406"/>
    <s v="209"/>
    <s v="90"/>
    <s v="Credito"/>
    <x v="2"/>
    <x v="216"/>
    <m/>
    <s v="000252"/>
    <s v="000132"/>
    <n v="42.18"/>
    <s v="0,00"/>
    <s v="0,00"/>
    <s v="0,00"/>
    <s v="0,00"/>
    <s v="ORC2022_2"/>
    <s v="0012"/>
    <m/>
    <m/>
    <m/>
    <m/>
    <m/>
  </r>
  <r>
    <s v="MANUTENCAO E CONSERVACAO"/>
    <x v="14"/>
    <x v="0"/>
    <n v="91.81"/>
    <s v="0000000127"/>
    <s v="2964"/>
    <d v="2022-11-01T00:00:00"/>
    <s v="330406"/>
    <s v="211"/>
    <s v="51"/>
    <s v="Credito"/>
    <x v="2"/>
    <x v="216"/>
    <m/>
    <s v="000252"/>
    <s v="000132"/>
    <n v="91.81"/>
    <s v="0,00"/>
    <s v="0,00"/>
    <s v="0,00"/>
    <s v="0,00"/>
    <s v="ORC2022_2"/>
    <s v="0012"/>
    <m/>
    <m/>
    <m/>
    <m/>
    <m/>
  </r>
  <r>
    <s v="MANUTENCAO E CONSERVACAO"/>
    <x v="14"/>
    <x v="0"/>
    <n v="42.6"/>
    <s v="0000000127"/>
    <s v="2965"/>
    <d v="2022-11-01T00:00:00"/>
    <s v="330406"/>
    <s v="209"/>
    <s v="90"/>
    <s v="Credito"/>
    <x v="2"/>
    <x v="216"/>
    <m/>
    <s v="000252"/>
    <s v="000132"/>
    <n v="42.6"/>
    <s v="0,00"/>
    <s v="0,00"/>
    <s v="0,00"/>
    <s v="0,00"/>
    <s v="ORC2022_2"/>
    <s v="0012"/>
    <m/>
    <m/>
    <m/>
    <m/>
    <m/>
  </r>
  <r>
    <s v="MANUTENCAO E CONSERVACAO"/>
    <x v="14"/>
    <x v="1"/>
    <n v="92.73"/>
    <s v="0000000127"/>
    <s v="2966"/>
    <d v="2022-12-01T00:00:00"/>
    <s v="330406"/>
    <s v="211"/>
    <s v="51"/>
    <s v="Credito"/>
    <x v="2"/>
    <x v="216"/>
    <m/>
    <s v="000252"/>
    <s v="000132"/>
    <n v="92.73"/>
    <s v="0,00"/>
    <s v="0,00"/>
    <s v="0,00"/>
    <s v="0,00"/>
    <s v="ORC2022_2"/>
    <s v="0012"/>
    <m/>
    <m/>
    <m/>
    <m/>
    <m/>
  </r>
  <r>
    <s v="MANUTENCAO E CONSERVACAO"/>
    <x v="14"/>
    <x v="1"/>
    <n v="43.03"/>
    <s v="0000000127"/>
    <s v="2967"/>
    <d v="2022-12-01T00:00:00"/>
    <s v="330406"/>
    <s v="209"/>
    <s v="90"/>
    <s v="Credito"/>
    <x v="2"/>
    <x v="216"/>
    <m/>
    <s v="000252"/>
    <s v="000132"/>
    <n v="43.03"/>
    <s v="0,00"/>
    <s v="0,00"/>
    <s v="0,00"/>
    <s v="0,00"/>
    <s v="ORC2022_2"/>
    <s v="0012"/>
    <m/>
    <m/>
    <m/>
    <m/>
    <m/>
  </r>
  <r>
    <s v="VIAGENS E REPRESENTACAO"/>
    <x v="62"/>
    <x v="9"/>
    <n v="2805.84"/>
    <s v="0000000127"/>
    <s v="2968"/>
    <d v="2022-02-01T00:00:00"/>
    <s v="330407"/>
    <s v="101"/>
    <s v="90"/>
    <s v="Credito"/>
    <x v="2"/>
    <x v="216"/>
    <m/>
    <s v="000252"/>
    <s v="000132"/>
    <n v="2805.84"/>
    <s v="0,00"/>
    <s v="0,00"/>
    <s v="0,00"/>
    <s v="0,00"/>
    <s v="ORC2022_2"/>
    <s v="0012"/>
    <m/>
    <m/>
    <m/>
    <m/>
    <m/>
  </r>
  <r>
    <s v="VIAGENS E REPRESENTACAO"/>
    <x v="62"/>
    <x v="9"/>
    <n v="7489.14"/>
    <s v="0000000127"/>
    <s v="2969"/>
    <d v="2022-02-01T00:00:00"/>
    <s v="330407"/>
    <s v="201"/>
    <s v="90"/>
    <s v="Credito"/>
    <x v="2"/>
    <x v="216"/>
    <m/>
    <s v="000252"/>
    <s v="000132"/>
    <n v="7489.14"/>
    <s v="0,00"/>
    <s v="0,00"/>
    <s v="0,00"/>
    <s v="0,00"/>
    <s v="ORC2022_2"/>
    <s v="0012"/>
    <m/>
    <m/>
    <m/>
    <m/>
    <m/>
  </r>
  <r>
    <s v="VIAGENS E REPRESENTACAO"/>
    <x v="62"/>
    <x v="10"/>
    <n v="4758.1499999999996"/>
    <s v="0000000127"/>
    <s v="2970"/>
    <d v="2022-03-01T00:00:00"/>
    <s v="330407"/>
    <s v="201"/>
    <s v="90"/>
    <s v="Credito"/>
    <x v="2"/>
    <x v="216"/>
    <m/>
    <s v="000252"/>
    <s v="000132"/>
    <n v="4758.1499999999996"/>
    <s v="0,00"/>
    <s v="0,00"/>
    <s v="0,00"/>
    <s v="0,00"/>
    <s v="ORC2022_2"/>
    <s v="0012"/>
    <m/>
    <m/>
    <m/>
    <m/>
    <m/>
  </r>
  <r>
    <s v="VIAGENS E REPRESENTACAO"/>
    <x v="62"/>
    <x v="14"/>
    <n v="12927.44"/>
    <s v="0000000127"/>
    <s v="2971"/>
    <d v="2022-07-01T00:00:00"/>
    <s v="330407"/>
    <s v="201"/>
    <s v="90"/>
    <s v="Credito"/>
    <x v="2"/>
    <x v="216"/>
    <m/>
    <s v="000252"/>
    <s v="000132"/>
    <n v="12927.44"/>
    <s v="0,00"/>
    <s v="0,00"/>
    <s v="0,00"/>
    <s v="0,00"/>
    <s v="ORC2022_2"/>
    <s v="0012"/>
    <m/>
    <m/>
    <m/>
    <m/>
    <m/>
  </r>
  <r>
    <s v="VIAGENS E REPRESENTACAO"/>
    <x v="62"/>
    <x v="15"/>
    <n v="8149.4"/>
    <s v="0000000127"/>
    <s v="2972"/>
    <d v="2022-08-01T00:00:00"/>
    <s v="330407"/>
    <s v="101"/>
    <s v="90"/>
    <s v="Credito"/>
    <x v="2"/>
    <x v="216"/>
    <m/>
    <s v="000252"/>
    <s v="000132"/>
    <n v="8149.4"/>
    <s v="0,00"/>
    <s v="0,00"/>
    <s v="0,00"/>
    <s v="0,00"/>
    <s v="ORC2022_2"/>
    <s v="0012"/>
    <m/>
    <m/>
    <m/>
    <m/>
    <m/>
  </r>
  <r>
    <s v="VIAGENS E REPRESENTACAO"/>
    <x v="62"/>
    <x v="15"/>
    <n v="5610"/>
    <s v="0000000127"/>
    <s v="2973"/>
    <d v="2022-08-01T00:00:00"/>
    <s v="330407"/>
    <s v="201"/>
    <s v="90"/>
    <s v="Credito"/>
    <x v="2"/>
    <x v="216"/>
    <m/>
    <s v="000252"/>
    <s v="000132"/>
    <n v="5610"/>
    <s v="0,00"/>
    <s v="0,00"/>
    <s v="0,00"/>
    <s v="0,00"/>
    <s v="ORC2022_2"/>
    <s v="0012"/>
    <m/>
    <m/>
    <m/>
    <m/>
    <m/>
  </r>
  <r>
    <s v="VIAGENS E REPRESENTACAO"/>
    <x v="62"/>
    <x v="16"/>
    <n v="5127.3"/>
    <s v="0000000127"/>
    <s v="2974"/>
    <d v="2022-09-01T00:00:00"/>
    <s v="330407"/>
    <s v="210"/>
    <s v="90"/>
    <s v="Credito"/>
    <x v="2"/>
    <x v="216"/>
    <m/>
    <s v="000252"/>
    <s v="000132"/>
    <n v="5127.3"/>
    <s v="0,00"/>
    <s v="0,00"/>
    <s v="0,00"/>
    <s v="0,00"/>
    <s v="ORC2022_2"/>
    <s v="0012"/>
    <m/>
    <m/>
    <m/>
    <m/>
    <m/>
  </r>
  <r>
    <s v="VIAGENS E REPRESENTACAO"/>
    <x v="62"/>
    <x v="17"/>
    <n v="5178.57"/>
    <s v="0000000127"/>
    <s v="2975"/>
    <d v="2022-10-01T00:00:00"/>
    <s v="330407"/>
    <s v="210"/>
    <s v="90"/>
    <s v="Credito"/>
    <x v="2"/>
    <x v="216"/>
    <m/>
    <s v="000252"/>
    <s v="000132"/>
    <n v="5178.57"/>
    <s v="0,00"/>
    <s v="0,00"/>
    <s v="0,00"/>
    <s v="0,00"/>
    <s v="ORC2022_2"/>
    <s v="0012"/>
    <m/>
    <m/>
    <m/>
    <m/>
    <m/>
  </r>
  <r>
    <s v="VIAGENS E REPRESENTACAO"/>
    <x v="62"/>
    <x v="0"/>
    <n v="5230.3599999999997"/>
    <s v="0000000127"/>
    <s v="2976"/>
    <d v="2022-11-01T00:00:00"/>
    <s v="330407"/>
    <s v="210"/>
    <s v="90"/>
    <s v="Credito"/>
    <x v="2"/>
    <x v="216"/>
    <m/>
    <s v="000252"/>
    <s v="000132"/>
    <n v="5230.3599999999997"/>
    <s v="0,00"/>
    <s v="0,00"/>
    <s v="0,00"/>
    <s v="0,00"/>
    <s v="ORC2022_2"/>
    <s v="0012"/>
    <m/>
    <m/>
    <m/>
    <m/>
    <m/>
  </r>
  <r>
    <s v="VIAGENS E REPRESENTACAO"/>
    <x v="62"/>
    <x v="1"/>
    <n v="5282.66"/>
    <s v="0000000127"/>
    <s v="2977"/>
    <d v="2022-12-01T00:00:00"/>
    <s v="330407"/>
    <s v="210"/>
    <s v="90"/>
    <s v="Credito"/>
    <x v="2"/>
    <x v="216"/>
    <m/>
    <s v="000252"/>
    <s v="000132"/>
    <n v="5282.66"/>
    <s v="0,00"/>
    <s v="0,00"/>
    <s v="0,00"/>
    <s v="0,00"/>
    <s v="ORC2022_2"/>
    <s v="0012"/>
    <m/>
    <m/>
    <m/>
    <m/>
    <m/>
  </r>
  <r>
    <s v="IMPOSTOS, MULTAS E TAXAS DIVERSAS"/>
    <x v="63"/>
    <x v="8"/>
    <n v="1423.52"/>
    <s v="0000000127"/>
    <s v="2978"/>
    <d v="2022-01-01T00:00:00"/>
    <s v="330408"/>
    <s v="304"/>
    <s v="11"/>
    <s v="Credito"/>
    <x v="2"/>
    <x v="216"/>
    <m/>
    <s v="000252"/>
    <s v="000132"/>
    <n v="1423.52"/>
    <s v="0,00"/>
    <s v="0,00"/>
    <s v="0,00"/>
    <s v="0,00"/>
    <s v="ORC2022_2"/>
    <s v="0012"/>
    <m/>
    <m/>
    <m/>
    <m/>
    <m/>
  </r>
  <r>
    <s v="IMPOSTOS, MULTAS E TAXAS DIVERSAS"/>
    <x v="63"/>
    <x v="8"/>
    <n v="1411.58"/>
    <s v="0000000127"/>
    <s v="2979"/>
    <d v="2022-01-01T00:00:00"/>
    <s v="330408"/>
    <s v="211"/>
    <s v="51"/>
    <s v="Credito"/>
    <x v="2"/>
    <x v="216"/>
    <m/>
    <s v="000252"/>
    <s v="000132"/>
    <n v="1411.58"/>
    <s v="0,00"/>
    <s v="0,00"/>
    <s v="0,00"/>
    <s v="0,00"/>
    <s v="ORC2022_2"/>
    <s v="0012"/>
    <m/>
    <m/>
    <m/>
    <m/>
    <m/>
  </r>
  <r>
    <s v="IMPOSTOS, MULTAS E TAXAS DIVERSAS"/>
    <x v="63"/>
    <x v="8"/>
    <n v="1263.8499999999999"/>
    <s v="0000000127"/>
    <s v="2980"/>
    <d v="2022-01-01T00:00:00"/>
    <s v="330408"/>
    <s v="201"/>
    <s v="90"/>
    <s v="Credito"/>
    <x v="2"/>
    <x v="216"/>
    <m/>
    <s v="000252"/>
    <s v="000132"/>
    <n v="1263.8499999999999"/>
    <s v="0,00"/>
    <s v="0,00"/>
    <s v="0,00"/>
    <s v="0,00"/>
    <s v="ORC2022_2"/>
    <s v="0012"/>
    <m/>
    <m/>
    <m/>
    <m/>
    <m/>
  </r>
  <r>
    <s v="IMPOSTOS, MULTAS E TAXAS DIVERSAS"/>
    <x v="63"/>
    <x v="8"/>
    <n v="577.11"/>
    <s v="0000000127"/>
    <s v="2981"/>
    <d v="2022-01-01T00:00:00"/>
    <s v="330408"/>
    <s v="301"/>
    <s v="90"/>
    <s v="Credito"/>
    <x v="2"/>
    <x v="216"/>
    <m/>
    <s v="000252"/>
    <s v="000132"/>
    <n v="577.11"/>
    <s v="0,00"/>
    <s v="0,00"/>
    <s v="0,00"/>
    <s v="0,00"/>
    <s v="ORC2022_2"/>
    <s v="0012"/>
    <m/>
    <m/>
    <m/>
    <m/>
    <m/>
  </r>
  <r>
    <s v="IMPOSTOS, MULTAS E TAXAS DIVERSAS"/>
    <x v="63"/>
    <x v="9"/>
    <n v="207.34"/>
    <s v="0000000127"/>
    <s v="2982"/>
    <d v="2022-02-01T00:00:00"/>
    <s v="330408"/>
    <s v="302"/>
    <s v="11"/>
    <s v="Credito"/>
    <x v="2"/>
    <x v="216"/>
    <m/>
    <s v="000252"/>
    <s v="000132"/>
    <n v="207.34"/>
    <s v="0,00"/>
    <s v="0,00"/>
    <s v="0,00"/>
    <s v="0,00"/>
    <s v="ORC2022_2"/>
    <s v="0012"/>
    <m/>
    <m/>
    <m/>
    <m/>
    <m/>
  </r>
  <r>
    <s v="IMPOSTOS, MULTAS E TAXAS DIVERSAS"/>
    <x v="63"/>
    <x v="9"/>
    <n v="4476.71"/>
    <s v="0000000127"/>
    <s v="2983"/>
    <d v="2022-02-01T00:00:00"/>
    <s v="330408"/>
    <s v="304"/>
    <s v="11"/>
    <s v="Credito"/>
    <x v="2"/>
    <x v="216"/>
    <m/>
    <s v="000252"/>
    <s v="000132"/>
    <n v="4476.71"/>
    <s v="0,00"/>
    <s v="0,00"/>
    <s v="0,00"/>
    <s v="0,00"/>
    <s v="ORC2022_2"/>
    <s v="0012"/>
    <m/>
    <m/>
    <m/>
    <m/>
    <m/>
  </r>
  <r>
    <s v="IMPOSTOS, MULTAS E TAXAS DIVERSAS"/>
    <x v="63"/>
    <x v="9"/>
    <n v="46.06"/>
    <s v="0000000127"/>
    <s v="2984"/>
    <d v="2022-02-01T00:00:00"/>
    <s v="330408"/>
    <s v="201"/>
    <s v="90"/>
    <s v="Credito"/>
    <x v="2"/>
    <x v="216"/>
    <m/>
    <s v="000252"/>
    <s v="000132"/>
    <n v="46.06"/>
    <s v="0,00"/>
    <s v="0,00"/>
    <s v="0,00"/>
    <s v="0,00"/>
    <s v="ORC2022_2"/>
    <s v="0012"/>
    <m/>
    <m/>
    <m/>
    <m/>
    <m/>
  </r>
  <r>
    <s v="IMPOSTOS, MULTAS E TAXAS DIVERSAS"/>
    <x v="63"/>
    <x v="9"/>
    <n v="5000"/>
    <s v="0000000127"/>
    <s v="2985"/>
    <d v="2022-02-01T00:00:00"/>
    <s v="330408"/>
    <s v="301"/>
    <s v="90"/>
    <s v="Credito"/>
    <x v="2"/>
    <x v="216"/>
    <m/>
    <s v="000252"/>
    <s v="000132"/>
    <n v="5000"/>
    <s v="0,00"/>
    <s v="0,00"/>
    <s v="0,00"/>
    <s v="0,00"/>
    <s v="ORC2022_2"/>
    <s v="0012"/>
    <m/>
    <m/>
    <m/>
    <m/>
    <m/>
  </r>
  <r>
    <s v="IMPOSTOS, MULTAS E TAXAS DIVERSAS"/>
    <x v="63"/>
    <x v="10"/>
    <n v="546.41999999999996"/>
    <s v="0000000127"/>
    <s v="2986"/>
    <d v="2022-03-01T00:00:00"/>
    <s v="330408"/>
    <s v="304"/>
    <s v="11"/>
    <s v="Credito"/>
    <x v="2"/>
    <x v="216"/>
    <m/>
    <s v="000252"/>
    <s v="000132"/>
    <n v="546.41999999999996"/>
    <s v="0,00"/>
    <s v="0,00"/>
    <s v="0,00"/>
    <s v="0,00"/>
    <s v="ORC2022_2"/>
    <s v="0012"/>
    <m/>
    <m/>
    <m/>
    <m/>
    <m/>
  </r>
  <r>
    <s v="IMPOSTOS, MULTAS E TAXAS DIVERSAS"/>
    <x v="63"/>
    <x v="10"/>
    <n v="2413.7399999999998"/>
    <s v="0000000127"/>
    <s v="2987"/>
    <d v="2022-03-01T00:00:00"/>
    <s v="330408"/>
    <s v="305"/>
    <s v="21"/>
    <s v="Credito"/>
    <x v="2"/>
    <x v="216"/>
    <m/>
    <s v="000252"/>
    <s v="000132"/>
    <n v="2413.7399999999998"/>
    <s v="0,00"/>
    <s v="0,00"/>
    <s v="0,00"/>
    <s v="0,00"/>
    <s v="ORC2022_2"/>
    <s v="0012"/>
    <m/>
    <m/>
    <m/>
    <m/>
    <m/>
  </r>
  <r>
    <s v="IMPOSTOS, MULTAS E TAXAS DIVERSAS"/>
    <x v="63"/>
    <x v="10"/>
    <n v="2084.87"/>
    <s v="0000000127"/>
    <s v="2988"/>
    <d v="2022-03-01T00:00:00"/>
    <s v="330408"/>
    <s v="211"/>
    <s v="51"/>
    <s v="Credito"/>
    <x v="2"/>
    <x v="216"/>
    <m/>
    <s v="000252"/>
    <s v="000132"/>
    <n v="2084.87"/>
    <s v="0,00"/>
    <s v="0,00"/>
    <s v="0,00"/>
    <s v="0,00"/>
    <s v="ORC2022_2"/>
    <s v="0012"/>
    <m/>
    <m/>
    <m/>
    <m/>
    <m/>
  </r>
  <r>
    <s v="IMPOSTOS, MULTAS E TAXAS DIVERSAS"/>
    <x v="63"/>
    <x v="10"/>
    <n v="466.76"/>
    <s v="0000000127"/>
    <s v="2989"/>
    <d v="2022-03-01T00:00:00"/>
    <s v="330408"/>
    <s v="301"/>
    <s v="90"/>
    <s v="Credito"/>
    <x v="2"/>
    <x v="216"/>
    <m/>
    <s v="000252"/>
    <s v="000132"/>
    <n v="466.76"/>
    <s v="0,00"/>
    <s v="0,00"/>
    <s v="0,00"/>
    <s v="0,00"/>
    <s v="ORC2022_2"/>
    <s v="0012"/>
    <m/>
    <m/>
    <m/>
    <m/>
    <m/>
  </r>
  <r>
    <s v="IMPOSTOS, MULTAS E TAXAS DIVERSAS"/>
    <x v="63"/>
    <x v="11"/>
    <n v="207.45"/>
    <s v="0000000127"/>
    <s v="2990"/>
    <d v="2022-04-01T00:00:00"/>
    <s v="330408"/>
    <s v="305"/>
    <s v="21"/>
    <s v="Credito"/>
    <x v="2"/>
    <x v="216"/>
    <m/>
    <s v="000252"/>
    <s v="000132"/>
    <n v="207.45"/>
    <s v="0,00"/>
    <s v="0,00"/>
    <s v="0,00"/>
    <s v="0,00"/>
    <s v="ORC2022_2"/>
    <s v="0012"/>
    <m/>
    <m/>
    <m/>
    <m/>
    <m/>
  </r>
  <r>
    <s v="IMPOSTOS, MULTAS E TAXAS DIVERSAS"/>
    <x v="63"/>
    <x v="11"/>
    <n v="285.88"/>
    <s v="0000000127"/>
    <s v="2991"/>
    <d v="2022-04-01T00:00:00"/>
    <s v="330408"/>
    <s v="201"/>
    <s v="90"/>
    <s v="Credito"/>
    <x v="2"/>
    <x v="216"/>
    <m/>
    <s v="000252"/>
    <s v="000132"/>
    <n v="285.88"/>
    <s v="0,00"/>
    <s v="0,00"/>
    <s v="0,00"/>
    <s v="0,00"/>
    <s v="ORC2022_2"/>
    <s v="0012"/>
    <m/>
    <m/>
    <m/>
    <m/>
    <m/>
  </r>
  <r>
    <s v="IMPOSTOS, MULTAS E TAXAS DIVERSAS"/>
    <x v="63"/>
    <x v="11"/>
    <n v="437.16"/>
    <s v="0000000127"/>
    <s v="2992"/>
    <d v="2022-04-01T00:00:00"/>
    <s v="330408"/>
    <s v="301"/>
    <s v="90"/>
    <s v="Credito"/>
    <x v="2"/>
    <x v="216"/>
    <m/>
    <s v="000252"/>
    <s v="000132"/>
    <n v="437.16"/>
    <s v="0,00"/>
    <s v="0,00"/>
    <s v="0,00"/>
    <s v="0,00"/>
    <s v="ORC2022_2"/>
    <s v="0012"/>
    <m/>
    <m/>
    <m/>
    <m/>
    <m/>
  </r>
  <r>
    <s v="IMPOSTOS, MULTAS E TAXAS DIVERSAS"/>
    <x v="63"/>
    <x v="12"/>
    <n v="1866.06"/>
    <s v="0000000127"/>
    <s v="2993"/>
    <d v="2022-05-01T00:00:00"/>
    <s v="330408"/>
    <s v="304"/>
    <s v="11"/>
    <s v="Credito"/>
    <x v="2"/>
    <x v="216"/>
    <m/>
    <s v="000252"/>
    <s v="000132"/>
    <n v="1866.06"/>
    <s v="0,00"/>
    <s v="0,00"/>
    <s v="0,00"/>
    <s v="0,00"/>
    <s v="ORC2022_2"/>
    <s v="0012"/>
    <m/>
    <m/>
    <m/>
    <m/>
    <m/>
  </r>
  <r>
    <s v="IMPOSTOS, MULTAS E TAXAS DIVERSAS"/>
    <x v="63"/>
    <x v="12"/>
    <n v="482.1"/>
    <s v="0000000127"/>
    <s v="2994"/>
    <d v="2022-05-01T00:00:00"/>
    <s v="330408"/>
    <s v="305"/>
    <s v="21"/>
    <s v="Credito"/>
    <x v="2"/>
    <x v="216"/>
    <m/>
    <s v="000252"/>
    <s v="000132"/>
    <n v="482.1"/>
    <s v="0,00"/>
    <s v="0,00"/>
    <s v="0,00"/>
    <s v="0,00"/>
    <s v="ORC2022_2"/>
    <s v="0012"/>
    <m/>
    <m/>
    <m/>
    <m/>
    <m/>
  </r>
  <r>
    <s v="IMPOSTOS, MULTAS E TAXAS DIVERSAS"/>
    <x v="63"/>
    <x v="12"/>
    <n v="43569.84"/>
    <s v="0000000127"/>
    <s v="2995"/>
    <d v="2022-05-01T00:00:00"/>
    <s v="330408"/>
    <s v="211"/>
    <s v="51"/>
    <s v="Credito"/>
    <x v="2"/>
    <x v="216"/>
    <m/>
    <s v="000252"/>
    <s v="000132"/>
    <n v="43569.84"/>
    <s v="0,00"/>
    <s v="0,00"/>
    <s v="0,00"/>
    <s v="0,00"/>
    <s v="ORC2022_2"/>
    <s v="0012"/>
    <m/>
    <m/>
    <m/>
    <m/>
    <m/>
  </r>
  <r>
    <s v="IMPOSTOS, MULTAS E TAXAS DIVERSAS"/>
    <x v="63"/>
    <x v="12"/>
    <n v="51.28"/>
    <s v="0000000127"/>
    <s v="2996"/>
    <d v="2022-05-01T00:00:00"/>
    <s v="330408"/>
    <s v="301"/>
    <s v="90"/>
    <s v="Credito"/>
    <x v="2"/>
    <x v="216"/>
    <m/>
    <s v="000252"/>
    <s v="000132"/>
    <n v="51.28"/>
    <s v="0,00"/>
    <s v="0,00"/>
    <s v="0,00"/>
    <s v="0,00"/>
    <s v="ORC2022_2"/>
    <s v="0012"/>
    <m/>
    <m/>
    <m/>
    <m/>
    <m/>
  </r>
  <r>
    <s v="IMPOSTOS, MULTAS E TAXAS DIVERSAS"/>
    <x v="63"/>
    <x v="13"/>
    <n v="2974.16"/>
    <s v="0000000127"/>
    <s v="2997"/>
    <d v="2022-06-01T00:00:00"/>
    <s v="330408"/>
    <s v="304"/>
    <s v="11"/>
    <s v="Credito"/>
    <x v="2"/>
    <x v="216"/>
    <m/>
    <s v="000252"/>
    <s v="000132"/>
    <n v="2974.16"/>
    <s v="0,00"/>
    <s v="0,00"/>
    <s v="0,00"/>
    <s v="0,00"/>
    <s v="ORC2022_2"/>
    <s v="0012"/>
    <m/>
    <m/>
    <m/>
    <m/>
    <m/>
  </r>
  <r>
    <s v="IMPOSTOS, MULTAS E TAXAS DIVERSAS"/>
    <x v="63"/>
    <x v="13"/>
    <n v="7497"/>
    <s v="0000000127"/>
    <s v="2998"/>
    <d v="2022-06-01T00:00:00"/>
    <s v="330408"/>
    <s v="211"/>
    <s v="51"/>
    <s v="Credito"/>
    <x v="2"/>
    <x v="216"/>
    <m/>
    <s v="000252"/>
    <s v="000132"/>
    <n v="7497"/>
    <s v="0,00"/>
    <s v="0,00"/>
    <s v="0,00"/>
    <s v="0,00"/>
    <s v="ORC2022_2"/>
    <s v="0012"/>
    <m/>
    <m/>
    <m/>
    <m/>
    <m/>
  </r>
  <r>
    <s v="IMPOSTOS, MULTAS E TAXAS DIVERSAS"/>
    <x v="63"/>
    <x v="13"/>
    <n v="65"/>
    <s v="0000000127"/>
    <s v="2999"/>
    <d v="2022-06-01T00:00:00"/>
    <s v="330408"/>
    <s v="201"/>
    <s v="90"/>
    <s v="Credito"/>
    <x v="2"/>
    <x v="216"/>
    <m/>
    <s v="000252"/>
    <s v="000132"/>
    <n v="65"/>
    <s v="0,00"/>
    <s v="0,00"/>
    <s v="0,00"/>
    <s v="0,00"/>
    <s v="ORC2022_2"/>
    <s v="0012"/>
    <m/>
    <m/>
    <m/>
    <m/>
    <m/>
  </r>
  <r>
    <s v="IMPOSTOS, MULTAS E TAXAS DIVERSAS"/>
    <x v="63"/>
    <x v="14"/>
    <n v="2590.59"/>
    <s v="0000000127"/>
    <s v="3000"/>
    <d v="2022-07-01T00:00:00"/>
    <s v="330408"/>
    <s v="304"/>
    <s v="11"/>
    <s v="Credito"/>
    <x v="2"/>
    <x v="216"/>
    <m/>
    <s v="000252"/>
    <s v="000132"/>
    <n v="2590.59"/>
    <s v="0,00"/>
    <s v="0,00"/>
    <s v="0,00"/>
    <s v="0,00"/>
    <s v="ORC2022_2"/>
    <s v="0012"/>
    <m/>
    <m/>
    <m/>
    <m/>
    <m/>
  </r>
  <r>
    <s v="IMPOSTOS, MULTAS E TAXAS DIVERSAS"/>
    <x v="63"/>
    <x v="14"/>
    <n v="254.13"/>
    <s v="0000000127"/>
    <s v="3001"/>
    <d v="2022-07-01T00:00:00"/>
    <s v="330408"/>
    <s v="305"/>
    <s v="21"/>
    <s v="Credito"/>
    <x v="2"/>
    <x v="216"/>
    <m/>
    <s v="000252"/>
    <s v="000132"/>
    <n v="254.13"/>
    <s v="0,00"/>
    <s v="0,00"/>
    <s v="0,00"/>
    <s v="0,00"/>
    <s v="ORC2022_2"/>
    <s v="0012"/>
    <m/>
    <m/>
    <m/>
    <m/>
    <m/>
  </r>
  <r>
    <s v="IMPOSTOS, MULTAS E TAXAS DIVERSAS"/>
    <x v="63"/>
    <x v="14"/>
    <n v="1201.97"/>
    <s v="0000000127"/>
    <s v="3002"/>
    <d v="2022-07-01T00:00:00"/>
    <s v="330408"/>
    <s v="211"/>
    <s v="51"/>
    <s v="Credito"/>
    <x v="2"/>
    <x v="216"/>
    <m/>
    <s v="000252"/>
    <s v="000132"/>
    <n v="1201.97"/>
    <s v="0,00"/>
    <s v="0,00"/>
    <s v="0,00"/>
    <s v="0,00"/>
    <s v="ORC2022_2"/>
    <s v="0012"/>
    <m/>
    <m/>
    <m/>
    <m/>
    <m/>
  </r>
  <r>
    <s v="IMPOSTOS, MULTAS E TAXAS DIVERSAS"/>
    <x v="63"/>
    <x v="14"/>
    <n v="3948.72"/>
    <s v="0000000127"/>
    <s v="3003"/>
    <d v="2022-07-01T00:00:00"/>
    <s v="330408"/>
    <s v="201"/>
    <s v="90"/>
    <s v="Credito"/>
    <x v="2"/>
    <x v="216"/>
    <m/>
    <s v="000252"/>
    <s v="000132"/>
    <n v="3948.72"/>
    <s v="0,00"/>
    <s v="0,00"/>
    <s v="0,00"/>
    <s v="0,00"/>
    <s v="ORC2022_2"/>
    <s v="0012"/>
    <m/>
    <m/>
    <m/>
    <m/>
    <m/>
  </r>
  <r>
    <s v="IMPOSTOS, MULTAS E TAXAS DIVERSAS"/>
    <x v="63"/>
    <x v="14"/>
    <n v="255.51"/>
    <s v="0000000127"/>
    <s v="3004"/>
    <d v="2022-07-01T00:00:00"/>
    <s v="330408"/>
    <s v="301"/>
    <s v="90"/>
    <s v="Credito"/>
    <x v="2"/>
    <x v="216"/>
    <m/>
    <s v="000252"/>
    <s v="000132"/>
    <n v="255.51"/>
    <s v="0,00"/>
    <s v="0,00"/>
    <s v="0,00"/>
    <s v="0,00"/>
    <s v="ORC2022_2"/>
    <s v="0012"/>
    <m/>
    <m/>
    <m/>
    <m/>
    <m/>
  </r>
  <r>
    <s v="IMPOSTOS, MULTAS E TAXAS DIVERSAS"/>
    <x v="63"/>
    <x v="15"/>
    <n v="2143.62"/>
    <s v="0000000127"/>
    <s v="3005"/>
    <d v="2022-08-01T00:00:00"/>
    <s v="330408"/>
    <s v="304"/>
    <s v="11"/>
    <s v="Credito"/>
    <x v="2"/>
    <x v="216"/>
    <m/>
    <s v="000252"/>
    <s v="000132"/>
    <n v="2143.62"/>
    <s v="0,00"/>
    <s v="0,00"/>
    <s v="0,00"/>
    <s v="0,00"/>
    <s v="ORC2022_2"/>
    <s v="0012"/>
    <m/>
    <m/>
    <m/>
    <m/>
    <m/>
  </r>
  <r>
    <s v="IMPOSTOS, MULTAS E TAXAS DIVERSAS"/>
    <x v="63"/>
    <x v="15"/>
    <n v="1121.3599999999999"/>
    <s v="0000000127"/>
    <s v="3006"/>
    <d v="2022-08-01T00:00:00"/>
    <s v="330408"/>
    <s v="305"/>
    <s v="21"/>
    <s v="Credito"/>
    <x v="2"/>
    <x v="216"/>
    <m/>
    <s v="000252"/>
    <s v="000132"/>
    <n v="1121.3599999999999"/>
    <s v="0,00"/>
    <s v="0,00"/>
    <s v="0,00"/>
    <s v="0,00"/>
    <s v="ORC2022_2"/>
    <s v="0012"/>
    <m/>
    <m/>
    <m/>
    <m/>
    <m/>
  </r>
  <r>
    <s v="IMPOSTOS, MULTAS E TAXAS DIVERSAS"/>
    <x v="63"/>
    <x v="15"/>
    <n v="190.06"/>
    <s v="0000000127"/>
    <s v="3007"/>
    <d v="2022-08-01T00:00:00"/>
    <s v="330408"/>
    <s v="211"/>
    <s v="51"/>
    <s v="Credito"/>
    <x v="2"/>
    <x v="216"/>
    <m/>
    <s v="000252"/>
    <s v="000132"/>
    <n v="190.06"/>
    <s v="0,00"/>
    <s v="0,00"/>
    <s v="0,00"/>
    <s v="0,00"/>
    <s v="ORC2022_2"/>
    <s v="0012"/>
    <m/>
    <m/>
    <m/>
    <m/>
    <m/>
  </r>
  <r>
    <s v="IMPOSTOS, MULTAS E TAXAS DIVERSAS"/>
    <x v="63"/>
    <x v="15"/>
    <n v="5719.37"/>
    <s v="0000000127"/>
    <s v="3008"/>
    <d v="2022-08-01T00:00:00"/>
    <s v="330408"/>
    <s v="201"/>
    <s v="90"/>
    <s v="Credito"/>
    <x v="2"/>
    <x v="216"/>
    <m/>
    <s v="000252"/>
    <s v="000132"/>
    <n v="5719.37"/>
    <s v="0,00"/>
    <s v="0,00"/>
    <s v="0,00"/>
    <s v="0,00"/>
    <s v="ORC2022_2"/>
    <s v="0012"/>
    <m/>
    <m/>
    <m/>
    <m/>
    <m/>
  </r>
  <r>
    <s v="IMPOSTOS, MULTAS E TAXAS DIVERSAS"/>
    <x v="63"/>
    <x v="16"/>
    <n v="2026.72"/>
    <s v="0000000127"/>
    <s v="3009"/>
    <d v="2022-09-01T00:00:00"/>
    <s v="330408"/>
    <s v="304"/>
    <s v="11"/>
    <s v="Credito"/>
    <x v="2"/>
    <x v="216"/>
    <m/>
    <s v="000252"/>
    <s v="000132"/>
    <n v="2026.72"/>
    <s v="0,00"/>
    <s v="0,00"/>
    <s v="0,00"/>
    <s v="0,00"/>
    <s v="ORC2022_2"/>
    <s v="0012"/>
    <m/>
    <m/>
    <m/>
    <m/>
    <m/>
  </r>
  <r>
    <s v="IMPOSTOS, MULTAS E TAXAS DIVERSAS"/>
    <x v="63"/>
    <x v="16"/>
    <n v="197.08"/>
    <s v="0000000127"/>
    <s v="3010"/>
    <d v="2022-09-01T00:00:00"/>
    <s v="330408"/>
    <s v="305"/>
    <s v="21"/>
    <s v="Credito"/>
    <x v="2"/>
    <x v="216"/>
    <m/>
    <s v="000252"/>
    <s v="000132"/>
    <n v="197.08"/>
    <s v="0,00"/>
    <s v="0,00"/>
    <s v="0,00"/>
    <s v="0,00"/>
    <s v="ORC2022_2"/>
    <s v="0012"/>
    <m/>
    <m/>
    <m/>
    <m/>
    <m/>
  </r>
  <r>
    <s v="IMPOSTOS, MULTAS E TAXAS DIVERSAS"/>
    <x v="63"/>
    <x v="16"/>
    <n v="1594.19"/>
    <s v="0000000127"/>
    <s v="3011"/>
    <d v="2022-09-01T00:00:00"/>
    <s v="330408"/>
    <s v="211"/>
    <s v="51"/>
    <s v="Credito"/>
    <x v="2"/>
    <x v="216"/>
    <m/>
    <s v="000252"/>
    <s v="000132"/>
    <n v="1594.19"/>
    <s v="0,00"/>
    <s v="0,00"/>
    <s v="0,00"/>
    <s v="0,00"/>
    <s v="ORC2022_2"/>
    <s v="0012"/>
    <m/>
    <m/>
    <m/>
    <m/>
    <m/>
  </r>
  <r>
    <s v="IMPOSTOS, MULTAS E TAXAS DIVERSAS"/>
    <x v="63"/>
    <x v="16"/>
    <n v="3624.41"/>
    <s v="0000000127"/>
    <s v="3012"/>
    <d v="2022-09-01T00:00:00"/>
    <s v="330408"/>
    <s v="201"/>
    <s v="90"/>
    <s v="Credito"/>
    <x v="2"/>
    <x v="216"/>
    <m/>
    <s v="000252"/>
    <s v="000132"/>
    <n v="3624.41"/>
    <s v="0,00"/>
    <s v="0,00"/>
    <s v="0,00"/>
    <s v="0,00"/>
    <s v="ORC2022_2"/>
    <s v="0012"/>
    <m/>
    <m/>
    <m/>
    <m/>
    <m/>
  </r>
  <r>
    <s v="IMPOSTOS, MULTAS E TAXAS DIVERSAS"/>
    <x v="63"/>
    <x v="17"/>
    <n v="2046.99"/>
    <s v="0000000127"/>
    <s v="3013"/>
    <d v="2022-10-01T00:00:00"/>
    <s v="330408"/>
    <s v="304"/>
    <s v="11"/>
    <s v="Credito"/>
    <x v="2"/>
    <x v="216"/>
    <m/>
    <s v="000252"/>
    <s v="000132"/>
    <n v="2046.99"/>
    <s v="0,00"/>
    <s v="0,00"/>
    <s v="0,00"/>
    <s v="0,00"/>
    <s v="ORC2022_2"/>
    <s v="0012"/>
    <m/>
    <m/>
    <m/>
    <m/>
    <m/>
  </r>
  <r>
    <s v="IMPOSTOS, MULTAS E TAXAS DIVERSAS"/>
    <x v="63"/>
    <x v="17"/>
    <n v="199.05"/>
    <s v="0000000127"/>
    <s v="3014"/>
    <d v="2022-10-01T00:00:00"/>
    <s v="330408"/>
    <s v="305"/>
    <s v="21"/>
    <s v="Credito"/>
    <x v="2"/>
    <x v="216"/>
    <m/>
    <s v="000252"/>
    <s v="000132"/>
    <n v="199.05"/>
    <s v="0,00"/>
    <s v="0,00"/>
    <s v="0,00"/>
    <s v="0,00"/>
    <s v="ORC2022_2"/>
    <s v="0012"/>
    <m/>
    <m/>
    <m/>
    <m/>
    <m/>
  </r>
  <r>
    <s v="IMPOSTOS, MULTAS E TAXAS DIVERSAS"/>
    <x v="63"/>
    <x v="17"/>
    <n v="1610.13"/>
    <s v="0000000127"/>
    <s v="3015"/>
    <d v="2022-10-01T00:00:00"/>
    <s v="330408"/>
    <s v="211"/>
    <s v="51"/>
    <s v="Credito"/>
    <x v="2"/>
    <x v="216"/>
    <m/>
    <s v="000252"/>
    <s v="000132"/>
    <n v="1610.13"/>
    <s v="0,00"/>
    <s v="0,00"/>
    <s v="0,00"/>
    <s v="0,00"/>
    <s v="ORC2022_2"/>
    <s v="0012"/>
    <m/>
    <m/>
    <m/>
    <m/>
    <m/>
  </r>
  <r>
    <s v="IMPOSTOS, MULTAS E TAXAS DIVERSAS"/>
    <x v="63"/>
    <x v="17"/>
    <n v="3660.65"/>
    <s v="0000000127"/>
    <s v="3016"/>
    <d v="2022-10-01T00:00:00"/>
    <s v="330408"/>
    <s v="201"/>
    <s v="90"/>
    <s v="Credito"/>
    <x v="2"/>
    <x v="216"/>
    <m/>
    <s v="000252"/>
    <s v="000132"/>
    <n v="3660.65"/>
    <s v="0,00"/>
    <s v="0,00"/>
    <s v="0,00"/>
    <s v="0,00"/>
    <s v="ORC2022_2"/>
    <s v="0012"/>
    <m/>
    <m/>
    <m/>
    <m/>
    <m/>
  </r>
  <r>
    <s v="IMPOSTOS, MULTAS E TAXAS DIVERSAS"/>
    <x v="63"/>
    <x v="0"/>
    <n v="2067.46"/>
    <s v="0000000127"/>
    <s v="3017"/>
    <d v="2022-11-01T00:00:00"/>
    <s v="330408"/>
    <s v="304"/>
    <s v="11"/>
    <s v="Credito"/>
    <x v="2"/>
    <x v="216"/>
    <m/>
    <s v="000252"/>
    <s v="000132"/>
    <n v="2067.46"/>
    <s v="0,00"/>
    <s v="0,00"/>
    <s v="0,00"/>
    <s v="0,00"/>
    <s v="ORC2022_2"/>
    <s v="0012"/>
    <m/>
    <m/>
    <m/>
    <m/>
    <m/>
  </r>
  <r>
    <s v="IMPOSTOS, MULTAS E TAXAS DIVERSAS"/>
    <x v="63"/>
    <x v="0"/>
    <n v="201.04"/>
    <s v="0000000127"/>
    <s v="3018"/>
    <d v="2022-11-01T00:00:00"/>
    <s v="330408"/>
    <s v="305"/>
    <s v="21"/>
    <s v="Credito"/>
    <x v="2"/>
    <x v="216"/>
    <m/>
    <s v="000252"/>
    <s v="000132"/>
    <n v="201.04"/>
    <s v="0,00"/>
    <s v="0,00"/>
    <s v="0,00"/>
    <s v="0,00"/>
    <s v="ORC2022_2"/>
    <s v="0012"/>
    <m/>
    <m/>
    <m/>
    <m/>
    <m/>
  </r>
  <r>
    <s v="IMPOSTOS, MULTAS E TAXAS DIVERSAS"/>
    <x v="63"/>
    <x v="0"/>
    <n v="1626.23"/>
    <s v="0000000127"/>
    <s v="3019"/>
    <d v="2022-11-01T00:00:00"/>
    <s v="330408"/>
    <s v="211"/>
    <s v="51"/>
    <s v="Credito"/>
    <x v="2"/>
    <x v="216"/>
    <m/>
    <s v="000252"/>
    <s v="000132"/>
    <n v="1626.23"/>
    <s v="0,00"/>
    <s v="0,00"/>
    <s v="0,00"/>
    <s v="0,00"/>
    <s v="ORC2022_2"/>
    <s v="0012"/>
    <m/>
    <m/>
    <m/>
    <m/>
    <m/>
  </r>
  <r>
    <s v="IMPOSTOS, MULTAS E TAXAS DIVERSAS"/>
    <x v="63"/>
    <x v="0"/>
    <n v="3697.26"/>
    <s v="0000000127"/>
    <s v="3020"/>
    <d v="2022-11-01T00:00:00"/>
    <s v="330408"/>
    <s v="201"/>
    <s v="90"/>
    <s v="Credito"/>
    <x v="2"/>
    <x v="216"/>
    <m/>
    <s v="000252"/>
    <s v="000132"/>
    <n v="3697.26"/>
    <s v="0,00"/>
    <s v="0,00"/>
    <s v="0,00"/>
    <s v="0,00"/>
    <s v="ORC2022_2"/>
    <s v="0012"/>
    <m/>
    <m/>
    <m/>
    <m/>
    <m/>
  </r>
  <r>
    <s v="IMPOSTOS, MULTAS E TAXAS DIVERSAS"/>
    <x v="63"/>
    <x v="1"/>
    <n v="2088.13"/>
    <s v="0000000127"/>
    <s v="3021"/>
    <d v="2022-12-01T00:00:00"/>
    <s v="330408"/>
    <s v="304"/>
    <s v="11"/>
    <s v="Credito"/>
    <x v="2"/>
    <x v="216"/>
    <m/>
    <s v="000252"/>
    <s v="000132"/>
    <n v="2088.13"/>
    <s v="0,00"/>
    <s v="0,00"/>
    <s v="0,00"/>
    <s v="0,00"/>
    <s v="ORC2022_2"/>
    <s v="0012"/>
    <m/>
    <m/>
    <m/>
    <m/>
    <m/>
  </r>
  <r>
    <s v="IMPOSTOS, MULTAS E TAXAS DIVERSAS"/>
    <x v="63"/>
    <x v="1"/>
    <n v="203.05"/>
    <s v="0000000127"/>
    <s v="3022"/>
    <d v="2022-12-01T00:00:00"/>
    <s v="330408"/>
    <s v="305"/>
    <s v="21"/>
    <s v="Credito"/>
    <x v="2"/>
    <x v="216"/>
    <m/>
    <s v="000252"/>
    <s v="000132"/>
    <n v="203.05"/>
    <s v="0,00"/>
    <s v="0,00"/>
    <s v="0,00"/>
    <s v="0,00"/>
    <s v="ORC2022_2"/>
    <s v="0012"/>
    <m/>
    <m/>
    <m/>
    <m/>
    <m/>
  </r>
  <r>
    <s v="IMPOSTOS, MULTAS E TAXAS DIVERSAS"/>
    <x v="63"/>
    <x v="1"/>
    <n v="1642.5"/>
    <s v="0000000127"/>
    <s v="3023"/>
    <d v="2022-12-01T00:00:00"/>
    <s v="330408"/>
    <s v="211"/>
    <s v="51"/>
    <s v="Credito"/>
    <x v="2"/>
    <x v="216"/>
    <m/>
    <s v="000252"/>
    <s v="000132"/>
    <n v="1642.5"/>
    <s v="0,00"/>
    <s v="0,00"/>
    <s v="0,00"/>
    <s v="0,00"/>
    <s v="ORC2022_2"/>
    <s v="0012"/>
    <m/>
    <m/>
    <m/>
    <m/>
    <m/>
  </r>
  <r>
    <s v="IMPOSTOS, MULTAS E TAXAS DIVERSAS"/>
    <x v="63"/>
    <x v="1"/>
    <n v="3734.23"/>
    <s v="0000000127"/>
    <s v="3024"/>
    <d v="2022-12-01T00:00:00"/>
    <s v="330408"/>
    <s v="201"/>
    <s v="90"/>
    <s v="Credito"/>
    <x v="2"/>
    <x v="216"/>
    <m/>
    <s v="000252"/>
    <s v="000132"/>
    <n v="3734.23"/>
    <s v="0,00"/>
    <s v="0,00"/>
    <s v="0,00"/>
    <s v="0,00"/>
    <s v="ORC2022_2"/>
    <s v="0012"/>
    <m/>
    <m/>
    <m/>
    <m/>
    <m/>
  </r>
  <r>
    <s v="DESPESAS GERAIS"/>
    <x v="8"/>
    <x v="8"/>
    <n v="143.16999999999999"/>
    <s v="0000000127"/>
    <s v="3025"/>
    <d v="2022-01-01T00:00:00"/>
    <s v="330409"/>
    <s v="206"/>
    <s v="11"/>
    <s v="Credito"/>
    <x v="2"/>
    <x v="216"/>
    <m/>
    <s v="000252"/>
    <s v="000132"/>
    <n v="143.16999999999999"/>
    <s v="0,00"/>
    <s v="0,00"/>
    <s v="0,00"/>
    <s v="0,00"/>
    <s v="ORC2022_2"/>
    <s v="0012"/>
    <m/>
    <m/>
    <m/>
    <m/>
    <m/>
  </r>
  <r>
    <s v="DESPESAS GERAIS"/>
    <x v="8"/>
    <x v="8"/>
    <n v="80"/>
    <s v="0000000127"/>
    <s v="3026"/>
    <d v="2022-01-01T00:00:00"/>
    <s v="330409"/>
    <s v="208"/>
    <s v="11"/>
    <s v="Credito"/>
    <x v="2"/>
    <x v="216"/>
    <m/>
    <s v="000252"/>
    <s v="000132"/>
    <n v="80"/>
    <s v="0,00"/>
    <s v="0,00"/>
    <s v="0,00"/>
    <s v="0,00"/>
    <s v="ORC2022_2"/>
    <s v="0012"/>
    <m/>
    <m/>
    <m/>
    <m/>
    <m/>
  </r>
  <r>
    <s v="DESPESAS GERAIS"/>
    <x v="8"/>
    <x v="8"/>
    <n v="400.25"/>
    <s v="0000000127"/>
    <s v="3027"/>
    <d v="2022-01-01T00:00:00"/>
    <s v="330409"/>
    <s v="211"/>
    <s v="51"/>
    <s v="Credito"/>
    <x v="2"/>
    <x v="216"/>
    <m/>
    <s v="000252"/>
    <s v="000132"/>
    <n v="400.25"/>
    <s v="0,00"/>
    <s v="0,00"/>
    <s v="0,00"/>
    <s v="0,00"/>
    <s v="ORC2022_2"/>
    <s v="0012"/>
    <m/>
    <m/>
    <m/>
    <m/>
    <m/>
  </r>
  <r>
    <s v="DESPESAS GERAIS"/>
    <x v="8"/>
    <x v="8"/>
    <n v="4014.66"/>
    <s v="0000000127"/>
    <s v="3028"/>
    <d v="2022-01-01T00:00:00"/>
    <s v="330409"/>
    <s v="201"/>
    <s v="90"/>
    <s v="Credito"/>
    <x v="2"/>
    <x v="216"/>
    <m/>
    <s v="000252"/>
    <s v="000132"/>
    <n v="4014.66"/>
    <s v="0,00"/>
    <s v="0,00"/>
    <s v="0,00"/>
    <s v="0,00"/>
    <s v="ORC2022_2"/>
    <s v="0012"/>
    <m/>
    <m/>
    <m/>
    <m/>
    <m/>
  </r>
  <r>
    <s v="DESPESAS GERAIS"/>
    <x v="8"/>
    <x v="8"/>
    <n v="3.9"/>
    <s v="0000000127"/>
    <s v="3029"/>
    <d v="2022-01-01T00:00:00"/>
    <s v="330409"/>
    <s v="203"/>
    <s v="90"/>
    <s v="Credito"/>
    <x v="2"/>
    <x v="216"/>
    <m/>
    <s v="000252"/>
    <s v="000132"/>
    <n v="3.9"/>
    <s v="0,00"/>
    <s v="0,00"/>
    <s v="0,00"/>
    <s v="0,00"/>
    <s v="ORC2022_2"/>
    <s v="0012"/>
    <m/>
    <m/>
    <m/>
    <m/>
    <m/>
  </r>
  <r>
    <s v="DESPESAS GERAIS"/>
    <x v="8"/>
    <x v="8"/>
    <n v="667.03"/>
    <s v="0000000127"/>
    <s v="3030"/>
    <d v="2022-01-01T00:00:00"/>
    <s v="330409"/>
    <s v="204"/>
    <s v="90"/>
    <s v="Credito"/>
    <x v="2"/>
    <x v="216"/>
    <m/>
    <s v="000252"/>
    <s v="000132"/>
    <n v="667.03"/>
    <s v="0,00"/>
    <s v="0,00"/>
    <s v="0,00"/>
    <s v="0,00"/>
    <s v="ORC2022_2"/>
    <s v="0012"/>
    <m/>
    <m/>
    <m/>
    <m/>
    <m/>
  </r>
  <r>
    <s v="DESPESAS GERAIS"/>
    <x v="8"/>
    <x v="8"/>
    <n v="33.590000000000003"/>
    <s v="0000000127"/>
    <s v="3031"/>
    <d v="2022-01-01T00:00:00"/>
    <s v="330409"/>
    <s v="205"/>
    <s v="90"/>
    <s v="Credito"/>
    <x v="2"/>
    <x v="216"/>
    <m/>
    <s v="000252"/>
    <s v="000132"/>
    <n v="33.590000000000003"/>
    <s v="0,00"/>
    <s v="0,00"/>
    <s v="0,00"/>
    <s v="0,00"/>
    <s v="ORC2022_2"/>
    <s v="0012"/>
    <m/>
    <m/>
    <m/>
    <m/>
    <m/>
  </r>
  <r>
    <s v="DESPESAS GERAIS"/>
    <x v="8"/>
    <x v="8"/>
    <n v="26.14"/>
    <s v="0000000127"/>
    <s v="3032"/>
    <d v="2022-01-01T00:00:00"/>
    <s v="330409"/>
    <s v="207"/>
    <s v="90"/>
    <s v="Credito"/>
    <x v="2"/>
    <x v="216"/>
    <m/>
    <s v="000252"/>
    <s v="000132"/>
    <n v="26.14"/>
    <s v="0,00"/>
    <s v="0,00"/>
    <s v="0,00"/>
    <s v="0,00"/>
    <s v="ORC2022_2"/>
    <s v="0012"/>
    <m/>
    <m/>
    <m/>
    <m/>
    <m/>
  </r>
  <r>
    <s v="DESPESAS GERAIS"/>
    <x v="8"/>
    <x v="8"/>
    <n v="11"/>
    <s v="0000000127"/>
    <s v="3033"/>
    <d v="2022-01-01T00:00:00"/>
    <s v="330409"/>
    <s v="208"/>
    <s v="90"/>
    <s v="Credito"/>
    <x v="2"/>
    <x v="216"/>
    <m/>
    <s v="000252"/>
    <s v="000132"/>
    <n v="11"/>
    <s v="0,00"/>
    <s v="0,00"/>
    <s v="0,00"/>
    <s v="0,00"/>
    <s v="ORC2022_2"/>
    <s v="0012"/>
    <m/>
    <m/>
    <m/>
    <m/>
    <m/>
  </r>
  <r>
    <s v="DESPESAS GERAIS"/>
    <x v="8"/>
    <x v="8"/>
    <n v="1291.98"/>
    <s v="0000000127"/>
    <s v="3034"/>
    <d v="2022-01-01T00:00:00"/>
    <s v="330409"/>
    <s v="209"/>
    <s v="90"/>
    <s v="Credito"/>
    <x v="2"/>
    <x v="216"/>
    <m/>
    <s v="000252"/>
    <s v="000132"/>
    <n v="1291.98"/>
    <s v="0,00"/>
    <s v="0,00"/>
    <s v="0,00"/>
    <s v="0,00"/>
    <s v="ORC2022_2"/>
    <s v="0012"/>
    <m/>
    <m/>
    <m/>
    <m/>
    <m/>
  </r>
  <r>
    <s v="DESPESAS GERAIS"/>
    <x v="8"/>
    <x v="8"/>
    <n v="9.3000000000000007"/>
    <s v="0000000127"/>
    <s v="3035"/>
    <d v="2022-01-01T00:00:00"/>
    <s v="330409"/>
    <s v="210"/>
    <s v="90"/>
    <s v="Credito"/>
    <x v="2"/>
    <x v="216"/>
    <m/>
    <s v="000252"/>
    <s v="000132"/>
    <n v="9.3000000000000007"/>
    <s v="0,00"/>
    <s v="0,00"/>
    <s v="0,00"/>
    <s v="0,00"/>
    <s v="ORC2022_2"/>
    <s v="0012"/>
    <m/>
    <m/>
    <m/>
    <m/>
    <m/>
  </r>
  <r>
    <s v="DESPESAS GERAIS"/>
    <x v="8"/>
    <x v="8"/>
    <n v="6438.94"/>
    <s v="0000000127"/>
    <s v="3036"/>
    <d v="2022-01-01T00:00:00"/>
    <s v="330409"/>
    <s v="301"/>
    <s v="90"/>
    <s v="Credito"/>
    <x v="2"/>
    <x v="216"/>
    <m/>
    <s v="000252"/>
    <s v="000132"/>
    <n v="6438.94"/>
    <s v="0,00"/>
    <s v="0,00"/>
    <s v="0,00"/>
    <s v="0,00"/>
    <s v="ORC2022_2"/>
    <s v="0012"/>
    <m/>
    <m/>
    <m/>
    <m/>
    <m/>
  </r>
  <r>
    <s v="DESPESAS GERAIS"/>
    <x v="8"/>
    <x v="9"/>
    <n v="293.31"/>
    <s v="0000000127"/>
    <s v="3037"/>
    <d v="2022-02-01T00:00:00"/>
    <s v="330409"/>
    <s v="206"/>
    <s v="11"/>
    <s v="Credito"/>
    <x v="2"/>
    <x v="216"/>
    <m/>
    <s v="000252"/>
    <s v="000132"/>
    <n v="293.31"/>
    <s v="0,00"/>
    <s v="0,00"/>
    <s v="0,00"/>
    <s v="0,00"/>
    <s v="ORC2022_2"/>
    <s v="0012"/>
    <m/>
    <m/>
    <m/>
    <m/>
    <m/>
  </r>
  <r>
    <s v="DESPESAS GERAIS"/>
    <x v="8"/>
    <x v="9"/>
    <n v="1302.45"/>
    <s v="0000000127"/>
    <s v="3038"/>
    <d v="2022-02-01T00:00:00"/>
    <s v="330409"/>
    <s v="211"/>
    <s v="51"/>
    <s v="Credito"/>
    <x v="2"/>
    <x v="216"/>
    <m/>
    <s v="000252"/>
    <s v="000132"/>
    <n v="1302.45"/>
    <s v="0,00"/>
    <s v="0,00"/>
    <s v="0,00"/>
    <s v="0,00"/>
    <s v="ORC2022_2"/>
    <s v="0012"/>
    <m/>
    <m/>
    <m/>
    <m/>
    <m/>
  </r>
  <r>
    <s v="DESPESAS GERAIS"/>
    <x v="8"/>
    <x v="9"/>
    <n v="3209.12"/>
    <s v="0000000127"/>
    <s v="3039"/>
    <d v="2022-02-01T00:00:00"/>
    <s v="330409"/>
    <s v="101"/>
    <s v="90"/>
    <s v="Credito"/>
    <x v="2"/>
    <x v="216"/>
    <m/>
    <s v="000252"/>
    <s v="000132"/>
    <n v="3209.12"/>
    <s v="0,00"/>
    <s v="0,00"/>
    <s v="0,00"/>
    <s v="0,00"/>
    <s v="ORC2022_2"/>
    <s v="0012"/>
    <m/>
    <m/>
    <m/>
    <m/>
    <m/>
  </r>
  <r>
    <s v="DESPESAS GERAIS"/>
    <x v="8"/>
    <x v="9"/>
    <n v="6039.37"/>
    <s v="0000000127"/>
    <s v="3040"/>
    <d v="2022-02-01T00:00:00"/>
    <s v="330409"/>
    <s v="201"/>
    <s v="90"/>
    <s v="Credito"/>
    <x v="2"/>
    <x v="216"/>
    <m/>
    <s v="000252"/>
    <s v="000132"/>
    <n v="6039.37"/>
    <s v="0,00"/>
    <s v="0,00"/>
    <s v="0,00"/>
    <s v="0,00"/>
    <s v="ORC2022_2"/>
    <s v="0012"/>
    <m/>
    <m/>
    <m/>
    <m/>
    <m/>
  </r>
  <r>
    <s v="DESPESAS GERAIS"/>
    <x v="8"/>
    <x v="9"/>
    <n v="29.91"/>
    <s v="0000000127"/>
    <s v="3041"/>
    <d v="2022-02-01T00:00:00"/>
    <s v="330409"/>
    <s v="203"/>
    <s v="90"/>
    <s v="Credito"/>
    <x v="2"/>
    <x v="216"/>
    <m/>
    <s v="000252"/>
    <s v="000132"/>
    <n v="29.91"/>
    <s v="0,00"/>
    <s v="0,00"/>
    <s v="0,00"/>
    <s v="0,00"/>
    <s v="ORC2022_2"/>
    <s v="0012"/>
    <m/>
    <m/>
    <m/>
    <m/>
    <m/>
  </r>
  <r>
    <s v="DESPESAS GERAIS"/>
    <x v="8"/>
    <x v="9"/>
    <n v="187.88"/>
    <s v="0000000127"/>
    <s v="3042"/>
    <d v="2022-02-01T00:00:00"/>
    <s v="330409"/>
    <s v="204"/>
    <s v="90"/>
    <s v="Credito"/>
    <x v="2"/>
    <x v="216"/>
    <m/>
    <s v="000252"/>
    <s v="000132"/>
    <n v="187.88"/>
    <s v="0,00"/>
    <s v="0,00"/>
    <s v="0,00"/>
    <s v="0,00"/>
    <s v="ORC2022_2"/>
    <s v="0012"/>
    <m/>
    <m/>
    <m/>
    <m/>
    <m/>
  </r>
  <r>
    <s v="DESPESAS GERAIS"/>
    <x v="8"/>
    <x v="9"/>
    <n v="482.63"/>
    <s v="0000000127"/>
    <s v="3043"/>
    <d v="2022-02-01T00:00:00"/>
    <s v="330409"/>
    <s v="205"/>
    <s v="90"/>
    <s v="Credito"/>
    <x v="2"/>
    <x v="216"/>
    <m/>
    <s v="000252"/>
    <s v="000132"/>
    <n v="482.63"/>
    <s v="0,00"/>
    <s v="0,00"/>
    <s v="0,00"/>
    <s v="0,00"/>
    <s v="ORC2022_2"/>
    <s v="0012"/>
    <m/>
    <m/>
    <m/>
    <m/>
    <m/>
  </r>
  <r>
    <s v="DESPESAS GERAIS"/>
    <x v="8"/>
    <x v="9"/>
    <n v="68.55"/>
    <s v="0000000127"/>
    <s v="3044"/>
    <d v="2022-02-01T00:00:00"/>
    <s v="330409"/>
    <s v="206"/>
    <s v="90"/>
    <s v="Credito"/>
    <x v="2"/>
    <x v="216"/>
    <m/>
    <s v="000252"/>
    <s v="000132"/>
    <n v="68.55"/>
    <s v="0,00"/>
    <s v="0,00"/>
    <s v="0,00"/>
    <s v="0,00"/>
    <s v="ORC2022_2"/>
    <s v="0012"/>
    <m/>
    <m/>
    <m/>
    <m/>
    <m/>
  </r>
  <r>
    <s v="DESPESAS GERAIS"/>
    <x v="8"/>
    <x v="9"/>
    <n v="1216.21"/>
    <s v="0000000127"/>
    <s v="3045"/>
    <d v="2022-02-01T00:00:00"/>
    <s v="330409"/>
    <s v="209"/>
    <s v="90"/>
    <s v="Credito"/>
    <x v="2"/>
    <x v="216"/>
    <m/>
    <s v="000252"/>
    <s v="000132"/>
    <n v="1216.21"/>
    <s v="0,00"/>
    <s v="0,00"/>
    <s v="0,00"/>
    <s v="0,00"/>
    <s v="ORC2022_2"/>
    <s v="0012"/>
    <m/>
    <m/>
    <m/>
    <m/>
    <m/>
  </r>
  <r>
    <s v="DESPESAS GERAIS"/>
    <x v="8"/>
    <x v="9"/>
    <n v="388.63"/>
    <s v="0000000127"/>
    <s v="3046"/>
    <d v="2022-02-01T00:00:00"/>
    <s v="330409"/>
    <s v="210"/>
    <s v="90"/>
    <s v="Credito"/>
    <x v="2"/>
    <x v="216"/>
    <m/>
    <s v="000252"/>
    <s v="000132"/>
    <n v="388.63"/>
    <s v="0,00"/>
    <s v="0,00"/>
    <s v="0,00"/>
    <s v="0,00"/>
    <s v="ORC2022_2"/>
    <s v="0012"/>
    <m/>
    <m/>
    <m/>
    <m/>
    <m/>
  </r>
  <r>
    <s v="DESPESAS GERAIS"/>
    <x v="8"/>
    <x v="9"/>
    <n v="2466"/>
    <s v="0000000127"/>
    <s v="3047"/>
    <d v="2022-02-01T00:00:00"/>
    <s v="330409"/>
    <s v="301"/>
    <s v="90"/>
    <s v="Credito"/>
    <x v="2"/>
    <x v="216"/>
    <m/>
    <s v="000252"/>
    <s v="000132"/>
    <n v="2466"/>
    <s v="0,00"/>
    <s v="0,00"/>
    <s v="0,00"/>
    <s v="0,00"/>
    <s v="ORC2022_2"/>
    <s v="0012"/>
    <m/>
    <m/>
    <m/>
    <m/>
    <m/>
  </r>
  <r>
    <s v="DESPESAS GERAIS"/>
    <x v="8"/>
    <x v="10"/>
    <n v="123.34"/>
    <s v="0000000127"/>
    <s v="3048"/>
    <d v="2022-03-01T00:00:00"/>
    <s v="330409"/>
    <s v="211"/>
    <s v="51"/>
    <s v="Credito"/>
    <x v="2"/>
    <x v="216"/>
    <m/>
    <s v="000252"/>
    <s v="000132"/>
    <n v="123.34"/>
    <s v="0,00"/>
    <s v="0,00"/>
    <s v="0,00"/>
    <s v="0,00"/>
    <s v="ORC2022_2"/>
    <s v="0012"/>
    <m/>
    <m/>
    <m/>
    <m/>
    <m/>
  </r>
  <r>
    <s v="DESPESAS GERAIS"/>
    <x v="8"/>
    <x v="10"/>
    <n v="6787.2"/>
    <s v="0000000127"/>
    <s v="3049"/>
    <d v="2022-03-01T00:00:00"/>
    <s v="330409"/>
    <s v="201"/>
    <s v="90"/>
    <s v="Credito"/>
    <x v="2"/>
    <x v="216"/>
    <m/>
    <s v="000252"/>
    <s v="000132"/>
    <n v="6787.2"/>
    <s v="0,00"/>
    <s v="0,00"/>
    <s v="0,00"/>
    <s v="0,00"/>
    <s v="ORC2022_2"/>
    <s v="0012"/>
    <m/>
    <m/>
    <m/>
    <m/>
    <m/>
  </r>
  <r>
    <s v="DESPESAS GERAIS"/>
    <x v="8"/>
    <x v="10"/>
    <n v="38"/>
    <s v="0000000127"/>
    <s v="3050"/>
    <d v="2022-03-01T00:00:00"/>
    <s v="330409"/>
    <s v="209"/>
    <s v="90"/>
    <s v="Credito"/>
    <x v="2"/>
    <x v="216"/>
    <m/>
    <s v="000252"/>
    <s v="000132"/>
    <n v="38"/>
    <s v="0,00"/>
    <s v="0,00"/>
    <s v="0,00"/>
    <s v="0,00"/>
    <s v="ORC2022_2"/>
    <s v="0012"/>
    <m/>
    <m/>
    <m/>
    <m/>
    <m/>
  </r>
  <r>
    <s v="DESPESAS GERAIS"/>
    <x v="8"/>
    <x v="11"/>
    <n v="125.31"/>
    <s v="0000000127"/>
    <s v="3051"/>
    <d v="2022-04-01T00:00:00"/>
    <s v="330409"/>
    <s v="206"/>
    <s v="11"/>
    <s v="Credito"/>
    <x v="2"/>
    <x v="216"/>
    <m/>
    <s v="000252"/>
    <s v="000132"/>
    <n v="125.31"/>
    <s v="0,00"/>
    <s v="0,00"/>
    <s v="0,00"/>
    <s v="0,00"/>
    <s v="ORC2022_2"/>
    <s v="0012"/>
    <m/>
    <m/>
    <m/>
    <m/>
    <m/>
  </r>
  <r>
    <s v="DESPESAS GERAIS"/>
    <x v="8"/>
    <x v="11"/>
    <n v="514.69000000000005"/>
    <s v="0000000127"/>
    <s v="3052"/>
    <d v="2022-04-01T00:00:00"/>
    <s v="330409"/>
    <s v="211"/>
    <s v="51"/>
    <s v="Credito"/>
    <x v="2"/>
    <x v="216"/>
    <m/>
    <s v="000252"/>
    <s v="000132"/>
    <n v="514.69000000000005"/>
    <s v="0,00"/>
    <s v="0,00"/>
    <s v="0,00"/>
    <s v="0,00"/>
    <s v="ORC2022_2"/>
    <s v="0012"/>
    <m/>
    <m/>
    <m/>
    <m/>
    <m/>
  </r>
  <r>
    <s v="DESPESAS GERAIS"/>
    <x v="8"/>
    <x v="11"/>
    <n v="7597.22"/>
    <s v="0000000127"/>
    <s v="3053"/>
    <d v="2022-04-01T00:00:00"/>
    <s v="330409"/>
    <s v="201"/>
    <s v="90"/>
    <s v="Credito"/>
    <x v="2"/>
    <x v="216"/>
    <m/>
    <s v="000252"/>
    <s v="000132"/>
    <n v="7597.22"/>
    <s v="0,00"/>
    <s v="0,00"/>
    <s v="0,00"/>
    <s v="0,00"/>
    <s v="ORC2022_2"/>
    <s v="0012"/>
    <m/>
    <m/>
    <m/>
    <m/>
    <m/>
  </r>
  <r>
    <s v="DESPESAS GERAIS"/>
    <x v="8"/>
    <x v="11"/>
    <n v="271.32"/>
    <s v="0000000127"/>
    <s v="3054"/>
    <d v="2022-04-01T00:00:00"/>
    <s v="330409"/>
    <s v="202"/>
    <s v="90"/>
    <s v="Credito"/>
    <x v="2"/>
    <x v="216"/>
    <m/>
    <s v="000252"/>
    <s v="000132"/>
    <n v="271.32"/>
    <s v="0,00"/>
    <s v="0,00"/>
    <s v="0,00"/>
    <s v="0,00"/>
    <s v="ORC2022_2"/>
    <s v="0012"/>
    <m/>
    <m/>
    <m/>
    <m/>
    <m/>
  </r>
  <r>
    <s v="DESPESAS GERAIS"/>
    <x v="8"/>
    <x v="11"/>
    <n v="20.399999999999999"/>
    <s v="0000000127"/>
    <s v="3055"/>
    <d v="2022-04-01T00:00:00"/>
    <s v="330409"/>
    <s v="203"/>
    <s v="90"/>
    <s v="Credito"/>
    <x v="2"/>
    <x v="216"/>
    <m/>
    <s v="000252"/>
    <s v="000132"/>
    <n v="20.399999999999999"/>
    <s v="0,00"/>
    <s v="0,00"/>
    <s v="0,00"/>
    <s v="0,00"/>
    <s v="ORC2022_2"/>
    <s v="0012"/>
    <m/>
    <m/>
    <m/>
    <m/>
    <m/>
  </r>
  <r>
    <s v="DESPESAS GERAIS"/>
    <x v="8"/>
    <x v="11"/>
    <n v="211.32"/>
    <s v="0000000127"/>
    <s v="3056"/>
    <d v="2022-04-01T00:00:00"/>
    <s v="330409"/>
    <s v="204"/>
    <s v="90"/>
    <s v="Credito"/>
    <x v="2"/>
    <x v="216"/>
    <m/>
    <s v="000252"/>
    <s v="000132"/>
    <n v="211.32"/>
    <s v="0,00"/>
    <s v="0,00"/>
    <s v="0,00"/>
    <s v="0,00"/>
    <s v="ORC2022_2"/>
    <s v="0012"/>
    <m/>
    <m/>
    <m/>
    <m/>
    <m/>
  </r>
  <r>
    <s v="DESPESAS GERAIS"/>
    <x v="8"/>
    <x v="11"/>
    <n v="8.8000000000000007"/>
    <s v="0000000127"/>
    <s v="3057"/>
    <d v="2022-04-01T00:00:00"/>
    <s v="330409"/>
    <s v="207"/>
    <s v="90"/>
    <s v="Credito"/>
    <x v="2"/>
    <x v="216"/>
    <m/>
    <s v="000252"/>
    <s v="000132"/>
    <n v="8.8000000000000007"/>
    <s v="0,00"/>
    <s v="0,00"/>
    <s v="0,00"/>
    <s v="0,00"/>
    <s v="ORC2022_2"/>
    <s v="0012"/>
    <m/>
    <m/>
    <m/>
    <m/>
    <m/>
  </r>
  <r>
    <s v="DESPESAS GERAIS"/>
    <x v="8"/>
    <x v="11"/>
    <n v="44.35"/>
    <s v="0000000127"/>
    <s v="3058"/>
    <d v="2022-04-01T00:00:00"/>
    <s v="330409"/>
    <s v="208"/>
    <s v="90"/>
    <s v="Credito"/>
    <x v="2"/>
    <x v="216"/>
    <m/>
    <s v="000252"/>
    <s v="000132"/>
    <n v="44.35"/>
    <s v="0,00"/>
    <s v="0,00"/>
    <s v="0,00"/>
    <s v="0,00"/>
    <s v="ORC2022_2"/>
    <s v="0012"/>
    <m/>
    <m/>
    <m/>
    <m/>
    <m/>
  </r>
  <r>
    <s v="DESPESAS GERAIS"/>
    <x v="8"/>
    <x v="11"/>
    <n v="654.54999999999995"/>
    <s v="0000000127"/>
    <s v="3059"/>
    <d v="2022-04-01T00:00:00"/>
    <s v="330409"/>
    <s v="209"/>
    <s v="90"/>
    <s v="Credito"/>
    <x v="2"/>
    <x v="216"/>
    <m/>
    <s v="000252"/>
    <s v="000132"/>
    <n v="654.54999999999995"/>
    <s v="0,00"/>
    <s v="0,00"/>
    <s v="0,00"/>
    <s v="0,00"/>
    <s v="ORC2022_2"/>
    <s v="0012"/>
    <m/>
    <m/>
    <m/>
    <m/>
    <m/>
  </r>
  <r>
    <s v="DESPESAS GERAIS"/>
    <x v="8"/>
    <x v="11"/>
    <n v="374.22"/>
    <s v="0000000127"/>
    <s v="3060"/>
    <d v="2022-04-01T00:00:00"/>
    <s v="330409"/>
    <s v="210"/>
    <s v="90"/>
    <s v="Credito"/>
    <x v="2"/>
    <x v="216"/>
    <m/>
    <s v="000252"/>
    <s v="000132"/>
    <n v="374.22"/>
    <s v="0,00"/>
    <s v="0,00"/>
    <s v="0,00"/>
    <s v="0,00"/>
    <s v="ORC2022_2"/>
    <s v="0012"/>
    <m/>
    <m/>
    <m/>
    <m/>
    <m/>
  </r>
  <r>
    <s v="DESPESAS GERAIS"/>
    <x v="8"/>
    <x v="11"/>
    <n v="240"/>
    <s v="0000000127"/>
    <s v="3061"/>
    <d v="2022-04-01T00:00:00"/>
    <s v="330409"/>
    <s v="301"/>
    <s v="90"/>
    <s v="Credito"/>
    <x v="2"/>
    <x v="216"/>
    <m/>
    <s v="000252"/>
    <s v="000132"/>
    <n v="240"/>
    <s v="0,00"/>
    <s v="0,00"/>
    <s v="0,00"/>
    <s v="0,00"/>
    <s v="ORC2022_2"/>
    <s v="0012"/>
    <m/>
    <m/>
    <m/>
    <m/>
    <m/>
  </r>
  <r>
    <s v="DESPESAS GERAIS"/>
    <x v="8"/>
    <x v="12"/>
    <n v="75.83"/>
    <s v="0000000127"/>
    <s v="3062"/>
    <d v="2022-05-01T00:00:00"/>
    <s v="330409"/>
    <s v="206"/>
    <s v="11"/>
    <s v="Credito"/>
    <x v="2"/>
    <x v="216"/>
    <m/>
    <s v="000252"/>
    <s v="000132"/>
    <n v="75.83"/>
    <s v="0,00"/>
    <s v="0,00"/>
    <s v="0,00"/>
    <s v="0,00"/>
    <s v="ORC2022_2"/>
    <s v="0012"/>
    <m/>
    <m/>
    <m/>
    <m/>
    <m/>
  </r>
  <r>
    <s v="DESPESAS GERAIS"/>
    <x v="8"/>
    <x v="12"/>
    <n v="116.08"/>
    <s v="0000000127"/>
    <s v="3063"/>
    <d v="2022-05-01T00:00:00"/>
    <s v="330409"/>
    <s v="209"/>
    <s v="34"/>
    <s v="Credito"/>
    <x v="2"/>
    <x v="216"/>
    <m/>
    <s v="000252"/>
    <s v="000132"/>
    <n v="116.08"/>
    <s v="0,00"/>
    <s v="0,00"/>
    <s v="0,00"/>
    <s v="0,00"/>
    <s v="ORC2022_2"/>
    <s v="0012"/>
    <m/>
    <m/>
    <m/>
    <m/>
    <m/>
  </r>
  <r>
    <s v="DESPESAS GERAIS"/>
    <x v="8"/>
    <x v="12"/>
    <n v="151.08000000000001"/>
    <s v="0000000127"/>
    <s v="3064"/>
    <d v="2022-05-01T00:00:00"/>
    <s v="330409"/>
    <s v="211"/>
    <s v="51"/>
    <s v="Credito"/>
    <x v="2"/>
    <x v="216"/>
    <m/>
    <s v="000252"/>
    <s v="000132"/>
    <n v="151.08000000000001"/>
    <s v="0,00"/>
    <s v="0,00"/>
    <s v="0,00"/>
    <s v="0,00"/>
    <s v="ORC2022_2"/>
    <s v="0012"/>
    <m/>
    <m/>
    <m/>
    <m/>
    <m/>
  </r>
  <r>
    <s v="DESPESAS GERAIS"/>
    <x v="8"/>
    <x v="12"/>
    <n v="6969.6"/>
    <s v="0000000127"/>
    <s v="3065"/>
    <d v="2022-05-01T00:00:00"/>
    <s v="330409"/>
    <s v="101"/>
    <s v="90"/>
    <s v="Credito"/>
    <x v="2"/>
    <x v="216"/>
    <m/>
    <s v="000252"/>
    <s v="000132"/>
    <n v="6969.6"/>
    <s v="0,00"/>
    <s v="0,00"/>
    <s v="0,00"/>
    <s v="0,00"/>
    <s v="ORC2022_2"/>
    <s v="0012"/>
    <m/>
    <m/>
    <m/>
    <m/>
    <m/>
  </r>
  <r>
    <s v="DESPESAS GERAIS"/>
    <x v="8"/>
    <x v="12"/>
    <n v="5061.79"/>
    <s v="0000000127"/>
    <s v="3066"/>
    <d v="2022-05-01T00:00:00"/>
    <s v="330409"/>
    <s v="201"/>
    <s v="90"/>
    <s v="Credito"/>
    <x v="2"/>
    <x v="216"/>
    <m/>
    <s v="000252"/>
    <s v="000132"/>
    <n v="5061.79"/>
    <s v="0,00"/>
    <s v="0,00"/>
    <s v="0,00"/>
    <s v="0,00"/>
    <s v="ORC2022_2"/>
    <s v="0012"/>
    <m/>
    <m/>
    <m/>
    <m/>
    <m/>
  </r>
  <r>
    <s v="DESPESAS GERAIS"/>
    <x v="8"/>
    <x v="12"/>
    <n v="1454.55"/>
    <s v="0000000127"/>
    <s v="3067"/>
    <d v="2022-05-01T00:00:00"/>
    <s v="330409"/>
    <s v="204"/>
    <s v="90"/>
    <s v="Credito"/>
    <x v="2"/>
    <x v="216"/>
    <m/>
    <s v="000252"/>
    <s v="000132"/>
    <n v="1454.55"/>
    <s v="0,00"/>
    <s v="0,00"/>
    <s v="0,00"/>
    <s v="0,00"/>
    <s v="ORC2022_2"/>
    <s v="0012"/>
    <m/>
    <m/>
    <m/>
    <m/>
    <m/>
  </r>
  <r>
    <s v="DESPESAS GERAIS"/>
    <x v="8"/>
    <x v="12"/>
    <n v="606.23"/>
    <s v="0000000127"/>
    <s v="3068"/>
    <d v="2022-05-01T00:00:00"/>
    <s v="330409"/>
    <s v="205"/>
    <s v="90"/>
    <s v="Credito"/>
    <x v="2"/>
    <x v="216"/>
    <m/>
    <s v="000252"/>
    <s v="000132"/>
    <n v="606.23"/>
    <s v="0,00"/>
    <s v="0,00"/>
    <s v="0,00"/>
    <s v="0,00"/>
    <s v="ORC2022_2"/>
    <s v="0012"/>
    <m/>
    <m/>
    <m/>
    <m/>
    <m/>
  </r>
  <r>
    <s v="DESPESAS GERAIS"/>
    <x v="8"/>
    <x v="12"/>
    <n v="46.82"/>
    <s v="0000000127"/>
    <s v="3069"/>
    <d v="2022-05-01T00:00:00"/>
    <s v="330409"/>
    <s v="206"/>
    <s v="90"/>
    <s v="Credito"/>
    <x v="2"/>
    <x v="216"/>
    <m/>
    <s v="000252"/>
    <s v="000132"/>
    <n v="46.82"/>
    <s v="0,00"/>
    <s v="0,00"/>
    <s v="0,00"/>
    <s v="0,00"/>
    <s v="ORC2022_2"/>
    <s v="0012"/>
    <m/>
    <m/>
    <m/>
    <m/>
    <m/>
  </r>
  <r>
    <s v="DESPESAS GERAIS"/>
    <x v="8"/>
    <x v="12"/>
    <n v="49.56"/>
    <s v="0000000127"/>
    <s v="3070"/>
    <d v="2022-05-01T00:00:00"/>
    <s v="330409"/>
    <s v="207"/>
    <s v="90"/>
    <s v="Credito"/>
    <x v="2"/>
    <x v="216"/>
    <m/>
    <s v="000252"/>
    <s v="000132"/>
    <n v="49.56"/>
    <s v="0,00"/>
    <s v="0,00"/>
    <s v="0,00"/>
    <s v="0,00"/>
    <s v="ORC2022_2"/>
    <s v="0012"/>
    <m/>
    <m/>
    <m/>
    <m/>
    <m/>
  </r>
  <r>
    <s v="DESPESAS GERAIS"/>
    <x v="8"/>
    <x v="12"/>
    <n v="124.58"/>
    <s v="0000000127"/>
    <s v="3071"/>
    <d v="2022-05-01T00:00:00"/>
    <s v="330409"/>
    <s v="208"/>
    <s v="90"/>
    <s v="Credito"/>
    <x v="2"/>
    <x v="216"/>
    <m/>
    <s v="000252"/>
    <s v="000132"/>
    <n v="124.58"/>
    <s v="0,00"/>
    <s v="0,00"/>
    <s v="0,00"/>
    <s v="0,00"/>
    <s v="ORC2022_2"/>
    <s v="0012"/>
    <m/>
    <m/>
    <m/>
    <m/>
    <m/>
  </r>
  <r>
    <s v="DESPESAS GERAIS"/>
    <x v="8"/>
    <x v="12"/>
    <n v="2946.63"/>
    <s v="0000000127"/>
    <s v="3072"/>
    <d v="2022-05-01T00:00:00"/>
    <s v="330409"/>
    <s v="209"/>
    <s v="90"/>
    <s v="Credito"/>
    <x v="2"/>
    <x v="216"/>
    <m/>
    <s v="000252"/>
    <s v="000132"/>
    <n v="2946.63"/>
    <s v="0,00"/>
    <s v="0,00"/>
    <s v="0,00"/>
    <s v="0,00"/>
    <s v="ORC2022_2"/>
    <s v="0012"/>
    <m/>
    <m/>
    <m/>
    <m/>
    <m/>
  </r>
  <r>
    <s v="DESPESAS GERAIS"/>
    <x v="8"/>
    <x v="12"/>
    <n v="416.92"/>
    <s v="0000000127"/>
    <s v="3073"/>
    <d v="2022-05-01T00:00:00"/>
    <s v="330409"/>
    <s v="210"/>
    <s v="90"/>
    <s v="Credito"/>
    <x v="2"/>
    <x v="216"/>
    <m/>
    <s v="000252"/>
    <s v="000132"/>
    <n v="416.92"/>
    <s v="0,00"/>
    <s v="0,00"/>
    <s v="0,00"/>
    <s v="0,00"/>
    <s v="ORC2022_2"/>
    <s v="0012"/>
    <m/>
    <m/>
    <m/>
    <m/>
    <m/>
  </r>
  <r>
    <s v="DESPESAS GERAIS"/>
    <x v="8"/>
    <x v="12"/>
    <n v="3888.8"/>
    <s v="0000000127"/>
    <s v="3074"/>
    <d v="2022-05-01T00:00:00"/>
    <s v="330409"/>
    <s v="305"/>
    <s v="90"/>
    <s v="Credito"/>
    <x v="2"/>
    <x v="216"/>
    <m/>
    <s v="000252"/>
    <s v="000132"/>
    <n v="3888.8"/>
    <s v="0,00"/>
    <s v="0,00"/>
    <s v="0,00"/>
    <s v="0,00"/>
    <s v="ORC2022_2"/>
    <s v="0012"/>
    <m/>
    <m/>
    <m/>
    <m/>
    <m/>
  </r>
  <r>
    <s v="DESPESAS GERAIS"/>
    <x v="8"/>
    <x v="13"/>
    <n v="74.33"/>
    <s v="0000000127"/>
    <s v="3075"/>
    <d v="2022-06-01T00:00:00"/>
    <s v="330409"/>
    <s v="206"/>
    <s v="11"/>
    <s v="Credito"/>
    <x v="2"/>
    <x v="216"/>
    <m/>
    <s v="000252"/>
    <s v="000132"/>
    <n v="74.33"/>
    <s v="0,00"/>
    <s v="0,00"/>
    <s v="0,00"/>
    <s v="0,00"/>
    <s v="ORC2022_2"/>
    <s v="0012"/>
    <m/>
    <m/>
    <m/>
    <m/>
    <m/>
  </r>
  <r>
    <s v="DESPESAS GERAIS"/>
    <x v="8"/>
    <x v="13"/>
    <n v="726.28"/>
    <s v="0000000127"/>
    <s v="3076"/>
    <d v="2022-06-01T00:00:00"/>
    <s v="330409"/>
    <s v="211"/>
    <s v="51"/>
    <s v="Credito"/>
    <x v="2"/>
    <x v="216"/>
    <m/>
    <s v="000252"/>
    <s v="000132"/>
    <n v="726.28"/>
    <s v="0,00"/>
    <s v="0,00"/>
    <s v="0,00"/>
    <s v="0,00"/>
    <s v="ORC2022_2"/>
    <s v="0012"/>
    <m/>
    <m/>
    <m/>
    <m/>
    <m/>
  </r>
  <r>
    <s v="DESPESAS GERAIS"/>
    <x v="8"/>
    <x v="13"/>
    <n v="6675.04"/>
    <s v="0000000127"/>
    <s v="3077"/>
    <d v="2022-06-01T00:00:00"/>
    <s v="330409"/>
    <s v="201"/>
    <s v="90"/>
    <s v="Credito"/>
    <x v="2"/>
    <x v="216"/>
    <m/>
    <s v="000252"/>
    <s v="000132"/>
    <n v="6675.04"/>
    <s v="0,00"/>
    <s v="0,00"/>
    <s v="0,00"/>
    <s v="0,00"/>
    <s v="ORC2022_2"/>
    <s v="0012"/>
    <m/>
    <m/>
    <m/>
    <m/>
    <m/>
  </r>
  <r>
    <s v="DESPESAS GERAIS"/>
    <x v="8"/>
    <x v="13"/>
    <n v="16.95"/>
    <s v="0000000127"/>
    <s v="3078"/>
    <d v="2022-06-01T00:00:00"/>
    <s v="330409"/>
    <s v="203"/>
    <s v="90"/>
    <s v="Credito"/>
    <x v="2"/>
    <x v="216"/>
    <m/>
    <s v="000252"/>
    <s v="000132"/>
    <n v="16.95"/>
    <s v="0,00"/>
    <s v="0,00"/>
    <s v="0,00"/>
    <s v="0,00"/>
    <s v="ORC2022_2"/>
    <s v="0012"/>
    <m/>
    <m/>
    <m/>
    <m/>
    <m/>
  </r>
  <r>
    <s v="DESPESAS GERAIS"/>
    <x v="8"/>
    <x v="13"/>
    <n v="177.72"/>
    <s v="0000000127"/>
    <s v="3079"/>
    <d v="2022-06-01T00:00:00"/>
    <s v="330409"/>
    <s v="204"/>
    <s v="90"/>
    <s v="Credito"/>
    <x v="2"/>
    <x v="216"/>
    <m/>
    <s v="000252"/>
    <s v="000132"/>
    <n v="177.72"/>
    <s v="0,00"/>
    <s v="0,00"/>
    <s v="0,00"/>
    <s v="0,00"/>
    <s v="ORC2022_2"/>
    <s v="0012"/>
    <m/>
    <m/>
    <m/>
    <m/>
    <m/>
  </r>
  <r>
    <s v="DESPESAS GERAIS"/>
    <x v="8"/>
    <x v="13"/>
    <n v="8.2899999999999991"/>
    <s v="0000000127"/>
    <s v="3080"/>
    <d v="2022-06-01T00:00:00"/>
    <s v="330409"/>
    <s v="208"/>
    <s v="90"/>
    <s v="Credito"/>
    <x v="2"/>
    <x v="216"/>
    <m/>
    <s v="000252"/>
    <s v="000132"/>
    <n v="8.2899999999999991"/>
    <s v="0,00"/>
    <s v="0,00"/>
    <s v="0,00"/>
    <s v="0,00"/>
    <s v="ORC2022_2"/>
    <s v="0012"/>
    <m/>
    <m/>
    <m/>
    <m/>
    <m/>
  </r>
  <r>
    <s v="DESPESAS GERAIS"/>
    <x v="8"/>
    <x v="13"/>
    <n v="1542.72"/>
    <s v="0000000127"/>
    <s v="3081"/>
    <d v="2022-06-01T00:00:00"/>
    <s v="330409"/>
    <s v="209"/>
    <s v="90"/>
    <s v="Credito"/>
    <x v="2"/>
    <x v="216"/>
    <m/>
    <s v="000252"/>
    <s v="000132"/>
    <n v="1542.72"/>
    <s v="0,00"/>
    <s v="0,00"/>
    <s v="0,00"/>
    <s v="0,00"/>
    <s v="ORC2022_2"/>
    <s v="0012"/>
    <m/>
    <m/>
    <m/>
    <m/>
    <m/>
  </r>
  <r>
    <s v="DESPESAS GERAIS"/>
    <x v="8"/>
    <x v="13"/>
    <n v="279.11"/>
    <s v="0000000127"/>
    <s v="3082"/>
    <d v="2022-06-01T00:00:00"/>
    <s v="330409"/>
    <s v="210"/>
    <s v="90"/>
    <s v="Credito"/>
    <x v="2"/>
    <x v="216"/>
    <m/>
    <s v="000252"/>
    <s v="000132"/>
    <n v="279.11"/>
    <s v="0,00"/>
    <s v="0,00"/>
    <s v="0,00"/>
    <s v="0,00"/>
    <s v="ORC2022_2"/>
    <s v="0012"/>
    <m/>
    <m/>
    <m/>
    <m/>
    <m/>
  </r>
  <r>
    <s v="DESPESAS GERAIS"/>
    <x v="8"/>
    <x v="14"/>
    <n v="135.47999999999999"/>
    <s v="0000000127"/>
    <s v="3083"/>
    <d v="2022-07-01T00:00:00"/>
    <s v="330409"/>
    <s v="206"/>
    <s v="11"/>
    <s v="Credito"/>
    <x v="2"/>
    <x v="216"/>
    <m/>
    <s v="000252"/>
    <s v="000132"/>
    <n v="135.47999999999999"/>
    <s v="0,00"/>
    <s v="0,00"/>
    <s v="0,00"/>
    <s v="0,00"/>
    <s v="ORC2022_2"/>
    <s v="0012"/>
    <m/>
    <m/>
    <m/>
    <m/>
    <m/>
  </r>
  <r>
    <s v="DESPESAS GERAIS"/>
    <x v="8"/>
    <x v="14"/>
    <n v="3186"/>
    <s v="0000000127"/>
    <s v="3084"/>
    <d v="2022-07-01T00:00:00"/>
    <s v="330409"/>
    <s v="305"/>
    <s v="21"/>
    <s v="Credito"/>
    <x v="2"/>
    <x v="216"/>
    <m/>
    <s v="000252"/>
    <s v="000132"/>
    <n v="3186"/>
    <s v="0,00"/>
    <s v="0,00"/>
    <s v="0,00"/>
    <s v="0,00"/>
    <s v="ORC2022_2"/>
    <s v="0012"/>
    <m/>
    <m/>
    <m/>
    <m/>
    <m/>
  </r>
  <r>
    <s v="DESPESAS GERAIS"/>
    <x v="8"/>
    <x v="14"/>
    <n v="1641.75"/>
    <s v="0000000127"/>
    <s v="3085"/>
    <d v="2022-07-01T00:00:00"/>
    <s v="330409"/>
    <s v="211"/>
    <s v="51"/>
    <s v="Credito"/>
    <x v="2"/>
    <x v="216"/>
    <m/>
    <s v="000252"/>
    <s v="000132"/>
    <n v="1641.75"/>
    <s v="0,00"/>
    <s v="0,00"/>
    <s v="0,00"/>
    <s v="0,00"/>
    <s v="ORC2022_2"/>
    <s v="0012"/>
    <m/>
    <m/>
    <m/>
    <m/>
    <m/>
  </r>
  <r>
    <s v="DESPESAS GERAIS"/>
    <x v="8"/>
    <x v="14"/>
    <n v="22265.29"/>
    <s v="0000000127"/>
    <s v="3086"/>
    <d v="2022-07-01T00:00:00"/>
    <s v="330409"/>
    <s v="201"/>
    <s v="90"/>
    <s v="Credito"/>
    <x v="2"/>
    <x v="216"/>
    <m/>
    <s v="000252"/>
    <s v="000132"/>
    <n v="22265.29"/>
    <s v="0,00"/>
    <s v="0,00"/>
    <s v="0,00"/>
    <s v="0,00"/>
    <s v="ORC2022_2"/>
    <s v="0012"/>
    <m/>
    <m/>
    <m/>
    <m/>
    <m/>
  </r>
  <r>
    <s v="DESPESAS GERAIS"/>
    <x v="8"/>
    <x v="14"/>
    <n v="139.83000000000001"/>
    <s v="0000000127"/>
    <s v="3087"/>
    <d v="2022-07-01T00:00:00"/>
    <s v="330409"/>
    <s v="202"/>
    <s v="90"/>
    <s v="Credito"/>
    <x v="2"/>
    <x v="216"/>
    <m/>
    <s v="000252"/>
    <s v="000132"/>
    <n v="139.83000000000001"/>
    <s v="0,00"/>
    <s v="0,00"/>
    <s v="0,00"/>
    <s v="0,00"/>
    <s v="ORC2022_2"/>
    <s v="0012"/>
    <m/>
    <m/>
    <m/>
    <m/>
    <m/>
  </r>
  <r>
    <s v="DESPESAS GERAIS"/>
    <x v="8"/>
    <x v="14"/>
    <n v="14.27"/>
    <s v="0000000127"/>
    <s v="3088"/>
    <d v="2022-07-01T00:00:00"/>
    <s v="330409"/>
    <s v="203"/>
    <s v="90"/>
    <s v="Credito"/>
    <x v="2"/>
    <x v="216"/>
    <m/>
    <s v="000252"/>
    <s v="000132"/>
    <n v="14.27"/>
    <s v="0,00"/>
    <s v="0,00"/>
    <s v="0,00"/>
    <s v="0,00"/>
    <s v="ORC2022_2"/>
    <s v="0012"/>
    <m/>
    <m/>
    <m/>
    <m/>
    <m/>
  </r>
  <r>
    <s v="DESPESAS GERAIS"/>
    <x v="8"/>
    <x v="14"/>
    <n v="307.88"/>
    <s v="0000000127"/>
    <s v="3089"/>
    <d v="2022-07-01T00:00:00"/>
    <s v="330409"/>
    <s v="204"/>
    <s v="90"/>
    <s v="Credito"/>
    <x v="2"/>
    <x v="216"/>
    <m/>
    <s v="000252"/>
    <s v="000132"/>
    <n v="307.88"/>
    <s v="0,00"/>
    <s v="0,00"/>
    <s v="0,00"/>
    <s v="0,00"/>
    <s v="ORC2022_2"/>
    <s v="0012"/>
    <m/>
    <m/>
    <m/>
    <m/>
    <m/>
  </r>
  <r>
    <s v="DESPESAS GERAIS"/>
    <x v="8"/>
    <x v="14"/>
    <n v="854.53"/>
    <s v="0000000127"/>
    <s v="3090"/>
    <d v="2022-07-01T00:00:00"/>
    <s v="330409"/>
    <s v="205"/>
    <s v="90"/>
    <s v="Credito"/>
    <x v="2"/>
    <x v="216"/>
    <m/>
    <s v="000252"/>
    <s v="000132"/>
    <n v="854.53"/>
    <s v="0,00"/>
    <s v="0,00"/>
    <s v="0,00"/>
    <s v="0,00"/>
    <s v="ORC2022_2"/>
    <s v="0012"/>
    <m/>
    <m/>
    <m/>
    <m/>
    <m/>
  </r>
  <r>
    <s v="DESPESAS GERAIS"/>
    <x v="8"/>
    <x v="14"/>
    <n v="20.98"/>
    <s v="0000000127"/>
    <s v="3091"/>
    <d v="2022-07-01T00:00:00"/>
    <s v="330409"/>
    <s v="207"/>
    <s v="90"/>
    <s v="Credito"/>
    <x v="2"/>
    <x v="216"/>
    <m/>
    <s v="000252"/>
    <s v="000132"/>
    <n v="20.98"/>
    <s v="0,00"/>
    <s v="0,00"/>
    <s v="0,00"/>
    <s v="0,00"/>
    <s v="ORC2022_2"/>
    <s v="0012"/>
    <m/>
    <m/>
    <m/>
    <m/>
    <m/>
  </r>
  <r>
    <s v="DESPESAS GERAIS"/>
    <x v="8"/>
    <x v="14"/>
    <n v="20.83"/>
    <s v="0000000127"/>
    <s v="3092"/>
    <d v="2022-07-01T00:00:00"/>
    <s v="330409"/>
    <s v="208"/>
    <s v="90"/>
    <s v="Credito"/>
    <x v="2"/>
    <x v="216"/>
    <m/>
    <s v="000252"/>
    <s v="000132"/>
    <n v="20.83"/>
    <s v="0,00"/>
    <s v="0,00"/>
    <s v="0,00"/>
    <s v="0,00"/>
    <s v="ORC2022_2"/>
    <s v="0012"/>
    <m/>
    <m/>
    <m/>
    <m/>
    <m/>
  </r>
  <r>
    <s v="DESPESAS GERAIS"/>
    <x v="8"/>
    <x v="14"/>
    <n v="2966.46"/>
    <s v="0000000127"/>
    <s v="3093"/>
    <d v="2022-07-01T00:00:00"/>
    <s v="330409"/>
    <s v="209"/>
    <s v="90"/>
    <s v="Credito"/>
    <x v="2"/>
    <x v="216"/>
    <m/>
    <s v="000252"/>
    <s v="000132"/>
    <n v="2966.46"/>
    <s v="0,00"/>
    <s v="0,00"/>
    <s v="0,00"/>
    <s v="0,00"/>
    <s v="ORC2022_2"/>
    <s v="0012"/>
    <m/>
    <m/>
    <m/>
    <m/>
    <m/>
  </r>
  <r>
    <s v="DESPESAS GERAIS"/>
    <x v="8"/>
    <x v="14"/>
    <n v="367.37"/>
    <s v="0000000127"/>
    <s v="3094"/>
    <d v="2022-07-01T00:00:00"/>
    <s v="330409"/>
    <s v="210"/>
    <s v="90"/>
    <s v="Credito"/>
    <x v="2"/>
    <x v="216"/>
    <m/>
    <s v="000252"/>
    <s v="000132"/>
    <n v="367.37"/>
    <s v="0,00"/>
    <s v="0,00"/>
    <s v="0,00"/>
    <s v="0,00"/>
    <s v="ORC2022_2"/>
    <s v="0012"/>
    <m/>
    <m/>
    <m/>
    <m/>
    <m/>
  </r>
  <r>
    <s v="DESPESAS GERAIS"/>
    <x v="8"/>
    <x v="15"/>
    <n v="84.49"/>
    <s v="0000000127"/>
    <s v="3095"/>
    <d v="2022-08-01T00:00:00"/>
    <s v="330409"/>
    <s v="206"/>
    <s v="11"/>
    <s v="Credito"/>
    <x v="2"/>
    <x v="216"/>
    <m/>
    <s v="000252"/>
    <s v="000132"/>
    <n v="84.49"/>
    <s v="0,00"/>
    <s v="0,00"/>
    <s v="0,00"/>
    <s v="0,00"/>
    <s v="ORC2022_2"/>
    <s v="0012"/>
    <m/>
    <m/>
    <m/>
    <m/>
    <m/>
  </r>
  <r>
    <s v="DESPESAS GERAIS"/>
    <x v="8"/>
    <x v="15"/>
    <n v="4452"/>
    <s v="0000000127"/>
    <s v="3096"/>
    <d v="2022-08-01T00:00:00"/>
    <s v="330409"/>
    <s v="305"/>
    <s v="21"/>
    <s v="Credito"/>
    <x v="2"/>
    <x v="216"/>
    <m/>
    <s v="000252"/>
    <s v="000132"/>
    <n v="4452"/>
    <s v="0,00"/>
    <s v="0,00"/>
    <s v="0,00"/>
    <s v="0,00"/>
    <s v="ORC2022_2"/>
    <s v="0012"/>
    <m/>
    <m/>
    <m/>
    <m/>
    <m/>
  </r>
  <r>
    <s v="DESPESAS GERAIS"/>
    <x v="8"/>
    <x v="15"/>
    <n v="900.64"/>
    <s v="0000000127"/>
    <s v="3097"/>
    <d v="2022-08-01T00:00:00"/>
    <s v="330409"/>
    <s v="211"/>
    <s v="51"/>
    <s v="Credito"/>
    <x v="2"/>
    <x v="216"/>
    <m/>
    <s v="000252"/>
    <s v="000132"/>
    <n v="900.64"/>
    <s v="0,00"/>
    <s v="0,00"/>
    <s v="0,00"/>
    <s v="0,00"/>
    <s v="ORC2022_2"/>
    <s v="0012"/>
    <m/>
    <m/>
    <m/>
    <m/>
    <m/>
  </r>
  <r>
    <s v="DESPESAS GERAIS"/>
    <x v="8"/>
    <x v="15"/>
    <n v="490.94"/>
    <s v="0000000127"/>
    <s v="3098"/>
    <d v="2022-08-01T00:00:00"/>
    <s v="330409"/>
    <s v="101"/>
    <s v="90"/>
    <s v="Credito"/>
    <x v="2"/>
    <x v="216"/>
    <m/>
    <s v="000252"/>
    <s v="000132"/>
    <n v="490.94"/>
    <s v="0,00"/>
    <s v="0,00"/>
    <s v="0,00"/>
    <s v="0,00"/>
    <s v="ORC2022_2"/>
    <s v="0012"/>
    <m/>
    <m/>
    <m/>
    <m/>
    <m/>
  </r>
  <r>
    <s v="DESPESAS GERAIS"/>
    <x v="8"/>
    <x v="15"/>
    <n v="4564.5"/>
    <s v="0000000127"/>
    <s v="3099"/>
    <d v="2022-08-01T00:00:00"/>
    <s v="330409"/>
    <s v="201"/>
    <s v="90"/>
    <s v="Credito"/>
    <x v="2"/>
    <x v="216"/>
    <m/>
    <s v="000252"/>
    <s v="000132"/>
    <n v="4564.5"/>
    <s v="0,00"/>
    <s v="0,00"/>
    <s v="0,00"/>
    <s v="0,00"/>
    <s v="ORC2022_2"/>
    <s v="0012"/>
    <m/>
    <m/>
    <m/>
    <m/>
    <m/>
  </r>
  <r>
    <s v="DESPESAS GERAIS"/>
    <x v="8"/>
    <x v="15"/>
    <n v="89.17"/>
    <s v="0000000127"/>
    <s v="3100"/>
    <d v="2022-08-01T00:00:00"/>
    <s v="330409"/>
    <s v="202"/>
    <s v="90"/>
    <s v="Credito"/>
    <x v="2"/>
    <x v="216"/>
    <m/>
    <s v="000252"/>
    <s v="000132"/>
    <n v="89.17"/>
    <s v="0,00"/>
    <s v="0,00"/>
    <s v="0,00"/>
    <s v="0,00"/>
    <s v="ORC2022_2"/>
    <s v="0012"/>
    <m/>
    <m/>
    <m/>
    <m/>
    <m/>
  </r>
  <r>
    <s v="DESPESAS GERAIS"/>
    <x v="8"/>
    <x v="15"/>
    <n v="200.64"/>
    <s v="0000000127"/>
    <s v="3101"/>
    <d v="2022-08-01T00:00:00"/>
    <s v="330409"/>
    <s v="204"/>
    <s v="90"/>
    <s v="Credito"/>
    <x v="2"/>
    <x v="216"/>
    <m/>
    <s v="000252"/>
    <s v="000132"/>
    <n v="200.64"/>
    <s v="0,00"/>
    <s v="0,00"/>
    <s v="0,00"/>
    <s v="0,00"/>
    <s v="ORC2022_2"/>
    <s v="0012"/>
    <m/>
    <m/>
    <m/>
    <m/>
    <m/>
  </r>
  <r>
    <s v="DESPESAS GERAIS"/>
    <x v="8"/>
    <x v="15"/>
    <n v="24.18"/>
    <s v="0000000127"/>
    <s v="3102"/>
    <d v="2022-08-01T00:00:00"/>
    <s v="330409"/>
    <s v="205"/>
    <s v="90"/>
    <s v="Credito"/>
    <x v="2"/>
    <x v="216"/>
    <m/>
    <s v="000252"/>
    <s v="000132"/>
    <n v="24.18"/>
    <s v="0,00"/>
    <s v="0,00"/>
    <s v="0,00"/>
    <s v="0,00"/>
    <s v="ORC2022_2"/>
    <s v="0012"/>
    <m/>
    <m/>
    <m/>
    <m/>
    <m/>
  </r>
  <r>
    <s v="DESPESAS GERAIS"/>
    <x v="8"/>
    <x v="15"/>
    <n v="32.71"/>
    <s v="0000000127"/>
    <s v="3103"/>
    <d v="2022-08-01T00:00:00"/>
    <s v="330409"/>
    <s v="207"/>
    <s v="90"/>
    <s v="Credito"/>
    <x v="2"/>
    <x v="216"/>
    <m/>
    <s v="000252"/>
    <s v="000132"/>
    <n v="32.71"/>
    <s v="0,00"/>
    <s v="0,00"/>
    <s v="0,00"/>
    <s v="0,00"/>
    <s v="ORC2022_2"/>
    <s v="0012"/>
    <m/>
    <m/>
    <m/>
    <m/>
    <m/>
  </r>
  <r>
    <s v="DESPESAS GERAIS"/>
    <x v="8"/>
    <x v="15"/>
    <n v="14.44"/>
    <s v="0000000127"/>
    <s v="3104"/>
    <d v="2022-08-01T00:00:00"/>
    <s v="330409"/>
    <s v="208"/>
    <s v="90"/>
    <s v="Credito"/>
    <x v="2"/>
    <x v="216"/>
    <m/>
    <s v="000252"/>
    <s v="000132"/>
    <n v="14.44"/>
    <s v="0,00"/>
    <s v="0,00"/>
    <s v="0,00"/>
    <s v="0,00"/>
    <s v="ORC2022_2"/>
    <s v="0012"/>
    <m/>
    <m/>
    <m/>
    <m/>
    <m/>
  </r>
  <r>
    <s v="DESPESAS GERAIS"/>
    <x v="8"/>
    <x v="15"/>
    <n v="961.57"/>
    <s v="0000000127"/>
    <s v="3105"/>
    <d v="2022-08-01T00:00:00"/>
    <s v="330409"/>
    <s v="209"/>
    <s v="90"/>
    <s v="Credito"/>
    <x v="2"/>
    <x v="216"/>
    <m/>
    <s v="000252"/>
    <s v="000132"/>
    <n v="961.57"/>
    <s v="0,00"/>
    <s v="0,00"/>
    <s v="0,00"/>
    <s v="0,00"/>
    <s v="ORC2022_2"/>
    <s v="0012"/>
    <m/>
    <m/>
    <m/>
    <m/>
    <m/>
  </r>
  <r>
    <s v="DESPESAS GERAIS"/>
    <x v="8"/>
    <x v="15"/>
    <n v="450.77"/>
    <s v="0000000127"/>
    <s v="3106"/>
    <d v="2022-08-01T00:00:00"/>
    <s v="330409"/>
    <s v="210"/>
    <s v="90"/>
    <s v="Credito"/>
    <x v="2"/>
    <x v="216"/>
    <m/>
    <s v="000252"/>
    <s v="000132"/>
    <n v="450.77"/>
    <s v="0,00"/>
    <s v="0,00"/>
    <s v="0,00"/>
    <s v="0,00"/>
    <s v="ORC2022_2"/>
    <s v="0012"/>
    <m/>
    <m/>
    <m/>
    <m/>
    <m/>
  </r>
  <r>
    <s v="DESPESAS GERAIS"/>
    <x v="8"/>
    <x v="16"/>
    <n v="169.85"/>
    <s v="0000000127"/>
    <s v="3107"/>
    <d v="2022-09-01T00:00:00"/>
    <s v="330409"/>
    <s v="206"/>
    <s v="11"/>
    <s v="Credito"/>
    <x v="2"/>
    <x v="216"/>
    <m/>
    <s v="000252"/>
    <s v="000132"/>
    <n v="169.85"/>
    <s v="0,00"/>
    <s v="0,00"/>
    <s v="0,00"/>
    <s v="0,00"/>
    <s v="ORC2022_2"/>
    <s v="0012"/>
    <m/>
    <m/>
    <m/>
    <m/>
    <m/>
  </r>
  <r>
    <s v="DESPESAS GERAIS"/>
    <x v="8"/>
    <x v="16"/>
    <n v="5432"/>
    <s v="0000000127"/>
    <s v="3108"/>
    <d v="2022-09-01T00:00:00"/>
    <s v="330409"/>
    <s v="305"/>
    <s v="21"/>
    <s v="Credito"/>
    <x v="2"/>
    <x v="216"/>
    <m/>
    <s v="000252"/>
    <s v="000132"/>
    <n v="5432"/>
    <s v="0,00"/>
    <s v="0,00"/>
    <s v="0,00"/>
    <s v="0,00"/>
    <s v="ORC2022_2"/>
    <s v="0012"/>
    <m/>
    <m/>
    <m/>
    <m/>
    <m/>
  </r>
  <r>
    <s v="DESPESAS GERAIS"/>
    <x v="8"/>
    <x v="16"/>
    <n v="1956.18"/>
    <s v="0000000127"/>
    <s v="3109"/>
    <d v="2022-09-01T00:00:00"/>
    <s v="330409"/>
    <s v="211"/>
    <s v="51"/>
    <s v="Credito"/>
    <x v="2"/>
    <x v="216"/>
    <m/>
    <s v="000252"/>
    <s v="000132"/>
    <n v="1956.18"/>
    <s v="0,00"/>
    <s v="0,00"/>
    <s v="0,00"/>
    <s v="0,00"/>
    <s v="ORC2022_2"/>
    <s v="0012"/>
    <m/>
    <m/>
    <m/>
    <m/>
    <m/>
  </r>
  <r>
    <s v="DESPESAS GERAIS"/>
    <x v="8"/>
    <x v="16"/>
    <n v="4557.6400000000003"/>
    <s v="0000000127"/>
    <s v="3110"/>
    <d v="2022-09-01T00:00:00"/>
    <s v="330409"/>
    <s v="201"/>
    <s v="90"/>
    <s v="Credito"/>
    <x v="2"/>
    <x v="216"/>
    <m/>
    <s v="000252"/>
    <s v="000132"/>
    <n v="4557.6400000000003"/>
    <s v="0,00"/>
    <s v="0,00"/>
    <s v="0,00"/>
    <s v="0,00"/>
    <s v="ORC2022_2"/>
    <s v="0012"/>
    <m/>
    <m/>
    <m/>
    <m/>
    <m/>
  </r>
  <r>
    <s v="DESPESAS GERAIS"/>
    <x v="8"/>
    <x v="16"/>
    <n v="107.21"/>
    <s v="0000000127"/>
    <s v="3111"/>
    <d v="2022-09-01T00:00:00"/>
    <s v="330409"/>
    <s v="203"/>
    <s v="90"/>
    <s v="Credito"/>
    <x v="2"/>
    <x v="216"/>
    <m/>
    <s v="000252"/>
    <s v="000132"/>
    <n v="107.21"/>
    <s v="0,00"/>
    <s v="0,00"/>
    <s v="0,00"/>
    <s v="0,00"/>
    <s v="ORC2022_2"/>
    <s v="0012"/>
    <m/>
    <m/>
    <m/>
    <m/>
    <m/>
  </r>
  <r>
    <s v="DESPESAS GERAIS"/>
    <x v="8"/>
    <x v="16"/>
    <n v="459.22"/>
    <s v="0000000127"/>
    <s v="3112"/>
    <d v="2022-09-01T00:00:00"/>
    <s v="330409"/>
    <s v="204"/>
    <s v="90"/>
    <s v="Credito"/>
    <x v="2"/>
    <x v="216"/>
    <m/>
    <s v="000252"/>
    <s v="000132"/>
    <n v="459.22"/>
    <s v="0,00"/>
    <s v="0,00"/>
    <s v="0,00"/>
    <s v="0,00"/>
    <s v="ORC2022_2"/>
    <s v="0012"/>
    <m/>
    <m/>
    <m/>
    <m/>
    <m/>
  </r>
  <r>
    <s v="DESPESAS GERAIS"/>
    <x v="8"/>
    <x v="16"/>
    <n v="5.05"/>
    <s v="0000000127"/>
    <s v="3113"/>
    <d v="2022-09-01T00:00:00"/>
    <s v="330409"/>
    <s v="208"/>
    <s v="90"/>
    <s v="Credito"/>
    <x v="2"/>
    <x v="216"/>
    <m/>
    <s v="000252"/>
    <s v="000132"/>
    <n v="5.05"/>
    <s v="0,00"/>
    <s v="0,00"/>
    <s v="0,00"/>
    <s v="0,00"/>
    <s v="ORC2022_2"/>
    <s v="0012"/>
    <m/>
    <m/>
    <m/>
    <m/>
    <m/>
  </r>
  <r>
    <s v="DESPESAS GERAIS"/>
    <x v="8"/>
    <x v="16"/>
    <n v="800.16"/>
    <s v="0000000127"/>
    <s v="3114"/>
    <d v="2022-09-01T00:00:00"/>
    <s v="330409"/>
    <s v="209"/>
    <s v="90"/>
    <s v="Credito"/>
    <x v="2"/>
    <x v="216"/>
    <m/>
    <s v="000252"/>
    <s v="000132"/>
    <n v="800.16"/>
    <s v="0,00"/>
    <s v="0,00"/>
    <s v="0,00"/>
    <s v="0,00"/>
    <s v="ORC2022_2"/>
    <s v="0012"/>
    <m/>
    <m/>
    <m/>
    <m/>
    <m/>
  </r>
  <r>
    <s v="DESPESAS GERAIS"/>
    <x v="8"/>
    <x v="16"/>
    <n v="324.95"/>
    <s v="0000000127"/>
    <s v="3115"/>
    <d v="2022-09-01T00:00:00"/>
    <s v="330409"/>
    <s v="210"/>
    <s v="90"/>
    <s v="Credito"/>
    <x v="2"/>
    <x v="216"/>
    <m/>
    <s v="000252"/>
    <s v="000132"/>
    <n v="324.95"/>
    <s v="0,00"/>
    <s v="0,00"/>
    <s v="0,00"/>
    <s v="0,00"/>
    <s v="ORC2022_2"/>
    <s v="0012"/>
    <m/>
    <m/>
    <m/>
    <m/>
    <m/>
  </r>
  <r>
    <s v="DESPESAS GERAIS"/>
    <x v="8"/>
    <x v="17"/>
    <n v="171.55"/>
    <s v="0000000127"/>
    <s v="3116"/>
    <d v="2022-10-01T00:00:00"/>
    <s v="330409"/>
    <s v="206"/>
    <s v="11"/>
    <s v="Credito"/>
    <x v="2"/>
    <x v="216"/>
    <m/>
    <s v="000252"/>
    <s v="000132"/>
    <n v="171.55"/>
    <s v="0,00"/>
    <s v="0,00"/>
    <s v="0,00"/>
    <s v="0,00"/>
    <s v="ORC2022_2"/>
    <s v="0012"/>
    <m/>
    <m/>
    <m/>
    <m/>
    <m/>
  </r>
  <r>
    <s v="DESPESAS GERAIS"/>
    <x v="8"/>
    <x v="17"/>
    <n v="5486.32"/>
    <s v="0000000127"/>
    <s v="3117"/>
    <d v="2022-10-01T00:00:00"/>
    <s v="330409"/>
    <s v="305"/>
    <s v="21"/>
    <s v="Credito"/>
    <x v="2"/>
    <x v="216"/>
    <m/>
    <s v="000252"/>
    <s v="000132"/>
    <n v="5486.32"/>
    <s v="0,00"/>
    <s v="0,00"/>
    <s v="0,00"/>
    <s v="0,00"/>
    <s v="ORC2022_2"/>
    <s v="0012"/>
    <m/>
    <m/>
    <m/>
    <m/>
    <m/>
  </r>
  <r>
    <s v="DESPESAS GERAIS"/>
    <x v="8"/>
    <x v="17"/>
    <n v="1975.74"/>
    <s v="0000000127"/>
    <s v="3118"/>
    <d v="2022-10-01T00:00:00"/>
    <s v="330409"/>
    <s v="211"/>
    <s v="51"/>
    <s v="Credito"/>
    <x v="2"/>
    <x v="216"/>
    <m/>
    <s v="000252"/>
    <s v="000132"/>
    <n v="1975.74"/>
    <s v="0,00"/>
    <s v="0,00"/>
    <s v="0,00"/>
    <s v="0,00"/>
    <s v="ORC2022_2"/>
    <s v="0012"/>
    <m/>
    <m/>
    <m/>
    <m/>
    <m/>
  </r>
  <r>
    <s v="DESPESAS GERAIS"/>
    <x v="8"/>
    <x v="17"/>
    <n v="4603.22"/>
    <s v="0000000127"/>
    <s v="3119"/>
    <d v="2022-10-01T00:00:00"/>
    <s v="330409"/>
    <s v="201"/>
    <s v="90"/>
    <s v="Credito"/>
    <x v="2"/>
    <x v="216"/>
    <m/>
    <s v="000252"/>
    <s v="000132"/>
    <n v="4603.22"/>
    <s v="0,00"/>
    <s v="0,00"/>
    <s v="0,00"/>
    <s v="0,00"/>
    <s v="ORC2022_2"/>
    <s v="0012"/>
    <m/>
    <m/>
    <m/>
    <m/>
    <m/>
  </r>
  <r>
    <s v="DESPESAS GERAIS"/>
    <x v="8"/>
    <x v="17"/>
    <n v="108.28"/>
    <s v="0000000127"/>
    <s v="3120"/>
    <d v="2022-10-01T00:00:00"/>
    <s v="330409"/>
    <s v="203"/>
    <s v="90"/>
    <s v="Credito"/>
    <x v="2"/>
    <x v="216"/>
    <m/>
    <s v="000252"/>
    <s v="000132"/>
    <n v="108.28"/>
    <s v="0,00"/>
    <s v="0,00"/>
    <s v="0,00"/>
    <s v="0,00"/>
    <s v="ORC2022_2"/>
    <s v="0012"/>
    <m/>
    <m/>
    <m/>
    <m/>
    <m/>
  </r>
  <r>
    <s v="DESPESAS GERAIS"/>
    <x v="8"/>
    <x v="17"/>
    <n v="463.81"/>
    <s v="0000000127"/>
    <s v="3121"/>
    <d v="2022-10-01T00:00:00"/>
    <s v="330409"/>
    <s v="204"/>
    <s v="90"/>
    <s v="Credito"/>
    <x v="2"/>
    <x v="216"/>
    <m/>
    <s v="000252"/>
    <s v="000132"/>
    <n v="463.81"/>
    <s v="0,00"/>
    <s v="0,00"/>
    <s v="0,00"/>
    <s v="0,00"/>
    <s v="ORC2022_2"/>
    <s v="0012"/>
    <m/>
    <m/>
    <m/>
    <m/>
    <m/>
  </r>
  <r>
    <s v="DESPESAS GERAIS"/>
    <x v="8"/>
    <x v="17"/>
    <n v="5.0999999999999996"/>
    <s v="0000000127"/>
    <s v="3122"/>
    <d v="2022-10-01T00:00:00"/>
    <s v="330409"/>
    <s v="208"/>
    <s v="90"/>
    <s v="Credito"/>
    <x v="2"/>
    <x v="216"/>
    <m/>
    <s v="000252"/>
    <s v="000132"/>
    <n v="5.0999999999999996"/>
    <s v="0,00"/>
    <s v="0,00"/>
    <s v="0,00"/>
    <s v="0,00"/>
    <s v="ORC2022_2"/>
    <s v="0012"/>
    <m/>
    <m/>
    <m/>
    <m/>
    <m/>
  </r>
  <r>
    <s v="DESPESAS GERAIS"/>
    <x v="8"/>
    <x v="17"/>
    <n v="808.16"/>
    <s v="0000000127"/>
    <s v="3123"/>
    <d v="2022-10-01T00:00:00"/>
    <s v="330409"/>
    <s v="209"/>
    <s v="90"/>
    <s v="Credito"/>
    <x v="2"/>
    <x v="216"/>
    <m/>
    <s v="000252"/>
    <s v="000132"/>
    <n v="808.16"/>
    <s v="0,00"/>
    <s v="0,00"/>
    <s v="0,00"/>
    <s v="0,00"/>
    <s v="ORC2022_2"/>
    <s v="0012"/>
    <m/>
    <m/>
    <m/>
    <m/>
    <m/>
  </r>
  <r>
    <s v="DESPESAS GERAIS"/>
    <x v="8"/>
    <x v="17"/>
    <n v="328.2"/>
    <s v="0000000127"/>
    <s v="3124"/>
    <d v="2022-10-01T00:00:00"/>
    <s v="330409"/>
    <s v="210"/>
    <s v="90"/>
    <s v="Credito"/>
    <x v="2"/>
    <x v="216"/>
    <m/>
    <s v="000252"/>
    <s v="000132"/>
    <n v="328.2"/>
    <s v="0,00"/>
    <s v="0,00"/>
    <s v="0,00"/>
    <s v="0,00"/>
    <s v="ORC2022_2"/>
    <s v="0012"/>
    <m/>
    <m/>
    <m/>
    <m/>
    <m/>
  </r>
  <r>
    <s v="DESPESAS GERAIS"/>
    <x v="8"/>
    <x v="0"/>
    <n v="173.26"/>
    <s v="0000000127"/>
    <s v="3125"/>
    <d v="2022-11-01T00:00:00"/>
    <s v="330409"/>
    <s v="206"/>
    <s v="11"/>
    <s v="Credito"/>
    <x v="2"/>
    <x v="216"/>
    <m/>
    <s v="000252"/>
    <s v="000132"/>
    <n v="173.26"/>
    <s v="0,00"/>
    <s v="0,00"/>
    <s v="0,00"/>
    <s v="0,00"/>
    <s v="ORC2022_2"/>
    <s v="0012"/>
    <m/>
    <m/>
    <m/>
    <m/>
    <m/>
  </r>
  <r>
    <s v="DESPESAS GERAIS"/>
    <x v="8"/>
    <x v="0"/>
    <n v="5541.18"/>
    <s v="0000000127"/>
    <s v="3126"/>
    <d v="2022-11-01T00:00:00"/>
    <s v="330409"/>
    <s v="305"/>
    <s v="21"/>
    <s v="Credito"/>
    <x v="2"/>
    <x v="216"/>
    <m/>
    <s v="000252"/>
    <s v="000132"/>
    <n v="5541.18"/>
    <s v="0,00"/>
    <s v="0,00"/>
    <s v="0,00"/>
    <s v="0,00"/>
    <s v="ORC2022_2"/>
    <s v="0012"/>
    <m/>
    <m/>
    <m/>
    <m/>
    <m/>
  </r>
  <r>
    <s v="DESPESAS GERAIS"/>
    <x v="8"/>
    <x v="0"/>
    <n v="1995.5"/>
    <s v="0000000127"/>
    <s v="3127"/>
    <d v="2022-11-01T00:00:00"/>
    <s v="330409"/>
    <s v="211"/>
    <s v="51"/>
    <s v="Credito"/>
    <x v="2"/>
    <x v="216"/>
    <m/>
    <s v="000252"/>
    <s v="000132"/>
    <n v="1995.5"/>
    <s v="0,00"/>
    <s v="0,00"/>
    <s v="0,00"/>
    <s v="0,00"/>
    <s v="ORC2022_2"/>
    <s v="0012"/>
    <m/>
    <m/>
    <m/>
    <m/>
    <m/>
  </r>
  <r>
    <s v="DESPESAS GERAIS"/>
    <x v="8"/>
    <x v="0"/>
    <n v="4649.25"/>
    <s v="0000000127"/>
    <s v="3128"/>
    <d v="2022-11-01T00:00:00"/>
    <s v="330409"/>
    <s v="201"/>
    <s v="90"/>
    <s v="Credito"/>
    <x v="2"/>
    <x v="216"/>
    <m/>
    <s v="000252"/>
    <s v="000132"/>
    <n v="4649.25"/>
    <s v="0,00"/>
    <s v="0,00"/>
    <s v="0,00"/>
    <s v="0,00"/>
    <s v="ORC2022_2"/>
    <s v="0012"/>
    <m/>
    <m/>
    <m/>
    <m/>
    <m/>
  </r>
  <r>
    <s v="DESPESAS GERAIS"/>
    <x v="8"/>
    <x v="0"/>
    <n v="109.36"/>
    <s v="0000000127"/>
    <s v="3129"/>
    <d v="2022-11-01T00:00:00"/>
    <s v="330409"/>
    <s v="203"/>
    <s v="90"/>
    <s v="Credito"/>
    <x v="2"/>
    <x v="216"/>
    <m/>
    <s v="000252"/>
    <s v="000132"/>
    <n v="109.36"/>
    <s v="0,00"/>
    <s v="0,00"/>
    <s v="0,00"/>
    <s v="0,00"/>
    <s v="ORC2022_2"/>
    <s v="0012"/>
    <m/>
    <m/>
    <m/>
    <m/>
    <m/>
  </r>
  <r>
    <s v="DESPESAS GERAIS"/>
    <x v="8"/>
    <x v="0"/>
    <n v="468.45"/>
    <s v="0000000127"/>
    <s v="3130"/>
    <d v="2022-11-01T00:00:00"/>
    <s v="330409"/>
    <s v="204"/>
    <s v="90"/>
    <s v="Credito"/>
    <x v="2"/>
    <x v="216"/>
    <m/>
    <s v="000252"/>
    <s v="000132"/>
    <n v="468.45"/>
    <s v="0,00"/>
    <s v="0,00"/>
    <s v="0,00"/>
    <s v="0,00"/>
    <s v="ORC2022_2"/>
    <s v="0012"/>
    <m/>
    <m/>
    <m/>
    <m/>
    <m/>
  </r>
  <r>
    <s v="DESPESAS GERAIS"/>
    <x v="8"/>
    <x v="0"/>
    <n v="5.15"/>
    <s v="0000000127"/>
    <s v="3131"/>
    <d v="2022-11-01T00:00:00"/>
    <s v="330409"/>
    <s v="208"/>
    <s v="90"/>
    <s v="Credito"/>
    <x v="2"/>
    <x v="216"/>
    <m/>
    <s v="000252"/>
    <s v="000132"/>
    <n v="5.15"/>
    <s v="0,00"/>
    <s v="0,00"/>
    <s v="0,00"/>
    <s v="0,00"/>
    <s v="ORC2022_2"/>
    <s v="0012"/>
    <m/>
    <m/>
    <m/>
    <m/>
    <m/>
  </r>
  <r>
    <s v="DESPESAS GERAIS"/>
    <x v="8"/>
    <x v="0"/>
    <n v="816.24"/>
    <s v="0000000127"/>
    <s v="3132"/>
    <d v="2022-11-01T00:00:00"/>
    <s v="330409"/>
    <s v="209"/>
    <s v="90"/>
    <s v="Credito"/>
    <x v="2"/>
    <x v="216"/>
    <m/>
    <s v="000252"/>
    <s v="000132"/>
    <n v="816.24"/>
    <s v="0,00"/>
    <s v="0,00"/>
    <s v="0,00"/>
    <s v="0,00"/>
    <s v="ORC2022_2"/>
    <s v="0012"/>
    <m/>
    <m/>
    <m/>
    <m/>
    <m/>
  </r>
  <r>
    <s v="DESPESAS GERAIS"/>
    <x v="8"/>
    <x v="0"/>
    <n v="331.48"/>
    <s v="0000000127"/>
    <s v="3133"/>
    <d v="2022-11-01T00:00:00"/>
    <s v="330409"/>
    <s v="210"/>
    <s v="90"/>
    <s v="Credito"/>
    <x v="2"/>
    <x v="216"/>
    <m/>
    <s v="000252"/>
    <s v="000132"/>
    <n v="331.48"/>
    <s v="0,00"/>
    <s v="0,00"/>
    <s v="0,00"/>
    <s v="0,00"/>
    <s v="ORC2022_2"/>
    <s v="0012"/>
    <m/>
    <m/>
    <m/>
    <m/>
    <m/>
  </r>
  <r>
    <s v="DESPESAS GERAIS"/>
    <x v="8"/>
    <x v="1"/>
    <n v="175"/>
    <s v="0000000127"/>
    <s v="3134"/>
    <d v="2022-12-01T00:00:00"/>
    <s v="330409"/>
    <s v="206"/>
    <s v="11"/>
    <s v="Credito"/>
    <x v="2"/>
    <x v="216"/>
    <m/>
    <s v="000252"/>
    <s v="000132"/>
    <n v="175"/>
    <s v="0,00"/>
    <s v="0,00"/>
    <s v="0,00"/>
    <s v="0,00"/>
    <s v="ORC2022_2"/>
    <s v="0012"/>
    <m/>
    <m/>
    <m/>
    <m/>
    <m/>
  </r>
  <r>
    <s v="DESPESAS GERAIS"/>
    <x v="8"/>
    <x v="1"/>
    <n v="5596.6"/>
    <s v="0000000127"/>
    <s v="3135"/>
    <d v="2022-12-01T00:00:00"/>
    <s v="330409"/>
    <s v="305"/>
    <s v="21"/>
    <s v="Credito"/>
    <x v="2"/>
    <x v="216"/>
    <m/>
    <s v="000252"/>
    <s v="000132"/>
    <n v="5596.6"/>
    <s v="0,00"/>
    <s v="0,00"/>
    <s v="0,00"/>
    <s v="0,00"/>
    <s v="ORC2022_2"/>
    <s v="0012"/>
    <m/>
    <m/>
    <m/>
    <m/>
    <m/>
  </r>
  <r>
    <s v="DESPESAS GERAIS"/>
    <x v="8"/>
    <x v="1"/>
    <n v="2015.45"/>
    <s v="0000000127"/>
    <s v="3136"/>
    <d v="2022-12-01T00:00:00"/>
    <s v="330409"/>
    <s v="211"/>
    <s v="51"/>
    <s v="Credito"/>
    <x v="2"/>
    <x v="216"/>
    <m/>
    <s v="000252"/>
    <s v="000132"/>
    <n v="2015.45"/>
    <s v="0,00"/>
    <s v="0,00"/>
    <s v="0,00"/>
    <s v="0,00"/>
    <s v="ORC2022_2"/>
    <s v="0012"/>
    <m/>
    <m/>
    <m/>
    <m/>
    <m/>
  </r>
  <r>
    <s v="DESPESAS GERAIS"/>
    <x v="8"/>
    <x v="1"/>
    <n v="4695.74"/>
    <s v="0000000127"/>
    <s v="3137"/>
    <d v="2022-12-01T00:00:00"/>
    <s v="330409"/>
    <s v="201"/>
    <s v="90"/>
    <s v="Credito"/>
    <x v="2"/>
    <x v="216"/>
    <m/>
    <s v="000252"/>
    <s v="000132"/>
    <n v="4695.74"/>
    <s v="0,00"/>
    <s v="0,00"/>
    <s v="0,00"/>
    <s v="0,00"/>
    <s v="ORC2022_2"/>
    <s v="0012"/>
    <m/>
    <m/>
    <m/>
    <m/>
    <m/>
  </r>
  <r>
    <s v="DESPESAS GERAIS"/>
    <x v="8"/>
    <x v="1"/>
    <n v="110.46"/>
    <s v="0000000127"/>
    <s v="3138"/>
    <d v="2022-12-01T00:00:00"/>
    <s v="330409"/>
    <s v="203"/>
    <s v="90"/>
    <s v="Credito"/>
    <x v="2"/>
    <x v="216"/>
    <m/>
    <s v="000252"/>
    <s v="000132"/>
    <n v="110.46"/>
    <s v="0,00"/>
    <s v="0,00"/>
    <s v="0,00"/>
    <s v="0,00"/>
    <s v="ORC2022_2"/>
    <s v="0012"/>
    <m/>
    <m/>
    <m/>
    <m/>
    <m/>
  </r>
  <r>
    <s v="DESPESAS GERAIS"/>
    <x v="8"/>
    <x v="1"/>
    <n v="473.13"/>
    <s v="0000000127"/>
    <s v="3139"/>
    <d v="2022-12-01T00:00:00"/>
    <s v="330409"/>
    <s v="204"/>
    <s v="90"/>
    <s v="Credito"/>
    <x v="2"/>
    <x v="216"/>
    <m/>
    <s v="000252"/>
    <s v="000132"/>
    <n v="473.13"/>
    <s v="0,00"/>
    <s v="0,00"/>
    <s v="0,00"/>
    <s v="0,00"/>
    <s v="ORC2022_2"/>
    <s v="0012"/>
    <m/>
    <m/>
    <m/>
    <m/>
    <m/>
  </r>
  <r>
    <s v="DESPESAS GERAIS"/>
    <x v="8"/>
    <x v="1"/>
    <n v="5.2"/>
    <s v="0000000127"/>
    <s v="3140"/>
    <d v="2022-12-01T00:00:00"/>
    <s v="330409"/>
    <s v="208"/>
    <s v="90"/>
    <s v="Credito"/>
    <x v="2"/>
    <x v="216"/>
    <m/>
    <s v="000252"/>
    <s v="000132"/>
    <n v="5.2"/>
    <s v="0,00"/>
    <s v="0,00"/>
    <s v="0,00"/>
    <s v="0,00"/>
    <s v="ORC2022_2"/>
    <s v="0012"/>
    <m/>
    <m/>
    <m/>
    <m/>
    <m/>
  </r>
  <r>
    <s v="DESPESAS GERAIS"/>
    <x v="8"/>
    <x v="1"/>
    <n v="824.41"/>
    <s v="0000000127"/>
    <s v="3141"/>
    <d v="2022-12-01T00:00:00"/>
    <s v="330409"/>
    <s v="209"/>
    <s v="90"/>
    <s v="Credito"/>
    <x v="2"/>
    <x v="216"/>
    <m/>
    <s v="000252"/>
    <s v="000132"/>
    <n v="824.41"/>
    <s v="0,00"/>
    <s v="0,00"/>
    <s v="0,00"/>
    <s v="0,00"/>
    <s v="ORC2022_2"/>
    <s v="0012"/>
    <m/>
    <m/>
    <m/>
    <m/>
    <m/>
  </r>
  <r>
    <s v="DESPESAS GERAIS"/>
    <x v="8"/>
    <x v="1"/>
    <n v="334.8"/>
    <s v="0000000127"/>
    <s v="3142"/>
    <d v="2022-12-01T00:00:00"/>
    <s v="330409"/>
    <s v="210"/>
    <s v="90"/>
    <s v="Credito"/>
    <x v="2"/>
    <x v="216"/>
    <m/>
    <s v="000252"/>
    <s v="000132"/>
    <n v="334.8"/>
    <s v="0,00"/>
    <s v="0,00"/>
    <s v="0,00"/>
    <s v="0,00"/>
    <s v="ORC2022_2"/>
    <s v="0012"/>
    <m/>
    <m/>
    <m/>
    <m/>
    <m/>
  </r>
  <r>
    <s v="MARKETING"/>
    <x v="64"/>
    <x v="10"/>
    <n v="30"/>
    <s v="0000000127"/>
    <s v="3143"/>
    <d v="2022-03-01T00:00:00"/>
    <s v="330410"/>
    <s v="101"/>
    <s v="90"/>
    <s v="Credito"/>
    <x v="2"/>
    <x v="216"/>
    <m/>
    <s v="000252"/>
    <s v="000132"/>
    <n v="30"/>
    <s v="0,00"/>
    <s v="0,00"/>
    <s v="0,00"/>
    <s v="0,00"/>
    <s v="ORC2022_2"/>
    <s v="0012"/>
    <m/>
    <m/>
    <m/>
    <m/>
    <m/>
  </r>
  <r>
    <s v="MARKETING"/>
    <x v="64"/>
    <x v="10"/>
    <n v="5756"/>
    <s v="0000000127"/>
    <s v="3144"/>
    <d v="2022-03-01T00:00:00"/>
    <s v="330410"/>
    <s v="201"/>
    <s v="90"/>
    <s v="Credito"/>
    <x v="2"/>
    <x v="216"/>
    <m/>
    <s v="000252"/>
    <s v="000132"/>
    <n v="5756"/>
    <s v="0,00"/>
    <s v="0,00"/>
    <s v="0,00"/>
    <s v="0,00"/>
    <s v="ORC2022_2"/>
    <s v="0012"/>
    <m/>
    <m/>
    <m/>
    <m/>
    <m/>
  </r>
  <r>
    <s v="MARKETING"/>
    <x v="64"/>
    <x v="14"/>
    <n v="5454.82"/>
    <s v="0000000127"/>
    <s v="3145"/>
    <d v="2022-07-01T00:00:00"/>
    <s v="330410"/>
    <s v="201"/>
    <s v="90"/>
    <s v="Credito"/>
    <x v="2"/>
    <x v="216"/>
    <m/>
    <s v="000252"/>
    <s v="000132"/>
    <n v="5454.82"/>
    <s v="0,00"/>
    <s v="0,00"/>
    <s v="0,00"/>
    <s v="0,00"/>
    <s v="ORC2022_2"/>
    <s v="0012"/>
    <m/>
    <m/>
    <m/>
    <m/>
    <m/>
  </r>
  <r>
    <s v="MARKETING"/>
    <x v="64"/>
    <x v="14"/>
    <n v="5920"/>
    <s v="0000000127"/>
    <s v="3146"/>
    <d v="2022-07-01T00:00:00"/>
    <s v="330410"/>
    <s v="202"/>
    <s v="90"/>
    <s v="Credito"/>
    <x v="2"/>
    <x v="216"/>
    <m/>
    <s v="000252"/>
    <s v="000132"/>
    <n v="5920"/>
    <s v="0,00"/>
    <s v="0,00"/>
    <s v="0,00"/>
    <s v="0,00"/>
    <s v="ORC2022_2"/>
    <s v="0012"/>
    <m/>
    <m/>
    <m/>
    <m/>
    <m/>
  </r>
  <r>
    <s v="MARKETING"/>
    <x v="64"/>
    <x v="15"/>
    <n v="13598"/>
    <s v="0000000127"/>
    <s v="3147"/>
    <d v="2022-08-01T00:00:00"/>
    <s v="330410"/>
    <s v="201"/>
    <s v="90"/>
    <s v="Credito"/>
    <x v="2"/>
    <x v="216"/>
    <m/>
    <s v="000252"/>
    <s v="000132"/>
    <n v="13598"/>
    <s v="0,00"/>
    <s v="0,00"/>
    <s v="0,00"/>
    <s v="0,00"/>
    <s v="ORC2022_2"/>
    <s v="0012"/>
    <m/>
    <m/>
    <m/>
    <m/>
    <m/>
  </r>
  <r>
    <s v="DEPRECIACOES E AMORTIZACOES"/>
    <x v="65"/>
    <x v="8"/>
    <n v="20741.669999999998"/>
    <s v="0000000127"/>
    <s v="3148"/>
    <d v="2022-01-01T00:00:00"/>
    <s v="330501"/>
    <s v="101"/>
    <s v="90"/>
    <s v="Credito"/>
    <x v="2"/>
    <x v="216"/>
    <m/>
    <s v="000252"/>
    <s v="000132"/>
    <n v="20741.669999999998"/>
    <s v="0,00"/>
    <s v="0,00"/>
    <s v="0,00"/>
    <s v="0,00"/>
    <s v="ORC2022_2"/>
    <s v="0012"/>
    <m/>
    <m/>
    <m/>
    <m/>
    <m/>
  </r>
  <r>
    <s v="DEPRECIACOES E AMORTIZACOES"/>
    <x v="65"/>
    <x v="8"/>
    <n v="20288.09"/>
    <s v="0000000127"/>
    <s v="3149"/>
    <d v="2022-01-01T00:00:00"/>
    <s v="330501"/>
    <s v="201"/>
    <s v="90"/>
    <s v="Credito"/>
    <x v="2"/>
    <x v="216"/>
    <m/>
    <s v="000252"/>
    <s v="000132"/>
    <n v="20288.09"/>
    <s v="0,00"/>
    <s v="0,00"/>
    <s v="0,00"/>
    <s v="0,00"/>
    <s v="ORC2022_2"/>
    <s v="0012"/>
    <m/>
    <m/>
    <m/>
    <m/>
    <m/>
  </r>
  <r>
    <s v="DEPRECIACOES E AMORTIZACOES"/>
    <x v="65"/>
    <x v="8"/>
    <n v="2.85"/>
    <s v="0000000127"/>
    <s v="3150"/>
    <d v="2022-01-01T00:00:00"/>
    <s v="330501"/>
    <s v="204"/>
    <s v="90"/>
    <s v="Credito"/>
    <x v="2"/>
    <x v="216"/>
    <m/>
    <s v="000252"/>
    <s v="000132"/>
    <n v="2.85"/>
    <s v="0,00"/>
    <s v="0,00"/>
    <s v="0,00"/>
    <s v="0,00"/>
    <s v="ORC2022_2"/>
    <s v="0012"/>
    <m/>
    <m/>
    <m/>
    <m/>
    <m/>
  </r>
  <r>
    <s v="DEPRECIACOES E AMORTIZACOES"/>
    <x v="65"/>
    <x v="8"/>
    <n v="206.95"/>
    <s v="0000000127"/>
    <s v="3151"/>
    <d v="2022-01-01T00:00:00"/>
    <s v="330501"/>
    <s v="208"/>
    <s v="90"/>
    <s v="Credito"/>
    <x v="2"/>
    <x v="216"/>
    <m/>
    <s v="000252"/>
    <s v="000132"/>
    <n v="206.95"/>
    <s v="0,00"/>
    <s v="0,00"/>
    <s v="0,00"/>
    <s v="0,00"/>
    <s v="ORC2022_2"/>
    <s v="0012"/>
    <m/>
    <m/>
    <m/>
    <m/>
    <m/>
  </r>
  <r>
    <s v="DEPRECIACOES E AMORTIZACOES"/>
    <x v="65"/>
    <x v="8"/>
    <n v="51.25"/>
    <s v="0000000127"/>
    <s v="3152"/>
    <d v="2022-01-01T00:00:00"/>
    <s v="330501"/>
    <s v="209"/>
    <s v="90"/>
    <s v="Credito"/>
    <x v="2"/>
    <x v="216"/>
    <m/>
    <s v="000252"/>
    <s v="000132"/>
    <n v="51.25"/>
    <s v="0,00"/>
    <s v="0,00"/>
    <s v="0,00"/>
    <s v="0,00"/>
    <s v="ORC2022_2"/>
    <s v="0012"/>
    <m/>
    <m/>
    <m/>
    <m/>
    <m/>
  </r>
  <r>
    <s v="DEPRECIACOES E AMORTIZACOES"/>
    <x v="65"/>
    <x v="8"/>
    <n v="64.17"/>
    <s v="0000000127"/>
    <s v="3153"/>
    <d v="2022-01-01T00:00:00"/>
    <s v="330501"/>
    <s v="301"/>
    <s v="90"/>
    <s v="Credito"/>
    <x v="2"/>
    <x v="216"/>
    <m/>
    <s v="000252"/>
    <s v="000132"/>
    <n v="64.17"/>
    <s v="0,00"/>
    <s v="0,00"/>
    <s v="0,00"/>
    <s v="0,00"/>
    <s v="ORC2022_2"/>
    <s v="0012"/>
    <m/>
    <m/>
    <m/>
    <m/>
    <m/>
  </r>
  <r>
    <s v="DEPRECIACOES E AMORTIZACOES"/>
    <x v="65"/>
    <x v="9"/>
    <n v="20808.84"/>
    <s v="0000000127"/>
    <s v="3154"/>
    <d v="2022-02-01T00:00:00"/>
    <s v="330501"/>
    <s v="101"/>
    <s v="90"/>
    <s v="Credito"/>
    <x v="2"/>
    <x v="216"/>
    <m/>
    <s v="000252"/>
    <s v="000132"/>
    <n v="20808.84"/>
    <s v="0,00"/>
    <s v="0,00"/>
    <s v="0,00"/>
    <s v="0,00"/>
    <s v="ORC2022_2"/>
    <s v="0012"/>
    <m/>
    <m/>
    <m/>
    <m/>
    <m/>
  </r>
  <r>
    <s v="DEPRECIACOES E AMORTIZACOES"/>
    <x v="65"/>
    <x v="9"/>
    <n v="20273.25"/>
    <s v="0000000127"/>
    <s v="3155"/>
    <d v="2022-02-01T00:00:00"/>
    <s v="330501"/>
    <s v="201"/>
    <s v="90"/>
    <s v="Credito"/>
    <x v="2"/>
    <x v="216"/>
    <m/>
    <s v="000252"/>
    <s v="000132"/>
    <n v="20273.25"/>
    <s v="0,00"/>
    <s v="0,00"/>
    <s v="0,00"/>
    <s v="0,00"/>
    <s v="ORC2022_2"/>
    <s v="0012"/>
    <m/>
    <m/>
    <m/>
    <m/>
    <m/>
  </r>
  <r>
    <s v="DEPRECIACOES E AMORTIZACOES"/>
    <x v="65"/>
    <x v="9"/>
    <n v="28.54"/>
    <s v="0000000127"/>
    <s v="3156"/>
    <d v="2022-02-01T00:00:00"/>
    <s v="330501"/>
    <s v="204"/>
    <s v="90"/>
    <s v="Credito"/>
    <x v="2"/>
    <x v="216"/>
    <m/>
    <s v="000252"/>
    <s v="000132"/>
    <n v="28.54"/>
    <s v="0,00"/>
    <s v="0,00"/>
    <s v="0,00"/>
    <s v="0,00"/>
    <s v="ORC2022_2"/>
    <s v="0012"/>
    <m/>
    <m/>
    <m/>
    <m/>
    <m/>
  </r>
  <r>
    <s v="DEPRECIACOES E AMORTIZACOES"/>
    <x v="65"/>
    <x v="9"/>
    <n v="209.09"/>
    <s v="0000000127"/>
    <s v="3157"/>
    <d v="2022-02-01T00:00:00"/>
    <s v="330501"/>
    <s v="208"/>
    <s v="90"/>
    <s v="Credito"/>
    <x v="2"/>
    <x v="216"/>
    <m/>
    <s v="000252"/>
    <s v="000132"/>
    <n v="209.09"/>
    <s v="0,00"/>
    <s v="0,00"/>
    <s v="0,00"/>
    <s v="0,00"/>
    <s v="ORC2022_2"/>
    <s v="0012"/>
    <m/>
    <m/>
    <m/>
    <m/>
    <m/>
  </r>
  <r>
    <s v="DEPRECIACOES E AMORTIZACOES"/>
    <x v="65"/>
    <x v="9"/>
    <n v="51.25"/>
    <s v="0000000127"/>
    <s v="3158"/>
    <d v="2022-02-01T00:00:00"/>
    <s v="330501"/>
    <s v="209"/>
    <s v="90"/>
    <s v="Credito"/>
    <x v="2"/>
    <x v="216"/>
    <m/>
    <s v="000252"/>
    <s v="000132"/>
    <n v="51.25"/>
    <s v="0,00"/>
    <s v="0,00"/>
    <s v="0,00"/>
    <s v="0,00"/>
    <s v="ORC2022_2"/>
    <s v="0012"/>
    <m/>
    <m/>
    <m/>
    <m/>
    <m/>
  </r>
  <r>
    <s v="DEPRECIACOES E AMORTIZACOES"/>
    <x v="65"/>
    <x v="9"/>
    <n v="64.17"/>
    <s v="0000000127"/>
    <s v="3159"/>
    <d v="2022-02-01T00:00:00"/>
    <s v="330501"/>
    <s v="301"/>
    <s v="90"/>
    <s v="Credito"/>
    <x v="2"/>
    <x v="216"/>
    <m/>
    <s v="000252"/>
    <s v="000132"/>
    <n v="64.17"/>
    <s v="0,00"/>
    <s v="0,00"/>
    <s v="0,00"/>
    <s v="0,00"/>
    <s v="ORC2022_2"/>
    <s v="0012"/>
    <m/>
    <m/>
    <m/>
    <m/>
    <m/>
  </r>
  <r>
    <s v="DEPRECIACOES E AMORTIZACOES"/>
    <x v="65"/>
    <x v="10"/>
    <n v="20812.240000000002"/>
    <s v="0000000127"/>
    <s v="3160"/>
    <d v="2022-03-01T00:00:00"/>
    <s v="330501"/>
    <s v="101"/>
    <s v="90"/>
    <s v="Credito"/>
    <x v="2"/>
    <x v="216"/>
    <m/>
    <s v="000252"/>
    <s v="000132"/>
    <n v="20812.240000000002"/>
    <s v="0,00"/>
    <s v="0,00"/>
    <s v="0,00"/>
    <s v="0,00"/>
    <s v="ORC2022_2"/>
    <s v="0012"/>
    <m/>
    <m/>
    <m/>
    <m/>
    <m/>
  </r>
  <r>
    <s v="DEPRECIACOES E AMORTIZACOES"/>
    <x v="65"/>
    <x v="10"/>
    <n v="20221.41"/>
    <s v="0000000127"/>
    <s v="3161"/>
    <d v="2022-03-01T00:00:00"/>
    <s v="330501"/>
    <s v="201"/>
    <s v="90"/>
    <s v="Credito"/>
    <x v="2"/>
    <x v="216"/>
    <m/>
    <s v="000252"/>
    <s v="000132"/>
    <n v="20221.41"/>
    <s v="0,00"/>
    <s v="0,00"/>
    <s v="0,00"/>
    <s v="0,00"/>
    <s v="ORC2022_2"/>
    <s v="0012"/>
    <m/>
    <m/>
    <m/>
    <m/>
    <m/>
  </r>
  <r>
    <s v="DEPRECIACOES E AMORTIZACOES"/>
    <x v="65"/>
    <x v="10"/>
    <n v="28.54"/>
    <s v="0000000127"/>
    <s v="3162"/>
    <d v="2022-03-01T00:00:00"/>
    <s v="330501"/>
    <s v="204"/>
    <s v="90"/>
    <s v="Credito"/>
    <x v="2"/>
    <x v="216"/>
    <m/>
    <s v="000252"/>
    <s v="000132"/>
    <n v="28.54"/>
    <s v="0,00"/>
    <s v="0,00"/>
    <s v="0,00"/>
    <s v="0,00"/>
    <s v="ORC2022_2"/>
    <s v="0012"/>
    <m/>
    <m/>
    <m/>
    <m/>
    <m/>
  </r>
  <r>
    <s v="DEPRECIACOES E AMORTIZACOES"/>
    <x v="65"/>
    <x v="10"/>
    <n v="266.89999999999998"/>
    <s v="0000000127"/>
    <s v="3163"/>
    <d v="2022-03-01T00:00:00"/>
    <s v="330501"/>
    <s v="208"/>
    <s v="90"/>
    <s v="Credito"/>
    <x v="2"/>
    <x v="216"/>
    <m/>
    <s v="000252"/>
    <s v="000132"/>
    <n v="266.89999999999998"/>
    <s v="0,00"/>
    <s v="0,00"/>
    <s v="0,00"/>
    <s v="0,00"/>
    <s v="ORC2022_2"/>
    <s v="0012"/>
    <m/>
    <m/>
    <m/>
    <m/>
    <m/>
  </r>
  <r>
    <s v="DEPRECIACOES E AMORTIZACOES"/>
    <x v="65"/>
    <x v="10"/>
    <n v="51.25"/>
    <s v="0000000127"/>
    <s v="3164"/>
    <d v="2022-03-01T00:00:00"/>
    <s v="330501"/>
    <s v="209"/>
    <s v="90"/>
    <s v="Credito"/>
    <x v="2"/>
    <x v="216"/>
    <m/>
    <s v="000252"/>
    <s v="000132"/>
    <n v="51.25"/>
    <s v="0,00"/>
    <s v="0,00"/>
    <s v="0,00"/>
    <s v="0,00"/>
    <s v="ORC2022_2"/>
    <s v="0012"/>
    <m/>
    <m/>
    <m/>
    <m/>
    <m/>
  </r>
  <r>
    <s v="DEPRECIACOES E AMORTIZACOES"/>
    <x v="65"/>
    <x v="10"/>
    <n v="64.17"/>
    <s v="0000000127"/>
    <s v="3165"/>
    <d v="2022-03-01T00:00:00"/>
    <s v="330501"/>
    <s v="301"/>
    <s v="90"/>
    <s v="Credito"/>
    <x v="2"/>
    <x v="216"/>
    <m/>
    <s v="000252"/>
    <s v="000132"/>
    <n v="64.17"/>
    <s v="0,00"/>
    <s v="0,00"/>
    <s v="0,00"/>
    <s v="0,00"/>
    <s v="ORC2022_2"/>
    <s v="0012"/>
    <m/>
    <m/>
    <m/>
    <m/>
    <m/>
  </r>
  <r>
    <s v="DEPRECIACOES E AMORTIZACOES"/>
    <x v="65"/>
    <x v="11"/>
    <n v="20915.53"/>
    <s v="0000000127"/>
    <s v="3166"/>
    <d v="2022-04-01T00:00:00"/>
    <s v="330501"/>
    <s v="101"/>
    <s v="90"/>
    <s v="Credito"/>
    <x v="2"/>
    <x v="216"/>
    <m/>
    <s v="000252"/>
    <s v="000132"/>
    <n v="20915.53"/>
    <s v="0,00"/>
    <s v="0,00"/>
    <s v="0,00"/>
    <s v="0,00"/>
    <s v="ORC2022_2"/>
    <s v="0012"/>
    <m/>
    <m/>
    <m/>
    <m/>
    <m/>
  </r>
  <r>
    <s v="DEPRECIACOES E AMORTIZACOES"/>
    <x v="65"/>
    <x v="11"/>
    <n v="20123.73"/>
    <s v="0000000127"/>
    <s v="3167"/>
    <d v="2022-04-01T00:00:00"/>
    <s v="330501"/>
    <s v="201"/>
    <s v="90"/>
    <s v="Credito"/>
    <x v="2"/>
    <x v="216"/>
    <m/>
    <s v="000252"/>
    <s v="000132"/>
    <n v="20123.73"/>
    <s v="0,00"/>
    <s v="0,00"/>
    <s v="0,00"/>
    <s v="0,00"/>
    <s v="ORC2022_2"/>
    <s v="0012"/>
    <m/>
    <m/>
    <m/>
    <m/>
    <m/>
  </r>
  <r>
    <s v="DEPRECIACOES E AMORTIZACOES"/>
    <x v="65"/>
    <x v="11"/>
    <n v="0.56999999999999995"/>
    <s v="0000000127"/>
    <s v="3168"/>
    <d v="2022-04-01T00:00:00"/>
    <s v="330501"/>
    <s v="202"/>
    <s v="90"/>
    <s v="Credito"/>
    <x v="2"/>
    <x v="216"/>
    <m/>
    <s v="000252"/>
    <s v="000132"/>
    <n v="0.56999999999999995"/>
    <s v="0,00"/>
    <s v="0,00"/>
    <s v="0,00"/>
    <s v="0,00"/>
    <s v="ORC2022_2"/>
    <s v="0012"/>
    <m/>
    <m/>
    <m/>
    <m/>
    <m/>
  </r>
  <r>
    <s v="DEPRECIACOES E AMORTIZACOES"/>
    <x v="65"/>
    <x v="11"/>
    <n v="28.54"/>
    <s v="0000000127"/>
    <s v="3169"/>
    <d v="2022-04-01T00:00:00"/>
    <s v="330501"/>
    <s v="204"/>
    <s v="90"/>
    <s v="Credito"/>
    <x v="2"/>
    <x v="216"/>
    <m/>
    <s v="000252"/>
    <s v="000132"/>
    <n v="28.54"/>
    <s v="0,00"/>
    <s v="0,00"/>
    <s v="0,00"/>
    <s v="0,00"/>
    <s v="ORC2022_2"/>
    <s v="0012"/>
    <m/>
    <m/>
    <m/>
    <m/>
    <m/>
  </r>
  <r>
    <s v="DEPRECIACOES E AMORTIZACOES"/>
    <x v="65"/>
    <x v="11"/>
    <n v="266.89999999999998"/>
    <s v="0000000127"/>
    <s v="3170"/>
    <d v="2022-04-01T00:00:00"/>
    <s v="330501"/>
    <s v="208"/>
    <s v="90"/>
    <s v="Credito"/>
    <x v="2"/>
    <x v="216"/>
    <m/>
    <s v="000252"/>
    <s v="000132"/>
    <n v="266.89999999999998"/>
    <s v="0,00"/>
    <s v="0,00"/>
    <s v="0,00"/>
    <s v="0,00"/>
    <s v="ORC2022_2"/>
    <s v="0012"/>
    <m/>
    <m/>
    <m/>
    <m/>
    <m/>
  </r>
  <r>
    <s v="DEPRECIACOES E AMORTIZACOES"/>
    <x v="65"/>
    <x v="11"/>
    <n v="51.25"/>
    <s v="0000000127"/>
    <s v="3171"/>
    <d v="2022-04-01T00:00:00"/>
    <s v="330501"/>
    <s v="209"/>
    <s v="90"/>
    <s v="Credito"/>
    <x v="2"/>
    <x v="216"/>
    <m/>
    <s v="000252"/>
    <s v="000132"/>
    <n v="51.25"/>
    <s v="0,00"/>
    <s v="0,00"/>
    <s v="0,00"/>
    <s v="0,00"/>
    <s v="ORC2022_2"/>
    <s v="0012"/>
    <m/>
    <m/>
    <m/>
    <m/>
    <m/>
  </r>
  <r>
    <s v="DEPRECIACOES E AMORTIZACOES"/>
    <x v="65"/>
    <x v="11"/>
    <n v="64.17"/>
    <s v="0000000127"/>
    <s v="3172"/>
    <d v="2022-04-01T00:00:00"/>
    <s v="330501"/>
    <s v="301"/>
    <s v="90"/>
    <s v="Credito"/>
    <x v="2"/>
    <x v="216"/>
    <m/>
    <s v="000252"/>
    <s v="000132"/>
    <n v="64.17"/>
    <s v="0,00"/>
    <s v="0,00"/>
    <s v="0,00"/>
    <s v="0,00"/>
    <s v="ORC2022_2"/>
    <s v="0012"/>
    <m/>
    <m/>
    <m/>
    <m/>
    <m/>
  </r>
  <r>
    <s v="DEPRECIACOES E AMORTIZACOES"/>
    <x v="65"/>
    <x v="12"/>
    <n v="20951.78"/>
    <s v="0000000127"/>
    <s v="3173"/>
    <d v="2022-05-01T00:00:00"/>
    <s v="330501"/>
    <s v="101"/>
    <s v="90"/>
    <s v="Credito"/>
    <x v="2"/>
    <x v="216"/>
    <m/>
    <s v="000252"/>
    <s v="000132"/>
    <n v="20951.78"/>
    <s v="0,00"/>
    <s v="0,00"/>
    <s v="0,00"/>
    <s v="0,00"/>
    <s v="ORC2022_2"/>
    <s v="0012"/>
    <m/>
    <m/>
    <m/>
    <m/>
    <m/>
  </r>
  <r>
    <s v="DEPRECIACOES E AMORTIZACOES"/>
    <x v="65"/>
    <x v="12"/>
    <n v="20029.72"/>
    <s v="0000000127"/>
    <s v="3174"/>
    <d v="2022-05-01T00:00:00"/>
    <s v="330501"/>
    <s v="201"/>
    <s v="90"/>
    <s v="Credito"/>
    <x v="2"/>
    <x v="216"/>
    <m/>
    <s v="000252"/>
    <s v="000132"/>
    <n v="20029.72"/>
    <s v="0,00"/>
    <s v="0,00"/>
    <s v="0,00"/>
    <s v="0,00"/>
    <s v="ORC2022_2"/>
    <s v="0012"/>
    <m/>
    <m/>
    <m/>
    <m/>
    <m/>
  </r>
  <r>
    <s v="DEPRECIACOES E AMORTIZACOES"/>
    <x v="65"/>
    <x v="12"/>
    <n v="17.079999999999998"/>
    <s v="0000000127"/>
    <s v="3175"/>
    <d v="2022-05-01T00:00:00"/>
    <s v="330501"/>
    <s v="202"/>
    <s v="90"/>
    <s v="Credito"/>
    <x v="2"/>
    <x v="216"/>
    <m/>
    <s v="000252"/>
    <s v="000132"/>
    <n v="17.079999999999998"/>
    <s v="0,00"/>
    <s v="0,00"/>
    <s v="0,00"/>
    <s v="0,00"/>
    <s v="ORC2022_2"/>
    <s v="0012"/>
    <m/>
    <m/>
    <m/>
    <m/>
    <m/>
  </r>
  <r>
    <s v="DEPRECIACOES E AMORTIZACOES"/>
    <x v="65"/>
    <x v="12"/>
    <n v="28.54"/>
    <s v="0000000127"/>
    <s v="3176"/>
    <d v="2022-05-01T00:00:00"/>
    <s v="330501"/>
    <s v="204"/>
    <s v="90"/>
    <s v="Credito"/>
    <x v="2"/>
    <x v="216"/>
    <m/>
    <s v="000252"/>
    <s v="000132"/>
    <n v="28.54"/>
    <s v="0,00"/>
    <s v="0,00"/>
    <s v="0,00"/>
    <s v="0,00"/>
    <s v="ORC2022_2"/>
    <s v="0012"/>
    <m/>
    <m/>
    <m/>
    <m/>
    <m/>
  </r>
  <r>
    <s v="DEPRECIACOES E AMORTIZACOES"/>
    <x v="65"/>
    <x v="12"/>
    <n v="266.89999999999998"/>
    <s v="0000000127"/>
    <s v="3177"/>
    <d v="2022-05-01T00:00:00"/>
    <s v="330501"/>
    <s v="208"/>
    <s v="90"/>
    <s v="Credito"/>
    <x v="2"/>
    <x v="216"/>
    <m/>
    <s v="000252"/>
    <s v="000132"/>
    <n v="266.89999999999998"/>
    <s v="0,00"/>
    <s v="0,00"/>
    <s v="0,00"/>
    <s v="0,00"/>
    <s v="ORC2022_2"/>
    <s v="0012"/>
    <m/>
    <m/>
    <m/>
    <m/>
    <m/>
  </r>
  <r>
    <s v="DEPRECIACOES E AMORTIZACOES"/>
    <x v="65"/>
    <x v="12"/>
    <n v="51.25"/>
    <s v="0000000127"/>
    <s v="3178"/>
    <d v="2022-05-01T00:00:00"/>
    <s v="330501"/>
    <s v="209"/>
    <s v="90"/>
    <s v="Credito"/>
    <x v="2"/>
    <x v="216"/>
    <m/>
    <s v="000252"/>
    <s v="000132"/>
    <n v="51.25"/>
    <s v="0,00"/>
    <s v="0,00"/>
    <s v="0,00"/>
    <s v="0,00"/>
    <s v="ORC2022_2"/>
    <s v="0012"/>
    <m/>
    <m/>
    <m/>
    <m/>
    <m/>
  </r>
  <r>
    <s v="DEPRECIACOES E AMORTIZACOES"/>
    <x v="65"/>
    <x v="12"/>
    <n v="64.17"/>
    <s v="0000000127"/>
    <s v="3179"/>
    <d v="2022-05-01T00:00:00"/>
    <s v="330501"/>
    <s v="301"/>
    <s v="90"/>
    <s v="Credito"/>
    <x v="2"/>
    <x v="216"/>
    <m/>
    <s v="000252"/>
    <s v="000132"/>
    <n v="64.17"/>
    <s v="0,00"/>
    <s v="0,00"/>
    <s v="0,00"/>
    <s v="0,00"/>
    <s v="ORC2022_2"/>
    <s v="0012"/>
    <m/>
    <m/>
    <m/>
    <m/>
    <m/>
  </r>
  <r>
    <s v="DEPRECIACOES E AMORTIZACOES"/>
    <x v="65"/>
    <x v="13"/>
    <n v="20951.78"/>
    <s v="0000000127"/>
    <s v="3180"/>
    <d v="2022-06-01T00:00:00"/>
    <s v="330501"/>
    <s v="101"/>
    <s v="90"/>
    <s v="Credito"/>
    <x v="2"/>
    <x v="216"/>
    <m/>
    <s v="000252"/>
    <s v="000132"/>
    <n v="20951.78"/>
    <s v="0,00"/>
    <s v="0,00"/>
    <s v="0,00"/>
    <s v="0,00"/>
    <s v="ORC2022_2"/>
    <s v="0012"/>
    <m/>
    <m/>
    <m/>
    <m/>
    <m/>
  </r>
  <r>
    <s v="DEPRECIACOES E AMORTIZACOES"/>
    <x v="65"/>
    <x v="13"/>
    <n v="19977.38"/>
    <s v="0000000127"/>
    <s v="3181"/>
    <d v="2022-06-01T00:00:00"/>
    <s v="330501"/>
    <s v="201"/>
    <s v="90"/>
    <s v="Credito"/>
    <x v="2"/>
    <x v="216"/>
    <m/>
    <s v="000252"/>
    <s v="000132"/>
    <n v="19977.38"/>
    <s v="0,00"/>
    <s v="0,00"/>
    <s v="0,00"/>
    <s v="0,00"/>
    <s v="ORC2022_2"/>
    <s v="0012"/>
    <m/>
    <m/>
    <m/>
    <m/>
    <m/>
  </r>
  <r>
    <s v="DEPRECIACOES E AMORTIZACOES"/>
    <x v="65"/>
    <x v="13"/>
    <n v="17.079999999999998"/>
    <s v="0000000127"/>
    <s v="3182"/>
    <d v="2022-06-01T00:00:00"/>
    <s v="330501"/>
    <s v="202"/>
    <s v="90"/>
    <s v="Credito"/>
    <x v="2"/>
    <x v="216"/>
    <m/>
    <s v="000252"/>
    <s v="000132"/>
    <n v="17.079999999999998"/>
    <s v="0,00"/>
    <s v="0,00"/>
    <s v="0,00"/>
    <s v="0,00"/>
    <s v="ORC2022_2"/>
    <s v="0012"/>
    <m/>
    <m/>
    <m/>
    <m/>
    <m/>
  </r>
  <r>
    <s v="DEPRECIACOES E AMORTIZACOES"/>
    <x v="65"/>
    <x v="13"/>
    <n v="28.54"/>
    <s v="0000000127"/>
    <s v="3183"/>
    <d v="2022-06-01T00:00:00"/>
    <s v="330501"/>
    <s v="204"/>
    <s v="90"/>
    <s v="Credito"/>
    <x v="2"/>
    <x v="216"/>
    <m/>
    <s v="000252"/>
    <s v="000132"/>
    <n v="28.54"/>
    <s v="0,00"/>
    <s v="0,00"/>
    <s v="0,00"/>
    <s v="0,00"/>
    <s v="ORC2022_2"/>
    <s v="0012"/>
    <m/>
    <m/>
    <m/>
    <m/>
    <m/>
  </r>
  <r>
    <s v="DEPRECIACOES E AMORTIZACOES"/>
    <x v="65"/>
    <x v="13"/>
    <n v="266.89999999999998"/>
    <s v="0000000127"/>
    <s v="3184"/>
    <d v="2022-06-01T00:00:00"/>
    <s v="330501"/>
    <s v="208"/>
    <s v="90"/>
    <s v="Credito"/>
    <x v="2"/>
    <x v="216"/>
    <m/>
    <s v="000252"/>
    <s v="000132"/>
    <n v="266.89999999999998"/>
    <s v="0,00"/>
    <s v="0,00"/>
    <s v="0,00"/>
    <s v="0,00"/>
    <s v="ORC2022_2"/>
    <s v="0012"/>
    <m/>
    <m/>
    <m/>
    <m/>
    <m/>
  </r>
  <r>
    <s v="DEPRECIACOES E AMORTIZACOES"/>
    <x v="65"/>
    <x v="13"/>
    <n v="51.25"/>
    <s v="0000000127"/>
    <s v="3185"/>
    <d v="2022-06-01T00:00:00"/>
    <s v="330501"/>
    <s v="209"/>
    <s v="90"/>
    <s v="Credito"/>
    <x v="2"/>
    <x v="216"/>
    <m/>
    <s v="000252"/>
    <s v="000132"/>
    <n v="51.25"/>
    <s v="0,00"/>
    <s v="0,00"/>
    <s v="0,00"/>
    <s v="0,00"/>
    <s v="ORC2022_2"/>
    <s v="0012"/>
    <m/>
    <m/>
    <m/>
    <m/>
    <m/>
  </r>
  <r>
    <s v="DEPRECIACOES E AMORTIZACOES"/>
    <x v="65"/>
    <x v="13"/>
    <n v="64.17"/>
    <s v="0000000127"/>
    <s v="3186"/>
    <d v="2022-06-01T00:00:00"/>
    <s v="330501"/>
    <s v="301"/>
    <s v="90"/>
    <s v="Credito"/>
    <x v="2"/>
    <x v="216"/>
    <m/>
    <s v="000252"/>
    <s v="000132"/>
    <n v="64.17"/>
    <s v="0,00"/>
    <s v="0,00"/>
    <s v="0,00"/>
    <s v="0,00"/>
    <s v="ORC2022_2"/>
    <s v="0012"/>
    <m/>
    <m/>
    <m/>
    <m/>
    <m/>
  </r>
  <r>
    <s v="DEPRECIACOES E AMORTIZACOES"/>
    <x v="65"/>
    <x v="14"/>
    <n v="20951.78"/>
    <s v="0000000127"/>
    <s v="3187"/>
    <d v="2022-07-01T00:00:00"/>
    <s v="330501"/>
    <s v="101"/>
    <s v="90"/>
    <s v="Credito"/>
    <x v="2"/>
    <x v="216"/>
    <m/>
    <s v="000252"/>
    <s v="000132"/>
    <n v="20951.78"/>
    <s v="0,00"/>
    <s v="0,00"/>
    <s v="0,00"/>
    <s v="0,00"/>
    <s v="ORC2022_2"/>
    <s v="0012"/>
    <m/>
    <m/>
    <m/>
    <m/>
    <m/>
  </r>
  <r>
    <s v="DEPRECIACOES E AMORTIZACOES"/>
    <x v="65"/>
    <x v="14"/>
    <n v="19985.75"/>
    <s v="0000000127"/>
    <s v="3188"/>
    <d v="2022-07-01T00:00:00"/>
    <s v="330501"/>
    <s v="201"/>
    <s v="90"/>
    <s v="Credito"/>
    <x v="2"/>
    <x v="216"/>
    <m/>
    <s v="000252"/>
    <s v="000132"/>
    <n v="19985.75"/>
    <s v="0,00"/>
    <s v="0,00"/>
    <s v="0,00"/>
    <s v="0,00"/>
    <s v="ORC2022_2"/>
    <s v="0012"/>
    <m/>
    <m/>
    <m/>
    <m/>
    <m/>
  </r>
  <r>
    <s v="DEPRECIACOES E AMORTIZACOES"/>
    <x v="65"/>
    <x v="14"/>
    <n v="17.079999999999998"/>
    <s v="0000000127"/>
    <s v="3189"/>
    <d v="2022-07-01T00:00:00"/>
    <s v="330501"/>
    <s v="202"/>
    <s v="90"/>
    <s v="Credito"/>
    <x v="2"/>
    <x v="216"/>
    <m/>
    <s v="000252"/>
    <s v="000132"/>
    <n v="17.079999999999998"/>
    <s v="0,00"/>
    <s v="0,00"/>
    <s v="0,00"/>
    <s v="0,00"/>
    <s v="ORC2022_2"/>
    <s v="0012"/>
    <m/>
    <m/>
    <m/>
    <m/>
    <m/>
  </r>
  <r>
    <s v="DEPRECIACOES E AMORTIZACOES"/>
    <x v="65"/>
    <x v="14"/>
    <n v="28.54"/>
    <s v="0000000127"/>
    <s v="3190"/>
    <d v="2022-07-01T00:00:00"/>
    <s v="330501"/>
    <s v="204"/>
    <s v="90"/>
    <s v="Credito"/>
    <x v="2"/>
    <x v="216"/>
    <m/>
    <s v="000252"/>
    <s v="000132"/>
    <n v="28.54"/>
    <s v="0,00"/>
    <s v="0,00"/>
    <s v="0,00"/>
    <s v="0,00"/>
    <s v="ORC2022_2"/>
    <s v="0012"/>
    <m/>
    <m/>
    <m/>
    <m/>
    <m/>
  </r>
  <r>
    <s v="DEPRECIACOES E AMORTIZACOES"/>
    <x v="65"/>
    <x v="14"/>
    <n v="271.36"/>
    <s v="0000000127"/>
    <s v="3191"/>
    <d v="2022-07-01T00:00:00"/>
    <s v="330501"/>
    <s v="208"/>
    <s v="90"/>
    <s v="Credito"/>
    <x v="2"/>
    <x v="216"/>
    <m/>
    <s v="000252"/>
    <s v="000132"/>
    <n v="271.36"/>
    <s v="0,00"/>
    <s v="0,00"/>
    <s v="0,00"/>
    <s v="0,00"/>
    <s v="ORC2022_2"/>
    <s v="0012"/>
    <m/>
    <m/>
    <m/>
    <m/>
    <m/>
  </r>
  <r>
    <s v="DEPRECIACOES E AMORTIZACOES"/>
    <x v="65"/>
    <x v="14"/>
    <n v="52.35"/>
    <s v="0000000127"/>
    <s v="3192"/>
    <d v="2022-07-01T00:00:00"/>
    <s v="330501"/>
    <s v="209"/>
    <s v="90"/>
    <s v="Credito"/>
    <x v="2"/>
    <x v="216"/>
    <m/>
    <s v="000252"/>
    <s v="000132"/>
    <n v="52.35"/>
    <s v="0,00"/>
    <s v="0,00"/>
    <s v="0,00"/>
    <s v="0,00"/>
    <s v="ORC2022_2"/>
    <s v="0012"/>
    <m/>
    <m/>
    <m/>
    <m/>
    <m/>
  </r>
  <r>
    <s v="DEPRECIACOES E AMORTIZACOES"/>
    <x v="65"/>
    <x v="14"/>
    <n v="65.88"/>
    <s v="0000000127"/>
    <s v="3193"/>
    <d v="2022-07-01T00:00:00"/>
    <s v="330501"/>
    <s v="301"/>
    <s v="90"/>
    <s v="Credito"/>
    <x v="2"/>
    <x v="216"/>
    <m/>
    <s v="000252"/>
    <s v="000132"/>
    <n v="65.88"/>
    <s v="0,00"/>
    <s v="0,00"/>
    <s v="0,00"/>
    <s v="0,00"/>
    <s v="ORC2022_2"/>
    <s v="0012"/>
    <m/>
    <m/>
    <m/>
    <m/>
    <m/>
  </r>
  <r>
    <s v="DEPRECIACOES E AMORTIZACOES"/>
    <x v="65"/>
    <x v="15"/>
    <n v="20951.78"/>
    <s v="0000000127"/>
    <s v="3194"/>
    <d v="2022-08-01T00:00:00"/>
    <s v="330501"/>
    <s v="101"/>
    <s v="90"/>
    <s v="Credito"/>
    <x v="2"/>
    <x v="216"/>
    <m/>
    <s v="000252"/>
    <s v="000132"/>
    <n v="20951.78"/>
    <s v="0,00"/>
    <s v="0,00"/>
    <s v="0,00"/>
    <s v="0,00"/>
    <s v="ORC2022_2"/>
    <s v="0012"/>
    <m/>
    <m/>
    <m/>
    <m/>
    <m/>
  </r>
  <r>
    <s v="DEPRECIACOES E AMORTIZACOES"/>
    <x v="65"/>
    <x v="15"/>
    <n v="20087.71"/>
    <s v="0000000127"/>
    <s v="3195"/>
    <d v="2022-08-01T00:00:00"/>
    <s v="330501"/>
    <s v="201"/>
    <s v="90"/>
    <s v="Credito"/>
    <x v="2"/>
    <x v="216"/>
    <m/>
    <s v="000252"/>
    <s v="000132"/>
    <n v="20087.71"/>
    <s v="0,00"/>
    <s v="0,00"/>
    <s v="0,00"/>
    <s v="0,00"/>
    <s v="ORC2022_2"/>
    <s v="0012"/>
    <m/>
    <m/>
    <m/>
    <m/>
    <m/>
  </r>
  <r>
    <s v="DEPRECIACOES E AMORTIZACOES"/>
    <x v="65"/>
    <x v="15"/>
    <n v="17.079999999999998"/>
    <s v="0000000127"/>
    <s v="3196"/>
    <d v="2022-08-01T00:00:00"/>
    <s v="330501"/>
    <s v="202"/>
    <s v="90"/>
    <s v="Credito"/>
    <x v="2"/>
    <x v="216"/>
    <m/>
    <s v="000252"/>
    <s v="000132"/>
    <n v="17.079999999999998"/>
    <s v="0,00"/>
    <s v="0,00"/>
    <s v="0,00"/>
    <s v="0,00"/>
    <s v="ORC2022_2"/>
    <s v="0012"/>
    <m/>
    <m/>
    <m/>
    <m/>
    <m/>
  </r>
  <r>
    <s v="DEPRECIACOES E AMORTIZACOES"/>
    <x v="65"/>
    <x v="15"/>
    <n v="28.54"/>
    <s v="0000000127"/>
    <s v="3197"/>
    <d v="2022-08-01T00:00:00"/>
    <s v="330501"/>
    <s v="204"/>
    <s v="90"/>
    <s v="Credito"/>
    <x v="2"/>
    <x v="216"/>
    <m/>
    <s v="000252"/>
    <s v="000132"/>
    <n v="28.54"/>
    <s v="0,00"/>
    <s v="0,00"/>
    <s v="0,00"/>
    <s v="0,00"/>
    <s v="ORC2022_2"/>
    <s v="0012"/>
    <m/>
    <m/>
    <m/>
    <m/>
    <m/>
  </r>
  <r>
    <s v="DEPRECIACOES E AMORTIZACOES"/>
    <x v="65"/>
    <x v="15"/>
    <n v="405.15"/>
    <s v="0000000127"/>
    <s v="3198"/>
    <d v="2022-08-01T00:00:00"/>
    <s v="330501"/>
    <s v="208"/>
    <s v="90"/>
    <s v="Credito"/>
    <x v="2"/>
    <x v="216"/>
    <m/>
    <s v="000252"/>
    <s v="000132"/>
    <n v="405.15"/>
    <s v="0,00"/>
    <s v="0,00"/>
    <s v="0,00"/>
    <s v="0,00"/>
    <s v="ORC2022_2"/>
    <s v="0012"/>
    <m/>
    <m/>
    <m/>
    <m/>
    <m/>
  </r>
  <r>
    <s v="DEPRECIACOES E AMORTIZACOES"/>
    <x v="65"/>
    <x v="15"/>
    <n v="85.42"/>
    <s v="0000000127"/>
    <s v="3199"/>
    <d v="2022-08-01T00:00:00"/>
    <s v="330501"/>
    <s v="209"/>
    <s v="90"/>
    <s v="Credito"/>
    <x v="2"/>
    <x v="216"/>
    <m/>
    <s v="000252"/>
    <s v="000132"/>
    <n v="85.42"/>
    <s v="0,00"/>
    <s v="0,00"/>
    <s v="0,00"/>
    <s v="0,00"/>
    <s v="ORC2022_2"/>
    <s v="0012"/>
    <m/>
    <m/>
    <m/>
    <m/>
    <m/>
  </r>
  <r>
    <s v="DEPRECIACOES E AMORTIZACOES"/>
    <x v="65"/>
    <x v="15"/>
    <n v="117.05"/>
    <s v="0000000127"/>
    <s v="3200"/>
    <d v="2022-08-01T00:00:00"/>
    <s v="330501"/>
    <s v="301"/>
    <s v="90"/>
    <s v="Credito"/>
    <x v="2"/>
    <x v="216"/>
    <m/>
    <s v="000252"/>
    <s v="000132"/>
    <n v="117.05"/>
    <s v="0,00"/>
    <s v="0,00"/>
    <s v="0,00"/>
    <s v="0,00"/>
    <s v="ORC2022_2"/>
    <s v="0012"/>
    <m/>
    <m/>
    <m/>
    <m/>
    <m/>
  </r>
  <r>
    <s v="DEPRECIACOES E AMORTIZACOES"/>
    <x v="65"/>
    <x v="16"/>
    <n v="20951.78"/>
    <s v="0000000127"/>
    <s v="3201"/>
    <d v="2022-09-01T00:00:00"/>
    <s v="330501"/>
    <s v="101"/>
    <s v="90"/>
    <s v="Credito"/>
    <x v="2"/>
    <x v="216"/>
    <m/>
    <s v="000252"/>
    <s v="000132"/>
    <n v="20951.78"/>
    <s v="0,00"/>
    <s v="0,00"/>
    <s v="0,00"/>
    <s v="0,00"/>
    <s v="ORC2022_2"/>
    <s v="0012"/>
    <m/>
    <m/>
    <m/>
    <m/>
    <m/>
  </r>
  <r>
    <s v="DEPRECIACOES E AMORTIZACOES"/>
    <x v="65"/>
    <x v="16"/>
    <n v="19794.04"/>
    <s v="0000000127"/>
    <s v="3202"/>
    <d v="2022-09-01T00:00:00"/>
    <s v="330501"/>
    <s v="201"/>
    <s v="90"/>
    <s v="Credito"/>
    <x v="2"/>
    <x v="216"/>
    <m/>
    <s v="000252"/>
    <s v="000132"/>
    <n v="19794.04"/>
    <s v="0,00"/>
    <s v="0,00"/>
    <s v="0,00"/>
    <s v="0,00"/>
    <s v="ORC2022_2"/>
    <s v="0012"/>
    <m/>
    <m/>
    <m/>
    <m/>
    <m/>
  </r>
  <r>
    <s v="DEPRECIACOES E AMORTIZACOES"/>
    <x v="65"/>
    <x v="16"/>
    <n v="17.079999999999998"/>
    <s v="0000000127"/>
    <s v="3203"/>
    <d v="2022-09-01T00:00:00"/>
    <s v="330501"/>
    <s v="202"/>
    <s v="90"/>
    <s v="Credito"/>
    <x v="2"/>
    <x v="216"/>
    <m/>
    <s v="000252"/>
    <s v="000132"/>
    <n v="17.079999999999998"/>
    <s v="0,00"/>
    <s v="0,00"/>
    <s v="0,00"/>
    <s v="0,00"/>
    <s v="ORC2022_2"/>
    <s v="0012"/>
    <m/>
    <m/>
    <m/>
    <m/>
    <m/>
  </r>
  <r>
    <s v="DEPRECIACOES E AMORTIZACOES"/>
    <x v="65"/>
    <x v="16"/>
    <n v="28.54"/>
    <s v="0000000127"/>
    <s v="3204"/>
    <d v="2022-09-01T00:00:00"/>
    <s v="330501"/>
    <s v="204"/>
    <s v="90"/>
    <s v="Credito"/>
    <x v="2"/>
    <x v="216"/>
    <m/>
    <s v="000252"/>
    <s v="000132"/>
    <n v="28.54"/>
    <s v="0,00"/>
    <s v="0,00"/>
    <s v="0,00"/>
    <s v="0,00"/>
    <s v="ORC2022_2"/>
    <s v="0012"/>
    <m/>
    <m/>
    <m/>
    <m/>
    <m/>
  </r>
  <r>
    <s v="DEPRECIACOES E AMORTIZACOES"/>
    <x v="65"/>
    <x v="16"/>
    <n v="405.15"/>
    <s v="0000000127"/>
    <s v="3205"/>
    <d v="2022-09-01T00:00:00"/>
    <s v="330501"/>
    <s v="208"/>
    <s v="90"/>
    <s v="Credito"/>
    <x v="2"/>
    <x v="216"/>
    <m/>
    <s v="000252"/>
    <s v="000132"/>
    <n v="405.15"/>
    <s v="0,00"/>
    <s v="0,00"/>
    <s v="0,00"/>
    <s v="0,00"/>
    <s v="ORC2022_2"/>
    <s v="0012"/>
    <m/>
    <m/>
    <m/>
    <m/>
    <m/>
  </r>
  <r>
    <s v="DEPRECIACOES E AMORTIZACOES"/>
    <x v="65"/>
    <x v="16"/>
    <n v="85.42"/>
    <s v="0000000127"/>
    <s v="3206"/>
    <d v="2022-09-01T00:00:00"/>
    <s v="330501"/>
    <s v="209"/>
    <s v="90"/>
    <s v="Credito"/>
    <x v="2"/>
    <x v="216"/>
    <m/>
    <s v="000252"/>
    <s v="000132"/>
    <n v="85.42"/>
    <s v="0,00"/>
    <s v="0,00"/>
    <s v="0,00"/>
    <s v="0,00"/>
    <s v="ORC2022_2"/>
    <s v="0012"/>
    <m/>
    <m/>
    <m/>
    <m/>
    <m/>
  </r>
  <r>
    <s v="DEPRECIACOES E AMORTIZACOES"/>
    <x v="65"/>
    <x v="16"/>
    <n v="117.05"/>
    <s v="0000000127"/>
    <s v="3207"/>
    <d v="2022-09-01T00:00:00"/>
    <s v="330501"/>
    <s v="301"/>
    <s v="90"/>
    <s v="Credito"/>
    <x v="2"/>
    <x v="216"/>
    <m/>
    <s v="000252"/>
    <s v="000132"/>
    <n v="117.05"/>
    <s v="0,00"/>
    <s v="0,00"/>
    <s v="0,00"/>
    <s v="0,00"/>
    <s v="ORC2022_2"/>
    <s v="0012"/>
    <m/>
    <m/>
    <m/>
    <m/>
    <m/>
  </r>
  <r>
    <s v="DEPRECIACOES E AMORTIZACOES"/>
    <x v="65"/>
    <x v="17"/>
    <n v="21161.3"/>
    <s v="0000000127"/>
    <s v="3208"/>
    <d v="2022-10-01T00:00:00"/>
    <s v="330501"/>
    <s v="101"/>
    <s v="90"/>
    <s v="Credito"/>
    <x v="2"/>
    <x v="216"/>
    <m/>
    <s v="000252"/>
    <s v="000132"/>
    <n v="21161.3"/>
    <s v="0,00"/>
    <s v="0,00"/>
    <s v="0,00"/>
    <s v="0,00"/>
    <s v="ORC2022_2"/>
    <s v="0012"/>
    <m/>
    <m/>
    <m/>
    <m/>
    <m/>
  </r>
  <r>
    <s v="DEPRECIACOES E AMORTIZACOES"/>
    <x v="65"/>
    <x v="17"/>
    <n v="19991.98"/>
    <s v="0000000127"/>
    <s v="3209"/>
    <d v="2022-10-01T00:00:00"/>
    <s v="330501"/>
    <s v="201"/>
    <s v="90"/>
    <s v="Credito"/>
    <x v="2"/>
    <x v="216"/>
    <m/>
    <s v="000252"/>
    <s v="000132"/>
    <n v="19991.98"/>
    <s v="0,00"/>
    <s v="0,00"/>
    <s v="0,00"/>
    <s v="0,00"/>
    <s v="ORC2022_2"/>
    <s v="0012"/>
    <m/>
    <m/>
    <m/>
    <m/>
    <m/>
  </r>
  <r>
    <s v="DEPRECIACOES E AMORTIZACOES"/>
    <x v="65"/>
    <x v="17"/>
    <n v="17.25"/>
    <s v="0000000127"/>
    <s v="3210"/>
    <d v="2022-10-01T00:00:00"/>
    <s v="330501"/>
    <s v="202"/>
    <s v="90"/>
    <s v="Credito"/>
    <x v="2"/>
    <x v="216"/>
    <m/>
    <s v="000252"/>
    <s v="000132"/>
    <n v="17.25"/>
    <s v="0,00"/>
    <s v="0,00"/>
    <s v="0,00"/>
    <s v="0,00"/>
    <s v="ORC2022_2"/>
    <s v="0012"/>
    <m/>
    <m/>
    <m/>
    <m/>
    <m/>
  </r>
  <r>
    <s v="DEPRECIACOES E AMORTIZACOES"/>
    <x v="65"/>
    <x v="17"/>
    <n v="28.83"/>
    <s v="0000000127"/>
    <s v="3211"/>
    <d v="2022-10-01T00:00:00"/>
    <s v="330501"/>
    <s v="204"/>
    <s v="90"/>
    <s v="Credito"/>
    <x v="2"/>
    <x v="216"/>
    <m/>
    <s v="000252"/>
    <s v="000132"/>
    <n v="28.83"/>
    <s v="0,00"/>
    <s v="0,00"/>
    <s v="0,00"/>
    <s v="0,00"/>
    <s v="ORC2022_2"/>
    <s v="0012"/>
    <m/>
    <m/>
    <m/>
    <m/>
    <m/>
  </r>
  <r>
    <s v="DEPRECIACOES E AMORTIZACOES"/>
    <x v="65"/>
    <x v="17"/>
    <n v="409.2"/>
    <s v="0000000127"/>
    <s v="3212"/>
    <d v="2022-10-01T00:00:00"/>
    <s v="330501"/>
    <s v="208"/>
    <s v="90"/>
    <s v="Credito"/>
    <x v="2"/>
    <x v="216"/>
    <m/>
    <s v="000252"/>
    <s v="000132"/>
    <n v="409.2"/>
    <s v="0,00"/>
    <s v="0,00"/>
    <s v="0,00"/>
    <s v="0,00"/>
    <s v="ORC2022_2"/>
    <s v="0012"/>
    <m/>
    <m/>
    <m/>
    <m/>
    <m/>
  </r>
  <r>
    <s v="DEPRECIACOES E AMORTIZACOES"/>
    <x v="65"/>
    <x v="17"/>
    <n v="86.27"/>
    <s v="0000000127"/>
    <s v="3213"/>
    <d v="2022-10-01T00:00:00"/>
    <s v="330501"/>
    <s v="209"/>
    <s v="90"/>
    <s v="Credito"/>
    <x v="2"/>
    <x v="216"/>
    <m/>
    <s v="000252"/>
    <s v="000132"/>
    <n v="86.27"/>
    <s v="0,00"/>
    <s v="0,00"/>
    <s v="0,00"/>
    <s v="0,00"/>
    <s v="ORC2022_2"/>
    <s v="0012"/>
    <m/>
    <m/>
    <m/>
    <m/>
    <m/>
  </r>
  <r>
    <s v="DEPRECIACOES E AMORTIZACOES"/>
    <x v="65"/>
    <x v="17"/>
    <n v="118.22"/>
    <s v="0000000127"/>
    <s v="3214"/>
    <d v="2022-10-01T00:00:00"/>
    <s v="330501"/>
    <s v="301"/>
    <s v="90"/>
    <s v="Credito"/>
    <x v="2"/>
    <x v="216"/>
    <m/>
    <s v="000252"/>
    <s v="000132"/>
    <n v="118.22"/>
    <s v="0,00"/>
    <s v="0,00"/>
    <s v="0,00"/>
    <s v="0,00"/>
    <s v="ORC2022_2"/>
    <s v="0012"/>
    <m/>
    <m/>
    <m/>
    <m/>
    <m/>
  </r>
  <r>
    <s v="DEPRECIACOES E AMORTIZACOES"/>
    <x v="65"/>
    <x v="0"/>
    <n v="21372.91"/>
    <s v="0000000127"/>
    <s v="3215"/>
    <d v="2022-11-01T00:00:00"/>
    <s v="330501"/>
    <s v="101"/>
    <s v="90"/>
    <s v="Credito"/>
    <x v="2"/>
    <x v="216"/>
    <m/>
    <s v="000252"/>
    <s v="000132"/>
    <n v="21372.91"/>
    <s v="0,00"/>
    <s v="0,00"/>
    <s v="0,00"/>
    <s v="0,00"/>
    <s v="ORC2022_2"/>
    <s v="0012"/>
    <m/>
    <m/>
    <m/>
    <m/>
    <m/>
  </r>
  <r>
    <s v="DEPRECIACOES E AMORTIZACOES"/>
    <x v="65"/>
    <x v="0"/>
    <n v="20191.900000000001"/>
    <s v="0000000127"/>
    <s v="3216"/>
    <d v="2022-11-01T00:00:00"/>
    <s v="330501"/>
    <s v="201"/>
    <s v="90"/>
    <s v="Credito"/>
    <x v="2"/>
    <x v="216"/>
    <m/>
    <s v="000252"/>
    <s v="000132"/>
    <n v="20191.900000000001"/>
    <s v="0,00"/>
    <s v="0,00"/>
    <s v="0,00"/>
    <s v="0,00"/>
    <s v="ORC2022_2"/>
    <s v="0012"/>
    <m/>
    <m/>
    <m/>
    <m/>
    <m/>
  </r>
  <r>
    <s v="DEPRECIACOES E AMORTIZACOES"/>
    <x v="65"/>
    <x v="0"/>
    <n v="17.420000000000002"/>
    <s v="0000000127"/>
    <s v="3217"/>
    <d v="2022-11-01T00:00:00"/>
    <s v="330501"/>
    <s v="202"/>
    <s v="90"/>
    <s v="Credito"/>
    <x v="2"/>
    <x v="216"/>
    <m/>
    <s v="000252"/>
    <s v="000132"/>
    <n v="17.420000000000002"/>
    <s v="0,00"/>
    <s v="0,00"/>
    <s v="0,00"/>
    <s v="0,00"/>
    <s v="ORC2022_2"/>
    <s v="0012"/>
    <m/>
    <m/>
    <m/>
    <m/>
    <m/>
  </r>
  <r>
    <s v="DEPRECIACOES E AMORTIZACOES"/>
    <x v="65"/>
    <x v="0"/>
    <n v="29.11"/>
    <s v="0000000127"/>
    <s v="3218"/>
    <d v="2022-11-01T00:00:00"/>
    <s v="330501"/>
    <s v="204"/>
    <s v="90"/>
    <s v="Credito"/>
    <x v="2"/>
    <x v="216"/>
    <m/>
    <s v="000252"/>
    <s v="000132"/>
    <n v="29.11"/>
    <s v="0,00"/>
    <s v="0,00"/>
    <s v="0,00"/>
    <s v="0,00"/>
    <s v="ORC2022_2"/>
    <s v="0012"/>
    <m/>
    <m/>
    <m/>
    <m/>
    <m/>
  </r>
  <r>
    <s v="DEPRECIACOES E AMORTIZACOES"/>
    <x v="65"/>
    <x v="0"/>
    <n v="413.29"/>
    <s v="0000000127"/>
    <s v="3219"/>
    <d v="2022-11-01T00:00:00"/>
    <s v="330501"/>
    <s v="208"/>
    <s v="90"/>
    <s v="Credito"/>
    <x v="2"/>
    <x v="216"/>
    <m/>
    <s v="000252"/>
    <s v="000132"/>
    <n v="413.29"/>
    <s v="0,00"/>
    <s v="0,00"/>
    <s v="0,00"/>
    <s v="0,00"/>
    <s v="ORC2022_2"/>
    <s v="0012"/>
    <m/>
    <m/>
    <m/>
    <m/>
    <m/>
  </r>
  <r>
    <s v="DEPRECIACOES E AMORTIZACOES"/>
    <x v="65"/>
    <x v="0"/>
    <n v="87.14"/>
    <s v="0000000127"/>
    <s v="3220"/>
    <d v="2022-11-01T00:00:00"/>
    <s v="330501"/>
    <s v="209"/>
    <s v="90"/>
    <s v="Credito"/>
    <x v="2"/>
    <x v="216"/>
    <m/>
    <s v="000252"/>
    <s v="000132"/>
    <n v="87.14"/>
    <s v="0,00"/>
    <s v="0,00"/>
    <s v="0,00"/>
    <s v="0,00"/>
    <s v="ORC2022_2"/>
    <s v="0012"/>
    <m/>
    <m/>
    <m/>
    <m/>
    <m/>
  </r>
  <r>
    <s v="DEPRECIACOES E AMORTIZACOES"/>
    <x v="65"/>
    <x v="0"/>
    <n v="119.4"/>
    <s v="0000000127"/>
    <s v="3221"/>
    <d v="2022-11-01T00:00:00"/>
    <s v="330501"/>
    <s v="301"/>
    <s v="90"/>
    <s v="Credito"/>
    <x v="2"/>
    <x v="216"/>
    <m/>
    <s v="000252"/>
    <s v="000132"/>
    <n v="119.4"/>
    <s v="0,00"/>
    <s v="0,00"/>
    <s v="0,00"/>
    <s v="0,00"/>
    <s v="ORC2022_2"/>
    <s v="0012"/>
    <m/>
    <m/>
    <m/>
    <m/>
    <m/>
  </r>
  <r>
    <s v="DEPRECIACOES E AMORTIZACOES"/>
    <x v="65"/>
    <x v="1"/>
    <n v="21586.639999999999"/>
    <s v="0000000127"/>
    <s v="3222"/>
    <d v="2022-12-01T00:00:00"/>
    <s v="330501"/>
    <s v="101"/>
    <s v="90"/>
    <s v="Credito"/>
    <x v="2"/>
    <x v="216"/>
    <m/>
    <s v="000252"/>
    <s v="000132"/>
    <n v="21586.639999999999"/>
    <s v="0,00"/>
    <s v="0,00"/>
    <s v="0,00"/>
    <s v="0,00"/>
    <s v="ORC2022_2"/>
    <s v="0012"/>
    <m/>
    <m/>
    <m/>
    <m/>
    <m/>
  </r>
  <r>
    <s v="DEPRECIACOES E AMORTIZACOES"/>
    <x v="65"/>
    <x v="1"/>
    <n v="20393.82"/>
    <s v="0000000127"/>
    <s v="3223"/>
    <d v="2022-12-01T00:00:00"/>
    <s v="330501"/>
    <s v="201"/>
    <s v="90"/>
    <s v="Credito"/>
    <x v="2"/>
    <x v="216"/>
    <m/>
    <s v="000252"/>
    <s v="000132"/>
    <n v="20393.82"/>
    <s v="0,00"/>
    <s v="0,00"/>
    <s v="0,00"/>
    <s v="0,00"/>
    <s v="ORC2022_2"/>
    <s v="0012"/>
    <m/>
    <m/>
    <m/>
    <m/>
    <m/>
  </r>
  <r>
    <s v="DEPRECIACOES E AMORTIZACOES"/>
    <x v="65"/>
    <x v="1"/>
    <n v="17.600000000000001"/>
    <s v="0000000127"/>
    <s v="3224"/>
    <d v="2022-12-01T00:00:00"/>
    <s v="330501"/>
    <s v="202"/>
    <s v="90"/>
    <s v="Credito"/>
    <x v="2"/>
    <x v="216"/>
    <m/>
    <s v="000252"/>
    <s v="000132"/>
    <n v="17.600000000000001"/>
    <s v="0,00"/>
    <s v="0,00"/>
    <s v="0,00"/>
    <s v="0,00"/>
    <s v="ORC2022_2"/>
    <s v="0012"/>
    <m/>
    <m/>
    <m/>
    <m/>
    <m/>
  </r>
  <r>
    <s v="DEPRECIACOES E AMORTIZACOES"/>
    <x v="65"/>
    <x v="1"/>
    <n v="29.4"/>
    <s v="0000000127"/>
    <s v="3225"/>
    <d v="2022-12-01T00:00:00"/>
    <s v="330501"/>
    <s v="204"/>
    <s v="90"/>
    <s v="Credito"/>
    <x v="2"/>
    <x v="216"/>
    <m/>
    <s v="000252"/>
    <s v="000132"/>
    <n v="29.4"/>
    <s v="0,00"/>
    <s v="0,00"/>
    <s v="0,00"/>
    <s v="0,00"/>
    <s v="ORC2022_2"/>
    <s v="0012"/>
    <m/>
    <m/>
    <m/>
    <m/>
    <m/>
  </r>
  <r>
    <s v="DEPRECIACOES E AMORTIZACOES"/>
    <x v="65"/>
    <x v="1"/>
    <n v="417.43"/>
    <s v="0000000127"/>
    <s v="3226"/>
    <d v="2022-12-01T00:00:00"/>
    <s v="330501"/>
    <s v="208"/>
    <s v="90"/>
    <s v="Credito"/>
    <x v="2"/>
    <x v="216"/>
    <m/>
    <s v="000252"/>
    <s v="000132"/>
    <n v="417.43"/>
    <s v="0,00"/>
    <s v="0,00"/>
    <s v="0,00"/>
    <s v="0,00"/>
    <s v="ORC2022_2"/>
    <s v="0012"/>
    <m/>
    <m/>
    <m/>
    <m/>
    <m/>
  </r>
  <r>
    <s v="DEPRECIACOES E AMORTIZACOES"/>
    <x v="65"/>
    <x v="1"/>
    <n v="88.01"/>
    <s v="0000000127"/>
    <s v="3227"/>
    <d v="2022-12-01T00:00:00"/>
    <s v="330501"/>
    <s v="209"/>
    <s v="90"/>
    <s v="Credito"/>
    <x v="2"/>
    <x v="216"/>
    <m/>
    <s v="000252"/>
    <s v="000132"/>
    <n v="88.01"/>
    <s v="0,00"/>
    <s v="0,00"/>
    <s v="0,00"/>
    <s v="0,00"/>
    <s v="ORC2022_2"/>
    <s v="0012"/>
    <m/>
    <m/>
    <m/>
    <m/>
    <m/>
  </r>
  <r>
    <s v="DEPRECIACOES E AMORTIZACOES"/>
    <x v="65"/>
    <x v="1"/>
    <n v="120.6"/>
    <s v="0000000127"/>
    <s v="3228"/>
    <d v="2022-12-01T00:00:00"/>
    <s v="330501"/>
    <s v="301"/>
    <s v="90"/>
    <s v="Credito"/>
    <x v="2"/>
    <x v="216"/>
    <m/>
    <s v="000252"/>
    <s v="000132"/>
    <n v="120.6"/>
    <s v="0,00"/>
    <s v="0,00"/>
    <s v="0,00"/>
    <s v="0,00"/>
    <s v="ORC2022_2"/>
    <s v="0012"/>
    <m/>
    <m/>
    <m/>
    <m/>
    <m/>
  </r>
  <r>
    <s v="DESPESAS VARIAVEIS DE VENDAS"/>
    <x v="66"/>
    <x v="14"/>
    <n v="37382.04"/>
    <s v="0000000127"/>
    <s v="3229"/>
    <d v="2022-07-01T00:00:00"/>
    <s v="330601"/>
    <s v="304"/>
    <s v="11"/>
    <s v="Credito"/>
    <x v="2"/>
    <x v="216"/>
    <m/>
    <s v="000252"/>
    <s v="000132"/>
    <n v="37382.04"/>
    <s v="0,00"/>
    <s v="0,00"/>
    <s v="0,00"/>
    <s v="0,00"/>
    <s v="ORC2022_2"/>
    <s v="0012"/>
    <m/>
    <m/>
    <m/>
    <m/>
    <m/>
  </r>
  <r>
    <s v="DESPESAS VARIAVEIS DE VENDAS"/>
    <x v="66"/>
    <x v="14"/>
    <n v="13196.98"/>
    <s v="0000000127"/>
    <s v="3230"/>
    <d v="2022-07-01T00:00:00"/>
    <s v="330601"/>
    <s v="305"/>
    <s v="32"/>
    <s v="Credito"/>
    <x v="2"/>
    <x v="216"/>
    <m/>
    <s v="000252"/>
    <s v="000132"/>
    <n v="13196.98"/>
    <s v="0,00"/>
    <s v="0,00"/>
    <s v="0,00"/>
    <s v="0,00"/>
    <s v="ORC2022_2"/>
    <s v="0012"/>
    <m/>
    <m/>
    <m/>
    <m/>
    <m/>
  </r>
  <r>
    <s v="DESPESAS VARIAVEIS DE VENDAS"/>
    <x v="66"/>
    <x v="15"/>
    <n v="87968.06"/>
    <s v="0000000127"/>
    <s v="3231"/>
    <d v="2022-08-01T00:00:00"/>
    <s v="330601"/>
    <s v="304"/>
    <s v="11"/>
    <s v="Credito"/>
    <x v="2"/>
    <x v="216"/>
    <m/>
    <s v="000252"/>
    <s v="000132"/>
    <n v="87968.06"/>
    <s v="0,00"/>
    <s v="0,00"/>
    <s v="0,00"/>
    <s v="0,00"/>
    <s v="ORC2022_2"/>
    <s v="0012"/>
    <m/>
    <m/>
    <m/>
    <m/>
    <m/>
  </r>
  <r>
    <s v="DESPESAS VARIAVEIS DE VENDAS"/>
    <x v="66"/>
    <x v="15"/>
    <n v="4130.3599999999997"/>
    <s v="0000000127"/>
    <s v="3232"/>
    <d v="2022-08-01T00:00:00"/>
    <s v="330601"/>
    <s v="305"/>
    <s v="32"/>
    <s v="Credito"/>
    <x v="2"/>
    <x v="216"/>
    <m/>
    <s v="000252"/>
    <s v="000132"/>
    <n v="4130.3599999999997"/>
    <s v="0,00"/>
    <s v="0,00"/>
    <s v="0,00"/>
    <s v="0,00"/>
    <s v="ORC2022_2"/>
    <s v="0012"/>
    <m/>
    <m/>
    <m/>
    <m/>
    <m/>
  </r>
  <r>
    <s v="DESPESAS VARIAVEIS DE VENDAS"/>
    <x v="66"/>
    <x v="16"/>
    <n v="48551.46"/>
    <s v="0000000127"/>
    <s v="3233"/>
    <d v="2022-09-01T00:00:00"/>
    <s v="330601"/>
    <s v="304"/>
    <s v="11"/>
    <s v="Credito"/>
    <x v="2"/>
    <x v="216"/>
    <m/>
    <s v="000252"/>
    <s v="000132"/>
    <n v="48551.46"/>
    <s v="0,00"/>
    <s v="0,00"/>
    <s v="0,00"/>
    <s v="0,00"/>
    <s v="ORC2022_2"/>
    <s v="0012"/>
    <m/>
    <m/>
    <m/>
    <m/>
    <m/>
  </r>
  <r>
    <s v="DESPESAS VARIAVEIS DE VENDAS"/>
    <x v="66"/>
    <x v="16"/>
    <n v="3780.8"/>
    <s v="0000000127"/>
    <s v="3234"/>
    <d v="2022-09-01T00:00:00"/>
    <s v="330601"/>
    <s v="305"/>
    <s v="32"/>
    <s v="Credito"/>
    <x v="2"/>
    <x v="216"/>
    <m/>
    <s v="000252"/>
    <s v="000132"/>
    <n v="3780.8"/>
    <s v="0,00"/>
    <s v="0,00"/>
    <s v="0,00"/>
    <s v="0,00"/>
    <s v="ORC2022_2"/>
    <s v="0012"/>
    <m/>
    <m/>
    <m/>
    <m/>
    <m/>
  </r>
  <r>
    <s v="DESPESAS VARIAVEIS DE VENDAS"/>
    <x v="66"/>
    <x v="17"/>
    <n v="49036.97"/>
    <s v="0000000127"/>
    <s v="3235"/>
    <d v="2022-10-01T00:00:00"/>
    <s v="330601"/>
    <s v="304"/>
    <s v="11"/>
    <s v="Credito"/>
    <x v="2"/>
    <x v="216"/>
    <m/>
    <s v="000252"/>
    <s v="000132"/>
    <n v="49036.97"/>
    <s v="0,00"/>
    <s v="0,00"/>
    <s v="0,00"/>
    <s v="0,00"/>
    <s v="ORC2022_2"/>
    <s v="0012"/>
    <m/>
    <m/>
    <m/>
    <m/>
    <m/>
  </r>
  <r>
    <s v="DESPESAS VARIAVEIS DE VENDAS"/>
    <x v="66"/>
    <x v="17"/>
    <n v="3818.61"/>
    <s v="0000000127"/>
    <s v="3236"/>
    <d v="2022-10-01T00:00:00"/>
    <s v="330601"/>
    <s v="305"/>
    <s v="32"/>
    <s v="Credito"/>
    <x v="2"/>
    <x v="216"/>
    <m/>
    <s v="000252"/>
    <s v="000132"/>
    <n v="3818.61"/>
    <s v="0,00"/>
    <s v="0,00"/>
    <s v="0,00"/>
    <s v="0,00"/>
    <s v="ORC2022_2"/>
    <s v="0012"/>
    <m/>
    <m/>
    <m/>
    <m/>
    <m/>
  </r>
  <r>
    <s v="DESPESAS VARIAVEIS DE VENDAS"/>
    <x v="66"/>
    <x v="0"/>
    <n v="49527.34"/>
    <s v="0000000127"/>
    <s v="3237"/>
    <d v="2022-11-01T00:00:00"/>
    <s v="330601"/>
    <s v="304"/>
    <s v="11"/>
    <s v="Credito"/>
    <x v="2"/>
    <x v="216"/>
    <m/>
    <s v="000252"/>
    <s v="000132"/>
    <n v="49527.34"/>
    <s v="0,00"/>
    <s v="0,00"/>
    <s v="0,00"/>
    <s v="0,00"/>
    <s v="ORC2022_2"/>
    <s v="0012"/>
    <m/>
    <m/>
    <m/>
    <m/>
    <m/>
  </r>
  <r>
    <s v="DESPESAS VARIAVEIS DE VENDAS"/>
    <x v="66"/>
    <x v="0"/>
    <n v="3856.79"/>
    <s v="0000000127"/>
    <s v="3238"/>
    <d v="2022-11-01T00:00:00"/>
    <s v="330601"/>
    <s v="305"/>
    <s v="32"/>
    <s v="Credito"/>
    <x v="2"/>
    <x v="216"/>
    <m/>
    <s v="000252"/>
    <s v="000132"/>
    <n v="3856.79"/>
    <s v="0,00"/>
    <s v="0,00"/>
    <s v="0,00"/>
    <s v="0,00"/>
    <s v="ORC2022_2"/>
    <s v="0012"/>
    <m/>
    <m/>
    <m/>
    <m/>
    <m/>
  </r>
  <r>
    <s v="DESPESAS VARIAVEIS DE VENDAS"/>
    <x v="66"/>
    <x v="1"/>
    <n v="50022.62"/>
    <s v="0000000127"/>
    <s v="3239"/>
    <d v="2022-12-01T00:00:00"/>
    <s v="330601"/>
    <s v="304"/>
    <s v="11"/>
    <s v="Credito"/>
    <x v="2"/>
    <x v="216"/>
    <m/>
    <s v="000252"/>
    <s v="000132"/>
    <n v="50022.62"/>
    <s v="0,00"/>
    <s v="0,00"/>
    <s v="0,00"/>
    <s v="0,00"/>
    <s v="ORC2022_2"/>
    <s v="0012"/>
    <m/>
    <m/>
    <m/>
    <m/>
    <m/>
  </r>
  <r>
    <s v="DESPESAS VARIAVEIS DE VENDAS"/>
    <x v="66"/>
    <x v="1"/>
    <n v="3895.36"/>
    <s v="0000000127"/>
    <s v="3240"/>
    <d v="2022-12-01T00:00:00"/>
    <s v="330601"/>
    <s v="305"/>
    <s v="32"/>
    <s v="Credito"/>
    <x v="2"/>
    <x v="216"/>
    <m/>
    <s v="000252"/>
    <s v="000132"/>
    <n v="3895.36"/>
    <s v="0,00"/>
    <s v="0,00"/>
    <s v="0,00"/>
    <s v="0,00"/>
    <s v="ORC2022_2"/>
    <s v="0012"/>
    <m/>
    <m/>
    <m/>
    <m/>
    <m/>
  </r>
  <r>
    <s v="ICMS"/>
    <x v="67"/>
    <x v="8"/>
    <n v="806.6"/>
    <s v="0000000127"/>
    <s v="3241"/>
    <d v="2022-01-01T00:00:00"/>
    <s v="330701004"/>
    <s v="304"/>
    <s v="11"/>
    <s v="Credito"/>
    <x v="2"/>
    <x v="216"/>
    <m/>
    <s v="000252"/>
    <s v="000132"/>
    <n v="806.6"/>
    <s v="0,00"/>
    <s v="0,00"/>
    <s v="0,00"/>
    <s v="0,00"/>
    <s v="ORC2022_2"/>
    <s v="0012"/>
    <m/>
    <m/>
    <m/>
    <m/>
    <m/>
  </r>
  <r>
    <s v="ICMS"/>
    <x v="67"/>
    <x v="9"/>
    <n v="1255.3499999999999"/>
    <s v="0000000127"/>
    <s v="3242"/>
    <d v="2022-02-01T00:00:00"/>
    <s v="330701004"/>
    <s v="304"/>
    <s v="11"/>
    <s v="Credito"/>
    <x v="2"/>
    <x v="216"/>
    <m/>
    <s v="000252"/>
    <s v="000132"/>
    <n v="1255.3499999999999"/>
    <s v="0,00"/>
    <s v="0,00"/>
    <s v="0,00"/>
    <s v="0,00"/>
    <s v="ORC2022_2"/>
    <s v="0012"/>
    <m/>
    <m/>
    <m/>
    <m/>
    <m/>
  </r>
  <r>
    <s v="ICMS"/>
    <x v="67"/>
    <x v="10"/>
    <n v="4799.7"/>
    <s v="0000000127"/>
    <s v="3243"/>
    <d v="2022-03-01T00:00:00"/>
    <s v="330701004"/>
    <s v="304"/>
    <s v="11"/>
    <s v="Credito"/>
    <x v="2"/>
    <x v="216"/>
    <m/>
    <s v="000252"/>
    <s v="000132"/>
    <n v="4799.7"/>
    <s v="0,00"/>
    <s v="0,00"/>
    <s v="0,00"/>
    <s v="0,00"/>
    <s v="ORC2022_2"/>
    <s v="0012"/>
    <m/>
    <m/>
    <m/>
    <m/>
    <m/>
  </r>
  <r>
    <s v="ICMS"/>
    <x v="67"/>
    <x v="11"/>
    <n v="5545.81"/>
    <s v="0000000127"/>
    <s v="3244"/>
    <d v="2022-04-01T00:00:00"/>
    <s v="330701004"/>
    <s v="304"/>
    <s v="11"/>
    <s v="Credito"/>
    <x v="2"/>
    <x v="216"/>
    <m/>
    <s v="000252"/>
    <s v="000132"/>
    <n v="5545.81"/>
    <s v="0,00"/>
    <s v="0,00"/>
    <s v="0,00"/>
    <s v="0,00"/>
    <s v="ORC2022_2"/>
    <s v="0012"/>
    <m/>
    <m/>
    <m/>
    <m/>
    <m/>
  </r>
  <r>
    <s v="ICMS"/>
    <x v="67"/>
    <x v="12"/>
    <n v="1241.44"/>
    <s v="0000000127"/>
    <s v="3245"/>
    <d v="2022-05-01T00:00:00"/>
    <s v="330701004"/>
    <s v="304"/>
    <s v="11"/>
    <s v="Credito"/>
    <x v="2"/>
    <x v="216"/>
    <m/>
    <s v="000252"/>
    <s v="000132"/>
    <n v="1241.44"/>
    <s v="0,00"/>
    <s v="0,00"/>
    <s v="0,00"/>
    <s v="0,00"/>
    <s v="ORC2022_2"/>
    <s v="0012"/>
    <m/>
    <m/>
    <m/>
    <m/>
    <m/>
  </r>
  <r>
    <s v="ICMS"/>
    <x v="67"/>
    <x v="13"/>
    <n v="18827.71"/>
    <s v="0000000127"/>
    <s v="3246"/>
    <d v="2022-06-01T00:00:00"/>
    <s v="330701004"/>
    <s v="304"/>
    <s v="11"/>
    <s v="Credito"/>
    <x v="2"/>
    <x v="216"/>
    <m/>
    <s v="000252"/>
    <s v="000132"/>
    <n v="18827.71"/>
    <s v="0,00"/>
    <s v="0,00"/>
    <s v="0,00"/>
    <s v="0,00"/>
    <s v="ORC2022_2"/>
    <s v="0012"/>
    <m/>
    <m/>
    <m/>
    <m/>
    <m/>
  </r>
  <r>
    <s v="ICMS"/>
    <x v="67"/>
    <x v="13"/>
    <n v="998.91"/>
    <s v="0000000127"/>
    <s v="3247"/>
    <d v="2022-06-01T00:00:00"/>
    <s v="330701004"/>
    <s v="201"/>
    <s v="90"/>
    <s v="Credito"/>
    <x v="2"/>
    <x v="216"/>
    <m/>
    <s v="000252"/>
    <s v="000132"/>
    <n v="998.91"/>
    <s v="0,00"/>
    <s v="0,00"/>
    <s v="0,00"/>
    <s v="0,00"/>
    <s v="ORC2022_2"/>
    <s v="0012"/>
    <m/>
    <m/>
    <m/>
    <m/>
    <m/>
  </r>
  <r>
    <s v="ICMS"/>
    <x v="67"/>
    <x v="14"/>
    <n v="23223.73"/>
    <s v="0000000127"/>
    <s v="3248"/>
    <d v="2022-07-01T00:00:00"/>
    <s v="330701004"/>
    <s v="304"/>
    <s v="11"/>
    <s v="Credito"/>
    <x v="2"/>
    <x v="216"/>
    <m/>
    <s v="000252"/>
    <s v="000132"/>
    <n v="23223.73"/>
    <s v="0,00"/>
    <s v="0,00"/>
    <s v="0,00"/>
    <s v="0,00"/>
    <s v="ORC2022_2"/>
    <s v="0012"/>
    <m/>
    <m/>
    <m/>
    <m/>
    <m/>
  </r>
  <r>
    <s v="ICMS"/>
    <x v="67"/>
    <x v="15"/>
    <n v="5217.87"/>
    <s v="0000000127"/>
    <s v="3249"/>
    <d v="2022-08-01T00:00:00"/>
    <s v="330701004"/>
    <s v="304"/>
    <s v="11"/>
    <s v="Credito"/>
    <x v="2"/>
    <x v="216"/>
    <m/>
    <s v="000252"/>
    <s v="000132"/>
    <n v="5217.87"/>
    <s v="0,00"/>
    <s v="0,00"/>
    <s v="0,00"/>
    <s v="0,00"/>
    <s v="ORC2022_2"/>
    <s v="0012"/>
    <m/>
    <m/>
    <m/>
    <m/>
    <m/>
  </r>
  <r>
    <s v="ICMS"/>
    <x v="67"/>
    <x v="15"/>
    <n v="6824.77"/>
    <s v="0000000127"/>
    <s v="3250"/>
    <d v="2022-08-01T00:00:00"/>
    <s v="330701004"/>
    <s v="201"/>
    <s v="90"/>
    <s v="Credito"/>
    <x v="2"/>
    <x v="216"/>
    <m/>
    <s v="000252"/>
    <s v="000132"/>
    <n v="6824.77"/>
    <s v="0,00"/>
    <s v="0,00"/>
    <s v="0,00"/>
    <s v="0,00"/>
    <s v="ORC2022_2"/>
    <s v="0012"/>
    <m/>
    <m/>
    <m/>
    <m/>
    <m/>
  </r>
  <r>
    <s v="ICMS"/>
    <x v="67"/>
    <x v="16"/>
    <n v="10499.65"/>
    <s v="0000000127"/>
    <s v="3251"/>
    <d v="2022-09-01T00:00:00"/>
    <s v="330701004"/>
    <s v="304"/>
    <s v="11"/>
    <s v="Credito"/>
    <x v="2"/>
    <x v="216"/>
    <m/>
    <s v="000252"/>
    <s v="000132"/>
    <n v="10499.65"/>
    <s v="0,00"/>
    <s v="0,00"/>
    <s v="0,00"/>
    <s v="0,00"/>
    <s v="ORC2022_2"/>
    <s v="0012"/>
    <m/>
    <m/>
    <m/>
    <m/>
    <m/>
  </r>
  <r>
    <s v="ICMS"/>
    <x v="67"/>
    <x v="16"/>
    <n v="6824.77"/>
    <s v="0000000127"/>
    <s v="3252"/>
    <d v="2022-09-01T00:00:00"/>
    <s v="330701004"/>
    <s v="201"/>
    <s v="90"/>
    <s v="Credito"/>
    <x v="2"/>
    <x v="216"/>
    <m/>
    <s v="000252"/>
    <s v="000132"/>
    <n v="6824.77"/>
    <s v="0,00"/>
    <s v="0,00"/>
    <s v="0,00"/>
    <s v="0,00"/>
    <s v="ORC2022_2"/>
    <s v="0012"/>
    <m/>
    <m/>
    <m/>
    <m/>
    <m/>
  </r>
  <r>
    <s v="ICMS"/>
    <x v="67"/>
    <x v="17"/>
    <n v="10604.65"/>
    <s v="0000000127"/>
    <s v="3253"/>
    <d v="2022-10-01T00:00:00"/>
    <s v="330701004"/>
    <s v="304"/>
    <s v="11"/>
    <s v="Credito"/>
    <x v="2"/>
    <x v="216"/>
    <m/>
    <s v="000252"/>
    <s v="000132"/>
    <n v="10604.65"/>
    <s v="0,00"/>
    <s v="0,00"/>
    <s v="0,00"/>
    <s v="0,00"/>
    <s v="ORC2022_2"/>
    <s v="0012"/>
    <m/>
    <m/>
    <m/>
    <m/>
    <m/>
  </r>
  <r>
    <s v="ICMS"/>
    <x v="67"/>
    <x v="17"/>
    <n v="6893.02"/>
    <s v="0000000127"/>
    <s v="3254"/>
    <d v="2022-10-01T00:00:00"/>
    <s v="330701004"/>
    <s v="201"/>
    <s v="90"/>
    <s v="Credito"/>
    <x v="2"/>
    <x v="216"/>
    <m/>
    <s v="000252"/>
    <s v="000132"/>
    <n v="6893.02"/>
    <s v="0,00"/>
    <s v="0,00"/>
    <s v="0,00"/>
    <s v="0,00"/>
    <s v="ORC2022_2"/>
    <s v="0012"/>
    <m/>
    <m/>
    <m/>
    <m/>
    <m/>
  </r>
  <r>
    <s v="ICMS"/>
    <x v="67"/>
    <x v="0"/>
    <n v="10710.69"/>
    <s v="0000000127"/>
    <s v="3255"/>
    <d v="2022-11-01T00:00:00"/>
    <s v="330701004"/>
    <s v="304"/>
    <s v="11"/>
    <s v="Credito"/>
    <x v="2"/>
    <x v="216"/>
    <m/>
    <s v="000252"/>
    <s v="000132"/>
    <n v="10710.69"/>
    <s v="0,00"/>
    <s v="0,00"/>
    <s v="0,00"/>
    <s v="0,00"/>
    <s v="ORC2022_2"/>
    <s v="0012"/>
    <m/>
    <m/>
    <m/>
    <m/>
    <m/>
  </r>
  <r>
    <s v="ICMS"/>
    <x v="67"/>
    <x v="0"/>
    <n v="6961.95"/>
    <s v="0000000127"/>
    <s v="3256"/>
    <d v="2022-11-01T00:00:00"/>
    <s v="330701004"/>
    <s v="201"/>
    <s v="90"/>
    <s v="Credito"/>
    <x v="2"/>
    <x v="216"/>
    <m/>
    <s v="000252"/>
    <s v="000132"/>
    <n v="6961.95"/>
    <s v="0,00"/>
    <s v="0,00"/>
    <s v="0,00"/>
    <s v="0,00"/>
    <s v="ORC2022_2"/>
    <s v="0012"/>
    <m/>
    <m/>
    <m/>
    <m/>
    <m/>
  </r>
  <r>
    <s v="ICMS"/>
    <x v="67"/>
    <x v="1"/>
    <n v="10817.8"/>
    <s v="0000000127"/>
    <s v="3257"/>
    <d v="2022-12-01T00:00:00"/>
    <s v="330701004"/>
    <s v="304"/>
    <s v="11"/>
    <s v="Credito"/>
    <x v="2"/>
    <x v="216"/>
    <m/>
    <s v="000252"/>
    <s v="000132"/>
    <n v="10817.8"/>
    <s v="0,00"/>
    <s v="0,00"/>
    <s v="0,00"/>
    <s v="0,00"/>
    <s v="ORC2022_2"/>
    <s v="0012"/>
    <m/>
    <m/>
    <m/>
    <m/>
    <m/>
  </r>
  <r>
    <s v="ICMS"/>
    <x v="67"/>
    <x v="1"/>
    <n v="7031.57"/>
    <s v="0000000127"/>
    <s v="3258"/>
    <d v="2022-12-01T00:00:00"/>
    <s v="330701004"/>
    <s v="201"/>
    <s v="90"/>
    <s v="Credito"/>
    <x v="2"/>
    <x v="216"/>
    <m/>
    <s v="000252"/>
    <s v="000132"/>
    <n v="7031.57"/>
    <s v="0,00"/>
    <s v="0,00"/>
    <s v="0,00"/>
    <s v="0,00"/>
    <s v="ORC2022_2"/>
    <s v="0012"/>
    <m/>
    <m/>
    <m/>
    <m/>
    <m/>
  </r>
  <r>
    <s v="IR - CONTRATO DE CAMBIO"/>
    <x v="68"/>
    <x v="10"/>
    <n v="9009"/>
    <s v="0000000127"/>
    <s v="3259"/>
    <d v="2022-03-01T00:00:00"/>
    <s v="330701006"/>
    <s v="202"/>
    <s v="90"/>
    <s v="Credito"/>
    <x v="2"/>
    <x v="216"/>
    <m/>
    <s v="000252"/>
    <s v="000132"/>
    <n v="9009"/>
    <s v="0,00"/>
    <s v="0,00"/>
    <s v="0,00"/>
    <s v="0,00"/>
    <s v="ORC2022_2"/>
    <s v="0012"/>
    <m/>
    <m/>
    <m/>
    <m/>
    <m/>
  </r>
  <r>
    <s v="IR - CONTRATO DE CAMBIO"/>
    <x v="68"/>
    <x v="12"/>
    <n v="15707.15"/>
    <s v="0000000127"/>
    <s v="3260"/>
    <d v="2022-05-01T00:00:00"/>
    <s v="330701006"/>
    <s v="202"/>
    <s v="90"/>
    <s v="Credito"/>
    <x v="2"/>
    <x v="216"/>
    <m/>
    <s v="000252"/>
    <s v="000132"/>
    <n v="15707.15"/>
    <s v="0,00"/>
    <s v="0,00"/>
    <s v="0,00"/>
    <s v="0,00"/>
    <s v="ORC2022_2"/>
    <s v="0012"/>
    <m/>
    <m/>
    <m/>
    <m/>
    <m/>
  </r>
  <r>
    <s v="IR - CONTRATO DE CAMBIO"/>
    <x v="68"/>
    <x v="13"/>
    <n v="1194.56"/>
    <s v="0000000127"/>
    <s v="3261"/>
    <d v="2022-06-01T00:00:00"/>
    <s v="330701006"/>
    <s v="202"/>
    <s v="90"/>
    <s v="Credito"/>
    <x v="2"/>
    <x v="216"/>
    <m/>
    <s v="000252"/>
    <s v="000132"/>
    <n v="1194.56"/>
    <s v="0,00"/>
    <s v="0,00"/>
    <s v="0,00"/>
    <s v="0,00"/>
    <s v="ORC2022_2"/>
    <s v="0012"/>
    <m/>
    <m/>
    <m/>
    <m/>
    <m/>
  </r>
  <r>
    <s v="IR - CONTRATO DE CAMBIO"/>
    <x v="68"/>
    <x v="14"/>
    <n v="9936.16"/>
    <s v="0000000127"/>
    <s v="3262"/>
    <d v="2022-07-01T00:00:00"/>
    <s v="330701006"/>
    <s v="202"/>
    <s v="90"/>
    <s v="Credito"/>
    <x v="2"/>
    <x v="216"/>
    <m/>
    <s v="000252"/>
    <s v="000132"/>
    <n v="9936.16"/>
    <s v="0,00"/>
    <s v="0,00"/>
    <s v="0,00"/>
    <s v="0,00"/>
    <s v="ORC2022_2"/>
    <s v="0012"/>
    <m/>
    <m/>
    <m/>
    <m/>
    <m/>
  </r>
  <r>
    <s v="IR - CONTRATO DE CAMBIO"/>
    <x v="68"/>
    <x v="15"/>
    <n v="3322.66"/>
    <s v="0000000127"/>
    <s v="3263"/>
    <d v="2022-08-01T00:00:00"/>
    <s v="330701006"/>
    <s v="202"/>
    <s v="90"/>
    <s v="Credito"/>
    <x v="2"/>
    <x v="216"/>
    <m/>
    <s v="000252"/>
    <s v="000132"/>
    <n v="3322.66"/>
    <s v="0,00"/>
    <s v="0,00"/>
    <s v="0,00"/>
    <s v="0,00"/>
    <s v="ORC2022_2"/>
    <s v="0012"/>
    <m/>
    <m/>
    <m/>
    <m/>
    <m/>
  </r>
  <r>
    <s v="IR - CONTRATO DE CAMBIO"/>
    <x v="68"/>
    <x v="16"/>
    <n v="4641.01"/>
    <s v="0000000127"/>
    <s v="3264"/>
    <d v="2022-09-01T00:00:00"/>
    <s v="330701006"/>
    <s v="202"/>
    <s v="90"/>
    <s v="Credito"/>
    <x v="2"/>
    <x v="216"/>
    <m/>
    <s v="000252"/>
    <s v="000132"/>
    <n v="4641.01"/>
    <s v="0,00"/>
    <s v="0,00"/>
    <s v="0,00"/>
    <s v="0,00"/>
    <s v="ORC2022_2"/>
    <s v="0012"/>
    <m/>
    <m/>
    <m/>
    <m/>
    <m/>
  </r>
  <r>
    <s v="IR - CONTRATO DE CAMBIO"/>
    <x v="68"/>
    <x v="17"/>
    <n v="4687.42"/>
    <s v="0000000127"/>
    <s v="3265"/>
    <d v="2022-10-01T00:00:00"/>
    <s v="330701006"/>
    <s v="202"/>
    <s v="90"/>
    <s v="Credito"/>
    <x v="2"/>
    <x v="216"/>
    <m/>
    <s v="000252"/>
    <s v="000132"/>
    <n v="4687.42"/>
    <s v="0,00"/>
    <s v="0,00"/>
    <s v="0,00"/>
    <s v="0,00"/>
    <s v="ORC2022_2"/>
    <s v="0012"/>
    <m/>
    <m/>
    <m/>
    <m/>
    <m/>
  </r>
  <r>
    <s v="IR - CONTRATO DE CAMBIO"/>
    <x v="68"/>
    <x v="0"/>
    <n v="4734.29"/>
    <s v="0000000127"/>
    <s v="3266"/>
    <d v="2022-11-01T00:00:00"/>
    <s v="330701006"/>
    <s v="202"/>
    <s v="90"/>
    <s v="Credito"/>
    <x v="2"/>
    <x v="216"/>
    <m/>
    <s v="000252"/>
    <s v="000132"/>
    <n v="4734.29"/>
    <s v="0,00"/>
    <s v="0,00"/>
    <s v="0,00"/>
    <s v="0,00"/>
    <s v="ORC2022_2"/>
    <s v="0012"/>
    <m/>
    <m/>
    <m/>
    <m/>
    <m/>
  </r>
  <r>
    <s v="IR - CONTRATO DE CAMBIO"/>
    <x v="68"/>
    <x v="1"/>
    <n v="4781.6400000000003"/>
    <s v="0000000127"/>
    <s v="3267"/>
    <d v="2022-12-01T00:00:00"/>
    <s v="330701006"/>
    <s v="202"/>
    <s v="90"/>
    <s v="Credito"/>
    <x v="2"/>
    <x v="216"/>
    <m/>
    <s v="000252"/>
    <s v="000132"/>
    <n v="4781.6400000000003"/>
    <s v="0,00"/>
    <s v="0,00"/>
    <s v="0,00"/>
    <s v="0,00"/>
    <s v="ORC2022_2"/>
    <s v="0012"/>
    <m/>
    <m/>
    <m/>
    <m/>
    <m/>
  </r>
  <r>
    <s v="OUTROS IMPOSTOS E TAXAS"/>
    <x v="69"/>
    <x v="15"/>
    <n v="6439.67"/>
    <s v="0000000127"/>
    <s v="3268"/>
    <d v="2022-08-01T00:00:00"/>
    <s v="330701007"/>
    <s v="304"/>
    <s v="11"/>
    <s v="Credito"/>
    <x v="2"/>
    <x v="216"/>
    <m/>
    <s v="000252"/>
    <s v="000132"/>
    <n v="6439.67"/>
    <s v="0,00"/>
    <s v="0,00"/>
    <s v="0,00"/>
    <s v="0,00"/>
    <s v="ORC2022_2"/>
    <s v="0012"/>
    <m/>
    <m/>
    <m/>
    <m/>
    <m/>
  </r>
  <r>
    <s v="OUTROS IMPOSTOS E TAXAS"/>
    <x v="69"/>
    <x v="16"/>
    <n v="6465.42"/>
    <s v="0000000127"/>
    <s v="3269"/>
    <d v="2022-09-01T00:00:00"/>
    <s v="330701007"/>
    <s v="304"/>
    <s v="11"/>
    <s v="Credito"/>
    <x v="2"/>
    <x v="216"/>
    <m/>
    <s v="000252"/>
    <s v="000132"/>
    <n v="6465.42"/>
    <s v="0,00"/>
    <s v="0,00"/>
    <s v="0,00"/>
    <s v="0,00"/>
    <s v="ORC2022_2"/>
    <s v="0012"/>
    <m/>
    <m/>
    <m/>
    <m/>
    <m/>
  </r>
  <r>
    <s v="OUTROS IMPOSTOS E TAXAS"/>
    <x v="69"/>
    <x v="17"/>
    <n v="6530.07"/>
    <s v="0000000127"/>
    <s v="3270"/>
    <d v="2022-10-01T00:00:00"/>
    <s v="330701007"/>
    <s v="304"/>
    <s v="11"/>
    <s v="Credito"/>
    <x v="2"/>
    <x v="216"/>
    <m/>
    <s v="000252"/>
    <s v="000132"/>
    <n v="6530.07"/>
    <s v="0,00"/>
    <s v="0,00"/>
    <s v="0,00"/>
    <s v="0,00"/>
    <s v="ORC2022_2"/>
    <s v="0012"/>
    <m/>
    <m/>
    <m/>
    <m/>
    <m/>
  </r>
  <r>
    <s v="OUTROS IMPOSTOS E TAXAS"/>
    <x v="69"/>
    <x v="0"/>
    <n v="6595.37"/>
    <s v="0000000127"/>
    <s v="3271"/>
    <d v="2022-11-01T00:00:00"/>
    <s v="330701007"/>
    <s v="304"/>
    <s v="11"/>
    <s v="Credito"/>
    <x v="2"/>
    <x v="216"/>
    <m/>
    <s v="000252"/>
    <s v="000132"/>
    <n v="6595.37"/>
    <s v="0,00"/>
    <s v="0,00"/>
    <s v="0,00"/>
    <s v="0,00"/>
    <s v="ORC2022_2"/>
    <s v="0012"/>
    <m/>
    <m/>
    <m/>
    <m/>
    <m/>
  </r>
  <r>
    <s v="OUTROS IMPOSTOS E TAXAS"/>
    <x v="69"/>
    <x v="1"/>
    <n v="6661.33"/>
    <s v="0000000127"/>
    <s v="3272"/>
    <d v="2022-12-01T00:00:00"/>
    <s v="330701007"/>
    <s v="304"/>
    <s v="11"/>
    <s v="Credito"/>
    <x v="2"/>
    <x v="216"/>
    <m/>
    <s v="000252"/>
    <s v="000132"/>
    <n v="6661.33"/>
    <s v="0,00"/>
    <s v="0,00"/>
    <s v="0,00"/>
    <s v="0,00"/>
    <s v="ORC2022_2"/>
    <s v="0012"/>
    <m/>
    <m/>
    <m/>
    <m/>
    <m/>
  </r>
  <r>
    <s v="ICMS DIF. DE ALIQUOTA"/>
    <x v="70"/>
    <x v="8"/>
    <n v="53576.78"/>
    <s v="0000000127"/>
    <s v="3273"/>
    <d v="2022-01-01T00:00:00"/>
    <s v="330701008"/>
    <s v="201"/>
    <s v="90"/>
    <s v="Credito"/>
    <x v="2"/>
    <x v="216"/>
    <m/>
    <s v="000252"/>
    <s v="000132"/>
    <n v="53576.78"/>
    <s v="0,00"/>
    <s v="0,00"/>
    <s v="0,00"/>
    <s v="0,00"/>
    <s v="ORC2022_2"/>
    <s v="0012"/>
    <m/>
    <m/>
    <m/>
    <m/>
    <m/>
  </r>
  <r>
    <s v="ICMS DIF. DE ALIQUOTA"/>
    <x v="70"/>
    <x v="9"/>
    <n v="86403.34"/>
    <s v="0000000127"/>
    <s v="3274"/>
    <d v="2022-02-01T00:00:00"/>
    <s v="330701008"/>
    <s v="201"/>
    <s v="90"/>
    <s v="Credito"/>
    <x v="2"/>
    <x v="216"/>
    <m/>
    <s v="000252"/>
    <s v="000132"/>
    <n v="86403.34"/>
    <s v="0,00"/>
    <s v="0,00"/>
    <s v="0,00"/>
    <s v="0,00"/>
    <s v="ORC2022_2"/>
    <s v="0012"/>
    <m/>
    <m/>
    <m/>
    <m/>
    <m/>
  </r>
  <r>
    <s v="ICMS DIF. DE ALIQUOTA"/>
    <x v="70"/>
    <x v="10"/>
    <n v="72723.960000000006"/>
    <s v="0000000127"/>
    <s v="3275"/>
    <d v="2022-03-01T00:00:00"/>
    <s v="330701008"/>
    <s v="201"/>
    <s v="90"/>
    <s v="Credito"/>
    <x v="2"/>
    <x v="216"/>
    <m/>
    <s v="000252"/>
    <s v="000132"/>
    <n v="72723.960000000006"/>
    <s v="0,00"/>
    <s v="0,00"/>
    <s v="0,00"/>
    <s v="0,00"/>
    <s v="ORC2022_2"/>
    <s v="0012"/>
    <m/>
    <m/>
    <m/>
    <m/>
    <m/>
  </r>
  <r>
    <s v="ICMS DIF. DE ALIQUOTA"/>
    <x v="70"/>
    <x v="11"/>
    <n v="32574.03"/>
    <s v="0000000127"/>
    <s v="3276"/>
    <d v="2022-04-01T00:00:00"/>
    <s v="330701008"/>
    <s v="201"/>
    <s v="90"/>
    <s v="Credito"/>
    <x v="2"/>
    <x v="216"/>
    <m/>
    <s v="000252"/>
    <s v="000132"/>
    <n v="32574.03"/>
    <s v="0,00"/>
    <s v="0,00"/>
    <s v="0,00"/>
    <s v="0,00"/>
    <s v="ORC2022_2"/>
    <s v="0012"/>
    <m/>
    <m/>
    <m/>
    <m/>
    <m/>
  </r>
  <r>
    <s v="ICMS DIF. DE ALIQUOTA"/>
    <x v="70"/>
    <x v="11"/>
    <n v="2440.5"/>
    <s v="0000000127"/>
    <s v="3277"/>
    <d v="2022-04-01T00:00:00"/>
    <s v="330701008"/>
    <s v="202"/>
    <s v="90"/>
    <s v="Credito"/>
    <x v="2"/>
    <x v="216"/>
    <m/>
    <s v="000252"/>
    <s v="000132"/>
    <n v="2440.5"/>
    <s v="0,00"/>
    <s v="0,00"/>
    <s v="0,00"/>
    <s v="0,00"/>
    <s v="ORC2022_2"/>
    <s v="0012"/>
    <m/>
    <m/>
    <m/>
    <m/>
    <m/>
  </r>
  <r>
    <s v="ICMS DIF. DE ALIQUOTA"/>
    <x v="70"/>
    <x v="12"/>
    <n v="56504.4"/>
    <s v="0000000127"/>
    <s v="3278"/>
    <d v="2022-05-01T00:00:00"/>
    <s v="330701008"/>
    <s v="201"/>
    <s v="90"/>
    <s v="Credito"/>
    <x v="2"/>
    <x v="216"/>
    <m/>
    <s v="000252"/>
    <s v="000132"/>
    <n v="56504.4"/>
    <s v="0,00"/>
    <s v="0,00"/>
    <s v="0,00"/>
    <s v="0,00"/>
    <s v="ORC2022_2"/>
    <s v="0012"/>
    <m/>
    <m/>
    <m/>
    <m/>
    <m/>
  </r>
  <r>
    <s v="ICMS DIF. DE ALIQUOTA"/>
    <x v="70"/>
    <x v="13"/>
    <n v="42334.74"/>
    <s v="0000000127"/>
    <s v="3279"/>
    <d v="2022-06-01T00:00:00"/>
    <s v="330701008"/>
    <s v="201"/>
    <s v="90"/>
    <s v="Credito"/>
    <x v="2"/>
    <x v="216"/>
    <m/>
    <s v="000252"/>
    <s v="000132"/>
    <n v="42334.74"/>
    <s v="0,00"/>
    <s v="0,00"/>
    <s v="0,00"/>
    <s v="0,00"/>
    <s v="ORC2022_2"/>
    <s v="0012"/>
    <m/>
    <m/>
    <m/>
    <m/>
    <m/>
  </r>
  <r>
    <s v="ICMS DIF. DE ALIQUOTA"/>
    <x v="70"/>
    <x v="14"/>
    <n v="26676.52"/>
    <s v="0000000127"/>
    <s v="3280"/>
    <d v="2022-07-01T00:00:00"/>
    <s v="330701008"/>
    <s v="201"/>
    <s v="90"/>
    <s v="Credito"/>
    <x v="2"/>
    <x v="216"/>
    <m/>
    <s v="000252"/>
    <s v="000132"/>
    <n v="26676.52"/>
    <s v="0,00"/>
    <s v="0,00"/>
    <s v="0,00"/>
    <s v="0,00"/>
    <s v="ORC2022_2"/>
    <s v="0012"/>
    <m/>
    <m/>
    <m/>
    <m/>
    <m/>
  </r>
  <r>
    <s v="ICMS DIF. DE ALIQUOTA"/>
    <x v="70"/>
    <x v="15"/>
    <n v="244332.34"/>
    <s v="0000000127"/>
    <s v="3281"/>
    <d v="2022-08-01T00:00:00"/>
    <s v="330701008"/>
    <s v="201"/>
    <s v="90"/>
    <s v="Credito"/>
    <x v="2"/>
    <x v="216"/>
    <m/>
    <s v="000252"/>
    <s v="000132"/>
    <n v="244332.34"/>
    <s v="0,00"/>
    <s v="0,00"/>
    <s v="0,00"/>
    <s v="0,00"/>
    <s v="ORC2022_2"/>
    <s v="0012"/>
    <m/>
    <m/>
    <m/>
    <m/>
    <m/>
  </r>
  <r>
    <s v="ICMS DIF. DE ALIQUOTA"/>
    <x v="70"/>
    <x v="16"/>
    <n v="280872.09999999998"/>
    <s v="0000000127"/>
    <s v="3282"/>
    <d v="2022-09-01T00:00:00"/>
    <s v="330701008"/>
    <s v="201"/>
    <s v="90"/>
    <s v="Credito"/>
    <x v="2"/>
    <x v="216"/>
    <m/>
    <s v="000252"/>
    <s v="000132"/>
    <n v="280872.09999999998"/>
    <s v="0,00"/>
    <s v="0,00"/>
    <s v="0,00"/>
    <s v="0,00"/>
    <s v="ORC2022_2"/>
    <s v="0012"/>
    <m/>
    <m/>
    <m/>
    <m/>
    <m/>
  </r>
  <r>
    <s v="ICMS DIF. DE ALIQUOTA"/>
    <x v="70"/>
    <x v="17"/>
    <n v="283680.82"/>
    <s v="0000000127"/>
    <s v="3283"/>
    <d v="2022-10-01T00:00:00"/>
    <s v="330701008"/>
    <s v="201"/>
    <s v="90"/>
    <s v="Credito"/>
    <x v="2"/>
    <x v="216"/>
    <m/>
    <s v="000252"/>
    <s v="000132"/>
    <n v="283680.82"/>
    <s v="0,00"/>
    <s v="0,00"/>
    <s v="0,00"/>
    <s v="0,00"/>
    <s v="ORC2022_2"/>
    <s v="0012"/>
    <m/>
    <m/>
    <m/>
    <m/>
    <m/>
  </r>
  <r>
    <s v="ICMS DIF. DE ALIQUOTA"/>
    <x v="70"/>
    <x v="0"/>
    <n v="286517.63"/>
    <s v="0000000127"/>
    <s v="3284"/>
    <d v="2022-11-01T00:00:00"/>
    <s v="330701008"/>
    <s v="201"/>
    <s v="90"/>
    <s v="Credito"/>
    <x v="2"/>
    <x v="216"/>
    <m/>
    <s v="000252"/>
    <s v="000132"/>
    <n v="286517.63"/>
    <s v="0,00"/>
    <s v="0,00"/>
    <s v="0,00"/>
    <s v="0,00"/>
    <s v="ORC2022_2"/>
    <s v="0012"/>
    <m/>
    <m/>
    <m/>
    <m/>
    <m/>
  </r>
  <r>
    <s v="ICMS DIF. DE ALIQUOTA"/>
    <x v="70"/>
    <x v="1"/>
    <n v="289382.81"/>
    <s v="0000000127"/>
    <s v="3285"/>
    <d v="2022-12-01T00:00:00"/>
    <s v="330701008"/>
    <s v="201"/>
    <s v="90"/>
    <s v="Credito"/>
    <x v="2"/>
    <x v="216"/>
    <m/>
    <s v="000252"/>
    <s v="000132"/>
    <n v="289382.81"/>
    <s v="0,00"/>
    <s v="0,00"/>
    <s v="0,00"/>
    <s v="0,00"/>
    <s v="ORC2022_2"/>
    <s v="0012"/>
    <m/>
    <m/>
    <m/>
    <m/>
    <m/>
  </r>
  <r>
    <s v="CUSTO DE BENS ALIENADOS/BAIXADOS"/>
    <x v="71"/>
    <x v="8"/>
    <n v="95174.79"/>
    <s v="0000000127"/>
    <s v="3286"/>
    <d v="2022-01-01T00:00:00"/>
    <s v="331803"/>
    <s v="301"/>
    <s v="90"/>
    <s v="Credito"/>
    <x v="2"/>
    <x v="216"/>
    <m/>
    <s v="000252"/>
    <s v="000132"/>
    <n v="95174.79"/>
    <s v="0,00"/>
    <s v="0,00"/>
    <s v="0,00"/>
    <s v="0,00"/>
    <s v="ORC2022_2"/>
    <s v="0012"/>
    <m/>
    <m/>
    <m/>
    <m/>
    <m/>
  </r>
  <r>
    <s v="CUSTO DE BENS ALIENADOS/BAIXADOS"/>
    <x v="71"/>
    <x v="10"/>
    <n v="78280.570000000007"/>
    <s v="0000000127"/>
    <s v="3287"/>
    <d v="2022-03-01T00:00:00"/>
    <s v="331803"/>
    <s v="305"/>
    <s v="21"/>
    <s v="Credito"/>
    <x v="2"/>
    <x v="216"/>
    <m/>
    <s v="000252"/>
    <s v="000132"/>
    <n v="78280.570000000007"/>
    <s v="0,00"/>
    <s v="0,00"/>
    <s v="0,00"/>
    <s v="0,00"/>
    <s v="ORC2022_2"/>
    <s v="0012"/>
    <m/>
    <m/>
    <m/>
    <m/>
    <m/>
  </r>
  <r>
    <s v="CUSTO DE BENS ALIENADOS/BAIXADOS"/>
    <x v="71"/>
    <x v="12"/>
    <n v="210000"/>
    <s v="0000000127"/>
    <s v="3288"/>
    <d v="2022-05-01T00:00:00"/>
    <s v="331803"/>
    <s v="304"/>
    <s v="11"/>
    <s v="Credito"/>
    <x v="2"/>
    <x v="216"/>
    <m/>
    <s v="000252"/>
    <s v="000132"/>
    <n v="210000"/>
    <s v="0,00"/>
    <s v="0,00"/>
    <s v="0,00"/>
    <s v="0,00"/>
    <s v="ORC2022_2"/>
    <s v="0012"/>
    <m/>
    <m/>
    <m/>
    <m/>
    <m/>
  </r>
  <r>
    <s v="CUSTO DE BENS ALIENADOS/BAIXADOS"/>
    <x v="71"/>
    <x v="12"/>
    <n v="78280.570000000007"/>
    <s v="0000000127"/>
    <s v="3289"/>
    <d v="2022-05-01T00:00:00"/>
    <s v="331803"/>
    <s v="302"/>
    <s v="21"/>
    <s v="Credito"/>
    <x v="2"/>
    <x v="216"/>
    <m/>
    <s v="000252"/>
    <s v="000132"/>
    <n v="78280.570000000007"/>
    <s v="0,00"/>
    <s v="0,00"/>
    <s v="0,00"/>
    <s v="0,00"/>
    <s v="ORC2022_2"/>
    <s v="0012"/>
    <m/>
    <m/>
    <m/>
    <m/>
    <m/>
  </r>
  <r>
    <s v="CUSTO DE BENS ALIENADOS/BAIXADOS"/>
    <x v="71"/>
    <x v="12"/>
    <n v="136792.43"/>
    <s v="0000000127"/>
    <s v="3290"/>
    <d v="2022-05-01T00:00:00"/>
    <s v="331803"/>
    <s v="305"/>
    <s v="21"/>
    <s v="Credito"/>
    <x v="2"/>
    <x v="216"/>
    <m/>
    <s v="000252"/>
    <s v="000132"/>
    <n v="136792.43"/>
    <s v="0,00"/>
    <s v="0,00"/>
    <s v="0,00"/>
    <s v="0,00"/>
    <s v="ORC2022_2"/>
    <s v="0012"/>
    <m/>
    <m/>
    <m/>
    <m/>
    <m/>
  </r>
  <r>
    <s v="CUSTO DE BENS ALIENADOS/BAIXADOS"/>
    <x v="71"/>
    <x v="12"/>
    <n v="1368208.76"/>
    <s v="0000000127"/>
    <s v="3291"/>
    <d v="2022-05-01T00:00:00"/>
    <s v="331803"/>
    <s v="201"/>
    <s v="90"/>
    <s v="Credito"/>
    <x v="2"/>
    <x v="216"/>
    <m/>
    <s v="000252"/>
    <s v="000132"/>
    <n v="1368208.76"/>
    <s v="0,00"/>
    <s v="0,00"/>
    <s v="0,00"/>
    <s v="0,00"/>
    <s v="ORC2022_2"/>
    <s v="0012"/>
    <m/>
    <m/>
    <m/>
    <m/>
    <m/>
  </r>
  <r>
    <s v="CUSTO DE BENS ALIENADOS/BAIXADOS"/>
    <x v="71"/>
    <x v="13"/>
    <n v="210000"/>
    <s v="0000000127"/>
    <s v="3292"/>
    <d v="2022-06-01T00:00:00"/>
    <s v="331803"/>
    <s v="304"/>
    <s v="11"/>
    <s v="Credito"/>
    <x v="2"/>
    <x v="216"/>
    <m/>
    <s v="000252"/>
    <s v="000132"/>
    <n v="210000"/>
    <s v="0,00"/>
    <s v="0,00"/>
    <s v="0,00"/>
    <s v="0,00"/>
    <s v="ORC2022_2"/>
    <s v="0012"/>
    <m/>
    <m/>
    <m/>
    <m/>
    <m/>
  </r>
  <r>
    <s v="CUSTO DE BENS ALIENADOS/BAIXADOS"/>
    <x v="71"/>
    <x v="13"/>
    <n v="292135.76"/>
    <s v="0000000127"/>
    <s v="3293"/>
    <d v="2022-06-01T00:00:00"/>
    <s v="331803"/>
    <s v="201"/>
    <s v="90"/>
    <s v="Credito"/>
    <x v="2"/>
    <x v="216"/>
    <m/>
    <s v="000252"/>
    <s v="000132"/>
    <n v="292135.76"/>
    <s v="0,00"/>
    <s v="0,00"/>
    <s v="0,00"/>
    <s v="0,00"/>
    <s v="ORC2022_2"/>
    <s v="0012"/>
    <m/>
    <m/>
    <m/>
    <m/>
    <m/>
  </r>
  <r>
    <s v="CUSTO DE BENS ALIENADOS/BAIXADOS"/>
    <x v="71"/>
    <x v="14"/>
    <n v="210000"/>
    <s v="0000000127"/>
    <s v="3294"/>
    <d v="2022-07-01T00:00:00"/>
    <s v="331803"/>
    <s v="304"/>
    <s v="11"/>
    <s v="Credito"/>
    <x v="2"/>
    <x v="216"/>
    <m/>
    <s v="000252"/>
    <s v="000132"/>
    <n v="210000"/>
    <s v="0,00"/>
    <s v="0,00"/>
    <s v="0,00"/>
    <s v="0,00"/>
    <s v="ORC2022_2"/>
    <s v="0012"/>
    <m/>
    <m/>
    <m/>
    <m/>
    <m/>
  </r>
  <r>
    <s v="CUSTO DE BENS ALIENADOS/BAIXADOS"/>
    <x v="71"/>
    <x v="14"/>
    <n v="247000"/>
    <s v="0000000127"/>
    <s v="3295"/>
    <d v="2022-07-01T00:00:00"/>
    <s v="331803"/>
    <s v="305"/>
    <s v="11"/>
    <s v="Credito"/>
    <x v="2"/>
    <x v="216"/>
    <m/>
    <s v="000252"/>
    <s v="000132"/>
    <n v="247000"/>
    <s v="0,00"/>
    <s v="0,00"/>
    <s v="0,00"/>
    <s v="0,00"/>
    <s v="ORC2022_2"/>
    <s v="0012"/>
    <m/>
    <m/>
    <m/>
    <m/>
    <m/>
  </r>
  <r>
    <s v="CUSTO DE BENS ALIENADOS/BAIXADOS"/>
    <x v="71"/>
    <x v="14"/>
    <n v="210000"/>
    <s v="0000000127"/>
    <s v="3296"/>
    <d v="2022-07-01T00:00:00"/>
    <s v="331803"/>
    <s v="201"/>
    <s v="90"/>
    <s v="Credito"/>
    <x v="2"/>
    <x v="216"/>
    <m/>
    <s v="000252"/>
    <s v="000132"/>
    <n v="210000"/>
    <s v="0,00"/>
    <s v="0,00"/>
    <s v="0,00"/>
    <s v="0,00"/>
    <s v="ORC2022_2"/>
    <s v="0012"/>
    <m/>
    <m/>
    <m/>
    <m/>
    <m/>
  </r>
  <r>
    <s v="CUSTO DE BENS ALIENADOS/BAIXADOS"/>
    <x v="71"/>
    <x v="15"/>
    <n v="467000"/>
    <s v="0000000127"/>
    <s v="3297"/>
    <d v="2022-08-01T00:00:00"/>
    <s v="331803"/>
    <s v="304"/>
    <s v="11"/>
    <s v="Credito"/>
    <x v="2"/>
    <x v="216"/>
    <m/>
    <s v="000252"/>
    <s v="000132"/>
    <n v="467000"/>
    <s v="0,00"/>
    <s v="0,00"/>
    <s v="0,00"/>
    <s v="0,00"/>
    <s v="ORC2022_2"/>
    <s v="0012"/>
    <m/>
    <m/>
    <m/>
    <m/>
    <m/>
  </r>
  <r>
    <s v="CUSTO DE BENS ALIENADOS/BAIXADOS"/>
    <x v="71"/>
    <x v="15"/>
    <n v="220000"/>
    <s v="0000000127"/>
    <s v="3298"/>
    <d v="2022-08-01T00:00:00"/>
    <s v="331803"/>
    <s v="305"/>
    <s v="11"/>
    <s v="Credito"/>
    <x v="2"/>
    <x v="216"/>
    <m/>
    <s v="000252"/>
    <s v="000132"/>
    <n v="220000"/>
    <s v="0,00"/>
    <s v="0,00"/>
    <s v="0,00"/>
    <s v="0,00"/>
    <s v="ORC2022_2"/>
    <s v="0012"/>
    <m/>
    <m/>
    <m/>
    <m/>
    <m/>
  </r>
  <r>
    <s v="CUSTO DE BENS ALIENADOS/BAIXADOS"/>
    <x v="71"/>
    <x v="16"/>
    <n v="247000"/>
    <s v="0000000127"/>
    <s v="3299"/>
    <d v="2022-09-01T00:00:00"/>
    <s v="331803"/>
    <s v="304"/>
    <s v="11"/>
    <s v="Credito"/>
    <x v="2"/>
    <x v="216"/>
    <m/>
    <s v="000252"/>
    <s v="000132"/>
    <n v="247000"/>
    <s v="0,00"/>
    <s v="0,00"/>
    <s v="0,00"/>
    <s v="0,00"/>
    <s v="ORC2022_2"/>
    <s v="0012"/>
    <m/>
    <m/>
    <m/>
    <m/>
    <m/>
  </r>
  <r>
    <s v="CUSTO DE BENS ALIENADOS/BAIXADOS"/>
    <x v="71"/>
    <x v="16"/>
    <n v="247000"/>
    <s v="0000000127"/>
    <s v="3300"/>
    <d v="2022-09-01T00:00:00"/>
    <s v="331803"/>
    <s v="305"/>
    <s v="11"/>
    <s v="Credito"/>
    <x v="2"/>
    <x v="216"/>
    <m/>
    <s v="000252"/>
    <s v="000132"/>
    <n v="247000"/>
    <s v="0,00"/>
    <s v="0,00"/>
    <s v="0,00"/>
    <s v="0,00"/>
    <s v="ORC2022_2"/>
    <s v="0012"/>
    <m/>
    <m/>
    <m/>
    <m/>
    <m/>
  </r>
  <r>
    <s v="CUSTO DE BENS ALIENADOS/BAIXADOS"/>
    <x v="71"/>
    <x v="17"/>
    <n v="249470"/>
    <s v="0000000127"/>
    <s v="3301"/>
    <d v="2022-10-01T00:00:00"/>
    <s v="331803"/>
    <s v="304"/>
    <s v="11"/>
    <s v="Credito"/>
    <x v="2"/>
    <x v="216"/>
    <m/>
    <s v="000252"/>
    <s v="000132"/>
    <n v="249470"/>
    <s v="0,00"/>
    <s v="0,00"/>
    <s v="0,00"/>
    <s v="0,00"/>
    <s v="ORC2022_2"/>
    <s v="0012"/>
    <m/>
    <m/>
    <m/>
    <m/>
    <m/>
  </r>
  <r>
    <s v="CUSTO DE BENS ALIENADOS/BAIXADOS"/>
    <x v="71"/>
    <x v="17"/>
    <n v="249470"/>
    <s v="0000000127"/>
    <s v="3302"/>
    <d v="2022-10-01T00:00:00"/>
    <s v="331803"/>
    <s v="305"/>
    <s v="11"/>
    <s v="Credito"/>
    <x v="2"/>
    <x v="216"/>
    <m/>
    <s v="000252"/>
    <s v="000132"/>
    <n v="249470"/>
    <s v="0,00"/>
    <s v="0,00"/>
    <s v="0,00"/>
    <s v="0,00"/>
    <s v="ORC2022_2"/>
    <s v="0012"/>
    <m/>
    <m/>
    <m/>
    <m/>
    <m/>
  </r>
  <r>
    <s v="CUSTO DE BENS ALIENADOS/BAIXADOS"/>
    <x v="71"/>
    <x v="0"/>
    <n v="251964.7"/>
    <s v="0000000127"/>
    <s v="3303"/>
    <d v="2022-11-01T00:00:00"/>
    <s v="331803"/>
    <s v="304"/>
    <s v="11"/>
    <s v="Credito"/>
    <x v="2"/>
    <x v="216"/>
    <m/>
    <s v="000252"/>
    <s v="000132"/>
    <n v="251964.7"/>
    <s v="0,00"/>
    <s v="0,00"/>
    <s v="0,00"/>
    <s v="0,00"/>
    <s v="ORC2022_2"/>
    <s v="0012"/>
    <m/>
    <m/>
    <m/>
    <m/>
    <m/>
  </r>
  <r>
    <s v="CUSTO DE BENS ALIENADOS/BAIXADOS"/>
    <x v="71"/>
    <x v="0"/>
    <n v="251964.7"/>
    <s v="0000000127"/>
    <s v="3304"/>
    <d v="2022-11-01T00:00:00"/>
    <s v="331803"/>
    <s v="305"/>
    <s v="11"/>
    <s v="Credito"/>
    <x v="2"/>
    <x v="216"/>
    <m/>
    <s v="000252"/>
    <s v="000132"/>
    <n v="251964.7"/>
    <s v="0,00"/>
    <s v="0,00"/>
    <s v="0,00"/>
    <s v="0,00"/>
    <s v="ORC2022_2"/>
    <s v="0012"/>
    <m/>
    <m/>
    <m/>
    <m/>
    <m/>
  </r>
  <r>
    <s v="CUSTO DE BENS ALIENADOS/BAIXADOS"/>
    <x v="71"/>
    <x v="1"/>
    <n v="254484.35"/>
    <s v="0000000127"/>
    <s v="3305"/>
    <d v="2022-12-01T00:00:00"/>
    <s v="331803"/>
    <s v="304"/>
    <s v="11"/>
    <s v="Credito"/>
    <x v="2"/>
    <x v="216"/>
    <m/>
    <s v="000252"/>
    <s v="000132"/>
    <n v="254484.35"/>
    <s v="0,00"/>
    <s v="0,00"/>
    <s v="0,00"/>
    <s v="0,00"/>
    <s v="ORC2022_2"/>
    <s v="0012"/>
    <m/>
    <m/>
    <m/>
    <m/>
    <m/>
  </r>
  <r>
    <s v="CUSTO DE BENS ALIENADOS/BAIXADOS"/>
    <x v="71"/>
    <x v="1"/>
    <n v="254484.35"/>
    <s v="0000000127"/>
    <s v="3306"/>
    <d v="2022-12-01T00:00:00"/>
    <s v="331803"/>
    <s v="305"/>
    <s v="11"/>
    <s v="Credito"/>
    <x v="2"/>
    <x v="216"/>
    <m/>
    <s v="000252"/>
    <s v="000132"/>
    <n v="254484.35"/>
    <s v="0,00"/>
    <s v="0,00"/>
    <s v="0,00"/>
    <s v="0,00"/>
    <s v="ORC2022_2"/>
    <s v="0012"/>
    <m/>
    <m/>
    <m/>
    <m/>
    <m/>
  </r>
  <r>
    <s v="RECEITAS FINANCEIRAS"/>
    <x v="72"/>
    <x v="8"/>
    <n v="1438.33"/>
    <s v="0000000127"/>
    <s v="3307"/>
    <d v="2022-01-01T00:00:00"/>
    <s v="380101"/>
    <s v="101"/>
    <s v="51"/>
    <s v="Credito"/>
    <x v="2"/>
    <x v="216"/>
    <m/>
    <s v="000252"/>
    <s v="000132"/>
    <n v="1438.33"/>
    <s v="0,00"/>
    <s v="0,00"/>
    <s v="0,00"/>
    <s v="0,00"/>
    <s v="ORC2022_2"/>
    <s v="0012"/>
    <m/>
    <m/>
    <m/>
    <m/>
    <m/>
  </r>
  <r>
    <s v="RECEITAS FINANCEIRAS"/>
    <x v="72"/>
    <x v="8"/>
    <n v="1438.33"/>
    <s v="0000000127"/>
    <s v="3308"/>
    <d v="2022-01-01T00:00:00"/>
    <s v="380101"/>
    <s v="211"/>
    <s v="51"/>
    <s v="Credito"/>
    <x v="2"/>
    <x v="216"/>
    <m/>
    <s v="000252"/>
    <s v="000132"/>
    <n v="1438.33"/>
    <s v="0,00"/>
    <s v="0,00"/>
    <s v="0,00"/>
    <s v="0,00"/>
    <s v="ORC2022_2"/>
    <s v="0012"/>
    <m/>
    <m/>
    <m/>
    <m/>
    <m/>
  </r>
  <r>
    <s v="RECEITAS FINANCEIRAS"/>
    <x v="72"/>
    <x v="8"/>
    <n v="400"/>
    <s v="0000000127"/>
    <s v="3309"/>
    <d v="2022-01-01T00:00:00"/>
    <s v="380101"/>
    <s v="101"/>
    <s v="90"/>
    <s v="Credito"/>
    <x v="2"/>
    <x v="216"/>
    <m/>
    <s v="000252"/>
    <s v="000132"/>
    <n v="400"/>
    <s v="0,00"/>
    <s v="0,00"/>
    <s v="0,00"/>
    <s v="0,00"/>
    <s v="ORC2022_2"/>
    <s v="0012"/>
    <m/>
    <m/>
    <m/>
    <m/>
    <m/>
  </r>
  <r>
    <s v="RECEITAS FINANCEIRAS"/>
    <x v="72"/>
    <x v="8"/>
    <n v="99234.59"/>
    <s v="0000000127"/>
    <s v="3310"/>
    <d v="2022-01-01T00:00:00"/>
    <s v="380101"/>
    <s v="201"/>
    <s v="90"/>
    <s v="Credito"/>
    <x v="2"/>
    <x v="216"/>
    <m/>
    <s v="000252"/>
    <s v="000132"/>
    <n v="99234.59"/>
    <s v="0,00"/>
    <s v="0,00"/>
    <s v="0,00"/>
    <s v="0,00"/>
    <s v="ORC2022_2"/>
    <s v="0012"/>
    <m/>
    <m/>
    <m/>
    <m/>
    <m/>
  </r>
  <r>
    <s v="RECEITAS FINANCEIRAS"/>
    <x v="72"/>
    <x v="8"/>
    <n v="1063171.5900000001"/>
    <s v="0000000127"/>
    <s v="3311"/>
    <d v="2022-01-01T00:00:00"/>
    <s v="380101"/>
    <s v="202"/>
    <s v="90"/>
    <s v="Credito"/>
    <x v="2"/>
    <x v="216"/>
    <m/>
    <s v="000252"/>
    <s v="000132"/>
    <n v="1063171.5900000001"/>
    <s v="0,00"/>
    <s v="0,00"/>
    <s v="0,00"/>
    <s v="0,00"/>
    <s v="ORC2022_2"/>
    <s v="0012"/>
    <m/>
    <m/>
    <m/>
    <m/>
    <m/>
  </r>
  <r>
    <s v="RECEITAS FINANCEIRAS"/>
    <x v="72"/>
    <x v="8"/>
    <n v="57.71"/>
    <s v="0000000127"/>
    <s v="3312"/>
    <d v="2022-01-01T00:00:00"/>
    <s v="380101"/>
    <s v="301"/>
    <s v="90"/>
    <s v="Credito"/>
    <x v="2"/>
    <x v="216"/>
    <m/>
    <s v="000252"/>
    <s v="000132"/>
    <n v="57.71"/>
    <s v="0,00"/>
    <s v="0,00"/>
    <s v="0,00"/>
    <s v="0,00"/>
    <s v="ORC2022_2"/>
    <s v="0012"/>
    <m/>
    <m/>
    <m/>
    <m/>
    <m/>
  </r>
  <r>
    <s v="RECEITAS FINANCEIRAS"/>
    <x v="72"/>
    <x v="9"/>
    <n v="369247.51"/>
    <s v="0000000127"/>
    <s v="3313"/>
    <d v="2022-02-01T00:00:00"/>
    <s v="380101"/>
    <s v="305"/>
    <s v="21"/>
    <s v="Credito"/>
    <x v="2"/>
    <x v="216"/>
    <m/>
    <s v="000252"/>
    <s v="000132"/>
    <n v="369247.51"/>
    <s v="0,00"/>
    <s v="0,00"/>
    <s v="0,00"/>
    <s v="0,00"/>
    <s v="ORC2022_2"/>
    <s v="0012"/>
    <m/>
    <m/>
    <m/>
    <m/>
    <m/>
  </r>
  <r>
    <s v="RECEITAS FINANCEIRAS"/>
    <x v="72"/>
    <x v="9"/>
    <n v="901371.08"/>
    <s v="0000000127"/>
    <s v="3314"/>
    <d v="2022-02-01T00:00:00"/>
    <s v="380101"/>
    <s v="201"/>
    <s v="90"/>
    <s v="Credito"/>
    <x v="2"/>
    <x v="216"/>
    <m/>
    <s v="000252"/>
    <s v="000132"/>
    <n v="901371.08"/>
    <s v="0,00"/>
    <s v="0,00"/>
    <s v="0,00"/>
    <s v="0,00"/>
    <s v="ORC2022_2"/>
    <s v="0012"/>
    <m/>
    <m/>
    <m/>
    <m/>
    <m/>
  </r>
  <r>
    <s v="RECEITAS FINANCEIRAS"/>
    <x v="72"/>
    <x v="9"/>
    <n v="188365"/>
    <s v="0000000127"/>
    <s v="3315"/>
    <d v="2022-02-01T00:00:00"/>
    <s v="380101"/>
    <s v="202"/>
    <s v="90"/>
    <s v="Credito"/>
    <x v="2"/>
    <x v="216"/>
    <m/>
    <s v="000252"/>
    <s v="000132"/>
    <n v="188365"/>
    <s v="0,00"/>
    <s v="0,00"/>
    <s v="0,00"/>
    <s v="0,00"/>
    <s v="ORC2022_2"/>
    <s v="0012"/>
    <m/>
    <m/>
    <m/>
    <m/>
    <m/>
  </r>
  <r>
    <s v="RECEITAS FINANCEIRAS"/>
    <x v="72"/>
    <x v="10"/>
    <n v="39.04"/>
    <s v="0000000127"/>
    <s v="3316"/>
    <d v="2022-03-01T00:00:00"/>
    <s v="380101"/>
    <s v="304"/>
    <s v="11"/>
    <s v="Credito"/>
    <x v="2"/>
    <x v="216"/>
    <m/>
    <s v="000252"/>
    <s v="000132"/>
    <n v="39.04"/>
    <s v="0,00"/>
    <s v="0,00"/>
    <s v="0,00"/>
    <s v="0,00"/>
    <s v="ORC2022_2"/>
    <s v="0012"/>
    <m/>
    <m/>
    <m/>
    <m/>
    <m/>
  </r>
  <r>
    <s v="RECEITAS FINANCEIRAS"/>
    <x v="72"/>
    <x v="10"/>
    <n v="1681601.19"/>
    <s v="0000000127"/>
    <s v="3317"/>
    <d v="2022-03-01T00:00:00"/>
    <s v="380101"/>
    <s v="201"/>
    <s v="90"/>
    <s v="Credito"/>
    <x v="2"/>
    <x v="216"/>
    <m/>
    <s v="000252"/>
    <s v="000132"/>
    <n v="1681601.19"/>
    <s v="0,00"/>
    <s v="0,00"/>
    <s v="0,00"/>
    <s v="0,00"/>
    <s v="ORC2022_2"/>
    <s v="0012"/>
    <m/>
    <m/>
    <m/>
    <m/>
    <m/>
  </r>
  <r>
    <s v="RECEITAS FINANCEIRAS"/>
    <x v="72"/>
    <x v="10"/>
    <n v="124982.51"/>
    <s v="0000000127"/>
    <s v="3318"/>
    <d v="2022-03-01T00:00:00"/>
    <s v="380101"/>
    <s v="202"/>
    <s v="90"/>
    <s v="Credito"/>
    <x v="2"/>
    <x v="216"/>
    <m/>
    <s v="000252"/>
    <s v="000132"/>
    <n v="124982.51"/>
    <s v="0,00"/>
    <s v="0,00"/>
    <s v="0,00"/>
    <s v="0,00"/>
    <s v="ORC2022_2"/>
    <s v="0012"/>
    <m/>
    <m/>
    <m/>
    <m/>
    <m/>
  </r>
  <r>
    <s v="RECEITAS FINANCEIRAS"/>
    <x v="72"/>
    <x v="11"/>
    <n v="1089.26"/>
    <s v="0000000127"/>
    <s v="3319"/>
    <d v="2022-04-01T00:00:00"/>
    <s v="380101"/>
    <s v="201"/>
    <s v="90"/>
    <s v="Credito"/>
    <x v="2"/>
    <x v="216"/>
    <m/>
    <s v="000252"/>
    <s v="000132"/>
    <n v="1089.26"/>
    <s v="0,00"/>
    <s v="0,00"/>
    <s v="0,00"/>
    <s v="0,00"/>
    <s v="ORC2022_2"/>
    <s v="0012"/>
    <m/>
    <m/>
    <m/>
    <m/>
    <m/>
  </r>
  <r>
    <s v="RECEITAS FINANCEIRAS"/>
    <x v="72"/>
    <x v="11"/>
    <n v="106526.54"/>
    <s v="0000000127"/>
    <s v="3320"/>
    <d v="2022-04-01T00:00:00"/>
    <s v="380101"/>
    <s v="202"/>
    <s v="90"/>
    <s v="Credito"/>
    <x v="2"/>
    <x v="216"/>
    <m/>
    <s v="000252"/>
    <s v="000132"/>
    <n v="106526.54"/>
    <s v="0,00"/>
    <s v="0,00"/>
    <s v="0,00"/>
    <s v="0,00"/>
    <s v="ORC2022_2"/>
    <s v="0012"/>
    <m/>
    <m/>
    <m/>
    <m/>
    <m/>
  </r>
  <r>
    <s v="RECEITAS FINANCEIRAS"/>
    <x v="72"/>
    <x v="12"/>
    <n v="781917.45"/>
    <s v="0000000127"/>
    <s v="3321"/>
    <d v="2022-05-01T00:00:00"/>
    <s v="380101"/>
    <s v="305"/>
    <s v="21"/>
    <s v="Credito"/>
    <x v="2"/>
    <x v="216"/>
    <m/>
    <s v="000252"/>
    <s v="000132"/>
    <n v="781917.45"/>
    <s v="0,00"/>
    <s v="0,00"/>
    <s v="0,00"/>
    <s v="0,00"/>
    <s v="ORC2022_2"/>
    <s v="0012"/>
    <m/>
    <m/>
    <m/>
    <m/>
    <m/>
  </r>
  <r>
    <s v="RECEITAS FINANCEIRAS"/>
    <x v="72"/>
    <x v="12"/>
    <n v="873709.87"/>
    <s v="0000000127"/>
    <s v="3322"/>
    <d v="2022-05-01T00:00:00"/>
    <s v="380101"/>
    <s v="201"/>
    <s v="90"/>
    <s v="Credito"/>
    <x v="2"/>
    <x v="216"/>
    <m/>
    <s v="000252"/>
    <s v="000132"/>
    <n v="873709.87"/>
    <s v="0,00"/>
    <s v="0,00"/>
    <s v="0,00"/>
    <s v="0,00"/>
    <s v="ORC2022_2"/>
    <s v="0012"/>
    <m/>
    <m/>
    <m/>
    <m/>
    <m/>
  </r>
  <r>
    <s v="RECEITAS FINANCEIRAS"/>
    <x v="72"/>
    <x v="12"/>
    <n v="85988.08"/>
    <s v="0000000127"/>
    <s v="3323"/>
    <d v="2022-05-01T00:00:00"/>
    <s v="380101"/>
    <s v="202"/>
    <s v="90"/>
    <s v="Credito"/>
    <x v="2"/>
    <x v="216"/>
    <m/>
    <s v="000252"/>
    <s v="000132"/>
    <n v="85988.08"/>
    <s v="0,00"/>
    <s v="0,00"/>
    <s v="0,00"/>
    <s v="0,00"/>
    <s v="ORC2022_2"/>
    <s v="0012"/>
    <m/>
    <m/>
    <m/>
    <m/>
    <m/>
  </r>
  <r>
    <s v="RECEITAS FINANCEIRAS"/>
    <x v="72"/>
    <x v="13"/>
    <n v="108123.59"/>
    <s v="0000000127"/>
    <s v="3324"/>
    <d v="2022-06-01T00:00:00"/>
    <s v="380101"/>
    <s v="202"/>
    <s v="90"/>
    <s v="Credito"/>
    <x v="2"/>
    <x v="216"/>
    <m/>
    <s v="000252"/>
    <s v="000132"/>
    <n v="108123.59"/>
    <s v="0,00"/>
    <s v="0,00"/>
    <s v="0,00"/>
    <s v="0,00"/>
    <s v="ORC2022_2"/>
    <s v="0012"/>
    <m/>
    <m/>
    <m/>
    <m/>
    <m/>
  </r>
  <r>
    <s v="RECEITAS FINANCEIRAS"/>
    <x v="72"/>
    <x v="14"/>
    <n v="386983.71"/>
    <s v="0000000127"/>
    <s v="3325"/>
    <d v="2022-07-01T00:00:00"/>
    <s v="380101"/>
    <s v="201"/>
    <s v="90"/>
    <s v="Credito"/>
    <x v="2"/>
    <x v="216"/>
    <m/>
    <s v="000252"/>
    <s v="000132"/>
    <n v="386983.71"/>
    <s v="0,00"/>
    <s v="0,00"/>
    <s v="0,00"/>
    <s v="0,00"/>
    <s v="ORC2022_2"/>
    <s v="0012"/>
    <m/>
    <m/>
    <m/>
    <m/>
    <m/>
  </r>
  <r>
    <s v="RECEITAS FINANCEIRAS"/>
    <x v="72"/>
    <x v="14"/>
    <n v="111415.41"/>
    <s v="0000000127"/>
    <s v="3326"/>
    <d v="2022-07-01T00:00:00"/>
    <s v="380101"/>
    <s v="202"/>
    <s v="90"/>
    <s v="Credito"/>
    <x v="2"/>
    <x v="216"/>
    <m/>
    <s v="000252"/>
    <s v="000132"/>
    <n v="111415.41"/>
    <s v="0,00"/>
    <s v="0,00"/>
    <s v="0,00"/>
    <s v="0,00"/>
    <s v="ORC2022_2"/>
    <s v="0012"/>
    <m/>
    <m/>
    <m/>
    <m/>
    <m/>
  </r>
  <r>
    <s v="RECEITAS FINANCEIRAS"/>
    <x v="72"/>
    <x v="15"/>
    <n v="137601.17000000001"/>
    <s v="0000000127"/>
    <s v="3327"/>
    <d v="2022-08-01T00:00:00"/>
    <s v="380101"/>
    <s v="201"/>
    <s v="90"/>
    <s v="Credito"/>
    <x v="2"/>
    <x v="216"/>
    <m/>
    <s v="000252"/>
    <s v="000132"/>
    <n v="137601.17000000001"/>
    <s v="0,00"/>
    <s v="0,00"/>
    <s v="0,00"/>
    <s v="0,00"/>
    <s v="ORC2022_2"/>
    <s v="0012"/>
    <m/>
    <m/>
    <m/>
    <m/>
    <m/>
  </r>
  <r>
    <s v="RECEITAS FINANCEIRAS"/>
    <x v="72"/>
    <x v="15"/>
    <n v="111209.9"/>
    <s v="0000000127"/>
    <s v="3328"/>
    <d v="2022-08-01T00:00:00"/>
    <s v="380101"/>
    <s v="202"/>
    <s v="90"/>
    <s v="Credito"/>
    <x v="2"/>
    <x v="216"/>
    <m/>
    <s v="000252"/>
    <s v="000132"/>
    <n v="111209.9"/>
    <s v="0,00"/>
    <s v="0,00"/>
    <s v="0,00"/>
    <s v="0,00"/>
    <s v="ORC2022_2"/>
    <s v="0012"/>
    <m/>
    <m/>
    <m/>
    <m/>
    <m/>
  </r>
  <r>
    <s v="RECEITAS FINANCEIRAS"/>
    <x v="72"/>
    <x v="16"/>
    <n v="39.049999999999997"/>
    <s v="0000000127"/>
    <s v="3329"/>
    <d v="2022-09-01T00:00:00"/>
    <s v="380101"/>
    <s v="304"/>
    <s v="11"/>
    <s v="Credito"/>
    <x v="2"/>
    <x v="216"/>
    <m/>
    <s v="000252"/>
    <s v="000132"/>
    <n v="39.049999999999997"/>
    <s v="0,00"/>
    <s v="0,00"/>
    <s v="0,00"/>
    <s v="0,00"/>
    <s v="ORC2022_2"/>
    <s v="0012"/>
    <m/>
    <m/>
    <m/>
    <m/>
    <m/>
  </r>
  <r>
    <s v="RECEITAS FINANCEIRAS"/>
    <x v="72"/>
    <x v="16"/>
    <n v="480.23"/>
    <s v="0000000127"/>
    <s v="3330"/>
    <d v="2022-09-01T00:00:00"/>
    <s v="380101"/>
    <s v="201"/>
    <s v="90"/>
    <s v="Credito"/>
    <x v="2"/>
    <x v="216"/>
    <m/>
    <s v="000252"/>
    <s v="000132"/>
    <n v="480.23"/>
    <s v="0,00"/>
    <s v="0,00"/>
    <s v="0,00"/>
    <s v="0,00"/>
    <s v="ORC2022_2"/>
    <s v="0012"/>
    <m/>
    <m/>
    <m/>
    <m/>
    <m/>
  </r>
  <r>
    <s v="RECEITAS FINANCEIRAS"/>
    <x v="72"/>
    <x v="16"/>
    <n v="105438.79"/>
    <s v="0000000127"/>
    <s v="3331"/>
    <d v="2022-09-01T00:00:00"/>
    <s v="380101"/>
    <s v="202"/>
    <s v="90"/>
    <s v="Credito"/>
    <x v="2"/>
    <x v="216"/>
    <m/>
    <s v="000252"/>
    <s v="000132"/>
    <n v="105438.79"/>
    <s v="0,00"/>
    <s v="0,00"/>
    <s v="0,00"/>
    <s v="0,00"/>
    <s v="ORC2022_2"/>
    <s v="0012"/>
    <m/>
    <m/>
    <m/>
    <m/>
    <m/>
  </r>
  <r>
    <s v="RECEITAS FINANCEIRAS"/>
    <x v="72"/>
    <x v="17"/>
    <n v="39.44"/>
    <s v="0000000127"/>
    <s v="3332"/>
    <d v="2022-10-01T00:00:00"/>
    <s v="380101"/>
    <s v="304"/>
    <s v="11"/>
    <s v="Credito"/>
    <x v="2"/>
    <x v="216"/>
    <m/>
    <s v="000252"/>
    <s v="000132"/>
    <n v="39.44"/>
    <s v="0,00"/>
    <s v="0,00"/>
    <s v="0,00"/>
    <s v="0,00"/>
    <s v="ORC2022_2"/>
    <s v="0012"/>
    <m/>
    <m/>
    <m/>
    <m/>
    <m/>
  </r>
  <r>
    <s v="RECEITAS FINANCEIRAS"/>
    <x v="72"/>
    <x v="17"/>
    <n v="485.03"/>
    <s v="0000000127"/>
    <s v="3333"/>
    <d v="2022-10-01T00:00:00"/>
    <s v="380101"/>
    <s v="201"/>
    <s v="90"/>
    <s v="Credito"/>
    <x v="2"/>
    <x v="216"/>
    <m/>
    <s v="000252"/>
    <s v="000132"/>
    <n v="485.03"/>
    <s v="0,00"/>
    <s v="0,00"/>
    <s v="0,00"/>
    <s v="0,00"/>
    <s v="ORC2022_2"/>
    <s v="0012"/>
    <m/>
    <m/>
    <m/>
    <m/>
    <m/>
  </r>
  <r>
    <s v="RECEITAS FINANCEIRAS"/>
    <x v="72"/>
    <x v="17"/>
    <n v="106493.18"/>
    <s v="0000000127"/>
    <s v="3334"/>
    <d v="2022-10-01T00:00:00"/>
    <s v="380101"/>
    <s v="202"/>
    <s v="90"/>
    <s v="Credito"/>
    <x v="2"/>
    <x v="216"/>
    <m/>
    <s v="000252"/>
    <s v="000132"/>
    <n v="106493.18"/>
    <s v="0,00"/>
    <s v="0,00"/>
    <s v="0,00"/>
    <s v="0,00"/>
    <s v="ORC2022_2"/>
    <s v="0012"/>
    <m/>
    <m/>
    <m/>
    <m/>
    <m/>
  </r>
  <r>
    <s v="RECEITAS FINANCEIRAS"/>
    <x v="72"/>
    <x v="0"/>
    <n v="39.83"/>
    <s v="0000000127"/>
    <s v="3335"/>
    <d v="2022-11-01T00:00:00"/>
    <s v="380101"/>
    <s v="304"/>
    <s v="11"/>
    <s v="Credito"/>
    <x v="2"/>
    <x v="216"/>
    <m/>
    <s v="000252"/>
    <s v="000132"/>
    <n v="39.83"/>
    <s v="0,00"/>
    <s v="0,00"/>
    <s v="0,00"/>
    <s v="0,00"/>
    <s v="ORC2022_2"/>
    <s v="0012"/>
    <m/>
    <m/>
    <m/>
    <m/>
    <m/>
  </r>
  <r>
    <s v="RECEITAS FINANCEIRAS"/>
    <x v="72"/>
    <x v="0"/>
    <n v="489.88"/>
    <s v="0000000127"/>
    <s v="3336"/>
    <d v="2022-11-01T00:00:00"/>
    <s v="380101"/>
    <s v="201"/>
    <s v="90"/>
    <s v="Credito"/>
    <x v="2"/>
    <x v="216"/>
    <m/>
    <s v="000252"/>
    <s v="000132"/>
    <n v="489.88"/>
    <s v="0,00"/>
    <s v="0,00"/>
    <s v="0,00"/>
    <s v="0,00"/>
    <s v="ORC2022_2"/>
    <s v="0012"/>
    <m/>
    <m/>
    <m/>
    <m/>
    <m/>
  </r>
  <r>
    <s v="RECEITAS FINANCEIRAS"/>
    <x v="72"/>
    <x v="0"/>
    <n v="107558.11"/>
    <s v="0000000127"/>
    <s v="3337"/>
    <d v="2022-11-01T00:00:00"/>
    <s v="380101"/>
    <s v="202"/>
    <s v="90"/>
    <s v="Credito"/>
    <x v="2"/>
    <x v="216"/>
    <m/>
    <s v="000252"/>
    <s v="000132"/>
    <n v="107558.11"/>
    <s v="0,00"/>
    <s v="0,00"/>
    <s v="0,00"/>
    <s v="0,00"/>
    <s v="ORC2022_2"/>
    <s v="0012"/>
    <m/>
    <m/>
    <m/>
    <m/>
    <m/>
  </r>
  <r>
    <s v="RECEITAS FINANCEIRAS"/>
    <x v="72"/>
    <x v="1"/>
    <n v="40.229999999999997"/>
    <s v="0000000127"/>
    <s v="3338"/>
    <d v="2022-12-01T00:00:00"/>
    <s v="380101"/>
    <s v="304"/>
    <s v="11"/>
    <s v="Credito"/>
    <x v="2"/>
    <x v="216"/>
    <m/>
    <s v="000252"/>
    <s v="000132"/>
    <n v="40.229999999999997"/>
    <s v="0,00"/>
    <s v="0,00"/>
    <s v="0,00"/>
    <s v="0,00"/>
    <s v="ORC2022_2"/>
    <s v="0012"/>
    <m/>
    <m/>
    <m/>
    <m/>
    <m/>
  </r>
  <r>
    <s v="RECEITAS FINANCEIRAS"/>
    <x v="72"/>
    <x v="1"/>
    <n v="494.78"/>
    <s v="0000000127"/>
    <s v="3339"/>
    <d v="2022-12-01T00:00:00"/>
    <s v="380101"/>
    <s v="201"/>
    <s v="90"/>
    <s v="Credito"/>
    <x v="2"/>
    <x v="216"/>
    <m/>
    <s v="000252"/>
    <s v="000132"/>
    <n v="494.78"/>
    <s v="0,00"/>
    <s v="0,00"/>
    <s v="0,00"/>
    <s v="0,00"/>
    <s v="ORC2022_2"/>
    <s v="0012"/>
    <m/>
    <m/>
    <m/>
    <m/>
    <m/>
  </r>
  <r>
    <s v="RECEITAS FINANCEIRAS"/>
    <x v="72"/>
    <x v="1"/>
    <n v="108633.69"/>
    <s v="0000000127"/>
    <s v="3340"/>
    <d v="2022-12-01T00:00:00"/>
    <s v="380101"/>
    <s v="202"/>
    <s v="90"/>
    <s v="Credito"/>
    <x v="2"/>
    <x v="216"/>
    <m/>
    <s v="000252"/>
    <s v="000132"/>
    <n v="108633.69"/>
    <s v="0,00"/>
    <s v="0,00"/>
    <s v="0,00"/>
    <s v="0,00"/>
    <s v="ORC2022_2"/>
    <s v="0012"/>
    <m/>
    <m/>
    <m/>
    <m/>
    <m/>
  </r>
  <r>
    <s v="DESPESAS FINANCEIRAS"/>
    <x v="24"/>
    <x v="8"/>
    <n v="8154"/>
    <s v="0000000127"/>
    <s v="3341"/>
    <d v="2022-01-01T00:00:00"/>
    <s v="380201"/>
    <s v="304"/>
    <s v="11"/>
    <s v="Credito"/>
    <x v="2"/>
    <x v="216"/>
    <m/>
    <s v="000252"/>
    <s v="000132"/>
    <n v="8154"/>
    <s v="0,00"/>
    <s v="0,00"/>
    <s v="0,00"/>
    <s v="0,00"/>
    <s v="ORC2022_2"/>
    <s v="0012"/>
    <m/>
    <m/>
    <m/>
    <m/>
    <m/>
  </r>
  <r>
    <s v="DESPESAS FINANCEIRAS"/>
    <x v="24"/>
    <x v="8"/>
    <n v="84.18"/>
    <s v="0000000127"/>
    <s v="3342"/>
    <d v="2022-01-01T00:00:00"/>
    <s v="380201"/>
    <s v="101"/>
    <s v="90"/>
    <s v="Credito"/>
    <x v="2"/>
    <x v="216"/>
    <m/>
    <s v="000252"/>
    <s v="000132"/>
    <n v="84.18"/>
    <s v="0,00"/>
    <s v="0,00"/>
    <s v="0,00"/>
    <s v="0,00"/>
    <s v="ORC2022_2"/>
    <s v="0012"/>
    <m/>
    <m/>
    <m/>
    <m/>
    <m/>
  </r>
  <r>
    <s v="DESPESAS FINANCEIRAS"/>
    <x v="24"/>
    <x v="8"/>
    <n v="37100.42"/>
    <s v="0000000127"/>
    <s v="3343"/>
    <d v="2022-01-01T00:00:00"/>
    <s v="380201"/>
    <s v="201"/>
    <s v="90"/>
    <s v="Credito"/>
    <x v="2"/>
    <x v="216"/>
    <m/>
    <s v="000252"/>
    <s v="000132"/>
    <n v="37100.42"/>
    <s v="0,00"/>
    <s v="0,00"/>
    <s v="0,00"/>
    <s v="0,00"/>
    <s v="ORC2022_2"/>
    <s v="0012"/>
    <m/>
    <m/>
    <m/>
    <m/>
    <m/>
  </r>
  <r>
    <s v="DESPESAS FINANCEIRAS"/>
    <x v="24"/>
    <x v="8"/>
    <n v="241855.45"/>
    <s v="0000000127"/>
    <s v="3344"/>
    <d v="2022-01-01T00:00:00"/>
    <s v="380201"/>
    <s v="202"/>
    <s v="90"/>
    <s v="Credito"/>
    <x v="2"/>
    <x v="216"/>
    <m/>
    <s v="000252"/>
    <s v="000132"/>
    <n v="241855.45"/>
    <s v="0,00"/>
    <s v="0,00"/>
    <s v="0,00"/>
    <s v="0,00"/>
    <s v="ORC2022_2"/>
    <s v="0012"/>
    <m/>
    <m/>
    <m/>
    <m/>
    <m/>
  </r>
  <r>
    <s v="DESPESAS FINANCEIRAS"/>
    <x v="24"/>
    <x v="8"/>
    <n v="970.13"/>
    <s v="0000000127"/>
    <s v="3345"/>
    <d v="2022-01-01T00:00:00"/>
    <s v="380201"/>
    <s v="301"/>
    <s v="90"/>
    <s v="Credito"/>
    <x v="2"/>
    <x v="216"/>
    <m/>
    <s v="000252"/>
    <s v="000132"/>
    <n v="970.13"/>
    <s v="0,00"/>
    <s v="0,00"/>
    <s v="0,00"/>
    <s v="0,00"/>
    <s v="ORC2022_2"/>
    <s v="0012"/>
    <m/>
    <m/>
    <m/>
    <m/>
    <m/>
  </r>
  <r>
    <s v="DESPESAS FINANCEIRAS"/>
    <x v="24"/>
    <x v="9"/>
    <n v="0.05"/>
    <s v="0000000127"/>
    <s v="3346"/>
    <d v="2022-02-01T00:00:00"/>
    <s v="380201"/>
    <s v="305"/>
    <s v="21"/>
    <s v="Credito"/>
    <x v="2"/>
    <x v="216"/>
    <m/>
    <s v="000252"/>
    <s v="000132"/>
    <n v="0.05"/>
    <s v="0,00"/>
    <s v="0,00"/>
    <s v="0,00"/>
    <s v="0,00"/>
    <s v="ORC2022_2"/>
    <s v="0012"/>
    <m/>
    <m/>
    <m/>
    <m/>
    <m/>
  </r>
  <r>
    <s v="DESPESAS FINANCEIRAS"/>
    <x v="24"/>
    <x v="9"/>
    <n v="183945.16"/>
    <s v="0000000127"/>
    <s v="3347"/>
    <d v="2022-02-01T00:00:00"/>
    <s v="380201"/>
    <s v="201"/>
    <s v="90"/>
    <s v="Credito"/>
    <x v="2"/>
    <x v="216"/>
    <m/>
    <s v="000252"/>
    <s v="000132"/>
    <n v="183945.16"/>
    <s v="0,00"/>
    <s v="0,00"/>
    <s v="0,00"/>
    <s v="0,00"/>
    <s v="ORC2022_2"/>
    <s v="0012"/>
    <m/>
    <m/>
    <m/>
    <m/>
    <m/>
  </r>
  <r>
    <s v="DESPESAS FINANCEIRAS"/>
    <x v="24"/>
    <x v="9"/>
    <n v="157680.78"/>
    <s v="0000000127"/>
    <s v="3348"/>
    <d v="2022-02-01T00:00:00"/>
    <s v="380201"/>
    <s v="202"/>
    <s v="90"/>
    <s v="Credito"/>
    <x v="2"/>
    <x v="216"/>
    <m/>
    <s v="000252"/>
    <s v="000132"/>
    <n v="157680.78"/>
    <s v="0,00"/>
    <s v="0,00"/>
    <s v="0,00"/>
    <s v="0,00"/>
    <s v="ORC2022_2"/>
    <s v="0012"/>
    <m/>
    <m/>
    <m/>
    <m/>
    <m/>
  </r>
  <r>
    <s v="DESPESAS FINANCEIRAS"/>
    <x v="24"/>
    <x v="9"/>
    <n v="678.03"/>
    <s v="0000000127"/>
    <s v="3349"/>
    <d v="2022-02-01T00:00:00"/>
    <s v="380201"/>
    <s v="301"/>
    <s v="90"/>
    <s v="Credito"/>
    <x v="2"/>
    <x v="216"/>
    <m/>
    <s v="000252"/>
    <s v="000132"/>
    <n v="678.03"/>
    <s v="0,00"/>
    <s v="0,00"/>
    <s v="0,00"/>
    <s v="0,00"/>
    <s v="ORC2022_2"/>
    <s v="0012"/>
    <m/>
    <m/>
    <m/>
    <m/>
    <m/>
  </r>
  <r>
    <s v="DESPESAS FINANCEIRAS"/>
    <x v="24"/>
    <x v="10"/>
    <n v="18.760000000000002"/>
    <s v="0000000127"/>
    <s v="3350"/>
    <d v="2022-03-01T00:00:00"/>
    <s v="380201"/>
    <s v="304"/>
    <s v="11"/>
    <s v="Credito"/>
    <x v="2"/>
    <x v="216"/>
    <m/>
    <s v="000252"/>
    <s v="000132"/>
    <n v="18.760000000000002"/>
    <s v="0,00"/>
    <s v="0,00"/>
    <s v="0,00"/>
    <s v="0,00"/>
    <s v="ORC2022_2"/>
    <s v="0012"/>
    <m/>
    <m/>
    <m/>
    <m/>
    <m/>
  </r>
  <r>
    <s v="DESPESAS FINANCEIRAS"/>
    <x v="24"/>
    <x v="10"/>
    <n v="195142.73"/>
    <s v="0000000127"/>
    <s v="3351"/>
    <d v="2022-03-01T00:00:00"/>
    <s v="380201"/>
    <s v="201"/>
    <s v="90"/>
    <s v="Credito"/>
    <x v="2"/>
    <x v="216"/>
    <m/>
    <s v="000252"/>
    <s v="000132"/>
    <n v="195142.73"/>
    <s v="0,00"/>
    <s v="0,00"/>
    <s v="0,00"/>
    <s v="0,00"/>
    <s v="ORC2022_2"/>
    <s v="0012"/>
    <m/>
    <m/>
    <m/>
    <m/>
    <m/>
  </r>
  <r>
    <s v="DESPESAS FINANCEIRAS"/>
    <x v="24"/>
    <x v="10"/>
    <n v="182999.86"/>
    <s v="0000000127"/>
    <s v="3352"/>
    <d v="2022-03-01T00:00:00"/>
    <s v="380201"/>
    <s v="202"/>
    <s v="90"/>
    <s v="Credito"/>
    <x v="2"/>
    <x v="216"/>
    <m/>
    <s v="000252"/>
    <s v="000132"/>
    <n v="182999.86"/>
    <s v="0,00"/>
    <s v="0,00"/>
    <s v="0,00"/>
    <s v="0,00"/>
    <s v="ORC2022_2"/>
    <s v="0012"/>
    <m/>
    <m/>
    <m/>
    <m/>
    <m/>
  </r>
  <r>
    <s v="DESPESAS FINANCEIRAS"/>
    <x v="24"/>
    <x v="10"/>
    <n v="353.64"/>
    <s v="0000000127"/>
    <s v="3353"/>
    <d v="2022-03-01T00:00:00"/>
    <s v="380201"/>
    <s v="301"/>
    <s v="90"/>
    <s v="Credito"/>
    <x v="2"/>
    <x v="216"/>
    <m/>
    <s v="000252"/>
    <s v="000132"/>
    <n v="353.64"/>
    <s v="0,00"/>
    <s v="0,00"/>
    <s v="0,00"/>
    <s v="0,00"/>
    <s v="ORC2022_2"/>
    <s v="0012"/>
    <m/>
    <m/>
    <m/>
    <m/>
    <m/>
  </r>
  <r>
    <s v="DESPESAS FINANCEIRAS"/>
    <x v="24"/>
    <x v="11"/>
    <n v="81376.070000000007"/>
    <s v="0000000127"/>
    <s v="3354"/>
    <d v="2022-04-01T00:00:00"/>
    <s v="380201"/>
    <s v="201"/>
    <s v="90"/>
    <s v="Credito"/>
    <x v="2"/>
    <x v="216"/>
    <m/>
    <s v="000252"/>
    <s v="000132"/>
    <n v="81376.070000000007"/>
    <s v="0,00"/>
    <s v="0,00"/>
    <s v="0,00"/>
    <s v="0,00"/>
    <s v="ORC2022_2"/>
    <s v="0012"/>
    <m/>
    <m/>
    <m/>
    <m/>
    <m/>
  </r>
  <r>
    <s v="DESPESAS FINANCEIRAS"/>
    <x v="24"/>
    <x v="11"/>
    <n v="142307.35999999999"/>
    <s v="0000000127"/>
    <s v="3355"/>
    <d v="2022-04-01T00:00:00"/>
    <s v="380201"/>
    <s v="202"/>
    <s v="90"/>
    <s v="Credito"/>
    <x v="2"/>
    <x v="216"/>
    <m/>
    <s v="000252"/>
    <s v="000132"/>
    <n v="142307.35999999999"/>
    <s v="0,00"/>
    <s v="0,00"/>
    <s v="0,00"/>
    <s v="0,00"/>
    <s v="ORC2022_2"/>
    <s v="0012"/>
    <m/>
    <m/>
    <m/>
    <m/>
    <m/>
  </r>
  <r>
    <s v="DESPESAS FINANCEIRAS"/>
    <x v="24"/>
    <x v="11"/>
    <n v="1070.8599999999999"/>
    <s v="0000000127"/>
    <s v="3356"/>
    <d v="2022-04-01T00:00:00"/>
    <s v="380201"/>
    <s v="301"/>
    <s v="90"/>
    <s v="Credito"/>
    <x v="2"/>
    <x v="216"/>
    <m/>
    <s v="000252"/>
    <s v="000132"/>
    <n v="1070.8599999999999"/>
    <s v="0,00"/>
    <s v="0,00"/>
    <s v="0,00"/>
    <s v="0,00"/>
    <s v="ORC2022_2"/>
    <s v="0012"/>
    <m/>
    <m/>
    <m/>
    <m/>
    <m/>
  </r>
  <r>
    <s v="DESPESAS FINANCEIRAS"/>
    <x v="24"/>
    <x v="12"/>
    <n v="5723.96"/>
    <s v="0000000127"/>
    <s v="3357"/>
    <d v="2022-05-01T00:00:00"/>
    <s v="380201"/>
    <s v="201"/>
    <s v="11"/>
    <s v="Credito"/>
    <x v="2"/>
    <x v="216"/>
    <m/>
    <s v="000252"/>
    <s v="000132"/>
    <n v="5723.96"/>
    <s v="0,00"/>
    <s v="0,00"/>
    <s v="0,00"/>
    <s v="0,00"/>
    <s v="ORC2022_2"/>
    <s v="0012"/>
    <m/>
    <m/>
    <m/>
    <m/>
    <m/>
  </r>
  <r>
    <s v="DESPESAS FINANCEIRAS"/>
    <x v="24"/>
    <x v="12"/>
    <n v="21849.06"/>
    <s v="0000000127"/>
    <s v="3358"/>
    <d v="2022-05-01T00:00:00"/>
    <s v="380201"/>
    <s v="201"/>
    <s v="90"/>
    <s v="Credito"/>
    <x v="2"/>
    <x v="216"/>
    <m/>
    <s v="000252"/>
    <s v="000132"/>
    <n v="21849.06"/>
    <s v="0,00"/>
    <s v="0,00"/>
    <s v="0,00"/>
    <s v="0,00"/>
    <s v="ORC2022_2"/>
    <s v="0012"/>
    <m/>
    <m/>
    <m/>
    <m/>
    <m/>
  </r>
  <r>
    <s v="DESPESAS FINANCEIRAS"/>
    <x v="24"/>
    <x v="12"/>
    <n v="121051.76"/>
    <s v="0000000127"/>
    <s v="3359"/>
    <d v="2022-05-01T00:00:00"/>
    <s v="380201"/>
    <s v="202"/>
    <s v="90"/>
    <s v="Credito"/>
    <x v="2"/>
    <x v="216"/>
    <m/>
    <s v="000252"/>
    <s v="000132"/>
    <n v="121051.76"/>
    <s v="0,00"/>
    <s v="0,00"/>
    <s v="0,00"/>
    <s v="0,00"/>
    <s v="ORC2022_2"/>
    <s v="0012"/>
    <m/>
    <m/>
    <m/>
    <m/>
    <m/>
  </r>
  <r>
    <s v="DESPESAS FINANCEIRAS"/>
    <x v="24"/>
    <x v="12"/>
    <n v="830.26"/>
    <s v="0000000127"/>
    <s v="3360"/>
    <d v="2022-05-01T00:00:00"/>
    <s v="380201"/>
    <s v="301"/>
    <s v="90"/>
    <s v="Credito"/>
    <x v="2"/>
    <x v="216"/>
    <m/>
    <s v="000252"/>
    <s v="000132"/>
    <n v="830.26"/>
    <s v="0,00"/>
    <s v="0,00"/>
    <s v="0,00"/>
    <s v="0,00"/>
    <s v="ORC2022_2"/>
    <s v="0012"/>
    <m/>
    <m/>
    <m/>
    <m/>
    <m/>
  </r>
  <r>
    <s v="DESPESAS FINANCEIRAS"/>
    <x v="24"/>
    <x v="12"/>
    <n v="96191.61"/>
    <s v="0000000127"/>
    <s v="3361"/>
    <d v="2022-05-01T00:00:00"/>
    <s v="380201"/>
    <s v="305"/>
    <s v="90"/>
    <s v="Credito"/>
    <x v="2"/>
    <x v="216"/>
    <m/>
    <s v="000252"/>
    <s v="000132"/>
    <n v="96191.61"/>
    <s v="0,00"/>
    <s v="0,00"/>
    <s v="0,00"/>
    <s v="0,00"/>
    <s v="ORC2022_2"/>
    <s v="0012"/>
    <m/>
    <m/>
    <m/>
    <m/>
    <m/>
  </r>
  <r>
    <s v="DESPESAS FINANCEIRAS"/>
    <x v="24"/>
    <x v="13"/>
    <n v="71.760000000000005"/>
    <s v="0000000127"/>
    <s v="3362"/>
    <d v="2022-06-01T00:00:00"/>
    <s v="380201"/>
    <s v="211"/>
    <s v="51"/>
    <s v="Credito"/>
    <x v="2"/>
    <x v="216"/>
    <m/>
    <s v="000252"/>
    <s v="000132"/>
    <n v="71.760000000000005"/>
    <s v="0,00"/>
    <s v="0,00"/>
    <s v="0,00"/>
    <s v="0,00"/>
    <s v="ORC2022_2"/>
    <s v="0012"/>
    <m/>
    <m/>
    <m/>
    <m/>
    <m/>
  </r>
  <r>
    <s v="DESPESAS FINANCEIRAS"/>
    <x v="24"/>
    <x v="13"/>
    <n v="2323876.23"/>
    <s v="0000000127"/>
    <s v="3363"/>
    <d v="2022-06-01T00:00:00"/>
    <s v="380201"/>
    <s v="201"/>
    <s v="90"/>
    <s v="Credito"/>
    <x v="2"/>
    <x v="216"/>
    <m/>
    <s v="000252"/>
    <s v="000132"/>
    <n v="2323876.23"/>
    <s v="0,00"/>
    <s v="0,00"/>
    <s v="0,00"/>
    <s v="0,00"/>
    <s v="ORC2022_2"/>
    <s v="0012"/>
    <m/>
    <m/>
    <m/>
    <m/>
    <m/>
  </r>
  <r>
    <s v="DESPESAS FINANCEIRAS"/>
    <x v="24"/>
    <x v="13"/>
    <n v="14331.94"/>
    <s v="0000000127"/>
    <s v="3364"/>
    <d v="2022-06-01T00:00:00"/>
    <s v="380201"/>
    <s v="202"/>
    <s v="90"/>
    <s v="Credito"/>
    <x v="2"/>
    <x v="216"/>
    <m/>
    <s v="000252"/>
    <s v="000132"/>
    <n v="14331.94"/>
    <s v="0,00"/>
    <s v="0,00"/>
    <s v="0,00"/>
    <s v="0,00"/>
    <s v="ORC2022_2"/>
    <s v="0012"/>
    <m/>
    <m/>
    <m/>
    <m/>
    <m/>
  </r>
  <r>
    <s v="DESPESAS FINANCEIRAS"/>
    <x v="24"/>
    <x v="13"/>
    <n v="985.14"/>
    <s v="0000000127"/>
    <s v="3365"/>
    <d v="2022-06-01T00:00:00"/>
    <s v="380201"/>
    <s v="301"/>
    <s v="90"/>
    <s v="Credito"/>
    <x v="2"/>
    <x v="216"/>
    <m/>
    <s v="000252"/>
    <s v="000132"/>
    <n v="985.14"/>
    <s v="0,00"/>
    <s v="0,00"/>
    <s v="0,00"/>
    <s v="0,00"/>
    <s v="ORC2022_2"/>
    <s v="0012"/>
    <m/>
    <m/>
    <m/>
    <m/>
    <m/>
  </r>
  <r>
    <s v="DESPESAS FINANCEIRAS"/>
    <x v="24"/>
    <x v="14"/>
    <n v="7888.3"/>
    <s v="0000000127"/>
    <s v="3366"/>
    <d v="2022-07-01T00:00:00"/>
    <s v="380201"/>
    <s v="304"/>
    <s v="11"/>
    <s v="Credito"/>
    <x v="2"/>
    <x v="216"/>
    <m/>
    <s v="000252"/>
    <s v="000132"/>
    <n v="7888.3"/>
    <s v="0,00"/>
    <s v="0,00"/>
    <s v="0,00"/>
    <s v="0,00"/>
    <s v="ORC2022_2"/>
    <s v="0012"/>
    <m/>
    <m/>
    <m/>
    <m/>
    <m/>
  </r>
  <r>
    <s v="DESPESAS FINANCEIRAS"/>
    <x v="24"/>
    <x v="14"/>
    <n v="9.83"/>
    <s v="0000000127"/>
    <s v="3367"/>
    <d v="2022-07-01T00:00:00"/>
    <s v="380201"/>
    <s v="305"/>
    <s v="21"/>
    <s v="Credito"/>
    <x v="2"/>
    <x v="216"/>
    <m/>
    <s v="000252"/>
    <s v="000132"/>
    <n v="9.83"/>
    <s v="0,00"/>
    <s v="0,00"/>
    <s v="0,00"/>
    <s v="0,00"/>
    <s v="ORC2022_2"/>
    <s v="0012"/>
    <m/>
    <m/>
    <m/>
    <m/>
    <m/>
  </r>
  <r>
    <s v="DESPESAS FINANCEIRAS"/>
    <x v="24"/>
    <x v="14"/>
    <n v="335276.5"/>
    <s v="0000000127"/>
    <s v="3368"/>
    <d v="2022-07-01T00:00:00"/>
    <s v="380201"/>
    <s v="201"/>
    <s v="90"/>
    <s v="Credito"/>
    <x v="2"/>
    <x v="216"/>
    <m/>
    <s v="000252"/>
    <s v="000132"/>
    <n v="335276.5"/>
    <s v="0,00"/>
    <s v="0,00"/>
    <s v="0,00"/>
    <s v="0,00"/>
    <s v="ORC2022_2"/>
    <s v="0012"/>
    <m/>
    <m/>
    <m/>
    <m/>
    <m/>
  </r>
  <r>
    <s v="DESPESAS FINANCEIRAS"/>
    <x v="24"/>
    <x v="14"/>
    <n v="38918.980000000003"/>
    <s v="0000000127"/>
    <s v="3369"/>
    <d v="2022-07-01T00:00:00"/>
    <s v="380201"/>
    <s v="202"/>
    <s v="90"/>
    <s v="Credito"/>
    <x v="2"/>
    <x v="216"/>
    <m/>
    <s v="000252"/>
    <s v="000132"/>
    <n v="38918.980000000003"/>
    <s v="0,00"/>
    <s v="0,00"/>
    <s v="0,00"/>
    <s v="0,00"/>
    <s v="ORC2022_2"/>
    <s v="0012"/>
    <m/>
    <m/>
    <m/>
    <m/>
    <m/>
  </r>
  <r>
    <s v="DESPESAS FINANCEIRAS"/>
    <x v="24"/>
    <x v="14"/>
    <n v="603.05999999999995"/>
    <s v="0000000127"/>
    <s v="3370"/>
    <d v="2022-07-01T00:00:00"/>
    <s v="380201"/>
    <s v="301"/>
    <s v="90"/>
    <s v="Credito"/>
    <x v="2"/>
    <x v="216"/>
    <m/>
    <s v="000252"/>
    <s v="000132"/>
    <n v="603.05999999999995"/>
    <s v="0,00"/>
    <s v="0,00"/>
    <s v="0,00"/>
    <s v="0,00"/>
    <s v="ORC2022_2"/>
    <s v="0012"/>
    <m/>
    <m/>
    <m/>
    <m/>
    <m/>
  </r>
  <r>
    <s v="DESPESAS FINANCEIRAS"/>
    <x v="24"/>
    <x v="15"/>
    <n v="180"/>
    <s v="0000000127"/>
    <s v="3371"/>
    <d v="2022-08-01T00:00:00"/>
    <s v="380201"/>
    <s v="304"/>
    <s v="11"/>
    <s v="Credito"/>
    <x v="2"/>
    <x v="216"/>
    <m/>
    <s v="000252"/>
    <s v="000132"/>
    <n v="180"/>
    <s v="0,00"/>
    <s v="0,00"/>
    <s v="0,00"/>
    <s v="0,00"/>
    <s v="ORC2022_2"/>
    <s v="0012"/>
    <m/>
    <m/>
    <m/>
    <m/>
    <m/>
  </r>
  <r>
    <s v="DESPESAS FINANCEIRAS"/>
    <x v="24"/>
    <x v="15"/>
    <n v="4.67"/>
    <s v="0000000127"/>
    <s v="3372"/>
    <d v="2022-08-01T00:00:00"/>
    <s v="380201"/>
    <s v="305"/>
    <s v="21"/>
    <s v="Credito"/>
    <x v="2"/>
    <x v="216"/>
    <m/>
    <s v="000252"/>
    <s v="000132"/>
    <n v="4.67"/>
    <s v="0,00"/>
    <s v="0,00"/>
    <s v="0,00"/>
    <s v="0,00"/>
    <s v="ORC2022_2"/>
    <s v="0012"/>
    <m/>
    <m/>
    <m/>
    <m/>
    <m/>
  </r>
  <r>
    <s v="DESPESAS FINANCEIRAS"/>
    <x v="24"/>
    <x v="15"/>
    <n v="51.09"/>
    <s v="0000000127"/>
    <s v="3373"/>
    <d v="2022-08-01T00:00:00"/>
    <s v="380201"/>
    <s v="211"/>
    <s v="51"/>
    <s v="Credito"/>
    <x v="2"/>
    <x v="216"/>
    <m/>
    <s v="000252"/>
    <s v="000132"/>
    <n v="51.09"/>
    <s v="0,00"/>
    <s v="0,00"/>
    <s v="0,00"/>
    <s v="0,00"/>
    <s v="ORC2022_2"/>
    <s v="0012"/>
    <m/>
    <m/>
    <m/>
    <m/>
    <m/>
  </r>
  <r>
    <s v="DESPESAS FINANCEIRAS"/>
    <x v="24"/>
    <x v="15"/>
    <n v="194194.51"/>
    <s v="0000000127"/>
    <s v="3374"/>
    <d v="2022-08-01T00:00:00"/>
    <s v="380201"/>
    <s v="201"/>
    <s v="90"/>
    <s v="Credito"/>
    <x v="2"/>
    <x v="216"/>
    <m/>
    <s v="000252"/>
    <s v="000132"/>
    <n v="194194.51"/>
    <s v="0,00"/>
    <s v="0,00"/>
    <s v="0,00"/>
    <s v="0,00"/>
    <s v="ORC2022_2"/>
    <s v="0012"/>
    <m/>
    <m/>
    <m/>
    <m/>
    <m/>
  </r>
  <r>
    <s v="DESPESAS FINANCEIRAS"/>
    <x v="24"/>
    <x v="15"/>
    <n v="23617.21"/>
    <s v="0000000127"/>
    <s v="3375"/>
    <d v="2022-08-01T00:00:00"/>
    <s v="380201"/>
    <s v="202"/>
    <s v="90"/>
    <s v="Credito"/>
    <x v="2"/>
    <x v="216"/>
    <m/>
    <s v="000252"/>
    <s v="000132"/>
    <n v="23617.21"/>
    <s v="0,00"/>
    <s v="0,00"/>
    <s v="0,00"/>
    <s v="0,00"/>
    <s v="ORC2022_2"/>
    <s v="0012"/>
    <m/>
    <m/>
    <m/>
    <m/>
    <m/>
  </r>
  <r>
    <s v="DESPESAS FINANCEIRAS"/>
    <x v="24"/>
    <x v="15"/>
    <n v="597.44000000000005"/>
    <s v="0000000127"/>
    <s v="3376"/>
    <d v="2022-08-01T00:00:00"/>
    <s v="380201"/>
    <s v="301"/>
    <s v="90"/>
    <s v="Credito"/>
    <x v="2"/>
    <x v="216"/>
    <m/>
    <s v="000252"/>
    <s v="000132"/>
    <n v="597.44000000000005"/>
    <s v="0,00"/>
    <s v="0,00"/>
    <s v="0,00"/>
    <s v="0,00"/>
    <s v="ORC2022_2"/>
    <s v="0012"/>
    <m/>
    <m/>
    <m/>
    <m/>
    <m/>
  </r>
  <r>
    <s v="DESPESAS FINANCEIRAS"/>
    <x v="24"/>
    <x v="16"/>
    <n v="190489.02"/>
    <s v="0000000127"/>
    <s v="3377"/>
    <d v="2022-09-01T00:00:00"/>
    <s v="380201"/>
    <s v="201"/>
    <s v="90"/>
    <s v="Credito"/>
    <x v="2"/>
    <x v="216"/>
    <m/>
    <s v="000252"/>
    <s v="000132"/>
    <n v="190489.02"/>
    <s v="0,00"/>
    <s v="0,00"/>
    <s v="0,00"/>
    <s v="0,00"/>
    <s v="ORC2022_2"/>
    <s v="0012"/>
    <m/>
    <m/>
    <m/>
    <m/>
    <m/>
  </r>
  <r>
    <s v="DESPESAS FINANCEIRAS"/>
    <x v="24"/>
    <x v="16"/>
    <n v="885308.45"/>
    <s v="0000000127"/>
    <s v="3378"/>
    <d v="2022-09-01T00:00:00"/>
    <s v="380201"/>
    <s v="202"/>
    <s v="90"/>
    <s v="Credito"/>
    <x v="2"/>
    <x v="216"/>
    <m/>
    <s v="000252"/>
    <s v="000132"/>
    <n v="885308.45"/>
    <s v="0,00"/>
    <s v="0,00"/>
    <s v="0,00"/>
    <s v="0,00"/>
    <s v="ORC2022_2"/>
    <s v="0012"/>
    <m/>
    <m/>
    <m/>
    <m/>
    <m/>
  </r>
  <r>
    <s v="DESPESAS FINANCEIRAS"/>
    <x v="24"/>
    <x v="16"/>
    <n v="930.24"/>
    <s v="0000000127"/>
    <s v="3379"/>
    <d v="2022-09-01T00:00:00"/>
    <s v="380201"/>
    <s v="301"/>
    <s v="90"/>
    <s v="Credito"/>
    <x v="2"/>
    <x v="216"/>
    <m/>
    <s v="000252"/>
    <s v="000132"/>
    <n v="930.24"/>
    <s v="0,00"/>
    <s v="0,00"/>
    <s v="0,00"/>
    <s v="0,00"/>
    <s v="ORC2022_2"/>
    <s v="0012"/>
    <m/>
    <m/>
    <m/>
    <m/>
    <m/>
  </r>
  <r>
    <s v="DESPESAS FINANCEIRAS"/>
    <x v="24"/>
    <x v="17"/>
    <n v="192393.91"/>
    <s v="0000000127"/>
    <s v="3380"/>
    <d v="2022-10-01T00:00:00"/>
    <s v="380201"/>
    <s v="201"/>
    <s v="90"/>
    <s v="Credito"/>
    <x v="2"/>
    <x v="216"/>
    <m/>
    <s v="000252"/>
    <s v="000132"/>
    <n v="192393.91"/>
    <s v="0,00"/>
    <s v="0,00"/>
    <s v="0,00"/>
    <s v="0,00"/>
    <s v="ORC2022_2"/>
    <s v="0012"/>
    <m/>
    <m/>
    <m/>
    <m/>
    <m/>
  </r>
  <r>
    <s v="DESPESAS FINANCEIRAS"/>
    <x v="24"/>
    <x v="17"/>
    <n v="894161.53"/>
    <s v="0000000127"/>
    <s v="3381"/>
    <d v="2022-10-01T00:00:00"/>
    <s v="380201"/>
    <s v="202"/>
    <s v="90"/>
    <s v="Credito"/>
    <x v="2"/>
    <x v="216"/>
    <m/>
    <s v="000252"/>
    <s v="000132"/>
    <n v="894161.53"/>
    <s v="0,00"/>
    <s v="0,00"/>
    <s v="0,00"/>
    <s v="0,00"/>
    <s v="ORC2022_2"/>
    <s v="0012"/>
    <m/>
    <m/>
    <m/>
    <m/>
    <m/>
  </r>
  <r>
    <s v="DESPESAS FINANCEIRAS"/>
    <x v="24"/>
    <x v="17"/>
    <n v="939.54"/>
    <s v="0000000127"/>
    <s v="3382"/>
    <d v="2022-10-01T00:00:00"/>
    <s v="380201"/>
    <s v="301"/>
    <s v="90"/>
    <s v="Credito"/>
    <x v="2"/>
    <x v="216"/>
    <m/>
    <s v="000252"/>
    <s v="000132"/>
    <n v="939.54"/>
    <s v="0,00"/>
    <s v="0,00"/>
    <s v="0,00"/>
    <s v="0,00"/>
    <s v="ORC2022_2"/>
    <s v="0012"/>
    <m/>
    <m/>
    <m/>
    <m/>
    <m/>
  </r>
  <r>
    <s v="DESPESAS FINANCEIRAS"/>
    <x v="24"/>
    <x v="0"/>
    <n v="194317.85"/>
    <s v="0000000127"/>
    <s v="3383"/>
    <d v="2022-11-01T00:00:00"/>
    <s v="380201"/>
    <s v="201"/>
    <s v="90"/>
    <s v="Credito"/>
    <x v="2"/>
    <x v="216"/>
    <m/>
    <s v="000252"/>
    <s v="000132"/>
    <n v="194317.85"/>
    <s v="0,00"/>
    <s v="0,00"/>
    <s v="0,00"/>
    <s v="0,00"/>
    <s v="ORC2022_2"/>
    <s v="0012"/>
    <m/>
    <m/>
    <m/>
    <m/>
    <m/>
  </r>
  <r>
    <s v="DESPESAS FINANCEIRAS"/>
    <x v="24"/>
    <x v="0"/>
    <n v="903103.15"/>
    <s v="0000000127"/>
    <s v="3384"/>
    <d v="2022-11-01T00:00:00"/>
    <s v="380201"/>
    <s v="202"/>
    <s v="90"/>
    <s v="Credito"/>
    <x v="2"/>
    <x v="216"/>
    <m/>
    <s v="000252"/>
    <s v="000132"/>
    <n v="903103.15"/>
    <s v="0,00"/>
    <s v="0,00"/>
    <s v="0,00"/>
    <s v="0,00"/>
    <s v="ORC2022_2"/>
    <s v="0012"/>
    <m/>
    <m/>
    <m/>
    <m/>
    <m/>
  </r>
  <r>
    <s v="DESPESAS FINANCEIRAS"/>
    <x v="24"/>
    <x v="0"/>
    <n v="948.94"/>
    <s v="0000000127"/>
    <s v="3385"/>
    <d v="2022-11-01T00:00:00"/>
    <s v="380201"/>
    <s v="301"/>
    <s v="90"/>
    <s v="Credito"/>
    <x v="2"/>
    <x v="216"/>
    <m/>
    <s v="000252"/>
    <s v="000132"/>
    <n v="948.94"/>
    <s v="0,00"/>
    <s v="0,00"/>
    <s v="0,00"/>
    <s v="0,00"/>
    <s v="ORC2022_2"/>
    <s v="0012"/>
    <m/>
    <m/>
    <m/>
    <m/>
    <m/>
  </r>
  <r>
    <s v="DESPESAS FINANCEIRAS"/>
    <x v="24"/>
    <x v="1"/>
    <n v="196261.03"/>
    <s v="0000000127"/>
    <s v="3386"/>
    <d v="2022-12-01T00:00:00"/>
    <s v="380201"/>
    <s v="201"/>
    <s v="90"/>
    <s v="Credito"/>
    <x v="2"/>
    <x v="216"/>
    <m/>
    <s v="000252"/>
    <s v="000132"/>
    <n v="196261.03"/>
    <s v="0,00"/>
    <s v="0,00"/>
    <s v="0,00"/>
    <s v="0,00"/>
    <s v="ORC2022_2"/>
    <s v="0012"/>
    <m/>
    <m/>
    <m/>
    <m/>
    <m/>
  </r>
  <r>
    <s v="DESPESAS FINANCEIRAS"/>
    <x v="24"/>
    <x v="1"/>
    <n v="912134.18"/>
    <s v="0000000127"/>
    <s v="3387"/>
    <d v="2022-12-01T00:00:00"/>
    <s v="380201"/>
    <s v="202"/>
    <s v="90"/>
    <s v="Credito"/>
    <x v="2"/>
    <x v="216"/>
    <m/>
    <s v="000252"/>
    <s v="000132"/>
    <n v="912134.18"/>
    <s v="0,00"/>
    <s v="0,00"/>
    <s v="0,00"/>
    <s v="0,00"/>
    <s v="ORC2022_2"/>
    <s v="0012"/>
    <m/>
    <m/>
    <m/>
    <m/>
    <m/>
  </r>
  <r>
    <s v="DESPESAS FINANCEIRAS"/>
    <x v="24"/>
    <x v="1"/>
    <n v="958.43"/>
    <s v="0000000127"/>
    <s v="3388"/>
    <d v="2022-12-01T00:00:00"/>
    <s v="380201"/>
    <s v="301"/>
    <s v="90"/>
    <s v="Credito"/>
    <x v="2"/>
    <x v="216"/>
    <m/>
    <s v="000252"/>
    <s v="000132"/>
    <n v="958.43"/>
    <s v="0,00"/>
    <s v="0,00"/>
    <s v="0,00"/>
    <s v="0,00"/>
    <s v="ORC2022_2"/>
    <s v="0012"/>
    <m/>
    <m/>
    <m/>
    <m/>
    <m/>
  </r>
  <r>
    <s v="DESPESAS INDEDUTIVEIS"/>
    <x v="73"/>
    <x v="8"/>
    <n v="2405"/>
    <s v="0000000127"/>
    <s v="3389"/>
    <d v="2022-01-01T00:00:00"/>
    <s v="380301"/>
    <s v="304"/>
    <s v="11"/>
    <s v="Credito"/>
    <x v="2"/>
    <x v="216"/>
    <m/>
    <s v="000252"/>
    <s v="000132"/>
    <n v="2405"/>
    <s v="0,00"/>
    <s v="0,00"/>
    <s v="0,00"/>
    <s v="0,00"/>
    <s v="ORC2022_2"/>
    <s v="0012"/>
    <m/>
    <m/>
    <m/>
    <m/>
    <m/>
  </r>
  <r>
    <s v="DESPESAS INDEDUTIVEIS"/>
    <x v="73"/>
    <x v="8"/>
    <n v="1645.14"/>
    <s v="0000000127"/>
    <s v="3390"/>
    <d v="2022-01-01T00:00:00"/>
    <s v="380301"/>
    <s v="301"/>
    <s v="32"/>
    <s v="Credito"/>
    <x v="2"/>
    <x v="216"/>
    <m/>
    <s v="000252"/>
    <s v="000132"/>
    <n v="1645.14"/>
    <s v="0,00"/>
    <s v="0,00"/>
    <s v="0,00"/>
    <s v="0,00"/>
    <s v="ORC2022_2"/>
    <s v="0012"/>
    <m/>
    <m/>
    <m/>
    <m/>
    <m/>
  </r>
  <r>
    <s v="DESPESAS INDEDUTIVEIS"/>
    <x v="73"/>
    <x v="8"/>
    <n v="7496.81"/>
    <s v="0000000127"/>
    <s v="3391"/>
    <d v="2022-01-01T00:00:00"/>
    <s v="380301"/>
    <s v="211"/>
    <s v="51"/>
    <s v="Credito"/>
    <x v="2"/>
    <x v="216"/>
    <m/>
    <s v="000252"/>
    <s v="000132"/>
    <n v="7496.81"/>
    <s v="0,00"/>
    <s v="0,00"/>
    <s v="0,00"/>
    <s v="0,00"/>
    <s v="ORC2022_2"/>
    <s v="0012"/>
    <m/>
    <m/>
    <m/>
    <m/>
    <m/>
  </r>
  <r>
    <s v="DESPESAS INDEDUTIVEIS"/>
    <x v="73"/>
    <x v="8"/>
    <n v="2000"/>
    <s v="0000000127"/>
    <s v="3392"/>
    <d v="2022-01-01T00:00:00"/>
    <s v="380301"/>
    <s v="101"/>
    <s v="90"/>
    <s v="Credito"/>
    <x v="2"/>
    <x v="216"/>
    <m/>
    <s v="000252"/>
    <s v="000132"/>
    <n v="2000"/>
    <s v="0,00"/>
    <s v="0,00"/>
    <s v="0,00"/>
    <s v="0,00"/>
    <s v="ORC2022_2"/>
    <s v="0012"/>
    <m/>
    <m/>
    <m/>
    <m/>
    <m/>
  </r>
  <r>
    <s v="DESPESAS INDEDUTIVEIS"/>
    <x v="73"/>
    <x v="8"/>
    <n v="1323.66"/>
    <s v="0000000127"/>
    <s v="3393"/>
    <d v="2022-01-01T00:00:00"/>
    <s v="380301"/>
    <s v="201"/>
    <s v="90"/>
    <s v="Credito"/>
    <x v="2"/>
    <x v="216"/>
    <m/>
    <s v="000252"/>
    <s v="000132"/>
    <n v="1323.66"/>
    <s v="0,00"/>
    <s v="0,00"/>
    <s v="0,00"/>
    <s v="0,00"/>
    <s v="ORC2022_2"/>
    <s v="0012"/>
    <m/>
    <m/>
    <m/>
    <m/>
    <m/>
  </r>
  <r>
    <s v="DESPESAS INDEDUTIVEIS"/>
    <x v="73"/>
    <x v="8"/>
    <n v="135"/>
    <s v="0000000127"/>
    <s v="3394"/>
    <d v="2022-01-01T00:00:00"/>
    <s v="380301"/>
    <s v="202"/>
    <s v="90"/>
    <s v="Credito"/>
    <x v="2"/>
    <x v="216"/>
    <m/>
    <s v="000252"/>
    <s v="000132"/>
    <n v="135"/>
    <s v="0,00"/>
    <s v="0,00"/>
    <s v="0,00"/>
    <s v="0,00"/>
    <s v="ORC2022_2"/>
    <s v="0012"/>
    <m/>
    <m/>
    <m/>
    <m/>
    <m/>
  </r>
  <r>
    <s v="DESPESAS INDEDUTIVEIS"/>
    <x v="73"/>
    <x v="8"/>
    <n v="551.15"/>
    <s v="0000000127"/>
    <s v="3395"/>
    <d v="2022-01-01T00:00:00"/>
    <s v="380301"/>
    <s v="204"/>
    <s v="90"/>
    <s v="Credito"/>
    <x v="2"/>
    <x v="216"/>
    <m/>
    <s v="000252"/>
    <s v="000132"/>
    <n v="551.15"/>
    <s v="0,00"/>
    <s v="0,00"/>
    <s v="0,00"/>
    <s v="0,00"/>
    <s v="ORC2022_2"/>
    <s v="0012"/>
    <m/>
    <m/>
    <m/>
    <m/>
    <m/>
  </r>
  <r>
    <s v="DESPESAS INDEDUTIVEIS"/>
    <x v="73"/>
    <x v="8"/>
    <n v="100"/>
    <s v="0000000127"/>
    <s v="3396"/>
    <d v="2022-01-01T00:00:00"/>
    <s v="380301"/>
    <s v="205"/>
    <s v="90"/>
    <s v="Credito"/>
    <x v="2"/>
    <x v="216"/>
    <m/>
    <s v="000252"/>
    <s v="000132"/>
    <n v="100"/>
    <s v="0,00"/>
    <s v="0,00"/>
    <s v="0,00"/>
    <s v="0,00"/>
    <s v="ORC2022_2"/>
    <s v="0012"/>
    <m/>
    <m/>
    <m/>
    <m/>
    <m/>
  </r>
  <r>
    <s v="DESPESAS INDEDUTIVEIS"/>
    <x v="73"/>
    <x v="8"/>
    <n v="119.8"/>
    <s v="0000000127"/>
    <s v="3397"/>
    <d v="2022-01-01T00:00:00"/>
    <s v="380301"/>
    <s v="208"/>
    <s v="90"/>
    <s v="Credito"/>
    <x v="2"/>
    <x v="216"/>
    <m/>
    <s v="000252"/>
    <s v="000132"/>
    <n v="119.8"/>
    <s v="0,00"/>
    <s v="0,00"/>
    <s v="0,00"/>
    <s v="0,00"/>
    <s v="ORC2022_2"/>
    <s v="0012"/>
    <m/>
    <m/>
    <m/>
    <m/>
    <m/>
  </r>
  <r>
    <s v="DESPESAS INDEDUTIVEIS"/>
    <x v="73"/>
    <x v="8"/>
    <n v="656.06"/>
    <s v="0000000127"/>
    <s v="3398"/>
    <d v="2022-01-01T00:00:00"/>
    <s v="380301"/>
    <s v="301"/>
    <s v="90"/>
    <s v="Credito"/>
    <x v="2"/>
    <x v="216"/>
    <m/>
    <s v="000252"/>
    <s v="000132"/>
    <n v="656.06"/>
    <s v="0,00"/>
    <s v="0,00"/>
    <s v="0,00"/>
    <s v="0,00"/>
    <s v="ORC2022_2"/>
    <s v="0012"/>
    <m/>
    <m/>
    <m/>
    <m/>
    <m/>
  </r>
  <r>
    <s v="DESPESAS INDEDUTIVEIS"/>
    <x v="73"/>
    <x v="8"/>
    <n v="173"/>
    <s v="0000000127"/>
    <s v="3399"/>
    <d v="2022-01-01T00:00:00"/>
    <s v="380301"/>
    <s v="302"/>
    <s v="90"/>
    <s v="Credito"/>
    <x v="2"/>
    <x v="216"/>
    <m/>
    <s v="000252"/>
    <s v="000132"/>
    <n v="173"/>
    <s v="0,00"/>
    <s v="0,00"/>
    <s v="0,00"/>
    <s v="0,00"/>
    <s v="ORC2022_2"/>
    <s v="0012"/>
    <m/>
    <m/>
    <m/>
    <m/>
    <m/>
  </r>
  <r>
    <s v="DESPESAS INDEDUTIVEIS"/>
    <x v="73"/>
    <x v="8"/>
    <n v="63.35"/>
    <s v="0000000127"/>
    <s v="3400"/>
    <d v="2022-01-01T00:00:00"/>
    <s v="380301"/>
    <s v="303"/>
    <s v="90"/>
    <s v="Credito"/>
    <x v="2"/>
    <x v="216"/>
    <m/>
    <s v="000252"/>
    <s v="000132"/>
    <n v="63.35"/>
    <s v="0,00"/>
    <s v="0,00"/>
    <s v="0,00"/>
    <s v="0,00"/>
    <s v="ORC2022_2"/>
    <s v="0012"/>
    <m/>
    <m/>
    <m/>
    <m/>
    <m/>
  </r>
  <r>
    <s v="DESPESAS INDEDUTIVEIS"/>
    <x v="73"/>
    <x v="9"/>
    <n v="1744.41"/>
    <s v="0000000127"/>
    <s v="3401"/>
    <d v="2022-02-01T00:00:00"/>
    <s v="380301"/>
    <s v="304"/>
    <s v="11"/>
    <s v="Credito"/>
    <x v="2"/>
    <x v="216"/>
    <m/>
    <s v="000252"/>
    <s v="000132"/>
    <n v="1744.41"/>
    <s v="0,00"/>
    <s v="0,00"/>
    <s v="0,00"/>
    <s v="0,00"/>
    <s v="ORC2022_2"/>
    <s v="0012"/>
    <m/>
    <m/>
    <m/>
    <m/>
    <m/>
  </r>
  <r>
    <s v="DESPESAS INDEDUTIVEIS"/>
    <x v="73"/>
    <x v="9"/>
    <n v="7444.85"/>
    <s v="0000000127"/>
    <s v="3402"/>
    <d v="2022-02-01T00:00:00"/>
    <s v="380301"/>
    <s v="211"/>
    <s v="51"/>
    <s v="Credito"/>
    <x v="2"/>
    <x v="216"/>
    <m/>
    <s v="000252"/>
    <s v="000132"/>
    <n v="7444.85"/>
    <s v="0,00"/>
    <s v="0,00"/>
    <s v="0,00"/>
    <s v="0,00"/>
    <s v="ORC2022_2"/>
    <s v="0012"/>
    <m/>
    <m/>
    <m/>
    <m/>
    <m/>
  </r>
  <r>
    <s v="DESPESAS INDEDUTIVEIS"/>
    <x v="73"/>
    <x v="9"/>
    <n v="585.70000000000005"/>
    <s v="0000000127"/>
    <s v="3403"/>
    <d v="2022-02-01T00:00:00"/>
    <s v="380301"/>
    <s v="101"/>
    <s v="90"/>
    <s v="Credito"/>
    <x v="2"/>
    <x v="216"/>
    <m/>
    <s v="000252"/>
    <s v="000132"/>
    <n v="585.70000000000005"/>
    <s v="0,00"/>
    <s v="0,00"/>
    <s v="0,00"/>
    <s v="0,00"/>
    <s v="ORC2022_2"/>
    <s v="0012"/>
    <m/>
    <m/>
    <m/>
    <m/>
    <m/>
  </r>
  <r>
    <s v="DESPESAS INDEDUTIVEIS"/>
    <x v="73"/>
    <x v="9"/>
    <n v="1547.37"/>
    <s v="0000000127"/>
    <s v="3404"/>
    <d v="2022-02-01T00:00:00"/>
    <s v="380301"/>
    <s v="201"/>
    <s v="90"/>
    <s v="Credito"/>
    <x v="2"/>
    <x v="216"/>
    <m/>
    <s v="000252"/>
    <s v="000132"/>
    <n v="1547.37"/>
    <s v="0,00"/>
    <s v="0,00"/>
    <s v="0,00"/>
    <s v="0,00"/>
    <s v="ORC2022_2"/>
    <s v="0012"/>
    <m/>
    <m/>
    <m/>
    <m/>
    <m/>
  </r>
  <r>
    <s v="DESPESAS INDEDUTIVEIS"/>
    <x v="73"/>
    <x v="9"/>
    <n v="448"/>
    <s v="0000000127"/>
    <s v="3405"/>
    <d v="2022-02-01T00:00:00"/>
    <s v="380301"/>
    <s v="202"/>
    <s v="90"/>
    <s v="Credito"/>
    <x v="2"/>
    <x v="216"/>
    <m/>
    <s v="000252"/>
    <s v="000132"/>
    <n v="448"/>
    <s v="0,00"/>
    <s v="0,00"/>
    <s v="0,00"/>
    <s v="0,00"/>
    <s v="ORC2022_2"/>
    <s v="0012"/>
    <m/>
    <m/>
    <m/>
    <m/>
    <m/>
  </r>
  <r>
    <s v="DESPESAS INDEDUTIVEIS"/>
    <x v="73"/>
    <x v="9"/>
    <n v="387.9"/>
    <s v="0000000127"/>
    <s v="3406"/>
    <d v="2022-02-01T00:00:00"/>
    <s v="380301"/>
    <s v="204"/>
    <s v="90"/>
    <s v="Credito"/>
    <x v="2"/>
    <x v="216"/>
    <m/>
    <s v="000252"/>
    <s v="000132"/>
    <n v="387.9"/>
    <s v="0,00"/>
    <s v="0,00"/>
    <s v="0,00"/>
    <s v="0,00"/>
    <s v="ORC2022_2"/>
    <s v="0012"/>
    <m/>
    <m/>
    <m/>
    <m/>
    <m/>
  </r>
  <r>
    <s v="DESPESAS INDEDUTIVEIS"/>
    <x v="73"/>
    <x v="9"/>
    <n v="107.47"/>
    <s v="0000000127"/>
    <s v="3407"/>
    <d v="2022-02-01T00:00:00"/>
    <s v="380301"/>
    <s v="208"/>
    <s v="90"/>
    <s v="Credito"/>
    <x v="2"/>
    <x v="216"/>
    <m/>
    <s v="000252"/>
    <s v="000132"/>
    <n v="107.47"/>
    <s v="0,00"/>
    <s v="0,00"/>
    <s v="0,00"/>
    <s v="0,00"/>
    <s v="ORC2022_2"/>
    <s v="0012"/>
    <m/>
    <m/>
    <m/>
    <m/>
    <m/>
  </r>
  <r>
    <s v="DESPESAS INDEDUTIVEIS"/>
    <x v="73"/>
    <x v="9"/>
    <n v="2240.6"/>
    <s v="0000000127"/>
    <s v="3408"/>
    <d v="2022-02-01T00:00:00"/>
    <s v="380301"/>
    <s v="301"/>
    <s v="90"/>
    <s v="Credito"/>
    <x v="2"/>
    <x v="216"/>
    <m/>
    <s v="000252"/>
    <s v="000132"/>
    <n v="2240.6"/>
    <s v="0,00"/>
    <s v="0,00"/>
    <s v="0,00"/>
    <s v="0,00"/>
    <s v="ORC2022_2"/>
    <s v="0012"/>
    <m/>
    <m/>
    <m/>
    <m/>
    <m/>
  </r>
  <r>
    <s v="DESPESAS INDEDUTIVEIS"/>
    <x v="73"/>
    <x v="10"/>
    <n v="1917.56"/>
    <s v="0000000127"/>
    <s v="3409"/>
    <d v="2022-03-01T00:00:00"/>
    <s v="380301"/>
    <s v="304"/>
    <s v="11"/>
    <s v="Credito"/>
    <x v="2"/>
    <x v="216"/>
    <m/>
    <s v="000252"/>
    <s v="000132"/>
    <n v="1917.56"/>
    <s v="0,00"/>
    <s v="0,00"/>
    <s v="0,00"/>
    <s v="0,00"/>
    <s v="ORC2022_2"/>
    <s v="0012"/>
    <m/>
    <m/>
    <m/>
    <m/>
    <m/>
  </r>
  <r>
    <s v="DESPESAS INDEDUTIVEIS"/>
    <x v="73"/>
    <x v="10"/>
    <n v="35.65"/>
    <s v="0000000127"/>
    <s v="3410"/>
    <d v="2022-03-01T00:00:00"/>
    <s v="380301"/>
    <s v="303"/>
    <s v="32"/>
    <s v="Credito"/>
    <x v="2"/>
    <x v="216"/>
    <m/>
    <s v="000252"/>
    <s v="000132"/>
    <n v="35.65"/>
    <s v="0,00"/>
    <s v="0,00"/>
    <s v="0,00"/>
    <s v="0,00"/>
    <s v="ORC2022_2"/>
    <s v="0012"/>
    <m/>
    <m/>
    <m/>
    <m/>
    <m/>
  </r>
  <r>
    <s v="DESPESAS INDEDUTIVEIS"/>
    <x v="73"/>
    <x v="10"/>
    <n v="7265.18"/>
    <s v="0000000127"/>
    <s v="3411"/>
    <d v="2022-03-01T00:00:00"/>
    <s v="380301"/>
    <s v="211"/>
    <s v="51"/>
    <s v="Credito"/>
    <x v="2"/>
    <x v="216"/>
    <m/>
    <s v="000252"/>
    <s v="000132"/>
    <n v="7265.18"/>
    <s v="0,00"/>
    <s v="0,00"/>
    <s v="0,00"/>
    <s v="0,00"/>
    <s v="ORC2022_2"/>
    <s v="0012"/>
    <m/>
    <m/>
    <m/>
    <m/>
    <m/>
  </r>
  <r>
    <s v="DESPESAS INDEDUTIVEIS"/>
    <x v="73"/>
    <x v="10"/>
    <n v="4348.6899999999996"/>
    <s v="0000000127"/>
    <s v="3412"/>
    <d v="2022-03-01T00:00:00"/>
    <s v="380301"/>
    <s v="101"/>
    <s v="90"/>
    <s v="Credito"/>
    <x v="2"/>
    <x v="216"/>
    <m/>
    <s v="000252"/>
    <s v="000132"/>
    <n v="4348.6899999999996"/>
    <s v="0,00"/>
    <s v="0,00"/>
    <s v="0,00"/>
    <s v="0,00"/>
    <s v="ORC2022_2"/>
    <s v="0012"/>
    <m/>
    <m/>
    <m/>
    <m/>
    <m/>
  </r>
  <r>
    <s v="DESPESAS INDEDUTIVEIS"/>
    <x v="73"/>
    <x v="10"/>
    <n v="491.51"/>
    <s v="0000000127"/>
    <s v="3413"/>
    <d v="2022-03-01T00:00:00"/>
    <s v="380301"/>
    <s v="201"/>
    <s v="90"/>
    <s v="Credito"/>
    <x v="2"/>
    <x v="216"/>
    <m/>
    <s v="000252"/>
    <s v="000132"/>
    <n v="491.51"/>
    <s v="0,00"/>
    <s v="0,00"/>
    <s v="0,00"/>
    <s v="0,00"/>
    <s v="ORC2022_2"/>
    <s v="0012"/>
    <m/>
    <m/>
    <m/>
    <m/>
    <m/>
  </r>
  <r>
    <s v="DESPESAS INDEDUTIVEIS"/>
    <x v="73"/>
    <x v="10"/>
    <n v="224.95"/>
    <s v="0000000127"/>
    <s v="3414"/>
    <d v="2022-03-01T00:00:00"/>
    <s v="380301"/>
    <s v="202"/>
    <s v="90"/>
    <s v="Credito"/>
    <x v="2"/>
    <x v="216"/>
    <m/>
    <s v="000252"/>
    <s v="000132"/>
    <n v="224.95"/>
    <s v="0,00"/>
    <s v="0,00"/>
    <s v="0,00"/>
    <s v="0,00"/>
    <s v="ORC2022_2"/>
    <s v="0012"/>
    <m/>
    <m/>
    <m/>
    <m/>
    <m/>
  </r>
  <r>
    <s v="DESPESAS INDEDUTIVEIS"/>
    <x v="73"/>
    <x v="10"/>
    <n v="147.87"/>
    <s v="0000000127"/>
    <s v="3415"/>
    <d v="2022-03-01T00:00:00"/>
    <s v="380301"/>
    <s v="203"/>
    <s v="90"/>
    <s v="Credito"/>
    <x v="2"/>
    <x v="216"/>
    <m/>
    <s v="000252"/>
    <s v="000132"/>
    <n v="147.87"/>
    <s v="0,00"/>
    <s v="0,00"/>
    <s v="0,00"/>
    <s v="0,00"/>
    <s v="ORC2022_2"/>
    <s v="0012"/>
    <m/>
    <m/>
    <m/>
    <m/>
    <m/>
  </r>
  <r>
    <s v="DESPESAS INDEDUTIVEIS"/>
    <x v="73"/>
    <x v="10"/>
    <n v="609.64"/>
    <s v="0000000127"/>
    <s v="3416"/>
    <d v="2022-03-01T00:00:00"/>
    <s v="380301"/>
    <s v="204"/>
    <s v="90"/>
    <s v="Credito"/>
    <x v="2"/>
    <x v="216"/>
    <m/>
    <s v="000252"/>
    <s v="000132"/>
    <n v="609.64"/>
    <s v="0,00"/>
    <s v="0,00"/>
    <s v="0,00"/>
    <s v="0,00"/>
    <s v="ORC2022_2"/>
    <s v="0012"/>
    <m/>
    <m/>
    <m/>
    <m/>
    <m/>
  </r>
  <r>
    <s v="DESPESAS INDEDUTIVEIS"/>
    <x v="73"/>
    <x v="10"/>
    <n v="460"/>
    <s v="0000000127"/>
    <s v="3417"/>
    <d v="2022-03-01T00:00:00"/>
    <s v="380301"/>
    <s v="205"/>
    <s v="90"/>
    <s v="Credito"/>
    <x v="2"/>
    <x v="216"/>
    <m/>
    <s v="000252"/>
    <s v="000132"/>
    <n v="460"/>
    <s v="0,00"/>
    <s v="0,00"/>
    <s v="0,00"/>
    <s v="0,00"/>
    <s v="ORC2022_2"/>
    <s v="0012"/>
    <m/>
    <m/>
    <m/>
    <m/>
    <m/>
  </r>
  <r>
    <s v="DESPESAS INDEDUTIVEIS"/>
    <x v="73"/>
    <x v="10"/>
    <n v="15.9"/>
    <s v="0000000127"/>
    <s v="3418"/>
    <d v="2022-03-01T00:00:00"/>
    <s v="380301"/>
    <s v="207"/>
    <s v="90"/>
    <s v="Credito"/>
    <x v="2"/>
    <x v="216"/>
    <m/>
    <s v="000252"/>
    <s v="000132"/>
    <n v="15.9"/>
    <s v="0,00"/>
    <s v="0,00"/>
    <s v="0,00"/>
    <s v="0,00"/>
    <s v="ORC2022_2"/>
    <s v="0012"/>
    <m/>
    <m/>
    <m/>
    <m/>
    <m/>
  </r>
  <r>
    <s v="DESPESAS INDEDUTIVEIS"/>
    <x v="73"/>
    <x v="10"/>
    <n v="170.56"/>
    <s v="0000000127"/>
    <s v="3419"/>
    <d v="2022-03-01T00:00:00"/>
    <s v="380301"/>
    <s v="208"/>
    <s v="90"/>
    <s v="Credito"/>
    <x v="2"/>
    <x v="216"/>
    <m/>
    <s v="000252"/>
    <s v="000132"/>
    <n v="170.56"/>
    <s v="0,00"/>
    <s v="0,00"/>
    <s v="0,00"/>
    <s v="0,00"/>
    <s v="ORC2022_2"/>
    <s v="0012"/>
    <m/>
    <m/>
    <m/>
    <m/>
    <m/>
  </r>
  <r>
    <s v="DESPESAS INDEDUTIVEIS"/>
    <x v="73"/>
    <x v="10"/>
    <n v="199"/>
    <s v="0000000127"/>
    <s v="3420"/>
    <d v="2022-03-01T00:00:00"/>
    <s v="380301"/>
    <s v="302"/>
    <s v="90"/>
    <s v="Credito"/>
    <x v="2"/>
    <x v="216"/>
    <m/>
    <s v="000252"/>
    <s v="000132"/>
    <n v="199"/>
    <s v="0,00"/>
    <s v="0,00"/>
    <s v="0,00"/>
    <s v="0,00"/>
    <s v="ORC2022_2"/>
    <s v="0012"/>
    <m/>
    <m/>
    <m/>
    <m/>
    <m/>
  </r>
  <r>
    <s v="DESPESAS INDEDUTIVEIS"/>
    <x v="73"/>
    <x v="10"/>
    <n v="111.5"/>
    <s v="0000000127"/>
    <s v="3421"/>
    <d v="2022-03-01T00:00:00"/>
    <s v="380301"/>
    <s v="304"/>
    <s v="90"/>
    <s v="Credito"/>
    <x v="2"/>
    <x v="216"/>
    <m/>
    <s v="000252"/>
    <s v="000132"/>
    <n v="111.5"/>
    <s v="0,00"/>
    <s v="0,00"/>
    <s v="0,00"/>
    <s v="0,00"/>
    <s v="ORC2022_2"/>
    <s v="0012"/>
    <m/>
    <m/>
    <m/>
    <m/>
    <m/>
  </r>
  <r>
    <s v="DESPESAS INDEDUTIVEIS"/>
    <x v="73"/>
    <x v="11"/>
    <n v="584.54"/>
    <s v="0000000127"/>
    <s v="3422"/>
    <d v="2022-04-01T00:00:00"/>
    <s v="380301"/>
    <s v="304"/>
    <s v="11"/>
    <s v="Credito"/>
    <x v="2"/>
    <x v="216"/>
    <m/>
    <s v="000252"/>
    <s v="000132"/>
    <n v="584.54"/>
    <s v="0,00"/>
    <s v="0,00"/>
    <s v="0,00"/>
    <s v="0,00"/>
    <s v="ORC2022_2"/>
    <s v="0012"/>
    <m/>
    <m/>
    <m/>
    <m/>
    <m/>
  </r>
  <r>
    <s v="DESPESAS INDEDUTIVEIS"/>
    <x v="73"/>
    <x v="11"/>
    <n v="350"/>
    <s v="0000000127"/>
    <s v="3423"/>
    <d v="2022-04-01T00:00:00"/>
    <s v="380301"/>
    <s v="301"/>
    <s v="32"/>
    <s v="Credito"/>
    <x v="2"/>
    <x v="216"/>
    <m/>
    <s v="000252"/>
    <s v="000132"/>
    <n v="350"/>
    <s v="0,00"/>
    <s v="0,00"/>
    <s v="0,00"/>
    <s v="0,00"/>
    <s v="ORC2022_2"/>
    <s v="0012"/>
    <m/>
    <m/>
    <m/>
    <m/>
    <m/>
  </r>
  <r>
    <s v="DESPESAS INDEDUTIVEIS"/>
    <x v="73"/>
    <x v="11"/>
    <n v="100"/>
    <s v="0000000127"/>
    <s v="3424"/>
    <d v="2022-04-01T00:00:00"/>
    <s v="380301"/>
    <s v="303"/>
    <s v="32"/>
    <s v="Credito"/>
    <x v="2"/>
    <x v="216"/>
    <m/>
    <s v="000252"/>
    <s v="000132"/>
    <n v="100"/>
    <s v="0,00"/>
    <s v="0,00"/>
    <s v="0,00"/>
    <s v="0,00"/>
    <s v="ORC2022_2"/>
    <s v="0012"/>
    <m/>
    <m/>
    <m/>
    <m/>
    <m/>
  </r>
  <r>
    <s v="DESPESAS INDEDUTIVEIS"/>
    <x v="73"/>
    <x v="11"/>
    <n v="3689.24"/>
    <s v="0000000127"/>
    <s v="3425"/>
    <d v="2022-04-01T00:00:00"/>
    <s v="380301"/>
    <s v="211"/>
    <s v="51"/>
    <s v="Credito"/>
    <x v="2"/>
    <x v="216"/>
    <m/>
    <s v="000252"/>
    <s v="000132"/>
    <n v="3689.24"/>
    <s v="0,00"/>
    <s v="0,00"/>
    <s v="0,00"/>
    <s v="0,00"/>
    <s v="ORC2022_2"/>
    <s v="0012"/>
    <m/>
    <m/>
    <m/>
    <m/>
    <m/>
  </r>
  <r>
    <s v="DESPESAS INDEDUTIVEIS"/>
    <x v="73"/>
    <x v="11"/>
    <n v="1409.18"/>
    <s v="0000000127"/>
    <s v="3426"/>
    <d v="2022-04-01T00:00:00"/>
    <s v="380301"/>
    <s v="101"/>
    <s v="90"/>
    <s v="Credito"/>
    <x v="2"/>
    <x v="216"/>
    <m/>
    <s v="000252"/>
    <s v="000132"/>
    <n v="1409.18"/>
    <s v="0,00"/>
    <s v="0,00"/>
    <s v="0,00"/>
    <s v="0,00"/>
    <s v="ORC2022_2"/>
    <s v="0012"/>
    <m/>
    <m/>
    <m/>
    <m/>
    <m/>
  </r>
  <r>
    <s v="DESPESAS INDEDUTIVEIS"/>
    <x v="73"/>
    <x v="11"/>
    <n v="786.19"/>
    <s v="0000000127"/>
    <s v="3427"/>
    <d v="2022-04-01T00:00:00"/>
    <s v="380301"/>
    <s v="201"/>
    <s v="90"/>
    <s v="Credito"/>
    <x v="2"/>
    <x v="216"/>
    <m/>
    <s v="000252"/>
    <s v="000132"/>
    <n v="786.19"/>
    <s v="0,00"/>
    <s v="0,00"/>
    <s v="0,00"/>
    <s v="0,00"/>
    <s v="ORC2022_2"/>
    <s v="0012"/>
    <m/>
    <m/>
    <m/>
    <m/>
    <m/>
  </r>
  <r>
    <s v="DESPESAS INDEDUTIVEIS"/>
    <x v="73"/>
    <x v="11"/>
    <n v="165.86"/>
    <s v="0000000127"/>
    <s v="3428"/>
    <d v="2022-04-01T00:00:00"/>
    <s v="380301"/>
    <s v="204"/>
    <s v="90"/>
    <s v="Credito"/>
    <x v="2"/>
    <x v="216"/>
    <m/>
    <s v="000252"/>
    <s v="000132"/>
    <n v="165.86"/>
    <s v="0,00"/>
    <s v="0,00"/>
    <s v="0,00"/>
    <s v="0,00"/>
    <s v="ORC2022_2"/>
    <s v="0012"/>
    <m/>
    <m/>
    <m/>
    <m/>
    <m/>
  </r>
  <r>
    <s v="DESPESAS INDEDUTIVEIS"/>
    <x v="73"/>
    <x v="11"/>
    <n v="118.26"/>
    <s v="0000000127"/>
    <s v="3429"/>
    <d v="2022-04-01T00:00:00"/>
    <s v="380301"/>
    <s v="207"/>
    <s v="90"/>
    <s v="Credito"/>
    <x v="2"/>
    <x v="216"/>
    <m/>
    <s v="000252"/>
    <s v="000132"/>
    <n v="118.26"/>
    <s v="0,00"/>
    <s v="0,00"/>
    <s v="0,00"/>
    <s v="0,00"/>
    <s v="ORC2022_2"/>
    <s v="0012"/>
    <m/>
    <m/>
    <m/>
    <m/>
    <m/>
  </r>
  <r>
    <s v="DESPESAS INDEDUTIVEIS"/>
    <x v="73"/>
    <x v="11"/>
    <n v="44"/>
    <s v="0000000127"/>
    <s v="3430"/>
    <d v="2022-04-01T00:00:00"/>
    <s v="380301"/>
    <s v="208"/>
    <s v="90"/>
    <s v="Credito"/>
    <x v="2"/>
    <x v="216"/>
    <m/>
    <s v="000252"/>
    <s v="000132"/>
    <n v="44"/>
    <s v="0,00"/>
    <s v="0,00"/>
    <s v="0,00"/>
    <s v="0,00"/>
    <s v="ORC2022_2"/>
    <s v="0012"/>
    <m/>
    <m/>
    <m/>
    <m/>
    <m/>
  </r>
  <r>
    <s v="DESPESAS INDEDUTIVEIS"/>
    <x v="73"/>
    <x v="11"/>
    <n v="250"/>
    <s v="0000000127"/>
    <s v="3431"/>
    <d v="2022-04-01T00:00:00"/>
    <s v="380301"/>
    <s v="210"/>
    <s v="90"/>
    <s v="Credito"/>
    <x v="2"/>
    <x v="216"/>
    <m/>
    <s v="000252"/>
    <s v="000132"/>
    <n v="250"/>
    <s v="0,00"/>
    <s v="0,00"/>
    <s v="0,00"/>
    <s v="0,00"/>
    <s v="ORC2022_2"/>
    <s v="0012"/>
    <m/>
    <m/>
    <m/>
    <m/>
    <m/>
  </r>
  <r>
    <s v="DESPESAS INDEDUTIVEIS"/>
    <x v="73"/>
    <x v="11"/>
    <n v="223"/>
    <s v="0000000127"/>
    <s v="3432"/>
    <d v="2022-04-01T00:00:00"/>
    <s v="380301"/>
    <s v="301"/>
    <s v="90"/>
    <s v="Credito"/>
    <x v="2"/>
    <x v="216"/>
    <m/>
    <s v="000252"/>
    <s v="000132"/>
    <n v="223"/>
    <s v="0,00"/>
    <s v="0,00"/>
    <s v="0,00"/>
    <s v="0,00"/>
    <s v="ORC2022_2"/>
    <s v="0012"/>
    <m/>
    <m/>
    <m/>
    <m/>
    <m/>
  </r>
  <r>
    <s v="DESPESAS INDEDUTIVEIS"/>
    <x v="73"/>
    <x v="12"/>
    <n v="1202.5999999999999"/>
    <s v="0000000127"/>
    <s v="3433"/>
    <d v="2022-05-01T00:00:00"/>
    <s v="380301"/>
    <s v="304"/>
    <s v="11"/>
    <s v="Credito"/>
    <x v="2"/>
    <x v="216"/>
    <m/>
    <s v="000252"/>
    <s v="000132"/>
    <n v="1202.5999999999999"/>
    <s v="0,00"/>
    <s v="0,00"/>
    <s v="0,00"/>
    <s v="0,00"/>
    <s v="ORC2022_2"/>
    <s v="0012"/>
    <m/>
    <m/>
    <m/>
    <m/>
    <m/>
  </r>
  <r>
    <s v="DESPESAS INDEDUTIVEIS"/>
    <x v="73"/>
    <x v="12"/>
    <n v="3239.4"/>
    <s v="0000000127"/>
    <s v="3434"/>
    <d v="2022-05-01T00:00:00"/>
    <s v="380301"/>
    <s v="211"/>
    <s v="51"/>
    <s v="Credito"/>
    <x v="2"/>
    <x v="216"/>
    <m/>
    <s v="000252"/>
    <s v="000132"/>
    <n v="3239.4"/>
    <s v="0,00"/>
    <s v="0,00"/>
    <s v="0,00"/>
    <s v="0,00"/>
    <s v="ORC2022_2"/>
    <s v="0012"/>
    <m/>
    <m/>
    <m/>
    <m/>
    <m/>
  </r>
  <r>
    <s v="DESPESAS INDEDUTIVEIS"/>
    <x v="73"/>
    <x v="12"/>
    <n v="1887.14"/>
    <s v="0000000127"/>
    <s v="3435"/>
    <d v="2022-05-01T00:00:00"/>
    <s v="380301"/>
    <s v="101"/>
    <s v="90"/>
    <s v="Credito"/>
    <x v="2"/>
    <x v="216"/>
    <m/>
    <s v="000252"/>
    <s v="000132"/>
    <n v="1887.14"/>
    <s v="0,00"/>
    <s v="0,00"/>
    <s v="0,00"/>
    <s v="0,00"/>
    <s v="ORC2022_2"/>
    <s v="0012"/>
    <m/>
    <m/>
    <m/>
    <m/>
    <m/>
  </r>
  <r>
    <s v="DESPESAS INDEDUTIVEIS"/>
    <x v="73"/>
    <x v="12"/>
    <n v="1927.28"/>
    <s v="0000000127"/>
    <s v="3436"/>
    <d v="2022-05-01T00:00:00"/>
    <s v="380301"/>
    <s v="201"/>
    <s v="90"/>
    <s v="Credito"/>
    <x v="2"/>
    <x v="216"/>
    <m/>
    <s v="000252"/>
    <s v="000132"/>
    <n v="1927.28"/>
    <s v="0,00"/>
    <s v="0,00"/>
    <s v="0,00"/>
    <s v="0,00"/>
    <s v="ORC2022_2"/>
    <s v="0012"/>
    <m/>
    <m/>
    <m/>
    <m/>
    <m/>
  </r>
  <r>
    <s v="DESPESAS INDEDUTIVEIS"/>
    <x v="73"/>
    <x v="12"/>
    <n v="117.3"/>
    <s v="0000000127"/>
    <s v="3437"/>
    <d v="2022-05-01T00:00:00"/>
    <s v="380301"/>
    <s v="202"/>
    <s v="90"/>
    <s v="Credito"/>
    <x v="2"/>
    <x v="216"/>
    <m/>
    <s v="000252"/>
    <s v="000132"/>
    <n v="117.3"/>
    <s v="0,00"/>
    <s v="0,00"/>
    <s v="0,00"/>
    <s v="0,00"/>
    <s v="ORC2022_2"/>
    <s v="0012"/>
    <m/>
    <m/>
    <m/>
    <m/>
    <m/>
  </r>
  <r>
    <s v="DESPESAS INDEDUTIVEIS"/>
    <x v="73"/>
    <x v="12"/>
    <n v="1121.43"/>
    <s v="0000000127"/>
    <s v="3438"/>
    <d v="2022-05-01T00:00:00"/>
    <s v="380301"/>
    <s v="204"/>
    <s v="90"/>
    <s v="Credito"/>
    <x v="2"/>
    <x v="216"/>
    <m/>
    <s v="000252"/>
    <s v="000132"/>
    <n v="1121.43"/>
    <s v="0,00"/>
    <s v="0,00"/>
    <s v="0,00"/>
    <s v="0,00"/>
    <s v="ORC2022_2"/>
    <s v="0012"/>
    <m/>
    <m/>
    <m/>
    <m/>
    <m/>
  </r>
  <r>
    <s v="DESPESAS INDEDUTIVEIS"/>
    <x v="73"/>
    <x v="12"/>
    <n v="69.599999999999994"/>
    <s v="0000000127"/>
    <s v="3439"/>
    <d v="2022-05-01T00:00:00"/>
    <s v="380301"/>
    <s v="205"/>
    <s v="90"/>
    <s v="Credito"/>
    <x v="2"/>
    <x v="216"/>
    <m/>
    <s v="000252"/>
    <s v="000132"/>
    <n v="69.599999999999994"/>
    <s v="0,00"/>
    <s v="0,00"/>
    <s v="0,00"/>
    <s v="0,00"/>
    <s v="ORC2022_2"/>
    <s v="0012"/>
    <m/>
    <m/>
    <m/>
    <m/>
    <m/>
  </r>
  <r>
    <s v="DESPESAS INDEDUTIVEIS"/>
    <x v="73"/>
    <x v="12"/>
    <n v="942.88"/>
    <s v="0000000127"/>
    <s v="3440"/>
    <d v="2022-05-01T00:00:00"/>
    <s v="380301"/>
    <s v="207"/>
    <s v="90"/>
    <s v="Credito"/>
    <x v="2"/>
    <x v="216"/>
    <m/>
    <s v="000252"/>
    <s v="000132"/>
    <n v="942.88"/>
    <s v="0,00"/>
    <s v="0,00"/>
    <s v="0,00"/>
    <s v="0,00"/>
    <s v="ORC2022_2"/>
    <s v="0012"/>
    <m/>
    <m/>
    <m/>
    <m/>
    <m/>
  </r>
  <r>
    <s v="DESPESAS INDEDUTIVEIS"/>
    <x v="73"/>
    <x v="12"/>
    <n v="255.9"/>
    <s v="0000000127"/>
    <s v="3441"/>
    <d v="2022-05-01T00:00:00"/>
    <s v="380301"/>
    <s v="208"/>
    <s v="90"/>
    <s v="Credito"/>
    <x v="2"/>
    <x v="216"/>
    <m/>
    <s v="000252"/>
    <s v="000132"/>
    <n v="255.9"/>
    <s v="0,00"/>
    <s v="0,00"/>
    <s v="0,00"/>
    <s v="0,00"/>
    <s v="ORC2022_2"/>
    <s v="0012"/>
    <m/>
    <m/>
    <m/>
    <m/>
    <m/>
  </r>
  <r>
    <s v="DESPESAS INDEDUTIVEIS"/>
    <x v="73"/>
    <x v="12"/>
    <n v="728.84"/>
    <s v="0000000127"/>
    <s v="3442"/>
    <d v="2022-05-01T00:00:00"/>
    <s v="380301"/>
    <s v="301"/>
    <s v="90"/>
    <s v="Credito"/>
    <x v="2"/>
    <x v="216"/>
    <m/>
    <s v="000252"/>
    <s v="000132"/>
    <n v="728.84"/>
    <s v="0,00"/>
    <s v="0,00"/>
    <s v="0,00"/>
    <s v="0,00"/>
    <s v="ORC2022_2"/>
    <s v="0012"/>
    <m/>
    <m/>
    <m/>
    <m/>
    <m/>
  </r>
  <r>
    <s v="DESPESAS INDEDUTIVEIS"/>
    <x v="73"/>
    <x v="12"/>
    <n v="38"/>
    <s v="0000000127"/>
    <s v="3443"/>
    <d v="2022-05-01T00:00:00"/>
    <s v="380301"/>
    <s v="302"/>
    <s v="90"/>
    <s v="Credito"/>
    <x v="2"/>
    <x v="216"/>
    <m/>
    <s v="000252"/>
    <s v="000132"/>
    <n v="38"/>
    <s v="0,00"/>
    <s v="0,00"/>
    <s v="0,00"/>
    <s v="0,00"/>
    <s v="ORC2022_2"/>
    <s v="0012"/>
    <m/>
    <m/>
    <m/>
    <m/>
    <m/>
  </r>
  <r>
    <s v="DESPESAS INDEDUTIVEIS"/>
    <x v="73"/>
    <x v="13"/>
    <n v="7248.58"/>
    <s v="0000000127"/>
    <s v="3444"/>
    <d v="2022-06-01T00:00:00"/>
    <s v="380301"/>
    <s v="304"/>
    <s v="11"/>
    <s v="Credito"/>
    <x v="2"/>
    <x v="216"/>
    <m/>
    <s v="000252"/>
    <s v="000132"/>
    <n v="7248.58"/>
    <s v="0,00"/>
    <s v="0,00"/>
    <s v="0,00"/>
    <s v="0,00"/>
    <s v="ORC2022_2"/>
    <s v="0012"/>
    <m/>
    <m/>
    <m/>
    <m/>
    <m/>
  </r>
  <r>
    <s v="DESPESAS INDEDUTIVEIS"/>
    <x v="73"/>
    <x v="13"/>
    <n v="60"/>
    <s v="0000000127"/>
    <s v="3445"/>
    <d v="2022-06-01T00:00:00"/>
    <s v="380301"/>
    <s v="301"/>
    <s v="32"/>
    <s v="Credito"/>
    <x v="2"/>
    <x v="216"/>
    <m/>
    <s v="000252"/>
    <s v="000132"/>
    <n v="60"/>
    <s v="0,00"/>
    <s v="0,00"/>
    <s v="0,00"/>
    <s v="0,00"/>
    <s v="ORC2022_2"/>
    <s v="0012"/>
    <m/>
    <m/>
    <m/>
    <m/>
    <m/>
  </r>
  <r>
    <s v="DESPESAS INDEDUTIVEIS"/>
    <x v="73"/>
    <x v="13"/>
    <n v="62"/>
    <s v="0000000127"/>
    <s v="3446"/>
    <d v="2022-06-01T00:00:00"/>
    <s v="380301"/>
    <s v="303"/>
    <s v="32"/>
    <s v="Credito"/>
    <x v="2"/>
    <x v="216"/>
    <m/>
    <s v="000252"/>
    <s v="000132"/>
    <n v="62"/>
    <s v="0,00"/>
    <s v="0,00"/>
    <s v="0,00"/>
    <s v="0,00"/>
    <s v="ORC2022_2"/>
    <s v="0012"/>
    <m/>
    <m/>
    <m/>
    <m/>
    <m/>
  </r>
  <r>
    <s v="DESPESAS INDEDUTIVEIS"/>
    <x v="73"/>
    <x v="13"/>
    <n v="1964.25"/>
    <s v="0000000127"/>
    <s v="3447"/>
    <d v="2022-06-01T00:00:00"/>
    <s v="380301"/>
    <s v="211"/>
    <s v="51"/>
    <s v="Credito"/>
    <x v="2"/>
    <x v="216"/>
    <m/>
    <s v="000252"/>
    <s v="000132"/>
    <n v="1964.25"/>
    <s v="0,00"/>
    <s v="0,00"/>
    <s v="0,00"/>
    <s v="0,00"/>
    <s v="ORC2022_2"/>
    <s v="0012"/>
    <m/>
    <m/>
    <m/>
    <m/>
    <m/>
  </r>
  <r>
    <s v="DESPESAS INDEDUTIVEIS"/>
    <x v="73"/>
    <x v="13"/>
    <n v="935.33"/>
    <s v="0000000127"/>
    <s v="3448"/>
    <d v="2022-06-01T00:00:00"/>
    <s v="380301"/>
    <s v="101"/>
    <s v="90"/>
    <s v="Credito"/>
    <x v="2"/>
    <x v="216"/>
    <m/>
    <s v="000252"/>
    <s v="000132"/>
    <n v="935.33"/>
    <s v="0,00"/>
    <s v="0,00"/>
    <s v="0,00"/>
    <s v="0,00"/>
    <s v="ORC2022_2"/>
    <s v="0012"/>
    <m/>
    <m/>
    <m/>
    <m/>
    <m/>
  </r>
  <r>
    <s v="DESPESAS INDEDUTIVEIS"/>
    <x v="73"/>
    <x v="13"/>
    <n v="1891.27"/>
    <s v="0000000127"/>
    <s v="3449"/>
    <d v="2022-06-01T00:00:00"/>
    <s v="380301"/>
    <s v="201"/>
    <s v="90"/>
    <s v="Credito"/>
    <x v="2"/>
    <x v="216"/>
    <m/>
    <s v="000252"/>
    <s v="000132"/>
    <n v="1891.27"/>
    <s v="0,00"/>
    <s v="0,00"/>
    <s v="0,00"/>
    <s v="0,00"/>
    <s v="ORC2022_2"/>
    <s v="0012"/>
    <m/>
    <m/>
    <m/>
    <m/>
    <m/>
  </r>
  <r>
    <s v="DESPESAS INDEDUTIVEIS"/>
    <x v="73"/>
    <x v="13"/>
    <n v="274.95999999999998"/>
    <s v="0000000127"/>
    <s v="3450"/>
    <d v="2022-06-01T00:00:00"/>
    <s v="380301"/>
    <s v="202"/>
    <s v="90"/>
    <s v="Credito"/>
    <x v="2"/>
    <x v="216"/>
    <m/>
    <s v="000252"/>
    <s v="000132"/>
    <n v="274.95999999999998"/>
    <s v="0,00"/>
    <s v="0,00"/>
    <s v="0,00"/>
    <s v="0,00"/>
    <s v="ORC2022_2"/>
    <s v="0012"/>
    <m/>
    <m/>
    <m/>
    <m/>
    <m/>
  </r>
  <r>
    <s v="DESPESAS INDEDUTIVEIS"/>
    <x v="73"/>
    <x v="13"/>
    <n v="104.86"/>
    <s v="0000000127"/>
    <s v="3451"/>
    <d v="2022-06-01T00:00:00"/>
    <s v="380301"/>
    <s v="203"/>
    <s v="90"/>
    <s v="Credito"/>
    <x v="2"/>
    <x v="216"/>
    <m/>
    <s v="000252"/>
    <s v="000132"/>
    <n v="104.86"/>
    <s v="0,00"/>
    <s v="0,00"/>
    <s v="0,00"/>
    <s v="0,00"/>
    <s v="ORC2022_2"/>
    <s v="0012"/>
    <m/>
    <m/>
    <m/>
    <m/>
    <m/>
  </r>
  <r>
    <s v="DESPESAS INDEDUTIVEIS"/>
    <x v="73"/>
    <x v="13"/>
    <n v="127.97"/>
    <s v="0000000127"/>
    <s v="3452"/>
    <d v="2022-06-01T00:00:00"/>
    <s v="380301"/>
    <s v="204"/>
    <s v="90"/>
    <s v="Credito"/>
    <x v="2"/>
    <x v="216"/>
    <m/>
    <s v="000252"/>
    <s v="000132"/>
    <n v="127.97"/>
    <s v="0,00"/>
    <s v="0,00"/>
    <s v="0,00"/>
    <s v="0,00"/>
    <s v="ORC2022_2"/>
    <s v="0012"/>
    <m/>
    <m/>
    <m/>
    <m/>
    <m/>
  </r>
  <r>
    <s v="DESPESAS INDEDUTIVEIS"/>
    <x v="73"/>
    <x v="13"/>
    <n v="54.8"/>
    <s v="0000000127"/>
    <s v="3453"/>
    <d v="2022-06-01T00:00:00"/>
    <s v="380301"/>
    <s v="205"/>
    <s v="90"/>
    <s v="Credito"/>
    <x v="2"/>
    <x v="216"/>
    <m/>
    <s v="000252"/>
    <s v="000132"/>
    <n v="54.8"/>
    <s v="0,00"/>
    <s v="0,00"/>
    <s v="0,00"/>
    <s v="0,00"/>
    <s v="ORC2022_2"/>
    <s v="0012"/>
    <m/>
    <m/>
    <m/>
    <m/>
    <m/>
  </r>
  <r>
    <s v="DESPESAS INDEDUTIVEIS"/>
    <x v="73"/>
    <x v="13"/>
    <n v="115.49"/>
    <s v="0000000127"/>
    <s v="3454"/>
    <d v="2022-06-01T00:00:00"/>
    <s v="380301"/>
    <s v="207"/>
    <s v="90"/>
    <s v="Credito"/>
    <x v="2"/>
    <x v="216"/>
    <m/>
    <s v="000252"/>
    <s v="000132"/>
    <n v="115.49"/>
    <s v="0,00"/>
    <s v="0,00"/>
    <s v="0,00"/>
    <s v="0,00"/>
    <s v="ORC2022_2"/>
    <s v="0012"/>
    <m/>
    <m/>
    <m/>
    <m/>
    <m/>
  </r>
  <r>
    <s v="DESPESAS INDEDUTIVEIS"/>
    <x v="73"/>
    <x v="13"/>
    <n v="139.33000000000001"/>
    <s v="0000000127"/>
    <s v="3455"/>
    <d v="2022-06-01T00:00:00"/>
    <s v="380301"/>
    <s v="208"/>
    <s v="90"/>
    <s v="Credito"/>
    <x v="2"/>
    <x v="216"/>
    <m/>
    <s v="000252"/>
    <s v="000132"/>
    <n v="139.33000000000001"/>
    <s v="0,00"/>
    <s v="0,00"/>
    <s v="0,00"/>
    <s v="0,00"/>
    <s v="ORC2022_2"/>
    <s v="0012"/>
    <m/>
    <m/>
    <m/>
    <m/>
    <m/>
  </r>
  <r>
    <s v="DESPESAS INDEDUTIVEIS"/>
    <x v="73"/>
    <x v="13"/>
    <n v="818.3"/>
    <s v="0000000127"/>
    <s v="3456"/>
    <d v="2022-06-01T00:00:00"/>
    <s v="380301"/>
    <s v="301"/>
    <s v="90"/>
    <s v="Credito"/>
    <x v="2"/>
    <x v="216"/>
    <m/>
    <s v="000252"/>
    <s v="000132"/>
    <n v="818.3"/>
    <s v="0,00"/>
    <s v="0,00"/>
    <s v="0,00"/>
    <s v="0,00"/>
    <s v="ORC2022_2"/>
    <s v="0012"/>
    <m/>
    <m/>
    <m/>
    <m/>
    <m/>
  </r>
  <r>
    <s v="DESPESAS INDEDUTIVEIS"/>
    <x v="73"/>
    <x v="13"/>
    <n v="35"/>
    <s v="0000000127"/>
    <s v="3457"/>
    <d v="2022-06-01T00:00:00"/>
    <s v="380301"/>
    <s v="302"/>
    <s v="90"/>
    <s v="Credito"/>
    <x v="2"/>
    <x v="216"/>
    <m/>
    <s v="000252"/>
    <s v="000132"/>
    <n v="35"/>
    <s v="0,00"/>
    <s v="0,00"/>
    <s v="0,00"/>
    <s v="0,00"/>
    <s v="ORC2022_2"/>
    <s v="0012"/>
    <m/>
    <m/>
    <m/>
    <m/>
    <m/>
  </r>
  <r>
    <s v="DESPESAS INDEDUTIVEIS"/>
    <x v="73"/>
    <x v="14"/>
    <n v="5733.85"/>
    <s v="0000000127"/>
    <s v="3458"/>
    <d v="2022-07-01T00:00:00"/>
    <s v="380301"/>
    <s v="304"/>
    <s v="11"/>
    <s v="Credito"/>
    <x v="2"/>
    <x v="216"/>
    <m/>
    <s v="000252"/>
    <s v="000132"/>
    <n v="5733.85"/>
    <s v="0,00"/>
    <s v="0,00"/>
    <s v="0,00"/>
    <s v="0,00"/>
    <s v="ORC2022_2"/>
    <s v="0012"/>
    <m/>
    <m/>
    <m/>
    <m/>
    <m/>
  </r>
  <r>
    <s v="DESPESAS INDEDUTIVEIS"/>
    <x v="73"/>
    <x v="14"/>
    <n v="4149.97"/>
    <s v="0000000127"/>
    <s v="3459"/>
    <d v="2022-07-01T00:00:00"/>
    <s v="380301"/>
    <s v="211"/>
    <s v="51"/>
    <s v="Credito"/>
    <x v="2"/>
    <x v="216"/>
    <m/>
    <s v="000252"/>
    <s v="000132"/>
    <n v="4149.97"/>
    <s v="0,00"/>
    <s v="0,00"/>
    <s v="0,00"/>
    <s v="0,00"/>
    <s v="ORC2022_2"/>
    <s v="0012"/>
    <m/>
    <m/>
    <m/>
    <m/>
    <m/>
  </r>
  <r>
    <s v="DESPESAS INDEDUTIVEIS"/>
    <x v="73"/>
    <x v="14"/>
    <n v="2802.06"/>
    <s v="0000000127"/>
    <s v="3460"/>
    <d v="2022-07-01T00:00:00"/>
    <s v="380301"/>
    <s v="101"/>
    <s v="90"/>
    <s v="Credito"/>
    <x v="2"/>
    <x v="216"/>
    <m/>
    <s v="000252"/>
    <s v="000132"/>
    <n v="2802.06"/>
    <s v="0,00"/>
    <s v="0,00"/>
    <s v="0,00"/>
    <s v="0,00"/>
    <s v="ORC2022_2"/>
    <s v="0012"/>
    <m/>
    <m/>
    <m/>
    <m/>
    <m/>
  </r>
  <r>
    <s v="DESPESAS INDEDUTIVEIS"/>
    <x v="73"/>
    <x v="14"/>
    <n v="2058.98"/>
    <s v="0000000127"/>
    <s v="3461"/>
    <d v="2022-07-01T00:00:00"/>
    <s v="380301"/>
    <s v="201"/>
    <s v="90"/>
    <s v="Credito"/>
    <x v="2"/>
    <x v="216"/>
    <m/>
    <s v="000252"/>
    <s v="000132"/>
    <n v="2058.98"/>
    <s v="0,00"/>
    <s v="0,00"/>
    <s v="0,00"/>
    <s v="0,00"/>
    <s v="ORC2022_2"/>
    <s v="0012"/>
    <m/>
    <m/>
    <m/>
    <m/>
    <m/>
  </r>
  <r>
    <s v="DESPESAS INDEDUTIVEIS"/>
    <x v="73"/>
    <x v="14"/>
    <n v="119"/>
    <s v="0000000127"/>
    <s v="3462"/>
    <d v="2022-07-01T00:00:00"/>
    <s v="380301"/>
    <s v="202"/>
    <s v="90"/>
    <s v="Credito"/>
    <x v="2"/>
    <x v="216"/>
    <m/>
    <s v="000252"/>
    <s v="000132"/>
    <n v="119"/>
    <s v="0,00"/>
    <s v="0,00"/>
    <s v="0,00"/>
    <s v="0,00"/>
    <s v="ORC2022_2"/>
    <s v="0012"/>
    <m/>
    <m/>
    <m/>
    <m/>
    <m/>
  </r>
  <r>
    <s v="DESPESAS INDEDUTIVEIS"/>
    <x v="73"/>
    <x v="14"/>
    <n v="114.66"/>
    <s v="0000000127"/>
    <s v="3463"/>
    <d v="2022-07-01T00:00:00"/>
    <s v="380301"/>
    <s v="203"/>
    <s v="90"/>
    <s v="Credito"/>
    <x v="2"/>
    <x v="216"/>
    <m/>
    <s v="000252"/>
    <s v="000132"/>
    <n v="114.66"/>
    <s v="0,00"/>
    <s v="0,00"/>
    <s v="0,00"/>
    <s v="0,00"/>
    <s v="ORC2022_2"/>
    <s v="0012"/>
    <m/>
    <m/>
    <m/>
    <m/>
    <m/>
  </r>
  <r>
    <s v="DESPESAS INDEDUTIVEIS"/>
    <x v="73"/>
    <x v="14"/>
    <n v="374.03"/>
    <s v="0000000127"/>
    <s v="3464"/>
    <d v="2022-07-01T00:00:00"/>
    <s v="380301"/>
    <s v="204"/>
    <s v="90"/>
    <s v="Credito"/>
    <x v="2"/>
    <x v="216"/>
    <m/>
    <s v="000252"/>
    <s v="000132"/>
    <n v="374.03"/>
    <s v="0,00"/>
    <s v="0,00"/>
    <s v="0,00"/>
    <s v="0,00"/>
    <s v="ORC2022_2"/>
    <s v="0012"/>
    <m/>
    <m/>
    <m/>
    <m/>
    <m/>
  </r>
  <r>
    <s v="DESPESAS INDEDUTIVEIS"/>
    <x v="73"/>
    <x v="14"/>
    <n v="154.91"/>
    <s v="0000000127"/>
    <s v="3465"/>
    <d v="2022-07-01T00:00:00"/>
    <s v="380301"/>
    <s v="207"/>
    <s v="90"/>
    <s v="Credito"/>
    <x v="2"/>
    <x v="216"/>
    <m/>
    <s v="000252"/>
    <s v="000132"/>
    <n v="154.91"/>
    <s v="0,00"/>
    <s v="0,00"/>
    <s v="0,00"/>
    <s v="0,00"/>
    <s v="ORC2022_2"/>
    <s v="0012"/>
    <m/>
    <m/>
    <m/>
    <m/>
    <m/>
  </r>
  <r>
    <s v="DESPESAS INDEDUTIVEIS"/>
    <x v="73"/>
    <x v="14"/>
    <n v="93"/>
    <s v="0000000127"/>
    <s v="3466"/>
    <d v="2022-07-01T00:00:00"/>
    <s v="380301"/>
    <s v="208"/>
    <s v="90"/>
    <s v="Credito"/>
    <x v="2"/>
    <x v="216"/>
    <m/>
    <s v="000252"/>
    <s v="000132"/>
    <n v="93"/>
    <s v="0,00"/>
    <s v="0,00"/>
    <s v="0,00"/>
    <s v="0,00"/>
    <s v="ORC2022_2"/>
    <s v="0012"/>
    <m/>
    <m/>
    <m/>
    <m/>
    <m/>
  </r>
  <r>
    <s v="DESPESAS INDEDUTIVEIS"/>
    <x v="73"/>
    <x v="14"/>
    <n v="664.67"/>
    <s v="0000000127"/>
    <s v="3467"/>
    <d v="2022-07-01T00:00:00"/>
    <s v="380301"/>
    <s v="301"/>
    <s v="90"/>
    <s v="Credito"/>
    <x v="2"/>
    <x v="216"/>
    <m/>
    <s v="000252"/>
    <s v="000132"/>
    <n v="664.67"/>
    <s v="0,00"/>
    <s v="0,00"/>
    <s v="0,00"/>
    <s v="0,00"/>
    <s v="ORC2022_2"/>
    <s v="0012"/>
    <m/>
    <m/>
    <m/>
    <m/>
    <m/>
  </r>
  <r>
    <s v="DESPESAS INDEDUTIVEIS"/>
    <x v="73"/>
    <x v="14"/>
    <n v="67.900000000000006"/>
    <s v="0000000127"/>
    <s v="3468"/>
    <d v="2022-07-01T00:00:00"/>
    <s v="380301"/>
    <s v="302"/>
    <s v="90"/>
    <s v="Credito"/>
    <x v="2"/>
    <x v="216"/>
    <m/>
    <s v="000252"/>
    <s v="000132"/>
    <n v="67.900000000000006"/>
    <s v="0,00"/>
    <s v="0,00"/>
    <s v="0,00"/>
    <s v="0,00"/>
    <s v="ORC2022_2"/>
    <s v="0012"/>
    <m/>
    <m/>
    <m/>
    <m/>
    <m/>
  </r>
  <r>
    <s v="DESPESAS INDEDUTIVEIS"/>
    <x v="73"/>
    <x v="15"/>
    <n v="4325.07"/>
    <s v="0000000127"/>
    <s v="3469"/>
    <d v="2022-08-01T00:00:00"/>
    <s v="380301"/>
    <s v="304"/>
    <s v="11"/>
    <s v="Credito"/>
    <x v="2"/>
    <x v="216"/>
    <m/>
    <s v="000252"/>
    <s v="000132"/>
    <n v="4325.07"/>
    <s v="0,00"/>
    <s v="0,00"/>
    <s v="0,00"/>
    <s v="0,00"/>
    <s v="ORC2022_2"/>
    <s v="0012"/>
    <m/>
    <m/>
    <m/>
    <m/>
    <m/>
  </r>
  <r>
    <s v="DESPESAS INDEDUTIVEIS"/>
    <x v="73"/>
    <x v="15"/>
    <n v="175"/>
    <s v="0000000127"/>
    <s v="3470"/>
    <d v="2022-08-01T00:00:00"/>
    <s v="380301"/>
    <s v="303"/>
    <s v="31"/>
    <s v="Credito"/>
    <x v="2"/>
    <x v="216"/>
    <m/>
    <s v="000252"/>
    <s v="000132"/>
    <n v="175"/>
    <s v="0,00"/>
    <s v="0,00"/>
    <s v="0,00"/>
    <s v="0,00"/>
    <s v="ORC2022_2"/>
    <s v="0012"/>
    <m/>
    <m/>
    <m/>
    <m/>
    <m/>
  </r>
  <r>
    <s v="DESPESAS INDEDUTIVEIS"/>
    <x v="73"/>
    <x v="15"/>
    <n v="91"/>
    <s v="0000000127"/>
    <s v="3471"/>
    <d v="2022-08-01T00:00:00"/>
    <s v="380301"/>
    <s v="301"/>
    <s v="32"/>
    <s v="Credito"/>
    <x v="2"/>
    <x v="216"/>
    <m/>
    <s v="000252"/>
    <s v="000132"/>
    <n v="91"/>
    <s v="0,00"/>
    <s v="0,00"/>
    <s v="0,00"/>
    <s v="0,00"/>
    <s v="ORC2022_2"/>
    <s v="0012"/>
    <m/>
    <m/>
    <m/>
    <m/>
    <m/>
  </r>
  <r>
    <s v="DESPESAS INDEDUTIVEIS"/>
    <x v="73"/>
    <x v="15"/>
    <n v="76"/>
    <s v="0000000127"/>
    <s v="3472"/>
    <d v="2022-08-01T00:00:00"/>
    <s v="380301"/>
    <s v="303"/>
    <s v="32"/>
    <s v="Credito"/>
    <x v="2"/>
    <x v="216"/>
    <m/>
    <s v="000252"/>
    <s v="000132"/>
    <n v="76"/>
    <s v="0,00"/>
    <s v="0,00"/>
    <s v="0,00"/>
    <s v="0,00"/>
    <s v="ORC2022_2"/>
    <s v="0012"/>
    <m/>
    <m/>
    <m/>
    <m/>
    <m/>
  </r>
  <r>
    <s v="DESPESAS INDEDUTIVEIS"/>
    <x v="73"/>
    <x v="15"/>
    <n v="4347.2"/>
    <s v="0000000127"/>
    <s v="3473"/>
    <d v="2022-08-01T00:00:00"/>
    <s v="380301"/>
    <s v="211"/>
    <s v="51"/>
    <s v="Credito"/>
    <x v="2"/>
    <x v="216"/>
    <m/>
    <s v="000252"/>
    <s v="000132"/>
    <n v="4347.2"/>
    <s v="0,00"/>
    <s v="0,00"/>
    <s v="0,00"/>
    <s v="0,00"/>
    <s v="ORC2022_2"/>
    <s v="0012"/>
    <m/>
    <m/>
    <m/>
    <m/>
    <m/>
  </r>
  <r>
    <s v="DESPESAS INDEDUTIVEIS"/>
    <x v="73"/>
    <x v="15"/>
    <n v="6773.91"/>
    <s v="0000000127"/>
    <s v="3474"/>
    <d v="2022-08-01T00:00:00"/>
    <s v="380301"/>
    <s v="101"/>
    <s v="90"/>
    <s v="Credito"/>
    <x v="2"/>
    <x v="216"/>
    <m/>
    <s v="000252"/>
    <s v="000132"/>
    <n v="6773.91"/>
    <s v="0,00"/>
    <s v="0,00"/>
    <s v="0,00"/>
    <s v="0,00"/>
    <s v="ORC2022_2"/>
    <s v="0012"/>
    <m/>
    <m/>
    <m/>
    <m/>
    <m/>
  </r>
  <r>
    <s v="DESPESAS INDEDUTIVEIS"/>
    <x v="73"/>
    <x v="15"/>
    <n v="3073.7"/>
    <s v="0000000127"/>
    <s v="3475"/>
    <d v="2022-08-01T00:00:00"/>
    <s v="380301"/>
    <s v="201"/>
    <s v="90"/>
    <s v="Credito"/>
    <x v="2"/>
    <x v="216"/>
    <m/>
    <s v="000252"/>
    <s v="000132"/>
    <n v="3073.7"/>
    <s v="0,00"/>
    <s v="0,00"/>
    <s v="0,00"/>
    <s v="0,00"/>
    <s v="ORC2022_2"/>
    <s v="0012"/>
    <m/>
    <m/>
    <m/>
    <m/>
    <m/>
  </r>
  <r>
    <s v="DESPESAS INDEDUTIVEIS"/>
    <x v="73"/>
    <x v="15"/>
    <n v="198.8"/>
    <s v="0000000127"/>
    <s v="3476"/>
    <d v="2022-08-01T00:00:00"/>
    <s v="380301"/>
    <s v="202"/>
    <s v="90"/>
    <s v="Credito"/>
    <x v="2"/>
    <x v="216"/>
    <m/>
    <s v="000252"/>
    <s v="000132"/>
    <n v="198.8"/>
    <s v="0,00"/>
    <s v="0,00"/>
    <s v="0,00"/>
    <s v="0,00"/>
    <s v="ORC2022_2"/>
    <s v="0012"/>
    <m/>
    <m/>
    <m/>
    <m/>
    <m/>
  </r>
  <r>
    <s v="DESPESAS INDEDUTIVEIS"/>
    <x v="73"/>
    <x v="15"/>
    <n v="10"/>
    <s v="0000000127"/>
    <s v="3477"/>
    <d v="2022-08-01T00:00:00"/>
    <s v="380301"/>
    <s v="204"/>
    <s v="90"/>
    <s v="Credito"/>
    <x v="2"/>
    <x v="216"/>
    <m/>
    <s v="000252"/>
    <s v="000132"/>
    <n v="10"/>
    <s v="0,00"/>
    <s v="0,00"/>
    <s v="0,00"/>
    <s v="0,00"/>
    <s v="ORC2022_2"/>
    <s v="0012"/>
    <m/>
    <m/>
    <m/>
    <m/>
    <m/>
  </r>
  <r>
    <s v="DESPESAS INDEDUTIVEIS"/>
    <x v="73"/>
    <x v="15"/>
    <n v="444.23"/>
    <s v="0000000127"/>
    <s v="3478"/>
    <d v="2022-08-01T00:00:00"/>
    <s v="380301"/>
    <s v="301"/>
    <s v="90"/>
    <s v="Credito"/>
    <x v="2"/>
    <x v="216"/>
    <m/>
    <s v="000252"/>
    <s v="000132"/>
    <n v="444.23"/>
    <s v="0,00"/>
    <s v="0,00"/>
    <s v="0,00"/>
    <s v="0,00"/>
    <s v="ORC2022_2"/>
    <s v="0012"/>
    <m/>
    <m/>
    <m/>
    <m/>
    <m/>
  </r>
  <r>
    <s v="DESPESAS INDEDUTIVEIS"/>
    <x v="73"/>
    <x v="15"/>
    <n v="374.4"/>
    <s v="0000000127"/>
    <s v="3479"/>
    <d v="2022-08-01T00:00:00"/>
    <s v="380301"/>
    <s v="302"/>
    <s v="90"/>
    <s v="Credito"/>
    <x v="2"/>
    <x v="216"/>
    <m/>
    <s v="000252"/>
    <s v="000132"/>
    <n v="374.4"/>
    <s v="0,00"/>
    <s v="0,00"/>
    <s v="0,00"/>
    <s v="0,00"/>
    <s v="ORC2022_2"/>
    <s v="0012"/>
    <m/>
    <m/>
    <m/>
    <m/>
    <m/>
  </r>
  <r>
    <s v="DESPESAS INDEDUTIVEIS"/>
    <x v="73"/>
    <x v="15"/>
    <n v="500"/>
    <s v="0000000127"/>
    <s v="3480"/>
    <d v="2022-08-01T00:00:00"/>
    <s v="380301"/>
    <s v="304"/>
    <s v="90"/>
    <s v="Credito"/>
    <x v="2"/>
    <x v="216"/>
    <m/>
    <s v="000252"/>
    <s v="000132"/>
    <n v="500"/>
    <s v="0,00"/>
    <s v="0,00"/>
    <s v="0,00"/>
    <s v="0,00"/>
    <s v="ORC2022_2"/>
    <s v="0012"/>
    <m/>
    <m/>
    <m/>
    <m/>
    <m/>
  </r>
  <r>
    <s v="IMPOSTO DE RENDA"/>
    <x v="74"/>
    <x v="10"/>
    <n v="720223.42"/>
    <s v="0000000127"/>
    <s v="3481"/>
    <d v="2022-03-01T00:00:00"/>
    <s v="910101001"/>
    <s v="201"/>
    <s v="90"/>
    <s v="Credito"/>
    <x v="2"/>
    <x v="216"/>
    <m/>
    <s v="000252"/>
    <s v="000132"/>
    <n v="720223.42"/>
    <s v="0,00"/>
    <s v="0,00"/>
    <s v="0,00"/>
    <s v="0,00"/>
    <s v="ORC2022_2"/>
    <s v="0012"/>
    <m/>
    <m/>
    <m/>
    <m/>
    <m/>
  </r>
  <r>
    <s v="IMPOSTO DE RENDA"/>
    <x v="74"/>
    <x v="13"/>
    <n v="1872467.92"/>
    <s v="0000000127"/>
    <s v="3482"/>
    <d v="2022-06-01T00:00:00"/>
    <s v="910101001"/>
    <s v="201"/>
    <s v="90"/>
    <s v="Credito"/>
    <x v="2"/>
    <x v="216"/>
    <m/>
    <s v="000252"/>
    <s v="000132"/>
    <n v="1872467.92"/>
    <s v="0,00"/>
    <s v="0,00"/>
    <s v="0,00"/>
    <s v="0,00"/>
    <s v="ORC2022_2"/>
    <s v="0012"/>
    <m/>
    <m/>
    <m/>
    <m/>
    <m/>
  </r>
  <r>
    <s v="IMPOSTO DE RENDA"/>
    <x v="74"/>
    <x v="16"/>
    <n v="2128018.19"/>
    <s v="0000000127"/>
    <s v="3483"/>
    <d v="2022-09-01T00:00:00"/>
    <s v="910101001"/>
    <s v="201"/>
    <s v="90"/>
    <s v="Credito"/>
    <x v="2"/>
    <x v="216"/>
    <m/>
    <s v="000252"/>
    <s v="000132"/>
    <n v="2128018.19"/>
    <s v="0,00"/>
    <s v="0,00"/>
    <s v="0,00"/>
    <s v="0,00"/>
    <s v="ORC2022_2"/>
    <s v="0012"/>
    <m/>
    <m/>
    <m/>
    <m/>
    <m/>
  </r>
  <r>
    <s v="IMPOSTO DE RENDA"/>
    <x v="74"/>
    <x v="1"/>
    <n v="2340820.0099999998"/>
    <s v="0000000127"/>
    <s v="3484"/>
    <d v="2022-12-01T00:00:00"/>
    <s v="910101001"/>
    <s v="201"/>
    <s v="90"/>
    <s v="Credito"/>
    <x v="2"/>
    <x v="216"/>
    <m/>
    <s v="000252"/>
    <s v="000132"/>
    <n v="2340820.0099999998"/>
    <s v="0,00"/>
    <s v="0,00"/>
    <s v="0,00"/>
    <s v="0,00"/>
    <s v="ORC2022_2"/>
    <s v="0012"/>
    <m/>
    <m/>
    <m/>
    <m/>
    <m/>
  </r>
  <r>
    <s v="CONTRIBUICAO SOCIAL"/>
    <x v="75"/>
    <x v="10"/>
    <n v="267869.28999999998"/>
    <s v="0000000127"/>
    <s v="3485"/>
    <d v="2022-03-01T00:00:00"/>
    <s v="910101002"/>
    <s v="201"/>
    <s v="90"/>
    <s v="Credito"/>
    <x v="2"/>
    <x v="216"/>
    <m/>
    <s v="000252"/>
    <s v="000132"/>
    <n v="267869.28999999998"/>
    <s v="0,00"/>
    <s v="0,00"/>
    <s v="0,00"/>
    <s v="0,00"/>
    <s v="ORC2022_2"/>
    <s v="0012"/>
    <m/>
    <m/>
    <m/>
    <m/>
    <m/>
  </r>
  <r>
    <s v="CONTRIBUICAO SOCIAL"/>
    <x v="75"/>
    <x v="13"/>
    <n v="692877.51"/>
    <s v="0000000127"/>
    <s v="3486"/>
    <d v="2022-06-01T00:00:00"/>
    <s v="910101002"/>
    <s v="201"/>
    <s v="90"/>
    <s v="Credito"/>
    <x v="2"/>
    <x v="216"/>
    <m/>
    <s v="000252"/>
    <s v="000132"/>
    <n v="692877.51"/>
    <s v="0,00"/>
    <s v="0,00"/>
    <s v="0,00"/>
    <s v="0,00"/>
    <s v="ORC2022_2"/>
    <s v="0012"/>
    <m/>
    <m/>
    <m/>
    <m/>
    <m/>
  </r>
  <r>
    <s v="CONTRIBUICAO SOCIAL"/>
    <x v="75"/>
    <x v="16"/>
    <n v="787137.86"/>
    <s v="0000000127"/>
    <s v="3487"/>
    <d v="2022-09-01T00:00:00"/>
    <s v="910101002"/>
    <s v="201"/>
    <s v="90"/>
    <s v="Credito"/>
    <x v="2"/>
    <x v="216"/>
    <m/>
    <s v="000252"/>
    <s v="000132"/>
    <n v="787137.86"/>
    <s v="0,00"/>
    <s v="0,00"/>
    <s v="0,00"/>
    <s v="0,00"/>
    <s v="ORC2022_2"/>
    <s v="0012"/>
    <m/>
    <m/>
    <m/>
    <m/>
    <m/>
  </r>
  <r>
    <s v="CONTRIBUICAO SOCIAL"/>
    <x v="75"/>
    <x v="1"/>
    <n v="865851.65"/>
    <s v="0000000127"/>
    <s v="3488"/>
    <d v="2022-12-01T00:00:00"/>
    <s v="910101002"/>
    <s v="201"/>
    <s v="90"/>
    <s v="Credito"/>
    <x v="2"/>
    <x v="216"/>
    <m/>
    <s v="000252"/>
    <s v="000132"/>
    <n v="865851.65"/>
    <s v="0,00"/>
    <s v="0,00"/>
    <s v="0,00"/>
    <s v="0,00"/>
    <s v="ORC2022_2"/>
    <s v="0012"/>
    <m/>
    <m/>
    <m/>
    <m/>
    <m/>
  </r>
  <r>
    <s v="RECEITA BRUTA DE TRANSPORTES"/>
    <x v="17"/>
    <x v="1"/>
    <n v="10950"/>
    <s v="0000000128"/>
    <s v="0001"/>
    <d v="2022-12-06T00:00:00"/>
    <s v="310101"/>
    <s v="304"/>
    <s v="11"/>
    <s v="Credito"/>
    <x v="1"/>
    <x v="217"/>
    <m/>
    <s v="000101"/>
    <s v="000032"/>
    <n v="10950"/>
    <s v="0,00"/>
    <s v="0,00"/>
    <s v="0,00"/>
    <s v="0,00"/>
    <s v="ORC2022_2"/>
    <s v="001"/>
    <s v="304"/>
    <s v="11"/>
    <m/>
    <m/>
    <s v="010101"/>
  </r>
  <r>
    <s v="RECEITA BRUTA DE TRANSPORTES"/>
    <x v="17"/>
    <x v="1"/>
    <n v="6417.67"/>
    <s v="0000000129"/>
    <s v="0001"/>
    <d v="2022-12-08T00:00:00"/>
    <s v="310101"/>
    <s v="304"/>
    <s v="11"/>
    <s v="Credito"/>
    <x v="1"/>
    <x v="218"/>
    <m/>
    <s v="000101"/>
    <s v="000032"/>
    <n v="6417.67"/>
    <s v="0,00"/>
    <s v="0,00"/>
    <s v="0,00"/>
    <s v="0,00"/>
    <s v="ORC2022_2"/>
    <s v="001"/>
    <s v="304"/>
    <s v="11"/>
    <m/>
    <m/>
    <s v="010101"/>
  </r>
  <r>
    <s v="RECEITA BRUTA DE TRANSPORTES"/>
    <x v="17"/>
    <x v="1"/>
    <n v="46608.9"/>
    <s v="0000000130"/>
    <s v="0001"/>
    <d v="2022-12-12T00:00:00"/>
    <s v="310101"/>
    <s v="304"/>
    <s v="11"/>
    <s v="Credito"/>
    <x v="1"/>
    <x v="219"/>
    <m/>
    <s v="000101"/>
    <s v="000032"/>
    <n v="46608.9"/>
    <s v="0,00"/>
    <s v="0,00"/>
    <s v="0,00"/>
    <s v="0,00"/>
    <s v="ORC2022_2"/>
    <s v="001"/>
    <s v="304"/>
    <s v="11"/>
    <m/>
    <m/>
    <s v="010101"/>
  </r>
  <r>
    <s v="RECEITA BRUTA DE TRANSPORTES"/>
    <x v="17"/>
    <x v="1"/>
    <n v="1499.19"/>
    <s v="0000000131"/>
    <s v="0001"/>
    <d v="2022-12-12T00:00:00"/>
    <s v="310101"/>
    <s v="304"/>
    <s v="11"/>
    <s v="Credito"/>
    <x v="1"/>
    <x v="220"/>
    <m/>
    <s v="000101"/>
    <s v="000032"/>
    <n v="1499.19"/>
    <s v="0,00"/>
    <s v="0,00"/>
    <s v="0,00"/>
    <s v="0,00"/>
    <s v="ORC2022_2"/>
    <s v="001"/>
    <s v="304"/>
    <s v="11"/>
    <m/>
    <m/>
    <s v="010101"/>
  </r>
  <r>
    <s v="RECEITA BRUTA DE TRANSPORTES"/>
    <x v="17"/>
    <x v="1"/>
    <n v="1549.49"/>
    <s v="0000000132"/>
    <s v="0001"/>
    <d v="2022-12-12T00:00:00"/>
    <s v="310101"/>
    <s v="304"/>
    <s v="11"/>
    <s v="Credito"/>
    <x v="1"/>
    <x v="221"/>
    <m/>
    <s v="000101"/>
    <s v="000032"/>
    <n v="1549.49"/>
    <s v="0,00"/>
    <s v="0,00"/>
    <s v="0,00"/>
    <s v="0,00"/>
    <s v="ORC2022_2"/>
    <s v="001"/>
    <s v="304"/>
    <s v="11"/>
    <m/>
    <m/>
    <s v="010101"/>
  </r>
  <r>
    <s v="RECEITA BRUTA DE TRANSPORTES"/>
    <x v="17"/>
    <x v="1"/>
    <n v="578.61"/>
    <s v="0000000133"/>
    <s v="0001"/>
    <d v="2022-12-12T00:00:00"/>
    <s v="310101"/>
    <s v="304"/>
    <s v="11"/>
    <s v="Credito"/>
    <x v="1"/>
    <x v="222"/>
    <m/>
    <s v="000101"/>
    <s v="000032"/>
    <n v="578.61"/>
    <s v="0,00"/>
    <s v="0,00"/>
    <s v="0,00"/>
    <s v="0,00"/>
    <s v="ORC2022_2"/>
    <s v="001"/>
    <s v="304"/>
    <s v="11"/>
    <m/>
    <m/>
    <s v="010101"/>
  </r>
  <r>
    <s v="RECEITA BRUTA DE TRANSPORTES"/>
    <x v="17"/>
    <x v="1"/>
    <n v="10950"/>
    <s v="0000000134"/>
    <s v="0001"/>
    <d v="2022-12-13T00:00:00"/>
    <s v="310101"/>
    <s v="304"/>
    <s v="11"/>
    <s v="Credito"/>
    <x v="1"/>
    <x v="223"/>
    <m/>
    <s v="000101"/>
    <s v="000032"/>
    <n v="10950"/>
    <s v="0,00"/>
    <s v="0,00"/>
    <s v="0,00"/>
    <s v="0,00"/>
    <s v="ORC2022_2"/>
    <s v="001"/>
    <s v="304"/>
    <s v="11"/>
    <m/>
    <m/>
    <s v="010101"/>
  </r>
  <r>
    <s v="RECEITA BRUTA DE TRANSPORTES"/>
    <x v="17"/>
    <x v="1"/>
    <n v="1593.11"/>
    <s v="0000000135"/>
    <s v="0001"/>
    <d v="2022-12-14T00:00:00"/>
    <s v="310101"/>
    <s v="304"/>
    <s v="11"/>
    <s v="Credito"/>
    <x v="1"/>
    <x v="224"/>
    <m/>
    <s v="000101"/>
    <s v="000046"/>
    <n v="1593.11"/>
    <s v="0,00"/>
    <s v="0,00"/>
    <s v="0,00"/>
    <s v="0,00"/>
    <s v="ORC2022_2"/>
    <s v="001"/>
    <s v="304"/>
    <s v="11"/>
    <m/>
    <m/>
    <s v="010101"/>
  </r>
  <r>
    <s v="RECEITA BRUTA DE TRANSPORTES"/>
    <x v="17"/>
    <x v="1"/>
    <n v="410.21"/>
    <s v="0000000136"/>
    <s v="0001"/>
    <d v="2022-12-14T00:00:00"/>
    <s v="310101"/>
    <s v="304"/>
    <s v="11"/>
    <s v="Credito"/>
    <x v="1"/>
    <x v="225"/>
    <m/>
    <s v="000101"/>
    <s v="000046"/>
    <n v="410.21"/>
    <s v="0,00"/>
    <s v="0,00"/>
    <s v="0,00"/>
    <s v="0,00"/>
    <s v="ORC2022_2"/>
    <s v="001"/>
    <s v="304"/>
    <s v="11"/>
    <m/>
    <m/>
    <s v="010101"/>
  </r>
  <r>
    <s v="RECEITA BRUTA DE TRANSPORTES"/>
    <x v="17"/>
    <x v="1"/>
    <n v="6381.95"/>
    <s v="0000000137"/>
    <s v="0001"/>
    <d v="2022-12-14T00:00:00"/>
    <s v="310101"/>
    <s v="304"/>
    <s v="11"/>
    <s v="Credito"/>
    <x v="1"/>
    <x v="226"/>
    <m/>
    <s v="000101"/>
    <s v="000046"/>
    <n v="6381.95"/>
    <s v="0,00"/>
    <s v="0,00"/>
    <s v="0,00"/>
    <s v="0,00"/>
    <s v="ORC2022_2"/>
    <s v="001"/>
    <s v="304"/>
    <s v="11"/>
    <m/>
    <m/>
    <s v="010101"/>
  </r>
  <r>
    <s v="OUTROS GASTOS COM PESSOAL"/>
    <x v="28"/>
    <x v="1"/>
    <n v="13.38"/>
    <s v="0000000138"/>
    <s v="0001"/>
    <d v="2022-12-13T00:00:00"/>
    <s v="320104"/>
    <s v="302"/>
    <s v="11"/>
    <s v="Credito"/>
    <x v="1"/>
    <x v="227"/>
    <m/>
    <s v="000082"/>
    <s v="000076"/>
    <n v="13.38"/>
    <s v="0,00"/>
    <s v="0,00"/>
    <s v="0,00"/>
    <s v="0,00"/>
    <s v="ORC2022_2"/>
    <s v="001"/>
    <s v="302"/>
    <s v="11"/>
    <m/>
    <m/>
    <s v="010101"/>
  </r>
  <r>
    <s v="OUTROS GASTOS COM PESSOAL"/>
    <x v="28"/>
    <x v="1"/>
    <n v="2.06"/>
    <s v="0000000138"/>
    <s v="0002"/>
    <d v="2022-12-13T00:00:00"/>
    <s v="320104"/>
    <s v="302"/>
    <s v="11"/>
    <s v="Credito"/>
    <x v="1"/>
    <x v="228"/>
    <m/>
    <s v="000082"/>
    <s v="000076"/>
    <n v="2.06"/>
    <s v="0,00"/>
    <s v="0,00"/>
    <s v="0,00"/>
    <s v="0,00"/>
    <s v="ORC2022_2"/>
    <s v="001"/>
    <s v="302"/>
    <s v="11"/>
    <m/>
    <m/>
    <s v="010101"/>
  </r>
  <r>
    <s v="RECEITA BRUTA DE TRANSPORTES"/>
    <x v="17"/>
    <x v="1"/>
    <n v="6381.95"/>
    <s v="0000000139"/>
    <s v="0001"/>
    <d v="2022-12-14T00:00:00"/>
    <s v="310101"/>
    <s v="304"/>
    <s v="11"/>
    <s v="Credito"/>
    <x v="1"/>
    <x v="229"/>
    <m/>
    <s v="000101"/>
    <s v="000046"/>
    <n v="6381.95"/>
    <s v="0,00"/>
    <s v="0,00"/>
    <s v="0,00"/>
    <s v="0,00"/>
    <s v="ORC2022_2"/>
    <s v="001"/>
    <s v="304"/>
    <s v="11"/>
    <m/>
    <m/>
    <s v="010101"/>
  </r>
  <r>
    <s v="RECEITA BRUTA DE TRANSPORTES"/>
    <x v="17"/>
    <x v="1"/>
    <n v="14429.6"/>
    <s v="0000000140"/>
    <s v="0001"/>
    <d v="2022-12-14T00:00:00"/>
    <s v="310101"/>
    <s v="304"/>
    <s v="11"/>
    <s v="Credito"/>
    <x v="1"/>
    <x v="230"/>
    <m/>
    <s v="000101"/>
    <s v="000046"/>
    <n v="14429.6"/>
    <s v="0,00"/>
    <s v="0,00"/>
    <s v="0,00"/>
    <s v="0,00"/>
    <s v="ORC2022_2"/>
    <s v="001"/>
    <s v="304"/>
    <s v="11"/>
    <m/>
    <m/>
    <s v="010101"/>
  </r>
  <r>
    <s v="RECEITA BRUTA DE TRANSPORTES"/>
    <x v="17"/>
    <x v="1"/>
    <n v="4054.32"/>
    <s v="0000000141"/>
    <s v="0001"/>
    <d v="2022-12-15T00:00:00"/>
    <s v="310101"/>
    <s v="304"/>
    <s v="11"/>
    <s v="Credito"/>
    <x v="1"/>
    <x v="231"/>
    <m/>
    <s v="000101"/>
    <s v="000046"/>
    <n v="4054.32"/>
    <s v="0,00"/>
    <s v="0,00"/>
    <s v="0,00"/>
    <s v="0,00"/>
    <s v="ORC2022_2"/>
    <s v="001"/>
    <s v="304"/>
    <s v="11"/>
    <m/>
    <m/>
    <s v="010101"/>
  </r>
  <r>
    <s v="RECEITA BRUTA DE TRANSPORTES"/>
    <x v="17"/>
    <x v="1"/>
    <n v="10950"/>
    <s v="0000000142"/>
    <s v="0001"/>
    <d v="2022-12-15T00:00:00"/>
    <s v="310101"/>
    <s v="304"/>
    <s v="11"/>
    <s v="Credito"/>
    <x v="1"/>
    <x v="232"/>
    <m/>
    <s v="000101"/>
    <s v="000046"/>
    <n v="10950"/>
    <s v="0,00"/>
    <s v="0,00"/>
    <s v="0,00"/>
    <s v="0,00"/>
    <s v="ORC2022_2"/>
    <s v="001"/>
    <s v="304"/>
    <s v="11"/>
    <m/>
    <m/>
    <s v="010101"/>
  </r>
  <r>
    <s v="RECEITA BRUTA DE TRANSPORTES"/>
    <x v="17"/>
    <x v="1"/>
    <n v="1200.72"/>
    <s v="0000000143"/>
    <s v="0001"/>
    <d v="2022-12-15T00:00:00"/>
    <s v="310101"/>
    <s v="304"/>
    <s v="11"/>
    <s v="Credito"/>
    <x v="1"/>
    <x v="233"/>
    <m/>
    <s v="000101"/>
    <s v="000046"/>
    <n v="1200.72"/>
    <s v="0,00"/>
    <s v="0,00"/>
    <s v="0,00"/>
    <s v="0,00"/>
    <s v="ORC2022_2"/>
    <s v="001"/>
    <s v="304"/>
    <s v="11"/>
    <m/>
    <m/>
    <s v="010101"/>
  </r>
  <r>
    <s v="RECEITA BRUTA DE TRANSPORTES"/>
    <x v="17"/>
    <x v="1"/>
    <n v="2620.2199999999998"/>
    <s v="0000000144"/>
    <s v="0001"/>
    <d v="2022-12-15T00:00:00"/>
    <s v="310101"/>
    <s v="304"/>
    <s v="11"/>
    <s v="Credito"/>
    <x v="1"/>
    <x v="234"/>
    <m/>
    <s v="000101"/>
    <s v="000046"/>
    <n v="2620.2199999999998"/>
    <s v="0,00"/>
    <s v="0,00"/>
    <s v="0,00"/>
    <s v="0,00"/>
    <s v="ORC2022_2"/>
    <s v="001"/>
    <s v="304"/>
    <s v="11"/>
    <m/>
    <m/>
    <s v="010101"/>
  </r>
  <r>
    <s v="RECEITA BRUTA DE TRANSPORTES"/>
    <x v="17"/>
    <x v="1"/>
    <n v="1718.29"/>
    <s v="0000000145"/>
    <s v="0001"/>
    <d v="2022-12-15T00:00:00"/>
    <s v="310101"/>
    <s v="304"/>
    <s v="11"/>
    <s v="Credito"/>
    <x v="1"/>
    <x v="235"/>
    <m/>
    <s v="000101"/>
    <s v="000046"/>
    <n v="1718.29"/>
    <s v="0,00"/>
    <s v="0,00"/>
    <s v="0,00"/>
    <s v="0,00"/>
    <s v="ORC2022_2"/>
    <s v="001"/>
    <s v="304"/>
    <s v="11"/>
    <m/>
    <m/>
    <s v="010101"/>
  </r>
  <r>
    <s v="RECEITA BRUTA DE TRANSPORTES"/>
    <x v="17"/>
    <x v="1"/>
    <n v="2620.2199999999998"/>
    <s v="0000000147"/>
    <s v="0001"/>
    <d v="2022-12-16T00:00:00"/>
    <s v="310101"/>
    <s v="304"/>
    <s v="11"/>
    <s v="Credito"/>
    <x v="1"/>
    <x v="236"/>
    <m/>
    <s v="000101"/>
    <s v="000032"/>
    <n v="2620.2199999999998"/>
    <s v="0,00"/>
    <s v="0,00"/>
    <s v="0,00"/>
    <s v="0,00"/>
    <s v="ORC2022_2"/>
    <s v="001"/>
    <s v="304"/>
    <s v="11"/>
    <m/>
    <m/>
    <s v="010101"/>
  </r>
  <r>
    <s v="RECEITA BRUTA DE TRANSPORTES"/>
    <x v="17"/>
    <x v="1"/>
    <n v="1200.72"/>
    <s v="0000000148"/>
    <s v="0001"/>
    <d v="2022-12-16T00:00:00"/>
    <s v="310101"/>
    <s v="304"/>
    <s v="11"/>
    <s v="Credito"/>
    <x v="1"/>
    <x v="237"/>
    <m/>
    <s v="000101"/>
    <s v="000032"/>
    <n v="1200.72"/>
    <s v="0,00"/>
    <s v="0,00"/>
    <s v="0,00"/>
    <s v="0,00"/>
    <s v="ORC2022_2"/>
    <s v="001"/>
    <s v="304"/>
    <s v="11"/>
    <m/>
    <m/>
    <s v="010101"/>
  </r>
  <r>
    <s v="RECEITA BRUTA DE TRANSPORTES"/>
    <x v="17"/>
    <x v="1"/>
    <n v="1718.29"/>
    <s v="0000000149"/>
    <s v="0001"/>
    <d v="2022-12-16T00:00:00"/>
    <s v="310101"/>
    <s v="304"/>
    <s v="11"/>
    <s v="Credito"/>
    <x v="1"/>
    <x v="238"/>
    <m/>
    <s v="000101"/>
    <s v="000032"/>
    <n v="1718.29"/>
    <s v="0,00"/>
    <s v="0,00"/>
    <s v="0,00"/>
    <s v="0,00"/>
    <s v="ORC2022_2"/>
    <s v="001"/>
    <s v="304"/>
    <s v="11"/>
    <m/>
    <m/>
    <s v="0101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DB6A85-7BB6-4D25-8EB3-167B94FC27F9}" name="Tabela dinâmica1" cacheId="57" applyNumberFormats="0" applyBorderFormats="0" applyFontFormats="0" applyPatternFormats="0" applyAlignmentFormats="0" applyWidthHeightFormats="1" dataCaption="Valores" showError="1" missingCaption="0" updatedVersion="8" minRefreshableVersion="3" colGrandTotals="0" itemPrintTitles="1" createdVersion="8" indent="0" outline="1" outlineData="1" multipleFieldFilters="0">
  <location ref="A4:D70" firstHeaderRow="1" firstDataRow="2" firstDataCol="1" rowPageCount="1" colPageCount="1"/>
  <pivotFields count="28"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77">
        <item h="1" sd="0" x="2"/>
        <item sd="0" x="19"/>
        <item sd="0" x="18"/>
        <item sd="0" x="17"/>
        <item sd="0" x="25"/>
        <item sd="0" x="26"/>
        <item sd="0" x="22"/>
        <item sd="0" x="21"/>
        <item sd="0" x="27"/>
        <item sd="0" x="5"/>
        <item sd="0" x="28"/>
        <item sd="0" x="29"/>
        <item sd="0" x="12"/>
        <item sd="0" x="30"/>
        <item sd="0" x="6"/>
        <item sd="0" x="31"/>
        <item sd="0" x="9"/>
        <item sd="0" x="32"/>
        <item sd="0" x="20"/>
        <item sd="0" x="0"/>
        <item sd="0" x="33"/>
        <item sd="0" x="10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23"/>
        <item sd="0" x="43"/>
        <item sd="0" x="44"/>
        <item sd="0" x="16"/>
        <item sd="0" x="13"/>
        <item sd="0" x="45"/>
        <item sd="0" x="46"/>
        <item sd="0" x="4"/>
        <item sd="0" x="15"/>
        <item sd="0" x="47"/>
        <item sd="0" x="48"/>
        <item sd="0" x="49"/>
        <item sd="0" x="3"/>
        <item sd="0" x="7"/>
        <item sd="0" x="50"/>
        <item sd="0" x="11"/>
        <item sd="0" x="51"/>
        <item sd="0" x="52"/>
        <item sd="0" x="1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14"/>
        <item sd="0" x="62"/>
        <item sd="0" x="63"/>
        <item sd="0" x="8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24"/>
        <item sd="0" x="73"/>
        <item sd="0" x="74"/>
        <item sd="0" x="75"/>
        <item t="default" sd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numFmtId="17" multipleItemSelectionAllowed="1" showAll="0">
      <items count="19"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x="0"/>
        <item h="1" x="1"/>
        <item h="1" x="2"/>
        <item h="1" x="3"/>
        <item h="1" x="4"/>
        <item h="1" x="5"/>
        <item h="1" x="6"/>
        <item h="1"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4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4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showAll="0">
      <items count="4">
        <item sd="0" x="2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240">
        <item x="5"/>
        <item x="3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7"/>
        <item x="156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89"/>
        <item x="90"/>
        <item x="91"/>
        <item x="92"/>
        <item x="87"/>
        <item x="88"/>
        <item x="84"/>
        <item x="83"/>
        <item x="82"/>
        <item x="81"/>
        <item x="70"/>
        <item x="72"/>
        <item x="74"/>
        <item x="76"/>
        <item x="75"/>
        <item x="77"/>
        <item x="80"/>
        <item x="79"/>
        <item x="78"/>
        <item x="86"/>
        <item x="85"/>
        <item x="161"/>
        <item x="162"/>
        <item x="171"/>
        <item x="173"/>
        <item x="172"/>
        <item x="169"/>
        <item x="170"/>
        <item x="167"/>
        <item x="174"/>
        <item x="178"/>
        <item x="177"/>
        <item x="179"/>
        <item x="180"/>
        <item x="182"/>
        <item x="181"/>
        <item x="183"/>
        <item x="212"/>
        <item x="6"/>
        <item x="7"/>
        <item x="8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55"/>
        <item x="46"/>
        <item x="47"/>
        <item x="48"/>
        <item x="49"/>
        <item x="50"/>
        <item x="51"/>
        <item x="52"/>
        <item x="53"/>
        <item x="54"/>
        <item x="39"/>
        <item x="40"/>
        <item x="41"/>
        <item x="42"/>
        <item x="43"/>
        <item x="44"/>
        <item x="45"/>
        <item x="36"/>
        <item x="37"/>
        <item x="38"/>
        <item x="35"/>
        <item x="34"/>
        <item x="33"/>
        <item x="32"/>
        <item x="31"/>
        <item x="0"/>
        <item x="1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9"/>
        <item x="213"/>
        <item x="215"/>
        <item x="214"/>
        <item x="175"/>
        <item x="191"/>
        <item x="168"/>
        <item x="163"/>
        <item x="164"/>
        <item x="73"/>
        <item x="192"/>
        <item x="165"/>
        <item x="71"/>
        <item x="193"/>
        <item x="194"/>
        <item x="195"/>
        <item x="166"/>
        <item x="201"/>
        <item x="202"/>
        <item x="203"/>
        <item x="204"/>
        <item x="205"/>
        <item x="158"/>
        <item x="159"/>
        <item x="160"/>
        <item x="176"/>
        <item x="184"/>
        <item x="185"/>
        <item x="186"/>
        <item x="187"/>
        <item x="188"/>
        <item x="189"/>
        <item x="190"/>
        <item x="198"/>
        <item x="199"/>
        <item x="207"/>
        <item x="208"/>
        <item x="209"/>
        <item x="210"/>
        <item x="211"/>
        <item x="196"/>
        <item x="197"/>
        <item x="206"/>
        <item x="69"/>
        <item x="200"/>
        <item x="4"/>
        <item x="2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12"/>
  </rowFields>
  <rowItems count="6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1"/>
    </i>
    <i>
      <x v="43"/>
    </i>
    <i>
      <x v="44"/>
    </i>
    <i>
      <x v="45"/>
    </i>
    <i>
      <x v="46"/>
    </i>
    <i>
      <x v="47"/>
    </i>
    <i>
      <x v="49"/>
    </i>
    <i>
      <x v="52"/>
    </i>
    <i>
      <x v="54"/>
    </i>
    <i>
      <x v="55"/>
    </i>
    <i>
      <x v="56"/>
    </i>
    <i>
      <x v="57"/>
    </i>
    <i>
      <x v="59"/>
    </i>
    <i>
      <x v="60"/>
    </i>
    <i>
      <x v="61"/>
    </i>
    <i>
      <x v="62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Fields count="1">
    <field x="11"/>
  </colFields>
  <colItems count="3">
    <i>
      <x/>
    </i>
    <i>
      <x v="1"/>
    </i>
    <i>
      <x v="2"/>
    </i>
  </colItems>
  <pageFields count="1">
    <pageField fld="2" hier="-1"/>
  </pageFields>
  <dataFields count="1">
    <dataField name="Soma de Valor" fld="3" baseField="12" baseItem="216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C4FBAC-1C43-4381-9716-FB15F24ABE62}" name="Tabela dinâmica9" cacheId="57" applyNumberFormats="0" applyBorderFormats="0" applyFontFormats="0" applyPatternFormats="0" applyAlignmentFormats="0" applyWidthHeightFormats="1" dataCaption="Valores" missingCaption="0" updatedVersion="8" minRefreshableVersion="3" useAutoFormatting="1" rowGrandTotals="0" colGrandTotals="0" itemPrintTitles="1" createdVersion="8" indent="0" outline="1" outlineData="1" multipleFieldFilters="0">
  <location ref="A3:D73" firstHeaderRow="1" firstDataRow="2" firstDataCol="1" rowPageCount="1" colPageCount="1"/>
  <pivotFields count="28">
    <pivotField showAll="0"/>
    <pivotField axis="axisRow" showAll="0">
      <items count="77">
        <item h="1" sd="0" x="2"/>
        <item sd="0" x="19"/>
        <item sd="0" x="18"/>
        <item sd="0" x="17"/>
        <item sd="0" x="25"/>
        <item sd="0" x="26"/>
        <item sd="0" x="22"/>
        <item sd="0" x="21"/>
        <item sd="0" x="27"/>
        <item sd="0" x="5"/>
        <item sd="0" x="28"/>
        <item sd="0" x="29"/>
        <item sd="0" x="12"/>
        <item sd="0" x="30"/>
        <item sd="0" x="6"/>
        <item sd="0" x="31"/>
        <item sd="0" x="9"/>
        <item sd="0" x="32"/>
        <item sd="0" x="20"/>
        <item sd="0" x="0"/>
        <item sd="0" x="33"/>
        <item sd="0" x="10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23"/>
        <item sd="0" x="43"/>
        <item sd="0" x="44"/>
        <item sd="0" x="16"/>
        <item sd="0" x="13"/>
        <item sd="0" x="45"/>
        <item sd="0" x="46"/>
        <item sd="0" x="4"/>
        <item sd="0" x="15"/>
        <item sd="0" x="47"/>
        <item sd="0" x="48"/>
        <item sd="0" x="49"/>
        <item sd="0" x="3"/>
        <item x="7"/>
        <item x="50"/>
        <item sd="0" x="11"/>
        <item sd="0" x="51"/>
        <item sd="0" x="52"/>
        <item sd="0" x="1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14"/>
        <item sd="0" x="62"/>
        <item sd="0" x="63"/>
        <item sd="0" x="8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24"/>
        <item sd="0" x="73"/>
        <item sd="0" x="74"/>
        <item sd="0" x="75"/>
        <item t="default" sd="0"/>
      </items>
    </pivotField>
    <pivotField axis="axisPage" numFmtId="17" multipleItemSelectionAllowed="1" showAll="0">
      <items count="19"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x="0"/>
        <item h="1" x="1"/>
        <item h="1" x="2"/>
        <item h="1" x="3"/>
        <item h="1" x="4"/>
        <item h="1" x="5"/>
        <item h="1" x="6"/>
        <item h="1" x="7"/>
        <item t="default"/>
      </items>
    </pivotField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axis="axisRow" showAll="0">
      <items count="240">
        <item x="5"/>
        <item x="3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7"/>
        <item x="156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89"/>
        <item x="90"/>
        <item x="91"/>
        <item x="92"/>
        <item x="87"/>
        <item x="88"/>
        <item x="84"/>
        <item x="83"/>
        <item x="82"/>
        <item x="81"/>
        <item x="70"/>
        <item x="72"/>
        <item x="74"/>
        <item x="76"/>
        <item x="75"/>
        <item x="77"/>
        <item x="80"/>
        <item x="79"/>
        <item x="78"/>
        <item x="86"/>
        <item x="85"/>
        <item x="161"/>
        <item x="162"/>
        <item x="171"/>
        <item x="173"/>
        <item x="172"/>
        <item x="169"/>
        <item x="170"/>
        <item x="167"/>
        <item x="174"/>
        <item x="178"/>
        <item x="177"/>
        <item x="179"/>
        <item x="180"/>
        <item x="182"/>
        <item x="181"/>
        <item x="183"/>
        <item x="212"/>
        <item x="6"/>
        <item x="7"/>
        <item x="8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55"/>
        <item x="46"/>
        <item x="47"/>
        <item x="48"/>
        <item x="49"/>
        <item x="50"/>
        <item x="51"/>
        <item x="52"/>
        <item x="53"/>
        <item x="54"/>
        <item x="39"/>
        <item x="40"/>
        <item x="41"/>
        <item x="42"/>
        <item x="43"/>
        <item x="44"/>
        <item x="45"/>
        <item x="36"/>
        <item x="37"/>
        <item x="38"/>
        <item x="35"/>
        <item x="34"/>
        <item x="33"/>
        <item x="32"/>
        <item x="31"/>
        <item x="0"/>
        <item x="1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9"/>
        <item x="216"/>
        <item x="213"/>
        <item x="215"/>
        <item x="227"/>
        <item x="228"/>
        <item x="214"/>
        <item x="175"/>
        <item x="191"/>
        <item x="168"/>
        <item x="163"/>
        <item x="164"/>
        <item x="73"/>
        <item x="192"/>
        <item x="165"/>
        <item x="71"/>
        <item x="193"/>
        <item x="194"/>
        <item x="195"/>
        <item x="166"/>
        <item x="201"/>
        <item x="202"/>
        <item x="203"/>
        <item x="204"/>
        <item x="205"/>
        <item x="158"/>
        <item x="159"/>
        <item x="160"/>
        <item x="176"/>
        <item x="184"/>
        <item x="185"/>
        <item x="186"/>
        <item x="187"/>
        <item x="188"/>
        <item x="189"/>
        <item x="190"/>
        <item x="198"/>
        <item x="199"/>
        <item x="207"/>
        <item x="208"/>
        <item x="209"/>
        <item x="210"/>
        <item x="211"/>
        <item x="217"/>
        <item x="218"/>
        <item x="219"/>
        <item x="220"/>
        <item x="221"/>
        <item x="222"/>
        <item x="223"/>
        <item x="224"/>
        <item x="225"/>
        <item x="226"/>
        <item x="229"/>
        <item x="230"/>
        <item x="231"/>
        <item x="232"/>
        <item x="233"/>
        <item x="234"/>
        <item x="235"/>
        <item x="236"/>
        <item x="237"/>
        <item x="238"/>
        <item x="196"/>
        <item x="197"/>
        <item x="206"/>
        <item x="69"/>
        <item x="200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12"/>
  </rowFields>
  <rowItems count="6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1"/>
    </i>
    <i>
      <x v="43"/>
    </i>
    <i>
      <x v="44"/>
    </i>
    <i r="1">
      <x v="95"/>
    </i>
    <i r="1">
      <x v="142"/>
    </i>
    <i r="1">
      <x v="170"/>
    </i>
    <i r="1">
      <x v="178"/>
    </i>
    <i>
      <x v="45"/>
    </i>
    <i r="1">
      <x v="170"/>
    </i>
    <i>
      <x v="46"/>
    </i>
    <i>
      <x v="47"/>
    </i>
    <i>
      <x v="49"/>
    </i>
    <i>
      <x v="52"/>
    </i>
    <i>
      <x v="54"/>
    </i>
    <i>
      <x v="55"/>
    </i>
    <i>
      <x v="56"/>
    </i>
    <i>
      <x v="57"/>
    </i>
    <i>
      <x v="59"/>
    </i>
    <i>
      <x v="60"/>
    </i>
    <i>
      <x v="61"/>
    </i>
    <i>
      <x v="62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</rowItems>
  <colFields count="1">
    <field x="11"/>
  </colFields>
  <colItems count="3">
    <i>
      <x/>
    </i>
    <i>
      <x v="1"/>
    </i>
    <i>
      <x v="2"/>
    </i>
  </colItems>
  <pageFields count="1">
    <pageField fld="2" hier="-1"/>
  </pageFields>
  <dataFields count="1">
    <dataField name="Soma de Valor" fld="3" baseField="1" baseItem="0" numFmtId="4"/>
  </dataFields>
  <formats count="1">
    <format dxfId="16">
      <pivotArea collapsedLevelsAreSubtotals="1" fieldPosition="0">
        <references count="2">
          <reference field="1" count="1">
            <x v="12"/>
          </reference>
          <reference field="11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A6C3-CD12-454C-803D-4ED148D4DF10}">
  <dimension ref="A1:I147"/>
  <sheetViews>
    <sheetView showGridLines="0" workbookViewId="0">
      <pane ySplit="1" topLeftCell="A2" activePane="bottomLeft" state="frozen"/>
      <selection pane="bottomLeft" activeCell="E4" sqref="E4"/>
    </sheetView>
  </sheetViews>
  <sheetFormatPr defaultRowHeight="15" x14ac:dyDescent="0.25"/>
  <cols>
    <col min="1" max="1" width="10" bestFit="1" customWidth="1"/>
    <col min="2" max="2" width="45" bestFit="1" customWidth="1"/>
    <col min="3" max="3" width="8.7109375" bestFit="1" customWidth="1"/>
    <col min="4" max="4" width="12.7109375" bestFit="1" customWidth="1"/>
    <col min="5" max="5" width="13.28515625" bestFit="1" customWidth="1"/>
    <col min="6" max="6" width="12.5703125" bestFit="1" customWidth="1"/>
    <col min="7" max="7" width="11.28515625" bestFit="1" customWidth="1"/>
    <col min="8" max="8" width="10.7109375" bestFit="1" customWidth="1"/>
    <col min="9" max="9" width="12.28515625" bestFit="1" customWidth="1"/>
  </cols>
  <sheetData>
    <row r="1" spans="1:9" x14ac:dyDescent="0.25">
      <c r="A1" s="1" t="s">
        <v>498</v>
      </c>
      <c r="B1" s="2" t="s">
        <v>499</v>
      </c>
    </row>
    <row r="2" spans="1:9" x14ac:dyDescent="0.25">
      <c r="A2" s="3" t="s">
        <v>757</v>
      </c>
      <c r="B2" s="4" t="s">
        <v>758</v>
      </c>
      <c r="C2" t="s">
        <v>6</v>
      </c>
      <c r="D2" t="s">
        <v>759</v>
      </c>
      <c r="E2" t="s">
        <v>760</v>
      </c>
      <c r="F2" t="s">
        <v>761</v>
      </c>
      <c r="G2" t="s">
        <v>762</v>
      </c>
      <c r="H2" t="s">
        <v>763</v>
      </c>
      <c r="I2" t="s">
        <v>764</v>
      </c>
    </row>
    <row r="3" spans="1:9" x14ac:dyDescent="0.25">
      <c r="A3" s="3" t="s">
        <v>765</v>
      </c>
      <c r="B3" s="4" t="s">
        <v>766</v>
      </c>
      <c r="C3" t="s">
        <v>767</v>
      </c>
      <c r="D3" t="s">
        <v>765</v>
      </c>
      <c r="E3" t="s">
        <v>768</v>
      </c>
      <c r="G3" s="8">
        <v>44872</v>
      </c>
      <c r="H3" s="8">
        <v>44872</v>
      </c>
    </row>
    <row r="4" spans="1:9" x14ac:dyDescent="0.25">
      <c r="A4" s="3" t="s">
        <v>769</v>
      </c>
      <c r="B4" s="4" t="s">
        <v>770</v>
      </c>
      <c r="C4" t="s">
        <v>771</v>
      </c>
      <c r="D4" t="s">
        <v>769</v>
      </c>
      <c r="E4" t="s">
        <v>768</v>
      </c>
      <c r="G4" s="8">
        <v>44872</v>
      </c>
      <c r="H4" s="8">
        <v>44872</v>
      </c>
      <c r="I4" t="s">
        <v>765</v>
      </c>
    </row>
    <row r="5" spans="1:9" x14ac:dyDescent="0.25">
      <c r="A5" s="3" t="s">
        <v>772</v>
      </c>
      <c r="B5" s="4" t="s">
        <v>773</v>
      </c>
      <c r="C5" t="s">
        <v>771</v>
      </c>
      <c r="D5" t="s">
        <v>772</v>
      </c>
      <c r="E5" t="s">
        <v>768</v>
      </c>
      <c r="G5" s="8">
        <v>44872</v>
      </c>
      <c r="H5" s="8">
        <v>44872</v>
      </c>
      <c r="I5" t="s">
        <v>765</v>
      </c>
    </row>
    <row r="6" spans="1:9" x14ac:dyDescent="0.25">
      <c r="A6" s="3" t="s">
        <v>774</v>
      </c>
      <c r="B6" s="4" t="s">
        <v>775</v>
      </c>
      <c r="C6" t="s">
        <v>771</v>
      </c>
      <c r="D6" t="s">
        <v>774</v>
      </c>
      <c r="E6" t="s">
        <v>768</v>
      </c>
      <c r="G6" s="8">
        <v>44872</v>
      </c>
      <c r="H6" s="8">
        <v>44872</v>
      </c>
      <c r="I6" t="s">
        <v>765</v>
      </c>
    </row>
    <row r="7" spans="1:9" x14ac:dyDescent="0.25">
      <c r="A7" s="3" t="s">
        <v>776</v>
      </c>
      <c r="B7" s="4" t="s">
        <v>777</v>
      </c>
      <c r="C7" t="s">
        <v>771</v>
      </c>
      <c r="D7" t="s">
        <v>776</v>
      </c>
      <c r="E7" t="s">
        <v>768</v>
      </c>
      <c r="G7" s="8">
        <v>44872</v>
      </c>
      <c r="H7" s="8">
        <v>44872</v>
      </c>
      <c r="I7" t="s">
        <v>765</v>
      </c>
    </row>
    <row r="8" spans="1:9" x14ac:dyDescent="0.25">
      <c r="A8" s="3" t="s">
        <v>778</v>
      </c>
      <c r="B8" s="4" t="s">
        <v>779</v>
      </c>
      <c r="C8" t="s">
        <v>771</v>
      </c>
      <c r="D8" t="s">
        <v>778</v>
      </c>
      <c r="E8" t="s">
        <v>768</v>
      </c>
      <c r="G8" s="8">
        <v>44872</v>
      </c>
      <c r="H8" s="8">
        <v>44872</v>
      </c>
      <c r="I8" t="s">
        <v>765</v>
      </c>
    </row>
    <row r="9" spans="1:9" x14ac:dyDescent="0.25">
      <c r="A9" s="3" t="s">
        <v>780</v>
      </c>
      <c r="B9" s="4" t="s">
        <v>781</v>
      </c>
      <c r="C9" t="s">
        <v>767</v>
      </c>
      <c r="D9" t="s">
        <v>780</v>
      </c>
      <c r="E9" t="s">
        <v>768</v>
      </c>
      <c r="G9" s="8">
        <v>44872</v>
      </c>
      <c r="H9" s="8">
        <v>44872</v>
      </c>
    </row>
    <row r="10" spans="1:9" x14ac:dyDescent="0.25">
      <c r="A10" s="3" t="s">
        <v>670</v>
      </c>
      <c r="B10" s="4" t="s">
        <v>781</v>
      </c>
      <c r="C10" t="s">
        <v>771</v>
      </c>
      <c r="D10" t="s">
        <v>670</v>
      </c>
      <c r="E10" t="s">
        <v>768</v>
      </c>
      <c r="G10" s="8">
        <v>44872</v>
      </c>
      <c r="H10" s="8">
        <v>44872</v>
      </c>
      <c r="I10" t="s">
        <v>780</v>
      </c>
    </row>
    <row r="11" spans="1:9" x14ac:dyDescent="0.25">
      <c r="A11" s="3" t="s">
        <v>782</v>
      </c>
      <c r="B11" s="4" t="s">
        <v>783</v>
      </c>
      <c r="C11" t="s">
        <v>767</v>
      </c>
      <c r="D11" t="s">
        <v>782</v>
      </c>
      <c r="E11" t="s">
        <v>768</v>
      </c>
      <c r="G11" s="8">
        <v>44872</v>
      </c>
      <c r="H11" s="8">
        <v>44872</v>
      </c>
    </row>
    <row r="12" spans="1:9" x14ac:dyDescent="0.25">
      <c r="A12" s="3" t="s">
        <v>784</v>
      </c>
      <c r="B12" s="4" t="s">
        <v>785</v>
      </c>
      <c r="C12" t="s">
        <v>771</v>
      </c>
      <c r="D12" t="s">
        <v>784</v>
      </c>
      <c r="E12" t="s">
        <v>768</v>
      </c>
      <c r="G12" s="8">
        <v>44872</v>
      </c>
      <c r="H12" s="8">
        <v>44872</v>
      </c>
      <c r="I12" t="s">
        <v>782</v>
      </c>
    </row>
    <row r="13" spans="1:9" x14ac:dyDescent="0.25">
      <c r="A13" s="3" t="s">
        <v>786</v>
      </c>
      <c r="B13" s="4" t="s">
        <v>787</v>
      </c>
      <c r="C13" t="s">
        <v>771</v>
      </c>
      <c r="D13" t="s">
        <v>786</v>
      </c>
      <c r="E13" t="s">
        <v>768</v>
      </c>
      <c r="G13" s="8">
        <v>44872</v>
      </c>
      <c r="H13" s="8">
        <v>44872</v>
      </c>
      <c r="I13" t="s">
        <v>782</v>
      </c>
    </row>
    <row r="14" spans="1:9" x14ac:dyDescent="0.25">
      <c r="A14" s="3" t="s">
        <v>788</v>
      </c>
      <c r="B14" s="4" t="s">
        <v>540</v>
      </c>
      <c r="C14" t="s">
        <v>771</v>
      </c>
      <c r="D14" t="s">
        <v>788</v>
      </c>
      <c r="E14" t="s">
        <v>768</v>
      </c>
      <c r="G14" s="8">
        <v>44872</v>
      </c>
      <c r="H14" s="8">
        <v>44872</v>
      </c>
      <c r="I14" t="s">
        <v>782</v>
      </c>
    </row>
    <row r="15" spans="1:9" x14ac:dyDescent="0.25">
      <c r="A15" s="3" t="s">
        <v>789</v>
      </c>
      <c r="B15" s="4" t="s">
        <v>790</v>
      </c>
      <c r="C15" t="s">
        <v>771</v>
      </c>
      <c r="D15" t="s">
        <v>789</v>
      </c>
      <c r="E15" t="s">
        <v>768</v>
      </c>
      <c r="G15" s="8">
        <v>44872</v>
      </c>
      <c r="H15" s="8">
        <v>44872</v>
      </c>
      <c r="I15" t="s">
        <v>782</v>
      </c>
    </row>
    <row r="16" spans="1:9" x14ac:dyDescent="0.25">
      <c r="A16" s="3" t="s">
        <v>791</v>
      </c>
      <c r="B16" s="4" t="s">
        <v>792</v>
      </c>
      <c r="C16" t="s">
        <v>767</v>
      </c>
      <c r="D16" t="s">
        <v>791</v>
      </c>
      <c r="E16" t="s">
        <v>768</v>
      </c>
      <c r="G16" s="8">
        <v>44872</v>
      </c>
      <c r="H16" s="8">
        <v>44872</v>
      </c>
    </row>
    <row r="17" spans="1:9" x14ac:dyDescent="0.25">
      <c r="A17" s="3" t="s">
        <v>793</v>
      </c>
      <c r="B17" s="4" t="s">
        <v>792</v>
      </c>
      <c r="C17" t="s">
        <v>771</v>
      </c>
      <c r="D17" t="s">
        <v>793</v>
      </c>
      <c r="E17" t="s">
        <v>768</v>
      </c>
      <c r="G17" s="8">
        <v>44872</v>
      </c>
      <c r="H17" s="8">
        <v>44872</v>
      </c>
      <c r="I17" t="s">
        <v>791</v>
      </c>
    </row>
    <row r="18" spans="1:9" x14ac:dyDescent="0.25">
      <c r="A18" s="3" t="s">
        <v>794</v>
      </c>
      <c r="B18" s="4" t="s">
        <v>795</v>
      </c>
      <c r="C18" t="s">
        <v>771</v>
      </c>
      <c r="D18" t="s">
        <v>794</v>
      </c>
      <c r="E18" t="s">
        <v>768</v>
      </c>
      <c r="G18" s="8">
        <v>44872</v>
      </c>
      <c r="H18" s="8">
        <v>44872</v>
      </c>
      <c r="I18" t="s">
        <v>791</v>
      </c>
    </row>
    <row r="19" spans="1:9" x14ac:dyDescent="0.25">
      <c r="A19" s="3" t="s">
        <v>796</v>
      </c>
      <c r="B19" s="4" t="s">
        <v>797</v>
      </c>
      <c r="C19" t="s">
        <v>771</v>
      </c>
      <c r="D19" t="s">
        <v>796</v>
      </c>
      <c r="E19" t="s">
        <v>768</v>
      </c>
      <c r="G19" s="8">
        <v>44872</v>
      </c>
      <c r="H19" s="8">
        <v>44872</v>
      </c>
      <c r="I19" t="s">
        <v>791</v>
      </c>
    </row>
    <row r="20" spans="1:9" x14ac:dyDescent="0.25">
      <c r="A20" s="5" t="s">
        <v>798</v>
      </c>
      <c r="B20" s="6" t="s">
        <v>799</v>
      </c>
      <c r="C20" t="s">
        <v>767</v>
      </c>
      <c r="D20" t="s">
        <v>798</v>
      </c>
      <c r="E20" t="s">
        <v>768</v>
      </c>
      <c r="G20" s="8">
        <v>44872</v>
      </c>
      <c r="H20" s="8">
        <v>44872</v>
      </c>
    </row>
    <row r="21" spans="1:9" x14ac:dyDescent="0.25">
      <c r="A21" s="3" t="s">
        <v>800</v>
      </c>
      <c r="B21" s="4" t="s">
        <v>801</v>
      </c>
      <c r="C21" t="s">
        <v>771</v>
      </c>
      <c r="D21" t="s">
        <v>800</v>
      </c>
      <c r="E21" t="s">
        <v>768</v>
      </c>
      <c r="G21" s="8">
        <v>44872</v>
      </c>
      <c r="H21" s="8">
        <v>44872</v>
      </c>
      <c r="I21" t="s">
        <v>798</v>
      </c>
    </row>
    <row r="22" spans="1:9" x14ac:dyDescent="0.25">
      <c r="A22" s="3" t="s">
        <v>802</v>
      </c>
      <c r="B22" s="4" t="s">
        <v>803</v>
      </c>
      <c r="C22" t="s">
        <v>771</v>
      </c>
      <c r="D22" t="s">
        <v>802</v>
      </c>
      <c r="E22" t="s">
        <v>768</v>
      </c>
      <c r="G22" s="8">
        <v>44872</v>
      </c>
      <c r="H22" s="8">
        <v>44872</v>
      </c>
      <c r="I22" t="s">
        <v>798</v>
      </c>
    </row>
    <row r="23" spans="1:9" x14ac:dyDescent="0.25">
      <c r="A23" s="3" t="s">
        <v>804</v>
      </c>
      <c r="B23" s="4" t="s">
        <v>805</v>
      </c>
      <c r="C23" t="s">
        <v>767</v>
      </c>
      <c r="D23" t="s">
        <v>804</v>
      </c>
      <c r="E23" t="s">
        <v>768</v>
      </c>
      <c r="G23" s="8">
        <v>44872</v>
      </c>
      <c r="H23" s="8">
        <v>44872</v>
      </c>
    </row>
    <row r="24" spans="1:9" x14ac:dyDescent="0.25">
      <c r="A24" s="3" t="s">
        <v>647</v>
      </c>
      <c r="B24" s="4" t="s">
        <v>806</v>
      </c>
      <c r="C24" t="s">
        <v>771</v>
      </c>
      <c r="D24" t="s">
        <v>647</v>
      </c>
      <c r="E24" t="s">
        <v>768</v>
      </c>
      <c r="G24" s="8">
        <v>44872</v>
      </c>
      <c r="H24" s="8">
        <v>44872</v>
      </c>
      <c r="I24" t="s">
        <v>804</v>
      </c>
    </row>
    <row r="25" spans="1:9" x14ac:dyDescent="0.25">
      <c r="A25" s="3" t="s">
        <v>807</v>
      </c>
      <c r="B25" s="4" t="s">
        <v>808</v>
      </c>
      <c r="C25" t="s">
        <v>771</v>
      </c>
      <c r="D25" t="s">
        <v>807</v>
      </c>
      <c r="E25" t="s">
        <v>768</v>
      </c>
      <c r="G25" s="8">
        <v>44872</v>
      </c>
      <c r="H25" s="8">
        <v>44872</v>
      </c>
      <c r="I25" t="s">
        <v>804</v>
      </c>
    </row>
    <row r="26" spans="1:9" x14ac:dyDescent="0.25">
      <c r="A26" s="3" t="s">
        <v>809</v>
      </c>
      <c r="B26" s="4" t="s">
        <v>810</v>
      </c>
      <c r="C26" t="s">
        <v>767</v>
      </c>
      <c r="D26" t="s">
        <v>809</v>
      </c>
      <c r="E26" t="s">
        <v>768</v>
      </c>
      <c r="G26" s="8">
        <v>44872</v>
      </c>
      <c r="H26" s="8">
        <v>44872</v>
      </c>
    </row>
    <row r="27" spans="1:9" x14ac:dyDescent="0.25">
      <c r="A27" s="3" t="s">
        <v>811</v>
      </c>
      <c r="B27" s="4" t="s">
        <v>812</v>
      </c>
      <c r="C27" t="s">
        <v>771</v>
      </c>
      <c r="D27" t="s">
        <v>811</v>
      </c>
      <c r="E27" t="s">
        <v>768</v>
      </c>
      <c r="G27" s="8">
        <v>44872</v>
      </c>
      <c r="H27" s="8">
        <v>44872</v>
      </c>
      <c r="I27" t="s">
        <v>809</v>
      </c>
    </row>
    <row r="28" spans="1:9" x14ac:dyDescent="0.25">
      <c r="A28" s="3" t="s">
        <v>813</v>
      </c>
      <c r="B28" s="4" t="s">
        <v>814</v>
      </c>
      <c r="C28" t="s">
        <v>771</v>
      </c>
      <c r="D28" t="s">
        <v>813</v>
      </c>
      <c r="E28" t="s">
        <v>768</v>
      </c>
      <c r="G28" s="8">
        <v>44872</v>
      </c>
      <c r="H28" s="8">
        <v>44872</v>
      </c>
      <c r="I28" t="s">
        <v>809</v>
      </c>
    </row>
    <row r="29" spans="1:9" x14ac:dyDescent="0.25">
      <c r="A29" s="3" t="s">
        <v>815</v>
      </c>
      <c r="B29" s="4" t="s">
        <v>816</v>
      </c>
      <c r="C29" t="s">
        <v>767</v>
      </c>
      <c r="D29" t="s">
        <v>815</v>
      </c>
      <c r="E29" t="s">
        <v>817</v>
      </c>
      <c r="G29" s="8">
        <v>44872</v>
      </c>
      <c r="H29" s="8">
        <v>44872</v>
      </c>
    </row>
    <row r="30" spans="1:9" x14ac:dyDescent="0.25">
      <c r="A30" s="3" t="s">
        <v>500</v>
      </c>
      <c r="B30" s="4" t="s">
        <v>501</v>
      </c>
      <c r="C30" t="s">
        <v>771</v>
      </c>
      <c r="D30" t="s">
        <v>500</v>
      </c>
      <c r="E30" t="s">
        <v>817</v>
      </c>
      <c r="G30" s="8">
        <v>44872</v>
      </c>
      <c r="H30" s="8">
        <v>44872</v>
      </c>
      <c r="I30" t="s">
        <v>815</v>
      </c>
    </row>
    <row r="31" spans="1:9" x14ac:dyDescent="0.25">
      <c r="A31" s="3" t="s">
        <v>502</v>
      </c>
      <c r="B31" s="4" t="s">
        <v>503</v>
      </c>
      <c r="C31" t="s">
        <v>771</v>
      </c>
      <c r="D31" t="s">
        <v>502</v>
      </c>
      <c r="E31" t="s">
        <v>817</v>
      </c>
      <c r="G31" s="8">
        <v>44872</v>
      </c>
      <c r="H31" s="8">
        <v>44872</v>
      </c>
      <c r="I31" t="s">
        <v>815</v>
      </c>
    </row>
    <row r="32" spans="1:9" x14ac:dyDescent="0.25">
      <c r="A32" s="3" t="s">
        <v>504</v>
      </c>
      <c r="B32" s="4" t="s">
        <v>505</v>
      </c>
      <c r="C32" t="s">
        <v>771</v>
      </c>
      <c r="D32" t="s">
        <v>504</v>
      </c>
      <c r="E32" t="s">
        <v>768</v>
      </c>
      <c r="G32" s="8">
        <v>44872</v>
      </c>
      <c r="H32" s="8">
        <v>44872</v>
      </c>
      <c r="I32" t="s">
        <v>815</v>
      </c>
    </row>
    <row r="33" spans="1:9" x14ac:dyDescent="0.25">
      <c r="A33" s="3" t="s">
        <v>818</v>
      </c>
      <c r="B33" s="4" t="s">
        <v>628</v>
      </c>
      <c r="C33" t="s">
        <v>767</v>
      </c>
      <c r="D33" t="s">
        <v>818</v>
      </c>
      <c r="E33" t="s">
        <v>817</v>
      </c>
      <c r="G33" s="8">
        <v>44872</v>
      </c>
      <c r="H33" s="8">
        <v>44872</v>
      </c>
    </row>
    <row r="34" spans="1:9" x14ac:dyDescent="0.25">
      <c r="A34" s="3" t="s">
        <v>627</v>
      </c>
      <c r="B34" s="4" t="s">
        <v>628</v>
      </c>
      <c r="C34" t="s">
        <v>771</v>
      </c>
      <c r="D34" t="s">
        <v>627</v>
      </c>
      <c r="E34" t="s">
        <v>817</v>
      </c>
      <c r="G34" s="8">
        <v>44872</v>
      </c>
      <c r="H34" s="8">
        <v>44872</v>
      </c>
      <c r="I34" t="s">
        <v>818</v>
      </c>
    </row>
    <row r="35" spans="1:9" x14ac:dyDescent="0.25">
      <c r="A35" s="3" t="s">
        <v>819</v>
      </c>
      <c r="B35" s="4" t="s">
        <v>820</v>
      </c>
      <c r="C35" t="s">
        <v>767</v>
      </c>
      <c r="D35" t="s">
        <v>819</v>
      </c>
      <c r="E35" t="s">
        <v>768</v>
      </c>
      <c r="G35" s="8">
        <v>44872</v>
      </c>
      <c r="H35" s="8">
        <v>44872</v>
      </c>
    </row>
    <row r="36" spans="1:9" x14ac:dyDescent="0.25">
      <c r="A36" s="3" t="s">
        <v>508</v>
      </c>
      <c r="B36" s="4" t="s">
        <v>509</v>
      </c>
      <c r="C36" t="s">
        <v>771</v>
      </c>
      <c r="D36" t="s">
        <v>508</v>
      </c>
      <c r="E36" t="s">
        <v>768</v>
      </c>
      <c r="G36" s="8">
        <v>44872</v>
      </c>
      <c r="H36" s="8">
        <v>44872</v>
      </c>
      <c r="I36" t="s">
        <v>819</v>
      </c>
    </row>
    <row r="37" spans="1:9" x14ac:dyDescent="0.25">
      <c r="A37" s="3" t="s">
        <v>510</v>
      </c>
      <c r="B37" s="4" t="s">
        <v>511</v>
      </c>
      <c r="C37" t="s">
        <v>771</v>
      </c>
      <c r="D37" t="s">
        <v>510</v>
      </c>
      <c r="E37" t="s">
        <v>768</v>
      </c>
      <c r="G37" s="8">
        <v>44872</v>
      </c>
      <c r="H37" s="8">
        <v>44872</v>
      </c>
      <c r="I37" t="s">
        <v>819</v>
      </c>
    </row>
    <row r="38" spans="1:9" x14ac:dyDescent="0.25">
      <c r="A38" s="3" t="s">
        <v>84</v>
      </c>
      <c r="B38" s="4" t="s">
        <v>512</v>
      </c>
      <c r="C38" t="s">
        <v>771</v>
      </c>
      <c r="D38" t="s">
        <v>84</v>
      </c>
      <c r="E38" t="s">
        <v>768</v>
      </c>
      <c r="G38" s="8">
        <v>44872</v>
      </c>
      <c r="H38" s="8">
        <v>44872</v>
      </c>
      <c r="I38" t="s">
        <v>819</v>
      </c>
    </row>
    <row r="39" spans="1:9" x14ac:dyDescent="0.25">
      <c r="A39" s="3" t="s">
        <v>513</v>
      </c>
      <c r="B39" s="4" t="s">
        <v>514</v>
      </c>
      <c r="C39" t="s">
        <v>771</v>
      </c>
      <c r="D39" t="s">
        <v>513</v>
      </c>
      <c r="E39" t="s">
        <v>768</v>
      </c>
      <c r="G39" s="8">
        <v>44872</v>
      </c>
      <c r="H39" s="8">
        <v>44872</v>
      </c>
      <c r="I39" t="s">
        <v>819</v>
      </c>
    </row>
    <row r="40" spans="1:9" x14ac:dyDescent="0.25">
      <c r="A40" s="3" t="s">
        <v>515</v>
      </c>
      <c r="B40" s="4" t="s">
        <v>516</v>
      </c>
      <c r="C40" t="s">
        <v>771</v>
      </c>
      <c r="D40" t="s">
        <v>515</v>
      </c>
      <c r="E40" t="s">
        <v>768</v>
      </c>
      <c r="G40" s="8">
        <v>44872</v>
      </c>
      <c r="H40" s="8">
        <v>44872</v>
      </c>
      <c r="I40" t="s">
        <v>819</v>
      </c>
    </row>
    <row r="41" spans="1:9" x14ac:dyDescent="0.25">
      <c r="A41" s="3" t="s">
        <v>821</v>
      </c>
      <c r="B41" s="4" t="s">
        <v>822</v>
      </c>
      <c r="C41" t="s">
        <v>767</v>
      </c>
      <c r="D41" t="s">
        <v>821</v>
      </c>
      <c r="E41" t="s">
        <v>768</v>
      </c>
      <c r="G41" s="8">
        <v>44872</v>
      </c>
      <c r="H41" s="8">
        <v>44872</v>
      </c>
    </row>
    <row r="42" spans="1:9" x14ac:dyDescent="0.25">
      <c r="A42" s="3" t="s">
        <v>517</v>
      </c>
      <c r="B42" s="4" t="s">
        <v>518</v>
      </c>
      <c r="C42" t="s">
        <v>771</v>
      </c>
      <c r="D42" t="s">
        <v>517</v>
      </c>
      <c r="E42" t="s">
        <v>768</v>
      </c>
      <c r="G42" s="8">
        <v>44872</v>
      </c>
      <c r="H42" s="8">
        <v>44872</v>
      </c>
      <c r="I42" t="s">
        <v>821</v>
      </c>
    </row>
    <row r="43" spans="1:9" x14ac:dyDescent="0.25">
      <c r="A43" s="5" t="s">
        <v>519</v>
      </c>
      <c r="B43" s="4" t="s">
        <v>520</v>
      </c>
      <c r="C43" t="s">
        <v>771</v>
      </c>
      <c r="D43" t="s">
        <v>519</v>
      </c>
      <c r="E43" t="s">
        <v>768</v>
      </c>
      <c r="G43" s="8">
        <v>44872</v>
      </c>
      <c r="H43" s="8">
        <v>44872</v>
      </c>
      <c r="I43" t="s">
        <v>821</v>
      </c>
    </row>
    <row r="44" spans="1:9" x14ac:dyDescent="0.25">
      <c r="A44" s="3" t="s">
        <v>521</v>
      </c>
      <c r="B44" s="4" t="s">
        <v>522</v>
      </c>
      <c r="C44" t="s">
        <v>771</v>
      </c>
      <c r="D44" t="s">
        <v>521</v>
      </c>
      <c r="E44" t="s">
        <v>768</v>
      </c>
      <c r="G44" s="8">
        <v>44872</v>
      </c>
      <c r="H44" s="8">
        <v>44872</v>
      </c>
      <c r="I44" t="s">
        <v>821</v>
      </c>
    </row>
    <row r="45" spans="1:9" x14ac:dyDescent="0.25">
      <c r="A45" s="3" t="s">
        <v>280</v>
      </c>
      <c r="B45" s="4" t="s">
        <v>523</v>
      </c>
      <c r="C45" t="s">
        <v>771</v>
      </c>
      <c r="D45" t="s">
        <v>280</v>
      </c>
      <c r="E45" t="s">
        <v>768</v>
      </c>
      <c r="G45" s="8">
        <v>44872</v>
      </c>
      <c r="H45" s="8">
        <v>44872</v>
      </c>
      <c r="I45" t="s">
        <v>821</v>
      </c>
    </row>
    <row r="46" spans="1:9" x14ac:dyDescent="0.25">
      <c r="A46" s="3" t="s">
        <v>524</v>
      </c>
      <c r="B46" s="4" t="s">
        <v>525</v>
      </c>
      <c r="C46" t="s">
        <v>771</v>
      </c>
      <c r="D46" t="s">
        <v>524</v>
      </c>
      <c r="E46" t="s">
        <v>768</v>
      </c>
      <c r="G46" s="8">
        <v>44872</v>
      </c>
      <c r="H46" s="8">
        <v>44872</v>
      </c>
      <c r="I46" t="s">
        <v>821</v>
      </c>
    </row>
    <row r="47" spans="1:9" x14ac:dyDescent="0.25">
      <c r="A47" s="3" t="s">
        <v>144</v>
      </c>
      <c r="B47" s="4" t="s">
        <v>526</v>
      </c>
      <c r="C47" t="s">
        <v>771</v>
      </c>
      <c r="D47" t="s">
        <v>144</v>
      </c>
      <c r="E47" t="s">
        <v>768</v>
      </c>
      <c r="G47" s="8">
        <v>44872</v>
      </c>
      <c r="H47" s="8">
        <v>44872</v>
      </c>
      <c r="I47" t="s">
        <v>821</v>
      </c>
    </row>
    <row r="48" spans="1:9" x14ac:dyDescent="0.25">
      <c r="A48" s="3" t="s">
        <v>527</v>
      </c>
      <c r="B48" s="4" t="s">
        <v>528</v>
      </c>
      <c r="C48" t="s">
        <v>771</v>
      </c>
      <c r="D48" t="s">
        <v>527</v>
      </c>
      <c r="E48" t="s">
        <v>768</v>
      </c>
      <c r="G48" s="8">
        <v>44872</v>
      </c>
      <c r="H48" s="8">
        <v>44872</v>
      </c>
      <c r="I48" t="s">
        <v>821</v>
      </c>
    </row>
    <row r="49" spans="1:9" x14ac:dyDescent="0.25">
      <c r="A49" s="3" t="s">
        <v>529</v>
      </c>
      <c r="B49" s="4" t="s">
        <v>530</v>
      </c>
      <c r="C49" t="s">
        <v>771</v>
      </c>
      <c r="D49" t="s">
        <v>529</v>
      </c>
      <c r="E49" t="s">
        <v>768</v>
      </c>
      <c r="G49" s="8">
        <v>44872</v>
      </c>
      <c r="H49" s="8">
        <v>44872</v>
      </c>
      <c r="I49" t="s">
        <v>821</v>
      </c>
    </row>
    <row r="50" spans="1:9" x14ac:dyDescent="0.25">
      <c r="A50" s="3" t="s">
        <v>531</v>
      </c>
      <c r="B50" s="4" t="s">
        <v>532</v>
      </c>
      <c r="C50" t="s">
        <v>771</v>
      </c>
      <c r="D50" t="s">
        <v>531</v>
      </c>
      <c r="E50" t="s">
        <v>768</v>
      </c>
      <c r="G50" s="8">
        <v>44872</v>
      </c>
      <c r="H50" s="8">
        <v>44872</v>
      </c>
      <c r="I50" t="s">
        <v>821</v>
      </c>
    </row>
    <row r="51" spans="1:9" x14ac:dyDescent="0.25">
      <c r="A51" s="3" t="s">
        <v>823</v>
      </c>
      <c r="B51" s="4" t="s">
        <v>824</v>
      </c>
      <c r="C51" t="s">
        <v>767</v>
      </c>
      <c r="D51" t="s">
        <v>823</v>
      </c>
      <c r="E51" t="s">
        <v>768</v>
      </c>
      <c r="G51" s="8">
        <v>44872</v>
      </c>
      <c r="H51" s="8">
        <v>44872</v>
      </c>
    </row>
    <row r="52" spans="1:9" x14ac:dyDescent="0.25">
      <c r="A52" s="3" t="s">
        <v>205</v>
      </c>
      <c r="B52" s="4" t="s">
        <v>533</v>
      </c>
      <c r="C52" t="s">
        <v>771</v>
      </c>
      <c r="D52" t="s">
        <v>205</v>
      </c>
      <c r="E52" t="s">
        <v>768</v>
      </c>
      <c r="G52" s="8">
        <v>44872</v>
      </c>
      <c r="H52" s="8">
        <v>44872</v>
      </c>
      <c r="I52" t="s">
        <v>823</v>
      </c>
    </row>
    <row r="53" spans="1:9" x14ac:dyDescent="0.25">
      <c r="A53" s="3" t="s">
        <v>534</v>
      </c>
      <c r="B53" s="4" t="s">
        <v>535</v>
      </c>
      <c r="C53" t="s">
        <v>771</v>
      </c>
      <c r="D53" t="s">
        <v>534</v>
      </c>
      <c r="E53" t="s">
        <v>768</v>
      </c>
      <c r="G53" s="8">
        <v>44872</v>
      </c>
      <c r="H53" s="8">
        <v>44872</v>
      </c>
      <c r="I53" t="s">
        <v>823</v>
      </c>
    </row>
    <row r="54" spans="1:9" x14ac:dyDescent="0.25">
      <c r="A54" s="3" t="s">
        <v>536</v>
      </c>
      <c r="B54" s="4" t="s">
        <v>537</v>
      </c>
      <c r="C54" t="s">
        <v>771</v>
      </c>
      <c r="D54" t="s">
        <v>536</v>
      </c>
      <c r="E54" t="s">
        <v>768</v>
      </c>
      <c r="G54" s="8">
        <v>44872</v>
      </c>
      <c r="H54" s="8">
        <v>44872</v>
      </c>
      <c r="I54" t="s">
        <v>823</v>
      </c>
    </row>
    <row r="55" spans="1:9" x14ac:dyDescent="0.25">
      <c r="A55" s="3" t="s">
        <v>26</v>
      </c>
      <c r="B55" s="4" t="s">
        <v>538</v>
      </c>
      <c r="C55" t="s">
        <v>771</v>
      </c>
      <c r="D55" t="s">
        <v>26</v>
      </c>
      <c r="E55" t="s">
        <v>768</v>
      </c>
      <c r="G55" s="8">
        <v>44872</v>
      </c>
      <c r="H55" s="8">
        <v>44872</v>
      </c>
      <c r="I55" t="s">
        <v>823</v>
      </c>
    </row>
    <row r="56" spans="1:9" x14ac:dyDescent="0.25">
      <c r="A56" s="3" t="s">
        <v>539</v>
      </c>
      <c r="B56" s="4" t="s">
        <v>540</v>
      </c>
      <c r="C56" t="s">
        <v>771</v>
      </c>
      <c r="D56" t="s">
        <v>539</v>
      </c>
      <c r="E56" t="s">
        <v>768</v>
      </c>
      <c r="G56" s="8">
        <v>44872</v>
      </c>
      <c r="H56" s="8">
        <v>44872</v>
      </c>
      <c r="I56" t="s">
        <v>823</v>
      </c>
    </row>
    <row r="57" spans="1:9" x14ac:dyDescent="0.25">
      <c r="A57" s="3" t="s">
        <v>215</v>
      </c>
      <c r="B57" s="4" t="s">
        <v>541</v>
      </c>
      <c r="C57" t="s">
        <v>771</v>
      </c>
      <c r="D57" t="s">
        <v>215</v>
      </c>
      <c r="E57" t="s">
        <v>768</v>
      </c>
      <c r="G57" s="8">
        <v>44872</v>
      </c>
      <c r="H57" s="8">
        <v>44872</v>
      </c>
      <c r="I57" t="s">
        <v>823</v>
      </c>
    </row>
    <row r="58" spans="1:9" x14ac:dyDescent="0.25">
      <c r="A58" s="3" t="s">
        <v>542</v>
      </c>
      <c r="B58" s="4" t="s">
        <v>543</v>
      </c>
      <c r="C58" t="s">
        <v>771</v>
      </c>
      <c r="D58" t="s">
        <v>542</v>
      </c>
      <c r="E58" t="s">
        <v>768</v>
      </c>
      <c r="G58" s="8">
        <v>44872</v>
      </c>
      <c r="H58" s="8">
        <v>44872</v>
      </c>
      <c r="I58" t="s">
        <v>823</v>
      </c>
    </row>
    <row r="59" spans="1:9" x14ac:dyDescent="0.25">
      <c r="A59" s="3" t="s">
        <v>544</v>
      </c>
      <c r="B59" s="4" t="s">
        <v>545</v>
      </c>
      <c r="C59" t="s">
        <v>771</v>
      </c>
      <c r="D59" t="s">
        <v>544</v>
      </c>
      <c r="E59" t="s">
        <v>768</v>
      </c>
      <c r="G59" s="8">
        <v>44872</v>
      </c>
      <c r="H59" s="8">
        <v>44872</v>
      </c>
      <c r="I59" t="s">
        <v>823</v>
      </c>
    </row>
    <row r="60" spans="1:9" x14ac:dyDescent="0.25">
      <c r="A60" s="3" t="s">
        <v>546</v>
      </c>
      <c r="B60" s="4" t="s">
        <v>547</v>
      </c>
      <c r="C60" t="s">
        <v>771</v>
      </c>
      <c r="D60" t="s">
        <v>546</v>
      </c>
      <c r="E60" t="s">
        <v>768</v>
      </c>
      <c r="G60" s="8">
        <v>44872</v>
      </c>
      <c r="H60" s="8">
        <v>44872</v>
      </c>
      <c r="I60" t="s">
        <v>823</v>
      </c>
    </row>
    <row r="61" spans="1:9" x14ac:dyDescent="0.25">
      <c r="A61" s="3" t="s">
        <v>548</v>
      </c>
      <c r="B61" s="4" t="s">
        <v>549</v>
      </c>
      <c r="C61" t="s">
        <v>771</v>
      </c>
      <c r="D61" t="s">
        <v>548</v>
      </c>
      <c r="E61" t="s">
        <v>768</v>
      </c>
      <c r="G61" s="8">
        <v>44872</v>
      </c>
      <c r="H61" s="8">
        <v>44872</v>
      </c>
      <c r="I61" t="s">
        <v>823</v>
      </c>
    </row>
    <row r="62" spans="1:9" x14ac:dyDescent="0.25">
      <c r="A62" s="3" t="s">
        <v>550</v>
      </c>
      <c r="B62" s="4" t="s">
        <v>551</v>
      </c>
      <c r="C62" t="s">
        <v>771</v>
      </c>
      <c r="D62" t="s">
        <v>550</v>
      </c>
      <c r="E62" t="s">
        <v>768</v>
      </c>
      <c r="G62" s="8">
        <v>44872</v>
      </c>
      <c r="H62" s="8">
        <v>44872</v>
      </c>
      <c r="I62" t="s">
        <v>823</v>
      </c>
    </row>
    <row r="63" spans="1:9" x14ac:dyDescent="0.25">
      <c r="A63" s="3" t="s">
        <v>825</v>
      </c>
      <c r="B63" s="4" t="s">
        <v>826</v>
      </c>
      <c r="C63" t="s">
        <v>767</v>
      </c>
      <c r="D63" t="s">
        <v>825</v>
      </c>
      <c r="E63" t="s">
        <v>768</v>
      </c>
      <c r="G63" s="8">
        <v>44872</v>
      </c>
      <c r="H63" s="8">
        <v>44872</v>
      </c>
    </row>
    <row r="64" spans="1:9" x14ac:dyDescent="0.25">
      <c r="A64" s="3" t="s">
        <v>552</v>
      </c>
      <c r="B64" s="4" t="s">
        <v>553</v>
      </c>
      <c r="C64" t="s">
        <v>771</v>
      </c>
      <c r="D64" t="s">
        <v>552</v>
      </c>
      <c r="E64" t="s">
        <v>768</v>
      </c>
      <c r="G64" s="8">
        <v>44872</v>
      </c>
      <c r="H64" s="8">
        <v>44872</v>
      </c>
      <c r="I64" t="s">
        <v>825</v>
      </c>
    </row>
    <row r="65" spans="1:9" x14ac:dyDescent="0.25">
      <c r="A65" s="3" t="s">
        <v>554</v>
      </c>
      <c r="B65" s="4" t="s">
        <v>555</v>
      </c>
      <c r="C65" t="s">
        <v>771</v>
      </c>
      <c r="D65" t="s">
        <v>554</v>
      </c>
      <c r="E65" t="s">
        <v>768</v>
      </c>
      <c r="G65" s="8">
        <v>44872</v>
      </c>
      <c r="H65" s="8">
        <v>44872</v>
      </c>
      <c r="I65" t="s">
        <v>825</v>
      </c>
    </row>
    <row r="66" spans="1:9" x14ac:dyDescent="0.25">
      <c r="A66" s="3" t="s">
        <v>556</v>
      </c>
      <c r="B66" s="4" t="s">
        <v>557</v>
      </c>
      <c r="C66" t="s">
        <v>771</v>
      </c>
      <c r="D66" t="s">
        <v>556</v>
      </c>
      <c r="E66" t="s">
        <v>768</v>
      </c>
      <c r="G66" s="8">
        <v>44872</v>
      </c>
      <c r="H66" s="8">
        <v>44872</v>
      </c>
      <c r="I66" t="s">
        <v>825</v>
      </c>
    </row>
    <row r="67" spans="1:9" x14ac:dyDescent="0.25">
      <c r="A67" s="3" t="s">
        <v>558</v>
      </c>
      <c r="B67" s="4" t="s">
        <v>559</v>
      </c>
      <c r="C67" t="s">
        <v>771</v>
      </c>
      <c r="D67" t="s">
        <v>558</v>
      </c>
      <c r="E67" t="s">
        <v>768</v>
      </c>
      <c r="G67" s="8">
        <v>44872</v>
      </c>
      <c r="H67" s="8">
        <v>44872</v>
      </c>
      <c r="I67" t="s">
        <v>825</v>
      </c>
    </row>
    <row r="68" spans="1:9" x14ac:dyDescent="0.25">
      <c r="A68" s="3" t="s">
        <v>560</v>
      </c>
      <c r="B68" s="4" t="s">
        <v>561</v>
      </c>
      <c r="C68" t="s">
        <v>771</v>
      </c>
      <c r="D68" t="s">
        <v>560</v>
      </c>
      <c r="E68" t="s">
        <v>768</v>
      </c>
      <c r="G68" s="8">
        <v>44872</v>
      </c>
      <c r="H68" s="8">
        <v>44872</v>
      </c>
      <c r="I68" t="s">
        <v>825</v>
      </c>
    </row>
    <row r="69" spans="1:9" x14ac:dyDescent="0.25">
      <c r="A69" s="3" t="s">
        <v>562</v>
      </c>
      <c r="B69" s="4" t="s">
        <v>563</v>
      </c>
      <c r="C69" t="s">
        <v>771</v>
      </c>
      <c r="D69" t="s">
        <v>562</v>
      </c>
      <c r="E69" t="s">
        <v>768</v>
      </c>
      <c r="G69" s="8">
        <v>44872</v>
      </c>
      <c r="H69" s="8">
        <v>44872</v>
      </c>
      <c r="I69" t="s">
        <v>825</v>
      </c>
    </row>
    <row r="70" spans="1:9" x14ac:dyDescent="0.25">
      <c r="A70" s="3" t="s">
        <v>564</v>
      </c>
      <c r="B70" s="4" t="s">
        <v>565</v>
      </c>
      <c r="C70" t="s">
        <v>771</v>
      </c>
      <c r="D70" t="s">
        <v>564</v>
      </c>
      <c r="E70" t="s">
        <v>768</v>
      </c>
      <c r="G70" s="8">
        <v>44872</v>
      </c>
      <c r="H70" s="8">
        <v>44872</v>
      </c>
      <c r="I70" t="s">
        <v>825</v>
      </c>
    </row>
    <row r="71" spans="1:9" x14ac:dyDescent="0.25">
      <c r="A71" s="3" t="s">
        <v>566</v>
      </c>
      <c r="B71" s="4" t="s">
        <v>567</v>
      </c>
      <c r="C71" t="s">
        <v>771</v>
      </c>
      <c r="D71" t="s">
        <v>566</v>
      </c>
      <c r="E71" t="s">
        <v>768</v>
      </c>
      <c r="G71" s="8">
        <v>44872</v>
      </c>
      <c r="H71" s="8">
        <v>44872</v>
      </c>
      <c r="I71" t="s">
        <v>825</v>
      </c>
    </row>
    <row r="72" spans="1:9" x14ac:dyDescent="0.25">
      <c r="A72" s="3" t="s">
        <v>568</v>
      </c>
      <c r="B72" s="4" t="s">
        <v>569</v>
      </c>
      <c r="C72" t="s">
        <v>771</v>
      </c>
      <c r="D72" t="s">
        <v>568</v>
      </c>
      <c r="E72" t="s">
        <v>768</v>
      </c>
      <c r="G72" s="8">
        <v>44872</v>
      </c>
      <c r="H72" s="8">
        <v>44872</v>
      </c>
      <c r="I72" t="s">
        <v>825</v>
      </c>
    </row>
    <row r="73" spans="1:9" x14ac:dyDescent="0.25">
      <c r="A73" s="3" t="s">
        <v>827</v>
      </c>
      <c r="B73" s="4" t="s">
        <v>571</v>
      </c>
      <c r="C73" t="s">
        <v>767</v>
      </c>
      <c r="D73" t="s">
        <v>827</v>
      </c>
      <c r="E73" t="s">
        <v>768</v>
      </c>
      <c r="G73" s="8">
        <v>44872</v>
      </c>
      <c r="H73" s="8">
        <v>44872</v>
      </c>
    </row>
    <row r="74" spans="1:9" x14ac:dyDescent="0.25">
      <c r="A74" s="3" t="s">
        <v>570</v>
      </c>
      <c r="B74" s="4" t="s">
        <v>571</v>
      </c>
      <c r="C74" t="s">
        <v>771</v>
      </c>
      <c r="D74" t="s">
        <v>570</v>
      </c>
      <c r="E74" t="s">
        <v>768</v>
      </c>
      <c r="G74" s="8">
        <v>44872</v>
      </c>
      <c r="H74" s="8">
        <v>44872</v>
      </c>
      <c r="I74" t="s">
        <v>827</v>
      </c>
    </row>
    <row r="75" spans="1:9" x14ac:dyDescent="0.25">
      <c r="A75" s="3" t="s">
        <v>828</v>
      </c>
      <c r="B75" s="4" t="s">
        <v>829</v>
      </c>
      <c r="C75" t="s">
        <v>767</v>
      </c>
      <c r="D75" t="s">
        <v>828</v>
      </c>
      <c r="E75" t="s">
        <v>768</v>
      </c>
      <c r="G75" s="8">
        <v>44872</v>
      </c>
      <c r="H75" s="8">
        <v>44872</v>
      </c>
    </row>
    <row r="76" spans="1:9" x14ac:dyDescent="0.25">
      <c r="A76" s="3" t="s">
        <v>463</v>
      </c>
      <c r="B76" s="4" t="s">
        <v>572</v>
      </c>
      <c r="C76" t="s">
        <v>771</v>
      </c>
      <c r="D76" t="s">
        <v>463</v>
      </c>
      <c r="E76" t="s">
        <v>768</v>
      </c>
      <c r="G76" s="8">
        <v>44872</v>
      </c>
      <c r="H76" s="8">
        <v>44872</v>
      </c>
      <c r="I76" t="s">
        <v>828</v>
      </c>
    </row>
    <row r="77" spans="1:9" x14ac:dyDescent="0.25">
      <c r="A77" s="3" t="s">
        <v>299</v>
      </c>
      <c r="B77" s="4" t="s">
        <v>830</v>
      </c>
      <c r="C77" t="s">
        <v>771</v>
      </c>
      <c r="D77" t="s">
        <v>299</v>
      </c>
      <c r="E77" t="s">
        <v>768</v>
      </c>
      <c r="G77" s="8">
        <v>44872</v>
      </c>
      <c r="H77" s="8">
        <v>44872</v>
      </c>
      <c r="I77" t="s">
        <v>828</v>
      </c>
    </row>
    <row r="78" spans="1:9" x14ac:dyDescent="0.25">
      <c r="A78" s="3" t="s">
        <v>831</v>
      </c>
      <c r="B78" s="4" t="s">
        <v>574</v>
      </c>
      <c r="C78" t="s">
        <v>767</v>
      </c>
      <c r="D78" t="s">
        <v>831</v>
      </c>
      <c r="E78" t="s">
        <v>768</v>
      </c>
      <c r="G78" s="8">
        <v>44872</v>
      </c>
      <c r="H78" s="8">
        <v>44872</v>
      </c>
    </row>
    <row r="79" spans="1:9" x14ac:dyDescent="0.25">
      <c r="A79" s="3" t="s">
        <v>573</v>
      </c>
      <c r="B79" s="4" t="s">
        <v>574</v>
      </c>
      <c r="C79" t="s">
        <v>771</v>
      </c>
      <c r="D79" t="s">
        <v>573</v>
      </c>
      <c r="E79" t="s">
        <v>768</v>
      </c>
      <c r="G79" s="8">
        <v>44872</v>
      </c>
      <c r="H79" s="8">
        <v>44872</v>
      </c>
      <c r="I79" t="s">
        <v>831</v>
      </c>
    </row>
    <row r="80" spans="1:9" x14ac:dyDescent="0.25">
      <c r="A80" s="3" t="s">
        <v>832</v>
      </c>
      <c r="B80" s="4" t="s">
        <v>576</v>
      </c>
      <c r="C80" t="s">
        <v>767</v>
      </c>
      <c r="D80" t="s">
        <v>832</v>
      </c>
      <c r="E80" t="s">
        <v>817</v>
      </c>
      <c r="G80" s="8">
        <v>44872</v>
      </c>
      <c r="H80" s="8">
        <v>44872</v>
      </c>
    </row>
    <row r="81" spans="1:9" x14ac:dyDescent="0.25">
      <c r="A81" s="3" t="s">
        <v>575</v>
      </c>
      <c r="B81" s="4" t="s">
        <v>576</v>
      </c>
      <c r="C81" t="s">
        <v>771</v>
      </c>
      <c r="D81" t="s">
        <v>575</v>
      </c>
      <c r="E81" t="s">
        <v>817</v>
      </c>
      <c r="G81" s="8">
        <v>44872</v>
      </c>
      <c r="H81" s="8">
        <v>44872</v>
      </c>
      <c r="I81" t="s">
        <v>832</v>
      </c>
    </row>
    <row r="82" spans="1:9" x14ac:dyDescent="0.25">
      <c r="A82" s="3" t="s">
        <v>833</v>
      </c>
      <c r="B82" s="4" t="s">
        <v>834</v>
      </c>
      <c r="C82" t="s">
        <v>767</v>
      </c>
      <c r="D82" t="s">
        <v>833</v>
      </c>
      <c r="E82" t="s">
        <v>768</v>
      </c>
      <c r="G82" s="8">
        <v>44872</v>
      </c>
      <c r="H82" s="8">
        <v>44872</v>
      </c>
    </row>
    <row r="83" spans="1:9" x14ac:dyDescent="0.25">
      <c r="A83" s="3" t="s">
        <v>577</v>
      </c>
      <c r="B83" s="4" t="s">
        <v>509</v>
      </c>
      <c r="C83" t="s">
        <v>771</v>
      </c>
      <c r="D83" t="s">
        <v>577</v>
      </c>
      <c r="E83" t="s">
        <v>768</v>
      </c>
      <c r="G83" s="8">
        <v>44872</v>
      </c>
      <c r="H83" s="8">
        <v>44872</v>
      </c>
      <c r="I83" t="s">
        <v>833</v>
      </c>
    </row>
    <row r="84" spans="1:9" x14ac:dyDescent="0.25">
      <c r="A84" s="3" t="s">
        <v>578</v>
      </c>
      <c r="B84" s="4" t="s">
        <v>511</v>
      </c>
      <c r="C84" t="s">
        <v>771</v>
      </c>
      <c r="D84" t="s">
        <v>578</v>
      </c>
      <c r="E84" t="s">
        <v>768</v>
      </c>
      <c r="G84" s="8">
        <v>44872</v>
      </c>
      <c r="H84" s="8">
        <v>44872</v>
      </c>
      <c r="I84" t="s">
        <v>833</v>
      </c>
    </row>
    <row r="85" spans="1:9" x14ac:dyDescent="0.25">
      <c r="A85" s="3" t="s">
        <v>74</v>
      </c>
      <c r="B85" s="4" t="s">
        <v>512</v>
      </c>
      <c r="C85" t="s">
        <v>771</v>
      </c>
      <c r="D85" t="s">
        <v>74</v>
      </c>
      <c r="E85" t="s">
        <v>768</v>
      </c>
      <c r="G85" s="8">
        <v>44872</v>
      </c>
      <c r="H85" s="8">
        <v>44872</v>
      </c>
      <c r="I85" t="s">
        <v>833</v>
      </c>
    </row>
    <row r="86" spans="1:9" x14ac:dyDescent="0.25">
      <c r="A86" s="3" t="s">
        <v>380</v>
      </c>
      <c r="B86" s="4" t="s">
        <v>514</v>
      </c>
      <c r="C86" t="s">
        <v>771</v>
      </c>
      <c r="D86" t="s">
        <v>380</v>
      </c>
      <c r="E86" t="s">
        <v>768</v>
      </c>
      <c r="G86" s="8">
        <v>44872</v>
      </c>
      <c r="H86" s="8">
        <v>44872</v>
      </c>
      <c r="I86" t="s">
        <v>833</v>
      </c>
    </row>
    <row r="87" spans="1:9" x14ac:dyDescent="0.25">
      <c r="A87" s="3" t="s">
        <v>579</v>
      </c>
      <c r="B87" s="4" t="s">
        <v>516</v>
      </c>
      <c r="C87" t="s">
        <v>771</v>
      </c>
      <c r="D87" t="s">
        <v>579</v>
      </c>
      <c r="E87" t="s">
        <v>768</v>
      </c>
      <c r="G87" s="8">
        <v>44872</v>
      </c>
      <c r="H87" s="8">
        <v>44872</v>
      </c>
      <c r="I87" t="s">
        <v>833</v>
      </c>
    </row>
    <row r="88" spans="1:9" x14ac:dyDescent="0.25">
      <c r="A88" s="3" t="s">
        <v>835</v>
      </c>
      <c r="B88" s="4" t="s">
        <v>822</v>
      </c>
      <c r="C88" t="s">
        <v>767</v>
      </c>
      <c r="D88" t="s">
        <v>835</v>
      </c>
      <c r="E88" t="s">
        <v>768</v>
      </c>
      <c r="G88" s="8">
        <v>44872</v>
      </c>
      <c r="H88" s="8">
        <v>44872</v>
      </c>
    </row>
    <row r="89" spans="1:9" x14ac:dyDescent="0.25">
      <c r="A89" s="3" t="s">
        <v>580</v>
      </c>
      <c r="B89" s="4" t="s">
        <v>518</v>
      </c>
      <c r="C89" t="s">
        <v>771</v>
      </c>
      <c r="D89" t="s">
        <v>580</v>
      </c>
      <c r="E89" t="s">
        <v>768</v>
      </c>
      <c r="G89" s="8">
        <v>44872</v>
      </c>
      <c r="H89" s="8">
        <v>44872</v>
      </c>
      <c r="I89" t="s">
        <v>835</v>
      </c>
    </row>
    <row r="90" spans="1:9" x14ac:dyDescent="0.25">
      <c r="A90" s="3" t="s">
        <v>581</v>
      </c>
      <c r="B90" s="4" t="s">
        <v>520</v>
      </c>
      <c r="C90" t="s">
        <v>771</v>
      </c>
      <c r="D90" t="s">
        <v>581</v>
      </c>
      <c r="E90" t="s">
        <v>768</v>
      </c>
      <c r="G90" s="8">
        <v>44872</v>
      </c>
      <c r="H90" s="8">
        <v>44872</v>
      </c>
      <c r="I90" t="s">
        <v>835</v>
      </c>
    </row>
    <row r="91" spans="1:9" x14ac:dyDescent="0.25">
      <c r="A91" s="3" t="s">
        <v>582</v>
      </c>
      <c r="B91" s="4" t="s">
        <v>522</v>
      </c>
      <c r="C91" t="s">
        <v>771</v>
      </c>
      <c r="D91" t="s">
        <v>582</v>
      </c>
      <c r="E91" t="s">
        <v>768</v>
      </c>
      <c r="G91" s="8">
        <v>44872</v>
      </c>
      <c r="H91" s="8">
        <v>44872</v>
      </c>
      <c r="I91" t="s">
        <v>835</v>
      </c>
    </row>
    <row r="92" spans="1:9" x14ac:dyDescent="0.25">
      <c r="A92" s="3" t="s">
        <v>583</v>
      </c>
      <c r="B92" s="4" t="s">
        <v>523</v>
      </c>
      <c r="C92" t="s">
        <v>771</v>
      </c>
      <c r="D92" t="s">
        <v>583</v>
      </c>
      <c r="E92" t="s">
        <v>768</v>
      </c>
      <c r="G92" s="8">
        <v>44872</v>
      </c>
      <c r="H92" s="8">
        <v>44872</v>
      </c>
      <c r="I92" t="s">
        <v>835</v>
      </c>
    </row>
    <row r="93" spans="1:9" x14ac:dyDescent="0.25">
      <c r="A93" s="3" t="s">
        <v>584</v>
      </c>
      <c r="B93" s="4" t="s">
        <v>525</v>
      </c>
      <c r="C93" t="s">
        <v>771</v>
      </c>
      <c r="D93" t="s">
        <v>584</v>
      </c>
      <c r="E93" t="s">
        <v>768</v>
      </c>
      <c r="G93" s="8">
        <v>44872</v>
      </c>
      <c r="H93" s="8">
        <v>44872</v>
      </c>
      <c r="I93" t="s">
        <v>835</v>
      </c>
    </row>
    <row r="94" spans="1:9" x14ac:dyDescent="0.25">
      <c r="A94" s="3" t="s">
        <v>67</v>
      </c>
      <c r="B94" s="4" t="s">
        <v>526</v>
      </c>
      <c r="C94" t="s">
        <v>771</v>
      </c>
      <c r="D94" t="s">
        <v>67</v>
      </c>
      <c r="E94" t="s">
        <v>768</v>
      </c>
      <c r="G94" s="8">
        <v>44872</v>
      </c>
      <c r="H94" s="8">
        <v>44872</v>
      </c>
      <c r="I94" t="s">
        <v>835</v>
      </c>
    </row>
    <row r="95" spans="1:9" x14ac:dyDescent="0.25">
      <c r="A95" s="3" t="s">
        <v>156</v>
      </c>
      <c r="B95" s="4" t="s">
        <v>528</v>
      </c>
      <c r="C95" t="s">
        <v>771</v>
      </c>
      <c r="D95" t="s">
        <v>156</v>
      </c>
      <c r="E95" t="s">
        <v>768</v>
      </c>
      <c r="G95" s="8">
        <v>44872</v>
      </c>
      <c r="H95" s="8">
        <v>44872</v>
      </c>
      <c r="I95" t="s">
        <v>835</v>
      </c>
    </row>
    <row r="96" spans="1:9" x14ac:dyDescent="0.25">
      <c r="A96" s="5" t="s">
        <v>585</v>
      </c>
      <c r="B96" s="4" t="s">
        <v>532</v>
      </c>
      <c r="C96" t="s">
        <v>771</v>
      </c>
      <c r="D96" t="s">
        <v>585</v>
      </c>
      <c r="E96" t="s">
        <v>768</v>
      </c>
      <c r="G96" s="8">
        <v>44872</v>
      </c>
      <c r="H96" s="8">
        <v>44872</v>
      </c>
      <c r="I96" t="s">
        <v>835</v>
      </c>
    </row>
    <row r="97" spans="1:9" x14ac:dyDescent="0.25">
      <c r="A97" s="5" t="s">
        <v>836</v>
      </c>
      <c r="B97" s="4" t="s">
        <v>837</v>
      </c>
      <c r="C97" t="s">
        <v>767</v>
      </c>
      <c r="D97" t="s">
        <v>836</v>
      </c>
      <c r="E97" t="s">
        <v>768</v>
      </c>
      <c r="G97" s="8">
        <v>44872</v>
      </c>
      <c r="H97" s="8">
        <v>44872</v>
      </c>
    </row>
    <row r="98" spans="1:9" x14ac:dyDescent="0.25">
      <c r="A98" t="s">
        <v>270</v>
      </c>
      <c r="B98" t="s">
        <v>533</v>
      </c>
      <c r="C98" t="s">
        <v>771</v>
      </c>
      <c r="D98" t="s">
        <v>270</v>
      </c>
      <c r="E98" t="s">
        <v>768</v>
      </c>
      <c r="G98" s="8">
        <v>44872</v>
      </c>
      <c r="H98" s="8">
        <v>44872</v>
      </c>
      <c r="I98" t="s">
        <v>836</v>
      </c>
    </row>
    <row r="99" spans="1:9" x14ac:dyDescent="0.25">
      <c r="A99" t="s">
        <v>586</v>
      </c>
      <c r="B99" t="s">
        <v>535</v>
      </c>
      <c r="C99" t="s">
        <v>771</v>
      </c>
      <c r="D99" t="s">
        <v>586</v>
      </c>
      <c r="E99" t="s">
        <v>768</v>
      </c>
      <c r="G99" s="8">
        <v>44872</v>
      </c>
      <c r="H99" s="8">
        <v>44872</v>
      </c>
      <c r="I99" t="s">
        <v>836</v>
      </c>
    </row>
    <row r="100" spans="1:9" x14ac:dyDescent="0.25">
      <c r="A100" t="s">
        <v>587</v>
      </c>
      <c r="B100" t="s">
        <v>537</v>
      </c>
      <c r="C100" t="s">
        <v>771</v>
      </c>
      <c r="D100" t="s">
        <v>587</v>
      </c>
      <c r="E100" t="s">
        <v>768</v>
      </c>
      <c r="G100" s="8">
        <v>44872</v>
      </c>
      <c r="H100" s="8">
        <v>44872</v>
      </c>
      <c r="I100" t="s">
        <v>836</v>
      </c>
    </row>
    <row r="101" spans="1:9" x14ac:dyDescent="0.25">
      <c r="A101" t="s">
        <v>39</v>
      </c>
      <c r="B101" t="s">
        <v>538</v>
      </c>
      <c r="C101" t="s">
        <v>771</v>
      </c>
      <c r="D101" t="s">
        <v>39</v>
      </c>
      <c r="E101" t="s">
        <v>768</v>
      </c>
      <c r="G101" s="8">
        <v>44872</v>
      </c>
      <c r="H101" s="8">
        <v>44872</v>
      </c>
      <c r="I101" t="s">
        <v>836</v>
      </c>
    </row>
    <row r="102" spans="1:9" x14ac:dyDescent="0.25">
      <c r="A102" t="s">
        <v>588</v>
      </c>
      <c r="B102" t="s">
        <v>540</v>
      </c>
      <c r="C102" t="s">
        <v>771</v>
      </c>
      <c r="D102" t="s">
        <v>588</v>
      </c>
      <c r="E102" t="s">
        <v>768</v>
      </c>
      <c r="G102" s="8">
        <v>44872</v>
      </c>
      <c r="H102" s="8">
        <v>44872</v>
      </c>
      <c r="I102" t="s">
        <v>836</v>
      </c>
    </row>
    <row r="103" spans="1:9" x14ac:dyDescent="0.25">
      <c r="A103" t="s">
        <v>589</v>
      </c>
      <c r="B103" t="s">
        <v>541</v>
      </c>
      <c r="C103" t="s">
        <v>771</v>
      </c>
      <c r="D103" t="s">
        <v>589</v>
      </c>
      <c r="E103" t="s">
        <v>768</v>
      </c>
      <c r="G103" s="8">
        <v>44872</v>
      </c>
      <c r="H103" s="8">
        <v>44872</v>
      </c>
      <c r="I103" t="s">
        <v>836</v>
      </c>
    </row>
    <row r="104" spans="1:9" x14ac:dyDescent="0.25">
      <c r="A104" t="s">
        <v>590</v>
      </c>
      <c r="B104" t="s">
        <v>543</v>
      </c>
      <c r="C104" t="s">
        <v>771</v>
      </c>
      <c r="D104" t="s">
        <v>590</v>
      </c>
      <c r="E104" t="s">
        <v>768</v>
      </c>
      <c r="G104" s="8">
        <v>44872</v>
      </c>
      <c r="H104" s="8">
        <v>44872</v>
      </c>
      <c r="I104" t="s">
        <v>836</v>
      </c>
    </row>
    <row r="105" spans="1:9" x14ac:dyDescent="0.25">
      <c r="A105" t="s">
        <v>591</v>
      </c>
      <c r="B105" t="s">
        <v>545</v>
      </c>
      <c r="C105" t="s">
        <v>771</v>
      </c>
      <c r="D105" t="s">
        <v>591</v>
      </c>
      <c r="E105" t="s">
        <v>768</v>
      </c>
      <c r="G105" s="8">
        <v>44872</v>
      </c>
      <c r="H105" s="8">
        <v>44872</v>
      </c>
      <c r="I105" t="s">
        <v>836</v>
      </c>
    </row>
    <row r="106" spans="1:9" x14ac:dyDescent="0.25">
      <c r="A106" t="s">
        <v>592</v>
      </c>
      <c r="B106" t="s">
        <v>547</v>
      </c>
      <c r="C106" t="s">
        <v>771</v>
      </c>
      <c r="D106" t="s">
        <v>592</v>
      </c>
      <c r="E106" t="s">
        <v>768</v>
      </c>
      <c r="G106" s="8">
        <v>44872</v>
      </c>
      <c r="H106" s="8">
        <v>44872</v>
      </c>
      <c r="I106" t="s">
        <v>836</v>
      </c>
    </row>
    <row r="107" spans="1:9" x14ac:dyDescent="0.25">
      <c r="A107" t="s">
        <v>593</v>
      </c>
      <c r="B107" t="s">
        <v>549</v>
      </c>
      <c r="C107" t="s">
        <v>771</v>
      </c>
      <c r="D107" t="s">
        <v>593</v>
      </c>
      <c r="E107" t="s">
        <v>768</v>
      </c>
      <c r="G107" s="8">
        <v>44872</v>
      </c>
      <c r="H107" s="8">
        <v>44872</v>
      </c>
      <c r="I107" t="s">
        <v>836</v>
      </c>
    </row>
    <row r="108" spans="1:9" x14ac:dyDescent="0.25">
      <c r="A108" t="s">
        <v>838</v>
      </c>
      <c r="B108" t="s">
        <v>839</v>
      </c>
      <c r="C108" t="s">
        <v>767</v>
      </c>
      <c r="D108" t="s">
        <v>838</v>
      </c>
      <c r="E108" t="s">
        <v>768</v>
      </c>
      <c r="G108" s="8">
        <v>44872</v>
      </c>
      <c r="H108" s="8">
        <v>44872</v>
      </c>
    </row>
    <row r="109" spans="1:9" x14ac:dyDescent="0.25">
      <c r="A109" t="s">
        <v>594</v>
      </c>
      <c r="B109" t="s">
        <v>553</v>
      </c>
      <c r="C109" t="s">
        <v>771</v>
      </c>
      <c r="D109" t="s">
        <v>594</v>
      </c>
      <c r="E109" t="s">
        <v>768</v>
      </c>
      <c r="G109" s="8">
        <v>44872</v>
      </c>
      <c r="H109" s="8">
        <v>44872</v>
      </c>
      <c r="I109" t="s">
        <v>838</v>
      </c>
    </row>
    <row r="110" spans="1:9" x14ac:dyDescent="0.25">
      <c r="A110" t="s">
        <v>595</v>
      </c>
      <c r="B110" t="s">
        <v>555</v>
      </c>
      <c r="C110" t="s">
        <v>771</v>
      </c>
      <c r="D110" t="s">
        <v>595</v>
      </c>
      <c r="E110" t="s">
        <v>768</v>
      </c>
      <c r="G110" s="8">
        <v>44872</v>
      </c>
      <c r="H110" s="8">
        <v>44872</v>
      </c>
      <c r="I110" t="s">
        <v>838</v>
      </c>
    </row>
    <row r="111" spans="1:9" x14ac:dyDescent="0.25">
      <c r="A111" t="s">
        <v>596</v>
      </c>
      <c r="B111" t="s">
        <v>557</v>
      </c>
      <c r="C111" t="s">
        <v>771</v>
      </c>
      <c r="D111" t="s">
        <v>596</v>
      </c>
      <c r="E111" t="s">
        <v>768</v>
      </c>
      <c r="G111" s="8">
        <v>44872</v>
      </c>
      <c r="H111" s="8">
        <v>44872</v>
      </c>
      <c r="I111" t="s">
        <v>838</v>
      </c>
    </row>
    <row r="112" spans="1:9" x14ac:dyDescent="0.25">
      <c r="A112" t="s">
        <v>597</v>
      </c>
      <c r="B112" t="s">
        <v>559</v>
      </c>
      <c r="C112" t="s">
        <v>771</v>
      </c>
      <c r="D112" t="s">
        <v>597</v>
      </c>
      <c r="E112" t="s">
        <v>768</v>
      </c>
      <c r="G112" s="8">
        <v>44872</v>
      </c>
      <c r="H112" s="8">
        <v>44872</v>
      </c>
      <c r="I112" t="s">
        <v>838</v>
      </c>
    </row>
    <row r="113" spans="1:9" x14ac:dyDescent="0.25">
      <c r="A113" t="s">
        <v>598</v>
      </c>
      <c r="B113" t="s">
        <v>561</v>
      </c>
      <c r="C113" t="s">
        <v>771</v>
      </c>
      <c r="D113" t="s">
        <v>598</v>
      </c>
      <c r="E113" t="s">
        <v>768</v>
      </c>
      <c r="G113" s="8">
        <v>44872</v>
      </c>
      <c r="H113" s="8">
        <v>44872</v>
      </c>
      <c r="I113" t="s">
        <v>838</v>
      </c>
    </row>
    <row r="114" spans="1:9" x14ac:dyDescent="0.25">
      <c r="A114" t="s">
        <v>322</v>
      </c>
      <c r="B114" t="s">
        <v>563</v>
      </c>
      <c r="C114" t="s">
        <v>771</v>
      </c>
      <c r="D114" t="s">
        <v>322</v>
      </c>
      <c r="E114" t="s">
        <v>768</v>
      </c>
      <c r="G114" s="8">
        <v>44872</v>
      </c>
      <c r="H114" s="8">
        <v>44872</v>
      </c>
      <c r="I114" t="s">
        <v>838</v>
      </c>
    </row>
    <row r="115" spans="1:9" x14ac:dyDescent="0.25">
      <c r="A115" t="s">
        <v>599</v>
      </c>
      <c r="B115" t="s">
        <v>565</v>
      </c>
      <c r="C115" t="s">
        <v>771</v>
      </c>
      <c r="D115" t="s">
        <v>599</v>
      </c>
      <c r="E115" t="s">
        <v>768</v>
      </c>
      <c r="G115" s="8">
        <v>44872</v>
      </c>
      <c r="H115" s="8">
        <v>44872</v>
      </c>
      <c r="I115" t="s">
        <v>838</v>
      </c>
    </row>
    <row r="116" spans="1:9" x14ac:dyDescent="0.25">
      <c r="A116" t="s">
        <v>600</v>
      </c>
      <c r="B116" t="s">
        <v>567</v>
      </c>
      <c r="C116" t="s">
        <v>771</v>
      </c>
      <c r="D116" t="s">
        <v>600</v>
      </c>
      <c r="E116" t="s">
        <v>768</v>
      </c>
      <c r="G116" s="8">
        <v>44872</v>
      </c>
      <c r="H116" s="8">
        <v>44872</v>
      </c>
      <c r="I116" t="s">
        <v>838</v>
      </c>
    </row>
    <row r="117" spans="1:9" x14ac:dyDescent="0.25">
      <c r="A117" t="s">
        <v>160</v>
      </c>
      <c r="B117" t="s">
        <v>569</v>
      </c>
      <c r="C117" t="s">
        <v>771</v>
      </c>
      <c r="D117" t="s">
        <v>160</v>
      </c>
      <c r="E117" t="s">
        <v>768</v>
      </c>
      <c r="G117" s="8">
        <v>44872</v>
      </c>
      <c r="H117" s="8">
        <v>44872</v>
      </c>
      <c r="I117" t="s">
        <v>838</v>
      </c>
    </row>
    <row r="118" spans="1:9" x14ac:dyDescent="0.25">
      <c r="A118" t="s">
        <v>601</v>
      </c>
      <c r="B118" t="s">
        <v>602</v>
      </c>
      <c r="C118" t="s">
        <v>771</v>
      </c>
      <c r="D118" t="s">
        <v>601</v>
      </c>
      <c r="E118" t="s">
        <v>768</v>
      </c>
      <c r="G118" s="8">
        <v>44872</v>
      </c>
      <c r="H118" s="8">
        <v>44872</v>
      </c>
      <c r="I118" t="s">
        <v>838</v>
      </c>
    </row>
    <row r="119" spans="1:9" x14ac:dyDescent="0.25">
      <c r="A119" t="s">
        <v>840</v>
      </c>
      <c r="B119" t="s">
        <v>571</v>
      </c>
      <c r="C119" t="s">
        <v>767</v>
      </c>
      <c r="D119" t="s">
        <v>840</v>
      </c>
      <c r="E119" t="s">
        <v>768</v>
      </c>
      <c r="G119" s="8">
        <v>44872</v>
      </c>
      <c r="H119" s="8">
        <v>44872</v>
      </c>
    </row>
    <row r="120" spans="1:9" x14ac:dyDescent="0.25">
      <c r="A120" t="s">
        <v>603</v>
      </c>
      <c r="B120" t="s">
        <v>571</v>
      </c>
      <c r="C120" t="s">
        <v>771</v>
      </c>
      <c r="D120" t="s">
        <v>603</v>
      </c>
      <c r="E120" t="s">
        <v>768</v>
      </c>
      <c r="G120" s="8">
        <v>44872</v>
      </c>
      <c r="H120" s="8">
        <v>44872</v>
      </c>
      <c r="I120" t="s">
        <v>840</v>
      </c>
    </row>
    <row r="121" spans="1:9" x14ac:dyDescent="0.25">
      <c r="A121" t="s">
        <v>841</v>
      </c>
      <c r="B121" t="s">
        <v>507</v>
      </c>
      <c r="C121" t="s">
        <v>767</v>
      </c>
      <c r="D121" t="s">
        <v>841</v>
      </c>
      <c r="E121" t="s">
        <v>768</v>
      </c>
      <c r="G121" s="8">
        <v>44872</v>
      </c>
      <c r="H121" s="8">
        <v>44872</v>
      </c>
    </row>
    <row r="122" spans="1:9" x14ac:dyDescent="0.25">
      <c r="A122" t="s">
        <v>506</v>
      </c>
      <c r="B122" t="s">
        <v>507</v>
      </c>
      <c r="C122" t="s">
        <v>771</v>
      </c>
      <c r="D122" t="s">
        <v>506</v>
      </c>
      <c r="E122" t="s">
        <v>768</v>
      </c>
      <c r="G122" s="8">
        <v>44872</v>
      </c>
      <c r="H122" s="8">
        <v>44872</v>
      </c>
      <c r="I122" t="s">
        <v>841</v>
      </c>
    </row>
    <row r="123" spans="1:9" x14ac:dyDescent="0.25">
      <c r="A123" t="s">
        <v>842</v>
      </c>
      <c r="B123" t="s">
        <v>843</v>
      </c>
      <c r="C123" t="s">
        <v>767</v>
      </c>
      <c r="D123" t="s">
        <v>842</v>
      </c>
      <c r="E123" t="s">
        <v>768</v>
      </c>
      <c r="G123" s="8">
        <v>44872</v>
      </c>
      <c r="H123" s="8">
        <v>44872</v>
      </c>
    </row>
    <row r="124" spans="1:9" x14ac:dyDescent="0.25">
      <c r="A124" t="s">
        <v>604</v>
      </c>
      <c r="B124" t="s">
        <v>605</v>
      </c>
      <c r="C124" t="s">
        <v>771</v>
      </c>
      <c r="D124" t="s">
        <v>604</v>
      </c>
      <c r="E124" t="s">
        <v>768</v>
      </c>
      <c r="G124" s="8">
        <v>44872</v>
      </c>
      <c r="H124" s="8">
        <v>44872</v>
      </c>
      <c r="I124" t="s">
        <v>842</v>
      </c>
    </row>
    <row r="125" spans="1:9" x14ac:dyDescent="0.25">
      <c r="A125" t="s">
        <v>606</v>
      </c>
      <c r="B125" t="s">
        <v>607</v>
      </c>
      <c r="C125" t="s">
        <v>771</v>
      </c>
      <c r="D125" t="s">
        <v>606</v>
      </c>
      <c r="E125" t="s">
        <v>768</v>
      </c>
      <c r="G125" s="8">
        <v>44872</v>
      </c>
      <c r="H125" s="8">
        <v>44872</v>
      </c>
      <c r="I125" t="s">
        <v>842</v>
      </c>
    </row>
    <row r="126" spans="1:9" x14ac:dyDescent="0.25">
      <c r="A126" t="s">
        <v>608</v>
      </c>
      <c r="B126" t="s">
        <v>609</v>
      </c>
      <c r="C126" t="s">
        <v>771</v>
      </c>
      <c r="D126" t="s">
        <v>608</v>
      </c>
      <c r="E126" t="s">
        <v>768</v>
      </c>
      <c r="G126" s="8">
        <v>44872</v>
      </c>
      <c r="H126" s="8">
        <v>44872</v>
      </c>
      <c r="I126" t="s">
        <v>842</v>
      </c>
    </row>
    <row r="127" spans="1:9" x14ac:dyDescent="0.25">
      <c r="A127" t="s">
        <v>610</v>
      </c>
      <c r="B127" t="s">
        <v>611</v>
      </c>
      <c r="C127" t="s">
        <v>771</v>
      </c>
      <c r="D127" t="s">
        <v>610</v>
      </c>
      <c r="E127" t="s">
        <v>768</v>
      </c>
      <c r="G127" s="8">
        <v>44872</v>
      </c>
      <c r="H127" s="8">
        <v>44872</v>
      </c>
      <c r="I127" t="s">
        <v>842</v>
      </c>
    </row>
    <row r="128" spans="1:9" x14ac:dyDescent="0.25">
      <c r="A128" t="s">
        <v>612</v>
      </c>
      <c r="B128" t="s">
        <v>613</v>
      </c>
      <c r="C128" t="s">
        <v>771</v>
      </c>
      <c r="D128" t="s">
        <v>612</v>
      </c>
      <c r="E128" t="s">
        <v>768</v>
      </c>
      <c r="G128" s="8">
        <v>44872</v>
      </c>
      <c r="H128" s="8">
        <v>44872</v>
      </c>
      <c r="I128" t="s">
        <v>842</v>
      </c>
    </row>
    <row r="129" spans="1:9" x14ac:dyDescent="0.25">
      <c r="A129" t="s">
        <v>614</v>
      </c>
      <c r="B129" t="s">
        <v>615</v>
      </c>
      <c r="C129" t="s">
        <v>771</v>
      </c>
      <c r="D129" t="s">
        <v>614</v>
      </c>
      <c r="E129" t="s">
        <v>768</v>
      </c>
      <c r="G129" s="8">
        <v>44872</v>
      </c>
      <c r="H129" s="8">
        <v>44872</v>
      </c>
      <c r="I129" t="s">
        <v>842</v>
      </c>
    </row>
    <row r="130" spans="1:9" x14ac:dyDescent="0.25">
      <c r="A130" t="s">
        <v>616</v>
      </c>
      <c r="B130" t="s">
        <v>617</v>
      </c>
      <c r="C130" t="s">
        <v>771</v>
      </c>
      <c r="D130" t="s">
        <v>616</v>
      </c>
      <c r="E130" t="s">
        <v>768</v>
      </c>
      <c r="G130" s="8">
        <v>44872</v>
      </c>
      <c r="H130" s="8">
        <v>44872</v>
      </c>
      <c r="I130" t="s">
        <v>842</v>
      </c>
    </row>
    <row r="131" spans="1:9" x14ac:dyDescent="0.25">
      <c r="A131" t="s">
        <v>618</v>
      </c>
      <c r="B131" t="s">
        <v>619</v>
      </c>
      <c r="C131" t="s">
        <v>771</v>
      </c>
      <c r="D131" t="s">
        <v>618</v>
      </c>
      <c r="E131" t="s">
        <v>768</v>
      </c>
      <c r="G131" s="8">
        <v>44872</v>
      </c>
      <c r="H131" s="8">
        <v>44872</v>
      </c>
      <c r="I131" t="s">
        <v>842</v>
      </c>
    </row>
    <row r="132" spans="1:9" x14ac:dyDescent="0.25">
      <c r="A132" t="s">
        <v>844</v>
      </c>
      <c r="B132" t="s">
        <v>845</v>
      </c>
      <c r="C132" t="s">
        <v>767</v>
      </c>
      <c r="D132" t="s">
        <v>844</v>
      </c>
      <c r="E132" t="s">
        <v>768</v>
      </c>
      <c r="G132" s="8">
        <v>44872</v>
      </c>
      <c r="H132" s="8">
        <v>44872</v>
      </c>
    </row>
    <row r="133" spans="1:9" x14ac:dyDescent="0.25">
      <c r="A133" t="s">
        <v>620</v>
      </c>
      <c r="B133" t="s">
        <v>621</v>
      </c>
      <c r="C133" t="s">
        <v>771</v>
      </c>
      <c r="D133" t="s">
        <v>620</v>
      </c>
      <c r="E133" t="s">
        <v>768</v>
      </c>
      <c r="G133" s="8">
        <v>44872</v>
      </c>
      <c r="H133" s="8">
        <v>44872</v>
      </c>
      <c r="I133" t="s">
        <v>844</v>
      </c>
    </row>
    <row r="134" spans="1:9" x14ac:dyDescent="0.25">
      <c r="A134" t="s">
        <v>622</v>
      </c>
      <c r="B134" t="s">
        <v>623</v>
      </c>
      <c r="C134" t="s">
        <v>771</v>
      </c>
      <c r="D134" t="s">
        <v>622</v>
      </c>
      <c r="E134" t="s">
        <v>768</v>
      </c>
      <c r="G134" s="8">
        <v>44872</v>
      </c>
      <c r="H134" s="8">
        <v>44872</v>
      </c>
      <c r="I134" t="s">
        <v>844</v>
      </c>
    </row>
    <row r="135" spans="1:9" x14ac:dyDescent="0.25">
      <c r="A135" t="s">
        <v>631</v>
      </c>
      <c r="B135" t="s">
        <v>632</v>
      </c>
      <c r="C135" t="s">
        <v>771</v>
      </c>
      <c r="D135" t="s">
        <v>631</v>
      </c>
      <c r="E135" t="s">
        <v>768</v>
      </c>
      <c r="G135" s="8">
        <v>44872</v>
      </c>
      <c r="H135" s="8">
        <v>44872</v>
      </c>
      <c r="I135" t="s">
        <v>844</v>
      </c>
    </row>
    <row r="136" spans="1:9" x14ac:dyDescent="0.25">
      <c r="A136" t="s">
        <v>624</v>
      </c>
      <c r="B136" t="s">
        <v>625</v>
      </c>
      <c r="C136" t="s">
        <v>771</v>
      </c>
      <c r="D136" t="s">
        <v>624</v>
      </c>
      <c r="E136" t="s">
        <v>768</v>
      </c>
      <c r="G136" s="8">
        <v>44872</v>
      </c>
      <c r="H136" s="8">
        <v>44872</v>
      </c>
      <c r="I136" t="s">
        <v>844</v>
      </c>
    </row>
    <row r="137" spans="1:9" x14ac:dyDescent="0.25">
      <c r="A137" t="s">
        <v>846</v>
      </c>
      <c r="B137" t="s">
        <v>576</v>
      </c>
      <c r="C137" t="s">
        <v>767</v>
      </c>
      <c r="D137" t="s">
        <v>846</v>
      </c>
      <c r="E137" t="s">
        <v>817</v>
      </c>
      <c r="G137" s="8">
        <v>44872</v>
      </c>
      <c r="H137" s="8">
        <v>44872</v>
      </c>
    </row>
    <row r="138" spans="1:9" x14ac:dyDescent="0.25">
      <c r="A138" t="s">
        <v>626</v>
      </c>
      <c r="B138" t="s">
        <v>576</v>
      </c>
      <c r="C138" t="s">
        <v>771</v>
      </c>
      <c r="D138" t="s">
        <v>626</v>
      </c>
      <c r="E138" t="s">
        <v>817</v>
      </c>
      <c r="G138" s="8">
        <v>44872</v>
      </c>
      <c r="H138" s="8">
        <v>44872</v>
      </c>
      <c r="I138" t="s">
        <v>846</v>
      </c>
    </row>
    <row r="139" spans="1:9" x14ac:dyDescent="0.25">
      <c r="A139" t="s">
        <v>847</v>
      </c>
      <c r="B139" t="s">
        <v>634</v>
      </c>
      <c r="C139" t="s">
        <v>767</v>
      </c>
      <c r="D139" t="s">
        <v>847</v>
      </c>
      <c r="E139" t="s">
        <v>817</v>
      </c>
      <c r="G139" s="8">
        <v>44872</v>
      </c>
      <c r="H139" s="8">
        <v>44872</v>
      </c>
    </row>
    <row r="140" spans="1:9" x14ac:dyDescent="0.25">
      <c r="A140" t="s">
        <v>633</v>
      </c>
      <c r="B140" t="s">
        <v>634</v>
      </c>
      <c r="C140" t="s">
        <v>771</v>
      </c>
      <c r="D140" t="s">
        <v>633</v>
      </c>
      <c r="E140" t="s">
        <v>817</v>
      </c>
      <c r="G140" s="8">
        <v>44872</v>
      </c>
      <c r="H140" s="8">
        <v>44872</v>
      </c>
      <c r="I140" t="s">
        <v>847</v>
      </c>
    </row>
    <row r="141" spans="1:9" x14ac:dyDescent="0.25">
      <c r="A141" t="s">
        <v>848</v>
      </c>
      <c r="B141" t="s">
        <v>636</v>
      </c>
      <c r="C141" t="s">
        <v>767</v>
      </c>
      <c r="D141" t="s">
        <v>848</v>
      </c>
      <c r="E141" t="s">
        <v>768</v>
      </c>
      <c r="G141" s="8">
        <v>44872</v>
      </c>
      <c r="H141" s="8">
        <v>44872</v>
      </c>
    </row>
    <row r="142" spans="1:9" x14ac:dyDescent="0.25">
      <c r="A142" t="s">
        <v>635</v>
      </c>
      <c r="B142" t="s">
        <v>636</v>
      </c>
      <c r="C142" t="s">
        <v>771</v>
      </c>
      <c r="D142" t="s">
        <v>635</v>
      </c>
      <c r="E142" t="s">
        <v>768</v>
      </c>
      <c r="G142" s="8">
        <v>44872</v>
      </c>
      <c r="H142" s="8">
        <v>44872</v>
      </c>
      <c r="I142" t="s">
        <v>848</v>
      </c>
    </row>
    <row r="143" spans="1:9" x14ac:dyDescent="0.25">
      <c r="A143" t="s">
        <v>849</v>
      </c>
      <c r="B143" t="s">
        <v>630</v>
      </c>
      <c r="C143" t="s">
        <v>767</v>
      </c>
      <c r="D143" t="s">
        <v>849</v>
      </c>
      <c r="E143" t="s">
        <v>768</v>
      </c>
      <c r="G143" s="8">
        <v>44872</v>
      </c>
      <c r="H143" s="8">
        <v>44872</v>
      </c>
    </row>
    <row r="144" spans="1:9" x14ac:dyDescent="0.25">
      <c r="A144" t="s">
        <v>629</v>
      </c>
      <c r="B144" t="s">
        <v>630</v>
      </c>
      <c r="C144" t="s">
        <v>771</v>
      </c>
      <c r="D144" t="s">
        <v>629</v>
      </c>
      <c r="E144" t="s">
        <v>768</v>
      </c>
      <c r="G144" s="8">
        <v>44872</v>
      </c>
      <c r="H144" s="8">
        <v>44872</v>
      </c>
      <c r="I144" t="s">
        <v>849</v>
      </c>
    </row>
    <row r="145" spans="1:9" x14ac:dyDescent="0.25">
      <c r="A145" t="s">
        <v>850</v>
      </c>
      <c r="B145" t="s">
        <v>851</v>
      </c>
      <c r="C145" t="s">
        <v>767</v>
      </c>
      <c r="D145" t="s">
        <v>850</v>
      </c>
      <c r="E145" t="s">
        <v>768</v>
      </c>
      <c r="G145" s="8">
        <v>44872</v>
      </c>
      <c r="H145" s="8">
        <v>44872</v>
      </c>
    </row>
    <row r="146" spans="1:9" x14ac:dyDescent="0.25">
      <c r="A146" t="s">
        <v>637</v>
      </c>
      <c r="B146" t="s">
        <v>638</v>
      </c>
      <c r="C146" t="s">
        <v>771</v>
      </c>
      <c r="D146" t="s">
        <v>637</v>
      </c>
      <c r="E146" t="s">
        <v>768</v>
      </c>
      <c r="G146" s="8">
        <v>44872</v>
      </c>
      <c r="H146" s="8">
        <v>44872</v>
      </c>
      <c r="I146" t="s">
        <v>852</v>
      </c>
    </row>
    <row r="147" spans="1:9" x14ac:dyDescent="0.25">
      <c r="A147" t="s">
        <v>639</v>
      </c>
      <c r="B147" t="s">
        <v>640</v>
      </c>
      <c r="C147" t="s">
        <v>771</v>
      </c>
      <c r="D147" t="s">
        <v>639</v>
      </c>
      <c r="E147" t="s">
        <v>768</v>
      </c>
      <c r="G147" s="8">
        <v>44872</v>
      </c>
      <c r="H147" s="8">
        <v>44872</v>
      </c>
      <c r="I147" t="s">
        <v>853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EF489-14EE-482D-B79B-43B1F3D2936E}">
  <sheetPr filterMode="1"/>
  <dimension ref="A1:AB3875"/>
  <sheetViews>
    <sheetView showGridLines="0" zoomScale="80" zoomScaleNormal="80" workbookViewId="0">
      <pane xSplit="1" ySplit="1" topLeftCell="B126" activePane="bottomRight" state="frozen"/>
      <selection pane="topRight" activeCell="B1" sqref="B1"/>
      <selection pane="bottomLeft" activeCell="A2" sqref="A2"/>
      <selection pane="bottomRight" activeCell="D126" sqref="D126:D140"/>
    </sheetView>
  </sheetViews>
  <sheetFormatPr defaultRowHeight="15" x14ac:dyDescent="0.25"/>
  <cols>
    <col min="1" max="1" width="43.5703125" style="11" bestFit="1" customWidth="1"/>
    <col min="2" max="2" width="43.5703125" style="11" customWidth="1"/>
    <col min="3" max="3" width="17.28515625" style="11" bestFit="1" customWidth="1"/>
    <col min="4" max="4" width="17.28515625" style="11" customWidth="1"/>
    <col min="5" max="5" width="14.28515625" bestFit="1" customWidth="1"/>
    <col min="6" max="6" width="5.5703125" bestFit="1" customWidth="1"/>
    <col min="7" max="7" width="15.7109375" bestFit="1" customWidth="1"/>
    <col min="8" max="8" width="11.7109375" bestFit="1" customWidth="1"/>
    <col min="9" max="9" width="7.85546875" bestFit="1" customWidth="1"/>
    <col min="10" max="10" width="10.140625" bestFit="1" customWidth="1"/>
    <col min="11" max="11" width="9.42578125" bestFit="1" customWidth="1"/>
    <col min="12" max="12" width="11.28515625" bestFit="1" customWidth="1"/>
    <col min="13" max="13" width="72.140625" customWidth="1"/>
    <col min="14" max="14" width="14.85546875" bestFit="1" customWidth="1"/>
    <col min="15" max="15" width="10.140625" bestFit="1" customWidth="1"/>
    <col min="16" max="16" width="9" bestFit="1" customWidth="1"/>
    <col min="17" max="17" width="13.7109375" bestFit="1" customWidth="1"/>
    <col min="18" max="22" width="14.85546875" bestFit="1" customWidth="1"/>
    <col min="23" max="23" width="7.85546875" bestFit="1" customWidth="1"/>
    <col min="24" max="24" width="14.85546875" bestFit="1" customWidth="1"/>
    <col min="25" max="25" width="13.7109375" bestFit="1" customWidth="1"/>
    <col min="26" max="27" width="14.85546875" bestFit="1" customWidth="1"/>
    <col min="28" max="28" width="11.28515625" bestFit="1" customWidth="1"/>
  </cols>
  <sheetData>
    <row r="1" spans="1:28" ht="15.75" x14ac:dyDescent="0.3">
      <c r="A1" s="11" t="s">
        <v>742</v>
      </c>
      <c r="B1" s="11" t="s">
        <v>4333</v>
      </c>
      <c r="C1" s="11" t="s">
        <v>4398</v>
      </c>
      <c r="D1" s="11" t="s">
        <v>4399</v>
      </c>
      <c r="E1" s="12" t="s">
        <v>0</v>
      </c>
      <c r="F1" s="12" t="s">
        <v>1</v>
      </c>
      <c r="G1" s="12" t="s">
        <v>2</v>
      </c>
      <c r="H1" s="12" t="s">
        <v>3</v>
      </c>
      <c r="I1" s="12" t="s">
        <v>4</v>
      </c>
      <c r="J1" s="12" t="s">
        <v>5</v>
      </c>
      <c r="K1" s="12" t="s">
        <v>6</v>
      </c>
      <c r="L1" s="12" t="s">
        <v>7</v>
      </c>
      <c r="M1" s="12" t="s">
        <v>8</v>
      </c>
      <c r="N1" s="12" t="s">
        <v>9</v>
      </c>
      <c r="O1" s="12" t="s">
        <v>10</v>
      </c>
      <c r="P1" s="12" t="s">
        <v>11</v>
      </c>
      <c r="Q1" s="12" t="s">
        <v>12</v>
      </c>
      <c r="R1" s="12" t="s">
        <v>13</v>
      </c>
      <c r="S1" s="12" t="s">
        <v>14</v>
      </c>
      <c r="T1" s="12" t="s">
        <v>15</v>
      </c>
      <c r="U1" s="12" t="s">
        <v>16</v>
      </c>
      <c r="V1" s="12" t="s">
        <v>17</v>
      </c>
      <c r="W1" s="12" t="s">
        <v>18</v>
      </c>
      <c r="X1" s="12" t="s">
        <v>19</v>
      </c>
      <c r="Y1" s="12" t="s">
        <v>20</v>
      </c>
      <c r="Z1" s="12" t="s">
        <v>21</v>
      </c>
      <c r="AA1" s="12" t="s">
        <v>22</v>
      </c>
      <c r="AB1" s="12" t="s">
        <v>23</v>
      </c>
    </row>
    <row r="2" spans="1:28" hidden="1" x14ac:dyDescent="0.25">
      <c r="A2" s="7" t="str">
        <f>IFERROR(VLOOKUP(H2,'Contas Orç'!A:B,2,0),"N/A")</f>
        <v>PECAS E ACESSORIOS</v>
      </c>
      <c r="B2" s="7" t="str">
        <f>_xlfn.CONCAT(H2," - ",A2)</f>
        <v>320301004 - PECAS E ACESSORIOS</v>
      </c>
      <c r="C2" s="25">
        <f>DATE(YEAR(G2),MONTH(G2),1)</f>
        <v>44866</v>
      </c>
      <c r="D2" s="27">
        <f>IF(K2="CREDITO",Q2,Q2*-1)</f>
        <v>25</v>
      </c>
      <c r="E2" s="13" t="s">
        <v>24</v>
      </c>
      <c r="F2" s="13" t="s">
        <v>25</v>
      </c>
      <c r="G2" s="14">
        <v>44874</v>
      </c>
      <c r="H2" s="13" t="s">
        <v>26</v>
      </c>
      <c r="I2" s="13" t="s">
        <v>27</v>
      </c>
      <c r="J2" s="13" t="s">
        <v>28</v>
      </c>
      <c r="K2" s="13" t="s">
        <v>29</v>
      </c>
      <c r="L2" s="13" t="s">
        <v>30</v>
      </c>
      <c r="M2" s="13" t="s">
        <v>31</v>
      </c>
      <c r="N2" s="13"/>
      <c r="O2" s="13" t="s">
        <v>32</v>
      </c>
      <c r="P2" s="13" t="s">
        <v>33</v>
      </c>
      <c r="Q2" s="13">
        <v>25</v>
      </c>
      <c r="R2" s="13" t="s">
        <v>35</v>
      </c>
      <c r="S2" s="13" t="s">
        <v>35</v>
      </c>
      <c r="T2" s="13" t="s">
        <v>35</v>
      </c>
      <c r="U2" s="13" t="s">
        <v>35</v>
      </c>
      <c r="V2" s="13" t="s">
        <v>36</v>
      </c>
      <c r="W2" s="13"/>
      <c r="X2" s="13" t="s">
        <v>27</v>
      </c>
      <c r="Y2" s="13" t="s">
        <v>28</v>
      </c>
      <c r="Z2" s="13"/>
      <c r="AA2" s="13"/>
      <c r="AB2" s="13" t="s">
        <v>37</v>
      </c>
    </row>
    <row r="3" spans="1:28" hidden="1" x14ac:dyDescent="0.25">
      <c r="A3" s="7" t="str">
        <f>IFERROR(VLOOKUP(H3,'Contas Orç'!A:B,2,0),"N/A")</f>
        <v>PECAS E ACESSORIOS</v>
      </c>
      <c r="B3" s="7" t="str">
        <f t="shared" ref="B3:B66" si="0">_xlfn.CONCAT(H3," - ",A3)</f>
        <v>330301004 - PECAS E ACESSORIOS</v>
      </c>
      <c r="C3" s="25">
        <f t="shared" ref="C3:C66" si="1">DATE(YEAR(G3),MONTH(G3),1)</f>
        <v>44866</v>
      </c>
      <c r="D3" s="27">
        <f>IF(K3="CREDITO",Q3,Q3*-1)</f>
        <v>25</v>
      </c>
      <c r="E3" s="13" t="s">
        <v>24</v>
      </c>
      <c r="F3" s="13" t="s">
        <v>38</v>
      </c>
      <c r="G3" s="14">
        <v>44874</v>
      </c>
      <c r="H3" s="13" t="s">
        <v>39</v>
      </c>
      <c r="I3" s="13" t="s">
        <v>40</v>
      </c>
      <c r="J3" s="13" t="s">
        <v>28</v>
      </c>
      <c r="K3" s="13" t="s">
        <v>29</v>
      </c>
      <c r="L3" s="13" t="s">
        <v>30</v>
      </c>
      <c r="M3" s="13" t="s">
        <v>41</v>
      </c>
      <c r="N3" s="13"/>
      <c r="O3" s="13" t="s">
        <v>32</v>
      </c>
      <c r="P3" s="13" t="s">
        <v>33</v>
      </c>
      <c r="Q3" s="13">
        <v>25</v>
      </c>
      <c r="R3" s="13" t="s">
        <v>35</v>
      </c>
      <c r="S3" s="13" t="s">
        <v>35</v>
      </c>
      <c r="T3" s="13" t="s">
        <v>35</v>
      </c>
      <c r="U3" s="13" t="s">
        <v>35</v>
      </c>
      <c r="V3" s="13" t="s">
        <v>36</v>
      </c>
      <c r="W3" s="13"/>
      <c r="X3" s="13" t="s">
        <v>40</v>
      </c>
      <c r="Y3" s="13" t="s">
        <v>28</v>
      </c>
      <c r="Z3" s="13"/>
      <c r="AA3" s="13"/>
      <c r="AB3" s="13" t="s">
        <v>37</v>
      </c>
    </row>
    <row r="4" spans="1:28" hidden="1" x14ac:dyDescent="0.25">
      <c r="A4" s="7" t="str">
        <f>IFERROR(VLOOKUP(H4,'Contas Orç'!A:B,2,0),"N/A")</f>
        <v>PECAS E ACESSORIOS</v>
      </c>
      <c r="B4" s="7" t="str">
        <f t="shared" si="0"/>
        <v>320301004 - PECAS E ACESSORIOS</v>
      </c>
      <c r="C4" s="25">
        <f t="shared" si="1"/>
        <v>44866</v>
      </c>
      <c r="D4" s="27">
        <f>IF(K4="CREDITO",Q4,Q4*-1)</f>
        <v>25</v>
      </c>
      <c r="E4" s="13" t="s">
        <v>42</v>
      </c>
      <c r="F4" s="13" t="s">
        <v>25</v>
      </c>
      <c r="G4" s="14">
        <v>44874</v>
      </c>
      <c r="H4" s="13" t="s">
        <v>26</v>
      </c>
      <c r="I4" s="13" t="s">
        <v>27</v>
      </c>
      <c r="J4" s="13" t="s">
        <v>28</v>
      </c>
      <c r="K4" s="13" t="s">
        <v>29</v>
      </c>
      <c r="L4" s="13" t="s">
        <v>43</v>
      </c>
      <c r="M4" s="13" t="s">
        <v>44</v>
      </c>
      <c r="N4" s="13"/>
      <c r="O4" s="13" t="s">
        <v>45</v>
      </c>
      <c r="P4" s="13" t="s">
        <v>33</v>
      </c>
      <c r="Q4" s="13">
        <v>25</v>
      </c>
      <c r="R4" s="13" t="s">
        <v>35</v>
      </c>
      <c r="S4" s="13" t="s">
        <v>35</v>
      </c>
      <c r="T4" s="13" t="s">
        <v>35</v>
      </c>
      <c r="U4" s="13" t="s">
        <v>35</v>
      </c>
      <c r="V4" s="13"/>
      <c r="W4" s="13"/>
      <c r="X4" s="13" t="s">
        <v>27</v>
      </c>
      <c r="Y4" s="13" t="s">
        <v>28</v>
      </c>
      <c r="Z4" s="13"/>
      <c r="AA4" s="13"/>
      <c r="AB4" s="13" t="s">
        <v>37</v>
      </c>
    </row>
    <row r="5" spans="1:28" hidden="1" x14ac:dyDescent="0.25">
      <c r="A5" s="7" t="str">
        <f>IFERROR(VLOOKUP(H5,'Contas Orç'!A:B,2,0),"N/A")</f>
        <v>PECAS E ACESSORIOS</v>
      </c>
      <c r="B5" s="7" t="str">
        <f t="shared" si="0"/>
        <v>320301004 - PECAS E ACESSORIOS</v>
      </c>
      <c r="C5" s="25">
        <f t="shared" si="1"/>
        <v>44866</v>
      </c>
      <c r="D5" s="27">
        <f>IF(K5="CREDITO",Q5,Q5*-1)</f>
        <v>-25</v>
      </c>
      <c r="E5" s="13" t="s">
        <v>42</v>
      </c>
      <c r="F5" s="13" t="s">
        <v>38</v>
      </c>
      <c r="G5" s="14">
        <v>44874</v>
      </c>
      <c r="H5" s="13" t="s">
        <v>26</v>
      </c>
      <c r="I5" s="13" t="s">
        <v>27</v>
      </c>
      <c r="J5" s="13" t="s">
        <v>28</v>
      </c>
      <c r="K5" s="13" t="s">
        <v>46</v>
      </c>
      <c r="L5" s="13" t="s">
        <v>30</v>
      </c>
      <c r="M5" s="13" t="s">
        <v>47</v>
      </c>
      <c r="N5" s="13"/>
      <c r="O5" s="13" t="s">
        <v>45</v>
      </c>
      <c r="P5" s="13" t="s">
        <v>33</v>
      </c>
      <c r="Q5" s="13">
        <v>25</v>
      </c>
      <c r="R5" s="13" t="s">
        <v>35</v>
      </c>
      <c r="S5" s="13" t="s">
        <v>35</v>
      </c>
      <c r="T5" s="13" t="s">
        <v>35</v>
      </c>
      <c r="U5" s="13" t="s">
        <v>35</v>
      </c>
      <c r="V5" s="13"/>
      <c r="W5" s="13"/>
      <c r="X5" s="13" t="s">
        <v>27</v>
      </c>
      <c r="Y5" s="13" t="s">
        <v>28</v>
      </c>
      <c r="Z5" s="13"/>
      <c r="AA5" s="13"/>
      <c r="AB5" s="13" t="s">
        <v>37</v>
      </c>
    </row>
    <row r="6" spans="1:28" hidden="1" x14ac:dyDescent="0.25">
      <c r="A6" s="7" t="str">
        <f>IFERROR(VLOOKUP(H6,'Contas Orç'!A:B,2,0),"N/A")</f>
        <v>PECAS E ACESSORIOS</v>
      </c>
      <c r="B6" s="7" t="str">
        <f t="shared" si="0"/>
        <v>330301004 - PECAS E ACESSORIOS</v>
      </c>
      <c r="C6" s="25">
        <f t="shared" si="1"/>
        <v>44866</v>
      </c>
      <c r="D6" s="27">
        <f>IF(K6="CREDITO",Q6,Q6*-1)</f>
        <v>25</v>
      </c>
      <c r="E6" s="13" t="s">
        <v>42</v>
      </c>
      <c r="F6" s="13" t="s">
        <v>48</v>
      </c>
      <c r="G6" s="14">
        <v>44874</v>
      </c>
      <c r="H6" s="13" t="s">
        <v>39</v>
      </c>
      <c r="I6" s="13" t="s">
        <v>40</v>
      </c>
      <c r="J6" s="13" t="s">
        <v>28</v>
      </c>
      <c r="K6" s="13" t="s">
        <v>29</v>
      </c>
      <c r="L6" s="13" t="s">
        <v>43</v>
      </c>
      <c r="M6" s="13" t="s">
        <v>49</v>
      </c>
      <c r="N6" s="13"/>
      <c r="O6" s="13" t="s">
        <v>45</v>
      </c>
      <c r="P6" s="13" t="s">
        <v>33</v>
      </c>
      <c r="Q6" s="13">
        <v>25</v>
      </c>
      <c r="R6" s="13" t="s">
        <v>35</v>
      </c>
      <c r="S6" s="13" t="s">
        <v>35</v>
      </c>
      <c r="T6" s="13" t="s">
        <v>35</v>
      </c>
      <c r="U6" s="13" t="s">
        <v>35</v>
      </c>
      <c r="V6" s="13"/>
      <c r="W6" s="13"/>
      <c r="X6" s="13" t="s">
        <v>40</v>
      </c>
      <c r="Y6" s="13" t="s">
        <v>28</v>
      </c>
      <c r="Z6" s="13"/>
      <c r="AA6" s="13"/>
      <c r="AB6" s="13" t="s">
        <v>37</v>
      </c>
    </row>
    <row r="7" spans="1:28" hidden="1" x14ac:dyDescent="0.25">
      <c r="A7" s="7" t="str">
        <f>IFERROR(VLOOKUP(H7,'Contas Orç'!A:B,2,0),"N/A")</f>
        <v>PECAS E ACESSORIOS</v>
      </c>
      <c r="B7" s="7" t="str">
        <f t="shared" si="0"/>
        <v>330301004 - PECAS E ACESSORIOS</v>
      </c>
      <c r="C7" s="25">
        <f t="shared" si="1"/>
        <v>44866</v>
      </c>
      <c r="D7" s="27">
        <f>IF(K7="CREDITO",Q7,Q7*-1)</f>
        <v>-25</v>
      </c>
      <c r="E7" s="13" t="s">
        <v>42</v>
      </c>
      <c r="F7" s="13" t="s">
        <v>50</v>
      </c>
      <c r="G7" s="14">
        <v>44874</v>
      </c>
      <c r="H7" s="13" t="s">
        <v>39</v>
      </c>
      <c r="I7" s="13" t="s">
        <v>40</v>
      </c>
      <c r="J7" s="13" t="s">
        <v>28</v>
      </c>
      <c r="K7" s="13" t="s">
        <v>46</v>
      </c>
      <c r="L7" s="13" t="s">
        <v>30</v>
      </c>
      <c r="M7" s="13" t="s">
        <v>51</v>
      </c>
      <c r="N7" s="13"/>
      <c r="O7" s="13" t="s">
        <v>45</v>
      </c>
      <c r="P7" s="13" t="s">
        <v>33</v>
      </c>
      <c r="Q7" s="13">
        <v>25</v>
      </c>
      <c r="R7" s="13" t="s">
        <v>35</v>
      </c>
      <c r="S7" s="13" t="s">
        <v>35</v>
      </c>
      <c r="T7" s="13" t="s">
        <v>35</v>
      </c>
      <c r="U7" s="13" t="s">
        <v>35</v>
      </c>
      <c r="V7" s="13"/>
      <c r="W7" s="13"/>
      <c r="X7" s="13" t="s">
        <v>40</v>
      </c>
      <c r="Y7" s="13" t="s">
        <v>28</v>
      </c>
      <c r="Z7" s="13"/>
      <c r="AA7" s="13"/>
      <c r="AB7" s="13" t="s">
        <v>37</v>
      </c>
    </row>
    <row r="8" spans="1:28" hidden="1" x14ac:dyDescent="0.25">
      <c r="A8" s="7" t="str">
        <f>IFERROR(VLOOKUP(H8,'Contas Orç'!A:B,2,0),"N/A")</f>
        <v>PECAS E ACESSORIOS</v>
      </c>
      <c r="B8" s="7" t="str">
        <f t="shared" si="0"/>
        <v>320301004 - PECAS E ACESSORIOS</v>
      </c>
      <c r="C8" s="25">
        <f t="shared" si="1"/>
        <v>44866</v>
      </c>
      <c r="D8" s="27">
        <f>IF(K8="CREDITO",Q8,Q8*-1)</f>
        <v>345</v>
      </c>
      <c r="E8" s="13" t="s">
        <v>52</v>
      </c>
      <c r="F8" s="13" t="s">
        <v>25</v>
      </c>
      <c r="G8" s="14">
        <v>44876</v>
      </c>
      <c r="H8" s="13" t="s">
        <v>26</v>
      </c>
      <c r="I8" s="13" t="s">
        <v>53</v>
      </c>
      <c r="J8" s="13" t="s">
        <v>54</v>
      </c>
      <c r="K8" s="13" t="s">
        <v>29</v>
      </c>
      <c r="L8" s="13" t="s">
        <v>30</v>
      </c>
      <c r="M8" s="13" t="s">
        <v>55</v>
      </c>
      <c r="N8" s="13"/>
      <c r="O8" s="13" t="s">
        <v>56</v>
      </c>
      <c r="P8" s="13" t="s">
        <v>33</v>
      </c>
      <c r="Q8" s="13">
        <v>345</v>
      </c>
      <c r="R8" s="13" t="s">
        <v>35</v>
      </c>
      <c r="S8" s="13" t="s">
        <v>35</v>
      </c>
      <c r="T8" s="13" t="s">
        <v>35</v>
      </c>
      <c r="U8" s="13" t="s">
        <v>35</v>
      </c>
      <c r="V8" s="13" t="s">
        <v>36</v>
      </c>
      <c r="W8" s="13"/>
      <c r="X8" s="13"/>
      <c r="Y8" s="13" t="s">
        <v>54</v>
      </c>
      <c r="Z8" s="13"/>
      <c r="AA8" s="13"/>
      <c r="AB8" s="13" t="s">
        <v>37</v>
      </c>
    </row>
    <row r="9" spans="1:28" hidden="1" x14ac:dyDescent="0.25">
      <c r="A9" s="7" t="str">
        <f>IFERROR(VLOOKUP(H9,'Contas Orç'!A:B,2,0),"N/A")</f>
        <v>N/A</v>
      </c>
      <c r="B9" s="7" t="str">
        <f t="shared" si="0"/>
        <v xml:space="preserve"> - N/A</v>
      </c>
      <c r="C9" s="25">
        <f t="shared" si="1"/>
        <v>44866</v>
      </c>
      <c r="D9" s="27">
        <f>IF(K9="CREDITO",Q9,Q9*-1)</f>
        <v>170000</v>
      </c>
      <c r="E9" s="13" t="s">
        <v>58</v>
      </c>
      <c r="F9" s="13" t="s">
        <v>25</v>
      </c>
      <c r="G9" s="14">
        <v>44879</v>
      </c>
      <c r="H9" s="13"/>
      <c r="I9" s="13" t="s">
        <v>59</v>
      </c>
      <c r="J9" s="13" t="s">
        <v>60</v>
      </c>
      <c r="K9" s="13" t="s">
        <v>29</v>
      </c>
      <c r="L9" s="13" t="s">
        <v>30</v>
      </c>
      <c r="M9" s="13" t="s">
        <v>61</v>
      </c>
      <c r="N9" s="13"/>
      <c r="O9" s="13" t="s">
        <v>56</v>
      </c>
      <c r="P9" s="13" t="s">
        <v>62</v>
      </c>
      <c r="Q9" s="23">
        <v>170000</v>
      </c>
      <c r="R9" s="13" t="s">
        <v>35</v>
      </c>
      <c r="S9" s="13" t="s">
        <v>35</v>
      </c>
      <c r="T9" s="13" t="s">
        <v>35</v>
      </c>
      <c r="U9" s="13" t="s">
        <v>35</v>
      </c>
      <c r="V9" s="13"/>
      <c r="W9" s="13"/>
      <c r="X9" s="13" t="s">
        <v>59</v>
      </c>
      <c r="Y9" s="13" t="s">
        <v>60</v>
      </c>
      <c r="Z9" s="13"/>
      <c r="AA9" s="13"/>
      <c r="AB9" s="13" t="s">
        <v>37</v>
      </c>
    </row>
    <row r="10" spans="1:28" hidden="1" x14ac:dyDescent="0.25">
      <c r="A10" s="7" t="str">
        <f>IFERROR(VLOOKUP(H10,'Contas Orç'!A:B,2,0),"N/A")</f>
        <v>N/A</v>
      </c>
      <c r="B10" s="7" t="str">
        <f t="shared" si="0"/>
        <v xml:space="preserve"> - N/A</v>
      </c>
      <c r="C10" s="25">
        <f t="shared" si="1"/>
        <v>44866</v>
      </c>
      <c r="D10" s="27">
        <f>IF(K10="CREDITO",Q10,Q10*-1)</f>
        <v>172000</v>
      </c>
      <c r="E10" s="13" t="s">
        <v>58</v>
      </c>
      <c r="F10" s="13" t="s">
        <v>38</v>
      </c>
      <c r="G10" s="14">
        <v>44879</v>
      </c>
      <c r="H10" s="13"/>
      <c r="I10" s="13" t="s">
        <v>59</v>
      </c>
      <c r="J10" s="13" t="s">
        <v>60</v>
      </c>
      <c r="K10" s="13" t="s">
        <v>29</v>
      </c>
      <c r="L10" s="13" t="s">
        <v>30</v>
      </c>
      <c r="M10" s="13" t="s">
        <v>64</v>
      </c>
      <c r="N10" s="13"/>
      <c r="O10" s="13" t="s">
        <v>56</v>
      </c>
      <c r="P10" s="13" t="s">
        <v>62</v>
      </c>
      <c r="Q10" s="23">
        <v>172000</v>
      </c>
      <c r="R10" s="13" t="s">
        <v>35</v>
      </c>
      <c r="S10" s="13" t="s">
        <v>35</v>
      </c>
      <c r="T10" s="13" t="s">
        <v>35</v>
      </c>
      <c r="U10" s="13" t="s">
        <v>35</v>
      </c>
      <c r="V10" s="13"/>
      <c r="W10" s="13"/>
      <c r="X10" s="13" t="s">
        <v>59</v>
      </c>
      <c r="Y10" s="13" t="s">
        <v>60</v>
      </c>
      <c r="Z10" s="13"/>
      <c r="AA10" s="13"/>
      <c r="AB10" s="13" t="s">
        <v>37</v>
      </c>
    </row>
    <row r="11" spans="1:28" hidden="1" x14ac:dyDescent="0.25">
      <c r="A11" s="7" t="str">
        <f>IFERROR(VLOOKUP(H11,'Contas Orç'!A:B,2,0),"N/A")</f>
        <v>PJ-OUTROS SERVICOS CONTRATADOS-PJ</v>
      </c>
      <c r="B11" s="7" t="str">
        <f t="shared" si="0"/>
        <v>330201006 - PJ-OUTROS SERVICOS CONTRATADOS-PJ</v>
      </c>
      <c r="C11" s="25">
        <f t="shared" si="1"/>
        <v>44866</v>
      </c>
      <c r="D11" s="27">
        <f>IF(K11="CREDITO",Q11,Q11*-1)</f>
        <v>33809</v>
      </c>
      <c r="E11" s="13" t="s">
        <v>66</v>
      </c>
      <c r="F11" s="13" t="s">
        <v>25</v>
      </c>
      <c r="G11" s="14">
        <v>44879</v>
      </c>
      <c r="H11" s="13" t="s">
        <v>67</v>
      </c>
      <c r="I11" s="13" t="s">
        <v>68</v>
      </c>
      <c r="J11" s="13" t="s">
        <v>69</v>
      </c>
      <c r="K11" s="13" t="s">
        <v>29</v>
      </c>
      <c r="L11" s="13" t="s">
        <v>30</v>
      </c>
      <c r="M11" s="13" t="s">
        <v>70</v>
      </c>
      <c r="N11" s="13"/>
      <c r="O11" s="13" t="s">
        <v>56</v>
      </c>
      <c r="P11" s="13" t="s">
        <v>71</v>
      </c>
      <c r="Q11" s="23">
        <v>33809</v>
      </c>
      <c r="R11" s="13" t="s">
        <v>35</v>
      </c>
      <c r="S11" s="13" t="s">
        <v>35</v>
      </c>
      <c r="T11" s="13" t="s">
        <v>35</v>
      </c>
      <c r="U11" s="13" t="s">
        <v>35</v>
      </c>
      <c r="V11" s="13"/>
      <c r="W11" s="13"/>
      <c r="X11" s="13" t="s">
        <v>68</v>
      </c>
      <c r="Y11" s="13" t="s">
        <v>69</v>
      </c>
      <c r="Z11" s="13"/>
      <c r="AA11" s="13"/>
      <c r="AB11" s="13" t="s">
        <v>37</v>
      </c>
    </row>
    <row r="12" spans="1:28" hidden="1" x14ac:dyDescent="0.25">
      <c r="A12" s="7" t="str">
        <f>IFERROR(VLOOKUP(H12,'Contas Orç'!A:B,2,0),"N/A")</f>
        <v>BENEFICIOS</v>
      </c>
      <c r="B12" s="7" t="str">
        <f t="shared" si="0"/>
        <v>330103 - BENEFICIOS</v>
      </c>
      <c r="C12" s="25">
        <f t="shared" si="1"/>
        <v>44866</v>
      </c>
      <c r="D12" s="27">
        <f>IF(K12="CREDITO",Q12,Q12*-1)</f>
        <v>655</v>
      </c>
      <c r="E12" s="13" t="s">
        <v>73</v>
      </c>
      <c r="F12" s="13" t="s">
        <v>25</v>
      </c>
      <c r="G12" s="14">
        <v>44879</v>
      </c>
      <c r="H12" s="13" t="s">
        <v>74</v>
      </c>
      <c r="I12" s="13" t="s">
        <v>75</v>
      </c>
      <c r="J12" s="13" t="s">
        <v>54</v>
      </c>
      <c r="K12" s="13" t="s">
        <v>29</v>
      </c>
      <c r="L12" s="13" t="s">
        <v>30</v>
      </c>
      <c r="M12" s="13" t="s">
        <v>76</v>
      </c>
      <c r="N12" s="13"/>
      <c r="O12" s="13" t="s">
        <v>56</v>
      </c>
      <c r="P12" s="13" t="s">
        <v>71</v>
      </c>
      <c r="Q12" s="13">
        <v>655</v>
      </c>
      <c r="R12" s="13" t="s">
        <v>35</v>
      </c>
      <c r="S12" s="13" t="s">
        <v>35</v>
      </c>
      <c r="T12" s="13" t="s">
        <v>35</v>
      </c>
      <c r="U12" s="13" t="s">
        <v>35</v>
      </c>
      <c r="V12" s="13"/>
      <c r="W12" s="13"/>
      <c r="X12" s="13" t="s">
        <v>75</v>
      </c>
      <c r="Y12" s="13" t="s">
        <v>54</v>
      </c>
      <c r="Z12" s="13"/>
      <c r="AA12" s="13"/>
      <c r="AB12" s="13" t="s">
        <v>37</v>
      </c>
    </row>
    <row r="13" spans="1:28" hidden="1" x14ac:dyDescent="0.25">
      <c r="A13" s="7" t="str">
        <f>IFERROR(VLOOKUP(H13,'Contas Orç'!A:B,2,0),"N/A")</f>
        <v>BENEFICIOS</v>
      </c>
      <c r="B13" s="7" t="str">
        <f t="shared" si="0"/>
        <v>330103 - BENEFICIOS</v>
      </c>
      <c r="C13" s="25">
        <f t="shared" si="1"/>
        <v>44866</v>
      </c>
      <c r="D13" s="27">
        <f>IF(K13="CREDITO",Q13,Q13*-1)</f>
        <v>1267</v>
      </c>
      <c r="E13" s="13" t="s">
        <v>73</v>
      </c>
      <c r="F13" s="13" t="s">
        <v>38</v>
      </c>
      <c r="G13" s="14">
        <v>44879</v>
      </c>
      <c r="H13" s="13" t="s">
        <v>74</v>
      </c>
      <c r="I13" s="13" t="s">
        <v>78</v>
      </c>
      <c r="J13" s="13" t="s">
        <v>54</v>
      </c>
      <c r="K13" s="13" t="s">
        <v>29</v>
      </c>
      <c r="L13" s="13" t="s">
        <v>30</v>
      </c>
      <c r="M13" s="13" t="s">
        <v>79</v>
      </c>
      <c r="N13" s="13"/>
      <c r="O13" s="13" t="s">
        <v>56</v>
      </c>
      <c r="P13" s="13" t="s">
        <v>71</v>
      </c>
      <c r="Q13" s="23">
        <v>1267</v>
      </c>
      <c r="R13" s="13" t="s">
        <v>35</v>
      </c>
      <c r="S13" s="13" t="s">
        <v>35</v>
      </c>
      <c r="T13" s="13" t="s">
        <v>35</v>
      </c>
      <c r="U13" s="13" t="s">
        <v>35</v>
      </c>
      <c r="V13" s="13"/>
      <c r="W13" s="13"/>
      <c r="X13" s="13" t="s">
        <v>78</v>
      </c>
      <c r="Y13" s="13" t="s">
        <v>54</v>
      </c>
      <c r="Z13" s="13"/>
      <c r="AA13" s="13"/>
      <c r="AB13" s="13" t="s">
        <v>37</v>
      </c>
    </row>
    <row r="14" spans="1:28" hidden="1" x14ac:dyDescent="0.25">
      <c r="A14" s="7" t="str">
        <f>IFERROR(VLOOKUP(H14,'Contas Orç'!A:B,2,0),"N/A")</f>
        <v>BENEFICIOS</v>
      </c>
      <c r="B14" s="7" t="str">
        <f t="shared" si="0"/>
        <v>330103 - BENEFICIOS</v>
      </c>
      <c r="C14" s="25">
        <f t="shared" si="1"/>
        <v>44866</v>
      </c>
      <c r="D14" s="27">
        <f>IF(K14="CREDITO",Q14,Q14*-1)</f>
        <v>516</v>
      </c>
      <c r="E14" s="13" t="s">
        <v>73</v>
      </c>
      <c r="F14" s="13" t="s">
        <v>48</v>
      </c>
      <c r="G14" s="14">
        <v>44879</v>
      </c>
      <c r="H14" s="13" t="s">
        <v>74</v>
      </c>
      <c r="I14" s="13" t="s">
        <v>81</v>
      </c>
      <c r="J14" s="13" t="s">
        <v>54</v>
      </c>
      <c r="K14" s="13" t="s">
        <v>29</v>
      </c>
      <c r="L14" s="13" t="s">
        <v>30</v>
      </c>
      <c r="M14" s="13" t="s">
        <v>82</v>
      </c>
      <c r="N14" s="13"/>
      <c r="O14" s="13" t="s">
        <v>56</v>
      </c>
      <c r="P14" s="13" t="s">
        <v>71</v>
      </c>
      <c r="Q14" s="13">
        <v>516</v>
      </c>
      <c r="R14" s="13" t="s">
        <v>35</v>
      </c>
      <c r="S14" s="13" t="s">
        <v>35</v>
      </c>
      <c r="T14" s="13" t="s">
        <v>35</v>
      </c>
      <c r="U14" s="13" t="s">
        <v>35</v>
      </c>
      <c r="V14" s="13"/>
      <c r="W14" s="13"/>
      <c r="X14" s="13" t="s">
        <v>81</v>
      </c>
      <c r="Y14" s="13" t="s">
        <v>54</v>
      </c>
      <c r="Z14" s="13"/>
      <c r="AA14" s="13"/>
      <c r="AB14" s="13" t="s">
        <v>37</v>
      </c>
    </row>
    <row r="15" spans="1:28" hidden="1" x14ac:dyDescent="0.25">
      <c r="A15" s="7" t="str">
        <f>IFERROR(VLOOKUP(H15,'Contas Orç'!A:B,2,0),"N/A")</f>
        <v>BENEFICIOS</v>
      </c>
      <c r="B15" s="7" t="str">
        <f t="shared" si="0"/>
        <v>320103 - BENEFICIOS</v>
      </c>
      <c r="C15" s="25">
        <f t="shared" si="1"/>
        <v>44866</v>
      </c>
      <c r="D15" s="27">
        <f>IF(K15="CREDITO",Q15,Q15*-1)</f>
        <v>3874</v>
      </c>
      <c r="E15" s="13" t="s">
        <v>73</v>
      </c>
      <c r="F15" s="13" t="s">
        <v>50</v>
      </c>
      <c r="G15" s="14">
        <v>44879</v>
      </c>
      <c r="H15" s="13" t="s">
        <v>84</v>
      </c>
      <c r="I15" s="13" t="s">
        <v>53</v>
      </c>
      <c r="J15" s="13" t="s">
        <v>28</v>
      </c>
      <c r="K15" s="13" t="s">
        <v>29</v>
      </c>
      <c r="L15" s="13" t="s">
        <v>30</v>
      </c>
      <c r="M15" s="13" t="s">
        <v>85</v>
      </c>
      <c r="N15" s="13"/>
      <c r="O15" s="13" t="s">
        <v>56</v>
      </c>
      <c r="P15" s="13" t="s">
        <v>71</v>
      </c>
      <c r="Q15" s="23">
        <v>3874</v>
      </c>
      <c r="R15" s="13" t="s">
        <v>35</v>
      </c>
      <c r="S15" s="13" t="s">
        <v>35</v>
      </c>
      <c r="T15" s="13" t="s">
        <v>35</v>
      </c>
      <c r="U15" s="13" t="s">
        <v>35</v>
      </c>
      <c r="V15" s="13"/>
      <c r="W15" s="13"/>
      <c r="X15" s="13" t="s">
        <v>53</v>
      </c>
      <c r="Y15" s="13" t="s">
        <v>28</v>
      </c>
      <c r="Z15" s="13"/>
      <c r="AA15" s="13"/>
      <c r="AB15" s="13" t="s">
        <v>37</v>
      </c>
    </row>
    <row r="16" spans="1:28" hidden="1" x14ac:dyDescent="0.25">
      <c r="A16" s="7" t="str">
        <f>IFERROR(VLOOKUP(H16,'Contas Orç'!A:B,2,0),"N/A")</f>
        <v>BENEFICIOS</v>
      </c>
      <c r="B16" s="7" t="str">
        <f t="shared" si="0"/>
        <v>320103 - BENEFICIOS</v>
      </c>
      <c r="C16" s="25">
        <f t="shared" si="1"/>
        <v>44866</v>
      </c>
      <c r="D16" s="27">
        <f>IF(K16="CREDITO",Q16,Q16*-1)</f>
        <v>4905</v>
      </c>
      <c r="E16" s="13" t="s">
        <v>73</v>
      </c>
      <c r="F16" s="13" t="s">
        <v>87</v>
      </c>
      <c r="G16" s="14">
        <v>44879</v>
      </c>
      <c r="H16" s="13" t="s">
        <v>84</v>
      </c>
      <c r="I16" s="13" t="s">
        <v>88</v>
      </c>
      <c r="J16" s="13" t="s">
        <v>28</v>
      </c>
      <c r="K16" s="13" t="s">
        <v>29</v>
      </c>
      <c r="L16" s="13" t="s">
        <v>30</v>
      </c>
      <c r="M16" s="13" t="s">
        <v>89</v>
      </c>
      <c r="N16" s="13"/>
      <c r="O16" s="13" t="s">
        <v>56</v>
      </c>
      <c r="P16" s="13" t="s">
        <v>71</v>
      </c>
      <c r="Q16" s="23">
        <v>4905</v>
      </c>
      <c r="R16" s="13" t="s">
        <v>35</v>
      </c>
      <c r="S16" s="13" t="s">
        <v>35</v>
      </c>
      <c r="T16" s="13" t="s">
        <v>35</v>
      </c>
      <c r="U16" s="13" t="s">
        <v>35</v>
      </c>
      <c r="V16" s="13"/>
      <c r="W16" s="13"/>
      <c r="X16" s="13" t="s">
        <v>88</v>
      </c>
      <c r="Y16" s="13" t="s">
        <v>28</v>
      </c>
      <c r="Z16" s="13"/>
      <c r="AA16" s="13"/>
      <c r="AB16" s="13" t="s">
        <v>37</v>
      </c>
    </row>
    <row r="17" spans="1:28" hidden="1" x14ac:dyDescent="0.25">
      <c r="A17" s="7" t="str">
        <f>IFERROR(VLOOKUP(H17,'Contas Orç'!A:B,2,0),"N/A")</f>
        <v>BENEFICIOS</v>
      </c>
      <c r="B17" s="7" t="str">
        <f t="shared" si="0"/>
        <v>320103 - BENEFICIOS</v>
      </c>
      <c r="C17" s="25">
        <f t="shared" si="1"/>
        <v>44866</v>
      </c>
      <c r="D17" s="27">
        <f>IF(K17="CREDITO",Q17,Q17*-1)</f>
        <v>11568</v>
      </c>
      <c r="E17" s="13" t="s">
        <v>73</v>
      </c>
      <c r="F17" s="13" t="s">
        <v>91</v>
      </c>
      <c r="G17" s="14">
        <v>44879</v>
      </c>
      <c r="H17" s="13" t="s">
        <v>84</v>
      </c>
      <c r="I17" s="13" t="s">
        <v>27</v>
      </c>
      <c r="J17" s="13" t="s">
        <v>60</v>
      </c>
      <c r="K17" s="13" t="s">
        <v>29</v>
      </c>
      <c r="L17" s="13" t="s">
        <v>30</v>
      </c>
      <c r="M17" s="13" t="s">
        <v>92</v>
      </c>
      <c r="N17" s="13"/>
      <c r="O17" s="13" t="s">
        <v>56</v>
      </c>
      <c r="P17" s="13" t="s">
        <v>71</v>
      </c>
      <c r="Q17" s="23">
        <v>11568</v>
      </c>
      <c r="R17" s="13" t="s">
        <v>35</v>
      </c>
      <c r="S17" s="13" t="s">
        <v>35</v>
      </c>
      <c r="T17" s="13" t="s">
        <v>35</v>
      </c>
      <c r="U17" s="13" t="s">
        <v>35</v>
      </c>
      <c r="V17" s="13"/>
      <c r="W17" s="13"/>
      <c r="X17" s="13" t="s">
        <v>27</v>
      </c>
      <c r="Y17" s="13" t="s">
        <v>60</v>
      </c>
      <c r="Z17" s="13"/>
      <c r="AA17" s="13"/>
      <c r="AB17" s="13" t="s">
        <v>37</v>
      </c>
    </row>
    <row r="18" spans="1:28" hidden="1" x14ac:dyDescent="0.25">
      <c r="A18" s="7" t="str">
        <f>IFERROR(VLOOKUP(H18,'Contas Orç'!A:B,2,0),"N/A")</f>
        <v>BENEFICIOS</v>
      </c>
      <c r="B18" s="7" t="str">
        <f t="shared" si="0"/>
        <v>320103 - BENEFICIOS</v>
      </c>
      <c r="C18" s="25">
        <f t="shared" si="1"/>
        <v>44866</v>
      </c>
      <c r="D18" s="27">
        <f>IF(K18="CREDITO",Q18,Q18*-1)</f>
        <v>608</v>
      </c>
      <c r="E18" s="13" t="s">
        <v>73</v>
      </c>
      <c r="F18" s="13" t="s">
        <v>94</v>
      </c>
      <c r="G18" s="14">
        <v>44879</v>
      </c>
      <c r="H18" s="13" t="s">
        <v>84</v>
      </c>
      <c r="I18" s="13" t="s">
        <v>59</v>
      </c>
      <c r="J18" s="13" t="s">
        <v>95</v>
      </c>
      <c r="K18" s="13" t="s">
        <v>29</v>
      </c>
      <c r="L18" s="13" t="s">
        <v>30</v>
      </c>
      <c r="M18" s="13" t="s">
        <v>96</v>
      </c>
      <c r="N18" s="13"/>
      <c r="O18" s="13" t="s">
        <v>56</v>
      </c>
      <c r="P18" s="13" t="s">
        <v>71</v>
      </c>
      <c r="Q18" s="13">
        <v>608</v>
      </c>
      <c r="R18" s="13" t="s">
        <v>35</v>
      </c>
      <c r="S18" s="13" t="s">
        <v>35</v>
      </c>
      <c r="T18" s="13" t="s">
        <v>35</v>
      </c>
      <c r="U18" s="13" t="s">
        <v>35</v>
      </c>
      <c r="V18" s="13"/>
      <c r="W18" s="13"/>
      <c r="X18" s="13" t="s">
        <v>59</v>
      </c>
      <c r="Y18" s="13" t="s">
        <v>95</v>
      </c>
      <c r="Z18" s="13"/>
      <c r="AA18" s="13"/>
      <c r="AB18" s="13" t="s">
        <v>37</v>
      </c>
    </row>
    <row r="19" spans="1:28" hidden="1" x14ac:dyDescent="0.25">
      <c r="A19" s="7" t="str">
        <f>IFERROR(VLOOKUP(H19,'Contas Orç'!A:B,2,0),"N/A")</f>
        <v>BENEFICIOS</v>
      </c>
      <c r="B19" s="7" t="str">
        <f t="shared" si="0"/>
        <v>330103 - BENEFICIOS</v>
      </c>
      <c r="C19" s="25">
        <f t="shared" si="1"/>
        <v>44866</v>
      </c>
      <c r="D19" s="27">
        <f>IF(K19="CREDITO",Q19,Q19*-1)</f>
        <v>563</v>
      </c>
      <c r="E19" s="13" t="s">
        <v>73</v>
      </c>
      <c r="F19" s="13" t="s">
        <v>98</v>
      </c>
      <c r="G19" s="14">
        <v>44879</v>
      </c>
      <c r="H19" s="13" t="s">
        <v>74</v>
      </c>
      <c r="I19" s="13" t="s">
        <v>99</v>
      </c>
      <c r="J19" s="13" t="s">
        <v>54</v>
      </c>
      <c r="K19" s="13" t="s">
        <v>29</v>
      </c>
      <c r="L19" s="13" t="s">
        <v>30</v>
      </c>
      <c r="M19" s="13" t="s">
        <v>100</v>
      </c>
      <c r="N19" s="13"/>
      <c r="O19" s="13" t="s">
        <v>56</v>
      </c>
      <c r="P19" s="13" t="s">
        <v>71</v>
      </c>
      <c r="Q19" s="13">
        <v>563</v>
      </c>
      <c r="R19" s="13" t="s">
        <v>35</v>
      </c>
      <c r="S19" s="13" t="s">
        <v>35</v>
      </c>
      <c r="T19" s="13" t="s">
        <v>35</v>
      </c>
      <c r="U19" s="13" t="s">
        <v>35</v>
      </c>
      <c r="V19" s="13"/>
      <c r="W19" s="13"/>
      <c r="X19" s="13" t="s">
        <v>99</v>
      </c>
      <c r="Y19" s="13" t="s">
        <v>54</v>
      </c>
      <c r="Z19" s="13"/>
      <c r="AA19" s="13"/>
      <c r="AB19" s="13" t="s">
        <v>37</v>
      </c>
    </row>
    <row r="20" spans="1:28" hidden="1" x14ac:dyDescent="0.25">
      <c r="A20" s="7" t="str">
        <f>IFERROR(VLOOKUP(H20,'Contas Orç'!A:B,2,0),"N/A")</f>
        <v>BENEFICIOS</v>
      </c>
      <c r="B20" s="7" t="str">
        <f t="shared" si="0"/>
        <v>320103 - BENEFICIOS</v>
      </c>
      <c r="C20" s="25">
        <f t="shared" si="1"/>
        <v>44866</v>
      </c>
      <c r="D20" s="27">
        <f>IF(K20="CREDITO",Q20,Q20*-1)</f>
        <v>704</v>
      </c>
      <c r="E20" s="13" t="s">
        <v>73</v>
      </c>
      <c r="F20" s="13" t="s">
        <v>102</v>
      </c>
      <c r="G20" s="14">
        <v>44879</v>
      </c>
      <c r="H20" s="13" t="s">
        <v>84</v>
      </c>
      <c r="I20" s="13" t="s">
        <v>53</v>
      </c>
      <c r="J20" s="13" t="s">
        <v>54</v>
      </c>
      <c r="K20" s="13" t="s">
        <v>29</v>
      </c>
      <c r="L20" s="13" t="s">
        <v>30</v>
      </c>
      <c r="M20" s="13" t="s">
        <v>103</v>
      </c>
      <c r="N20" s="13"/>
      <c r="O20" s="13" t="s">
        <v>56</v>
      </c>
      <c r="P20" s="13" t="s">
        <v>71</v>
      </c>
      <c r="Q20" s="13">
        <v>704</v>
      </c>
      <c r="R20" s="13" t="s">
        <v>35</v>
      </c>
      <c r="S20" s="13" t="s">
        <v>35</v>
      </c>
      <c r="T20" s="13" t="s">
        <v>35</v>
      </c>
      <c r="U20" s="13" t="s">
        <v>35</v>
      </c>
      <c r="V20" s="13"/>
      <c r="W20" s="13"/>
      <c r="X20" s="13" t="s">
        <v>53</v>
      </c>
      <c r="Y20" s="13" t="s">
        <v>54</v>
      </c>
      <c r="Z20" s="13"/>
      <c r="AA20" s="13"/>
      <c r="AB20" s="13" t="s">
        <v>37</v>
      </c>
    </row>
    <row r="21" spans="1:28" hidden="1" x14ac:dyDescent="0.25">
      <c r="A21" s="7" t="str">
        <f>IFERROR(VLOOKUP(H21,'Contas Orç'!A:B,2,0),"N/A")</f>
        <v>BENEFICIOS</v>
      </c>
      <c r="B21" s="7" t="str">
        <f t="shared" si="0"/>
        <v>320103 - BENEFICIOS</v>
      </c>
      <c r="C21" s="25">
        <f t="shared" si="1"/>
        <v>44866</v>
      </c>
      <c r="D21" s="27">
        <f>IF(K21="CREDITO",Q21,Q21*-1)</f>
        <v>11421</v>
      </c>
      <c r="E21" s="13" t="s">
        <v>73</v>
      </c>
      <c r="F21" s="13" t="s">
        <v>105</v>
      </c>
      <c r="G21" s="14">
        <v>44879</v>
      </c>
      <c r="H21" s="13" t="s">
        <v>84</v>
      </c>
      <c r="I21" s="13" t="s">
        <v>106</v>
      </c>
      <c r="J21" s="13" t="s">
        <v>107</v>
      </c>
      <c r="K21" s="13" t="s">
        <v>29</v>
      </c>
      <c r="L21" s="13" t="s">
        <v>30</v>
      </c>
      <c r="M21" s="13" t="s">
        <v>108</v>
      </c>
      <c r="N21" s="13"/>
      <c r="O21" s="13" t="s">
        <v>56</v>
      </c>
      <c r="P21" s="13" t="s">
        <v>71</v>
      </c>
      <c r="Q21" s="23">
        <v>11421</v>
      </c>
      <c r="R21" s="13" t="s">
        <v>35</v>
      </c>
      <c r="S21" s="13" t="s">
        <v>35</v>
      </c>
      <c r="T21" s="13" t="s">
        <v>35</v>
      </c>
      <c r="U21" s="13" t="s">
        <v>35</v>
      </c>
      <c r="V21" s="13"/>
      <c r="W21" s="13"/>
      <c r="X21" s="13" t="s">
        <v>106</v>
      </c>
      <c r="Y21" s="13" t="s">
        <v>107</v>
      </c>
      <c r="Z21" s="13"/>
      <c r="AA21" s="13"/>
      <c r="AB21" s="13" t="s">
        <v>37</v>
      </c>
    </row>
    <row r="22" spans="1:28" hidden="1" x14ac:dyDescent="0.25">
      <c r="A22" s="7" t="str">
        <f>IFERROR(VLOOKUP(H22,'Contas Orç'!A:B,2,0),"N/A")</f>
        <v>BENEFICIOS</v>
      </c>
      <c r="B22" s="7" t="str">
        <f t="shared" si="0"/>
        <v>320103 - BENEFICIOS</v>
      </c>
      <c r="C22" s="25">
        <f t="shared" si="1"/>
        <v>44866</v>
      </c>
      <c r="D22" s="27">
        <f>IF(K22="CREDITO",Q22,Q22*-1)</f>
        <v>71588</v>
      </c>
      <c r="E22" s="13" t="s">
        <v>73</v>
      </c>
      <c r="F22" s="13" t="s">
        <v>110</v>
      </c>
      <c r="G22" s="14">
        <v>44879</v>
      </c>
      <c r="H22" s="13" t="s">
        <v>84</v>
      </c>
      <c r="I22" s="13" t="s">
        <v>59</v>
      </c>
      <c r="J22" s="13" t="s">
        <v>54</v>
      </c>
      <c r="K22" s="13" t="s">
        <v>29</v>
      </c>
      <c r="L22" s="13" t="s">
        <v>30</v>
      </c>
      <c r="M22" s="13" t="s">
        <v>111</v>
      </c>
      <c r="N22" s="13"/>
      <c r="O22" s="13" t="s">
        <v>56</v>
      </c>
      <c r="P22" s="13" t="s">
        <v>71</v>
      </c>
      <c r="Q22" s="23">
        <v>71588</v>
      </c>
      <c r="R22" s="13" t="s">
        <v>35</v>
      </c>
      <c r="S22" s="13" t="s">
        <v>35</v>
      </c>
      <c r="T22" s="13" t="s">
        <v>35</v>
      </c>
      <c r="U22" s="13" t="s">
        <v>35</v>
      </c>
      <c r="V22" s="13"/>
      <c r="W22" s="13"/>
      <c r="X22" s="13" t="s">
        <v>59</v>
      </c>
      <c r="Y22" s="13" t="s">
        <v>54</v>
      </c>
      <c r="Z22" s="13"/>
      <c r="AA22" s="13"/>
      <c r="AB22" s="13" t="s">
        <v>37</v>
      </c>
    </row>
    <row r="23" spans="1:28" hidden="1" x14ac:dyDescent="0.25">
      <c r="A23" s="7" t="str">
        <f>IFERROR(VLOOKUP(H23,'Contas Orç'!A:B,2,0),"N/A")</f>
        <v>BENEFICIOS</v>
      </c>
      <c r="B23" s="7" t="str">
        <f t="shared" si="0"/>
        <v>330103 - BENEFICIOS</v>
      </c>
      <c r="C23" s="25">
        <f t="shared" si="1"/>
        <v>44866</v>
      </c>
      <c r="D23" s="27">
        <f>IF(K23="CREDITO",Q23,Q23*-1)</f>
        <v>282</v>
      </c>
      <c r="E23" s="13" t="s">
        <v>73</v>
      </c>
      <c r="F23" s="13" t="s">
        <v>113</v>
      </c>
      <c r="G23" s="14">
        <v>44879</v>
      </c>
      <c r="H23" s="13" t="s">
        <v>74</v>
      </c>
      <c r="I23" s="13" t="s">
        <v>114</v>
      </c>
      <c r="J23" s="13" t="s">
        <v>54</v>
      </c>
      <c r="K23" s="13" t="s">
        <v>29</v>
      </c>
      <c r="L23" s="13" t="s">
        <v>30</v>
      </c>
      <c r="M23" s="13" t="s">
        <v>115</v>
      </c>
      <c r="N23" s="13"/>
      <c r="O23" s="13" t="s">
        <v>56</v>
      </c>
      <c r="P23" s="13" t="s">
        <v>71</v>
      </c>
      <c r="Q23" s="13">
        <v>282</v>
      </c>
      <c r="R23" s="13" t="s">
        <v>35</v>
      </c>
      <c r="S23" s="13" t="s">
        <v>35</v>
      </c>
      <c r="T23" s="13" t="s">
        <v>35</v>
      </c>
      <c r="U23" s="13" t="s">
        <v>35</v>
      </c>
      <c r="V23" s="13"/>
      <c r="W23" s="13"/>
      <c r="X23" s="13" t="s">
        <v>114</v>
      </c>
      <c r="Y23" s="13" t="s">
        <v>54</v>
      </c>
      <c r="Z23" s="13"/>
      <c r="AA23" s="13"/>
      <c r="AB23" s="13" t="s">
        <v>37</v>
      </c>
    </row>
    <row r="24" spans="1:28" hidden="1" x14ac:dyDescent="0.25">
      <c r="A24" s="7" t="str">
        <f>IFERROR(VLOOKUP(H24,'Contas Orç'!A:B,2,0),"N/A")</f>
        <v>BENEFICIOS</v>
      </c>
      <c r="B24" s="7" t="str">
        <f t="shared" si="0"/>
        <v>330103 - BENEFICIOS</v>
      </c>
      <c r="C24" s="25">
        <f t="shared" si="1"/>
        <v>44866</v>
      </c>
      <c r="D24" s="27">
        <f>IF(K24="CREDITO",Q24,Q24*-1)</f>
        <v>465</v>
      </c>
      <c r="E24" s="13" t="s">
        <v>73</v>
      </c>
      <c r="F24" s="13" t="s">
        <v>117</v>
      </c>
      <c r="G24" s="14">
        <v>44879</v>
      </c>
      <c r="H24" s="13" t="s">
        <v>74</v>
      </c>
      <c r="I24" s="13" t="s">
        <v>40</v>
      </c>
      <c r="J24" s="13" t="s">
        <v>54</v>
      </c>
      <c r="K24" s="13" t="s">
        <v>29</v>
      </c>
      <c r="L24" s="13" t="s">
        <v>30</v>
      </c>
      <c r="M24" s="13" t="s">
        <v>118</v>
      </c>
      <c r="N24" s="13"/>
      <c r="O24" s="13" t="s">
        <v>56</v>
      </c>
      <c r="P24" s="13" t="s">
        <v>71</v>
      </c>
      <c r="Q24" s="13">
        <v>465</v>
      </c>
      <c r="R24" s="13" t="s">
        <v>35</v>
      </c>
      <c r="S24" s="13" t="s">
        <v>35</v>
      </c>
      <c r="T24" s="13" t="s">
        <v>35</v>
      </c>
      <c r="U24" s="13" t="s">
        <v>35</v>
      </c>
      <c r="V24" s="13"/>
      <c r="W24" s="13"/>
      <c r="X24" s="13" t="s">
        <v>40</v>
      </c>
      <c r="Y24" s="13" t="s">
        <v>54</v>
      </c>
      <c r="Z24" s="13"/>
      <c r="AA24" s="13"/>
      <c r="AB24" s="13" t="s">
        <v>37</v>
      </c>
    </row>
    <row r="25" spans="1:28" hidden="1" x14ac:dyDescent="0.25">
      <c r="A25" s="7" t="str">
        <f>IFERROR(VLOOKUP(H25,'Contas Orç'!A:B,2,0),"N/A")</f>
        <v>BENEFICIOS</v>
      </c>
      <c r="B25" s="7" t="str">
        <f t="shared" si="0"/>
        <v>330103 - BENEFICIOS</v>
      </c>
      <c r="C25" s="25">
        <f t="shared" si="1"/>
        <v>44866</v>
      </c>
      <c r="D25" s="27">
        <f>IF(K25="CREDITO",Q25,Q25*-1)</f>
        <v>329</v>
      </c>
      <c r="E25" s="13" t="s">
        <v>73</v>
      </c>
      <c r="F25" s="13" t="s">
        <v>120</v>
      </c>
      <c r="G25" s="14">
        <v>44879</v>
      </c>
      <c r="H25" s="13" t="s">
        <v>74</v>
      </c>
      <c r="I25" s="13" t="s">
        <v>121</v>
      </c>
      <c r="J25" s="13" t="s">
        <v>54</v>
      </c>
      <c r="K25" s="13" t="s">
        <v>29</v>
      </c>
      <c r="L25" s="13" t="s">
        <v>30</v>
      </c>
      <c r="M25" s="13" t="s">
        <v>122</v>
      </c>
      <c r="N25" s="13"/>
      <c r="O25" s="13" t="s">
        <v>56</v>
      </c>
      <c r="P25" s="13" t="s">
        <v>71</v>
      </c>
      <c r="Q25" s="13">
        <v>329</v>
      </c>
      <c r="R25" s="13" t="s">
        <v>35</v>
      </c>
      <c r="S25" s="13" t="s">
        <v>35</v>
      </c>
      <c r="T25" s="13" t="s">
        <v>35</v>
      </c>
      <c r="U25" s="13" t="s">
        <v>35</v>
      </c>
      <c r="V25" s="13"/>
      <c r="W25" s="13"/>
      <c r="X25" s="13" t="s">
        <v>121</v>
      </c>
      <c r="Y25" s="13" t="s">
        <v>54</v>
      </c>
      <c r="Z25" s="13"/>
      <c r="AA25" s="13"/>
      <c r="AB25" s="13" t="s">
        <v>37</v>
      </c>
    </row>
    <row r="26" spans="1:28" hidden="1" x14ac:dyDescent="0.25">
      <c r="A26" s="7" t="str">
        <f>IFERROR(VLOOKUP(H26,'Contas Orç'!A:B,2,0),"N/A")</f>
        <v>BENEFICIOS</v>
      </c>
      <c r="B26" s="7" t="str">
        <f t="shared" si="0"/>
        <v>320103 - BENEFICIOS</v>
      </c>
      <c r="C26" s="25">
        <f t="shared" si="1"/>
        <v>44866</v>
      </c>
      <c r="D26" s="27">
        <f>IF(K26="CREDITO",Q26,Q26*-1)</f>
        <v>1487</v>
      </c>
      <c r="E26" s="13" t="s">
        <v>73</v>
      </c>
      <c r="F26" s="13" t="s">
        <v>124</v>
      </c>
      <c r="G26" s="14">
        <v>44879</v>
      </c>
      <c r="H26" s="13" t="s">
        <v>84</v>
      </c>
      <c r="I26" s="13" t="s">
        <v>125</v>
      </c>
      <c r="J26" s="13" t="s">
        <v>54</v>
      </c>
      <c r="K26" s="13" t="s">
        <v>29</v>
      </c>
      <c r="L26" s="13" t="s">
        <v>30</v>
      </c>
      <c r="M26" s="13" t="s">
        <v>126</v>
      </c>
      <c r="N26" s="13"/>
      <c r="O26" s="13" t="s">
        <v>56</v>
      </c>
      <c r="P26" s="13" t="s">
        <v>71</v>
      </c>
      <c r="Q26" s="23">
        <v>1487</v>
      </c>
      <c r="R26" s="13" t="s">
        <v>35</v>
      </c>
      <c r="S26" s="13" t="s">
        <v>35</v>
      </c>
      <c r="T26" s="13" t="s">
        <v>35</v>
      </c>
      <c r="U26" s="13" t="s">
        <v>35</v>
      </c>
      <c r="V26" s="13"/>
      <c r="W26" s="13"/>
      <c r="X26" s="13" t="s">
        <v>125</v>
      </c>
      <c r="Y26" s="13" t="s">
        <v>54</v>
      </c>
      <c r="Z26" s="13"/>
      <c r="AA26" s="13"/>
      <c r="AB26" s="13" t="s">
        <v>37</v>
      </c>
    </row>
    <row r="27" spans="1:28" hidden="1" x14ac:dyDescent="0.25">
      <c r="A27" s="7" t="str">
        <f>IFERROR(VLOOKUP(H27,'Contas Orç'!A:B,2,0),"N/A")</f>
        <v>BENEFICIOS</v>
      </c>
      <c r="B27" s="7" t="str">
        <f t="shared" si="0"/>
        <v>330103 - BENEFICIOS</v>
      </c>
      <c r="C27" s="25">
        <f t="shared" si="1"/>
        <v>44866</v>
      </c>
      <c r="D27" s="27">
        <f>IF(K27="CREDITO",Q27,Q27*-1)</f>
        <v>2706</v>
      </c>
      <c r="E27" s="13" t="s">
        <v>73</v>
      </c>
      <c r="F27" s="13" t="s">
        <v>128</v>
      </c>
      <c r="G27" s="14">
        <v>44879</v>
      </c>
      <c r="H27" s="13" t="s">
        <v>74</v>
      </c>
      <c r="I27" s="13" t="s">
        <v>40</v>
      </c>
      <c r="J27" s="13" t="s">
        <v>54</v>
      </c>
      <c r="K27" s="13" t="s">
        <v>29</v>
      </c>
      <c r="L27" s="13" t="s">
        <v>30</v>
      </c>
      <c r="M27" s="13" t="s">
        <v>129</v>
      </c>
      <c r="N27" s="13"/>
      <c r="O27" s="13" t="s">
        <v>56</v>
      </c>
      <c r="P27" s="13" t="s">
        <v>71</v>
      </c>
      <c r="Q27" s="23">
        <v>2706</v>
      </c>
      <c r="R27" s="13" t="s">
        <v>35</v>
      </c>
      <c r="S27" s="13" t="s">
        <v>35</v>
      </c>
      <c r="T27" s="13" t="s">
        <v>35</v>
      </c>
      <c r="U27" s="13" t="s">
        <v>35</v>
      </c>
      <c r="V27" s="13"/>
      <c r="W27" s="13"/>
      <c r="X27" s="13" t="s">
        <v>40</v>
      </c>
      <c r="Y27" s="13" t="s">
        <v>54</v>
      </c>
      <c r="Z27" s="13"/>
      <c r="AA27" s="13"/>
      <c r="AB27" s="13" t="s">
        <v>37</v>
      </c>
    </row>
    <row r="28" spans="1:28" hidden="1" x14ac:dyDescent="0.25">
      <c r="A28" s="7" t="str">
        <f>IFERROR(VLOOKUP(H28,'Contas Orç'!A:B,2,0),"N/A")</f>
        <v>BENEFICIOS</v>
      </c>
      <c r="B28" s="7" t="str">
        <f t="shared" si="0"/>
        <v>330103 - BENEFICIOS</v>
      </c>
      <c r="C28" s="25">
        <f t="shared" si="1"/>
        <v>44866</v>
      </c>
      <c r="D28" s="27">
        <f>IF(K28="CREDITO",Q28,Q28*-1)</f>
        <v>605</v>
      </c>
      <c r="E28" s="13" t="s">
        <v>73</v>
      </c>
      <c r="F28" s="13" t="s">
        <v>131</v>
      </c>
      <c r="G28" s="14">
        <v>44879</v>
      </c>
      <c r="H28" s="13" t="s">
        <v>74</v>
      </c>
      <c r="I28" s="13" t="s">
        <v>132</v>
      </c>
      <c r="J28" s="13" t="s">
        <v>54</v>
      </c>
      <c r="K28" s="13" t="s">
        <v>29</v>
      </c>
      <c r="L28" s="13" t="s">
        <v>30</v>
      </c>
      <c r="M28" s="13" t="s">
        <v>133</v>
      </c>
      <c r="N28" s="13"/>
      <c r="O28" s="13" t="s">
        <v>56</v>
      </c>
      <c r="P28" s="13" t="s">
        <v>71</v>
      </c>
      <c r="Q28" s="13">
        <v>605</v>
      </c>
      <c r="R28" s="13" t="s">
        <v>35</v>
      </c>
      <c r="S28" s="13" t="s">
        <v>35</v>
      </c>
      <c r="T28" s="13" t="s">
        <v>35</v>
      </c>
      <c r="U28" s="13" t="s">
        <v>35</v>
      </c>
      <c r="V28" s="13"/>
      <c r="W28" s="13"/>
      <c r="X28" s="13" t="s">
        <v>132</v>
      </c>
      <c r="Y28" s="13" t="s">
        <v>54</v>
      </c>
      <c r="Z28" s="13"/>
      <c r="AA28" s="13"/>
      <c r="AB28" s="13" t="s">
        <v>37</v>
      </c>
    </row>
    <row r="29" spans="1:28" hidden="1" x14ac:dyDescent="0.25">
      <c r="A29" s="7" t="str">
        <f>IFERROR(VLOOKUP(H29,'Contas Orç'!A:B,2,0),"N/A")</f>
        <v>BENEFICIOS</v>
      </c>
      <c r="B29" s="7" t="str">
        <f t="shared" si="0"/>
        <v>330103 - BENEFICIOS</v>
      </c>
      <c r="C29" s="25">
        <f t="shared" si="1"/>
        <v>44866</v>
      </c>
      <c r="D29" s="27">
        <f>IF(K29="CREDITO",Q29,Q29*-1)</f>
        <v>704</v>
      </c>
      <c r="E29" s="13" t="s">
        <v>73</v>
      </c>
      <c r="F29" s="13" t="s">
        <v>135</v>
      </c>
      <c r="G29" s="14">
        <v>44879</v>
      </c>
      <c r="H29" s="13" t="s">
        <v>74</v>
      </c>
      <c r="I29" s="13" t="s">
        <v>136</v>
      </c>
      <c r="J29" s="13" t="s">
        <v>54</v>
      </c>
      <c r="K29" s="13" t="s">
        <v>29</v>
      </c>
      <c r="L29" s="13" t="s">
        <v>30</v>
      </c>
      <c r="M29" s="13" t="s">
        <v>137</v>
      </c>
      <c r="N29" s="13"/>
      <c r="O29" s="13" t="s">
        <v>56</v>
      </c>
      <c r="P29" s="13" t="s">
        <v>71</v>
      </c>
      <c r="Q29" s="13">
        <v>704</v>
      </c>
      <c r="R29" s="13" t="s">
        <v>35</v>
      </c>
      <c r="S29" s="13" t="s">
        <v>35</v>
      </c>
      <c r="T29" s="13" t="s">
        <v>35</v>
      </c>
      <c r="U29" s="13" t="s">
        <v>35</v>
      </c>
      <c r="V29" s="13"/>
      <c r="W29" s="13"/>
      <c r="X29" s="13" t="s">
        <v>136</v>
      </c>
      <c r="Y29" s="13" t="s">
        <v>54</v>
      </c>
      <c r="Z29" s="13"/>
      <c r="AA29" s="13"/>
      <c r="AB29" s="13" t="s">
        <v>37</v>
      </c>
    </row>
    <row r="30" spans="1:28" hidden="1" x14ac:dyDescent="0.25">
      <c r="A30" s="7" t="str">
        <f>IFERROR(VLOOKUP(H30,'Contas Orç'!A:B,2,0),"N/A")</f>
        <v>BENEFICIOS</v>
      </c>
      <c r="B30" s="7" t="str">
        <f t="shared" si="0"/>
        <v>320103 - BENEFICIOS</v>
      </c>
      <c r="C30" s="25">
        <f t="shared" si="1"/>
        <v>44866</v>
      </c>
      <c r="D30" s="27">
        <f>IF(K30="CREDITO",Q30,Q30*-1)</f>
        <v>282</v>
      </c>
      <c r="E30" s="13" t="s">
        <v>73</v>
      </c>
      <c r="F30" s="13" t="s">
        <v>138</v>
      </c>
      <c r="G30" s="14">
        <v>44879</v>
      </c>
      <c r="H30" s="13" t="s">
        <v>84</v>
      </c>
      <c r="I30" s="13" t="s">
        <v>125</v>
      </c>
      <c r="J30" s="13" t="s">
        <v>54</v>
      </c>
      <c r="K30" s="13" t="s">
        <v>29</v>
      </c>
      <c r="L30" s="13" t="s">
        <v>30</v>
      </c>
      <c r="M30" s="13" t="s">
        <v>139</v>
      </c>
      <c r="N30" s="13"/>
      <c r="O30" s="13" t="s">
        <v>56</v>
      </c>
      <c r="P30" s="13" t="s">
        <v>71</v>
      </c>
      <c r="Q30" s="13">
        <v>282</v>
      </c>
      <c r="R30" s="13" t="s">
        <v>35</v>
      </c>
      <c r="S30" s="13" t="s">
        <v>35</v>
      </c>
      <c r="T30" s="13" t="s">
        <v>35</v>
      </c>
      <c r="U30" s="13" t="s">
        <v>35</v>
      </c>
      <c r="V30" s="13"/>
      <c r="W30" s="13"/>
      <c r="X30" s="13" t="s">
        <v>125</v>
      </c>
      <c r="Y30" s="13" t="s">
        <v>54</v>
      </c>
      <c r="Z30" s="13"/>
      <c r="AA30" s="13"/>
      <c r="AB30" s="13" t="s">
        <v>37</v>
      </c>
    </row>
    <row r="31" spans="1:28" hidden="1" x14ac:dyDescent="0.25">
      <c r="A31" s="7" t="str">
        <f>IFERROR(VLOOKUP(H31,'Contas Orç'!A:B,2,0),"N/A")</f>
        <v>BENEFICIOS</v>
      </c>
      <c r="B31" s="7" t="str">
        <f t="shared" si="0"/>
        <v>320103 - BENEFICIOS</v>
      </c>
      <c r="C31" s="25">
        <f t="shared" si="1"/>
        <v>44866</v>
      </c>
      <c r="D31" s="27">
        <f>IF(K31="CREDITO",Q31,Q31*-1)</f>
        <v>2386</v>
      </c>
      <c r="E31" s="13" t="s">
        <v>73</v>
      </c>
      <c r="F31" s="13" t="s">
        <v>140</v>
      </c>
      <c r="G31" s="14">
        <v>44879</v>
      </c>
      <c r="H31" s="13" t="s">
        <v>84</v>
      </c>
      <c r="I31" s="13" t="s">
        <v>125</v>
      </c>
      <c r="J31" s="13" t="s">
        <v>54</v>
      </c>
      <c r="K31" s="13" t="s">
        <v>29</v>
      </c>
      <c r="L31" s="13" t="s">
        <v>30</v>
      </c>
      <c r="M31" s="13" t="s">
        <v>141</v>
      </c>
      <c r="N31" s="13"/>
      <c r="O31" s="13" t="s">
        <v>56</v>
      </c>
      <c r="P31" s="13" t="s">
        <v>71</v>
      </c>
      <c r="Q31" s="23">
        <v>2386</v>
      </c>
      <c r="R31" s="13" t="s">
        <v>35</v>
      </c>
      <c r="S31" s="13" t="s">
        <v>35</v>
      </c>
      <c r="T31" s="13" t="s">
        <v>35</v>
      </c>
      <c r="U31" s="13" t="s">
        <v>35</v>
      </c>
      <c r="V31" s="13"/>
      <c r="W31" s="13"/>
      <c r="X31" s="13" t="s">
        <v>125</v>
      </c>
      <c r="Y31" s="13" t="s">
        <v>54</v>
      </c>
      <c r="Z31" s="13"/>
      <c r="AA31" s="13"/>
      <c r="AB31" s="13" t="s">
        <v>37</v>
      </c>
    </row>
    <row r="32" spans="1:28" hidden="1" x14ac:dyDescent="0.25">
      <c r="A32" s="7" t="str">
        <f>IFERROR(VLOOKUP(H32,'Contas Orç'!A:B,2,0),"N/A")</f>
        <v>PJ-OUTROS SERVICOS CONTRATADOS-PJ</v>
      </c>
      <c r="B32" s="7" t="str">
        <f t="shared" si="0"/>
        <v>320201006 - PJ-OUTROS SERVICOS CONTRATADOS-PJ</v>
      </c>
      <c r="C32" s="25">
        <f t="shared" si="1"/>
        <v>44866</v>
      </c>
      <c r="D32" s="27">
        <f>IF(K32="CREDITO",Q32,Q32*-1)</f>
        <v>250</v>
      </c>
      <c r="E32" s="13" t="s">
        <v>143</v>
      </c>
      <c r="F32" s="13" t="s">
        <v>25</v>
      </c>
      <c r="G32" s="14">
        <v>44879</v>
      </c>
      <c r="H32" s="13" t="s">
        <v>144</v>
      </c>
      <c r="I32" s="13" t="s">
        <v>106</v>
      </c>
      <c r="J32" s="13" t="s">
        <v>60</v>
      </c>
      <c r="K32" s="13" t="s">
        <v>29</v>
      </c>
      <c r="L32" s="13" t="s">
        <v>30</v>
      </c>
      <c r="M32" s="13" t="s">
        <v>145</v>
      </c>
      <c r="N32" s="13"/>
      <c r="O32" s="13" t="s">
        <v>56</v>
      </c>
      <c r="P32" s="13" t="s">
        <v>71</v>
      </c>
      <c r="Q32" s="13">
        <v>250</v>
      </c>
      <c r="R32" s="13" t="s">
        <v>35</v>
      </c>
      <c r="S32" s="13" t="s">
        <v>35</v>
      </c>
      <c r="T32" s="13" t="s">
        <v>35</v>
      </c>
      <c r="U32" s="13" t="s">
        <v>35</v>
      </c>
      <c r="V32" s="13"/>
      <c r="W32" s="13"/>
      <c r="X32" s="13" t="s">
        <v>106</v>
      </c>
      <c r="Y32" s="13" t="s">
        <v>60</v>
      </c>
      <c r="Z32" s="13"/>
      <c r="AA32" s="13"/>
      <c r="AB32" s="13" t="s">
        <v>37</v>
      </c>
    </row>
    <row r="33" spans="1:28" hidden="1" x14ac:dyDescent="0.25">
      <c r="A33" s="7" t="str">
        <f>IFERROR(VLOOKUP(H33,'Contas Orç'!A:B,2,0),"N/A")</f>
        <v>PECAS E ACESSORIOS</v>
      </c>
      <c r="B33" s="7" t="str">
        <f t="shared" si="0"/>
        <v>330301004 - PECAS E ACESSORIOS</v>
      </c>
      <c r="C33" s="25">
        <f t="shared" si="1"/>
        <v>44866</v>
      </c>
      <c r="D33" s="27">
        <f>IF(K33="CREDITO",Q33,Q33*-1)</f>
        <v>6644</v>
      </c>
      <c r="E33" s="13" t="s">
        <v>147</v>
      </c>
      <c r="F33" s="13" t="s">
        <v>25</v>
      </c>
      <c r="G33" s="14">
        <v>44879</v>
      </c>
      <c r="H33" s="13" t="s">
        <v>39</v>
      </c>
      <c r="I33" s="13" t="s">
        <v>81</v>
      </c>
      <c r="J33" s="13" t="s">
        <v>54</v>
      </c>
      <c r="K33" s="13" t="s">
        <v>29</v>
      </c>
      <c r="L33" s="13" t="s">
        <v>30</v>
      </c>
      <c r="M33" s="13" t="s">
        <v>148</v>
      </c>
      <c r="N33" s="13"/>
      <c r="O33" s="13" t="s">
        <v>56</v>
      </c>
      <c r="P33" s="13" t="s">
        <v>71</v>
      </c>
      <c r="Q33" s="23">
        <v>6644</v>
      </c>
      <c r="R33" s="13" t="s">
        <v>35</v>
      </c>
      <c r="S33" s="13" t="s">
        <v>35</v>
      </c>
      <c r="T33" s="13" t="s">
        <v>35</v>
      </c>
      <c r="U33" s="13" t="s">
        <v>35</v>
      </c>
      <c r="V33" s="13"/>
      <c r="W33" s="13"/>
      <c r="X33" s="13" t="s">
        <v>81</v>
      </c>
      <c r="Y33" s="13" t="s">
        <v>54</v>
      </c>
      <c r="Z33" s="13"/>
      <c r="AA33" s="13"/>
      <c r="AB33" s="13" t="s">
        <v>37</v>
      </c>
    </row>
    <row r="34" spans="1:28" hidden="1" x14ac:dyDescent="0.25">
      <c r="A34" s="7" t="str">
        <f>IFERROR(VLOOKUP(H34,'Contas Orç'!A:B,2,0),"N/A")</f>
        <v>PECAS E ACESSORIOS</v>
      </c>
      <c r="B34" s="7" t="str">
        <f t="shared" si="0"/>
        <v>330301004 - PECAS E ACESSORIOS</v>
      </c>
      <c r="C34" s="25">
        <f t="shared" si="1"/>
        <v>44866</v>
      </c>
      <c r="D34" s="27">
        <f>IF(K34="CREDITO",Q34,Q34*-1)</f>
        <v>6644</v>
      </c>
      <c r="E34" s="13" t="s">
        <v>150</v>
      </c>
      <c r="F34" s="13" t="s">
        <v>25</v>
      </c>
      <c r="G34" s="14">
        <v>44879</v>
      </c>
      <c r="H34" s="13" t="s">
        <v>39</v>
      </c>
      <c r="I34" s="13" t="s">
        <v>81</v>
      </c>
      <c r="J34" s="13" t="s">
        <v>54</v>
      </c>
      <c r="K34" s="13" t="s">
        <v>29</v>
      </c>
      <c r="L34" s="13" t="s">
        <v>30</v>
      </c>
      <c r="M34" s="13" t="s">
        <v>151</v>
      </c>
      <c r="N34" s="13"/>
      <c r="O34" s="13" t="s">
        <v>56</v>
      </c>
      <c r="P34" s="13" t="s">
        <v>71</v>
      </c>
      <c r="Q34" s="23">
        <v>6644</v>
      </c>
      <c r="R34" s="13" t="s">
        <v>35</v>
      </c>
      <c r="S34" s="13" t="s">
        <v>35</v>
      </c>
      <c r="T34" s="13" t="s">
        <v>35</v>
      </c>
      <c r="U34" s="13" t="s">
        <v>35</v>
      </c>
      <c r="V34" s="13"/>
      <c r="W34" s="13"/>
      <c r="X34" s="13" t="s">
        <v>81</v>
      </c>
      <c r="Y34" s="13" t="s">
        <v>54</v>
      </c>
      <c r="Z34" s="13"/>
      <c r="AA34" s="13"/>
      <c r="AB34" s="13" t="s">
        <v>37</v>
      </c>
    </row>
    <row r="35" spans="1:28" hidden="1" x14ac:dyDescent="0.25">
      <c r="A35" s="7" t="str">
        <f>IFERROR(VLOOKUP(H35,'Contas Orç'!A:B,2,0),"N/A")</f>
        <v>PECAS E ACESSORIOS</v>
      </c>
      <c r="B35" s="7" t="str">
        <f t="shared" si="0"/>
        <v>330301004 - PECAS E ACESSORIOS</v>
      </c>
      <c r="C35" s="25">
        <f t="shared" si="1"/>
        <v>44866</v>
      </c>
      <c r="D35" s="27">
        <f>IF(K35="CREDITO",Q35,Q35*-1)</f>
        <v>2490</v>
      </c>
      <c r="E35" s="13" t="s">
        <v>152</v>
      </c>
      <c r="F35" s="13" t="s">
        <v>25</v>
      </c>
      <c r="G35" s="14">
        <v>44879</v>
      </c>
      <c r="H35" s="13" t="s">
        <v>39</v>
      </c>
      <c r="I35" s="13" t="s">
        <v>81</v>
      </c>
      <c r="J35" s="13" t="s">
        <v>54</v>
      </c>
      <c r="K35" s="13" t="s">
        <v>29</v>
      </c>
      <c r="L35" s="13" t="s">
        <v>30</v>
      </c>
      <c r="M35" s="13" t="s">
        <v>153</v>
      </c>
      <c r="N35" s="13"/>
      <c r="O35" s="13" t="s">
        <v>56</v>
      </c>
      <c r="P35" s="13" t="s">
        <v>71</v>
      </c>
      <c r="Q35" s="23">
        <v>2490</v>
      </c>
      <c r="R35" s="13" t="s">
        <v>35</v>
      </c>
      <c r="S35" s="13" t="s">
        <v>35</v>
      </c>
      <c r="T35" s="13" t="s">
        <v>35</v>
      </c>
      <c r="U35" s="13" t="s">
        <v>35</v>
      </c>
      <c r="V35" s="13"/>
      <c r="W35" s="13"/>
      <c r="X35" s="13" t="s">
        <v>81</v>
      </c>
      <c r="Y35" s="13" t="s">
        <v>54</v>
      </c>
      <c r="Z35" s="13"/>
      <c r="AA35" s="13"/>
      <c r="AB35" s="13" t="s">
        <v>37</v>
      </c>
    </row>
    <row r="36" spans="1:28" hidden="1" x14ac:dyDescent="0.25">
      <c r="A36" s="7" t="str">
        <f>IFERROR(VLOOKUP(H36,'Contas Orç'!A:B,2,0),"N/A")</f>
        <v>PF-CONSULTORIA E ASSESSORIA</v>
      </c>
      <c r="B36" s="7" t="str">
        <f t="shared" si="0"/>
        <v>330202001 - PF-CONSULTORIA E ASSESSORIA</v>
      </c>
      <c r="C36" s="25">
        <f t="shared" si="1"/>
        <v>44866</v>
      </c>
      <c r="D36" s="27">
        <f>IF(K36="CREDITO",Q36,Q36*-1)</f>
        <v>4702</v>
      </c>
      <c r="E36" s="13" t="s">
        <v>155</v>
      </c>
      <c r="F36" s="13" t="s">
        <v>25</v>
      </c>
      <c r="G36" s="14">
        <v>44879</v>
      </c>
      <c r="H36" s="13" t="s">
        <v>156</v>
      </c>
      <c r="I36" s="13" t="s">
        <v>40</v>
      </c>
      <c r="J36" s="13" t="s">
        <v>54</v>
      </c>
      <c r="K36" s="13" t="s">
        <v>29</v>
      </c>
      <c r="L36" s="13" t="s">
        <v>30</v>
      </c>
      <c r="M36" s="13" t="s">
        <v>157</v>
      </c>
      <c r="N36" s="13"/>
      <c r="O36" s="13" t="s">
        <v>56</v>
      </c>
      <c r="P36" s="13" t="s">
        <v>71</v>
      </c>
      <c r="Q36" s="23">
        <v>4702</v>
      </c>
      <c r="R36" s="13" t="s">
        <v>35</v>
      </c>
      <c r="S36" s="13" t="s">
        <v>35</v>
      </c>
      <c r="T36" s="13" t="s">
        <v>35</v>
      </c>
      <c r="U36" s="13" t="s">
        <v>35</v>
      </c>
      <c r="V36" s="13"/>
      <c r="W36" s="13"/>
      <c r="X36" s="13" t="s">
        <v>40</v>
      </c>
      <c r="Y36" s="13" t="s">
        <v>54</v>
      </c>
      <c r="Z36" s="13"/>
      <c r="AA36" s="13"/>
      <c r="AB36" s="13" t="s">
        <v>37</v>
      </c>
    </row>
    <row r="37" spans="1:28" hidden="1" x14ac:dyDescent="0.25">
      <c r="A37" s="7" t="str">
        <f>IFERROR(VLOOKUP(H37,'Contas Orç'!A:B,2,0),"N/A")</f>
        <v>DESPESAS GERAIS</v>
      </c>
      <c r="B37" s="7" t="str">
        <f t="shared" si="0"/>
        <v>330409 - DESPESAS GERAIS</v>
      </c>
      <c r="C37" s="25">
        <f t="shared" si="1"/>
        <v>44866</v>
      </c>
      <c r="D37" s="27">
        <f>IF(K37="CREDITO",Q37,Q37*-1)</f>
        <v>6</v>
      </c>
      <c r="E37" s="13" t="s">
        <v>159</v>
      </c>
      <c r="F37" s="13" t="s">
        <v>25</v>
      </c>
      <c r="G37" s="14">
        <v>44879</v>
      </c>
      <c r="H37" s="13" t="s">
        <v>160</v>
      </c>
      <c r="I37" s="13" t="s">
        <v>81</v>
      </c>
      <c r="J37" s="13" t="s">
        <v>54</v>
      </c>
      <c r="K37" s="13" t="s">
        <v>29</v>
      </c>
      <c r="L37" s="13" t="s">
        <v>30</v>
      </c>
      <c r="M37" s="13" t="s">
        <v>161</v>
      </c>
      <c r="N37" s="13"/>
      <c r="O37" s="13" t="s">
        <v>56</v>
      </c>
      <c r="P37" s="13" t="s">
        <v>71</v>
      </c>
      <c r="Q37" s="13">
        <v>6</v>
      </c>
      <c r="R37" s="13" t="s">
        <v>35</v>
      </c>
      <c r="S37" s="13" t="s">
        <v>35</v>
      </c>
      <c r="T37" s="13" t="s">
        <v>35</v>
      </c>
      <c r="U37" s="13" t="s">
        <v>35</v>
      </c>
      <c r="V37" s="13"/>
      <c r="W37" s="13"/>
      <c r="X37" s="13" t="s">
        <v>81</v>
      </c>
      <c r="Y37" s="13" t="s">
        <v>54</v>
      </c>
      <c r="Z37" s="13"/>
      <c r="AA37" s="13"/>
      <c r="AB37" s="13" t="s">
        <v>37</v>
      </c>
    </row>
    <row r="38" spans="1:28" hidden="1" x14ac:dyDescent="0.25">
      <c r="A38" s="7" t="str">
        <f>IFERROR(VLOOKUP(H38,'Contas Orç'!A:B,2,0),"N/A")</f>
        <v>DESPESAS GERAIS</v>
      </c>
      <c r="B38" s="7" t="str">
        <f t="shared" si="0"/>
        <v>330409 - DESPESAS GERAIS</v>
      </c>
      <c r="C38" s="25">
        <f t="shared" si="1"/>
        <v>44866</v>
      </c>
      <c r="D38" s="27">
        <f>IF(K38="CREDITO",Q38,Q38*-1)</f>
        <v>318</v>
      </c>
      <c r="E38" s="13" t="s">
        <v>163</v>
      </c>
      <c r="F38" s="13" t="s">
        <v>25</v>
      </c>
      <c r="G38" s="14">
        <v>44879</v>
      </c>
      <c r="H38" s="13" t="s">
        <v>160</v>
      </c>
      <c r="I38" s="13" t="s">
        <v>81</v>
      </c>
      <c r="J38" s="13" t="s">
        <v>54</v>
      </c>
      <c r="K38" s="13" t="s">
        <v>29</v>
      </c>
      <c r="L38" s="13" t="s">
        <v>30</v>
      </c>
      <c r="M38" s="13" t="s">
        <v>164</v>
      </c>
      <c r="N38" s="13"/>
      <c r="O38" s="13" t="s">
        <v>56</v>
      </c>
      <c r="P38" s="13" t="s">
        <v>71</v>
      </c>
      <c r="Q38" s="13">
        <v>318</v>
      </c>
      <c r="R38" s="13" t="s">
        <v>35</v>
      </c>
      <c r="S38" s="13" t="s">
        <v>35</v>
      </c>
      <c r="T38" s="13" t="s">
        <v>35</v>
      </c>
      <c r="U38" s="13" t="s">
        <v>35</v>
      </c>
      <c r="V38" s="13"/>
      <c r="W38" s="13"/>
      <c r="X38" s="13" t="s">
        <v>81</v>
      </c>
      <c r="Y38" s="13" t="s">
        <v>54</v>
      </c>
      <c r="Z38" s="13"/>
      <c r="AA38" s="13"/>
      <c r="AB38" s="13" t="s">
        <v>37</v>
      </c>
    </row>
    <row r="39" spans="1:28" hidden="1" x14ac:dyDescent="0.25">
      <c r="A39" s="7" t="str">
        <f>IFERROR(VLOOKUP(H39,'Contas Orç'!A:B,2,0),"N/A")</f>
        <v>DESPESAS GERAIS</v>
      </c>
      <c r="B39" s="7" t="str">
        <f t="shared" si="0"/>
        <v>330409 - DESPESAS GERAIS</v>
      </c>
      <c r="C39" s="25">
        <f t="shared" si="1"/>
        <v>44866</v>
      </c>
      <c r="D39" s="27">
        <f>IF(K39="CREDITO",Q39,Q39*-1)</f>
        <v>23</v>
      </c>
      <c r="E39" s="13" t="s">
        <v>163</v>
      </c>
      <c r="F39" s="13" t="s">
        <v>38</v>
      </c>
      <c r="G39" s="14">
        <v>44879</v>
      </c>
      <c r="H39" s="13" t="s">
        <v>160</v>
      </c>
      <c r="I39" s="13" t="s">
        <v>81</v>
      </c>
      <c r="J39" s="13" t="s">
        <v>54</v>
      </c>
      <c r="K39" s="13" t="s">
        <v>29</v>
      </c>
      <c r="L39" s="13" t="s">
        <v>30</v>
      </c>
      <c r="M39" s="13" t="s">
        <v>166</v>
      </c>
      <c r="N39" s="13"/>
      <c r="O39" s="13" t="s">
        <v>56</v>
      </c>
      <c r="P39" s="13" t="s">
        <v>71</v>
      </c>
      <c r="Q39" s="13">
        <v>23</v>
      </c>
      <c r="R39" s="13" t="s">
        <v>35</v>
      </c>
      <c r="S39" s="13" t="s">
        <v>35</v>
      </c>
      <c r="T39" s="13" t="s">
        <v>35</v>
      </c>
      <c r="U39" s="13" t="s">
        <v>35</v>
      </c>
      <c r="V39" s="13"/>
      <c r="W39" s="13"/>
      <c r="X39" s="13" t="s">
        <v>81</v>
      </c>
      <c r="Y39" s="13" t="s">
        <v>54</v>
      </c>
      <c r="Z39" s="13"/>
      <c r="AA39" s="13"/>
      <c r="AB39" s="13" t="s">
        <v>37</v>
      </c>
    </row>
    <row r="40" spans="1:28" hidden="1" x14ac:dyDescent="0.25">
      <c r="A40" s="7" t="str">
        <f>IFERROR(VLOOKUP(H40,'Contas Orç'!A:B,2,0),"N/A")</f>
        <v>DESPESAS GERAIS</v>
      </c>
      <c r="B40" s="7" t="str">
        <f t="shared" si="0"/>
        <v>330409 - DESPESAS GERAIS</v>
      </c>
      <c r="C40" s="25">
        <f t="shared" si="1"/>
        <v>44866</v>
      </c>
      <c r="D40" s="27">
        <f>IF(K40="CREDITO",Q40,Q40*-1)</f>
        <v>19</v>
      </c>
      <c r="E40" s="13" t="s">
        <v>163</v>
      </c>
      <c r="F40" s="13" t="s">
        <v>48</v>
      </c>
      <c r="G40" s="14">
        <v>44879</v>
      </c>
      <c r="H40" s="13" t="s">
        <v>160</v>
      </c>
      <c r="I40" s="13" t="s">
        <v>81</v>
      </c>
      <c r="J40" s="13" t="s">
        <v>54</v>
      </c>
      <c r="K40" s="13" t="s">
        <v>29</v>
      </c>
      <c r="L40" s="13" t="s">
        <v>30</v>
      </c>
      <c r="M40" s="13" t="s">
        <v>168</v>
      </c>
      <c r="N40" s="13"/>
      <c r="O40" s="13" t="s">
        <v>56</v>
      </c>
      <c r="P40" s="13" t="s">
        <v>71</v>
      </c>
      <c r="Q40" s="13">
        <v>19</v>
      </c>
      <c r="R40" s="13" t="s">
        <v>35</v>
      </c>
      <c r="S40" s="13" t="s">
        <v>35</v>
      </c>
      <c r="T40" s="13" t="s">
        <v>35</v>
      </c>
      <c r="U40" s="13" t="s">
        <v>35</v>
      </c>
      <c r="V40" s="13"/>
      <c r="W40" s="13"/>
      <c r="X40" s="13" t="s">
        <v>81</v>
      </c>
      <c r="Y40" s="13" t="s">
        <v>54</v>
      </c>
      <c r="Z40" s="13"/>
      <c r="AA40" s="13"/>
      <c r="AB40" s="13" t="s">
        <v>37</v>
      </c>
    </row>
    <row r="41" spans="1:28" hidden="1" x14ac:dyDescent="0.25">
      <c r="A41" s="7" t="str">
        <f>IFERROR(VLOOKUP(H41,'Contas Orç'!A:B,2,0),"N/A")</f>
        <v>DESPESAS GERAIS</v>
      </c>
      <c r="B41" s="7" t="str">
        <f t="shared" si="0"/>
        <v>330409 - DESPESAS GERAIS</v>
      </c>
      <c r="C41" s="25">
        <f t="shared" si="1"/>
        <v>44866</v>
      </c>
      <c r="D41" s="27">
        <f>IF(K41="CREDITO",Q41,Q41*-1)</f>
        <v>1017</v>
      </c>
      <c r="E41" s="13" t="s">
        <v>170</v>
      </c>
      <c r="F41" s="13" t="s">
        <v>25</v>
      </c>
      <c r="G41" s="14">
        <v>44879</v>
      </c>
      <c r="H41" s="13" t="s">
        <v>160</v>
      </c>
      <c r="I41" s="13" t="s">
        <v>81</v>
      </c>
      <c r="J41" s="13" t="s">
        <v>54</v>
      </c>
      <c r="K41" s="13" t="s">
        <v>29</v>
      </c>
      <c r="L41" s="13" t="s">
        <v>30</v>
      </c>
      <c r="M41" s="13" t="s">
        <v>171</v>
      </c>
      <c r="N41" s="13"/>
      <c r="O41" s="13" t="s">
        <v>56</v>
      </c>
      <c r="P41" s="13" t="s">
        <v>71</v>
      </c>
      <c r="Q41" s="23">
        <v>1017</v>
      </c>
      <c r="R41" s="13" t="s">
        <v>35</v>
      </c>
      <c r="S41" s="13" t="s">
        <v>35</v>
      </c>
      <c r="T41" s="13" t="s">
        <v>35</v>
      </c>
      <c r="U41" s="13" t="s">
        <v>35</v>
      </c>
      <c r="V41" s="13"/>
      <c r="W41" s="13"/>
      <c r="X41" s="13" t="s">
        <v>81</v>
      </c>
      <c r="Y41" s="13" t="s">
        <v>54</v>
      </c>
      <c r="Z41" s="13"/>
      <c r="AA41" s="13"/>
      <c r="AB41" s="13" t="s">
        <v>37</v>
      </c>
    </row>
    <row r="42" spans="1:28" hidden="1" x14ac:dyDescent="0.25">
      <c r="A42" s="7" t="str">
        <f>IFERROR(VLOOKUP(H42,'Contas Orç'!A:B,2,0),"N/A")</f>
        <v>DESPESAS GERAIS</v>
      </c>
      <c r="B42" s="7" t="str">
        <f t="shared" si="0"/>
        <v>330409 - DESPESAS GERAIS</v>
      </c>
      <c r="C42" s="25">
        <f t="shared" si="1"/>
        <v>44866</v>
      </c>
      <c r="D42" s="27">
        <f>IF(K42="CREDITO",Q42,Q42*-1)</f>
        <v>146</v>
      </c>
      <c r="E42" s="13" t="s">
        <v>170</v>
      </c>
      <c r="F42" s="13" t="s">
        <v>38</v>
      </c>
      <c r="G42" s="14">
        <v>44879</v>
      </c>
      <c r="H42" s="13" t="s">
        <v>160</v>
      </c>
      <c r="I42" s="13" t="s">
        <v>81</v>
      </c>
      <c r="J42" s="13" t="s">
        <v>54</v>
      </c>
      <c r="K42" s="13" t="s">
        <v>29</v>
      </c>
      <c r="L42" s="13" t="s">
        <v>30</v>
      </c>
      <c r="M42" s="13" t="s">
        <v>173</v>
      </c>
      <c r="N42" s="13"/>
      <c r="O42" s="13" t="s">
        <v>56</v>
      </c>
      <c r="P42" s="13" t="s">
        <v>71</v>
      </c>
      <c r="Q42" s="13">
        <v>146</v>
      </c>
      <c r="R42" s="13" t="s">
        <v>35</v>
      </c>
      <c r="S42" s="13" t="s">
        <v>35</v>
      </c>
      <c r="T42" s="13" t="s">
        <v>35</v>
      </c>
      <c r="U42" s="13" t="s">
        <v>35</v>
      </c>
      <c r="V42" s="13"/>
      <c r="W42" s="13"/>
      <c r="X42" s="13" t="s">
        <v>81</v>
      </c>
      <c r="Y42" s="13" t="s">
        <v>54</v>
      </c>
      <c r="Z42" s="13"/>
      <c r="AA42" s="13"/>
      <c r="AB42" s="13" t="s">
        <v>37</v>
      </c>
    </row>
    <row r="43" spans="1:28" hidden="1" x14ac:dyDescent="0.25">
      <c r="A43" s="7" t="str">
        <f>IFERROR(VLOOKUP(H43,'Contas Orç'!A:B,2,0),"N/A")</f>
        <v>DESPESAS GERAIS</v>
      </c>
      <c r="B43" s="7" t="str">
        <f t="shared" si="0"/>
        <v>330409 - DESPESAS GERAIS</v>
      </c>
      <c r="C43" s="25">
        <f t="shared" si="1"/>
        <v>44866</v>
      </c>
      <c r="D43" s="27">
        <f>IF(K43="CREDITO",Q43,Q43*-1)</f>
        <v>7</v>
      </c>
      <c r="E43" s="13" t="s">
        <v>170</v>
      </c>
      <c r="F43" s="13" t="s">
        <v>48</v>
      </c>
      <c r="G43" s="14">
        <v>44879</v>
      </c>
      <c r="H43" s="13" t="s">
        <v>160</v>
      </c>
      <c r="I43" s="13" t="s">
        <v>81</v>
      </c>
      <c r="J43" s="13" t="s">
        <v>54</v>
      </c>
      <c r="K43" s="13" t="s">
        <v>29</v>
      </c>
      <c r="L43" s="13" t="s">
        <v>30</v>
      </c>
      <c r="M43" s="13" t="s">
        <v>175</v>
      </c>
      <c r="N43" s="13"/>
      <c r="O43" s="13" t="s">
        <v>56</v>
      </c>
      <c r="P43" s="13" t="s">
        <v>71</v>
      </c>
      <c r="Q43" s="13">
        <v>7</v>
      </c>
      <c r="R43" s="13" t="s">
        <v>35</v>
      </c>
      <c r="S43" s="13" t="s">
        <v>35</v>
      </c>
      <c r="T43" s="13" t="s">
        <v>35</v>
      </c>
      <c r="U43" s="13" t="s">
        <v>35</v>
      </c>
      <c r="V43" s="13"/>
      <c r="W43" s="13"/>
      <c r="X43" s="13" t="s">
        <v>81</v>
      </c>
      <c r="Y43" s="13" t="s">
        <v>54</v>
      </c>
      <c r="Z43" s="13"/>
      <c r="AA43" s="13"/>
      <c r="AB43" s="13" t="s">
        <v>37</v>
      </c>
    </row>
    <row r="44" spans="1:28" hidden="1" x14ac:dyDescent="0.25">
      <c r="A44" s="7" t="str">
        <f>IFERROR(VLOOKUP(H44,'Contas Orç'!A:B,2,0),"N/A")</f>
        <v>DESPESAS GERAIS</v>
      </c>
      <c r="B44" s="7" t="str">
        <f t="shared" si="0"/>
        <v>330409 - DESPESAS GERAIS</v>
      </c>
      <c r="C44" s="25">
        <f t="shared" si="1"/>
        <v>44866</v>
      </c>
      <c r="D44" s="27">
        <f>IF(K44="CREDITO",Q44,Q44*-1)</f>
        <v>550</v>
      </c>
      <c r="E44" s="13" t="s">
        <v>170</v>
      </c>
      <c r="F44" s="13" t="s">
        <v>50</v>
      </c>
      <c r="G44" s="14">
        <v>44879</v>
      </c>
      <c r="H44" s="13" t="s">
        <v>160</v>
      </c>
      <c r="I44" s="13" t="s">
        <v>81</v>
      </c>
      <c r="J44" s="13" t="s">
        <v>54</v>
      </c>
      <c r="K44" s="13" t="s">
        <v>29</v>
      </c>
      <c r="L44" s="13" t="s">
        <v>30</v>
      </c>
      <c r="M44" s="13" t="s">
        <v>177</v>
      </c>
      <c r="N44" s="13"/>
      <c r="O44" s="13" t="s">
        <v>56</v>
      </c>
      <c r="P44" s="13" t="s">
        <v>71</v>
      </c>
      <c r="Q44" s="13">
        <v>550</v>
      </c>
      <c r="R44" s="13" t="s">
        <v>35</v>
      </c>
      <c r="S44" s="13" t="s">
        <v>35</v>
      </c>
      <c r="T44" s="13" t="s">
        <v>35</v>
      </c>
      <c r="U44" s="13" t="s">
        <v>35</v>
      </c>
      <c r="V44" s="13"/>
      <c r="W44" s="13"/>
      <c r="X44" s="13" t="s">
        <v>81</v>
      </c>
      <c r="Y44" s="13" t="s">
        <v>54</v>
      </c>
      <c r="Z44" s="13"/>
      <c r="AA44" s="13"/>
      <c r="AB44" s="13" t="s">
        <v>37</v>
      </c>
    </row>
    <row r="45" spans="1:28" hidden="1" x14ac:dyDescent="0.25">
      <c r="A45" s="7" t="str">
        <f>IFERROR(VLOOKUP(H45,'Contas Orç'!A:B,2,0),"N/A")</f>
        <v>DESPESAS GERAIS</v>
      </c>
      <c r="B45" s="7" t="str">
        <f t="shared" si="0"/>
        <v>330409 - DESPESAS GERAIS</v>
      </c>
      <c r="C45" s="25">
        <f t="shared" si="1"/>
        <v>44866</v>
      </c>
      <c r="D45" s="27">
        <f>IF(K45="CREDITO",Q45,Q45*-1)</f>
        <v>16</v>
      </c>
      <c r="E45" s="13" t="s">
        <v>170</v>
      </c>
      <c r="F45" s="13" t="s">
        <v>87</v>
      </c>
      <c r="G45" s="14">
        <v>44879</v>
      </c>
      <c r="H45" s="13" t="s">
        <v>160</v>
      </c>
      <c r="I45" s="13" t="s">
        <v>81</v>
      </c>
      <c r="J45" s="13" t="s">
        <v>54</v>
      </c>
      <c r="K45" s="13" t="s">
        <v>29</v>
      </c>
      <c r="L45" s="13" t="s">
        <v>30</v>
      </c>
      <c r="M45" s="13" t="s">
        <v>179</v>
      </c>
      <c r="N45" s="13"/>
      <c r="O45" s="13" t="s">
        <v>56</v>
      </c>
      <c r="P45" s="13" t="s">
        <v>71</v>
      </c>
      <c r="Q45" s="13">
        <v>16</v>
      </c>
      <c r="R45" s="13" t="s">
        <v>35</v>
      </c>
      <c r="S45" s="13" t="s">
        <v>35</v>
      </c>
      <c r="T45" s="13" t="s">
        <v>35</v>
      </c>
      <c r="U45" s="13" t="s">
        <v>35</v>
      </c>
      <c r="V45" s="13"/>
      <c r="W45" s="13"/>
      <c r="X45" s="13" t="s">
        <v>81</v>
      </c>
      <c r="Y45" s="13" t="s">
        <v>54</v>
      </c>
      <c r="Z45" s="13"/>
      <c r="AA45" s="13"/>
      <c r="AB45" s="13" t="s">
        <v>37</v>
      </c>
    </row>
    <row r="46" spans="1:28" hidden="1" x14ac:dyDescent="0.25">
      <c r="A46" s="7" t="str">
        <f>IFERROR(VLOOKUP(H46,'Contas Orç'!A:B,2,0),"N/A")</f>
        <v>DESPESAS GERAIS</v>
      </c>
      <c r="B46" s="7" t="str">
        <f t="shared" si="0"/>
        <v>330409 - DESPESAS GERAIS</v>
      </c>
      <c r="C46" s="25">
        <f t="shared" si="1"/>
        <v>44866</v>
      </c>
      <c r="D46" s="27">
        <f>IF(K46="CREDITO",Q46,Q46*-1)</f>
        <v>25</v>
      </c>
      <c r="E46" s="13" t="s">
        <v>170</v>
      </c>
      <c r="F46" s="13" t="s">
        <v>91</v>
      </c>
      <c r="G46" s="14">
        <v>44879</v>
      </c>
      <c r="H46" s="13" t="s">
        <v>160</v>
      </c>
      <c r="I46" s="13" t="s">
        <v>81</v>
      </c>
      <c r="J46" s="13" t="s">
        <v>54</v>
      </c>
      <c r="K46" s="13" t="s">
        <v>29</v>
      </c>
      <c r="L46" s="13" t="s">
        <v>30</v>
      </c>
      <c r="M46" s="13" t="s">
        <v>181</v>
      </c>
      <c r="N46" s="13"/>
      <c r="O46" s="13" t="s">
        <v>56</v>
      </c>
      <c r="P46" s="13" t="s">
        <v>71</v>
      </c>
      <c r="Q46" s="13">
        <v>25</v>
      </c>
      <c r="R46" s="13" t="s">
        <v>35</v>
      </c>
      <c r="S46" s="13" t="s">
        <v>35</v>
      </c>
      <c r="T46" s="13" t="s">
        <v>35</v>
      </c>
      <c r="U46" s="13" t="s">
        <v>35</v>
      </c>
      <c r="V46" s="13"/>
      <c r="W46" s="13"/>
      <c r="X46" s="13" t="s">
        <v>81</v>
      </c>
      <c r="Y46" s="13" t="s">
        <v>54</v>
      </c>
      <c r="Z46" s="13"/>
      <c r="AA46" s="13"/>
      <c r="AB46" s="13" t="s">
        <v>37</v>
      </c>
    </row>
    <row r="47" spans="1:28" hidden="1" x14ac:dyDescent="0.25">
      <c r="A47" s="7" t="str">
        <f>IFERROR(VLOOKUP(H47,'Contas Orç'!A:B,2,0),"N/A")</f>
        <v>DESPESAS GERAIS</v>
      </c>
      <c r="B47" s="7" t="str">
        <f t="shared" si="0"/>
        <v>330409 - DESPESAS GERAIS</v>
      </c>
      <c r="C47" s="25">
        <f t="shared" si="1"/>
        <v>44866</v>
      </c>
      <c r="D47" s="27">
        <f>IF(K47="CREDITO",Q47,Q47*-1)</f>
        <v>1</v>
      </c>
      <c r="E47" s="13" t="s">
        <v>170</v>
      </c>
      <c r="F47" s="13" t="s">
        <v>94</v>
      </c>
      <c r="G47" s="14">
        <v>44879</v>
      </c>
      <c r="H47" s="13" t="s">
        <v>160</v>
      </c>
      <c r="I47" s="13" t="s">
        <v>81</v>
      </c>
      <c r="J47" s="13" t="s">
        <v>54</v>
      </c>
      <c r="K47" s="13" t="s">
        <v>29</v>
      </c>
      <c r="L47" s="13" t="s">
        <v>30</v>
      </c>
      <c r="M47" s="13" t="s">
        <v>182</v>
      </c>
      <c r="N47" s="13"/>
      <c r="O47" s="13" t="s">
        <v>56</v>
      </c>
      <c r="P47" s="13" t="s">
        <v>71</v>
      </c>
      <c r="Q47" s="13">
        <v>1</v>
      </c>
      <c r="R47" s="13" t="s">
        <v>35</v>
      </c>
      <c r="S47" s="13" t="s">
        <v>35</v>
      </c>
      <c r="T47" s="13" t="s">
        <v>35</v>
      </c>
      <c r="U47" s="13" t="s">
        <v>35</v>
      </c>
      <c r="V47" s="13"/>
      <c r="W47" s="13"/>
      <c r="X47" s="13" t="s">
        <v>81</v>
      </c>
      <c r="Y47" s="13" t="s">
        <v>54</v>
      </c>
      <c r="Z47" s="13"/>
      <c r="AA47" s="13"/>
      <c r="AB47" s="13" t="s">
        <v>37</v>
      </c>
    </row>
    <row r="48" spans="1:28" hidden="1" x14ac:dyDescent="0.25">
      <c r="A48" s="7" t="str">
        <f>IFERROR(VLOOKUP(H48,'Contas Orç'!A:B,2,0),"N/A")</f>
        <v>DESPESAS GERAIS</v>
      </c>
      <c r="B48" s="7" t="str">
        <f t="shared" si="0"/>
        <v>330409 - DESPESAS GERAIS</v>
      </c>
      <c r="C48" s="25">
        <f t="shared" si="1"/>
        <v>44866</v>
      </c>
      <c r="D48" s="27">
        <f>IF(K48="CREDITO",Q48,Q48*-1)</f>
        <v>8</v>
      </c>
      <c r="E48" s="13" t="s">
        <v>184</v>
      </c>
      <c r="F48" s="13" t="s">
        <v>25</v>
      </c>
      <c r="G48" s="14">
        <v>44879</v>
      </c>
      <c r="H48" s="13" t="s">
        <v>160</v>
      </c>
      <c r="I48" s="13" t="s">
        <v>81</v>
      </c>
      <c r="J48" s="13" t="s">
        <v>54</v>
      </c>
      <c r="K48" s="13" t="s">
        <v>29</v>
      </c>
      <c r="L48" s="13" t="s">
        <v>30</v>
      </c>
      <c r="M48" s="13" t="s">
        <v>185</v>
      </c>
      <c r="N48" s="13"/>
      <c r="O48" s="13" t="s">
        <v>56</v>
      </c>
      <c r="P48" s="13" t="s">
        <v>71</v>
      </c>
      <c r="Q48" s="13">
        <v>8</v>
      </c>
      <c r="R48" s="13" t="s">
        <v>35</v>
      </c>
      <c r="S48" s="13" t="s">
        <v>35</v>
      </c>
      <c r="T48" s="13" t="s">
        <v>35</v>
      </c>
      <c r="U48" s="13" t="s">
        <v>35</v>
      </c>
      <c r="V48" s="13"/>
      <c r="W48" s="13"/>
      <c r="X48" s="13" t="s">
        <v>81</v>
      </c>
      <c r="Y48" s="13" t="s">
        <v>54</v>
      </c>
      <c r="Z48" s="13"/>
      <c r="AA48" s="13"/>
      <c r="AB48" s="13" t="s">
        <v>37</v>
      </c>
    </row>
    <row r="49" spans="1:28" hidden="1" x14ac:dyDescent="0.25">
      <c r="A49" s="7" t="str">
        <f>IFERROR(VLOOKUP(H49,'Contas Orç'!A:B,2,0),"N/A")</f>
        <v>DESPESAS GERAIS</v>
      </c>
      <c r="B49" s="7" t="str">
        <f t="shared" si="0"/>
        <v>330409 - DESPESAS GERAIS</v>
      </c>
      <c r="C49" s="25">
        <f t="shared" si="1"/>
        <v>44866</v>
      </c>
      <c r="D49" s="27">
        <f>IF(K49="CREDITO",Q49,Q49*-1)</f>
        <v>13</v>
      </c>
      <c r="E49" s="13" t="s">
        <v>184</v>
      </c>
      <c r="F49" s="13" t="s">
        <v>38</v>
      </c>
      <c r="G49" s="14">
        <v>44879</v>
      </c>
      <c r="H49" s="13" t="s">
        <v>160</v>
      </c>
      <c r="I49" s="13" t="s">
        <v>81</v>
      </c>
      <c r="J49" s="13" t="s">
        <v>54</v>
      </c>
      <c r="K49" s="13" t="s">
        <v>29</v>
      </c>
      <c r="L49" s="13" t="s">
        <v>30</v>
      </c>
      <c r="M49" s="13" t="s">
        <v>187</v>
      </c>
      <c r="N49" s="13"/>
      <c r="O49" s="13" t="s">
        <v>56</v>
      </c>
      <c r="P49" s="13" t="s">
        <v>71</v>
      </c>
      <c r="Q49" s="13">
        <v>13</v>
      </c>
      <c r="R49" s="13" t="s">
        <v>35</v>
      </c>
      <c r="S49" s="13" t="s">
        <v>35</v>
      </c>
      <c r="T49" s="13" t="s">
        <v>35</v>
      </c>
      <c r="U49" s="13" t="s">
        <v>35</v>
      </c>
      <c r="V49" s="13"/>
      <c r="W49" s="13"/>
      <c r="X49" s="13" t="s">
        <v>81</v>
      </c>
      <c r="Y49" s="13" t="s">
        <v>54</v>
      </c>
      <c r="Z49" s="13"/>
      <c r="AA49" s="13"/>
      <c r="AB49" s="13" t="s">
        <v>37</v>
      </c>
    </row>
    <row r="50" spans="1:28" hidden="1" x14ac:dyDescent="0.25">
      <c r="A50" s="7" t="str">
        <f>IFERROR(VLOOKUP(H50,'Contas Orç'!A:B,2,0),"N/A")</f>
        <v>DESPESAS GERAIS</v>
      </c>
      <c r="B50" s="7" t="str">
        <f t="shared" si="0"/>
        <v>330409 - DESPESAS GERAIS</v>
      </c>
      <c r="C50" s="25">
        <f t="shared" si="1"/>
        <v>44866</v>
      </c>
      <c r="D50" s="27">
        <f>IF(K50="CREDITO",Q50,Q50*-1)</f>
        <v>3</v>
      </c>
      <c r="E50" s="13" t="s">
        <v>184</v>
      </c>
      <c r="F50" s="13" t="s">
        <v>48</v>
      </c>
      <c r="G50" s="14">
        <v>44879</v>
      </c>
      <c r="H50" s="13" t="s">
        <v>160</v>
      </c>
      <c r="I50" s="13" t="s">
        <v>81</v>
      </c>
      <c r="J50" s="13" t="s">
        <v>54</v>
      </c>
      <c r="K50" s="13" t="s">
        <v>29</v>
      </c>
      <c r="L50" s="13" t="s">
        <v>30</v>
      </c>
      <c r="M50" s="13" t="s">
        <v>189</v>
      </c>
      <c r="N50" s="13"/>
      <c r="O50" s="13" t="s">
        <v>56</v>
      </c>
      <c r="P50" s="13" t="s">
        <v>71</v>
      </c>
      <c r="Q50" s="13">
        <v>3</v>
      </c>
      <c r="R50" s="13" t="s">
        <v>35</v>
      </c>
      <c r="S50" s="13" t="s">
        <v>35</v>
      </c>
      <c r="T50" s="13" t="s">
        <v>35</v>
      </c>
      <c r="U50" s="13" t="s">
        <v>35</v>
      </c>
      <c r="V50" s="13"/>
      <c r="W50" s="13"/>
      <c r="X50" s="13" t="s">
        <v>81</v>
      </c>
      <c r="Y50" s="13" t="s">
        <v>54</v>
      </c>
      <c r="Z50" s="13"/>
      <c r="AA50" s="13"/>
      <c r="AB50" s="13" t="s">
        <v>37</v>
      </c>
    </row>
    <row r="51" spans="1:28" hidden="1" x14ac:dyDescent="0.25">
      <c r="A51" s="7" t="str">
        <f>IFERROR(VLOOKUP(H51,'Contas Orç'!A:B,2,0),"N/A")</f>
        <v>DESPESAS GERAIS</v>
      </c>
      <c r="B51" s="7" t="str">
        <f t="shared" si="0"/>
        <v>330409 - DESPESAS GERAIS</v>
      </c>
      <c r="C51" s="25">
        <f t="shared" si="1"/>
        <v>44866</v>
      </c>
      <c r="D51" s="27">
        <f>IF(K51="CREDITO",Q51,Q51*-1)</f>
        <v>1</v>
      </c>
      <c r="E51" s="13" t="s">
        <v>184</v>
      </c>
      <c r="F51" s="13" t="s">
        <v>50</v>
      </c>
      <c r="G51" s="14">
        <v>44879</v>
      </c>
      <c r="H51" s="13" t="s">
        <v>160</v>
      </c>
      <c r="I51" s="13" t="s">
        <v>81</v>
      </c>
      <c r="J51" s="13" t="s">
        <v>54</v>
      </c>
      <c r="K51" s="13" t="s">
        <v>29</v>
      </c>
      <c r="L51" s="13" t="s">
        <v>30</v>
      </c>
      <c r="M51" s="13" t="s">
        <v>191</v>
      </c>
      <c r="N51" s="13"/>
      <c r="O51" s="13" t="s">
        <v>56</v>
      </c>
      <c r="P51" s="13" t="s">
        <v>71</v>
      </c>
      <c r="Q51" s="13">
        <v>1</v>
      </c>
      <c r="R51" s="13" t="s">
        <v>35</v>
      </c>
      <c r="S51" s="13" t="s">
        <v>35</v>
      </c>
      <c r="T51" s="13" t="s">
        <v>35</v>
      </c>
      <c r="U51" s="13" t="s">
        <v>35</v>
      </c>
      <c r="V51" s="13"/>
      <c r="W51" s="13"/>
      <c r="X51" s="13" t="s">
        <v>81</v>
      </c>
      <c r="Y51" s="13" t="s">
        <v>54</v>
      </c>
      <c r="Z51" s="13"/>
      <c r="AA51" s="13"/>
      <c r="AB51" s="13" t="s">
        <v>37</v>
      </c>
    </row>
    <row r="52" spans="1:28" hidden="1" x14ac:dyDescent="0.25">
      <c r="A52" s="7" t="str">
        <f>IFERROR(VLOOKUP(H52,'Contas Orç'!A:B,2,0),"N/A")</f>
        <v>DESPESAS GERAIS</v>
      </c>
      <c r="B52" s="7" t="str">
        <f t="shared" si="0"/>
        <v>330409 - DESPESAS GERAIS</v>
      </c>
      <c r="C52" s="25">
        <f t="shared" si="1"/>
        <v>44866</v>
      </c>
      <c r="D52" s="27">
        <f>IF(K52="CREDITO",Q52,Q52*-1)</f>
        <v>49</v>
      </c>
      <c r="E52" s="13" t="s">
        <v>184</v>
      </c>
      <c r="F52" s="13" t="s">
        <v>87</v>
      </c>
      <c r="G52" s="14">
        <v>44879</v>
      </c>
      <c r="H52" s="13" t="s">
        <v>160</v>
      </c>
      <c r="I52" s="13" t="s">
        <v>81</v>
      </c>
      <c r="J52" s="13" t="s">
        <v>54</v>
      </c>
      <c r="K52" s="13" t="s">
        <v>29</v>
      </c>
      <c r="L52" s="13" t="s">
        <v>30</v>
      </c>
      <c r="M52" s="13" t="s">
        <v>192</v>
      </c>
      <c r="N52" s="13"/>
      <c r="O52" s="13" t="s">
        <v>56</v>
      </c>
      <c r="P52" s="13" t="s">
        <v>71</v>
      </c>
      <c r="Q52" s="13">
        <v>49</v>
      </c>
      <c r="R52" s="13" t="s">
        <v>35</v>
      </c>
      <c r="S52" s="13" t="s">
        <v>35</v>
      </c>
      <c r="T52" s="13" t="s">
        <v>35</v>
      </c>
      <c r="U52" s="13" t="s">
        <v>35</v>
      </c>
      <c r="V52" s="13"/>
      <c r="W52" s="13"/>
      <c r="X52" s="13" t="s">
        <v>81</v>
      </c>
      <c r="Y52" s="13" t="s">
        <v>54</v>
      </c>
      <c r="Z52" s="13"/>
      <c r="AA52" s="13"/>
      <c r="AB52" s="13" t="s">
        <v>37</v>
      </c>
    </row>
    <row r="53" spans="1:28" hidden="1" x14ac:dyDescent="0.25">
      <c r="A53" s="7" t="str">
        <f>IFERROR(VLOOKUP(H53,'Contas Orç'!A:B,2,0),"N/A")</f>
        <v>DESPESAS GERAIS</v>
      </c>
      <c r="B53" s="7" t="str">
        <f t="shared" si="0"/>
        <v>330409 - DESPESAS GERAIS</v>
      </c>
      <c r="C53" s="25">
        <f t="shared" si="1"/>
        <v>44866</v>
      </c>
      <c r="D53" s="27">
        <f>IF(K53="CREDITO",Q53,Q53*-1)</f>
        <v>2</v>
      </c>
      <c r="E53" s="13" t="s">
        <v>184</v>
      </c>
      <c r="F53" s="13" t="s">
        <v>91</v>
      </c>
      <c r="G53" s="14">
        <v>44879</v>
      </c>
      <c r="H53" s="13" t="s">
        <v>160</v>
      </c>
      <c r="I53" s="13" t="s">
        <v>81</v>
      </c>
      <c r="J53" s="13" t="s">
        <v>54</v>
      </c>
      <c r="K53" s="13" t="s">
        <v>29</v>
      </c>
      <c r="L53" s="13" t="s">
        <v>30</v>
      </c>
      <c r="M53" s="13" t="s">
        <v>194</v>
      </c>
      <c r="N53" s="13"/>
      <c r="O53" s="13" t="s">
        <v>56</v>
      </c>
      <c r="P53" s="13" t="s">
        <v>71</v>
      </c>
      <c r="Q53" s="13">
        <v>2</v>
      </c>
      <c r="R53" s="13" t="s">
        <v>35</v>
      </c>
      <c r="S53" s="13" t="s">
        <v>35</v>
      </c>
      <c r="T53" s="13" t="s">
        <v>35</v>
      </c>
      <c r="U53" s="13" t="s">
        <v>35</v>
      </c>
      <c r="V53" s="13"/>
      <c r="W53" s="13"/>
      <c r="X53" s="13" t="s">
        <v>81</v>
      </c>
      <c r="Y53" s="13" t="s">
        <v>54</v>
      </c>
      <c r="Z53" s="13"/>
      <c r="AA53" s="13"/>
      <c r="AB53" s="13" t="s">
        <v>37</v>
      </c>
    </row>
    <row r="54" spans="1:28" hidden="1" x14ac:dyDescent="0.25">
      <c r="A54" s="7" t="str">
        <f>IFERROR(VLOOKUP(H54,'Contas Orç'!A:B,2,0),"N/A")</f>
        <v>DESPESAS GERAIS</v>
      </c>
      <c r="B54" s="7" t="str">
        <f t="shared" si="0"/>
        <v>330409 - DESPESAS GERAIS</v>
      </c>
      <c r="C54" s="25">
        <f t="shared" si="1"/>
        <v>44866</v>
      </c>
      <c r="D54" s="27">
        <f>IF(K54="CREDITO",Q54,Q54*-1)</f>
        <v>15</v>
      </c>
      <c r="E54" s="13" t="s">
        <v>184</v>
      </c>
      <c r="F54" s="13" t="s">
        <v>94</v>
      </c>
      <c r="G54" s="14">
        <v>44879</v>
      </c>
      <c r="H54" s="13" t="s">
        <v>160</v>
      </c>
      <c r="I54" s="13" t="s">
        <v>81</v>
      </c>
      <c r="J54" s="13" t="s">
        <v>54</v>
      </c>
      <c r="K54" s="13" t="s">
        <v>29</v>
      </c>
      <c r="L54" s="13" t="s">
        <v>30</v>
      </c>
      <c r="M54" s="13" t="s">
        <v>196</v>
      </c>
      <c r="N54" s="13"/>
      <c r="O54" s="13" t="s">
        <v>56</v>
      </c>
      <c r="P54" s="13" t="s">
        <v>71</v>
      </c>
      <c r="Q54" s="13">
        <v>15</v>
      </c>
      <c r="R54" s="13" t="s">
        <v>35</v>
      </c>
      <c r="S54" s="13" t="s">
        <v>35</v>
      </c>
      <c r="T54" s="13" t="s">
        <v>35</v>
      </c>
      <c r="U54" s="13" t="s">
        <v>35</v>
      </c>
      <c r="V54" s="13"/>
      <c r="W54" s="13"/>
      <c r="X54" s="13" t="s">
        <v>81</v>
      </c>
      <c r="Y54" s="13" t="s">
        <v>54</v>
      </c>
      <c r="Z54" s="13"/>
      <c r="AA54" s="13"/>
      <c r="AB54" s="13" t="s">
        <v>37</v>
      </c>
    </row>
    <row r="55" spans="1:28" hidden="1" x14ac:dyDescent="0.25">
      <c r="A55" s="7" t="str">
        <f>IFERROR(VLOOKUP(H55,'Contas Orç'!A:B,2,0),"N/A")</f>
        <v>DESPESAS GERAIS</v>
      </c>
      <c r="B55" s="7" t="str">
        <f t="shared" si="0"/>
        <v>330409 - DESPESAS GERAIS</v>
      </c>
      <c r="C55" s="25">
        <f t="shared" si="1"/>
        <v>44866</v>
      </c>
      <c r="D55" s="27">
        <f>IF(K55="CREDITO",Q55,Q55*-1)</f>
        <v>5</v>
      </c>
      <c r="E55" s="13" t="s">
        <v>184</v>
      </c>
      <c r="F55" s="13" t="s">
        <v>98</v>
      </c>
      <c r="G55" s="14">
        <v>44879</v>
      </c>
      <c r="H55" s="13" t="s">
        <v>160</v>
      </c>
      <c r="I55" s="13" t="s">
        <v>81</v>
      </c>
      <c r="J55" s="13" t="s">
        <v>54</v>
      </c>
      <c r="K55" s="13" t="s">
        <v>29</v>
      </c>
      <c r="L55" s="13" t="s">
        <v>30</v>
      </c>
      <c r="M55" s="13" t="s">
        <v>198</v>
      </c>
      <c r="N55" s="13"/>
      <c r="O55" s="13" t="s">
        <v>56</v>
      </c>
      <c r="P55" s="13" t="s">
        <v>71</v>
      </c>
      <c r="Q55" s="13">
        <v>5</v>
      </c>
      <c r="R55" s="13" t="s">
        <v>35</v>
      </c>
      <c r="S55" s="13" t="s">
        <v>35</v>
      </c>
      <c r="T55" s="13" t="s">
        <v>35</v>
      </c>
      <c r="U55" s="13" t="s">
        <v>35</v>
      </c>
      <c r="V55" s="13"/>
      <c r="W55" s="13"/>
      <c r="X55" s="13" t="s">
        <v>81</v>
      </c>
      <c r="Y55" s="13" t="s">
        <v>54</v>
      </c>
      <c r="Z55" s="13"/>
      <c r="AA55" s="13"/>
      <c r="AB55" s="13" t="s">
        <v>37</v>
      </c>
    </row>
    <row r="56" spans="1:28" hidden="1" x14ac:dyDescent="0.25">
      <c r="A56" s="7" t="str">
        <f>IFERROR(VLOOKUP(H56,'Contas Orç'!A:B,2,0),"N/A")</f>
        <v>DESPESAS GERAIS</v>
      </c>
      <c r="B56" s="7" t="str">
        <f t="shared" si="0"/>
        <v>330409 - DESPESAS GERAIS</v>
      </c>
      <c r="C56" s="25">
        <f t="shared" si="1"/>
        <v>44866</v>
      </c>
      <c r="D56" s="27">
        <f>IF(K56="CREDITO",Q56,Q56*-1)</f>
        <v>1</v>
      </c>
      <c r="E56" s="13" t="s">
        <v>184</v>
      </c>
      <c r="F56" s="13" t="s">
        <v>102</v>
      </c>
      <c r="G56" s="14">
        <v>44879</v>
      </c>
      <c r="H56" s="13" t="s">
        <v>160</v>
      </c>
      <c r="I56" s="13" t="s">
        <v>81</v>
      </c>
      <c r="J56" s="13" t="s">
        <v>54</v>
      </c>
      <c r="K56" s="13" t="s">
        <v>29</v>
      </c>
      <c r="L56" s="13" t="s">
        <v>30</v>
      </c>
      <c r="M56" s="13" t="s">
        <v>200</v>
      </c>
      <c r="N56" s="13"/>
      <c r="O56" s="13" t="s">
        <v>56</v>
      </c>
      <c r="P56" s="13" t="s">
        <v>71</v>
      </c>
      <c r="Q56" s="13">
        <v>1</v>
      </c>
      <c r="R56" s="13" t="s">
        <v>35</v>
      </c>
      <c r="S56" s="13" t="s">
        <v>35</v>
      </c>
      <c r="T56" s="13" t="s">
        <v>35</v>
      </c>
      <c r="U56" s="13" t="s">
        <v>35</v>
      </c>
      <c r="V56" s="13"/>
      <c r="W56" s="13"/>
      <c r="X56" s="13" t="s">
        <v>81</v>
      </c>
      <c r="Y56" s="13" t="s">
        <v>54</v>
      </c>
      <c r="Z56" s="13"/>
      <c r="AA56" s="13"/>
      <c r="AB56" s="13" t="s">
        <v>37</v>
      </c>
    </row>
    <row r="57" spans="1:28" hidden="1" x14ac:dyDescent="0.25">
      <c r="A57" s="7" t="str">
        <f>IFERROR(VLOOKUP(H57,'Contas Orç'!A:B,2,0),"N/A")</f>
        <v>PECAS E ACESSORIOS</v>
      </c>
      <c r="B57" s="7" t="str">
        <f t="shared" si="0"/>
        <v>330301004 - PECAS E ACESSORIOS</v>
      </c>
      <c r="C57" s="25">
        <f t="shared" si="1"/>
        <v>44866</v>
      </c>
      <c r="D57" s="27">
        <f>IF(K57="CREDITO",Q57,Q57*-1)</f>
        <v>27</v>
      </c>
      <c r="E57" s="13" t="s">
        <v>201</v>
      </c>
      <c r="F57" s="13" t="s">
        <v>25</v>
      </c>
      <c r="G57" s="14">
        <v>44879</v>
      </c>
      <c r="H57" s="13" t="s">
        <v>39</v>
      </c>
      <c r="I57" s="13" t="s">
        <v>81</v>
      </c>
      <c r="J57" s="13" t="s">
        <v>54</v>
      </c>
      <c r="K57" s="13" t="s">
        <v>29</v>
      </c>
      <c r="L57" s="13" t="s">
        <v>30</v>
      </c>
      <c r="M57" s="13" t="s">
        <v>202</v>
      </c>
      <c r="N57" s="13"/>
      <c r="O57" s="13" t="s">
        <v>56</v>
      </c>
      <c r="P57" s="13" t="s">
        <v>71</v>
      </c>
      <c r="Q57" s="13">
        <v>27</v>
      </c>
      <c r="R57" s="13" t="s">
        <v>35</v>
      </c>
      <c r="S57" s="13" t="s">
        <v>35</v>
      </c>
      <c r="T57" s="13" t="s">
        <v>35</v>
      </c>
      <c r="U57" s="13" t="s">
        <v>35</v>
      </c>
      <c r="V57" s="13"/>
      <c r="W57" s="13"/>
      <c r="X57" s="13" t="s">
        <v>81</v>
      </c>
      <c r="Y57" s="13" t="s">
        <v>54</v>
      </c>
      <c r="Z57" s="13"/>
      <c r="AA57" s="13"/>
      <c r="AB57" s="13" t="s">
        <v>37</v>
      </c>
    </row>
    <row r="58" spans="1:28" hidden="1" x14ac:dyDescent="0.25">
      <c r="A58" s="7" t="str">
        <f>IFERROR(VLOOKUP(H58,'Contas Orç'!A:B,2,0),"N/A")</f>
        <v>COMBUSTIVEIS</v>
      </c>
      <c r="B58" s="7" t="str">
        <f t="shared" si="0"/>
        <v>320301001 - COMBUSTIVEIS</v>
      </c>
      <c r="C58" s="25">
        <f t="shared" si="1"/>
        <v>44866</v>
      </c>
      <c r="D58" s="27">
        <f>IF(K58="CREDITO",Q58,Q58*-1)</f>
        <v>1560</v>
      </c>
      <c r="E58" s="13" t="s">
        <v>204</v>
      </c>
      <c r="F58" s="13" t="s">
        <v>25</v>
      </c>
      <c r="G58" s="14">
        <v>44879</v>
      </c>
      <c r="H58" s="13" t="s">
        <v>205</v>
      </c>
      <c r="I58" s="13" t="s">
        <v>27</v>
      </c>
      <c r="J58" s="13" t="s">
        <v>28</v>
      </c>
      <c r="K58" s="13" t="s">
        <v>29</v>
      </c>
      <c r="L58" s="13" t="s">
        <v>30</v>
      </c>
      <c r="M58" s="13" t="s">
        <v>206</v>
      </c>
      <c r="N58" s="13"/>
      <c r="O58" s="13" t="s">
        <v>56</v>
      </c>
      <c r="P58" s="13" t="s">
        <v>71</v>
      </c>
      <c r="Q58" s="23">
        <v>1560</v>
      </c>
      <c r="R58" s="13" t="s">
        <v>35</v>
      </c>
      <c r="S58" s="13" t="s">
        <v>35</v>
      </c>
      <c r="T58" s="13" t="s">
        <v>35</v>
      </c>
      <c r="U58" s="13" t="s">
        <v>35</v>
      </c>
      <c r="V58" s="13"/>
      <c r="W58" s="13"/>
      <c r="X58" s="13" t="s">
        <v>27</v>
      </c>
      <c r="Y58" s="13" t="s">
        <v>28</v>
      </c>
      <c r="Z58" s="13"/>
      <c r="AA58" s="13"/>
      <c r="AB58" s="13" t="s">
        <v>37</v>
      </c>
    </row>
    <row r="59" spans="1:28" hidden="1" x14ac:dyDescent="0.25">
      <c r="A59" s="7" t="str">
        <f>IFERROR(VLOOKUP(H59,'Contas Orç'!A:B,2,0),"N/A")</f>
        <v>PJ-OUTROS SERVICOS CONTRATADOS-PJ</v>
      </c>
      <c r="B59" s="7" t="str">
        <f t="shared" si="0"/>
        <v>330201006 - PJ-OUTROS SERVICOS CONTRATADOS-PJ</v>
      </c>
      <c r="C59" s="25">
        <f t="shared" si="1"/>
        <v>44866</v>
      </c>
      <c r="D59" s="27">
        <f>IF(K59="CREDITO",Q59,Q59*-1)</f>
        <v>14060</v>
      </c>
      <c r="E59" s="13" t="s">
        <v>208</v>
      </c>
      <c r="F59" s="13" t="s">
        <v>25</v>
      </c>
      <c r="G59" s="14">
        <v>44879</v>
      </c>
      <c r="H59" s="13" t="s">
        <v>67</v>
      </c>
      <c r="I59" s="13" t="s">
        <v>81</v>
      </c>
      <c r="J59" s="13" t="s">
        <v>54</v>
      </c>
      <c r="K59" s="13" t="s">
        <v>29</v>
      </c>
      <c r="L59" s="13" t="s">
        <v>30</v>
      </c>
      <c r="M59" s="13" t="s">
        <v>209</v>
      </c>
      <c r="N59" s="13"/>
      <c r="O59" s="13" t="s">
        <v>56</v>
      </c>
      <c r="P59" s="13" t="s">
        <v>71</v>
      </c>
      <c r="Q59" s="23">
        <v>14060</v>
      </c>
      <c r="R59" s="13" t="s">
        <v>35</v>
      </c>
      <c r="S59" s="13" t="s">
        <v>35</v>
      </c>
      <c r="T59" s="13" t="s">
        <v>35</v>
      </c>
      <c r="U59" s="13" t="s">
        <v>35</v>
      </c>
      <c r="V59" s="13"/>
      <c r="W59" s="13"/>
      <c r="X59" s="13" t="s">
        <v>81</v>
      </c>
      <c r="Y59" s="13" t="s">
        <v>54</v>
      </c>
      <c r="Z59" s="13"/>
      <c r="AA59" s="13"/>
      <c r="AB59" s="13" t="s">
        <v>37</v>
      </c>
    </row>
    <row r="60" spans="1:28" hidden="1" x14ac:dyDescent="0.25">
      <c r="A60" s="7" t="str">
        <f>IFERROR(VLOOKUP(H60,'Contas Orç'!A:B,2,0),"N/A")</f>
        <v>PJ-OUTROS SERVICOS CONTRATADOS-PJ</v>
      </c>
      <c r="B60" s="7" t="str">
        <f t="shared" si="0"/>
        <v>320201006 - PJ-OUTROS SERVICOS CONTRATADOS-PJ</v>
      </c>
      <c r="C60" s="25">
        <f t="shared" si="1"/>
        <v>44866</v>
      </c>
      <c r="D60" s="27">
        <f>IF(K60="CREDITO",Q60,Q60*-1)</f>
        <v>2400</v>
      </c>
      <c r="E60" s="13" t="s">
        <v>211</v>
      </c>
      <c r="F60" s="13" t="s">
        <v>25</v>
      </c>
      <c r="G60" s="14">
        <v>44879</v>
      </c>
      <c r="H60" s="13" t="s">
        <v>144</v>
      </c>
      <c r="I60" s="13" t="s">
        <v>59</v>
      </c>
      <c r="J60" s="13" t="s">
        <v>54</v>
      </c>
      <c r="K60" s="13" t="s">
        <v>29</v>
      </c>
      <c r="L60" s="13" t="s">
        <v>30</v>
      </c>
      <c r="M60" s="13" t="s">
        <v>212</v>
      </c>
      <c r="N60" s="13"/>
      <c r="O60" s="13" t="s">
        <v>56</v>
      </c>
      <c r="P60" s="13" t="s">
        <v>71</v>
      </c>
      <c r="Q60" s="23">
        <v>2400</v>
      </c>
      <c r="R60" s="13" t="s">
        <v>35</v>
      </c>
      <c r="S60" s="13" t="s">
        <v>35</v>
      </c>
      <c r="T60" s="13" t="s">
        <v>35</v>
      </c>
      <c r="U60" s="13" t="s">
        <v>35</v>
      </c>
      <c r="V60" s="13"/>
      <c r="W60" s="13"/>
      <c r="X60" s="13" t="s">
        <v>59</v>
      </c>
      <c r="Y60" s="13" t="s">
        <v>54</v>
      </c>
      <c r="Z60" s="13"/>
      <c r="AA60" s="13"/>
      <c r="AB60" s="13" t="s">
        <v>37</v>
      </c>
    </row>
    <row r="61" spans="1:28" hidden="1" x14ac:dyDescent="0.25">
      <c r="A61" s="7" t="str">
        <f>IFERROR(VLOOKUP(H61,'Contas Orç'!A:B,2,0),"N/A")</f>
        <v>SERVICOS E MANUTENCAO DE VEICULOS EQ</v>
      </c>
      <c r="B61" s="7" t="str">
        <f t="shared" si="0"/>
        <v>320301006 - SERVICOS E MANUTENCAO DE VEICULOS EQ</v>
      </c>
      <c r="C61" s="25">
        <f t="shared" si="1"/>
        <v>44866</v>
      </c>
      <c r="D61" s="27">
        <f>IF(K61="CREDITO",Q61,Q61*-1)</f>
        <v>198</v>
      </c>
      <c r="E61" s="13" t="s">
        <v>214</v>
      </c>
      <c r="F61" s="13" t="s">
        <v>25</v>
      </c>
      <c r="G61" s="14">
        <v>44879</v>
      </c>
      <c r="H61" s="13" t="s">
        <v>215</v>
      </c>
      <c r="I61" s="13" t="s">
        <v>27</v>
      </c>
      <c r="J61" s="13" t="s">
        <v>28</v>
      </c>
      <c r="K61" s="13" t="s">
        <v>29</v>
      </c>
      <c r="L61" s="13" t="s">
        <v>30</v>
      </c>
      <c r="M61" s="13" t="s">
        <v>216</v>
      </c>
      <c r="N61" s="13"/>
      <c r="O61" s="13" t="s">
        <v>56</v>
      </c>
      <c r="P61" s="13" t="s">
        <v>71</v>
      </c>
      <c r="Q61" s="13">
        <v>198</v>
      </c>
      <c r="R61" s="13" t="s">
        <v>35</v>
      </c>
      <c r="S61" s="13" t="s">
        <v>35</v>
      </c>
      <c r="T61" s="13" t="s">
        <v>35</v>
      </c>
      <c r="U61" s="13" t="s">
        <v>35</v>
      </c>
      <c r="V61" s="13"/>
      <c r="W61" s="13"/>
      <c r="X61" s="13" t="s">
        <v>27</v>
      </c>
      <c r="Y61" s="13" t="s">
        <v>28</v>
      </c>
      <c r="Z61" s="13"/>
      <c r="AA61" s="13"/>
      <c r="AB61" s="13" t="s">
        <v>37</v>
      </c>
    </row>
    <row r="62" spans="1:28" hidden="1" x14ac:dyDescent="0.25">
      <c r="A62" s="7" t="str">
        <f>IFERROR(VLOOKUP(H62,'Contas Orç'!A:B,2,0),"N/A")</f>
        <v>PECAS E ACESSORIOS</v>
      </c>
      <c r="B62" s="7" t="str">
        <f t="shared" si="0"/>
        <v>330301004 - PECAS E ACESSORIOS</v>
      </c>
      <c r="C62" s="25">
        <f t="shared" si="1"/>
        <v>44866</v>
      </c>
      <c r="D62" s="27">
        <f>IF(K62="CREDITO",Q62,Q62*-1)</f>
        <v>60</v>
      </c>
      <c r="E62" s="13" t="s">
        <v>218</v>
      </c>
      <c r="F62" s="13" t="s">
        <v>25</v>
      </c>
      <c r="G62" s="14">
        <v>44879</v>
      </c>
      <c r="H62" s="13" t="s">
        <v>39</v>
      </c>
      <c r="I62" s="13" t="s">
        <v>81</v>
      </c>
      <c r="J62" s="13" t="s">
        <v>54</v>
      </c>
      <c r="K62" s="13" t="s">
        <v>29</v>
      </c>
      <c r="L62" s="13" t="s">
        <v>30</v>
      </c>
      <c r="M62" s="13" t="s">
        <v>219</v>
      </c>
      <c r="N62" s="13"/>
      <c r="O62" s="13" t="s">
        <v>56</v>
      </c>
      <c r="P62" s="13" t="s">
        <v>71</v>
      </c>
      <c r="Q62" s="13">
        <v>60</v>
      </c>
      <c r="R62" s="13" t="s">
        <v>35</v>
      </c>
      <c r="S62" s="13" t="s">
        <v>35</v>
      </c>
      <c r="T62" s="13" t="s">
        <v>35</v>
      </c>
      <c r="U62" s="13" t="s">
        <v>35</v>
      </c>
      <c r="V62" s="13"/>
      <c r="W62" s="13"/>
      <c r="X62" s="13" t="s">
        <v>81</v>
      </c>
      <c r="Y62" s="13" t="s">
        <v>54</v>
      </c>
      <c r="Z62" s="13"/>
      <c r="AA62" s="13"/>
      <c r="AB62" s="13" t="s">
        <v>37</v>
      </c>
    </row>
    <row r="63" spans="1:28" hidden="1" x14ac:dyDescent="0.25">
      <c r="A63" s="7" t="str">
        <f>IFERROR(VLOOKUP(H63,'Contas Orç'!A:B,2,0),"N/A")</f>
        <v>PECAS E ACESSORIOS</v>
      </c>
      <c r="B63" s="7" t="str">
        <f t="shared" si="0"/>
        <v>330301004 - PECAS E ACESSORIOS</v>
      </c>
      <c r="C63" s="25">
        <f t="shared" si="1"/>
        <v>44866</v>
      </c>
      <c r="D63" s="27">
        <f>IF(K63="CREDITO",Q63,Q63*-1)</f>
        <v>150</v>
      </c>
      <c r="E63" s="13" t="s">
        <v>218</v>
      </c>
      <c r="F63" s="13" t="s">
        <v>38</v>
      </c>
      <c r="G63" s="14">
        <v>44879</v>
      </c>
      <c r="H63" s="13" t="s">
        <v>39</v>
      </c>
      <c r="I63" s="13" t="s">
        <v>81</v>
      </c>
      <c r="J63" s="13" t="s">
        <v>54</v>
      </c>
      <c r="K63" s="13" t="s">
        <v>29</v>
      </c>
      <c r="L63" s="13" t="s">
        <v>30</v>
      </c>
      <c r="M63" s="13" t="s">
        <v>221</v>
      </c>
      <c r="N63" s="13"/>
      <c r="O63" s="13" t="s">
        <v>56</v>
      </c>
      <c r="P63" s="13" t="s">
        <v>71</v>
      </c>
      <c r="Q63" s="13">
        <v>150</v>
      </c>
      <c r="R63" s="13" t="s">
        <v>35</v>
      </c>
      <c r="S63" s="13" t="s">
        <v>35</v>
      </c>
      <c r="T63" s="13" t="s">
        <v>35</v>
      </c>
      <c r="U63" s="13" t="s">
        <v>35</v>
      </c>
      <c r="V63" s="13"/>
      <c r="W63" s="13"/>
      <c r="X63" s="13" t="s">
        <v>81</v>
      </c>
      <c r="Y63" s="13" t="s">
        <v>54</v>
      </c>
      <c r="Z63" s="13"/>
      <c r="AA63" s="13"/>
      <c r="AB63" s="13" t="s">
        <v>37</v>
      </c>
    </row>
    <row r="64" spans="1:28" hidden="1" x14ac:dyDescent="0.25">
      <c r="A64" s="7" t="str">
        <f>IFERROR(VLOOKUP(H64,'Contas Orç'!A:B,2,0),"N/A")</f>
        <v>PECAS E ACESSORIOS</v>
      </c>
      <c r="B64" s="7" t="str">
        <f t="shared" si="0"/>
        <v>330301004 - PECAS E ACESSORIOS</v>
      </c>
      <c r="C64" s="25">
        <f t="shared" si="1"/>
        <v>44866</v>
      </c>
      <c r="D64" s="27">
        <f>IF(K64="CREDITO",Q64,Q64*-1)</f>
        <v>45</v>
      </c>
      <c r="E64" s="13" t="s">
        <v>218</v>
      </c>
      <c r="F64" s="13" t="s">
        <v>48</v>
      </c>
      <c r="G64" s="14">
        <v>44879</v>
      </c>
      <c r="H64" s="13" t="s">
        <v>39</v>
      </c>
      <c r="I64" s="13" t="s">
        <v>81</v>
      </c>
      <c r="J64" s="13" t="s">
        <v>54</v>
      </c>
      <c r="K64" s="13" t="s">
        <v>29</v>
      </c>
      <c r="L64" s="13" t="s">
        <v>30</v>
      </c>
      <c r="M64" s="13" t="s">
        <v>223</v>
      </c>
      <c r="N64" s="13"/>
      <c r="O64" s="13" t="s">
        <v>56</v>
      </c>
      <c r="P64" s="13" t="s">
        <v>71</v>
      </c>
      <c r="Q64" s="13">
        <v>45</v>
      </c>
      <c r="R64" s="13" t="s">
        <v>35</v>
      </c>
      <c r="S64" s="13" t="s">
        <v>35</v>
      </c>
      <c r="T64" s="13" t="s">
        <v>35</v>
      </c>
      <c r="U64" s="13" t="s">
        <v>35</v>
      </c>
      <c r="V64" s="13"/>
      <c r="W64" s="13"/>
      <c r="X64" s="13" t="s">
        <v>81</v>
      </c>
      <c r="Y64" s="13" t="s">
        <v>54</v>
      </c>
      <c r="Z64" s="13"/>
      <c r="AA64" s="13"/>
      <c r="AB64" s="13" t="s">
        <v>37</v>
      </c>
    </row>
    <row r="65" spans="1:28" hidden="1" x14ac:dyDescent="0.25">
      <c r="A65" s="7" t="str">
        <f>IFERROR(VLOOKUP(H65,'Contas Orç'!A:B,2,0),"N/A")</f>
        <v>PECAS E ACESSORIOS</v>
      </c>
      <c r="B65" s="7" t="str">
        <f t="shared" si="0"/>
        <v>330301004 - PECAS E ACESSORIOS</v>
      </c>
      <c r="C65" s="25">
        <f t="shared" si="1"/>
        <v>44866</v>
      </c>
      <c r="D65" s="27">
        <f>IF(K65="CREDITO",Q65,Q65*-1)</f>
        <v>30</v>
      </c>
      <c r="E65" s="13" t="s">
        <v>218</v>
      </c>
      <c r="F65" s="13" t="s">
        <v>50</v>
      </c>
      <c r="G65" s="14">
        <v>44879</v>
      </c>
      <c r="H65" s="13" t="s">
        <v>39</v>
      </c>
      <c r="I65" s="13" t="s">
        <v>81</v>
      </c>
      <c r="J65" s="13" t="s">
        <v>54</v>
      </c>
      <c r="K65" s="13" t="s">
        <v>29</v>
      </c>
      <c r="L65" s="13" t="s">
        <v>30</v>
      </c>
      <c r="M65" s="13" t="s">
        <v>225</v>
      </c>
      <c r="N65" s="13"/>
      <c r="O65" s="13" t="s">
        <v>56</v>
      </c>
      <c r="P65" s="13" t="s">
        <v>71</v>
      </c>
      <c r="Q65" s="13">
        <v>30</v>
      </c>
      <c r="R65" s="13" t="s">
        <v>35</v>
      </c>
      <c r="S65" s="13" t="s">
        <v>35</v>
      </c>
      <c r="T65" s="13" t="s">
        <v>35</v>
      </c>
      <c r="U65" s="13" t="s">
        <v>35</v>
      </c>
      <c r="V65" s="13"/>
      <c r="W65" s="13"/>
      <c r="X65" s="13" t="s">
        <v>81</v>
      </c>
      <c r="Y65" s="13" t="s">
        <v>54</v>
      </c>
      <c r="Z65" s="13"/>
      <c r="AA65" s="13"/>
      <c r="AB65" s="13" t="s">
        <v>37</v>
      </c>
    </row>
    <row r="66" spans="1:28" hidden="1" x14ac:dyDescent="0.25">
      <c r="A66" s="7" t="str">
        <f>IFERROR(VLOOKUP(H66,'Contas Orç'!A:B,2,0),"N/A")</f>
        <v>PECAS E ACESSORIOS</v>
      </c>
      <c r="B66" s="7" t="str">
        <f t="shared" si="0"/>
        <v>330301004 - PECAS E ACESSORIOS</v>
      </c>
      <c r="C66" s="25">
        <f t="shared" si="1"/>
        <v>44866</v>
      </c>
      <c r="D66" s="27">
        <f>IF(K66="CREDITO",Q66,Q66*-1)</f>
        <v>330</v>
      </c>
      <c r="E66" s="13" t="s">
        <v>218</v>
      </c>
      <c r="F66" s="13" t="s">
        <v>87</v>
      </c>
      <c r="G66" s="14">
        <v>44879</v>
      </c>
      <c r="H66" s="13" t="s">
        <v>39</v>
      </c>
      <c r="I66" s="13" t="s">
        <v>81</v>
      </c>
      <c r="J66" s="13" t="s">
        <v>54</v>
      </c>
      <c r="K66" s="13" t="s">
        <v>29</v>
      </c>
      <c r="L66" s="13" t="s">
        <v>30</v>
      </c>
      <c r="M66" s="13" t="s">
        <v>227</v>
      </c>
      <c r="N66" s="13"/>
      <c r="O66" s="13" t="s">
        <v>56</v>
      </c>
      <c r="P66" s="13" t="s">
        <v>71</v>
      </c>
      <c r="Q66" s="13">
        <v>330</v>
      </c>
      <c r="R66" s="13" t="s">
        <v>35</v>
      </c>
      <c r="S66" s="13" t="s">
        <v>35</v>
      </c>
      <c r="T66" s="13" t="s">
        <v>35</v>
      </c>
      <c r="U66" s="13" t="s">
        <v>35</v>
      </c>
      <c r="V66" s="13"/>
      <c r="W66" s="13"/>
      <c r="X66" s="13" t="s">
        <v>81</v>
      </c>
      <c r="Y66" s="13" t="s">
        <v>54</v>
      </c>
      <c r="Z66" s="13"/>
      <c r="AA66" s="13"/>
      <c r="AB66" s="13" t="s">
        <v>37</v>
      </c>
    </row>
    <row r="67" spans="1:28" hidden="1" x14ac:dyDescent="0.25">
      <c r="A67" s="7" t="str">
        <f>IFERROR(VLOOKUP(H67,'Contas Orç'!A:B,2,0),"N/A")</f>
        <v>PECAS E ACESSORIOS</v>
      </c>
      <c r="B67" s="7" t="str">
        <f t="shared" ref="B67:B130" si="2">_xlfn.CONCAT(H67," - ",A67)</f>
        <v>330301004 - PECAS E ACESSORIOS</v>
      </c>
      <c r="C67" s="25">
        <f t="shared" ref="C67:C130" si="3">DATE(YEAR(G67),MONTH(G67),1)</f>
        <v>44866</v>
      </c>
      <c r="D67" s="27">
        <f>IF(K67="CREDITO",Q67,Q67*-1)</f>
        <v>1150</v>
      </c>
      <c r="E67" s="13" t="s">
        <v>218</v>
      </c>
      <c r="F67" s="13" t="s">
        <v>91</v>
      </c>
      <c r="G67" s="14">
        <v>44879</v>
      </c>
      <c r="H67" s="13" t="s">
        <v>39</v>
      </c>
      <c r="I67" s="13" t="s">
        <v>81</v>
      </c>
      <c r="J67" s="13" t="s">
        <v>54</v>
      </c>
      <c r="K67" s="13" t="s">
        <v>29</v>
      </c>
      <c r="L67" s="13" t="s">
        <v>30</v>
      </c>
      <c r="M67" s="13" t="s">
        <v>229</v>
      </c>
      <c r="N67" s="13"/>
      <c r="O67" s="13" t="s">
        <v>56</v>
      </c>
      <c r="P67" s="13" t="s">
        <v>71</v>
      </c>
      <c r="Q67" s="23">
        <v>1150</v>
      </c>
      <c r="R67" s="13" t="s">
        <v>35</v>
      </c>
      <c r="S67" s="13" t="s">
        <v>35</v>
      </c>
      <c r="T67" s="13" t="s">
        <v>35</v>
      </c>
      <c r="U67" s="13" t="s">
        <v>35</v>
      </c>
      <c r="V67" s="13"/>
      <c r="W67" s="13"/>
      <c r="X67" s="13" t="s">
        <v>81</v>
      </c>
      <c r="Y67" s="13" t="s">
        <v>54</v>
      </c>
      <c r="Z67" s="13"/>
      <c r="AA67" s="13"/>
      <c r="AB67" s="13" t="s">
        <v>37</v>
      </c>
    </row>
    <row r="68" spans="1:28" hidden="1" x14ac:dyDescent="0.25">
      <c r="A68" s="7" t="str">
        <f>IFERROR(VLOOKUP(H68,'Contas Orç'!A:B,2,0),"N/A")</f>
        <v>PECAS E ACESSORIOS</v>
      </c>
      <c r="B68" s="7" t="str">
        <f t="shared" si="2"/>
        <v>330301004 - PECAS E ACESSORIOS</v>
      </c>
      <c r="C68" s="25">
        <f t="shared" si="3"/>
        <v>44866</v>
      </c>
      <c r="D68" s="27">
        <f>IF(K68="CREDITO",Q68,Q68*-1)</f>
        <v>805</v>
      </c>
      <c r="E68" s="13" t="s">
        <v>218</v>
      </c>
      <c r="F68" s="13" t="s">
        <v>94</v>
      </c>
      <c r="G68" s="14">
        <v>44879</v>
      </c>
      <c r="H68" s="13" t="s">
        <v>39</v>
      </c>
      <c r="I68" s="13" t="s">
        <v>81</v>
      </c>
      <c r="J68" s="13" t="s">
        <v>54</v>
      </c>
      <c r="K68" s="13" t="s">
        <v>29</v>
      </c>
      <c r="L68" s="13" t="s">
        <v>30</v>
      </c>
      <c r="M68" s="13" t="s">
        <v>231</v>
      </c>
      <c r="N68" s="13"/>
      <c r="O68" s="13" t="s">
        <v>56</v>
      </c>
      <c r="P68" s="13" t="s">
        <v>71</v>
      </c>
      <c r="Q68" s="13">
        <v>805</v>
      </c>
      <c r="R68" s="13" t="s">
        <v>35</v>
      </c>
      <c r="S68" s="13" t="s">
        <v>35</v>
      </c>
      <c r="T68" s="13" t="s">
        <v>35</v>
      </c>
      <c r="U68" s="13" t="s">
        <v>35</v>
      </c>
      <c r="V68" s="13"/>
      <c r="W68" s="13"/>
      <c r="X68" s="13" t="s">
        <v>81</v>
      </c>
      <c r="Y68" s="13" t="s">
        <v>54</v>
      </c>
      <c r="Z68" s="13"/>
      <c r="AA68" s="13"/>
      <c r="AB68" s="13" t="s">
        <v>37</v>
      </c>
    </row>
    <row r="69" spans="1:28" hidden="1" x14ac:dyDescent="0.25">
      <c r="A69" s="7" t="str">
        <f>IFERROR(VLOOKUP(H69,'Contas Orç'!A:B,2,0),"N/A")</f>
        <v>PECAS E ACESSORIOS</v>
      </c>
      <c r="B69" s="7" t="str">
        <f t="shared" si="2"/>
        <v>330301004 - PECAS E ACESSORIOS</v>
      </c>
      <c r="C69" s="25">
        <f t="shared" si="3"/>
        <v>44866</v>
      </c>
      <c r="D69" s="27">
        <f>IF(K69="CREDITO",Q69,Q69*-1)</f>
        <v>25</v>
      </c>
      <c r="E69" s="13" t="s">
        <v>218</v>
      </c>
      <c r="F69" s="13" t="s">
        <v>98</v>
      </c>
      <c r="G69" s="14">
        <v>44879</v>
      </c>
      <c r="H69" s="13" t="s">
        <v>39</v>
      </c>
      <c r="I69" s="13" t="s">
        <v>81</v>
      </c>
      <c r="J69" s="13" t="s">
        <v>54</v>
      </c>
      <c r="K69" s="13" t="s">
        <v>29</v>
      </c>
      <c r="L69" s="13" t="s">
        <v>30</v>
      </c>
      <c r="M69" s="13" t="s">
        <v>233</v>
      </c>
      <c r="N69" s="13"/>
      <c r="O69" s="13" t="s">
        <v>56</v>
      </c>
      <c r="P69" s="13" t="s">
        <v>71</v>
      </c>
      <c r="Q69" s="13">
        <v>25</v>
      </c>
      <c r="R69" s="13" t="s">
        <v>35</v>
      </c>
      <c r="S69" s="13" t="s">
        <v>35</v>
      </c>
      <c r="T69" s="13" t="s">
        <v>35</v>
      </c>
      <c r="U69" s="13" t="s">
        <v>35</v>
      </c>
      <c r="V69" s="13"/>
      <c r="W69" s="13"/>
      <c r="X69" s="13" t="s">
        <v>81</v>
      </c>
      <c r="Y69" s="13" t="s">
        <v>54</v>
      </c>
      <c r="Z69" s="13"/>
      <c r="AA69" s="13"/>
      <c r="AB69" s="13" t="s">
        <v>37</v>
      </c>
    </row>
    <row r="70" spans="1:28" hidden="1" x14ac:dyDescent="0.25">
      <c r="A70" s="7" t="str">
        <f>IFERROR(VLOOKUP(H70,'Contas Orç'!A:B,2,0),"N/A")</f>
        <v>PJ-OUTROS SERVICOS CONTRATADOS-PJ</v>
      </c>
      <c r="B70" s="7" t="str">
        <f t="shared" si="2"/>
        <v>330201006 - PJ-OUTROS SERVICOS CONTRATADOS-PJ</v>
      </c>
      <c r="C70" s="25">
        <f t="shared" si="3"/>
        <v>44866</v>
      </c>
      <c r="D70" s="27">
        <f>IF(K70="CREDITO",Q70,Q70*-1)</f>
        <v>150</v>
      </c>
      <c r="E70" s="13" t="s">
        <v>218</v>
      </c>
      <c r="F70" s="13" t="s">
        <v>102</v>
      </c>
      <c r="G70" s="14">
        <v>44879</v>
      </c>
      <c r="H70" s="13" t="s">
        <v>67</v>
      </c>
      <c r="I70" s="13" t="s">
        <v>81</v>
      </c>
      <c r="J70" s="13" t="s">
        <v>54</v>
      </c>
      <c r="K70" s="13" t="s">
        <v>29</v>
      </c>
      <c r="L70" s="13" t="s">
        <v>30</v>
      </c>
      <c r="M70" s="13" t="s">
        <v>234</v>
      </c>
      <c r="N70" s="13"/>
      <c r="O70" s="13" t="s">
        <v>56</v>
      </c>
      <c r="P70" s="13" t="s">
        <v>71</v>
      </c>
      <c r="Q70" s="13">
        <v>150</v>
      </c>
      <c r="R70" s="13" t="s">
        <v>35</v>
      </c>
      <c r="S70" s="13" t="s">
        <v>35</v>
      </c>
      <c r="T70" s="13" t="s">
        <v>35</v>
      </c>
      <c r="U70" s="13" t="s">
        <v>35</v>
      </c>
      <c r="V70" s="13"/>
      <c r="W70" s="13"/>
      <c r="X70" s="13" t="s">
        <v>81</v>
      </c>
      <c r="Y70" s="13" t="s">
        <v>54</v>
      </c>
      <c r="Z70" s="13"/>
      <c r="AA70" s="13"/>
      <c r="AB70" s="13" t="s">
        <v>37</v>
      </c>
    </row>
    <row r="71" spans="1:28" hidden="1" x14ac:dyDescent="0.25">
      <c r="A71" s="7" t="str">
        <f>IFERROR(VLOOKUP(H71,'Contas Orç'!A:B,2,0),"N/A")</f>
        <v>BENEFICIOS</v>
      </c>
      <c r="B71" s="7" t="str">
        <f t="shared" si="2"/>
        <v>330103 - BENEFICIOS</v>
      </c>
      <c r="C71" s="25">
        <f t="shared" si="3"/>
        <v>44866</v>
      </c>
      <c r="D71" s="27">
        <f>IF(K71="CREDITO",Q71,Q71*-1)</f>
        <v>655</v>
      </c>
      <c r="E71" s="13" t="s">
        <v>235</v>
      </c>
      <c r="F71" s="13" t="s">
        <v>25</v>
      </c>
      <c r="G71" s="14">
        <v>44879</v>
      </c>
      <c r="H71" s="13" t="s">
        <v>74</v>
      </c>
      <c r="I71" s="13" t="s">
        <v>75</v>
      </c>
      <c r="J71" s="13" t="s">
        <v>54</v>
      </c>
      <c r="K71" s="13" t="s">
        <v>29</v>
      </c>
      <c r="L71" s="13" t="s">
        <v>43</v>
      </c>
      <c r="M71" s="13" t="s">
        <v>236</v>
      </c>
      <c r="N71" s="13"/>
      <c r="O71" s="13" t="s">
        <v>45</v>
      </c>
      <c r="P71" s="13" t="s">
        <v>237</v>
      </c>
      <c r="Q71" s="13">
        <v>655</v>
      </c>
      <c r="R71" s="13" t="s">
        <v>35</v>
      </c>
      <c r="S71" s="13" t="s">
        <v>35</v>
      </c>
      <c r="T71" s="13" t="s">
        <v>35</v>
      </c>
      <c r="U71" s="13" t="s">
        <v>35</v>
      </c>
      <c r="V71" s="13"/>
      <c r="W71" s="13"/>
      <c r="X71" s="13" t="s">
        <v>75</v>
      </c>
      <c r="Y71" s="13" t="s">
        <v>54</v>
      </c>
      <c r="Z71" s="13"/>
      <c r="AA71" s="13"/>
      <c r="AB71" s="13" t="s">
        <v>37</v>
      </c>
    </row>
    <row r="72" spans="1:28" hidden="1" x14ac:dyDescent="0.25">
      <c r="A72" s="7" t="str">
        <f>IFERROR(VLOOKUP(H72,'Contas Orç'!A:B,2,0),"N/A")</f>
        <v>BENEFICIOS</v>
      </c>
      <c r="B72" s="7" t="str">
        <f t="shared" si="2"/>
        <v>330103 - BENEFICIOS</v>
      </c>
      <c r="C72" s="25">
        <f t="shared" si="3"/>
        <v>44866</v>
      </c>
      <c r="D72" s="27">
        <f>IF(K72="CREDITO",Q72,Q72*-1)</f>
        <v>-655</v>
      </c>
      <c r="E72" s="13" t="s">
        <v>235</v>
      </c>
      <c r="F72" s="13" t="s">
        <v>38</v>
      </c>
      <c r="G72" s="14">
        <v>44879</v>
      </c>
      <c r="H72" s="13" t="s">
        <v>74</v>
      </c>
      <c r="I72" s="13" t="s">
        <v>75</v>
      </c>
      <c r="J72" s="13" t="s">
        <v>54</v>
      </c>
      <c r="K72" s="13" t="s">
        <v>46</v>
      </c>
      <c r="L72" s="13" t="s">
        <v>30</v>
      </c>
      <c r="M72" s="13" t="s">
        <v>238</v>
      </c>
      <c r="N72" s="13"/>
      <c r="O72" s="13" t="s">
        <v>45</v>
      </c>
      <c r="P72" s="13" t="s">
        <v>237</v>
      </c>
      <c r="Q72" s="13">
        <v>655</v>
      </c>
      <c r="R72" s="13" t="s">
        <v>35</v>
      </c>
      <c r="S72" s="13" t="s">
        <v>35</v>
      </c>
      <c r="T72" s="13" t="s">
        <v>35</v>
      </c>
      <c r="U72" s="13" t="s">
        <v>35</v>
      </c>
      <c r="V72" s="13"/>
      <c r="W72" s="13"/>
      <c r="X72" s="13" t="s">
        <v>75</v>
      </c>
      <c r="Y72" s="13" t="s">
        <v>54</v>
      </c>
      <c r="Z72" s="13"/>
      <c r="AA72" s="13"/>
      <c r="AB72" s="13" t="s">
        <v>37</v>
      </c>
    </row>
    <row r="73" spans="1:28" hidden="1" x14ac:dyDescent="0.25">
      <c r="A73" s="7" t="str">
        <f>IFERROR(VLOOKUP(H73,'Contas Orç'!A:B,2,0),"N/A")</f>
        <v>BENEFICIOS</v>
      </c>
      <c r="B73" s="7" t="str">
        <f t="shared" si="2"/>
        <v>330103 - BENEFICIOS</v>
      </c>
      <c r="C73" s="25">
        <f t="shared" si="3"/>
        <v>44866</v>
      </c>
      <c r="D73" s="27">
        <f>IF(K73="CREDITO",Q73,Q73*-1)</f>
        <v>1267</v>
      </c>
      <c r="E73" s="13" t="s">
        <v>235</v>
      </c>
      <c r="F73" s="13" t="s">
        <v>48</v>
      </c>
      <c r="G73" s="14">
        <v>44879</v>
      </c>
      <c r="H73" s="13" t="s">
        <v>74</v>
      </c>
      <c r="I73" s="13" t="s">
        <v>78</v>
      </c>
      <c r="J73" s="13" t="s">
        <v>54</v>
      </c>
      <c r="K73" s="13" t="s">
        <v>29</v>
      </c>
      <c r="L73" s="13" t="s">
        <v>43</v>
      </c>
      <c r="M73" s="13" t="s">
        <v>236</v>
      </c>
      <c r="N73" s="13"/>
      <c r="O73" s="13" t="s">
        <v>45</v>
      </c>
      <c r="P73" s="13" t="s">
        <v>237</v>
      </c>
      <c r="Q73" s="23">
        <v>1267</v>
      </c>
      <c r="R73" s="13" t="s">
        <v>35</v>
      </c>
      <c r="S73" s="13" t="s">
        <v>35</v>
      </c>
      <c r="T73" s="13" t="s">
        <v>35</v>
      </c>
      <c r="U73" s="13" t="s">
        <v>35</v>
      </c>
      <c r="V73" s="13"/>
      <c r="W73" s="13"/>
      <c r="X73" s="13" t="s">
        <v>78</v>
      </c>
      <c r="Y73" s="13" t="s">
        <v>54</v>
      </c>
      <c r="Z73" s="13"/>
      <c r="AA73" s="13"/>
      <c r="AB73" s="13" t="s">
        <v>37</v>
      </c>
    </row>
    <row r="74" spans="1:28" hidden="1" x14ac:dyDescent="0.25">
      <c r="A74" s="7" t="str">
        <f>IFERROR(VLOOKUP(H74,'Contas Orç'!A:B,2,0),"N/A")</f>
        <v>BENEFICIOS</v>
      </c>
      <c r="B74" s="7" t="str">
        <f t="shared" si="2"/>
        <v>330103 - BENEFICIOS</v>
      </c>
      <c r="C74" s="25">
        <f t="shared" si="3"/>
        <v>44866</v>
      </c>
      <c r="D74" s="27">
        <f>IF(K74="CREDITO",Q74,Q74*-1)</f>
        <v>-1267</v>
      </c>
      <c r="E74" s="13" t="s">
        <v>235</v>
      </c>
      <c r="F74" s="13" t="s">
        <v>50</v>
      </c>
      <c r="G74" s="14">
        <v>44879</v>
      </c>
      <c r="H74" s="13" t="s">
        <v>74</v>
      </c>
      <c r="I74" s="13" t="s">
        <v>78</v>
      </c>
      <c r="J74" s="13" t="s">
        <v>54</v>
      </c>
      <c r="K74" s="13" t="s">
        <v>46</v>
      </c>
      <c r="L74" s="13" t="s">
        <v>30</v>
      </c>
      <c r="M74" s="13" t="s">
        <v>238</v>
      </c>
      <c r="N74" s="13"/>
      <c r="O74" s="13" t="s">
        <v>45</v>
      </c>
      <c r="P74" s="13" t="s">
        <v>237</v>
      </c>
      <c r="Q74" s="23">
        <v>1267</v>
      </c>
      <c r="R74" s="13" t="s">
        <v>35</v>
      </c>
      <c r="S74" s="13" t="s">
        <v>35</v>
      </c>
      <c r="T74" s="13" t="s">
        <v>35</v>
      </c>
      <c r="U74" s="13" t="s">
        <v>35</v>
      </c>
      <c r="V74" s="13"/>
      <c r="W74" s="13"/>
      <c r="X74" s="13" t="s">
        <v>78</v>
      </c>
      <c r="Y74" s="13" t="s">
        <v>54</v>
      </c>
      <c r="Z74" s="13"/>
      <c r="AA74" s="13"/>
      <c r="AB74" s="13" t="s">
        <v>37</v>
      </c>
    </row>
    <row r="75" spans="1:28" hidden="1" x14ac:dyDescent="0.25">
      <c r="A75" s="7" t="str">
        <f>IFERROR(VLOOKUP(H75,'Contas Orç'!A:B,2,0),"N/A")</f>
        <v>BENEFICIOS</v>
      </c>
      <c r="B75" s="7" t="str">
        <f t="shared" si="2"/>
        <v>330103 - BENEFICIOS</v>
      </c>
      <c r="C75" s="25">
        <f t="shared" si="3"/>
        <v>44866</v>
      </c>
      <c r="D75" s="27">
        <f>IF(K75="CREDITO",Q75,Q75*-1)</f>
        <v>516</v>
      </c>
      <c r="E75" s="13" t="s">
        <v>235</v>
      </c>
      <c r="F75" s="13" t="s">
        <v>87</v>
      </c>
      <c r="G75" s="14">
        <v>44879</v>
      </c>
      <c r="H75" s="13" t="s">
        <v>74</v>
      </c>
      <c r="I75" s="13" t="s">
        <v>81</v>
      </c>
      <c r="J75" s="13" t="s">
        <v>54</v>
      </c>
      <c r="K75" s="13" t="s">
        <v>29</v>
      </c>
      <c r="L75" s="13" t="s">
        <v>43</v>
      </c>
      <c r="M75" s="13" t="s">
        <v>236</v>
      </c>
      <c r="N75" s="13"/>
      <c r="O75" s="13" t="s">
        <v>45</v>
      </c>
      <c r="P75" s="13" t="s">
        <v>237</v>
      </c>
      <c r="Q75" s="13">
        <v>516</v>
      </c>
      <c r="R75" s="13" t="s">
        <v>35</v>
      </c>
      <c r="S75" s="13" t="s">
        <v>35</v>
      </c>
      <c r="T75" s="13" t="s">
        <v>35</v>
      </c>
      <c r="U75" s="13" t="s">
        <v>35</v>
      </c>
      <c r="V75" s="13"/>
      <c r="W75" s="13"/>
      <c r="X75" s="13" t="s">
        <v>81</v>
      </c>
      <c r="Y75" s="13" t="s">
        <v>54</v>
      </c>
      <c r="Z75" s="13"/>
      <c r="AA75" s="13"/>
      <c r="AB75" s="13" t="s">
        <v>37</v>
      </c>
    </row>
    <row r="76" spans="1:28" hidden="1" x14ac:dyDescent="0.25">
      <c r="A76" s="7" t="str">
        <f>IFERROR(VLOOKUP(H76,'Contas Orç'!A:B,2,0),"N/A")</f>
        <v>BENEFICIOS</v>
      </c>
      <c r="B76" s="7" t="str">
        <f t="shared" si="2"/>
        <v>330103 - BENEFICIOS</v>
      </c>
      <c r="C76" s="25">
        <f t="shared" si="3"/>
        <v>44866</v>
      </c>
      <c r="D76" s="27">
        <f>IF(K76="CREDITO",Q76,Q76*-1)</f>
        <v>-516</v>
      </c>
      <c r="E76" s="13" t="s">
        <v>235</v>
      </c>
      <c r="F76" s="13" t="s">
        <v>91</v>
      </c>
      <c r="G76" s="14">
        <v>44879</v>
      </c>
      <c r="H76" s="13" t="s">
        <v>74</v>
      </c>
      <c r="I76" s="13" t="s">
        <v>81</v>
      </c>
      <c r="J76" s="13" t="s">
        <v>54</v>
      </c>
      <c r="K76" s="13" t="s">
        <v>46</v>
      </c>
      <c r="L76" s="13" t="s">
        <v>30</v>
      </c>
      <c r="M76" s="13" t="s">
        <v>238</v>
      </c>
      <c r="N76" s="13"/>
      <c r="O76" s="13" t="s">
        <v>45</v>
      </c>
      <c r="P76" s="13" t="s">
        <v>237</v>
      </c>
      <c r="Q76" s="13">
        <v>516</v>
      </c>
      <c r="R76" s="13" t="s">
        <v>35</v>
      </c>
      <c r="S76" s="13" t="s">
        <v>35</v>
      </c>
      <c r="T76" s="13" t="s">
        <v>35</v>
      </c>
      <c r="U76" s="13" t="s">
        <v>35</v>
      </c>
      <c r="V76" s="13"/>
      <c r="W76" s="13"/>
      <c r="X76" s="13" t="s">
        <v>81</v>
      </c>
      <c r="Y76" s="13" t="s">
        <v>54</v>
      </c>
      <c r="Z76" s="13"/>
      <c r="AA76" s="13"/>
      <c r="AB76" s="13" t="s">
        <v>37</v>
      </c>
    </row>
    <row r="77" spans="1:28" hidden="1" x14ac:dyDescent="0.25">
      <c r="A77" s="7" t="str">
        <f>IFERROR(VLOOKUP(H77,'Contas Orç'!A:B,2,0),"N/A")</f>
        <v>BENEFICIOS</v>
      </c>
      <c r="B77" s="7" t="str">
        <f t="shared" si="2"/>
        <v>320103 - BENEFICIOS</v>
      </c>
      <c r="C77" s="25">
        <f t="shared" si="3"/>
        <v>44866</v>
      </c>
      <c r="D77" s="27">
        <f>IF(K77="CREDITO",Q77,Q77*-1)</f>
        <v>3874</v>
      </c>
      <c r="E77" s="13" t="s">
        <v>235</v>
      </c>
      <c r="F77" s="13" t="s">
        <v>94</v>
      </c>
      <c r="G77" s="14">
        <v>44879</v>
      </c>
      <c r="H77" s="13" t="s">
        <v>84</v>
      </c>
      <c r="I77" s="13" t="s">
        <v>53</v>
      </c>
      <c r="J77" s="13" t="s">
        <v>28</v>
      </c>
      <c r="K77" s="13" t="s">
        <v>29</v>
      </c>
      <c r="L77" s="13" t="s">
        <v>43</v>
      </c>
      <c r="M77" s="13" t="s">
        <v>236</v>
      </c>
      <c r="N77" s="13"/>
      <c r="O77" s="13" t="s">
        <v>45</v>
      </c>
      <c r="P77" s="13" t="s">
        <v>237</v>
      </c>
      <c r="Q77" s="23">
        <v>3874</v>
      </c>
      <c r="R77" s="13" t="s">
        <v>35</v>
      </c>
      <c r="S77" s="13" t="s">
        <v>35</v>
      </c>
      <c r="T77" s="13" t="s">
        <v>35</v>
      </c>
      <c r="U77" s="13" t="s">
        <v>35</v>
      </c>
      <c r="V77" s="13"/>
      <c r="W77" s="13"/>
      <c r="X77" s="13" t="s">
        <v>53</v>
      </c>
      <c r="Y77" s="13" t="s">
        <v>28</v>
      </c>
      <c r="Z77" s="13"/>
      <c r="AA77" s="13"/>
      <c r="AB77" s="13" t="s">
        <v>37</v>
      </c>
    </row>
    <row r="78" spans="1:28" hidden="1" x14ac:dyDescent="0.25">
      <c r="A78" s="7" t="str">
        <f>IFERROR(VLOOKUP(H78,'Contas Orç'!A:B,2,0),"N/A")</f>
        <v>BENEFICIOS</v>
      </c>
      <c r="B78" s="7" t="str">
        <f t="shared" si="2"/>
        <v>320103 - BENEFICIOS</v>
      </c>
      <c r="C78" s="25">
        <f t="shared" si="3"/>
        <v>44866</v>
      </c>
      <c r="D78" s="27">
        <f>IF(K78="CREDITO",Q78,Q78*-1)</f>
        <v>-3874</v>
      </c>
      <c r="E78" s="13" t="s">
        <v>235</v>
      </c>
      <c r="F78" s="13" t="s">
        <v>98</v>
      </c>
      <c r="G78" s="14">
        <v>44879</v>
      </c>
      <c r="H78" s="13" t="s">
        <v>84</v>
      </c>
      <c r="I78" s="13" t="s">
        <v>53</v>
      </c>
      <c r="J78" s="13" t="s">
        <v>28</v>
      </c>
      <c r="K78" s="13" t="s">
        <v>46</v>
      </c>
      <c r="L78" s="13" t="s">
        <v>30</v>
      </c>
      <c r="M78" s="13" t="s">
        <v>238</v>
      </c>
      <c r="N78" s="13"/>
      <c r="O78" s="13" t="s">
        <v>45</v>
      </c>
      <c r="P78" s="13" t="s">
        <v>237</v>
      </c>
      <c r="Q78" s="23">
        <v>3874</v>
      </c>
      <c r="R78" s="13" t="s">
        <v>35</v>
      </c>
      <c r="S78" s="13" t="s">
        <v>35</v>
      </c>
      <c r="T78" s="13" t="s">
        <v>35</v>
      </c>
      <c r="U78" s="13" t="s">
        <v>35</v>
      </c>
      <c r="V78" s="13"/>
      <c r="W78" s="13"/>
      <c r="X78" s="13" t="s">
        <v>53</v>
      </c>
      <c r="Y78" s="13" t="s">
        <v>28</v>
      </c>
      <c r="Z78" s="13"/>
      <c r="AA78" s="13"/>
      <c r="AB78" s="13" t="s">
        <v>37</v>
      </c>
    </row>
    <row r="79" spans="1:28" hidden="1" x14ac:dyDescent="0.25">
      <c r="A79" s="7" t="str">
        <f>IFERROR(VLOOKUP(H79,'Contas Orç'!A:B,2,0),"N/A")</f>
        <v>BENEFICIOS</v>
      </c>
      <c r="B79" s="7" t="str">
        <f t="shared" si="2"/>
        <v>320103 - BENEFICIOS</v>
      </c>
      <c r="C79" s="25">
        <f t="shared" si="3"/>
        <v>44866</v>
      </c>
      <c r="D79" s="27">
        <f>IF(K79="CREDITO",Q79,Q79*-1)</f>
        <v>4905</v>
      </c>
      <c r="E79" s="13" t="s">
        <v>235</v>
      </c>
      <c r="F79" s="13" t="s">
        <v>102</v>
      </c>
      <c r="G79" s="14">
        <v>44879</v>
      </c>
      <c r="H79" s="13" t="s">
        <v>84</v>
      </c>
      <c r="I79" s="13" t="s">
        <v>88</v>
      </c>
      <c r="J79" s="13" t="s">
        <v>28</v>
      </c>
      <c r="K79" s="13" t="s">
        <v>29</v>
      </c>
      <c r="L79" s="13" t="s">
        <v>43</v>
      </c>
      <c r="M79" s="13" t="s">
        <v>236</v>
      </c>
      <c r="N79" s="13"/>
      <c r="O79" s="13" t="s">
        <v>45</v>
      </c>
      <c r="P79" s="13" t="s">
        <v>237</v>
      </c>
      <c r="Q79" s="23">
        <v>4905</v>
      </c>
      <c r="R79" s="13" t="s">
        <v>35</v>
      </c>
      <c r="S79" s="13" t="s">
        <v>35</v>
      </c>
      <c r="T79" s="13" t="s">
        <v>35</v>
      </c>
      <c r="U79" s="13" t="s">
        <v>35</v>
      </c>
      <c r="V79" s="13"/>
      <c r="W79" s="13"/>
      <c r="X79" s="13" t="s">
        <v>88</v>
      </c>
      <c r="Y79" s="13" t="s">
        <v>28</v>
      </c>
      <c r="Z79" s="13"/>
      <c r="AA79" s="13"/>
      <c r="AB79" s="13" t="s">
        <v>37</v>
      </c>
    </row>
    <row r="80" spans="1:28" hidden="1" x14ac:dyDescent="0.25">
      <c r="A80" s="7" t="str">
        <f>IFERROR(VLOOKUP(H80,'Contas Orç'!A:B,2,0),"N/A")</f>
        <v>BENEFICIOS</v>
      </c>
      <c r="B80" s="7" t="str">
        <f t="shared" si="2"/>
        <v>320103 - BENEFICIOS</v>
      </c>
      <c r="C80" s="25">
        <f t="shared" si="3"/>
        <v>44866</v>
      </c>
      <c r="D80" s="27">
        <f>IF(K80="CREDITO",Q80,Q80*-1)</f>
        <v>-4905</v>
      </c>
      <c r="E80" s="13" t="s">
        <v>235</v>
      </c>
      <c r="F80" s="13" t="s">
        <v>105</v>
      </c>
      <c r="G80" s="14">
        <v>44879</v>
      </c>
      <c r="H80" s="13" t="s">
        <v>84</v>
      </c>
      <c r="I80" s="13" t="s">
        <v>88</v>
      </c>
      <c r="J80" s="13" t="s">
        <v>28</v>
      </c>
      <c r="K80" s="13" t="s">
        <v>46</v>
      </c>
      <c r="L80" s="13" t="s">
        <v>30</v>
      </c>
      <c r="M80" s="13" t="s">
        <v>238</v>
      </c>
      <c r="N80" s="13"/>
      <c r="O80" s="13" t="s">
        <v>45</v>
      </c>
      <c r="P80" s="13" t="s">
        <v>237</v>
      </c>
      <c r="Q80" s="23">
        <v>4905</v>
      </c>
      <c r="R80" s="13" t="s">
        <v>35</v>
      </c>
      <c r="S80" s="13" t="s">
        <v>35</v>
      </c>
      <c r="T80" s="13" t="s">
        <v>35</v>
      </c>
      <c r="U80" s="13" t="s">
        <v>35</v>
      </c>
      <c r="V80" s="13"/>
      <c r="W80" s="13"/>
      <c r="X80" s="13" t="s">
        <v>88</v>
      </c>
      <c r="Y80" s="13" t="s">
        <v>28</v>
      </c>
      <c r="Z80" s="13"/>
      <c r="AA80" s="13"/>
      <c r="AB80" s="13" t="s">
        <v>37</v>
      </c>
    </row>
    <row r="81" spans="1:28" hidden="1" x14ac:dyDescent="0.25">
      <c r="A81" s="7" t="str">
        <f>IFERROR(VLOOKUP(H81,'Contas Orç'!A:B,2,0),"N/A")</f>
        <v>BENEFICIOS</v>
      </c>
      <c r="B81" s="7" t="str">
        <f t="shared" si="2"/>
        <v>320103 - BENEFICIOS</v>
      </c>
      <c r="C81" s="25">
        <f t="shared" si="3"/>
        <v>44866</v>
      </c>
      <c r="D81" s="27">
        <f>IF(K81="CREDITO",Q81,Q81*-1)</f>
        <v>11568</v>
      </c>
      <c r="E81" s="13" t="s">
        <v>235</v>
      </c>
      <c r="F81" s="13" t="s">
        <v>110</v>
      </c>
      <c r="G81" s="14">
        <v>44879</v>
      </c>
      <c r="H81" s="13" t="s">
        <v>84</v>
      </c>
      <c r="I81" s="13" t="s">
        <v>27</v>
      </c>
      <c r="J81" s="13" t="s">
        <v>60</v>
      </c>
      <c r="K81" s="13" t="s">
        <v>29</v>
      </c>
      <c r="L81" s="13" t="s">
        <v>43</v>
      </c>
      <c r="M81" s="13" t="s">
        <v>236</v>
      </c>
      <c r="N81" s="13"/>
      <c r="O81" s="13" t="s">
        <v>45</v>
      </c>
      <c r="P81" s="13" t="s">
        <v>237</v>
      </c>
      <c r="Q81" s="23">
        <v>11568</v>
      </c>
      <c r="R81" s="13" t="s">
        <v>35</v>
      </c>
      <c r="S81" s="13" t="s">
        <v>35</v>
      </c>
      <c r="T81" s="13" t="s">
        <v>35</v>
      </c>
      <c r="U81" s="13" t="s">
        <v>35</v>
      </c>
      <c r="V81" s="13"/>
      <c r="W81" s="13"/>
      <c r="X81" s="13" t="s">
        <v>27</v>
      </c>
      <c r="Y81" s="13" t="s">
        <v>60</v>
      </c>
      <c r="Z81" s="13"/>
      <c r="AA81" s="13"/>
      <c r="AB81" s="13" t="s">
        <v>37</v>
      </c>
    </row>
    <row r="82" spans="1:28" hidden="1" x14ac:dyDescent="0.25">
      <c r="A82" s="7" t="str">
        <f>IFERROR(VLOOKUP(H82,'Contas Orç'!A:B,2,0),"N/A")</f>
        <v>BENEFICIOS</v>
      </c>
      <c r="B82" s="7" t="str">
        <f t="shared" si="2"/>
        <v>320103 - BENEFICIOS</v>
      </c>
      <c r="C82" s="25">
        <f t="shared" si="3"/>
        <v>44866</v>
      </c>
      <c r="D82" s="27">
        <f>IF(K82="CREDITO",Q82,Q82*-1)</f>
        <v>-11568</v>
      </c>
      <c r="E82" s="13" t="s">
        <v>235</v>
      </c>
      <c r="F82" s="13" t="s">
        <v>113</v>
      </c>
      <c r="G82" s="14">
        <v>44879</v>
      </c>
      <c r="H82" s="13" t="s">
        <v>84</v>
      </c>
      <c r="I82" s="13" t="s">
        <v>27</v>
      </c>
      <c r="J82" s="13" t="s">
        <v>60</v>
      </c>
      <c r="K82" s="13" t="s">
        <v>46</v>
      </c>
      <c r="L82" s="13" t="s">
        <v>30</v>
      </c>
      <c r="M82" s="13" t="s">
        <v>238</v>
      </c>
      <c r="N82" s="13"/>
      <c r="O82" s="13" t="s">
        <v>45</v>
      </c>
      <c r="P82" s="13" t="s">
        <v>237</v>
      </c>
      <c r="Q82" s="23">
        <v>11568</v>
      </c>
      <c r="R82" s="13" t="s">
        <v>35</v>
      </c>
      <c r="S82" s="13" t="s">
        <v>35</v>
      </c>
      <c r="T82" s="13" t="s">
        <v>35</v>
      </c>
      <c r="U82" s="13" t="s">
        <v>35</v>
      </c>
      <c r="V82" s="13"/>
      <c r="W82" s="13"/>
      <c r="X82" s="13" t="s">
        <v>27</v>
      </c>
      <c r="Y82" s="13" t="s">
        <v>60</v>
      </c>
      <c r="Z82" s="13"/>
      <c r="AA82" s="13"/>
      <c r="AB82" s="13" t="s">
        <v>37</v>
      </c>
    </row>
    <row r="83" spans="1:28" hidden="1" x14ac:dyDescent="0.25">
      <c r="A83" s="7" t="str">
        <f>IFERROR(VLOOKUP(H83,'Contas Orç'!A:B,2,0),"N/A")</f>
        <v>BENEFICIOS</v>
      </c>
      <c r="B83" s="7" t="str">
        <f t="shared" si="2"/>
        <v>320103 - BENEFICIOS</v>
      </c>
      <c r="C83" s="25">
        <f t="shared" si="3"/>
        <v>44866</v>
      </c>
      <c r="D83" s="27">
        <f>IF(K83="CREDITO",Q83,Q83*-1)</f>
        <v>608</v>
      </c>
      <c r="E83" s="13" t="s">
        <v>235</v>
      </c>
      <c r="F83" s="13" t="s">
        <v>117</v>
      </c>
      <c r="G83" s="14">
        <v>44879</v>
      </c>
      <c r="H83" s="13" t="s">
        <v>84</v>
      </c>
      <c r="I83" s="13" t="s">
        <v>59</v>
      </c>
      <c r="J83" s="13" t="s">
        <v>95</v>
      </c>
      <c r="K83" s="13" t="s">
        <v>29</v>
      </c>
      <c r="L83" s="13" t="s">
        <v>43</v>
      </c>
      <c r="M83" s="13" t="s">
        <v>236</v>
      </c>
      <c r="N83" s="13"/>
      <c r="O83" s="13" t="s">
        <v>45</v>
      </c>
      <c r="P83" s="13" t="s">
        <v>237</v>
      </c>
      <c r="Q83" s="13">
        <v>608</v>
      </c>
      <c r="R83" s="13" t="s">
        <v>35</v>
      </c>
      <c r="S83" s="13" t="s">
        <v>35</v>
      </c>
      <c r="T83" s="13" t="s">
        <v>35</v>
      </c>
      <c r="U83" s="13" t="s">
        <v>35</v>
      </c>
      <c r="V83" s="13"/>
      <c r="W83" s="13"/>
      <c r="X83" s="13" t="s">
        <v>59</v>
      </c>
      <c r="Y83" s="13" t="s">
        <v>95</v>
      </c>
      <c r="Z83" s="13"/>
      <c r="AA83" s="13"/>
      <c r="AB83" s="13" t="s">
        <v>37</v>
      </c>
    </row>
    <row r="84" spans="1:28" hidden="1" x14ac:dyDescent="0.25">
      <c r="A84" s="7" t="str">
        <f>IFERROR(VLOOKUP(H84,'Contas Orç'!A:B,2,0),"N/A")</f>
        <v>BENEFICIOS</v>
      </c>
      <c r="B84" s="7" t="str">
        <f t="shared" si="2"/>
        <v>320103 - BENEFICIOS</v>
      </c>
      <c r="C84" s="25">
        <f t="shared" si="3"/>
        <v>44866</v>
      </c>
      <c r="D84" s="27">
        <f>IF(K84="CREDITO",Q84,Q84*-1)</f>
        <v>-608</v>
      </c>
      <c r="E84" s="13" t="s">
        <v>235</v>
      </c>
      <c r="F84" s="13" t="s">
        <v>120</v>
      </c>
      <c r="G84" s="14">
        <v>44879</v>
      </c>
      <c r="H84" s="13" t="s">
        <v>84</v>
      </c>
      <c r="I84" s="13" t="s">
        <v>59</v>
      </c>
      <c r="J84" s="13" t="s">
        <v>95</v>
      </c>
      <c r="K84" s="13" t="s">
        <v>46</v>
      </c>
      <c r="L84" s="13" t="s">
        <v>30</v>
      </c>
      <c r="M84" s="13" t="s">
        <v>238</v>
      </c>
      <c r="N84" s="13"/>
      <c r="O84" s="13" t="s">
        <v>45</v>
      </c>
      <c r="P84" s="13" t="s">
        <v>237</v>
      </c>
      <c r="Q84" s="13">
        <v>608</v>
      </c>
      <c r="R84" s="13" t="s">
        <v>35</v>
      </c>
      <c r="S84" s="13" t="s">
        <v>35</v>
      </c>
      <c r="T84" s="13" t="s">
        <v>35</v>
      </c>
      <c r="U84" s="13" t="s">
        <v>35</v>
      </c>
      <c r="V84" s="13"/>
      <c r="W84" s="13"/>
      <c r="X84" s="13" t="s">
        <v>59</v>
      </c>
      <c r="Y84" s="13" t="s">
        <v>95</v>
      </c>
      <c r="Z84" s="13"/>
      <c r="AA84" s="13"/>
      <c r="AB84" s="13" t="s">
        <v>37</v>
      </c>
    </row>
    <row r="85" spans="1:28" hidden="1" x14ac:dyDescent="0.25">
      <c r="A85" s="7" t="str">
        <f>IFERROR(VLOOKUP(H85,'Contas Orç'!A:B,2,0),"N/A")</f>
        <v>BENEFICIOS</v>
      </c>
      <c r="B85" s="7" t="str">
        <f t="shared" si="2"/>
        <v>330103 - BENEFICIOS</v>
      </c>
      <c r="C85" s="25">
        <f t="shared" si="3"/>
        <v>44866</v>
      </c>
      <c r="D85" s="27">
        <f>IF(K85="CREDITO",Q85,Q85*-1)</f>
        <v>563</v>
      </c>
      <c r="E85" s="13" t="s">
        <v>235</v>
      </c>
      <c r="F85" s="13" t="s">
        <v>124</v>
      </c>
      <c r="G85" s="14">
        <v>44879</v>
      </c>
      <c r="H85" s="13" t="s">
        <v>74</v>
      </c>
      <c r="I85" s="13" t="s">
        <v>99</v>
      </c>
      <c r="J85" s="13" t="s">
        <v>54</v>
      </c>
      <c r="K85" s="13" t="s">
        <v>29</v>
      </c>
      <c r="L85" s="13" t="s">
        <v>43</v>
      </c>
      <c r="M85" s="13" t="s">
        <v>236</v>
      </c>
      <c r="N85" s="13"/>
      <c r="O85" s="13" t="s">
        <v>45</v>
      </c>
      <c r="P85" s="13" t="s">
        <v>237</v>
      </c>
      <c r="Q85" s="13">
        <v>563</v>
      </c>
      <c r="R85" s="13" t="s">
        <v>35</v>
      </c>
      <c r="S85" s="13" t="s">
        <v>35</v>
      </c>
      <c r="T85" s="13" t="s">
        <v>35</v>
      </c>
      <c r="U85" s="13" t="s">
        <v>35</v>
      </c>
      <c r="V85" s="13"/>
      <c r="W85" s="13"/>
      <c r="X85" s="13" t="s">
        <v>99</v>
      </c>
      <c r="Y85" s="13" t="s">
        <v>54</v>
      </c>
      <c r="Z85" s="13"/>
      <c r="AA85" s="13"/>
      <c r="AB85" s="13" t="s">
        <v>37</v>
      </c>
    </row>
    <row r="86" spans="1:28" hidden="1" x14ac:dyDescent="0.25">
      <c r="A86" s="7" t="str">
        <f>IFERROR(VLOOKUP(H86,'Contas Orç'!A:B,2,0),"N/A")</f>
        <v>BENEFICIOS</v>
      </c>
      <c r="B86" s="7" t="str">
        <f t="shared" si="2"/>
        <v>330103 - BENEFICIOS</v>
      </c>
      <c r="C86" s="25">
        <f t="shared" si="3"/>
        <v>44866</v>
      </c>
      <c r="D86" s="27">
        <f>IF(K86="CREDITO",Q86,Q86*-1)</f>
        <v>-563</v>
      </c>
      <c r="E86" s="13" t="s">
        <v>235</v>
      </c>
      <c r="F86" s="13" t="s">
        <v>128</v>
      </c>
      <c r="G86" s="14">
        <v>44879</v>
      </c>
      <c r="H86" s="13" t="s">
        <v>74</v>
      </c>
      <c r="I86" s="13" t="s">
        <v>99</v>
      </c>
      <c r="J86" s="13" t="s">
        <v>54</v>
      </c>
      <c r="K86" s="13" t="s">
        <v>46</v>
      </c>
      <c r="L86" s="13" t="s">
        <v>30</v>
      </c>
      <c r="M86" s="13" t="s">
        <v>238</v>
      </c>
      <c r="N86" s="13"/>
      <c r="O86" s="13" t="s">
        <v>45</v>
      </c>
      <c r="P86" s="13" t="s">
        <v>237</v>
      </c>
      <c r="Q86" s="13">
        <v>563</v>
      </c>
      <c r="R86" s="13" t="s">
        <v>35</v>
      </c>
      <c r="S86" s="13" t="s">
        <v>35</v>
      </c>
      <c r="T86" s="13" t="s">
        <v>35</v>
      </c>
      <c r="U86" s="13" t="s">
        <v>35</v>
      </c>
      <c r="V86" s="13"/>
      <c r="W86" s="13"/>
      <c r="X86" s="13" t="s">
        <v>99</v>
      </c>
      <c r="Y86" s="13" t="s">
        <v>54</v>
      </c>
      <c r="Z86" s="13"/>
      <c r="AA86" s="13"/>
      <c r="AB86" s="13" t="s">
        <v>37</v>
      </c>
    </row>
    <row r="87" spans="1:28" hidden="1" x14ac:dyDescent="0.25">
      <c r="A87" s="7" t="str">
        <f>IFERROR(VLOOKUP(H87,'Contas Orç'!A:B,2,0),"N/A")</f>
        <v>BENEFICIOS</v>
      </c>
      <c r="B87" s="7" t="str">
        <f t="shared" si="2"/>
        <v>320103 - BENEFICIOS</v>
      </c>
      <c r="C87" s="25">
        <f t="shared" si="3"/>
        <v>44866</v>
      </c>
      <c r="D87" s="27">
        <f>IF(K87="CREDITO",Q87,Q87*-1)</f>
        <v>704</v>
      </c>
      <c r="E87" s="13" t="s">
        <v>235</v>
      </c>
      <c r="F87" s="13" t="s">
        <v>131</v>
      </c>
      <c r="G87" s="14">
        <v>44879</v>
      </c>
      <c r="H87" s="13" t="s">
        <v>84</v>
      </c>
      <c r="I87" s="13" t="s">
        <v>53</v>
      </c>
      <c r="J87" s="13" t="s">
        <v>54</v>
      </c>
      <c r="K87" s="13" t="s">
        <v>29</v>
      </c>
      <c r="L87" s="13" t="s">
        <v>43</v>
      </c>
      <c r="M87" s="13" t="s">
        <v>236</v>
      </c>
      <c r="N87" s="13"/>
      <c r="O87" s="13" t="s">
        <v>45</v>
      </c>
      <c r="P87" s="13" t="s">
        <v>237</v>
      </c>
      <c r="Q87" s="13">
        <v>704</v>
      </c>
      <c r="R87" s="13" t="s">
        <v>35</v>
      </c>
      <c r="S87" s="13" t="s">
        <v>35</v>
      </c>
      <c r="T87" s="13" t="s">
        <v>35</v>
      </c>
      <c r="U87" s="13" t="s">
        <v>35</v>
      </c>
      <c r="V87" s="13"/>
      <c r="W87" s="13"/>
      <c r="X87" s="13" t="s">
        <v>53</v>
      </c>
      <c r="Y87" s="13" t="s">
        <v>54</v>
      </c>
      <c r="Z87" s="13"/>
      <c r="AA87" s="13"/>
      <c r="AB87" s="13" t="s">
        <v>37</v>
      </c>
    </row>
    <row r="88" spans="1:28" hidden="1" x14ac:dyDescent="0.25">
      <c r="A88" s="7" t="str">
        <f>IFERROR(VLOOKUP(H88,'Contas Orç'!A:B,2,0),"N/A")</f>
        <v>BENEFICIOS</v>
      </c>
      <c r="B88" s="7" t="str">
        <f t="shared" si="2"/>
        <v>320103 - BENEFICIOS</v>
      </c>
      <c r="C88" s="25">
        <f t="shared" si="3"/>
        <v>44866</v>
      </c>
      <c r="D88" s="27">
        <f>IF(K88="CREDITO",Q88,Q88*-1)</f>
        <v>-704</v>
      </c>
      <c r="E88" s="13" t="s">
        <v>235</v>
      </c>
      <c r="F88" s="13" t="s">
        <v>135</v>
      </c>
      <c r="G88" s="14">
        <v>44879</v>
      </c>
      <c r="H88" s="13" t="s">
        <v>84</v>
      </c>
      <c r="I88" s="13" t="s">
        <v>53</v>
      </c>
      <c r="J88" s="13" t="s">
        <v>54</v>
      </c>
      <c r="K88" s="13" t="s">
        <v>46</v>
      </c>
      <c r="L88" s="13" t="s">
        <v>30</v>
      </c>
      <c r="M88" s="13" t="s">
        <v>238</v>
      </c>
      <c r="N88" s="13"/>
      <c r="O88" s="13" t="s">
        <v>45</v>
      </c>
      <c r="P88" s="13" t="s">
        <v>237</v>
      </c>
      <c r="Q88" s="13">
        <v>704</v>
      </c>
      <c r="R88" s="13" t="s">
        <v>35</v>
      </c>
      <c r="S88" s="13" t="s">
        <v>35</v>
      </c>
      <c r="T88" s="13" t="s">
        <v>35</v>
      </c>
      <c r="U88" s="13" t="s">
        <v>35</v>
      </c>
      <c r="V88" s="13"/>
      <c r="W88" s="13"/>
      <c r="X88" s="13" t="s">
        <v>53</v>
      </c>
      <c r="Y88" s="13" t="s">
        <v>54</v>
      </c>
      <c r="Z88" s="13"/>
      <c r="AA88" s="13"/>
      <c r="AB88" s="13" t="s">
        <v>37</v>
      </c>
    </row>
    <row r="89" spans="1:28" hidden="1" x14ac:dyDescent="0.25">
      <c r="A89" s="7" t="str">
        <f>IFERROR(VLOOKUP(H89,'Contas Orç'!A:B,2,0),"N/A")</f>
        <v>BENEFICIOS</v>
      </c>
      <c r="B89" s="7" t="str">
        <f t="shared" si="2"/>
        <v>320103 - BENEFICIOS</v>
      </c>
      <c r="C89" s="25">
        <f t="shared" si="3"/>
        <v>44866</v>
      </c>
      <c r="D89" s="27">
        <f>IF(K89="CREDITO",Q89,Q89*-1)</f>
        <v>11421</v>
      </c>
      <c r="E89" s="13" t="s">
        <v>235</v>
      </c>
      <c r="F89" s="13" t="s">
        <v>138</v>
      </c>
      <c r="G89" s="14">
        <v>44879</v>
      </c>
      <c r="H89" s="13" t="s">
        <v>84</v>
      </c>
      <c r="I89" s="13" t="s">
        <v>106</v>
      </c>
      <c r="J89" s="13" t="s">
        <v>107</v>
      </c>
      <c r="K89" s="13" t="s">
        <v>29</v>
      </c>
      <c r="L89" s="13" t="s">
        <v>43</v>
      </c>
      <c r="M89" s="13" t="s">
        <v>236</v>
      </c>
      <c r="N89" s="13"/>
      <c r="O89" s="13" t="s">
        <v>45</v>
      </c>
      <c r="P89" s="13" t="s">
        <v>237</v>
      </c>
      <c r="Q89" s="23">
        <v>11421</v>
      </c>
      <c r="R89" s="13" t="s">
        <v>35</v>
      </c>
      <c r="S89" s="13" t="s">
        <v>35</v>
      </c>
      <c r="T89" s="13" t="s">
        <v>35</v>
      </c>
      <c r="U89" s="13" t="s">
        <v>35</v>
      </c>
      <c r="V89" s="13"/>
      <c r="W89" s="13"/>
      <c r="X89" s="13" t="s">
        <v>106</v>
      </c>
      <c r="Y89" s="13" t="s">
        <v>107</v>
      </c>
      <c r="Z89" s="13"/>
      <c r="AA89" s="13"/>
      <c r="AB89" s="13" t="s">
        <v>37</v>
      </c>
    </row>
    <row r="90" spans="1:28" hidden="1" x14ac:dyDescent="0.25">
      <c r="A90" s="7" t="str">
        <f>IFERROR(VLOOKUP(H90,'Contas Orç'!A:B,2,0),"N/A")</f>
        <v>BENEFICIOS</v>
      </c>
      <c r="B90" s="7" t="str">
        <f t="shared" si="2"/>
        <v>320103 - BENEFICIOS</v>
      </c>
      <c r="C90" s="25">
        <f t="shared" si="3"/>
        <v>44866</v>
      </c>
      <c r="D90" s="27">
        <f>IF(K90="CREDITO",Q90,Q90*-1)</f>
        <v>-11421</v>
      </c>
      <c r="E90" s="13" t="s">
        <v>235</v>
      </c>
      <c r="F90" s="13" t="s">
        <v>140</v>
      </c>
      <c r="G90" s="14">
        <v>44879</v>
      </c>
      <c r="H90" s="13" t="s">
        <v>84</v>
      </c>
      <c r="I90" s="13" t="s">
        <v>106</v>
      </c>
      <c r="J90" s="13" t="s">
        <v>107</v>
      </c>
      <c r="K90" s="13" t="s">
        <v>46</v>
      </c>
      <c r="L90" s="13" t="s">
        <v>30</v>
      </c>
      <c r="M90" s="13" t="s">
        <v>238</v>
      </c>
      <c r="N90" s="13"/>
      <c r="O90" s="13" t="s">
        <v>45</v>
      </c>
      <c r="P90" s="13" t="s">
        <v>237</v>
      </c>
      <c r="Q90" s="23">
        <v>11421</v>
      </c>
      <c r="R90" s="13" t="s">
        <v>35</v>
      </c>
      <c r="S90" s="13" t="s">
        <v>35</v>
      </c>
      <c r="T90" s="13" t="s">
        <v>35</v>
      </c>
      <c r="U90" s="13" t="s">
        <v>35</v>
      </c>
      <c r="V90" s="13"/>
      <c r="W90" s="13"/>
      <c r="X90" s="13" t="s">
        <v>106</v>
      </c>
      <c r="Y90" s="13" t="s">
        <v>107</v>
      </c>
      <c r="Z90" s="13"/>
      <c r="AA90" s="13"/>
      <c r="AB90" s="13" t="s">
        <v>37</v>
      </c>
    </row>
    <row r="91" spans="1:28" hidden="1" x14ac:dyDescent="0.25">
      <c r="A91" s="7" t="str">
        <f>IFERROR(VLOOKUP(H91,'Contas Orç'!A:B,2,0),"N/A")</f>
        <v>BENEFICIOS</v>
      </c>
      <c r="B91" s="7" t="str">
        <f t="shared" si="2"/>
        <v>320103 - BENEFICIOS</v>
      </c>
      <c r="C91" s="25">
        <f t="shared" si="3"/>
        <v>44866</v>
      </c>
      <c r="D91" s="27">
        <f>IF(K91="CREDITO",Q91,Q91*-1)</f>
        <v>71588</v>
      </c>
      <c r="E91" s="13" t="s">
        <v>235</v>
      </c>
      <c r="F91" s="13" t="s">
        <v>239</v>
      </c>
      <c r="G91" s="14">
        <v>44879</v>
      </c>
      <c r="H91" s="13" t="s">
        <v>84</v>
      </c>
      <c r="I91" s="13" t="s">
        <v>59</v>
      </c>
      <c r="J91" s="13" t="s">
        <v>54</v>
      </c>
      <c r="K91" s="13" t="s">
        <v>29</v>
      </c>
      <c r="L91" s="13" t="s">
        <v>43</v>
      </c>
      <c r="M91" s="13" t="s">
        <v>236</v>
      </c>
      <c r="N91" s="13"/>
      <c r="O91" s="13" t="s">
        <v>45</v>
      </c>
      <c r="P91" s="13" t="s">
        <v>237</v>
      </c>
      <c r="Q91" s="23">
        <v>71588</v>
      </c>
      <c r="R91" s="13" t="s">
        <v>35</v>
      </c>
      <c r="S91" s="13" t="s">
        <v>35</v>
      </c>
      <c r="T91" s="13" t="s">
        <v>35</v>
      </c>
      <c r="U91" s="13" t="s">
        <v>35</v>
      </c>
      <c r="V91" s="13"/>
      <c r="W91" s="13"/>
      <c r="X91" s="13" t="s">
        <v>59</v>
      </c>
      <c r="Y91" s="13" t="s">
        <v>54</v>
      </c>
      <c r="Z91" s="13"/>
      <c r="AA91" s="13"/>
      <c r="AB91" s="13" t="s">
        <v>37</v>
      </c>
    </row>
    <row r="92" spans="1:28" hidden="1" x14ac:dyDescent="0.25">
      <c r="A92" s="7" t="str">
        <f>IFERROR(VLOOKUP(H92,'Contas Orç'!A:B,2,0),"N/A")</f>
        <v>BENEFICIOS</v>
      </c>
      <c r="B92" s="7" t="str">
        <f t="shared" si="2"/>
        <v>320103 - BENEFICIOS</v>
      </c>
      <c r="C92" s="25">
        <f t="shared" si="3"/>
        <v>44866</v>
      </c>
      <c r="D92" s="27">
        <f>IF(K92="CREDITO",Q92,Q92*-1)</f>
        <v>-71588</v>
      </c>
      <c r="E92" s="13" t="s">
        <v>235</v>
      </c>
      <c r="F92" s="13" t="s">
        <v>240</v>
      </c>
      <c r="G92" s="14">
        <v>44879</v>
      </c>
      <c r="H92" s="13" t="s">
        <v>84</v>
      </c>
      <c r="I92" s="13" t="s">
        <v>59</v>
      </c>
      <c r="J92" s="13" t="s">
        <v>54</v>
      </c>
      <c r="K92" s="13" t="s">
        <v>46</v>
      </c>
      <c r="L92" s="13" t="s">
        <v>30</v>
      </c>
      <c r="M92" s="13" t="s">
        <v>238</v>
      </c>
      <c r="N92" s="13"/>
      <c r="O92" s="13" t="s">
        <v>45</v>
      </c>
      <c r="P92" s="13" t="s">
        <v>237</v>
      </c>
      <c r="Q92" s="23">
        <v>71588</v>
      </c>
      <c r="R92" s="13" t="s">
        <v>35</v>
      </c>
      <c r="S92" s="13" t="s">
        <v>35</v>
      </c>
      <c r="T92" s="13" t="s">
        <v>35</v>
      </c>
      <c r="U92" s="13" t="s">
        <v>35</v>
      </c>
      <c r="V92" s="13"/>
      <c r="W92" s="13"/>
      <c r="X92" s="13" t="s">
        <v>59</v>
      </c>
      <c r="Y92" s="13" t="s">
        <v>54</v>
      </c>
      <c r="Z92" s="13"/>
      <c r="AA92" s="13"/>
      <c r="AB92" s="13" t="s">
        <v>37</v>
      </c>
    </row>
    <row r="93" spans="1:28" hidden="1" x14ac:dyDescent="0.25">
      <c r="A93" s="7" t="str">
        <f>IFERROR(VLOOKUP(H93,'Contas Orç'!A:B,2,0),"N/A")</f>
        <v>BENEFICIOS</v>
      </c>
      <c r="B93" s="7" t="str">
        <f t="shared" si="2"/>
        <v>330103 - BENEFICIOS</v>
      </c>
      <c r="C93" s="25">
        <f t="shared" si="3"/>
        <v>44866</v>
      </c>
      <c r="D93" s="27">
        <f>IF(K93="CREDITO",Q93,Q93*-1)</f>
        <v>282</v>
      </c>
      <c r="E93" s="13" t="s">
        <v>235</v>
      </c>
      <c r="F93" s="13" t="s">
        <v>241</v>
      </c>
      <c r="G93" s="14">
        <v>44879</v>
      </c>
      <c r="H93" s="13" t="s">
        <v>74</v>
      </c>
      <c r="I93" s="13" t="s">
        <v>114</v>
      </c>
      <c r="J93" s="13" t="s">
        <v>54</v>
      </c>
      <c r="K93" s="13" t="s">
        <v>29</v>
      </c>
      <c r="L93" s="13" t="s">
        <v>43</v>
      </c>
      <c r="M93" s="13" t="s">
        <v>236</v>
      </c>
      <c r="N93" s="13"/>
      <c r="O93" s="13" t="s">
        <v>45</v>
      </c>
      <c r="P93" s="13" t="s">
        <v>237</v>
      </c>
      <c r="Q93" s="13">
        <v>282</v>
      </c>
      <c r="R93" s="13" t="s">
        <v>35</v>
      </c>
      <c r="S93" s="13" t="s">
        <v>35</v>
      </c>
      <c r="T93" s="13" t="s">
        <v>35</v>
      </c>
      <c r="U93" s="13" t="s">
        <v>35</v>
      </c>
      <c r="V93" s="13"/>
      <c r="W93" s="13"/>
      <c r="X93" s="13" t="s">
        <v>114</v>
      </c>
      <c r="Y93" s="13" t="s">
        <v>54</v>
      </c>
      <c r="Z93" s="13"/>
      <c r="AA93" s="13"/>
      <c r="AB93" s="13" t="s">
        <v>37</v>
      </c>
    </row>
    <row r="94" spans="1:28" hidden="1" x14ac:dyDescent="0.25">
      <c r="A94" s="7" t="str">
        <f>IFERROR(VLOOKUP(H94,'Contas Orç'!A:B,2,0),"N/A")</f>
        <v>BENEFICIOS</v>
      </c>
      <c r="B94" s="7" t="str">
        <f t="shared" si="2"/>
        <v>330103 - BENEFICIOS</v>
      </c>
      <c r="C94" s="25">
        <f t="shared" si="3"/>
        <v>44866</v>
      </c>
      <c r="D94" s="27">
        <f>IF(K94="CREDITO",Q94,Q94*-1)</f>
        <v>-282</v>
      </c>
      <c r="E94" s="13" t="s">
        <v>235</v>
      </c>
      <c r="F94" s="13" t="s">
        <v>242</v>
      </c>
      <c r="G94" s="14">
        <v>44879</v>
      </c>
      <c r="H94" s="13" t="s">
        <v>74</v>
      </c>
      <c r="I94" s="13" t="s">
        <v>114</v>
      </c>
      <c r="J94" s="13" t="s">
        <v>54</v>
      </c>
      <c r="K94" s="13" t="s">
        <v>46</v>
      </c>
      <c r="L94" s="13" t="s">
        <v>30</v>
      </c>
      <c r="M94" s="13" t="s">
        <v>238</v>
      </c>
      <c r="N94" s="13"/>
      <c r="O94" s="13" t="s">
        <v>45</v>
      </c>
      <c r="P94" s="13" t="s">
        <v>237</v>
      </c>
      <c r="Q94" s="13">
        <v>282</v>
      </c>
      <c r="R94" s="13" t="s">
        <v>35</v>
      </c>
      <c r="S94" s="13" t="s">
        <v>35</v>
      </c>
      <c r="T94" s="13" t="s">
        <v>35</v>
      </c>
      <c r="U94" s="13" t="s">
        <v>35</v>
      </c>
      <c r="V94" s="13"/>
      <c r="W94" s="13"/>
      <c r="X94" s="13" t="s">
        <v>114</v>
      </c>
      <c r="Y94" s="13" t="s">
        <v>54</v>
      </c>
      <c r="Z94" s="13"/>
      <c r="AA94" s="13"/>
      <c r="AB94" s="13" t="s">
        <v>37</v>
      </c>
    </row>
    <row r="95" spans="1:28" hidden="1" x14ac:dyDescent="0.25">
      <c r="A95" s="7" t="str">
        <f>IFERROR(VLOOKUP(H95,'Contas Orç'!A:B,2,0),"N/A")</f>
        <v>BENEFICIOS</v>
      </c>
      <c r="B95" s="7" t="str">
        <f t="shared" si="2"/>
        <v>330103 - BENEFICIOS</v>
      </c>
      <c r="C95" s="25">
        <f t="shared" si="3"/>
        <v>44866</v>
      </c>
      <c r="D95" s="27">
        <f>IF(K95="CREDITO",Q95,Q95*-1)</f>
        <v>465</v>
      </c>
      <c r="E95" s="13" t="s">
        <v>235</v>
      </c>
      <c r="F95" s="13" t="s">
        <v>243</v>
      </c>
      <c r="G95" s="14">
        <v>44879</v>
      </c>
      <c r="H95" s="13" t="s">
        <v>74</v>
      </c>
      <c r="I95" s="13" t="s">
        <v>40</v>
      </c>
      <c r="J95" s="13" t="s">
        <v>54</v>
      </c>
      <c r="K95" s="13" t="s">
        <v>29</v>
      </c>
      <c r="L95" s="13" t="s">
        <v>43</v>
      </c>
      <c r="M95" s="13" t="s">
        <v>236</v>
      </c>
      <c r="N95" s="13"/>
      <c r="O95" s="13" t="s">
        <v>45</v>
      </c>
      <c r="P95" s="13" t="s">
        <v>237</v>
      </c>
      <c r="Q95" s="13">
        <v>465</v>
      </c>
      <c r="R95" s="13" t="s">
        <v>35</v>
      </c>
      <c r="S95" s="13" t="s">
        <v>35</v>
      </c>
      <c r="T95" s="13" t="s">
        <v>35</v>
      </c>
      <c r="U95" s="13" t="s">
        <v>35</v>
      </c>
      <c r="V95" s="13"/>
      <c r="W95" s="13"/>
      <c r="X95" s="13" t="s">
        <v>40</v>
      </c>
      <c r="Y95" s="13" t="s">
        <v>54</v>
      </c>
      <c r="Z95" s="13"/>
      <c r="AA95" s="13"/>
      <c r="AB95" s="13" t="s">
        <v>37</v>
      </c>
    </row>
    <row r="96" spans="1:28" hidden="1" x14ac:dyDescent="0.25">
      <c r="A96" s="7" t="str">
        <f>IFERROR(VLOOKUP(H96,'Contas Orç'!A:B,2,0),"N/A")</f>
        <v>BENEFICIOS</v>
      </c>
      <c r="B96" s="7" t="str">
        <f t="shared" si="2"/>
        <v>330103 - BENEFICIOS</v>
      </c>
      <c r="C96" s="25">
        <f t="shared" si="3"/>
        <v>44866</v>
      </c>
      <c r="D96" s="27">
        <f>IF(K96="CREDITO",Q96,Q96*-1)</f>
        <v>-465</v>
      </c>
      <c r="E96" s="13" t="s">
        <v>235</v>
      </c>
      <c r="F96" s="13" t="s">
        <v>244</v>
      </c>
      <c r="G96" s="14">
        <v>44879</v>
      </c>
      <c r="H96" s="13" t="s">
        <v>74</v>
      </c>
      <c r="I96" s="13" t="s">
        <v>40</v>
      </c>
      <c r="J96" s="13" t="s">
        <v>54</v>
      </c>
      <c r="K96" s="13" t="s">
        <v>46</v>
      </c>
      <c r="L96" s="13" t="s">
        <v>30</v>
      </c>
      <c r="M96" s="13" t="s">
        <v>238</v>
      </c>
      <c r="N96" s="13"/>
      <c r="O96" s="13" t="s">
        <v>45</v>
      </c>
      <c r="P96" s="13" t="s">
        <v>237</v>
      </c>
      <c r="Q96" s="13">
        <v>465</v>
      </c>
      <c r="R96" s="13" t="s">
        <v>35</v>
      </c>
      <c r="S96" s="13" t="s">
        <v>35</v>
      </c>
      <c r="T96" s="13" t="s">
        <v>35</v>
      </c>
      <c r="U96" s="13" t="s">
        <v>35</v>
      </c>
      <c r="V96" s="13"/>
      <c r="W96" s="13"/>
      <c r="X96" s="13" t="s">
        <v>40</v>
      </c>
      <c r="Y96" s="13" t="s">
        <v>54</v>
      </c>
      <c r="Z96" s="13"/>
      <c r="AA96" s="13"/>
      <c r="AB96" s="13" t="s">
        <v>37</v>
      </c>
    </row>
    <row r="97" spans="1:28" hidden="1" x14ac:dyDescent="0.25">
      <c r="A97" s="7" t="str">
        <f>IFERROR(VLOOKUP(H97,'Contas Orç'!A:B,2,0),"N/A")</f>
        <v>BENEFICIOS</v>
      </c>
      <c r="B97" s="7" t="str">
        <f t="shared" si="2"/>
        <v>330103 - BENEFICIOS</v>
      </c>
      <c r="C97" s="25">
        <f t="shared" si="3"/>
        <v>44866</v>
      </c>
      <c r="D97" s="27">
        <f>IF(K97="CREDITO",Q97,Q97*-1)</f>
        <v>329</v>
      </c>
      <c r="E97" s="13" t="s">
        <v>235</v>
      </c>
      <c r="F97" s="13" t="s">
        <v>245</v>
      </c>
      <c r="G97" s="14">
        <v>44879</v>
      </c>
      <c r="H97" s="13" t="s">
        <v>74</v>
      </c>
      <c r="I97" s="13" t="s">
        <v>121</v>
      </c>
      <c r="J97" s="13" t="s">
        <v>54</v>
      </c>
      <c r="K97" s="13" t="s">
        <v>29</v>
      </c>
      <c r="L97" s="13" t="s">
        <v>43</v>
      </c>
      <c r="M97" s="13" t="s">
        <v>236</v>
      </c>
      <c r="N97" s="13"/>
      <c r="O97" s="13" t="s">
        <v>45</v>
      </c>
      <c r="P97" s="13" t="s">
        <v>237</v>
      </c>
      <c r="Q97" s="13">
        <v>329</v>
      </c>
      <c r="R97" s="13" t="s">
        <v>35</v>
      </c>
      <c r="S97" s="13" t="s">
        <v>35</v>
      </c>
      <c r="T97" s="13" t="s">
        <v>35</v>
      </c>
      <c r="U97" s="13" t="s">
        <v>35</v>
      </c>
      <c r="V97" s="13"/>
      <c r="W97" s="13"/>
      <c r="X97" s="13" t="s">
        <v>121</v>
      </c>
      <c r="Y97" s="13" t="s">
        <v>54</v>
      </c>
      <c r="Z97" s="13"/>
      <c r="AA97" s="13"/>
      <c r="AB97" s="13" t="s">
        <v>37</v>
      </c>
    </row>
    <row r="98" spans="1:28" hidden="1" x14ac:dyDescent="0.25">
      <c r="A98" s="7" t="str">
        <f>IFERROR(VLOOKUP(H98,'Contas Orç'!A:B,2,0),"N/A")</f>
        <v>BENEFICIOS</v>
      </c>
      <c r="B98" s="7" t="str">
        <f t="shared" si="2"/>
        <v>330103 - BENEFICIOS</v>
      </c>
      <c r="C98" s="25">
        <f t="shared" si="3"/>
        <v>44866</v>
      </c>
      <c r="D98" s="27">
        <f>IF(K98="CREDITO",Q98,Q98*-1)</f>
        <v>-329</v>
      </c>
      <c r="E98" s="13" t="s">
        <v>235</v>
      </c>
      <c r="F98" s="13" t="s">
        <v>246</v>
      </c>
      <c r="G98" s="14">
        <v>44879</v>
      </c>
      <c r="H98" s="13" t="s">
        <v>74</v>
      </c>
      <c r="I98" s="13" t="s">
        <v>121</v>
      </c>
      <c r="J98" s="13" t="s">
        <v>54</v>
      </c>
      <c r="K98" s="13" t="s">
        <v>46</v>
      </c>
      <c r="L98" s="13" t="s">
        <v>30</v>
      </c>
      <c r="M98" s="13" t="s">
        <v>238</v>
      </c>
      <c r="N98" s="13"/>
      <c r="O98" s="13" t="s">
        <v>45</v>
      </c>
      <c r="P98" s="13" t="s">
        <v>237</v>
      </c>
      <c r="Q98" s="13">
        <v>329</v>
      </c>
      <c r="R98" s="13" t="s">
        <v>35</v>
      </c>
      <c r="S98" s="13" t="s">
        <v>35</v>
      </c>
      <c r="T98" s="13" t="s">
        <v>35</v>
      </c>
      <c r="U98" s="13" t="s">
        <v>35</v>
      </c>
      <c r="V98" s="13"/>
      <c r="W98" s="13"/>
      <c r="X98" s="13" t="s">
        <v>121</v>
      </c>
      <c r="Y98" s="13" t="s">
        <v>54</v>
      </c>
      <c r="Z98" s="13"/>
      <c r="AA98" s="13"/>
      <c r="AB98" s="13" t="s">
        <v>37</v>
      </c>
    </row>
    <row r="99" spans="1:28" hidden="1" x14ac:dyDescent="0.25">
      <c r="A99" s="7" t="str">
        <f>IFERROR(VLOOKUP(H99,'Contas Orç'!A:B,2,0),"N/A")</f>
        <v>BENEFICIOS</v>
      </c>
      <c r="B99" s="7" t="str">
        <f t="shared" si="2"/>
        <v>320103 - BENEFICIOS</v>
      </c>
      <c r="C99" s="25">
        <f t="shared" si="3"/>
        <v>44866</v>
      </c>
      <c r="D99" s="27">
        <f>IF(K99="CREDITO",Q99,Q99*-1)</f>
        <v>1487</v>
      </c>
      <c r="E99" s="13" t="s">
        <v>235</v>
      </c>
      <c r="F99" s="13" t="s">
        <v>247</v>
      </c>
      <c r="G99" s="14">
        <v>44879</v>
      </c>
      <c r="H99" s="13" t="s">
        <v>84</v>
      </c>
      <c r="I99" s="13" t="s">
        <v>125</v>
      </c>
      <c r="J99" s="13" t="s">
        <v>54</v>
      </c>
      <c r="K99" s="13" t="s">
        <v>29</v>
      </c>
      <c r="L99" s="13" t="s">
        <v>43</v>
      </c>
      <c r="M99" s="13" t="s">
        <v>236</v>
      </c>
      <c r="N99" s="13"/>
      <c r="O99" s="13" t="s">
        <v>45</v>
      </c>
      <c r="P99" s="13" t="s">
        <v>237</v>
      </c>
      <c r="Q99" s="23">
        <v>1487</v>
      </c>
      <c r="R99" s="13" t="s">
        <v>35</v>
      </c>
      <c r="S99" s="13" t="s">
        <v>35</v>
      </c>
      <c r="T99" s="13" t="s">
        <v>35</v>
      </c>
      <c r="U99" s="13" t="s">
        <v>35</v>
      </c>
      <c r="V99" s="13"/>
      <c r="W99" s="13"/>
      <c r="X99" s="13" t="s">
        <v>125</v>
      </c>
      <c r="Y99" s="13" t="s">
        <v>54</v>
      </c>
      <c r="Z99" s="13"/>
      <c r="AA99" s="13"/>
      <c r="AB99" s="13" t="s">
        <v>37</v>
      </c>
    </row>
    <row r="100" spans="1:28" hidden="1" x14ac:dyDescent="0.25">
      <c r="A100" s="7" t="str">
        <f>IFERROR(VLOOKUP(H100,'Contas Orç'!A:B,2,0),"N/A")</f>
        <v>BENEFICIOS</v>
      </c>
      <c r="B100" s="7" t="str">
        <f t="shared" si="2"/>
        <v>320103 - BENEFICIOS</v>
      </c>
      <c r="C100" s="25">
        <f t="shared" si="3"/>
        <v>44866</v>
      </c>
      <c r="D100" s="27">
        <f>IF(K100="CREDITO",Q100,Q100*-1)</f>
        <v>-1487</v>
      </c>
      <c r="E100" s="13" t="s">
        <v>235</v>
      </c>
      <c r="F100" s="13" t="s">
        <v>248</v>
      </c>
      <c r="G100" s="14">
        <v>44879</v>
      </c>
      <c r="H100" s="13" t="s">
        <v>84</v>
      </c>
      <c r="I100" s="13" t="s">
        <v>125</v>
      </c>
      <c r="J100" s="13" t="s">
        <v>54</v>
      </c>
      <c r="K100" s="13" t="s">
        <v>46</v>
      </c>
      <c r="L100" s="13" t="s">
        <v>30</v>
      </c>
      <c r="M100" s="13" t="s">
        <v>238</v>
      </c>
      <c r="N100" s="13"/>
      <c r="O100" s="13" t="s">
        <v>45</v>
      </c>
      <c r="P100" s="13" t="s">
        <v>237</v>
      </c>
      <c r="Q100" s="23">
        <v>1487</v>
      </c>
      <c r="R100" s="13" t="s">
        <v>35</v>
      </c>
      <c r="S100" s="13" t="s">
        <v>35</v>
      </c>
      <c r="T100" s="13" t="s">
        <v>35</v>
      </c>
      <c r="U100" s="13" t="s">
        <v>35</v>
      </c>
      <c r="V100" s="13"/>
      <c r="W100" s="13"/>
      <c r="X100" s="13" t="s">
        <v>125</v>
      </c>
      <c r="Y100" s="13" t="s">
        <v>54</v>
      </c>
      <c r="Z100" s="13"/>
      <c r="AA100" s="13"/>
      <c r="AB100" s="13" t="s">
        <v>37</v>
      </c>
    </row>
    <row r="101" spans="1:28" hidden="1" x14ac:dyDescent="0.25">
      <c r="A101" s="7" t="str">
        <f>IFERROR(VLOOKUP(H101,'Contas Orç'!A:B,2,0),"N/A")</f>
        <v>BENEFICIOS</v>
      </c>
      <c r="B101" s="7" t="str">
        <f t="shared" si="2"/>
        <v>330103 - BENEFICIOS</v>
      </c>
      <c r="C101" s="25">
        <f t="shared" si="3"/>
        <v>44866</v>
      </c>
      <c r="D101" s="27">
        <f>IF(K101="CREDITO",Q101,Q101*-1)</f>
        <v>2706</v>
      </c>
      <c r="E101" s="13" t="s">
        <v>235</v>
      </c>
      <c r="F101" s="13" t="s">
        <v>249</v>
      </c>
      <c r="G101" s="14">
        <v>44879</v>
      </c>
      <c r="H101" s="13" t="s">
        <v>74</v>
      </c>
      <c r="I101" s="13" t="s">
        <v>40</v>
      </c>
      <c r="J101" s="13" t="s">
        <v>54</v>
      </c>
      <c r="K101" s="13" t="s">
        <v>29</v>
      </c>
      <c r="L101" s="13" t="s">
        <v>43</v>
      </c>
      <c r="M101" s="13" t="s">
        <v>236</v>
      </c>
      <c r="N101" s="13"/>
      <c r="O101" s="13" t="s">
        <v>45</v>
      </c>
      <c r="P101" s="13" t="s">
        <v>237</v>
      </c>
      <c r="Q101" s="23">
        <v>2706</v>
      </c>
      <c r="R101" s="13" t="s">
        <v>35</v>
      </c>
      <c r="S101" s="13" t="s">
        <v>35</v>
      </c>
      <c r="T101" s="13" t="s">
        <v>35</v>
      </c>
      <c r="U101" s="13" t="s">
        <v>35</v>
      </c>
      <c r="V101" s="13"/>
      <c r="W101" s="13"/>
      <c r="X101" s="13" t="s">
        <v>40</v>
      </c>
      <c r="Y101" s="13" t="s">
        <v>54</v>
      </c>
      <c r="Z101" s="13"/>
      <c r="AA101" s="13"/>
      <c r="AB101" s="13" t="s">
        <v>37</v>
      </c>
    </row>
    <row r="102" spans="1:28" hidden="1" x14ac:dyDescent="0.25">
      <c r="A102" s="7" t="str">
        <f>IFERROR(VLOOKUP(H102,'Contas Orç'!A:B,2,0),"N/A")</f>
        <v>BENEFICIOS</v>
      </c>
      <c r="B102" s="7" t="str">
        <f t="shared" si="2"/>
        <v>330103 - BENEFICIOS</v>
      </c>
      <c r="C102" s="25">
        <f t="shared" si="3"/>
        <v>44866</v>
      </c>
      <c r="D102" s="27">
        <f>IF(K102="CREDITO",Q102,Q102*-1)</f>
        <v>-2706</v>
      </c>
      <c r="E102" s="13" t="s">
        <v>235</v>
      </c>
      <c r="F102" s="13" t="s">
        <v>250</v>
      </c>
      <c r="G102" s="14">
        <v>44879</v>
      </c>
      <c r="H102" s="13" t="s">
        <v>74</v>
      </c>
      <c r="I102" s="13" t="s">
        <v>40</v>
      </c>
      <c r="J102" s="13" t="s">
        <v>54</v>
      </c>
      <c r="K102" s="13" t="s">
        <v>46</v>
      </c>
      <c r="L102" s="13" t="s">
        <v>30</v>
      </c>
      <c r="M102" s="13" t="s">
        <v>238</v>
      </c>
      <c r="N102" s="13"/>
      <c r="O102" s="13" t="s">
        <v>45</v>
      </c>
      <c r="P102" s="13" t="s">
        <v>237</v>
      </c>
      <c r="Q102" s="23">
        <v>2706</v>
      </c>
      <c r="R102" s="13" t="s">
        <v>35</v>
      </c>
      <c r="S102" s="13" t="s">
        <v>35</v>
      </c>
      <c r="T102" s="13" t="s">
        <v>35</v>
      </c>
      <c r="U102" s="13" t="s">
        <v>35</v>
      </c>
      <c r="V102" s="13"/>
      <c r="W102" s="13"/>
      <c r="X102" s="13" t="s">
        <v>40</v>
      </c>
      <c r="Y102" s="13" t="s">
        <v>54</v>
      </c>
      <c r="Z102" s="13"/>
      <c r="AA102" s="13"/>
      <c r="AB102" s="13" t="s">
        <v>37</v>
      </c>
    </row>
    <row r="103" spans="1:28" hidden="1" x14ac:dyDescent="0.25">
      <c r="A103" s="7" t="str">
        <f>IFERROR(VLOOKUP(H103,'Contas Orç'!A:B,2,0),"N/A")</f>
        <v>BENEFICIOS</v>
      </c>
      <c r="B103" s="7" t="str">
        <f t="shared" si="2"/>
        <v>330103 - BENEFICIOS</v>
      </c>
      <c r="C103" s="25">
        <f t="shared" si="3"/>
        <v>44866</v>
      </c>
      <c r="D103" s="27">
        <f>IF(K103="CREDITO",Q103,Q103*-1)</f>
        <v>605</v>
      </c>
      <c r="E103" s="13" t="s">
        <v>235</v>
      </c>
      <c r="F103" s="13" t="s">
        <v>251</v>
      </c>
      <c r="G103" s="14">
        <v>44879</v>
      </c>
      <c r="H103" s="13" t="s">
        <v>74</v>
      </c>
      <c r="I103" s="13" t="s">
        <v>132</v>
      </c>
      <c r="J103" s="13" t="s">
        <v>54</v>
      </c>
      <c r="K103" s="13" t="s">
        <v>29</v>
      </c>
      <c r="L103" s="13" t="s">
        <v>43</v>
      </c>
      <c r="M103" s="13" t="s">
        <v>236</v>
      </c>
      <c r="N103" s="13"/>
      <c r="O103" s="13" t="s">
        <v>45</v>
      </c>
      <c r="P103" s="13" t="s">
        <v>237</v>
      </c>
      <c r="Q103" s="13">
        <v>605</v>
      </c>
      <c r="R103" s="13" t="s">
        <v>35</v>
      </c>
      <c r="S103" s="13" t="s">
        <v>35</v>
      </c>
      <c r="T103" s="13" t="s">
        <v>35</v>
      </c>
      <c r="U103" s="13" t="s">
        <v>35</v>
      </c>
      <c r="V103" s="13"/>
      <c r="W103" s="13"/>
      <c r="X103" s="13" t="s">
        <v>132</v>
      </c>
      <c r="Y103" s="13" t="s">
        <v>54</v>
      </c>
      <c r="Z103" s="13"/>
      <c r="AA103" s="13"/>
      <c r="AB103" s="13" t="s">
        <v>37</v>
      </c>
    </row>
    <row r="104" spans="1:28" hidden="1" x14ac:dyDescent="0.25">
      <c r="A104" s="7" t="str">
        <f>IFERROR(VLOOKUP(H104,'Contas Orç'!A:B,2,0),"N/A")</f>
        <v>BENEFICIOS</v>
      </c>
      <c r="B104" s="7" t="str">
        <f t="shared" si="2"/>
        <v>330103 - BENEFICIOS</v>
      </c>
      <c r="C104" s="25">
        <f t="shared" si="3"/>
        <v>44866</v>
      </c>
      <c r="D104" s="27">
        <f>IF(K104="CREDITO",Q104,Q104*-1)</f>
        <v>-605</v>
      </c>
      <c r="E104" s="13" t="s">
        <v>235</v>
      </c>
      <c r="F104" s="13" t="s">
        <v>252</v>
      </c>
      <c r="G104" s="14">
        <v>44879</v>
      </c>
      <c r="H104" s="13" t="s">
        <v>74</v>
      </c>
      <c r="I104" s="13" t="s">
        <v>132</v>
      </c>
      <c r="J104" s="13" t="s">
        <v>54</v>
      </c>
      <c r="K104" s="13" t="s">
        <v>46</v>
      </c>
      <c r="L104" s="13" t="s">
        <v>30</v>
      </c>
      <c r="M104" s="13" t="s">
        <v>238</v>
      </c>
      <c r="N104" s="13"/>
      <c r="O104" s="13" t="s">
        <v>45</v>
      </c>
      <c r="P104" s="13" t="s">
        <v>237</v>
      </c>
      <c r="Q104" s="13">
        <v>605</v>
      </c>
      <c r="R104" s="13" t="s">
        <v>35</v>
      </c>
      <c r="S104" s="13" t="s">
        <v>35</v>
      </c>
      <c r="T104" s="13" t="s">
        <v>35</v>
      </c>
      <c r="U104" s="13" t="s">
        <v>35</v>
      </c>
      <c r="V104" s="13"/>
      <c r="W104" s="13"/>
      <c r="X104" s="13" t="s">
        <v>132</v>
      </c>
      <c r="Y104" s="13" t="s">
        <v>54</v>
      </c>
      <c r="Z104" s="13"/>
      <c r="AA104" s="13"/>
      <c r="AB104" s="13" t="s">
        <v>37</v>
      </c>
    </row>
    <row r="105" spans="1:28" hidden="1" x14ac:dyDescent="0.25">
      <c r="A105" s="7" t="str">
        <f>IFERROR(VLOOKUP(H105,'Contas Orç'!A:B,2,0),"N/A")</f>
        <v>BENEFICIOS</v>
      </c>
      <c r="B105" s="7" t="str">
        <f t="shared" si="2"/>
        <v>330103 - BENEFICIOS</v>
      </c>
      <c r="C105" s="25">
        <f t="shared" si="3"/>
        <v>44866</v>
      </c>
      <c r="D105" s="27">
        <f>IF(K105="CREDITO",Q105,Q105*-1)</f>
        <v>704</v>
      </c>
      <c r="E105" s="13" t="s">
        <v>235</v>
      </c>
      <c r="F105" s="13" t="s">
        <v>253</v>
      </c>
      <c r="G105" s="14">
        <v>44879</v>
      </c>
      <c r="H105" s="13" t="s">
        <v>74</v>
      </c>
      <c r="I105" s="13" t="s">
        <v>136</v>
      </c>
      <c r="J105" s="13" t="s">
        <v>54</v>
      </c>
      <c r="K105" s="13" t="s">
        <v>29</v>
      </c>
      <c r="L105" s="13" t="s">
        <v>43</v>
      </c>
      <c r="M105" s="13" t="s">
        <v>236</v>
      </c>
      <c r="N105" s="13"/>
      <c r="O105" s="13" t="s">
        <v>45</v>
      </c>
      <c r="P105" s="13" t="s">
        <v>237</v>
      </c>
      <c r="Q105" s="13">
        <v>704</v>
      </c>
      <c r="R105" s="13" t="s">
        <v>35</v>
      </c>
      <c r="S105" s="13" t="s">
        <v>35</v>
      </c>
      <c r="T105" s="13" t="s">
        <v>35</v>
      </c>
      <c r="U105" s="13" t="s">
        <v>35</v>
      </c>
      <c r="V105" s="13"/>
      <c r="W105" s="13"/>
      <c r="X105" s="13" t="s">
        <v>136</v>
      </c>
      <c r="Y105" s="13" t="s">
        <v>54</v>
      </c>
      <c r="Z105" s="13"/>
      <c r="AA105" s="13"/>
      <c r="AB105" s="13" t="s">
        <v>37</v>
      </c>
    </row>
    <row r="106" spans="1:28" hidden="1" x14ac:dyDescent="0.25">
      <c r="A106" s="7" t="str">
        <f>IFERROR(VLOOKUP(H106,'Contas Orç'!A:B,2,0),"N/A")</f>
        <v>BENEFICIOS</v>
      </c>
      <c r="B106" s="7" t="str">
        <f t="shared" si="2"/>
        <v>330103 - BENEFICIOS</v>
      </c>
      <c r="C106" s="25">
        <f t="shared" si="3"/>
        <v>44866</v>
      </c>
      <c r="D106" s="27">
        <f>IF(K106="CREDITO",Q106,Q106*-1)</f>
        <v>-704</v>
      </c>
      <c r="E106" s="13" t="s">
        <v>235</v>
      </c>
      <c r="F106" s="13" t="s">
        <v>254</v>
      </c>
      <c r="G106" s="14">
        <v>44879</v>
      </c>
      <c r="H106" s="13" t="s">
        <v>74</v>
      </c>
      <c r="I106" s="13" t="s">
        <v>136</v>
      </c>
      <c r="J106" s="13" t="s">
        <v>54</v>
      </c>
      <c r="K106" s="13" t="s">
        <v>46</v>
      </c>
      <c r="L106" s="13" t="s">
        <v>30</v>
      </c>
      <c r="M106" s="13" t="s">
        <v>238</v>
      </c>
      <c r="N106" s="13"/>
      <c r="O106" s="13" t="s">
        <v>45</v>
      </c>
      <c r="P106" s="13" t="s">
        <v>237</v>
      </c>
      <c r="Q106" s="13">
        <v>704</v>
      </c>
      <c r="R106" s="13" t="s">
        <v>35</v>
      </c>
      <c r="S106" s="13" t="s">
        <v>35</v>
      </c>
      <c r="T106" s="13" t="s">
        <v>35</v>
      </c>
      <c r="U106" s="13" t="s">
        <v>35</v>
      </c>
      <c r="V106" s="13"/>
      <c r="W106" s="13"/>
      <c r="X106" s="13" t="s">
        <v>136</v>
      </c>
      <c r="Y106" s="13" t="s">
        <v>54</v>
      </c>
      <c r="Z106" s="13"/>
      <c r="AA106" s="13"/>
      <c r="AB106" s="13" t="s">
        <v>37</v>
      </c>
    </row>
    <row r="107" spans="1:28" hidden="1" x14ac:dyDescent="0.25">
      <c r="A107" s="7" t="str">
        <f>IFERROR(VLOOKUP(H107,'Contas Orç'!A:B,2,0),"N/A")</f>
        <v>BENEFICIOS</v>
      </c>
      <c r="B107" s="7" t="str">
        <f t="shared" si="2"/>
        <v>320103 - BENEFICIOS</v>
      </c>
      <c r="C107" s="25">
        <f t="shared" si="3"/>
        <v>44866</v>
      </c>
      <c r="D107" s="27">
        <f>IF(K107="CREDITO",Q107,Q107*-1)</f>
        <v>282</v>
      </c>
      <c r="E107" s="13" t="s">
        <v>235</v>
      </c>
      <c r="F107" s="13" t="s">
        <v>255</v>
      </c>
      <c r="G107" s="14">
        <v>44879</v>
      </c>
      <c r="H107" s="13" t="s">
        <v>84</v>
      </c>
      <c r="I107" s="13" t="s">
        <v>125</v>
      </c>
      <c r="J107" s="13" t="s">
        <v>54</v>
      </c>
      <c r="K107" s="13" t="s">
        <v>29</v>
      </c>
      <c r="L107" s="13" t="s">
        <v>43</v>
      </c>
      <c r="M107" s="13" t="s">
        <v>236</v>
      </c>
      <c r="N107" s="13"/>
      <c r="O107" s="13" t="s">
        <v>45</v>
      </c>
      <c r="P107" s="13" t="s">
        <v>237</v>
      </c>
      <c r="Q107" s="13">
        <v>282</v>
      </c>
      <c r="R107" s="13" t="s">
        <v>35</v>
      </c>
      <c r="S107" s="13" t="s">
        <v>35</v>
      </c>
      <c r="T107" s="13" t="s">
        <v>35</v>
      </c>
      <c r="U107" s="13" t="s">
        <v>35</v>
      </c>
      <c r="V107" s="13"/>
      <c r="W107" s="13"/>
      <c r="X107" s="13" t="s">
        <v>125</v>
      </c>
      <c r="Y107" s="13" t="s">
        <v>54</v>
      </c>
      <c r="Z107" s="13"/>
      <c r="AA107" s="13"/>
      <c r="AB107" s="13" t="s">
        <v>37</v>
      </c>
    </row>
    <row r="108" spans="1:28" hidden="1" x14ac:dyDescent="0.25">
      <c r="A108" s="7" t="str">
        <f>IFERROR(VLOOKUP(H108,'Contas Orç'!A:B,2,0),"N/A")</f>
        <v>BENEFICIOS</v>
      </c>
      <c r="B108" s="7" t="str">
        <f t="shared" si="2"/>
        <v>320103 - BENEFICIOS</v>
      </c>
      <c r="C108" s="25">
        <f t="shared" si="3"/>
        <v>44866</v>
      </c>
      <c r="D108" s="27">
        <f>IF(K108="CREDITO",Q108,Q108*-1)</f>
        <v>-282</v>
      </c>
      <c r="E108" s="13" t="s">
        <v>235</v>
      </c>
      <c r="F108" s="13" t="s">
        <v>256</v>
      </c>
      <c r="G108" s="14">
        <v>44879</v>
      </c>
      <c r="H108" s="13" t="s">
        <v>84</v>
      </c>
      <c r="I108" s="13" t="s">
        <v>125</v>
      </c>
      <c r="J108" s="13" t="s">
        <v>54</v>
      </c>
      <c r="K108" s="13" t="s">
        <v>46</v>
      </c>
      <c r="L108" s="13" t="s">
        <v>30</v>
      </c>
      <c r="M108" s="13" t="s">
        <v>238</v>
      </c>
      <c r="N108" s="13"/>
      <c r="O108" s="13" t="s">
        <v>45</v>
      </c>
      <c r="P108" s="13" t="s">
        <v>237</v>
      </c>
      <c r="Q108" s="13">
        <v>282</v>
      </c>
      <c r="R108" s="13" t="s">
        <v>35</v>
      </c>
      <c r="S108" s="13" t="s">
        <v>35</v>
      </c>
      <c r="T108" s="13" t="s">
        <v>35</v>
      </c>
      <c r="U108" s="13" t="s">
        <v>35</v>
      </c>
      <c r="V108" s="13"/>
      <c r="W108" s="13"/>
      <c r="X108" s="13" t="s">
        <v>125</v>
      </c>
      <c r="Y108" s="13" t="s">
        <v>54</v>
      </c>
      <c r="Z108" s="13"/>
      <c r="AA108" s="13"/>
      <c r="AB108" s="13" t="s">
        <v>37</v>
      </c>
    </row>
    <row r="109" spans="1:28" hidden="1" x14ac:dyDescent="0.25">
      <c r="A109" s="7" t="str">
        <f>IFERROR(VLOOKUP(H109,'Contas Orç'!A:B,2,0),"N/A")</f>
        <v>BENEFICIOS</v>
      </c>
      <c r="B109" s="7" t="str">
        <f t="shared" si="2"/>
        <v>320103 - BENEFICIOS</v>
      </c>
      <c r="C109" s="25">
        <f t="shared" si="3"/>
        <v>44866</v>
      </c>
      <c r="D109" s="27">
        <f>IF(K109="CREDITO",Q109,Q109*-1)</f>
        <v>2386</v>
      </c>
      <c r="E109" s="13" t="s">
        <v>235</v>
      </c>
      <c r="F109" s="13" t="s">
        <v>257</v>
      </c>
      <c r="G109" s="14">
        <v>44879</v>
      </c>
      <c r="H109" s="13" t="s">
        <v>84</v>
      </c>
      <c r="I109" s="13" t="s">
        <v>125</v>
      </c>
      <c r="J109" s="13" t="s">
        <v>54</v>
      </c>
      <c r="K109" s="13" t="s">
        <v>29</v>
      </c>
      <c r="L109" s="13" t="s">
        <v>43</v>
      </c>
      <c r="M109" s="13" t="s">
        <v>236</v>
      </c>
      <c r="N109" s="13"/>
      <c r="O109" s="13" t="s">
        <v>45</v>
      </c>
      <c r="P109" s="13" t="s">
        <v>237</v>
      </c>
      <c r="Q109" s="23">
        <v>2386</v>
      </c>
      <c r="R109" s="13" t="s">
        <v>35</v>
      </c>
      <c r="S109" s="13" t="s">
        <v>35</v>
      </c>
      <c r="T109" s="13" t="s">
        <v>35</v>
      </c>
      <c r="U109" s="13" t="s">
        <v>35</v>
      </c>
      <c r="V109" s="13"/>
      <c r="W109" s="13"/>
      <c r="X109" s="13" t="s">
        <v>125</v>
      </c>
      <c r="Y109" s="13" t="s">
        <v>54</v>
      </c>
      <c r="Z109" s="13"/>
      <c r="AA109" s="13"/>
      <c r="AB109" s="13" t="s">
        <v>37</v>
      </c>
    </row>
    <row r="110" spans="1:28" hidden="1" x14ac:dyDescent="0.25">
      <c r="A110" s="7" t="str">
        <f>IFERROR(VLOOKUP(H110,'Contas Orç'!A:B,2,0),"N/A")</f>
        <v>BENEFICIOS</v>
      </c>
      <c r="B110" s="7" t="str">
        <f t="shared" si="2"/>
        <v>320103 - BENEFICIOS</v>
      </c>
      <c r="C110" s="25">
        <f t="shared" si="3"/>
        <v>44866</v>
      </c>
      <c r="D110" s="27">
        <f>IF(K110="CREDITO",Q110,Q110*-1)</f>
        <v>-2386</v>
      </c>
      <c r="E110" s="13" t="s">
        <v>235</v>
      </c>
      <c r="F110" s="13" t="s">
        <v>258</v>
      </c>
      <c r="G110" s="14">
        <v>44879</v>
      </c>
      <c r="H110" s="13" t="s">
        <v>84</v>
      </c>
      <c r="I110" s="13" t="s">
        <v>125</v>
      </c>
      <c r="J110" s="13" t="s">
        <v>54</v>
      </c>
      <c r="K110" s="13" t="s">
        <v>46</v>
      </c>
      <c r="L110" s="13" t="s">
        <v>30</v>
      </c>
      <c r="M110" s="13" t="s">
        <v>238</v>
      </c>
      <c r="N110" s="13"/>
      <c r="O110" s="13" t="s">
        <v>45</v>
      </c>
      <c r="P110" s="13" t="s">
        <v>237</v>
      </c>
      <c r="Q110" s="23">
        <v>2386</v>
      </c>
      <c r="R110" s="13" t="s">
        <v>35</v>
      </c>
      <c r="S110" s="13" t="s">
        <v>35</v>
      </c>
      <c r="T110" s="13" t="s">
        <v>35</v>
      </c>
      <c r="U110" s="13" t="s">
        <v>35</v>
      </c>
      <c r="V110" s="13"/>
      <c r="W110" s="13"/>
      <c r="X110" s="13" t="s">
        <v>125</v>
      </c>
      <c r="Y110" s="13" t="s">
        <v>54</v>
      </c>
      <c r="Z110" s="13"/>
      <c r="AA110" s="13"/>
      <c r="AB110" s="13" t="s">
        <v>37</v>
      </c>
    </row>
    <row r="111" spans="1:28" hidden="1" x14ac:dyDescent="0.25">
      <c r="A111" s="7" t="str">
        <f>IFERROR(VLOOKUP(H111,'Contas Orç'!A:B,2,0),"N/A")</f>
        <v>PJ-OUTROS SERVICOS CONTRATADOS-PJ</v>
      </c>
      <c r="B111" s="7" t="str">
        <f t="shared" si="2"/>
        <v>320201006 - PJ-OUTROS SERVICOS CONTRATADOS-PJ</v>
      </c>
      <c r="C111" s="25">
        <f t="shared" si="3"/>
        <v>44866</v>
      </c>
      <c r="D111" s="27">
        <f>IF(K111="CREDITO",Q111,Q111*-1)</f>
        <v>250</v>
      </c>
      <c r="E111" s="13" t="s">
        <v>259</v>
      </c>
      <c r="F111" s="13" t="s">
        <v>25</v>
      </c>
      <c r="G111" s="14">
        <v>44879</v>
      </c>
      <c r="H111" s="13" t="s">
        <v>144</v>
      </c>
      <c r="I111" s="13" t="s">
        <v>106</v>
      </c>
      <c r="J111" s="13" t="s">
        <v>60</v>
      </c>
      <c r="K111" s="13" t="s">
        <v>29</v>
      </c>
      <c r="L111" s="13" t="s">
        <v>43</v>
      </c>
      <c r="M111" s="13" t="s">
        <v>260</v>
      </c>
      <c r="N111" s="13"/>
      <c r="O111" s="13" t="s">
        <v>45</v>
      </c>
      <c r="P111" s="13" t="s">
        <v>261</v>
      </c>
      <c r="Q111" s="13">
        <v>250</v>
      </c>
      <c r="R111" s="13" t="s">
        <v>35</v>
      </c>
      <c r="S111" s="13" t="s">
        <v>35</v>
      </c>
      <c r="T111" s="13" t="s">
        <v>35</v>
      </c>
      <c r="U111" s="13" t="s">
        <v>35</v>
      </c>
      <c r="V111" s="13"/>
      <c r="W111" s="13"/>
      <c r="X111" s="13" t="s">
        <v>106</v>
      </c>
      <c r="Y111" s="13" t="s">
        <v>60</v>
      </c>
      <c r="Z111" s="13"/>
      <c r="AA111" s="13"/>
      <c r="AB111" s="13" t="s">
        <v>37</v>
      </c>
    </row>
    <row r="112" spans="1:28" hidden="1" x14ac:dyDescent="0.25">
      <c r="A112" s="7" t="str">
        <f>IFERROR(VLOOKUP(H112,'Contas Orç'!A:B,2,0),"N/A")</f>
        <v>PJ-OUTROS SERVICOS CONTRATADOS-PJ</v>
      </c>
      <c r="B112" s="7" t="str">
        <f t="shared" si="2"/>
        <v>320201006 - PJ-OUTROS SERVICOS CONTRATADOS-PJ</v>
      </c>
      <c r="C112" s="25">
        <f t="shared" si="3"/>
        <v>44866</v>
      </c>
      <c r="D112" s="27">
        <f>IF(K112="CREDITO",Q112,Q112*-1)</f>
        <v>-250</v>
      </c>
      <c r="E112" s="13" t="s">
        <v>259</v>
      </c>
      <c r="F112" s="13" t="s">
        <v>38</v>
      </c>
      <c r="G112" s="14">
        <v>44879</v>
      </c>
      <c r="H112" s="13" t="s">
        <v>144</v>
      </c>
      <c r="I112" s="13" t="s">
        <v>106</v>
      </c>
      <c r="J112" s="13" t="s">
        <v>60</v>
      </c>
      <c r="K112" s="13" t="s">
        <v>46</v>
      </c>
      <c r="L112" s="13" t="s">
        <v>30</v>
      </c>
      <c r="M112" s="13" t="s">
        <v>262</v>
      </c>
      <c r="N112" s="13"/>
      <c r="O112" s="13" t="s">
        <v>45</v>
      </c>
      <c r="P112" s="13" t="s">
        <v>261</v>
      </c>
      <c r="Q112" s="13">
        <v>250</v>
      </c>
      <c r="R112" s="13" t="s">
        <v>35</v>
      </c>
      <c r="S112" s="13" t="s">
        <v>35</v>
      </c>
      <c r="T112" s="13" t="s">
        <v>35</v>
      </c>
      <c r="U112" s="13" t="s">
        <v>35</v>
      </c>
      <c r="V112" s="13"/>
      <c r="W112" s="13"/>
      <c r="X112" s="13" t="s">
        <v>106</v>
      </c>
      <c r="Y112" s="13" t="s">
        <v>60</v>
      </c>
      <c r="Z112" s="13"/>
      <c r="AA112" s="13"/>
      <c r="AB112" s="13" t="s">
        <v>37</v>
      </c>
    </row>
    <row r="113" spans="1:28" hidden="1" x14ac:dyDescent="0.25">
      <c r="A113" s="7" t="str">
        <f>IFERROR(VLOOKUP(H113,'Contas Orç'!A:B,2,0),"N/A")</f>
        <v>PJ-OUTROS SERVICOS CONTRATADOS-PJ</v>
      </c>
      <c r="B113" s="7" t="str">
        <f t="shared" si="2"/>
        <v>330201006 - PJ-OUTROS SERVICOS CONTRATADOS-PJ</v>
      </c>
      <c r="C113" s="25">
        <f t="shared" si="3"/>
        <v>44866</v>
      </c>
      <c r="D113" s="27">
        <f>IF(K113="CREDITO",Q113,Q113*-1)</f>
        <v>33809</v>
      </c>
      <c r="E113" s="13" t="s">
        <v>263</v>
      </c>
      <c r="F113" s="13" t="s">
        <v>25</v>
      </c>
      <c r="G113" s="14">
        <v>44879</v>
      </c>
      <c r="H113" s="13" t="s">
        <v>67</v>
      </c>
      <c r="I113" s="13" t="s">
        <v>68</v>
      </c>
      <c r="J113" s="13" t="s">
        <v>69</v>
      </c>
      <c r="K113" s="13" t="s">
        <v>29</v>
      </c>
      <c r="L113" s="13" t="s">
        <v>43</v>
      </c>
      <c r="M113" s="13" t="s">
        <v>264</v>
      </c>
      <c r="N113" s="13"/>
      <c r="O113" s="13" t="s">
        <v>45</v>
      </c>
      <c r="P113" s="13" t="s">
        <v>33</v>
      </c>
      <c r="Q113" s="23">
        <v>33809</v>
      </c>
      <c r="R113" s="13" t="s">
        <v>35</v>
      </c>
      <c r="S113" s="13" t="s">
        <v>35</v>
      </c>
      <c r="T113" s="13" t="s">
        <v>35</v>
      </c>
      <c r="U113" s="13" t="s">
        <v>35</v>
      </c>
      <c r="V113" s="13"/>
      <c r="W113" s="13"/>
      <c r="X113" s="13" t="s">
        <v>68</v>
      </c>
      <c r="Y113" s="13" t="s">
        <v>69</v>
      </c>
      <c r="Z113" s="13"/>
      <c r="AA113" s="13"/>
      <c r="AB113" s="13" t="s">
        <v>37</v>
      </c>
    </row>
    <row r="114" spans="1:28" hidden="1" x14ac:dyDescent="0.25">
      <c r="A114" s="7" t="str">
        <f>IFERROR(VLOOKUP(H114,'Contas Orç'!A:B,2,0),"N/A")</f>
        <v>PJ-OUTROS SERVICOS CONTRATADOS-PJ</v>
      </c>
      <c r="B114" s="7" t="str">
        <f t="shared" si="2"/>
        <v>330201006 - PJ-OUTROS SERVICOS CONTRATADOS-PJ</v>
      </c>
      <c r="C114" s="25">
        <f t="shared" si="3"/>
        <v>44866</v>
      </c>
      <c r="D114" s="27">
        <f>IF(K114="CREDITO",Q114,Q114*-1)</f>
        <v>-33809</v>
      </c>
      <c r="E114" s="13" t="s">
        <v>263</v>
      </c>
      <c r="F114" s="13" t="s">
        <v>38</v>
      </c>
      <c r="G114" s="14">
        <v>44879</v>
      </c>
      <c r="H114" s="13" t="s">
        <v>67</v>
      </c>
      <c r="I114" s="13" t="s">
        <v>68</v>
      </c>
      <c r="J114" s="13" t="s">
        <v>69</v>
      </c>
      <c r="K114" s="13" t="s">
        <v>46</v>
      </c>
      <c r="L114" s="13" t="s">
        <v>30</v>
      </c>
      <c r="M114" s="13" t="s">
        <v>265</v>
      </c>
      <c r="N114" s="13"/>
      <c r="O114" s="13" t="s">
        <v>45</v>
      </c>
      <c r="P114" s="13" t="s">
        <v>33</v>
      </c>
      <c r="Q114" s="23">
        <v>33809</v>
      </c>
      <c r="R114" s="13" t="s">
        <v>35</v>
      </c>
      <c r="S114" s="13" t="s">
        <v>35</v>
      </c>
      <c r="T114" s="13" t="s">
        <v>35</v>
      </c>
      <c r="U114" s="13" t="s">
        <v>35</v>
      </c>
      <c r="V114" s="13"/>
      <c r="W114" s="13"/>
      <c r="X114" s="13" t="s">
        <v>68</v>
      </c>
      <c r="Y114" s="13" t="s">
        <v>69</v>
      </c>
      <c r="Z114" s="13"/>
      <c r="AA114" s="13"/>
      <c r="AB114" s="13" t="s">
        <v>37</v>
      </c>
    </row>
    <row r="115" spans="1:28" hidden="1" x14ac:dyDescent="0.25">
      <c r="A115" s="7" t="str">
        <f>IFERROR(VLOOKUP(H115,'Contas Orç'!A:B,2,0),"N/A")</f>
        <v>N/A</v>
      </c>
      <c r="B115" s="7" t="str">
        <f t="shared" si="2"/>
        <v xml:space="preserve"> - N/A</v>
      </c>
      <c r="C115" s="25">
        <f t="shared" si="3"/>
        <v>44866</v>
      </c>
      <c r="D115" s="27">
        <f>IF(K115="CREDITO",Q115,Q115*-1)</f>
        <v>170000</v>
      </c>
      <c r="E115" s="13" t="s">
        <v>266</v>
      </c>
      <c r="F115" s="13" t="s">
        <v>25</v>
      </c>
      <c r="G115" s="14">
        <v>44882</v>
      </c>
      <c r="H115" s="13"/>
      <c r="I115" s="13" t="s">
        <v>59</v>
      </c>
      <c r="J115" s="13" t="s">
        <v>60</v>
      </c>
      <c r="K115" s="13" t="s">
        <v>29</v>
      </c>
      <c r="L115" s="13" t="s">
        <v>30</v>
      </c>
      <c r="M115" s="13" t="s">
        <v>267</v>
      </c>
      <c r="N115" s="13"/>
      <c r="O115" s="13" t="s">
        <v>56</v>
      </c>
      <c r="P115" s="13" t="s">
        <v>71</v>
      </c>
      <c r="Q115" s="23">
        <v>170000</v>
      </c>
      <c r="R115" s="13" t="s">
        <v>35</v>
      </c>
      <c r="S115" s="13" t="s">
        <v>35</v>
      </c>
      <c r="T115" s="13" t="s">
        <v>35</v>
      </c>
      <c r="U115" s="13" t="s">
        <v>35</v>
      </c>
      <c r="V115" s="13"/>
      <c r="W115" s="13"/>
      <c r="X115" s="13" t="s">
        <v>59</v>
      </c>
      <c r="Y115" s="13" t="s">
        <v>60</v>
      </c>
      <c r="Z115" s="13"/>
      <c r="AA115" s="13"/>
      <c r="AB115" s="13" t="s">
        <v>37</v>
      </c>
    </row>
    <row r="116" spans="1:28" hidden="1" x14ac:dyDescent="0.25">
      <c r="A116" s="7" t="str">
        <f>IFERROR(VLOOKUP(H116,'Contas Orç'!A:B,2,0),"N/A")</f>
        <v>N/A</v>
      </c>
      <c r="B116" s="7" t="str">
        <f t="shared" si="2"/>
        <v xml:space="preserve"> - N/A</v>
      </c>
      <c r="C116" s="25">
        <f t="shared" si="3"/>
        <v>44866</v>
      </c>
      <c r="D116" s="27">
        <f>IF(K116="CREDITO",Q116,Q116*-1)</f>
        <v>172000</v>
      </c>
      <c r="E116" s="13" t="s">
        <v>266</v>
      </c>
      <c r="F116" s="13" t="s">
        <v>38</v>
      </c>
      <c r="G116" s="14">
        <v>44882</v>
      </c>
      <c r="H116" s="13"/>
      <c r="I116" s="13" t="s">
        <v>59</v>
      </c>
      <c r="J116" s="13" t="s">
        <v>60</v>
      </c>
      <c r="K116" s="13" t="s">
        <v>29</v>
      </c>
      <c r="L116" s="13" t="s">
        <v>30</v>
      </c>
      <c r="M116" s="13" t="s">
        <v>268</v>
      </c>
      <c r="N116" s="13"/>
      <c r="O116" s="13" t="s">
        <v>56</v>
      </c>
      <c r="P116" s="13" t="s">
        <v>71</v>
      </c>
      <c r="Q116" s="23">
        <v>172000</v>
      </c>
      <c r="R116" s="13" t="s">
        <v>35</v>
      </c>
      <c r="S116" s="13" t="s">
        <v>35</v>
      </c>
      <c r="T116" s="13" t="s">
        <v>35</v>
      </c>
      <c r="U116" s="13" t="s">
        <v>35</v>
      </c>
      <c r="V116" s="13"/>
      <c r="W116" s="13"/>
      <c r="X116" s="13" t="s">
        <v>59</v>
      </c>
      <c r="Y116" s="13" t="s">
        <v>60</v>
      </c>
      <c r="Z116" s="13"/>
      <c r="AA116" s="13"/>
      <c r="AB116" s="13" t="s">
        <v>37</v>
      </c>
    </row>
    <row r="117" spans="1:28" s="6" customFormat="1" hidden="1" x14ac:dyDescent="0.25">
      <c r="A117" s="7" t="str">
        <f>IFERROR(VLOOKUP(H117,'Contas Orç'!A:B,2,0),"N/A")</f>
        <v>COMBUSTIVEIS</v>
      </c>
      <c r="B117" s="7" t="str">
        <f t="shared" si="2"/>
        <v>330301001 - COMBUSTIVEIS</v>
      </c>
      <c r="C117" s="25">
        <f t="shared" si="3"/>
        <v>44866</v>
      </c>
      <c r="D117" s="27">
        <f>IF(K117="CREDITO",Q117,Q117*-1)</f>
        <v>64090</v>
      </c>
      <c r="E117" s="18" t="s">
        <v>269</v>
      </c>
      <c r="F117" s="18" t="s">
        <v>25</v>
      </c>
      <c r="G117" s="19">
        <v>44882</v>
      </c>
      <c r="H117" s="18" t="s">
        <v>270</v>
      </c>
      <c r="I117" s="18" t="s">
        <v>81</v>
      </c>
      <c r="J117" s="18" t="s">
        <v>28</v>
      </c>
      <c r="K117" s="18" t="s">
        <v>29</v>
      </c>
      <c r="L117" s="18" t="s">
        <v>30</v>
      </c>
      <c r="M117" s="18" t="s">
        <v>271</v>
      </c>
      <c r="N117" s="18"/>
      <c r="O117" s="18" t="s">
        <v>56</v>
      </c>
      <c r="P117" s="18" t="s">
        <v>71</v>
      </c>
      <c r="Q117" s="24">
        <v>64090</v>
      </c>
      <c r="R117" s="18" t="s">
        <v>35</v>
      </c>
      <c r="S117" s="18" t="s">
        <v>35</v>
      </c>
      <c r="T117" s="18" t="s">
        <v>35</v>
      </c>
      <c r="U117" s="18" t="s">
        <v>35</v>
      </c>
      <c r="V117" s="18"/>
      <c r="W117" s="18"/>
      <c r="X117" s="18" t="s">
        <v>81</v>
      </c>
      <c r="Y117" s="18" t="s">
        <v>28</v>
      </c>
      <c r="Z117" s="18"/>
      <c r="AA117" s="18"/>
      <c r="AB117" s="18" t="s">
        <v>37</v>
      </c>
    </row>
    <row r="118" spans="1:28" hidden="1" x14ac:dyDescent="0.25">
      <c r="A118" s="7" t="str">
        <f>IFERROR(VLOOKUP(H118,'Contas Orç'!A:B,2,0),"N/A")</f>
        <v>COMBUSTIVEIS</v>
      </c>
      <c r="B118" s="7" t="str">
        <f t="shared" si="2"/>
        <v>330301001 - COMBUSTIVEIS</v>
      </c>
      <c r="C118" s="25">
        <f t="shared" si="3"/>
        <v>44866</v>
      </c>
      <c r="D118" s="27">
        <f>IF(K118="CREDITO",Q118,Q118*-1)</f>
        <v>64090</v>
      </c>
      <c r="E118" s="13" t="s">
        <v>269</v>
      </c>
      <c r="F118" s="13" t="s">
        <v>38</v>
      </c>
      <c r="G118" s="14">
        <v>44882</v>
      </c>
      <c r="H118" s="13" t="s">
        <v>270</v>
      </c>
      <c r="I118" s="13" t="s">
        <v>81</v>
      </c>
      <c r="J118" s="13" t="s">
        <v>60</v>
      </c>
      <c r="K118" s="13" t="s">
        <v>29</v>
      </c>
      <c r="L118" s="13" t="s">
        <v>30</v>
      </c>
      <c r="M118" s="13" t="s">
        <v>271</v>
      </c>
      <c r="N118" s="13"/>
      <c r="O118" s="13" t="s">
        <v>56</v>
      </c>
      <c r="P118" s="13" t="s">
        <v>71</v>
      </c>
      <c r="Q118" s="23">
        <v>64090</v>
      </c>
      <c r="R118" s="13" t="s">
        <v>35</v>
      </c>
      <c r="S118" s="13" t="s">
        <v>35</v>
      </c>
      <c r="T118" s="13" t="s">
        <v>35</v>
      </c>
      <c r="U118" s="13" t="s">
        <v>35</v>
      </c>
      <c r="V118" s="13"/>
      <c r="W118" s="13"/>
      <c r="X118" s="13" t="s">
        <v>81</v>
      </c>
      <c r="Y118" s="13" t="s">
        <v>60</v>
      </c>
      <c r="Z118" s="13"/>
      <c r="AA118" s="13"/>
      <c r="AB118" s="13" t="s">
        <v>37</v>
      </c>
    </row>
    <row r="119" spans="1:28" hidden="1" x14ac:dyDescent="0.25">
      <c r="A119" s="7" t="str">
        <f>IFERROR(VLOOKUP(H119,'Contas Orç'!A:B,2,0),"N/A")</f>
        <v>PECAS E ACESSORIOS</v>
      </c>
      <c r="B119" s="7" t="str">
        <f t="shared" si="2"/>
        <v>320301004 - PECAS E ACESSORIOS</v>
      </c>
      <c r="C119" s="25">
        <f t="shared" si="3"/>
        <v>44866</v>
      </c>
      <c r="D119" s="27">
        <f>IF(K119="CREDITO",Q119,Q119*-1)</f>
        <v>398</v>
      </c>
      <c r="E119" s="13" t="s">
        <v>273</v>
      </c>
      <c r="F119" s="13" t="s">
        <v>25</v>
      </c>
      <c r="G119" s="14">
        <v>44882</v>
      </c>
      <c r="H119" s="13" t="s">
        <v>26</v>
      </c>
      <c r="I119" s="13" t="s">
        <v>27</v>
      </c>
      <c r="J119" s="13" t="s">
        <v>28</v>
      </c>
      <c r="K119" s="13" t="s">
        <v>29</v>
      </c>
      <c r="L119" s="13" t="s">
        <v>30</v>
      </c>
      <c r="M119" s="13" t="s">
        <v>274</v>
      </c>
      <c r="N119" s="13"/>
      <c r="O119" s="13" t="s">
        <v>56</v>
      </c>
      <c r="P119" s="13" t="s">
        <v>71</v>
      </c>
      <c r="Q119" s="13">
        <v>398</v>
      </c>
      <c r="R119" s="13" t="s">
        <v>35</v>
      </c>
      <c r="S119" s="13" t="s">
        <v>35</v>
      </c>
      <c r="T119" s="13" t="s">
        <v>35</v>
      </c>
      <c r="U119" s="13" t="s">
        <v>35</v>
      </c>
      <c r="V119" s="13"/>
      <c r="W119" s="13"/>
      <c r="X119" s="13" t="s">
        <v>27</v>
      </c>
      <c r="Y119" s="13" t="s">
        <v>28</v>
      </c>
      <c r="Z119" s="13"/>
      <c r="AA119" s="13"/>
      <c r="AB119" s="13" t="s">
        <v>37</v>
      </c>
    </row>
    <row r="120" spans="1:28" hidden="1" x14ac:dyDescent="0.25">
      <c r="A120" s="7" t="str">
        <f>IFERROR(VLOOKUP(H120,'Contas Orç'!A:B,2,0),"N/A")</f>
        <v>PJ-OUTROS SERVICOS CONTRATADOS-PJ</v>
      </c>
      <c r="B120" s="7" t="str">
        <f t="shared" si="2"/>
        <v>330201006 - PJ-OUTROS SERVICOS CONTRATADOS-PJ</v>
      </c>
      <c r="C120" s="25">
        <f t="shared" si="3"/>
        <v>44866</v>
      </c>
      <c r="D120" s="27">
        <f>IF(K120="CREDITO",Q120,Q120*-1)</f>
        <v>499</v>
      </c>
      <c r="E120" s="13" t="s">
        <v>276</v>
      </c>
      <c r="F120" s="13" t="s">
        <v>25</v>
      </c>
      <c r="G120" s="14">
        <v>44882</v>
      </c>
      <c r="H120" s="13" t="s">
        <v>67</v>
      </c>
      <c r="I120" s="13" t="s">
        <v>40</v>
      </c>
      <c r="J120" s="13" t="s">
        <v>54</v>
      </c>
      <c r="K120" s="13" t="s">
        <v>29</v>
      </c>
      <c r="L120" s="13" t="s">
        <v>30</v>
      </c>
      <c r="M120" s="13" t="s">
        <v>277</v>
      </c>
      <c r="N120" s="13"/>
      <c r="O120" s="13" t="s">
        <v>56</v>
      </c>
      <c r="P120" s="13" t="s">
        <v>71</v>
      </c>
      <c r="Q120" s="13">
        <v>499</v>
      </c>
      <c r="R120" s="13" t="s">
        <v>35</v>
      </c>
      <c r="S120" s="13" t="s">
        <v>35</v>
      </c>
      <c r="T120" s="13" t="s">
        <v>35</v>
      </c>
      <c r="U120" s="13" t="s">
        <v>35</v>
      </c>
      <c r="V120" s="13"/>
      <c r="W120" s="13"/>
      <c r="X120" s="13" t="s">
        <v>40</v>
      </c>
      <c r="Y120" s="13" t="s">
        <v>54</v>
      </c>
      <c r="Z120" s="13"/>
      <c r="AA120" s="13"/>
      <c r="AB120" s="13" t="s">
        <v>37</v>
      </c>
    </row>
    <row r="121" spans="1:28" hidden="1" x14ac:dyDescent="0.25">
      <c r="A121" s="7" t="str">
        <f>IFERROR(VLOOKUP(H121,'Contas Orç'!A:B,2,0),"N/A")</f>
        <v>PJ-OUTROS SERVICOS CONTRATADOS-PJ</v>
      </c>
      <c r="B121" s="7" t="str">
        <f t="shared" si="2"/>
        <v>330201006 - PJ-OUTROS SERVICOS CONTRATADOS-PJ</v>
      </c>
      <c r="C121" s="25">
        <f t="shared" si="3"/>
        <v>44866</v>
      </c>
      <c r="D121" s="27">
        <f>IF(K121="CREDITO",Q121,Q121*-1)</f>
        <v>499</v>
      </c>
      <c r="E121" s="13" t="s">
        <v>276</v>
      </c>
      <c r="F121" s="13" t="s">
        <v>38</v>
      </c>
      <c r="G121" s="14">
        <v>44882</v>
      </c>
      <c r="H121" s="13" t="s">
        <v>67</v>
      </c>
      <c r="I121" s="13" t="s">
        <v>40</v>
      </c>
      <c r="J121" s="13" t="s">
        <v>54</v>
      </c>
      <c r="K121" s="13" t="s">
        <v>29</v>
      </c>
      <c r="L121" s="13" t="s">
        <v>30</v>
      </c>
      <c r="M121" s="13" t="s">
        <v>277</v>
      </c>
      <c r="N121" s="13"/>
      <c r="O121" s="13" t="s">
        <v>56</v>
      </c>
      <c r="P121" s="13" t="s">
        <v>71</v>
      </c>
      <c r="Q121" s="13">
        <v>499</v>
      </c>
      <c r="R121" s="13" t="s">
        <v>35</v>
      </c>
      <c r="S121" s="13" t="s">
        <v>35</v>
      </c>
      <c r="T121" s="13" t="s">
        <v>35</v>
      </c>
      <c r="U121" s="13" t="s">
        <v>35</v>
      </c>
      <c r="V121" s="13"/>
      <c r="W121" s="13"/>
      <c r="X121" s="13" t="s">
        <v>40</v>
      </c>
      <c r="Y121" s="13" t="s">
        <v>54</v>
      </c>
      <c r="Z121" s="13"/>
      <c r="AA121" s="13"/>
      <c r="AB121" s="13" t="s">
        <v>37</v>
      </c>
    </row>
    <row r="122" spans="1:28" hidden="1" x14ac:dyDescent="0.25">
      <c r="A122" s="7" t="str">
        <f>IFERROR(VLOOKUP(H122,'Contas Orç'!A:B,2,0),"N/A")</f>
        <v>PJ-OUTROS SERVICOS CONTRATADOS-PJ</v>
      </c>
      <c r="B122" s="7" t="str">
        <f t="shared" si="2"/>
        <v>330201006 - PJ-OUTROS SERVICOS CONTRATADOS-PJ</v>
      </c>
      <c r="C122" s="25">
        <f t="shared" si="3"/>
        <v>44866</v>
      </c>
      <c r="D122" s="27">
        <f>IF(K122="CREDITO",Q122,Q122*-1)</f>
        <v>499</v>
      </c>
      <c r="E122" s="13" t="s">
        <v>276</v>
      </c>
      <c r="F122" s="13" t="s">
        <v>48</v>
      </c>
      <c r="G122" s="14">
        <v>44882</v>
      </c>
      <c r="H122" s="13" t="s">
        <v>67</v>
      </c>
      <c r="I122" s="13" t="s">
        <v>40</v>
      </c>
      <c r="J122" s="13" t="s">
        <v>54</v>
      </c>
      <c r="K122" s="13" t="s">
        <v>29</v>
      </c>
      <c r="L122" s="13" t="s">
        <v>30</v>
      </c>
      <c r="M122" s="13" t="s">
        <v>277</v>
      </c>
      <c r="N122" s="13"/>
      <c r="O122" s="13" t="s">
        <v>56</v>
      </c>
      <c r="P122" s="13" t="s">
        <v>71</v>
      </c>
      <c r="Q122" s="13">
        <v>499</v>
      </c>
      <c r="R122" s="13" t="s">
        <v>35</v>
      </c>
      <c r="S122" s="13" t="s">
        <v>35</v>
      </c>
      <c r="T122" s="13" t="s">
        <v>35</v>
      </c>
      <c r="U122" s="13" t="s">
        <v>35</v>
      </c>
      <c r="V122" s="13"/>
      <c r="W122" s="13"/>
      <c r="X122" s="13" t="s">
        <v>40</v>
      </c>
      <c r="Y122" s="13" t="s">
        <v>54</v>
      </c>
      <c r="Z122" s="13"/>
      <c r="AA122" s="13"/>
      <c r="AB122" s="13" t="s">
        <v>37</v>
      </c>
    </row>
    <row r="123" spans="1:28" hidden="1" x14ac:dyDescent="0.25">
      <c r="A123" s="7" t="str">
        <f>IFERROR(VLOOKUP(H123,'Contas Orç'!A:B,2,0),"N/A")</f>
        <v>PJ-OUTROS SERVICOS CONTRATADOS-PJ</v>
      </c>
      <c r="B123" s="7" t="str">
        <f t="shared" si="2"/>
        <v>330201006 - PJ-OUTROS SERVICOS CONTRATADOS-PJ</v>
      </c>
      <c r="C123" s="25">
        <f t="shared" si="3"/>
        <v>44866</v>
      </c>
      <c r="D123" s="27">
        <f>IF(K123="CREDITO",Q123,Q123*-1)</f>
        <v>499</v>
      </c>
      <c r="E123" s="13" t="s">
        <v>276</v>
      </c>
      <c r="F123" s="13" t="s">
        <v>50</v>
      </c>
      <c r="G123" s="14">
        <v>44882</v>
      </c>
      <c r="H123" s="13" t="s">
        <v>67</v>
      </c>
      <c r="I123" s="13" t="s">
        <v>40</v>
      </c>
      <c r="J123" s="13" t="s">
        <v>54</v>
      </c>
      <c r="K123" s="13" t="s">
        <v>29</v>
      </c>
      <c r="L123" s="13" t="s">
        <v>30</v>
      </c>
      <c r="M123" s="13" t="s">
        <v>277</v>
      </c>
      <c r="N123" s="13"/>
      <c r="O123" s="13" t="s">
        <v>56</v>
      </c>
      <c r="P123" s="13" t="s">
        <v>71</v>
      </c>
      <c r="Q123" s="13">
        <v>499</v>
      </c>
      <c r="R123" s="13" t="s">
        <v>35</v>
      </c>
      <c r="S123" s="13" t="s">
        <v>35</v>
      </c>
      <c r="T123" s="13" t="s">
        <v>35</v>
      </c>
      <c r="U123" s="13" t="s">
        <v>35</v>
      </c>
      <c r="V123" s="13"/>
      <c r="W123" s="13"/>
      <c r="X123" s="13" t="s">
        <v>40</v>
      </c>
      <c r="Y123" s="13" t="s">
        <v>54</v>
      </c>
      <c r="Z123" s="13"/>
      <c r="AA123" s="13"/>
      <c r="AB123" s="13" t="s">
        <v>37</v>
      </c>
    </row>
    <row r="124" spans="1:28" hidden="1" x14ac:dyDescent="0.25">
      <c r="A124" s="7" t="str">
        <f>IFERROR(VLOOKUP(H124,'Contas Orç'!A:B,2,0),"N/A")</f>
        <v>PJ-OUTROS SERVICOS CONTRATADOS-PJ</v>
      </c>
      <c r="B124" s="7" t="str">
        <f t="shared" si="2"/>
        <v>330201006 - PJ-OUTROS SERVICOS CONTRATADOS-PJ</v>
      </c>
      <c r="C124" s="25">
        <f t="shared" si="3"/>
        <v>44866</v>
      </c>
      <c r="D124" s="27">
        <f>IF(K124="CREDITO",Q124,Q124*-1)</f>
        <v>499</v>
      </c>
      <c r="E124" s="13" t="s">
        <v>276</v>
      </c>
      <c r="F124" s="13" t="s">
        <v>87</v>
      </c>
      <c r="G124" s="14">
        <v>44882</v>
      </c>
      <c r="H124" s="13" t="s">
        <v>67</v>
      </c>
      <c r="I124" s="13" t="s">
        <v>40</v>
      </c>
      <c r="J124" s="13" t="s">
        <v>54</v>
      </c>
      <c r="K124" s="13" t="s">
        <v>29</v>
      </c>
      <c r="L124" s="13" t="s">
        <v>30</v>
      </c>
      <c r="M124" s="13" t="s">
        <v>277</v>
      </c>
      <c r="N124" s="13"/>
      <c r="O124" s="13" t="s">
        <v>56</v>
      </c>
      <c r="P124" s="13" t="s">
        <v>71</v>
      </c>
      <c r="Q124" s="13">
        <v>499</v>
      </c>
      <c r="R124" s="13" t="s">
        <v>35</v>
      </c>
      <c r="S124" s="13" t="s">
        <v>35</v>
      </c>
      <c r="T124" s="13" t="s">
        <v>35</v>
      </c>
      <c r="U124" s="13" t="s">
        <v>35</v>
      </c>
      <c r="V124" s="13"/>
      <c r="W124" s="13"/>
      <c r="X124" s="13" t="s">
        <v>40</v>
      </c>
      <c r="Y124" s="13" t="s">
        <v>54</v>
      </c>
      <c r="Z124" s="13"/>
      <c r="AA124" s="13"/>
      <c r="AB124" s="13" t="s">
        <v>37</v>
      </c>
    </row>
    <row r="125" spans="1:28" hidden="1" x14ac:dyDescent="0.25">
      <c r="A125" s="7" t="str">
        <f>IFERROR(VLOOKUP(H125,'Contas Orç'!A:B,2,0),"N/A")</f>
        <v>PJ-OUTROS SERVICOS CONTRATADOS-PJ</v>
      </c>
      <c r="B125" s="7" t="str">
        <f t="shared" si="2"/>
        <v>330201006 - PJ-OUTROS SERVICOS CONTRATADOS-PJ</v>
      </c>
      <c r="C125" s="25">
        <f t="shared" si="3"/>
        <v>44866</v>
      </c>
      <c r="D125" s="27">
        <f>IF(K125="CREDITO",Q125,Q125*-1)</f>
        <v>499</v>
      </c>
      <c r="E125" s="13" t="s">
        <v>276</v>
      </c>
      <c r="F125" s="13" t="s">
        <v>91</v>
      </c>
      <c r="G125" s="14">
        <v>44882</v>
      </c>
      <c r="H125" s="13" t="s">
        <v>67</v>
      </c>
      <c r="I125" s="13" t="s">
        <v>40</v>
      </c>
      <c r="J125" s="13" t="s">
        <v>54</v>
      </c>
      <c r="K125" s="13" t="s">
        <v>29</v>
      </c>
      <c r="L125" s="13" t="s">
        <v>30</v>
      </c>
      <c r="M125" s="13" t="s">
        <v>277</v>
      </c>
      <c r="N125" s="13"/>
      <c r="O125" s="13" t="s">
        <v>56</v>
      </c>
      <c r="P125" s="13" t="s">
        <v>71</v>
      </c>
      <c r="Q125" s="13">
        <v>499</v>
      </c>
      <c r="R125" s="13" t="s">
        <v>35</v>
      </c>
      <c r="S125" s="13" t="s">
        <v>35</v>
      </c>
      <c r="T125" s="13" t="s">
        <v>35</v>
      </c>
      <c r="U125" s="13" t="s">
        <v>35</v>
      </c>
      <c r="V125" s="13"/>
      <c r="W125" s="13"/>
      <c r="X125" s="13" t="s">
        <v>40</v>
      </c>
      <c r="Y125" s="13" t="s">
        <v>54</v>
      </c>
      <c r="Z125" s="13"/>
      <c r="AA125" s="13"/>
      <c r="AB125" s="13" t="s">
        <v>37</v>
      </c>
    </row>
    <row r="126" spans="1:28" x14ac:dyDescent="0.25">
      <c r="A126" s="7" t="str">
        <f>IFERROR(VLOOKUP(H126,'Contas Orç'!A:B,2,0),"N/A")</f>
        <v>PJ-LOCACAO DE MAQUINAS E EQUIPAMENTO</v>
      </c>
      <c r="B126" s="7" t="str">
        <f t="shared" si="2"/>
        <v>320201004 - PJ-LOCACAO DE MAQUINAS E EQUIPAMENTO</v>
      </c>
      <c r="C126" s="25">
        <f t="shared" si="3"/>
        <v>44866</v>
      </c>
      <c r="D126" s="27">
        <f>IF(K126="CREDITO",Q126,Q126*-1)</f>
        <v>3631</v>
      </c>
      <c r="E126" s="13" t="s">
        <v>279</v>
      </c>
      <c r="F126" s="13" t="s">
        <v>25</v>
      </c>
      <c r="G126" s="14">
        <v>44882</v>
      </c>
      <c r="H126" s="13" t="s">
        <v>280</v>
      </c>
      <c r="I126" s="13" t="s">
        <v>53</v>
      </c>
      <c r="J126" s="13" t="s">
        <v>54</v>
      </c>
      <c r="K126" s="13" t="s">
        <v>29</v>
      </c>
      <c r="L126" s="13" t="s">
        <v>30</v>
      </c>
      <c r="M126" s="13" t="s">
        <v>281</v>
      </c>
      <c r="N126" s="13"/>
      <c r="O126" s="13" t="s">
        <v>56</v>
      </c>
      <c r="P126" s="13" t="s">
        <v>71</v>
      </c>
      <c r="Q126" s="23">
        <v>3631</v>
      </c>
      <c r="R126" s="13" t="s">
        <v>35</v>
      </c>
      <c r="S126" s="13" t="s">
        <v>35</v>
      </c>
      <c r="T126" s="13" t="s">
        <v>35</v>
      </c>
      <c r="U126" s="13" t="s">
        <v>35</v>
      </c>
      <c r="V126" s="13"/>
      <c r="W126" s="13"/>
      <c r="X126" s="13" t="s">
        <v>53</v>
      </c>
      <c r="Y126" s="13" t="s">
        <v>54</v>
      </c>
      <c r="Z126" s="13"/>
      <c r="AA126" s="13"/>
      <c r="AB126" s="13" t="s">
        <v>37</v>
      </c>
    </row>
    <row r="127" spans="1:28" x14ac:dyDescent="0.25">
      <c r="A127" s="7" t="str">
        <f>IFERROR(VLOOKUP(H127,'Contas Orç'!A:B,2,0),"N/A")</f>
        <v>PJ-LOCACAO DE MAQUINAS E EQUIPAMENTO</v>
      </c>
      <c r="B127" s="7" t="str">
        <f t="shared" si="2"/>
        <v>320201004 - PJ-LOCACAO DE MAQUINAS E EQUIPAMENTO</v>
      </c>
      <c r="C127" s="25">
        <f t="shared" si="3"/>
        <v>44866</v>
      </c>
      <c r="D127" s="27">
        <f>IF(K127="CREDITO",Q127,Q127*-1)</f>
        <v>3701</v>
      </c>
      <c r="E127" s="13" t="s">
        <v>279</v>
      </c>
      <c r="F127" s="13" t="s">
        <v>38</v>
      </c>
      <c r="G127" s="14">
        <v>44882</v>
      </c>
      <c r="H127" s="13" t="s">
        <v>280</v>
      </c>
      <c r="I127" s="13" t="s">
        <v>53</v>
      </c>
      <c r="J127" s="13" t="s">
        <v>54</v>
      </c>
      <c r="K127" s="13" t="s">
        <v>29</v>
      </c>
      <c r="L127" s="13" t="s">
        <v>30</v>
      </c>
      <c r="M127" s="13" t="s">
        <v>281</v>
      </c>
      <c r="N127" s="13"/>
      <c r="O127" s="13" t="s">
        <v>56</v>
      </c>
      <c r="P127" s="13" t="s">
        <v>71</v>
      </c>
      <c r="Q127" s="23">
        <v>3701</v>
      </c>
      <c r="R127" s="13" t="s">
        <v>35</v>
      </c>
      <c r="S127" s="13" t="s">
        <v>35</v>
      </c>
      <c r="T127" s="13" t="s">
        <v>35</v>
      </c>
      <c r="U127" s="13" t="s">
        <v>35</v>
      </c>
      <c r="V127" s="13"/>
      <c r="W127" s="13"/>
      <c r="X127" s="13" t="s">
        <v>53</v>
      </c>
      <c r="Y127" s="13" t="s">
        <v>54</v>
      </c>
      <c r="Z127" s="13"/>
      <c r="AA127" s="13"/>
      <c r="AB127" s="13" t="s">
        <v>37</v>
      </c>
    </row>
    <row r="128" spans="1:28" x14ac:dyDescent="0.25">
      <c r="A128" s="7" t="str">
        <f>IFERROR(VLOOKUP(H128,'Contas Orç'!A:B,2,0),"N/A")</f>
        <v>PJ-LOCACAO DE MAQUINAS E EQUIPAMENTO</v>
      </c>
      <c r="B128" s="7" t="str">
        <f t="shared" si="2"/>
        <v>320201004 - PJ-LOCACAO DE MAQUINAS E EQUIPAMENTO</v>
      </c>
      <c r="C128" s="25">
        <f t="shared" si="3"/>
        <v>44866</v>
      </c>
      <c r="D128" s="27">
        <f>IF(K128="CREDITO",Q128,Q128*-1)</f>
        <v>1885</v>
      </c>
      <c r="E128" s="13" t="s">
        <v>279</v>
      </c>
      <c r="F128" s="13" t="s">
        <v>48</v>
      </c>
      <c r="G128" s="14">
        <v>44882</v>
      </c>
      <c r="H128" s="13" t="s">
        <v>280</v>
      </c>
      <c r="I128" s="13" t="s">
        <v>53</v>
      </c>
      <c r="J128" s="13" t="s">
        <v>54</v>
      </c>
      <c r="K128" s="13" t="s">
        <v>29</v>
      </c>
      <c r="L128" s="13" t="s">
        <v>30</v>
      </c>
      <c r="M128" s="13" t="s">
        <v>281</v>
      </c>
      <c r="N128" s="13"/>
      <c r="O128" s="13" t="s">
        <v>56</v>
      </c>
      <c r="P128" s="13" t="s">
        <v>71</v>
      </c>
      <c r="Q128" s="23">
        <v>1885</v>
      </c>
      <c r="R128" s="13" t="s">
        <v>35</v>
      </c>
      <c r="S128" s="13" t="s">
        <v>35</v>
      </c>
      <c r="T128" s="13" t="s">
        <v>35</v>
      </c>
      <c r="U128" s="13" t="s">
        <v>35</v>
      </c>
      <c r="V128" s="13"/>
      <c r="W128" s="13"/>
      <c r="X128" s="13" t="s">
        <v>53</v>
      </c>
      <c r="Y128" s="13" t="s">
        <v>54</v>
      </c>
      <c r="Z128" s="13"/>
      <c r="AA128" s="13"/>
      <c r="AB128" s="13" t="s">
        <v>37</v>
      </c>
    </row>
    <row r="129" spans="1:28" x14ac:dyDescent="0.25">
      <c r="A129" s="7" t="str">
        <f>IFERROR(VLOOKUP(H129,'Contas Orç'!A:B,2,0),"N/A")</f>
        <v>PJ-LOCACAO DE MAQUINAS E EQUIPAMENTO</v>
      </c>
      <c r="B129" s="7" t="str">
        <f t="shared" si="2"/>
        <v>320201004 - PJ-LOCACAO DE MAQUINAS E EQUIPAMENTO</v>
      </c>
      <c r="C129" s="25">
        <f t="shared" si="3"/>
        <v>44866</v>
      </c>
      <c r="D129" s="27">
        <f>IF(K129="CREDITO",Q129,Q129*-1)</f>
        <v>1703</v>
      </c>
      <c r="E129" s="13" t="s">
        <v>279</v>
      </c>
      <c r="F129" s="13" t="s">
        <v>50</v>
      </c>
      <c r="G129" s="14">
        <v>44882</v>
      </c>
      <c r="H129" s="13" t="s">
        <v>280</v>
      </c>
      <c r="I129" s="13" t="s">
        <v>53</v>
      </c>
      <c r="J129" s="13" t="s">
        <v>54</v>
      </c>
      <c r="K129" s="13" t="s">
        <v>29</v>
      </c>
      <c r="L129" s="13" t="s">
        <v>30</v>
      </c>
      <c r="M129" s="13" t="s">
        <v>281</v>
      </c>
      <c r="N129" s="13"/>
      <c r="O129" s="13" t="s">
        <v>56</v>
      </c>
      <c r="P129" s="13" t="s">
        <v>71</v>
      </c>
      <c r="Q129" s="23">
        <v>1703</v>
      </c>
      <c r="R129" s="13" t="s">
        <v>35</v>
      </c>
      <c r="S129" s="13" t="s">
        <v>35</v>
      </c>
      <c r="T129" s="13" t="s">
        <v>35</v>
      </c>
      <c r="U129" s="13" t="s">
        <v>35</v>
      </c>
      <c r="V129" s="13"/>
      <c r="W129" s="13"/>
      <c r="X129" s="13" t="s">
        <v>53</v>
      </c>
      <c r="Y129" s="13" t="s">
        <v>54</v>
      </c>
      <c r="Z129" s="13"/>
      <c r="AA129" s="13"/>
      <c r="AB129" s="13" t="s">
        <v>37</v>
      </c>
    </row>
    <row r="130" spans="1:28" x14ac:dyDescent="0.25">
      <c r="A130" s="7" t="str">
        <f>IFERROR(VLOOKUP(H130,'Contas Orç'!A:B,2,0),"N/A")</f>
        <v>PJ-LOCACAO DE MAQUINAS E EQUIPAMENTO</v>
      </c>
      <c r="B130" s="7" t="str">
        <f t="shared" si="2"/>
        <v>320201004 - PJ-LOCACAO DE MAQUINAS E EQUIPAMENTO</v>
      </c>
      <c r="C130" s="25">
        <f t="shared" si="3"/>
        <v>44866</v>
      </c>
      <c r="D130" s="27">
        <f>IF(K130="CREDITO",Q130,Q130*-1)</f>
        <v>3928</v>
      </c>
      <c r="E130" s="13" t="s">
        <v>279</v>
      </c>
      <c r="F130" s="13" t="s">
        <v>87</v>
      </c>
      <c r="G130" s="14">
        <v>44882</v>
      </c>
      <c r="H130" s="13" t="s">
        <v>280</v>
      </c>
      <c r="I130" s="13" t="s">
        <v>53</v>
      </c>
      <c r="J130" s="13" t="s">
        <v>54</v>
      </c>
      <c r="K130" s="13" t="s">
        <v>29</v>
      </c>
      <c r="L130" s="13" t="s">
        <v>30</v>
      </c>
      <c r="M130" s="13" t="s">
        <v>281</v>
      </c>
      <c r="N130" s="13"/>
      <c r="O130" s="13" t="s">
        <v>56</v>
      </c>
      <c r="P130" s="13" t="s">
        <v>71</v>
      </c>
      <c r="Q130" s="23">
        <v>3928</v>
      </c>
      <c r="R130" s="13" t="s">
        <v>35</v>
      </c>
      <c r="S130" s="13" t="s">
        <v>35</v>
      </c>
      <c r="T130" s="13" t="s">
        <v>35</v>
      </c>
      <c r="U130" s="13" t="s">
        <v>35</v>
      </c>
      <c r="V130" s="13"/>
      <c r="W130" s="13"/>
      <c r="X130" s="13" t="s">
        <v>53</v>
      </c>
      <c r="Y130" s="13" t="s">
        <v>54</v>
      </c>
      <c r="Z130" s="13"/>
      <c r="AA130" s="13"/>
      <c r="AB130" s="13" t="s">
        <v>37</v>
      </c>
    </row>
    <row r="131" spans="1:28" x14ac:dyDescent="0.25">
      <c r="A131" s="7" t="str">
        <f>IFERROR(VLOOKUP(H131,'Contas Orç'!A:B,2,0),"N/A")</f>
        <v>PJ-LOCACAO DE MAQUINAS E EQUIPAMENTO</v>
      </c>
      <c r="B131" s="7" t="str">
        <f t="shared" ref="B131:B194" si="4">_xlfn.CONCAT(H131," - ",A131)</f>
        <v>320201004 - PJ-LOCACAO DE MAQUINAS E EQUIPAMENTO</v>
      </c>
      <c r="C131" s="25">
        <f t="shared" ref="C131:C194" si="5">DATE(YEAR(G131),MONTH(G131),1)</f>
        <v>44866</v>
      </c>
      <c r="D131" s="27">
        <f>IF(K131="CREDITO",Q131,Q131*-1)</f>
        <v>3631</v>
      </c>
      <c r="E131" s="13" t="s">
        <v>279</v>
      </c>
      <c r="F131" s="13" t="s">
        <v>91</v>
      </c>
      <c r="G131" s="14">
        <v>44882</v>
      </c>
      <c r="H131" s="13" t="s">
        <v>280</v>
      </c>
      <c r="I131" s="13" t="s">
        <v>53</v>
      </c>
      <c r="J131" s="13" t="s">
        <v>54</v>
      </c>
      <c r="K131" s="13" t="s">
        <v>29</v>
      </c>
      <c r="L131" s="13" t="s">
        <v>30</v>
      </c>
      <c r="M131" s="13" t="s">
        <v>281</v>
      </c>
      <c r="N131" s="13"/>
      <c r="O131" s="13" t="s">
        <v>56</v>
      </c>
      <c r="P131" s="13" t="s">
        <v>71</v>
      </c>
      <c r="Q131" s="23">
        <v>3631</v>
      </c>
      <c r="R131" s="13" t="s">
        <v>35</v>
      </c>
      <c r="S131" s="13" t="s">
        <v>35</v>
      </c>
      <c r="T131" s="13" t="s">
        <v>35</v>
      </c>
      <c r="U131" s="13" t="s">
        <v>35</v>
      </c>
      <c r="V131" s="13"/>
      <c r="W131" s="13"/>
      <c r="X131" s="13" t="s">
        <v>53</v>
      </c>
      <c r="Y131" s="13" t="s">
        <v>54</v>
      </c>
      <c r="Z131" s="13"/>
      <c r="AA131" s="13"/>
      <c r="AB131" s="13" t="s">
        <v>37</v>
      </c>
    </row>
    <row r="132" spans="1:28" x14ac:dyDescent="0.25">
      <c r="A132" s="7" t="str">
        <f>IFERROR(VLOOKUP(H132,'Contas Orç'!A:B,2,0),"N/A")</f>
        <v>PJ-LOCACAO DE MAQUINAS E EQUIPAMENTO</v>
      </c>
      <c r="B132" s="7" t="str">
        <f t="shared" si="4"/>
        <v>320201004 - PJ-LOCACAO DE MAQUINAS E EQUIPAMENTO</v>
      </c>
      <c r="C132" s="25">
        <f t="shared" si="5"/>
        <v>44866</v>
      </c>
      <c r="D132" s="27">
        <f>IF(K132="CREDITO",Q132,Q132*-1)</f>
        <v>3701</v>
      </c>
      <c r="E132" s="13" t="s">
        <v>279</v>
      </c>
      <c r="F132" s="13" t="s">
        <v>94</v>
      </c>
      <c r="G132" s="14">
        <v>44882</v>
      </c>
      <c r="H132" s="13" t="s">
        <v>280</v>
      </c>
      <c r="I132" s="13" t="s">
        <v>53</v>
      </c>
      <c r="J132" s="13" t="s">
        <v>54</v>
      </c>
      <c r="K132" s="13" t="s">
        <v>29</v>
      </c>
      <c r="L132" s="13" t="s">
        <v>30</v>
      </c>
      <c r="M132" s="13" t="s">
        <v>281</v>
      </c>
      <c r="N132" s="13"/>
      <c r="O132" s="13" t="s">
        <v>56</v>
      </c>
      <c r="P132" s="13" t="s">
        <v>71</v>
      </c>
      <c r="Q132" s="23">
        <v>3701</v>
      </c>
      <c r="R132" s="13" t="s">
        <v>35</v>
      </c>
      <c r="S132" s="13" t="s">
        <v>35</v>
      </c>
      <c r="T132" s="13" t="s">
        <v>35</v>
      </c>
      <c r="U132" s="13" t="s">
        <v>35</v>
      </c>
      <c r="V132" s="13"/>
      <c r="W132" s="13"/>
      <c r="X132" s="13" t="s">
        <v>53</v>
      </c>
      <c r="Y132" s="13" t="s">
        <v>54</v>
      </c>
      <c r="Z132" s="13"/>
      <c r="AA132" s="13"/>
      <c r="AB132" s="13" t="s">
        <v>37</v>
      </c>
    </row>
    <row r="133" spans="1:28" x14ac:dyDescent="0.25">
      <c r="A133" s="7" t="str">
        <f>IFERROR(VLOOKUP(H133,'Contas Orç'!A:B,2,0),"N/A")</f>
        <v>PJ-LOCACAO DE MAQUINAS E EQUIPAMENTO</v>
      </c>
      <c r="B133" s="7" t="str">
        <f t="shared" si="4"/>
        <v>320201004 - PJ-LOCACAO DE MAQUINAS E EQUIPAMENTO</v>
      </c>
      <c r="C133" s="25">
        <f t="shared" si="5"/>
        <v>44866</v>
      </c>
      <c r="D133" s="27">
        <f>IF(K133="CREDITO",Q133,Q133*-1)</f>
        <v>1885</v>
      </c>
      <c r="E133" s="13" t="s">
        <v>279</v>
      </c>
      <c r="F133" s="13" t="s">
        <v>98</v>
      </c>
      <c r="G133" s="14">
        <v>44882</v>
      </c>
      <c r="H133" s="13" t="s">
        <v>280</v>
      </c>
      <c r="I133" s="13" t="s">
        <v>53</v>
      </c>
      <c r="J133" s="13" t="s">
        <v>54</v>
      </c>
      <c r="K133" s="13" t="s">
        <v>29</v>
      </c>
      <c r="L133" s="13" t="s">
        <v>30</v>
      </c>
      <c r="M133" s="13" t="s">
        <v>281</v>
      </c>
      <c r="N133" s="13"/>
      <c r="O133" s="13" t="s">
        <v>56</v>
      </c>
      <c r="P133" s="13" t="s">
        <v>71</v>
      </c>
      <c r="Q133" s="23">
        <v>1885</v>
      </c>
      <c r="R133" s="13" t="s">
        <v>35</v>
      </c>
      <c r="S133" s="13" t="s">
        <v>35</v>
      </c>
      <c r="T133" s="13" t="s">
        <v>35</v>
      </c>
      <c r="U133" s="13" t="s">
        <v>35</v>
      </c>
      <c r="V133" s="13"/>
      <c r="W133" s="13"/>
      <c r="X133" s="13" t="s">
        <v>53</v>
      </c>
      <c r="Y133" s="13" t="s">
        <v>54</v>
      </c>
      <c r="Z133" s="13"/>
      <c r="AA133" s="13"/>
      <c r="AB133" s="13" t="s">
        <v>37</v>
      </c>
    </row>
    <row r="134" spans="1:28" x14ac:dyDescent="0.25">
      <c r="A134" s="7" t="str">
        <f>IFERROR(VLOOKUP(H134,'Contas Orç'!A:B,2,0),"N/A")</f>
        <v>PJ-LOCACAO DE MAQUINAS E EQUIPAMENTO</v>
      </c>
      <c r="B134" s="7" t="str">
        <f t="shared" si="4"/>
        <v>320201004 - PJ-LOCACAO DE MAQUINAS E EQUIPAMENTO</v>
      </c>
      <c r="C134" s="25">
        <f t="shared" si="5"/>
        <v>44866</v>
      </c>
      <c r="D134" s="27">
        <f>IF(K134="CREDITO",Q134,Q134*-1)</f>
        <v>1703</v>
      </c>
      <c r="E134" s="13" t="s">
        <v>279</v>
      </c>
      <c r="F134" s="13" t="s">
        <v>102</v>
      </c>
      <c r="G134" s="14">
        <v>44882</v>
      </c>
      <c r="H134" s="13" t="s">
        <v>280</v>
      </c>
      <c r="I134" s="13" t="s">
        <v>53</v>
      </c>
      <c r="J134" s="13" t="s">
        <v>54</v>
      </c>
      <c r="K134" s="13" t="s">
        <v>29</v>
      </c>
      <c r="L134" s="13" t="s">
        <v>30</v>
      </c>
      <c r="M134" s="13" t="s">
        <v>281</v>
      </c>
      <c r="N134" s="13"/>
      <c r="O134" s="13" t="s">
        <v>56</v>
      </c>
      <c r="P134" s="13" t="s">
        <v>71</v>
      </c>
      <c r="Q134" s="23">
        <v>1703</v>
      </c>
      <c r="R134" s="13" t="s">
        <v>35</v>
      </c>
      <c r="S134" s="13" t="s">
        <v>35</v>
      </c>
      <c r="T134" s="13" t="s">
        <v>35</v>
      </c>
      <c r="U134" s="13" t="s">
        <v>35</v>
      </c>
      <c r="V134" s="13"/>
      <c r="W134" s="13"/>
      <c r="X134" s="13" t="s">
        <v>53</v>
      </c>
      <c r="Y134" s="13" t="s">
        <v>54</v>
      </c>
      <c r="Z134" s="13"/>
      <c r="AA134" s="13"/>
      <c r="AB134" s="13" t="s">
        <v>37</v>
      </c>
    </row>
    <row r="135" spans="1:28" x14ac:dyDescent="0.25">
      <c r="A135" s="7" t="str">
        <f>IFERROR(VLOOKUP(H135,'Contas Orç'!A:B,2,0),"N/A")</f>
        <v>PJ-LOCACAO DE MAQUINAS E EQUIPAMENTO</v>
      </c>
      <c r="B135" s="7" t="str">
        <f t="shared" si="4"/>
        <v>320201004 - PJ-LOCACAO DE MAQUINAS E EQUIPAMENTO</v>
      </c>
      <c r="C135" s="25">
        <f t="shared" si="5"/>
        <v>44866</v>
      </c>
      <c r="D135" s="27">
        <f>IF(K135="CREDITO",Q135,Q135*-1)</f>
        <v>3928</v>
      </c>
      <c r="E135" s="13" t="s">
        <v>279</v>
      </c>
      <c r="F135" s="13" t="s">
        <v>105</v>
      </c>
      <c r="G135" s="14">
        <v>44882</v>
      </c>
      <c r="H135" s="13" t="s">
        <v>280</v>
      </c>
      <c r="I135" s="13" t="s">
        <v>53</v>
      </c>
      <c r="J135" s="13" t="s">
        <v>54</v>
      </c>
      <c r="K135" s="13" t="s">
        <v>29</v>
      </c>
      <c r="L135" s="13" t="s">
        <v>30</v>
      </c>
      <c r="M135" s="13" t="s">
        <v>281</v>
      </c>
      <c r="N135" s="13"/>
      <c r="O135" s="13" t="s">
        <v>56</v>
      </c>
      <c r="P135" s="13" t="s">
        <v>71</v>
      </c>
      <c r="Q135" s="23">
        <v>3928</v>
      </c>
      <c r="R135" s="13" t="s">
        <v>35</v>
      </c>
      <c r="S135" s="13" t="s">
        <v>35</v>
      </c>
      <c r="T135" s="13" t="s">
        <v>35</v>
      </c>
      <c r="U135" s="13" t="s">
        <v>35</v>
      </c>
      <c r="V135" s="13"/>
      <c r="W135" s="13"/>
      <c r="X135" s="13" t="s">
        <v>53</v>
      </c>
      <c r="Y135" s="13" t="s">
        <v>54</v>
      </c>
      <c r="Z135" s="13"/>
      <c r="AA135" s="13"/>
      <c r="AB135" s="13" t="s">
        <v>37</v>
      </c>
    </row>
    <row r="136" spans="1:28" x14ac:dyDescent="0.25">
      <c r="A136" s="7" t="str">
        <f>IFERROR(VLOOKUP(H136,'Contas Orç'!A:B,2,0),"N/A")</f>
        <v>PJ-LOCACAO DE MAQUINAS E EQUIPAMENTO</v>
      </c>
      <c r="B136" s="7" t="str">
        <f t="shared" si="4"/>
        <v>320201004 - PJ-LOCACAO DE MAQUINAS E EQUIPAMENTO</v>
      </c>
      <c r="C136" s="25">
        <f t="shared" si="5"/>
        <v>44866</v>
      </c>
      <c r="D136" s="27">
        <f>IF(K136="CREDITO",Q136,Q136*-1)</f>
        <v>3631</v>
      </c>
      <c r="E136" s="13" t="s">
        <v>279</v>
      </c>
      <c r="F136" s="13" t="s">
        <v>110</v>
      </c>
      <c r="G136" s="14">
        <v>44882</v>
      </c>
      <c r="H136" s="13" t="s">
        <v>280</v>
      </c>
      <c r="I136" s="13" t="s">
        <v>53</v>
      </c>
      <c r="J136" s="13" t="s">
        <v>54</v>
      </c>
      <c r="K136" s="13" t="s">
        <v>29</v>
      </c>
      <c r="L136" s="13" t="s">
        <v>30</v>
      </c>
      <c r="M136" s="13" t="s">
        <v>281</v>
      </c>
      <c r="N136" s="13"/>
      <c r="O136" s="13" t="s">
        <v>56</v>
      </c>
      <c r="P136" s="13" t="s">
        <v>71</v>
      </c>
      <c r="Q136" s="23">
        <v>3631</v>
      </c>
      <c r="R136" s="13" t="s">
        <v>35</v>
      </c>
      <c r="S136" s="13" t="s">
        <v>35</v>
      </c>
      <c r="T136" s="13" t="s">
        <v>35</v>
      </c>
      <c r="U136" s="13" t="s">
        <v>35</v>
      </c>
      <c r="V136" s="13"/>
      <c r="W136" s="13"/>
      <c r="X136" s="13" t="s">
        <v>53</v>
      </c>
      <c r="Y136" s="13" t="s">
        <v>54</v>
      </c>
      <c r="Z136" s="13"/>
      <c r="AA136" s="13"/>
      <c r="AB136" s="13" t="s">
        <v>37</v>
      </c>
    </row>
    <row r="137" spans="1:28" x14ac:dyDescent="0.25">
      <c r="A137" s="7" t="str">
        <f>IFERROR(VLOOKUP(H137,'Contas Orç'!A:B,2,0),"N/A")</f>
        <v>PJ-LOCACAO DE MAQUINAS E EQUIPAMENTO</v>
      </c>
      <c r="B137" s="7" t="str">
        <f t="shared" si="4"/>
        <v>320201004 - PJ-LOCACAO DE MAQUINAS E EQUIPAMENTO</v>
      </c>
      <c r="C137" s="25">
        <f t="shared" si="5"/>
        <v>44866</v>
      </c>
      <c r="D137" s="27">
        <f>IF(K137="CREDITO",Q137,Q137*-1)</f>
        <v>3701</v>
      </c>
      <c r="E137" s="13" t="s">
        <v>279</v>
      </c>
      <c r="F137" s="13" t="s">
        <v>113</v>
      </c>
      <c r="G137" s="14">
        <v>44882</v>
      </c>
      <c r="H137" s="13" t="s">
        <v>280</v>
      </c>
      <c r="I137" s="13" t="s">
        <v>53</v>
      </c>
      <c r="J137" s="13" t="s">
        <v>54</v>
      </c>
      <c r="K137" s="13" t="s">
        <v>29</v>
      </c>
      <c r="L137" s="13" t="s">
        <v>30</v>
      </c>
      <c r="M137" s="13" t="s">
        <v>281</v>
      </c>
      <c r="N137" s="13"/>
      <c r="O137" s="13" t="s">
        <v>56</v>
      </c>
      <c r="P137" s="13" t="s">
        <v>71</v>
      </c>
      <c r="Q137" s="23">
        <v>3701</v>
      </c>
      <c r="R137" s="13" t="s">
        <v>35</v>
      </c>
      <c r="S137" s="13" t="s">
        <v>35</v>
      </c>
      <c r="T137" s="13" t="s">
        <v>35</v>
      </c>
      <c r="U137" s="13" t="s">
        <v>35</v>
      </c>
      <c r="V137" s="13"/>
      <c r="W137" s="13"/>
      <c r="X137" s="13" t="s">
        <v>53</v>
      </c>
      <c r="Y137" s="13" t="s">
        <v>54</v>
      </c>
      <c r="Z137" s="13"/>
      <c r="AA137" s="13"/>
      <c r="AB137" s="13" t="s">
        <v>37</v>
      </c>
    </row>
    <row r="138" spans="1:28" x14ac:dyDescent="0.25">
      <c r="A138" s="7" t="str">
        <f>IFERROR(VLOOKUP(H138,'Contas Orç'!A:B,2,0),"N/A")</f>
        <v>PJ-LOCACAO DE MAQUINAS E EQUIPAMENTO</v>
      </c>
      <c r="B138" s="7" t="str">
        <f t="shared" si="4"/>
        <v>320201004 - PJ-LOCACAO DE MAQUINAS E EQUIPAMENTO</v>
      </c>
      <c r="C138" s="25">
        <f t="shared" si="5"/>
        <v>44866</v>
      </c>
      <c r="D138" s="27">
        <f>IF(K138="CREDITO",Q138,Q138*-1)</f>
        <v>1885</v>
      </c>
      <c r="E138" s="13" t="s">
        <v>279</v>
      </c>
      <c r="F138" s="13" t="s">
        <v>117</v>
      </c>
      <c r="G138" s="14">
        <v>44882</v>
      </c>
      <c r="H138" s="13" t="s">
        <v>280</v>
      </c>
      <c r="I138" s="13" t="s">
        <v>53</v>
      </c>
      <c r="J138" s="13" t="s">
        <v>54</v>
      </c>
      <c r="K138" s="13" t="s">
        <v>29</v>
      </c>
      <c r="L138" s="13" t="s">
        <v>30</v>
      </c>
      <c r="M138" s="13" t="s">
        <v>281</v>
      </c>
      <c r="N138" s="13"/>
      <c r="O138" s="13" t="s">
        <v>56</v>
      </c>
      <c r="P138" s="13" t="s">
        <v>71</v>
      </c>
      <c r="Q138" s="23">
        <v>1885</v>
      </c>
      <c r="R138" s="13" t="s">
        <v>35</v>
      </c>
      <c r="S138" s="13" t="s">
        <v>35</v>
      </c>
      <c r="T138" s="13" t="s">
        <v>35</v>
      </c>
      <c r="U138" s="13" t="s">
        <v>35</v>
      </c>
      <c r="V138" s="13"/>
      <c r="W138" s="13"/>
      <c r="X138" s="13" t="s">
        <v>53</v>
      </c>
      <c r="Y138" s="13" t="s">
        <v>54</v>
      </c>
      <c r="Z138" s="13"/>
      <c r="AA138" s="13"/>
      <c r="AB138" s="13" t="s">
        <v>37</v>
      </c>
    </row>
    <row r="139" spans="1:28" x14ac:dyDescent="0.25">
      <c r="A139" s="7" t="str">
        <f>IFERROR(VLOOKUP(H139,'Contas Orç'!A:B,2,0),"N/A")</f>
        <v>PJ-LOCACAO DE MAQUINAS E EQUIPAMENTO</v>
      </c>
      <c r="B139" s="7" t="str">
        <f t="shared" si="4"/>
        <v>320201004 - PJ-LOCACAO DE MAQUINAS E EQUIPAMENTO</v>
      </c>
      <c r="C139" s="25">
        <f t="shared" si="5"/>
        <v>44866</v>
      </c>
      <c r="D139" s="27">
        <f>IF(K139="CREDITO",Q139,Q139*-1)</f>
        <v>1703</v>
      </c>
      <c r="E139" s="13" t="s">
        <v>279</v>
      </c>
      <c r="F139" s="13" t="s">
        <v>120</v>
      </c>
      <c r="G139" s="14">
        <v>44882</v>
      </c>
      <c r="H139" s="13" t="s">
        <v>280</v>
      </c>
      <c r="I139" s="13" t="s">
        <v>53</v>
      </c>
      <c r="J139" s="13" t="s">
        <v>54</v>
      </c>
      <c r="K139" s="13" t="s">
        <v>29</v>
      </c>
      <c r="L139" s="13" t="s">
        <v>30</v>
      </c>
      <c r="M139" s="13" t="s">
        <v>281</v>
      </c>
      <c r="N139" s="13"/>
      <c r="O139" s="13" t="s">
        <v>56</v>
      </c>
      <c r="P139" s="13" t="s">
        <v>71</v>
      </c>
      <c r="Q139" s="23">
        <v>1703</v>
      </c>
      <c r="R139" s="13" t="s">
        <v>35</v>
      </c>
      <c r="S139" s="13" t="s">
        <v>35</v>
      </c>
      <c r="T139" s="13" t="s">
        <v>35</v>
      </c>
      <c r="U139" s="13" t="s">
        <v>35</v>
      </c>
      <c r="V139" s="13"/>
      <c r="W139" s="13"/>
      <c r="X139" s="13" t="s">
        <v>53</v>
      </c>
      <c r="Y139" s="13" t="s">
        <v>54</v>
      </c>
      <c r="Z139" s="13"/>
      <c r="AA139" s="13"/>
      <c r="AB139" s="13" t="s">
        <v>37</v>
      </c>
    </row>
    <row r="140" spans="1:28" x14ac:dyDescent="0.25">
      <c r="A140" s="7" t="str">
        <f>IFERROR(VLOOKUP(H140,'Contas Orç'!A:B,2,0),"N/A")</f>
        <v>PJ-LOCACAO DE MAQUINAS E EQUIPAMENTO</v>
      </c>
      <c r="B140" s="7" t="str">
        <f t="shared" si="4"/>
        <v>320201004 - PJ-LOCACAO DE MAQUINAS E EQUIPAMENTO</v>
      </c>
      <c r="C140" s="25">
        <f t="shared" si="5"/>
        <v>44866</v>
      </c>
      <c r="D140" s="27">
        <f>IF(K140="CREDITO",Q140,Q140*-1)</f>
        <v>3928</v>
      </c>
      <c r="E140" s="13" t="s">
        <v>279</v>
      </c>
      <c r="F140" s="13" t="s">
        <v>124</v>
      </c>
      <c r="G140" s="14">
        <v>44882</v>
      </c>
      <c r="H140" s="13" t="s">
        <v>280</v>
      </c>
      <c r="I140" s="13" t="s">
        <v>53</v>
      </c>
      <c r="J140" s="13" t="s">
        <v>54</v>
      </c>
      <c r="K140" s="13" t="s">
        <v>29</v>
      </c>
      <c r="L140" s="13" t="s">
        <v>30</v>
      </c>
      <c r="M140" s="13" t="s">
        <v>281</v>
      </c>
      <c r="N140" s="13"/>
      <c r="O140" s="13" t="s">
        <v>56</v>
      </c>
      <c r="P140" s="13" t="s">
        <v>71</v>
      </c>
      <c r="Q140" s="23">
        <v>3928</v>
      </c>
      <c r="R140" s="13" t="s">
        <v>35</v>
      </c>
      <c r="S140" s="13" t="s">
        <v>35</v>
      </c>
      <c r="T140" s="13" t="s">
        <v>35</v>
      </c>
      <c r="U140" s="13" t="s">
        <v>35</v>
      </c>
      <c r="V140" s="13"/>
      <c r="W140" s="13"/>
      <c r="X140" s="13" t="s">
        <v>53</v>
      </c>
      <c r="Y140" s="13" t="s">
        <v>54</v>
      </c>
      <c r="Z140" s="13"/>
      <c r="AA140" s="13"/>
      <c r="AB140" s="13" t="s">
        <v>37</v>
      </c>
    </row>
    <row r="141" spans="1:28" hidden="1" x14ac:dyDescent="0.25">
      <c r="A141" s="7" t="str">
        <f>IFERROR(VLOOKUP(H141,'Contas Orç'!A:B,2,0),"N/A")</f>
        <v>PECAS E ACESSORIOS</v>
      </c>
      <c r="B141" s="7" t="str">
        <f t="shared" si="4"/>
        <v>330301004 - PECAS E ACESSORIOS</v>
      </c>
      <c r="C141" s="25">
        <f t="shared" si="5"/>
        <v>44866</v>
      </c>
      <c r="D141" s="27">
        <f>IF(K141="CREDITO",Q141,Q141*-1)</f>
        <v>625</v>
      </c>
      <c r="E141" s="13" t="s">
        <v>287</v>
      </c>
      <c r="F141" s="13" t="s">
        <v>25</v>
      </c>
      <c r="G141" s="14">
        <v>44882</v>
      </c>
      <c r="H141" s="13" t="s">
        <v>39</v>
      </c>
      <c r="I141" s="13" t="s">
        <v>81</v>
      </c>
      <c r="J141" s="13" t="s">
        <v>54</v>
      </c>
      <c r="K141" s="13" t="s">
        <v>29</v>
      </c>
      <c r="L141" s="13" t="s">
        <v>30</v>
      </c>
      <c r="M141" s="13" t="s">
        <v>288</v>
      </c>
      <c r="N141" s="13"/>
      <c r="O141" s="13" t="s">
        <v>56</v>
      </c>
      <c r="P141" s="13" t="s">
        <v>71</v>
      </c>
      <c r="Q141" s="13">
        <v>625</v>
      </c>
      <c r="R141" s="13" t="s">
        <v>35</v>
      </c>
      <c r="S141" s="13" t="s">
        <v>35</v>
      </c>
      <c r="T141" s="13" t="s">
        <v>35</v>
      </c>
      <c r="U141" s="13" t="s">
        <v>35</v>
      </c>
      <c r="V141" s="13"/>
      <c r="W141" s="13"/>
      <c r="X141" s="13" t="s">
        <v>81</v>
      </c>
      <c r="Y141" s="13" t="s">
        <v>54</v>
      </c>
      <c r="Z141" s="13"/>
      <c r="AA141" s="13"/>
      <c r="AB141" s="13" t="s">
        <v>37</v>
      </c>
    </row>
    <row r="142" spans="1:28" hidden="1" x14ac:dyDescent="0.25">
      <c r="A142" s="7" t="str">
        <f>IFERROR(VLOOKUP(H142,'Contas Orç'!A:B,2,0),"N/A")</f>
        <v>PECAS E ACESSORIOS</v>
      </c>
      <c r="B142" s="7" t="str">
        <f t="shared" si="4"/>
        <v>330301004 - PECAS E ACESSORIOS</v>
      </c>
      <c r="C142" s="25">
        <f t="shared" si="5"/>
        <v>44866</v>
      </c>
      <c r="D142" s="27">
        <f>IF(K142="CREDITO",Q142,Q142*-1)</f>
        <v>725</v>
      </c>
      <c r="E142" s="13" t="s">
        <v>290</v>
      </c>
      <c r="F142" s="13" t="s">
        <v>25</v>
      </c>
      <c r="G142" s="14">
        <v>44882</v>
      </c>
      <c r="H142" s="13" t="s">
        <v>39</v>
      </c>
      <c r="I142" s="13" t="s">
        <v>81</v>
      </c>
      <c r="J142" s="13" t="s">
        <v>54</v>
      </c>
      <c r="K142" s="13" t="s">
        <v>29</v>
      </c>
      <c r="L142" s="13" t="s">
        <v>30</v>
      </c>
      <c r="M142" s="13" t="s">
        <v>291</v>
      </c>
      <c r="N142" s="13"/>
      <c r="O142" s="13" t="s">
        <v>56</v>
      </c>
      <c r="P142" s="13" t="s">
        <v>71</v>
      </c>
      <c r="Q142" s="13">
        <v>725</v>
      </c>
      <c r="R142" s="13" t="s">
        <v>35</v>
      </c>
      <c r="S142" s="13" t="s">
        <v>35</v>
      </c>
      <c r="T142" s="13" t="s">
        <v>35</v>
      </c>
      <c r="U142" s="13" t="s">
        <v>35</v>
      </c>
      <c r="V142" s="13"/>
      <c r="W142" s="13"/>
      <c r="X142" s="13" t="s">
        <v>81</v>
      </c>
      <c r="Y142" s="13" t="s">
        <v>54</v>
      </c>
      <c r="Z142" s="13"/>
      <c r="AA142" s="13"/>
      <c r="AB142" s="13" t="s">
        <v>37</v>
      </c>
    </row>
    <row r="143" spans="1:28" hidden="1" x14ac:dyDescent="0.25">
      <c r="A143" s="7" t="str">
        <f>IFERROR(VLOOKUP(H143,'Contas Orç'!A:B,2,0),"N/A")</f>
        <v>DESPESAS GERAIS</v>
      </c>
      <c r="B143" s="7" t="str">
        <f t="shared" si="4"/>
        <v>330409 - DESPESAS GERAIS</v>
      </c>
      <c r="C143" s="25">
        <f t="shared" si="5"/>
        <v>44866</v>
      </c>
      <c r="D143" s="27">
        <f>IF(K143="CREDITO",Q143,Q143*-1)</f>
        <v>13</v>
      </c>
      <c r="E143" s="13" t="s">
        <v>293</v>
      </c>
      <c r="F143" s="13" t="s">
        <v>25</v>
      </c>
      <c r="G143" s="14">
        <v>44882</v>
      </c>
      <c r="H143" s="13" t="s">
        <v>160</v>
      </c>
      <c r="I143" s="13" t="s">
        <v>81</v>
      </c>
      <c r="J143" s="13" t="s">
        <v>54</v>
      </c>
      <c r="K143" s="13" t="s">
        <v>29</v>
      </c>
      <c r="L143" s="13" t="s">
        <v>30</v>
      </c>
      <c r="M143" s="13" t="s">
        <v>294</v>
      </c>
      <c r="N143" s="13"/>
      <c r="O143" s="13" t="s">
        <v>56</v>
      </c>
      <c r="P143" s="13" t="s">
        <v>71</v>
      </c>
      <c r="Q143" s="13">
        <v>13</v>
      </c>
      <c r="R143" s="13" t="s">
        <v>35</v>
      </c>
      <c r="S143" s="13" t="s">
        <v>35</v>
      </c>
      <c r="T143" s="13" t="s">
        <v>35</v>
      </c>
      <c r="U143" s="13" t="s">
        <v>35</v>
      </c>
      <c r="V143" s="13"/>
      <c r="W143" s="13"/>
      <c r="X143" s="13" t="s">
        <v>81</v>
      </c>
      <c r="Y143" s="13" t="s">
        <v>54</v>
      </c>
      <c r="Z143" s="13"/>
      <c r="AA143" s="13"/>
      <c r="AB143" s="13" t="s">
        <v>37</v>
      </c>
    </row>
    <row r="144" spans="1:28" hidden="1" x14ac:dyDescent="0.25">
      <c r="A144" s="7" t="str">
        <f>IFERROR(VLOOKUP(H144,'Contas Orç'!A:B,2,0),"N/A")</f>
        <v>PECAS E ACESSORIOS</v>
      </c>
      <c r="B144" s="7" t="str">
        <f t="shared" si="4"/>
        <v>330301004 - PECAS E ACESSORIOS</v>
      </c>
      <c r="C144" s="25">
        <f t="shared" si="5"/>
        <v>44866</v>
      </c>
      <c r="D144" s="27">
        <f>IF(K144="CREDITO",Q144,Q144*-1)</f>
        <v>3095</v>
      </c>
      <c r="E144" s="13" t="s">
        <v>295</v>
      </c>
      <c r="F144" s="13" t="s">
        <v>25</v>
      </c>
      <c r="G144" s="14">
        <v>44882</v>
      </c>
      <c r="H144" s="13" t="s">
        <v>39</v>
      </c>
      <c r="I144" s="13" t="s">
        <v>81</v>
      </c>
      <c r="J144" s="13" t="s">
        <v>54</v>
      </c>
      <c r="K144" s="13" t="s">
        <v>29</v>
      </c>
      <c r="L144" s="13" t="s">
        <v>30</v>
      </c>
      <c r="M144" s="13" t="s">
        <v>296</v>
      </c>
      <c r="N144" s="13"/>
      <c r="O144" s="13" t="s">
        <v>56</v>
      </c>
      <c r="P144" s="13" t="s">
        <v>71</v>
      </c>
      <c r="Q144" s="23">
        <v>3095</v>
      </c>
      <c r="R144" s="13" t="s">
        <v>35</v>
      </c>
      <c r="S144" s="13" t="s">
        <v>35</v>
      </c>
      <c r="T144" s="13" t="s">
        <v>35</v>
      </c>
      <c r="U144" s="13" t="s">
        <v>35</v>
      </c>
      <c r="V144" s="13"/>
      <c r="W144" s="13"/>
      <c r="X144" s="13" t="s">
        <v>81</v>
      </c>
      <c r="Y144" s="13" t="s">
        <v>54</v>
      </c>
      <c r="Z144" s="13"/>
      <c r="AA144" s="13"/>
      <c r="AB144" s="13" t="s">
        <v>37</v>
      </c>
    </row>
    <row r="145" spans="1:28" hidden="1" x14ac:dyDescent="0.25">
      <c r="A145" s="7" t="str">
        <f>IFERROR(VLOOKUP(H145,'Contas Orç'!A:B,2,0),"N/A")</f>
        <v>TARIFAS PORTUµRIAS</v>
      </c>
      <c r="B145" s="7" t="str">
        <f t="shared" si="4"/>
        <v>320601002 - TARIFAS PORTUµRIAS</v>
      </c>
      <c r="C145" s="25">
        <f t="shared" si="5"/>
        <v>44866</v>
      </c>
      <c r="D145" s="27">
        <f>IF(K145="CREDITO",Q145,Q145*-1)</f>
        <v>8567</v>
      </c>
      <c r="E145" s="13" t="s">
        <v>298</v>
      </c>
      <c r="F145" s="13" t="s">
        <v>25</v>
      </c>
      <c r="G145" s="14">
        <v>44882</v>
      </c>
      <c r="H145" s="13" t="s">
        <v>299</v>
      </c>
      <c r="I145" s="13" t="s">
        <v>59</v>
      </c>
      <c r="J145" s="13" t="s">
        <v>60</v>
      </c>
      <c r="K145" s="13" t="s">
        <v>29</v>
      </c>
      <c r="L145" s="13" t="s">
        <v>30</v>
      </c>
      <c r="M145" s="13" t="s">
        <v>300</v>
      </c>
      <c r="N145" s="13"/>
      <c r="O145" s="13" t="s">
        <v>56</v>
      </c>
      <c r="P145" s="13" t="s">
        <v>71</v>
      </c>
      <c r="Q145" s="23">
        <v>8567</v>
      </c>
      <c r="R145" s="13" t="s">
        <v>35</v>
      </c>
      <c r="S145" s="13" t="s">
        <v>35</v>
      </c>
      <c r="T145" s="13" t="s">
        <v>35</v>
      </c>
      <c r="U145" s="13" t="s">
        <v>35</v>
      </c>
      <c r="V145" s="13"/>
      <c r="W145" s="13"/>
      <c r="X145" s="13" t="s">
        <v>59</v>
      </c>
      <c r="Y145" s="13" t="s">
        <v>60</v>
      </c>
      <c r="Z145" s="13"/>
      <c r="AA145" s="13"/>
      <c r="AB145" s="13" t="s">
        <v>37</v>
      </c>
    </row>
    <row r="146" spans="1:28" hidden="1" x14ac:dyDescent="0.25">
      <c r="A146" s="7" t="str">
        <f>IFERROR(VLOOKUP(H146,'Contas Orç'!A:B,2,0),"N/A")</f>
        <v>TARIFAS PORTUµRIAS</v>
      </c>
      <c r="B146" s="7" t="str">
        <f t="shared" si="4"/>
        <v>320601002 - TARIFAS PORTUµRIAS</v>
      </c>
      <c r="C146" s="25">
        <f t="shared" si="5"/>
        <v>44866</v>
      </c>
      <c r="D146" s="27">
        <f>IF(K146="CREDITO",Q146,Q146*-1)</f>
        <v>80230</v>
      </c>
      <c r="E146" s="13" t="s">
        <v>298</v>
      </c>
      <c r="F146" s="13" t="s">
        <v>38</v>
      </c>
      <c r="G146" s="14">
        <v>44882</v>
      </c>
      <c r="H146" s="13" t="s">
        <v>299</v>
      </c>
      <c r="I146" s="13" t="s">
        <v>59</v>
      </c>
      <c r="J146" s="13" t="s">
        <v>60</v>
      </c>
      <c r="K146" s="13" t="s">
        <v>29</v>
      </c>
      <c r="L146" s="13" t="s">
        <v>30</v>
      </c>
      <c r="M146" s="13" t="s">
        <v>300</v>
      </c>
      <c r="N146" s="13"/>
      <c r="O146" s="13" t="s">
        <v>56</v>
      </c>
      <c r="P146" s="13" t="s">
        <v>71</v>
      </c>
      <c r="Q146" s="23">
        <v>80230</v>
      </c>
      <c r="R146" s="13" t="s">
        <v>35</v>
      </c>
      <c r="S146" s="13" t="s">
        <v>35</v>
      </c>
      <c r="T146" s="13" t="s">
        <v>35</v>
      </c>
      <c r="U146" s="13" t="s">
        <v>35</v>
      </c>
      <c r="V146" s="13"/>
      <c r="W146" s="13"/>
      <c r="X146" s="13" t="s">
        <v>59</v>
      </c>
      <c r="Y146" s="13" t="s">
        <v>60</v>
      </c>
      <c r="Z146" s="13"/>
      <c r="AA146" s="13"/>
      <c r="AB146" s="13" t="s">
        <v>37</v>
      </c>
    </row>
    <row r="147" spans="1:28" hidden="1" x14ac:dyDescent="0.25">
      <c r="A147" s="7" t="str">
        <f>IFERROR(VLOOKUP(H147,'Contas Orç'!A:B,2,0),"N/A")</f>
        <v>TARIFAS PORTUµRIAS</v>
      </c>
      <c r="B147" s="7" t="str">
        <f t="shared" si="4"/>
        <v>320601002 - TARIFAS PORTUµRIAS</v>
      </c>
      <c r="C147" s="25">
        <f t="shared" si="5"/>
        <v>44866</v>
      </c>
      <c r="D147" s="27">
        <f>IF(K147="CREDITO",Q147,Q147*-1)</f>
        <v>210</v>
      </c>
      <c r="E147" s="13" t="s">
        <v>303</v>
      </c>
      <c r="F147" s="13" t="s">
        <v>25</v>
      </c>
      <c r="G147" s="14">
        <v>44882</v>
      </c>
      <c r="H147" s="13" t="s">
        <v>299</v>
      </c>
      <c r="I147" s="13" t="s">
        <v>59</v>
      </c>
      <c r="J147" s="13" t="s">
        <v>107</v>
      </c>
      <c r="K147" s="13" t="s">
        <v>29</v>
      </c>
      <c r="L147" s="13" t="s">
        <v>30</v>
      </c>
      <c r="M147" s="13" t="s">
        <v>304</v>
      </c>
      <c r="N147" s="13"/>
      <c r="O147" s="13" t="s">
        <v>56</v>
      </c>
      <c r="P147" s="13" t="s">
        <v>71</v>
      </c>
      <c r="Q147" s="13">
        <v>210</v>
      </c>
      <c r="R147" s="13" t="s">
        <v>35</v>
      </c>
      <c r="S147" s="13" t="s">
        <v>35</v>
      </c>
      <c r="T147" s="13" t="s">
        <v>35</v>
      </c>
      <c r="U147" s="13" t="s">
        <v>35</v>
      </c>
      <c r="V147" s="13"/>
      <c r="W147" s="13"/>
      <c r="X147" s="13" t="s">
        <v>59</v>
      </c>
      <c r="Y147" s="13" t="s">
        <v>107</v>
      </c>
      <c r="Z147" s="13"/>
      <c r="AA147" s="13"/>
      <c r="AB147" s="13" t="s">
        <v>37</v>
      </c>
    </row>
    <row r="148" spans="1:28" hidden="1" x14ac:dyDescent="0.25">
      <c r="A148" s="7" t="str">
        <f>IFERROR(VLOOKUP(H148,'Contas Orç'!A:B,2,0),"N/A")</f>
        <v>DESPESAS GERAIS</v>
      </c>
      <c r="B148" s="7" t="str">
        <f t="shared" si="4"/>
        <v>330409 - DESPESAS GERAIS</v>
      </c>
      <c r="C148" s="25">
        <f t="shared" si="5"/>
        <v>44866</v>
      </c>
      <c r="D148" s="27">
        <f>IF(K148="CREDITO",Q148,Q148*-1)</f>
        <v>160</v>
      </c>
      <c r="E148" s="13" t="s">
        <v>306</v>
      </c>
      <c r="F148" s="13" t="s">
        <v>25</v>
      </c>
      <c r="G148" s="14">
        <v>44883</v>
      </c>
      <c r="H148" s="13" t="s">
        <v>160</v>
      </c>
      <c r="I148" s="13" t="s">
        <v>81</v>
      </c>
      <c r="J148" s="13" t="s">
        <v>54</v>
      </c>
      <c r="K148" s="13" t="s">
        <v>29</v>
      </c>
      <c r="L148" s="13" t="s">
        <v>30</v>
      </c>
      <c r="M148" s="13" t="s">
        <v>307</v>
      </c>
      <c r="N148" s="13"/>
      <c r="O148" s="13" t="s">
        <v>56</v>
      </c>
      <c r="P148" s="13" t="s">
        <v>71</v>
      </c>
      <c r="Q148" s="13">
        <v>160</v>
      </c>
      <c r="R148" s="13" t="s">
        <v>35</v>
      </c>
      <c r="S148" s="13" t="s">
        <v>35</v>
      </c>
      <c r="T148" s="13" t="s">
        <v>35</v>
      </c>
      <c r="U148" s="13" t="s">
        <v>35</v>
      </c>
      <c r="V148" s="13"/>
      <c r="W148" s="13"/>
      <c r="X148" s="13" t="s">
        <v>81</v>
      </c>
      <c r="Y148" s="13" t="s">
        <v>54</v>
      </c>
      <c r="Z148" s="13"/>
      <c r="AA148" s="13"/>
      <c r="AB148" s="13" t="s">
        <v>37</v>
      </c>
    </row>
    <row r="149" spans="1:28" hidden="1" x14ac:dyDescent="0.25">
      <c r="A149" s="7" t="str">
        <f>IFERROR(VLOOKUP(H149,'Contas Orç'!A:B,2,0),"N/A")</f>
        <v>DESPESAS GERAIS</v>
      </c>
      <c r="B149" s="7" t="str">
        <f t="shared" si="4"/>
        <v>330409 - DESPESAS GERAIS</v>
      </c>
      <c r="C149" s="25">
        <f t="shared" si="5"/>
        <v>44866</v>
      </c>
      <c r="D149" s="27">
        <f>IF(K149="CREDITO",Q149,Q149*-1)</f>
        <v>71</v>
      </c>
      <c r="E149" s="13" t="s">
        <v>306</v>
      </c>
      <c r="F149" s="13" t="s">
        <v>38</v>
      </c>
      <c r="G149" s="14">
        <v>44883</v>
      </c>
      <c r="H149" s="13" t="s">
        <v>160</v>
      </c>
      <c r="I149" s="13" t="s">
        <v>81</v>
      </c>
      <c r="J149" s="13" t="s">
        <v>54</v>
      </c>
      <c r="K149" s="13" t="s">
        <v>29</v>
      </c>
      <c r="L149" s="13" t="s">
        <v>30</v>
      </c>
      <c r="M149" s="13" t="s">
        <v>309</v>
      </c>
      <c r="N149" s="13"/>
      <c r="O149" s="13" t="s">
        <v>56</v>
      </c>
      <c r="P149" s="13" t="s">
        <v>71</v>
      </c>
      <c r="Q149" s="13">
        <v>71</v>
      </c>
      <c r="R149" s="13" t="s">
        <v>35</v>
      </c>
      <c r="S149" s="13" t="s">
        <v>35</v>
      </c>
      <c r="T149" s="13" t="s">
        <v>35</v>
      </c>
      <c r="U149" s="13" t="s">
        <v>35</v>
      </c>
      <c r="V149" s="13"/>
      <c r="W149" s="13"/>
      <c r="X149" s="13" t="s">
        <v>81</v>
      </c>
      <c r="Y149" s="13" t="s">
        <v>54</v>
      </c>
      <c r="Z149" s="13"/>
      <c r="AA149" s="13"/>
      <c r="AB149" s="13" t="s">
        <v>37</v>
      </c>
    </row>
    <row r="150" spans="1:28" hidden="1" x14ac:dyDescent="0.25">
      <c r="A150" s="7" t="str">
        <f>IFERROR(VLOOKUP(H150,'Contas Orç'!A:B,2,0),"N/A")</f>
        <v>PECAS E ACESSORIOS</v>
      </c>
      <c r="B150" s="7" t="str">
        <f t="shared" si="4"/>
        <v>330301004 - PECAS E ACESSORIOS</v>
      </c>
      <c r="C150" s="25">
        <f t="shared" si="5"/>
        <v>44866</v>
      </c>
      <c r="D150" s="27">
        <f>IF(K150="CREDITO",Q150,Q150*-1)</f>
        <v>640</v>
      </c>
      <c r="E150" s="13" t="s">
        <v>311</v>
      </c>
      <c r="F150" s="13" t="s">
        <v>25</v>
      </c>
      <c r="G150" s="14">
        <v>44883</v>
      </c>
      <c r="H150" s="13" t="s">
        <v>39</v>
      </c>
      <c r="I150" s="13" t="s">
        <v>81</v>
      </c>
      <c r="J150" s="13" t="s">
        <v>54</v>
      </c>
      <c r="K150" s="13" t="s">
        <v>29</v>
      </c>
      <c r="L150" s="13" t="s">
        <v>30</v>
      </c>
      <c r="M150" s="13" t="s">
        <v>312</v>
      </c>
      <c r="N150" s="13"/>
      <c r="O150" s="13" t="s">
        <v>56</v>
      </c>
      <c r="P150" s="13" t="s">
        <v>71</v>
      </c>
      <c r="Q150" s="13">
        <v>640</v>
      </c>
      <c r="R150" s="13" t="s">
        <v>35</v>
      </c>
      <c r="S150" s="13" t="s">
        <v>35</v>
      </c>
      <c r="T150" s="13" t="s">
        <v>35</v>
      </c>
      <c r="U150" s="13" t="s">
        <v>35</v>
      </c>
      <c r="V150" s="13"/>
      <c r="W150" s="13"/>
      <c r="X150" s="13" t="s">
        <v>81</v>
      </c>
      <c r="Y150" s="13" t="s">
        <v>54</v>
      </c>
      <c r="Z150" s="13"/>
      <c r="AA150" s="13"/>
      <c r="AB150" s="13" t="s">
        <v>37</v>
      </c>
    </row>
    <row r="151" spans="1:28" hidden="1" x14ac:dyDescent="0.25">
      <c r="A151" s="7" t="str">
        <f>IFERROR(VLOOKUP(H151,'Contas Orç'!A:B,2,0),"N/A")</f>
        <v>PECAS E ACESSORIOS</v>
      </c>
      <c r="B151" s="7" t="str">
        <f t="shared" si="4"/>
        <v>330301004 - PECAS E ACESSORIOS</v>
      </c>
      <c r="C151" s="25">
        <f t="shared" si="5"/>
        <v>44866</v>
      </c>
      <c r="D151" s="27">
        <f>IF(K151="CREDITO",Q151,Q151*-1)</f>
        <v>998</v>
      </c>
      <c r="E151" s="13" t="s">
        <v>314</v>
      </c>
      <c r="F151" s="13" t="s">
        <v>25</v>
      </c>
      <c r="G151" s="14">
        <v>44883</v>
      </c>
      <c r="H151" s="13" t="s">
        <v>39</v>
      </c>
      <c r="I151" s="13" t="s">
        <v>81</v>
      </c>
      <c r="J151" s="13" t="s">
        <v>54</v>
      </c>
      <c r="K151" s="13" t="s">
        <v>29</v>
      </c>
      <c r="L151" s="13" t="s">
        <v>30</v>
      </c>
      <c r="M151" s="13" t="s">
        <v>315</v>
      </c>
      <c r="N151" s="13"/>
      <c r="O151" s="13" t="s">
        <v>56</v>
      </c>
      <c r="P151" s="13" t="s">
        <v>71</v>
      </c>
      <c r="Q151" s="13">
        <v>998</v>
      </c>
      <c r="R151" s="13" t="s">
        <v>35</v>
      </c>
      <c r="S151" s="13" t="s">
        <v>35</v>
      </c>
      <c r="T151" s="13" t="s">
        <v>35</v>
      </c>
      <c r="U151" s="13" t="s">
        <v>35</v>
      </c>
      <c r="V151" s="13"/>
      <c r="W151" s="13"/>
      <c r="X151" s="13" t="s">
        <v>81</v>
      </c>
      <c r="Y151" s="13" t="s">
        <v>54</v>
      </c>
      <c r="Z151" s="13"/>
      <c r="AA151" s="13"/>
      <c r="AB151" s="13" t="s">
        <v>37</v>
      </c>
    </row>
    <row r="152" spans="1:28" hidden="1" x14ac:dyDescent="0.25">
      <c r="A152" s="7" t="str">
        <f>IFERROR(VLOOKUP(H152,'Contas Orç'!A:B,2,0),"N/A")</f>
        <v>PECAS E ACESSORIOS</v>
      </c>
      <c r="B152" s="7" t="str">
        <f t="shared" si="4"/>
        <v>330301004 - PECAS E ACESSORIOS</v>
      </c>
      <c r="C152" s="25">
        <f t="shared" si="5"/>
        <v>44866</v>
      </c>
      <c r="D152" s="27">
        <f>IF(K152="CREDITO",Q152,Q152*-1)</f>
        <v>600</v>
      </c>
      <c r="E152" s="13" t="s">
        <v>317</v>
      </c>
      <c r="F152" s="13" t="s">
        <v>25</v>
      </c>
      <c r="G152" s="14">
        <v>44883</v>
      </c>
      <c r="H152" s="13" t="s">
        <v>39</v>
      </c>
      <c r="I152" s="13" t="s">
        <v>81</v>
      </c>
      <c r="J152" s="13" t="s">
        <v>54</v>
      </c>
      <c r="K152" s="13" t="s">
        <v>29</v>
      </c>
      <c r="L152" s="13" t="s">
        <v>30</v>
      </c>
      <c r="M152" s="13" t="s">
        <v>318</v>
      </c>
      <c r="N152" s="13"/>
      <c r="O152" s="13" t="s">
        <v>56</v>
      </c>
      <c r="P152" s="13" t="s">
        <v>71</v>
      </c>
      <c r="Q152" s="13">
        <v>600</v>
      </c>
      <c r="R152" s="13" t="s">
        <v>35</v>
      </c>
      <c r="S152" s="13" t="s">
        <v>35</v>
      </c>
      <c r="T152" s="13" t="s">
        <v>35</v>
      </c>
      <c r="U152" s="13" t="s">
        <v>35</v>
      </c>
      <c r="V152" s="13"/>
      <c r="W152" s="13"/>
      <c r="X152" s="13" t="s">
        <v>81</v>
      </c>
      <c r="Y152" s="13" t="s">
        <v>54</v>
      </c>
      <c r="Z152" s="13"/>
      <c r="AA152" s="13"/>
      <c r="AB152" s="13" t="s">
        <v>37</v>
      </c>
    </row>
    <row r="153" spans="1:28" hidden="1" x14ac:dyDescent="0.25">
      <c r="A153" s="7" t="str">
        <f>IFERROR(VLOOKUP(H153,'Contas Orç'!A:B,2,0),"N/A")</f>
        <v>PECAS E ACESSORIOS</v>
      </c>
      <c r="B153" s="7" t="str">
        <f t="shared" si="4"/>
        <v>330301004 - PECAS E ACESSORIOS</v>
      </c>
      <c r="C153" s="25">
        <f t="shared" si="5"/>
        <v>44866</v>
      </c>
      <c r="D153" s="27">
        <f>IF(K153="CREDITO",Q153,Q153*-1)</f>
        <v>600</v>
      </c>
      <c r="E153" s="13" t="s">
        <v>317</v>
      </c>
      <c r="F153" s="13" t="s">
        <v>38</v>
      </c>
      <c r="G153" s="14">
        <v>44883</v>
      </c>
      <c r="H153" s="13" t="s">
        <v>39</v>
      </c>
      <c r="I153" s="13" t="s">
        <v>81</v>
      </c>
      <c r="J153" s="13" t="s">
        <v>54</v>
      </c>
      <c r="K153" s="13" t="s">
        <v>29</v>
      </c>
      <c r="L153" s="13" t="s">
        <v>30</v>
      </c>
      <c r="M153" s="13" t="s">
        <v>320</v>
      </c>
      <c r="N153" s="13"/>
      <c r="O153" s="13" t="s">
        <v>56</v>
      </c>
      <c r="P153" s="13" t="s">
        <v>71</v>
      </c>
      <c r="Q153" s="13">
        <v>600</v>
      </c>
      <c r="R153" s="13" t="s">
        <v>35</v>
      </c>
      <c r="S153" s="13" t="s">
        <v>35</v>
      </c>
      <c r="T153" s="13" t="s">
        <v>35</v>
      </c>
      <c r="U153" s="13" t="s">
        <v>35</v>
      </c>
      <c r="V153" s="13"/>
      <c r="W153" s="13"/>
      <c r="X153" s="13" t="s">
        <v>81</v>
      </c>
      <c r="Y153" s="13" t="s">
        <v>54</v>
      </c>
      <c r="Z153" s="13"/>
      <c r="AA153" s="13"/>
      <c r="AB153" s="13" t="s">
        <v>37</v>
      </c>
    </row>
    <row r="154" spans="1:28" hidden="1" x14ac:dyDescent="0.25">
      <c r="A154" s="7" t="str">
        <f>IFERROR(VLOOKUP(H154,'Contas Orç'!A:B,2,0),"N/A")</f>
        <v>MANUTENCAO E CONSERVACAO</v>
      </c>
      <c r="B154" s="7" t="str">
        <f t="shared" si="4"/>
        <v>330406 - MANUTENCAO E CONSERVACAO</v>
      </c>
      <c r="C154" s="25">
        <f t="shared" si="5"/>
        <v>44866</v>
      </c>
      <c r="D154" s="27">
        <f>IF(K154="CREDITO",Q154,Q154*-1)</f>
        <v>269</v>
      </c>
      <c r="E154" s="13" t="s">
        <v>321</v>
      </c>
      <c r="F154" s="13" t="s">
        <v>25</v>
      </c>
      <c r="G154" s="14">
        <v>44883</v>
      </c>
      <c r="H154" s="13" t="s">
        <v>322</v>
      </c>
      <c r="I154" s="13" t="s">
        <v>68</v>
      </c>
      <c r="J154" s="13" t="s">
        <v>69</v>
      </c>
      <c r="K154" s="13" t="s">
        <v>29</v>
      </c>
      <c r="L154" s="13" t="s">
        <v>30</v>
      </c>
      <c r="M154" s="13" t="s">
        <v>323</v>
      </c>
      <c r="N154" s="13"/>
      <c r="O154" s="13" t="s">
        <v>56</v>
      </c>
      <c r="P154" s="13" t="s">
        <v>71</v>
      </c>
      <c r="Q154" s="13">
        <v>269</v>
      </c>
      <c r="R154" s="13" t="s">
        <v>35</v>
      </c>
      <c r="S154" s="13" t="s">
        <v>35</v>
      </c>
      <c r="T154" s="13" t="s">
        <v>35</v>
      </c>
      <c r="U154" s="13" t="s">
        <v>35</v>
      </c>
      <c r="V154" s="13"/>
      <c r="W154" s="13"/>
      <c r="X154" s="13" t="s">
        <v>68</v>
      </c>
      <c r="Y154" s="13" t="s">
        <v>69</v>
      </c>
      <c r="Z154" s="13"/>
      <c r="AA154" s="13"/>
      <c r="AB154" s="13" t="s">
        <v>37</v>
      </c>
    </row>
    <row r="155" spans="1:28" hidden="1" x14ac:dyDescent="0.25">
      <c r="A155" s="7" t="str">
        <f>IFERROR(VLOOKUP(H155,'Contas Orç'!A:B,2,0),"N/A")</f>
        <v>DESPESAS GERAIS</v>
      </c>
      <c r="B155" s="7" t="str">
        <f t="shared" si="4"/>
        <v>330409 - DESPESAS GERAIS</v>
      </c>
      <c r="C155" s="25">
        <f t="shared" si="5"/>
        <v>44866</v>
      </c>
      <c r="D155" s="27">
        <f>IF(K155="CREDITO",Q155,Q155*-1)</f>
        <v>82</v>
      </c>
      <c r="E155" s="13" t="s">
        <v>325</v>
      </c>
      <c r="F155" s="13" t="s">
        <v>25</v>
      </c>
      <c r="G155" s="14">
        <v>44883</v>
      </c>
      <c r="H155" s="13" t="s">
        <v>160</v>
      </c>
      <c r="I155" s="13" t="s">
        <v>81</v>
      </c>
      <c r="J155" s="13" t="s">
        <v>54</v>
      </c>
      <c r="K155" s="13" t="s">
        <v>29</v>
      </c>
      <c r="L155" s="13" t="s">
        <v>30</v>
      </c>
      <c r="M155" s="13" t="s">
        <v>326</v>
      </c>
      <c r="N155" s="13"/>
      <c r="O155" s="13" t="s">
        <v>56</v>
      </c>
      <c r="P155" s="13" t="s">
        <v>71</v>
      </c>
      <c r="Q155" s="13">
        <v>82</v>
      </c>
      <c r="R155" s="13" t="s">
        <v>35</v>
      </c>
      <c r="S155" s="13" t="s">
        <v>35</v>
      </c>
      <c r="T155" s="13" t="s">
        <v>35</v>
      </c>
      <c r="U155" s="13" t="s">
        <v>35</v>
      </c>
      <c r="V155" s="13"/>
      <c r="W155" s="13"/>
      <c r="X155" s="13" t="s">
        <v>81</v>
      </c>
      <c r="Y155" s="13" t="s">
        <v>54</v>
      </c>
      <c r="Z155" s="13"/>
      <c r="AA155" s="13"/>
      <c r="AB155" s="13" t="s">
        <v>37</v>
      </c>
    </row>
    <row r="156" spans="1:28" hidden="1" x14ac:dyDescent="0.25">
      <c r="A156" s="7" t="str">
        <f>IFERROR(VLOOKUP(H156,'Contas Orç'!A:B,2,0),"N/A")</f>
        <v>DESPESAS GERAIS</v>
      </c>
      <c r="B156" s="7" t="str">
        <f t="shared" si="4"/>
        <v>330409 - DESPESAS GERAIS</v>
      </c>
      <c r="C156" s="25">
        <f t="shared" si="5"/>
        <v>44866</v>
      </c>
      <c r="D156" s="27">
        <f>IF(K156="CREDITO",Q156,Q156*-1)</f>
        <v>174</v>
      </c>
      <c r="E156" s="13" t="s">
        <v>325</v>
      </c>
      <c r="F156" s="13" t="s">
        <v>38</v>
      </c>
      <c r="G156" s="14">
        <v>44883</v>
      </c>
      <c r="H156" s="13" t="s">
        <v>160</v>
      </c>
      <c r="I156" s="13" t="s">
        <v>81</v>
      </c>
      <c r="J156" s="13" t="s">
        <v>54</v>
      </c>
      <c r="K156" s="13" t="s">
        <v>29</v>
      </c>
      <c r="L156" s="13" t="s">
        <v>30</v>
      </c>
      <c r="M156" s="13" t="s">
        <v>328</v>
      </c>
      <c r="N156" s="13"/>
      <c r="O156" s="13" t="s">
        <v>56</v>
      </c>
      <c r="P156" s="13" t="s">
        <v>71</v>
      </c>
      <c r="Q156" s="13">
        <v>174</v>
      </c>
      <c r="R156" s="13" t="s">
        <v>35</v>
      </c>
      <c r="S156" s="13" t="s">
        <v>35</v>
      </c>
      <c r="T156" s="13" t="s">
        <v>35</v>
      </c>
      <c r="U156" s="13" t="s">
        <v>35</v>
      </c>
      <c r="V156" s="13"/>
      <c r="W156" s="13"/>
      <c r="X156" s="13" t="s">
        <v>81</v>
      </c>
      <c r="Y156" s="13" t="s">
        <v>54</v>
      </c>
      <c r="Z156" s="13"/>
      <c r="AA156" s="13"/>
      <c r="AB156" s="13" t="s">
        <v>37</v>
      </c>
    </row>
    <row r="157" spans="1:28" hidden="1" x14ac:dyDescent="0.25">
      <c r="A157" s="7" t="str">
        <f>IFERROR(VLOOKUP(H157,'Contas Orç'!A:B,2,0),"N/A")</f>
        <v>DESPESAS GERAIS</v>
      </c>
      <c r="B157" s="7" t="str">
        <f t="shared" si="4"/>
        <v>330409 - DESPESAS GERAIS</v>
      </c>
      <c r="C157" s="25">
        <f t="shared" si="5"/>
        <v>44866</v>
      </c>
      <c r="D157" s="27">
        <f>IF(K157="CREDITO",Q157,Q157*-1)</f>
        <v>21</v>
      </c>
      <c r="E157" s="13" t="s">
        <v>330</v>
      </c>
      <c r="F157" s="13" t="s">
        <v>25</v>
      </c>
      <c r="G157" s="14">
        <v>44883</v>
      </c>
      <c r="H157" s="13" t="s">
        <v>160</v>
      </c>
      <c r="I157" s="13" t="s">
        <v>81</v>
      </c>
      <c r="J157" s="13" t="s">
        <v>54</v>
      </c>
      <c r="K157" s="13" t="s">
        <v>29</v>
      </c>
      <c r="L157" s="13" t="s">
        <v>30</v>
      </c>
      <c r="M157" s="13" t="s">
        <v>331</v>
      </c>
      <c r="N157" s="13"/>
      <c r="O157" s="13" t="s">
        <v>56</v>
      </c>
      <c r="P157" s="13" t="s">
        <v>71</v>
      </c>
      <c r="Q157" s="13">
        <v>21</v>
      </c>
      <c r="R157" s="13" t="s">
        <v>35</v>
      </c>
      <c r="S157" s="13" t="s">
        <v>35</v>
      </c>
      <c r="T157" s="13" t="s">
        <v>35</v>
      </c>
      <c r="U157" s="13" t="s">
        <v>35</v>
      </c>
      <c r="V157" s="13"/>
      <c r="W157" s="13"/>
      <c r="X157" s="13" t="s">
        <v>81</v>
      </c>
      <c r="Y157" s="13" t="s">
        <v>54</v>
      </c>
      <c r="Z157" s="13"/>
      <c r="AA157" s="13"/>
      <c r="AB157" s="13" t="s">
        <v>37</v>
      </c>
    </row>
    <row r="158" spans="1:28" hidden="1" x14ac:dyDescent="0.25">
      <c r="A158" s="7" t="str">
        <f>IFERROR(VLOOKUP(H158,'Contas Orç'!A:B,2,0),"N/A")</f>
        <v>DESPESAS GERAIS</v>
      </c>
      <c r="B158" s="7" t="str">
        <f t="shared" si="4"/>
        <v>330409 - DESPESAS GERAIS</v>
      </c>
      <c r="C158" s="25">
        <f t="shared" si="5"/>
        <v>44866</v>
      </c>
      <c r="D158" s="27">
        <f>IF(K158="CREDITO",Q158,Q158*-1)</f>
        <v>5</v>
      </c>
      <c r="E158" s="13" t="s">
        <v>330</v>
      </c>
      <c r="F158" s="13" t="s">
        <v>38</v>
      </c>
      <c r="G158" s="14">
        <v>44883</v>
      </c>
      <c r="H158" s="13" t="s">
        <v>160</v>
      </c>
      <c r="I158" s="13" t="s">
        <v>81</v>
      </c>
      <c r="J158" s="13" t="s">
        <v>54</v>
      </c>
      <c r="K158" s="13" t="s">
        <v>29</v>
      </c>
      <c r="L158" s="13" t="s">
        <v>30</v>
      </c>
      <c r="M158" s="13" t="s">
        <v>333</v>
      </c>
      <c r="N158" s="13"/>
      <c r="O158" s="13" t="s">
        <v>56</v>
      </c>
      <c r="P158" s="13" t="s">
        <v>71</v>
      </c>
      <c r="Q158" s="13">
        <v>5</v>
      </c>
      <c r="R158" s="13" t="s">
        <v>35</v>
      </c>
      <c r="S158" s="13" t="s">
        <v>35</v>
      </c>
      <c r="T158" s="13" t="s">
        <v>35</v>
      </c>
      <c r="U158" s="13" t="s">
        <v>35</v>
      </c>
      <c r="V158" s="13"/>
      <c r="W158" s="13"/>
      <c r="X158" s="13" t="s">
        <v>81</v>
      </c>
      <c r="Y158" s="13" t="s">
        <v>54</v>
      </c>
      <c r="Z158" s="13"/>
      <c r="AA158" s="13"/>
      <c r="AB158" s="13" t="s">
        <v>37</v>
      </c>
    </row>
    <row r="159" spans="1:28" hidden="1" x14ac:dyDescent="0.25">
      <c r="A159" s="7" t="str">
        <f>IFERROR(VLOOKUP(H159,'Contas Orç'!A:B,2,0),"N/A")</f>
        <v>DESPESAS GERAIS</v>
      </c>
      <c r="B159" s="7" t="str">
        <f t="shared" si="4"/>
        <v>330409 - DESPESAS GERAIS</v>
      </c>
      <c r="C159" s="25">
        <f t="shared" si="5"/>
        <v>44866</v>
      </c>
      <c r="D159" s="27">
        <f>IF(K159="CREDITO",Q159,Q159*-1)</f>
        <v>113</v>
      </c>
      <c r="E159" s="13" t="s">
        <v>330</v>
      </c>
      <c r="F159" s="13" t="s">
        <v>48</v>
      </c>
      <c r="G159" s="14">
        <v>44883</v>
      </c>
      <c r="H159" s="13" t="s">
        <v>160</v>
      </c>
      <c r="I159" s="13" t="s">
        <v>81</v>
      </c>
      <c r="J159" s="13" t="s">
        <v>54</v>
      </c>
      <c r="K159" s="13" t="s">
        <v>29</v>
      </c>
      <c r="L159" s="13" t="s">
        <v>30</v>
      </c>
      <c r="M159" s="13" t="s">
        <v>334</v>
      </c>
      <c r="N159" s="13"/>
      <c r="O159" s="13" t="s">
        <v>56</v>
      </c>
      <c r="P159" s="13" t="s">
        <v>71</v>
      </c>
      <c r="Q159" s="13">
        <v>113</v>
      </c>
      <c r="R159" s="13" t="s">
        <v>35</v>
      </c>
      <c r="S159" s="13" t="s">
        <v>35</v>
      </c>
      <c r="T159" s="13" t="s">
        <v>35</v>
      </c>
      <c r="U159" s="13" t="s">
        <v>35</v>
      </c>
      <c r="V159" s="13"/>
      <c r="W159" s="13"/>
      <c r="X159" s="13" t="s">
        <v>81</v>
      </c>
      <c r="Y159" s="13" t="s">
        <v>54</v>
      </c>
      <c r="Z159" s="13"/>
      <c r="AA159" s="13"/>
      <c r="AB159" s="13" t="s">
        <v>37</v>
      </c>
    </row>
    <row r="160" spans="1:28" hidden="1" x14ac:dyDescent="0.25">
      <c r="A160" s="7" t="str">
        <f>IFERROR(VLOOKUP(H160,'Contas Orç'!A:B,2,0),"N/A")</f>
        <v>DESPESAS GERAIS</v>
      </c>
      <c r="B160" s="7" t="str">
        <f t="shared" si="4"/>
        <v>330409 - DESPESAS GERAIS</v>
      </c>
      <c r="C160" s="25">
        <f t="shared" si="5"/>
        <v>44866</v>
      </c>
      <c r="D160" s="27">
        <f>IF(K160="CREDITO",Q160,Q160*-1)</f>
        <v>7</v>
      </c>
      <c r="E160" s="13" t="s">
        <v>330</v>
      </c>
      <c r="F160" s="13" t="s">
        <v>50</v>
      </c>
      <c r="G160" s="14">
        <v>44883</v>
      </c>
      <c r="H160" s="13" t="s">
        <v>160</v>
      </c>
      <c r="I160" s="13" t="s">
        <v>81</v>
      </c>
      <c r="J160" s="13" t="s">
        <v>54</v>
      </c>
      <c r="K160" s="13" t="s">
        <v>29</v>
      </c>
      <c r="L160" s="13" t="s">
        <v>30</v>
      </c>
      <c r="M160" s="13" t="s">
        <v>336</v>
      </c>
      <c r="N160" s="13"/>
      <c r="O160" s="13" t="s">
        <v>56</v>
      </c>
      <c r="P160" s="13" t="s">
        <v>71</v>
      </c>
      <c r="Q160" s="13">
        <v>7</v>
      </c>
      <c r="R160" s="13" t="s">
        <v>35</v>
      </c>
      <c r="S160" s="13" t="s">
        <v>35</v>
      </c>
      <c r="T160" s="13" t="s">
        <v>35</v>
      </c>
      <c r="U160" s="13" t="s">
        <v>35</v>
      </c>
      <c r="V160" s="13"/>
      <c r="W160" s="13"/>
      <c r="X160" s="13" t="s">
        <v>81</v>
      </c>
      <c r="Y160" s="13" t="s">
        <v>54</v>
      </c>
      <c r="Z160" s="13"/>
      <c r="AA160" s="13"/>
      <c r="AB160" s="13" t="s">
        <v>37</v>
      </c>
    </row>
    <row r="161" spans="1:28" hidden="1" x14ac:dyDescent="0.25">
      <c r="A161" s="7" t="str">
        <f>IFERROR(VLOOKUP(H161,'Contas Orç'!A:B,2,0),"N/A")</f>
        <v>DESPESAS GERAIS</v>
      </c>
      <c r="B161" s="7" t="str">
        <f t="shared" si="4"/>
        <v>330409 - DESPESAS GERAIS</v>
      </c>
      <c r="C161" s="25">
        <f t="shared" si="5"/>
        <v>44866</v>
      </c>
      <c r="D161" s="27">
        <f>IF(K161="CREDITO",Q161,Q161*-1)</f>
        <v>213</v>
      </c>
      <c r="E161" s="13" t="s">
        <v>330</v>
      </c>
      <c r="F161" s="13" t="s">
        <v>87</v>
      </c>
      <c r="G161" s="14">
        <v>44883</v>
      </c>
      <c r="H161" s="13" t="s">
        <v>160</v>
      </c>
      <c r="I161" s="13" t="s">
        <v>81</v>
      </c>
      <c r="J161" s="13" t="s">
        <v>54</v>
      </c>
      <c r="K161" s="13" t="s">
        <v>29</v>
      </c>
      <c r="L161" s="13" t="s">
        <v>30</v>
      </c>
      <c r="M161" s="13" t="s">
        <v>337</v>
      </c>
      <c r="N161" s="13"/>
      <c r="O161" s="13" t="s">
        <v>56</v>
      </c>
      <c r="P161" s="13" t="s">
        <v>71</v>
      </c>
      <c r="Q161" s="13">
        <v>213</v>
      </c>
      <c r="R161" s="13" t="s">
        <v>35</v>
      </c>
      <c r="S161" s="13" t="s">
        <v>35</v>
      </c>
      <c r="T161" s="13" t="s">
        <v>35</v>
      </c>
      <c r="U161" s="13" t="s">
        <v>35</v>
      </c>
      <c r="V161" s="13"/>
      <c r="W161" s="13"/>
      <c r="X161" s="13" t="s">
        <v>81</v>
      </c>
      <c r="Y161" s="13" t="s">
        <v>54</v>
      </c>
      <c r="Z161" s="13"/>
      <c r="AA161" s="13"/>
      <c r="AB161" s="13" t="s">
        <v>37</v>
      </c>
    </row>
    <row r="162" spans="1:28" hidden="1" x14ac:dyDescent="0.25">
      <c r="A162" s="7" t="str">
        <f>IFERROR(VLOOKUP(H162,'Contas Orç'!A:B,2,0),"N/A")</f>
        <v>DESPESAS GERAIS</v>
      </c>
      <c r="B162" s="7" t="str">
        <f t="shared" si="4"/>
        <v>330409 - DESPESAS GERAIS</v>
      </c>
      <c r="C162" s="25">
        <f t="shared" si="5"/>
        <v>44866</v>
      </c>
      <c r="D162" s="27">
        <f>IF(K162="CREDITO",Q162,Q162*-1)</f>
        <v>58</v>
      </c>
      <c r="E162" s="13" t="s">
        <v>330</v>
      </c>
      <c r="F162" s="13" t="s">
        <v>91</v>
      </c>
      <c r="G162" s="14">
        <v>44883</v>
      </c>
      <c r="H162" s="13" t="s">
        <v>160</v>
      </c>
      <c r="I162" s="13" t="s">
        <v>81</v>
      </c>
      <c r="J162" s="13" t="s">
        <v>54</v>
      </c>
      <c r="K162" s="13" t="s">
        <v>29</v>
      </c>
      <c r="L162" s="13" t="s">
        <v>30</v>
      </c>
      <c r="M162" s="13" t="s">
        <v>339</v>
      </c>
      <c r="N162" s="13"/>
      <c r="O162" s="13" t="s">
        <v>56</v>
      </c>
      <c r="P162" s="13" t="s">
        <v>71</v>
      </c>
      <c r="Q162" s="13">
        <v>58</v>
      </c>
      <c r="R162" s="13" t="s">
        <v>35</v>
      </c>
      <c r="S162" s="13" t="s">
        <v>35</v>
      </c>
      <c r="T162" s="13" t="s">
        <v>35</v>
      </c>
      <c r="U162" s="13" t="s">
        <v>35</v>
      </c>
      <c r="V162" s="13"/>
      <c r="W162" s="13"/>
      <c r="X162" s="13" t="s">
        <v>81</v>
      </c>
      <c r="Y162" s="13" t="s">
        <v>54</v>
      </c>
      <c r="Z162" s="13"/>
      <c r="AA162" s="13"/>
      <c r="AB162" s="13" t="s">
        <v>37</v>
      </c>
    </row>
    <row r="163" spans="1:28" hidden="1" x14ac:dyDescent="0.25">
      <c r="A163" s="7" t="str">
        <f>IFERROR(VLOOKUP(H163,'Contas Orç'!A:B,2,0),"N/A")</f>
        <v>DESPESAS GERAIS</v>
      </c>
      <c r="B163" s="7" t="str">
        <f t="shared" si="4"/>
        <v>330409 - DESPESAS GERAIS</v>
      </c>
      <c r="C163" s="25">
        <f t="shared" si="5"/>
        <v>44866</v>
      </c>
      <c r="D163" s="27">
        <f>IF(K163="CREDITO",Q163,Q163*-1)</f>
        <v>33</v>
      </c>
      <c r="E163" s="13" t="s">
        <v>330</v>
      </c>
      <c r="F163" s="13" t="s">
        <v>94</v>
      </c>
      <c r="G163" s="14">
        <v>44883</v>
      </c>
      <c r="H163" s="13" t="s">
        <v>160</v>
      </c>
      <c r="I163" s="13" t="s">
        <v>81</v>
      </c>
      <c r="J163" s="13" t="s">
        <v>54</v>
      </c>
      <c r="K163" s="13" t="s">
        <v>29</v>
      </c>
      <c r="L163" s="13" t="s">
        <v>30</v>
      </c>
      <c r="M163" s="13" t="s">
        <v>341</v>
      </c>
      <c r="N163" s="13"/>
      <c r="O163" s="13" t="s">
        <v>56</v>
      </c>
      <c r="P163" s="13" t="s">
        <v>71</v>
      </c>
      <c r="Q163" s="13">
        <v>33</v>
      </c>
      <c r="R163" s="13" t="s">
        <v>35</v>
      </c>
      <c r="S163" s="13" t="s">
        <v>35</v>
      </c>
      <c r="T163" s="13" t="s">
        <v>35</v>
      </c>
      <c r="U163" s="13" t="s">
        <v>35</v>
      </c>
      <c r="V163" s="13"/>
      <c r="W163" s="13"/>
      <c r="X163" s="13" t="s">
        <v>81</v>
      </c>
      <c r="Y163" s="13" t="s">
        <v>54</v>
      </c>
      <c r="Z163" s="13"/>
      <c r="AA163" s="13"/>
      <c r="AB163" s="13" t="s">
        <v>37</v>
      </c>
    </row>
    <row r="164" spans="1:28" hidden="1" x14ac:dyDescent="0.25">
      <c r="A164" s="7" t="str">
        <f>IFERROR(VLOOKUP(H164,'Contas Orç'!A:B,2,0),"N/A")</f>
        <v>DESPESAS GERAIS</v>
      </c>
      <c r="B164" s="7" t="str">
        <f t="shared" si="4"/>
        <v>330409 - DESPESAS GERAIS</v>
      </c>
      <c r="C164" s="25">
        <f t="shared" si="5"/>
        <v>44866</v>
      </c>
      <c r="D164" s="27">
        <f>IF(K164="CREDITO",Q164,Q164*-1)</f>
        <v>14</v>
      </c>
      <c r="E164" s="13" t="s">
        <v>330</v>
      </c>
      <c r="F164" s="13" t="s">
        <v>98</v>
      </c>
      <c r="G164" s="14">
        <v>44883</v>
      </c>
      <c r="H164" s="13" t="s">
        <v>160</v>
      </c>
      <c r="I164" s="13" t="s">
        <v>81</v>
      </c>
      <c r="J164" s="13" t="s">
        <v>54</v>
      </c>
      <c r="K164" s="13" t="s">
        <v>29</v>
      </c>
      <c r="L164" s="13" t="s">
        <v>30</v>
      </c>
      <c r="M164" s="13" t="s">
        <v>343</v>
      </c>
      <c r="N164" s="13"/>
      <c r="O164" s="13" t="s">
        <v>56</v>
      </c>
      <c r="P164" s="13" t="s">
        <v>71</v>
      </c>
      <c r="Q164" s="13">
        <v>14</v>
      </c>
      <c r="R164" s="13" t="s">
        <v>35</v>
      </c>
      <c r="S164" s="13" t="s">
        <v>35</v>
      </c>
      <c r="T164" s="13" t="s">
        <v>35</v>
      </c>
      <c r="U164" s="13" t="s">
        <v>35</v>
      </c>
      <c r="V164" s="13"/>
      <c r="W164" s="13"/>
      <c r="X164" s="13" t="s">
        <v>81</v>
      </c>
      <c r="Y164" s="13" t="s">
        <v>54</v>
      </c>
      <c r="Z164" s="13"/>
      <c r="AA164" s="13"/>
      <c r="AB164" s="13" t="s">
        <v>37</v>
      </c>
    </row>
    <row r="165" spans="1:28" hidden="1" x14ac:dyDescent="0.25">
      <c r="A165" s="7" t="str">
        <f>IFERROR(VLOOKUP(H165,'Contas Orç'!A:B,2,0),"N/A")</f>
        <v>DESPESAS GERAIS</v>
      </c>
      <c r="B165" s="7" t="str">
        <f t="shared" si="4"/>
        <v>330409 - DESPESAS GERAIS</v>
      </c>
      <c r="C165" s="25">
        <f t="shared" si="5"/>
        <v>44866</v>
      </c>
      <c r="D165" s="27">
        <f>IF(K165="CREDITO",Q165,Q165*-1)</f>
        <v>28</v>
      </c>
      <c r="E165" s="13" t="s">
        <v>330</v>
      </c>
      <c r="F165" s="13" t="s">
        <v>102</v>
      </c>
      <c r="G165" s="14">
        <v>44883</v>
      </c>
      <c r="H165" s="13" t="s">
        <v>160</v>
      </c>
      <c r="I165" s="13" t="s">
        <v>81</v>
      </c>
      <c r="J165" s="13" t="s">
        <v>54</v>
      </c>
      <c r="K165" s="13" t="s">
        <v>29</v>
      </c>
      <c r="L165" s="13" t="s">
        <v>30</v>
      </c>
      <c r="M165" s="13" t="s">
        <v>345</v>
      </c>
      <c r="N165" s="13"/>
      <c r="O165" s="13" t="s">
        <v>56</v>
      </c>
      <c r="P165" s="13" t="s">
        <v>71</v>
      </c>
      <c r="Q165" s="13">
        <v>28</v>
      </c>
      <c r="R165" s="13" t="s">
        <v>35</v>
      </c>
      <c r="S165" s="13" t="s">
        <v>35</v>
      </c>
      <c r="T165" s="13" t="s">
        <v>35</v>
      </c>
      <c r="U165" s="13" t="s">
        <v>35</v>
      </c>
      <c r="V165" s="13"/>
      <c r="W165" s="13"/>
      <c r="X165" s="13" t="s">
        <v>81</v>
      </c>
      <c r="Y165" s="13" t="s">
        <v>54</v>
      </c>
      <c r="Z165" s="13"/>
      <c r="AA165" s="13"/>
      <c r="AB165" s="13" t="s">
        <v>37</v>
      </c>
    </row>
    <row r="166" spans="1:28" hidden="1" x14ac:dyDescent="0.25">
      <c r="A166" s="7" t="str">
        <f>IFERROR(VLOOKUP(H166,'Contas Orç'!A:B,2,0),"N/A")</f>
        <v>DESPESAS GERAIS</v>
      </c>
      <c r="B166" s="7" t="str">
        <f t="shared" si="4"/>
        <v>330409 - DESPESAS GERAIS</v>
      </c>
      <c r="C166" s="25">
        <f t="shared" si="5"/>
        <v>44866</v>
      </c>
      <c r="D166" s="27">
        <f>IF(K166="CREDITO",Q166,Q166*-1)</f>
        <v>52</v>
      </c>
      <c r="E166" s="13" t="s">
        <v>330</v>
      </c>
      <c r="F166" s="13" t="s">
        <v>105</v>
      </c>
      <c r="G166" s="14">
        <v>44883</v>
      </c>
      <c r="H166" s="13" t="s">
        <v>160</v>
      </c>
      <c r="I166" s="13" t="s">
        <v>81</v>
      </c>
      <c r="J166" s="13" t="s">
        <v>54</v>
      </c>
      <c r="K166" s="13" t="s">
        <v>29</v>
      </c>
      <c r="L166" s="13" t="s">
        <v>30</v>
      </c>
      <c r="M166" s="13" t="s">
        <v>347</v>
      </c>
      <c r="N166" s="13"/>
      <c r="O166" s="13" t="s">
        <v>56</v>
      </c>
      <c r="P166" s="13" t="s">
        <v>71</v>
      </c>
      <c r="Q166" s="13">
        <v>52</v>
      </c>
      <c r="R166" s="13" t="s">
        <v>35</v>
      </c>
      <c r="S166" s="13" t="s">
        <v>35</v>
      </c>
      <c r="T166" s="13" t="s">
        <v>35</v>
      </c>
      <c r="U166" s="13" t="s">
        <v>35</v>
      </c>
      <c r="V166" s="13"/>
      <c r="W166" s="13"/>
      <c r="X166" s="13" t="s">
        <v>81</v>
      </c>
      <c r="Y166" s="13" t="s">
        <v>54</v>
      </c>
      <c r="Z166" s="13"/>
      <c r="AA166" s="13"/>
      <c r="AB166" s="13" t="s">
        <v>37</v>
      </c>
    </row>
    <row r="167" spans="1:28" hidden="1" x14ac:dyDescent="0.25">
      <c r="A167" s="7" t="str">
        <f>IFERROR(VLOOKUP(H167,'Contas Orç'!A:B,2,0),"N/A")</f>
        <v>DESPESAS GERAIS</v>
      </c>
      <c r="B167" s="7" t="str">
        <f t="shared" si="4"/>
        <v>330409 - DESPESAS GERAIS</v>
      </c>
      <c r="C167" s="25">
        <f t="shared" si="5"/>
        <v>44866</v>
      </c>
      <c r="D167" s="27">
        <f>IF(K167="CREDITO",Q167,Q167*-1)</f>
        <v>69</v>
      </c>
      <c r="E167" s="13" t="s">
        <v>330</v>
      </c>
      <c r="F167" s="13" t="s">
        <v>110</v>
      </c>
      <c r="G167" s="14">
        <v>44883</v>
      </c>
      <c r="H167" s="13" t="s">
        <v>160</v>
      </c>
      <c r="I167" s="13" t="s">
        <v>81</v>
      </c>
      <c r="J167" s="13" t="s">
        <v>54</v>
      </c>
      <c r="K167" s="13" t="s">
        <v>29</v>
      </c>
      <c r="L167" s="13" t="s">
        <v>30</v>
      </c>
      <c r="M167" s="13" t="s">
        <v>349</v>
      </c>
      <c r="N167" s="13"/>
      <c r="O167" s="13" t="s">
        <v>56</v>
      </c>
      <c r="P167" s="13" t="s">
        <v>71</v>
      </c>
      <c r="Q167" s="13">
        <v>69</v>
      </c>
      <c r="R167" s="13" t="s">
        <v>35</v>
      </c>
      <c r="S167" s="13" t="s">
        <v>35</v>
      </c>
      <c r="T167" s="13" t="s">
        <v>35</v>
      </c>
      <c r="U167" s="13" t="s">
        <v>35</v>
      </c>
      <c r="V167" s="13"/>
      <c r="W167" s="13"/>
      <c r="X167" s="13" t="s">
        <v>81</v>
      </c>
      <c r="Y167" s="13" t="s">
        <v>54</v>
      </c>
      <c r="Z167" s="13"/>
      <c r="AA167" s="13"/>
      <c r="AB167" s="13" t="s">
        <v>37</v>
      </c>
    </row>
    <row r="168" spans="1:28" hidden="1" x14ac:dyDescent="0.25">
      <c r="A168" s="7" t="str">
        <f>IFERROR(VLOOKUP(H168,'Contas Orç'!A:B,2,0),"N/A")</f>
        <v>DESPESAS GERAIS</v>
      </c>
      <c r="B168" s="7" t="str">
        <f t="shared" si="4"/>
        <v>330409 - DESPESAS GERAIS</v>
      </c>
      <c r="C168" s="25">
        <f t="shared" si="5"/>
        <v>44866</v>
      </c>
      <c r="D168" s="27">
        <f>IF(K168="CREDITO",Q168,Q168*-1)</f>
        <v>37</v>
      </c>
      <c r="E168" s="13" t="s">
        <v>330</v>
      </c>
      <c r="F168" s="13" t="s">
        <v>113</v>
      </c>
      <c r="G168" s="14">
        <v>44883</v>
      </c>
      <c r="H168" s="13" t="s">
        <v>160</v>
      </c>
      <c r="I168" s="13" t="s">
        <v>81</v>
      </c>
      <c r="J168" s="13" t="s">
        <v>54</v>
      </c>
      <c r="K168" s="13" t="s">
        <v>29</v>
      </c>
      <c r="L168" s="13" t="s">
        <v>30</v>
      </c>
      <c r="M168" s="13" t="s">
        <v>351</v>
      </c>
      <c r="N168" s="13"/>
      <c r="O168" s="13" t="s">
        <v>56</v>
      </c>
      <c r="P168" s="13" t="s">
        <v>71</v>
      </c>
      <c r="Q168" s="13">
        <v>37</v>
      </c>
      <c r="R168" s="13" t="s">
        <v>35</v>
      </c>
      <c r="S168" s="13" t="s">
        <v>35</v>
      </c>
      <c r="T168" s="13" t="s">
        <v>35</v>
      </c>
      <c r="U168" s="13" t="s">
        <v>35</v>
      </c>
      <c r="V168" s="13"/>
      <c r="W168" s="13"/>
      <c r="X168" s="13" t="s">
        <v>81</v>
      </c>
      <c r="Y168" s="13" t="s">
        <v>54</v>
      </c>
      <c r="Z168" s="13"/>
      <c r="AA168" s="13"/>
      <c r="AB168" s="13" t="s">
        <v>37</v>
      </c>
    </row>
    <row r="169" spans="1:28" hidden="1" x14ac:dyDescent="0.25">
      <c r="A169" s="7" t="str">
        <f>IFERROR(VLOOKUP(H169,'Contas Orç'!A:B,2,0),"N/A")</f>
        <v>DESPESAS GERAIS</v>
      </c>
      <c r="B169" s="7" t="str">
        <f t="shared" si="4"/>
        <v>330409 - DESPESAS GERAIS</v>
      </c>
      <c r="C169" s="25">
        <f t="shared" si="5"/>
        <v>44866</v>
      </c>
      <c r="D169" s="27">
        <f>IF(K169="CREDITO",Q169,Q169*-1)</f>
        <v>6</v>
      </c>
      <c r="E169" s="13" t="s">
        <v>330</v>
      </c>
      <c r="F169" s="13" t="s">
        <v>117</v>
      </c>
      <c r="G169" s="14">
        <v>44883</v>
      </c>
      <c r="H169" s="13" t="s">
        <v>160</v>
      </c>
      <c r="I169" s="13" t="s">
        <v>81</v>
      </c>
      <c r="J169" s="13" t="s">
        <v>54</v>
      </c>
      <c r="K169" s="13" t="s">
        <v>29</v>
      </c>
      <c r="L169" s="13" t="s">
        <v>30</v>
      </c>
      <c r="M169" s="13" t="s">
        <v>353</v>
      </c>
      <c r="N169" s="13"/>
      <c r="O169" s="13" t="s">
        <v>56</v>
      </c>
      <c r="P169" s="13" t="s">
        <v>71</v>
      </c>
      <c r="Q169" s="13">
        <v>6</v>
      </c>
      <c r="R169" s="13" t="s">
        <v>35</v>
      </c>
      <c r="S169" s="13" t="s">
        <v>35</v>
      </c>
      <c r="T169" s="13" t="s">
        <v>35</v>
      </c>
      <c r="U169" s="13" t="s">
        <v>35</v>
      </c>
      <c r="V169" s="13"/>
      <c r="W169" s="13"/>
      <c r="X169" s="13" t="s">
        <v>81</v>
      </c>
      <c r="Y169" s="13" t="s">
        <v>54</v>
      </c>
      <c r="Z169" s="13"/>
      <c r="AA169" s="13"/>
      <c r="AB169" s="13" t="s">
        <v>37</v>
      </c>
    </row>
    <row r="170" spans="1:28" hidden="1" x14ac:dyDescent="0.25">
      <c r="A170" s="7" t="str">
        <f>IFERROR(VLOOKUP(H170,'Contas Orç'!A:B,2,0),"N/A")</f>
        <v>DESPESAS GERAIS</v>
      </c>
      <c r="B170" s="7" t="str">
        <f t="shared" si="4"/>
        <v>330409 - DESPESAS GERAIS</v>
      </c>
      <c r="C170" s="25">
        <f t="shared" si="5"/>
        <v>44866</v>
      </c>
      <c r="D170" s="27">
        <f>IF(K170="CREDITO",Q170,Q170*-1)</f>
        <v>8</v>
      </c>
      <c r="E170" s="13" t="s">
        <v>330</v>
      </c>
      <c r="F170" s="13" t="s">
        <v>120</v>
      </c>
      <c r="G170" s="14">
        <v>44883</v>
      </c>
      <c r="H170" s="13" t="s">
        <v>160</v>
      </c>
      <c r="I170" s="13" t="s">
        <v>81</v>
      </c>
      <c r="J170" s="13" t="s">
        <v>54</v>
      </c>
      <c r="K170" s="13" t="s">
        <v>29</v>
      </c>
      <c r="L170" s="13" t="s">
        <v>30</v>
      </c>
      <c r="M170" s="13" t="s">
        <v>354</v>
      </c>
      <c r="N170" s="13"/>
      <c r="O170" s="13" t="s">
        <v>56</v>
      </c>
      <c r="P170" s="13" t="s">
        <v>71</v>
      </c>
      <c r="Q170" s="13">
        <v>8</v>
      </c>
      <c r="R170" s="13" t="s">
        <v>35</v>
      </c>
      <c r="S170" s="13" t="s">
        <v>35</v>
      </c>
      <c r="T170" s="13" t="s">
        <v>35</v>
      </c>
      <c r="U170" s="13" t="s">
        <v>35</v>
      </c>
      <c r="V170" s="13"/>
      <c r="W170" s="13"/>
      <c r="X170" s="13" t="s">
        <v>81</v>
      </c>
      <c r="Y170" s="13" t="s">
        <v>54</v>
      </c>
      <c r="Z170" s="13"/>
      <c r="AA170" s="13"/>
      <c r="AB170" s="13" t="s">
        <v>37</v>
      </c>
    </row>
    <row r="171" spans="1:28" hidden="1" x14ac:dyDescent="0.25">
      <c r="A171" s="7" t="str">
        <f>IFERROR(VLOOKUP(H171,'Contas Orç'!A:B,2,0),"N/A")</f>
        <v>DESPESAS GERAIS</v>
      </c>
      <c r="B171" s="7" t="str">
        <f t="shared" si="4"/>
        <v>330409 - DESPESAS GERAIS</v>
      </c>
      <c r="C171" s="25">
        <f t="shared" si="5"/>
        <v>44866</v>
      </c>
      <c r="D171" s="27">
        <f>IF(K171="CREDITO",Q171,Q171*-1)</f>
        <v>7</v>
      </c>
      <c r="E171" s="13" t="s">
        <v>330</v>
      </c>
      <c r="F171" s="13" t="s">
        <v>124</v>
      </c>
      <c r="G171" s="14">
        <v>44883</v>
      </c>
      <c r="H171" s="13" t="s">
        <v>160</v>
      </c>
      <c r="I171" s="13" t="s">
        <v>81</v>
      </c>
      <c r="J171" s="13" t="s">
        <v>54</v>
      </c>
      <c r="K171" s="13" t="s">
        <v>29</v>
      </c>
      <c r="L171" s="13" t="s">
        <v>30</v>
      </c>
      <c r="M171" s="13" t="s">
        <v>355</v>
      </c>
      <c r="N171" s="13"/>
      <c r="O171" s="13" t="s">
        <v>56</v>
      </c>
      <c r="P171" s="13" t="s">
        <v>71</v>
      </c>
      <c r="Q171" s="13">
        <v>7</v>
      </c>
      <c r="R171" s="13" t="s">
        <v>35</v>
      </c>
      <c r="S171" s="13" t="s">
        <v>35</v>
      </c>
      <c r="T171" s="13" t="s">
        <v>35</v>
      </c>
      <c r="U171" s="13" t="s">
        <v>35</v>
      </c>
      <c r="V171" s="13"/>
      <c r="W171" s="13"/>
      <c r="X171" s="13" t="s">
        <v>81</v>
      </c>
      <c r="Y171" s="13" t="s">
        <v>54</v>
      </c>
      <c r="Z171" s="13"/>
      <c r="AA171" s="13"/>
      <c r="AB171" s="13" t="s">
        <v>37</v>
      </c>
    </row>
    <row r="172" spans="1:28" hidden="1" x14ac:dyDescent="0.25">
      <c r="A172" s="7" t="str">
        <f>IFERROR(VLOOKUP(H172,'Contas Orç'!A:B,2,0),"N/A")</f>
        <v>DESPESAS GERAIS</v>
      </c>
      <c r="B172" s="7" t="str">
        <f t="shared" si="4"/>
        <v>330409 - DESPESAS GERAIS</v>
      </c>
      <c r="C172" s="25">
        <f t="shared" si="5"/>
        <v>44866</v>
      </c>
      <c r="D172" s="27">
        <f>IF(K172="CREDITO",Q172,Q172*-1)</f>
        <v>301</v>
      </c>
      <c r="E172" s="13" t="s">
        <v>330</v>
      </c>
      <c r="F172" s="13" t="s">
        <v>128</v>
      </c>
      <c r="G172" s="14">
        <v>44883</v>
      </c>
      <c r="H172" s="13" t="s">
        <v>160</v>
      </c>
      <c r="I172" s="13" t="s">
        <v>81</v>
      </c>
      <c r="J172" s="13" t="s">
        <v>54</v>
      </c>
      <c r="K172" s="13" t="s">
        <v>29</v>
      </c>
      <c r="L172" s="13" t="s">
        <v>30</v>
      </c>
      <c r="M172" s="13" t="s">
        <v>356</v>
      </c>
      <c r="N172" s="13"/>
      <c r="O172" s="13" t="s">
        <v>56</v>
      </c>
      <c r="P172" s="13" t="s">
        <v>71</v>
      </c>
      <c r="Q172" s="13">
        <v>301</v>
      </c>
      <c r="R172" s="13" t="s">
        <v>35</v>
      </c>
      <c r="S172" s="13" t="s">
        <v>35</v>
      </c>
      <c r="T172" s="13" t="s">
        <v>35</v>
      </c>
      <c r="U172" s="13" t="s">
        <v>35</v>
      </c>
      <c r="V172" s="13"/>
      <c r="W172" s="13"/>
      <c r="X172" s="13" t="s">
        <v>81</v>
      </c>
      <c r="Y172" s="13" t="s">
        <v>54</v>
      </c>
      <c r="Z172" s="13"/>
      <c r="AA172" s="13"/>
      <c r="AB172" s="13" t="s">
        <v>37</v>
      </c>
    </row>
    <row r="173" spans="1:28" hidden="1" x14ac:dyDescent="0.25">
      <c r="A173" s="7" t="str">
        <f>IFERROR(VLOOKUP(H173,'Contas Orç'!A:B,2,0),"N/A")</f>
        <v>DESPESAS GERAIS</v>
      </c>
      <c r="B173" s="7" t="str">
        <f t="shared" si="4"/>
        <v>330409 - DESPESAS GERAIS</v>
      </c>
      <c r="C173" s="25">
        <f t="shared" si="5"/>
        <v>44866</v>
      </c>
      <c r="D173" s="27">
        <f>IF(K173="CREDITO",Q173,Q173*-1)</f>
        <v>30</v>
      </c>
      <c r="E173" s="13" t="s">
        <v>330</v>
      </c>
      <c r="F173" s="13" t="s">
        <v>131</v>
      </c>
      <c r="G173" s="14">
        <v>44883</v>
      </c>
      <c r="H173" s="13" t="s">
        <v>160</v>
      </c>
      <c r="I173" s="13" t="s">
        <v>81</v>
      </c>
      <c r="J173" s="13" t="s">
        <v>54</v>
      </c>
      <c r="K173" s="13" t="s">
        <v>29</v>
      </c>
      <c r="L173" s="13" t="s">
        <v>30</v>
      </c>
      <c r="M173" s="13" t="s">
        <v>358</v>
      </c>
      <c r="N173" s="13"/>
      <c r="O173" s="13" t="s">
        <v>56</v>
      </c>
      <c r="P173" s="13" t="s">
        <v>71</v>
      </c>
      <c r="Q173" s="13">
        <v>30</v>
      </c>
      <c r="R173" s="13" t="s">
        <v>35</v>
      </c>
      <c r="S173" s="13" t="s">
        <v>35</v>
      </c>
      <c r="T173" s="13" t="s">
        <v>35</v>
      </c>
      <c r="U173" s="13" t="s">
        <v>35</v>
      </c>
      <c r="V173" s="13"/>
      <c r="W173" s="13"/>
      <c r="X173" s="13" t="s">
        <v>81</v>
      </c>
      <c r="Y173" s="13" t="s">
        <v>54</v>
      </c>
      <c r="Z173" s="13"/>
      <c r="AA173" s="13"/>
      <c r="AB173" s="13" t="s">
        <v>37</v>
      </c>
    </row>
    <row r="174" spans="1:28" hidden="1" x14ac:dyDescent="0.25">
      <c r="A174" s="7" t="str">
        <f>IFERROR(VLOOKUP(H174,'Contas Orç'!A:B,2,0),"N/A")</f>
        <v>DESPESAS GERAIS</v>
      </c>
      <c r="B174" s="7" t="str">
        <f t="shared" si="4"/>
        <v>330409 - DESPESAS GERAIS</v>
      </c>
      <c r="C174" s="25">
        <f t="shared" si="5"/>
        <v>44866</v>
      </c>
      <c r="D174" s="27">
        <f>IF(K174="CREDITO",Q174,Q174*-1)</f>
        <v>31</v>
      </c>
      <c r="E174" s="13" t="s">
        <v>359</v>
      </c>
      <c r="F174" s="13" t="s">
        <v>25</v>
      </c>
      <c r="G174" s="14">
        <v>44883</v>
      </c>
      <c r="H174" s="13" t="s">
        <v>160</v>
      </c>
      <c r="I174" s="13" t="s">
        <v>81</v>
      </c>
      <c r="J174" s="13" t="s">
        <v>54</v>
      </c>
      <c r="K174" s="13" t="s">
        <v>29</v>
      </c>
      <c r="L174" s="13" t="s">
        <v>30</v>
      </c>
      <c r="M174" s="13" t="s">
        <v>360</v>
      </c>
      <c r="N174" s="13"/>
      <c r="O174" s="13" t="s">
        <v>56</v>
      </c>
      <c r="P174" s="13" t="s">
        <v>71</v>
      </c>
      <c r="Q174" s="13">
        <v>31</v>
      </c>
      <c r="R174" s="13" t="s">
        <v>35</v>
      </c>
      <c r="S174" s="13" t="s">
        <v>35</v>
      </c>
      <c r="T174" s="13" t="s">
        <v>35</v>
      </c>
      <c r="U174" s="13" t="s">
        <v>35</v>
      </c>
      <c r="V174" s="13"/>
      <c r="W174" s="13"/>
      <c r="X174" s="13" t="s">
        <v>81</v>
      </c>
      <c r="Y174" s="13" t="s">
        <v>54</v>
      </c>
      <c r="Z174" s="13"/>
      <c r="AA174" s="13"/>
      <c r="AB174" s="13" t="s">
        <v>37</v>
      </c>
    </row>
    <row r="175" spans="1:28" hidden="1" x14ac:dyDescent="0.25">
      <c r="A175" s="7" t="str">
        <f>IFERROR(VLOOKUP(H175,'Contas Orç'!A:B,2,0),"N/A")</f>
        <v>DESPESAS GERAIS</v>
      </c>
      <c r="B175" s="7" t="str">
        <f t="shared" si="4"/>
        <v>330409 - DESPESAS GERAIS</v>
      </c>
      <c r="C175" s="25">
        <f t="shared" si="5"/>
        <v>44866</v>
      </c>
      <c r="D175" s="27">
        <f>IF(K175="CREDITO",Q175,Q175*-1)</f>
        <v>42</v>
      </c>
      <c r="E175" s="13" t="s">
        <v>359</v>
      </c>
      <c r="F175" s="13" t="s">
        <v>38</v>
      </c>
      <c r="G175" s="14">
        <v>44883</v>
      </c>
      <c r="H175" s="13" t="s">
        <v>160</v>
      </c>
      <c r="I175" s="13" t="s">
        <v>81</v>
      </c>
      <c r="J175" s="13" t="s">
        <v>54</v>
      </c>
      <c r="K175" s="13" t="s">
        <v>29</v>
      </c>
      <c r="L175" s="13" t="s">
        <v>30</v>
      </c>
      <c r="M175" s="13" t="s">
        <v>362</v>
      </c>
      <c r="N175" s="13"/>
      <c r="O175" s="13" t="s">
        <v>56</v>
      </c>
      <c r="P175" s="13" t="s">
        <v>71</v>
      </c>
      <c r="Q175" s="13">
        <v>42</v>
      </c>
      <c r="R175" s="13" t="s">
        <v>35</v>
      </c>
      <c r="S175" s="13" t="s">
        <v>35</v>
      </c>
      <c r="T175" s="13" t="s">
        <v>35</v>
      </c>
      <c r="U175" s="13" t="s">
        <v>35</v>
      </c>
      <c r="V175" s="13"/>
      <c r="W175" s="13"/>
      <c r="X175" s="13" t="s">
        <v>81</v>
      </c>
      <c r="Y175" s="13" t="s">
        <v>54</v>
      </c>
      <c r="Z175" s="13"/>
      <c r="AA175" s="13"/>
      <c r="AB175" s="13" t="s">
        <v>37</v>
      </c>
    </row>
    <row r="176" spans="1:28" hidden="1" x14ac:dyDescent="0.25">
      <c r="A176" s="7" t="str">
        <f>IFERROR(VLOOKUP(H176,'Contas Orç'!A:B,2,0),"N/A")</f>
        <v>DESPESAS GERAIS</v>
      </c>
      <c r="B176" s="7" t="str">
        <f t="shared" si="4"/>
        <v>330409 - DESPESAS GERAIS</v>
      </c>
      <c r="C176" s="25">
        <f t="shared" si="5"/>
        <v>44866</v>
      </c>
      <c r="D176" s="27">
        <f>IF(K176="CREDITO",Q176,Q176*-1)</f>
        <v>74</v>
      </c>
      <c r="E176" s="13" t="s">
        <v>359</v>
      </c>
      <c r="F176" s="13" t="s">
        <v>48</v>
      </c>
      <c r="G176" s="14">
        <v>44883</v>
      </c>
      <c r="H176" s="13" t="s">
        <v>160</v>
      </c>
      <c r="I176" s="13" t="s">
        <v>81</v>
      </c>
      <c r="J176" s="13" t="s">
        <v>54</v>
      </c>
      <c r="K176" s="13" t="s">
        <v>29</v>
      </c>
      <c r="L176" s="13" t="s">
        <v>30</v>
      </c>
      <c r="M176" s="13" t="s">
        <v>364</v>
      </c>
      <c r="N176" s="13"/>
      <c r="O176" s="13" t="s">
        <v>56</v>
      </c>
      <c r="P176" s="13" t="s">
        <v>71</v>
      </c>
      <c r="Q176" s="13">
        <v>74</v>
      </c>
      <c r="R176" s="13" t="s">
        <v>35</v>
      </c>
      <c r="S176" s="13" t="s">
        <v>35</v>
      </c>
      <c r="T176" s="13" t="s">
        <v>35</v>
      </c>
      <c r="U176" s="13" t="s">
        <v>35</v>
      </c>
      <c r="V176" s="13"/>
      <c r="W176" s="13"/>
      <c r="X176" s="13" t="s">
        <v>81</v>
      </c>
      <c r="Y176" s="13" t="s">
        <v>54</v>
      </c>
      <c r="Z176" s="13"/>
      <c r="AA176" s="13"/>
      <c r="AB176" s="13" t="s">
        <v>37</v>
      </c>
    </row>
    <row r="177" spans="1:28" hidden="1" x14ac:dyDescent="0.25">
      <c r="A177" s="7" t="str">
        <f>IFERROR(VLOOKUP(H177,'Contas Orç'!A:B,2,0),"N/A")</f>
        <v>DESPESAS GERAIS</v>
      </c>
      <c r="B177" s="7" t="str">
        <f t="shared" si="4"/>
        <v>330409 - DESPESAS GERAIS</v>
      </c>
      <c r="C177" s="25">
        <f t="shared" si="5"/>
        <v>44866</v>
      </c>
      <c r="D177" s="27">
        <f>IF(K177="CREDITO",Q177,Q177*-1)</f>
        <v>3</v>
      </c>
      <c r="E177" s="13" t="s">
        <v>366</v>
      </c>
      <c r="F177" s="13" t="s">
        <v>25</v>
      </c>
      <c r="G177" s="14">
        <v>44883</v>
      </c>
      <c r="H177" s="13" t="s">
        <v>160</v>
      </c>
      <c r="I177" s="13" t="s">
        <v>81</v>
      </c>
      <c r="J177" s="13" t="s">
        <v>54</v>
      </c>
      <c r="K177" s="13" t="s">
        <v>29</v>
      </c>
      <c r="L177" s="13" t="s">
        <v>30</v>
      </c>
      <c r="M177" s="13" t="s">
        <v>367</v>
      </c>
      <c r="N177" s="13"/>
      <c r="O177" s="13" t="s">
        <v>56</v>
      </c>
      <c r="P177" s="13" t="s">
        <v>71</v>
      </c>
      <c r="Q177" s="13">
        <v>3</v>
      </c>
      <c r="R177" s="13" t="s">
        <v>35</v>
      </c>
      <c r="S177" s="13" t="s">
        <v>35</v>
      </c>
      <c r="T177" s="13" t="s">
        <v>35</v>
      </c>
      <c r="U177" s="13" t="s">
        <v>35</v>
      </c>
      <c r="V177" s="13"/>
      <c r="W177" s="13"/>
      <c r="X177" s="13" t="s">
        <v>81</v>
      </c>
      <c r="Y177" s="13" t="s">
        <v>54</v>
      </c>
      <c r="Z177" s="13"/>
      <c r="AA177" s="13"/>
      <c r="AB177" s="13" t="s">
        <v>37</v>
      </c>
    </row>
    <row r="178" spans="1:28" hidden="1" x14ac:dyDescent="0.25">
      <c r="A178" s="7" t="str">
        <f>IFERROR(VLOOKUP(H178,'Contas Orç'!A:B,2,0),"N/A")</f>
        <v>DESPESAS GERAIS</v>
      </c>
      <c r="B178" s="7" t="str">
        <f t="shared" si="4"/>
        <v>330409 - DESPESAS GERAIS</v>
      </c>
      <c r="C178" s="25">
        <f t="shared" si="5"/>
        <v>44866</v>
      </c>
      <c r="D178" s="27">
        <f>IF(K178="CREDITO",Q178,Q178*-1)</f>
        <v>40</v>
      </c>
      <c r="E178" s="13" t="s">
        <v>366</v>
      </c>
      <c r="F178" s="13" t="s">
        <v>38</v>
      </c>
      <c r="G178" s="14">
        <v>44883</v>
      </c>
      <c r="H178" s="13" t="s">
        <v>160</v>
      </c>
      <c r="I178" s="13" t="s">
        <v>81</v>
      </c>
      <c r="J178" s="13" t="s">
        <v>54</v>
      </c>
      <c r="K178" s="13" t="s">
        <v>29</v>
      </c>
      <c r="L178" s="13" t="s">
        <v>30</v>
      </c>
      <c r="M178" s="13" t="s">
        <v>368</v>
      </c>
      <c r="N178" s="13"/>
      <c r="O178" s="13" t="s">
        <v>56</v>
      </c>
      <c r="P178" s="13" t="s">
        <v>71</v>
      </c>
      <c r="Q178" s="13">
        <v>40</v>
      </c>
      <c r="R178" s="13" t="s">
        <v>35</v>
      </c>
      <c r="S178" s="13" t="s">
        <v>35</v>
      </c>
      <c r="T178" s="13" t="s">
        <v>35</v>
      </c>
      <c r="U178" s="13" t="s">
        <v>35</v>
      </c>
      <c r="V178" s="13"/>
      <c r="W178" s="13"/>
      <c r="X178" s="13" t="s">
        <v>81</v>
      </c>
      <c r="Y178" s="13" t="s">
        <v>54</v>
      </c>
      <c r="Z178" s="13"/>
      <c r="AA178" s="13"/>
      <c r="AB178" s="13" t="s">
        <v>37</v>
      </c>
    </row>
    <row r="179" spans="1:28" hidden="1" x14ac:dyDescent="0.25">
      <c r="A179" s="7" t="str">
        <f>IFERROR(VLOOKUP(H179,'Contas Orç'!A:B,2,0),"N/A")</f>
        <v>DESPESAS GERAIS</v>
      </c>
      <c r="B179" s="7" t="str">
        <f t="shared" si="4"/>
        <v>330409 - DESPESAS GERAIS</v>
      </c>
      <c r="C179" s="25">
        <f t="shared" si="5"/>
        <v>44866</v>
      </c>
      <c r="D179" s="27">
        <f>IF(K179="CREDITO",Q179,Q179*-1)</f>
        <v>171</v>
      </c>
      <c r="E179" s="13" t="s">
        <v>366</v>
      </c>
      <c r="F179" s="13" t="s">
        <v>48</v>
      </c>
      <c r="G179" s="14">
        <v>44883</v>
      </c>
      <c r="H179" s="13" t="s">
        <v>160</v>
      </c>
      <c r="I179" s="13" t="s">
        <v>81</v>
      </c>
      <c r="J179" s="13" t="s">
        <v>54</v>
      </c>
      <c r="K179" s="13" t="s">
        <v>29</v>
      </c>
      <c r="L179" s="13" t="s">
        <v>30</v>
      </c>
      <c r="M179" s="13" t="s">
        <v>370</v>
      </c>
      <c r="N179" s="13"/>
      <c r="O179" s="13" t="s">
        <v>56</v>
      </c>
      <c r="P179" s="13" t="s">
        <v>71</v>
      </c>
      <c r="Q179" s="13">
        <v>171</v>
      </c>
      <c r="R179" s="13" t="s">
        <v>35</v>
      </c>
      <c r="S179" s="13" t="s">
        <v>35</v>
      </c>
      <c r="T179" s="13" t="s">
        <v>35</v>
      </c>
      <c r="U179" s="13" t="s">
        <v>35</v>
      </c>
      <c r="V179" s="13"/>
      <c r="W179" s="13"/>
      <c r="X179" s="13" t="s">
        <v>81</v>
      </c>
      <c r="Y179" s="13" t="s">
        <v>54</v>
      </c>
      <c r="Z179" s="13"/>
      <c r="AA179" s="13"/>
      <c r="AB179" s="13" t="s">
        <v>37</v>
      </c>
    </row>
    <row r="180" spans="1:28" hidden="1" x14ac:dyDescent="0.25">
      <c r="A180" s="7" t="str">
        <f>IFERROR(VLOOKUP(H180,'Contas Orç'!A:B,2,0),"N/A")</f>
        <v>DESPESAS GERAIS</v>
      </c>
      <c r="B180" s="7" t="str">
        <f t="shared" si="4"/>
        <v>330409 - DESPESAS GERAIS</v>
      </c>
      <c r="C180" s="25">
        <f t="shared" si="5"/>
        <v>44866</v>
      </c>
      <c r="D180" s="27">
        <f>IF(K180="CREDITO",Q180,Q180*-1)</f>
        <v>534</v>
      </c>
      <c r="E180" s="13" t="s">
        <v>366</v>
      </c>
      <c r="F180" s="13" t="s">
        <v>50</v>
      </c>
      <c r="G180" s="14">
        <v>44883</v>
      </c>
      <c r="H180" s="13" t="s">
        <v>160</v>
      </c>
      <c r="I180" s="13" t="s">
        <v>81</v>
      </c>
      <c r="J180" s="13" t="s">
        <v>54</v>
      </c>
      <c r="K180" s="13" t="s">
        <v>29</v>
      </c>
      <c r="L180" s="13" t="s">
        <v>30</v>
      </c>
      <c r="M180" s="13" t="s">
        <v>372</v>
      </c>
      <c r="N180" s="13"/>
      <c r="O180" s="13" t="s">
        <v>56</v>
      </c>
      <c r="P180" s="13" t="s">
        <v>71</v>
      </c>
      <c r="Q180" s="13">
        <v>534</v>
      </c>
      <c r="R180" s="13" t="s">
        <v>35</v>
      </c>
      <c r="S180" s="13" t="s">
        <v>35</v>
      </c>
      <c r="T180" s="13" t="s">
        <v>35</v>
      </c>
      <c r="U180" s="13" t="s">
        <v>35</v>
      </c>
      <c r="V180" s="13"/>
      <c r="W180" s="13"/>
      <c r="X180" s="13" t="s">
        <v>81</v>
      </c>
      <c r="Y180" s="13" t="s">
        <v>54</v>
      </c>
      <c r="Z180" s="13"/>
      <c r="AA180" s="13"/>
      <c r="AB180" s="13" t="s">
        <v>37</v>
      </c>
    </row>
    <row r="181" spans="1:28" hidden="1" x14ac:dyDescent="0.25">
      <c r="A181" s="7" t="str">
        <f>IFERROR(VLOOKUP(H181,'Contas Orç'!A:B,2,0),"N/A")</f>
        <v>DESPESAS GERAIS</v>
      </c>
      <c r="B181" s="7" t="str">
        <f t="shared" si="4"/>
        <v>330409 - DESPESAS GERAIS</v>
      </c>
      <c r="C181" s="25">
        <f t="shared" si="5"/>
        <v>44866</v>
      </c>
      <c r="D181" s="27">
        <f>IF(K181="CREDITO",Q181,Q181*-1)</f>
        <v>141</v>
      </c>
      <c r="E181" s="13" t="s">
        <v>374</v>
      </c>
      <c r="F181" s="13" t="s">
        <v>25</v>
      </c>
      <c r="G181" s="14">
        <v>44883</v>
      </c>
      <c r="H181" s="13" t="s">
        <v>160</v>
      </c>
      <c r="I181" s="13" t="s">
        <v>81</v>
      </c>
      <c r="J181" s="13" t="s">
        <v>54</v>
      </c>
      <c r="K181" s="13" t="s">
        <v>29</v>
      </c>
      <c r="L181" s="13" t="s">
        <v>30</v>
      </c>
      <c r="M181" s="13" t="s">
        <v>375</v>
      </c>
      <c r="N181" s="13"/>
      <c r="O181" s="13" t="s">
        <v>56</v>
      </c>
      <c r="P181" s="13" t="s">
        <v>71</v>
      </c>
      <c r="Q181" s="13">
        <v>141</v>
      </c>
      <c r="R181" s="13" t="s">
        <v>35</v>
      </c>
      <c r="S181" s="13" t="s">
        <v>35</v>
      </c>
      <c r="T181" s="13" t="s">
        <v>35</v>
      </c>
      <c r="U181" s="13" t="s">
        <v>35</v>
      </c>
      <c r="V181" s="13"/>
      <c r="W181" s="13"/>
      <c r="X181" s="13" t="s">
        <v>81</v>
      </c>
      <c r="Y181" s="13" t="s">
        <v>54</v>
      </c>
      <c r="Z181" s="13"/>
      <c r="AA181" s="13"/>
      <c r="AB181" s="13" t="s">
        <v>37</v>
      </c>
    </row>
    <row r="182" spans="1:28" hidden="1" x14ac:dyDescent="0.25">
      <c r="A182" s="7" t="str">
        <f>IFERROR(VLOOKUP(H182,'Contas Orç'!A:B,2,0),"N/A")</f>
        <v>DESPESAS GERAIS</v>
      </c>
      <c r="B182" s="7" t="str">
        <f t="shared" si="4"/>
        <v>330409 - DESPESAS GERAIS</v>
      </c>
      <c r="C182" s="25">
        <f t="shared" si="5"/>
        <v>44866</v>
      </c>
      <c r="D182" s="27">
        <f>IF(K182="CREDITO",Q182,Q182*-1)</f>
        <v>336</v>
      </c>
      <c r="E182" s="13" t="s">
        <v>374</v>
      </c>
      <c r="F182" s="13" t="s">
        <v>38</v>
      </c>
      <c r="G182" s="14">
        <v>44883</v>
      </c>
      <c r="H182" s="13" t="s">
        <v>160</v>
      </c>
      <c r="I182" s="13" t="s">
        <v>81</v>
      </c>
      <c r="J182" s="13" t="s">
        <v>54</v>
      </c>
      <c r="K182" s="13" t="s">
        <v>29</v>
      </c>
      <c r="L182" s="13" t="s">
        <v>30</v>
      </c>
      <c r="M182" s="13" t="s">
        <v>377</v>
      </c>
      <c r="N182" s="13"/>
      <c r="O182" s="13" t="s">
        <v>56</v>
      </c>
      <c r="P182" s="13" t="s">
        <v>71</v>
      </c>
      <c r="Q182" s="13">
        <v>336</v>
      </c>
      <c r="R182" s="13" t="s">
        <v>35</v>
      </c>
      <c r="S182" s="13" t="s">
        <v>35</v>
      </c>
      <c r="T182" s="13" t="s">
        <v>35</v>
      </c>
      <c r="U182" s="13" t="s">
        <v>35</v>
      </c>
      <c r="V182" s="13"/>
      <c r="W182" s="13"/>
      <c r="X182" s="13" t="s">
        <v>81</v>
      </c>
      <c r="Y182" s="13" t="s">
        <v>54</v>
      </c>
      <c r="Z182" s="13"/>
      <c r="AA182" s="13"/>
      <c r="AB182" s="13" t="s">
        <v>37</v>
      </c>
    </row>
    <row r="183" spans="1:28" hidden="1" x14ac:dyDescent="0.25">
      <c r="A183" s="7" t="str">
        <f>IFERROR(VLOOKUP(H183,'Contas Orç'!A:B,2,0),"N/A")</f>
        <v>OUTROS GASTOS COM PESSOAL</v>
      </c>
      <c r="B183" s="7" t="str">
        <f t="shared" si="4"/>
        <v>330104 - OUTROS GASTOS COM PESSOAL</v>
      </c>
      <c r="C183" s="25">
        <f t="shared" si="5"/>
        <v>44866</v>
      </c>
      <c r="D183" s="27">
        <f>IF(K183="CREDITO",Q183,Q183*-1)</f>
        <v>146</v>
      </c>
      <c r="E183" s="13" t="s">
        <v>379</v>
      </c>
      <c r="F183" s="13" t="s">
        <v>25</v>
      </c>
      <c r="G183" s="14">
        <v>44883</v>
      </c>
      <c r="H183" s="13" t="s">
        <v>380</v>
      </c>
      <c r="I183" s="13" t="s">
        <v>81</v>
      </c>
      <c r="J183" s="13" t="s">
        <v>54</v>
      </c>
      <c r="K183" s="13" t="s">
        <v>29</v>
      </c>
      <c r="L183" s="13" t="s">
        <v>30</v>
      </c>
      <c r="M183" s="13" t="s">
        <v>381</v>
      </c>
      <c r="N183" s="13"/>
      <c r="O183" s="13" t="s">
        <v>56</v>
      </c>
      <c r="P183" s="13" t="s">
        <v>71</v>
      </c>
      <c r="Q183" s="13">
        <v>146</v>
      </c>
      <c r="R183" s="13" t="s">
        <v>35</v>
      </c>
      <c r="S183" s="13" t="s">
        <v>35</v>
      </c>
      <c r="T183" s="13" t="s">
        <v>35</v>
      </c>
      <c r="U183" s="13" t="s">
        <v>35</v>
      </c>
      <c r="V183" s="13"/>
      <c r="W183" s="13"/>
      <c r="X183" s="13" t="s">
        <v>81</v>
      </c>
      <c r="Y183" s="13" t="s">
        <v>54</v>
      </c>
      <c r="Z183" s="13"/>
      <c r="AA183" s="13"/>
      <c r="AB183" s="13" t="s">
        <v>37</v>
      </c>
    </row>
    <row r="184" spans="1:28" hidden="1" x14ac:dyDescent="0.25">
      <c r="A184" s="7" t="str">
        <f>IFERROR(VLOOKUP(H184,'Contas Orç'!A:B,2,0),"N/A")</f>
        <v>PECAS E ACESSORIOS</v>
      </c>
      <c r="B184" s="7" t="str">
        <f t="shared" si="4"/>
        <v>330301004 - PECAS E ACESSORIOS</v>
      </c>
      <c r="C184" s="25">
        <f t="shared" si="5"/>
        <v>44866</v>
      </c>
      <c r="D184" s="27">
        <f>IF(K184="CREDITO",Q184,Q184*-1)</f>
        <v>399</v>
      </c>
      <c r="E184" s="13" t="s">
        <v>382</v>
      </c>
      <c r="F184" s="13" t="s">
        <v>25</v>
      </c>
      <c r="G184" s="14">
        <v>44883</v>
      </c>
      <c r="H184" s="13" t="s">
        <v>39</v>
      </c>
      <c r="I184" s="13" t="s">
        <v>81</v>
      </c>
      <c r="J184" s="13" t="s">
        <v>54</v>
      </c>
      <c r="K184" s="13" t="s">
        <v>29</v>
      </c>
      <c r="L184" s="13" t="s">
        <v>30</v>
      </c>
      <c r="M184" s="13" t="s">
        <v>383</v>
      </c>
      <c r="N184" s="13"/>
      <c r="O184" s="13" t="s">
        <v>56</v>
      </c>
      <c r="P184" s="13" t="s">
        <v>71</v>
      </c>
      <c r="Q184" s="13">
        <v>399</v>
      </c>
      <c r="R184" s="13" t="s">
        <v>35</v>
      </c>
      <c r="S184" s="13" t="s">
        <v>35</v>
      </c>
      <c r="T184" s="13" t="s">
        <v>35</v>
      </c>
      <c r="U184" s="13" t="s">
        <v>35</v>
      </c>
      <c r="V184" s="13"/>
      <c r="W184" s="13"/>
      <c r="X184" s="13" t="s">
        <v>81</v>
      </c>
      <c r="Y184" s="13" t="s">
        <v>54</v>
      </c>
      <c r="Z184" s="13"/>
      <c r="AA184" s="13"/>
      <c r="AB184" s="13" t="s">
        <v>37</v>
      </c>
    </row>
    <row r="185" spans="1:28" hidden="1" x14ac:dyDescent="0.25">
      <c r="A185" s="7" t="str">
        <f>IFERROR(VLOOKUP(H185,'Contas Orç'!A:B,2,0),"N/A")</f>
        <v>OUTROS GASTOS COM PESSOAL</v>
      </c>
      <c r="B185" s="7" t="str">
        <f t="shared" si="4"/>
        <v>330104 - OUTROS GASTOS COM PESSOAL</v>
      </c>
      <c r="C185" s="25">
        <f t="shared" si="5"/>
        <v>44866</v>
      </c>
      <c r="D185" s="27">
        <f>IF(K185="CREDITO",Q185,Q185*-1)</f>
        <v>310</v>
      </c>
      <c r="E185" s="13" t="s">
        <v>385</v>
      </c>
      <c r="F185" s="13" t="s">
        <v>25</v>
      </c>
      <c r="G185" s="14">
        <v>44883</v>
      </c>
      <c r="H185" s="13" t="s">
        <v>380</v>
      </c>
      <c r="I185" s="13" t="s">
        <v>81</v>
      </c>
      <c r="J185" s="13" t="s">
        <v>54</v>
      </c>
      <c r="K185" s="13" t="s">
        <v>29</v>
      </c>
      <c r="L185" s="13" t="s">
        <v>30</v>
      </c>
      <c r="M185" s="13" t="s">
        <v>386</v>
      </c>
      <c r="N185" s="13"/>
      <c r="O185" s="13" t="s">
        <v>56</v>
      </c>
      <c r="P185" s="13" t="s">
        <v>71</v>
      </c>
      <c r="Q185" s="13">
        <v>310</v>
      </c>
      <c r="R185" s="13" t="s">
        <v>35</v>
      </c>
      <c r="S185" s="13" t="s">
        <v>35</v>
      </c>
      <c r="T185" s="13" t="s">
        <v>35</v>
      </c>
      <c r="U185" s="13" t="s">
        <v>35</v>
      </c>
      <c r="V185" s="13"/>
      <c r="W185" s="13"/>
      <c r="X185" s="13" t="s">
        <v>81</v>
      </c>
      <c r="Y185" s="13" t="s">
        <v>54</v>
      </c>
      <c r="Z185" s="13"/>
      <c r="AA185" s="13"/>
      <c r="AB185" s="13" t="s">
        <v>37</v>
      </c>
    </row>
    <row r="186" spans="1:28" hidden="1" x14ac:dyDescent="0.25">
      <c r="A186" s="7" t="str">
        <f>IFERROR(VLOOKUP(H186,'Contas Orç'!A:B,2,0),"N/A")</f>
        <v>OUTROS GASTOS COM PESSOAL</v>
      </c>
      <c r="B186" s="7" t="str">
        <f t="shared" si="4"/>
        <v>330104 - OUTROS GASTOS COM PESSOAL</v>
      </c>
      <c r="C186" s="25">
        <f t="shared" si="5"/>
        <v>44866</v>
      </c>
      <c r="D186" s="27">
        <f>IF(K186="CREDITO",Q186,Q186*-1)</f>
        <v>103</v>
      </c>
      <c r="E186" s="13" t="s">
        <v>385</v>
      </c>
      <c r="F186" s="13" t="s">
        <v>38</v>
      </c>
      <c r="G186" s="14">
        <v>44883</v>
      </c>
      <c r="H186" s="13" t="s">
        <v>380</v>
      </c>
      <c r="I186" s="13" t="s">
        <v>81</v>
      </c>
      <c r="J186" s="13" t="s">
        <v>54</v>
      </c>
      <c r="K186" s="13" t="s">
        <v>29</v>
      </c>
      <c r="L186" s="13" t="s">
        <v>30</v>
      </c>
      <c r="M186" s="13" t="s">
        <v>388</v>
      </c>
      <c r="N186" s="13"/>
      <c r="O186" s="13" t="s">
        <v>56</v>
      </c>
      <c r="P186" s="13" t="s">
        <v>71</v>
      </c>
      <c r="Q186" s="13">
        <v>103</v>
      </c>
      <c r="R186" s="13" t="s">
        <v>35</v>
      </c>
      <c r="S186" s="13" t="s">
        <v>35</v>
      </c>
      <c r="T186" s="13" t="s">
        <v>35</v>
      </c>
      <c r="U186" s="13" t="s">
        <v>35</v>
      </c>
      <c r="V186" s="13"/>
      <c r="W186" s="13"/>
      <c r="X186" s="13" t="s">
        <v>81</v>
      </c>
      <c r="Y186" s="13" t="s">
        <v>54</v>
      </c>
      <c r="Z186" s="13"/>
      <c r="AA186" s="13"/>
      <c r="AB186" s="13" t="s">
        <v>37</v>
      </c>
    </row>
    <row r="187" spans="1:28" hidden="1" x14ac:dyDescent="0.25">
      <c r="A187" s="7" t="str">
        <f>IFERROR(VLOOKUP(H187,'Contas Orç'!A:B,2,0),"N/A")</f>
        <v>PECAS E ACESSORIOS</v>
      </c>
      <c r="B187" s="7" t="str">
        <f t="shared" si="4"/>
        <v>330301004 - PECAS E ACESSORIOS</v>
      </c>
      <c r="C187" s="25">
        <f t="shared" si="5"/>
        <v>44866</v>
      </c>
      <c r="D187" s="27">
        <f>IF(K187="CREDITO",Q187,Q187*-1)</f>
        <v>77</v>
      </c>
      <c r="E187" s="13" t="s">
        <v>390</v>
      </c>
      <c r="F187" s="13" t="s">
        <v>25</v>
      </c>
      <c r="G187" s="14">
        <v>44883</v>
      </c>
      <c r="H187" s="13" t="s">
        <v>39</v>
      </c>
      <c r="I187" s="13" t="s">
        <v>81</v>
      </c>
      <c r="J187" s="13" t="s">
        <v>54</v>
      </c>
      <c r="K187" s="13" t="s">
        <v>29</v>
      </c>
      <c r="L187" s="13" t="s">
        <v>30</v>
      </c>
      <c r="M187" s="13" t="s">
        <v>391</v>
      </c>
      <c r="N187" s="13"/>
      <c r="O187" s="13" t="s">
        <v>56</v>
      </c>
      <c r="P187" s="13" t="s">
        <v>71</v>
      </c>
      <c r="Q187" s="13">
        <v>77</v>
      </c>
      <c r="R187" s="13" t="s">
        <v>35</v>
      </c>
      <c r="S187" s="13" t="s">
        <v>35</v>
      </c>
      <c r="T187" s="13" t="s">
        <v>35</v>
      </c>
      <c r="U187" s="13" t="s">
        <v>35</v>
      </c>
      <c r="V187" s="13"/>
      <c r="W187" s="13"/>
      <c r="X187" s="13" t="s">
        <v>81</v>
      </c>
      <c r="Y187" s="13" t="s">
        <v>54</v>
      </c>
      <c r="Z187" s="13"/>
      <c r="AA187" s="13"/>
      <c r="AB187" s="13" t="s">
        <v>37</v>
      </c>
    </row>
    <row r="188" spans="1:28" hidden="1" x14ac:dyDescent="0.25">
      <c r="A188" s="7" t="str">
        <f>IFERROR(VLOOKUP(H188,'Contas Orç'!A:B,2,0),"N/A")</f>
        <v>PECAS E ACESSORIOS</v>
      </c>
      <c r="B188" s="7" t="str">
        <f t="shared" si="4"/>
        <v>330301004 - PECAS E ACESSORIOS</v>
      </c>
      <c r="C188" s="25">
        <f t="shared" si="5"/>
        <v>44866</v>
      </c>
      <c r="D188" s="27">
        <f>IF(K188="CREDITO",Q188,Q188*-1)</f>
        <v>1256</v>
      </c>
      <c r="E188" s="13" t="s">
        <v>393</v>
      </c>
      <c r="F188" s="13" t="s">
        <v>25</v>
      </c>
      <c r="G188" s="14">
        <v>44883</v>
      </c>
      <c r="H188" s="13" t="s">
        <v>39</v>
      </c>
      <c r="I188" s="13" t="s">
        <v>81</v>
      </c>
      <c r="J188" s="13" t="s">
        <v>54</v>
      </c>
      <c r="K188" s="13" t="s">
        <v>29</v>
      </c>
      <c r="L188" s="13" t="s">
        <v>30</v>
      </c>
      <c r="M188" s="13" t="s">
        <v>394</v>
      </c>
      <c r="N188" s="13"/>
      <c r="O188" s="13" t="s">
        <v>56</v>
      </c>
      <c r="P188" s="13" t="s">
        <v>71</v>
      </c>
      <c r="Q188" s="23">
        <v>1256</v>
      </c>
      <c r="R188" s="13" t="s">
        <v>35</v>
      </c>
      <c r="S188" s="13" t="s">
        <v>35</v>
      </c>
      <c r="T188" s="13" t="s">
        <v>35</v>
      </c>
      <c r="U188" s="13" t="s">
        <v>35</v>
      </c>
      <c r="V188" s="13"/>
      <c r="W188" s="13"/>
      <c r="X188" s="13" t="s">
        <v>81</v>
      </c>
      <c r="Y188" s="13" t="s">
        <v>54</v>
      </c>
      <c r="Z188" s="13"/>
      <c r="AA188" s="13"/>
      <c r="AB188" s="13" t="s">
        <v>37</v>
      </c>
    </row>
    <row r="189" spans="1:28" hidden="1" x14ac:dyDescent="0.25">
      <c r="A189" s="7" t="str">
        <f>IFERROR(VLOOKUP(H189,'Contas Orç'!A:B,2,0),"N/A")</f>
        <v>PJ-OUTROS SERVICOS CONTRATADOS-PJ</v>
      </c>
      <c r="B189" s="7" t="str">
        <f t="shared" si="4"/>
        <v>330201006 - PJ-OUTROS SERVICOS CONTRATADOS-PJ</v>
      </c>
      <c r="C189" s="25">
        <f t="shared" si="5"/>
        <v>44866</v>
      </c>
      <c r="D189" s="27">
        <f>IF(K189="CREDITO",Q189,Q189*-1)</f>
        <v>3378</v>
      </c>
      <c r="E189" s="13" t="s">
        <v>396</v>
      </c>
      <c r="F189" s="13" t="s">
        <v>25</v>
      </c>
      <c r="G189" s="14">
        <v>44883</v>
      </c>
      <c r="H189" s="13" t="s">
        <v>67</v>
      </c>
      <c r="I189" s="13" t="s">
        <v>68</v>
      </c>
      <c r="J189" s="13" t="s">
        <v>69</v>
      </c>
      <c r="K189" s="13" t="s">
        <v>29</v>
      </c>
      <c r="L189" s="13" t="s">
        <v>30</v>
      </c>
      <c r="M189" s="13" t="s">
        <v>397</v>
      </c>
      <c r="N189" s="13"/>
      <c r="O189" s="13" t="s">
        <v>56</v>
      </c>
      <c r="P189" s="13" t="s">
        <v>71</v>
      </c>
      <c r="Q189" s="23">
        <v>3378</v>
      </c>
      <c r="R189" s="13" t="s">
        <v>35</v>
      </c>
      <c r="S189" s="13" t="s">
        <v>35</v>
      </c>
      <c r="T189" s="13" t="s">
        <v>35</v>
      </c>
      <c r="U189" s="13" t="s">
        <v>35</v>
      </c>
      <c r="V189" s="13"/>
      <c r="W189" s="13"/>
      <c r="X189" s="13" t="s">
        <v>68</v>
      </c>
      <c r="Y189" s="13" t="s">
        <v>69</v>
      </c>
      <c r="Z189" s="13"/>
      <c r="AA189" s="13"/>
      <c r="AB189" s="13" t="s">
        <v>37</v>
      </c>
    </row>
    <row r="190" spans="1:28" hidden="1" x14ac:dyDescent="0.25">
      <c r="A190" s="7" t="str">
        <f>IFERROR(VLOOKUP(H190,'Contas Orç'!A:B,2,0),"N/A")</f>
        <v>PECAS E ACESSORIOS</v>
      </c>
      <c r="B190" s="7" t="str">
        <f t="shared" si="4"/>
        <v>330301004 - PECAS E ACESSORIOS</v>
      </c>
      <c r="C190" s="25">
        <f t="shared" si="5"/>
        <v>44866</v>
      </c>
      <c r="D190" s="27">
        <f>IF(K190="CREDITO",Q190,Q190*-1)</f>
        <v>890</v>
      </c>
      <c r="E190" s="13" t="s">
        <v>399</v>
      </c>
      <c r="F190" s="13" t="s">
        <v>25</v>
      </c>
      <c r="G190" s="14">
        <v>44883</v>
      </c>
      <c r="H190" s="13" t="s">
        <v>39</v>
      </c>
      <c r="I190" s="13" t="s">
        <v>81</v>
      </c>
      <c r="J190" s="13" t="s">
        <v>54</v>
      </c>
      <c r="K190" s="13" t="s">
        <v>29</v>
      </c>
      <c r="L190" s="13" t="s">
        <v>30</v>
      </c>
      <c r="M190" s="13" t="s">
        <v>400</v>
      </c>
      <c r="N190" s="13"/>
      <c r="O190" s="13" t="s">
        <v>56</v>
      </c>
      <c r="P190" s="13" t="s">
        <v>71</v>
      </c>
      <c r="Q190" s="13">
        <v>890</v>
      </c>
      <c r="R190" s="13" t="s">
        <v>35</v>
      </c>
      <c r="S190" s="13" t="s">
        <v>35</v>
      </c>
      <c r="T190" s="13" t="s">
        <v>35</v>
      </c>
      <c r="U190" s="13" t="s">
        <v>35</v>
      </c>
      <c r="V190" s="13"/>
      <c r="W190" s="13"/>
      <c r="X190" s="13" t="s">
        <v>81</v>
      </c>
      <c r="Y190" s="13" t="s">
        <v>54</v>
      </c>
      <c r="Z190" s="13"/>
      <c r="AA190" s="13"/>
      <c r="AB190" s="13" t="s">
        <v>37</v>
      </c>
    </row>
    <row r="191" spans="1:28" hidden="1" x14ac:dyDescent="0.25">
      <c r="A191" s="7" t="str">
        <f>IFERROR(VLOOKUP(H191,'Contas Orç'!A:B,2,0),"N/A")</f>
        <v>PECAS E ACESSORIOS</v>
      </c>
      <c r="B191" s="7" t="str">
        <f t="shared" si="4"/>
        <v>330301004 - PECAS E ACESSORIOS</v>
      </c>
      <c r="C191" s="25">
        <f t="shared" si="5"/>
        <v>44866</v>
      </c>
      <c r="D191" s="27">
        <f>IF(K191="CREDITO",Q191,Q191*-1)</f>
        <v>220</v>
      </c>
      <c r="E191" s="13" t="s">
        <v>399</v>
      </c>
      <c r="F191" s="13" t="s">
        <v>38</v>
      </c>
      <c r="G191" s="14">
        <v>44883</v>
      </c>
      <c r="H191" s="13" t="s">
        <v>39</v>
      </c>
      <c r="I191" s="13" t="s">
        <v>81</v>
      </c>
      <c r="J191" s="13" t="s">
        <v>54</v>
      </c>
      <c r="K191" s="13" t="s">
        <v>29</v>
      </c>
      <c r="L191" s="13" t="s">
        <v>30</v>
      </c>
      <c r="M191" s="13" t="s">
        <v>402</v>
      </c>
      <c r="N191" s="13"/>
      <c r="O191" s="13" t="s">
        <v>56</v>
      </c>
      <c r="P191" s="13" t="s">
        <v>71</v>
      </c>
      <c r="Q191" s="13">
        <v>220</v>
      </c>
      <c r="R191" s="13" t="s">
        <v>35</v>
      </c>
      <c r="S191" s="13" t="s">
        <v>35</v>
      </c>
      <c r="T191" s="13" t="s">
        <v>35</v>
      </c>
      <c r="U191" s="13" t="s">
        <v>35</v>
      </c>
      <c r="V191" s="13"/>
      <c r="W191" s="13"/>
      <c r="X191" s="13" t="s">
        <v>81</v>
      </c>
      <c r="Y191" s="13" t="s">
        <v>54</v>
      </c>
      <c r="Z191" s="13"/>
      <c r="AA191" s="13"/>
      <c r="AB191" s="13" t="s">
        <v>37</v>
      </c>
    </row>
    <row r="192" spans="1:28" hidden="1" x14ac:dyDescent="0.25">
      <c r="A192" s="7" t="str">
        <f>IFERROR(VLOOKUP(H192,'Contas Orç'!A:B,2,0),"N/A")</f>
        <v>PJ-OUTROS SERVICOS CONTRATADOS-PJ</v>
      </c>
      <c r="B192" s="7" t="str">
        <f t="shared" si="4"/>
        <v>330201006 - PJ-OUTROS SERVICOS CONTRATADOS-PJ</v>
      </c>
      <c r="C192" s="25">
        <f t="shared" si="5"/>
        <v>44866</v>
      </c>
      <c r="D192" s="27">
        <f>IF(K192="CREDITO",Q192,Q192*-1)</f>
        <v>150</v>
      </c>
      <c r="E192" s="13" t="s">
        <v>399</v>
      </c>
      <c r="F192" s="13" t="s">
        <v>48</v>
      </c>
      <c r="G192" s="14">
        <v>44883</v>
      </c>
      <c r="H192" s="13" t="s">
        <v>67</v>
      </c>
      <c r="I192" s="13" t="s">
        <v>81</v>
      </c>
      <c r="J192" s="13" t="s">
        <v>54</v>
      </c>
      <c r="K192" s="13" t="s">
        <v>29</v>
      </c>
      <c r="L192" s="13" t="s">
        <v>30</v>
      </c>
      <c r="M192" s="13" t="s">
        <v>404</v>
      </c>
      <c r="N192" s="13"/>
      <c r="O192" s="13" t="s">
        <v>56</v>
      </c>
      <c r="P192" s="13" t="s">
        <v>71</v>
      </c>
      <c r="Q192" s="13">
        <v>150</v>
      </c>
      <c r="R192" s="13" t="s">
        <v>35</v>
      </c>
      <c r="S192" s="13" t="s">
        <v>35</v>
      </c>
      <c r="T192" s="13" t="s">
        <v>35</v>
      </c>
      <c r="U192" s="13" t="s">
        <v>35</v>
      </c>
      <c r="V192" s="13"/>
      <c r="W192" s="13"/>
      <c r="X192" s="13" t="s">
        <v>81</v>
      </c>
      <c r="Y192" s="13" t="s">
        <v>54</v>
      </c>
      <c r="Z192" s="13"/>
      <c r="AA192" s="13"/>
      <c r="AB192" s="13" t="s">
        <v>37</v>
      </c>
    </row>
    <row r="193" spans="1:28" hidden="1" x14ac:dyDescent="0.25">
      <c r="A193" s="7" t="str">
        <f>IFERROR(VLOOKUP(H193,'Contas Orç'!A:B,2,0),"N/A")</f>
        <v>DESPESAS GERAIS</v>
      </c>
      <c r="B193" s="7" t="str">
        <f t="shared" si="4"/>
        <v>330409 - DESPESAS GERAIS</v>
      </c>
      <c r="C193" s="25">
        <f t="shared" si="5"/>
        <v>44866</v>
      </c>
      <c r="D193" s="27">
        <f>IF(K193="CREDITO",Q193,Q193*-1)</f>
        <v>26</v>
      </c>
      <c r="E193" s="13" t="s">
        <v>405</v>
      </c>
      <c r="F193" s="13" t="s">
        <v>25</v>
      </c>
      <c r="G193" s="14">
        <v>44883</v>
      </c>
      <c r="H193" s="13" t="s">
        <v>160</v>
      </c>
      <c r="I193" s="13" t="s">
        <v>81</v>
      </c>
      <c r="J193" s="13" t="s">
        <v>54</v>
      </c>
      <c r="K193" s="13" t="s">
        <v>29</v>
      </c>
      <c r="L193" s="13" t="s">
        <v>30</v>
      </c>
      <c r="M193" s="13" t="s">
        <v>406</v>
      </c>
      <c r="N193" s="13"/>
      <c r="O193" s="13" t="s">
        <v>56</v>
      </c>
      <c r="P193" s="13" t="s">
        <v>71</v>
      </c>
      <c r="Q193" s="13">
        <v>26</v>
      </c>
      <c r="R193" s="13" t="s">
        <v>35</v>
      </c>
      <c r="S193" s="13" t="s">
        <v>35</v>
      </c>
      <c r="T193" s="13" t="s">
        <v>35</v>
      </c>
      <c r="U193" s="13" t="s">
        <v>35</v>
      </c>
      <c r="V193" s="13"/>
      <c r="W193" s="13"/>
      <c r="X193" s="13" t="s">
        <v>81</v>
      </c>
      <c r="Y193" s="13" t="s">
        <v>54</v>
      </c>
      <c r="Z193" s="13"/>
      <c r="AA193" s="13"/>
      <c r="AB193" s="13" t="s">
        <v>37</v>
      </c>
    </row>
    <row r="194" spans="1:28" hidden="1" x14ac:dyDescent="0.25">
      <c r="A194" s="7" t="str">
        <f>IFERROR(VLOOKUP(H194,'Contas Orç'!A:B,2,0),"N/A")</f>
        <v>DESPESAS GERAIS</v>
      </c>
      <c r="B194" s="7" t="str">
        <f t="shared" si="4"/>
        <v>330409 - DESPESAS GERAIS</v>
      </c>
      <c r="C194" s="25">
        <f t="shared" si="5"/>
        <v>44866</v>
      </c>
      <c r="D194" s="27">
        <f>IF(K194="CREDITO",Q194,Q194*-1)</f>
        <v>2</v>
      </c>
      <c r="E194" s="13" t="s">
        <v>405</v>
      </c>
      <c r="F194" s="13" t="s">
        <v>38</v>
      </c>
      <c r="G194" s="14">
        <v>44883</v>
      </c>
      <c r="H194" s="13" t="s">
        <v>160</v>
      </c>
      <c r="I194" s="13" t="s">
        <v>81</v>
      </c>
      <c r="J194" s="13" t="s">
        <v>54</v>
      </c>
      <c r="K194" s="13" t="s">
        <v>29</v>
      </c>
      <c r="L194" s="13" t="s">
        <v>30</v>
      </c>
      <c r="M194" s="13" t="s">
        <v>408</v>
      </c>
      <c r="N194" s="13"/>
      <c r="O194" s="13" t="s">
        <v>56</v>
      </c>
      <c r="P194" s="13" t="s">
        <v>71</v>
      </c>
      <c r="Q194" s="13">
        <v>2</v>
      </c>
      <c r="R194" s="13" t="s">
        <v>35</v>
      </c>
      <c r="S194" s="13" t="s">
        <v>35</v>
      </c>
      <c r="T194" s="13" t="s">
        <v>35</v>
      </c>
      <c r="U194" s="13" t="s">
        <v>35</v>
      </c>
      <c r="V194" s="13"/>
      <c r="W194" s="13"/>
      <c r="X194" s="13" t="s">
        <v>81</v>
      </c>
      <c r="Y194" s="13" t="s">
        <v>54</v>
      </c>
      <c r="Z194" s="13"/>
      <c r="AA194" s="13"/>
      <c r="AB194" s="13" t="s">
        <v>37</v>
      </c>
    </row>
    <row r="195" spans="1:28" hidden="1" x14ac:dyDescent="0.25">
      <c r="A195" s="7" t="str">
        <f>IFERROR(VLOOKUP(H195,'Contas Orç'!A:B,2,0),"N/A")</f>
        <v>DESPESAS GERAIS</v>
      </c>
      <c r="B195" s="7" t="str">
        <f t="shared" ref="B195:B258" si="6">_xlfn.CONCAT(H195," - ",A195)</f>
        <v>330409 - DESPESAS GERAIS</v>
      </c>
      <c r="C195" s="25">
        <f t="shared" ref="C195:C258" si="7">DATE(YEAR(G195),MONTH(G195),1)</f>
        <v>44866</v>
      </c>
      <c r="D195" s="27">
        <f>IF(K195="CREDITO",Q195,Q195*-1)</f>
        <v>254</v>
      </c>
      <c r="E195" s="13" t="s">
        <v>405</v>
      </c>
      <c r="F195" s="13" t="s">
        <v>48</v>
      </c>
      <c r="G195" s="14">
        <v>44883</v>
      </c>
      <c r="H195" s="13" t="s">
        <v>160</v>
      </c>
      <c r="I195" s="13" t="s">
        <v>81</v>
      </c>
      <c r="J195" s="13" t="s">
        <v>54</v>
      </c>
      <c r="K195" s="13" t="s">
        <v>29</v>
      </c>
      <c r="L195" s="13" t="s">
        <v>30</v>
      </c>
      <c r="M195" s="13" t="s">
        <v>409</v>
      </c>
      <c r="N195" s="13"/>
      <c r="O195" s="13" t="s">
        <v>56</v>
      </c>
      <c r="P195" s="13" t="s">
        <v>71</v>
      </c>
      <c r="Q195" s="13">
        <v>254</v>
      </c>
      <c r="R195" s="13" t="s">
        <v>35</v>
      </c>
      <c r="S195" s="13" t="s">
        <v>35</v>
      </c>
      <c r="T195" s="13" t="s">
        <v>35</v>
      </c>
      <c r="U195" s="13" t="s">
        <v>35</v>
      </c>
      <c r="V195" s="13"/>
      <c r="W195" s="13"/>
      <c r="X195" s="13" t="s">
        <v>81</v>
      </c>
      <c r="Y195" s="13" t="s">
        <v>54</v>
      </c>
      <c r="Z195" s="13"/>
      <c r="AA195" s="13"/>
      <c r="AB195" s="13" t="s">
        <v>37</v>
      </c>
    </row>
    <row r="196" spans="1:28" hidden="1" x14ac:dyDescent="0.25">
      <c r="A196" s="7" t="str">
        <f>IFERROR(VLOOKUP(H196,'Contas Orç'!A:B,2,0),"N/A")</f>
        <v>DESPESAS GERAIS</v>
      </c>
      <c r="B196" s="7" t="str">
        <f t="shared" si="6"/>
        <v>330409 - DESPESAS GERAIS</v>
      </c>
      <c r="C196" s="25">
        <f t="shared" si="7"/>
        <v>44866</v>
      </c>
      <c r="D196" s="27">
        <f>IF(K196="CREDITO",Q196,Q196*-1)</f>
        <v>81</v>
      </c>
      <c r="E196" s="13" t="s">
        <v>411</v>
      </c>
      <c r="F196" s="13" t="s">
        <v>25</v>
      </c>
      <c r="G196" s="14">
        <v>44883</v>
      </c>
      <c r="H196" s="13" t="s">
        <v>160</v>
      </c>
      <c r="I196" s="13" t="s">
        <v>81</v>
      </c>
      <c r="J196" s="13" t="s">
        <v>54</v>
      </c>
      <c r="K196" s="13" t="s">
        <v>29</v>
      </c>
      <c r="L196" s="13" t="s">
        <v>30</v>
      </c>
      <c r="M196" s="13" t="s">
        <v>412</v>
      </c>
      <c r="N196" s="13"/>
      <c r="O196" s="13" t="s">
        <v>56</v>
      </c>
      <c r="P196" s="13" t="s">
        <v>71</v>
      </c>
      <c r="Q196" s="13">
        <v>81</v>
      </c>
      <c r="R196" s="13" t="s">
        <v>35</v>
      </c>
      <c r="S196" s="13" t="s">
        <v>35</v>
      </c>
      <c r="T196" s="13" t="s">
        <v>35</v>
      </c>
      <c r="U196" s="13" t="s">
        <v>35</v>
      </c>
      <c r="V196" s="13"/>
      <c r="W196" s="13"/>
      <c r="X196" s="13" t="s">
        <v>81</v>
      </c>
      <c r="Y196" s="13" t="s">
        <v>54</v>
      </c>
      <c r="Z196" s="13"/>
      <c r="AA196" s="13"/>
      <c r="AB196" s="13" t="s">
        <v>37</v>
      </c>
    </row>
    <row r="197" spans="1:28" hidden="1" x14ac:dyDescent="0.25">
      <c r="A197" s="7" t="str">
        <f>IFERROR(VLOOKUP(H197,'Contas Orç'!A:B,2,0),"N/A")</f>
        <v>DESPESAS GERAIS</v>
      </c>
      <c r="B197" s="7" t="str">
        <f t="shared" si="6"/>
        <v>330409 - DESPESAS GERAIS</v>
      </c>
      <c r="C197" s="25">
        <f t="shared" si="7"/>
        <v>44866</v>
      </c>
      <c r="D197" s="27">
        <f>IF(K197="CREDITO",Q197,Q197*-1)</f>
        <v>15</v>
      </c>
      <c r="E197" s="13" t="s">
        <v>411</v>
      </c>
      <c r="F197" s="13" t="s">
        <v>38</v>
      </c>
      <c r="G197" s="14">
        <v>44883</v>
      </c>
      <c r="H197" s="13" t="s">
        <v>160</v>
      </c>
      <c r="I197" s="13" t="s">
        <v>81</v>
      </c>
      <c r="J197" s="13" t="s">
        <v>54</v>
      </c>
      <c r="K197" s="13" t="s">
        <v>29</v>
      </c>
      <c r="L197" s="13" t="s">
        <v>30</v>
      </c>
      <c r="M197" s="13" t="s">
        <v>414</v>
      </c>
      <c r="N197" s="13"/>
      <c r="O197" s="13" t="s">
        <v>56</v>
      </c>
      <c r="P197" s="13" t="s">
        <v>71</v>
      </c>
      <c r="Q197" s="13">
        <v>15</v>
      </c>
      <c r="R197" s="13" t="s">
        <v>35</v>
      </c>
      <c r="S197" s="13" t="s">
        <v>35</v>
      </c>
      <c r="T197" s="13" t="s">
        <v>35</v>
      </c>
      <c r="U197" s="13" t="s">
        <v>35</v>
      </c>
      <c r="V197" s="13"/>
      <c r="W197" s="13"/>
      <c r="X197" s="13" t="s">
        <v>81</v>
      </c>
      <c r="Y197" s="13" t="s">
        <v>54</v>
      </c>
      <c r="Z197" s="13"/>
      <c r="AA197" s="13"/>
      <c r="AB197" s="13" t="s">
        <v>37</v>
      </c>
    </row>
    <row r="198" spans="1:28" hidden="1" x14ac:dyDescent="0.25">
      <c r="A198" s="7" t="str">
        <f>IFERROR(VLOOKUP(H198,'Contas Orç'!A:B,2,0),"N/A")</f>
        <v>DESPESAS GERAIS</v>
      </c>
      <c r="B198" s="7" t="str">
        <f t="shared" si="6"/>
        <v>330409 - DESPESAS GERAIS</v>
      </c>
      <c r="C198" s="25">
        <f t="shared" si="7"/>
        <v>44866</v>
      </c>
      <c r="D198" s="27">
        <f>IF(K198="CREDITO",Q198,Q198*-1)</f>
        <v>4</v>
      </c>
      <c r="E198" s="13" t="s">
        <v>415</v>
      </c>
      <c r="F198" s="13" t="s">
        <v>25</v>
      </c>
      <c r="G198" s="14">
        <v>44883</v>
      </c>
      <c r="H198" s="13" t="s">
        <v>160</v>
      </c>
      <c r="I198" s="13" t="s">
        <v>81</v>
      </c>
      <c r="J198" s="13" t="s">
        <v>54</v>
      </c>
      <c r="K198" s="13" t="s">
        <v>29</v>
      </c>
      <c r="L198" s="13" t="s">
        <v>30</v>
      </c>
      <c r="M198" s="13" t="s">
        <v>416</v>
      </c>
      <c r="N198" s="13"/>
      <c r="O198" s="13" t="s">
        <v>56</v>
      </c>
      <c r="P198" s="13" t="s">
        <v>71</v>
      </c>
      <c r="Q198" s="13">
        <v>4</v>
      </c>
      <c r="R198" s="13" t="s">
        <v>35</v>
      </c>
      <c r="S198" s="13" t="s">
        <v>35</v>
      </c>
      <c r="T198" s="13" t="s">
        <v>35</v>
      </c>
      <c r="U198" s="13" t="s">
        <v>35</v>
      </c>
      <c r="V198" s="13"/>
      <c r="W198" s="13"/>
      <c r="X198" s="13" t="s">
        <v>81</v>
      </c>
      <c r="Y198" s="13" t="s">
        <v>54</v>
      </c>
      <c r="Z198" s="13"/>
      <c r="AA198" s="13"/>
      <c r="AB198" s="13" t="s">
        <v>37</v>
      </c>
    </row>
    <row r="199" spans="1:28" hidden="1" x14ac:dyDescent="0.25">
      <c r="A199" s="7" t="str">
        <f>IFERROR(VLOOKUP(H199,'Contas Orç'!A:B,2,0),"N/A")</f>
        <v>DESPESAS GERAIS</v>
      </c>
      <c r="B199" s="7" t="str">
        <f t="shared" si="6"/>
        <v>330409 - DESPESAS GERAIS</v>
      </c>
      <c r="C199" s="25">
        <f t="shared" si="7"/>
        <v>44866</v>
      </c>
      <c r="D199" s="27">
        <f>IF(K199="CREDITO",Q199,Q199*-1)</f>
        <v>64</v>
      </c>
      <c r="E199" s="13" t="s">
        <v>418</v>
      </c>
      <c r="F199" s="13" t="s">
        <v>25</v>
      </c>
      <c r="G199" s="14">
        <v>44883</v>
      </c>
      <c r="H199" s="13" t="s">
        <v>160</v>
      </c>
      <c r="I199" s="13" t="s">
        <v>81</v>
      </c>
      <c r="J199" s="13" t="s">
        <v>54</v>
      </c>
      <c r="K199" s="13" t="s">
        <v>29</v>
      </c>
      <c r="L199" s="13" t="s">
        <v>30</v>
      </c>
      <c r="M199" s="13" t="s">
        <v>419</v>
      </c>
      <c r="N199" s="13"/>
      <c r="O199" s="13" t="s">
        <v>56</v>
      </c>
      <c r="P199" s="13" t="s">
        <v>71</v>
      </c>
      <c r="Q199" s="13">
        <v>64</v>
      </c>
      <c r="R199" s="13" t="s">
        <v>35</v>
      </c>
      <c r="S199" s="13" t="s">
        <v>35</v>
      </c>
      <c r="T199" s="13" t="s">
        <v>35</v>
      </c>
      <c r="U199" s="13" t="s">
        <v>35</v>
      </c>
      <c r="V199" s="13"/>
      <c r="W199" s="13"/>
      <c r="X199" s="13" t="s">
        <v>81</v>
      </c>
      <c r="Y199" s="13" t="s">
        <v>54</v>
      </c>
      <c r="Z199" s="13"/>
      <c r="AA199" s="13"/>
      <c r="AB199" s="13" t="s">
        <v>37</v>
      </c>
    </row>
    <row r="200" spans="1:28" hidden="1" x14ac:dyDescent="0.25">
      <c r="A200" s="7" t="str">
        <f>IFERROR(VLOOKUP(H200,'Contas Orç'!A:B,2,0),"N/A")</f>
        <v>DESPESAS GERAIS</v>
      </c>
      <c r="B200" s="7" t="str">
        <f t="shared" si="6"/>
        <v>330409 - DESPESAS GERAIS</v>
      </c>
      <c r="C200" s="25">
        <f t="shared" si="7"/>
        <v>44866</v>
      </c>
      <c r="D200" s="27">
        <f>IF(K200="CREDITO",Q200,Q200*-1)</f>
        <v>7</v>
      </c>
      <c r="E200" s="13" t="s">
        <v>421</v>
      </c>
      <c r="F200" s="13" t="s">
        <v>25</v>
      </c>
      <c r="G200" s="14">
        <v>44883</v>
      </c>
      <c r="H200" s="13" t="s">
        <v>160</v>
      </c>
      <c r="I200" s="13" t="s">
        <v>81</v>
      </c>
      <c r="J200" s="13" t="s">
        <v>54</v>
      </c>
      <c r="K200" s="13" t="s">
        <v>29</v>
      </c>
      <c r="L200" s="13" t="s">
        <v>30</v>
      </c>
      <c r="M200" s="13" t="s">
        <v>422</v>
      </c>
      <c r="N200" s="13"/>
      <c r="O200" s="13" t="s">
        <v>56</v>
      </c>
      <c r="P200" s="13" t="s">
        <v>71</v>
      </c>
      <c r="Q200" s="13">
        <v>7</v>
      </c>
      <c r="R200" s="13" t="s">
        <v>35</v>
      </c>
      <c r="S200" s="13" t="s">
        <v>35</v>
      </c>
      <c r="T200" s="13" t="s">
        <v>35</v>
      </c>
      <c r="U200" s="13" t="s">
        <v>35</v>
      </c>
      <c r="V200" s="13"/>
      <c r="W200" s="13"/>
      <c r="X200" s="13" t="s">
        <v>81</v>
      </c>
      <c r="Y200" s="13" t="s">
        <v>54</v>
      </c>
      <c r="Z200" s="13"/>
      <c r="AA200" s="13"/>
      <c r="AB200" s="13" t="s">
        <v>37</v>
      </c>
    </row>
    <row r="201" spans="1:28" hidden="1" x14ac:dyDescent="0.25">
      <c r="A201" s="7" t="str">
        <f>IFERROR(VLOOKUP(H201,'Contas Orç'!A:B,2,0),"N/A")</f>
        <v>DESPESAS GERAIS</v>
      </c>
      <c r="B201" s="7" t="str">
        <f t="shared" si="6"/>
        <v>330409 - DESPESAS GERAIS</v>
      </c>
      <c r="C201" s="25">
        <f t="shared" si="7"/>
        <v>44866</v>
      </c>
      <c r="D201" s="27">
        <f>IF(K201="CREDITO",Q201,Q201*-1)</f>
        <v>7</v>
      </c>
      <c r="E201" s="13" t="s">
        <v>421</v>
      </c>
      <c r="F201" s="13" t="s">
        <v>38</v>
      </c>
      <c r="G201" s="14">
        <v>44883</v>
      </c>
      <c r="H201" s="13" t="s">
        <v>160</v>
      </c>
      <c r="I201" s="13" t="s">
        <v>81</v>
      </c>
      <c r="J201" s="13" t="s">
        <v>54</v>
      </c>
      <c r="K201" s="13" t="s">
        <v>29</v>
      </c>
      <c r="L201" s="13" t="s">
        <v>30</v>
      </c>
      <c r="M201" s="13" t="s">
        <v>423</v>
      </c>
      <c r="N201" s="13"/>
      <c r="O201" s="13" t="s">
        <v>56</v>
      </c>
      <c r="P201" s="13" t="s">
        <v>71</v>
      </c>
      <c r="Q201" s="13">
        <v>7</v>
      </c>
      <c r="R201" s="13" t="s">
        <v>35</v>
      </c>
      <c r="S201" s="13" t="s">
        <v>35</v>
      </c>
      <c r="T201" s="13" t="s">
        <v>35</v>
      </c>
      <c r="U201" s="13" t="s">
        <v>35</v>
      </c>
      <c r="V201" s="13"/>
      <c r="W201" s="13"/>
      <c r="X201" s="13" t="s">
        <v>81</v>
      </c>
      <c r="Y201" s="13" t="s">
        <v>54</v>
      </c>
      <c r="Z201" s="13"/>
      <c r="AA201" s="13"/>
      <c r="AB201" s="13" t="s">
        <v>37</v>
      </c>
    </row>
    <row r="202" spans="1:28" hidden="1" x14ac:dyDescent="0.25">
      <c r="A202" s="7" t="str">
        <f>IFERROR(VLOOKUP(H202,'Contas Orç'!A:B,2,0),"N/A")</f>
        <v>DESPESAS GERAIS</v>
      </c>
      <c r="B202" s="7" t="str">
        <f t="shared" si="6"/>
        <v>330409 - DESPESAS GERAIS</v>
      </c>
      <c r="C202" s="25">
        <f t="shared" si="7"/>
        <v>44866</v>
      </c>
      <c r="D202" s="27">
        <f>IF(K202="CREDITO",Q202,Q202*-1)</f>
        <v>20</v>
      </c>
      <c r="E202" s="13" t="s">
        <v>421</v>
      </c>
      <c r="F202" s="13" t="s">
        <v>48</v>
      </c>
      <c r="G202" s="14">
        <v>44883</v>
      </c>
      <c r="H202" s="13" t="s">
        <v>160</v>
      </c>
      <c r="I202" s="13" t="s">
        <v>81</v>
      </c>
      <c r="J202" s="13" t="s">
        <v>54</v>
      </c>
      <c r="K202" s="13" t="s">
        <v>29</v>
      </c>
      <c r="L202" s="13" t="s">
        <v>30</v>
      </c>
      <c r="M202" s="13" t="s">
        <v>424</v>
      </c>
      <c r="N202" s="13"/>
      <c r="O202" s="13" t="s">
        <v>56</v>
      </c>
      <c r="P202" s="13" t="s">
        <v>71</v>
      </c>
      <c r="Q202" s="13">
        <v>20</v>
      </c>
      <c r="R202" s="13" t="s">
        <v>35</v>
      </c>
      <c r="S202" s="13" t="s">
        <v>35</v>
      </c>
      <c r="T202" s="13" t="s">
        <v>35</v>
      </c>
      <c r="U202" s="13" t="s">
        <v>35</v>
      </c>
      <c r="V202" s="13"/>
      <c r="W202" s="13"/>
      <c r="X202" s="13" t="s">
        <v>81</v>
      </c>
      <c r="Y202" s="13" t="s">
        <v>54</v>
      </c>
      <c r="Z202" s="13"/>
      <c r="AA202" s="13"/>
      <c r="AB202" s="13" t="s">
        <v>37</v>
      </c>
    </row>
    <row r="203" spans="1:28" hidden="1" x14ac:dyDescent="0.25">
      <c r="A203" s="7" t="str">
        <f>IFERROR(VLOOKUP(H203,'Contas Orç'!A:B,2,0),"N/A")</f>
        <v>DESPESAS GERAIS</v>
      </c>
      <c r="B203" s="7" t="str">
        <f t="shared" si="6"/>
        <v>330409 - DESPESAS GERAIS</v>
      </c>
      <c r="C203" s="25">
        <f t="shared" si="7"/>
        <v>44866</v>
      </c>
      <c r="D203" s="27">
        <f>IF(K203="CREDITO",Q203,Q203*-1)</f>
        <v>2</v>
      </c>
      <c r="E203" s="13" t="s">
        <v>426</v>
      </c>
      <c r="F203" s="13" t="s">
        <v>25</v>
      </c>
      <c r="G203" s="14">
        <v>44883</v>
      </c>
      <c r="H203" s="13" t="s">
        <v>160</v>
      </c>
      <c r="I203" s="13" t="s">
        <v>81</v>
      </c>
      <c r="J203" s="13" t="s">
        <v>54</v>
      </c>
      <c r="K203" s="13" t="s">
        <v>29</v>
      </c>
      <c r="L203" s="13" t="s">
        <v>30</v>
      </c>
      <c r="M203" s="13" t="s">
        <v>427</v>
      </c>
      <c r="N203" s="13"/>
      <c r="O203" s="13" t="s">
        <v>56</v>
      </c>
      <c r="P203" s="13" t="s">
        <v>71</v>
      </c>
      <c r="Q203" s="13">
        <v>2</v>
      </c>
      <c r="R203" s="13" t="s">
        <v>35</v>
      </c>
      <c r="S203" s="13" t="s">
        <v>35</v>
      </c>
      <c r="T203" s="13" t="s">
        <v>35</v>
      </c>
      <c r="U203" s="13" t="s">
        <v>35</v>
      </c>
      <c r="V203" s="13"/>
      <c r="W203" s="13"/>
      <c r="X203" s="13" t="s">
        <v>81</v>
      </c>
      <c r="Y203" s="13" t="s">
        <v>54</v>
      </c>
      <c r="Z203" s="13"/>
      <c r="AA203" s="13"/>
      <c r="AB203" s="13" t="s">
        <v>37</v>
      </c>
    </row>
    <row r="204" spans="1:28" hidden="1" x14ac:dyDescent="0.25">
      <c r="A204" s="7" t="str">
        <f>IFERROR(VLOOKUP(H204,'Contas Orç'!A:B,2,0),"N/A")</f>
        <v>DESPESAS GERAIS</v>
      </c>
      <c r="B204" s="7" t="str">
        <f t="shared" si="6"/>
        <v>330409 - DESPESAS GERAIS</v>
      </c>
      <c r="C204" s="25">
        <f t="shared" si="7"/>
        <v>44866</v>
      </c>
      <c r="D204" s="27">
        <f>IF(K204="CREDITO",Q204,Q204*-1)</f>
        <v>4</v>
      </c>
      <c r="E204" s="13" t="s">
        <v>426</v>
      </c>
      <c r="F204" s="13" t="s">
        <v>38</v>
      </c>
      <c r="G204" s="14">
        <v>44883</v>
      </c>
      <c r="H204" s="13" t="s">
        <v>160</v>
      </c>
      <c r="I204" s="13" t="s">
        <v>81</v>
      </c>
      <c r="J204" s="13" t="s">
        <v>54</v>
      </c>
      <c r="K204" s="13" t="s">
        <v>29</v>
      </c>
      <c r="L204" s="13" t="s">
        <v>30</v>
      </c>
      <c r="M204" s="13" t="s">
        <v>428</v>
      </c>
      <c r="N204" s="13"/>
      <c r="O204" s="13" t="s">
        <v>56</v>
      </c>
      <c r="P204" s="13" t="s">
        <v>71</v>
      </c>
      <c r="Q204" s="13">
        <v>4</v>
      </c>
      <c r="R204" s="13" t="s">
        <v>35</v>
      </c>
      <c r="S204" s="13" t="s">
        <v>35</v>
      </c>
      <c r="T204" s="13" t="s">
        <v>35</v>
      </c>
      <c r="U204" s="13" t="s">
        <v>35</v>
      </c>
      <c r="V204" s="13"/>
      <c r="W204" s="13"/>
      <c r="X204" s="13" t="s">
        <v>81</v>
      </c>
      <c r="Y204" s="13" t="s">
        <v>54</v>
      </c>
      <c r="Z204" s="13"/>
      <c r="AA204" s="13"/>
      <c r="AB204" s="13" t="s">
        <v>37</v>
      </c>
    </row>
    <row r="205" spans="1:28" hidden="1" x14ac:dyDescent="0.25">
      <c r="A205" s="7" t="str">
        <f>IFERROR(VLOOKUP(H205,'Contas Orç'!A:B,2,0),"N/A")</f>
        <v>DESPESAS GERAIS</v>
      </c>
      <c r="B205" s="7" t="str">
        <f t="shared" si="6"/>
        <v>330409 - DESPESAS GERAIS</v>
      </c>
      <c r="C205" s="25">
        <f t="shared" si="7"/>
        <v>44866</v>
      </c>
      <c r="D205" s="27">
        <f>IF(K205="CREDITO",Q205,Q205*-1)</f>
        <v>125</v>
      </c>
      <c r="E205" s="13" t="s">
        <v>429</v>
      </c>
      <c r="F205" s="13" t="s">
        <v>25</v>
      </c>
      <c r="G205" s="14">
        <v>44883</v>
      </c>
      <c r="H205" s="13" t="s">
        <v>160</v>
      </c>
      <c r="I205" s="13" t="s">
        <v>81</v>
      </c>
      <c r="J205" s="13" t="s">
        <v>54</v>
      </c>
      <c r="K205" s="13" t="s">
        <v>29</v>
      </c>
      <c r="L205" s="13" t="s">
        <v>30</v>
      </c>
      <c r="M205" s="13" t="s">
        <v>430</v>
      </c>
      <c r="N205" s="13"/>
      <c r="O205" s="13" t="s">
        <v>56</v>
      </c>
      <c r="P205" s="13" t="s">
        <v>71</v>
      </c>
      <c r="Q205" s="13">
        <v>125</v>
      </c>
      <c r="R205" s="13" t="s">
        <v>35</v>
      </c>
      <c r="S205" s="13" t="s">
        <v>35</v>
      </c>
      <c r="T205" s="13" t="s">
        <v>35</v>
      </c>
      <c r="U205" s="13" t="s">
        <v>35</v>
      </c>
      <c r="V205" s="13"/>
      <c r="W205" s="13"/>
      <c r="X205" s="13" t="s">
        <v>81</v>
      </c>
      <c r="Y205" s="13" t="s">
        <v>54</v>
      </c>
      <c r="Z205" s="13"/>
      <c r="AA205" s="13"/>
      <c r="AB205" s="13" t="s">
        <v>37</v>
      </c>
    </row>
    <row r="206" spans="1:28" hidden="1" x14ac:dyDescent="0.25">
      <c r="A206" s="7" t="str">
        <f>IFERROR(VLOOKUP(H206,'Contas Orç'!A:B,2,0),"N/A")</f>
        <v>DESPESAS GERAIS</v>
      </c>
      <c r="B206" s="7" t="str">
        <f t="shared" si="6"/>
        <v>330409 - DESPESAS GERAIS</v>
      </c>
      <c r="C206" s="25">
        <f t="shared" si="7"/>
        <v>44866</v>
      </c>
      <c r="D206" s="27">
        <f>IF(K206="CREDITO",Q206,Q206*-1)</f>
        <v>204</v>
      </c>
      <c r="E206" s="13" t="s">
        <v>429</v>
      </c>
      <c r="F206" s="13" t="s">
        <v>38</v>
      </c>
      <c r="G206" s="14">
        <v>44883</v>
      </c>
      <c r="H206" s="13" t="s">
        <v>160</v>
      </c>
      <c r="I206" s="13" t="s">
        <v>81</v>
      </c>
      <c r="J206" s="13" t="s">
        <v>54</v>
      </c>
      <c r="K206" s="13" t="s">
        <v>29</v>
      </c>
      <c r="L206" s="13" t="s">
        <v>30</v>
      </c>
      <c r="M206" s="13" t="s">
        <v>432</v>
      </c>
      <c r="N206" s="13"/>
      <c r="O206" s="13" t="s">
        <v>56</v>
      </c>
      <c r="P206" s="13" t="s">
        <v>71</v>
      </c>
      <c r="Q206" s="13">
        <v>204</v>
      </c>
      <c r="R206" s="13" t="s">
        <v>35</v>
      </c>
      <c r="S206" s="13" t="s">
        <v>35</v>
      </c>
      <c r="T206" s="13" t="s">
        <v>35</v>
      </c>
      <c r="U206" s="13" t="s">
        <v>35</v>
      </c>
      <c r="V206" s="13"/>
      <c r="W206" s="13"/>
      <c r="X206" s="13" t="s">
        <v>81</v>
      </c>
      <c r="Y206" s="13" t="s">
        <v>54</v>
      </c>
      <c r="Z206" s="13"/>
      <c r="AA206" s="13"/>
      <c r="AB206" s="13" t="s">
        <v>37</v>
      </c>
    </row>
    <row r="207" spans="1:28" hidden="1" x14ac:dyDescent="0.25">
      <c r="A207" s="7" t="str">
        <f>IFERROR(VLOOKUP(H207,'Contas Orç'!A:B,2,0),"N/A")</f>
        <v>DESPESAS GERAIS</v>
      </c>
      <c r="B207" s="7" t="str">
        <f t="shared" si="6"/>
        <v>330409 - DESPESAS GERAIS</v>
      </c>
      <c r="C207" s="25">
        <f t="shared" si="7"/>
        <v>44866</v>
      </c>
      <c r="D207" s="27">
        <f>IF(K207="CREDITO",Q207,Q207*-1)</f>
        <v>15</v>
      </c>
      <c r="E207" s="13" t="s">
        <v>429</v>
      </c>
      <c r="F207" s="13" t="s">
        <v>48</v>
      </c>
      <c r="G207" s="14">
        <v>44883</v>
      </c>
      <c r="H207" s="13" t="s">
        <v>160</v>
      </c>
      <c r="I207" s="13" t="s">
        <v>81</v>
      </c>
      <c r="J207" s="13" t="s">
        <v>54</v>
      </c>
      <c r="K207" s="13" t="s">
        <v>29</v>
      </c>
      <c r="L207" s="13" t="s">
        <v>30</v>
      </c>
      <c r="M207" s="13" t="s">
        <v>434</v>
      </c>
      <c r="N207" s="13"/>
      <c r="O207" s="13" t="s">
        <v>56</v>
      </c>
      <c r="P207" s="13" t="s">
        <v>71</v>
      </c>
      <c r="Q207" s="13">
        <v>15</v>
      </c>
      <c r="R207" s="13" t="s">
        <v>35</v>
      </c>
      <c r="S207" s="13" t="s">
        <v>35</v>
      </c>
      <c r="T207" s="13" t="s">
        <v>35</v>
      </c>
      <c r="U207" s="13" t="s">
        <v>35</v>
      </c>
      <c r="V207" s="13"/>
      <c r="W207" s="13"/>
      <c r="X207" s="13" t="s">
        <v>81</v>
      </c>
      <c r="Y207" s="13" t="s">
        <v>54</v>
      </c>
      <c r="Z207" s="13"/>
      <c r="AA207" s="13"/>
      <c r="AB207" s="13" t="s">
        <v>37</v>
      </c>
    </row>
    <row r="208" spans="1:28" hidden="1" x14ac:dyDescent="0.25">
      <c r="A208" s="7" t="str">
        <f>IFERROR(VLOOKUP(H208,'Contas Orç'!A:B,2,0),"N/A")</f>
        <v>DESPESAS GERAIS</v>
      </c>
      <c r="B208" s="7" t="str">
        <f t="shared" si="6"/>
        <v>330409 - DESPESAS GERAIS</v>
      </c>
      <c r="C208" s="25">
        <f t="shared" si="7"/>
        <v>44866</v>
      </c>
      <c r="D208" s="27">
        <f>IF(K208="CREDITO",Q208,Q208*-1)</f>
        <v>72</v>
      </c>
      <c r="E208" s="13" t="s">
        <v>429</v>
      </c>
      <c r="F208" s="13" t="s">
        <v>50</v>
      </c>
      <c r="G208" s="14">
        <v>44883</v>
      </c>
      <c r="H208" s="13" t="s">
        <v>160</v>
      </c>
      <c r="I208" s="13" t="s">
        <v>81</v>
      </c>
      <c r="J208" s="13" t="s">
        <v>54</v>
      </c>
      <c r="K208" s="13" t="s">
        <v>29</v>
      </c>
      <c r="L208" s="13" t="s">
        <v>30</v>
      </c>
      <c r="M208" s="13" t="s">
        <v>435</v>
      </c>
      <c r="N208" s="13"/>
      <c r="O208" s="13" t="s">
        <v>56</v>
      </c>
      <c r="P208" s="13" t="s">
        <v>71</v>
      </c>
      <c r="Q208" s="13">
        <v>72</v>
      </c>
      <c r="R208" s="13" t="s">
        <v>35</v>
      </c>
      <c r="S208" s="13" t="s">
        <v>35</v>
      </c>
      <c r="T208" s="13" t="s">
        <v>35</v>
      </c>
      <c r="U208" s="13" t="s">
        <v>35</v>
      </c>
      <c r="V208" s="13"/>
      <c r="W208" s="13"/>
      <c r="X208" s="13" t="s">
        <v>81</v>
      </c>
      <c r="Y208" s="13" t="s">
        <v>54</v>
      </c>
      <c r="Z208" s="13"/>
      <c r="AA208" s="13"/>
      <c r="AB208" s="13" t="s">
        <v>37</v>
      </c>
    </row>
    <row r="209" spans="1:28" hidden="1" x14ac:dyDescent="0.25">
      <c r="A209" s="7" t="str">
        <f>IFERROR(VLOOKUP(H209,'Contas Orç'!A:B,2,0),"N/A")</f>
        <v>DESPESAS GERAIS</v>
      </c>
      <c r="B209" s="7" t="str">
        <f t="shared" si="6"/>
        <v>330409 - DESPESAS GERAIS</v>
      </c>
      <c r="C209" s="25">
        <f t="shared" si="7"/>
        <v>44866</v>
      </c>
      <c r="D209" s="27">
        <f>IF(K209="CREDITO",Q209,Q209*-1)</f>
        <v>164</v>
      </c>
      <c r="E209" s="13" t="s">
        <v>429</v>
      </c>
      <c r="F209" s="13" t="s">
        <v>87</v>
      </c>
      <c r="G209" s="14">
        <v>44883</v>
      </c>
      <c r="H209" s="13" t="s">
        <v>160</v>
      </c>
      <c r="I209" s="13" t="s">
        <v>81</v>
      </c>
      <c r="J209" s="13" t="s">
        <v>54</v>
      </c>
      <c r="K209" s="13" t="s">
        <v>29</v>
      </c>
      <c r="L209" s="13" t="s">
        <v>30</v>
      </c>
      <c r="M209" s="13" t="s">
        <v>437</v>
      </c>
      <c r="N209" s="13"/>
      <c r="O209" s="13" t="s">
        <v>56</v>
      </c>
      <c r="P209" s="13" t="s">
        <v>71</v>
      </c>
      <c r="Q209" s="13">
        <v>164</v>
      </c>
      <c r="R209" s="13" t="s">
        <v>35</v>
      </c>
      <c r="S209" s="13" t="s">
        <v>35</v>
      </c>
      <c r="T209" s="13" t="s">
        <v>35</v>
      </c>
      <c r="U209" s="13" t="s">
        <v>35</v>
      </c>
      <c r="V209" s="13"/>
      <c r="W209" s="13"/>
      <c r="X209" s="13" t="s">
        <v>81</v>
      </c>
      <c r="Y209" s="13" t="s">
        <v>54</v>
      </c>
      <c r="Z209" s="13"/>
      <c r="AA209" s="13"/>
      <c r="AB209" s="13" t="s">
        <v>37</v>
      </c>
    </row>
    <row r="210" spans="1:28" hidden="1" x14ac:dyDescent="0.25">
      <c r="A210" s="7" t="str">
        <f>IFERROR(VLOOKUP(H210,'Contas Orç'!A:B,2,0),"N/A")</f>
        <v>DESPESAS GERAIS</v>
      </c>
      <c r="B210" s="7" t="str">
        <f t="shared" si="6"/>
        <v>330409 - DESPESAS GERAIS</v>
      </c>
      <c r="C210" s="25">
        <f t="shared" si="7"/>
        <v>44866</v>
      </c>
      <c r="D210" s="27">
        <f>IF(K210="CREDITO",Q210,Q210*-1)</f>
        <v>140</v>
      </c>
      <c r="E210" s="13" t="s">
        <v>429</v>
      </c>
      <c r="F210" s="13" t="s">
        <v>91</v>
      </c>
      <c r="G210" s="14">
        <v>44883</v>
      </c>
      <c r="H210" s="13" t="s">
        <v>160</v>
      </c>
      <c r="I210" s="13" t="s">
        <v>81</v>
      </c>
      <c r="J210" s="13" t="s">
        <v>54</v>
      </c>
      <c r="K210" s="13" t="s">
        <v>29</v>
      </c>
      <c r="L210" s="13" t="s">
        <v>30</v>
      </c>
      <c r="M210" s="13" t="s">
        <v>439</v>
      </c>
      <c r="N210" s="13"/>
      <c r="O210" s="13" t="s">
        <v>56</v>
      </c>
      <c r="P210" s="13" t="s">
        <v>71</v>
      </c>
      <c r="Q210" s="13">
        <v>140</v>
      </c>
      <c r="R210" s="13" t="s">
        <v>35</v>
      </c>
      <c r="S210" s="13" t="s">
        <v>35</v>
      </c>
      <c r="T210" s="13" t="s">
        <v>35</v>
      </c>
      <c r="U210" s="13" t="s">
        <v>35</v>
      </c>
      <c r="V210" s="13"/>
      <c r="W210" s="13"/>
      <c r="X210" s="13" t="s">
        <v>81</v>
      </c>
      <c r="Y210" s="13" t="s">
        <v>54</v>
      </c>
      <c r="Z210" s="13"/>
      <c r="AA210" s="13"/>
      <c r="AB210" s="13" t="s">
        <v>37</v>
      </c>
    </row>
    <row r="211" spans="1:28" hidden="1" x14ac:dyDescent="0.25">
      <c r="A211" s="7" t="str">
        <f>IFERROR(VLOOKUP(H211,'Contas Orç'!A:B,2,0),"N/A")</f>
        <v>DESPESAS GERAIS</v>
      </c>
      <c r="B211" s="7" t="str">
        <f t="shared" si="6"/>
        <v>330409 - DESPESAS GERAIS</v>
      </c>
      <c r="C211" s="25">
        <f t="shared" si="7"/>
        <v>44866</v>
      </c>
      <c r="D211" s="27">
        <f>IF(K211="CREDITO",Q211,Q211*-1)</f>
        <v>254</v>
      </c>
      <c r="E211" s="13" t="s">
        <v>441</v>
      </c>
      <c r="F211" s="13" t="s">
        <v>25</v>
      </c>
      <c r="G211" s="14">
        <v>44883</v>
      </c>
      <c r="H211" s="13" t="s">
        <v>160</v>
      </c>
      <c r="I211" s="13" t="s">
        <v>81</v>
      </c>
      <c r="J211" s="13" t="s">
        <v>54</v>
      </c>
      <c r="K211" s="13" t="s">
        <v>29</v>
      </c>
      <c r="L211" s="13" t="s">
        <v>30</v>
      </c>
      <c r="M211" s="13" t="s">
        <v>442</v>
      </c>
      <c r="N211" s="13"/>
      <c r="O211" s="13" t="s">
        <v>56</v>
      </c>
      <c r="P211" s="13" t="s">
        <v>71</v>
      </c>
      <c r="Q211" s="13">
        <v>254</v>
      </c>
      <c r="R211" s="13" t="s">
        <v>35</v>
      </c>
      <c r="S211" s="13" t="s">
        <v>35</v>
      </c>
      <c r="T211" s="13" t="s">
        <v>35</v>
      </c>
      <c r="U211" s="13" t="s">
        <v>35</v>
      </c>
      <c r="V211" s="13"/>
      <c r="W211" s="13"/>
      <c r="X211" s="13" t="s">
        <v>81</v>
      </c>
      <c r="Y211" s="13" t="s">
        <v>54</v>
      </c>
      <c r="Z211" s="13"/>
      <c r="AA211" s="13"/>
      <c r="AB211" s="13" t="s">
        <v>37</v>
      </c>
    </row>
    <row r="212" spans="1:28" hidden="1" x14ac:dyDescent="0.25">
      <c r="A212" s="7" t="str">
        <f>IFERROR(VLOOKUP(H212,'Contas Orç'!A:B,2,0),"N/A")</f>
        <v>DESPESAS GERAIS</v>
      </c>
      <c r="B212" s="7" t="str">
        <f t="shared" si="6"/>
        <v>330409 - DESPESAS GERAIS</v>
      </c>
      <c r="C212" s="25">
        <f t="shared" si="7"/>
        <v>44866</v>
      </c>
      <c r="D212" s="27">
        <f>IF(K212="CREDITO",Q212,Q212*-1)</f>
        <v>5</v>
      </c>
      <c r="E212" s="13" t="s">
        <v>443</v>
      </c>
      <c r="F212" s="13" t="s">
        <v>25</v>
      </c>
      <c r="G212" s="14">
        <v>44883</v>
      </c>
      <c r="H212" s="13" t="s">
        <v>160</v>
      </c>
      <c r="I212" s="13" t="s">
        <v>81</v>
      </c>
      <c r="J212" s="13" t="s">
        <v>54</v>
      </c>
      <c r="K212" s="13" t="s">
        <v>29</v>
      </c>
      <c r="L212" s="13" t="s">
        <v>30</v>
      </c>
      <c r="M212" s="13" t="s">
        <v>444</v>
      </c>
      <c r="N212" s="13"/>
      <c r="O212" s="13" t="s">
        <v>56</v>
      </c>
      <c r="P212" s="13" t="s">
        <v>71</v>
      </c>
      <c r="Q212" s="13">
        <v>5</v>
      </c>
      <c r="R212" s="13" t="s">
        <v>35</v>
      </c>
      <c r="S212" s="13" t="s">
        <v>35</v>
      </c>
      <c r="T212" s="13" t="s">
        <v>35</v>
      </c>
      <c r="U212" s="13" t="s">
        <v>35</v>
      </c>
      <c r="V212" s="13"/>
      <c r="W212" s="13"/>
      <c r="X212" s="13" t="s">
        <v>81</v>
      </c>
      <c r="Y212" s="13" t="s">
        <v>54</v>
      </c>
      <c r="Z212" s="13"/>
      <c r="AA212" s="13"/>
      <c r="AB212" s="13" t="s">
        <v>37</v>
      </c>
    </row>
    <row r="213" spans="1:28" hidden="1" x14ac:dyDescent="0.25">
      <c r="A213" s="7" t="str">
        <f>IFERROR(VLOOKUP(H213,'Contas Orç'!A:B,2,0),"N/A")</f>
        <v>DESPESAS GERAIS</v>
      </c>
      <c r="B213" s="7" t="str">
        <f t="shared" si="6"/>
        <v>330409 - DESPESAS GERAIS</v>
      </c>
      <c r="C213" s="25">
        <f t="shared" si="7"/>
        <v>44866</v>
      </c>
      <c r="D213" s="27">
        <f>IF(K213="CREDITO",Q213,Q213*-1)</f>
        <v>12</v>
      </c>
      <c r="E213" s="13" t="s">
        <v>443</v>
      </c>
      <c r="F213" s="13" t="s">
        <v>38</v>
      </c>
      <c r="G213" s="14">
        <v>44883</v>
      </c>
      <c r="H213" s="13" t="s">
        <v>160</v>
      </c>
      <c r="I213" s="13" t="s">
        <v>81</v>
      </c>
      <c r="J213" s="13" t="s">
        <v>54</v>
      </c>
      <c r="K213" s="13" t="s">
        <v>29</v>
      </c>
      <c r="L213" s="13" t="s">
        <v>30</v>
      </c>
      <c r="M213" s="13" t="s">
        <v>445</v>
      </c>
      <c r="N213" s="13"/>
      <c r="O213" s="13" t="s">
        <v>56</v>
      </c>
      <c r="P213" s="13" t="s">
        <v>71</v>
      </c>
      <c r="Q213" s="13">
        <v>12</v>
      </c>
      <c r="R213" s="13" t="s">
        <v>35</v>
      </c>
      <c r="S213" s="13" t="s">
        <v>35</v>
      </c>
      <c r="T213" s="13" t="s">
        <v>35</v>
      </c>
      <c r="U213" s="13" t="s">
        <v>35</v>
      </c>
      <c r="V213" s="13"/>
      <c r="W213" s="13"/>
      <c r="X213" s="13" t="s">
        <v>81</v>
      </c>
      <c r="Y213" s="13" t="s">
        <v>54</v>
      </c>
      <c r="Z213" s="13"/>
      <c r="AA213" s="13"/>
      <c r="AB213" s="13" t="s">
        <v>37</v>
      </c>
    </row>
    <row r="214" spans="1:28" hidden="1" x14ac:dyDescent="0.25">
      <c r="A214" s="7" t="str">
        <f>IFERROR(VLOOKUP(H214,'Contas Orç'!A:B,2,0),"N/A")</f>
        <v>DESPESAS GERAIS</v>
      </c>
      <c r="B214" s="7" t="str">
        <f t="shared" si="6"/>
        <v>330409 - DESPESAS GERAIS</v>
      </c>
      <c r="C214" s="25">
        <f t="shared" si="7"/>
        <v>44866</v>
      </c>
      <c r="D214" s="27">
        <f>IF(K214="CREDITO",Q214,Q214*-1)</f>
        <v>19</v>
      </c>
      <c r="E214" s="13" t="s">
        <v>443</v>
      </c>
      <c r="F214" s="13" t="s">
        <v>48</v>
      </c>
      <c r="G214" s="14">
        <v>44883</v>
      </c>
      <c r="H214" s="13" t="s">
        <v>160</v>
      </c>
      <c r="I214" s="13" t="s">
        <v>81</v>
      </c>
      <c r="J214" s="13" t="s">
        <v>54</v>
      </c>
      <c r="K214" s="13" t="s">
        <v>29</v>
      </c>
      <c r="L214" s="13" t="s">
        <v>30</v>
      </c>
      <c r="M214" s="13" t="s">
        <v>447</v>
      </c>
      <c r="N214" s="13"/>
      <c r="O214" s="13" t="s">
        <v>56</v>
      </c>
      <c r="P214" s="13" t="s">
        <v>71</v>
      </c>
      <c r="Q214" s="13">
        <v>19</v>
      </c>
      <c r="R214" s="13" t="s">
        <v>35</v>
      </c>
      <c r="S214" s="13" t="s">
        <v>35</v>
      </c>
      <c r="T214" s="13" t="s">
        <v>35</v>
      </c>
      <c r="U214" s="13" t="s">
        <v>35</v>
      </c>
      <c r="V214" s="13"/>
      <c r="W214" s="13"/>
      <c r="X214" s="13" t="s">
        <v>81</v>
      </c>
      <c r="Y214" s="13" t="s">
        <v>54</v>
      </c>
      <c r="Z214" s="13"/>
      <c r="AA214" s="13"/>
      <c r="AB214" s="13" t="s">
        <v>37</v>
      </c>
    </row>
    <row r="215" spans="1:28" hidden="1" x14ac:dyDescent="0.25">
      <c r="A215" s="7" t="str">
        <f>IFERROR(VLOOKUP(H215,'Contas Orç'!A:B,2,0),"N/A")</f>
        <v>DESPESAS GERAIS</v>
      </c>
      <c r="B215" s="7" t="str">
        <f t="shared" si="6"/>
        <v>330409 - DESPESAS GERAIS</v>
      </c>
      <c r="C215" s="25">
        <f t="shared" si="7"/>
        <v>44866</v>
      </c>
      <c r="D215" s="27">
        <f>IF(K215="CREDITO",Q215,Q215*-1)</f>
        <v>17</v>
      </c>
      <c r="E215" s="13" t="s">
        <v>443</v>
      </c>
      <c r="F215" s="13" t="s">
        <v>50</v>
      </c>
      <c r="G215" s="14">
        <v>44883</v>
      </c>
      <c r="H215" s="13" t="s">
        <v>160</v>
      </c>
      <c r="I215" s="13" t="s">
        <v>81</v>
      </c>
      <c r="J215" s="13" t="s">
        <v>54</v>
      </c>
      <c r="K215" s="13" t="s">
        <v>29</v>
      </c>
      <c r="L215" s="13" t="s">
        <v>30</v>
      </c>
      <c r="M215" s="13" t="s">
        <v>448</v>
      </c>
      <c r="N215" s="13"/>
      <c r="O215" s="13" t="s">
        <v>56</v>
      </c>
      <c r="P215" s="13" t="s">
        <v>71</v>
      </c>
      <c r="Q215" s="13">
        <v>17</v>
      </c>
      <c r="R215" s="13" t="s">
        <v>35</v>
      </c>
      <c r="S215" s="13" t="s">
        <v>35</v>
      </c>
      <c r="T215" s="13" t="s">
        <v>35</v>
      </c>
      <c r="U215" s="13" t="s">
        <v>35</v>
      </c>
      <c r="V215" s="13"/>
      <c r="W215" s="13"/>
      <c r="X215" s="13" t="s">
        <v>81</v>
      </c>
      <c r="Y215" s="13" t="s">
        <v>54</v>
      </c>
      <c r="Z215" s="13"/>
      <c r="AA215" s="13"/>
      <c r="AB215" s="13" t="s">
        <v>37</v>
      </c>
    </row>
    <row r="216" spans="1:28" hidden="1" x14ac:dyDescent="0.25">
      <c r="A216" s="7" t="str">
        <f>IFERROR(VLOOKUP(H216,'Contas Orç'!A:B,2,0),"N/A")</f>
        <v>DESPESAS GERAIS</v>
      </c>
      <c r="B216" s="7" t="str">
        <f t="shared" si="6"/>
        <v>330409 - DESPESAS GERAIS</v>
      </c>
      <c r="C216" s="25">
        <f t="shared" si="7"/>
        <v>44866</v>
      </c>
      <c r="D216" s="27">
        <f>IF(K216="CREDITO",Q216,Q216*-1)</f>
        <v>60</v>
      </c>
      <c r="E216" s="13" t="s">
        <v>443</v>
      </c>
      <c r="F216" s="13" t="s">
        <v>87</v>
      </c>
      <c r="G216" s="14">
        <v>44883</v>
      </c>
      <c r="H216" s="13" t="s">
        <v>160</v>
      </c>
      <c r="I216" s="13" t="s">
        <v>81</v>
      </c>
      <c r="J216" s="13" t="s">
        <v>54</v>
      </c>
      <c r="K216" s="13" t="s">
        <v>29</v>
      </c>
      <c r="L216" s="13" t="s">
        <v>30</v>
      </c>
      <c r="M216" s="13" t="s">
        <v>450</v>
      </c>
      <c r="N216" s="13"/>
      <c r="O216" s="13" t="s">
        <v>56</v>
      </c>
      <c r="P216" s="13" t="s">
        <v>71</v>
      </c>
      <c r="Q216" s="13">
        <v>60</v>
      </c>
      <c r="R216" s="13" t="s">
        <v>35</v>
      </c>
      <c r="S216" s="13" t="s">
        <v>35</v>
      </c>
      <c r="T216" s="13" t="s">
        <v>35</v>
      </c>
      <c r="U216" s="13" t="s">
        <v>35</v>
      </c>
      <c r="V216" s="13"/>
      <c r="W216" s="13"/>
      <c r="X216" s="13" t="s">
        <v>81</v>
      </c>
      <c r="Y216" s="13" t="s">
        <v>54</v>
      </c>
      <c r="Z216" s="13"/>
      <c r="AA216" s="13"/>
      <c r="AB216" s="13" t="s">
        <v>37</v>
      </c>
    </row>
    <row r="217" spans="1:28" hidden="1" x14ac:dyDescent="0.25">
      <c r="A217" s="7" t="str">
        <f>IFERROR(VLOOKUP(H217,'Contas Orç'!A:B,2,0),"N/A")</f>
        <v>DESPESAS GERAIS</v>
      </c>
      <c r="B217" s="7" t="str">
        <f t="shared" si="6"/>
        <v>330409 - DESPESAS GERAIS</v>
      </c>
      <c r="C217" s="25">
        <f t="shared" si="7"/>
        <v>44866</v>
      </c>
      <c r="D217" s="27">
        <f>IF(K217="CREDITO",Q217,Q217*-1)</f>
        <v>8</v>
      </c>
      <c r="E217" s="13" t="s">
        <v>451</v>
      </c>
      <c r="F217" s="13" t="s">
        <v>25</v>
      </c>
      <c r="G217" s="14">
        <v>44883</v>
      </c>
      <c r="H217" s="13" t="s">
        <v>160</v>
      </c>
      <c r="I217" s="13" t="s">
        <v>81</v>
      </c>
      <c r="J217" s="13" t="s">
        <v>54</v>
      </c>
      <c r="K217" s="13" t="s">
        <v>29</v>
      </c>
      <c r="L217" s="13" t="s">
        <v>30</v>
      </c>
      <c r="M217" s="13" t="s">
        <v>452</v>
      </c>
      <c r="N217" s="13"/>
      <c r="O217" s="13" t="s">
        <v>56</v>
      </c>
      <c r="P217" s="13" t="s">
        <v>71</v>
      </c>
      <c r="Q217" s="13">
        <v>8</v>
      </c>
      <c r="R217" s="13" t="s">
        <v>35</v>
      </c>
      <c r="S217" s="13" t="s">
        <v>35</v>
      </c>
      <c r="T217" s="13" t="s">
        <v>35</v>
      </c>
      <c r="U217" s="13" t="s">
        <v>35</v>
      </c>
      <c r="V217" s="13"/>
      <c r="W217" s="13"/>
      <c r="X217" s="13" t="s">
        <v>81</v>
      </c>
      <c r="Y217" s="13" t="s">
        <v>54</v>
      </c>
      <c r="Z217" s="13"/>
      <c r="AA217" s="13"/>
      <c r="AB217" s="13" t="s">
        <v>37</v>
      </c>
    </row>
    <row r="218" spans="1:28" hidden="1" x14ac:dyDescent="0.25">
      <c r="A218" s="7" t="str">
        <f>IFERROR(VLOOKUP(H218,'Contas Orç'!A:B,2,0),"N/A")</f>
        <v>DESPESAS GERAIS</v>
      </c>
      <c r="B218" s="7" t="str">
        <f t="shared" si="6"/>
        <v>330409 - DESPESAS GERAIS</v>
      </c>
      <c r="C218" s="25">
        <f t="shared" si="7"/>
        <v>44866</v>
      </c>
      <c r="D218" s="27">
        <f>IF(K218="CREDITO",Q218,Q218*-1)</f>
        <v>36</v>
      </c>
      <c r="E218" s="13" t="s">
        <v>453</v>
      </c>
      <c r="F218" s="13" t="s">
        <v>25</v>
      </c>
      <c r="G218" s="14">
        <v>44883</v>
      </c>
      <c r="H218" s="13" t="s">
        <v>160</v>
      </c>
      <c r="I218" s="13" t="s">
        <v>81</v>
      </c>
      <c r="J218" s="13" t="s">
        <v>54</v>
      </c>
      <c r="K218" s="13" t="s">
        <v>29</v>
      </c>
      <c r="L218" s="13" t="s">
        <v>30</v>
      </c>
      <c r="M218" s="13" t="s">
        <v>454</v>
      </c>
      <c r="N218" s="13"/>
      <c r="O218" s="13" t="s">
        <v>56</v>
      </c>
      <c r="P218" s="13" t="s">
        <v>71</v>
      </c>
      <c r="Q218" s="13">
        <v>36</v>
      </c>
      <c r="R218" s="13" t="s">
        <v>35</v>
      </c>
      <c r="S218" s="13" t="s">
        <v>35</v>
      </c>
      <c r="T218" s="13" t="s">
        <v>35</v>
      </c>
      <c r="U218" s="13" t="s">
        <v>35</v>
      </c>
      <c r="V218" s="13"/>
      <c r="W218" s="13"/>
      <c r="X218" s="13" t="s">
        <v>81</v>
      </c>
      <c r="Y218" s="13" t="s">
        <v>54</v>
      </c>
      <c r="Z218" s="13"/>
      <c r="AA218" s="13"/>
      <c r="AB218" s="13" t="s">
        <v>37</v>
      </c>
    </row>
    <row r="219" spans="1:28" hidden="1" x14ac:dyDescent="0.25">
      <c r="A219" s="7" t="str">
        <f>IFERROR(VLOOKUP(H219,'Contas Orç'!A:B,2,0),"N/A")</f>
        <v>TARIFAS PORTUµRIAS</v>
      </c>
      <c r="B219" s="7" t="str">
        <f t="shared" si="6"/>
        <v>320601002 - TARIFAS PORTUµRIAS</v>
      </c>
      <c r="C219" s="25">
        <f t="shared" si="7"/>
        <v>44866</v>
      </c>
      <c r="D219" s="27">
        <f>IF(K219="CREDITO",Q219,Q219*-1)</f>
        <v>210</v>
      </c>
      <c r="E219" s="13" t="s">
        <v>456</v>
      </c>
      <c r="F219" s="13" t="s">
        <v>25</v>
      </c>
      <c r="G219" s="14">
        <v>44883</v>
      </c>
      <c r="H219" s="13" t="s">
        <v>299</v>
      </c>
      <c r="I219" s="13" t="s">
        <v>59</v>
      </c>
      <c r="J219" s="13" t="s">
        <v>107</v>
      </c>
      <c r="K219" s="13" t="s">
        <v>29</v>
      </c>
      <c r="L219" s="13" t="s">
        <v>43</v>
      </c>
      <c r="M219" s="13" t="s">
        <v>457</v>
      </c>
      <c r="N219" s="13"/>
      <c r="O219" s="13" t="s">
        <v>45</v>
      </c>
      <c r="P219" s="13" t="s">
        <v>261</v>
      </c>
      <c r="Q219" s="13">
        <v>210</v>
      </c>
      <c r="R219" s="13" t="s">
        <v>35</v>
      </c>
      <c r="S219" s="13" t="s">
        <v>35</v>
      </c>
      <c r="T219" s="13" t="s">
        <v>35</v>
      </c>
      <c r="U219" s="13" t="s">
        <v>35</v>
      </c>
      <c r="V219" s="13"/>
      <c r="W219" s="13"/>
      <c r="X219" s="13" t="s">
        <v>59</v>
      </c>
      <c r="Y219" s="13" t="s">
        <v>107</v>
      </c>
      <c r="Z219" s="13"/>
      <c r="AA219" s="13"/>
      <c r="AB219" s="13" t="s">
        <v>37</v>
      </c>
    </row>
    <row r="220" spans="1:28" hidden="1" x14ac:dyDescent="0.25">
      <c r="A220" s="7" t="str">
        <f>IFERROR(VLOOKUP(H220,'Contas Orç'!A:B,2,0),"N/A")</f>
        <v>TARIFAS PORTUµRIAS</v>
      </c>
      <c r="B220" s="7" t="str">
        <f t="shared" si="6"/>
        <v>320601002 - TARIFAS PORTUµRIAS</v>
      </c>
      <c r="C220" s="25">
        <f t="shared" si="7"/>
        <v>44866</v>
      </c>
      <c r="D220" s="27">
        <f>IF(K220="CREDITO",Q220,Q220*-1)</f>
        <v>-210</v>
      </c>
      <c r="E220" s="13" t="s">
        <v>456</v>
      </c>
      <c r="F220" s="13" t="s">
        <v>38</v>
      </c>
      <c r="G220" s="14">
        <v>44883</v>
      </c>
      <c r="H220" s="13" t="s">
        <v>299</v>
      </c>
      <c r="I220" s="13" t="s">
        <v>59</v>
      </c>
      <c r="J220" s="13" t="s">
        <v>107</v>
      </c>
      <c r="K220" s="13" t="s">
        <v>46</v>
      </c>
      <c r="L220" s="13" t="s">
        <v>30</v>
      </c>
      <c r="M220" s="13" t="s">
        <v>304</v>
      </c>
      <c r="N220" s="13"/>
      <c r="O220" s="13" t="s">
        <v>45</v>
      </c>
      <c r="P220" s="13" t="s">
        <v>261</v>
      </c>
      <c r="Q220" s="13">
        <v>210</v>
      </c>
      <c r="R220" s="13" t="s">
        <v>35</v>
      </c>
      <c r="S220" s="13" t="s">
        <v>35</v>
      </c>
      <c r="T220" s="13" t="s">
        <v>35</v>
      </c>
      <c r="U220" s="13" t="s">
        <v>35</v>
      </c>
      <c r="V220" s="13"/>
      <c r="W220" s="13"/>
      <c r="X220" s="13" t="s">
        <v>59</v>
      </c>
      <c r="Y220" s="13" t="s">
        <v>107</v>
      </c>
      <c r="Z220" s="13"/>
      <c r="AA220" s="13"/>
      <c r="AB220" s="13" t="s">
        <v>37</v>
      </c>
    </row>
    <row r="221" spans="1:28" hidden="1" x14ac:dyDescent="0.25">
      <c r="A221" s="7" t="str">
        <f>IFERROR(VLOOKUP(H221,'Contas Orç'!A:B,2,0),"N/A")</f>
        <v>TARIFAS PORTUµRIAS</v>
      </c>
      <c r="B221" s="7" t="str">
        <f t="shared" si="6"/>
        <v>320601002 - TARIFAS PORTUµRIAS</v>
      </c>
      <c r="C221" s="25">
        <f t="shared" si="7"/>
        <v>44866</v>
      </c>
      <c r="D221" s="27">
        <f>IF(K221="CREDITO",Q221,Q221*-1)</f>
        <v>80230</v>
      </c>
      <c r="E221" s="13" t="s">
        <v>458</v>
      </c>
      <c r="F221" s="13" t="s">
        <v>25</v>
      </c>
      <c r="G221" s="14">
        <v>44883</v>
      </c>
      <c r="H221" s="13" t="s">
        <v>299</v>
      </c>
      <c r="I221" s="13" t="s">
        <v>59</v>
      </c>
      <c r="J221" s="13" t="s">
        <v>60</v>
      </c>
      <c r="K221" s="13" t="s">
        <v>29</v>
      </c>
      <c r="L221" s="13" t="s">
        <v>43</v>
      </c>
      <c r="M221" s="13" t="s">
        <v>459</v>
      </c>
      <c r="N221" s="13"/>
      <c r="O221" s="13" t="s">
        <v>45</v>
      </c>
      <c r="P221" s="13" t="s">
        <v>261</v>
      </c>
      <c r="Q221" s="23">
        <v>80230</v>
      </c>
      <c r="R221" s="13" t="s">
        <v>35</v>
      </c>
      <c r="S221" s="13" t="s">
        <v>35</v>
      </c>
      <c r="T221" s="13" t="s">
        <v>35</v>
      </c>
      <c r="U221" s="13" t="s">
        <v>35</v>
      </c>
      <c r="V221" s="13"/>
      <c r="W221" s="13"/>
      <c r="X221" s="13" t="s">
        <v>59</v>
      </c>
      <c r="Y221" s="13" t="s">
        <v>60</v>
      </c>
      <c r="Z221" s="13"/>
      <c r="AA221" s="13"/>
      <c r="AB221" s="13" t="s">
        <v>37</v>
      </c>
    </row>
    <row r="222" spans="1:28" hidden="1" x14ac:dyDescent="0.25">
      <c r="A222" s="7" t="str">
        <f>IFERROR(VLOOKUP(H222,'Contas Orç'!A:B,2,0),"N/A")</f>
        <v>TARIFAS PORTUµRIAS</v>
      </c>
      <c r="B222" s="7" t="str">
        <f t="shared" si="6"/>
        <v>320601002 - TARIFAS PORTUµRIAS</v>
      </c>
      <c r="C222" s="25">
        <f t="shared" si="7"/>
        <v>44866</v>
      </c>
      <c r="D222" s="27">
        <f>IF(K222="CREDITO",Q222,Q222*-1)</f>
        <v>-80230</v>
      </c>
      <c r="E222" s="13" t="s">
        <v>458</v>
      </c>
      <c r="F222" s="13" t="s">
        <v>38</v>
      </c>
      <c r="G222" s="14">
        <v>44883</v>
      </c>
      <c r="H222" s="13" t="s">
        <v>299</v>
      </c>
      <c r="I222" s="13" t="s">
        <v>59</v>
      </c>
      <c r="J222" s="13" t="s">
        <v>60</v>
      </c>
      <c r="K222" s="13" t="s">
        <v>46</v>
      </c>
      <c r="L222" s="13" t="s">
        <v>30</v>
      </c>
      <c r="M222" s="13" t="s">
        <v>300</v>
      </c>
      <c r="N222" s="13"/>
      <c r="O222" s="13" t="s">
        <v>45</v>
      </c>
      <c r="P222" s="13" t="s">
        <v>261</v>
      </c>
      <c r="Q222" s="23">
        <v>80230</v>
      </c>
      <c r="R222" s="13" t="s">
        <v>35</v>
      </c>
      <c r="S222" s="13" t="s">
        <v>35</v>
      </c>
      <c r="T222" s="13" t="s">
        <v>35</v>
      </c>
      <c r="U222" s="13" t="s">
        <v>35</v>
      </c>
      <c r="V222" s="13"/>
      <c r="W222" s="13"/>
      <c r="X222" s="13" t="s">
        <v>59</v>
      </c>
      <c r="Y222" s="13" t="s">
        <v>60</v>
      </c>
      <c r="Z222" s="13"/>
      <c r="AA222" s="13"/>
      <c r="AB222" s="13" t="s">
        <v>37</v>
      </c>
    </row>
    <row r="223" spans="1:28" hidden="1" x14ac:dyDescent="0.25">
      <c r="A223" s="7" t="str">
        <f>IFERROR(VLOOKUP(H223,'Contas Orç'!A:B,2,0),"N/A")</f>
        <v>TARIFAS PORTUµRIAS</v>
      </c>
      <c r="B223" s="7" t="str">
        <f t="shared" si="6"/>
        <v>320601002 - TARIFAS PORTUµRIAS</v>
      </c>
      <c r="C223" s="25">
        <f t="shared" si="7"/>
        <v>44866</v>
      </c>
      <c r="D223" s="27">
        <f>IF(K223="CREDITO",Q223,Q223*-1)</f>
        <v>8567</v>
      </c>
      <c r="E223" s="13" t="s">
        <v>460</v>
      </c>
      <c r="F223" s="13" t="s">
        <v>25</v>
      </c>
      <c r="G223" s="14">
        <v>44883</v>
      </c>
      <c r="H223" s="13" t="s">
        <v>299</v>
      </c>
      <c r="I223" s="13" t="s">
        <v>59</v>
      </c>
      <c r="J223" s="13" t="s">
        <v>60</v>
      </c>
      <c r="K223" s="13" t="s">
        <v>29</v>
      </c>
      <c r="L223" s="13" t="s">
        <v>43</v>
      </c>
      <c r="M223" s="13" t="s">
        <v>461</v>
      </c>
      <c r="N223" s="13"/>
      <c r="O223" s="13" t="s">
        <v>45</v>
      </c>
      <c r="P223" s="13" t="s">
        <v>261</v>
      </c>
      <c r="Q223" s="23">
        <v>8567</v>
      </c>
      <c r="R223" s="13" t="s">
        <v>35</v>
      </c>
      <c r="S223" s="13" t="s">
        <v>35</v>
      </c>
      <c r="T223" s="13" t="s">
        <v>35</v>
      </c>
      <c r="U223" s="13" t="s">
        <v>35</v>
      </c>
      <c r="V223" s="13"/>
      <c r="W223" s="13"/>
      <c r="X223" s="13" t="s">
        <v>59</v>
      </c>
      <c r="Y223" s="13" t="s">
        <v>60</v>
      </c>
      <c r="Z223" s="13"/>
      <c r="AA223" s="13"/>
      <c r="AB223" s="13" t="s">
        <v>37</v>
      </c>
    </row>
    <row r="224" spans="1:28" hidden="1" x14ac:dyDescent="0.25">
      <c r="A224" s="7" t="str">
        <f>IFERROR(VLOOKUP(H224,'Contas Orç'!A:B,2,0),"N/A")</f>
        <v>TARIFAS PORTUµRIAS</v>
      </c>
      <c r="B224" s="7" t="str">
        <f t="shared" si="6"/>
        <v>320601002 - TARIFAS PORTUµRIAS</v>
      </c>
      <c r="C224" s="25">
        <f t="shared" si="7"/>
        <v>44866</v>
      </c>
      <c r="D224" s="27">
        <f>IF(K224="CREDITO",Q224,Q224*-1)</f>
        <v>-8567</v>
      </c>
      <c r="E224" s="13" t="s">
        <v>460</v>
      </c>
      <c r="F224" s="13" t="s">
        <v>38</v>
      </c>
      <c r="G224" s="14">
        <v>44883</v>
      </c>
      <c r="H224" s="13" t="s">
        <v>299</v>
      </c>
      <c r="I224" s="13" t="s">
        <v>59</v>
      </c>
      <c r="J224" s="13" t="s">
        <v>60</v>
      </c>
      <c r="K224" s="13" t="s">
        <v>46</v>
      </c>
      <c r="L224" s="13" t="s">
        <v>30</v>
      </c>
      <c r="M224" s="13" t="s">
        <v>300</v>
      </c>
      <c r="N224" s="13"/>
      <c r="O224" s="13" t="s">
        <v>45</v>
      </c>
      <c r="P224" s="13" t="s">
        <v>261</v>
      </c>
      <c r="Q224" s="23">
        <v>8567</v>
      </c>
      <c r="R224" s="13" t="s">
        <v>35</v>
      </c>
      <c r="S224" s="13" t="s">
        <v>35</v>
      </c>
      <c r="T224" s="13" t="s">
        <v>35</v>
      </c>
      <c r="U224" s="13" t="s">
        <v>35</v>
      </c>
      <c r="V224" s="13"/>
      <c r="W224" s="13"/>
      <c r="X224" s="13" t="s">
        <v>59</v>
      </c>
      <c r="Y224" s="13" t="s">
        <v>60</v>
      </c>
      <c r="Z224" s="13"/>
      <c r="AA224" s="13"/>
      <c r="AB224" s="13" t="s">
        <v>37</v>
      </c>
    </row>
    <row r="225" spans="1:28" hidden="1" x14ac:dyDescent="0.25">
      <c r="A225" s="7" t="str">
        <f>IFERROR(VLOOKUP(H225,'Contas Orç'!A:B,2,0),"N/A")</f>
        <v>MATERIAIS DIRETOS</v>
      </c>
      <c r="B225" s="7" t="str">
        <f t="shared" si="6"/>
        <v>320601001 - MATERIAIS DIRETOS</v>
      </c>
      <c r="C225" s="25">
        <f t="shared" si="7"/>
        <v>44866</v>
      </c>
      <c r="D225" s="27">
        <f>IF(K225="CREDITO",Q225,Q225*-1)</f>
        <v>22800</v>
      </c>
      <c r="E225" s="13" t="s">
        <v>462</v>
      </c>
      <c r="F225" s="13" t="s">
        <v>25</v>
      </c>
      <c r="G225" s="14">
        <v>44883</v>
      </c>
      <c r="H225" s="13" t="s">
        <v>463</v>
      </c>
      <c r="I225" s="13" t="s">
        <v>59</v>
      </c>
      <c r="J225" s="13" t="s">
        <v>60</v>
      </c>
      <c r="K225" s="13" t="s">
        <v>29</v>
      </c>
      <c r="L225" s="13" t="s">
        <v>30</v>
      </c>
      <c r="M225" s="13" t="s">
        <v>464</v>
      </c>
      <c r="N225" s="13"/>
      <c r="O225" s="13" t="s">
        <v>56</v>
      </c>
      <c r="P225" s="13" t="s">
        <v>71</v>
      </c>
      <c r="Q225" s="23">
        <v>22800</v>
      </c>
      <c r="R225" s="13" t="s">
        <v>35</v>
      </c>
      <c r="S225" s="13" t="s">
        <v>35</v>
      </c>
      <c r="T225" s="13" t="s">
        <v>35</v>
      </c>
      <c r="U225" s="13" t="s">
        <v>35</v>
      </c>
      <c r="V225" s="13"/>
      <c r="W225" s="13"/>
      <c r="X225" s="13" t="s">
        <v>59</v>
      </c>
      <c r="Y225" s="13" t="s">
        <v>60</v>
      </c>
      <c r="Z225" s="13"/>
      <c r="AA225" s="13"/>
      <c r="AB225" s="13" t="s">
        <v>37</v>
      </c>
    </row>
    <row r="226" spans="1:28" hidden="1" x14ac:dyDescent="0.25">
      <c r="A226" s="7" t="str">
        <f>IFERROR(VLOOKUP(H226,'Contas Orç'!A:B,2,0),"N/A")</f>
        <v>MATERIAIS DIRETOS</v>
      </c>
      <c r="B226" s="7" t="str">
        <f t="shared" si="6"/>
        <v>320601001 - MATERIAIS DIRETOS</v>
      </c>
      <c r="C226" s="25">
        <f t="shared" si="7"/>
        <v>44866</v>
      </c>
      <c r="D226" s="27">
        <f>IF(K226="CREDITO",Q226,Q226*-1)</f>
        <v>19950</v>
      </c>
      <c r="E226" s="13" t="s">
        <v>462</v>
      </c>
      <c r="F226" s="13" t="s">
        <v>38</v>
      </c>
      <c r="G226" s="14">
        <v>44883</v>
      </c>
      <c r="H226" s="13" t="s">
        <v>463</v>
      </c>
      <c r="I226" s="13" t="s">
        <v>59</v>
      </c>
      <c r="J226" s="13" t="s">
        <v>60</v>
      </c>
      <c r="K226" s="13" t="s">
        <v>29</v>
      </c>
      <c r="L226" s="13" t="s">
        <v>30</v>
      </c>
      <c r="M226" s="13" t="s">
        <v>466</v>
      </c>
      <c r="N226" s="13"/>
      <c r="O226" s="13" t="s">
        <v>56</v>
      </c>
      <c r="P226" s="13" t="s">
        <v>71</v>
      </c>
      <c r="Q226" s="23">
        <v>19950</v>
      </c>
      <c r="R226" s="13" t="s">
        <v>35</v>
      </c>
      <c r="S226" s="13" t="s">
        <v>35</v>
      </c>
      <c r="T226" s="13" t="s">
        <v>35</v>
      </c>
      <c r="U226" s="13" t="s">
        <v>35</v>
      </c>
      <c r="V226" s="13"/>
      <c r="W226" s="13"/>
      <c r="X226" s="13" t="s">
        <v>59</v>
      </c>
      <c r="Y226" s="13" t="s">
        <v>60</v>
      </c>
      <c r="Z226" s="13"/>
      <c r="AA226" s="13"/>
      <c r="AB226" s="13" t="s">
        <v>37</v>
      </c>
    </row>
    <row r="227" spans="1:28" hidden="1" x14ac:dyDescent="0.25">
      <c r="A227" s="7" t="str">
        <f>IFERROR(VLOOKUP(H227,'Contas Orç'!A:B,2,0),"N/A")</f>
        <v>MATERIAIS DIRETOS</v>
      </c>
      <c r="B227" s="7" t="str">
        <f t="shared" si="6"/>
        <v>320601001 - MATERIAIS DIRETOS</v>
      </c>
      <c r="C227" s="25">
        <f t="shared" si="7"/>
        <v>44866</v>
      </c>
      <c r="D227" s="27">
        <f>IF(K227="CREDITO",Q227,Q227*-1)</f>
        <v>22800</v>
      </c>
      <c r="E227" s="13" t="s">
        <v>468</v>
      </c>
      <c r="F227" s="13" t="s">
        <v>25</v>
      </c>
      <c r="G227" s="14">
        <v>44883</v>
      </c>
      <c r="H227" s="13" t="s">
        <v>463</v>
      </c>
      <c r="I227" s="13" t="s">
        <v>59</v>
      </c>
      <c r="J227" s="13" t="s">
        <v>60</v>
      </c>
      <c r="K227" s="13" t="s">
        <v>29</v>
      </c>
      <c r="L227" s="13" t="s">
        <v>43</v>
      </c>
      <c r="M227" s="13" t="s">
        <v>469</v>
      </c>
      <c r="N227" s="13"/>
      <c r="O227" s="13" t="s">
        <v>45</v>
      </c>
      <c r="P227" s="13" t="s">
        <v>470</v>
      </c>
      <c r="Q227" s="23">
        <v>22800</v>
      </c>
      <c r="R227" s="13" t="s">
        <v>35</v>
      </c>
      <c r="S227" s="13" t="s">
        <v>35</v>
      </c>
      <c r="T227" s="13" t="s">
        <v>35</v>
      </c>
      <c r="U227" s="13" t="s">
        <v>35</v>
      </c>
      <c r="V227" s="13"/>
      <c r="W227" s="13"/>
      <c r="X227" s="13" t="s">
        <v>59</v>
      </c>
      <c r="Y227" s="13" t="s">
        <v>60</v>
      </c>
      <c r="Z227" s="13"/>
      <c r="AA227" s="13"/>
      <c r="AB227" s="13" t="s">
        <v>37</v>
      </c>
    </row>
    <row r="228" spans="1:28" hidden="1" x14ac:dyDescent="0.25">
      <c r="A228" s="7" t="str">
        <f>IFERROR(VLOOKUP(H228,'Contas Orç'!A:B,2,0),"N/A")</f>
        <v>MATERIAIS DIRETOS</v>
      </c>
      <c r="B228" s="7" t="str">
        <f t="shared" si="6"/>
        <v>320601001 - MATERIAIS DIRETOS</v>
      </c>
      <c r="C228" s="25">
        <f t="shared" si="7"/>
        <v>44866</v>
      </c>
      <c r="D228" s="27">
        <f>IF(K228="CREDITO",Q228,Q228*-1)</f>
        <v>-22800</v>
      </c>
      <c r="E228" s="13" t="s">
        <v>468</v>
      </c>
      <c r="F228" s="13" t="s">
        <v>38</v>
      </c>
      <c r="G228" s="14">
        <v>44883</v>
      </c>
      <c r="H228" s="13" t="s">
        <v>463</v>
      </c>
      <c r="I228" s="13" t="s">
        <v>59</v>
      </c>
      <c r="J228" s="13" t="s">
        <v>60</v>
      </c>
      <c r="K228" s="13" t="s">
        <v>46</v>
      </c>
      <c r="L228" s="13" t="s">
        <v>30</v>
      </c>
      <c r="M228" s="13" t="s">
        <v>464</v>
      </c>
      <c r="N228" s="13"/>
      <c r="O228" s="13" t="s">
        <v>45</v>
      </c>
      <c r="P228" s="13" t="s">
        <v>470</v>
      </c>
      <c r="Q228" s="23">
        <v>22800</v>
      </c>
      <c r="R228" s="13" t="s">
        <v>35</v>
      </c>
      <c r="S228" s="13" t="s">
        <v>35</v>
      </c>
      <c r="T228" s="13" t="s">
        <v>35</v>
      </c>
      <c r="U228" s="13" t="s">
        <v>35</v>
      </c>
      <c r="V228" s="13"/>
      <c r="W228" s="13"/>
      <c r="X228" s="13" t="s">
        <v>59</v>
      </c>
      <c r="Y228" s="13" t="s">
        <v>60</v>
      </c>
      <c r="Z228" s="13"/>
      <c r="AA228" s="13"/>
      <c r="AB228" s="13" t="s">
        <v>37</v>
      </c>
    </row>
    <row r="229" spans="1:28" hidden="1" x14ac:dyDescent="0.25">
      <c r="A229" s="7" t="str">
        <f>IFERROR(VLOOKUP(H229,'Contas Orç'!A:B,2,0),"N/A")</f>
        <v>MATERIAIS DIRETOS</v>
      </c>
      <c r="B229" s="7" t="str">
        <f t="shared" si="6"/>
        <v>320601001 - MATERIAIS DIRETOS</v>
      </c>
      <c r="C229" s="25">
        <f t="shared" si="7"/>
        <v>44866</v>
      </c>
      <c r="D229" s="27">
        <f>IF(K229="CREDITO",Q229,Q229*-1)</f>
        <v>19950</v>
      </c>
      <c r="E229" s="13" t="s">
        <v>468</v>
      </c>
      <c r="F229" s="13" t="s">
        <v>48</v>
      </c>
      <c r="G229" s="14">
        <v>44883</v>
      </c>
      <c r="H229" s="13" t="s">
        <v>463</v>
      </c>
      <c r="I229" s="13" t="s">
        <v>59</v>
      </c>
      <c r="J229" s="13" t="s">
        <v>60</v>
      </c>
      <c r="K229" s="13" t="s">
        <v>29</v>
      </c>
      <c r="L229" s="13" t="s">
        <v>43</v>
      </c>
      <c r="M229" s="13" t="s">
        <v>471</v>
      </c>
      <c r="N229" s="13"/>
      <c r="O229" s="13" t="s">
        <v>45</v>
      </c>
      <c r="P229" s="13" t="s">
        <v>470</v>
      </c>
      <c r="Q229" s="23">
        <v>19950</v>
      </c>
      <c r="R229" s="13" t="s">
        <v>35</v>
      </c>
      <c r="S229" s="13" t="s">
        <v>35</v>
      </c>
      <c r="T229" s="13" t="s">
        <v>35</v>
      </c>
      <c r="U229" s="13" t="s">
        <v>35</v>
      </c>
      <c r="V229" s="13"/>
      <c r="W229" s="13"/>
      <c r="X229" s="13" t="s">
        <v>59</v>
      </c>
      <c r="Y229" s="13" t="s">
        <v>60</v>
      </c>
      <c r="Z229" s="13"/>
      <c r="AA229" s="13"/>
      <c r="AB229" s="13" t="s">
        <v>37</v>
      </c>
    </row>
    <row r="230" spans="1:28" hidden="1" x14ac:dyDescent="0.25">
      <c r="A230" s="7" t="str">
        <f>IFERROR(VLOOKUP(H230,'Contas Orç'!A:B,2,0),"N/A")</f>
        <v>MATERIAIS DIRETOS</v>
      </c>
      <c r="B230" s="7" t="str">
        <f t="shared" si="6"/>
        <v>320601001 - MATERIAIS DIRETOS</v>
      </c>
      <c r="C230" s="25">
        <f t="shared" si="7"/>
        <v>44866</v>
      </c>
      <c r="D230" s="27">
        <f>IF(K230="CREDITO",Q230,Q230*-1)</f>
        <v>-19950</v>
      </c>
      <c r="E230" s="13" t="s">
        <v>468</v>
      </c>
      <c r="F230" s="13" t="s">
        <v>50</v>
      </c>
      <c r="G230" s="14">
        <v>44883</v>
      </c>
      <c r="H230" s="13" t="s">
        <v>463</v>
      </c>
      <c r="I230" s="13" t="s">
        <v>59</v>
      </c>
      <c r="J230" s="13" t="s">
        <v>60</v>
      </c>
      <c r="K230" s="13" t="s">
        <v>46</v>
      </c>
      <c r="L230" s="13" t="s">
        <v>30</v>
      </c>
      <c r="M230" s="13" t="s">
        <v>466</v>
      </c>
      <c r="N230" s="13"/>
      <c r="O230" s="13" t="s">
        <v>45</v>
      </c>
      <c r="P230" s="13" t="s">
        <v>470</v>
      </c>
      <c r="Q230" s="23">
        <v>19950</v>
      </c>
      <c r="R230" s="13" t="s">
        <v>35</v>
      </c>
      <c r="S230" s="13" t="s">
        <v>35</v>
      </c>
      <c r="T230" s="13" t="s">
        <v>35</v>
      </c>
      <c r="U230" s="13" t="s">
        <v>35</v>
      </c>
      <c r="V230" s="13"/>
      <c r="W230" s="13"/>
      <c r="X230" s="13" t="s">
        <v>59</v>
      </c>
      <c r="Y230" s="13" t="s">
        <v>60</v>
      </c>
      <c r="Z230" s="13"/>
      <c r="AA230" s="13"/>
      <c r="AB230" s="13" t="s">
        <v>37</v>
      </c>
    </row>
    <row r="231" spans="1:28" hidden="1" x14ac:dyDescent="0.25">
      <c r="A231" s="7" t="str">
        <f>IFERROR(VLOOKUP(H231,'Contas Orç'!A:B,2,0),"N/A")</f>
        <v>PECAS E ACESSORIOS</v>
      </c>
      <c r="B231" s="7" t="str">
        <f t="shared" si="6"/>
        <v>320301004 - PECAS E ACESSORIOS</v>
      </c>
      <c r="C231" s="25">
        <f t="shared" si="7"/>
        <v>44866</v>
      </c>
      <c r="D231" s="27">
        <f>IF(K231="CREDITO",Q231,Q231*-1)</f>
        <v>398</v>
      </c>
      <c r="E231" s="13" t="s">
        <v>472</v>
      </c>
      <c r="F231" s="13" t="s">
        <v>25</v>
      </c>
      <c r="G231" s="14">
        <v>44866</v>
      </c>
      <c r="H231" s="13" t="s">
        <v>26</v>
      </c>
      <c r="I231" s="13" t="s">
        <v>27</v>
      </c>
      <c r="J231" s="13" t="s">
        <v>28</v>
      </c>
      <c r="K231" s="13" t="s">
        <v>29</v>
      </c>
      <c r="L231" s="13" t="s">
        <v>43</v>
      </c>
      <c r="M231" s="13" t="s">
        <v>473</v>
      </c>
      <c r="N231" s="13"/>
      <c r="O231" s="13" t="s">
        <v>45</v>
      </c>
      <c r="P231" s="13" t="s">
        <v>261</v>
      </c>
      <c r="Q231" s="13">
        <v>398</v>
      </c>
      <c r="R231" s="13" t="s">
        <v>35</v>
      </c>
      <c r="S231" s="13" t="s">
        <v>35</v>
      </c>
      <c r="T231" s="13" t="s">
        <v>35</v>
      </c>
      <c r="U231" s="13" t="s">
        <v>35</v>
      </c>
      <c r="V231" s="13"/>
      <c r="W231" s="13"/>
      <c r="X231" s="13" t="s">
        <v>27</v>
      </c>
      <c r="Y231" s="13" t="s">
        <v>28</v>
      </c>
      <c r="Z231" s="13"/>
      <c r="AA231" s="13"/>
      <c r="AB231" s="13" t="s">
        <v>37</v>
      </c>
    </row>
    <row r="232" spans="1:28" hidden="1" x14ac:dyDescent="0.25">
      <c r="A232" s="7" t="str">
        <f>IFERROR(VLOOKUP(H232,'Contas Orç'!A:B,2,0),"N/A")</f>
        <v>PECAS E ACESSORIOS</v>
      </c>
      <c r="B232" s="7" t="str">
        <f t="shared" si="6"/>
        <v>320301004 - PECAS E ACESSORIOS</v>
      </c>
      <c r="C232" s="25">
        <f t="shared" si="7"/>
        <v>44866</v>
      </c>
      <c r="D232" s="27">
        <f>IF(K232="CREDITO",Q232,Q232*-1)</f>
        <v>-398</v>
      </c>
      <c r="E232" s="13" t="s">
        <v>472</v>
      </c>
      <c r="F232" s="13" t="s">
        <v>38</v>
      </c>
      <c r="G232" s="14">
        <v>44866</v>
      </c>
      <c r="H232" s="13" t="s">
        <v>26</v>
      </c>
      <c r="I232" s="13" t="s">
        <v>27</v>
      </c>
      <c r="J232" s="13" t="s">
        <v>28</v>
      </c>
      <c r="K232" s="13" t="s">
        <v>46</v>
      </c>
      <c r="L232" s="13" t="s">
        <v>30</v>
      </c>
      <c r="M232" s="13" t="s">
        <v>274</v>
      </c>
      <c r="N232" s="13"/>
      <c r="O232" s="13" t="s">
        <v>45</v>
      </c>
      <c r="P232" s="13" t="s">
        <v>261</v>
      </c>
      <c r="Q232" s="13">
        <v>398</v>
      </c>
      <c r="R232" s="13" t="s">
        <v>35</v>
      </c>
      <c r="S232" s="13" t="s">
        <v>35</v>
      </c>
      <c r="T232" s="13" t="s">
        <v>35</v>
      </c>
      <c r="U232" s="13" t="s">
        <v>35</v>
      </c>
      <c r="V232" s="13"/>
      <c r="W232" s="13"/>
      <c r="X232" s="13" t="s">
        <v>27</v>
      </c>
      <c r="Y232" s="13" t="s">
        <v>28</v>
      </c>
      <c r="Z232" s="13"/>
      <c r="AA232" s="13"/>
      <c r="AB232" s="13" t="s">
        <v>37</v>
      </c>
    </row>
    <row r="233" spans="1:28" hidden="1" x14ac:dyDescent="0.25">
      <c r="A233" s="7" t="str">
        <f>IFERROR(VLOOKUP(H233,'Contas Orç'!A:B,2,0),"N/A")</f>
        <v>COMBUSTIVEIS</v>
      </c>
      <c r="B233" s="7" t="str">
        <f t="shared" si="6"/>
        <v>330301001 - COMBUSTIVEIS</v>
      </c>
      <c r="C233" s="25">
        <f t="shared" si="7"/>
        <v>44866</v>
      </c>
      <c r="D233" s="27">
        <f>IF(K233="CREDITO",Q233,Q233*-1)</f>
        <v>64090</v>
      </c>
      <c r="E233" s="13" t="s">
        <v>474</v>
      </c>
      <c r="F233" s="13" t="s">
        <v>25</v>
      </c>
      <c r="G233" s="14">
        <v>44878</v>
      </c>
      <c r="H233" s="13" t="s">
        <v>270</v>
      </c>
      <c r="I233" s="13" t="s">
        <v>81</v>
      </c>
      <c r="J233" s="13" t="s">
        <v>28</v>
      </c>
      <c r="K233" s="13" t="s">
        <v>29</v>
      </c>
      <c r="L233" s="13" t="s">
        <v>43</v>
      </c>
      <c r="M233" s="13" t="s">
        <v>475</v>
      </c>
      <c r="N233" s="13"/>
      <c r="O233" s="13" t="s">
        <v>45</v>
      </c>
      <c r="P233" s="13" t="s">
        <v>476</v>
      </c>
      <c r="Q233" s="23">
        <v>64090</v>
      </c>
      <c r="R233" s="13" t="s">
        <v>35</v>
      </c>
      <c r="S233" s="13" t="s">
        <v>35</v>
      </c>
      <c r="T233" s="13" t="s">
        <v>35</v>
      </c>
      <c r="U233" s="13" t="s">
        <v>35</v>
      </c>
      <c r="V233" s="13"/>
      <c r="W233" s="13"/>
      <c r="X233" s="13" t="s">
        <v>81</v>
      </c>
      <c r="Y233" s="13" t="s">
        <v>28</v>
      </c>
      <c r="Z233" s="13"/>
      <c r="AA233" s="13"/>
      <c r="AB233" s="13" t="s">
        <v>37</v>
      </c>
    </row>
    <row r="234" spans="1:28" s="6" customFormat="1" hidden="1" x14ac:dyDescent="0.25">
      <c r="A234" s="7" t="str">
        <f>IFERROR(VLOOKUP(H234,'Contas Orç'!A:B,2,0),"N/A")</f>
        <v>COMBUSTIVEIS</v>
      </c>
      <c r="B234" s="7" t="str">
        <f t="shared" si="6"/>
        <v>330301001 - COMBUSTIVEIS</v>
      </c>
      <c r="C234" s="25">
        <f t="shared" si="7"/>
        <v>44866</v>
      </c>
      <c r="D234" s="27">
        <f>IF(K234="CREDITO",Q234,Q234*-1)</f>
        <v>-64090</v>
      </c>
      <c r="E234" s="18" t="s">
        <v>474</v>
      </c>
      <c r="F234" s="18" t="s">
        <v>38</v>
      </c>
      <c r="G234" s="19">
        <v>44878</v>
      </c>
      <c r="H234" s="18" t="s">
        <v>270</v>
      </c>
      <c r="I234" s="18" t="s">
        <v>81</v>
      </c>
      <c r="J234" s="18" t="s">
        <v>28</v>
      </c>
      <c r="K234" s="18" t="s">
        <v>46</v>
      </c>
      <c r="L234" s="18" t="s">
        <v>30</v>
      </c>
      <c r="M234" s="18" t="s">
        <v>271</v>
      </c>
      <c r="N234" s="18"/>
      <c r="O234" s="18" t="s">
        <v>45</v>
      </c>
      <c r="P234" s="18" t="s">
        <v>476</v>
      </c>
      <c r="Q234" s="24">
        <v>64090</v>
      </c>
      <c r="R234" s="18" t="s">
        <v>35</v>
      </c>
      <c r="S234" s="18" t="s">
        <v>35</v>
      </c>
      <c r="T234" s="18" t="s">
        <v>35</v>
      </c>
      <c r="U234" s="18" t="s">
        <v>35</v>
      </c>
      <c r="V234" s="18"/>
      <c r="W234" s="18"/>
      <c r="X234" s="18" t="s">
        <v>81</v>
      </c>
      <c r="Y234" s="18" t="s">
        <v>28</v>
      </c>
      <c r="Z234" s="18"/>
      <c r="AA234" s="18"/>
      <c r="AB234" s="18" t="s">
        <v>37</v>
      </c>
    </row>
    <row r="235" spans="1:28" s="6" customFormat="1" hidden="1" x14ac:dyDescent="0.25">
      <c r="A235" s="7" t="str">
        <f>IFERROR(VLOOKUP(H235,'Contas Orç'!A:B,2,0),"N/A")</f>
        <v>COMBUSTIVEIS</v>
      </c>
      <c r="B235" s="7" t="str">
        <f t="shared" si="6"/>
        <v>330301001 - COMBUSTIVEIS</v>
      </c>
      <c r="C235" s="25">
        <f t="shared" si="7"/>
        <v>44866</v>
      </c>
      <c r="D235" s="27">
        <f>IF(K235="CREDITO",Q235,Q235*-1)</f>
        <v>64090</v>
      </c>
      <c r="E235" s="18" t="s">
        <v>474</v>
      </c>
      <c r="F235" s="18" t="s">
        <v>48</v>
      </c>
      <c r="G235" s="19">
        <v>44878</v>
      </c>
      <c r="H235" s="18" t="s">
        <v>270</v>
      </c>
      <c r="I235" s="18" t="s">
        <v>81</v>
      </c>
      <c r="J235" s="18" t="s">
        <v>60</v>
      </c>
      <c r="K235" s="18" t="s">
        <v>29</v>
      </c>
      <c r="L235" s="18" t="s">
        <v>43</v>
      </c>
      <c r="M235" s="18" t="s">
        <v>475</v>
      </c>
      <c r="N235" s="18"/>
      <c r="O235" s="18" t="s">
        <v>45</v>
      </c>
      <c r="P235" s="18" t="s">
        <v>476</v>
      </c>
      <c r="Q235" s="24">
        <v>64090</v>
      </c>
      <c r="R235" s="18" t="s">
        <v>35</v>
      </c>
      <c r="S235" s="18" t="s">
        <v>35</v>
      </c>
      <c r="T235" s="18" t="s">
        <v>35</v>
      </c>
      <c r="U235" s="18" t="s">
        <v>35</v>
      </c>
      <c r="V235" s="18"/>
      <c r="W235" s="18"/>
      <c r="X235" s="18" t="s">
        <v>81</v>
      </c>
      <c r="Y235" s="18" t="s">
        <v>60</v>
      </c>
      <c r="Z235" s="18"/>
      <c r="AA235" s="18"/>
      <c r="AB235" s="18" t="s">
        <v>37</v>
      </c>
    </row>
    <row r="236" spans="1:28" hidden="1" x14ac:dyDescent="0.25">
      <c r="A236" s="7" t="str">
        <f>IFERROR(VLOOKUP(H236,'Contas Orç'!A:B,2,0),"N/A")</f>
        <v>COMBUSTIVEIS</v>
      </c>
      <c r="B236" s="7" t="str">
        <f t="shared" si="6"/>
        <v>330301001 - COMBUSTIVEIS</v>
      </c>
      <c r="C236" s="25">
        <f t="shared" si="7"/>
        <v>44866</v>
      </c>
      <c r="D236" s="27">
        <f>IF(K236="CREDITO",Q236,Q236*-1)</f>
        <v>-64090</v>
      </c>
      <c r="E236" s="13" t="s">
        <v>474</v>
      </c>
      <c r="F236" s="13" t="s">
        <v>50</v>
      </c>
      <c r="G236" s="14">
        <v>44878</v>
      </c>
      <c r="H236" s="13" t="s">
        <v>270</v>
      </c>
      <c r="I236" s="13" t="s">
        <v>81</v>
      </c>
      <c r="J236" s="13" t="s">
        <v>60</v>
      </c>
      <c r="K236" s="13" t="s">
        <v>46</v>
      </c>
      <c r="L236" s="13" t="s">
        <v>30</v>
      </c>
      <c r="M236" s="13" t="s">
        <v>271</v>
      </c>
      <c r="N236" s="13"/>
      <c r="O236" s="13" t="s">
        <v>45</v>
      </c>
      <c r="P236" s="13" t="s">
        <v>476</v>
      </c>
      <c r="Q236" s="23">
        <v>64090</v>
      </c>
      <c r="R236" s="13" t="s">
        <v>35</v>
      </c>
      <c r="S236" s="13" t="s">
        <v>35</v>
      </c>
      <c r="T236" s="13" t="s">
        <v>35</v>
      </c>
      <c r="U236" s="13" t="s">
        <v>35</v>
      </c>
      <c r="V236" s="13"/>
      <c r="W236" s="13"/>
      <c r="X236" s="13" t="s">
        <v>81</v>
      </c>
      <c r="Y236" s="13" t="s">
        <v>60</v>
      </c>
      <c r="Z236" s="13"/>
      <c r="AA236" s="13"/>
      <c r="AB236" s="13" t="s">
        <v>37</v>
      </c>
    </row>
    <row r="237" spans="1:28" hidden="1" x14ac:dyDescent="0.25">
      <c r="A237" s="7" t="str">
        <f>IFERROR(VLOOKUP(H237,'Contas Orç'!A:B,2,0),"N/A")</f>
        <v>PF-CONSULTORIA E ASSESSORIA</v>
      </c>
      <c r="B237" s="7" t="str">
        <f t="shared" si="6"/>
        <v>330202001 - PF-CONSULTORIA E ASSESSORIA</v>
      </c>
      <c r="C237" s="25">
        <f t="shared" si="7"/>
        <v>44866</v>
      </c>
      <c r="D237" s="27">
        <f>IF(K237="CREDITO",Q237,Q237*-1)</f>
        <v>12000</v>
      </c>
      <c r="E237" s="13" t="s">
        <v>477</v>
      </c>
      <c r="F237" s="13" t="s">
        <v>25</v>
      </c>
      <c r="G237" s="14">
        <v>44866</v>
      </c>
      <c r="H237" s="13" t="s">
        <v>156</v>
      </c>
      <c r="I237" s="13" t="s">
        <v>40</v>
      </c>
      <c r="J237" s="13" t="s">
        <v>54</v>
      </c>
      <c r="K237" s="13" t="s">
        <v>29</v>
      </c>
      <c r="L237" s="13" t="s">
        <v>30</v>
      </c>
      <c r="M237" s="13" t="s">
        <v>478</v>
      </c>
      <c r="N237" s="13"/>
      <c r="O237" s="13" t="s">
        <v>56</v>
      </c>
      <c r="P237" s="13" t="s">
        <v>71</v>
      </c>
      <c r="Q237" s="23">
        <v>12000</v>
      </c>
      <c r="R237" s="13" t="s">
        <v>35</v>
      </c>
      <c r="S237" s="13" t="s">
        <v>35</v>
      </c>
      <c r="T237" s="13" t="s">
        <v>35</v>
      </c>
      <c r="U237" s="13" t="s">
        <v>35</v>
      </c>
      <c r="V237" s="13"/>
      <c r="W237" s="13"/>
      <c r="X237" s="13" t="s">
        <v>40</v>
      </c>
      <c r="Y237" s="13" t="s">
        <v>54</v>
      </c>
      <c r="Z237" s="13"/>
      <c r="AA237" s="13"/>
      <c r="AB237" s="13" t="s">
        <v>37</v>
      </c>
    </row>
    <row r="238" spans="1:28" hidden="1" x14ac:dyDescent="0.25">
      <c r="A238" s="7" t="str">
        <f>IFERROR(VLOOKUP(H238,'Contas Orç'!A:B,2,0),"N/A")</f>
        <v>PF-CONSULTORIA E ASSESSORIA</v>
      </c>
      <c r="B238" s="7" t="str">
        <f t="shared" si="6"/>
        <v>330202001 - PF-CONSULTORIA E ASSESSORIA</v>
      </c>
      <c r="C238" s="25">
        <f t="shared" si="7"/>
        <v>44896</v>
      </c>
      <c r="D238" s="27">
        <f>IF(K238="CREDITO",Q238,Q238*-1)</f>
        <v>12000</v>
      </c>
      <c r="E238" s="13" t="s">
        <v>477</v>
      </c>
      <c r="F238" s="13" t="s">
        <v>38</v>
      </c>
      <c r="G238" s="14">
        <v>44896</v>
      </c>
      <c r="H238" s="13" t="s">
        <v>156</v>
      </c>
      <c r="I238" s="13" t="s">
        <v>40</v>
      </c>
      <c r="J238" s="13" t="s">
        <v>54</v>
      </c>
      <c r="K238" s="13" t="s">
        <v>29</v>
      </c>
      <c r="L238" s="13" t="s">
        <v>30</v>
      </c>
      <c r="M238" s="13" t="s">
        <v>478</v>
      </c>
      <c r="N238" s="13"/>
      <c r="O238" s="13" t="s">
        <v>56</v>
      </c>
      <c r="P238" s="13" t="s">
        <v>71</v>
      </c>
      <c r="Q238" s="23">
        <v>12000</v>
      </c>
      <c r="R238" s="13" t="s">
        <v>35</v>
      </c>
      <c r="S238" s="13" t="s">
        <v>35</v>
      </c>
      <c r="T238" s="13" t="s">
        <v>35</v>
      </c>
      <c r="U238" s="13" t="s">
        <v>35</v>
      </c>
      <c r="V238" s="13"/>
      <c r="W238" s="13"/>
      <c r="X238" s="13" t="s">
        <v>40</v>
      </c>
      <c r="Y238" s="13" t="s">
        <v>54</v>
      </c>
      <c r="Z238" s="13"/>
      <c r="AA238" s="13"/>
      <c r="AB238" s="13" t="s">
        <v>37</v>
      </c>
    </row>
    <row r="239" spans="1:28" hidden="1" x14ac:dyDescent="0.25">
      <c r="A239" s="7" t="str">
        <f>IFERROR(VLOOKUP(H239,'Contas Orç'!A:B,2,0),"N/A")</f>
        <v>PF-CONSULTORIA E ASSESSORIA</v>
      </c>
      <c r="B239" s="7" t="str">
        <f t="shared" si="6"/>
        <v>330202001 - PF-CONSULTORIA E ASSESSORIA</v>
      </c>
      <c r="C239" s="25">
        <f t="shared" si="7"/>
        <v>44927</v>
      </c>
      <c r="D239" s="27">
        <f>IF(K239="CREDITO",Q239,Q239*-1)</f>
        <v>12000</v>
      </c>
      <c r="E239" s="13" t="s">
        <v>477</v>
      </c>
      <c r="F239" s="13" t="s">
        <v>48</v>
      </c>
      <c r="G239" s="14">
        <v>44927</v>
      </c>
      <c r="H239" s="13" t="s">
        <v>156</v>
      </c>
      <c r="I239" s="13" t="s">
        <v>40</v>
      </c>
      <c r="J239" s="13" t="s">
        <v>54</v>
      </c>
      <c r="K239" s="13" t="s">
        <v>29</v>
      </c>
      <c r="L239" s="13" t="s">
        <v>30</v>
      </c>
      <c r="M239" s="13" t="s">
        <v>478</v>
      </c>
      <c r="N239" s="13"/>
      <c r="O239" s="13" t="s">
        <v>56</v>
      </c>
      <c r="P239" s="13" t="s">
        <v>71</v>
      </c>
      <c r="Q239" s="23">
        <v>12000</v>
      </c>
      <c r="R239" s="13" t="s">
        <v>35</v>
      </c>
      <c r="S239" s="13" t="s">
        <v>35</v>
      </c>
      <c r="T239" s="13" t="s">
        <v>35</v>
      </c>
      <c r="U239" s="13" t="s">
        <v>35</v>
      </c>
      <c r="V239" s="13"/>
      <c r="W239" s="13"/>
      <c r="X239" s="13" t="s">
        <v>40</v>
      </c>
      <c r="Y239" s="13" t="s">
        <v>54</v>
      </c>
      <c r="Z239" s="13"/>
      <c r="AA239" s="13"/>
      <c r="AB239" s="13" t="s">
        <v>37</v>
      </c>
    </row>
    <row r="240" spans="1:28" hidden="1" x14ac:dyDescent="0.25">
      <c r="A240" s="7" t="str">
        <f>IFERROR(VLOOKUP(H240,'Contas Orç'!A:B,2,0),"N/A")</f>
        <v>PF-CONSULTORIA E ASSESSORIA</v>
      </c>
      <c r="B240" s="7" t="str">
        <f t="shared" si="6"/>
        <v>330202001 - PF-CONSULTORIA E ASSESSORIA</v>
      </c>
      <c r="C240" s="25">
        <f t="shared" si="7"/>
        <v>44958</v>
      </c>
      <c r="D240" s="27">
        <f>IF(K240="CREDITO",Q240,Q240*-1)</f>
        <v>12000</v>
      </c>
      <c r="E240" s="13" t="s">
        <v>477</v>
      </c>
      <c r="F240" s="13" t="s">
        <v>50</v>
      </c>
      <c r="G240" s="14">
        <v>44958</v>
      </c>
      <c r="H240" s="13" t="s">
        <v>156</v>
      </c>
      <c r="I240" s="13" t="s">
        <v>40</v>
      </c>
      <c r="J240" s="13" t="s">
        <v>54</v>
      </c>
      <c r="K240" s="13" t="s">
        <v>29</v>
      </c>
      <c r="L240" s="13" t="s">
        <v>30</v>
      </c>
      <c r="M240" s="13" t="s">
        <v>478</v>
      </c>
      <c r="N240" s="13"/>
      <c r="O240" s="13" t="s">
        <v>56</v>
      </c>
      <c r="P240" s="13" t="s">
        <v>71</v>
      </c>
      <c r="Q240" s="23">
        <v>12000</v>
      </c>
      <c r="R240" s="13" t="s">
        <v>35</v>
      </c>
      <c r="S240" s="13" t="s">
        <v>35</v>
      </c>
      <c r="T240" s="13" t="s">
        <v>35</v>
      </c>
      <c r="U240" s="13" t="s">
        <v>35</v>
      </c>
      <c r="V240" s="13"/>
      <c r="W240" s="13"/>
      <c r="X240" s="13" t="s">
        <v>40</v>
      </c>
      <c r="Y240" s="13" t="s">
        <v>54</v>
      </c>
      <c r="Z240" s="13"/>
      <c r="AA240" s="13"/>
      <c r="AB240" s="13" t="s">
        <v>37</v>
      </c>
    </row>
    <row r="241" spans="1:28" hidden="1" x14ac:dyDescent="0.25">
      <c r="A241" s="7" t="str">
        <f>IFERROR(VLOOKUP(H241,'Contas Orç'!A:B,2,0),"N/A")</f>
        <v>PF-CONSULTORIA E ASSESSORIA</v>
      </c>
      <c r="B241" s="7" t="str">
        <f t="shared" si="6"/>
        <v>330202001 - PF-CONSULTORIA E ASSESSORIA</v>
      </c>
      <c r="C241" s="25">
        <f t="shared" si="7"/>
        <v>44986</v>
      </c>
      <c r="D241" s="27">
        <f>IF(K241="CREDITO",Q241,Q241*-1)</f>
        <v>12000</v>
      </c>
      <c r="E241" s="13" t="s">
        <v>477</v>
      </c>
      <c r="F241" s="13" t="s">
        <v>87</v>
      </c>
      <c r="G241" s="14">
        <v>44986</v>
      </c>
      <c r="H241" s="13" t="s">
        <v>156</v>
      </c>
      <c r="I241" s="13" t="s">
        <v>40</v>
      </c>
      <c r="J241" s="13" t="s">
        <v>54</v>
      </c>
      <c r="K241" s="13" t="s">
        <v>29</v>
      </c>
      <c r="L241" s="13" t="s">
        <v>30</v>
      </c>
      <c r="M241" s="13" t="s">
        <v>478</v>
      </c>
      <c r="N241" s="13"/>
      <c r="O241" s="13" t="s">
        <v>56</v>
      </c>
      <c r="P241" s="13" t="s">
        <v>71</v>
      </c>
      <c r="Q241" s="23">
        <v>12000</v>
      </c>
      <c r="R241" s="13" t="s">
        <v>35</v>
      </c>
      <c r="S241" s="13" t="s">
        <v>35</v>
      </c>
      <c r="T241" s="13" t="s">
        <v>35</v>
      </c>
      <c r="U241" s="13" t="s">
        <v>35</v>
      </c>
      <c r="V241" s="13"/>
      <c r="W241" s="13"/>
      <c r="X241" s="13" t="s">
        <v>40</v>
      </c>
      <c r="Y241" s="13" t="s">
        <v>54</v>
      </c>
      <c r="Z241" s="13"/>
      <c r="AA241" s="13"/>
      <c r="AB241" s="13" t="s">
        <v>37</v>
      </c>
    </row>
    <row r="242" spans="1:28" hidden="1" x14ac:dyDescent="0.25">
      <c r="A242" s="7" t="str">
        <f>IFERROR(VLOOKUP(H242,'Contas Orç'!A:B,2,0),"N/A")</f>
        <v>PF-CONSULTORIA E ASSESSORIA</v>
      </c>
      <c r="B242" s="7" t="str">
        <f t="shared" si="6"/>
        <v>330202001 - PF-CONSULTORIA E ASSESSORIA</v>
      </c>
      <c r="C242" s="25">
        <f t="shared" si="7"/>
        <v>45017</v>
      </c>
      <c r="D242" s="27">
        <f>IF(K242="CREDITO",Q242,Q242*-1)</f>
        <v>12000</v>
      </c>
      <c r="E242" s="13" t="s">
        <v>477</v>
      </c>
      <c r="F242" s="13" t="s">
        <v>91</v>
      </c>
      <c r="G242" s="14">
        <v>45017</v>
      </c>
      <c r="H242" s="13" t="s">
        <v>156</v>
      </c>
      <c r="I242" s="13" t="s">
        <v>40</v>
      </c>
      <c r="J242" s="13" t="s">
        <v>54</v>
      </c>
      <c r="K242" s="13" t="s">
        <v>29</v>
      </c>
      <c r="L242" s="13" t="s">
        <v>30</v>
      </c>
      <c r="M242" s="13" t="s">
        <v>478</v>
      </c>
      <c r="N242" s="13"/>
      <c r="O242" s="13" t="s">
        <v>56</v>
      </c>
      <c r="P242" s="13" t="s">
        <v>71</v>
      </c>
      <c r="Q242" s="23">
        <v>12000</v>
      </c>
      <c r="R242" s="13" t="s">
        <v>35</v>
      </c>
      <c r="S242" s="13" t="s">
        <v>35</v>
      </c>
      <c r="T242" s="13" t="s">
        <v>35</v>
      </c>
      <c r="U242" s="13" t="s">
        <v>35</v>
      </c>
      <c r="V242" s="13"/>
      <c r="W242" s="13"/>
      <c r="X242" s="13" t="s">
        <v>40</v>
      </c>
      <c r="Y242" s="13" t="s">
        <v>54</v>
      </c>
      <c r="Z242" s="13"/>
      <c r="AA242" s="13"/>
      <c r="AB242" s="13" t="s">
        <v>37</v>
      </c>
    </row>
    <row r="243" spans="1:28" hidden="1" x14ac:dyDescent="0.25">
      <c r="A243" s="7" t="str">
        <f>IFERROR(VLOOKUP(H243,'Contas Orç'!A:B,2,0),"N/A")</f>
        <v>PF-CONSULTORIA E ASSESSORIA</v>
      </c>
      <c r="B243" s="7" t="str">
        <f t="shared" si="6"/>
        <v>330202001 - PF-CONSULTORIA E ASSESSORIA</v>
      </c>
      <c r="C243" s="25">
        <f t="shared" si="7"/>
        <v>45047</v>
      </c>
      <c r="D243" s="27">
        <f>IF(K243="CREDITO",Q243,Q243*-1)</f>
        <v>12000</v>
      </c>
      <c r="E243" s="13" t="s">
        <v>477</v>
      </c>
      <c r="F243" s="13" t="s">
        <v>94</v>
      </c>
      <c r="G243" s="14">
        <v>45047</v>
      </c>
      <c r="H243" s="13" t="s">
        <v>156</v>
      </c>
      <c r="I243" s="13" t="s">
        <v>40</v>
      </c>
      <c r="J243" s="13" t="s">
        <v>54</v>
      </c>
      <c r="K243" s="13" t="s">
        <v>29</v>
      </c>
      <c r="L243" s="13" t="s">
        <v>30</v>
      </c>
      <c r="M243" s="13" t="s">
        <v>478</v>
      </c>
      <c r="N243" s="13"/>
      <c r="O243" s="13" t="s">
        <v>56</v>
      </c>
      <c r="P243" s="13" t="s">
        <v>71</v>
      </c>
      <c r="Q243" s="23">
        <v>12000</v>
      </c>
      <c r="R243" s="13" t="s">
        <v>35</v>
      </c>
      <c r="S243" s="13" t="s">
        <v>35</v>
      </c>
      <c r="T243" s="13" t="s">
        <v>35</v>
      </c>
      <c r="U243" s="13" t="s">
        <v>35</v>
      </c>
      <c r="V243" s="13"/>
      <c r="W243" s="13"/>
      <c r="X243" s="13" t="s">
        <v>40</v>
      </c>
      <c r="Y243" s="13" t="s">
        <v>54</v>
      </c>
      <c r="Z243" s="13"/>
      <c r="AA243" s="13"/>
      <c r="AB243" s="13" t="s">
        <v>37</v>
      </c>
    </row>
    <row r="244" spans="1:28" hidden="1" x14ac:dyDescent="0.25">
      <c r="A244" s="7" t="str">
        <f>IFERROR(VLOOKUP(H244,'Contas Orç'!A:B,2,0),"N/A")</f>
        <v>PF-CONSULTORIA E ASSESSORIA</v>
      </c>
      <c r="B244" s="7" t="str">
        <f t="shared" si="6"/>
        <v>330202001 - PF-CONSULTORIA E ASSESSORIA</v>
      </c>
      <c r="C244" s="25">
        <f t="shared" si="7"/>
        <v>44866</v>
      </c>
      <c r="D244" s="27">
        <f>IF(K244="CREDITO",Q244,Q244*-1)</f>
        <v>12000</v>
      </c>
      <c r="E244" s="13" t="s">
        <v>480</v>
      </c>
      <c r="F244" s="13" t="s">
        <v>25</v>
      </c>
      <c r="G244" s="14">
        <v>44886</v>
      </c>
      <c r="H244" s="13" t="s">
        <v>156</v>
      </c>
      <c r="I244" s="13" t="s">
        <v>40</v>
      </c>
      <c r="J244" s="13" t="s">
        <v>54</v>
      </c>
      <c r="K244" s="13" t="s">
        <v>29</v>
      </c>
      <c r="L244" s="13" t="s">
        <v>43</v>
      </c>
      <c r="M244" s="13" t="s">
        <v>481</v>
      </c>
      <c r="N244" s="13"/>
      <c r="O244" s="13" t="s">
        <v>45</v>
      </c>
      <c r="P244" s="13" t="s">
        <v>261</v>
      </c>
      <c r="Q244" s="23">
        <v>12000</v>
      </c>
      <c r="R244" s="13" t="s">
        <v>35</v>
      </c>
      <c r="S244" s="13" t="s">
        <v>35</v>
      </c>
      <c r="T244" s="13" t="s">
        <v>35</v>
      </c>
      <c r="U244" s="13" t="s">
        <v>35</v>
      </c>
      <c r="V244" s="13"/>
      <c r="W244" s="13"/>
      <c r="X244" s="13" t="s">
        <v>40</v>
      </c>
      <c r="Y244" s="13" t="s">
        <v>54</v>
      </c>
      <c r="Z244" s="13"/>
      <c r="AA244" s="13"/>
      <c r="AB244" s="13" t="s">
        <v>37</v>
      </c>
    </row>
    <row r="245" spans="1:28" hidden="1" x14ac:dyDescent="0.25">
      <c r="A245" s="7" t="str">
        <f>IFERROR(VLOOKUP(H245,'Contas Orç'!A:B,2,0),"N/A")</f>
        <v>PF-CONSULTORIA E ASSESSORIA</v>
      </c>
      <c r="B245" s="7" t="str">
        <f t="shared" si="6"/>
        <v>330202001 - PF-CONSULTORIA E ASSESSORIA</v>
      </c>
      <c r="C245" s="25">
        <f t="shared" si="7"/>
        <v>44866</v>
      </c>
      <c r="D245" s="27">
        <f>IF(K245="CREDITO",Q245,Q245*-1)</f>
        <v>-12000</v>
      </c>
      <c r="E245" s="13" t="s">
        <v>480</v>
      </c>
      <c r="F245" s="13" t="s">
        <v>38</v>
      </c>
      <c r="G245" s="14">
        <v>44886</v>
      </c>
      <c r="H245" s="13" t="s">
        <v>156</v>
      </c>
      <c r="I245" s="13" t="s">
        <v>40</v>
      </c>
      <c r="J245" s="13" t="s">
        <v>54</v>
      </c>
      <c r="K245" s="13" t="s">
        <v>46</v>
      </c>
      <c r="L245" s="13" t="s">
        <v>30</v>
      </c>
      <c r="M245" s="13" t="s">
        <v>478</v>
      </c>
      <c r="N245" s="13"/>
      <c r="O245" s="13" t="s">
        <v>45</v>
      </c>
      <c r="P245" s="13" t="s">
        <v>261</v>
      </c>
      <c r="Q245" s="23">
        <v>12000</v>
      </c>
      <c r="R245" s="13" t="s">
        <v>35</v>
      </c>
      <c r="S245" s="13" t="s">
        <v>35</v>
      </c>
      <c r="T245" s="13" t="s">
        <v>35</v>
      </c>
      <c r="U245" s="13" t="s">
        <v>35</v>
      </c>
      <c r="V245" s="13"/>
      <c r="W245" s="13"/>
      <c r="X245" s="13" t="s">
        <v>40</v>
      </c>
      <c r="Y245" s="13" t="s">
        <v>54</v>
      </c>
      <c r="Z245" s="13"/>
      <c r="AA245" s="13"/>
      <c r="AB245" s="13" t="s">
        <v>37</v>
      </c>
    </row>
    <row r="246" spans="1:28" hidden="1" x14ac:dyDescent="0.25">
      <c r="A246" s="7" t="str">
        <f>IFERROR(VLOOKUP(H246,'Contas Orç'!A:B,2,0),"N/A")</f>
        <v>PECAS E ACESSORIOS</v>
      </c>
      <c r="B246" s="7" t="str">
        <f t="shared" si="6"/>
        <v>320301004 - PECAS E ACESSORIOS</v>
      </c>
      <c r="C246" s="25">
        <f t="shared" si="7"/>
        <v>44866</v>
      </c>
      <c r="D246" s="27">
        <f>IF(K246="CREDITO",Q246,Q246*-1)</f>
        <v>240.5</v>
      </c>
      <c r="E246" s="13" t="s">
        <v>482</v>
      </c>
      <c r="F246" s="13" t="s">
        <v>25</v>
      </c>
      <c r="G246" s="14">
        <v>44880</v>
      </c>
      <c r="H246" s="13" t="s">
        <v>26</v>
      </c>
      <c r="I246" s="13" t="s">
        <v>88</v>
      </c>
      <c r="J246" s="13" t="s">
        <v>54</v>
      </c>
      <c r="K246" s="13" t="s">
        <v>29</v>
      </c>
      <c r="L246" s="13" t="s">
        <v>30</v>
      </c>
      <c r="M246" s="13" t="s">
        <v>483</v>
      </c>
      <c r="N246" s="13"/>
      <c r="O246" s="13" t="s">
        <v>56</v>
      </c>
      <c r="P246" s="13" t="s">
        <v>71</v>
      </c>
      <c r="Q246" s="13">
        <v>240.5</v>
      </c>
      <c r="R246" s="13" t="s">
        <v>35</v>
      </c>
      <c r="S246" s="13" t="s">
        <v>35</v>
      </c>
      <c r="T246" s="13" t="s">
        <v>35</v>
      </c>
      <c r="U246" s="13" t="s">
        <v>35</v>
      </c>
      <c r="V246" s="13"/>
      <c r="W246" s="13"/>
      <c r="X246" s="13" t="s">
        <v>88</v>
      </c>
      <c r="Y246" s="13" t="s">
        <v>54</v>
      </c>
      <c r="Z246" s="13"/>
      <c r="AA246" s="13"/>
      <c r="AB246" s="13" t="s">
        <v>37</v>
      </c>
    </row>
    <row r="247" spans="1:28" hidden="1" x14ac:dyDescent="0.25">
      <c r="A247" s="7" t="str">
        <f>IFERROR(VLOOKUP(H247,'Contas Orç'!A:B,2,0),"N/A")</f>
        <v>PECAS E ACESSORIOS</v>
      </c>
      <c r="B247" s="7" t="str">
        <f t="shared" si="6"/>
        <v>320301004 - PECAS E ACESSORIOS</v>
      </c>
      <c r="C247" s="25">
        <f t="shared" si="7"/>
        <v>44866</v>
      </c>
      <c r="D247" s="27">
        <f>IF(K247="CREDITO",Q247,Q247*-1)</f>
        <v>440</v>
      </c>
      <c r="E247" s="13" t="s">
        <v>482</v>
      </c>
      <c r="F247" s="13" t="s">
        <v>38</v>
      </c>
      <c r="G247" s="14">
        <v>44880</v>
      </c>
      <c r="H247" s="13" t="s">
        <v>26</v>
      </c>
      <c r="I247" s="13" t="s">
        <v>88</v>
      </c>
      <c r="J247" s="13" t="s">
        <v>54</v>
      </c>
      <c r="K247" s="13" t="s">
        <v>29</v>
      </c>
      <c r="L247" s="13" t="s">
        <v>30</v>
      </c>
      <c r="M247" s="13" t="s">
        <v>485</v>
      </c>
      <c r="N247" s="13"/>
      <c r="O247" s="13" t="s">
        <v>56</v>
      </c>
      <c r="P247" s="13" t="s">
        <v>71</v>
      </c>
      <c r="Q247" s="13">
        <v>440</v>
      </c>
      <c r="R247" s="13" t="s">
        <v>35</v>
      </c>
      <c r="S247" s="13" t="s">
        <v>35</v>
      </c>
      <c r="T247" s="13" t="s">
        <v>35</v>
      </c>
      <c r="U247" s="13" t="s">
        <v>35</v>
      </c>
      <c r="V247" s="13"/>
      <c r="W247" s="13"/>
      <c r="X247" s="13" t="s">
        <v>88</v>
      </c>
      <c r="Y247" s="13" t="s">
        <v>54</v>
      </c>
      <c r="Z247" s="13"/>
      <c r="AA247" s="13"/>
      <c r="AB247" s="13" t="s">
        <v>37</v>
      </c>
    </row>
    <row r="248" spans="1:28" hidden="1" x14ac:dyDescent="0.25">
      <c r="A248" s="7" t="str">
        <f>IFERROR(VLOOKUP(H248,'Contas Orç'!A:B,2,0),"N/A")</f>
        <v>PECAS E ACESSORIOS</v>
      </c>
      <c r="B248" s="7" t="str">
        <f t="shared" si="6"/>
        <v>320301004 - PECAS E ACESSORIOS</v>
      </c>
      <c r="C248" s="25">
        <f t="shared" si="7"/>
        <v>44866</v>
      </c>
      <c r="D248" s="27">
        <f>IF(K248="CREDITO",Q248,Q248*-1)</f>
        <v>290.52</v>
      </c>
      <c r="E248" s="13" t="s">
        <v>482</v>
      </c>
      <c r="F248" s="13" t="s">
        <v>48</v>
      </c>
      <c r="G248" s="14">
        <v>44880</v>
      </c>
      <c r="H248" s="13" t="s">
        <v>26</v>
      </c>
      <c r="I248" s="13" t="s">
        <v>27</v>
      </c>
      <c r="J248" s="13" t="s">
        <v>28</v>
      </c>
      <c r="K248" s="13" t="s">
        <v>29</v>
      </c>
      <c r="L248" s="13" t="s">
        <v>30</v>
      </c>
      <c r="M248" s="13" t="s">
        <v>487</v>
      </c>
      <c r="N248" s="13"/>
      <c r="O248" s="13" t="s">
        <v>56</v>
      </c>
      <c r="P248" s="13" t="s">
        <v>71</v>
      </c>
      <c r="Q248" s="13">
        <v>290.52</v>
      </c>
      <c r="R248" s="13" t="s">
        <v>35</v>
      </c>
      <c r="S248" s="13" t="s">
        <v>35</v>
      </c>
      <c r="T248" s="13" t="s">
        <v>35</v>
      </c>
      <c r="U248" s="13" t="s">
        <v>35</v>
      </c>
      <c r="V248" s="13"/>
      <c r="W248" s="13"/>
      <c r="X248" s="13" t="s">
        <v>27</v>
      </c>
      <c r="Y248" s="13" t="s">
        <v>28</v>
      </c>
      <c r="Z248" s="13"/>
      <c r="AA248" s="13"/>
      <c r="AB248" s="13" t="s">
        <v>37</v>
      </c>
    </row>
    <row r="249" spans="1:28" hidden="1" x14ac:dyDescent="0.25">
      <c r="A249" s="7" t="str">
        <f>IFERROR(VLOOKUP(H249,'Contas Orç'!A:B,2,0),"N/A")</f>
        <v>PECAS E ACESSORIOS</v>
      </c>
      <c r="B249" s="7" t="str">
        <f t="shared" si="6"/>
        <v>320301004 - PECAS E ACESSORIOS</v>
      </c>
      <c r="C249" s="25">
        <f t="shared" si="7"/>
        <v>44866</v>
      </c>
      <c r="D249" s="27">
        <f>IF(K249="CREDITO",Q249,Q249*-1)</f>
        <v>31.24</v>
      </c>
      <c r="E249" s="13" t="s">
        <v>482</v>
      </c>
      <c r="F249" s="13" t="s">
        <v>50</v>
      </c>
      <c r="G249" s="14">
        <v>44880</v>
      </c>
      <c r="H249" s="13" t="s">
        <v>26</v>
      </c>
      <c r="I249" s="13" t="s">
        <v>59</v>
      </c>
      <c r="J249" s="13" t="s">
        <v>60</v>
      </c>
      <c r="K249" s="13" t="s">
        <v>29</v>
      </c>
      <c r="L249" s="13" t="s">
        <v>30</v>
      </c>
      <c r="M249" s="13" t="s">
        <v>489</v>
      </c>
      <c r="N249" s="13"/>
      <c r="O249" s="13" t="s">
        <v>56</v>
      </c>
      <c r="P249" s="13" t="s">
        <v>71</v>
      </c>
      <c r="Q249" s="13">
        <v>31.24</v>
      </c>
      <c r="R249" s="13" t="s">
        <v>35</v>
      </c>
      <c r="S249" s="13" t="s">
        <v>35</v>
      </c>
      <c r="T249" s="13" t="s">
        <v>35</v>
      </c>
      <c r="U249" s="13" t="s">
        <v>35</v>
      </c>
      <c r="V249" s="13"/>
      <c r="W249" s="13"/>
      <c r="X249" s="13" t="s">
        <v>59</v>
      </c>
      <c r="Y249" s="13" t="s">
        <v>60</v>
      </c>
      <c r="Z249" s="13"/>
      <c r="AA249" s="13"/>
      <c r="AB249" s="13" t="s">
        <v>37</v>
      </c>
    </row>
    <row r="250" spans="1:28" hidden="1" x14ac:dyDescent="0.25">
      <c r="A250" s="7" t="str">
        <f>IFERROR(VLOOKUP(H250,'Contas Orç'!A:B,2,0),"N/A")</f>
        <v>PECAS E ACESSORIOS</v>
      </c>
      <c r="B250" s="7" t="str">
        <f t="shared" si="6"/>
        <v>330301004 - PECAS E ACESSORIOS</v>
      </c>
      <c r="C250" s="25">
        <f t="shared" si="7"/>
        <v>44866</v>
      </c>
      <c r="D250" s="27">
        <f>IF(K250="CREDITO",Q250,Q250*-1)</f>
        <v>149.1</v>
      </c>
      <c r="E250" s="13" t="s">
        <v>482</v>
      </c>
      <c r="F250" s="13" t="s">
        <v>87</v>
      </c>
      <c r="G250" s="14">
        <v>44880</v>
      </c>
      <c r="H250" s="13" t="s">
        <v>39</v>
      </c>
      <c r="I250" s="13" t="s">
        <v>99</v>
      </c>
      <c r="J250" s="13" t="s">
        <v>54</v>
      </c>
      <c r="K250" s="13" t="s">
        <v>29</v>
      </c>
      <c r="L250" s="13" t="s">
        <v>30</v>
      </c>
      <c r="M250" s="13" t="s">
        <v>491</v>
      </c>
      <c r="N250" s="13"/>
      <c r="O250" s="13" t="s">
        <v>56</v>
      </c>
      <c r="P250" s="13" t="s">
        <v>71</v>
      </c>
      <c r="Q250" s="13">
        <v>149.1</v>
      </c>
      <c r="R250" s="13" t="s">
        <v>35</v>
      </c>
      <c r="S250" s="13" t="s">
        <v>35</v>
      </c>
      <c r="T250" s="13" t="s">
        <v>35</v>
      </c>
      <c r="U250" s="13" t="s">
        <v>35</v>
      </c>
      <c r="V250" s="13"/>
      <c r="W250" s="13"/>
      <c r="X250" s="13" t="s">
        <v>99</v>
      </c>
      <c r="Y250" s="13" t="s">
        <v>54</v>
      </c>
      <c r="Z250" s="13"/>
      <c r="AA250" s="13"/>
      <c r="AB250" s="13" t="s">
        <v>37</v>
      </c>
    </row>
    <row r="251" spans="1:28" hidden="1" x14ac:dyDescent="0.25">
      <c r="A251" s="7" t="str">
        <f>IFERROR(VLOOKUP(H251,'Contas Orç'!A:B,2,0),"N/A")</f>
        <v>PJ-OUTROS SERVICOS CONTRATADOS-PJ</v>
      </c>
      <c r="B251" s="7" t="str">
        <f t="shared" si="6"/>
        <v>330201006 - PJ-OUTROS SERVICOS CONTRATADOS-PJ</v>
      </c>
      <c r="C251" s="25">
        <f t="shared" si="7"/>
        <v>44866</v>
      </c>
      <c r="D251" s="27">
        <f>IF(K251="CREDITO",Q251,Q251*-1)</f>
        <v>586.34</v>
      </c>
      <c r="E251" s="13" t="s">
        <v>493</v>
      </c>
      <c r="F251" s="13" t="s">
        <v>25</v>
      </c>
      <c r="G251" s="14">
        <v>44866</v>
      </c>
      <c r="H251" s="13" t="s">
        <v>67</v>
      </c>
      <c r="I251" s="13" t="s">
        <v>40</v>
      </c>
      <c r="J251" s="13" t="s">
        <v>54</v>
      </c>
      <c r="K251" s="13" t="s">
        <v>29</v>
      </c>
      <c r="L251" s="13" t="s">
        <v>30</v>
      </c>
      <c r="M251" s="13" t="s">
        <v>494</v>
      </c>
      <c r="N251" s="13"/>
      <c r="O251" s="13" t="s">
        <v>56</v>
      </c>
      <c r="P251" s="13" t="s">
        <v>71</v>
      </c>
      <c r="Q251" s="13">
        <v>586.34</v>
      </c>
      <c r="R251" s="13" t="s">
        <v>35</v>
      </c>
      <c r="S251" s="13" t="s">
        <v>35</v>
      </c>
      <c r="T251" s="13" t="s">
        <v>35</v>
      </c>
      <c r="U251" s="13" t="s">
        <v>35</v>
      </c>
      <c r="V251" s="13"/>
      <c r="W251" s="13"/>
      <c r="X251" s="13" t="s">
        <v>40</v>
      </c>
      <c r="Y251" s="13" t="s">
        <v>54</v>
      </c>
      <c r="Z251" s="13"/>
      <c r="AA251" s="13"/>
      <c r="AB251" s="13" t="s">
        <v>37</v>
      </c>
    </row>
    <row r="252" spans="1:28" hidden="1" x14ac:dyDescent="0.25">
      <c r="A252" s="7" t="str">
        <f>IFERROR(VLOOKUP(H252,'Contas Orç'!A:B,2,0),"N/A")</f>
        <v>PJ-OUTROS SERVICOS CONTRATADOS-PJ</v>
      </c>
      <c r="B252" s="7" t="str">
        <f t="shared" si="6"/>
        <v>330201006 - PJ-OUTROS SERVICOS CONTRATADOS-PJ</v>
      </c>
      <c r="C252" s="25">
        <f t="shared" si="7"/>
        <v>44896</v>
      </c>
      <c r="D252" s="27">
        <f>IF(K252="CREDITO",Q252,Q252*-1)</f>
        <v>586.34</v>
      </c>
      <c r="E252" s="13" t="s">
        <v>493</v>
      </c>
      <c r="F252" s="13" t="s">
        <v>38</v>
      </c>
      <c r="G252" s="14">
        <v>44896</v>
      </c>
      <c r="H252" s="13" t="s">
        <v>67</v>
      </c>
      <c r="I252" s="13" t="s">
        <v>40</v>
      </c>
      <c r="J252" s="13" t="s">
        <v>54</v>
      </c>
      <c r="K252" s="13" t="s">
        <v>29</v>
      </c>
      <c r="L252" s="13" t="s">
        <v>30</v>
      </c>
      <c r="M252" s="13" t="s">
        <v>494</v>
      </c>
      <c r="N252" s="13"/>
      <c r="O252" s="13" t="s">
        <v>56</v>
      </c>
      <c r="P252" s="13" t="s">
        <v>71</v>
      </c>
      <c r="Q252" s="13">
        <v>586.34</v>
      </c>
      <c r="R252" s="13" t="s">
        <v>35</v>
      </c>
      <c r="S252" s="13" t="s">
        <v>35</v>
      </c>
      <c r="T252" s="13" t="s">
        <v>35</v>
      </c>
      <c r="U252" s="13" t="s">
        <v>35</v>
      </c>
      <c r="V252" s="13"/>
      <c r="W252" s="13"/>
      <c r="X252" s="13" t="s">
        <v>40</v>
      </c>
      <c r="Y252" s="13" t="s">
        <v>54</v>
      </c>
      <c r="Z252" s="13"/>
      <c r="AA252" s="13"/>
      <c r="AB252" s="13" t="s">
        <v>37</v>
      </c>
    </row>
    <row r="253" spans="1:28" hidden="1" x14ac:dyDescent="0.25">
      <c r="A253" s="7" t="str">
        <f>IFERROR(VLOOKUP(H253,'Contas Orç'!A:B,2,0),"N/A")</f>
        <v>PJ-OUTROS SERVICOS CONTRATADOS-PJ</v>
      </c>
      <c r="B253" s="7" t="str">
        <f t="shared" si="6"/>
        <v>330201006 - PJ-OUTROS SERVICOS CONTRATADOS-PJ</v>
      </c>
      <c r="C253" s="25">
        <f t="shared" si="7"/>
        <v>44927</v>
      </c>
      <c r="D253" s="27">
        <f>IF(K253="CREDITO",Q253,Q253*-1)</f>
        <v>586.34</v>
      </c>
      <c r="E253" s="13" t="s">
        <v>493</v>
      </c>
      <c r="F253" s="13" t="s">
        <v>48</v>
      </c>
      <c r="G253" s="14">
        <v>44927</v>
      </c>
      <c r="H253" s="13" t="s">
        <v>67</v>
      </c>
      <c r="I253" s="13" t="s">
        <v>40</v>
      </c>
      <c r="J253" s="13" t="s">
        <v>54</v>
      </c>
      <c r="K253" s="13" t="s">
        <v>29</v>
      </c>
      <c r="L253" s="13" t="s">
        <v>30</v>
      </c>
      <c r="M253" s="13" t="s">
        <v>494</v>
      </c>
      <c r="N253" s="13"/>
      <c r="O253" s="13" t="s">
        <v>56</v>
      </c>
      <c r="P253" s="13" t="s">
        <v>71</v>
      </c>
      <c r="Q253" s="13">
        <v>586.34</v>
      </c>
      <c r="R253" s="13" t="s">
        <v>35</v>
      </c>
      <c r="S253" s="13" t="s">
        <v>35</v>
      </c>
      <c r="T253" s="13" t="s">
        <v>35</v>
      </c>
      <c r="U253" s="13" t="s">
        <v>35</v>
      </c>
      <c r="V253" s="13"/>
      <c r="W253" s="13"/>
      <c r="X253" s="13" t="s">
        <v>40</v>
      </c>
      <c r="Y253" s="13" t="s">
        <v>54</v>
      </c>
      <c r="Z253" s="13"/>
      <c r="AA253" s="13"/>
      <c r="AB253" s="13" t="s">
        <v>37</v>
      </c>
    </row>
    <row r="254" spans="1:28" hidden="1" x14ac:dyDescent="0.25">
      <c r="A254" s="7" t="str">
        <f>IFERROR(VLOOKUP(H254,'Contas Orç'!A:B,2,0),"N/A")</f>
        <v>PJ-OUTROS SERVICOS CONTRATADOS-PJ</v>
      </c>
      <c r="B254" s="7" t="str">
        <f t="shared" si="6"/>
        <v>330201006 - PJ-OUTROS SERVICOS CONTRATADOS-PJ</v>
      </c>
      <c r="C254" s="25">
        <f t="shared" si="7"/>
        <v>44958</v>
      </c>
      <c r="D254" s="27">
        <f>IF(K254="CREDITO",Q254,Q254*-1)</f>
        <v>586.34</v>
      </c>
      <c r="E254" s="13" t="s">
        <v>493</v>
      </c>
      <c r="F254" s="13" t="s">
        <v>50</v>
      </c>
      <c r="G254" s="14">
        <v>44958</v>
      </c>
      <c r="H254" s="13" t="s">
        <v>67</v>
      </c>
      <c r="I254" s="13" t="s">
        <v>40</v>
      </c>
      <c r="J254" s="13" t="s">
        <v>54</v>
      </c>
      <c r="K254" s="13" t="s">
        <v>29</v>
      </c>
      <c r="L254" s="13" t="s">
        <v>30</v>
      </c>
      <c r="M254" s="13" t="s">
        <v>494</v>
      </c>
      <c r="N254" s="13"/>
      <c r="O254" s="13" t="s">
        <v>56</v>
      </c>
      <c r="P254" s="13" t="s">
        <v>71</v>
      </c>
      <c r="Q254" s="13">
        <v>586.34</v>
      </c>
      <c r="R254" s="13" t="s">
        <v>35</v>
      </c>
      <c r="S254" s="13" t="s">
        <v>35</v>
      </c>
      <c r="T254" s="13" t="s">
        <v>35</v>
      </c>
      <c r="U254" s="13" t="s">
        <v>35</v>
      </c>
      <c r="V254" s="13"/>
      <c r="W254" s="13"/>
      <c r="X254" s="13" t="s">
        <v>40</v>
      </c>
      <c r="Y254" s="13" t="s">
        <v>54</v>
      </c>
      <c r="Z254" s="13"/>
      <c r="AA254" s="13"/>
      <c r="AB254" s="13" t="s">
        <v>37</v>
      </c>
    </row>
    <row r="255" spans="1:28" hidden="1" x14ac:dyDescent="0.25">
      <c r="A255" s="7" t="str">
        <f>IFERROR(VLOOKUP(H255,'Contas Orç'!A:B,2,0),"N/A")</f>
        <v>PJ-OUTROS SERVICOS CONTRATADOS-PJ</v>
      </c>
      <c r="B255" s="7" t="str">
        <f t="shared" si="6"/>
        <v>330201006 - PJ-OUTROS SERVICOS CONTRATADOS-PJ</v>
      </c>
      <c r="C255" s="25">
        <f t="shared" si="7"/>
        <v>44986</v>
      </c>
      <c r="D255" s="27">
        <f>IF(K255="CREDITO",Q255,Q255*-1)</f>
        <v>586.34</v>
      </c>
      <c r="E255" s="13" t="s">
        <v>493</v>
      </c>
      <c r="F255" s="13" t="s">
        <v>87</v>
      </c>
      <c r="G255" s="14">
        <v>44986</v>
      </c>
      <c r="H255" s="13" t="s">
        <v>67</v>
      </c>
      <c r="I255" s="13" t="s">
        <v>40</v>
      </c>
      <c r="J255" s="13" t="s">
        <v>54</v>
      </c>
      <c r="K255" s="13" t="s">
        <v>29</v>
      </c>
      <c r="L255" s="13" t="s">
        <v>30</v>
      </c>
      <c r="M255" s="13" t="s">
        <v>494</v>
      </c>
      <c r="N255" s="13"/>
      <c r="O255" s="13" t="s">
        <v>56</v>
      </c>
      <c r="P255" s="13" t="s">
        <v>71</v>
      </c>
      <c r="Q255" s="13">
        <v>586.34</v>
      </c>
      <c r="R255" s="13" t="s">
        <v>35</v>
      </c>
      <c r="S255" s="13" t="s">
        <v>35</v>
      </c>
      <c r="T255" s="13" t="s">
        <v>35</v>
      </c>
      <c r="U255" s="13" t="s">
        <v>35</v>
      </c>
      <c r="V255" s="13"/>
      <c r="W255" s="13"/>
      <c r="X255" s="13" t="s">
        <v>40</v>
      </c>
      <c r="Y255" s="13" t="s">
        <v>54</v>
      </c>
      <c r="Z255" s="13"/>
      <c r="AA255" s="13"/>
      <c r="AB255" s="13" t="s">
        <v>37</v>
      </c>
    </row>
    <row r="256" spans="1:28" hidden="1" x14ac:dyDescent="0.25">
      <c r="A256" s="7" t="str">
        <f>IFERROR(VLOOKUP(H256,'Contas Orç'!A:B,2,0),"N/A")</f>
        <v>PJ-OUTROS SERVICOS CONTRATADOS-PJ</v>
      </c>
      <c r="B256" s="7" t="str">
        <f t="shared" si="6"/>
        <v>330201006 - PJ-OUTROS SERVICOS CONTRATADOS-PJ</v>
      </c>
      <c r="C256" s="25">
        <f t="shared" si="7"/>
        <v>45017</v>
      </c>
      <c r="D256" s="27">
        <f>IF(K256="CREDITO",Q256,Q256*-1)</f>
        <v>586.34</v>
      </c>
      <c r="E256" s="13" t="s">
        <v>493</v>
      </c>
      <c r="F256" s="13" t="s">
        <v>91</v>
      </c>
      <c r="G256" s="14">
        <v>45017</v>
      </c>
      <c r="H256" s="13" t="s">
        <v>67</v>
      </c>
      <c r="I256" s="13" t="s">
        <v>40</v>
      </c>
      <c r="J256" s="13" t="s">
        <v>54</v>
      </c>
      <c r="K256" s="13" t="s">
        <v>29</v>
      </c>
      <c r="L256" s="13" t="s">
        <v>30</v>
      </c>
      <c r="M256" s="13" t="s">
        <v>494</v>
      </c>
      <c r="N256" s="13"/>
      <c r="O256" s="13" t="s">
        <v>56</v>
      </c>
      <c r="P256" s="13" t="s">
        <v>71</v>
      </c>
      <c r="Q256" s="13">
        <v>586.34</v>
      </c>
      <c r="R256" s="13" t="s">
        <v>35</v>
      </c>
      <c r="S256" s="13" t="s">
        <v>35</v>
      </c>
      <c r="T256" s="13" t="s">
        <v>35</v>
      </c>
      <c r="U256" s="13" t="s">
        <v>35</v>
      </c>
      <c r="V256" s="13"/>
      <c r="W256" s="13"/>
      <c r="X256" s="13" t="s">
        <v>40</v>
      </c>
      <c r="Y256" s="13" t="s">
        <v>54</v>
      </c>
      <c r="Z256" s="13"/>
      <c r="AA256" s="13"/>
      <c r="AB256" s="13" t="s">
        <v>37</v>
      </c>
    </row>
    <row r="257" spans="1:28" hidden="1" x14ac:dyDescent="0.25">
      <c r="A257" s="7" t="str">
        <f>IFERROR(VLOOKUP(H257,'Contas Orç'!A:B,2,0),"N/A")</f>
        <v>PJ-OUTROS SERVICOS CONTRATADOS-PJ</v>
      </c>
      <c r="B257" s="7" t="str">
        <f t="shared" si="6"/>
        <v>330201006 - PJ-OUTROS SERVICOS CONTRATADOS-PJ</v>
      </c>
      <c r="C257" s="25">
        <f t="shared" si="7"/>
        <v>45047</v>
      </c>
      <c r="D257" s="27">
        <f>IF(K257="CREDITO",Q257,Q257*-1)</f>
        <v>586.34</v>
      </c>
      <c r="E257" s="13" t="s">
        <v>493</v>
      </c>
      <c r="F257" s="13" t="s">
        <v>94</v>
      </c>
      <c r="G257" s="14">
        <v>45047</v>
      </c>
      <c r="H257" s="13" t="s">
        <v>67</v>
      </c>
      <c r="I257" s="13" t="s">
        <v>40</v>
      </c>
      <c r="J257" s="13" t="s">
        <v>54</v>
      </c>
      <c r="K257" s="13" t="s">
        <v>29</v>
      </c>
      <c r="L257" s="13" t="s">
        <v>30</v>
      </c>
      <c r="M257" s="13" t="s">
        <v>494</v>
      </c>
      <c r="N257" s="13"/>
      <c r="O257" s="13" t="s">
        <v>56</v>
      </c>
      <c r="P257" s="13" t="s">
        <v>71</v>
      </c>
      <c r="Q257" s="13">
        <v>586.34</v>
      </c>
      <c r="R257" s="13" t="s">
        <v>35</v>
      </c>
      <c r="S257" s="13" t="s">
        <v>35</v>
      </c>
      <c r="T257" s="13" t="s">
        <v>35</v>
      </c>
      <c r="U257" s="13" t="s">
        <v>35</v>
      </c>
      <c r="V257" s="13"/>
      <c r="W257" s="13"/>
      <c r="X257" s="13" t="s">
        <v>40</v>
      </c>
      <c r="Y257" s="13" t="s">
        <v>54</v>
      </c>
      <c r="Z257" s="13"/>
      <c r="AA257" s="13"/>
      <c r="AB257" s="13" t="s">
        <v>37</v>
      </c>
    </row>
    <row r="258" spans="1:28" hidden="1" x14ac:dyDescent="0.25">
      <c r="A258" s="7" t="str">
        <f>IFERROR(VLOOKUP(H258,'Contas Orç'!A:B,2,0),"N/A")</f>
        <v>PJ-OUTROS SERVICOS CONTRATADOS-PJ</v>
      </c>
      <c r="B258" s="7" t="str">
        <f t="shared" si="6"/>
        <v>330201006 - PJ-OUTROS SERVICOS CONTRATADOS-PJ</v>
      </c>
      <c r="C258" s="25">
        <f t="shared" si="7"/>
        <v>45078</v>
      </c>
      <c r="D258" s="27">
        <f>IF(K258="CREDITO",Q258,Q258*-1)</f>
        <v>586.34</v>
      </c>
      <c r="E258" s="13" t="s">
        <v>493</v>
      </c>
      <c r="F258" s="13" t="s">
        <v>98</v>
      </c>
      <c r="G258" s="14">
        <v>45078</v>
      </c>
      <c r="H258" s="13" t="s">
        <v>67</v>
      </c>
      <c r="I258" s="13" t="s">
        <v>40</v>
      </c>
      <c r="J258" s="13" t="s">
        <v>54</v>
      </c>
      <c r="K258" s="13" t="s">
        <v>29</v>
      </c>
      <c r="L258" s="13" t="s">
        <v>30</v>
      </c>
      <c r="M258" s="13" t="s">
        <v>494</v>
      </c>
      <c r="N258" s="13"/>
      <c r="O258" s="13" t="s">
        <v>56</v>
      </c>
      <c r="P258" s="13" t="s">
        <v>71</v>
      </c>
      <c r="Q258" s="13">
        <v>586.34</v>
      </c>
      <c r="R258" s="13" t="s">
        <v>35</v>
      </c>
      <c r="S258" s="13" t="s">
        <v>35</v>
      </c>
      <c r="T258" s="13" t="s">
        <v>35</v>
      </c>
      <c r="U258" s="13" t="s">
        <v>35</v>
      </c>
      <c r="V258" s="13"/>
      <c r="W258" s="13"/>
      <c r="X258" s="13" t="s">
        <v>40</v>
      </c>
      <c r="Y258" s="13" t="s">
        <v>54</v>
      </c>
      <c r="Z258" s="13"/>
      <c r="AA258" s="13"/>
      <c r="AB258" s="13" t="s">
        <v>37</v>
      </c>
    </row>
    <row r="259" spans="1:28" hidden="1" x14ac:dyDescent="0.25">
      <c r="A259" s="7" t="str">
        <f>IFERROR(VLOOKUP(H259,'Contas Orç'!A:B,2,0),"N/A")</f>
        <v>PJ-OUTROS SERVICOS CONTRATADOS-PJ</v>
      </c>
      <c r="B259" s="7" t="str">
        <f t="shared" ref="B259:B322" si="8">_xlfn.CONCAT(H259," - ",A259)</f>
        <v>330201006 - PJ-OUTROS SERVICOS CONTRATADOS-PJ</v>
      </c>
      <c r="C259" s="25">
        <f t="shared" ref="C259:C322" si="9">DATE(YEAR(G259),MONTH(G259),1)</f>
        <v>44866</v>
      </c>
      <c r="D259" s="27">
        <f>IF(K259="CREDITO",Q259,Q259*-1)</f>
        <v>586.34</v>
      </c>
      <c r="E259" s="13" t="s">
        <v>496</v>
      </c>
      <c r="F259" s="13" t="s">
        <v>25</v>
      </c>
      <c r="G259" s="14">
        <v>44886</v>
      </c>
      <c r="H259" s="13" t="s">
        <v>67</v>
      </c>
      <c r="I259" s="13" t="s">
        <v>40</v>
      </c>
      <c r="J259" s="13" t="s">
        <v>54</v>
      </c>
      <c r="K259" s="13" t="s">
        <v>29</v>
      </c>
      <c r="L259" s="13" t="s">
        <v>43</v>
      </c>
      <c r="M259" s="13" t="s">
        <v>497</v>
      </c>
      <c r="N259" s="13"/>
      <c r="O259" s="13" t="s">
        <v>45</v>
      </c>
      <c r="P259" s="13" t="s">
        <v>261</v>
      </c>
      <c r="Q259" s="13">
        <v>586.34</v>
      </c>
      <c r="R259" s="13" t="s">
        <v>35</v>
      </c>
      <c r="S259" s="13" t="s">
        <v>35</v>
      </c>
      <c r="T259" s="13" t="s">
        <v>35</v>
      </c>
      <c r="U259" s="13" t="s">
        <v>35</v>
      </c>
      <c r="V259" s="13"/>
      <c r="W259" s="13"/>
      <c r="X259" s="13" t="s">
        <v>40</v>
      </c>
      <c r="Y259" s="13" t="s">
        <v>54</v>
      </c>
      <c r="Z259" s="13"/>
      <c r="AA259" s="13"/>
      <c r="AB259" s="13" t="s">
        <v>37</v>
      </c>
    </row>
    <row r="260" spans="1:28" hidden="1" x14ac:dyDescent="0.25">
      <c r="A260" s="7" t="str">
        <f>IFERROR(VLOOKUP(H260,'Contas Orç'!A:B,2,0),"N/A")</f>
        <v>PJ-OUTROS SERVICOS CONTRATADOS-PJ</v>
      </c>
      <c r="B260" s="7" t="str">
        <f t="shared" si="8"/>
        <v>330201006 - PJ-OUTROS SERVICOS CONTRATADOS-PJ</v>
      </c>
      <c r="C260" s="25">
        <f t="shared" si="9"/>
        <v>44866</v>
      </c>
      <c r="D260" s="27">
        <f>IF(K260="CREDITO",Q260,Q260*-1)</f>
        <v>-586.34</v>
      </c>
      <c r="E260" s="13" t="s">
        <v>496</v>
      </c>
      <c r="F260" s="13" t="s">
        <v>38</v>
      </c>
      <c r="G260" s="14">
        <v>44886</v>
      </c>
      <c r="H260" s="13" t="s">
        <v>67</v>
      </c>
      <c r="I260" s="13" t="s">
        <v>40</v>
      </c>
      <c r="J260" s="13" t="s">
        <v>54</v>
      </c>
      <c r="K260" s="13" t="s">
        <v>46</v>
      </c>
      <c r="L260" s="13" t="s">
        <v>30</v>
      </c>
      <c r="M260" s="13" t="s">
        <v>494</v>
      </c>
      <c r="N260" s="13"/>
      <c r="O260" s="13" t="s">
        <v>45</v>
      </c>
      <c r="P260" s="13" t="s">
        <v>261</v>
      </c>
      <c r="Q260" s="13">
        <v>586.34</v>
      </c>
      <c r="R260" s="13" t="s">
        <v>35</v>
      </c>
      <c r="S260" s="13" t="s">
        <v>35</v>
      </c>
      <c r="T260" s="13" t="s">
        <v>35</v>
      </c>
      <c r="U260" s="13" t="s">
        <v>35</v>
      </c>
      <c r="V260" s="13"/>
      <c r="W260" s="13"/>
      <c r="X260" s="13" t="s">
        <v>40</v>
      </c>
      <c r="Y260" s="13" t="s">
        <v>54</v>
      </c>
      <c r="Z260" s="13"/>
      <c r="AA260" s="13"/>
      <c r="AB260" s="13" t="s">
        <v>37</v>
      </c>
    </row>
    <row r="261" spans="1:28" hidden="1" x14ac:dyDescent="0.25">
      <c r="A261" s="7" t="str">
        <f>IFERROR(VLOOKUP(H261,'Contas Orç'!A:B,2,0),"N/A")</f>
        <v>RECEITA BRUTA DE TRANSPORTES</v>
      </c>
      <c r="B261" s="7" t="str">
        <f t="shared" si="8"/>
        <v>310101 - RECEITA BRUTA DE TRANSPORTES</v>
      </c>
      <c r="C261" s="25">
        <f t="shared" si="9"/>
        <v>44866</v>
      </c>
      <c r="D261" s="27">
        <f>IF(K261="CREDITO",Q261,Q261*-1)</f>
        <v>1582.57</v>
      </c>
      <c r="E261" t="s">
        <v>641</v>
      </c>
      <c r="F261" t="s">
        <v>25</v>
      </c>
      <c r="G261" s="8">
        <v>44888</v>
      </c>
      <c r="H261" t="s">
        <v>500</v>
      </c>
      <c r="I261" t="s">
        <v>27</v>
      </c>
      <c r="J261" t="s">
        <v>28</v>
      </c>
      <c r="K261" t="s">
        <v>29</v>
      </c>
      <c r="L261" t="s">
        <v>43</v>
      </c>
      <c r="M261" t="s">
        <v>642</v>
      </c>
      <c r="O261" t="s">
        <v>643</v>
      </c>
      <c r="P261" t="s">
        <v>33</v>
      </c>
      <c r="Q261" s="22">
        <v>1582.57</v>
      </c>
      <c r="R261" t="s">
        <v>35</v>
      </c>
      <c r="S261" t="s">
        <v>35</v>
      </c>
      <c r="T261" t="s">
        <v>35</v>
      </c>
      <c r="U261" t="s">
        <v>35</v>
      </c>
      <c r="V261" t="s">
        <v>645</v>
      </c>
      <c r="X261" t="s">
        <v>27</v>
      </c>
      <c r="Y261" t="s">
        <v>28</v>
      </c>
      <c r="AB261" t="s">
        <v>37</v>
      </c>
    </row>
    <row r="262" spans="1:28" hidden="1" x14ac:dyDescent="0.25">
      <c r="A262" s="7" t="str">
        <f>IFERROR(VLOOKUP(H262,'Contas Orç'!A:B,2,0),"N/A")</f>
        <v>IMOBILIZADO EM ANDAMENTO - PROPRIOS</v>
      </c>
      <c r="B262" s="7" t="str">
        <f t="shared" si="8"/>
        <v>120307001 - IMOBILIZADO EM ANDAMENTO - PROPRIOS</v>
      </c>
      <c r="C262" s="25">
        <f t="shared" si="9"/>
        <v>44866</v>
      </c>
      <c r="D262" s="27">
        <f>IF(K262="CREDITO",Q262,Q262*-1)</f>
        <v>241.77</v>
      </c>
      <c r="E262" t="s">
        <v>646</v>
      </c>
      <c r="F262" t="s">
        <v>25</v>
      </c>
      <c r="G262" s="8">
        <v>44888</v>
      </c>
      <c r="H262" t="s">
        <v>647</v>
      </c>
      <c r="I262" t="s">
        <v>68</v>
      </c>
      <c r="J262" t="s">
        <v>69</v>
      </c>
      <c r="K262" t="s">
        <v>29</v>
      </c>
      <c r="L262" t="s">
        <v>30</v>
      </c>
      <c r="M262" t="s">
        <v>648</v>
      </c>
      <c r="O262" t="s">
        <v>56</v>
      </c>
      <c r="P262" t="s">
        <v>71</v>
      </c>
      <c r="Q262">
        <v>241.77</v>
      </c>
      <c r="R262" t="s">
        <v>35</v>
      </c>
      <c r="S262" t="s">
        <v>35</v>
      </c>
      <c r="T262" t="s">
        <v>35</v>
      </c>
      <c r="U262" t="s">
        <v>35</v>
      </c>
      <c r="V262" t="s">
        <v>645</v>
      </c>
      <c r="X262" t="s">
        <v>68</v>
      </c>
      <c r="Y262" t="s">
        <v>69</v>
      </c>
      <c r="AB262" t="s">
        <v>37</v>
      </c>
    </row>
    <row r="263" spans="1:28" hidden="1" x14ac:dyDescent="0.25">
      <c r="A263" s="7" t="str">
        <f>IFERROR(VLOOKUP(H263,'Contas Orç'!A:B,2,0),"N/A")</f>
        <v>IMOBILIZADO EM ANDAMENTO - PROPRIOS</v>
      </c>
      <c r="B263" s="7" t="str">
        <f t="shared" si="8"/>
        <v>120307001 - IMOBILIZADO EM ANDAMENTO - PROPRIOS</v>
      </c>
      <c r="C263" s="25">
        <f t="shared" si="9"/>
        <v>44866</v>
      </c>
      <c r="D263" s="27">
        <f>IF(K263="CREDITO",Q263,Q263*-1)</f>
        <v>1278.3399999999999</v>
      </c>
      <c r="E263" t="s">
        <v>646</v>
      </c>
      <c r="F263" t="s">
        <v>38</v>
      </c>
      <c r="G263" s="8">
        <v>44888</v>
      </c>
      <c r="H263" t="s">
        <v>647</v>
      </c>
      <c r="I263" t="s">
        <v>68</v>
      </c>
      <c r="J263" t="s">
        <v>69</v>
      </c>
      <c r="K263" t="s">
        <v>29</v>
      </c>
      <c r="L263" t="s">
        <v>30</v>
      </c>
      <c r="M263" t="s">
        <v>648</v>
      </c>
      <c r="O263" t="s">
        <v>56</v>
      </c>
      <c r="P263" t="s">
        <v>71</v>
      </c>
      <c r="Q263" s="22">
        <v>1278.3399999999999</v>
      </c>
      <c r="R263" t="s">
        <v>35</v>
      </c>
      <c r="S263" t="s">
        <v>35</v>
      </c>
      <c r="T263" t="s">
        <v>35</v>
      </c>
      <c r="U263" t="s">
        <v>35</v>
      </c>
      <c r="V263" t="s">
        <v>645</v>
      </c>
      <c r="X263" t="s">
        <v>68</v>
      </c>
      <c r="Y263" t="s">
        <v>69</v>
      </c>
      <c r="AB263" t="s">
        <v>37</v>
      </c>
    </row>
    <row r="264" spans="1:28" hidden="1" x14ac:dyDescent="0.25">
      <c r="A264" s="7" t="str">
        <f>IFERROR(VLOOKUP(H264,'Contas Orç'!A:B,2,0),"N/A")</f>
        <v>IMOBILIZADO EM ANDAMENTO - PROPRIOS</v>
      </c>
      <c r="B264" s="7" t="str">
        <f t="shared" si="8"/>
        <v>120307001 - IMOBILIZADO EM ANDAMENTO - PROPRIOS</v>
      </c>
      <c r="C264" s="25">
        <f t="shared" si="9"/>
        <v>44866</v>
      </c>
      <c r="D264" s="27">
        <f>IF(K264="CREDITO",Q264,Q264*-1)</f>
        <v>291.2</v>
      </c>
      <c r="E264" t="s">
        <v>646</v>
      </c>
      <c r="F264" t="s">
        <v>48</v>
      </c>
      <c r="G264" s="8">
        <v>44888</v>
      </c>
      <c r="H264" t="s">
        <v>647</v>
      </c>
      <c r="I264" t="s">
        <v>68</v>
      </c>
      <c r="J264" t="s">
        <v>69</v>
      </c>
      <c r="K264" t="s">
        <v>29</v>
      </c>
      <c r="L264" t="s">
        <v>30</v>
      </c>
      <c r="M264" t="s">
        <v>651</v>
      </c>
      <c r="O264" t="s">
        <v>56</v>
      </c>
      <c r="P264" t="s">
        <v>71</v>
      </c>
      <c r="Q264">
        <v>291.2</v>
      </c>
      <c r="R264" t="s">
        <v>35</v>
      </c>
      <c r="S264" t="s">
        <v>35</v>
      </c>
      <c r="T264" t="s">
        <v>35</v>
      </c>
      <c r="U264" t="s">
        <v>35</v>
      </c>
      <c r="V264" t="s">
        <v>645</v>
      </c>
      <c r="X264" t="s">
        <v>68</v>
      </c>
      <c r="Y264" t="s">
        <v>69</v>
      </c>
      <c r="AB264" t="s">
        <v>37</v>
      </c>
    </row>
    <row r="265" spans="1:28" hidden="1" x14ac:dyDescent="0.25">
      <c r="A265" s="7" t="str">
        <f>IFERROR(VLOOKUP(H265,'Contas Orç'!A:B,2,0),"N/A")</f>
        <v>IMOBILIZADO EM ANDAMENTO - PROPRIOS</v>
      </c>
      <c r="B265" s="7" t="str">
        <f t="shared" si="8"/>
        <v>120307001 - IMOBILIZADO EM ANDAMENTO - PROPRIOS</v>
      </c>
      <c r="C265" s="25">
        <f t="shared" si="9"/>
        <v>44866</v>
      </c>
      <c r="D265" s="27">
        <f>IF(K265="CREDITO",Q265,Q265*-1)</f>
        <v>49.92</v>
      </c>
      <c r="E265" t="s">
        <v>646</v>
      </c>
      <c r="F265" t="s">
        <v>50</v>
      </c>
      <c r="G265" s="8">
        <v>44888</v>
      </c>
      <c r="H265" t="s">
        <v>647</v>
      </c>
      <c r="I265" t="s">
        <v>68</v>
      </c>
      <c r="J265" t="s">
        <v>69</v>
      </c>
      <c r="K265" t="s">
        <v>29</v>
      </c>
      <c r="L265" t="s">
        <v>30</v>
      </c>
      <c r="M265" t="s">
        <v>648</v>
      </c>
      <c r="O265" t="s">
        <v>56</v>
      </c>
      <c r="P265" t="s">
        <v>71</v>
      </c>
      <c r="Q265">
        <v>49.92</v>
      </c>
      <c r="R265" t="s">
        <v>35</v>
      </c>
      <c r="S265" t="s">
        <v>35</v>
      </c>
      <c r="T265" t="s">
        <v>35</v>
      </c>
      <c r="U265" t="s">
        <v>35</v>
      </c>
      <c r="V265" t="s">
        <v>645</v>
      </c>
      <c r="X265" t="s">
        <v>68</v>
      </c>
      <c r="Y265" t="s">
        <v>69</v>
      </c>
      <c r="AB265" t="s">
        <v>37</v>
      </c>
    </row>
    <row r="266" spans="1:28" hidden="1" x14ac:dyDescent="0.25">
      <c r="A266" s="7" t="str">
        <f>IFERROR(VLOOKUP(H266,'Contas Orç'!A:B,2,0),"N/A")</f>
        <v>IMOBILIZADO EM ANDAMENTO - PROPRIOS</v>
      </c>
      <c r="B266" s="7" t="str">
        <f t="shared" si="8"/>
        <v>120307001 - IMOBILIZADO EM ANDAMENTO - PROPRIOS</v>
      </c>
      <c r="C266" s="25">
        <f t="shared" si="9"/>
        <v>44866</v>
      </c>
      <c r="D266" s="27">
        <f>IF(K266="CREDITO",Q266,Q266*-1)</f>
        <v>205.59</v>
      </c>
      <c r="E266" t="s">
        <v>646</v>
      </c>
      <c r="F266" t="s">
        <v>87</v>
      </c>
      <c r="G266" s="8">
        <v>44888</v>
      </c>
      <c r="H266" t="s">
        <v>647</v>
      </c>
      <c r="I266" t="s">
        <v>68</v>
      </c>
      <c r="J266" t="s">
        <v>69</v>
      </c>
      <c r="K266" t="s">
        <v>29</v>
      </c>
      <c r="L266" t="s">
        <v>30</v>
      </c>
      <c r="M266" t="s">
        <v>654</v>
      </c>
      <c r="O266" t="s">
        <v>56</v>
      </c>
      <c r="P266" t="s">
        <v>71</v>
      </c>
      <c r="Q266">
        <v>205.59</v>
      </c>
      <c r="R266" t="s">
        <v>35</v>
      </c>
      <c r="S266" t="s">
        <v>35</v>
      </c>
      <c r="T266" t="s">
        <v>35</v>
      </c>
      <c r="U266" t="s">
        <v>35</v>
      </c>
      <c r="V266" t="s">
        <v>645</v>
      </c>
      <c r="X266" t="s">
        <v>68</v>
      </c>
      <c r="Y266" t="s">
        <v>69</v>
      </c>
      <c r="AB266" t="s">
        <v>37</v>
      </c>
    </row>
    <row r="267" spans="1:28" hidden="1" x14ac:dyDescent="0.25">
      <c r="A267" s="7" t="str">
        <f>IFERROR(VLOOKUP(H267,'Contas Orç'!A:B,2,0),"N/A")</f>
        <v>IMOBILIZADO EM ANDAMENTO - PROPRIOS</v>
      </c>
      <c r="B267" s="7" t="str">
        <f t="shared" si="8"/>
        <v>120307001 - IMOBILIZADO EM ANDAMENTO - PROPRIOS</v>
      </c>
      <c r="C267" s="25">
        <f t="shared" si="9"/>
        <v>44866</v>
      </c>
      <c r="D267" s="27">
        <f>IF(K267="CREDITO",Q267,Q267*-1)</f>
        <v>49.9</v>
      </c>
      <c r="E267" t="s">
        <v>646</v>
      </c>
      <c r="F267" t="s">
        <v>91</v>
      </c>
      <c r="G267" s="8">
        <v>44888</v>
      </c>
      <c r="H267" t="s">
        <v>647</v>
      </c>
      <c r="I267" t="s">
        <v>68</v>
      </c>
      <c r="J267" t="s">
        <v>69</v>
      </c>
      <c r="K267" t="s">
        <v>29</v>
      </c>
      <c r="L267" t="s">
        <v>30</v>
      </c>
      <c r="M267" t="s">
        <v>654</v>
      </c>
      <c r="O267" t="s">
        <v>56</v>
      </c>
      <c r="P267" t="s">
        <v>71</v>
      </c>
      <c r="Q267">
        <v>49.9</v>
      </c>
      <c r="R267" t="s">
        <v>35</v>
      </c>
      <c r="S267" t="s">
        <v>35</v>
      </c>
      <c r="T267" t="s">
        <v>35</v>
      </c>
      <c r="U267" t="s">
        <v>35</v>
      </c>
      <c r="V267" t="s">
        <v>645</v>
      </c>
      <c r="X267" t="s">
        <v>68</v>
      </c>
      <c r="Y267" t="s">
        <v>69</v>
      </c>
      <c r="AB267" t="s">
        <v>37</v>
      </c>
    </row>
    <row r="268" spans="1:28" hidden="1" x14ac:dyDescent="0.25">
      <c r="A268" s="7" t="str">
        <f>IFERROR(VLOOKUP(H268,'Contas Orç'!A:B,2,0),"N/A")</f>
        <v>IMOBILIZADO EM ANDAMENTO - PROPRIOS</v>
      </c>
      <c r="B268" s="7" t="str">
        <f t="shared" si="8"/>
        <v>120307001 - IMOBILIZADO EM ANDAMENTO - PROPRIOS</v>
      </c>
      <c r="C268" s="25">
        <f t="shared" si="9"/>
        <v>44866</v>
      </c>
      <c r="D268" s="27">
        <f>IF(K268="CREDITO",Q268,Q268*-1)</f>
        <v>20924.580000000002</v>
      </c>
      <c r="E268" t="s">
        <v>657</v>
      </c>
      <c r="F268" t="s">
        <v>25</v>
      </c>
      <c r="G268" s="8">
        <v>44888</v>
      </c>
      <c r="H268" t="s">
        <v>647</v>
      </c>
      <c r="I268" t="s">
        <v>68</v>
      </c>
      <c r="J268" t="s">
        <v>69</v>
      </c>
      <c r="K268" t="s">
        <v>29</v>
      </c>
      <c r="L268" t="s">
        <v>30</v>
      </c>
      <c r="M268" t="s">
        <v>658</v>
      </c>
      <c r="O268" t="s">
        <v>56</v>
      </c>
      <c r="P268" t="s">
        <v>71</v>
      </c>
      <c r="Q268" s="22">
        <v>20924.580000000002</v>
      </c>
      <c r="R268" t="s">
        <v>35</v>
      </c>
      <c r="S268" t="s">
        <v>35</v>
      </c>
      <c r="T268" t="s">
        <v>35</v>
      </c>
      <c r="U268" t="s">
        <v>35</v>
      </c>
      <c r="V268" t="s">
        <v>645</v>
      </c>
      <c r="X268" t="s">
        <v>68</v>
      </c>
      <c r="Y268" t="s">
        <v>69</v>
      </c>
      <c r="AB268" t="s">
        <v>37</v>
      </c>
    </row>
    <row r="269" spans="1:28" hidden="1" x14ac:dyDescent="0.25">
      <c r="A269" s="7" t="str">
        <f>IFERROR(VLOOKUP(H269,'Contas Orç'!A:B,2,0),"N/A")</f>
        <v>MOVEIS E UTENSILIOS</v>
      </c>
      <c r="B269" s="7" t="str">
        <f t="shared" si="8"/>
        <v>120302001 - MOVEIS E UTENSILIOS</v>
      </c>
      <c r="C269" s="25">
        <f t="shared" si="9"/>
        <v>44866</v>
      </c>
      <c r="D269" s="27">
        <f>IF(K269="CREDITO",Q269,Q269*-1)</f>
        <v>3482.58</v>
      </c>
      <c r="E269" t="s">
        <v>669</v>
      </c>
      <c r="F269" t="s">
        <v>25</v>
      </c>
      <c r="G269" s="8">
        <v>44888</v>
      </c>
      <c r="H269" t="s">
        <v>670</v>
      </c>
      <c r="I269" t="s">
        <v>59</v>
      </c>
      <c r="J269" t="s">
        <v>60</v>
      </c>
      <c r="K269" t="s">
        <v>29</v>
      </c>
      <c r="L269" t="s">
        <v>30</v>
      </c>
      <c r="M269" t="s">
        <v>671</v>
      </c>
      <c r="O269" t="s">
        <v>56</v>
      </c>
      <c r="P269" t="s">
        <v>71</v>
      </c>
      <c r="Q269" s="22">
        <v>3482.58</v>
      </c>
      <c r="R269" t="s">
        <v>35</v>
      </c>
      <c r="S269" t="s">
        <v>35</v>
      </c>
      <c r="T269" t="s">
        <v>35</v>
      </c>
      <c r="U269" t="s">
        <v>35</v>
      </c>
      <c r="V269" t="s">
        <v>645</v>
      </c>
      <c r="X269" t="s">
        <v>59</v>
      </c>
      <c r="Y269" t="s">
        <v>60</v>
      </c>
      <c r="AB269" t="s">
        <v>37</v>
      </c>
    </row>
    <row r="270" spans="1:28" hidden="1" x14ac:dyDescent="0.25">
      <c r="A270" s="7" t="str">
        <f>IFERROR(VLOOKUP(H270,'Contas Orç'!A:B,2,0),"N/A")</f>
        <v>IMOBILIZADO EM ANDAMENTO - PROPRIOS</v>
      </c>
      <c r="B270" s="7" t="str">
        <f t="shared" si="8"/>
        <v>120307001 - IMOBILIZADO EM ANDAMENTO - PROPRIOS</v>
      </c>
      <c r="C270" s="25">
        <f t="shared" si="9"/>
        <v>44866</v>
      </c>
      <c r="D270" s="27">
        <f>IF(K270="CREDITO",Q270,Q270*-1)</f>
        <v>1568.88</v>
      </c>
      <c r="E270" t="s">
        <v>689</v>
      </c>
      <c r="F270" t="s">
        <v>25</v>
      </c>
      <c r="G270" s="8">
        <v>44888</v>
      </c>
      <c r="H270" t="s">
        <v>647</v>
      </c>
      <c r="I270" t="s">
        <v>68</v>
      </c>
      <c r="J270" t="s">
        <v>69</v>
      </c>
      <c r="K270" t="s">
        <v>29</v>
      </c>
      <c r="L270" t="s">
        <v>30</v>
      </c>
      <c r="M270" s="6" t="s">
        <v>690</v>
      </c>
      <c r="O270" t="s">
        <v>56</v>
      </c>
      <c r="P270" t="s">
        <v>71</v>
      </c>
      <c r="Q270" s="22">
        <v>1568.88</v>
      </c>
      <c r="R270" t="s">
        <v>35</v>
      </c>
      <c r="S270" t="s">
        <v>35</v>
      </c>
      <c r="T270" t="s">
        <v>35</v>
      </c>
      <c r="U270" t="s">
        <v>35</v>
      </c>
      <c r="V270" t="s">
        <v>645</v>
      </c>
      <c r="X270" t="s">
        <v>68</v>
      </c>
      <c r="Y270" t="s">
        <v>69</v>
      </c>
      <c r="AB270" t="s">
        <v>37</v>
      </c>
    </row>
    <row r="271" spans="1:28" hidden="1" x14ac:dyDescent="0.25">
      <c r="A271" s="7" t="str">
        <f>IFERROR(VLOOKUP(H271,'Contas Orç'!A:B,2,0),"N/A")</f>
        <v>MOVEIS E UTENSILIOS</v>
      </c>
      <c r="B271" s="7" t="str">
        <f t="shared" si="8"/>
        <v>120302001 - MOVEIS E UTENSILIOS</v>
      </c>
      <c r="C271" s="25">
        <f t="shared" si="9"/>
        <v>44866</v>
      </c>
      <c r="D271" s="27">
        <f>IF(K271="CREDITO",Q271,Q271*-1)</f>
        <v>2090</v>
      </c>
      <c r="E271" t="s">
        <v>692</v>
      </c>
      <c r="F271" t="s">
        <v>25</v>
      </c>
      <c r="G271" s="8">
        <v>44888</v>
      </c>
      <c r="H271" t="s">
        <v>670</v>
      </c>
      <c r="I271" t="s">
        <v>53</v>
      </c>
      <c r="J271" t="s">
        <v>54</v>
      </c>
      <c r="K271" t="s">
        <v>29</v>
      </c>
      <c r="L271" t="s">
        <v>30</v>
      </c>
      <c r="M271" s="6" t="s">
        <v>693</v>
      </c>
      <c r="O271" t="s">
        <v>56</v>
      </c>
      <c r="P271" t="s">
        <v>71</v>
      </c>
      <c r="Q271" s="22">
        <v>2090</v>
      </c>
      <c r="R271" t="s">
        <v>35</v>
      </c>
      <c r="S271" t="s">
        <v>35</v>
      </c>
      <c r="T271" t="s">
        <v>35</v>
      </c>
      <c r="U271" t="s">
        <v>35</v>
      </c>
      <c r="V271" t="s">
        <v>645</v>
      </c>
      <c r="X271" t="s">
        <v>53</v>
      </c>
      <c r="Y271" t="s">
        <v>54</v>
      </c>
      <c r="AB271" t="s">
        <v>37</v>
      </c>
    </row>
    <row r="272" spans="1:28" hidden="1" x14ac:dyDescent="0.25">
      <c r="A272" s="7" t="str">
        <f>IFERROR(VLOOKUP(H272,'Contas Orç'!A:B,2,0),"N/A")</f>
        <v>RECEITA BRUTA DE TRANSPORTES</v>
      </c>
      <c r="B272" s="7" t="str">
        <f t="shared" si="8"/>
        <v>310101 - RECEITA BRUTA DE TRANSPORTES</v>
      </c>
      <c r="C272" s="25">
        <f t="shared" si="9"/>
        <v>44866</v>
      </c>
      <c r="D272" s="27">
        <f>IF(K272="CREDITO",Q272,Q272*-1)</f>
        <v>1710.82</v>
      </c>
      <c r="E272" t="s">
        <v>712</v>
      </c>
      <c r="F272" t="s">
        <v>25</v>
      </c>
      <c r="G272" s="8">
        <v>44888</v>
      </c>
      <c r="H272" t="s">
        <v>500</v>
      </c>
      <c r="I272" t="s">
        <v>27</v>
      </c>
      <c r="J272" t="s">
        <v>28</v>
      </c>
      <c r="K272" t="s">
        <v>29</v>
      </c>
      <c r="L272" t="s">
        <v>43</v>
      </c>
      <c r="M272" s="6" t="s">
        <v>713</v>
      </c>
      <c r="O272" t="s">
        <v>643</v>
      </c>
      <c r="P272" t="s">
        <v>663</v>
      </c>
      <c r="Q272" s="22">
        <v>1710.82</v>
      </c>
      <c r="R272" t="s">
        <v>35</v>
      </c>
      <c r="S272" t="s">
        <v>35</v>
      </c>
      <c r="T272" t="s">
        <v>35</v>
      </c>
      <c r="U272" t="s">
        <v>35</v>
      </c>
      <c r="V272" t="s">
        <v>645</v>
      </c>
      <c r="X272" t="s">
        <v>27</v>
      </c>
      <c r="Y272" t="s">
        <v>28</v>
      </c>
      <c r="AB272" t="s">
        <v>37</v>
      </c>
    </row>
    <row r="273" spans="1:28" hidden="1" x14ac:dyDescent="0.25">
      <c r="A273" s="7" t="str">
        <f>IFERROR(VLOOKUP(H273,'Contas Orç'!A:B,2,0),"N/A")</f>
        <v>RECEITA BRUTA DE TRANSPORTES</v>
      </c>
      <c r="B273" s="7" t="str">
        <f t="shared" si="8"/>
        <v>310101 - RECEITA BRUTA DE TRANSPORTES</v>
      </c>
      <c r="C273" s="25">
        <f t="shared" si="9"/>
        <v>44866</v>
      </c>
      <c r="D273" s="27">
        <f>IF(K273="CREDITO",Q273,Q273*-1)</f>
        <v>500</v>
      </c>
      <c r="E273" t="s">
        <v>715</v>
      </c>
      <c r="F273" t="s">
        <v>25</v>
      </c>
      <c r="G273" s="8">
        <v>44888</v>
      </c>
      <c r="H273" t="s">
        <v>500</v>
      </c>
      <c r="I273" t="s">
        <v>27</v>
      </c>
      <c r="J273" t="s">
        <v>28</v>
      </c>
      <c r="K273" t="s">
        <v>29</v>
      </c>
      <c r="L273" t="s">
        <v>43</v>
      </c>
      <c r="M273" t="s">
        <v>716</v>
      </c>
      <c r="O273" t="s">
        <v>643</v>
      </c>
      <c r="P273" t="s">
        <v>663</v>
      </c>
      <c r="Q273">
        <v>500</v>
      </c>
      <c r="R273" t="s">
        <v>35</v>
      </c>
      <c r="S273" t="s">
        <v>35</v>
      </c>
      <c r="T273" t="s">
        <v>35</v>
      </c>
      <c r="U273" t="s">
        <v>35</v>
      </c>
      <c r="V273" t="s">
        <v>645</v>
      </c>
      <c r="X273" t="s">
        <v>27</v>
      </c>
      <c r="Y273" t="s">
        <v>28</v>
      </c>
      <c r="AB273" t="s">
        <v>37</v>
      </c>
    </row>
    <row r="274" spans="1:28" hidden="1" x14ac:dyDescent="0.25">
      <c r="A274" s="7" t="str">
        <f>IFERROR(VLOOKUP(H274,'Contas Orç'!A:B,2,0),"N/A")</f>
        <v>RECEITA BRUTA DE TRANSPORTES</v>
      </c>
      <c r="B274" s="7" t="str">
        <f t="shared" si="8"/>
        <v>310101 - RECEITA BRUTA DE TRANSPORTES</v>
      </c>
      <c r="C274" s="25">
        <f t="shared" si="9"/>
        <v>44866</v>
      </c>
      <c r="D274" s="27">
        <f>IF(K274="CREDITO",Q274,Q274*-1)</f>
        <v>6378.28</v>
      </c>
      <c r="E274" t="s">
        <v>718</v>
      </c>
      <c r="F274" t="s">
        <v>25</v>
      </c>
      <c r="G274" s="8">
        <v>44888</v>
      </c>
      <c r="H274" t="s">
        <v>500</v>
      </c>
      <c r="I274" t="s">
        <v>27</v>
      </c>
      <c r="J274" t="s">
        <v>28</v>
      </c>
      <c r="K274" t="s">
        <v>29</v>
      </c>
      <c r="L274" t="s">
        <v>43</v>
      </c>
      <c r="M274" s="17" t="s">
        <v>719</v>
      </c>
      <c r="O274" t="s">
        <v>643</v>
      </c>
      <c r="P274" t="s">
        <v>663</v>
      </c>
      <c r="Q274" s="22">
        <v>6378.28</v>
      </c>
      <c r="R274" t="s">
        <v>35</v>
      </c>
      <c r="S274" t="s">
        <v>35</v>
      </c>
      <c r="T274" t="s">
        <v>35</v>
      </c>
      <c r="U274" t="s">
        <v>35</v>
      </c>
      <c r="V274" t="s">
        <v>645</v>
      </c>
      <c r="X274" t="s">
        <v>27</v>
      </c>
      <c r="Y274" t="s">
        <v>28</v>
      </c>
      <c r="AB274" t="s">
        <v>37</v>
      </c>
    </row>
    <row r="275" spans="1:28" hidden="1" x14ac:dyDescent="0.25">
      <c r="A275" s="7" t="str">
        <f>IFERROR(VLOOKUP(H275,'Contas Orç'!A:B,2,0),"N/A")</f>
        <v>RECEITA BRUTA DE TRANSPORTES</v>
      </c>
      <c r="B275" s="7" t="str">
        <f t="shared" si="8"/>
        <v>310101 - RECEITA BRUTA DE TRANSPORTES</v>
      </c>
      <c r="C275" s="25">
        <f t="shared" si="9"/>
        <v>44866</v>
      </c>
      <c r="D275" s="27">
        <f>IF(K275="CREDITO",Q275,Q275*-1)</f>
        <v>14521.11</v>
      </c>
      <c r="E275" t="s">
        <v>721</v>
      </c>
      <c r="F275" t="s">
        <v>25</v>
      </c>
      <c r="G275" s="8">
        <v>44888</v>
      </c>
      <c r="H275" t="s">
        <v>500</v>
      </c>
      <c r="I275" t="s">
        <v>27</v>
      </c>
      <c r="J275" t="s">
        <v>28</v>
      </c>
      <c r="K275" t="s">
        <v>29</v>
      </c>
      <c r="L275" t="s">
        <v>43</v>
      </c>
      <c r="M275" s="6" t="s">
        <v>722</v>
      </c>
      <c r="O275" t="s">
        <v>643</v>
      </c>
      <c r="P275" t="s">
        <v>663</v>
      </c>
      <c r="Q275" s="22">
        <v>14521.11</v>
      </c>
      <c r="R275" t="s">
        <v>35</v>
      </c>
      <c r="S275" t="s">
        <v>35</v>
      </c>
      <c r="T275" t="s">
        <v>35</v>
      </c>
      <c r="U275" t="s">
        <v>35</v>
      </c>
      <c r="V275" t="s">
        <v>645</v>
      </c>
      <c r="X275" t="s">
        <v>27</v>
      </c>
      <c r="Y275" t="s">
        <v>28</v>
      </c>
      <c r="AB275" t="s">
        <v>37</v>
      </c>
    </row>
    <row r="276" spans="1:28" hidden="1" x14ac:dyDescent="0.25">
      <c r="A276" s="7" t="str">
        <f>IFERROR(VLOOKUP(H276,'Contas Orç'!A:B,2,0),"N/A")</f>
        <v>RECEITA BRUTA DE TRANSPORTES</v>
      </c>
      <c r="B276" s="7" t="str">
        <f t="shared" si="8"/>
        <v>310101 - RECEITA BRUTA DE TRANSPORTES</v>
      </c>
      <c r="C276" s="25">
        <f t="shared" si="9"/>
        <v>44866</v>
      </c>
      <c r="D276" s="27">
        <f>IF(K276="CREDITO",Q276,Q276*-1)</f>
        <v>46637.93</v>
      </c>
      <c r="E276" t="s">
        <v>724</v>
      </c>
      <c r="F276" t="s">
        <v>25</v>
      </c>
      <c r="G276" s="8">
        <v>44889</v>
      </c>
      <c r="H276" t="s">
        <v>500</v>
      </c>
      <c r="I276" t="s">
        <v>27</v>
      </c>
      <c r="J276" t="s">
        <v>28</v>
      </c>
      <c r="K276" t="s">
        <v>29</v>
      </c>
      <c r="L276" t="s">
        <v>43</v>
      </c>
      <c r="M276" s="6" t="s">
        <v>725</v>
      </c>
      <c r="O276" t="s">
        <v>643</v>
      </c>
      <c r="P276" t="s">
        <v>663</v>
      </c>
      <c r="Q276" s="22">
        <v>46637.93</v>
      </c>
      <c r="R276" t="s">
        <v>35</v>
      </c>
      <c r="S276" t="s">
        <v>35</v>
      </c>
      <c r="T276" t="s">
        <v>35</v>
      </c>
      <c r="U276" t="s">
        <v>35</v>
      </c>
      <c r="V276" t="s">
        <v>645</v>
      </c>
      <c r="X276" t="s">
        <v>27</v>
      </c>
      <c r="Y276" t="s">
        <v>28</v>
      </c>
      <c r="AB276" t="s">
        <v>37</v>
      </c>
    </row>
    <row r="277" spans="1:28" hidden="1" x14ac:dyDescent="0.25">
      <c r="A277" s="7" t="str">
        <f>IFERROR(VLOOKUP(H277,'Contas Orç'!A:B,2,0),"N/A")</f>
        <v>RECEITA BRUTA DE TRANSPORTES</v>
      </c>
      <c r="B277" s="7" t="str">
        <f t="shared" si="8"/>
        <v>310101 - RECEITA BRUTA DE TRANSPORTES</v>
      </c>
      <c r="C277" s="25">
        <f t="shared" si="9"/>
        <v>44866</v>
      </c>
      <c r="D277" s="27">
        <f>IF(K277="CREDITO",Q277,Q277*-1)</f>
        <v>8800</v>
      </c>
      <c r="E277" t="s">
        <v>727</v>
      </c>
      <c r="F277" t="s">
        <v>25</v>
      </c>
      <c r="G277" s="8">
        <v>44889</v>
      </c>
      <c r="H277" t="s">
        <v>500</v>
      </c>
      <c r="I277" t="s">
        <v>27</v>
      </c>
      <c r="J277" t="s">
        <v>28</v>
      </c>
      <c r="K277" t="s">
        <v>29</v>
      </c>
      <c r="L277" t="s">
        <v>43</v>
      </c>
      <c r="M277" s="6" t="s">
        <v>728</v>
      </c>
      <c r="O277" t="s">
        <v>643</v>
      </c>
      <c r="P277" t="s">
        <v>663</v>
      </c>
      <c r="Q277" s="22">
        <v>8800</v>
      </c>
      <c r="R277" t="s">
        <v>35</v>
      </c>
      <c r="S277" t="s">
        <v>35</v>
      </c>
      <c r="T277" t="s">
        <v>35</v>
      </c>
      <c r="U277" t="s">
        <v>35</v>
      </c>
      <c r="V277" t="s">
        <v>645</v>
      </c>
      <c r="X277" t="s">
        <v>27</v>
      </c>
      <c r="Y277" t="s">
        <v>28</v>
      </c>
      <c r="AB277" t="s">
        <v>37</v>
      </c>
    </row>
    <row r="278" spans="1:28" hidden="1" x14ac:dyDescent="0.25">
      <c r="A278" s="7" t="str">
        <f>IFERROR(VLOOKUP(H278,'Contas Orç'!A:B,2,0),"N/A")</f>
        <v>RECEITA BRUTA DE TRANSPORTES</v>
      </c>
      <c r="B278" s="7" t="str">
        <f t="shared" si="8"/>
        <v>310101 - RECEITA BRUTA DE TRANSPORTES</v>
      </c>
      <c r="C278" s="25">
        <f t="shared" si="9"/>
        <v>44866</v>
      </c>
      <c r="D278" s="27">
        <f>IF(K278="CREDITO",Q278,Q278*-1)</f>
        <v>1363.81</v>
      </c>
      <c r="E278" t="s">
        <v>733</v>
      </c>
      <c r="F278" t="s">
        <v>25</v>
      </c>
      <c r="G278" s="8">
        <v>44889</v>
      </c>
      <c r="H278" t="s">
        <v>500</v>
      </c>
      <c r="I278" t="s">
        <v>27</v>
      </c>
      <c r="J278" t="s">
        <v>28</v>
      </c>
      <c r="K278" t="s">
        <v>29</v>
      </c>
      <c r="L278" t="s">
        <v>43</v>
      </c>
      <c r="M278" s="6" t="s">
        <v>734</v>
      </c>
      <c r="O278" t="s">
        <v>643</v>
      </c>
      <c r="P278" t="s">
        <v>663</v>
      </c>
      <c r="Q278" s="22">
        <v>1363.81</v>
      </c>
      <c r="R278" t="s">
        <v>35</v>
      </c>
      <c r="S278" t="s">
        <v>35</v>
      </c>
      <c r="T278" t="s">
        <v>35</v>
      </c>
      <c r="U278" t="s">
        <v>35</v>
      </c>
      <c r="V278" t="s">
        <v>645</v>
      </c>
      <c r="X278" t="s">
        <v>27</v>
      </c>
      <c r="Y278" t="s">
        <v>28</v>
      </c>
      <c r="AB278" t="s">
        <v>37</v>
      </c>
    </row>
    <row r="279" spans="1:28" hidden="1" x14ac:dyDescent="0.25">
      <c r="A279" s="7" t="str">
        <f>IFERROR(VLOOKUP(H279,'Contas Orç'!A:B,2,0),"N/A")</f>
        <v>IMOBILIZADO EM ANDAMENTO - PROPRIOS</v>
      </c>
      <c r="B279" s="7" t="str">
        <f t="shared" si="8"/>
        <v>120307001 - IMOBILIZADO EM ANDAMENTO - PROPRIOS</v>
      </c>
      <c r="C279" s="25">
        <f t="shared" si="9"/>
        <v>44866</v>
      </c>
      <c r="D279" s="27">
        <f>IF(K279="CREDITO",Q279,Q279*-1)</f>
        <v>20924.580000000002</v>
      </c>
      <c r="E279" t="s">
        <v>743</v>
      </c>
      <c r="F279" t="s">
        <v>25</v>
      </c>
      <c r="G279" s="8">
        <v>44889</v>
      </c>
      <c r="H279" t="s">
        <v>647</v>
      </c>
      <c r="I279" t="s">
        <v>68</v>
      </c>
      <c r="J279" t="s">
        <v>69</v>
      </c>
      <c r="K279" t="s">
        <v>29</v>
      </c>
      <c r="L279" t="s">
        <v>43</v>
      </c>
      <c r="M279" s="6" t="s">
        <v>744</v>
      </c>
      <c r="O279" t="s">
        <v>45</v>
      </c>
      <c r="P279" t="s">
        <v>261</v>
      </c>
      <c r="Q279" s="22">
        <v>20924.580000000002</v>
      </c>
      <c r="R279" t="s">
        <v>35</v>
      </c>
      <c r="S279" t="s">
        <v>35</v>
      </c>
      <c r="T279" t="s">
        <v>35</v>
      </c>
      <c r="U279" t="s">
        <v>35</v>
      </c>
      <c r="V279" t="s">
        <v>645</v>
      </c>
      <c r="X279" t="s">
        <v>68</v>
      </c>
      <c r="Y279" t="s">
        <v>69</v>
      </c>
      <c r="AB279" t="s">
        <v>37</v>
      </c>
    </row>
    <row r="280" spans="1:28" hidden="1" x14ac:dyDescent="0.25">
      <c r="A280" s="7" t="str">
        <f>IFERROR(VLOOKUP(H280,'Contas Orç'!A:B,2,0),"N/A")</f>
        <v>IMOBILIZADO EM ANDAMENTO - PROPRIOS</v>
      </c>
      <c r="B280" s="7" t="str">
        <f t="shared" si="8"/>
        <v>120307001 - IMOBILIZADO EM ANDAMENTO - PROPRIOS</v>
      </c>
      <c r="C280" s="25">
        <f t="shared" si="9"/>
        <v>44866</v>
      </c>
      <c r="D280" s="27">
        <f>IF(K280="CREDITO",Q280,Q280*-1)</f>
        <v>-20924.580000000002</v>
      </c>
      <c r="E280" t="s">
        <v>743</v>
      </c>
      <c r="F280" t="s">
        <v>38</v>
      </c>
      <c r="G280" s="8">
        <v>44889</v>
      </c>
      <c r="H280" t="s">
        <v>647</v>
      </c>
      <c r="I280" t="s">
        <v>68</v>
      </c>
      <c r="J280" t="s">
        <v>69</v>
      </c>
      <c r="K280" t="s">
        <v>46</v>
      </c>
      <c r="L280" t="s">
        <v>30</v>
      </c>
      <c r="M280" t="s">
        <v>658</v>
      </c>
      <c r="O280" t="s">
        <v>45</v>
      </c>
      <c r="P280" t="s">
        <v>261</v>
      </c>
      <c r="Q280" s="22">
        <v>20924.580000000002</v>
      </c>
      <c r="R280" t="s">
        <v>35</v>
      </c>
      <c r="S280" t="s">
        <v>35</v>
      </c>
      <c r="T280" t="s">
        <v>35</v>
      </c>
      <c r="U280" t="s">
        <v>35</v>
      </c>
      <c r="V280" t="s">
        <v>645</v>
      </c>
      <c r="X280" t="s">
        <v>68</v>
      </c>
      <c r="Y280" t="s">
        <v>69</v>
      </c>
      <c r="AB280" t="s">
        <v>37</v>
      </c>
    </row>
    <row r="281" spans="1:28" hidden="1" x14ac:dyDescent="0.25">
      <c r="A281" s="7" t="str">
        <f>IFERROR(VLOOKUP(H281,'Contas Orç'!A:B,2,0),"N/A")</f>
        <v>MOVEIS E UTENSILIOS</v>
      </c>
      <c r="B281" s="7" t="str">
        <f t="shared" si="8"/>
        <v>120302001 - MOVEIS E UTENSILIOS</v>
      </c>
      <c r="C281" s="25">
        <f t="shared" si="9"/>
        <v>44866</v>
      </c>
      <c r="D281" s="27">
        <f>IF(K281="CREDITO",Q281,Q281*-1)</f>
        <v>2090</v>
      </c>
      <c r="E281" t="s">
        <v>745</v>
      </c>
      <c r="F281" t="s">
        <v>25</v>
      </c>
      <c r="G281" s="8">
        <v>44889</v>
      </c>
      <c r="H281" t="s">
        <v>670</v>
      </c>
      <c r="I281" t="s">
        <v>53</v>
      </c>
      <c r="J281" t="s">
        <v>54</v>
      </c>
      <c r="K281" t="s">
        <v>29</v>
      </c>
      <c r="L281" t="s">
        <v>43</v>
      </c>
      <c r="M281" t="s">
        <v>746</v>
      </c>
      <c r="O281" t="s">
        <v>45</v>
      </c>
      <c r="P281" t="s">
        <v>476</v>
      </c>
      <c r="Q281" s="22">
        <v>2090</v>
      </c>
      <c r="R281" t="s">
        <v>35</v>
      </c>
      <c r="S281" t="s">
        <v>35</v>
      </c>
      <c r="T281" t="s">
        <v>35</v>
      </c>
      <c r="U281" t="s">
        <v>35</v>
      </c>
      <c r="V281" t="s">
        <v>645</v>
      </c>
      <c r="X281" t="s">
        <v>53</v>
      </c>
      <c r="Y281" t="s">
        <v>54</v>
      </c>
      <c r="AB281" t="s">
        <v>37</v>
      </c>
    </row>
    <row r="282" spans="1:28" hidden="1" x14ac:dyDescent="0.25">
      <c r="A282" s="7" t="str">
        <f>IFERROR(VLOOKUP(H282,'Contas Orç'!A:B,2,0),"N/A")</f>
        <v>MOVEIS E UTENSILIOS</v>
      </c>
      <c r="B282" s="7" t="str">
        <f t="shared" si="8"/>
        <v>120302001 - MOVEIS E UTENSILIOS</v>
      </c>
      <c r="C282" s="25">
        <f t="shared" si="9"/>
        <v>44866</v>
      </c>
      <c r="D282" s="27">
        <f>IF(K282="CREDITO",Q282,Q282*-1)</f>
        <v>-2090</v>
      </c>
      <c r="E282" t="s">
        <v>745</v>
      </c>
      <c r="F282" t="s">
        <v>38</v>
      </c>
      <c r="G282" s="8">
        <v>44889</v>
      </c>
      <c r="H282" t="s">
        <v>670</v>
      </c>
      <c r="I282" t="s">
        <v>53</v>
      </c>
      <c r="J282" t="s">
        <v>54</v>
      </c>
      <c r="K282" t="s">
        <v>46</v>
      </c>
      <c r="L282" t="s">
        <v>30</v>
      </c>
      <c r="M282" s="17" t="s">
        <v>693</v>
      </c>
      <c r="O282" t="s">
        <v>45</v>
      </c>
      <c r="P282" t="s">
        <v>476</v>
      </c>
      <c r="Q282" s="22">
        <v>2090</v>
      </c>
      <c r="R282" t="s">
        <v>35</v>
      </c>
      <c r="S282" t="s">
        <v>35</v>
      </c>
      <c r="T282" t="s">
        <v>35</v>
      </c>
      <c r="U282" t="s">
        <v>35</v>
      </c>
      <c r="V282" t="s">
        <v>645</v>
      </c>
      <c r="X282" t="s">
        <v>53</v>
      </c>
      <c r="Y282" t="s">
        <v>54</v>
      </c>
      <c r="AB282" t="s">
        <v>37</v>
      </c>
    </row>
    <row r="283" spans="1:28" hidden="1" x14ac:dyDescent="0.25">
      <c r="A283" s="7" t="str">
        <f>IFERROR(VLOOKUP(H283,'Contas Orç'!A:B,2,0),"N/A")</f>
        <v>IMOBILIZADO EM ANDAMENTO - PROPRIOS</v>
      </c>
      <c r="B283" s="7" t="str">
        <f t="shared" si="8"/>
        <v>120307001 - IMOBILIZADO EM ANDAMENTO - PROPRIOS</v>
      </c>
      <c r="C283" s="25">
        <f t="shared" si="9"/>
        <v>44866</v>
      </c>
      <c r="D283" s="27">
        <f>IF(K283="CREDITO",Q283,Q283*-1)</f>
        <v>291.2</v>
      </c>
      <c r="E283" t="s">
        <v>747</v>
      </c>
      <c r="F283" t="s">
        <v>25</v>
      </c>
      <c r="G283" s="8">
        <v>44889</v>
      </c>
      <c r="H283" t="s">
        <v>647</v>
      </c>
      <c r="I283" t="s">
        <v>68</v>
      </c>
      <c r="J283" t="s">
        <v>69</v>
      </c>
      <c r="K283" t="s">
        <v>29</v>
      </c>
      <c r="L283" t="s">
        <v>43</v>
      </c>
      <c r="M283" t="s">
        <v>748</v>
      </c>
      <c r="O283" t="s">
        <v>45</v>
      </c>
      <c r="P283" t="s">
        <v>476</v>
      </c>
      <c r="Q283">
        <v>291.2</v>
      </c>
      <c r="R283" t="s">
        <v>35</v>
      </c>
      <c r="S283" t="s">
        <v>35</v>
      </c>
      <c r="T283" t="s">
        <v>35</v>
      </c>
      <c r="U283" t="s">
        <v>35</v>
      </c>
      <c r="V283" t="s">
        <v>645</v>
      </c>
      <c r="X283" t="s">
        <v>68</v>
      </c>
      <c r="Y283" t="s">
        <v>69</v>
      </c>
      <c r="AB283" t="s">
        <v>37</v>
      </c>
    </row>
    <row r="284" spans="1:28" hidden="1" x14ac:dyDescent="0.25">
      <c r="A284" s="7" t="str">
        <f>IFERROR(VLOOKUP(H284,'Contas Orç'!A:B,2,0),"N/A")</f>
        <v>IMOBILIZADO EM ANDAMENTO - PROPRIOS</v>
      </c>
      <c r="B284" s="7" t="str">
        <f t="shared" si="8"/>
        <v>120307001 - IMOBILIZADO EM ANDAMENTO - PROPRIOS</v>
      </c>
      <c r="C284" s="25">
        <f t="shared" si="9"/>
        <v>44866</v>
      </c>
      <c r="D284" s="27">
        <f>IF(K284="CREDITO",Q284,Q284*-1)</f>
        <v>-291.2</v>
      </c>
      <c r="E284" t="s">
        <v>747</v>
      </c>
      <c r="F284" t="s">
        <v>38</v>
      </c>
      <c r="G284" s="8">
        <v>44889</v>
      </c>
      <c r="H284" t="s">
        <v>647</v>
      </c>
      <c r="I284" t="s">
        <v>68</v>
      </c>
      <c r="J284" t="s">
        <v>69</v>
      </c>
      <c r="K284" t="s">
        <v>46</v>
      </c>
      <c r="L284" t="s">
        <v>30</v>
      </c>
      <c r="M284" t="s">
        <v>651</v>
      </c>
      <c r="O284" t="s">
        <v>45</v>
      </c>
      <c r="P284" t="s">
        <v>476</v>
      </c>
      <c r="Q284">
        <v>291.2</v>
      </c>
      <c r="R284" t="s">
        <v>35</v>
      </c>
      <c r="S284" t="s">
        <v>35</v>
      </c>
      <c r="T284" t="s">
        <v>35</v>
      </c>
      <c r="U284" t="s">
        <v>35</v>
      </c>
      <c r="V284" t="s">
        <v>645</v>
      </c>
      <c r="X284" t="s">
        <v>68</v>
      </c>
      <c r="Y284" t="s">
        <v>69</v>
      </c>
      <c r="AB284" t="s">
        <v>37</v>
      </c>
    </row>
    <row r="285" spans="1:28" hidden="1" x14ac:dyDescent="0.25">
      <c r="A285" s="7" t="str">
        <f>IFERROR(VLOOKUP(H285,'Contas Orç'!A:B,2,0),"N/A")</f>
        <v>IMOBILIZADO EM ANDAMENTO - PROPRIOS</v>
      </c>
      <c r="B285" s="7" t="str">
        <f t="shared" si="8"/>
        <v>120307001 - IMOBILIZADO EM ANDAMENTO - PROPRIOS</v>
      </c>
      <c r="C285" s="25">
        <f t="shared" si="9"/>
        <v>44866</v>
      </c>
      <c r="D285" s="27">
        <f>IF(K285="CREDITO",Q285,Q285*-1)</f>
        <v>241.77</v>
      </c>
      <c r="E285" t="s">
        <v>747</v>
      </c>
      <c r="F285" t="s">
        <v>48</v>
      </c>
      <c r="G285" s="8">
        <v>44889</v>
      </c>
      <c r="H285" t="s">
        <v>647</v>
      </c>
      <c r="I285" t="s">
        <v>68</v>
      </c>
      <c r="J285" t="s">
        <v>69</v>
      </c>
      <c r="K285" t="s">
        <v>29</v>
      </c>
      <c r="L285" t="s">
        <v>43</v>
      </c>
      <c r="M285" t="s">
        <v>749</v>
      </c>
      <c r="O285" t="s">
        <v>45</v>
      </c>
      <c r="P285" t="s">
        <v>476</v>
      </c>
      <c r="Q285">
        <v>241.77</v>
      </c>
      <c r="R285" t="s">
        <v>35</v>
      </c>
      <c r="S285" t="s">
        <v>35</v>
      </c>
      <c r="T285" t="s">
        <v>35</v>
      </c>
      <c r="U285" t="s">
        <v>35</v>
      </c>
      <c r="V285" t="s">
        <v>645</v>
      </c>
      <c r="X285" t="s">
        <v>68</v>
      </c>
      <c r="Y285" t="s">
        <v>69</v>
      </c>
      <c r="AB285" t="s">
        <v>37</v>
      </c>
    </row>
    <row r="286" spans="1:28" hidden="1" x14ac:dyDescent="0.25">
      <c r="A286" s="7" t="str">
        <f>IFERROR(VLOOKUP(H286,'Contas Orç'!A:B,2,0),"N/A")</f>
        <v>IMOBILIZADO EM ANDAMENTO - PROPRIOS</v>
      </c>
      <c r="B286" s="7" t="str">
        <f t="shared" si="8"/>
        <v>120307001 - IMOBILIZADO EM ANDAMENTO - PROPRIOS</v>
      </c>
      <c r="C286" s="25">
        <f t="shared" si="9"/>
        <v>44866</v>
      </c>
      <c r="D286" s="27">
        <f>IF(K286="CREDITO",Q286,Q286*-1)</f>
        <v>-241.77</v>
      </c>
      <c r="E286" t="s">
        <v>747</v>
      </c>
      <c r="F286" t="s">
        <v>50</v>
      </c>
      <c r="G286" s="8">
        <v>44889</v>
      </c>
      <c r="H286" t="s">
        <v>647</v>
      </c>
      <c r="I286" t="s">
        <v>68</v>
      </c>
      <c r="J286" t="s">
        <v>69</v>
      </c>
      <c r="K286" t="s">
        <v>46</v>
      </c>
      <c r="L286" t="s">
        <v>30</v>
      </c>
      <c r="M286" s="6" t="s">
        <v>648</v>
      </c>
      <c r="O286" t="s">
        <v>45</v>
      </c>
      <c r="P286" t="s">
        <v>476</v>
      </c>
      <c r="Q286">
        <v>241.77</v>
      </c>
      <c r="R286" t="s">
        <v>35</v>
      </c>
      <c r="S286" t="s">
        <v>35</v>
      </c>
      <c r="T286" t="s">
        <v>35</v>
      </c>
      <c r="U286" t="s">
        <v>35</v>
      </c>
      <c r="V286" t="s">
        <v>645</v>
      </c>
      <c r="X286" t="s">
        <v>68</v>
      </c>
      <c r="Y286" t="s">
        <v>69</v>
      </c>
      <c r="AB286" t="s">
        <v>37</v>
      </c>
    </row>
    <row r="287" spans="1:28" hidden="1" x14ac:dyDescent="0.25">
      <c r="A287" s="7" t="str">
        <f>IFERROR(VLOOKUP(H287,'Contas Orç'!A:B,2,0),"N/A")</f>
        <v>IMOBILIZADO EM ANDAMENTO - PROPRIOS</v>
      </c>
      <c r="B287" s="7" t="str">
        <f t="shared" si="8"/>
        <v>120307001 - IMOBILIZADO EM ANDAMENTO - PROPRIOS</v>
      </c>
      <c r="C287" s="25">
        <f t="shared" si="9"/>
        <v>44866</v>
      </c>
      <c r="D287" s="27">
        <f>IF(K287="CREDITO",Q287,Q287*-1)</f>
        <v>1278.3399999999999</v>
      </c>
      <c r="E287" t="s">
        <v>747</v>
      </c>
      <c r="F287" t="s">
        <v>87</v>
      </c>
      <c r="G287" s="8">
        <v>44889</v>
      </c>
      <c r="H287" t="s">
        <v>647</v>
      </c>
      <c r="I287" t="s">
        <v>68</v>
      </c>
      <c r="J287" t="s">
        <v>69</v>
      </c>
      <c r="K287" t="s">
        <v>29</v>
      </c>
      <c r="L287" t="s">
        <v>43</v>
      </c>
      <c r="M287" t="s">
        <v>749</v>
      </c>
      <c r="O287" t="s">
        <v>45</v>
      </c>
      <c r="P287" t="s">
        <v>476</v>
      </c>
      <c r="Q287" s="22">
        <v>1278.3399999999999</v>
      </c>
      <c r="R287" t="s">
        <v>35</v>
      </c>
      <c r="S287" t="s">
        <v>35</v>
      </c>
      <c r="T287" t="s">
        <v>35</v>
      </c>
      <c r="U287" t="s">
        <v>35</v>
      </c>
      <c r="V287" t="s">
        <v>645</v>
      </c>
      <c r="X287" t="s">
        <v>68</v>
      </c>
      <c r="Y287" t="s">
        <v>69</v>
      </c>
      <c r="AB287" t="s">
        <v>37</v>
      </c>
    </row>
    <row r="288" spans="1:28" hidden="1" x14ac:dyDescent="0.25">
      <c r="A288" s="7" t="str">
        <f>IFERROR(VLOOKUP(H288,'Contas Orç'!A:B,2,0),"N/A")</f>
        <v>IMOBILIZADO EM ANDAMENTO - PROPRIOS</v>
      </c>
      <c r="B288" s="7" t="str">
        <f t="shared" si="8"/>
        <v>120307001 - IMOBILIZADO EM ANDAMENTO - PROPRIOS</v>
      </c>
      <c r="C288" s="25">
        <f t="shared" si="9"/>
        <v>44866</v>
      </c>
      <c r="D288" s="27">
        <f>IF(K288="CREDITO",Q288,Q288*-1)</f>
        <v>-1278.3399999999999</v>
      </c>
      <c r="E288" t="s">
        <v>747</v>
      </c>
      <c r="F288" t="s">
        <v>91</v>
      </c>
      <c r="G288" s="8">
        <v>44889</v>
      </c>
      <c r="H288" t="s">
        <v>647</v>
      </c>
      <c r="I288" t="s">
        <v>68</v>
      </c>
      <c r="J288" t="s">
        <v>69</v>
      </c>
      <c r="K288" t="s">
        <v>46</v>
      </c>
      <c r="L288" t="s">
        <v>30</v>
      </c>
      <c r="M288" t="s">
        <v>648</v>
      </c>
      <c r="O288" t="s">
        <v>45</v>
      </c>
      <c r="P288" t="s">
        <v>476</v>
      </c>
      <c r="Q288" s="22">
        <v>1278.3399999999999</v>
      </c>
      <c r="R288" t="s">
        <v>35</v>
      </c>
      <c r="S288" t="s">
        <v>35</v>
      </c>
      <c r="T288" t="s">
        <v>35</v>
      </c>
      <c r="U288" t="s">
        <v>35</v>
      </c>
      <c r="V288" t="s">
        <v>645</v>
      </c>
      <c r="X288" t="s">
        <v>68</v>
      </c>
      <c r="Y288" t="s">
        <v>69</v>
      </c>
      <c r="AB288" t="s">
        <v>37</v>
      </c>
    </row>
    <row r="289" spans="1:28" hidden="1" x14ac:dyDescent="0.25">
      <c r="A289" s="7" t="str">
        <f>IFERROR(VLOOKUP(H289,'Contas Orç'!A:B,2,0),"N/A")</f>
        <v>IMOBILIZADO EM ANDAMENTO - PROPRIOS</v>
      </c>
      <c r="B289" s="7" t="str">
        <f t="shared" si="8"/>
        <v>120307001 - IMOBILIZADO EM ANDAMENTO - PROPRIOS</v>
      </c>
      <c r="C289" s="25">
        <f t="shared" si="9"/>
        <v>44866</v>
      </c>
      <c r="D289" s="27">
        <f>IF(K289="CREDITO",Q289,Q289*-1)</f>
        <v>49.92</v>
      </c>
      <c r="E289" t="s">
        <v>747</v>
      </c>
      <c r="F289" t="s">
        <v>94</v>
      </c>
      <c r="G289" s="8">
        <v>44889</v>
      </c>
      <c r="H289" t="s">
        <v>647</v>
      </c>
      <c r="I289" t="s">
        <v>68</v>
      </c>
      <c r="J289" t="s">
        <v>69</v>
      </c>
      <c r="K289" t="s">
        <v>29</v>
      </c>
      <c r="L289" t="s">
        <v>43</v>
      </c>
      <c r="M289" t="s">
        <v>749</v>
      </c>
      <c r="O289" t="s">
        <v>45</v>
      </c>
      <c r="P289" t="s">
        <v>476</v>
      </c>
      <c r="Q289">
        <v>49.92</v>
      </c>
      <c r="R289" t="s">
        <v>35</v>
      </c>
      <c r="S289" t="s">
        <v>35</v>
      </c>
      <c r="T289" t="s">
        <v>35</v>
      </c>
      <c r="U289" t="s">
        <v>35</v>
      </c>
      <c r="V289" t="s">
        <v>645</v>
      </c>
      <c r="X289" t="s">
        <v>68</v>
      </c>
      <c r="Y289" t="s">
        <v>69</v>
      </c>
      <c r="AB289" t="s">
        <v>37</v>
      </c>
    </row>
    <row r="290" spans="1:28" hidden="1" x14ac:dyDescent="0.25">
      <c r="A290" s="7" t="str">
        <f>IFERROR(VLOOKUP(H290,'Contas Orç'!A:B,2,0),"N/A")</f>
        <v>IMOBILIZADO EM ANDAMENTO - PROPRIOS</v>
      </c>
      <c r="B290" s="7" t="str">
        <f t="shared" si="8"/>
        <v>120307001 - IMOBILIZADO EM ANDAMENTO - PROPRIOS</v>
      </c>
      <c r="C290" s="25">
        <f t="shared" si="9"/>
        <v>44866</v>
      </c>
      <c r="D290" s="27">
        <f>IF(K290="CREDITO",Q290,Q290*-1)</f>
        <v>-49.92</v>
      </c>
      <c r="E290" t="s">
        <v>747</v>
      </c>
      <c r="F290" t="s">
        <v>98</v>
      </c>
      <c r="G290" s="8">
        <v>44889</v>
      </c>
      <c r="H290" t="s">
        <v>647</v>
      </c>
      <c r="I290" t="s">
        <v>68</v>
      </c>
      <c r="J290" t="s">
        <v>69</v>
      </c>
      <c r="K290" t="s">
        <v>46</v>
      </c>
      <c r="L290" t="s">
        <v>30</v>
      </c>
      <c r="M290" t="s">
        <v>648</v>
      </c>
      <c r="O290" t="s">
        <v>45</v>
      </c>
      <c r="P290" t="s">
        <v>476</v>
      </c>
      <c r="Q290">
        <v>49.92</v>
      </c>
      <c r="R290" t="s">
        <v>35</v>
      </c>
      <c r="S290" t="s">
        <v>35</v>
      </c>
      <c r="T290" t="s">
        <v>35</v>
      </c>
      <c r="U290" t="s">
        <v>35</v>
      </c>
      <c r="V290" t="s">
        <v>645</v>
      </c>
      <c r="X290" t="s">
        <v>68</v>
      </c>
      <c r="Y290" t="s">
        <v>69</v>
      </c>
      <c r="AB290" t="s">
        <v>37</v>
      </c>
    </row>
    <row r="291" spans="1:28" hidden="1" x14ac:dyDescent="0.25">
      <c r="A291" s="7" t="str">
        <f>IFERROR(VLOOKUP(H291,'Contas Orç'!A:B,2,0),"N/A")</f>
        <v>IMOBILIZADO EM ANDAMENTO - PROPRIOS</v>
      </c>
      <c r="B291" s="7" t="str">
        <f t="shared" si="8"/>
        <v>120307001 - IMOBILIZADO EM ANDAMENTO - PROPRIOS</v>
      </c>
      <c r="C291" s="25">
        <f t="shared" si="9"/>
        <v>44866</v>
      </c>
      <c r="D291" s="27">
        <f>IF(K291="CREDITO",Q291,Q291*-1)</f>
        <v>205.59</v>
      </c>
      <c r="E291" t="s">
        <v>747</v>
      </c>
      <c r="F291" t="s">
        <v>102</v>
      </c>
      <c r="G291" s="8">
        <v>44889</v>
      </c>
      <c r="H291" t="s">
        <v>647</v>
      </c>
      <c r="I291" t="s">
        <v>68</v>
      </c>
      <c r="J291" t="s">
        <v>69</v>
      </c>
      <c r="K291" t="s">
        <v>29</v>
      </c>
      <c r="L291" t="s">
        <v>43</v>
      </c>
      <c r="M291" t="s">
        <v>750</v>
      </c>
      <c r="O291" t="s">
        <v>45</v>
      </c>
      <c r="P291" t="s">
        <v>476</v>
      </c>
      <c r="Q291">
        <v>205.59</v>
      </c>
      <c r="R291" t="s">
        <v>35</v>
      </c>
      <c r="S291" t="s">
        <v>35</v>
      </c>
      <c r="T291" t="s">
        <v>35</v>
      </c>
      <c r="U291" t="s">
        <v>35</v>
      </c>
      <c r="V291" t="s">
        <v>645</v>
      </c>
      <c r="X291" t="s">
        <v>68</v>
      </c>
      <c r="Y291" t="s">
        <v>69</v>
      </c>
      <c r="AB291" t="s">
        <v>37</v>
      </c>
    </row>
    <row r="292" spans="1:28" hidden="1" x14ac:dyDescent="0.25">
      <c r="A292" s="7" t="str">
        <f>IFERROR(VLOOKUP(H292,'Contas Orç'!A:B,2,0),"N/A")</f>
        <v>IMOBILIZADO EM ANDAMENTO - PROPRIOS</v>
      </c>
      <c r="B292" s="7" t="str">
        <f t="shared" si="8"/>
        <v>120307001 - IMOBILIZADO EM ANDAMENTO - PROPRIOS</v>
      </c>
      <c r="C292" s="25">
        <f t="shared" si="9"/>
        <v>44866</v>
      </c>
      <c r="D292" s="27">
        <f>IF(K292="CREDITO",Q292,Q292*-1)</f>
        <v>-205.59</v>
      </c>
      <c r="E292" t="s">
        <v>747</v>
      </c>
      <c r="F292" t="s">
        <v>105</v>
      </c>
      <c r="G292" s="8">
        <v>44889</v>
      </c>
      <c r="H292" t="s">
        <v>647</v>
      </c>
      <c r="I292" t="s">
        <v>68</v>
      </c>
      <c r="J292" t="s">
        <v>69</v>
      </c>
      <c r="K292" t="s">
        <v>46</v>
      </c>
      <c r="L292" t="s">
        <v>30</v>
      </c>
      <c r="M292" t="s">
        <v>654</v>
      </c>
      <c r="O292" t="s">
        <v>45</v>
      </c>
      <c r="P292" t="s">
        <v>476</v>
      </c>
      <c r="Q292">
        <v>205.59</v>
      </c>
      <c r="R292" t="s">
        <v>35</v>
      </c>
      <c r="S292" t="s">
        <v>35</v>
      </c>
      <c r="T292" t="s">
        <v>35</v>
      </c>
      <c r="U292" t="s">
        <v>35</v>
      </c>
      <c r="V292" t="s">
        <v>645</v>
      </c>
      <c r="X292" t="s">
        <v>68</v>
      </c>
      <c r="Y292" t="s">
        <v>69</v>
      </c>
      <c r="AB292" t="s">
        <v>37</v>
      </c>
    </row>
    <row r="293" spans="1:28" hidden="1" x14ac:dyDescent="0.25">
      <c r="A293" s="7" t="str">
        <f>IFERROR(VLOOKUP(H293,'Contas Orç'!A:B,2,0),"N/A")</f>
        <v>IMOBILIZADO EM ANDAMENTO - PROPRIOS</v>
      </c>
      <c r="B293" s="7" t="str">
        <f t="shared" si="8"/>
        <v>120307001 - IMOBILIZADO EM ANDAMENTO - PROPRIOS</v>
      </c>
      <c r="C293" s="25">
        <f t="shared" si="9"/>
        <v>44866</v>
      </c>
      <c r="D293" s="27">
        <f>IF(K293="CREDITO",Q293,Q293*-1)</f>
        <v>49.9</v>
      </c>
      <c r="E293" t="s">
        <v>747</v>
      </c>
      <c r="F293" t="s">
        <v>110</v>
      </c>
      <c r="G293" s="8">
        <v>44889</v>
      </c>
      <c r="H293" t="s">
        <v>647</v>
      </c>
      <c r="I293" t="s">
        <v>68</v>
      </c>
      <c r="J293" t="s">
        <v>69</v>
      </c>
      <c r="K293" t="s">
        <v>29</v>
      </c>
      <c r="L293" t="s">
        <v>43</v>
      </c>
      <c r="M293" t="s">
        <v>750</v>
      </c>
      <c r="O293" t="s">
        <v>45</v>
      </c>
      <c r="P293" t="s">
        <v>476</v>
      </c>
      <c r="Q293">
        <v>49.9</v>
      </c>
      <c r="R293" t="s">
        <v>35</v>
      </c>
      <c r="S293" t="s">
        <v>35</v>
      </c>
      <c r="T293" t="s">
        <v>35</v>
      </c>
      <c r="U293" t="s">
        <v>35</v>
      </c>
      <c r="V293" t="s">
        <v>645</v>
      </c>
      <c r="X293" t="s">
        <v>68</v>
      </c>
      <c r="Y293" t="s">
        <v>69</v>
      </c>
      <c r="AB293" t="s">
        <v>37</v>
      </c>
    </row>
    <row r="294" spans="1:28" hidden="1" x14ac:dyDescent="0.25">
      <c r="A294" s="7" t="str">
        <f>IFERROR(VLOOKUP(H294,'Contas Orç'!A:B,2,0),"N/A")</f>
        <v>IMOBILIZADO EM ANDAMENTO - PROPRIOS</v>
      </c>
      <c r="B294" s="7" t="str">
        <f t="shared" si="8"/>
        <v>120307001 - IMOBILIZADO EM ANDAMENTO - PROPRIOS</v>
      </c>
      <c r="C294" s="25">
        <f t="shared" si="9"/>
        <v>44866</v>
      </c>
      <c r="D294" s="27">
        <f>IF(K294="CREDITO",Q294,Q294*-1)</f>
        <v>-49.9</v>
      </c>
      <c r="E294" t="s">
        <v>747</v>
      </c>
      <c r="F294" t="s">
        <v>113</v>
      </c>
      <c r="G294" s="8">
        <v>44889</v>
      </c>
      <c r="H294" t="s">
        <v>647</v>
      </c>
      <c r="I294" t="s">
        <v>68</v>
      </c>
      <c r="J294" t="s">
        <v>69</v>
      </c>
      <c r="K294" t="s">
        <v>46</v>
      </c>
      <c r="L294" t="s">
        <v>30</v>
      </c>
      <c r="M294" t="s">
        <v>654</v>
      </c>
      <c r="O294" t="s">
        <v>45</v>
      </c>
      <c r="P294" t="s">
        <v>476</v>
      </c>
      <c r="Q294">
        <v>49.9</v>
      </c>
      <c r="R294" t="s">
        <v>35</v>
      </c>
      <c r="S294" t="s">
        <v>35</v>
      </c>
      <c r="T294" t="s">
        <v>35</v>
      </c>
      <c r="U294" t="s">
        <v>35</v>
      </c>
      <c r="V294" t="s">
        <v>645</v>
      </c>
      <c r="X294" t="s">
        <v>68</v>
      </c>
      <c r="Y294" t="s">
        <v>69</v>
      </c>
      <c r="AB294" t="s">
        <v>37</v>
      </c>
    </row>
    <row r="295" spans="1:28" hidden="1" x14ac:dyDescent="0.25">
      <c r="A295" s="7" t="str">
        <f>IFERROR(VLOOKUP(H295,'Contas Orç'!A:B,2,0),"N/A")</f>
        <v>IMOBILIZADO EM ANDAMENTO - PROPRIOS</v>
      </c>
      <c r="B295" s="7" t="str">
        <f t="shared" si="8"/>
        <v>120307001 - IMOBILIZADO EM ANDAMENTO - PROPRIOS</v>
      </c>
      <c r="C295" s="25">
        <f t="shared" si="9"/>
        <v>44866</v>
      </c>
      <c r="D295" s="27">
        <f>IF(K295="CREDITO",Q295,Q295*-1)</f>
        <v>1568.88</v>
      </c>
      <c r="E295" t="s">
        <v>751</v>
      </c>
      <c r="F295" t="s">
        <v>25</v>
      </c>
      <c r="G295" s="8">
        <v>44889</v>
      </c>
      <c r="H295" t="s">
        <v>647</v>
      </c>
      <c r="I295" t="s">
        <v>68</v>
      </c>
      <c r="J295" t="s">
        <v>69</v>
      </c>
      <c r="K295" t="s">
        <v>29</v>
      </c>
      <c r="L295" t="s">
        <v>43</v>
      </c>
      <c r="M295" t="s">
        <v>752</v>
      </c>
      <c r="O295" t="s">
        <v>45</v>
      </c>
      <c r="P295" t="s">
        <v>855</v>
      </c>
      <c r="Q295" s="22">
        <v>1568.88</v>
      </c>
      <c r="R295" t="s">
        <v>35</v>
      </c>
      <c r="S295" t="s">
        <v>35</v>
      </c>
      <c r="T295" t="s">
        <v>35</v>
      </c>
      <c r="U295" t="s">
        <v>35</v>
      </c>
      <c r="V295" t="s">
        <v>645</v>
      </c>
      <c r="X295" t="s">
        <v>68</v>
      </c>
      <c r="Y295" t="s">
        <v>69</v>
      </c>
      <c r="AB295" t="s">
        <v>37</v>
      </c>
    </row>
    <row r="296" spans="1:28" hidden="1" x14ac:dyDescent="0.25">
      <c r="A296" s="7" t="str">
        <f>IFERROR(VLOOKUP(H296,'Contas Orç'!A:B,2,0),"N/A")</f>
        <v>IMOBILIZADO EM ANDAMENTO - PROPRIOS</v>
      </c>
      <c r="B296" s="7" t="str">
        <f t="shared" si="8"/>
        <v>120307001 - IMOBILIZADO EM ANDAMENTO - PROPRIOS</v>
      </c>
      <c r="C296" s="25">
        <f t="shared" si="9"/>
        <v>44866</v>
      </c>
      <c r="D296" s="27">
        <f>IF(K296="CREDITO",Q296,Q296*-1)</f>
        <v>-1568.88</v>
      </c>
      <c r="E296" t="s">
        <v>751</v>
      </c>
      <c r="F296" t="s">
        <v>38</v>
      </c>
      <c r="G296" s="8">
        <v>44889</v>
      </c>
      <c r="H296" t="s">
        <v>647</v>
      </c>
      <c r="I296" t="s">
        <v>68</v>
      </c>
      <c r="J296" t="s">
        <v>69</v>
      </c>
      <c r="K296" t="s">
        <v>46</v>
      </c>
      <c r="L296" t="s">
        <v>30</v>
      </c>
      <c r="M296" t="s">
        <v>690</v>
      </c>
      <c r="O296" t="s">
        <v>45</v>
      </c>
      <c r="P296" t="s">
        <v>855</v>
      </c>
      <c r="Q296" s="22">
        <v>1568.88</v>
      </c>
      <c r="R296" t="s">
        <v>35</v>
      </c>
      <c r="S296" t="s">
        <v>35</v>
      </c>
      <c r="T296" t="s">
        <v>35</v>
      </c>
      <c r="U296" t="s">
        <v>35</v>
      </c>
      <c r="V296" t="s">
        <v>645</v>
      </c>
      <c r="X296" t="s">
        <v>68</v>
      </c>
      <c r="Y296" t="s">
        <v>69</v>
      </c>
      <c r="AB296" t="s">
        <v>37</v>
      </c>
    </row>
    <row r="297" spans="1:28" hidden="1" x14ac:dyDescent="0.25">
      <c r="A297" s="7" t="str">
        <f>IFERROR(VLOOKUP(H297,'Contas Orç'!A:B,2,0),"N/A")</f>
        <v>MOVEIS E UTENSILIOS</v>
      </c>
      <c r="B297" s="7" t="str">
        <f t="shared" si="8"/>
        <v>120302001 - MOVEIS E UTENSILIOS</v>
      </c>
      <c r="C297" s="25">
        <f t="shared" si="9"/>
        <v>44866</v>
      </c>
      <c r="D297" s="27">
        <f>IF(K297="CREDITO",Q297,Q297*-1)</f>
        <v>3472.62</v>
      </c>
      <c r="E297" t="s">
        <v>753</v>
      </c>
      <c r="F297" t="s">
        <v>25</v>
      </c>
      <c r="G297" s="8">
        <v>44889</v>
      </c>
      <c r="H297" t="s">
        <v>670</v>
      </c>
      <c r="I297" t="s">
        <v>59</v>
      </c>
      <c r="J297" t="s">
        <v>60</v>
      </c>
      <c r="K297" t="s">
        <v>29</v>
      </c>
      <c r="L297" t="s">
        <v>43</v>
      </c>
      <c r="M297" t="s">
        <v>754</v>
      </c>
      <c r="O297" t="s">
        <v>45</v>
      </c>
      <c r="P297" t="s">
        <v>855</v>
      </c>
      <c r="Q297" s="22">
        <v>3472.62</v>
      </c>
      <c r="R297" t="s">
        <v>35</v>
      </c>
      <c r="S297" t="s">
        <v>35</v>
      </c>
      <c r="T297" t="s">
        <v>35</v>
      </c>
      <c r="U297" t="s">
        <v>35</v>
      </c>
      <c r="V297" t="s">
        <v>645</v>
      </c>
      <c r="X297" t="s">
        <v>59</v>
      </c>
      <c r="Y297" t="s">
        <v>60</v>
      </c>
      <c r="AB297" t="s">
        <v>37</v>
      </c>
    </row>
    <row r="298" spans="1:28" hidden="1" x14ac:dyDescent="0.25">
      <c r="A298" s="7" t="str">
        <f>IFERROR(VLOOKUP(H298,'Contas Orç'!A:B,2,0),"N/A")</f>
        <v>MOVEIS E UTENSILIOS</v>
      </c>
      <c r="B298" s="7" t="str">
        <f t="shared" si="8"/>
        <v>120302001 - MOVEIS E UTENSILIOS</v>
      </c>
      <c r="C298" s="25">
        <f t="shared" si="9"/>
        <v>44866</v>
      </c>
      <c r="D298" s="27">
        <f>IF(K298="CREDITO",Q298,Q298*-1)</f>
        <v>-3472.62</v>
      </c>
      <c r="E298" t="s">
        <v>753</v>
      </c>
      <c r="F298" t="s">
        <v>38</v>
      </c>
      <c r="G298" s="8">
        <v>44889</v>
      </c>
      <c r="H298" t="s">
        <v>670</v>
      </c>
      <c r="I298" t="s">
        <v>59</v>
      </c>
      <c r="J298" t="s">
        <v>60</v>
      </c>
      <c r="K298" t="s">
        <v>46</v>
      </c>
      <c r="L298" t="s">
        <v>30</v>
      </c>
      <c r="M298" t="s">
        <v>671</v>
      </c>
      <c r="O298" t="s">
        <v>45</v>
      </c>
      <c r="P298" t="s">
        <v>855</v>
      </c>
      <c r="Q298" s="22">
        <v>3472.62</v>
      </c>
      <c r="R298" t="s">
        <v>35</v>
      </c>
      <c r="S298" t="s">
        <v>35</v>
      </c>
      <c r="T298" t="s">
        <v>35</v>
      </c>
      <c r="U298" t="s">
        <v>35</v>
      </c>
      <c r="V298" t="s">
        <v>645</v>
      </c>
      <c r="X298" t="s">
        <v>59</v>
      </c>
      <c r="Y298" t="s">
        <v>60</v>
      </c>
      <c r="AB298" t="s">
        <v>37</v>
      </c>
    </row>
    <row r="299" spans="1:28" hidden="1" x14ac:dyDescent="0.25">
      <c r="A299" s="7" t="str">
        <f>IFERROR(VLOOKUP(H299,'Contas Orç'!A:B,2,0),"N/A")</f>
        <v>RECEITA BRUTA DE TRANSPORTES</v>
      </c>
      <c r="B299" s="7" t="str">
        <f t="shared" si="8"/>
        <v>310101 - RECEITA BRUTA DE TRANSPORTES</v>
      </c>
      <c r="C299" s="25">
        <f t="shared" si="9"/>
        <v>44866</v>
      </c>
      <c r="D299" s="27">
        <f>IF(K299="CREDITO",Q299,Q299*-1)</f>
        <v>6284.28</v>
      </c>
      <c r="E299" t="s">
        <v>755</v>
      </c>
      <c r="F299" t="s">
        <v>25</v>
      </c>
      <c r="G299" s="8">
        <v>44889</v>
      </c>
      <c r="H299" t="s">
        <v>500</v>
      </c>
      <c r="I299" t="s">
        <v>27</v>
      </c>
      <c r="J299" t="s">
        <v>28</v>
      </c>
      <c r="K299" t="s">
        <v>29</v>
      </c>
      <c r="L299" t="s">
        <v>43</v>
      </c>
      <c r="M299" s="17" t="s">
        <v>756</v>
      </c>
      <c r="O299" t="s">
        <v>643</v>
      </c>
      <c r="P299" t="s">
        <v>663</v>
      </c>
      <c r="Q299" s="22">
        <v>6284.28</v>
      </c>
      <c r="R299" t="s">
        <v>35</v>
      </c>
      <c r="S299" t="s">
        <v>35</v>
      </c>
      <c r="T299" t="s">
        <v>35</v>
      </c>
      <c r="U299" t="s">
        <v>35</v>
      </c>
      <c r="V299" t="s">
        <v>645</v>
      </c>
      <c r="X299" t="s">
        <v>27</v>
      </c>
      <c r="Y299" t="s">
        <v>28</v>
      </c>
      <c r="AB299" t="s">
        <v>37</v>
      </c>
    </row>
    <row r="300" spans="1:28" hidden="1" x14ac:dyDescent="0.25">
      <c r="A300" s="7" t="str">
        <f>IFERROR(VLOOKUP(H300,'Contas Orç'!A:B,2,0),"N/A")</f>
        <v>RECEITA BRUTA DE TRANSPORTES</v>
      </c>
      <c r="B300" s="7" t="str">
        <f t="shared" si="8"/>
        <v>310101 - RECEITA BRUTA DE TRANSPORTES</v>
      </c>
      <c r="C300" s="25">
        <f t="shared" si="9"/>
        <v>44866</v>
      </c>
      <c r="D300" s="27">
        <f>IF(K300="CREDITO",Q300,Q300*-1)</f>
        <v>1499.19</v>
      </c>
      <c r="E300" t="s">
        <v>856</v>
      </c>
      <c r="F300" t="s">
        <v>25</v>
      </c>
      <c r="G300" s="8">
        <v>44890</v>
      </c>
      <c r="H300" t="s">
        <v>500</v>
      </c>
      <c r="I300" t="s">
        <v>27</v>
      </c>
      <c r="J300" t="s">
        <v>28</v>
      </c>
      <c r="K300" t="s">
        <v>29</v>
      </c>
      <c r="L300" t="s">
        <v>43</v>
      </c>
      <c r="M300" t="s">
        <v>857</v>
      </c>
      <c r="O300" t="s">
        <v>643</v>
      </c>
      <c r="P300" t="s">
        <v>663</v>
      </c>
      <c r="Q300" s="22">
        <v>1499.19</v>
      </c>
      <c r="R300" t="s">
        <v>35</v>
      </c>
      <c r="S300" t="s">
        <v>35</v>
      </c>
      <c r="T300" t="s">
        <v>35</v>
      </c>
      <c r="U300" t="s">
        <v>35</v>
      </c>
      <c r="V300" t="s">
        <v>645</v>
      </c>
      <c r="X300" t="s">
        <v>27</v>
      </c>
      <c r="Y300" t="s">
        <v>28</v>
      </c>
      <c r="AB300" t="s">
        <v>37</v>
      </c>
    </row>
    <row r="301" spans="1:28" hidden="1" x14ac:dyDescent="0.25">
      <c r="A301" s="7" t="str">
        <f>IFERROR(VLOOKUP(H301,'Contas Orç'!A:B,2,0),"N/A")</f>
        <v>PJ-OUTROS SERVICOS CONTRATADOS-PJ</v>
      </c>
      <c r="B301" s="7" t="str">
        <f t="shared" si="8"/>
        <v>330201006 - PJ-OUTROS SERVICOS CONTRATADOS-PJ</v>
      </c>
      <c r="C301" s="25">
        <f t="shared" si="9"/>
        <v>44866</v>
      </c>
      <c r="D301" s="27">
        <f>IF(K301="CREDITO",Q301,Q301*-1)</f>
        <v>499</v>
      </c>
      <c r="E301" t="s">
        <v>858</v>
      </c>
      <c r="F301" t="s">
        <v>25</v>
      </c>
      <c r="G301" s="8">
        <v>44890</v>
      </c>
      <c r="H301" t="s">
        <v>67</v>
      </c>
      <c r="I301" t="s">
        <v>40</v>
      </c>
      <c r="J301" t="s">
        <v>54</v>
      </c>
      <c r="K301" t="s">
        <v>29</v>
      </c>
      <c r="L301" t="s">
        <v>43</v>
      </c>
      <c r="M301" t="s">
        <v>859</v>
      </c>
      <c r="O301" t="s">
        <v>45</v>
      </c>
      <c r="P301" t="s">
        <v>261</v>
      </c>
      <c r="Q301">
        <v>499</v>
      </c>
      <c r="R301" t="s">
        <v>35</v>
      </c>
      <c r="S301" t="s">
        <v>35</v>
      </c>
      <c r="T301" t="s">
        <v>35</v>
      </c>
      <c r="U301" t="s">
        <v>35</v>
      </c>
      <c r="V301" t="s">
        <v>645</v>
      </c>
      <c r="X301" t="s">
        <v>40</v>
      </c>
      <c r="Y301" t="s">
        <v>54</v>
      </c>
      <c r="AB301" t="s">
        <v>37</v>
      </c>
    </row>
    <row r="302" spans="1:28" hidden="1" x14ac:dyDescent="0.25">
      <c r="A302" s="7" t="str">
        <f>IFERROR(VLOOKUP(H302,'Contas Orç'!A:B,2,0),"N/A")</f>
        <v>PJ-OUTROS SERVICOS CONTRATADOS-PJ</v>
      </c>
      <c r="B302" s="7" t="str">
        <f t="shared" si="8"/>
        <v>330201006 - PJ-OUTROS SERVICOS CONTRATADOS-PJ</v>
      </c>
      <c r="C302" s="25">
        <f t="shared" si="9"/>
        <v>44866</v>
      </c>
      <c r="D302" s="27">
        <f>IF(K302="CREDITO",Q302,Q302*-1)</f>
        <v>-499</v>
      </c>
      <c r="E302" t="s">
        <v>858</v>
      </c>
      <c r="F302" t="s">
        <v>38</v>
      </c>
      <c r="G302" s="8">
        <v>44890</v>
      </c>
      <c r="H302" t="s">
        <v>67</v>
      </c>
      <c r="I302" t="s">
        <v>40</v>
      </c>
      <c r="J302" t="s">
        <v>54</v>
      </c>
      <c r="K302" t="s">
        <v>46</v>
      </c>
      <c r="L302" t="s">
        <v>30</v>
      </c>
      <c r="M302" t="s">
        <v>277</v>
      </c>
      <c r="O302" t="s">
        <v>45</v>
      </c>
      <c r="P302" t="s">
        <v>261</v>
      </c>
      <c r="Q302">
        <v>499</v>
      </c>
      <c r="R302" t="s">
        <v>35</v>
      </c>
      <c r="S302" t="s">
        <v>35</v>
      </c>
      <c r="T302" t="s">
        <v>35</v>
      </c>
      <c r="U302" t="s">
        <v>35</v>
      </c>
      <c r="V302" t="s">
        <v>645</v>
      </c>
      <c r="X302" t="s">
        <v>40</v>
      </c>
      <c r="Y302" t="s">
        <v>54</v>
      </c>
      <c r="AB302" t="s">
        <v>37</v>
      </c>
    </row>
    <row r="303" spans="1:28" hidden="1" x14ac:dyDescent="0.25">
      <c r="A303" s="7" t="str">
        <f>IFERROR(VLOOKUP(H303,'Contas Orç'!A:B,2,0),"N/A")</f>
        <v>PECAS E ACESSORIOS</v>
      </c>
      <c r="B303" s="7" t="str">
        <f t="shared" si="8"/>
        <v>320301004 - PECAS E ACESSORIOS</v>
      </c>
      <c r="C303" s="25">
        <f t="shared" si="9"/>
        <v>44866</v>
      </c>
      <c r="D303" s="27">
        <f>IF(K303="CREDITO",Q303,Q303*-1)</f>
        <v>290.52</v>
      </c>
      <c r="E303" t="s">
        <v>860</v>
      </c>
      <c r="F303" t="s">
        <v>25</v>
      </c>
      <c r="G303" s="8">
        <v>44890</v>
      </c>
      <c r="H303" t="s">
        <v>26</v>
      </c>
      <c r="I303" t="s">
        <v>27</v>
      </c>
      <c r="J303" t="s">
        <v>28</v>
      </c>
      <c r="K303" t="s">
        <v>29</v>
      </c>
      <c r="L303" t="s">
        <v>43</v>
      </c>
      <c r="M303" t="s">
        <v>861</v>
      </c>
      <c r="O303" t="s">
        <v>45</v>
      </c>
      <c r="P303" t="s">
        <v>470</v>
      </c>
      <c r="Q303">
        <v>290.52</v>
      </c>
      <c r="R303" t="s">
        <v>35</v>
      </c>
      <c r="S303" t="s">
        <v>35</v>
      </c>
      <c r="T303" t="s">
        <v>35</v>
      </c>
      <c r="U303" t="s">
        <v>35</v>
      </c>
      <c r="V303" t="s">
        <v>645</v>
      </c>
      <c r="X303" t="s">
        <v>27</v>
      </c>
      <c r="Y303" t="s">
        <v>28</v>
      </c>
      <c r="AB303" t="s">
        <v>37</v>
      </c>
    </row>
    <row r="304" spans="1:28" s="6" customFormat="1" hidden="1" x14ac:dyDescent="0.25">
      <c r="A304" s="7" t="str">
        <f>IFERROR(VLOOKUP(H304,'Contas Orç'!A:B,2,0),"N/A")</f>
        <v>PECAS E ACESSORIOS</v>
      </c>
      <c r="B304" s="7" t="str">
        <f t="shared" si="8"/>
        <v>320301004 - PECAS E ACESSORIOS</v>
      </c>
      <c r="C304" s="25">
        <f t="shared" si="9"/>
        <v>44866</v>
      </c>
      <c r="D304" s="27">
        <f>IF(K304="CREDITO",Q304,Q304*-1)</f>
        <v>-290.52</v>
      </c>
      <c r="E304" s="6" t="s">
        <v>860</v>
      </c>
      <c r="F304" s="6" t="s">
        <v>38</v>
      </c>
      <c r="G304" s="15">
        <v>44890</v>
      </c>
      <c r="H304" s="6" t="s">
        <v>26</v>
      </c>
      <c r="I304" s="6" t="s">
        <v>27</v>
      </c>
      <c r="J304" s="6" t="s">
        <v>28</v>
      </c>
      <c r="K304" s="6" t="s">
        <v>46</v>
      </c>
      <c r="L304" s="6" t="s">
        <v>30</v>
      </c>
      <c r="M304" s="6" t="s">
        <v>487</v>
      </c>
      <c r="O304" s="6" t="s">
        <v>45</v>
      </c>
      <c r="P304" s="6" t="s">
        <v>470</v>
      </c>
      <c r="Q304" s="6">
        <v>290.52</v>
      </c>
      <c r="R304" s="6" t="s">
        <v>35</v>
      </c>
      <c r="S304" s="6" t="s">
        <v>35</v>
      </c>
      <c r="T304" s="6" t="s">
        <v>35</v>
      </c>
      <c r="U304" s="6" t="s">
        <v>35</v>
      </c>
      <c r="V304" s="6" t="s">
        <v>645</v>
      </c>
      <c r="X304" s="6" t="s">
        <v>27</v>
      </c>
      <c r="Y304" s="6" t="s">
        <v>28</v>
      </c>
      <c r="AB304" s="6" t="s">
        <v>37</v>
      </c>
    </row>
    <row r="305" spans="1:28" s="6" customFormat="1" hidden="1" x14ac:dyDescent="0.25">
      <c r="A305" s="7" t="str">
        <f>IFERROR(VLOOKUP(H305,'Contas Orç'!A:B,2,0),"N/A")</f>
        <v>PECAS E ACESSORIOS</v>
      </c>
      <c r="B305" s="7" t="str">
        <f t="shared" si="8"/>
        <v>330301004 - PECAS E ACESSORIOS</v>
      </c>
      <c r="C305" s="25">
        <f t="shared" si="9"/>
        <v>44866</v>
      </c>
      <c r="D305" s="27">
        <f>IF(K305="CREDITO",Q305,Q305*-1)</f>
        <v>149.1</v>
      </c>
      <c r="E305" s="6" t="s">
        <v>860</v>
      </c>
      <c r="F305" s="6" t="s">
        <v>48</v>
      </c>
      <c r="G305" s="15">
        <v>44890</v>
      </c>
      <c r="H305" s="6" t="s">
        <v>39</v>
      </c>
      <c r="I305" s="6" t="s">
        <v>99</v>
      </c>
      <c r="J305" s="6" t="s">
        <v>54</v>
      </c>
      <c r="K305" s="6" t="s">
        <v>29</v>
      </c>
      <c r="L305" s="6" t="s">
        <v>43</v>
      </c>
      <c r="M305" s="6" t="s">
        <v>862</v>
      </c>
      <c r="O305" s="6" t="s">
        <v>45</v>
      </c>
      <c r="P305" s="6" t="s">
        <v>470</v>
      </c>
      <c r="Q305" s="6">
        <v>149.1</v>
      </c>
      <c r="R305" s="6" t="s">
        <v>35</v>
      </c>
      <c r="S305" s="6" t="s">
        <v>35</v>
      </c>
      <c r="T305" s="6" t="s">
        <v>35</v>
      </c>
      <c r="U305" s="6" t="s">
        <v>35</v>
      </c>
      <c r="V305" s="6" t="s">
        <v>645</v>
      </c>
      <c r="X305" s="6" t="s">
        <v>99</v>
      </c>
      <c r="Y305" s="6" t="s">
        <v>54</v>
      </c>
      <c r="AB305" s="6" t="s">
        <v>37</v>
      </c>
    </row>
    <row r="306" spans="1:28" s="6" customFormat="1" hidden="1" x14ac:dyDescent="0.25">
      <c r="A306" s="7" t="str">
        <f>IFERROR(VLOOKUP(H306,'Contas Orç'!A:B,2,0),"N/A")</f>
        <v>PECAS E ACESSORIOS</v>
      </c>
      <c r="B306" s="7" t="str">
        <f t="shared" si="8"/>
        <v>330301004 - PECAS E ACESSORIOS</v>
      </c>
      <c r="C306" s="25">
        <f t="shared" si="9"/>
        <v>44866</v>
      </c>
      <c r="D306" s="27">
        <f>IF(K306="CREDITO",Q306,Q306*-1)</f>
        <v>-149.1</v>
      </c>
      <c r="E306" s="6" t="s">
        <v>860</v>
      </c>
      <c r="F306" s="6" t="s">
        <v>50</v>
      </c>
      <c r="G306" s="15">
        <v>44890</v>
      </c>
      <c r="H306" s="6" t="s">
        <v>39</v>
      </c>
      <c r="I306" s="6" t="s">
        <v>99</v>
      </c>
      <c r="J306" s="6" t="s">
        <v>54</v>
      </c>
      <c r="K306" s="6" t="s">
        <v>46</v>
      </c>
      <c r="L306" s="6" t="s">
        <v>30</v>
      </c>
      <c r="M306" s="6" t="s">
        <v>491</v>
      </c>
      <c r="O306" s="6" t="s">
        <v>45</v>
      </c>
      <c r="P306" s="6" t="s">
        <v>470</v>
      </c>
      <c r="Q306" s="6">
        <v>149.1</v>
      </c>
      <c r="R306" s="6" t="s">
        <v>35</v>
      </c>
      <c r="S306" s="6" t="s">
        <v>35</v>
      </c>
      <c r="T306" s="6" t="s">
        <v>35</v>
      </c>
      <c r="U306" s="6" t="s">
        <v>35</v>
      </c>
      <c r="V306" s="6" t="s">
        <v>645</v>
      </c>
      <c r="X306" s="6" t="s">
        <v>99</v>
      </c>
      <c r="Y306" s="6" t="s">
        <v>54</v>
      </c>
      <c r="AB306" s="6" t="s">
        <v>37</v>
      </c>
    </row>
    <row r="307" spans="1:28" s="6" customFormat="1" hidden="1" x14ac:dyDescent="0.25">
      <c r="A307" s="7" t="str">
        <f>IFERROR(VLOOKUP(H307,'Contas Orç'!A:B,2,0),"N/A")</f>
        <v>PECAS E ACESSORIOS</v>
      </c>
      <c r="B307" s="7" t="str">
        <f t="shared" si="8"/>
        <v>320301004 - PECAS E ACESSORIOS</v>
      </c>
      <c r="C307" s="25">
        <f t="shared" si="9"/>
        <v>44866</v>
      </c>
      <c r="D307" s="27">
        <f>IF(K307="CREDITO",Q307,Q307*-1)</f>
        <v>31.24</v>
      </c>
      <c r="E307" s="6" t="s">
        <v>860</v>
      </c>
      <c r="F307" s="6" t="s">
        <v>87</v>
      </c>
      <c r="G307" s="15">
        <v>44890</v>
      </c>
      <c r="H307" s="6" t="s">
        <v>26</v>
      </c>
      <c r="I307" s="6" t="s">
        <v>59</v>
      </c>
      <c r="J307" s="6" t="s">
        <v>60</v>
      </c>
      <c r="K307" s="6" t="s">
        <v>29</v>
      </c>
      <c r="L307" s="6" t="s">
        <v>43</v>
      </c>
      <c r="M307" s="6" t="s">
        <v>863</v>
      </c>
      <c r="O307" s="6" t="s">
        <v>45</v>
      </c>
      <c r="P307" s="6" t="s">
        <v>470</v>
      </c>
      <c r="Q307" s="6">
        <v>31.24</v>
      </c>
      <c r="R307" s="6" t="s">
        <v>35</v>
      </c>
      <c r="S307" s="6" t="s">
        <v>35</v>
      </c>
      <c r="T307" s="6" t="s">
        <v>35</v>
      </c>
      <c r="U307" s="6" t="s">
        <v>35</v>
      </c>
      <c r="V307" s="6" t="s">
        <v>645</v>
      </c>
      <c r="X307" s="6" t="s">
        <v>59</v>
      </c>
      <c r="Y307" s="6" t="s">
        <v>60</v>
      </c>
      <c r="AB307" s="6" t="s">
        <v>37</v>
      </c>
    </row>
    <row r="308" spans="1:28" hidden="1" x14ac:dyDescent="0.25">
      <c r="A308" s="7" t="str">
        <f>IFERROR(VLOOKUP(H308,'Contas Orç'!A:B,2,0),"N/A")</f>
        <v>PECAS E ACESSORIOS</v>
      </c>
      <c r="B308" s="7" t="str">
        <f t="shared" si="8"/>
        <v>320301004 - PECAS E ACESSORIOS</v>
      </c>
      <c r="C308" s="25">
        <f t="shared" si="9"/>
        <v>44866</v>
      </c>
      <c r="D308" s="27">
        <f>IF(K308="CREDITO",Q308,Q308*-1)</f>
        <v>-31.24</v>
      </c>
      <c r="E308" t="s">
        <v>860</v>
      </c>
      <c r="F308" t="s">
        <v>91</v>
      </c>
      <c r="G308" s="8">
        <v>44890</v>
      </c>
      <c r="H308" t="s">
        <v>26</v>
      </c>
      <c r="I308" t="s">
        <v>59</v>
      </c>
      <c r="J308" t="s">
        <v>60</v>
      </c>
      <c r="K308" t="s">
        <v>46</v>
      </c>
      <c r="L308" t="s">
        <v>30</v>
      </c>
      <c r="M308" s="17" t="s">
        <v>489</v>
      </c>
      <c r="O308" t="s">
        <v>45</v>
      </c>
      <c r="P308" t="s">
        <v>470</v>
      </c>
      <c r="Q308">
        <v>31.24</v>
      </c>
      <c r="R308" t="s">
        <v>35</v>
      </c>
      <c r="S308" t="s">
        <v>35</v>
      </c>
      <c r="T308" t="s">
        <v>35</v>
      </c>
      <c r="U308" t="s">
        <v>35</v>
      </c>
      <c r="V308" t="s">
        <v>645</v>
      </c>
      <c r="X308" t="s">
        <v>59</v>
      </c>
      <c r="Y308" t="s">
        <v>60</v>
      </c>
      <c r="AB308" t="s">
        <v>37</v>
      </c>
    </row>
    <row r="309" spans="1:28" hidden="1" x14ac:dyDescent="0.25">
      <c r="A309" s="7" t="str">
        <f>IFERROR(VLOOKUP(H309,'Contas Orç'!A:B,2,0),"N/A")</f>
        <v>PECAS E ACESSORIOS</v>
      </c>
      <c r="B309" s="7" t="str">
        <f t="shared" si="8"/>
        <v>320301004 - PECAS E ACESSORIOS</v>
      </c>
      <c r="C309" s="25">
        <f t="shared" si="9"/>
        <v>44866</v>
      </c>
      <c r="D309" s="27">
        <f>IF(K309="CREDITO",Q309,Q309*-1)</f>
        <v>240.5</v>
      </c>
      <c r="E309" t="s">
        <v>860</v>
      </c>
      <c r="F309" t="s">
        <v>94</v>
      </c>
      <c r="G309" s="8">
        <v>44890</v>
      </c>
      <c r="H309" t="s">
        <v>26</v>
      </c>
      <c r="I309" t="s">
        <v>88</v>
      </c>
      <c r="J309" t="s">
        <v>54</v>
      </c>
      <c r="K309" t="s">
        <v>29</v>
      </c>
      <c r="L309" t="s">
        <v>43</v>
      </c>
      <c r="M309" t="s">
        <v>864</v>
      </c>
      <c r="O309" t="s">
        <v>45</v>
      </c>
      <c r="P309" t="s">
        <v>470</v>
      </c>
      <c r="Q309">
        <v>240.5</v>
      </c>
      <c r="R309" t="s">
        <v>35</v>
      </c>
      <c r="S309" t="s">
        <v>35</v>
      </c>
      <c r="T309" t="s">
        <v>35</v>
      </c>
      <c r="U309" t="s">
        <v>35</v>
      </c>
      <c r="V309" t="s">
        <v>645</v>
      </c>
      <c r="X309" t="s">
        <v>88</v>
      </c>
      <c r="Y309" t="s">
        <v>54</v>
      </c>
      <c r="AB309" t="s">
        <v>37</v>
      </c>
    </row>
    <row r="310" spans="1:28" hidden="1" x14ac:dyDescent="0.25">
      <c r="A310" s="7" t="str">
        <f>IFERROR(VLOOKUP(H310,'Contas Orç'!A:B,2,0),"N/A")</f>
        <v>PECAS E ACESSORIOS</v>
      </c>
      <c r="B310" s="7" t="str">
        <f t="shared" si="8"/>
        <v>320301004 - PECAS E ACESSORIOS</v>
      </c>
      <c r="C310" s="25">
        <f t="shared" si="9"/>
        <v>44866</v>
      </c>
      <c r="D310" s="27">
        <f>IF(K310="CREDITO",Q310,Q310*-1)</f>
        <v>-240.5</v>
      </c>
      <c r="E310" t="s">
        <v>860</v>
      </c>
      <c r="F310" t="s">
        <v>98</v>
      </c>
      <c r="G310" s="8">
        <v>44890</v>
      </c>
      <c r="H310" t="s">
        <v>26</v>
      </c>
      <c r="I310" t="s">
        <v>88</v>
      </c>
      <c r="J310" t="s">
        <v>54</v>
      </c>
      <c r="K310" t="s">
        <v>46</v>
      </c>
      <c r="L310" t="s">
        <v>30</v>
      </c>
      <c r="M310" t="s">
        <v>483</v>
      </c>
      <c r="O310" t="s">
        <v>45</v>
      </c>
      <c r="P310" t="s">
        <v>470</v>
      </c>
      <c r="Q310">
        <v>240.5</v>
      </c>
      <c r="R310" t="s">
        <v>35</v>
      </c>
      <c r="S310" t="s">
        <v>35</v>
      </c>
      <c r="T310" t="s">
        <v>35</v>
      </c>
      <c r="U310" t="s">
        <v>35</v>
      </c>
      <c r="V310" t="s">
        <v>645</v>
      </c>
      <c r="X310" t="s">
        <v>88</v>
      </c>
      <c r="Y310" t="s">
        <v>54</v>
      </c>
      <c r="AB310" t="s">
        <v>37</v>
      </c>
    </row>
    <row r="311" spans="1:28" hidden="1" x14ac:dyDescent="0.25">
      <c r="A311" s="7" t="str">
        <f>IFERROR(VLOOKUP(H311,'Contas Orç'!A:B,2,0),"N/A")</f>
        <v>PECAS E ACESSORIOS</v>
      </c>
      <c r="B311" s="7" t="str">
        <f t="shared" si="8"/>
        <v>320301004 - PECAS E ACESSORIOS</v>
      </c>
      <c r="C311" s="25">
        <f t="shared" si="9"/>
        <v>44866</v>
      </c>
      <c r="D311" s="27">
        <f>IF(K311="CREDITO",Q311,Q311*-1)</f>
        <v>440</v>
      </c>
      <c r="E311" t="s">
        <v>860</v>
      </c>
      <c r="F311" t="s">
        <v>102</v>
      </c>
      <c r="G311" s="8">
        <v>44890</v>
      </c>
      <c r="H311" t="s">
        <v>26</v>
      </c>
      <c r="I311" t="s">
        <v>88</v>
      </c>
      <c r="J311" t="s">
        <v>54</v>
      </c>
      <c r="K311" t="s">
        <v>29</v>
      </c>
      <c r="L311" t="s">
        <v>43</v>
      </c>
      <c r="M311" t="s">
        <v>865</v>
      </c>
      <c r="O311" t="s">
        <v>45</v>
      </c>
      <c r="P311" t="s">
        <v>470</v>
      </c>
      <c r="Q311">
        <v>440</v>
      </c>
      <c r="R311" t="s">
        <v>35</v>
      </c>
      <c r="S311" t="s">
        <v>35</v>
      </c>
      <c r="T311" t="s">
        <v>35</v>
      </c>
      <c r="U311" t="s">
        <v>35</v>
      </c>
      <c r="V311" t="s">
        <v>645</v>
      </c>
      <c r="X311" t="s">
        <v>88</v>
      </c>
      <c r="Y311" t="s">
        <v>54</v>
      </c>
      <c r="AB311" t="s">
        <v>37</v>
      </c>
    </row>
    <row r="312" spans="1:28" hidden="1" x14ac:dyDescent="0.25">
      <c r="A312" s="7" t="str">
        <f>IFERROR(VLOOKUP(H312,'Contas Orç'!A:B,2,0),"N/A")</f>
        <v>PECAS E ACESSORIOS</v>
      </c>
      <c r="B312" s="7" t="str">
        <f t="shared" si="8"/>
        <v>320301004 - PECAS E ACESSORIOS</v>
      </c>
      <c r="C312" s="25">
        <f t="shared" si="9"/>
        <v>44866</v>
      </c>
      <c r="D312" s="27">
        <f>IF(K312="CREDITO",Q312,Q312*-1)</f>
        <v>-440</v>
      </c>
      <c r="E312" t="s">
        <v>860</v>
      </c>
      <c r="F312" t="s">
        <v>105</v>
      </c>
      <c r="G312" s="8">
        <v>44890</v>
      </c>
      <c r="H312" t="s">
        <v>26</v>
      </c>
      <c r="I312" t="s">
        <v>88</v>
      </c>
      <c r="J312" t="s">
        <v>54</v>
      </c>
      <c r="K312" t="s">
        <v>46</v>
      </c>
      <c r="L312" t="s">
        <v>30</v>
      </c>
      <c r="M312" t="s">
        <v>485</v>
      </c>
      <c r="O312" t="s">
        <v>45</v>
      </c>
      <c r="P312" t="s">
        <v>470</v>
      </c>
      <c r="Q312">
        <v>440</v>
      </c>
      <c r="R312" t="s">
        <v>35</v>
      </c>
      <c r="S312" t="s">
        <v>35</v>
      </c>
      <c r="T312" t="s">
        <v>35</v>
      </c>
      <c r="U312" t="s">
        <v>35</v>
      </c>
      <c r="V312" t="s">
        <v>645</v>
      </c>
      <c r="X312" t="s">
        <v>88</v>
      </c>
      <c r="Y312" t="s">
        <v>54</v>
      </c>
      <c r="AB312" t="s">
        <v>37</v>
      </c>
    </row>
    <row r="313" spans="1:28" hidden="1" x14ac:dyDescent="0.25">
      <c r="A313" s="7" t="str">
        <f>IFERROR(VLOOKUP(H313,'Contas Orç'!A:B,2,0),"N/A")</f>
        <v>PJ-LOCACAO DE MAQUINAS E EQUIPAMENTO</v>
      </c>
      <c r="B313" s="7" t="str">
        <f t="shared" si="8"/>
        <v>320201004 - PJ-LOCACAO DE MAQUINAS E EQUIPAMENTO</v>
      </c>
      <c r="C313" s="25">
        <f t="shared" si="9"/>
        <v>44866</v>
      </c>
      <c r="D313" s="27">
        <f>IF(K313="CREDITO",Q313,Q313*-1)</f>
        <v>3631.16</v>
      </c>
      <c r="E313" t="s">
        <v>866</v>
      </c>
      <c r="F313" t="s">
        <v>25</v>
      </c>
      <c r="G313" s="8">
        <v>44890</v>
      </c>
      <c r="H313" t="s">
        <v>280</v>
      </c>
      <c r="I313" t="s">
        <v>53</v>
      </c>
      <c r="J313" t="s">
        <v>54</v>
      </c>
      <c r="K313" t="s">
        <v>29</v>
      </c>
      <c r="L313" t="s">
        <v>43</v>
      </c>
      <c r="M313" t="s">
        <v>867</v>
      </c>
      <c r="O313" t="s">
        <v>45</v>
      </c>
      <c r="P313" t="s">
        <v>261</v>
      </c>
      <c r="Q313" s="22">
        <v>3631.16</v>
      </c>
      <c r="R313" t="s">
        <v>35</v>
      </c>
      <c r="S313" t="s">
        <v>35</v>
      </c>
      <c r="T313" t="s">
        <v>35</v>
      </c>
      <c r="U313" t="s">
        <v>35</v>
      </c>
      <c r="V313" t="s">
        <v>645</v>
      </c>
      <c r="X313" t="s">
        <v>53</v>
      </c>
      <c r="Y313" t="s">
        <v>54</v>
      </c>
      <c r="AB313" t="s">
        <v>37</v>
      </c>
    </row>
    <row r="314" spans="1:28" x14ac:dyDescent="0.25">
      <c r="A314" s="7" t="str">
        <f>IFERROR(VLOOKUP(H314,'Contas Orç'!A:B,2,0),"N/A")</f>
        <v>PJ-LOCACAO DE MAQUINAS E EQUIPAMENTO</v>
      </c>
      <c r="B314" s="7" t="str">
        <f t="shared" si="8"/>
        <v>320201004 - PJ-LOCACAO DE MAQUINAS E EQUIPAMENTO</v>
      </c>
      <c r="C314" s="25">
        <f t="shared" si="9"/>
        <v>44866</v>
      </c>
      <c r="D314" s="27">
        <f>IF(K314="CREDITO",Q314,Q314*-1)</f>
        <v>-3631.16</v>
      </c>
      <c r="E314" t="s">
        <v>866</v>
      </c>
      <c r="F314" t="s">
        <v>38</v>
      </c>
      <c r="G314" s="8">
        <v>44890</v>
      </c>
      <c r="H314" t="s">
        <v>280</v>
      </c>
      <c r="I314" t="s">
        <v>53</v>
      </c>
      <c r="J314" t="s">
        <v>54</v>
      </c>
      <c r="K314" t="s">
        <v>46</v>
      </c>
      <c r="L314" t="s">
        <v>30</v>
      </c>
      <c r="M314" t="s">
        <v>281</v>
      </c>
      <c r="O314" t="s">
        <v>45</v>
      </c>
      <c r="P314" t="s">
        <v>261</v>
      </c>
      <c r="Q314" s="22">
        <v>3631.16</v>
      </c>
      <c r="R314" t="s">
        <v>35</v>
      </c>
      <c r="S314" t="s">
        <v>35</v>
      </c>
      <c r="T314" t="s">
        <v>35</v>
      </c>
      <c r="U314" t="s">
        <v>35</v>
      </c>
      <c r="V314" t="s">
        <v>645</v>
      </c>
      <c r="X314" t="s">
        <v>53</v>
      </c>
      <c r="Y314" t="s">
        <v>54</v>
      </c>
      <c r="AB314" t="s">
        <v>37</v>
      </c>
    </row>
    <row r="315" spans="1:28" hidden="1" x14ac:dyDescent="0.25">
      <c r="A315" s="7" t="str">
        <f>IFERROR(VLOOKUP(H315,'Contas Orç'!A:B,2,0),"N/A")</f>
        <v>PJ-LOCACAO DE MAQUINAS E EQUIPAMENTO</v>
      </c>
      <c r="B315" s="7" t="str">
        <f t="shared" si="8"/>
        <v>320201004 - PJ-LOCACAO DE MAQUINAS E EQUIPAMENTO</v>
      </c>
      <c r="C315" s="25">
        <f t="shared" si="9"/>
        <v>44866</v>
      </c>
      <c r="D315" s="27">
        <f>IF(K315="CREDITO",Q315,Q315*-1)</f>
        <v>3700.83</v>
      </c>
      <c r="E315" t="s">
        <v>866</v>
      </c>
      <c r="F315" t="s">
        <v>48</v>
      </c>
      <c r="G315" s="8">
        <v>44890</v>
      </c>
      <c r="H315" t="s">
        <v>280</v>
      </c>
      <c r="I315" t="s">
        <v>53</v>
      </c>
      <c r="J315" t="s">
        <v>54</v>
      </c>
      <c r="K315" t="s">
        <v>29</v>
      </c>
      <c r="L315" t="s">
        <v>43</v>
      </c>
      <c r="M315" t="s">
        <v>867</v>
      </c>
      <c r="O315" t="s">
        <v>45</v>
      </c>
      <c r="P315" t="s">
        <v>261</v>
      </c>
      <c r="Q315" s="22">
        <v>3700.83</v>
      </c>
      <c r="R315" t="s">
        <v>35</v>
      </c>
      <c r="S315" t="s">
        <v>35</v>
      </c>
      <c r="T315" t="s">
        <v>35</v>
      </c>
      <c r="U315" t="s">
        <v>35</v>
      </c>
      <c r="V315" t="s">
        <v>645</v>
      </c>
      <c r="X315" t="s">
        <v>53</v>
      </c>
      <c r="Y315" t="s">
        <v>54</v>
      </c>
      <c r="AB315" t="s">
        <v>37</v>
      </c>
    </row>
    <row r="316" spans="1:28" x14ac:dyDescent="0.25">
      <c r="A316" s="7" t="str">
        <f>IFERROR(VLOOKUP(H316,'Contas Orç'!A:B,2,0),"N/A")</f>
        <v>PJ-LOCACAO DE MAQUINAS E EQUIPAMENTO</v>
      </c>
      <c r="B316" s="7" t="str">
        <f t="shared" si="8"/>
        <v>320201004 - PJ-LOCACAO DE MAQUINAS E EQUIPAMENTO</v>
      </c>
      <c r="C316" s="25">
        <f t="shared" si="9"/>
        <v>44866</v>
      </c>
      <c r="D316" s="27">
        <f>IF(K316="CREDITO",Q316,Q316*-1)</f>
        <v>-3700.83</v>
      </c>
      <c r="E316" t="s">
        <v>866</v>
      </c>
      <c r="F316" t="s">
        <v>50</v>
      </c>
      <c r="G316" s="8">
        <v>44890</v>
      </c>
      <c r="H316" t="s">
        <v>280</v>
      </c>
      <c r="I316" t="s">
        <v>53</v>
      </c>
      <c r="J316" t="s">
        <v>54</v>
      </c>
      <c r="K316" t="s">
        <v>46</v>
      </c>
      <c r="L316" t="s">
        <v>30</v>
      </c>
      <c r="M316" t="s">
        <v>281</v>
      </c>
      <c r="O316" t="s">
        <v>45</v>
      </c>
      <c r="P316" t="s">
        <v>261</v>
      </c>
      <c r="Q316" s="22">
        <v>3700.83</v>
      </c>
      <c r="R316" t="s">
        <v>35</v>
      </c>
      <c r="S316" t="s">
        <v>35</v>
      </c>
      <c r="T316" t="s">
        <v>35</v>
      </c>
      <c r="U316" t="s">
        <v>35</v>
      </c>
      <c r="V316" t="s">
        <v>645</v>
      </c>
      <c r="X316" t="s">
        <v>53</v>
      </c>
      <c r="Y316" t="s">
        <v>54</v>
      </c>
      <c r="AB316" t="s">
        <v>37</v>
      </c>
    </row>
    <row r="317" spans="1:28" hidden="1" x14ac:dyDescent="0.25">
      <c r="A317" s="7" t="str">
        <f>IFERROR(VLOOKUP(H317,'Contas Orç'!A:B,2,0),"N/A")</f>
        <v>PJ-LOCACAO DE MAQUINAS E EQUIPAMENTO</v>
      </c>
      <c r="B317" s="7" t="str">
        <f t="shared" si="8"/>
        <v>320201004 - PJ-LOCACAO DE MAQUINAS E EQUIPAMENTO</v>
      </c>
      <c r="C317" s="25">
        <f t="shared" si="9"/>
        <v>44866</v>
      </c>
      <c r="D317" s="27">
        <f>IF(K317="CREDITO",Q317,Q317*-1)</f>
        <v>1884.6</v>
      </c>
      <c r="E317" t="s">
        <v>866</v>
      </c>
      <c r="F317" t="s">
        <v>87</v>
      </c>
      <c r="G317" s="8">
        <v>44890</v>
      </c>
      <c r="H317" t="s">
        <v>280</v>
      </c>
      <c r="I317" t="s">
        <v>53</v>
      </c>
      <c r="J317" t="s">
        <v>54</v>
      </c>
      <c r="K317" t="s">
        <v>29</v>
      </c>
      <c r="L317" t="s">
        <v>43</v>
      </c>
      <c r="M317" t="s">
        <v>867</v>
      </c>
      <c r="O317" t="s">
        <v>45</v>
      </c>
      <c r="P317" t="s">
        <v>261</v>
      </c>
      <c r="Q317" s="22">
        <v>1884.6</v>
      </c>
      <c r="R317" t="s">
        <v>35</v>
      </c>
      <c r="S317" t="s">
        <v>35</v>
      </c>
      <c r="T317" t="s">
        <v>35</v>
      </c>
      <c r="U317" t="s">
        <v>35</v>
      </c>
      <c r="V317" t="s">
        <v>645</v>
      </c>
      <c r="X317" t="s">
        <v>53</v>
      </c>
      <c r="Y317" t="s">
        <v>54</v>
      </c>
      <c r="AB317" t="s">
        <v>37</v>
      </c>
    </row>
    <row r="318" spans="1:28" x14ac:dyDescent="0.25">
      <c r="A318" s="7" t="str">
        <f>IFERROR(VLOOKUP(H318,'Contas Orç'!A:B,2,0),"N/A")</f>
        <v>PJ-LOCACAO DE MAQUINAS E EQUIPAMENTO</v>
      </c>
      <c r="B318" s="7" t="str">
        <f t="shared" si="8"/>
        <v>320201004 - PJ-LOCACAO DE MAQUINAS E EQUIPAMENTO</v>
      </c>
      <c r="C318" s="25">
        <f t="shared" si="9"/>
        <v>44866</v>
      </c>
      <c r="D318" s="27">
        <f>IF(K318="CREDITO",Q318,Q318*-1)</f>
        <v>-1884.6</v>
      </c>
      <c r="E318" t="s">
        <v>866</v>
      </c>
      <c r="F318" t="s">
        <v>91</v>
      </c>
      <c r="G318" s="8">
        <v>44890</v>
      </c>
      <c r="H318" t="s">
        <v>280</v>
      </c>
      <c r="I318" t="s">
        <v>53</v>
      </c>
      <c r="J318" t="s">
        <v>54</v>
      </c>
      <c r="K318" t="s">
        <v>46</v>
      </c>
      <c r="L318" t="s">
        <v>30</v>
      </c>
      <c r="M318" t="s">
        <v>281</v>
      </c>
      <c r="O318" t="s">
        <v>45</v>
      </c>
      <c r="P318" t="s">
        <v>261</v>
      </c>
      <c r="Q318" s="22">
        <v>1884.6</v>
      </c>
      <c r="R318" t="s">
        <v>35</v>
      </c>
      <c r="S318" t="s">
        <v>35</v>
      </c>
      <c r="T318" t="s">
        <v>35</v>
      </c>
      <c r="U318" t="s">
        <v>35</v>
      </c>
      <c r="V318" t="s">
        <v>645</v>
      </c>
      <c r="X318" t="s">
        <v>53</v>
      </c>
      <c r="Y318" t="s">
        <v>54</v>
      </c>
      <c r="AB318" t="s">
        <v>37</v>
      </c>
    </row>
    <row r="319" spans="1:28" hidden="1" x14ac:dyDescent="0.25">
      <c r="A319" s="7" t="str">
        <f>IFERROR(VLOOKUP(H319,'Contas Orç'!A:B,2,0),"N/A")</f>
        <v>PJ-LOCACAO DE MAQUINAS E EQUIPAMENTO</v>
      </c>
      <c r="B319" s="7" t="str">
        <f t="shared" si="8"/>
        <v>320201004 - PJ-LOCACAO DE MAQUINAS E EQUIPAMENTO</v>
      </c>
      <c r="C319" s="25">
        <f t="shared" si="9"/>
        <v>44866</v>
      </c>
      <c r="D319" s="27">
        <f>IF(K319="CREDITO",Q319,Q319*-1)</f>
        <v>1702.51</v>
      </c>
      <c r="E319" t="s">
        <v>866</v>
      </c>
      <c r="F319" t="s">
        <v>94</v>
      </c>
      <c r="G319" s="8">
        <v>44890</v>
      </c>
      <c r="H319" t="s">
        <v>280</v>
      </c>
      <c r="I319" t="s">
        <v>53</v>
      </c>
      <c r="J319" t="s">
        <v>54</v>
      </c>
      <c r="K319" t="s">
        <v>29</v>
      </c>
      <c r="L319" t="s">
        <v>43</v>
      </c>
      <c r="M319" t="s">
        <v>867</v>
      </c>
      <c r="O319" t="s">
        <v>45</v>
      </c>
      <c r="P319" t="s">
        <v>261</v>
      </c>
      <c r="Q319" s="22">
        <v>1702.51</v>
      </c>
      <c r="R319" t="s">
        <v>35</v>
      </c>
      <c r="S319" t="s">
        <v>35</v>
      </c>
      <c r="T319" t="s">
        <v>35</v>
      </c>
      <c r="U319" t="s">
        <v>35</v>
      </c>
      <c r="V319" t="s">
        <v>645</v>
      </c>
      <c r="X319" t="s">
        <v>53</v>
      </c>
      <c r="Y319" t="s">
        <v>54</v>
      </c>
      <c r="AB319" t="s">
        <v>37</v>
      </c>
    </row>
    <row r="320" spans="1:28" x14ac:dyDescent="0.25">
      <c r="A320" s="7" t="str">
        <f>IFERROR(VLOOKUP(H320,'Contas Orç'!A:B,2,0),"N/A")</f>
        <v>PJ-LOCACAO DE MAQUINAS E EQUIPAMENTO</v>
      </c>
      <c r="B320" s="7" t="str">
        <f t="shared" si="8"/>
        <v>320201004 - PJ-LOCACAO DE MAQUINAS E EQUIPAMENTO</v>
      </c>
      <c r="C320" s="25">
        <f t="shared" si="9"/>
        <v>44866</v>
      </c>
      <c r="D320" s="27">
        <f>IF(K320="CREDITO",Q320,Q320*-1)</f>
        <v>-1702.51</v>
      </c>
      <c r="E320" t="s">
        <v>866</v>
      </c>
      <c r="F320" t="s">
        <v>98</v>
      </c>
      <c r="G320" s="8">
        <v>44890</v>
      </c>
      <c r="H320" t="s">
        <v>280</v>
      </c>
      <c r="I320" t="s">
        <v>53</v>
      </c>
      <c r="J320" t="s">
        <v>54</v>
      </c>
      <c r="K320" t="s">
        <v>46</v>
      </c>
      <c r="L320" t="s">
        <v>30</v>
      </c>
      <c r="M320" t="s">
        <v>281</v>
      </c>
      <c r="O320" t="s">
        <v>45</v>
      </c>
      <c r="P320" t="s">
        <v>261</v>
      </c>
      <c r="Q320" s="22">
        <v>1702.51</v>
      </c>
      <c r="R320" t="s">
        <v>35</v>
      </c>
      <c r="S320" t="s">
        <v>35</v>
      </c>
      <c r="T320" t="s">
        <v>35</v>
      </c>
      <c r="U320" t="s">
        <v>35</v>
      </c>
      <c r="V320" t="s">
        <v>645</v>
      </c>
      <c r="X320" t="s">
        <v>53</v>
      </c>
      <c r="Y320" t="s">
        <v>54</v>
      </c>
      <c r="AB320" t="s">
        <v>37</v>
      </c>
    </row>
    <row r="321" spans="1:28" hidden="1" x14ac:dyDescent="0.25">
      <c r="A321" s="7" t="str">
        <f>IFERROR(VLOOKUP(H321,'Contas Orç'!A:B,2,0),"N/A")</f>
        <v>PJ-LOCACAO DE MAQUINAS E EQUIPAMENTO</v>
      </c>
      <c r="B321" s="7" t="str">
        <f t="shared" si="8"/>
        <v>320201004 - PJ-LOCACAO DE MAQUINAS E EQUIPAMENTO</v>
      </c>
      <c r="C321" s="25">
        <f t="shared" si="9"/>
        <v>44866</v>
      </c>
      <c r="D321" s="27">
        <f>IF(K321="CREDITO",Q321,Q321*-1)</f>
        <v>3928.21</v>
      </c>
      <c r="E321" t="s">
        <v>866</v>
      </c>
      <c r="F321" t="s">
        <v>102</v>
      </c>
      <c r="G321" s="8">
        <v>44890</v>
      </c>
      <c r="H321" t="s">
        <v>280</v>
      </c>
      <c r="I321" t="s">
        <v>53</v>
      </c>
      <c r="J321" t="s">
        <v>54</v>
      </c>
      <c r="K321" t="s">
        <v>29</v>
      </c>
      <c r="L321" t="s">
        <v>43</v>
      </c>
      <c r="M321" t="s">
        <v>867</v>
      </c>
      <c r="O321" t="s">
        <v>45</v>
      </c>
      <c r="P321" t="s">
        <v>261</v>
      </c>
      <c r="Q321" s="22">
        <v>3928.21</v>
      </c>
      <c r="R321" t="s">
        <v>35</v>
      </c>
      <c r="S321" t="s">
        <v>35</v>
      </c>
      <c r="T321" t="s">
        <v>35</v>
      </c>
      <c r="U321" t="s">
        <v>35</v>
      </c>
      <c r="V321" t="s">
        <v>645</v>
      </c>
      <c r="X321" t="s">
        <v>53</v>
      </c>
      <c r="Y321" t="s">
        <v>54</v>
      </c>
      <c r="AB321" t="s">
        <v>37</v>
      </c>
    </row>
    <row r="322" spans="1:28" x14ac:dyDescent="0.25">
      <c r="A322" s="7" t="str">
        <f>IFERROR(VLOOKUP(H322,'Contas Orç'!A:B,2,0),"N/A")</f>
        <v>PJ-LOCACAO DE MAQUINAS E EQUIPAMENTO</v>
      </c>
      <c r="B322" s="7" t="str">
        <f t="shared" si="8"/>
        <v>320201004 - PJ-LOCACAO DE MAQUINAS E EQUIPAMENTO</v>
      </c>
      <c r="C322" s="25">
        <f t="shared" si="9"/>
        <v>44866</v>
      </c>
      <c r="D322" s="27">
        <f>IF(K322="CREDITO",Q322,Q322*-1)</f>
        <v>-3928.21</v>
      </c>
      <c r="E322" t="s">
        <v>866</v>
      </c>
      <c r="F322" t="s">
        <v>105</v>
      </c>
      <c r="G322" s="8">
        <v>44890</v>
      </c>
      <c r="H322" t="s">
        <v>280</v>
      </c>
      <c r="I322" t="s">
        <v>53</v>
      </c>
      <c r="J322" t="s">
        <v>54</v>
      </c>
      <c r="K322" t="s">
        <v>46</v>
      </c>
      <c r="L322" t="s">
        <v>30</v>
      </c>
      <c r="M322" t="s">
        <v>281</v>
      </c>
      <c r="O322" t="s">
        <v>45</v>
      </c>
      <c r="P322" t="s">
        <v>261</v>
      </c>
      <c r="Q322" s="22">
        <v>3928.21</v>
      </c>
      <c r="R322" t="s">
        <v>35</v>
      </c>
      <c r="S322" t="s">
        <v>35</v>
      </c>
      <c r="T322" t="s">
        <v>35</v>
      </c>
      <c r="U322" t="s">
        <v>35</v>
      </c>
      <c r="V322" t="s">
        <v>645</v>
      </c>
      <c r="X322" t="s">
        <v>53</v>
      </c>
      <c r="Y322" t="s">
        <v>54</v>
      </c>
      <c r="AB322" t="s">
        <v>37</v>
      </c>
    </row>
    <row r="323" spans="1:28" hidden="1" x14ac:dyDescent="0.25">
      <c r="A323" s="7" t="str">
        <f>IFERROR(VLOOKUP(H323,'Contas Orç'!A:B,2,0),"N/A")</f>
        <v>RECEITA BRUTA DE TRANSPORTES</v>
      </c>
      <c r="B323" s="7" t="str">
        <f t="shared" ref="B323:B386" si="10">_xlfn.CONCAT(H323," - ",A323)</f>
        <v>310101 - RECEITA BRUTA DE TRANSPORTES</v>
      </c>
      <c r="C323" s="25">
        <f t="shared" ref="C323:C386" si="11">DATE(YEAR(G323),MONTH(G323),1)</f>
        <v>44866</v>
      </c>
      <c r="D323" s="27">
        <f>IF(K323="CREDITO",Q323,Q323*-1)</f>
        <v>1499.19</v>
      </c>
      <c r="E323" t="s">
        <v>868</v>
      </c>
      <c r="F323" t="s">
        <v>25</v>
      </c>
      <c r="G323" s="8">
        <v>44890</v>
      </c>
      <c r="H323" t="s">
        <v>500</v>
      </c>
      <c r="I323" t="s">
        <v>27</v>
      </c>
      <c r="J323" t="s">
        <v>28</v>
      </c>
      <c r="K323" t="s">
        <v>29</v>
      </c>
      <c r="L323" t="s">
        <v>43</v>
      </c>
      <c r="M323" t="s">
        <v>869</v>
      </c>
      <c r="O323" t="s">
        <v>643</v>
      </c>
      <c r="P323" t="s">
        <v>663</v>
      </c>
      <c r="Q323" s="22">
        <v>1499.19</v>
      </c>
      <c r="R323" t="s">
        <v>35</v>
      </c>
      <c r="S323" t="s">
        <v>35</v>
      </c>
      <c r="T323" t="s">
        <v>35</v>
      </c>
      <c r="U323" t="s">
        <v>35</v>
      </c>
      <c r="V323" t="s">
        <v>645</v>
      </c>
      <c r="X323" t="s">
        <v>27</v>
      </c>
      <c r="Y323" t="s">
        <v>28</v>
      </c>
      <c r="AB323" t="s">
        <v>37</v>
      </c>
    </row>
    <row r="324" spans="1:28" hidden="1" x14ac:dyDescent="0.25">
      <c r="A324" s="7" t="str">
        <f>IFERROR(VLOOKUP(H324,'Contas Orç'!A:B,2,0),"N/A")</f>
        <v>PJ-LOCACAO DE MAQUINAS E EQUIPAMENTO</v>
      </c>
      <c r="B324" s="7" t="str">
        <f t="shared" si="10"/>
        <v>320201004 - PJ-LOCACAO DE MAQUINAS E EQUIPAMENTO</v>
      </c>
      <c r="C324" s="25">
        <f t="shared" si="11"/>
        <v>44866</v>
      </c>
      <c r="D324" s="27">
        <f>IF(K324="CREDITO",Q324,Q324*-1)</f>
        <v>3631.16</v>
      </c>
      <c r="E324" t="s">
        <v>870</v>
      </c>
      <c r="F324" t="s">
        <v>25</v>
      </c>
      <c r="G324" s="8">
        <v>44890</v>
      </c>
      <c r="H324" t="s">
        <v>280</v>
      </c>
      <c r="I324" t="s">
        <v>53</v>
      </c>
      <c r="J324" t="s">
        <v>54</v>
      </c>
      <c r="K324" t="s">
        <v>29</v>
      </c>
      <c r="L324" t="s">
        <v>43</v>
      </c>
      <c r="M324" t="s">
        <v>867</v>
      </c>
      <c r="O324" t="s">
        <v>45</v>
      </c>
      <c r="P324" t="s">
        <v>261</v>
      </c>
      <c r="Q324" s="22">
        <v>3631.16</v>
      </c>
      <c r="R324" t="s">
        <v>35</v>
      </c>
      <c r="S324" t="s">
        <v>35</v>
      </c>
      <c r="T324" t="s">
        <v>35</v>
      </c>
      <c r="U324" t="s">
        <v>35</v>
      </c>
      <c r="V324" t="s">
        <v>645</v>
      </c>
      <c r="X324" t="s">
        <v>53</v>
      </c>
      <c r="Y324" t="s">
        <v>54</v>
      </c>
      <c r="AB324" t="s">
        <v>37</v>
      </c>
    </row>
    <row r="325" spans="1:28" x14ac:dyDescent="0.25">
      <c r="A325" s="7" t="str">
        <f>IFERROR(VLOOKUP(H325,'Contas Orç'!A:B,2,0),"N/A")</f>
        <v>PJ-LOCACAO DE MAQUINAS E EQUIPAMENTO</v>
      </c>
      <c r="B325" s="7" t="str">
        <f t="shared" si="10"/>
        <v>320201004 - PJ-LOCACAO DE MAQUINAS E EQUIPAMENTO</v>
      </c>
      <c r="C325" s="25">
        <f t="shared" si="11"/>
        <v>44866</v>
      </c>
      <c r="D325" s="27">
        <f>IF(K325="CREDITO",Q325,Q325*-1)</f>
        <v>-3631.16</v>
      </c>
      <c r="E325" t="s">
        <v>870</v>
      </c>
      <c r="F325" t="s">
        <v>38</v>
      </c>
      <c r="G325" s="8">
        <v>44890</v>
      </c>
      <c r="H325" t="s">
        <v>280</v>
      </c>
      <c r="I325" t="s">
        <v>53</v>
      </c>
      <c r="J325" t="s">
        <v>54</v>
      </c>
      <c r="K325" t="s">
        <v>46</v>
      </c>
      <c r="L325" t="s">
        <v>30</v>
      </c>
      <c r="M325" t="s">
        <v>281</v>
      </c>
      <c r="O325" t="s">
        <v>45</v>
      </c>
      <c r="P325" t="s">
        <v>261</v>
      </c>
      <c r="Q325" s="22">
        <v>3631.16</v>
      </c>
      <c r="R325" t="s">
        <v>35</v>
      </c>
      <c r="S325" t="s">
        <v>35</v>
      </c>
      <c r="T325" t="s">
        <v>35</v>
      </c>
      <c r="U325" t="s">
        <v>35</v>
      </c>
      <c r="V325" t="s">
        <v>645</v>
      </c>
      <c r="X325" t="s">
        <v>53</v>
      </c>
      <c r="Y325" t="s">
        <v>54</v>
      </c>
      <c r="AB325" t="s">
        <v>37</v>
      </c>
    </row>
    <row r="326" spans="1:28" hidden="1" x14ac:dyDescent="0.25">
      <c r="A326" s="7" t="str">
        <f>IFERROR(VLOOKUP(H326,'Contas Orç'!A:B,2,0),"N/A")</f>
        <v>PJ-LOCACAO DE MAQUINAS E EQUIPAMENTO</v>
      </c>
      <c r="B326" s="7" t="str">
        <f t="shared" si="10"/>
        <v>320201004 - PJ-LOCACAO DE MAQUINAS E EQUIPAMENTO</v>
      </c>
      <c r="C326" s="25">
        <f t="shared" si="11"/>
        <v>44866</v>
      </c>
      <c r="D326" s="27">
        <f>IF(K326="CREDITO",Q326,Q326*-1)</f>
        <v>3700.83</v>
      </c>
      <c r="E326" t="s">
        <v>870</v>
      </c>
      <c r="F326" t="s">
        <v>48</v>
      </c>
      <c r="G326" s="8">
        <v>44890</v>
      </c>
      <c r="H326" t="s">
        <v>280</v>
      </c>
      <c r="I326" t="s">
        <v>53</v>
      </c>
      <c r="J326" t="s">
        <v>54</v>
      </c>
      <c r="K326" t="s">
        <v>29</v>
      </c>
      <c r="L326" t="s">
        <v>43</v>
      </c>
      <c r="M326" t="s">
        <v>867</v>
      </c>
      <c r="O326" t="s">
        <v>45</v>
      </c>
      <c r="P326" t="s">
        <v>261</v>
      </c>
      <c r="Q326" s="22">
        <v>3700.83</v>
      </c>
      <c r="R326" t="s">
        <v>35</v>
      </c>
      <c r="S326" t="s">
        <v>35</v>
      </c>
      <c r="T326" t="s">
        <v>35</v>
      </c>
      <c r="U326" t="s">
        <v>35</v>
      </c>
      <c r="V326" t="s">
        <v>645</v>
      </c>
      <c r="X326" t="s">
        <v>53</v>
      </c>
      <c r="Y326" t="s">
        <v>54</v>
      </c>
      <c r="AB326" t="s">
        <v>37</v>
      </c>
    </row>
    <row r="327" spans="1:28" x14ac:dyDescent="0.25">
      <c r="A327" s="7" t="str">
        <f>IFERROR(VLOOKUP(H327,'Contas Orç'!A:B,2,0),"N/A")</f>
        <v>PJ-LOCACAO DE MAQUINAS E EQUIPAMENTO</v>
      </c>
      <c r="B327" s="7" t="str">
        <f t="shared" si="10"/>
        <v>320201004 - PJ-LOCACAO DE MAQUINAS E EQUIPAMENTO</v>
      </c>
      <c r="C327" s="25">
        <f t="shared" si="11"/>
        <v>44866</v>
      </c>
      <c r="D327" s="27">
        <f>IF(K327="CREDITO",Q327,Q327*-1)</f>
        <v>-3700.83</v>
      </c>
      <c r="E327" t="s">
        <v>870</v>
      </c>
      <c r="F327" t="s">
        <v>50</v>
      </c>
      <c r="G327" s="8">
        <v>44890</v>
      </c>
      <c r="H327" t="s">
        <v>280</v>
      </c>
      <c r="I327" t="s">
        <v>53</v>
      </c>
      <c r="J327" t="s">
        <v>54</v>
      </c>
      <c r="K327" t="s">
        <v>46</v>
      </c>
      <c r="L327" t="s">
        <v>30</v>
      </c>
      <c r="M327" t="s">
        <v>281</v>
      </c>
      <c r="O327" t="s">
        <v>45</v>
      </c>
      <c r="P327" t="s">
        <v>261</v>
      </c>
      <c r="Q327" s="22">
        <v>3700.83</v>
      </c>
      <c r="R327" t="s">
        <v>35</v>
      </c>
      <c r="S327" t="s">
        <v>35</v>
      </c>
      <c r="T327" t="s">
        <v>35</v>
      </c>
      <c r="U327" t="s">
        <v>35</v>
      </c>
      <c r="V327" t="s">
        <v>645</v>
      </c>
      <c r="X327" t="s">
        <v>53</v>
      </c>
      <c r="Y327" t="s">
        <v>54</v>
      </c>
      <c r="AB327" t="s">
        <v>37</v>
      </c>
    </row>
    <row r="328" spans="1:28" hidden="1" x14ac:dyDescent="0.25">
      <c r="A328" s="7" t="str">
        <f>IFERROR(VLOOKUP(H328,'Contas Orç'!A:B,2,0),"N/A")</f>
        <v>PJ-LOCACAO DE MAQUINAS E EQUIPAMENTO</v>
      </c>
      <c r="B328" s="7" t="str">
        <f t="shared" si="10"/>
        <v>320201004 - PJ-LOCACAO DE MAQUINAS E EQUIPAMENTO</v>
      </c>
      <c r="C328" s="25">
        <f t="shared" si="11"/>
        <v>44866</v>
      </c>
      <c r="D328" s="27">
        <f>IF(K328="CREDITO",Q328,Q328*-1)</f>
        <v>1884.6</v>
      </c>
      <c r="E328" t="s">
        <v>870</v>
      </c>
      <c r="F328" t="s">
        <v>87</v>
      </c>
      <c r="G328" s="8">
        <v>44890</v>
      </c>
      <c r="H328" t="s">
        <v>280</v>
      </c>
      <c r="I328" t="s">
        <v>53</v>
      </c>
      <c r="J328" t="s">
        <v>54</v>
      </c>
      <c r="K328" t="s">
        <v>29</v>
      </c>
      <c r="L328" t="s">
        <v>43</v>
      </c>
      <c r="M328" t="s">
        <v>867</v>
      </c>
      <c r="O328" t="s">
        <v>45</v>
      </c>
      <c r="P328" t="s">
        <v>261</v>
      </c>
      <c r="Q328" s="22">
        <v>1884.6</v>
      </c>
      <c r="R328" t="s">
        <v>35</v>
      </c>
      <c r="S328" t="s">
        <v>35</v>
      </c>
      <c r="T328" t="s">
        <v>35</v>
      </c>
      <c r="U328" t="s">
        <v>35</v>
      </c>
      <c r="V328" t="s">
        <v>645</v>
      </c>
      <c r="X328" t="s">
        <v>53</v>
      </c>
      <c r="Y328" t="s">
        <v>54</v>
      </c>
      <c r="AB328" t="s">
        <v>37</v>
      </c>
    </row>
    <row r="329" spans="1:28" x14ac:dyDescent="0.25">
      <c r="A329" s="7" t="str">
        <f>IFERROR(VLOOKUP(H329,'Contas Orç'!A:B,2,0),"N/A")</f>
        <v>PJ-LOCACAO DE MAQUINAS E EQUIPAMENTO</v>
      </c>
      <c r="B329" s="7" t="str">
        <f t="shared" si="10"/>
        <v>320201004 - PJ-LOCACAO DE MAQUINAS E EQUIPAMENTO</v>
      </c>
      <c r="C329" s="25">
        <f t="shared" si="11"/>
        <v>44866</v>
      </c>
      <c r="D329" s="27">
        <f>IF(K329="CREDITO",Q329,Q329*-1)</f>
        <v>-1884.6</v>
      </c>
      <c r="E329" t="s">
        <v>870</v>
      </c>
      <c r="F329" t="s">
        <v>91</v>
      </c>
      <c r="G329" s="8">
        <v>44890</v>
      </c>
      <c r="H329" t="s">
        <v>280</v>
      </c>
      <c r="I329" t="s">
        <v>53</v>
      </c>
      <c r="J329" t="s">
        <v>54</v>
      </c>
      <c r="K329" t="s">
        <v>46</v>
      </c>
      <c r="L329" t="s">
        <v>30</v>
      </c>
      <c r="M329" t="s">
        <v>281</v>
      </c>
      <c r="O329" t="s">
        <v>45</v>
      </c>
      <c r="P329" t="s">
        <v>261</v>
      </c>
      <c r="Q329" s="22">
        <v>1884.6</v>
      </c>
      <c r="R329" t="s">
        <v>35</v>
      </c>
      <c r="S329" t="s">
        <v>35</v>
      </c>
      <c r="T329" t="s">
        <v>35</v>
      </c>
      <c r="U329" t="s">
        <v>35</v>
      </c>
      <c r="V329" t="s">
        <v>645</v>
      </c>
      <c r="X329" t="s">
        <v>53</v>
      </c>
      <c r="Y329" t="s">
        <v>54</v>
      </c>
      <c r="AB329" t="s">
        <v>37</v>
      </c>
    </row>
    <row r="330" spans="1:28" hidden="1" x14ac:dyDescent="0.25">
      <c r="A330" s="7" t="str">
        <f>IFERROR(VLOOKUP(H330,'Contas Orç'!A:B,2,0),"N/A")</f>
        <v>PJ-LOCACAO DE MAQUINAS E EQUIPAMENTO</v>
      </c>
      <c r="B330" s="7" t="str">
        <f t="shared" si="10"/>
        <v>320201004 - PJ-LOCACAO DE MAQUINAS E EQUIPAMENTO</v>
      </c>
      <c r="C330" s="25">
        <f t="shared" si="11"/>
        <v>44866</v>
      </c>
      <c r="D330" s="27">
        <f>IF(K330="CREDITO",Q330,Q330*-1)</f>
        <v>1702.51</v>
      </c>
      <c r="E330" t="s">
        <v>870</v>
      </c>
      <c r="F330" t="s">
        <v>94</v>
      </c>
      <c r="G330" s="8">
        <v>44890</v>
      </c>
      <c r="H330" t="s">
        <v>280</v>
      </c>
      <c r="I330" t="s">
        <v>53</v>
      </c>
      <c r="J330" t="s">
        <v>54</v>
      </c>
      <c r="K330" t="s">
        <v>29</v>
      </c>
      <c r="L330" t="s">
        <v>43</v>
      </c>
      <c r="M330" t="s">
        <v>867</v>
      </c>
      <c r="O330" t="s">
        <v>45</v>
      </c>
      <c r="P330" t="s">
        <v>261</v>
      </c>
      <c r="Q330" s="22">
        <v>1702.51</v>
      </c>
      <c r="R330" t="s">
        <v>35</v>
      </c>
      <c r="S330" t="s">
        <v>35</v>
      </c>
      <c r="T330" t="s">
        <v>35</v>
      </c>
      <c r="U330" t="s">
        <v>35</v>
      </c>
      <c r="V330" t="s">
        <v>645</v>
      </c>
      <c r="X330" t="s">
        <v>53</v>
      </c>
      <c r="Y330" t="s">
        <v>54</v>
      </c>
      <c r="AB330" t="s">
        <v>37</v>
      </c>
    </row>
    <row r="331" spans="1:28" x14ac:dyDescent="0.25">
      <c r="A331" s="7" t="str">
        <f>IFERROR(VLOOKUP(H331,'Contas Orç'!A:B,2,0),"N/A")</f>
        <v>PJ-LOCACAO DE MAQUINAS E EQUIPAMENTO</v>
      </c>
      <c r="B331" s="7" t="str">
        <f t="shared" si="10"/>
        <v>320201004 - PJ-LOCACAO DE MAQUINAS E EQUIPAMENTO</v>
      </c>
      <c r="C331" s="25">
        <f t="shared" si="11"/>
        <v>44866</v>
      </c>
      <c r="D331" s="27">
        <f>IF(K331="CREDITO",Q331,Q331*-1)</f>
        <v>-1702.51</v>
      </c>
      <c r="E331" t="s">
        <v>870</v>
      </c>
      <c r="F331" t="s">
        <v>98</v>
      </c>
      <c r="G331" s="8">
        <v>44890</v>
      </c>
      <c r="H331" t="s">
        <v>280</v>
      </c>
      <c r="I331" t="s">
        <v>53</v>
      </c>
      <c r="J331" t="s">
        <v>54</v>
      </c>
      <c r="K331" t="s">
        <v>46</v>
      </c>
      <c r="L331" t="s">
        <v>30</v>
      </c>
      <c r="M331" t="s">
        <v>281</v>
      </c>
      <c r="O331" t="s">
        <v>45</v>
      </c>
      <c r="P331" t="s">
        <v>261</v>
      </c>
      <c r="Q331" s="22">
        <v>1702.51</v>
      </c>
      <c r="R331" t="s">
        <v>35</v>
      </c>
      <c r="S331" t="s">
        <v>35</v>
      </c>
      <c r="T331" t="s">
        <v>35</v>
      </c>
      <c r="U331" t="s">
        <v>35</v>
      </c>
      <c r="V331" t="s">
        <v>645</v>
      </c>
      <c r="X331" t="s">
        <v>53</v>
      </c>
      <c r="Y331" t="s">
        <v>54</v>
      </c>
      <c r="AB331" t="s">
        <v>37</v>
      </c>
    </row>
    <row r="332" spans="1:28" hidden="1" x14ac:dyDescent="0.25">
      <c r="A332" s="7" t="str">
        <f>IFERROR(VLOOKUP(H332,'Contas Orç'!A:B,2,0),"N/A")</f>
        <v>PJ-LOCACAO DE MAQUINAS E EQUIPAMENTO</v>
      </c>
      <c r="B332" s="7" t="str">
        <f t="shared" si="10"/>
        <v>320201004 - PJ-LOCACAO DE MAQUINAS E EQUIPAMENTO</v>
      </c>
      <c r="C332" s="25">
        <f t="shared" si="11"/>
        <v>44866</v>
      </c>
      <c r="D332" s="27">
        <f>IF(K332="CREDITO",Q332,Q332*-1)</f>
        <v>3928.21</v>
      </c>
      <c r="E332" t="s">
        <v>870</v>
      </c>
      <c r="F332" t="s">
        <v>102</v>
      </c>
      <c r="G332" s="8">
        <v>44890</v>
      </c>
      <c r="H332" t="s">
        <v>280</v>
      </c>
      <c r="I332" t="s">
        <v>53</v>
      </c>
      <c r="J332" t="s">
        <v>54</v>
      </c>
      <c r="K332" t="s">
        <v>29</v>
      </c>
      <c r="L332" t="s">
        <v>43</v>
      </c>
      <c r="M332" t="s">
        <v>867</v>
      </c>
      <c r="O332" t="s">
        <v>45</v>
      </c>
      <c r="P332" t="s">
        <v>261</v>
      </c>
      <c r="Q332" s="22">
        <v>3928.21</v>
      </c>
      <c r="R332" t="s">
        <v>35</v>
      </c>
      <c r="S332" t="s">
        <v>35</v>
      </c>
      <c r="T332" t="s">
        <v>35</v>
      </c>
      <c r="U332" t="s">
        <v>35</v>
      </c>
      <c r="V332" t="s">
        <v>645</v>
      </c>
      <c r="X332" t="s">
        <v>53</v>
      </c>
      <c r="Y332" t="s">
        <v>54</v>
      </c>
      <c r="AB332" t="s">
        <v>37</v>
      </c>
    </row>
    <row r="333" spans="1:28" x14ac:dyDescent="0.25">
      <c r="A333" s="7" t="str">
        <f>IFERROR(VLOOKUP(H333,'Contas Orç'!A:B,2,0),"N/A")</f>
        <v>PJ-LOCACAO DE MAQUINAS E EQUIPAMENTO</v>
      </c>
      <c r="B333" s="7" t="str">
        <f t="shared" si="10"/>
        <v>320201004 - PJ-LOCACAO DE MAQUINAS E EQUIPAMENTO</v>
      </c>
      <c r="C333" s="25">
        <f t="shared" si="11"/>
        <v>44866</v>
      </c>
      <c r="D333" s="27">
        <f>IF(K333="CREDITO",Q333,Q333*-1)</f>
        <v>-3928.21</v>
      </c>
      <c r="E333" t="s">
        <v>870</v>
      </c>
      <c r="F333" t="s">
        <v>105</v>
      </c>
      <c r="G333" s="8">
        <v>44890</v>
      </c>
      <c r="H333" t="s">
        <v>280</v>
      </c>
      <c r="I333" t="s">
        <v>53</v>
      </c>
      <c r="J333" t="s">
        <v>54</v>
      </c>
      <c r="K333" t="s">
        <v>46</v>
      </c>
      <c r="L333" t="s">
        <v>30</v>
      </c>
      <c r="M333" t="s">
        <v>281</v>
      </c>
      <c r="O333" t="s">
        <v>45</v>
      </c>
      <c r="P333" t="s">
        <v>261</v>
      </c>
      <c r="Q333" s="22">
        <v>3928.21</v>
      </c>
      <c r="R333" t="s">
        <v>35</v>
      </c>
      <c r="S333" t="s">
        <v>35</v>
      </c>
      <c r="T333" t="s">
        <v>35</v>
      </c>
      <c r="U333" t="s">
        <v>35</v>
      </c>
      <c r="V333" t="s">
        <v>645</v>
      </c>
      <c r="X333" t="s">
        <v>53</v>
      </c>
      <c r="Y333" t="s">
        <v>54</v>
      </c>
      <c r="AB333" t="s">
        <v>37</v>
      </c>
    </row>
    <row r="334" spans="1:28" hidden="1" x14ac:dyDescent="0.25">
      <c r="A334" s="7" t="str">
        <f>IFERROR(VLOOKUP(H334,'Contas Orç'!A:B,2,0),"N/A")</f>
        <v>RECEITA BRUTA DE TRANSPORTES</v>
      </c>
      <c r="B334" s="7" t="str">
        <f t="shared" si="10"/>
        <v>310101 - RECEITA BRUTA DE TRANSPORTES</v>
      </c>
      <c r="C334" s="25">
        <f t="shared" si="11"/>
        <v>44866</v>
      </c>
      <c r="D334" s="27">
        <f>IF(K334="CREDITO",Q334,Q334*-1)</f>
        <v>1499.19</v>
      </c>
      <c r="E334" t="s">
        <v>871</v>
      </c>
      <c r="F334" t="s">
        <v>25</v>
      </c>
      <c r="G334" s="8">
        <v>44890</v>
      </c>
      <c r="H334" t="s">
        <v>500</v>
      </c>
      <c r="I334" t="s">
        <v>27</v>
      </c>
      <c r="J334" t="s">
        <v>28</v>
      </c>
      <c r="K334" t="s">
        <v>29</v>
      </c>
      <c r="L334" t="s">
        <v>43</v>
      </c>
      <c r="M334" t="s">
        <v>872</v>
      </c>
      <c r="O334" t="s">
        <v>643</v>
      </c>
      <c r="P334" t="s">
        <v>663</v>
      </c>
      <c r="Q334" s="22">
        <v>1499.19</v>
      </c>
      <c r="R334" t="s">
        <v>35</v>
      </c>
      <c r="S334" t="s">
        <v>35</v>
      </c>
      <c r="T334" t="s">
        <v>35</v>
      </c>
      <c r="U334" t="s">
        <v>35</v>
      </c>
      <c r="V334" t="s">
        <v>645</v>
      </c>
      <c r="X334" t="s">
        <v>27</v>
      </c>
      <c r="Y334" t="s">
        <v>28</v>
      </c>
      <c r="AB334" t="s">
        <v>37</v>
      </c>
    </row>
    <row r="335" spans="1:28" hidden="1" x14ac:dyDescent="0.25">
      <c r="A335" s="7" t="str">
        <f>IFERROR(VLOOKUP(H335,'Contas Orç'!A:B,2,0),"N/A")</f>
        <v>RECEITA BRUTA DE TRANSPORTES</v>
      </c>
      <c r="B335" s="7" t="str">
        <f t="shared" si="10"/>
        <v>310101 - RECEITA BRUTA DE TRANSPORTES</v>
      </c>
      <c r="C335" s="25">
        <f t="shared" si="11"/>
        <v>44866</v>
      </c>
      <c r="D335" s="27">
        <f>IF(K335="CREDITO",Q335,Q335*-1)</f>
        <v>6378.81</v>
      </c>
      <c r="E335" t="s">
        <v>873</v>
      </c>
      <c r="F335" t="s">
        <v>25</v>
      </c>
      <c r="G335" s="8">
        <v>44890</v>
      </c>
      <c r="H335" t="s">
        <v>500</v>
      </c>
      <c r="I335" t="s">
        <v>27</v>
      </c>
      <c r="J335" t="s">
        <v>28</v>
      </c>
      <c r="K335" t="s">
        <v>29</v>
      </c>
      <c r="L335" t="s">
        <v>43</v>
      </c>
      <c r="M335" t="s">
        <v>874</v>
      </c>
      <c r="O335" t="s">
        <v>643</v>
      </c>
      <c r="P335" t="s">
        <v>663</v>
      </c>
      <c r="Q335" s="22">
        <v>6378.81</v>
      </c>
      <c r="R335" t="s">
        <v>35</v>
      </c>
      <c r="S335" t="s">
        <v>35</v>
      </c>
      <c r="T335" t="s">
        <v>35</v>
      </c>
      <c r="U335" t="s">
        <v>35</v>
      </c>
      <c r="V335" t="s">
        <v>645</v>
      </c>
      <c r="X335" t="s">
        <v>27</v>
      </c>
      <c r="Y335" t="s">
        <v>28</v>
      </c>
      <c r="AB335" t="s">
        <v>37</v>
      </c>
    </row>
    <row r="336" spans="1:28" hidden="1" x14ac:dyDescent="0.25">
      <c r="A336" s="7" t="str">
        <f>IFERROR(VLOOKUP(H336,'Contas Orç'!A:B,2,0),"N/A")</f>
        <v>RECEITA BRUTA DE TRANSPORTES</v>
      </c>
      <c r="B336" s="7" t="str">
        <f t="shared" si="10"/>
        <v>310101 - RECEITA BRUTA DE TRANSPORTES</v>
      </c>
      <c r="C336" s="25">
        <f t="shared" si="11"/>
        <v>44866</v>
      </c>
      <c r="D336" s="27">
        <f>IF(K336="CREDITO",Q336,Q336*-1)</f>
        <v>1582.57</v>
      </c>
      <c r="E336" t="s">
        <v>875</v>
      </c>
      <c r="F336" t="s">
        <v>25</v>
      </c>
      <c r="G336" s="8">
        <v>44890</v>
      </c>
      <c r="H336" t="s">
        <v>500</v>
      </c>
      <c r="I336" t="s">
        <v>27</v>
      </c>
      <c r="J336" t="s">
        <v>28</v>
      </c>
      <c r="K336" t="s">
        <v>29</v>
      </c>
      <c r="L336" t="s">
        <v>43</v>
      </c>
      <c r="M336" t="s">
        <v>876</v>
      </c>
      <c r="O336" t="s">
        <v>643</v>
      </c>
      <c r="P336" t="s">
        <v>663</v>
      </c>
      <c r="Q336" s="22">
        <v>1582.57</v>
      </c>
      <c r="R336" t="s">
        <v>35</v>
      </c>
      <c r="S336" t="s">
        <v>35</v>
      </c>
      <c r="T336" t="s">
        <v>35</v>
      </c>
      <c r="U336" t="s">
        <v>35</v>
      </c>
      <c r="V336" t="s">
        <v>645</v>
      </c>
      <c r="X336" t="s">
        <v>27</v>
      </c>
      <c r="Y336" t="s">
        <v>28</v>
      </c>
      <c r="AB336" t="s">
        <v>37</v>
      </c>
    </row>
    <row r="337" spans="1:28" hidden="1" x14ac:dyDescent="0.25">
      <c r="A337" s="7" t="str">
        <f>IFERROR(VLOOKUP(H337,'Contas Orç'!A:B,2,0),"N/A")</f>
        <v>RECEITA BRUTA DE TRANSPORTES</v>
      </c>
      <c r="B337" s="7" t="str">
        <f t="shared" si="10"/>
        <v>310101 - RECEITA BRUTA DE TRANSPORTES</v>
      </c>
      <c r="C337" s="25">
        <f t="shared" si="11"/>
        <v>44866</v>
      </c>
      <c r="D337" s="27">
        <f>IF(K337="CREDITO",Q337,Q337*-1)</f>
        <v>1499.19</v>
      </c>
      <c r="E337" t="s">
        <v>877</v>
      </c>
      <c r="F337" t="s">
        <v>25</v>
      </c>
      <c r="G337" s="8">
        <v>44890</v>
      </c>
      <c r="H337" t="s">
        <v>500</v>
      </c>
      <c r="I337" t="s">
        <v>27</v>
      </c>
      <c r="J337" t="s">
        <v>28</v>
      </c>
      <c r="K337" t="s">
        <v>29</v>
      </c>
      <c r="L337" t="s">
        <v>43</v>
      </c>
      <c r="M337" t="s">
        <v>878</v>
      </c>
      <c r="O337" t="s">
        <v>643</v>
      </c>
      <c r="P337" t="s">
        <v>663</v>
      </c>
      <c r="Q337" s="22">
        <v>1499.19</v>
      </c>
      <c r="R337" t="s">
        <v>35</v>
      </c>
      <c r="S337" t="s">
        <v>35</v>
      </c>
      <c r="T337" t="s">
        <v>35</v>
      </c>
      <c r="U337" t="s">
        <v>35</v>
      </c>
      <c r="V337" t="s">
        <v>645</v>
      </c>
      <c r="X337" t="s">
        <v>27</v>
      </c>
      <c r="Y337" t="s">
        <v>28</v>
      </c>
      <c r="AB337" t="s">
        <v>37</v>
      </c>
    </row>
    <row r="338" spans="1:28" hidden="1" x14ac:dyDescent="0.25">
      <c r="A338" s="7" t="str">
        <f>IFERROR(VLOOKUP(H338,'Contas Orç'!A:B,2,0),"N/A")</f>
        <v>PNEUS E RECAPAGENS</v>
      </c>
      <c r="B338" s="7" t="str">
        <f t="shared" si="10"/>
        <v>320301003 - PNEUS E RECAPAGENS</v>
      </c>
      <c r="C338" s="25">
        <f t="shared" si="11"/>
        <v>44866</v>
      </c>
      <c r="D338" s="27">
        <f>IF(K338="CREDITO",Q338,Q338*-1)</f>
        <v>33250.019999999997</v>
      </c>
      <c r="E338" t="s">
        <v>879</v>
      </c>
      <c r="F338" t="s">
        <v>25</v>
      </c>
      <c r="G338" s="8">
        <v>44893</v>
      </c>
      <c r="H338" t="s">
        <v>536</v>
      </c>
      <c r="I338" t="s">
        <v>27</v>
      </c>
      <c r="J338" t="s">
        <v>28</v>
      </c>
      <c r="K338" t="s">
        <v>29</v>
      </c>
      <c r="L338" t="s">
        <v>30</v>
      </c>
      <c r="M338" t="s">
        <v>880</v>
      </c>
      <c r="O338" t="s">
        <v>56</v>
      </c>
      <c r="P338" t="s">
        <v>71</v>
      </c>
      <c r="Q338" s="22">
        <v>33250.019999999997</v>
      </c>
      <c r="R338" t="s">
        <v>35</v>
      </c>
      <c r="S338" t="s">
        <v>35</v>
      </c>
      <c r="T338" t="s">
        <v>35</v>
      </c>
      <c r="U338" t="s">
        <v>35</v>
      </c>
      <c r="V338" t="s">
        <v>645</v>
      </c>
      <c r="X338" t="s">
        <v>27</v>
      </c>
      <c r="Y338" t="s">
        <v>28</v>
      </c>
      <c r="AB338" t="s">
        <v>37</v>
      </c>
    </row>
    <row r="339" spans="1:28" hidden="1" x14ac:dyDescent="0.25">
      <c r="A339" s="7" t="str">
        <f>IFERROR(VLOOKUP(H339,'Contas Orç'!A:B,2,0),"N/A")</f>
        <v>BENEFICIOS</v>
      </c>
      <c r="B339" s="7" t="str">
        <f t="shared" si="10"/>
        <v>320103 - BENEFICIOS</v>
      </c>
      <c r="C339" s="25">
        <f t="shared" si="11"/>
        <v>44866</v>
      </c>
      <c r="D339" s="27">
        <f>IF(K339="CREDITO",Q339,Q339*-1)</f>
        <v>-3873.69</v>
      </c>
      <c r="E339" t="s">
        <v>881</v>
      </c>
      <c r="F339" t="s">
        <v>25</v>
      </c>
      <c r="G339" s="8">
        <v>44879</v>
      </c>
      <c r="H339" t="s">
        <v>84</v>
      </c>
      <c r="I339" t="s">
        <v>53</v>
      </c>
      <c r="K339" t="s">
        <v>46</v>
      </c>
      <c r="L339" t="s">
        <v>43</v>
      </c>
      <c r="M339" t="s">
        <v>882</v>
      </c>
      <c r="O339" t="s">
        <v>883</v>
      </c>
      <c r="P339" t="s">
        <v>237</v>
      </c>
      <c r="Q339" s="22">
        <v>3873.69</v>
      </c>
      <c r="R339" t="s">
        <v>35</v>
      </c>
      <c r="S339" t="s">
        <v>35</v>
      </c>
      <c r="T339" t="s">
        <v>35</v>
      </c>
      <c r="U339" t="s">
        <v>35</v>
      </c>
      <c r="V339" t="s">
        <v>645</v>
      </c>
      <c r="X339" t="s">
        <v>53</v>
      </c>
      <c r="Y339" t="s">
        <v>28</v>
      </c>
      <c r="AB339" t="s">
        <v>37</v>
      </c>
    </row>
    <row r="340" spans="1:28" hidden="1" x14ac:dyDescent="0.25">
      <c r="A340" s="7" t="str">
        <f>IFERROR(VLOOKUP(H340,'Contas Orç'!A:B,2,0),"N/A")</f>
        <v>BENEFICIOS</v>
      </c>
      <c r="B340" s="7" t="str">
        <f t="shared" si="10"/>
        <v>320103 - BENEFICIOS</v>
      </c>
      <c r="C340" s="25">
        <f t="shared" si="11"/>
        <v>44866</v>
      </c>
      <c r="D340" s="27">
        <f>IF(K340="CREDITO",Q340,Q340*-1)</f>
        <v>-4905.34</v>
      </c>
      <c r="E340" t="s">
        <v>881</v>
      </c>
      <c r="F340" t="s">
        <v>38</v>
      </c>
      <c r="G340" s="8">
        <v>44879</v>
      </c>
      <c r="H340" t="s">
        <v>84</v>
      </c>
      <c r="I340" t="s">
        <v>88</v>
      </c>
      <c r="K340" t="s">
        <v>46</v>
      </c>
      <c r="L340" t="s">
        <v>43</v>
      </c>
      <c r="M340" t="s">
        <v>882</v>
      </c>
      <c r="O340" t="s">
        <v>883</v>
      </c>
      <c r="P340" t="s">
        <v>237</v>
      </c>
      <c r="Q340" s="22">
        <v>4905.34</v>
      </c>
      <c r="R340" t="s">
        <v>35</v>
      </c>
      <c r="S340" t="s">
        <v>35</v>
      </c>
      <c r="T340" t="s">
        <v>35</v>
      </c>
      <c r="U340" t="s">
        <v>35</v>
      </c>
      <c r="V340" t="s">
        <v>645</v>
      </c>
      <c r="X340" t="s">
        <v>88</v>
      </c>
      <c r="Y340" t="s">
        <v>28</v>
      </c>
      <c r="AB340" t="s">
        <v>37</v>
      </c>
    </row>
    <row r="341" spans="1:28" hidden="1" x14ac:dyDescent="0.25">
      <c r="A341" s="7" t="str">
        <f>IFERROR(VLOOKUP(H341,'Contas Orç'!A:B,2,0),"N/A")</f>
        <v>BENEFICIOS</v>
      </c>
      <c r="B341" s="7" t="str">
        <f t="shared" si="10"/>
        <v>320103 - BENEFICIOS</v>
      </c>
      <c r="C341" s="25">
        <f t="shared" si="11"/>
        <v>44866</v>
      </c>
      <c r="D341" s="27">
        <f>IF(K341="CREDITO",Q341,Q341*-1)</f>
        <v>-11568.48</v>
      </c>
      <c r="E341" t="s">
        <v>881</v>
      </c>
      <c r="F341" t="s">
        <v>48</v>
      </c>
      <c r="G341" s="8">
        <v>44879</v>
      </c>
      <c r="H341" t="s">
        <v>84</v>
      </c>
      <c r="I341" t="s">
        <v>27</v>
      </c>
      <c r="K341" t="s">
        <v>46</v>
      </c>
      <c r="L341" t="s">
        <v>43</v>
      </c>
      <c r="M341" t="s">
        <v>882</v>
      </c>
      <c r="O341" t="s">
        <v>883</v>
      </c>
      <c r="P341" t="s">
        <v>237</v>
      </c>
      <c r="Q341" s="22">
        <v>11568.48</v>
      </c>
      <c r="R341" t="s">
        <v>35</v>
      </c>
      <c r="S341" t="s">
        <v>35</v>
      </c>
      <c r="T341" t="s">
        <v>35</v>
      </c>
      <c r="U341" t="s">
        <v>35</v>
      </c>
      <c r="V341" t="s">
        <v>645</v>
      </c>
      <c r="X341" t="s">
        <v>27</v>
      </c>
      <c r="Y341" t="s">
        <v>60</v>
      </c>
      <c r="AB341" t="s">
        <v>37</v>
      </c>
    </row>
    <row r="342" spans="1:28" hidden="1" x14ac:dyDescent="0.25">
      <c r="A342" s="7" t="str">
        <f>IFERROR(VLOOKUP(H342,'Contas Orç'!A:B,2,0),"N/A")</f>
        <v>BENEFICIOS</v>
      </c>
      <c r="B342" s="7" t="str">
        <f t="shared" si="10"/>
        <v>320103 - BENEFICIOS</v>
      </c>
      <c r="C342" s="25">
        <f t="shared" si="11"/>
        <v>44866</v>
      </c>
      <c r="D342" s="27">
        <f>IF(K342="CREDITO",Q342,Q342*-1)</f>
        <v>-607.83000000000004</v>
      </c>
      <c r="E342" t="s">
        <v>881</v>
      </c>
      <c r="F342" t="s">
        <v>50</v>
      </c>
      <c r="G342" s="8">
        <v>44879</v>
      </c>
      <c r="H342" t="s">
        <v>84</v>
      </c>
      <c r="I342" t="s">
        <v>59</v>
      </c>
      <c r="K342" t="s">
        <v>46</v>
      </c>
      <c r="L342" t="s">
        <v>43</v>
      </c>
      <c r="M342" t="s">
        <v>882</v>
      </c>
      <c r="O342" t="s">
        <v>883</v>
      </c>
      <c r="P342" t="s">
        <v>237</v>
      </c>
      <c r="Q342">
        <v>607.83000000000004</v>
      </c>
      <c r="R342" t="s">
        <v>35</v>
      </c>
      <c r="S342" t="s">
        <v>35</v>
      </c>
      <c r="T342" t="s">
        <v>35</v>
      </c>
      <c r="U342" t="s">
        <v>35</v>
      </c>
      <c r="V342" t="s">
        <v>645</v>
      </c>
      <c r="X342" t="s">
        <v>59</v>
      </c>
      <c r="Y342" t="s">
        <v>95</v>
      </c>
      <c r="AB342" t="s">
        <v>37</v>
      </c>
    </row>
    <row r="343" spans="1:28" hidden="1" x14ac:dyDescent="0.25">
      <c r="A343" s="7" t="str">
        <f>IFERROR(VLOOKUP(H343,'Contas Orç'!A:B,2,0),"N/A")</f>
        <v>BENEFICIOS</v>
      </c>
      <c r="B343" s="7" t="str">
        <f t="shared" si="10"/>
        <v>320103 - BENEFICIOS</v>
      </c>
      <c r="C343" s="25">
        <f t="shared" si="11"/>
        <v>44866</v>
      </c>
      <c r="D343" s="27">
        <f>IF(K343="CREDITO",Q343,Q343*-1)</f>
        <v>-704.05</v>
      </c>
      <c r="E343" t="s">
        <v>881</v>
      </c>
      <c r="F343" t="s">
        <v>87</v>
      </c>
      <c r="G343" s="8">
        <v>44879</v>
      </c>
      <c r="H343" t="s">
        <v>84</v>
      </c>
      <c r="I343" t="s">
        <v>53</v>
      </c>
      <c r="K343" t="s">
        <v>46</v>
      </c>
      <c r="L343" t="s">
        <v>43</v>
      </c>
      <c r="M343" t="s">
        <v>882</v>
      </c>
      <c r="O343" t="s">
        <v>883</v>
      </c>
      <c r="P343" t="s">
        <v>237</v>
      </c>
      <c r="Q343">
        <v>704.05</v>
      </c>
      <c r="R343" t="s">
        <v>35</v>
      </c>
      <c r="S343" t="s">
        <v>35</v>
      </c>
      <c r="T343" t="s">
        <v>35</v>
      </c>
      <c r="U343" t="s">
        <v>35</v>
      </c>
      <c r="V343" t="s">
        <v>645</v>
      </c>
      <c r="X343" t="s">
        <v>53</v>
      </c>
      <c r="Y343" t="s">
        <v>54</v>
      </c>
      <c r="AB343" t="s">
        <v>37</v>
      </c>
    </row>
    <row r="344" spans="1:28" hidden="1" x14ac:dyDescent="0.25">
      <c r="A344" s="7" t="str">
        <f>IFERROR(VLOOKUP(H344,'Contas Orç'!A:B,2,0),"N/A")</f>
        <v>BENEFICIOS</v>
      </c>
      <c r="B344" s="7" t="str">
        <f t="shared" si="10"/>
        <v>320103 - BENEFICIOS</v>
      </c>
      <c r="C344" s="25">
        <f t="shared" si="11"/>
        <v>44866</v>
      </c>
      <c r="D344" s="27">
        <f>IF(K344="CREDITO",Q344,Q344*-1)</f>
        <v>-11421.09</v>
      </c>
      <c r="E344" t="s">
        <v>881</v>
      </c>
      <c r="F344" t="s">
        <v>91</v>
      </c>
      <c r="G344" s="8">
        <v>44879</v>
      </c>
      <c r="H344" t="s">
        <v>84</v>
      </c>
      <c r="I344" t="s">
        <v>106</v>
      </c>
      <c r="K344" t="s">
        <v>46</v>
      </c>
      <c r="L344" t="s">
        <v>43</v>
      </c>
      <c r="M344" t="s">
        <v>882</v>
      </c>
      <c r="O344" t="s">
        <v>883</v>
      </c>
      <c r="P344" t="s">
        <v>237</v>
      </c>
      <c r="Q344" s="22">
        <v>11421.09</v>
      </c>
      <c r="R344" t="s">
        <v>35</v>
      </c>
      <c r="S344" t="s">
        <v>35</v>
      </c>
      <c r="T344" t="s">
        <v>35</v>
      </c>
      <c r="U344" t="s">
        <v>35</v>
      </c>
      <c r="V344" t="s">
        <v>645</v>
      </c>
      <c r="X344" t="s">
        <v>106</v>
      </c>
      <c r="Y344" t="s">
        <v>107</v>
      </c>
      <c r="AB344" t="s">
        <v>37</v>
      </c>
    </row>
    <row r="345" spans="1:28" hidden="1" x14ac:dyDescent="0.25">
      <c r="A345" s="7" t="str">
        <f>IFERROR(VLOOKUP(H345,'Contas Orç'!A:B,2,0),"N/A")</f>
        <v>BENEFICIOS</v>
      </c>
      <c r="B345" s="7" t="str">
        <f t="shared" si="10"/>
        <v>320103 - BENEFICIOS</v>
      </c>
      <c r="C345" s="25">
        <f t="shared" si="11"/>
        <v>44866</v>
      </c>
      <c r="D345" s="27">
        <f>IF(K345="CREDITO",Q345,Q345*-1)</f>
        <v>-71587.850000000006</v>
      </c>
      <c r="E345" t="s">
        <v>881</v>
      </c>
      <c r="F345" t="s">
        <v>94</v>
      </c>
      <c r="G345" s="8">
        <v>44879</v>
      </c>
      <c r="H345" t="s">
        <v>84</v>
      </c>
      <c r="I345" t="s">
        <v>59</v>
      </c>
      <c r="K345" t="s">
        <v>46</v>
      </c>
      <c r="L345" t="s">
        <v>43</v>
      </c>
      <c r="M345" t="s">
        <v>882</v>
      </c>
      <c r="O345" t="s">
        <v>883</v>
      </c>
      <c r="P345" t="s">
        <v>237</v>
      </c>
      <c r="Q345" s="22">
        <v>71587.850000000006</v>
      </c>
      <c r="R345" t="s">
        <v>35</v>
      </c>
      <c r="S345" t="s">
        <v>35</v>
      </c>
      <c r="T345" t="s">
        <v>35</v>
      </c>
      <c r="U345" t="s">
        <v>35</v>
      </c>
      <c r="V345" t="s">
        <v>645</v>
      </c>
      <c r="X345" t="s">
        <v>59</v>
      </c>
      <c r="Y345" t="s">
        <v>54</v>
      </c>
      <c r="AB345" t="s">
        <v>37</v>
      </c>
    </row>
    <row r="346" spans="1:28" hidden="1" x14ac:dyDescent="0.25">
      <c r="A346" s="7" t="str">
        <f>IFERROR(VLOOKUP(H346,'Contas Orç'!A:B,2,0),"N/A")</f>
        <v>BENEFICIOS</v>
      </c>
      <c r="B346" s="7" t="str">
        <f t="shared" si="10"/>
        <v>320103 - BENEFICIOS</v>
      </c>
      <c r="C346" s="25">
        <f t="shared" si="11"/>
        <v>44866</v>
      </c>
      <c r="D346" s="27">
        <f>IF(K346="CREDITO",Q346,Q346*-1)</f>
        <v>-4154.3500000000004</v>
      </c>
      <c r="E346" t="s">
        <v>881</v>
      </c>
      <c r="F346" t="s">
        <v>98</v>
      </c>
      <c r="G346" s="8">
        <v>44879</v>
      </c>
      <c r="H346" t="s">
        <v>84</v>
      </c>
      <c r="I346" t="s">
        <v>59</v>
      </c>
      <c r="K346" t="s">
        <v>46</v>
      </c>
      <c r="L346" t="s">
        <v>43</v>
      </c>
      <c r="M346" t="s">
        <v>882</v>
      </c>
      <c r="O346" t="s">
        <v>883</v>
      </c>
      <c r="P346" t="s">
        <v>237</v>
      </c>
      <c r="Q346" s="22">
        <v>4154.3500000000004</v>
      </c>
      <c r="R346" t="s">
        <v>35</v>
      </c>
      <c r="S346" t="s">
        <v>35</v>
      </c>
      <c r="T346" t="s">
        <v>35</v>
      </c>
      <c r="U346" t="s">
        <v>35</v>
      </c>
      <c r="V346" t="s">
        <v>645</v>
      </c>
      <c r="X346" t="s">
        <v>125</v>
      </c>
      <c r="Y346" t="s">
        <v>54</v>
      </c>
      <c r="AB346" t="s">
        <v>37</v>
      </c>
    </row>
    <row r="347" spans="1:28" hidden="1" x14ac:dyDescent="0.25">
      <c r="A347" s="7" t="str">
        <f>IFERROR(VLOOKUP(H347,'Contas Orç'!A:B,2,0),"N/A")</f>
        <v>REMUNERACOES</v>
      </c>
      <c r="B347" s="7" t="str">
        <f t="shared" si="10"/>
        <v>320101 - REMUNERACOES</v>
      </c>
      <c r="C347" s="25">
        <f t="shared" si="11"/>
        <v>44866</v>
      </c>
      <c r="D347" s="27">
        <f>IF(K347="CREDITO",Q347,Q347*-1)</f>
        <v>-9.99</v>
      </c>
      <c r="E347" t="s">
        <v>884</v>
      </c>
      <c r="F347" t="s">
        <v>25</v>
      </c>
      <c r="G347" s="8">
        <v>44895</v>
      </c>
      <c r="H347" t="s">
        <v>508</v>
      </c>
      <c r="J347" t="s">
        <v>54</v>
      </c>
      <c r="K347" t="s">
        <v>46</v>
      </c>
      <c r="L347" t="s">
        <v>43</v>
      </c>
      <c r="M347" t="s">
        <v>885</v>
      </c>
      <c r="O347" t="s">
        <v>883</v>
      </c>
      <c r="P347" t="s">
        <v>886</v>
      </c>
      <c r="Q347">
        <v>9.99</v>
      </c>
      <c r="R347" t="s">
        <v>35</v>
      </c>
      <c r="S347" t="s">
        <v>35</v>
      </c>
      <c r="T347" t="s">
        <v>35</v>
      </c>
      <c r="U347" t="s">
        <v>35</v>
      </c>
      <c r="V347" t="s">
        <v>645</v>
      </c>
      <c r="X347" t="s">
        <v>40</v>
      </c>
      <c r="Y347" t="s">
        <v>54</v>
      </c>
      <c r="AB347" t="s">
        <v>37</v>
      </c>
    </row>
    <row r="348" spans="1:28" hidden="1" x14ac:dyDescent="0.25">
      <c r="A348" s="7" t="str">
        <f>IFERROR(VLOOKUP(H348,'Contas Orç'!A:B,2,0),"N/A")</f>
        <v>BENEFICIOS</v>
      </c>
      <c r="B348" s="7" t="str">
        <f t="shared" si="10"/>
        <v>320103 - BENEFICIOS</v>
      </c>
      <c r="C348" s="25">
        <f t="shared" si="11"/>
        <v>44866</v>
      </c>
      <c r="D348" s="27">
        <f>IF(K348="CREDITO",Q348,Q348*-1)</f>
        <v>-4014.5</v>
      </c>
      <c r="E348" t="s">
        <v>887</v>
      </c>
      <c r="F348" t="s">
        <v>25</v>
      </c>
      <c r="G348" s="8">
        <v>44886</v>
      </c>
      <c r="H348" t="s">
        <v>84</v>
      </c>
      <c r="I348" t="s">
        <v>53</v>
      </c>
      <c r="K348" t="s">
        <v>46</v>
      </c>
      <c r="L348" t="s">
        <v>43</v>
      </c>
      <c r="M348" t="s">
        <v>888</v>
      </c>
      <c r="O348" t="s">
        <v>883</v>
      </c>
      <c r="P348" t="s">
        <v>237</v>
      </c>
      <c r="Q348" s="22">
        <v>4014.5</v>
      </c>
      <c r="R348" t="s">
        <v>35</v>
      </c>
      <c r="S348" t="s">
        <v>35</v>
      </c>
      <c r="T348" t="s">
        <v>35</v>
      </c>
      <c r="U348" t="s">
        <v>35</v>
      </c>
      <c r="V348" t="s">
        <v>645</v>
      </c>
      <c r="X348" t="s">
        <v>53</v>
      </c>
      <c r="Y348" t="s">
        <v>28</v>
      </c>
      <c r="AB348" t="s">
        <v>37</v>
      </c>
    </row>
    <row r="349" spans="1:28" hidden="1" x14ac:dyDescent="0.25">
      <c r="A349" s="7" t="str">
        <f>IFERROR(VLOOKUP(H349,'Contas Orç'!A:B,2,0),"N/A")</f>
        <v>BENEFICIOS</v>
      </c>
      <c r="B349" s="7" t="str">
        <f t="shared" si="10"/>
        <v>320103 - BENEFICIOS</v>
      </c>
      <c r="C349" s="25">
        <f t="shared" si="11"/>
        <v>44866</v>
      </c>
      <c r="D349" s="27">
        <f>IF(K349="CREDITO",Q349,Q349*-1)</f>
        <v>-4764.53</v>
      </c>
      <c r="E349" t="s">
        <v>887</v>
      </c>
      <c r="F349" t="s">
        <v>38</v>
      </c>
      <c r="G349" s="8">
        <v>44886</v>
      </c>
      <c r="H349" t="s">
        <v>84</v>
      </c>
      <c r="I349" t="s">
        <v>88</v>
      </c>
      <c r="K349" t="s">
        <v>46</v>
      </c>
      <c r="L349" t="s">
        <v>43</v>
      </c>
      <c r="M349" t="s">
        <v>888</v>
      </c>
      <c r="O349" t="s">
        <v>883</v>
      </c>
      <c r="P349" t="s">
        <v>237</v>
      </c>
      <c r="Q349" s="22">
        <v>4764.53</v>
      </c>
      <c r="R349" t="s">
        <v>35</v>
      </c>
      <c r="S349" t="s">
        <v>35</v>
      </c>
      <c r="T349" t="s">
        <v>35</v>
      </c>
      <c r="U349" t="s">
        <v>35</v>
      </c>
      <c r="V349" t="s">
        <v>645</v>
      </c>
      <c r="X349" t="s">
        <v>88</v>
      </c>
      <c r="Y349" t="s">
        <v>28</v>
      </c>
      <c r="AB349" t="s">
        <v>37</v>
      </c>
    </row>
    <row r="350" spans="1:28" hidden="1" x14ac:dyDescent="0.25">
      <c r="A350" s="7" t="str">
        <f>IFERROR(VLOOKUP(H350,'Contas Orç'!A:B,2,0),"N/A")</f>
        <v>BENEFICIOS</v>
      </c>
      <c r="B350" s="7" t="str">
        <f t="shared" si="10"/>
        <v>320103 - BENEFICIOS</v>
      </c>
      <c r="C350" s="25">
        <f t="shared" si="11"/>
        <v>44866</v>
      </c>
      <c r="D350" s="27">
        <f>IF(K350="CREDITO",Q350,Q350*-1)</f>
        <v>-12176.31</v>
      </c>
      <c r="E350" t="s">
        <v>887</v>
      </c>
      <c r="F350" t="s">
        <v>48</v>
      </c>
      <c r="G350" s="8">
        <v>44886</v>
      </c>
      <c r="H350" t="s">
        <v>84</v>
      </c>
      <c r="I350" t="s">
        <v>27</v>
      </c>
      <c r="K350" t="s">
        <v>46</v>
      </c>
      <c r="L350" t="s">
        <v>43</v>
      </c>
      <c r="M350" t="s">
        <v>888</v>
      </c>
      <c r="O350" t="s">
        <v>883</v>
      </c>
      <c r="P350" t="s">
        <v>237</v>
      </c>
      <c r="Q350" s="22">
        <v>12176.31</v>
      </c>
      <c r="R350" t="s">
        <v>35</v>
      </c>
      <c r="S350" t="s">
        <v>35</v>
      </c>
      <c r="T350" t="s">
        <v>35</v>
      </c>
      <c r="U350" t="s">
        <v>35</v>
      </c>
      <c r="V350" t="s">
        <v>645</v>
      </c>
      <c r="X350" t="s">
        <v>27</v>
      </c>
      <c r="Y350" t="s">
        <v>60</v>
      </c>
      <c r="AB350" t="s">
        <v>37</v>
      </c>
    </row>
    <row r="351" spans="1:28" hidden="1" x14ac:dyDescent="0.25">
      <c r="A351" s="7" t="str">
        <f>IFERROR(VLOOKUP(H351,'Contas Orç'!A:B,2,0),"N/A")</f>
        <v>BENEFICIOS</v>
      </c>
      <c r="B351" s="7" t="str">
        <f t="shared" si="10"/>
        <v>320103 - BENEFICIOS</v>
      </c>
      <c r="C351" s="25">
        <f t="shared" si="11"/>
        <v>44866</v>
      </c>
      <c r="D351" s="27">
        <f>IF(K351="CREDITO",Q351,Q351*-1)</f>
        <v>-607.83000000000004</v>
      </c>
      <c r="E351" t="s">
        <v>887</v>
      </c>
      <c r="F351" t="s">
        <v>50</v>
      </c>
      <c r="G351" s="8">
        <v>44886</v>
      </c>
      <c r="H351" t="s">
        <v>84</v>
      </c>
      <c r="I351" t="s">
        <v>59</v>
      </c>
      <c r="K351" t="s">
        <v>46</v>
      </c>
      <c r="L351" t="s">
        <v>43</v>
      </c>
      <c r="M351" t="s">
        <v>888</v>
      </c>
      <c r="O351" t="s">
        <v>883</v>
      </c>
      <c r="P351" t="s">
        <v>237</v>
      </c>
      <c r="Q351">
        <v>607.83000000000004</v>
      </c>
      <c r="R351" t="s">
        <v>35</v>
      </c>
      <c r="S351" t="s">
        <v>35</v>
      </c>
      <c r="T351" t="s">
        <v>35</v>
      </c>
      <c r="U351" t="s">
        <v>35</v>
      </c>
      <c r="V351" t="s">
        <v>645</v>
      </c>
      <c r="X351" t="s">
        <v>59</v>
      </c>
      <c r="Y351" t="s">
        <v>95</v>
      </c>
      <c r="AB351" t="s">
        <v>37</v>
      </c>
    </row>
    <row r="352" spans="1:28" hidden="1" x14ac:dyDescent="0.25">
      <c r="A352" s="7" t="str">
        <f>IFERROR(VLOOKUP(H352,'Contas Orç'!A:B,2,0),"N/A")</f>
        <v>BENEFICIOS</v>
      </c>
      <c r="B352" s="7" t="str">
        <f t="shared" si="10"/>
        <v>320103 - BENEFICIOS</v>
      </c>
      <c r="C352" s="25">
        <f t="shared" si="11"/>
        <v>44866</v>
      </c>
      <c r="D352" s="27">
        <f>IF(K352="CREDITO",Q352,Q352*-1)</f>
        <v>-833.61</v>
      </c>
      <c r="E352" t="s">
        <v>887</v>
      </c>
      <c r="F352" t="s">
        <v>87</v>
      </c>
      <c r="G352" s="8">
        <v>44886</v>
      </c>
      <c r="H352" t="s">
        <v>84</v>
      </c>
      <c r="I352" t="s">
        <v>53</v>
      </c>
      <c r="K352" t="s">
        <v>46</v>
      </c>
      <c r="L352" t="s">
        <v>43</v>
      </c>
      <c r="M352" t="s">
        <v>888</v>
      </c>
      <c r="O352" t="s">
        <v>883</v>
      </c>
      <c r="P352" t="s">
        <v>237</v>
      </c>
      <c r="Q352">
        <v>833.61</v>
      </c>
      <c r="R352" t="s">
        <v>35</v>
      </c>
      <c r="S352" t="s">
        <v>35</v>
      </c>
      <c r="T352" t="s">
        <v>35</v>
      </c>
      <c r="U352" t="s">
        <v>35</v>
      </c>
      <c r="V352" t="s">
        <v>645</v>
      </c>
      <c r="X352" t="s">
        <v>53</v>
      </c>
      <c r="Y352" t="s">
        <v>54</v>
      </c>
      <c r="AB352" t="s">
        <v>37</v>
      </c>
    </row>
    <row r="353" spans="1:28" hidden="1" x14ac:dyDescent="0.25">
      <c r="A353" s="7" t="str">
        <f>IFERROR(VLOOKUP(H353,'Contas Orç'!A:B,2,0),"N/A")</f>
        <v>BENEFICIOS</v>
      </c>
      <c r="B353" s="7" t="str">
        <f t="shared" si="10"/>
        <v>320103 - BENEFICIOS</v>
      </c>
      <c r="C353" s="25">
        <f t="shared" si="11"/>
        <v>44866</v>
      </c>
      <c r="D353" s="27">
        <f>IF(K353="CREDITO",Q353,Q353*-1)</f>
        <v>-10771.96</v>
      </c>
      <c r="E353" t="s">
        <v>887</v>
      </c>
      <c r="F353" t="s">
        <v>91</v>
      </c>
      <c r="G353" s="8">
        <v>44886</v>
      </c>
      <c r="H353" t="s">
        <v>84</v>
      </c>
      <c r="I353" t="s">
        <v>106</v>
      </c>
      <c r="K353" t="s">
        <v>46</v>
      </c>
      <c r="L353" t="s">
        <v>43</v>
      </c>
      <c r="M353" t="s">
        <v>888</v>
      </c>
      <c r="O353" t="s">
        <v>883</v>
      </c>
      <c r="P353" t="s">
        <v>237</v>
      </c>
      <c r="Q353" s="22">
        <v>10771.96</v>
      </c>
      <c r="R353" t="s">
        <v>35</v>
      </c>
      <c r="S353" t="s">
        <v>35</v>
      </c>
      <c r="T353" t="s">
        <v>35</v>
      </c>
      <c r="U353" t="s">
        <v>35</v>
      </c>
      <c r="V353" t="s">
        <v>645</v>
      </c>
      <c r="X353" t="s">
        <v>106</v>
      </c>
      <c r="Y353" t="s">
        <v>107</v>
      </c>
      <c r="AB353" t="s">
        <v>37</v>
      </c>
    </row>
    <row r="354" spans="1:28" hidden="1" x14ac:dyDescent="0.25">
      <c r="A354" s="7" t="str">
        <f>IFERROR(VLOOKUP(H354,'Contas Orç'!A:B,2,0),"N/A")</f>
        <v>BENEFICIOS</v>
      </c>
      <c r="B354" s="7" t="str">
        <f t="shared" si="10"/>
        <v>320103 - BENEFICIOS</v>
      </c>
      <c r="C354" s="25">
        <f t="shared" si="11"/>
        <v>44866</v>
      </c>
      <c r="D354" s="27">
        <f>IF(K354="CREDITO",Q354,Q354*-1)</f>
        <v>-71308.570000000007</v>
      </c>
      <c r="E354" t="s">
        <v>887</v>
      </c>
      <c r="F354" t="s">
        <v>94</v>
      </c>
      <c r="G354" s="8">
        <v>44886</v>
      </c>
      <c r="H354" t="s">
        <v>84</v>
      </c>
      <c r="I354" t="s">
        <v>59</v>
      </c>
      <c r="K354" t="s">
        <v>46</v>
      </c>
      <c r="L354" t="s">
        <v>43</v>
      </c>
      <c r="M354" t="s">
        <v>888</v>
      </c>
      <c r="O354" t="s">
        <v>883</v>
      </c>
      <c r="P354" t="s">
        <v>237</v>
      </c>
      <c r="Q354" s="22">
        <v>71308.570000000007</v>
      </c>
      <c r="R354" t="s">
        <v>35</v>
      </c>
      <c r="S354" t="s">
        <v>35</v>
      </c>
      <c r="T354" t="s">
        <v>35</v>
      </c>
      <c r="U354" t="s">
        <v>35</v>
      </c>
      <c r="V354" t="s">
        <v>645</v>
      </c>
      <c r="X354" t="s">
        <v>59</v>
      </c>
      <c r="Y354" t="s">
        <v>54</v>
      </c>
      <c r="AB354" t="s">
        <v>37</v>
      </c>
    </row>
    <row r="355" spans="1:28" hidden="1" x14ac:dyDescent="0.25">
      <c r="A355" s="7" t="str">
        <f>IFERROR(VLOOKUP(H355,'Contas Orç'!A:B,2,0),"N/A")</f>
        <v>BENEFICIOS</v>
      </c>
      <c r="B355" s="7" t="str">
        <f t="shared" si="10"/>
        <v>320103 - BENEFICIOS</v>
      </c>
      <c r="C355" s="25">
        <f t="shared" si="11"/>
        <v>44866</v>
      </c>
      <c r="D355" s="27">
        <f>IF(K355="CREDITO",Q355,Q355*-1)</f>
        <v>-1768.58</v>
      </c>
      <c r="E355" t="s">
        <v>887</v>
      </c>
      <c r="F355" t="s">
        <v>98</v>
      </c>
      <c r="G355" s="8">
        <v>44886</v>
      </c>
      <c r="H355" t="s">
        <v>84</v>
      </c>
      <c r="I355" t="s">
        <v>59</v>
      </c>
      <c r="K355" t="s">
        <v>46</v>
      </c>
      <c r="L355" t="s">
        <v>43</v>
      </c>
      <c r="M355" t="s">
        <v>888</v>
      </c>
      <c r="O355" t="s">
        <v>883</v>
      </c>
      <c r="P355" t="s">
        <v>237</v>
      </c>
      <c r="Q355" s="22">
        <v>1768.58</v>
      </c>
      <c r="R355" t="s">
        <v>35</v>
      </c>
      <c r="S355" t="s">
        <v>35</v>
      </c>
      <c r="T355" t="s">
        <v>35</v>
      </c>
      <c r="U355" t="s">
        <v>35</v>
      </c>
      <c r="V355" t="s">
        <v>645</v>
      </c>
      <c r="X355" t="s">
        <v>125</v>
      </c>
      <c r="Y355" t="s">
        <v>54</v>
      </c>
      <c r="AB355" t="s">
        <v>37</v>
      </c>
    </row>
    <row r="356" spans="1:28" hidden="1" x14ac:dyDescent="0.25">
      <c r="A356" s="7" t="str">
        <f>IFERROR(VLOOKUP(H356,'Contas Orç'!A:B,2,0),"N/A")</f>
        <v>OUTRAS RECEITAS</v>
      </c>
      <c r="B356" s="7" t="str">
        <f t="shared" si="10"/>
        <v>310901 - OUTRAS RECEITAS</v>
      </c>
      <c r="C356" s="25">
        <f t="shared" si="11"/>
        <v>44866</v>
      </c>
      <c r="D356" s="27">
        <f>IF(K356="CREDITO",Q356,Q356*-1)</f>
        <v>10.99</v>
      </c>
      <c r="E356" t="s">
        <v>889</v>
      </c>
      <c r="F356" t="s">
        <v>25</v>
      </c>
      <c r="G356" s="8">
        <v>44895</v>
      </c>
      <c r="H356" t="s">
        <v>627</v>
      </c>
      <c r="I356" t="s">
        <v>40</v>
      </c>
      <c r="K356" t="s">
        <v>29</v>
      </c>
      <c r="L356" t="s">
        <v>43</v>
      </c>
      <c r="M356" t="s">
        <v>885</v>
      </c>
      <c r="O356" t="s">
        <v>883</v>
      </c>
      <c r="P356" t="s">
        <v>886</v>
      </c>
      <c r="Q356">
        <v>10.99</v>
      </c>
      <c r="R356" t="s">
        <v>35</v>
      </c>
      <c r="S356" t="s">
        <v>35</v>
      </c>
      <c r="T356" t="s">
        <v>35</v>
      </c>
      <c r="U356" t="s">
        <v>35</v>
      </c>
      <c r="V356" t="s">
        <v>645</v>
      </c>
      <c r="W356" t="s">
        <v>890</v>
      </c>
      <c r="X356" t="s">
        <v>40</v>
      </c>
      <c r="AB356" t="s">
        <v>37</v>
      </c>
    </row>
    <row r="357" spans="1:28" hidden="1" x14ac:dyDescent="0.25">
      <c r="A357" s="7" t="str">
        <f>IFERROR(VLOOKUP(H357,'Contas Orç'!A:B,2,0),"N/A")</f>
        <v>IMPOSTOS, MULTAS E TAXAS DIVERSAS</v>
      </c>
      <c r="B357" s="7" t="str">
        <f t="shared" si="10"/>
        <v>320408 - IMPOSTOS, MULTAS E TAXAS DIVERSAS</v>
      </c>
      <c r="C357" s="25">
        <f t="shared" si="11"/>
        <v>44866</v>
      </c>
      <c r="D357" s="27">
        <f>IF(K357="CREDITO",Q357,Q357*-1)</f>
        <v>10.99</v>
      </c>
      <c r="E357" t="s">
        <v>889</v>
      </c>
      <c r="F357" t="s">
        <v>38</v>
      </c>
      <c r="G357" s="8">
        <v>44895</v>
      </c>
      <c r="H357" t="s">
        <v>566</v>
      </c>
      <c r="I357" t="s">
        <v>40</v>
      </c>
      <c r="J357" t="s">
        <v>54</v>
      </c>
      <c r="K357" t="s">
        <v>29</v>
      </c>
      <c r="L357" t="s">
        <v>43</v>
      </c>
      <c r="M357" t="s">
        <v>885</v>
      </c>
      <c r="O357" t="s">
        <v>883</v>
      </c>
      <c r="P357" t="s">
        <v>886</v>
      </c>
      <c r="Q357">
        <v>10.99</v>
      </c>
      <c r="R357" t="s">
        <v>35</v>
      </c>
      <c r="S357" t="s">
        <v>35</v>
      </c>
      <c r="T357" t="s">
        <v>35</v>
      </c>
      <c r="U357" t="s">
        <v>35</v>
      </c>
      <c r="V357" t="s">
        <v>645</v>
      </c>
      <c r="W357" t="s">
        <v>890</v>
      </c>
      <c r="X357" t="s">
        <v>40</v>
      </c>
      <c r="Y357" t="s">
        <v>54</v>
      </c>
      <c r="Z357" t="s">
        <v>40</v>
      </c>
      <c r="AB357" t="s">
        <v>37</v>
      </c>
    </row>
    <row r="358" spans="1:28" hidden="1" x14ac:dyDescent="0.25">
      <c r="A358" s="7" t="str">
        <f>IFERROR(VLOOKUP(H358,'Contas Orç'!A:B,2,0),"N/A")</f>
        <v>IMPOSTOS, MULTAS E TAXAS DIVERSAS</v>
      </c>
      <c r="B358" s="7" t="str">
        <f t="shared" si="10"/>
        <v>320408 - IMPOSTOS, MULTAS E TAXAS DIVERSAS</v>
      </c>
      <c r="C358" s="25">
        <f t="shared" si="11"/>
        <v>44866</v>
      </c>
      <c r="D358" s="27">
        <f>IF(K358="CREDITO",Q358,Q358*-1)</f>
        <v>11.99</v>
      </c>
      <c r="E358" t="s">
        <v>891</v>
      </c>
      <c r="F358" t="s">
        <v>25</v>
      </c>
      <c r="G358" s="8">
        <v>44895</v>
      </c>
      <c r="H358" t="s">
        <v>566</v>
      </c>
      <c r="I358" t="s">
        <v>40</v>
      </c>
      <c r="J358" t="s">
        <v>54</v>
      </c>
      <c r="K358" t="s">
        <v>29</v>
      </c>
      <c r="L358" t="s">
        <v>43</v>
      </c>
      <c r="M358" t="s">
        <v>885</v>
      </c>
      <c r="O358" t="s">
        <v>883</v>
      </c>
      <c r="P358" t="s">
        <v>886</v>
      </c>
      <c r="Q358">
        <v>11.99</v>
      </c>
      <c r="R358" t="s">
        <v>35</v>
      </c>
      <c r="S358" t="s">
        <v>35</v>
      </c>
      <c r="T358" t="s">
        <v>35</v>
      </c>
      <c r="U358" t="s">
        <v>35</v>
      </c>
      <c r="V358" t="s">
        <v>645</v>
      </c>
      <c r="W358" t="s">
        <v>890</v>
      </c>
      <c r="X358" t="s">
        <v>40</v>
      </c>
      <c r="Y358" t="s">
        <v>54</v>
      </c>
      <c r="Z358" t="s">
        <v>40</v>
      </c>
      <c r="AB358" t="s">
        <v>37</v>
      </c>
    </row>
    <row r="359" spans="1:28" hidden="1" x14ac:dyDescent="0.25">
      <c r="A359" s="7" t="str">
        <f>IFERROR(VLOOKUP(H359,'Contas Orç'!A:B,2,0),"N/A")</f>
        <v>OUTRAS RECEITAS</v>
      </c>
      <c r="B359" s="7" t="str">
        <f t="shared" si="10"/>
        <v>310901 - OUTRAS RECEITAS</v>
      </c>
      <c r="C359" s="25">
        <f t="shared" si="11"/>
        <v>44866</v>
      </c>
      <c r="D359" s="27">
        <f>IF(K359="CREDITO",Q359,Q359*-1)</f>
        <v>11.99</v>
      </c>
      <c r="E359" t="s">
        <v>891</v>
      </c>
      <c r="F359" t="s">
        <v>38</v>
      </c>
      <c r="G359" s="8">
        <v>44895</v>
      </c>
      <c r="H359" t="s">
        <v>627</v>
      </c>
      <c r="J359" t="s">
        <v>54</v>
      </c>
      <c r="K359" t="s">
        <v>29</v>
      </c>
      <c r="L359" t="s">
        <v>43</v>
      </c>
      <c r="M359" t="s">
        <v>885</v>
      </c>
      <c r="O359" t="s">
        <v>883</v>
      </c>
      <c r="P359" t="s">
        <v>886</v>
      </c>
      <c r="Q359">
        <v>11.99</v>
      </c>
      <c r="R359" t="s">
        <v>35</v>
      </c>
      <c r="S359" t="s">
        <v>35</v>
      </c>
      <c r="T359" t="s">
        <v>35</v>
      </c>
      <c r="U359" t="s">
        <v>35</v>
      </c>
      <c r="V359" t="s">
        <v>645</v>
      </c>
      <c r="X359" t="s">
        <v>40</v>
      </c>
      <c r="Y359" t="s">
        <v>54</v>
      </c>
      <c r="Z359" t="s">
        <v>40</v>
      </c>
      <c r="AB359" t="s">
        <v>37</v>
      </c>
    </row>
    <row r="360" spans="1:28" hidden="1" x14ac:dyDescent="0.25">
      <c r="A360" s="7" t="str">
        <f>IFERROR(VLOOKUP(H360,'Contas Orç'!A:B,2,0),"N/A")</f>
        <v>OUTRAS RECEITAS</v>
      </c>
      <c r="B360" s="7" t="str">
        <f t="shared" si="10"/>
        <v>310901 - OUTRAS RECEITAS</v>
      </c>
      <c r="C360" s="25">
        <f t="shared" si="11"/>
        <v>44866</v>
      </c>
      <c r="D360" s="27">
        <f>IF(K360="CREDITO",Q360,Q360*-1)</f>
        <v>12.99</v>
      </c>
      <c r="E360" t="s">
        <v>892</v>
      </c>
      <c r="F360" t="s">
        <v>25</v>
      </c>
      <c r="G360" s="8">
        <v>44895</v>
      </c>
      <c r="H360" t="s">
        <v>627</v>
      </c>
      <c r="I360" t="s">
        <v>40</v>
      </c>
      <c r="J360" t="s">
        <v>54</v>
      </c>
      <c r="K360" t="s">
        <v>29</v>
      </c>
      <c r="L360" t="s">
        <v>43</v>
      </c>
      <c r="M360" t="s">
        <v>885</v>
      </c>
      <c r="O360" t="s">
        <v>883</v>
      </c>
      <c r="P360" t="s">
        <v>886</v>
      </c>
      <c r="Q360">
        <v>12.99</v>
      </c>
      <c r="R360" t="s">
        <v>35</v>
      </c>
      <c r="S360" t="s">
        <v>35</v>
      </c>
      <c r="T360" t="s">
        <v>35</v>
      </c>
      <c r="U360" t="s">
        <v>35</v>
      </c>
      <c r="V360" t="s">
        <v>645</v>
      </c>
      <c r="X360" t="s">
        <v>40</v>
      </c>
      <c r="Y360" t="s">
        <v>54</v>
      </c>
      <c r="AB360" t="s">
        <v>37</v>
      </c>
    </row>
    <row r="361" spans="1:28" hidden="1" x14ac:dyDescent="0.25">
      <c r="A361" s="7" t="str">
        <f>IFERROR(VLOOKUP(H361,'Contas Orç'!A:B,2,0),"N/A")</f>
        <v>IMPOSTOS, MULTAS E TAXAS DIVERSAS</v>
      </c>
      <c r="B361" s="7" t="str">
        <f t="shared" si="10"/>
        <v>320408 - IMPOSTOS, MULTAS E TAXAS DIVERSAS</v>
      </c>
      <c r="C361" s="25">
        <f t="shared" si="11"/>
        <v>44866</v>
      </c>
      <c r="D361" s="27">
        <f>IF(K361="CREDITO",Q361,Q361*-1)</f>
        <v>12.99</v>
      </c>
      <c r="E361" t="s">
        <v>892</v>
      </c>
      <c r="F361" t="s">
        <v>38</v>
      </c>
      <c r="G361" s="8">
        <v>44895</v>
      </c>
      <c r="H361" t="s">
        <v>566</v>
      </c>
      <c r="I361" t="s">
        <v>40</v>
      </c>
      <c r="J361" t="s">
        <v>54</v>
      </c>
      <c r="K361" t="s">
        <v>29</v>
      </c>
      <c r="L361" t="s">
        <v>43</v>
      </c>
      <c r="M361" t="s">
        <v>885</v>
      </c>
      <c r="O361" t="s">
        <v>883</v>
      </c>
      <c r="P361" t="s">
        <v>886</v>
      </c>
      <c r="Q361">
        <v>12.99</v>
      </c>
      <c r="R361" t="s">
        <v>35</v>
      </c>
      <c r="S361" t="s">
        <v>35</v>
      </c>
      <c r="T361" t="s">
        <v>35</v>
      </c>
      <c r="U361" t="s">
        <v>35</v>
      </c>
      <c r="V361" t="s">
        <v>645</v>
      </c>
      <c r="X361" t="s">
        <v>40</v>
      </c>
      <c r="Y361" t="s">
        <v>54</v>
      </c>
      <c r="AB361" t="s">
        <v>37</v>
      </c>
    </row>
    <row r="362" spans="1:28" hidden="1" x14ac:dyDescent="0.25">
      <c r="A362" s="7" t="str">
        <f>IFERROR(VLOOKUP(H362,'Contas Orç'!A:B,2,0),"N/A")</f>
        <v>IMPOSTOS, MULTAS E TAXAS DIVERSAS</v>
      </c>
      <c r="B362" s="7" t="str">
        <f t="shared" si="10"/>
        <v>320408 - IMPOSTOS, MULTAS E TAXAS DIVERSAS</v>
      </c>
      <c r="C362" s="25">
        <f t="shared" si="11"/>
        <v>44866</v>
      </c>
      <c r="D362" s="27">
        <f>IF(K362="CREDITO",Q362,Q362*-1)</f>
        <v>13.99</v>
      </c>
      <c r="E362" t="s">
        <v>893</v>
      </c>
      <c r="F362" t="s">
        <v>25</v>
      </c>
      <c r="G362" s="8">
        <v>44895</v>
      </c>
      <c r="H362" t="s">
        <v>566</v>
      </c>
      <c r="I362" t="s">
        <v>40</v>
      </c>
      <c r="J362" t="s">
        <v>54</v>
      </c>
      <c r="K362" t="s">
        <v>29</v>
      </c>
      <c r="L362" t="s">
        <v>43</v>
      </c>
      <c r="M362" t="s">
        <v>885</v>
      </c>
      <c r="O362" t="s">
        <v>883</v>
      </c>
      <c r="P362" t="s">
        <v>886</v>
      </c>
      <c r="Q362">
        <v>13.99</v>
      </c>
      <c r="R362" t="s">
        <v>35</v>
      </c>
      <c r="S362" t="s">
        <v>35</v>
      </c>
      <c r="T362" t="s">
        <v>35</v>
      </c>
      <c r="U362" t="s">
        <v>35</v>
      </c>
      <c r="V362" t="s">
        <v>645</v>
      </c>
      <c r="X362" t="s">
        <v>40</v>
      </c>
      <c r="Y362" t="s">
        <v>54</v>
      </c>
      <c r="AB362" t="s">
        <v>37</v>
      </c>
    </row>
    <row r="363" spans="1:28" hidden="1" x14ac:dyDescent="0.25">
      <c r="A363" s="7" t="str">
        <f>IFERROR(VLOOKUP(H363,'Contas Orç'!A:B,2,0),"N/A")</f>
        <v>OUTRAS RECEITAS</v>
      </c>
      <c r="B363" s="7" t="str">
        <f t="shared" si="10"/>
        <v>310901 - OUTRAS RECEITAS</v>
      </c>
      <c r="C363" s="25">
        <f t="shared" si="11"/>
        <v>44866</v>
      </c>
      <c r="D363" s="27">
        <f>IF(K363="CREDITO",Q363,Q363*-1)</f>
        <v>13.99</v>
      </c>
      <c r="E363" t="s">
        <v>893</v>
      </c>
      <c r="F363" t="s">
        <v>38</v>
      </c>
      <c r="G363" s="8">
        <v>44895</v>
      </c>
      <c r="H363" t="s">
        <v>627</v>
      </c>
      <c r="I363" t="s">
        <v>40</v>
      </c>
      <c r="J363" t="s">
        <v>54</v>
      </c>
      <c r="K363" t="s">
        <v>29</v>
      </c>
      <c r="L363" t="s">
        <v>43</v>
      </c>
      <c r="M363" t="s">
        <v>885</v>
      </c>
      <c r="O363" t="s">
        <v>883</v>
      </c>
      <c r="P363" t="s">
        <v>886</v>
      </c>
      <c r="Q363">
        <v>13.99</v>
      </c>
      <c r="R363" t="s">
        <v>35</v>
      </c>
      <c r="S363" t="s">
        <v>35</v>
      </c>
      <c r="T363" t="s">
        <v>35</v>
      </c>
      <c r="U363" t="s">
        <v>35</v>
      </c>
      <c r="V363" t="s">
        <v>645</v>
      </c>
      <c r="W363" t="s">
        <v>890</v>
      </c>
      <c r="X363" t="s">
        <v>40</v>
      </c>
      <c r="Y363" t="s">
        <v>54</v>
      </c>
      <c r="AB363" t="s">
        <v>37</v>
      </c>
    </row>
    <row r="364" spans="1:28" hidden="1" x14ac:dyDescent="0.25">
      <c r="A364" s="7" t="str">
        <f>IFERROR(VLOOKUP(H364,'Contas Orç'!A:B,2,0),"N/A")</f>
        <v>DESPESAS FINANCEIRAS</v>
      </c>
      <c r="B364" s="7" t="str">
        <f t="shared" si="10"/>
        <v>380201 - DESPESAS FINANCEIRAS</v>
      </c>
      <c r="C364" s="25">
        <f t="shared" si="11"/>
        <v>44866</v>
      </c>
      <c r="D364" s="27">
        <f>IF(K364="CREDITO",Q364,Q364*-1)</f>
        <v>2.99</v>
      </c>
      <c r="E364" t="s">
        <v>893</v>
      </c>
      <c r="F364" t="s">
        <v>48</v>
      </c>
      <c r="G364" s="8">
        <v>44895</v>
      </c>
      <c r="H364" t="s">
        <v>635</v>
      </c>
      <c r="I364" t="s">
        <v>40</v>
      </c>
      <c r="J364" t="s">
        <v>54</v>
      </c>
      <c r="K364" t="s">
        <v>29</v>
      </c>
      <c r="L364" t="s">
        <v>43</v>
      </c>
      <c r="M364" t="s">
        <v>885</v>
      </c>
      <c r="O364" t="s">
        <v>883</v>
      </c>
      <c r="P364" t="s">
        <v>886</v>
      </c>
      <c r="Q364">
        <v>2.99</v>
      </c>
      <c r="R364" t="s">
        <v>35</v>
      </c>
      <c r="S364" t="s">
        <v>35</v>
      </c>
      <c r="T364" t="s">
        <v>35</v>
      </c>
      <c r="U364" t="s">
        <v>35</v>
      </c>
      <c r="V364" t="s">
        <v>645</v>
      </c>
      <c r="W364" t="s">
        <v>890</v>
      </c>
      <c r="X364" t="s">
        <v>40</v>
      </c>
      <c r="Y364" t="s">
        <v>54</v>
      </c>
      <c r="AB364" t="s">
        <v>37</v>
      </c>
    </row>
    <row r="365" spans="1:28" hidden="1" x14ac:dyDescent="0.25">
      <c r="A365" s="7" t="str">
        <f>IFERROR(VLOOKUP(H365,'Contas Orç'!A:B,2,0),"N/A")</f>
        <v>OUTRAS RECEITAS</v>
      </c>
      <c r="B365" s="7" t="str">
        <f t="shared" si="10"/>
        <v>310901 - OUTRAS RECEITAS</v>
      </c>
      <c r="C365" s="25">
        <f t="shared" si="11"/>
        <v>44866</v>
      </c>
      <c r="D365" s="27">
        <f>IF(K365="CREDITO",Q365,Q365*-1)</f>
        <v>2.99</v>
      </c>
      <c r="E365" t="s">
        <v>893</v>
      </c>
      <c r="F365" t="s">
        <v>50</v>
      </c>
      <c r="G365" s="8">
        <v>44895</v>
      </c>
      <c r="H365" t="s">
        <v>627</v>
      </c>
      <c r="I365" t="s">
        <v>40</v>
      </c>
      <c r="J365" t="s">
        <v>54</v>
      </c>
      <c r="K365" t="s">
        <v>29</v>
      </c>
      <c r="L365" t="s">
        <v>43</v>
      </c>
      <c r="M365" t="s">
        <v>885</v>
      </c>
      <c r="O365" t="s">
        <v>883</v>
      </c>
      <c r="P365" t="s">
        <v>886</v>
      </c>
      <c r="Q365">
        <v>2.99</v>
      </c>
      <c r="R365" t="s">
        <v>35</v>
      </c>
      <c r="S365" t="s">
        <v>35</v>
      </c>
      <c r="T365" t="s">
        <v>35</v>
      </c>
      <c r="U365" t="s">
        <v>35</v>
      </c>
      <c r="V365" t="s">
        <v>645</v>
      </c>
      <c r="W365" t="s">
        <v>890</v>
      </c>
      <c r="X365" t="s">
        <v>40</v>
      </c>
      <c r="Y365" t="s">
        <v>54</v>
      </c>
      <c r="AB365" t="s">
        <v>37</v>
      </c>
    </row>
    <row r="366" spans="1:28" hidden="1" x14ac:dyDescent="0.25">
      <c r="A366" s="7" t="str">
        <f>IFERROR(VLOOKUP(H366,'Contas Orç'!A:B,2,0),"N/A")</f>
        <v>RECEITA BRUTA DE TRANSPORTES</v>
      </c>
      <c r="B366" s="7" t="str">
        <f t="shared" si="10"/>
        <v>310101 - RECEITA BRUTA DE TRANSPORTES</v>
      </c>
      <c r="C366" s="25">
        <f t="shared" si="11"/>
        <v>44562</v>
      </c>
      <c r="D366" s="27">
        <f>IF(K366="CREDITO",Q366,Q366*-1)</f>
        <v>595449.98</v>
      </c>
      <c r="E366" t="s">
        <v>894</v>
      </c>
      <c r="F366" t="s">
        <v>25</v>
      </c>
      <c r="G366" s="8">
        <v>44562</v>
      </c>
      <c r="H366" t="s">
        <v>500</v>
      </c>
      <c r="I366" t="s">
        <v>27</v>
      </c>
      <c r="J366" t="s">
        <v>28</v>
      </c>
      <c r="K366" t="s">
        <v>29</v>
      </c>
      <c r="L366" t="s">
        <v>895</v>
      </c>
      <c r="M366" t="s">
        <v>4402</v>
      </c>
      <c r="O366" t="s">
        <v>896</v>
      </c>
      <c r="P366" t="s">
        <v>33</v>
      </c>
      <c r="Q366" s="22">
        <v>595449.98</v>
      </c>
      <c r="R366" t="s">
        <v>35</v>
      </c>
      <c r="S366" t="s">
        <v>35</v>
      </c>
      <c r="T366" t="s">
        <v>35</v>
      </c>
      <c r="U366" t="s">
        <v>35</v>
      </c>
      <c r="V366" t="s">
        <v>645</v>
      </c>
      <c r="W366" t="s">
        <v>113</v>
      </c>
    </row>
    <row r="367" spans="1:28" hidden="1" x14ac:dyDescent="0.25">
      <c r="A367" s="7" t="str">
        <f>IFERROR(VLOOKUP(H367,'Contas Orç'!A:B,2,0),"N/A")</f>
        <v>RECEITA BRUTA DE TRANSPORTES</v>
      </c>
      <c r="B367" s="7" t="str">
        <f t="shared" si="10"/>
        <v>310101 - RECEITA BRUTA DE TRANSPORTES</v>
      </c>
      <c r="C367" s="25">
        <f t="shared" si="11"/>
        <v>44593</v>
      </c>
      <c r="D367" s="27">
        <f>IF(K367="CREDITO",Q367,Q367*-1)</f>
        <v>668030.77</v>
      </c>
      <c r="E367" t="s">
        <v>894</v>
      </c>
      <c r="F367" t="s">
        <v>38</v>
      </c>
      <c r="G367" s="8">
        <v>44593</v>
      </c>
      <c r="H367" t="s">
        <v>500</v>
      </c>
      <c r="I367" t="s">
        <v>27</v>
      </c>
      <c r="J367" t="s">
        <v>28</v>
      </c>
      <c r="K367" t="s">
        <v>29</v>
      </c>
      <c r="L367" t="s">
        <v>895</v>
      </c>
      <c r="M367" t="s">
        <v>4402</v>
      </c>
      <c r="O367" t="s">
        <v>896</v>
      </c>
      <c r="P367" t="s">
        <v>33</v>
      </c>
      <c r="Q367" s="22">
        <v>668030.77</v>
      </c>
      <c r="R367" t="s">
        <v>35</v>
      </c>
      <c r="S367" t="s">
        <v>35</v>
      </c>
      <c r="T367" t="s">
        <v>35</v>
      </c>
      <c r="U367" t="s">
        <v>35</v>
      </c>
      <c r="V367" t="s">
        <v>645</v>
      </c>
      <c r="W367" t="s">
        <v>113</v>
      </c>
    </row>
    <row r="368" spans="1:28" hidden="1" x14ac:dyDescent="0.25">
      <c r="A368" s="7" t="str">
        <f>IFERROR(VLOOKUP(H368,'Contas Orç'!A:B,2,0),"N/A")</f>
        <v>RECEITA BRUTA DE TRANSPORTES</v>
      </c>
      <c r="B368" s="7" t="str">
        <f t="shared" si="10"/>
        <v>310101 - RECEITA BRUTA DE TRANSPORTES</v>
      </c>
      <c r="C368" s="25">
        <f t="shared" si="11"/>
        <v>44621</v>
      </c>
      <c r="D368" s="27">
        <f>IF(K368="CREDITO",Q368,Q368*-1)</f>
        <v>800240.31</v>
      </c>
      <c r="E368" t="s">
        <v>894</v>
      </c>
      <c r="F368" t="s">
        <v>48</v>
      </c>
      <c r="G368" s="8">
        <v>44621</v>
      </c>
      <c r="H368" t="s">
        <v>500</v>
      </c>
      <c r="I368" t="s">
        <v>27</v>
      </c>
      <c r="J368" t="s">
        <v>28</v>
      </c>
      <c r="K368" t="s">
        <v>29</v>
      </c>
      <c r="L368" t="s">
        <v>895</v>
      </c>
      <c r="M368" t="s">
        <v>4402</v>
      </c>
      <c r="O368" t="s">
        <v>896</v>
      </c>
      <c r="P368" t="s">
        <v>33</v>
      </c>
      <c r="Q368" s="22">
        <v>800240.31</v>
      </c>
      <c r="R368" t="s">
        <v>35</v>
      </c>
      <c r="S368" t="s">
        <v>35</v>
      </c>
      <c r="T368" t="s">
        <v>35</v>
      </c>
      <c r="U368" t="s">
        <v>35</v>
      </c>
      <c r="V368" t="s">
        <v>645</v>
      </c>
      <c r="W368" t="s">
        <v>113</v>
      </c>
    </row>
    <row r="369" spans="1:23" hidden="1" x14ac:dyDescent="0.25">
      <c r="A369" s="7" t="str">
        <f>IFERROR(VLOOKUP(H369,'Contas Orç'!A:B,2,0),"N/A")</f>
        <v>RECEITA BRUTA DE TRANSPORTES</v>
      </c>
      <c r="B369" s="7" t="str">
        <f t="shared" si="10"/>
        <v>310101 - RECEITA BRUTA DE TRANSPORTES</v>
      </c>
      <c r="C369" s="25">
        <f t="shared" si="11"/>
        <v>44652</v>
      </c>
      <c r="D369" s="27">
        <f>IF(K369="CREDITO",Q369,Q369*-1)</f>
        <v>817913.21</v>
      </c>
      <c r="E369" t="s">
        <v>894</v>
      </c>
      <c r="F369" t="s">
        <v>50</v>
      </c>
      <c r="G369" s="8">
        <v>44652</v>
      </c>
      <c r="H369" t="s">
        <v>500</v>
      </c>
      <c r="I369" t="s">
        <v>27</v>
      </c>
      <c r="J369" t="s">
        <v>28</v>
      </c>
      <c r="K369" t="s">
        <v>29</v>
      </c>
      <c r="L369" t="s">
        <v>895</v>
      </c>
      <c r="M369" t="s">
        <v>4402</v>
      </c>
      <c r="O369" t="s">
        <v>896</v>
      </c>
      <c r="P369" t="s">
        <v>33</v>
      </c>
      <c r="Q369" s="22">
        <v>817913.21</v>
      </c>
      <c r="R369" t="s">
        <v>35</v>
      </c>
      <c r="S369" t="s">
        <v>35</v>
      </c>
      <c r="T369" t="s">
        <v>35</v>
      </c>
      <c r="U369" t="s">
        <v>35</v>
      </c>
      <c r="V369" t="s">
        <v>645</v>
      </c>
      <c r="W369" t="s">
        <v>113</v>
      </c>
    </row>
    <row r="370" spans="1:23" hidden="1" x14ac:dyDescent="0.25">
      <c r="A370" s="7" t="str">
        <f>IFERROR(VLOOKUP(H370,'Contas Orç'!A:B,2,0),"N/A")</f>
        <v>RECEITA BRUTA DE TRANSPORTES</v>
      </c>
      <c r="B370" s="7" t="str">
        <f t="shared" si="10"/>
        <v>310101 - RECEITA BRUTA DE TRANSPORTES</v>
      </c>
      <c r="C370" s="25">
        <f t="shared" si="11"/>
        <v>44682</v>
      </c>
      <c r="D370" s="27">
        <f>IF(K370="CREDITO",Q370,Q370*-1)</f>
        <v>1165336.8799999999</v>
      </c>
      <c r="E370" t="s">
        <v>894</v>
      </c>
      <c r="F370" t="s">
        <v>87</v>
      </c>
      <c r="G370" s="8">
        <v>44682</v>
      </c>
      <c r="H370" t="s">
        <v>500</v>
      </c>
      <c r="I370" t="s">
        <v>27</v>
      </c>
      <c r="J370" t="s">
        <v>28</v>
      </c>
      <c r="K370" t="s">
        <v>29</v>
      </c>
      <c r="L370" t="s">
        <v>895</v>
      </c>
      <c r="M370" t="s">
        <v>4402</v>
      </c>
      <c r="O370" t="s">
        <v>896</v>
      </c>
      <c r="P370" t="s">
        <v>33</v>
      </c>
      <c r="Q370" s="22">
        <v>1165336.8799999999</v>
      </c>
      <c r="R370" t="s">
        <v>35</v>
      </c>
      <c r="S370" t="s">
        <v>35</v>
      </c>
      <c r="T370" t="s">
        <v>35</v>
      </c>
      <c r="U370" t="s">
        <v>35</v>
      </c>
      <c r="V370" t="s">
        <v>645</v>
      </c>
      <c r="W370" t="s">
        <v>113</v>
      </c>
    </row>
    <row r="371" spans="1:23" hidden="1" x14ac:dyDescent="0.25">
      <c r="A371" s="7" t="str">
        <f>IFERROR(VLOOKUP(H371,'Contas Orç'!A:B,2,0),"N/A")</f>
        <v>RECEITA BRUTA DE TRANSPORTES</v>
      </c>
      <c r="B371" s="7" t="str">
        <f t="shared" si="10"/>
        <v>310101 - RECEITA BRUTA DE TRANSPORTES</v>
      </c>
      <c r="C371" s="25">
        <f t="shared" si="11"/>
        <v>44713</v>
      </c>
      <c r="D371" s="27">
        <f>IF(K371="CREDITO",Q371,Q371*-1)</f>
        <v>1143668.6299999999</v>
      </c>
      <c r="E371" t="s">
        <v>894</v>
      </c>
      <c r="F371" t="s">
        <v>91</v>
      </c>
      <c r="G371" s="8">
        <v>44713</v>
      </c>
      <c r="H371" t="s">
        <v>500</v>
      </c>
      <c r="I371" t="s">
        <v>27</v>
      </c>
      <c r="J371" t="s">
        <v>28</v>
      </c>
      <c r="K371" t="s">
        <v>29</v>
      </c>
      <c r="L371" t="s">
        <v>895</v>
      </c>
      <c r="M371" t="s">
        <v>4402</v>
      </c>
      <c r="O371" t="s">
        <v>896</v>
      </c>
      <c r="P371" t="s">
        <v>33</v>
      </c>
      <c r="Q371" s="22">
        <v>1143668.6299999999</v>
      </c>
      <c r="R371" t="s">
        <v>35</v>
      </c>
      <c r="S371" t="s">
        <v>35</v>
      </c>
      <c r="T371" t="s">
        <v>35</v>
      </c>
      <c r="U371" t="s">
        <v>35</v>
      </c>
      <c r="V371" t="s">
        <v>645</v>
      </c>
      <c r="W371" t="s">
        <v>113</v>
      </c>
    </row>
    <row r="372" spans="1:23" hidden="1" x14ac:dyDescent="0.25">
      <c r="A372" s="7" t="str">
        <f>IFERROR(VLOOKUP(H372,'Contas Orç'!A:B,2,0),"N/A")</f>
        <v>RECEITA BRUTA DE TRANSPORTES</v>
      </c>
      <c r="B372" s="7" t="str">
        <f t="shared" si="10"/>
        <v>310101 - RECEITA BRUTA DE TRANSPORTES</v>
      </c>
      <c r="C372" s="25">
        <f t="shared" si="11"/>
        <v>44743</v>
      </c>
      <c r="D372" s="27">
        <f>IF(K372="CREDITO",Q372,Q372*-1)</f>
        <v>1455589.72</v>
      </c>
      <c r="E372" t="s">
        <v>894</v>
      </c>
      <c r="F372" t="s">
        <v>94</v>
      </c>
      <c r="G372" s="8">
        <v>44743</v>
      </c>
      <c r="H372" t="s">
        <v>500</v>
      </c>
      <c r="I372" t="s">
        <v>27</v>
      </c>
      <c r="J372" t="s">
        <v>28</v>
      </c>
      <c r="K372" t="s">
        <v>29</v>
      </c>
      <c r="L372" t="s">
        <v>895</v>
      </c>
      <c r="M372" t="s">
        <v>4402</v>
      </c>
      <c r="O372" t="s">
        <v>896</v>
      </c>
      <c r="P372" t="s">
        <v>33</v>
      </c>
      <c r="Q372" s="22">
        <v>1455589.72</v>
      </c>
      <c r="R372" t="s">
        <v>35</v>
      </c>
      <c r="S372" t="s">
        <v>35</v>
      </c>
      <c r="T372" t="s">
        <v>35</v>
      </c>
      <c r="U372" t="s">
        <v>35</v>
      </c>
      <c r="V372" t="s">
        <v>645</v>
      </c>
      <c r="W372" t="s">
        <v>113</v>
      </c>
    </row>
    <row r="373" spans="1:23" hidden="1" x14ac:dyDescent="0.25">
      <c r="A373" s="7" t="str">
        <f>IFERROR(VLOOKUP(H373,'Contas Orç'!A:B,2,0),"N/A")</f>
        <v>RECEITA BRUTA DE TRANSPORTES</v>
      </c>
      <c r="B373" s="7" t="str">
        <f t="shared" si="10"/>
        <v>310101 - RECEITA BRUTA DE TRANSPORTES</v>
      </c>
      <c r="C373" s="25">
        <f t="shared" si="11"/>
        <v>44774</v>
      </c>
      <c r="D373" s="27">
        <f>IF(K373="CREDITO",Q373,Q373*-1)</f>
        <v>1316310.1100000001</v>
      </c>
      <c r="E373" t="s">
        <v>894</v>
      </c>
      <c r="F373" t="s">
        <v>98</v>
      </c>
      <c r="G373" s="8">
        <v>44774</v>
      </c>
      <c r="H373" t="s">
        <v>500</v>
      </c>
      <c r="I373" t="s">
        <v>27</v>
      </c>
      <c r="J373" t="s">
        <v>28</v>
      </c>
      <c r="K373" t="s">
        <v>29</v>
      </c>
      <c r="L373" t="s">
        <v>895</v>
      </c>
      <c r="M373" t="s">
        <v>4402</v>
      </c>
      <c r="O373" t="s">
        <v>896</v>
      </c>
      <c r="P373" t="s">
        <v>33</v>
      </c>
      <c r="Q373" s="22">
        <v>1316310.1100000001</v>
      </c>
      <c r="R373" t="s">
        <v>35</v>
      </c>
      <c r="S373" t="s">
        <v>35</v>
      </c>
      <c r="T373" t="s">
        <v>35</v>
      </c>
      <c r="U373" t="s">
        <v>35</v>
      </c>
      <c r="V373" t="s">
        <v>645</v>
      </c>
      <c r="W373" t="s">
        <v>113</v>
      </c>
    </row>
    <row r="374" spans="1:23" hidden="1" x14ac:dyDescent="0.25">
      <c r="A374" s="7" t="str">
        <f>IFERROR(VLOOKUP(H374,'Contas Orç'!A:B,2,0),"N/A")</f>
        <v>RECEITA BRUTA DE TRANSPORTES</v>
      </c>
      <c r="B374" s="7" t="str">
        <f t="shared" si="10"/>
        <v>310101 - RECEITA BRUTA DE TRANSPORTES</v>
      </c>
      <c r="C374" s="25">
        <f t="shared" si="11"/>
        <v>44805</v>
      </c>
      <c r="D374" s="27">
        <f>IF(K374="CREDITO",Q374,Q374*-1)</f>
        <v>1516365.95</v>
      </c>
      <c r="E374" t="s">
        <v>894</v>
      </c>
      <c r="F374" t="s">
        <v>102</v>
      </c>
      <c r="G374" s="8">
        <v>44805</v>
      </c>
      <c r="H374" t="s">
        <v>500</v>
      </c>
      <c r="I374" t="s">
        <v>27</v>
      </c>
      <c r="J374" t="s">
        <v>28</v>
      </c>
      <c r="K374" t="s">
        <v>29</v>
      </c>
      <c r="L374" t="s">
        <v>895</v>
      </c>
      <c r="M374" t="s">
        <v>4402</v>
      </c>
      <c r="O374" t="s">
        <v>896</v>
      </c>
      <c r="P374" t="s">
        <v>33</v>
      </c>
      <c r="Q374" s="22">
        <v>1516365.95</v>
      </c>
      <c r="R374" t="s">
        <v>35</v>
      </c>
      <c r="S374" t="s">
        <v>35</v>
      </c>
      <c r="T374" t="s">
        <v>35</v>
      </c>
      <c r="U374" t="s">
        <v>35</v>
      </c>
      <c r="V374" t="s">
        <v>645</v>
      </c>
      <c r="W374" t="s">
        <v>113</v>
      </c>
    </row>
    <row r="375" spans="1:23" hidden="1" x14ac:dyDescent="0.25">
      <c r="A375" s="7" t="str">
        <f>IFERROR(VLOOKUP(H375,'Contas Orç'!A:B,2,0),"N/A")</f>
        <v>RECEITA BRUTA DE TRANSPORTES</v>
      </c>
      <c r="B375" s="7" t="str">
        <f t="shared" si="10"/>
        <v>310101 - RECEITA BRUTA DE TRANSPORTES</v>
      </c>
      <c r="C375" s="25">
        <f t="shared" si="11"/>
        <v>44805</v>
      </c>
      <c r="D375" s="27">
        <f>IF(K375="CREDITO",Q375,Q375*-1)</f>
        <v>3873.69</v>
      </c>
      <c r="E375" t="s">
        <v>894</v>
      </c>
      <c r="F375" t="s">
        <v>105</v>
      </c>
      <c r="G375" s="8">
        <v>44805</v>
      </c>
      <c r="H375" t="s">
        <v>500</v>
      </c>
      <c r="I375" t="s">
        <v>59</v>
      </c>
      <c r="J375" t="s">
        <v>60</v>
      </c>
      <c r="K375" t="s">
        <v>29</v>
      </c>
      <c r="L375" t="s">
        <v>895</v>
      </c>
      <c r="M375" t="s">
        <v>4402</v>
      </c>
      <c r="O375" t="s">
        <v>896</v>
      </c>
      <c r="P375" t="s">
        <v>33</v>
      </c>
      <c r="Q375" s="22">
        <v>3873.69</v>
      </c>
      <c r="R375" t="s">
        <v>35</v>
      </c>
      <c r="S375" t="s">
        <v>35</v>
      </c>
      <c r="T375" t="s">
        <v>35</v>
      </c>
      <c r="U375" t="s">
        <v>35</v>
      </c>
      <c r="V375" t="s">
        <v>645</v>
      </c>
      <c r="W375" t="s">
        <v>113</v>
      </c>
    </row>
    <row r="376" spans="1:23" hidden="1" x14ac:dyDescent="0.25">
      <c r="A376" s="7" t="str">
        <f>IFERROR(VLOOKUP(H376,'Contas Orç'!A:B,2,0),"N/A")</f>
        <v>RECEITA BRUTA DE TRANSPORTES</v>
      </c>
      <c r="B376" s="7" t="str">
        <f t="shared" si="10"/>
        <v>310101 - RECEITA BRUTA DE TRANSPORTES</v>
      </c>
      <c r="C376" s="25">
        <f t="shared" si="11"/>
        <v>44835</v>
      </c>
      <c r="D376" s="27">
        <f>IF(K376="CREDITO",Q376,Q376*-1)</f>
        <v>1531529.61</v>
      </c>
      <c r="E376" t="s">
        <v>894</v>
      </c>
      <c r="F376" t="s">
        <v>110</v>
      </c>
      <c r="G376" s="8">
        <v>44835</v>
      </c>
      <c r="H376" t="s">
        <v>500</v>
      </c>
      <c r="I376" t="s">
        <v>27</v>
      </c>
      <c r="J376" t="s">
        <v>28</v>
      </c>
      <c r="K376" t="s">
        <v>29</v>
      </c>
      <c r="L376" t="s">
        <v>895</v>
      </c>
      <c r="M376" t="s">
        <v>4402</v>
      </c>
      <c r="O376" t="s">
        <v>896</v>
      </c>
      <c r="P376" t="s">
        <v>33</v>
      </c>
      <c r="Q376" s="22">
        <v>1531529.61</v>
      </c>
      <c r="R376" t="s">
        <v>35</v>
      </c>
      <c r="S376" t="s">
        <v>35</v>
      </c>
      <c r="T376" t="s">
        <v>35</v>
      </c>
      <c r="U376" t="s">
        <v>35</v>
      </c>
      <c r="V376" t="s">
        <v>645</v>
      </c>
      <c r="W376" t="s">
        <v>113</v>
      </c>
    </row>
    <row r="377" spans="1:23" hidden="1" x14ac:dyDescent="0.25">
      <c r="A377" s="7" t="str">
        <f>IFERROR(VLOOKUP(H377,'Contas Orç'!A:B,2,0),"N/A")</f>
        <v>RECEITA BRUTA DE TRANSPORTES</v>
      </c>
      <c r="B377" s="7" t="str">
        <f t="shared" si="10"/>
        <v>310101 - RECEITA BRUTA DE TRANSPORTES</v>
      </c>
      <c r="C377" s="25">
        <f t="shared" si="11"/>
        <v>44835</v>
      </c>
      <c r="D377" s="27">
        <f>IF(K377="CREDITO",Q377,Q377*-1)</f>
        <v>3912.43</v>
      </c>
      <c r="E377" t="s">
        <v>894</v>
      </c>
      <c r="F377" t="s">
        <v>113</v>
      </c>
      <c r="G377" s="8">
        <v>44835</v>
      </c>
      <c r="H377" t="s">
        <v>500</v>
      </c>
      <c r="I377" t="s">
        <v>59</v>
      </c>
      <c r="J377" t="s">
        <v>60</v>
      </c>
      <c r="K377" t="s">
        <v>29</v>
      </c>
      <c r="L377" t="s">
        <v>895</v>
      </c>
      <c r="M377" t="s">
        <v>4402</v>
      </c>
      <c r="O377" t="s">
        <v>896</v>
      </c>
      <c r="P377" t="s">
        <v>33</v>
      </c>
      <c r="Q377" s="22">
        <v>3912.43</v>
      </c>
      <c r="R377" t="s">
        <v>35</v>
      </c>
      <c r="S377" t="s">
        <v>35</v>
      </c>
      <c r="T377" t="s">
        <v>35</v>
      </c>
      <c r="U377" t="s">
        <v>35</v>
      </c>
      <c r="V377" t="s">
        <v>645</v>
      </c>
      <c r="W377" t="s">
        <v>113</v>
      </c>
    </row>
    <row r="378" spans="1:23" hidden="1" x14ac:dyDescent="0.25">
      <c r="A378" s="7" t="str">
        <f>IFERROR(VLOOKUP(H378,'Contas Orç'!A:B,2,0),"N/A")</f>
        <v>RECEITA BRUTA DE TRANSPORTES</v>
      </c>
      <c r="B378" s="7" t="str">
        <f t="shared" si="10"/>
        <v>310101 - RECEITA BRUTA DE TRANSPORTES</v>
      </c>
      <c r="C378" s="25">
        <f t="shared" si="11"/>
        <v>44866</v>
      </c>
      <c r="D378" s="27">
        <f>IF(K378="CREDITO",Q378,Q378*-1)</f>
        <v>1546844.91</v>
      </c>
      <c r="E378" t="s">
        <v>894</v>
      </c>
      <c r="F378" t="s">
        <v>117</v>
      </c>
      <c r="G378" s="8">
        <v>44866</v>
      </c>
      <c r="H378" t="s">
        <v>500</v>
      </c>
      <c r="I378" t="s">
        <v>27</v>
      </c>
      <c r="J378" t="s">
        <v>28</v>
      </c>
      <c r="K378" t="s">
        <v>29</v>
      </c>
      <c r="L378" t="s">
        <v>895</v>
      </c>
      <c r="M378" t="s">
        <v>4402</v>
      </c>
      <c r="O378" t="s">
        <v>896</v>
      </c>
      <c r="P378" t="s">
        <v>33</v>
      </c>
      <c r="Q378" s="22">
        <v>1546844.91</v>
      </c>
      <c r="R378" t="s">
        <v>35</v>
      </c>
      <c r="S378" t="s">
        <v>35</v>
      </c>
      <c r="T378" t="s">
        <v>35</v>
      </c>
      <c r="U378" t="s">
        <v>35</v>
      </c>
      <c r="V378" t="s">
        <v>645</v>
      </c>
      <c r="W378" t="s">
        <v>113</v>
      </c>
    </row>
    <row r="379" spans="1:23" hidden="1" x14ac:dyDescent="0.25">
      <c r="A379" s="7" t="str">
        <f>IFERROR(VLOOKUP(H379,'Contas Orç'!A:B,2,0),"N/A")</f>
        <v>RECEITA BRUTA DE TRANSPORTES</v>
      </c>
      <c r="B379" s="7" t="str">
        <f t="shared" si="10"/>
        <v>310101 - RECEITA BRUTA DE TRANSPORTES</v>
      </c>
      <c r="C379" s="25">
        <f t="shared" si="11"/>
        <v>44866</v>
      </c>
      <c r="D379" s="27">
        <f>IF(K379="CREDITO",Q379,Q379*-1)</f>
        <v>3951.55</v>
      </c>
      <c r="E379" t="s">
        <v>894</v>
      </c>
      <c r="F379" t="s">
        <v>120</v>
      </c>
      <c r="G379" s="8">
        <v>44866</v>
      </c>
      <c r="H379" t="s">
        <v>500</v>
      </c>
      <c r="I379" t="s">
        <v>59</v>
      </c>
      <c r="J379" t="s">
        <v>60</v>
      </c>
      <c r="K379" t="s">
        <v>29</v>
      </c>
      <c r="L379" t="s">
        <v>895</v>
      </c>
      <c r="M379" t="s">
        <v>4402</v>
      </c>
      <c r="O379" t="s">
        <v>896</v>
      </c>
      <c r="P379" t="s">
        <v>33</v>
      </c>
      <c r="Q379" s="22">
        <v>3951.55</v>
      </c>
      <c r="R379" t="s">
        <v>35</v>
      </c>
      <c r="S379" t="s">
        <v>35</v>
      </c>
      <c r="T379" t="s">
        <v>35</v>
      </c>
      <c r="U379" t="s">
        <v>35</v>
      </c>
      <c r="V379" t="s">
        <v>645</v>
      </c>
      <c r="W379" t="s">
        <v>113</v>
      </c>
    </row>
    <row r="380" spans="1:23" hidden="1" x14ac:dyDescent="0.25">
      <c r="A380" s="7" t="str">
        <f>IFERROR(VLOOKUP(H380,'Contas Orç'!A:B,2,0),"N/A")</f>
        <v>RECEITA BRUTA DE TRANSPORTES</v>
      </c>
      <c r="B380" s="7" t="str">
        <f t="shared" si="10"/>
        <v>310101 - RECEITA BRUTA DE TRANSPORTES</v>
      </c>
      <c r="C380" s="25">
        <f t="shared" si="11"/>
        <v>44896</v>
      </c>
      <c r="D380" s="27">
        <f>IF(K380="CREDITO",Q380,Q380*-1)</f>
        <v>1562313.35</v>
      </c>
      <c r="E380" t="s">
        <v>894</v>
      </c>
      <c r="F380" t="s">
        <v>124</v>
      </c>
      <c r="G380" s="8">
        <v>44896</v>
      </c>
      <c r="H380" t="s">
        <v>500</v>
      </c>
      <c r="I380" t="s">
        <v>27</v>
      </c>
      <c r="J380" t="s">
        <v>28</v>
      </c>
      <c r="K380" t="s">
        <v>29</v>
      </c>
      <c r="L380" t="s">
        <v>895</v>
      </c>
      <c r="M380" t="s">
        <v>4402</v>
      </c>
      <c r="O380" t="s">
        <v>896</v>
      </c>
      <c r="P380" t="s">
        <v>33</v>
      </c>
      <c r="Q380" s="22">
        <v>1562313.35</v>
      </c>
      <c r="R380" t="s">
        <v>35</v>
      </c>
      <c r="S380" t="s">
        <v>35</v>
      </c>
      <c r="T380" t="s">
        <v>35</v>
      </c>
      <c r="U380" t="s">
        <v>35</v>
      </c>
      <c r="V380" t="s">
        <v>645</v>
      </c>
      <c r="W380" t="s">
        <v>113</v>
      </c>
    </row>
    <row r="381" spans="1:23" hidden="1" x14ac:dyDescent="0.25">
      <c r="A381" s="7" t="str">
        <f>IFERROR(VLOOKUP(H381,'Contas Orç'!A:B,2,0),"N/A")</f>
        <v>RECEITA BRUTA DE TRANSPORTES</v>
      </c>
      <c r="B381" s="7" t="str">
        <f t="shared" si="10"/>
        <v>310101 - RECEITA BRUTA DE TRANSPORTES</v>
      </c>
      <c r="C381" s="25">
        <f t="shared" si="11"/>
        <v>44896</v>
      </c>
      <c r="D381" s="27">
        <f>IF(K381="CREDITO",Q381,Q381*-1)</f>
        <v>3991.07</v>
      </c>
      <c r="E381" t="s">
        <v>894</v>
      </c>
      <c r="F381" t="s">
        <v>128</v>
      </c>
      <c r="G381" s="8">
        <v>44896</v>
      </c>
      <c r="H381" t="s">
        <v>500</v>
      </c>
      <c r="I381" t="s">
        <v>59</v>
      </c>
      <c r="J381" t="s">
        <v>60</v>
      </c>
      <c r="K381" t="s">
        <v>29</v>
      </c>
      <c r="L381" t="s">
        <v>895</v>
      </c>
      <c r="M381" t="s">
        <v>4402</v>
      </c>
      <c r="O381" t="s">
        <v>896</v>
      </c>
      <c r="P381" t="s">
        <v>33</v>
      </c>
      <c r="Q381" s="22">
        <v>3991.07</v>
      </c>
      <c r="R381" t="s">
        <v>35</v>
      </c>
      <c r="S381" t="s">
        <v>35</v>
      </c>
      <c r="T381" t="s">
        <v>35</v>
      </c>
      <c r="U381" t="s">
        <v>35</v>
      </c>
      <c r="V381" t="s">
        <v>645</v>
      </c>
      <c r="W381" t="s">
        <v>113</v>
      </c>
    </row>
    <row r="382" spans="1:23" hidden="1" x14ac:dyDescent="0.25">
      <c r="A382" s="7" t="str">
        <f>IFERROR(VLOOKUP(H382,'Contas Orç'!A:B,2,0),"N/A")</f>
        <v>RECEITA BRUTA DE OPERACOES PORTUARIAS</v>
      </c>
      <c r="B382" s="7" t="str">
        <f t="shared" si="10"/>
        <v>310102 - RECEITA BRUTA DE OPERACOES PORTUARIAS</v>
      </c>
      <c r="C382" s="25">
        <f t="shared" si="11"/>
        <v>44562</v>
      </c>
      <c r="D382" s="27">
        <f>IF(K382="CREDITO",Q382,Q382*-1)</f>
        <v>5909013.5</v>
      </c>
      <c r="E382" t="s">
        <v>894</v>
      </c>
      <c r="F382" t="s">
        <v>131</v>
      </c>
      <c r="G382" s="8">
        <v>44562</v>
      </c>
      <c r="H382" t="s">
        <v>502</v>
      </c>
      <c r="I382" t="s">
        <v>59</v>
      </c>
      <c r="J382" t="s">
        <v>60</v>
      </c>
      <c r="K382" t="s">
        <v>29</v>
      </c>
      <c r="L382" t="s">
        <v>895</v>
      </c>
      <c r="M382" t="s">
        <v>4402</v>
      </c>
      <c r="O382" t="s">
        <v>896</v>
      </c>
      <c r="P382" t="s">
        <v>33</v>
      </c>
      <c r="Q382" s="22">
        <v>5909013.5</v>
      </c>
      <c r="R382" t="s">
        <v>35</v>
      </c>
      <c r="S382" t="s">
        <v>35</v>
      </c>
      <c r="T382" t="s">
        <v>35</v>
      </c>
      <c r="U382" t="s">
        <v>35</v>
      </c>
      <c r="V382" t="s">
        <v>645</v>
      </c>
      <c r="W382" t="s">
        <v>113</v>
      </c>
    </row>
    <row r="383" spans="1:23" hidden="1" x14ac:dyDescent="0.25">
      <c r="A383" s="7" t="str">
        <f>IFERROR(VLOOKUP(H383,'Contas Orç'!A:B,2,0),"N/A")</f>
        <v>RECEITA BRUTA DE OPERACOES PORTUARIAS</v>
      </c>
      <c r="B383" s="7" t="str">
        <f t="shared" si="10"/>
        <v>310102 - RECEITA BRUTA DE OPERACOES PORTUARIAS</v>
      </c>
      <c r="C383" s="25">
        <f t="shared" si="11"/>
        <v>44562</v>
      </c>
      <c r="D383" s="27">
        <f>IF(K383="CREDITO",Q383,Q383*-1)</f>
        <v>3149632.58</v>
      </c>
      <c r="E383" t="s">
        <v>894</v>
      </c>
      <c r="F383" t="s">
        <v>135</v>
      </c>
      <c r="G383" s="8">
        <v>44562</v>
      </c>
      <c r="H383" t="s">
        <v>502</v>
      </c>
      <c r="I383" t="s">
        <v>59</v>
      </c>
      <c r="J383" t="s">
        <v>107</v>
      </c>
      <c r="K383" t="s">
        <v>29</v>
      </c>
      <c r="L383" t="s">
        <v>895</v>
      </c>
      <c r="M383" t="s">
        <v>4402</v>
      </c>
      <c r="O383" t="s">
        <v>896</v>
      </c>
      <c r="P383" t="s">
        <v>33</v>
      </c>
      <c r="Q383" s="22">
        <v>3149632.58</v>
      </c>
      <c r="R383" t="s">
        <v>35</v>
      </c>
      <c r="S383" t="s">
        <v>35</v>
      </c>
      <c r="T383" t="s">
        <v>35</v>
      </c>
      <c r="U383" t="s">
        <v>35</v>
      </c>
      <c r="V383" t="s">
        <v>645</v>
      </c>
      <c r="W383" t="s">
        <v>113</v>
      </c>
    </row>
    <row r="384" spans="1:23" hidden="1" x14ac:dyDescent="0.25">
      <c r="A384" s="7" t="str">
        <f>IFERROR(VLOOKUP(H384,'Contas Orç'!A:B,2,0),"N/A")</f>
        <v>RECEITA BRUTA DE OPERACOES PORTUARIAS</v>
      </c>
      <c r="B384" s="7" t="str">
        <f t="shared" si="10"/>
        <v>310102 - RECEITA BRUTA DE OPERACOES PORTUARIAS</v>
      </c>
      <c r="C384" s="25">
        <f t="shared" si="11"/>
        <v>44562</v>
      </c>
      <c r="D384" s="27">
        <f>IF(K384="CREDITO",Q384,Q384*-1)</f>
        <v>82837.649999999994</v>
      </c>
      <c r="E384" t="s">
        <v>894</v>
      </c>
      <c r="F384" t="s">
        <v>138</v>
      </c>
      <c r="G384" s="8">
        <v>44562</v>
      </c>
      <c r="H384" t="s">
        <v>502</v>
      </c>
      <c r="I384" t="s">
        <v>59</v>
      </c>
      <c r="J384" t="s">
        <v>702</v>
      </c>
      <c r="K384" t="s">
        <v>29</v>
      </c>
      <c r="L384" t="s">
        <v>895</v>
      </c>
      <c r="M384" t="s">
        <v>4402</v>
      </c>
      <c r="O384" t="s">
        <v>896</v>
      </c>
      <c r="P384" t="s">
        <v>33</v>
      </c>
      <c r="Q384" s="22">
        <v>82837.649999999994</v>
      </c>
      <c r="R384" t="s">
        <v>35</v>
      </c>
      <c r="S384" t="s">
        <v>35</v>
      </c>
      <c r="T384" t="s">
        <v>35</v>
      </c>
      <c r="U384" t="s">
        <v>35</v>
      </c>
      <c r="V384" t="s">
        <v>645</v>
      </c>
      <c r="W384" t="s">
        <v>113</v>
      </c>
    </row>
    <row r="385" spans="1:23" hidden="1" x14ac:dyDescent="0.25">
      <c r="A385" s="7" t="str">
        <f>IFERROR(VLOOKUP(H385,'Contas Orç'!A:B,2,0),"N/A")</f>
        <v>RECEITA BRUTA DE OPERACOES PORTUARIAS</v>
      </c>
      <c r="B385" s="7" t="str">
        <f t="shared" si="10"/>
        <v>310102 - RECEITA BRUTA DE OPERACOES PORTUARIAS</v>
      </c>
      <c r="C385" s="25">
        <f t="shared" si="11"/>
        <v>44562</v>
      </c>
      <c r="D385" s="27">
        <f>IF(K385="CREDITO",Q385,Q385*-1)</f>
        <v>33721.35</v>
      </c>
      <c r="E385" t="s">
        <v>894</v>
      </c>
      <c r="F385" t="s">
        <v>140</v>
      </c>
      <c r="G385" s="8">
        <v>44562</v>
      </c>
      <c r="H385" t="s">
        <v>502</v>
      </c>
      <c r="I385" t="s">
        <v>59</v>
      </c>
      <c r="J385" t="s">
        <v>661</v>
      </c>
      <c r="K385" t="s">
        <v>29</v>
      </c>
      <c r="L385" t="s">
        <v>895</v>
      </c>
      <c r="M385" t="s">
        <v>4402</v>
      </c>
      <c r="O385" t="s">
        <v>896</v>
      </c>
      <c r="P385" t="s">
        <v>33</v>
      </c>
      <c r="Q385" s="22">
        <v>33721.35</v>
      </c>
      <c r="R385" t="s">
        <v>35</v>
      </c>
      <c r="S385" t="s">
        <v>35</v>
      </c>
      <c r="T385" t="s">
        <v>35</v>
      </c>
      <c r="U385" t="s">
        <v>35</v>
      </c>
      <c r="V385" t="s">
        <v>645</v>
      </c>
      <c r="W385" t="s">
        <v>113</v>
      </c>
    </row>
    <row r="386" spans="1:23" hidden="1" x14ac:dyDescent="0.25">
      <c r="A386" s="7" t="str">
        <f>IFERROR(VLOOKUP(H386,'Contas Orç'!A:B,2,0),"N/A")</f>
        <v>RECEITA BRUTA DE OPERACOES PORTUARIAS</v>
      </c>
      <c r="B386" s="7" t="str">
        <f t="shared" si="10"/>
        <v>310102 - RECEITA BRUTA DE OPERACOES PORTUARIAS</v>
      </c>
      <c r="C386" s="25">
        <f t="shared" si="11"/>
        <v>44593</v>
      </c>
      <c r="D386" s="27">
        <f>IF(K386="CREDITO",Q386,Q386*-1)</f>
        <v>7091685.8399999999</v>
      </c>
      <c r="E386" t="s">
        <v>894</v>
      </c>
      <c r="F386" t="s">
        <v>239</v>
      </c>
      <c r="G386" s="8">
        <v>44593</v>
      </c>
      <c r="H386" t="s">
        <v>502</v>
      </c>
      <c r="I386" t="s">
        <v>59</v>
      </c>
      <c r="J386" t="s">
        <v>60</v>
      </c>
      <c r="K386" t="s">
        <v>29</v>
      </c>
      <c r="L386" t="s">
        <v>895</v>
      </c>
      <c r="M386" t="s">
        <v>4402</v>
      </c>
      <c r="O386" t="s">
        <v>896</v>
      </c>
      <c r="P386" t="s">
        <v>33</v>
      </c>
      <c r="Q386" s="22">
        <v>7091685.8399999999</v>
      </c>
      <c r="R386" t="s">
        <v>35</v>
      </c>
      <c r="S386" t="s">
        <v>35</v>
      </c>
      <c r="T386" t="s">
        <v>35</v>
      </c>
      <c r="U386" t="s">
        <v>35</v>
      </c>
      <c r="V386" t="s">
        <v>645</v>
      </c>
      <c r="W386" t="s">
        <v>113</v>
      </c>
    </row>
    <row r="387" spans="1:23" hidden="1" x14ac:dyDescent="0.25">
      <c r="A387" s="7" t="str">
        <f>IFERROR(VLOOKUP(H387,'Contas Orç'!A:B,2,0),"N/A")</f>
        <v>RECEITA BRUTA DE OPERACOES PORTUARIAS</v>
      </c>
      <c r="B387" s="7" t="str">
        <f t="shared" ref="B387:B450" si="12">_xlfn.CONCAT(H387," - ",A387)</f>
        <v>310102 - RECEITA BRUTA DE OPERACOES PORTUARIAS</v>
      </c>
      <c r="C387" s="25">
        <f t="shared" ref="C387:C450" si="13">DATE(YEAR(G387),MONTH(G387),1)</f>
        <v>44593</v>
      </c>
      <c r="D387" s="27">
        <f>IF(K387="CREDITO",Q387,Q387*-1)</f>
        <v>1073417.92</v>
      </c>
      <c r="E387" t="s">
        <v>894</v>
      </c>
      <c r="F387" t="s">
        <v>240</v>
      </c>
      <c r="G387" s="8">
        <v>44593</v>
      </c>
      <c r="H387" t="s">
        <v>502</v>
      </c>
      <c r="I387" t="s">
        <v>59</v>
      </c>
      <c r="J387" t="s">
        <v>107</v>
      </c>
      <c r="K387" t="s">
        <v>29</v>
      </c>
      <c r="L387" t="s">
        <v>895</v>
      </c>
      <c r="M387" t="s">
        <v>4402</v>
      </c>
      <c r="O387" t="s">
        <v>896</v>
      </c>
      <c r="P387" t="s">
        <v>33</v>
      </c>
      <c r="Q387" s="22">
        <v>1073417.92</v>
      </c>
      <c r="R387" t="s">
        <v>35</v>
      </c>
      <c r="S387" t="s">
        <v>35</v>
      </c>
      <c r="T387" t="s">
        <v>35</v>
      </c>
      <c r="U387" t="s">
        <v>35</v>
      </c>
      <c r="V387" t="s">
        <v>645</v>
      </c>
      <c r="W387" t="s">
        <v>113</v>
      </c>
    </row>
    <row r="388" spans="1:23" hidden="1" x14ac:dyDescent="0.25">
      <c r="A388" s="7" t="str">
        <f>IFERROR(VLOOKUP(H388,'Contas Orç'!A:B,2,0),"N/A")</f>
        <v>RECEITA BRUTA DE OPERACOES PORTUARIAS</v>
      </c>
      <c r="B388" s="7" t="str">
        <f t="shared" si="12"/>
        <v>310102 - RECEITA BRUTA DE OPERACOES PORTUARIAS</v>
      </c>
      <c r="C388" s="25">
        <f t="shared" si="13"/>
        <v>44593</v>
      </c>
      <c r="D388" s="27">
        <f>IF(K388="CREDITO",Q388,Q388*-1)</f>
        <v>47183.4</v>
      </c>
      <c r="E388" t="s">
        <v>894</v>
      </c>
      <c r="F388" t="s">
        <v>241</v>
      </c>
      <c r="G388" s="8">
        <v>44593</v>
      </c>
      <c r="H388" t="s">
        <v>502</v>
      </c>
      <c r="I388" t="s">
        <v>59</v>
      </c>
      <c r="J388" t="s">
        <v>702</v>
      </c>
      <c r="K388" t="s">
        <v>29</v>
      </c>
      <c r="L388" t="s">
        <v>895</v>
      </c>
      <c r="M388" t="s">
        <v>4402</v>
      </c>
      <c r="O388" t="s">
        <v>896</v>
      </c>
      <c r="P388" t="s">
        <v>33</v>
      </c>
      <c r="Q388" s="22">
        <v>47183.4</v>
      </c>
      <c r="R388" t="s">
        <v>35</v>
      </c>
      <c r="S388" t="s">
        <v>35</v>
      </c>
      <c r="T388" t="s">
        <v>35</v>
      </c>
      <c r="U388" t="s">
        <v>35</v>
      </c>
      <c r="V388" t="s">
        <v>645</v>
      </c>
      <c r="W388" t="s">
        <v>113</v>
      </c>
    </row>
    <row r="389" spans="1:23" hidden="1" x14ac:dyDescent="0.25">
      <c r="A389" s="7" t="str">
        <f>IFERROR(VLOOKUP(H389,'Contas Orç'!A:B,2,0),"N/A")</f>
        <v>RECEITA BRUTA DE OPERACOES PORTUARIAS</v>
      </c>
      <c r="B389" s="7" t="str">
        <f t="shared" si="12"/>
        <v>310102 - RECEITA BRUTA DE OPERACOES PORTUARIAS</v>
      </c>
      <c r="C389" s="25">
        <f t="shared" si="13"/>
        <v>44593</v>
      </c>
      <c r="D389" s="27">
        <f>IF(K389="CREDITO",Q389,Q389*-1)</f>
        <v>103068</v>
      </c>
      <c r="E389" t="s">
        <v>894</v>
      </c>
      <c r="F389" t="s">
        <v>242</v>
      </c>
      <c r="G389" s="8">
        <v>44593</v>
      </c>
      <c r="H389" t="s">
        <v>502</v>
      </c>
      <c r="I389" t="s">
        <v>59</v>
      </c>
      <c r="J389" t="s">
        <v>661</v>
      </c>
      <c r="K389" t="s">
        <v>29</v>
      </c>
      <c r="L389" t="s">
        <v>895</v>
      </c>
      <c r="M389" t="s">
        <v>4402</v>
      </c>
      <c r="O389" t="s">
        <v>896</v>
      </c>
      <c r="P389" t="s">
        <v>33</v>
      </c>
      <c r="Q389" s="22">
        <v>103068</v>
      </c>
      <c r="R389" t="s">
        <v>35</v>
      </c>
      <c r="S389" t="s">
        <v>35</v>
      </c>
      <c r="T389" t="s">
        <v>35</v>
      </c>
      <c r="U389" t="s">
        <v>35</v>
      </c>
      <c r="V389" t="s">
        <v>645</v>
      </c>
      <c r="W389" t="s">
        <v>113</v>
      </c>
    </row>
    <row r="390" spans="1:23" hidden="1" x14ac:dyDescent="0.25">
      <c r="A390" s="7" t="str">
        <f>IFERROR(VLOOKUP(H390,'Contas Orç'!A:B,2,0),"N/A")</f>
        <v>RECEITA BRUTA DE OPERACOES PORTUARIAS</v>
      </c>
      <c r="B390" s="7" t="str">
        <f t="shared" si="12"/>
        <v>310102 - RECEITA BRUTA DE OPERACOES PORTUARIAS</v>
      </c>
      <c r="C390" s="25">
        <f t="shared" si="13"/>
        <v>44621</v>
      </c>
      <c r="D390" s="27">
        <f>IF(K390="CREDITO",Q390,Q390*-1)</f>
        <v>6515501.4699999997</v>
      </c>
      <c r="E390" t="s">
        <v>894</v>
      </c>
      <c r="F390" t="s">
        <v>243</v>
      </c>
      <c r="G390" s="8">
        <v>44621</v>
      </c>
      <c r="H390" t="s">
        <v>502</v>
      </c>
      <c r="I390" t="s">
        <v>59</v>
      </c>
      <c r="J390" t="s">
        <v>60</v>
      </c>
      <c r="K390" t="s">
        <v>29</v>
      </c>
      <c r="L390" t="s">
        <v>895</v>
      </c>
      <c r="M390" t="s">
        <v>4402</v>
      </c>
      <c r="O390" t="s">
        <v>896</v>
      </c>
      <c r="P390" t="s">
        <v>33</v>
      </c>
      <c r="Q390" s="22">
        <v>6515501.4699999997</v>
      </c>
      <c r="R390" t="s">
        <v>35</v>
      </c>
      <c r="S390" t="s">
        <v>35</v>
      </c>
      <c r="T390" t="s">
        <v>35</v>
      </c>
      <c r="U390" t="s">
        <v>35</v>
      </c>
      <c r="V390" t="s">
        <v>645</v>
      </c>
      <c r="W390" t="s">
        <v>113</v>
      </c>
    </row>
    <row r="391" spans="1:23" hidden="1" x14ac:dyDescent="0.25">
      <c r="A391" s="7" t="str">
        <f>IFERROR(VLOOKUP(H391,'Contas Orç'!A:B,2,0),"N/A")</f>
        <v>RECEITA BRUTA DE OPERACOES PORTUARIAS</v>
      </c>
      <c r="B391" s="7" t="str">
        <f t="shared" si="12"/>
        <v>310102 - RECEITA BRUTA DE OPERACOES PORTUARIAS</v>
      </c>
      <c r="C391" s="25">
        <f t="shared" si="13"/>
        <v>44621</v>
      </c>
      <c r="D391" s="27">
        <f>IF(K391="CREDITO",Q391,Q391*-1)</f>
        <v>686712.46</v>
      </c>
      <c r="E391" t="s">
        <v>894</v>
      </c>
      <c r="F391" t="s">
        <v>244</v>
      </c>
      <c r="G391" s="8">
        <v>44621</v>
      </c>
      <c r="H391" t="s">
        <v>502</v>
      </c>
      <c r="I391" t="s">
        <v>59</v>
      </c>
      <c r="J391" t="s">
        <v>107</v>
      </c>
      <c r="K391" t="s">
        <v>29</v>
      </c>
      <c r="L391" t="s">
        <v>895</v>
      </c>
      <c r="M391" t="s">
        <v>4402</v>
      </c>
      <c r="O391" t="s">
        <v>896</v>
      </c>
      <c r="P391" t="s">
        <v>33</v>
      </c>
      <c r="Q391" s="22">
        <v>686712.46</v>
      </c>
      <c r="R391" t="s">
        <v>35</v>
      </c>
      <c r="S391" t="s">
        <v>35</v>
      </c>
      <c r="T391" t="s">
        <v>35</v>
      </c>
      <c r="U391" t="s">
        <v>35</v>
      </c>
      <c r="V391" t="s">
        <v>645</v>
      </c>
      <c r="W391" t="s">
        <v>113</v>
      </c>
    </row>
    <row r="392" spans="1:23" hidden="1" x14ac:dyDescent="0.25">
      <c r="A392" s="7" t="str">
        <f>IFERROR(VLOOKUP(H392,'Contas Orç'!A:B,2,0),"N/A")</f>
        <v>RECEITA BRUTA DE OPERACOES PORTUARIAS</v>
      </c>
      <c r="B392" s="7" t="str">
        <f t="shared" si="12"/>
        <v>310102 - RECEITA BRUTA DE OPERACOES PORTUARIAS</v>
      </c>
      <c r="C392" s="25">
        <f t="shared" si="13"/>
        <v>44621</v>
      </c>
      <c r="D392" s="27">
        <f>IF(K392="CREDITO",Q392,Q392*-1)</f>
        <v>51039.45</v>
      </c>
      <c r="E392" t="s">
        <v>894</v>
      </c>
      <c r="F392" t="s">
        <v>245</v>
      </c>
      <c r="G392" s="8">
        <v>44621</v>
      </c>
      <c r="H392" t="s">
        <v>502</v>
      </c>
      <c r="I392" t="s">
        <v>59</v>
      </c>
      <c r="J392" t="s">
        <v>702</v>
      </c>
      <c r="K392" t="s">
        <v>29</v>
      </c>
      <c r="L392" t="s">
        <v>895</v>
      </c>
      <c r="M392" t="s">
        <v>4402</v>
      </c>
      <c r="O392" t="s">
        <v>896</v>
      </c>
      <c r="P392" t="s">
        <v>33</v>
      </c>
      <c r="Q392" s="22">
        <v>51039.45</v>
      </c>
      <c r="R392" t="s">
        <v>35</v>
      </c>
      <c r="S392" t="s">
        <v>35</v>
      </c>
      <c r="T392" t="s">
        <v>35</v>
      </c>
      <c r="U392" t="s">
        <v>35</v>
      </c>
      <c r="V392" t="s">
        <v>645</v>
      </c>
      <c r="W392" t="s">
        <v>113</v>
      </c>
    </row>
    <row r="393" spans="1:23" hidden="1" x14ac:dyDescent="0.25">
      <c r="A393" s="7" t="str">
        <f>IFERROR(VLOOKUP(H393,'Contas Orç'!A:B,2,0),"N/A")</f>
        <v>RECEITA BRUTA DE OPERACOES PORTUARIAS</v>
      </c>
      <c r="B393" s="7" t="str">
        <f t="shared" si="12"/>
        <v>310102 - RECEITA BRUTA DE OPERACOES PORTUARIAS</v>
      </c>
      <c r="C393" s="25">
        <f t="shared" si="13"/>
        <v>44621</v>
      </c>
      <c r="D393" s="27">
        <f>IF(K393="CREDITO",Q393,Q393*-1)</f>
        <v>48485</v>
      </c>
      <c r="E393" t="s">
        <v>894</v>
      </c>
      <c r="F393" t="s">
        <v>246</v>
      </c>
      <c r="G393" s="8">
        <v>44621</v>
      </c>
      <c r="H393" t="s">
        <v>502</v>
      </c>
      <c r="I393" t="s">
        <v>59</v>
      </c>
      <c r="J393" t="s">
        <v>661</v>
      </c>
      <c r="K393" t="s">
        <v>29</v>
      </c>
      <c r="L393" t="s">
        <v>895</v>
      </c>
      <c r="M393" t="s">
        <v>4402</v>
      </c>
      <c r="O393" t="s">
        <v>896</v>
      </c>
      <c r="P393" t="s">
        <v>33</v>
      </c>
      <c r="Q393" s="22">
        <v>48485</v>
      </c>
      <c r="R393" t="s">
        <v>35</v>
      </c>
      <c r="S393" t="s">
        <v>35</v>
      </c>
      <c r="T393" t="s">
        <v>35</v>
      </c>
      <c r="U393" t="s">
        <v>35</v>
      </c>
      <c r="V393" t="s">
        <v>645</v>
      </c>
      <c r="W393" t="s">
        <v>113</v>
      </c>
    </row>
    <row r="394" spans="1:23" hidden="1" x14ac:dyDescent="0.25">
      <c r="A394" s="7" t="str">
        <f>IFERROR(VLOOKUP(H394,'Contas Orç'!A:B,2,0),"N/A")</f>
        <v>RECEITA BRUTA DE OPERACOES PORTUARIAS</v>
      </c>
      <c r="B394" s="7" t="str">
        <f t="shared" si="12"/>
        <v>310102 - RECEITA BRUTA DE OPERACOES PORTUARIAS</v>
      </c>
      <c r="C394" s="25">
        <f t="shared" si="13"/>
        <v>44652</v>
      </c>
      <c r="D394" s="27">
        <f>IF(K394="CREDITO",Q394,Q394*-1)</f>
        <v>9174116.3200000003</v>
      </c>
      <c r="E394" t="s">
        <v>894</v>
      </c>
      <c r="F394" t="s">
        <v>247</v>
      </c>
      <c r="G394" s="8">
        <v>44652</v>
      </c>
      <c r="H394" t="s">
        <v>502</v>
      </c>
      <c r="I394" t="s">
        <v>59</v>
      </c>
      <c r="J394" t="s">
        <v>60</v>
      </c>
      <c r="K394" t="s">
        <v>29</v>
      </c>
      <c r="L394" t="s">
        <v>895</v>
      </c>
      <c r="M394" t="s">
        <v>4402</v>
      </c>
      <c r="O394" t="s">
        <v>896</v>
      </c>
      <c r="P394" t="s">
        <v>33</v>
      </c>
      <c r="Q394" s="22">
        <v>9174116.3200000003</v>
      </c>
      <c r="R394" t="s">
        <v>35</v>
      </c>
      <c r="S394" t="s">
        <v>35</v>
      </c>
      <c r="T394" t="s">
        <v>35</v>
      </c>
      <c r="U394" t="s">
        <v>35</v>
      </c>
      <c r="V394" t="s">
        <v>645</v>
      </c>
      <c r="W394" t="s">
        <v>113</v>
      </c>
    </row>
    <row r="395" spans="1:23" hidden="1" x14ac:dyDescent="0.25">
      <c r="A395" s="7" t="str">
        <f>IFERROR(VLOOKUP(H395,'Contas Orç'!A:B,2,0),"N/A")</f>
        <v>RECEITA BRUTA DE OPERACOES PORTUARIAS</v>
      </c>
      <c r="B395" s="7" t="str">
        <f t="shared" si="12"/>
        <v>310102 - RECEITA BRUTA DE OPERACOES PORTUARIAS</v>
      </c>
      <c r="C395" s="25">
        <f t="shared" si="13"/>
        <v>44652</v>
      </c>
      <c r="D395" s="27">
        <f>IF(K395="CREDITO",Q395,Q395*-1)</f>
        <v>605087.80000000005</v>
      </c>
      <c r="E395" t="s">
        <v>894</v>
      </c>
      <c r="F395" t="s">
        <v>248</v>
      </c>
      <c r="G395" s="8">
        <v>44652</v>
      </c>
      <c r="H395" t="s">
        <v>502</v>
      </c>
      <c r="I395" t="s">
        <v>59</v>
      </c>
      <c r="J395" t="s">
        <v>107</v>
      </c>
      <c r="K395" t="s">
        <v>29</v>
      </c>
      <c r="L395" t="s">
        <v>895</v>
      </c>
      <c r="M395" t="s">
        <v>4402</v>
      </c>
      <c r="O395" t="s">
        <v>896</v>
      </c>
      <c r="P395" t="s">
        <v>33</v>
      </c>
      <c r="Q395" s="22">
        <v>605087.80000000005</v>
      </c>
      <c r="R395" t="s">
        <v>35</v>
      </c>
      <c r="S395" t="s">
        <v>35</v>
      </c>
      <c r="T395" t="s">
        <v>35</v>
      </c>
      <c r="U395" t="s">
        <v>35</v>
      </c>
      <c r="V395" t="s">
        <v>645</v>
      </c>
      <c r="W395" t="s">
        <v>113</v>
      </c>
    </row>
    <row r="396" spans="1:23" hidden="1" x14ac:dyDescent="0.25">
      <c r="A396" s="7" t="str">
        <f>IFERROR(VLOOKUP(H396,'Contas Orç'!A:B,2,0),"N/A")</f>
        <v>RECEITA BRUTA DE OPERACOES PORTUARIAS</v>
      </c>
      <c r="B396" s="7" t="str">
        <f t="shared" si="12"/>
        <v>310102 - RECEITA BRUTA DE OPERACOES PORTUARIAS</v>
      </c>
      <c r="C396" s="25">
        <f t="shared" si="13"/>
        <v>44652</v>
      </c>
      <c r="D396" s="27">
        <f>IF(K396="CREDITO",Q396,Q396*-1)</f>
        <v>70076.45</v>
      </c>
      <c r="E396" t="s">
        <v>894</v>
      </c>
      <c r="F396" t="s">
        <v>249</v>
      </c>
      <c r="G396" s="8">
        <v>44652</v>
      </c>
      <c r="H396" t="s">
        <v>502</v>
      </c>
      <c r="I396" t="s">
        <v>59</v>
      </c>
      <c r="J396" t="s">
        <v>702</v>
      </c>
      <c r="K396" t="s">
        <v>29</v>
      </c>
      <c r="L396" t="s">
        <v>895</v>
      </c>
      <c r="M396" t="s">
        <v>4402</v>
      </c>
      <c r="O396" t="s">
        <v>896</v>
      </c>
      <c r="P396" t="s">
        <v>33</v>
      </c>
      <c r="Q396" s="22">
        <v>70076.45</v>
      </c>
      <c r="R396" t="s">
        <v>35</v>
      </c>
      <c r="S396" t="s">
        <v>35</v>
      </c>
      <c r="T396" t="s">
        <v>35</v>
      </c>
      <c r="U396" t="s">
        <v>35</v>
      </c>
      <c r="V396" t="s">
        <v>645</v>
      </c>
      <c r="W396" t="s">
        <v>113</v>
      </c>
    </row>
    <row r="397" spans="1:23" hidden="1" x14ac:dyDescent="0.25">
      <c r="A397" s="7" t="str">
        <f>IFERROR(VLOOKUP(H397,'Contas Orç'!A:B,2,0),"N/A")</f>
        <v>RECEITA BRUTA DE OPERACOES PORTUARIAS</v>
      </c>
      <c r="B397" s="7" t="str">
        <f t="shared" si="12"/>
        <v>310102 - RECEITA BRUTA DE OPERACOES PORTUARIAS</v>
      </c>
      <c r="C397" s="25">
        <f t="shared" si="13"/>
        <v>44652</v>
      </c>
      <c r="D397" s="27">
        <f>IF(K397="CREDITO",Q397,Q397*-1)</f>
        <v>54510</v>
      </c>
      <c r="E397" t="s">
        <v>894</v>
      </c>
      <c r="F397" t="s">
        <v>250</v>
      </c>
      <c r="G397" s="8">
        <v>44652</v>
      </c>
      <c r="H397" t="s">
        <v>502</v>
      </c>
      <c r="I397" t="s">
        <v>59</v>
      </c>
      <c r="J397" t="s">
        <v>661</v>
      </c>
      <c r="K397" t="s">
        <v>29</v>
      </c>
      <c r="L397" t="s">
        <v>895</v>
      </c>
      <c r="M397" t="s">
        <v>4402</v>
      </c>
      <c r="O397" t="s">
        <v>896</v>
      </c>
      <c r="P397" t="s">
        <v>33</v>
      </c>
      <c r="Q397" s="22">
        <v>54510</v>
      </c>
      <c r="R397" t="s">
        <v>35</v>
      </c>
      <c r="S397" t="s">
        <v>35</v>
      </c>
      <c r="T397" t="s">
        <v>35</v>
      </c>
      <c r="U397" t="s">
        <v>35</v>
      </c>
      <c r="V397" t="s">
        <v>645</v>
      </c>
      <c r="W397" t="s">
        <v>113</v>
      </c>
    </row>
    <row r="398" spans="1:23" hidden="1" x14ac:dyDescent="0.25">
      <c r="A398" s="7" t="str">
        <f>IFERROR(VLOOKUP(H398,'Contas Orç'!A:B,2,0),"N/A")</f>
        <v>RECEITA BRUTA DE OPERACOES PORTUARIAS</v>
      </c>
      <c r="B398" s="7" t="str">
        <f t="shared" si="12"/>
        <v>310102 - RECEITA BRUTA DE OPERACOES PORTUARIAS</v>
      </c>
      <c r="C398" s="25">
        <f t="shared" si="13"/>
        <v>44682</v>
      </c>
      <c r="D398" s="27">
        <f>IF(K398="CREDITO",Q398,Q398*-1)</f>
        <v>6090004.6500000004</v>
      </c>
      <c r="E398" t="s">
        <v>894</v>
      </c>
      <c r="F398" t="s">
        <v>251</v>
      </c>
      <c r="G398" s="8">
        <v>44682</v>
      </c>
      <c r="H398" t="s">
        <v>502</v>
      </c>
      <c r="I398" t="s">
        <v>59</v>
      </c>
      <c r="J398" t="s">
        <v>60</v>
      </c>
      <c r="K398" t="s">
        <v>29</v>
      </c>
      <c r="L398" t="s">
        <v>895</v>
      </c>
      <c r="M398" t="s">
        <v>4402</v>
      </c>
      <c r="O398" t="s">
        <v>896</v>
      </c>
      <c r="P398" t="s">
        <v>33</v>
      </c>
      <c r="Q398" s="22">
        <v>6090004.6500000004</v>
      </c>
      <c r="R398" t="s">
        <v>35</v>
      </c>
      <c r="S398" t="s">
        <v>35</v>
      </c>
      <c r="T398" t="s">
        <v>35</v>
      </c>
      <c r="U398" t="s">
        <v>35</v>
      </c>
      <c r="V398" t="s">
        <v>645</v>
      </c>
      <c r="W398" t="s">
        <v>113</v>
      </c>
    </row>
    <row r="399" spans="1:23" hidden="1" x14ac:dyDescent="0.25">
      <c r="A399" s="7" t="str">
        <f>IFERROR(VLOOKUP(H399,'Contas Orç'!A:B,2,0),"N/A")</f>
        <v>RECEITA BRUTA DE OPERACOES PORTUARIAS</v>
      </c>
      <c r="B399" s="7" t="str">
        <f t="shared" si="12"/>
        <v>310102 - RECEITA BRUTA DE OPERACOES PORTUARIAS</v>
      </c>
      <c r="C399" s="25">
        <f t="shared" si="13"/>
        <v>44682</v>
      </c>
      <c r="D399" s="27">
        <f>IF(K399="CREDITO",Q399,Q399*-1)</f>
        <v>3988897.29</v>
      </c>
      <c r="E399" t="s">
        <v>894</v>
      </c>
      <c r="F399" t="s">
        <v>252</v>
      </c>
      <c r="G399" s="8">
        <v>44682</v>
      </c>
      <c r="H399" t="s">
        <v>502</v>
      </c>
      <c r="I399" t="s">
        <v>59</v>
      </c>
      <c r="J399" t="s">
        <v>107</v>
      </c>
      <c r="K399" t="s">
        <v>29</v>
      </c>
      <c r="L399" t="s">
        <v>895</v>
      </c>
      <c r="M399" t="s">
        <v>4402</v>
      </c>
      <c r="O399" t="s">
        <v>896</v>
      </c>
      <c r="P399" t="s">
        <v>33</v>
      </c>
      <c r="Q399" s="22">
        <v>3988897.29</v>
      </c>
      <c r="R399" t="s">
        <v>35</v>
      </c>
      <c r="S399" t="s">
        <v>35</v>
      </c>
      <c r="T399" t="s">
        <v>35</v>
      </c>
      <c r="U399" t="s">
        <v>35</v>
      </c>
      <c r="V399" t="s">
        <v>645</v>
      </c>
      <c r="W399" t="s">
        <v>113</v>
      </c>
    </row>
    <row r="400" spans="1:23" hidden="1" x14ac:dyDescent="0.25">
      <c r="A400" s="7" t="str">
        <f>IFERROR(VLOOKUP(H400,'Contas Orç'!A:B,2,0),"N/A")</f>
        <v>RECEITA BRUTA DE OPERACOES PORTUARIAS</v>
      </c>
      <c r="B400" s="7" t="str">
        <f t="shared" si="12"/>
        <v>310102 - RECEITA BRUTA DE OPERACOES PORTUARIAS</v>
      </c>
      <c r="C400" s="25">
        <f t="shared" si="13"/>
        <v>44682</v>
      </c>
      <c r="D400" s="27">
        <f>IF(K400="CREDITO",Q400,Q400*-1)</f>
        <v>113464.62</v>
      </c>
      <c r="E400" t="s">
        <v>894</v>
      </c>
      <c r="F400" t="s">
        <v>253</v>
      </c>
      <c r="G400" s="8">
        <v>44682</v>
      </c>
      <c r="H400" t="s">
        <v>502</v>
      </c>
      <c r="I400" t="s">
        <v>59</v>
      </c>
      <c r="J400" t="s">
        <v>702</v>
      </c>
      <c r="K400" t="s">
        <v>29</v>
      </c>
      <c r="L400" t="s">
        <v>895</v>
      </c>
      <c r="M400" t="s">
        <v>4402</v>
      </c>
      <c r="O400" t="s">
        <v>896</v>
      </c>
      <c r="P400" t="s">
        <v>33</v>
      </c>
      <c r="Q400" s="22">
        <v>113464.62</v>
      </c>
      <c r="R400" t="s">
        <v>35</v>
      </c>
      <c r="S400" t="s">
        <v>35</v>
      </c>
      <c r="T400" t="s">
        <v>35</v>
      </c>
      <c r="U400" t="s">
        <v>35</v>
      </c>
      <c r="V400" t="s">
        <v>645</v>
      </c>
      <c r="W400" t="s">
        <v>113</v>
      </c>
    </row>
    <row r="401" spans="1:23" hidden="1" x14ac:dyDescent="0.25">
      <c r="A401" s="7" t="str">
        <f>IFERROR(VLOOKUP(H401,'Contas Orç'!A:B,2,0),"N/A")</f>
        <v>RECEITA BRUTA DE OPERACOES PORTUARIAS</v>
      </c>
      <c r="B401" s="7" t="str">
        <f t="shared" si="12"/>
        <v>310102 - RECEITA BRUTA DE OPERACOES PORTUARIAS</v>
      </c>
      <c r="C401" s="25">
        <f t="shared" si="13"/>
        <v>44682</v>
      </c>
      <c r="D401" s="27">
        <f>IF(K401="CREDITO",Q401,Q401*-1)</f>
        <v>46489</v>
      </c>
      <c r="E401" t="s">
        <v>894</v>
      </c>
      <c r="F401" t="s">
        <v>254</v>
      </c>
      <c r="G401" s="8">
        <v>44682</v>
      </c>
      <c r="H401" t="s">
        <v>502</v>
      </c>
      <c r="I401" t="s">
        <v>59</v>
      </c>
      <c r="J401" t="s">
        <v>661</v>
      </c>
      <c r="K401" t="s">
        <v>29</v>
      </c>
      <c r="L401" t="s">
        <v>895</v>
      </c>
      <c r="M401" t="s">
        <v>4402</v>
      </c>
      <c r="O401" t="s">
        <v>896</v>
      </c>
      <c r="P401" t="s">
        <v>33</v>
      </c>
      <c r="Q401" s="22">
        <v>46489</v>
      </c>
      <c r="R401" t="s">
        <v>35</v>
      </c>
      <c r="S401" t="s">
        <v>35</v>
      </c>
      <c r="T401" t="s">
        <v>35</v>
      </c>
      <c r="U401" t="s">
        <v>35</v>
      </c>
      <c r="V401" t="s">
        <v>645</v>
      </c>
      <c r="W401" t="s">
        <v>113</v>
      </c>
    </row>
    <row r="402" spans="1:23" hidden="1" x14ac:dyDescent="0.25">
      <c r="A402" s="7" t="str">
        <f>IFERROR(VLOOKUP(H402,'Contas Orç'!A:B,2,0),"N/A")</f>
        <v>RECEITA BRUTA DE OPERACOES PORTUARIAS</v>
      </c>
      <c r="B402" s="7" t="str">
        <f t="shared" si="12"/>
        <v>310102 - RECEITA BRUTA DE OPERACOES PORTUARIAS</v>
      </c>
      <c r="C402" s="25">
        <f t="shared" si="13"/>
        <v>44713</v>
      </c>
      <c r="D402" s="27">
        <f>IF(K402="CREDITO",Q402,Q402*-1)</f>
        <v>8505988.4800000004</v>
      </c>
      <c r="E402" t="s">
        <v>894</v>
      </c>
      <c r="F402" t="s">
        <v>255</v>
      </c>
      <c r="G402" s="8">
        <v>44713</v>
      </c>
      <c r="H402" t="s">
        <v>502</v>
      </c>
      <c r="I402" t="s">
        <v>59</v>
      </c>
      <c r="J402" t="s">
        <v>60</v>
      </c>
      <c r="K402" t="s">
        <v>29</v>
      </c>
      <c r="L402" t="s">
        <v>895</v>
      </c>
      <c r="M402" t="s">
        <v>4402</v>
      </c>
      <c r="O402" t="s">
        <v>896</v>
      </c>
      <c r="P402" t="s">
        <v>33</v>
      </c>
      <c r="Q402" s="22">
        <v>8505988.4800000004</v>
      </c>
      <c r="R402" t="s">
        <v>35</v>
      </c>
      <c r="S402" t="s">
        <v>35</v>
      </c>
      <c r="T402" t="s">
        <v>35</v>
      </c>
      <c r="U402" t="s">
        <v>35</v>
      </c>
      <c r="V402" t="s">
        <v>645</v>
      </c>
      <c r="W402" t="s">
        <v>113</v>
      </c>
    </row>
    <row r="403" spans="1:23" hidden="1" x14ac:dyDescent="0.25">
      <c r="A403" s="7" t="str">
        <f>IFERROR(VLOOKUP(H403,'Contas Orç'!A:B,2,0),"N/A")</f>
        <v>RECEITA BRUTA DE OPERACOES PORTUARIAS</v>
      </c>
      <c r="B403" s="7" t="str">
        <f t="shared" si="12"/>
        <v>310102 - RECEITA BRUTA DE OPERACOES PORTUARIAS</v>
      </c>
      <c r="C403" s="25">
        <f t="shared" si="13"/>
        <v>44713</v>
      </c>
      <c r="D403" s="27">
        <f>IF(K403="CREDITO",Q403,Q403*-1)</f>
        <v>264552.40000000002</v>
      </c>
      <c r="E403" t="s">
        <v>894</v>
      </c>
      <c r="F403" t="s">
        <v>256</v>
      </c>
      <c r="G403" s="8">
        <v>44713</v>
      </c>
      <c r="H403" t="s">
        <v>502</v>
      </c>
      <c r="I403" t="s">
        <v>59</v>
      </c>
      <c r="J403" t="s">
        <v>107</v>
      </c>
      <c r="K403" t="s">
        <v>29</v>
      </c>
      <c r="L403" t="s">
        <v>895</v>
      </c>
      <c r="M403" t="s">
        <v>4402</v>
      </c>
      <c r="O403" t="s">
        <v>896</v>
      </c>
      <c r="P403" t="s">
        <v>33</v>
      </c>
      <c r="Q403" s="22">
        <v>264552.40000000002</v>
      </c>
      <c r="R403" t="s">
        <v>35</v>
      </c>
      <c r="S403" t="s">
        <v>35</v>
      </c>
      <c r="T403" t="s">
        <v>35</v>
      </c>
      <c r="U403" t="s">
        <v>35</v>
      </c>
      <c r="V403" t="s">
        <v>645</v>
      </c>
      <c r="W403" t="s">
        <v>113</v>
      </c>
    </row>
    <row r="404" spans="1:23" hidden="1" x14ac:dyDescent="0.25">
      <c r="A404" s="7" t="str">
        <f>IFERROR(VLOOKUP(H404,'Contas Orç'!A:B,2,0),"N/A")</f>
        <v>RECEITA BRUTA DE OPERACOES PORTUARIAS</v>
      </c>
      <c r="B404" s="7" t="str">
        <f t="shared" si="12"/>
        <v>310102 - RECEITA BRUTA DE OPERACOES PORTUARIAS</v>
      </c>
      <c r="C404" s="25">
        <f t="shared" si="13"/>
        <v>44713</v>
      </c>
      <c r="D404" s="27">
        <f>IF(K404="CREDITO",Q404,Q404*-1)</f>
        <v>75349.7</v>
      </c>
      <c r="E404" t="s">
        <v>894</v>
      </c>
      <c r="F404" t="s">
        <v>257</v>
      </c>
      <c r="G404" s="8">
        <v>44713</v>
      </c>
      <c r="H404" t="s">
        <v>502</v>
      </c>
      <c r="I404" t="s">
        <v>59</v>
      </c>
      <c r="J404" t="s">
        <v>702</v>
      </c>
      <c r="K404" t="s">
        <v>29</v>
      </c>
      <c r="L404" t="s">
        <v>895</v>
      </c>
      <c r="M404" t="s">
        <v>4402</v>
      </c>
      <c r="O404" t="s">
        <v>896</v>
      </c>
      <c r="P404" t="s">
        <v>33</v>
      </c>
      <c r="Q404" s="22">
        <v>75349.7</v>
      </c>
      <c r="R404" t="s">
        <v>35</v>
      </c>
      <c r="S404" t="s">
        <v>35</v>
      </c>
      <c r="T404" t="s">
        <v>35</v>
      </c>
      <c r="U404" t="s">
        <v>35</v>
      </c>
      <c r="V404" t="s">
        <v>645</v>
      </c>
      <c r="W404" t="s">
        <v>113</v>
      </c>
    </row>
    <row r="405" spans="1:23" hidden="1" x14ac:dyDescent="0.25">
      <c r="A405" s="7" t="str">
        <f>IFERROR(VLOOKUP(H405,'Contas Orç'!A:B,2,0),"N/A")</f>
        <v>RECEITA BRUTA DE OPERACOES PORTUARIAS</v>
      </c>
      <c r="B405" s="7" t="str">
        <f t="shared" si="12"/>
        <v>310102 - RECEITA BRUTA DE OPERACOES PORTUARIAS</v>
      </c>
      <c r="C405" s="25">
        <f t="shared" si="13"/>
        <v>44713</v>
      </c>
      <c r="D405" s="27">
        <f>IF(K405="CREDITO",Q405,Q405*-1)</f>
        <v>38514</v>
      </c>
      <c r="E405" t="s">
        <v>894</v>
      </c>
      <c r="F405" t="s">
        <v>258</v>
      </c>
      <c r="G405" s="8">
        <v>44713</v>
      </c>
      <c r="H405" t="s">
        <v>502</v>
      </c>
      <c r="I405" t="s">
        <v>59</v>
      </c>
      <c r="J405" t="s">
        <v>661</v>
      </c>
      <c r="K405" t="s">
        <v>29</v>
      </c>
      <c r="L405" t="s">
        <v>895</v>
      </c>
      <c r="M405" t="s">
        <v>4402</v>
      </c>
      <c r="O405" t="s">
        <v>896</v>
      </c>
      <c r="P405" t="s">
        <v>33</v>
      </c>
      <c r="Q405" s="22">
        <v>38514</v>
      </c>
      <c r="R405" t="s">
        <v>35</v>
      </c>
      <c r="S405" t="s">
        <v>35</v>
      </c>
      <c r="T405" t="s">
        <v>35</v>
      </c>
      <c r="U405" t="s">
        <v>35</v>
      </c>
      <c r="V405" t="s">
        <v>645</v>
      </c>
      <c r="W405" t="s">
        <v>113</v>
      </c>
    </row>
    <row r="406" spans="1:23" hidden="1" x14ac:dyDescent="0.25">
      <c r="A406" s="7" t="str">
        <f>IFERROR(VLOOKUP(H406,'Contas Orç'!A:B,2,0),"N/A")</f>
        <v>RECEITA BRUTA DE OPERACOES PORTUARIAS</v>
      </c>
      <c r="B406" s="7" t="str">
        <f t="shared" si="12"/>
        <v>310102 - RECEITA BRUTA DE OPERACOES PORTUARIAS</v>
      </c>
      <c r="C406" s="25">
        <f t="shared" si="13"/>
        <v>44743</v>
      </c>
      <c r="D406" s="27">
        <f>IF(K406="CREDITO",Q406,Q406*-1)</f>
        <v>8140294.0700000003</v>
      </c>
      <c r="E406" t="s">
        <v>894</v>
      </c>
      <c r="F406" t="s">
        <v>897</v>
      </c>
      <c r="G406" s="8">
        <v>44743</v>
      </c>
      <c r="H406" t="s">
        <v>502</v>
      </c>
      <c r="I406" t="s">
        <v>59</v>
      </c>
      <c r="J406" t="s">
        <v>60</v>
      </c>
      <c r="K406" t="s">
        <v>29</v>
      </c>
      <c r="L406" t="s">
        <v>895</v>
      </c>
      <c r="M406" t="s">
        <v>4402</v>
      </c>
      <c r="O406" t="s">
        <v>896</v>
      </c>
      <c r="P406" t="s">
        <v>33</v>
      </c>
      <c r="Q406" s="22">
        <v>8140294.0700000003</v>
      </c>
      <c r="R406" t="s">
        <v>35</v>
      </c>
      <c r="S406" t="s">
        <v>35</v>
      </c>
      <c r="T406" t="s">
        <v>35</v>
      </c>
      <c r="U406" t="s">
        <v>35</v>
      </c>
      <c r="V406" t="s">
        <v>645</v>
      </c>
      <c r="W406" t="s">
        <v>113</v>
      </c>
    </row>
    <row r="407" spans="1:23" hidden="1" x14ac:dyDescent="0.25">
      <c r="A407" s="7" t="str">
        <f>IFERROR(VLOOKUP(H407,'Contas Orç'!A:B,2,0),"N/A")</f>
        <v>RECEITA BRUTA DE OPERACOES PORTUARIAS</v>
      </c>
      <c r="B407" s="7" t="str">
        <f t="shared" si="12"/>
        <v>310102 - RECEITA BRUTA DE OPERACOES PORTUARIAS</v>
      </c>
      <c r="C407" s="25">
        <f t="shared" si="13"/>
        <v>44743</v>
      </c>
      <c r="D407" s="27">
        <f>IF(K407="CREDITO",Q407,Q407*-1)</f>
        <v>376388.51</v>
      </c>
      <c r="E407" t="s">
        <v>894</v>
      </c>
      <c r="F407" t="s">
        <v>898</v>
      </c>
      <c r="G407" s="8">
        <v>44743</v>
      </c>
      <c r="H407" t="s">
        <v>502</v>
      </c>
      <c r="I407" t="s">
        <v>59</v>
      </c>
      <c r="J407" t="s">
        <v>107</v>
      </c>
      <c r="K407" t="s">
        <v>29</v>
      </c>
      <c r="L407" t="s">
        <v>895</v>
      </c>
      <c r="M407" t="s">
        <v>4402</v>
      </c>
      <c r="O407" t="s">
        <v>896</v>
      </c>
      <c r="P407" t="s">
        <v>33</v>
      </c>
      <c r="Q407" s="22">
        <v>376388.51</v>
      </c>
      <c r="R407" t="s">
        <v>35</v>
      </c>
      <c r="S407" t="s">
        <v>35</v>
      </c>
      <c r="T407" t="s">
        <v>35</v>
      </c>
      <c r="U407" t="s">
        <v>35</v>
      </c>
      <c r="V407" t="s">
        <v>645</v>
      </c>
      <c r="W407" t="s">
        <v>113</v>
      </c>
    </row>
    <row r="408" spans="1:23" hidden="1" x14ac:dyDescent="0.25">
      <c r="A408" s="7" t="str">
        <f>IFERROR(VLOOKUP(H408,'Contas Orç'!A:B,2,0),"N/A")</f>
        <v>RECEITA BRUTA DE OPERACOES PORTUARIAS</v>
      </c>
      <c r="B408" s="7" t="str">
        <f t="shared" si="12"/>
        <v>310102 - RECEITA BRUTA DE OPERACOES PORTUARIAS</v>
      </c>
      <c r="C408" s="25">
        <f t="shared" si="13"/>
        <v>44743</v>
      </c>
      <c r="D408" s="27">
        <f>IF(K408="CREDITO",Q408,Q408*-1)</f>
        <v>216700.21</v>
      </c>
      <c r="E408" t="s">
        <v>894</v>
      </c>
      <c r="F408" t="s">
        <v>899</v>
      </c>
      <c r="G408" s="8">
        <v>44743</v>
      </c>
      <c r="H408" t="s">
        <v>502</v>
      </c>
      <c r="I408" t="s">
        <v>59</v>
      </c>
      <c r="J408" t="s">
        <v>702</v>
      </c>
      <c r="K408" t="s">
        <v>29</v>
      </c>
      <c r="L408" t="s">
        <v>895</v>
      </c>
      <c r="M408" t="s">
        <v>4402</v>
      </c>
      <c r="O408" t="s">
        <v>896</v>
      </c>
      <c r="P408" t="s">
        <v>33</v>
      </c>
      <c r="Q408" s="22">
        <v>216700.21</v>
      </c>
      <c r="R408" t="s">
        <v>35</v>
      </c>
      <c r="S408" t="s">
        <v>35</v>
      </c>
      <c r="T408" t="s">
        <v>35</v>
      </c>
      <c r="U408" t="s">
        <v>35</v>
      </c>
      <c r="V408" t="s">
        <v>645</v>
      </c>
      <c r="W408" t="s">
        <v>113</v>
      </c>
    </row>
    <row r="409" spans="1:23" hidden="1" x14ac:dyDescent="0.25">
      <c r="A409" s="7" t="str">
        <f>IFERROR(VLOOKUP(H409,'Contas Orç'!A:B,2,0),"N/A")</f>
        <v>RECEITA BRUTA DE OPERACOES PORTUARIAS</v>
      </c>
      <c r="B409" s="7" t="str">
        <f t="shared" si="12"/>
        <v>310102 - RECEITA BRUTA DE OPERACOES PORTUARIAS</v>
      </c>
      <c r="C409" s="25">
        <f t="shared" si="13"/>
        <v>44743</v>
      </c>
      <c r="D409" s="27">
        <f>IF(K409="CREDITO",Q409,Q409*-1)</f>
        <v>28669</v>
      </c>
      <c r="E409" t="s">
        <v>894</v>
      </c>
      <c r="F409" t="s">
        <v>900</v>
      </c>
      <c r="G409" s="8">
        <v>44743</v>
      </c>
      <c r="H409" t="s">
        <v>502</v>
      </c>
      <c r="I409" t="s">
        <v>59</v>
      </c>
      <c r="J409" t="s">
        <v>661</v>
      </c>
      <c r="K409" t="s">
        <v>29</v>
      </c>
      <c r="L409" t="s">
        <v>895</v>
      </c>
      <c r="M409" t="s">
        <v>4402</v>
      </c>
      <c r="O409" t="s">
        <v>896</v>
      </c>
      <c r="P409" t="s">
        <v>33</v>
      </c>
      <c r="Q409" s="22">
        <v>28669</v>
      </c>
      <c r="R409" t="s">
        <v>35</v>
      </c>
      <c r="S409" t="s">
        <v>35</v>
      </c>
      <c r="T409" t="s">
        <v>35</v>
      </c>
      <c r="U409" t="s">
        <v>35</v>
      </c>
      <c r="V409" t="s">
        <v>645</v>
      </c>
      <c r="W409" t="s">
        <v>113</v>
      </c>
    </row>
    <row r="410" spans="1:23" hidden="1" x14ac:dyDescent="0.25">
      <c r="A410" s="7" t="str">
        <f>IFERROR(VLOOKUP(H410,'Contas Orç'!A:B,2,0),"N/A")</f>
        <v>RECEITA BRUTA DE OPERACOES PORTUARIAS</v>
      </c>
      <c r="B410" s="7" t="str">
        <f t="shared" si="12"/>
        <v>310102 - RECEITA BRUTA DE OPERACOES PORTUARIAS</v>
      </c>
      <c r="C410" s="25">
        <f t="shared" si="13"/>
        <v>44774</v>
      </c>
      <c r="D410" s="27">
        <f>IF(K410="CREDITO",Q410,Q410*-1)</f>
        <v>8566623.2699999996</v>
      </c>
      <c r="E410" t="s">
        <v>894</v>
      </c>
      <c r="F410" t="s">
        <v>901</v>
      </c>
      <c r="G410" s="8">
        <v>44774</v>
      </c>
      <c r="H410" t="s">
        <v>502</v>
      </c>
      <c r="I410" t="s">
        <v>59</v>
      </c>
      <c r="J410" t="s">
        <v>60</v>
      </c>
      <c r="K410" t="s">
        <v>29</v>
      </c>
      <c r="L410" t="s">
        <v>895</v>
      </c>
      <c r="M410" t="s">
        <v>4402</v>
      </c>
      <c r="O410" t="s">
        <v>896</v>
      </c>
      <c r="P410" t="s">
        <v>33</v>
      </c>
      <c r="Q410" s="22">
        <v>8566623.2699999996</v>
      </c>
      <c r="R410" t="s">
        <v>35</v>
      </c>
      <c r="S410" t="s">
        <v>35</v>
      </c>
      <c r="T410" t="s">
        <v>35</v>
      </c>
      <c r="U410" t="s">
        <v>35</v>
      </c>
      <c r="V410" t="s">
        <v>645</v>
      </c>
      <c r="W410" t="s">
        <v>113</v>
      </c>
    </row>
    <row r="411" spans="1:23" hidden="1" x14ac:dyDescent="0.25">
      <c r="A411" s="7" t="str">
        <f>IFERROR(VLOOKUP(H411,'Contas Orç'!A:B,2,0),"N/A")</f>
        <v>RECEITA BRUTA DE OPERACOES PORTUARIAS</v>
      </c>
      <c r="B411" s="7" t="str">
        <f t="shared" si="12"/>
        <v>310102 - RECEITA BRUTA DE OPERACOES PORTUARIAS</v>
      </c>
      <c r="C411" s="25">
        <f t="shared" si="13"/>
        <v>44774</v>
      </c>
      <c r="D411" s="27">
        <f>IF(K411="CREDITO",Q411,Q411*-1)</f>
        <v>795171.53</v>
      </c>
      <c r="E411" t="s">
        <v>894</v>
      </c>
      <c r="F411" t="s">
        <v>902</v>
      </c>
      <c r="G411" s="8">
        <v>44774</v>
      </c>
      <c r="H411" t="s">
        <v>502</v>
      </c>
      <c r="I411" t="s">
        <v>59</v>
      </c>
      <c r="J411" t="s">
        <v>107</v>
      </c>
      <c r="K411" t="s">
        <v>29</v>
      </c>
      <c r="L411" t="s">
        <v>895</v>
      </c>
      <c r="M411" t="s">
        <v>4402</v>
      </c>
      <c r="O411" t="s">
        <v>896</v>
      </c>
      <c r="P411" t="s">
        <v>33</v>
      </c>
      <c r="Q411" s="22">
        <v>795171.53</v>
      </c>
      <c r="R411" t="s">
        <v>35</v>
      </c>
      <c r="S411" t="s">
        <v>35</v>
      </c>
      <c r="T411" t="s">
        <v>35</v>
      </c>
      <c r="U411" t="s">
        <v>35</v>
      </c>
      <c r="V411" t="s">
        <v>645</v>
      </c>
      <c r="W411" t="s">
        <v>113</v>
      </c>
    </row>
    <row r="412" spans="1:23" hidden="1" x14ac:dyDescent="0.25">
      <c r="A412" s="7" t="str">
        <f>IFERROR(VLOOKUP(H412,'Contas Orç'!A:B,2,0),"N/A")</f>
        <v>RECEITA BRUTA DE OPERACOES PORTUARIAS</v>
      </c>
      <c r="B412" s="7" t="str">
        <f t="shared" si="12"/>
        <v>310102 - RECEITA BRUTA DE OPERACOES PORTUARIAS</v>
      </c>
      <c r="C412" s="25">
        <f t="shared" si="13"/>
        <v>44774</v>
      </c>
      <c r="D412" s="27">
        <f>IF(K412="CREDITO",Q412,Q412*-1)</f>
        <v>92315.41</v>
      </c>
      <c r="E412" t="s">
        <v>894</v>
      </c>
      <c r="F412" t="s">
        <v>903</v>
      </c>
      <c r="G412" s="8">
        <v>44774</v>
      </c>
      <c r="H412" t="s">
        <v>502</v>
      </c>
      <c r="I412" t="s">
        <v>59</v>
      </c>
      <c r="J412" t="s">
        <v>702</v>
      </c>
      <c r="K412" t="s">
        <v>29</v>
      </c>
      <c r="L412" t="s">
        <v>895</v>
      </c>
      <c r="M412" t="s">
        <v>4402</v>
      </c>
      <c r="O412" t="s">
        <v>896</v>
      </c>
      <c r="P412" t="s">
        <v>33</v>
      </c>
      <c r="Q412" s="22">
        <v>92315.41</v>
      </c>
      <c r="R412" t="s">
        <v>35</v>
      </c>
      <c r="S412" t="s">
        <v>35</v>
      </c>
      <c r="T412" t="s">
        <v>35</v>
      </c>
      <c r="U412" t="s">
        <v>35</v>
      </c>
      <c r="V412" t="s">
        <v>645</v>
      </c>
      <c r="W412" t="s">
        <v>113</v>
      </c>
    </row>
    <row r="413" spans="1:23" hidden="1" x14ac:dyDescent="0.25">
      <c r="A413" s="7" t="str">
        <f>IFERROR(VLOOKUP(H413,'Contas Orç'!A:B,2,0),"N/A")</f>
        <v>RECEITA BRUTA DE OPERACOES PORTUARIAS</v>
      </c>
      <c r="B413" s="7" t="str">
        <f t="shared" si="12"/>
        <v>310102 - RECEITA BRUTA DE OPERACOES PORTUARIAS</v>
      </c>
      <c r="C413" s="25">
        <f t="shared" si="13"/>
        <v>44774</v>
      </c>
      <c r="D413" s="27">
        <f>IF(K413="CREDITO",Q413,Q413*-1)</f>
        <v>18000</v>
      </c>
      <c r="E413" t="s">
        <v>894</v>
      </c>
      <c r="F413" t="s">
        <v>904</v>
      </c>
      <c r="G413" s="8">
        <v>44774</v>
      </c>
      <c r="H413" t="s">
        <v>502</v>
      </c>
      <c r="I413" t="s">
        <v>59</v>
      </c>
      <c r="J413" t="s">
        <v>905</v>
      </c>
      <c r="K413" t="s">
        <v>29</v>
      </c>
      <c r="L413" t="s">
        <v>895</v>
      </c>
      <c r="M413" t="s">
        <v>4402</v>
      </c>
      <c r="O413" t="s">
        <v>896</v>
      </c>
      <c r="P413" t="s">
        <v>33</v>
      </c>
      <c r="Q413" s="22">
        <v>18000</v>
      </c>
      <c r="R413" t="s">
        <v>35</v>
      </c>
      <c r="S413" t="s">
        <v>35</v>
      </c>
      <c r="T413" t="s">
        <v>35</v>
      </c>
      <c r="U413" t="s">
        <v>35</v>
      </c>
      <c r="V413" t="s">
        <v>645</v>
      </c>
      <c r="W413" t="s">
        <v>113</v>
      </c>
    </row>
    <row r="414" spans="1:23" hidden="1" x14ac:dyDescent="0.25">
      <c r="A414" s="7" t="str">
        <f>IFERROR(VLOOKUP(H414,'Contas Orç'!A:B,2,0),"N/A")</f>
        <v>RECEITA BRUTA DE OPERACOES PORTUARIAS</v>
      </c>
      <c r="B414" s="7" t="str">
        <f t="shared" si="12"/>
        <v>310102 - RECEITA BRUTA DE OPERACOES PORTUARIAS</v>
      </c>
      <c r="C414" s="25">
        <f t="shared" si="13"/>
        <v>44774</v>
      </c>
      <c r="D414" s="27">
        <f>IF(K414="CREDITO",Q414,Q414*-1)</f>
        <v>69564</v>
      </c>
      <c r="E414" t="s">
        <v>894</v>
      </c>
      <c r="F414" t="s">
        <v>906</v>
      </c>
      <c r="G414" s="8">
        <v>44774</v>
      </c>
      <c r="H414" t="s">
        <v>502</v>
      </c>
      <c r="I414" t="s">
        <v>59</v>
      </c>
      <c r="J414" t="s">
        <v>661</v>
      </c>
      <c r="K414" t="s">
        <v>29</v>
      </c>
      <c r="L414" t="s">
        <v>895</v>
      </c>
      <c r="M414" t="s">
        <v>4402</v>
      </c>
      <c r="O414" t="s">
        <v>896</v>
      </c>
      <c r="P414" t="s">
        <v>33</v>
      </c>
      <c r="Q414" s="22">
        <v>69564</v>
      </c>
      <c r="R414" t="s">
        <v>35</v>
      </c>
      <c r="S414" t="s">
        <v>35</v>
      </c>
      <c r="T414" t="s">
        <v>35</v>
      </c>
      <c r="U414" t="s">
        <v>35</v>
      </c>
      <c r="V414" t="s">
        <v>645</v>
      </c>
      <c r="W414" t="s">
        <v>113</v>
      </c>
    </row>
    <row r="415" spans="1:23" hidden="1" x14ac:dyDescent="0.25">
      <c r="A415" s="7" t="str">
        <f>IFERROR(VLOOKUP(H415,'Contas Orç'!A:B,2,0),"N/A")</f>
        <v>RECEITA BRUTA DE OPERACOES PORTUARIAS</v>
      </c>
      <c r="B415" s="7" t="str">
        <f t="shared" si="12"/>
        <v>310102 - RECEITA BRUTA DE OPERACOES PORTUARIAS</v>
      </c>
      <c r="C415" s="25">
        <f t="shared" si="13"/>
        <v>44805</v>
      </c>
      <c r="D415" s="27">
        <f>IF(K415="CREDITO",Q415,Q415*-1)</f>
        <v>8059814.8300000001</v>
      </c>
      <c r="E415" t="s">
        <v>894</v>
      </c>
      <c r="F415" t="s">
        <v>907</v>
      </c>
      <c r="G415" s="8">
        <v>44805</v>
      </c>
      <c r="H415" t="s">
        <v>502</v>
      </c>
      <c r="I415" t="s">
        <v>59</v>
      </c>
      <c r="J415" t="s">
        <v>60</v>
      </c>
      <c r="K415" t="s">
        <v>29</v>
      </c>
      <c r="L415" t="s">
        <v>895</v>
      </c>
      <c r="M415" t="s">
        <v>4402</v>
      </c>
      <c r="O415" t="s">
        <v>896</v>
      </c>
      <c r="P415" t="s">
        <v>33</v>
      </c>
      <c r="Q415" s="22">
        <v>8059814.8300000001</v>
      </c>
      <c r="R415" t="s">
        <v>35</v>
      </c>
      <c r="S415" t="s">
        <v>35</v>
      </c>
      <c r="T415" t="s">
        <v>35</v>
      </c>
      <c r="U415" t="s">
        <v>35</v>
      </c>
      <c r="V415" t="s">
        <v>645</v>
      </c>
      <c r="W415" t="s">
        <v>113</v>
      </c>
    </row>
    <row r="416" spans="1:23" hidden="1" x14ac:dyDescent="0.25">
      <c r="A416" s="7" t="str">
        <f>IFERROR(VLOOKUP(H416,'Contas Orç'!A:B,2,0),"N/A")</f>
        <v>RECEITA BRUTA DE OPERACOES PORTUARIAS</v>
      </c>
      <c r="B416" s="7" t="str">
        <f t="shared" si="12"/>
        <v>310102 - RECEITA BRUTA DE OPERACOES PORTUARIAS</v>
      </c>
      <c r="C416" s="25">
        <f t="shared" si="13"/>
        <v>44805</v>
      </c>
      <c r="D416" s="27">
        <f>IF(K416="CREDITO",Q416,Q416*-1)</f>
        <v>2922245.58</v>
      </c>
      <c r="E416" t="s">
        <v>894</v>
      </c>
      <c r="F416" t="s">
        <v>908</v>
      </c>
      <c r="G416" s="8">
        <v>44805</v>
      </c>
      <c r="H416" t="s">
        <v>502</v>
      </c>
      <c r="I416" t="s">
        <v>59</v>
      </c>
      <c r="J416" t="s">
        <v>107</v>
      </c>
      <c r="K416" t="s">
        <v>29</v>
      </c>
      <c r="L416" t="s">
        <v>895</v>
      </c>
      <c r="M416" t="s">
        <v>4402</v>
      </c>
      <c r="O416" t="s">
        <v>896</v>
      </c>
      <c r="P416" t="s">
        <v>33</v>
      </c>
      <c r="Q416" s="22">
        <v>2922245.58</v>
      </c>
      <c r="R416" t="s">
        <v>35</v>
      </c>
      <c r="S416" t="s">
        <v>35</v>
      </c>
      <c r="T416" t="s">
        <v>35</v>
      </c>
      <c r="U416" t="s">
        <v>35</v>
      </c>
      <c r="V416" t="s">
        <v>645</v>
      </c>
      <c r="W416" t="s">
        <v>113</v>
      </c>
    </row>
    <row r="417" spans="1:23" hidden="1" x14ac:dyDescent="0.25">
      <c r="A417" s="7" t="str">
        <f>IFERROR(VLOOKUP(H417,'Contas Orç'!A:B,2,0),"N/A")</f>
        <v>RECEITA BRUTA DE OPERACOES PORTUARIAS</v>
      </c>
      <c r="B417" s="7" t="str">
        <f t="shared" si="12"/>
        <v>310102 - RECEITA BRUTA DE OPERACOES PORTUARIAS</v>
      </c>
      <c r="C417" s="25">
        <f t="shared" si="13"/>
        <v>44805</v>
      </c>
      <c r="D417" s="27">
        <f>IF(K417="CREDITO",Q417,Q417*-1)</f>
        <v>43417.42</v>
      </c>
      <c r="E417" t="s">
        <v>894</v>
      </c>
      <c r="F417" t="s">
        <v>909</v>
      </c>
      <c r="G417" s="8">
        <v>44805</v>
      </c>
      <c r="H417" t="s">
        <v>502</v>
      </c>
      <c r="I417" t="s">
        <v>59</v>
      </c>
      <c r="J417" t="s">
        <v>702</v>
      </c>
      <c r="K417" t="s">
        <v>29</v>
      </c>
      <c r="L417" t="s">
        <v>895</v>
      </c>
      <c r="M417" t="s">
        <v>4402</v>
      </c>
      <c r="O417" t="s">
        <v>896</v>
      </c>
      <c r="P417" t="s">
        <v>33</v>
      </c>
      <c r="Q417" s="22">
        <v>43417.42</v>
      </c>
      <c r="R417" t="s">
        <v>35</v>
      </c>
      <c r="S417" t="s">
        <v>35</v>
      </c>
      <c r="T417" t="s">
        <v>35</v>
      </c>
      <c r="U417" t="s">
        <v>35</v>
      </c>
      <c r="V417" t="s">
        <v>645</v>
      </c>
      <c r="W417" t="s">
        <v>113</v>
      </c>
    </row>
    <row r="418" spans="1:23" hidden="1" x14ac:dyDescent="0.25">
      <c r="A418" s="7" t="str">
        <f>IFERROR(VLOOKUP(H418,'Contas Orç'!A:B,2,0),"N/A")</f>
        <v>RECEITA BRUTA DE OPERACOES PORTUARIAS</v>
      </c>
      <c r="B418" s="7" t="str">
        <f t="shared" si="12"/>
        <v>310102 - RECEITA BRUTA DE OPERACOES PORTUARIAS</v>
      </c>
      <c r="C418" s="25">
        <f t="shared" si="13"/>
        <v>44805</v>
      </c>
      <c r="D418" s="27">
        <f>IF(K418="CREDITO",Q418,Q418*-1)</f>
        <v>84746</v>
      </c>
      <c r="E418" t="s">
        <v>894</v>
      </c>
      <c r="F418" t="s">
        <v>910</v>
      </c>
      <c r="G418" s="8">
        <v>44805</v>
      </c>
      <c r="H418" t="s">
        <v>502</v>
      </c>
      <c r="I418" t="s">
        <v>59</v>
      </c>
      <c r="J418" t="s">
        <v>661</v>
      </c>
      <c r="K418" t="s">
        <v>29</v>
      </c>
      <c r="L418" t="s">
        <v>895</v>
      </c>
      <c r="M418" t="s">
        <v>4402</v>
      </c>
      <c r="O418" t="s">
        <v>896</v>
      </c>
      <c r="P418" t="s">
        <v>33</v>
      </c>
      <c r="Q418" s="22">
        <v>84746</v>
      </c>
      <c r="R418" t="s">
        <v>35</v>
      </c>
      <c r="S418" t="s">
        <v>35</v>
      </c>
      <c r="T418" t="s">
        <v>35</v>
      </c>
      <c r="U418" t="s">
        <v>35</v>
      </c>
      <c r="V418" t="s">
        <v>645</v>
      </c>
      <c r="W418" t="s">
        <v>113</v>
      </c>
    </row>
    <row r="419" spans="1:23" hidden="1" x14ac:dyDescent="0.25">
      <c r="A419" s="7" t="str">
        <f>IFERROR(VLOOKUP(H419,'Contas Orç'!A:B,2,0),"N/A")</f>
        <v>RECEITA BRUTA DE OPERACOES PORTUARIAS</v>
      </c>
      <c r="B419" s="7" t="str">
        <f t="shared" si="12"/>
        <v>310102 - RECEITA BRUTA DE OPERACOES PORTUARIAS</v>
      </c>
      <c r="C419" s="25">
        <f t="shared" si="13"/>
        <v>44835</v>
      </c>
      <c r="D419" s="27">
        <f>IF(K419="CREDITO",Q419,Q419*-1)</f>
        <v>8140412.9800000004</v>
      </c>
      <c r="E419" t="s">
        <v>894</v>
      </c>
      <c r="F419" t="s">
        <v>911</v>
      </c>
      <c r="G419" s="8">
        <v>44835</v>
      </c>
      <c r="H419" t="s">
        <v>502</v>
      </c>
      <c r="I419" t="s">
        <v>59</v>
      </c>
      <c r="J419" t="s">
        <v>60</v>
      </c>
      <c r="K419" t="s">
        <v>29</v>
      </c>
      <c r="L419" t="s">
        <v>895</v>
      </c>
      <c r="M419" t="s">
        <v>4402</v>
      </c>
      <c r="O419" t="s">
        <v>896</v>
      </c>
      <c r="P419" t="s">
        <v>33</v>
      </c>
      <c r="Q419" s="22">
        <v>8140412.9800000004</v>
      </c>
      <c r="R419" t="s">
        <v>35</v>
      </c>
      <c r="S419" t="s">
        <v>35</v>
      </c>
      <c r="T419" t="s">
        <v>35</v>
      </c>
      <c r="U419" t="s">
        <v>35</v>
      </c>
      <c r="V419" t="s">
        <v>645</v>
      </c>
      <c r="W419" t="s">
        <v>113</v>
      </c>
    </row>
    <row r="420" spans="1:23" hidden="1" x14ac:dyDescent="0.25">
      <c r="A420" s="7" t="str">
        <f>IFERROR(VLOOKUP(H420,'Contas Orç'!A:B,2,0),"N/A")</f>
        <v>RECEITA BRUTA DE OPERACOES PORTUARIAS</v>
      </c>
      <c r="B420" s="7" t="str">
        <f t="shared" si="12"/>
        <v>310102 - RECEITA BRUTA DE OPERACOES PORTUARIAS</v>
      </c>
      <c r="C420" s="25">
        <f t="shared" si="13"/>
        <v>44835</v>
      </c>
      <c r="D420" s="27">
        <f>IF(K420="CREDITO",Q420,Q420*-1)</f>
        <v>2951468.04</v>
      </c>
      <c r="E420" t="s">
        <v>894</v>
      </c>
      <c r="F420" t="s">
        <v>912</v>
      </c>
      <c r="G420" s="8">
        <v>44835</v>
      </c>
      <c r="H420" t="s">
        <v>502</v>
      </c>
      <c r="I420" t="s">
        <v>59</v>
      </c>
      <c r="J420" t="s">
        <v>107</v>
      </c>
      <c r="K420" t="s">
        <v>29</v>
      </c>
      <c r="L420" t="s">
        <v>895</v>
      </c>
      <c r="M420" t="s">
        <v>4402</v>
      </c>
      <c r="O420" t="s">
        <v>896</v>
      </c>
      <c r="P420" t="s">
        <v>33</v>
      </c>
      <c r="Q420" s="22">
        <v>2951468.04</v>
      </c>
      <c r="R420" t="s">
        <v>35</v>
      </c>
      <c r="S420" t="s">
        <v>35</v>
      </c>
      <c r="T420" t="s">
        <v>35</v>
      </c>
      <c r="U420" t="s">
        <v>35</v>
      </c>
      <c r="V420" t="s">
        <v>645</v>
      </c>
      <c r="W420" t="s">
        <v>113</v>
      </c>
    </row>
    <row r="421" spans="1:23" hidden="1" x14ac:dyDescent="0.25">
      <c r="A421" s="7" t="str">
        <f>IFERROR(VLOOKUP(H421,'Contas Orç'!A:B,2,0),"N/A")</f>
        <v>RECEITA BRUTA DE OPERACOES PORTUARIAS</v>
      </c>
      <c r="B421" s="7" t="str">
        <f t="shared" si="12"/>
        <v>310102 - RECEITA BRUTA DE OPERACOES PORTUARIAS</v>
      </c>
      <c r="C421" s="25">
        <f t="shared" si="13"/>
        <v>44835</v>
      </c>
      <c r="D421" s="27">
        <f>IF(K421="CREDITO",Q421,Q421*-1)</f>
        <v>43851.59</v>
      </c>
      <c r="E421" t="s">
        <v>894</v>
      </c>
      <c r="F421" t="s">
        <v>913</v>
      </c>
      <c r="G421" s="8">
        <v>44835</v>
      </c>
      <c r="H421" t="s">
        <v>502</v>
      </c>
      <c r="I421" t="s">
        <v>59</v>
      </c>
      <c r="J421" t="s">
        <v>702</v>
      </c>
      <c r="K421" t="s">
        <v>29</v>
      </c>
      <c r="L421" t="s">
        <v>895</v>
      </c>
      <c r="M421" t="s">
        <v>4402</v>
      </c>
      <c r="O421" t="s">
        <v>896</v>
      </c>
      <c r="P421" t="s">
        <v>33</v>
      </c>
      <c r="Q421" s="22">
        <v>43851.59</v>
      </c>
      <c r="R421" t="s">
        <v>35</v>
      </c>
      <c r="S421" t="s">
        <v>35</v>
      </c>
      <c r="T421" t="s">
        <v>35</v>
      </c>
      <c r="U421" t="s">
        <v>35</v>
      </c>
      <c r="V421" t="s">
        <v>645</v>
      </c>
      <c r="W421" t="s">
        <v>113</v>
      </c>
    </row>
    <row r="422" spans="1:23" hidden="1" x14ac:dyDescent="0.25">
      <c r="A422" s="7" t="str">
        <f>IFERROR(VLOOKUP(H422,'Contas Orç'!A:B,2,0),"N/A")</f>
        <v>RECEITA BRUTA DE OPERACOES PORTUARIAS</v>
      </c>
      <c r="B422" s="7" t="str">
        <f t="shared" si="12"/>
        <v>310102 - RECEITA BRUTA DE OPERACOES PORTUARIAS</v>
      </c>
      <c r="C422" s="25">
        <f t="shared" si="13"/>
        <v>44835</v>
      </c>
      <c r="D422" s="27">
        <f>IF(K422="CREDITO",Q422,Q422*-1)</f>
        <v>85593.46</v>
      </c>
      <c r="E422" t="s">
        <v>894</v>
      </c>
      <c r="F422" t="s">
        <v>914</v>
      </c>
      <c r="G422" s="8">
        <v>44835</v>
      </c>
      <c r="H422" t="s">
        <v>502</v>
      </c>
      <c r="I422" t="s">
        <v>59</v>
      </c>
      <c r="J422" t="s">
        <v>661</v>
      </c>
      <c r="K422" t="s">
        <v>29</v>
      </c>
      <c r="L422" t="s">
        <v>895</v>
      </c>
      <c r="M422" t="s">
        <v>4402</v>
      </c>
      <c r="O422" t="s">
        <v>896</v>
      </c>
      <c r="P422" t="s">
        <v>33</v>
      </c>
      <c r="Q422" s="22">
        <v>85593.46</v>
      </c>
      <c r="R422" t="s">
        <v>35</v>
      </c>
      <c r="S422" t="s">
        <v>35</v>
      </c>
      <c r="T422" t="s">
        <v>35</v>
      </c>
      <c r="U422" t="s">
        <v>35</v>
      </c>
      <c r="V422" t="s">
        <v>645</v>
      </c>
      <c r="W422" t="s">
        <v>113</v>
      </c>
    </row>
    <row r="423" spans="1:23" hidden="1" x14ac:dyDescent="0.25">
      <c r="A423" s="7" t="str">
        <f>IFERROR(VLOOKUP(H423,'Contas Orç'!A:B,2,0),"N/A")</f>
        <v>RECEITA BRUTA DE OPERACOES PORTUARIAS</v>
      </c>
      <c r="B423" s="7" t="str">
        <f t="shared" si="12"/>
        <v>310102 - RECEITA BRUTA DE OPERACOES PORTUARIAS</v>
      </c>
      <c r="C423" s="25">
        <f t="shared" si="13"/>
        <v>44866</v>
      </c>
      <c r="D423" s="27">
        <f>IF(K423="CREDITO",Q423,Q423*-1)</f>
        <v>8221817.1100000003</v>
      </c>
      <c r="E423" t="s">
        <v>894</v>
      </c>
      <c r="F423" t="s">
        <v>915</v>
      </c>
      <c r="G423" s="8">
        <v>44866</v>
      </c>
      <c r="H423" t="s">
        <v>502</v>
      </c>
      <c r="I423" t="s">
        <v>59</v>
      </c>
      <c r="J423" t="s">
        <v>60</v>
      </c>
      <c r="K423" t="s">
        <v>29</v>
      </c>
      <c r="L423" t="s">
        <v>895</v>
      </c>
      <c r="M423" t="s">
        <v>4402</v>
      </c>
      <c r="O423" t="s">
        <v>896</v>
      </c>
      <c r="P423" t="s">
        <v>33</v>
      </c>
      <c r="Q423" s="22">
        <v>8221817.1100000003</v>
      </c>
      <c r="R423" t="s">
        <v>35</v>
      </c>
      <c r="S423" t="s">
        <v>35</v>
      </c>
      <c r="T423" t="s">
        <v>35</v>
      </c>
      <c r="U423" t="s">
        <v>35</v>
      </c>
      <c r="V423" t="s">
        <v>645</v>
      </c>
      <c r="W423" t="s">
        <v>113</v>
      </c>
    </row>
    <row r="424" spans="1:23" hidden="1" x14ac:dyDescent="0.25">
      <c r="A424" s="7" t="str">
        <f>IFERROR(VLOOKUP(H424,'Contas Orç'!A:B,2,0),"N/A")</f>
        <v>RECEITA BRUTA DE OPERACOES PORTUARIAS</v>
      </c>
      <c r="B424" s="7" t="str">
        <f t="shared" si="12"/>
        <v>310102 - RECEITA BRUTA DE OPERACOES PORTUARIAS</v>
      </c>
      <c r="C424" s="25">
        <f t="shared" si="13"/>
        <v>44866</v>
      </c>
      <c r="D424" s="27">
        <f>IF(K424="CREDITO",Q424,Q424*-1)</f>
        <v>2980982.72</v>
      </c>
      <c r="E424" t="s">
        <v>894</v>
      </c>
      <c r="F424" t="s">
        <v>916</v>
      </c>
      <c r="G424" s="8">
        <v>44866</v>
      </c>
      <c r="H424" t="s">
        <v>502</v>
      </c>
      <c r="I424" t="s">
        <v>59</v>
      </c>
      <c r="J424" t="s">
        <v>107</v>
      </c>
      <c r="K424" t="s">
        <v>29</v>
      </c>
      <c r="L424" t="s">
        <v>895</v>
      </c>
      <c r="M424" t="s">
        <v>4402</v>
      </c>
      <c r="O424" t="s">
        <v>896</v>
      </c>
      <c r="P424" t="s">
        <v>33</v>
      </c>
      <c r="Q424" s="22">
        <v>2980982.72</v>
      </c>
      <c r="R424" t="s">
        <v>35</v>
      </c>
      <c r="S424" t="s">
        <v>35</v>
      </c>
      <c r="T424" t="s">
        <v>35</v>
      </c>
      <c r="U424" t="s">
        <v>35</v>
      </c>
      <c r="V424" t="s">
        <v>645</v>
      </c>
      <c r="W424" t="s">
        <v>113</v>
      </c>
    </row>
    <row r="425" spans="1:23" hidden="1" x14ac:dyDescent="0.25">
      <c r="A425" s="7" t="str">
        <f>IFERROR(VLOOKUP(H425,'Contas Orç'!A:B,2,0),"N/A")</f>
        <v>RECEITA BRUTA DE OPERACOES PORTUARIAS</v>
      </c>
      <c r="B425" s="7" t="str">
        <f t="shared" si="12"/>
        <v>310102 - RECEITA BRUTA DE OPERACOES PORTUARIAS</v>
      </c>
      <c r="C425" s="25">
        <f t="shared" si="13"/>
        <v>44866</v>
      </c>
      <c r="D425" s="27">
        <f>IF(K425="CREDITO",Q425,Q425*-1)</f>
        <v>44290.11</v>
      </c>
      <c r="E425" t="s">
        <v>894</v>
      </c>
      <c r="F425" t="s">
        <v>917</v>
      </c>
      <c r="G425" s="8">
        <v>44866</v>
      </c>
      <c r="H425" t="s">
        <v>502</v>
      </c>
      <c r="I425" t="s">
        <v>59</v>
      </c>
      <c r="J425" t="s">
        <v>702</v>
      </c>
      <c r="K425" t="s">
        <v>29</v>
      </c>
      <c r="L425" t="s">
        <v>895</v>
      </c>
      <c r="M425" t="s">
        <v>4402</v>
      </c>
      <c r="O425" t="s">
        <v>896</v>
      </c>
      <c r="P425" t="s">
        <v>33</v>
      </c>
      <c r="Q425" s="22">
        <v>44290.11</v>
      </c>
      <c r="R425" t="s">
        <v>35</v>
      </c>
      <c r="S425" t="s">
        <v>35</v>
      </c>
      <c r="T425" t="s">
        <v>35</v>
      </c>
      <c r="U425" t="s">
        <v>35</v>
      </c>
      <c r="V425" t="s">
        <v>645</v>
      </c>
      <c r="W425" t="s">
        <v>113</v>
      </c>
    </row>
    <row r="426" spans="1:23" hidden="1" x14ac:dyDescent="0.25">
      <c r="A426" s="7" t="str">
        <f>IFERROR(VLOOKUP(H426,'Contas Orç'!A:B,2,0),"N/A")</f>
        <v>RECEITA BRUTA DE OPERACOES PORTUARIAS</v>
      </c>
      <c r="B426" s="7" t="str">
        <f t="shared" si="12"/>
        <v>310102 - RECEITA BRUTA DE OPERACOES PORTUARIAS</v>
      </c>
      <c r="C426" s="25">
        <f t="shared" si="13"/>
        <v>44866</v>
      </c>
      <c r="D426" s="27">
        <f>IF(K426="CREDITO",Q426,Q426*-1)</f>
        <v>86449.39</v>
      </c>
      <c r="E426" t="s">
        <v>894</v>
      </c>
      <c r="F426" t="s">
        <v>918</v>
      </c>
      <c r="G426" s="8">
        <v>44866</v>
      </c>
      <c r="H426" t="s">
        <v>502</v>
      </c>
      <c r="I426" t="s">
        <v>59</v>
      </c>
      <c r="J426" t="s">
        <v>661</v>
      </c>
      <c r="K426" t="s">
        <v>29</v>
      </c>
      <c r="L426" t="s">
        <v>895</v>
      </c>
      <c r="M426" t="s">
        <v>4402</v>
      </c>
      <c r="O426" t="s">
        <v>896</v>
      </c>
      <c r="P426" t="s">
        <v>33</v>
      </c>
      <c r="Q426" s="22">
        <v>86449.39</v>
      </c>
      <c r="R426" t="s">
        <v>35</v>
      </c>
      <c r="S426" t="s">
        <v>35</v>
      </c>
      <c r="T426" t="s">
        <v>35</v>
      </c>
      <c r="U426" t="s">
        <v>35</v>
      </c>
      <c r="V426" t="s">
        <v>645</v>
      </c>
      <c r="W426" t="s">
        <v>113</v>
      </c>
    </row>
    <row r="427" spans="1:23" hidden="1" x14ac:dyDescent="0.25">
      <c r="A427" s="7" t="str">
        <f>IFERROR(VLOOKUP(H427,'Contas Orç'!A:B,2,0),"N/A")</f>
        <v>RECEITA BRUTA DE OPERACOES PORTUARIAS</v>
      </c>
      <c r="B427" s="7" t="str">
        <f t="shared" si="12"/>
        <v>310102 - RECEITA BRUTA DE OPERACOES PORTUARIAS</v>
      </c>
      <c r="C427" s="25">
        <f t="shared" si="13"/>
        <v>44896</v>
      </c>
      <c r="D427" s="27">
        <f>IF(K427="CREDITO",Q427,Q427*-1)</f>
        <v>8304035.2800000003</v>
      </c>
      <c r="E427" t="s">
        <v>894</v>
      </c>
      <c r="F427" t="s">
        <v>919</v>
      </c>
      <c r="G427" s="8">
        <v>44896</v>
      </c>
      <c r="H427" t="s">
        <v>502</v>
      </c>
      <c r="I427" t="s">
        <v>59</v>
      </c>
      <c r="J427" t="s">
        <v>60</v>
      </c>
      <c r="K427" t="s">
        <v>29</v>
      </c>
      <c r="L427" t="s">
        <v>895</v>
      </c>
      <c r="M427" t="s">
        <v>4402</v>
      </c>
      <c r="O427" t="s">
        <v>896</v>
      </c>
      <c r="P427" t="s">
        <v>33</v>
      </c>
      <c r="Q427" s="22">
        <v>8304035.2800000003</v>
      </c>
      <c r="R427" t="s">
        <v>35</v>
      </c>
      <c r="S427" t="s">
        <v>35</v>
      </c>
      <c r="T427" t="s">
        <v>35</v>
      </c>
      <c r="U427" t="s">
        <v>35</v>
      </c>
      <c r="V427" t="s">
        <v>645</v>
      </c>
      <c r="W427" t="s">
        <v>113</v>
      </c>
    </row>
    <row r="428" spans="1:23" hidden="1" x14ac:dyDescent="0.25">
      <c r="A428" s="7" t="str">
        <f>IFERROR(VLOOKUP(H428,'Contas Orç'!A:B,2,0),"N/A")</f>
        <v>RECEITA BRUTA DE OPERACOES PORTUARIAS</v>
      </c>
      <c r="B428" s="7" t="str">
        <f t="shared" si="12"/>
        <v>310102 - RECEITA BRUTA DE OPERACOES PORTUARIAS</v>
      </c>
      <c r="C428" s="25">
        <f t="shared" si="13"/>
        <v>44896</v>
      </c>
      <c r="D428" s="27">
        <f>IF(K428="CREDITO",Q428,Q428*-1)</f>
        <v>3010792.54</v>
      </c>
      <c r="E428" t="s">
        <v>894</v>
      </c>
      <c r="F428" t="s">
        <v>920</v>
      </c>
      <c r="G428" s="8">
        <v>44896</v>
      </c>
      <c r="H428" t="s">
        <v>502</v>
      </c>
      <c r="I428" t="s">
        <v>59</v>
      </c>
      <c r="J428" t="s">
        <v>107</v>
      </c>
      <c r="K428" t="s">
        <v>29</v>
      </c>
      <c r="L428" t="s">
        <v>895</v>
      </c>
      <c r="M428" t="s">
        <v>4402</v>
      </c>
      <c r="O428" t="s">
        <v>896</v>
      </c>
      <c r="P428" t="s">
        <v>33</v>
      </c>
      <c r="Q428" s="22">
        <v>3010792.54</v>
      </c>
      <c r="R428" t="s">
        <v>35</v>
      </c>
      <c r="S428" t="s">
        <v>35</v>
      </c>
      <c r="T428" t="s">
        <v>35</v>
      </c>
      <c r="U428" t="s">
        <v>35</v>
      </c>
      <c r="V428" t="s">
        <v>645</v>
      </c>
      <c r="W428" t="s">
        <v>113</v>
      </c>
    </row>
    <row r="429" spans="1:23" hidden="1" x14ac:dyDescent="0.25">
      <c r="A429" s="7" t="str">
        <f>IFERROR(VLOOKUP(H429,'Contas Orç'!A:B,2,0),"N/A")</f>
        <v>RECEITA BRUTA DE OPERACOES PORTUARIAS</v>
      </c>
      <c r="B429" s="7" t="str">
        <f t="shared" si="12"/>
        <v>310102 - RECEITA BRUTA DE OPERACOES PORTUARIAS</v>
      </c>
      <c r="C429" s="25">
        <f t="shared" si="13"/>
        <v>44896</v>
      </c>
      <c r="D429" s="27">
        <f>IF(K429="CREDITO",Q429,Q429*-1)</f>
        <v>44733.01</v>
      </c>
      <c r="E429" t="s">
        <v>894</v>
      </c>
      <c r="F429" t="s">
        <v>921</v>
      </c>
      <c r="G429" s="8">
        <v>44896</v>
      </c>
      <c r="H429" t="s">
        <v>502</v>
      </c>
      <c r="I429" t="s">
        <v>59</v>
      </c>
      <c r="J429" t="s">
        <v>702</v>
      </c>
      <c r="K429" t="s">
        <v>29</v>
      </c>
      <c r="L429" t="s">
        <v>895</v>
      </c>
      <c r="M429" t="s">
        <v>4402</v>
      </c>
      <c r="O429" t="s">
        <v>896</v>
      </c>
      <c r="P429" t="s">
        <v>33</v>
      </c>
      <c r="Q429" s="22">
        <v>44733.01</v>
      </c>
      <c r="R429" t="s">
        <v>35</v>
      </c>
      <c r="S429" t="s">
        <v>35</v>
      </c>
      <c r="T429" t="s">
        <v>35</v>
      </c>
      <c r="U429" t="s">
        <v>35</v>
      </c>
      <c r="V429" t="s">
        <v>645</v>
      </c>
      <c r="W429" t="s">
        <v>113</v>
      </c>
    </row>
    <row r="430" spans="1:23" hidden="1" x14ac:dyDescent="0.25">
      <c r="A430" s="7" t="str">
        <f>IFERROR(VLOOKUP(H430,'Contas Orç'!A:B,2,0),"N/A")</f>
        <v>RECEITA BRUTA DE OPERACOES PORTUARIAS</v>
      </c>
      <c r="B430" s="7" t="str">
        <f t="shared" si="12"/>
        <v>310102 - RECEITA BRUTA DE OPERACOES PORTUARIAS</v>
      </c>
      <c r="C430" s="25">
        <f t="shared" si="13"/>
        <v>44896</v>
      </c>
      <c r="D430" s="27">
        <f>IF(K430="CREDITO",Q430,Q430*-1)</f>
        <v>87313.89</v>
      </c>
      <c r="E430" t="s">
        <v>894</v>
      </c>
      <c r="F430" t="s">
        <v>922</v>
      </c>
      <c r="G430" s="8">
        <v>44896</v>
      </c>
      <c r="H430" t="s">
        <v>502</v>
      </c>
      <c r="I430" t="s">
        <v>59</v>
      </c>
      <c r="J430" t="s">
        <v>661</v>
      </c>
      <c r="K430" t="s">
        <v>29</v>
      </c>
      <c r="L430" t="s">
        <v>895</v>
      </c>
      <c r="M430" t="s">
        <v>4402</v>
      </c>
      <c r="O430" t="s">
        <v>896</v>
      </c>
      <c r="P430" t="s">
        <v>33</v>
      </c>
      <c r="Q430" s="22">
        <v>87313.89</v>
      </c>
      <c r="R430" t="s">
        <v>35</v>
      </c>
      <c r="S430" t="s">
        <v>35</v>
      </c>
      <c r="T430" t="s">
        <v>35</v>
      </c>
      <c r="U430" t="s">
        <v>35</v>
      </c>
      <c r="V430" t="s">
        <v>645</v>
      </c>
      <c r="W430" t="s">
        <v>113</v>
      </c>
    </row>
    <row r="431" spans="1:23" hidden="1" x14ac:dyDescent="0.25">
      <c r="A431" s="7" t="str">
        <f>IFERROR(VLOOKUP(H431,'Contas Orç'!A:B,2,0),"N/A")</f>
        <v>( - ) DEDUCOES DA RECEITA BRUTA</v>
      </c>
      <c r="B431" s="7" t="str">
        <f t="shared" si="12"/>
        <v>310109 - ( - ) DEDUCOES DA RECEITA BRUTA</v>
      </c>
      <c r="C431" s="25">
        <f t="shared" si="13"/>
        <v>44562</v>
      </c>
      <c r="D431" s="27">
        <f>IF(K431="CREDITO",Q431,Q431*-1)</f>
        <v>8003.1</v>
      </c>
      <c r="E431" t="s">
        <v>894</v>
      </c>
      <c r="F431" t="s">
        <v>923</v>
      </c>
      <c r="G431" s="8">
        <v>44562</v>
      </c>
      <c r="H431" t="s">
        <v>504</v>
      </c>
      <c r="I431" t="s">
        <v>88</v>
      </c>
      <c r="J431" t="s">
        <v>28</v>
      </c>
      <c r="K431" t="s">
        <v>29</v>
      </c>
      <c r="L431" t="s">
        <v>895</v>
      </c>
      <c r="M431" t="s">
        <v>4402</v>
      </c>
      <c r="O431" t="s">
        <v>896</v>
      </c>
      <c r="P431" t="s">
        <v>33</v>
      </c>
      <c r="Q431" s="22">
        <v>8003.1</v>
      </c>
      <c r="R431" t="s">
        <v>35</v>
      </c>
      <c r="S431" t="s">
        <v>35</v>
      </c>
      <c r="T431" t="s">
        <v>35</v>
      </c>
      <c r="U431" t="s">
        <v>35</v>
      </c>
      <c r="V431" t="s">
        <v>645</v>
      </c>
      <c r="W431" t="s">
        <v>113</v>
      </c>
    </row>
    <row r="432" spans="1:23" hidden="1" x14ac:dyDescent="0.25">
      <c r="A432" s="7" t="str">
        <f>IFERROR(VLOOKUP(H432,'Contas Orç'!A:B,2,0),"N/A")</f>
        <v>( - ) DEDUCOES DA RECEITA BRUTA</v>
      </c>
      <c r="B432" s="7" t="str">
        <f t="shared" si="12"/>
        <v>310109 - ( - ) DEDUCOES DA RECEITA BRUTA</v>
      </c>
      <c r="C432" s="25">
        <f t="shared" si="13"/>
        <v>44562</v>
      </c>
      <c r="D432" s="27">
        <f>IF(K432="CREDITO",Q432,Q432*-1)</f>
        <v>96949.96</v>
      </c>
      <c r="E432" t="s">
        <v>894</v>
      </c>
      <c r="F432" t="s">
        <v>924</v>
      </c>
      <c r="G432" s="8">
        <v>44562</v>
      </c>
      <c r="H432" t="s">
        <v>504</v>
      </c>
      <c r="I432" t="s">
        <v>27</v>
      </c>
      <c r="J432" t="s">
        <v>28</v>
      </c>
      <c r="K432" t="s">
        <v>29</v>
      </c>
      <c r="L432" t="s">
        <v>895</v>
      </c>
      <c r="M432" t="s">
        <v>4402</v>
      </c>
      <c r="O432" t="s">
        <v>896</v>
      </c>
      <c r="P432" t="s">
        <v>33</v>
      </c>
      <c r="Q432" s="22">
        <v>96949.96</v>
      </c>
      <c r="R432" t="s">
        <v>35</v>
      </c>
      <c r="S432" t="s">
        <v>35</v>
      </c>
      <c r="T432" t="s">
        <v>35</v>
      </c>
      <c r="U432" t="s">
        <v>35</v>
      </c>
      <c r="V432" t="s">
        <v>645</v>
      </c>
      <c r="W432" t="s">
        <v>113</v>
      </c>
    </row>
    <row r="433" spans="1:23" hidden="1" x14ac:dyDescent="0.25">
      <c r="A433" s="7" t="str">
        <f>IFERROR(VLOOKUP(H433,'Contas Orç'!A:B,2,0),"N/A")</f>
        <v>( - ) DEDUCOES DA RECEITA BRUTA</v>
      </c>
      <c r="B433" s="7" t="str">
        <f t="shared" si="12"/>
        <v>310109 - ( - ) DEDUCOES DA RECEITA BRUTA</v>
      </c>
      <c r="C433" s="25">
        <f t="shared" si="13"/>
        <v>44562</v>
      </c>
      <c r="D433" s="27">
        <f>IF(K433="CREDITO",Q433,Q433*-1)</f>
        <v>930669.65</v>
      </c>
      <c r="E433" t="s">
        <v>894</v>
      </c>
      <c r="F433" t="s">
        <v>925</v>
      </c>
      <c r="G433" s="8">
        <v>44562</v>
      </c>
      <c r="H433" t="s">
        <v>504</v>
      </c>
      <c r="I433" t="s">
        <v>59</v>
      </c>
      <c r="J433" t="s">
        <v>60</v>
      </c>
      <c r="K433" t="s">
        <v>29</v>
      </c>
      <c r="L433" t="s">
        <v>895</v>
      </c>
      <c r="M433" t="s">
        <v>4402</v>
      </c>
      <c r="O433" t="s">
        <v>896</v>
      </c>
      <c r="P433" t="s">
        <v>33</v>
      </c>
      <c r="Q433" s="22">
        <v>930669.65</v>
      </c>
      <c r="R433" t="s">
        <v>35</v>
      </c>
      <c r="S433" t="s">
        <v>35</v>
      </c>
      <c r="T433" t="s">
        <v>35</v>
      </c>
      <c r="U433" t="s">
        <v>35</v>
      </c>
      <c r="V433" t="s">
        <v>645</v>
      </c>
      <c r="W433" t="s">
        <v>113</v>
      </c>
    </row>
    <row r="434" spans="1:23" hidden="1" x14ac:dyDescent="0.25">
      <c r="A434" s="7" t="str">
        <f>IFERROR(VLOOKUP(H434,'Contas Orç'!A:B,2,0),"N/A")</f>
        <v>( - ) DEDUCOES DA RECEITA BRUTA</v>
      </c>
      <c r="B434" s="7" t="str">
        <f t="shared" si="12"/>
        <v>310109 - ( - ) DEDUCOES DA RECEITA BRUTA</v>
      </c>
      <c r="C434" s="25">
        <f t="shared" si="13"/>
        <v>44562</v>
      </c>
      <c r="D434" s="27">
        <f>IF(K434="CREDITO",Q434,Q434*-1)</f>
        <v>450056.51</v>
      </c>
      <c r="E434" t="s">
        <v>894</v>
      </c>
      <c r="F434" t="s">
        <v>926</v>
      </c>
      <c r="G434" s="8">
        <v>44562</v>
      </c>
      <c r="H434" t="s">
        <v>504</v>
      </c>
      <c r="I434" t="s">
        <v>59</v>
      </c>
      <c r="J434" t="s">
        <v>107</v>
      </c>
      <c r="K434" t="s">
        <v>29</v>
      </c>
      <c r="L434" t="s">
        <v>895</v>
      </c>
      <c r="M434" t="s">
        <v>4402</v>
      </c>
      <c r="O434" t="s">
        <v>896</v>
      </c>
      <c r="P434" t="s">
        <v>33</v>
      </c>
      <c r="Q434" s="22">
        <v>450056.51</v>
      </c>
      <c r="R434" t="s">
        <v>35</v>
      </c>
      <c r="S434" t="s">
        <v>35</v>
      </c>
      <c r="T434" t="s">
        <v>35</v>
      </c>
      <c r="U434" t="s">
        <v>35</v>
      </c>
      <c r="V434" t="s">
        <v>645</v>
      </c>
      <c r="W434" t="s">
        <v>113</v>
      </c>
    </row>
    <row r="435" spans="1:23" hidden="1" x14ac:dyDescent="0.25">
      <c r="A435" s="7" t="str">
        <f>IFERROR(VLOOKUP(H435,'Contas Orç'!A:B,2,0),"N/A")</f>
        <v>( - ) DEDUCOES DA RECEITA BRUTA</v>
      </c>
      <c r="B435" s="7" t="str">
        <f t="shared" si="12"/>
        <v>310109 - ( - ) DEDUCOES DA RECEITA BRUTA</v>
      </c>
      <c r="C435" s="25">
        <f t="shared" si="13"/>
        <v>44562</v>
      </c>
      <c r="D435" s="27">
        <f>IF(K435="CREDITO",Q435,Q435*-1)</f>
        <v>17144.419999999998</v>
      </c>
      <c r="E435" t="s">
        <v>894</v>
      </c>
      <c r="F435" t="s">
        <v>927</v>
      </c>
      <c r="G435" s="8">
        <v>44562</v>
      </c>
      <c r="H435" t="s">
        <v>504</v>
      </c>
      <c r="I435" t="s">
        <v>59</v>
      </c>
      <c r="J435" t="s">
        <v>702</v>
      </c>
      <c r="K435" t="s">
        <v>29</v>
      </c>
      <c r="L435" t="s">
        <v>895</v>
      </c>
      <c r="M435" t="s">
        <v>4402</v>
      </c>
      <c r="O435" t="s">
        <v>896</v>
      </c>
      <c r="P435" t="s">
        <v>33</v>
      </c>
      <c r="Q435" s="22">
        <v>17144.419999999998</v>
      </c>
      <c r="R435" t="s">
        <v>35</v>
      </c>
      <c r="S435" t="s">
        <v>35</v>
      </c>
      <c r="T435" t="s">
        <v>35</v>
      </c>
      <c r="U435" t="s">
        <v>35</v>
      </c>
      <c r="V435" t="s">
        <v>645</v>
      </c>
      <c r="W435" t="s">
        <v>113</v>
      </c>
    </row>
    <row r="436" spans="1:23" hidden="1" x14ac:dyDescent="0.25">
      <c r="A436" s="7" t="str">
        <f>IFERROR(VLOOKUP(H436,'Contas Orç'!A:B,2,0),"N/A")</f>
        <v>( - ) DEDUCOES DA RECEITA BRUTA</v>
      </c>
      <c r="B436" s="7" t="str">
        <f t="shared" si="12"/>
        <v>310109 - ( - ) DEDUCOES DA RECEITA BRUTA</v>
      </c>
      <c r="C436" s="25">
        <f t="shared" si="13"/>
        <v>44562</v>
      </c>
      <c r="D436" s="27">
        <f>IF(K436="CREDITO",Q436,Q436*-1)</f>
        <v>5311.17</v>
      </c>
      <c r="E436" t="s">
        <v>894</v>
      </c>
      <c r="F436" t="s">
        <v>928</v>
      </c>
      <c r="G436" s="8">
        <v>44562</v>
      </c>
      <c r="H436" t="s">
        <v>504</v>
      </c>
      <c r="I436" t="s">
        <v>59</v>
      </c>
      <c r="J436" t="s">
        <v>661</v>
      </c>
      <c r="K436" t="s">
        <v>29</v>
      </c>
      <c r="L436" t="s">
        <v>895</v>
      </c>
      <c r="M436" t="s">
        <v>4402</v>
      </c>
      <c r="O436" t="s">
        <v>896</v>
      </c>
      <c r="P436" t="s">
        <v>33</v>
      </c>
      <c r="Q436" s="22">
        <v>5311.17</v>
      </c>
      <c r="R436" t="s">
        <v>35</v>
      </c>
      <c r="S436" t="s">
        <v>35</v>
      </c>
      <c r="T436" t="s">
        <v>35</v>
      </c>
      <c r="U436" t="s">
        <v>35</v>
      </c>
      <c r="V436" t="s">
        <v>645</v>
      </c>
      <c r="W436" t="s">
        <v>113</v>
      </c>
    </row>
    <row r="437" spans="1:23" hidden="1" x14ac:dyDescent="0.25">
      <c r="A437" s="7" t="str">
        <f>IFERROR(VLOOKUP(H437,'Contas Orç'!A:B,2,0),"N/A")</f>
        <v>( - ) DEDUCOES DA RECEITA BRUTA</v>
      </c>
      <c r="B437" s="7" t="str">
        <f t="shared" si="12"/>
        <v>310109 - ( - ) DEDUCOES DA RECEITA BRUTA</v>
      </c>
      <c r="C437" s="25">
        <f t="shared" si="13"/>
        <v>44593</v>
      </c>
      <c r="D437" s="27">
        <f>IF(K437="CREDITO",Q437,Q437*-1)</f>
        <v>108768.72</v>
      </c>
      <c r="E437" t="s">
        <v>894</v>
      </c>
      <c r="F437" t="s">
        <v>929</v>
      </c>
      <c r="G437" s="8">
        <v>44593</v>
      </c>
      <c r="H437" t="s">
        <v>504</v>
      </c>
      <c r="I437" t="s">
        <v>27</v>
      </c>
      <c r="J437" t="s">
        <v>28</v>
      </c>
      <c r="K437" t="s">
        <v>29</v>
      </c>
      <c r="L437" t="s">
        <v>895</v>
      </c>
      <c r="M437" t="s">
        <v>4402</v>
      </c>
      <c r="O437" t="s">
        <v>896</v>
      </c>
      <c r="P437" t="s">
        <v>33</v>
      </c>
      <c r="Q437" s="22">
        <v>108768.72</v>
      </c>
      <c r="R437" t="s">
        <v>35</v>
      </c>
      <c r="S437" t="s">
        <v>35</v>
      </c>
      <c r="T437" t="s">
        <v>35</v>
      </c>
      <c r="U437" t="s">
        <v>35</v>
      </c>
      <c r="V437" t="s">
        <v>645</v>
      </c>
      <c r="W437" t="s">
        <v>113</v>
      </c>
    </row>
    <row r="438" spans="1:23" hidden="1" x14ac:dyDescent="0.25">
      <c r="A438" s="7" t="str">
        <f>IFERROR(VLOOKUP(H438,'Contas Orç'!A:B,2,0),"N/A")</f>
        <v>( - ) DEDUCOES DA RECEITA BRUTA</v>
      </c>
      <c r="B438" s="7" t="str">
        <f t="shared" si="12"/>
        <v>310109 - ( - ) DEDUCOES DA RECEITA BRUTA</v>
      </c>
      <c r="C438" s="25">
        <f t="shared" si="13"/>
        <v>44593</v>
      </c>
      <c r="D438" s="27">
        <f>IF(K438="CREDITO",Q438,Q438*-1)</f>
        <v>1116940.52</v>
      </c>
      <c r="E438" t="s">
        <v>894</v>
      </c>
      <c r="F438" t="s">
        <v>930</v>
      </c>
      <c r="G438" s="8">
        <v>44593</v>
      </c>
      <c r="H438" t="s">
        <v>504</v>
      </c>
      <c r="I438" t="s">
        <v>59</v>
      </c>
      <c r="J438" t="s">
        <v>60</v>
      </c>
      <c r="K438" t="s">
        <v>29</v>
      </c>
      <c r="L438" t="s">
        <v>895</v>
      </c>
      <c r="M438" t="s">
        <v>4402</v>
      </c>
      <c r="O438" t="s">
        <v>896</v>
      </c>
      <c r="P438" t="s">
        <v>33</v>
      </c>
      <c r="Q438" s="22">
        <v>1116940.52</v>
      </c>
      <c r="R438" t="s">
        <v>35</v>
      </c>
      <c r="S438" t="s">
        <v>35</v>
      </c>
      <c r="T438" t="s">
        <v>35</v>
      </c>
      <c r="U438" t="s">
        <v>35</v>
      </c>
      <c r="V438" t="s">
        <v>645</v>
      </c>
      <c r="W438" t="s">
        <v>113</v>
      </c>
    </row>
    <row r="439" spans="1:23" hidden="1" x14ac:dyDescent="0.25">
      <c r="A439" s="7" t="str">
        <f>IFERROR(VLOOKUP(H439,'Contas Orç'!A:B,2,0),"N/A")</f>
        <v>( - ) DEDUCOES DA RECEITA BRUTA</v>
      </c>
      <c r="B439" s="7" t="str">
        <f t="shared" si="12"/>
        <v>310109 - ( - ) DEDUCOES DA RECEITA BRUTA</v>
      </c>
      <c r="C439" s="25">
        <f t="shared" si="13"/>
        <v>44593</v>
      </c>
      <c r="D439" s="27">
        <f>IF(K439="CREDITO",Q439,Q439*-1)</f>
        <v>125793.76</v>
      </c>
      <c r="E439" t="s">
        <v>894</v>
      </c>
      <c r="F439" t="s">
        <v>931</v>
      </c>
      <c r="G439" s="8">
        <v>44593</v>
      </c>
      <c r="H439" t="s">
        <v>504</v>
      </c>
      <c r="I439" t="s">
        <v>59</v>
      </c>
      <c r="J439" t="s">
        <v>107</v>
      </c>
      <c r="K439" t="s">
        <v>29</v>
      </c>
      <c r="L439" t="s">
        <v>895</v>
      </c>
      <c r="M439" t="s">
        <v>4402</v>
      </c>
      <c r="O439" t="s">
        <v>896</v>
      </c>
      <c r="P439" t="s">
        <v>33</v>
      </c>
      <c r="Q439" s="22">
        <v>125793.76</v>
      </c>
      <c r="R439" t="s">
        <v>35</v>
      </c>
      <c r="S439" t="s">
        <v>35</v>
      </c>
      <c r="T439" t="s">
        <v>35</v>
      </c>
      <c r="U439" t="s">
        <v>35</v>
      </c>
      <c r="V439" t="s">
        <v>645</v>
      </c>
      <c r="W439" t="s">
        <v>113</v>
      </c>
    </row>
    <row r="440" spans="1:23" hidden="1" x14ac:dyDescent="0.25">
      <c r="A440" s="7" t="str">
        <f>IFERROR(VLOOKUP(H440,'Contas Orç'!A:B,2,0),"N/A")</f>
        <v>( - ) DEDUCOES DA RECEITA BRUTA</v>
      </c>
      <c r="B440" s="7" t="str">
        <f t="shared" si="12"/>
        <v>310109 - ( - ) DEDUCOES DA RECEITA BRUTA</v>
      </c>
      <c r="C440" s="25">
        <f t="shared" si="13"/>
        <v>44593</v>
      </c>
      <c r="D440" s="27">
        <f>IF(K440="CREDITO",Q440,Q440*-1)</f>
        <v>7435.27</v>
      </c>
      <c r="E440" t="s">
        <v>894</v>
      </c>
      <c r="F440" t="s">
        <v>932</v>
      </c>
      <c r="G440" s="8">
        <v>44593</v>
      </c>
      <c r="H440" t="s">
        <v>504</v>
      </c>
      <c r="I440" t="s">
        <v>59</v>
      </c>
      <c r="J440" t="s">
        <v>702</v>
      </c>
      <c r="K440" t="s">
        <v>29</v>
      </c>
      <c r="L440" t="s">
        <v>895</v>
      </c>
      <c r="M440" t="s">
        <v>4402</v>
      </c>
      <c r="O440" t="s">
        <v>896</v>
      </c>
      <c r="P440" t="s">
        <v>33</v>
      </c>
      <c r="Q440" s="22">
        <v>7435.27</v>
      </c>
      <c r="R440" t="s">
        <v>35</v>
      </c>
      <c r="S440" t="s">
        <v>35</v>
      </c>
      <c r="T440" t="s">
        <v>35</v>
      </c>
      <c r="U440" t="s">
        <v>35</v>
      </c>
      <c r="V440" t="s">
        <v>645</v>
      </c>
      <c r="W440" t="s">
        <v>113</v>
      </c>
    </row>
    <row r="441" spans="1:23" hidden="1" x14ac:dyDescent="0.25">
      <c r="A441" s="7" t="str">
        <f>IFERROR(VLOOKUP(H441,'Contas Orç'!A:B,2,0),"N/A")</f>
        <v>( - ) DEDUCOES DA RECEITA BRUTA</v>
      </c>
      <c r="B441" s="7" t="str">
        <f t="shared" si="12"/>
        <v>310109 - ( - ) DEDUCOES DA RECEITA BRUTA</v>
      </c>
      <c r="C441" s="25">
        <f t="shared" si="13"/>
        <v>44593</v>
      </c>
      <c r="D441" s="27">
        <f>IF(K441="CREDITO",Q441,Q441*-1)</f>
        <v>16233.37</v>
      </c>
      <c r="E441" t="s">
        <v>894</v>
      </c>
      <c r="F441" t="s">
        <v>933</v>
      </c>
      <c r="G441" s="8">
        <v>44593</v>
      </c>
      <c r="H441" t="s">
        <v>504</v>
      </c>
      <c r="I441" t="s">
        <v>59</v>
      </c>
      <c r="J441" t="s">
        <v>661</v>
      </c>
      <c r="K441" t="s">
        <v>29</v>
      </c>
      <c r="L441" t="s">
        <v>895</v>
      </c>
      <c r="M441" t="s">
        <v>4402</v>
      </c>
      <c r="O441" t="s">
        <v>896</v>
      </c>
      <c r="P441" t="s">
        <v>33</v>
      </c>
      <c r="Q441" s="22">
        <v>16233.37</v>
      </c>
      <c r="R441" t="s">
        <v>35</v>
      </c>
      <c r="S441" t="s">
        <v>35</v>
      </c>
      <c r="T441" t="s">
        <v>35</v>
      </c>
      <c r="U441" t="s">
        <v>35</v>
      </c>
      <c r="V441" t="s">
        <v>645</v>
      </c>
      <c r="W441" t="s">
        <v>113</v>
      </c>
    </row>
    <row r="442" spans="1:23" hidden="1" x14ac:dyDescent="0.25">
      <c r="A442" s="7" t="str">
        <f>IFERROR(VLOOKUP(H442,'Contas Orç'!A:B,2,0),"N/A")</f>
        <v>( - ) DEDUCOES DA RECEITA BRUTA</v>
      </c>
      <c r="B442" s="7" t="str">
        <f t="shared" si="12"/>
        <v>310109 - ( - ) DEDUCOES DA RECEITA BRUTA</v>
      </c>
      <c r="C442" s="25">
        <f t="shared" si="13"/>
        <v>44621</v>
      </c>
      <c r="D442" s="27">
        <f>IF(K442="CREDITO",Q442,Q442*-1)</f>
        <v>163292.85999999999</v>
      </c>
      <c r="E442" t="s">
        <v>894</v>
      </c>
      <c r="F442" t="s">
        <v>934</v>
      </c>
      <c r="G442" s="8">
        <v>44621</v>
      </c>
      <c r="H442" t="s">
        <v>504</v>
      </c>
      <c r="I442" t="s">
        <v>27</v>
      </c>
      <c r="J442" t="s">
        <v>28</v>
      </c>
      <c r="K442" t="s">
        <v>29</v>
      </c>
      <c r="L442" t="s">
        <v>895</v>
      </c>
      <c r="M442" t="s">
        <v>4402</v>
      </c>
      <c r="O442" t="s">
        <v>896</v>
      </c>
      <c r="P442" t="s">
        <v>33</v>
      </c>
      <c r="Q442" s="22">
        <v>163292.85999999999</v>
      </c>
      <c r="R442" t="s">
        <v>35</v>
      </c>
      <c r="S442" t="s">
        <v>35</v>
      </c>
      <c r="T442" t="s">
        <v>35</v>
      </c>
      <c r="U442" t="s">
        <v>35</v>
      </c>
      <c r="V442" t="s">
        <v>645</v>
      </c>
      <c r="W442" t="s">
        <v>113</v>
      </c>
    </row>
    <row r="443" spans="1:23" hidden="1" x14ac:dyDescent="0.25">
      <c r="A443" s="7" t="str">
        <f>IFERROR(VLOOKUP(H443,'Contas Orç'!A:B,2,0),"N/A")</f>
        <v>( - ) DEDUCOES DA RECEITA BRUTA</v>
      </c>
      <c r="B443" s="7" t="str">
        <f t="shared" si="12"/>
        <v>310109 - ( - ) DEDUCOES DA RECEITA BRUTA</v>
      </c>
      <c r="C443" s="25">
        <f t="shared" si="13"/>
        <v>44621</v>
      </c>
      <c r="D443" s="27">
        <f>IF(K443="CREDITO",Q443,Q443*-1)</f>
        <v>1026191.5</v>
      </c>
      <c r="E443" t="s">
        <v>894</v>
      </c>
      <c r="F443" t="s">
        <v>935</v>
      </c>
      <c r="G443" s="8">
        <v>44621</v>
      </c>
      <c r="H443" t="s">
        <v>504</v>
      </c>
      <c r="I443" t="s">
        <v>59</v>
      </c>
      <c r="J443" t="s">
        <v>60</v>
      </c>
      <c r="K443" t="s">
        <v>29</v>
      </c>
      <c r="L443" t="s">
        <v>895</v>
      </c>
      <c r="M443" t="s">
        <v>4402</v>
      </c>
      <c r="O443" t="s">
        <v>896</v>
      </c>
      <c r="P443" t="s">
        <v>33</v>
      </c>
      <c r="Q443" s="22">
        <v>1026191.5</v>
      </c>
      <c r="R443" t="s">
        <v>35</v>
      </c>
      <c r="S443" t="s">
        <v>35</v>
      </c>
      <c r="T443" t="s">
        <v>35</v>
      </c>
      <c r="U443" t="s">
        <v>35</v>
      </c>
      <c r="V443" t="s">
        <v>645</v>
      </c>
      <c r="W443" t="s">
        <v>113</v>
      </c>
    </row>
    <row r="444" spans="1:23" hidden="1" x14ac:dyDescent="0.25">
      <c r="A444" s="7" t="str">
        <f>IFERROR(VLOOKUP(H444,'Contas Orç'!A:B,2,0),"N/A")</f>
        <v>( - ) DEDUCOES DA RECEITA BRUTA</v>
      </c>
      <c r="B444" s="7" t="str">
        <f t="shared" si="12"/>
        <v>310109 - ( - ) DEDUCOES DA RECEITA BRUTA</v>
      </c>
      <c r="C444" s="25">
        <f t="shared" si="13"/>
        <v>44621</v>
      </c>
      <c r="D444" s="27">
        <f>IF(K444="CREDITO",Q444,Q444*-1)</f>
        <v>97688.54</v>
      </c>
      <c r="E444" t="s">
        <v>894</v>
      </c>
      <c r="F444" t="s">
        <v>936</v>
      </c>
      <c r="G444" s="8">
        <v>44621</v>
      </c>
      <c r="H444" t="s">
        <v>504</v>
      </c>
      <c r="I444" t="s">
        <v>59</v>
      </c>
      <c r="J444" t="s">
        <v>107</v>
      </c>
      <c r="K444" t="s">
        <v>29</v>
      </c>
      <c r="L444" t="s">
        <v>895</v>
      </c>
      <c r="M444" t="s">
        <v>4402</v>
      </c>
      <c r="O444" t="s">
        <v>896</v>
      </c>
      <c r="P444" t="s">
        <v>33</v>
      </c>
      <c r="Q444" s="22">
        <v>97688.54</v>
      </c>
      <c r="R444" t="s">
        <v>35</v>
      </c>
      <c r="S444" t="s">
        <v>35</v>
      </c>
      <c r="T444" t="s">
        <v>35</v>
      </c>
      <c r="U444" t="s">
        <v>35</v>
      </c>
      <c r="V444" t="s">
        <v>645</v>
      </c>
      <c r="W444" t="s">
        <v>113</v>
      </c>
    </row>
    <row r="445" spans="1:23" hidden="1" x14ac:dyDescent="0.25">
      <c r="A445" s="7" t="str">
        <f>IFERROR(VLOOKUP(H445,'Contas Orç'!A:B,2,0),"N/A")</f>
        <v>( - ) DEDUCOES DA RECEITA BRUTA</v>
      </c>
      <c r="B445" s="7" t="str">
        <f t="shared" si="12"/>
        <v>310109 - ( - ) DEDUCOES DA RECEITA BRUTA</v>
      </c>
      <c r="C445" s="25">
        <f t="shared" si="13"/>
        <v>44621</v>
      </c>
      <c r="D445" s="27">
        <f>IF(K445="CREDITO",Q445,Q445*-1)</f>
        <v>11066.28</v>
      </c>
      <c r="E445" t="s">
        <v>894</v>
      </c>
      <c r="F445" t="s">
        <v>937</v>
      </c>
      <c r="G445" s="8">
        <v>44621</v>
      </c>
      <c r="H445" t="s">
        <v>504</v>
      </c>
      <c r="I445" t="s">
        <v>53</v>
      </c>
      <c r="J445" t="s">
        <v>702</v>
      </c>
      <c r="K445" t="s">
        <v>29</v>
      </c>
      <c r="L445" t="s">
        <v>895</v>
      </c>
      <c r="M445" t="s">
        <v>4402</v>
      </c>
      <c r="O445" t="s">
        <v>896</v>
      </c>
      <c r="P445" t="s">
        <v>33</v>
      </c>
      <c r="Q445" s="22">
        <v>11066.28</v>
      </c>
      <c r="R445" t="s">
        <v>35</v>
      </c>
      <c r="S445" t="s">
        <v>35</v>
      </c>
      <c r="T445" t="s">
        <v>35</v>
      </c>
      <c r="U445" t="s">
        <v>35</v>
      </c>
      <c r="V445" t="s">
        <v>645</v>
      </c>
      <c r="W445" t="s">
        <v>113</v>
      </c>
    </row>
    <row r="446" spans="1:23" hidden="1" x14ac:dyDescent="0.25">
      <c r="A446" s="7" t="str">
        <f>IFERROR(VLOOKUP(H446,'Contas Orç'!A:B,2,0),"N/A")</f>
        <v>( - ) DEDUCOES DA RECEITA BRUTA</v>
      </c>
      <c r="B446" s="7" t="str">
        <f t="shared" si="12"/>
        <v>310109 - ( - ) DEDUCOES DA RECEITA BRUTA</v>
      </c>
      <c r="C446" s="25">
        <f t="shared" si="13"/>
        <v>44621</v>
      </c>
      <c r="D446" s="27">
        <f>IF(K446="CREDITO",Q446,Q446*-1)</f>
        <v>7273.27</v>
      </c>
      <c r="E446" t="s">
        <v>894</v>
      </c>
      <c r="F446" t="s">
        <v>938</v>
      </c>
      <c r="G446" s="8">
        <v>44621</v>
      </c>
      <c r="H446" t="s">
        <v>504</v>
      </c>
      <c r="I446" t="s">
        <v>59</v>
      </c>
      <c r="J446" t="s">
        <v>702</v>
      </c>
      <c r="K446" t="s">
        <v>29</v>
      </c>
      <c r="L446" t="s">
        <v>895</v>
      </c>
      <c r="M446" t="s">
        <v>4402</v>
      </c>
      <c r="O446" t="s">
        <v>896</v>
      </c>
      <c r="P446" t="s">
        <v>33</v>
      </c>
      <c r="Q446" s="22">
        <v>7273.27</v>
      </c>
      <c r="R446" t="s">
        <v>35</v>
      </c>
      <c r="S446" t="s">
        <v>35</v>
      </c>
      <c r="T446" t="s">
        <v>35</v>
      </c>
      <c r="U446" t="s">
        <v>35</v>
      </c>
      <c r="V446" t="s">
        <v>645</v>
      </c>
      <c r="W446" t="s">
        <v>113</v>
      </c>
    </row>
    <row r="447" spans="1:23" hidden="1" x14ac:dyDescent="0.25">
      <c r="A447" s="7" t="str">
        <f>IFERROR(VLOOKUP(H447,'Contas Orç'!A:B,2,0),"N/A")</f>
        <v>( - ) DEDUCOES DA RECEITA BRUTA</v>
      </c>
      <c r="B447" s="7" t="str">
        <f t="shared" si="12"/>
        <v>310109 - ( - ) DEDUCOES DA RECEITA BRUTA</v>
      </c>
      <c r="C447" s="25">
        <f t="shared" si="13"/>
        <v>44621</v>
      </c>
      <c r="D447" s="27">
        <f>IF(K447="CREDITO",Q447,Q447*-1)</f>
        <v>6909.17</v>
      </c>
      <c r="E447" t="s">
        <v>894</v>
      </c>
      <c r="F447" t="s">
        <v>939</v>
      </c>
      <c r="G447" s="8">
        <v>44621</v>
      </c>
      <c r="H447" t="s">
        <v>504</v>
      </c>
      <c r="I447" t="s">
        <v>59</v>
      </c>
      <c r="J447" t="s">
        <v>661</v>
      </c>
      <c r="K447" t="s">
        <v>29</v>
      </c>
      <c r="L447" t="s">
        <v>895</v>
      </c>
      <c r="M447" t="s">
        <v>4402</v>
      </c>
      <c r="O447" t="s">
        <v>896</v>
      </c>
      <c r="P447" t="s">
        <v>33</v>
      </c>
      <c r="Q447" s="22">
        <v>6909.17</v>
      </c>
      <c r="R447" t="s">
        <v>35</v>
      </c>
      <c r="S447" t="s">
        <v>35</v>
      </c>
      <c r="T447" t="s">
        <v>35</v>
      </c>
      <c r="U447" t="s">
        <v>35</v>
      </c>
      <c r="V447" t="s">
        <v>645</v>
      </c>
      <c r="W447" t="s">
        <v>113</v>
      </c>
    </row>
    <row r="448" spans="1:23" hidden="1" x14ac:dyDescent="0.25">
      <c r="A448" s="7" t="str">
        <f>IFERROR(VLOOKUP(H448,'Contas Orç'!A:B,2,0),"N/A")</f>
        <v>( - ) DEDUCOES DA RECEITA BRUTA</v>
      </c>
      <c r="B448" s="7" t="str">
        <f t="shared" si="12"/>
        <v>310109 - ( - ) DEDUCOES DA RECEITA BRUTA</v>
      </c>
      <c r="C448" s="25">
        <f t="shared" si="13"/>
        <v>44621</v>
      </c>
      <c r="D448" s="27">
        <f>IF(K448="CREDITO",Q448,Q448*-1)</f>
        <v>727.27</v>
      </c>
      <c r="E448" t="s">
        <v>894</v>
      </c>
      <c r="F448" t="s">
        <v>940</v>
      </c>
      <c r="G448" s="8">
        <v>44621</v>
      </c>
      <c r="H448" t="s">
        <v>504</v>
      </c>
      <c r="I448" t="s">
        <v>125</v>
      </c>
      <c r="J448" t="s">
        <v>661</v>
      </c>
      <c r="K448" t="s">
        <v>29</v>
      </c>
      <c r="L448" t="s">
        <v>895</v>
      </c>
      <c r="M448" t="s">
        <v>4402</v>
      </c>
      <c r="O448" t="s">
        <v>896</v>
      </c>
      <c r="P448" t="s">
        <v>33</v>
      </c>
      <c r="Q448">
        <v>727.27</v>
      </c>
      <c r="R448" t="s">
        <v>35</v>
      </c>
      <c r="S448" t="s">
        <v>35</v>
      </c>
      <c r="T448" t="s">
        <v>35</v>
      </c>
      <c r="U448" t="s">
        <v>35</v>
      </c>
      <c r="V448" t="s">
        <v>645</v>
      </c>
      <c r="W448" t="s">
        <v>113</v>
      </c>
    </row>
    <row r="449" spans="1:23" hidden="1" x14ac:dyDescent="0.25">
      <c r="A449" s="7" t="str">
        <f>IFERROR(VLOOKUP(H449,'Contas Orç'!A:B,2,0),"N/A")</f>
        <v>( - ) DEDUCOES DA RECEITA BRUTA</v>
      </c>
      <c r="B449" s="7" t="str">
        <f t="shared" si="12"/>
        <v>310109 - ( - ) DEDUCOES DA RECEITA BRUTA</v>
      </c>
      <c r="C449" s="25">
        <f t="shared" si="13"/>
        <v>44621</v>
      </c>
      <c r="D449" s="27">
        <f>IF(K449="CREDITO",Q449,Q449*-1)</f>
        <v>17160.77</v>
      </c>
      <c r="E449" t="s">
        <v>894</v>
      </c>
      <c r="F449" t="s">
        <v>941</v>
      </c>
      <c r="G449" s="8">
        <v>44621</v>
      </c>
      <c r="H449" t="s">
        <v>504</v>
      </c>
      <c r="I449" t="s">
        <v>40</v>
      </c>
      <c r="J449" t="s">
        <v>54</v>
      </c>
      <c r="K449" t="s">
        <v>29</v>
      </c>
      <c r="L449" t="s">
        <v>895</v>
      </c>
      <c r="M449" t="s">
        <v>4402</v>
      </c>
      <c r="O449" t="s">
        <v>896</v>
      </c>
      <c r="P449" t="s">
        <v>33</v>
      </c>
      <c r="Q449" s="22">
        <v>17160.77</v>
      </c>
      <c r="R449" t="s">
        <v>35</v>
      </c>
      <c r="S449" t="s">
        <v>35</v>
      </c>
      <c r="T449" t="s">
        <v>35</v>
      </c>
      <c r="U449" t="s">
        <v>35</v>
      </c>
      <c r="V449" t="s">
        <v>645</v>
      </c>
      <c r="W449" t="s">
        <v>113</v>
      </c>
    </row>
    <row r="450" spans="1:23" hidden="1" x14ac:dyDescent="0.25">
      <c r="A450" s="7" t="str">
        <f>IFERROR(VLOOKUP(H450,'Contas Orç'!A:B,2,0),"N/A")</f>
        <v>( - ) DEDUCOES DA RECEITA BRUTA</v>
      </c>
      <c r="B450" s="7" t="str">
        <f t="shared" si="12"/>
        <v>310109 - ( - ) DEDUCOES DA RECEITA BRUTA</v>
      </c>
      <c r="C450" s="25">
        <f t="shared" si="13"/>
        <v>44652</v>
      </c>
      <c r="D450" s="27">
        <f>IF(K450="CREDITO",Q450,Q450*-1)</f>
        <v>170465.54</v>
      </c>
      <c r="E450" t="s">
        <v>894</v>
      </c>
      <c r="F450" t="s">
        <v>942</v>
      </c>
      <c r="G450" s="8">
        <v>44652</v>
      </c>
      <c r="H450" t="s">
        <v>504</v>
      </c>
      <c r="I450" t="s">
        <v>27</v>
      </c>
      <c r="J450" t="s">
        <v>28</v>
      </c>
      <c r="K450" t="s">
        <v>29</v>
      </c>
      <c r="L450" t="s">
        <v>895</v>
      </c>
      <c r="M450" t="s">
        <v>4402</v>
      </c>
      <c r="O450" t="s">
        <v>896</v>
      </c>
      <c r="P450" t="s">
        <v>33</v>
      </c>
      <c r="Q450" s="22">
        <v>170465.54</v>
      </c>
      <c r="R450" t="s">
        <v>35</v>
      </c>
      <c r="S450" t="s">
        <v>35</v>
      </c>
      <c r="T450" t="s">
        <v>35</v>
      </c>
      <c r="U450" t="s">
        <v>35</v>
      </c>
      <c r="V450" t="s">
        <v>645</v>
      </c>
      <c r="W450" t="s">
        <v>113</v>
      </c>
    </row>
    <row r="451" spans="1:23" hidden="1" x14ac:dyDescent="0.25">
      <c r="A451" s="7" t="str">
        <f>IFERROR(VLOOKUP(H451,'Contas Orç'!A:B,2,0),"N/A")</f>
        <v>( - ) DEDUCOES DA RECEITA BRUTA</v>
      </c>
      <c r="B451" s="7" t="str">
        <f t="shared" ref="B451:B514" si="14">_xlfn.CONCAT(H451," - ",A451)</f>
        <v>310109 - ( - ) DEDUCOES DA RECEITA BRUTA</v>
      </c>
      <c r="C451" s="25">
        <f t="shared" ref="C451:C514" si="15">DATE(YEAR(G451),MONTH(G451),1)</f>
        <v>44652</v>
      </c>
      <c r="D451" s="27">
        <f>IF(K451="CREDITO",Q451,Q451*-1)</f>
        <v>1444923.33</v>
      </c>
      <c r="E451" t="s">
        <v>894</v>
      </c>
      <c r="F451" t="s">
        <v>943</v>
      </c>
      <c r="G451" s="8">
        <v>44652</v>
      </c>
      <c r="H451" t="s">
        <v>504</v>
      </c>
      <c r="I451" t="s">
        <v>59</v>
      </c>
      <c r="J451" t="s">
        <v>60</v>
      </c>
      <c r="K451" t="s">
        <v>29</v>
      </c>
      <c r="L451" t="s">
        <v>895</v>
      </c>
      <c r="M451" t="s">
        <v>4402</v>
      </c>
      <c r="O451" t="s">
        <v>896</v>
      </c>
      <c r="P451" t="s">
        <v>33</v>
      </c>
      <c r="Q451" s="22">
        <v>1444923.33</v>
      </c>
      <c r="R451" t="s">
        <v>35</v>
      </c>
      <c r="S451" t="s">
        <v>35</v>
      </c>
      <c r="T451" t="s">
        <v>35</v>
      </c>
      <c r="U451" t="s">
        <v>35</v>
      </c>
      <c r="V451" t="s">
        <v>645</v>
      </c>
      <c r="W451" t="s">
        <v>113</v>
      </c>
    </row>
    <row r="452" spans="1:23" hidden="1" x14ac:dyDescent="0.25">
      <c r="A452" s="7" t="str">
        <f>IFERROR(VLOOKUP(H452,'Contas Orç'!A:B,2,0),"N/A")</f>
        <v>( - ) DEDUCOES DA RECEITA BRUTA</v>
      </c>
      <c r="B452" s="7" t="str">
        <f t="shared" si="14"/>
        <v>310109 - ( - ) DEDUCOES DA RECEITA BRUTA</v>
      </c>
      <c r="C452" s="25">
        <f t="shared" si="15"/>
        <v>44652</v>
      </c>
      <c r="D452" s="27">
        <f>IF(K452="CREDITO",Q452,Q452*-1)</f>
        <v>67821.649999999994</v>
      </c>
      <c r="E452" t="s">
        <v>894</v>
      </c>
      <c r="F452" t="s">
        <v>944</v>
      </c>
      <c r="G452" s="8">
        <v>44652</v>
      </c>
      <c r="H452" t="s">
        <v>504</v>
      </c>
      <c r="I452" t="s">
        <v>59</v>
      </c>
      <c r="J452" t="s">
        <v>107</v>
      </c>
      <c r="K452" t="s">
        <v>29</v>
      </c>
      <c r="L452" t="s">
        <v>895</v>
      </c>
      <c r="M452" t="s">
        <v>4402</v>
      </c>
      <c r="O452" t="s">
        <v>896</v>
      </c>
      <c r="P452" t="s">
        <v>33</v>
      </c>
      <c r="Q452" s="22">
        <v>67821.649999999994</v>
      </c>
      <c r="R452" t="s">
        <v>35</v>
      </c>
      <c r="S452" t="s">
        <v>35</v>
      </c>
      <c r="T452" t="s">
        <v>35</v>
      </c>
      <c r="U452" t="s">
        <v>35</v>
      </c>
      <c r="V452" t="s">
        <v>645</v>
      </c>
      <c r="W452" t="s">
        <v>113</v>
      </c>
    </row>
    <row r="453" spans="1:23" hidden="1" x14ac:dyDescent="0.25">
      <c r="A453" s="7" t="str">
        <f>IFERROR(VLOOKUP(H453,'Contas Orç'!A:B,2,0),"N/A")</f>
        <v>( - ) DEDUCOES DA RECEITA BRUTA</v>
      </c>
      <c r="B453" s="7" t="str">
        <f t="shared" si="14"/>
        <v>310109 - ( - ) DEDUCOES DA RECEITA BRUTA</v>
      </c>
      <c r="C453" s="25">
        <f t="shared" si="15"/>
        <v>44652</v>
      </c>
      <c r="D453" s="27">
        <f>IF(K453="CREDITO",Q453,Q453*-1)</f>
        <v>12557.8</v>
      </c>
      <c r="E453" t="s">
        <v>894</v>
      </c>
      <c r="F453" t="s">
        <v>945</v>
      </c>
      <c r="G453" s="8">
        <v>44652</v>
      </c>
      <c r="H453" t="s">
        <v>504</v>
      </c>
      <c r="I453" t="s">
        <v>59</v>
      </c>
      <c r="J453" t="s">
        <v>702</v>
      </c>
      <c r="K453" t="s">
        <v>29</v>
      </c>
      <c r="L453" t="s">
        <v>895</v>
      </c>
      <c r="M453" t="s">
        <v>4402</v>
      </c>
      <c r="O453" t="s">
        <v>896</v>
      </c>
      <c r="P453" t="s">
        <v>33</v>
      </c>
      <c r="Q453" s="22">
        <v>12557.8</v>
      </c>
      <c r="R453" t="s">
        <v>35</v>
      </c>
      <c r="S453" t="s">
        <v>35</v>
      </c>
      <c r="T453" t="s">
        <v>35</v>
      </c>
      <c r="U453" t="s">
        <v>35</v>
      </c>
      <c r="V453" t="s">
        <v>645</v>
      </c>
      <c r="W453" t="s">
        <v>113</v>
      </c>
    </row>
    <row r="454" spans="1:23" hidden="1" x14ac:dyDescent="0.25">
      <c r="A454" s="7" t="str">
        <f>IFERROR(VLOOKUP(H454,'Contas Orç'!A:B,2,0),"N/A")</f>
        <v>( - ) DEDUCOES DA RECEITA BRUTA</v>
      </c>
      <c r="B454" s="7" t="str">
        <f t="shared" si="14"/>
        <v>310109 - ( - ) DEDUCOES DA RECEITA BRUTA</v>
      </c>
      <c r="C454" s="25">
        <f t="shared" si="15"/>
        <v>44652</v>
      </c>
      <c r="D454" s="27">
        <f>IF(K454="CREDITO",Q454,Q454*-1)</f>
        <v>8585.3700000000008</v>
      </c>
      <c r="E454" t="s">
        <v>894</v>
      </c>
      <c r="F454" t="s">
        <v>946</v>
      </c>
      <c r="G454" s="8">
        <v>44652</v>
      </c>
      <c r="H454" t="s">
        <v>504</v>
      </c>
      <c r="I454" t="s">
        <v>59</v>
      </c>
      <c r="J454" t="s">
        <v>661</v>
      </c>
      <c r="K454" t="s">
        <v>29</v>
      </c>
      <c r="L454" t="s">
        <v>895</v>
      </c>
      <c r="M454" t="s">
        <v>4402</v>
      </c>
      <c r="O454" t="s">
        <v>896</v>
      </c>
      <c r="P454" t="s">
        <v>33</v>
      </c>
      <c r="Q454" s="22">
        <v>8585.3700000000008</v>
      </c>
      <c r="R454" t="s">
        <v>35</v>
      </c>
      <c r="S454" t="s">
        <v>35</v>
      </c>
      <c r="T454" t="s">
        <v>35</v>
      </c>
      <c r="U454" t="s">
        <v>35</v>
      </c>
      <c r="V454" t="s">
        <v>645</v>
      </c>
      <c r="W454" t="s">
        <v>113</v>
      </c>
    </row>
    <row r="455" spans="1:23" hidden="1" x14ac:dyDescent="0.25">
      <c r="A455" s="7" t="str">
        <f>IFERROR(VLOOKUP(H455,'Contas Orç'!A:B,2,0),"N/A")</f>
        <v>( - ) DEDUCOES DA RECEITA BRUTA</v>
      </c>
      <c r="B455" s="7" t="str">
        <f t="shared" si="14"/>
        <v>310109 - ( - ) DEDUCOES DA RECEITA BRUTA</v>
      </c>
      <c r="C455" s="25">
        <f t="shared" si="15"/>
        <v>44682</v>
      </c>
      <c r="D455" s="27">
        <f>IF(K455="CREDITO",Q455,Q455*-1)</f>
        <v>16331.26</v>
      </c>
      <c r="E455" t="s">
        <v>894</v>
      </c>
      <c r="F455" t="s">
        <v>947</v>
      </c>
      <c r="G455" s="8">
        <v>44682</v>
      </c>
      <c r="H455" t="s">
        <v>504</v>
      </c>
      <c r="I455" t="s">
        <v>53</v>
      </c>
      <c r="J455" t="s">
        <v>28</v>
      </c>
      <c r="K455" t="s">
        <v>29</v>
      </c>
      <c r="L455" t="s">
        <v>895</v>
      </c>
      <c r="M455" t="s">
        <v>4402</v>
      </c>
      <c r="O455" t="s">
        <v>896</v>
      </c>
      <c r="P455" t="s">
        <v>33</v>
      </c>
      <c r="Q455" s="22">
        <v>16331.26</v>
      </c>
      <c r="R455" t="s">
        <v>35</v>
      </c>
      <c r="S455" t="s">
        <v>35</v>
      </c>
      <c r="T455" t="s">
        <v>35</v>
      </c>
      <c r="U455" t="s">
        <v>35</v>
      </c>
      <c r="V455" t="s">
        <v>645</v>
      </c>
      <c r="W455" t="s">
        <v>113</v>
      </c>
    </row>
    <row r="456" spans="1:23" hidden="1" x14ac:dyDescent="0.25">
      <c r="A456" s="7" t="str">
        <f>IFERROR(VLOOKUP(H456,'Contas Orç'!A:B,2,0),"N/A")</f>
        <v>( - ) DEDUCOES DA RECEITA BRUTA</v>
      </c>
      <c r="B456" s="7" t="str">
        <f t="shared" si="14"/>
        <v>310109 - ( - ) DEDUCOES DA RECEITA BRUTA</v>
      </c>
      <c r="C456" s="25">
        <f t="shared" si="15"/>
        <v>44682</v>
      </c>
      <c r="D456" s="27">
        <f>IF(K456="CREDITO",Q456,Q456*-1)</f>
        <v>221271.69</v>
      </c>
      <c r="E456" t="s">
        <v>894</v>
      </c>
      <c r="F456" t="s">
        <v>948</v>
      </c>
      <c r="G456" s="8">
        <v>44682</v>
      </c>
      <c r="H456" t="s">
        <v>504</v>
      </c>
      <c r="I456" t="s">
        <v>27</v>
      </c>
      <c r="J456" t="s">
        <v>28</v>
      </c>
      <c r="K456" t="s">
        <v>29</v>
      </c>
      <c r="L456" t="s">
        <v>895</v>
      </c>
      <c r="M456" t="s">
        <v>4402</v>
      </c>
      <c r="O456" t="s">
        <v>896</v>
      </c>
      <c r="P456" t="s">
        <v>33</v>
      </c>
      <c r="Q456" s="22">
        <v>221271.69</v>
      </c>
      <c r="R456" t="s">
        <v>35</v>
      </c>
      <c r="S456" t="s">
        <v>35</v>
      </c>
      <c r="T456" t="s">
        <v>35</v>
      </c>
      <c r="U456" t="s">
        <v>35</v>
      </c>
      <c r="V456" t="s">
        <v>645</v>
      </c>
      <c r="W456" t="s">
        <v>113</v>
      </c>
    </row>
    <row r="457" spans="1:23" hidden="1" x14ac:dyDescent="0.25">
      <c r="A457" s="7" t="str">
        <f>IFERROR(VLOOKUP(H457,'Contas Orç'!A:B,2,0),"N/A")</f>
        <v>( - ) DEDUCOES DA RECEITA BRUTA</v>
      </c>
      <c r="B457" s="7" t="str">
        <f t="shared" si="14"/>
        <v>310109 - ( - ) DEDUCOES DA RECEITA BRUTA</v>
      </c>
      <c r="C457" s="25">
        <f t="shared" si="15"/>
        <v>44682</v>
      </c>
      <c r="D457" s="27">
        <f>IF(K457="CREDITO",Q457,Q457*-1)</f>
        <v>91350.07</v>
      </c>
      <c r="E457" t="s">
        <v>894</v>
      </c>
      <c r="F457" t="s">
        <v>949</v>
      </c>
      <c r="G457" s="8">
        <v>44682</v>
      </c>
      <c r="H457" t="s">
        <v>504</v>
      </c>
      <c r="I457" t="s">
        <v>106</v>
      </c>
      <c r="J457" t="s">
        <v>60</v>
      </c>
      <c r="K457" t="s">
        <v>29</v>
      </c>
      <c r="L457" t="s">
        <v>895</v>
      </c>
      <c r="M457" t="s">
        <v>4402</v>
      </c>
      <c r="O457" t="s">
        <v>896</v>
      </c>
      <c r="P457" t="s">
        <v>33</v>
      </c>
      <c r="Q457" s="22">
        <v>91350.07</v>
      </c>
      <c r="R457" t="s">
        <v>35</v>
      </c>
      <c r="S457" t="s">
        <v>35</v>
      </c>
      <c r="T457" t="s">
        <v>35</v>
      </c>
      <c r="U457" t="s">
        <v>35</v>
      </c>
      <c r="V457" t="s">
        <v>645</v>
      </c>
      <c r="W457" t="s">
        <v>113</v>
      </c>
    </row>
    <row r="458" spans="1:23" hidden="1" x14ac:dyDescent="0.25">
      <c r="A458" s="7" t="str">
        <f>IFERROR(VLOOKUP(H458,'Contas Orç'!A:B,2,0),"N/A")</f>
        <v>( - ) DEDUCOES DA RECEITA BRUTA</v>
      </c>
      <c r="B458" s="7" t="str">
        <f t="shared" si="14"/>
        <v>310109 - ( - ) DEDUCOES DA RECEITA BRUTA</v>
      </c>
      <c r="C458" s="25">
        <f t="shared" si="15"/>
        <v>44682</v>
      </c>
      <c r="D458" s="27">
        <f>IF(K458="CREDITO",Q458,Q458*-1)</f>
        <v>867825.68</v>
      </c>
      <c r="E458" t="s">
        <v>894</v>
      </c>
      <c r="F458" t="s">
        <v>950</v>
      </c>
      <c r="G458" s="8">
        <v>44682</v>
      </c>
      <c r="H458" t="s">
        <v>504</v>
      </c>
      <c r="I458" t="s">
        <v>59</v>
      </c>
      <c r="J458" t="s">
        <v>60</v>
      </c>
      <c r="K458" t="s">
        <v>29</v>
      </c>
      <c r="L458" t="s">
        <v>895</v>
      </c>
      <c r="M458" t="s">
        <v>4402</v>
      </c>
      <c r="O458" t="s">
        <v>896</v>
      </c>
      <c r="P458" t="s">
        <v>33</v>
      </c>
      <c r="Q458" s="22">
        <v>867825.68</v>
      </c>
      <c r="R458" t="s">
        <v>35</v>
      </c>
      <c r="S458" t="s">
        <v>35</v>
      </c>
      <c r="T458" t="s">
        <v>35</v>
      </c>
      <c r="U458" t="s">
        <v>35</v>
      </c>
      <c r="V458" t="s">
        <v>645</v>
      </c>
      <c r="W458" t="s">
        <v>113</v>
      </c>
    </row>
    <row r="459" spans="1:23" hidden="1" x14ac:dyDescent="0.25">
      <c r="A459" s="7" t="str">
        <f>IFERROR(VLOOKUP(H459,'Contas Orç'!A:B,2,0),"N/A")</f>
        <v>( - ) DEDUCOES DA RECEITA BRUTA</v>
      </c>
      <c r="B459" s="7" t="str">
        <f t="shared" si="14"/>
        <v>310109 - ( - ) DEDUCOES DA RECEITA BRUTA</v>
      </c>
      <c r="C459" s="25">
        <f t="shared" si="15"/>
        <v>44682</v>
      </c>
      <c r="D459" s="27">
        <f>IF(K459="CREDITO",Q459,Q459*-1)</f>
        <v>516437</v>
      </c>
      <c r="E459" t="s">
        <v>894</v>
      </c>
      <c r="F459" t="s">
        <v>951</v>
      </c>
      <c r="G459" s="8">
        <v>44682</v>
      </c>
      <c r="H459" t="s">
        <v>504</v>
      </c>
      <c r="I459" t="s">
        <v>59</v>
      </c>
      <c r="J459" t="s">
        <v>107</v>
      </c>
      <c r="K459" t="s">
        <v>29</v>
      </c>
      <c r="L459" t="s">
        <v>895</v>
      </c>
      <c r="M459" t="s">
        <v>4402</v>
      </c>
      <c r="O459" t="s">
        <v>896</v>
      </c>
      <c r="P459" t="s">
        <v>33</v>
      </c>
      <c r="Q459" s="22">
        <v>516437</v>
      </c>
      <c r="R459" t="s">
        <v>35</v>
      </c>
      <c r="S459" t="s">
        <v>35</v>
      </c>
      <c r="T459" t="s">
        <v>35</v>
      </c>
      <c r="U459" t="s">
        <v>35</v>
      </c>
      <c r="V459" t="s">
        <v>645</v>
      </c>
      <c r="W459" t="s">
        <v>113</v>
      </c>
    </row>
    <row r="460" spans="1:23" hidden="1" x14ac:dyDescent="0.25">
      <c r="A460" s="7" t="str">
        <f>IFERROR(VLOOKUP(H460,'Contas Orç'!A:B,2,0),"N/A")</f>
        <v>( - ) DEDUCOES DA RECEITA BRUTA</v>
      </c>
      <c r="B460" s="7" t="str">
        <f t="shared" si="14"/>
        <v>310109 - ( - ) DEDUCOES DA RECEITA BRUTA</v>
      </c>
      <c r="C460" s="25">
        <f t="shared" si="15"/>
        <v>44682</v>
      </c>
      <c r="D460" s="27">
        <f>IF(K460="CREDITO",Q460,Q460*-1)</f>
        <v>17870.650000000001</v>
      </c>
      <c r="E460" t="s">
        <v>894</v>
      </c>
      <c r="F460" t="s">
        <v>952</v>
      </c>
      <c r="G460" s="8">
        <v>44682</v>
      </c>
      <c r="H460" t="s">
        <v>504</v>
      </c>
      <c r="I460" t="s">
        <v>59</v>
      </c>
      <c r="J460" t="s">
        <v>702</v>
      </c>
      <c r="K460" t="s">
        <v>29</v>
      </c>
      <c r="L460" t="s">
        <v>895</v>
      </c>
      <c r="M460" t="s">
        <v>4402</v>
      </c>
      <c r="O460" t="s">
        <v>896</v>
      </c>
      <c r="P460" t="s">
        <v>33</v>
      </c>
      <c r="Q460" s="22">
        <v>17870.650000000001</v>
      </c>
      <c r="R460" t="s">
        <v>35</v>
      </c>
      <c r="S460" t="s">
        <v>35</v>
      </c>
      <c r="T460" t="s">
        <v>35</v>
      </c>
      <c r="U460" t="s">
        <v>35</v>
      </c>
      <c r="V460" t="s">
        <v>645</v>
      </c>
      <c r="W460" t="s">
        <v>113</v>
      </c>
    </row>
    <row r="461" spans="1:23" hidden="1" x14ac:dyDescent="0.25">
      <c r="A461" s="7" t="str">
        <f>IFERROR(VLOOKUP(H461,'Contas Orç'!A:B,2,0),"N/A")</f>
        <v>( - ) DEDUCOES DA RECEITA BRUTA</v>
      </c>
      <c r="B461" s="7" t="str">
        <f t="shared" si="14"/>
        <v>310109 - ( - ) DEDUCOES DA RECEITA BRUTA</v>
      </c>
      <c r="C461" s="25">
        <f t="shared" si="15"/>
        <v>44682</v>
      </c>
      <c r="D461" s="27">
        <f>IF(K461="CREDITO",Q461,Q461*-1)</f>
        <v>7322.05</v>
      </c>
      <c r="E461" t="s">
        <v>894</v>
      </c>
      <c r="F461" t="s">
        <v>953</v>
      </c>
      <c r="G461" s="8">
        <v>44682</v>
      </c>
      <c r="H461" t="s">
        <v>504</v>
      </c>
      <c r="I461" t="s">
        <v>59</v>
      </c>
      <c r="J461" t="s">
        <v>661</v>
      </c>
      <c r="K461" t="s">
        <v>29</v>
      </c>
      <c r="L461" t="s">
        <v>895</v>
      </c>
      <c r="M461" t="s">
        <v>4402</v>
      </c>
      <c r="O461" t="s">
        <v>896</v>
      </c>
      <c r="P461" t="s">
        <v>33</v>
      </c>
      <c r="Q461" s="22">
        <v>7322.05</v>
      </c>
      <c r="R461" t="s">
        <v>35</v>
      </c>
      <c r="S461" t="s">
        <v>35</v>
      </c>
      <c r="T461" t="s">
        <v>35</v>
      </c>
      <c r="U461" t="s">
        <v>35</v>
      </c>
      <c r="V461" t="s">
        <v>645</v>
      </c>
      <c r="W461" t="s">
        <v>113</v>
      </c>
    </row>
    <row r="462" spans="1:23" hidden="1" x14ac:dyDescent="0.25">
      <c r="A462" s="7" t="str">
        <f>IFERROR(VLOOKUP(H462,'Contas Orç'!A:B,2,0),"N/A")</f>
        <v>( - ) DEDUCOES DA RECEITA BRUTA</v>
      </c>
      <c r="B462" s="7" t="str">
        <f t="shared" si="14"/>
        <v>310109 - ( - ) DEDUCOES DA RECEITA BRUTA</v>
      </c>
      <c r="C462" s="25">
        <f t="shared" si="15"/>
        <v>44682</v>
      </c>
      <c r="D462" s="27">
        <f>IF(K462="CREDITO",Q462,Q462*-1)</f>
        <v>597.08000000000004</v>
      </c>
      <c r="E462" t="s">
        <v>894</v>
      </c>
      <c r="F462" t="s">
        <v>954</v>
      </c>
      <c r="G462" s="8">
        <v>44682</v>
      </c>
      <c r="H462" t="s">
        <v>504</v>
      </c>
      <c r="I462" t="s">
        <v>40</v>
      </c>
      <c r="J462" t="s">
        <v>54</v>
      </c>
      <c r="K462" t="s">
        <v>29</v>
      </c>
      <c r="L462" t="s">
        <v>895</v>
      </c>
      <c r="M462" t="s">
        <v>4402</v>
      </c>
      <c r="O462" t="s">
        <v>896</v>
      </c>
      <c r="P462" t="s">
        <v>33</v>
      </c>
      <c r="Q462">
        <v>597.08000000000004</v>
      </c>
      <c r="R462" t="s">
        <v>35</v>
      </c>
      <c r="S462" t="s">
        <v>35</v>
      </c>
      <c r="T462" t="s">
        <v>35</v>
      </c>
      <c r="U462" t="s">
        <v>35</v>
      </c>
      <c r="V462" t="s">
        <v>645</v>
      </c>
      <c r="W462" t="s">
        <v>113</v>
      </c>
    </row>
    <row r="463" spans="1:23" hidden="1" x14ac:dyDescent="0.25">
      <c r="A463" s="7" t="str">
        <f>IFERROR(VLOOKUP(H463,'Contas Orç'!A:B,2,0),"N/A")</f>
        <v>( - ) DEDUCOES DA RECEITA BRUTA</v>
      </c>
      <c r="B463" s="7" t="str">
        <f t="shared" si="14"/>
        <v>310109 - ( - ) DEDUCOES DA RECEITA BRUTA</v>
      </c>
      <c r="C463" s="25">
        <f t="shared" si="15"/>
        <v>44713</v>
      </c>
      <c r="D463" s="27">
        <f>IF(K463="CREDITO",Q463,Q463*-1)</f>
        <v>153536.85</v>
      </c>
      <c r="E463" t="s">
        <v>894</v>
      </c>
      <c r="F463" t="s">
        <v>955</v>
      </c>
      <c r="G463" s="8">
        <v>44713</v>
      </c>
      <c r="H463" t="s">
        <v>504</v>
      </c>
      <c r="I463" t="s">
        <v>27</v>
      </c>
      <c r="J463" t="s">
        <v>28</v>
      </c>
      <c r="K463" t="s">
        <v>29</v>
      </c>
      <c r="L463" t="s">
        <v>895</v>
      </c>
      <c r="M463" t="s">
        <v>4402</v>
      </c>
      <c r="O463" t="s">
        <v>896</v>
      </c>
      <c r="P463" t="s">
        <v>33</v>
      </c>
      <c r="Q463" s="22">
        <v>153536.85</v>
      </c>
      <c r="R463" t="s">
        <v>35</v>
      </c>
      <c r="S463" t="s">
        <v>35</v>
      </c>
      <c r="T463" t="s">
        <v>35</v>
      </c>
      <c r="U463" t="s">
        <v>35</v>
      </c>
      <c r="V463" t="s">
        <v>645</v>
      </c>
      <c r="W463" t="s">
        <v>113</v>
      </c>
    </row>
    <row r="464" spans="1:23" hidden="1" x14ac:dyDescent="0.25">
      <c r="A464" s="7" t="str">
        <f>IFERROR(VLOOKUP(H464,'Contas Orç'!A:B,2,0),"N/A")</f>
        <v>( - ) DEDUCOES DA RECEITA BRUTA</v>
      </c>
      <c r="B464" s="7" t="str">
        <f t="shared" si="14"/>
        <v>310109 - ( - ) DEDUCOES DA RECEITA BRUTA</v>
      </c>
      <c r="C464" s="25">
        <f t="shared" si="15"/>
        <v>44713</v>
      </c>
      <c r="D464" s="27">
        <f>IF(K464="CREDITO",Q464,Q464*-1)</f>
        <v>1339267.1499999999</v>
      </c>
      <c r="E464" t="s">
        <v>894</v>
      </c>
      <c r="F464" t="s">
        <v>956</v>
      </c>
      <c r="G464" s="8">
        <v>44713</v>
      </c>
      <c r="H464" t="s">
        <v>504</v>
      </c>
      <c r="I464" t="s">
        <v>59</v>
      </c>
      <c r="J464" t="s">
        <v>60</v>
      </c>
      <c r="K464" t="s">
        <v>29</v>
      </c>
      <c r="L464" t="s">
        <v>895</v>
      </c>
      <c r="M464" t="s">
        <v>4402</v>
      </c>
      <c r="O464" t="s">
        <v>896</v>
      </c>
      <c r="P464" t="s">
        <v>33</v>
      </c>
      <c r="Q464" s="22">
        <v>1339267.1499999999</v>
      </c>
      <c r="R464" t="s">
        <v>35</v>
      </c>
      <c r="S464" t="s">
        <v>35</v>
      </c>
      <c r="T464" t="s">
        <v>35</v>
      </c>
      <c r="U464" t="s">
        <v>35</v>
      </c>
      <c r="V464" t="s">
        <v>645</v>
      </c>
      <c r="W464" t="s">
        <v>113</v>
      </c>
    </row>
    <row r="465" spans="1:23" hidden="1" x14ac:dyDescent="0.25">
      <c r="A465" s="7" t="str">
        <f>IFERROR(VLOOKUP(H465,'Contas Orç'!A:B,2,0),"N/A")</f>
        <v>( - ) DEDUCOES DA RECEITA BRUTA</v>
      </c>
      <c r="B465" s="7" t="str">
        <f t="shared" si="14"/>
        <v>310109 - ( - ) DEDUCOES DA RECEITA BRUTA</v>
      </c>
      <c r="C465" s="25">
        <f t="shared" si="15"/>
        <v>44713</v>
      </c>
      <c r="D465" s="27">
        <f>IF(K465="CREDITO",Q465,Q465*-1)</f>
        <v>25294.38</v>
      </c>
      <c r="E465" t="s">
        <v>894</v>
      </c>
      <c r="F465" t="s">
        <v>957</v>
      </c>
      <c r="G465" s="8">
        <v>44713</v>
      </c>
      <c r="H465" t="s">
        <v>504</v>
      </c>
      <c r="I465" t="s">
        <v>59</v>
      </c>
      <c r="J465" t="s">
        <v>107</v>
      </c>
      <c r="K465" t="s">
        <v>29</v>
      </c>
      <c r="L465" t="s">
        <v>895</v>
      </c>
      <c r="M465" t="s">
        <v>4402</v>
      </c>
      <c r="O465" t="s">
        <v>896</v>
      </c>
      <c r="P465" t="s">
        <v>33</v>
      </c>
      <c r="Q465" s="22">
        <v>25294.38</v>
      </c>
      <c r="R465" t="s">
        <v>35</v>
      </c>
      <c r="S465" t="s">
        <v>35</v>
      </c>
      <c r="T465" t="s">
        <v>35</v>
      </c>
      <c r="U465" t="s">
        <v>35</v>
      </c>
      <c r="V465" t="s">
        <v>645</v>
      </c>
      <c r="W465" t="s">
        <v>113</v>
      </c>
    </row>
    <row r="466" spans="1:23" hidden="1" x14ac:dyDescent="0.25">
      <c r="A466" s="7" t="str">
        <f>IFERROR(VLOOKUP(H466,'Contas Orç'!A:B,2,0),"N/A")</f>
        <v>( - ) DEDUCOES DA RECEITA BRUTA</v>
      </c>
      <c r="B466" s="7" t="str">
        <f t="shared" si="14"/>
        <v>310109 - ( - ) DEDUCOES DA RECEITA BRUTA</v>
      </c>
      <c r="C466" s="25">
        <f t="shared" si="15"/>
        <v>44713</v>
      </c>
      <c r="D466" s="27">
        <f>IF(K466="CREDITO",Q466,Q466*-1)</f>
        <v>11867.65</v>
      </c>
      <c r="E466" t="s">
        <v>894</v>
      </c>
      <c r="F466" t="s">
        <v>958</v>
      </c>
      <c r="G466" s="8">
        <v>44713</v>
      </c>
      <c r="H466" t="s">
        <v>504</v>
      </c>
      <c r="I466" t="s">
        <v>59</v>
      </c>
      <c r="J466" t="s">
        <v>702</v>
      </c>
      <c r="K466" t="s">
        <v>29</v>
      </c>
      <c r="L466" t="s">
        <v>895</v>
      </c>
      <c r="M466" t="s">
        <v>4402</v>
      </c>
      <c r="O466" t="s">
        <v>896</v>
      </c>
      <c r="P466" t="s">
        <v>33</v>
      </c>
      <c r="Q466" s="22">
        <v>11867.65</v>
      </c>
      <c r="R466" t="s">
        <v>35</v>
      </c>
      <c r="S466" t="s">
        <v>35</v>
      </c>
      <c r="T466" t="s">
        <v>35</v>
      </c>
      <c r="U466" t="s">
        <v>35</v>
      </c>
      <c r="V466" t="s">
        <v>645</v>
      </c>
      <c r="W466" t="s">
        <v>113</v>
      </c>
    </row>
    <row r="467" spans="1:23" hidden="1" x14ac:dyDescent="0.25">
      <c r="A467" s="7" t="str">
        <f>IFERROR(VLOOKUP(H467,'Contas Orç'!A:B,2,0),"N/A")</f>
        <v>( - ) DEDUCOES DA RECEITA BRUTA</v>
      </c>
      <c r="B467" s="7" t="str">
        <f t="shared" si="14"/>
        <v>310109 - ( - ) DEDUCOES DA RECEITA BRUTA</v>
      </c>
      <c r="C467" s="25">
        <f t="shared" si="15"/>
        <v>44713</v>
      </c>
      <c r="D467" s="27">
        <f>IF(K467="CREDITO",Q467,Q467*-1)</f>
        <v>5737.79</v>
      </c>
      <c r="E467" t="s">
        <v>894</v>
      </c>
      <c r="F467" t="s">
        <v>959</v>
      </c>
      <c r="G467" s="8">
        <v>44713</v>
      </c>
      <c r="H467" t="s">
        <v>504</v>
      </c>
      <c r="I467" t="s">
        <v>59</v>
      </c>
      <c r="J467" t="s">
        <v>661</v>
      </c>
      <c r="K467" t="s">
        <v>29</v>
      </c>
      <c r="L467" t="s">
        <v>895</v>
      </c>
      <c r="M467" t="s">
        <v>4402</v>
      </c>
      <c r="O467" t="s">
        <v>896</v>
      </c>
      <c r="P467" t="s">
        <v>33</v>
      </c>
      <c r="Q467" s="22">
        <v>5737.79</v>
      </c>
      <c r="R467" t="s">
        <v>35</v>
      </c>
      <c r="S467" t="s">
        <v>35</v>
      </c>
      <c r="T467" t="s">
        <v>35</v>
      </c>
      <c r="U467" t="s">
        <v>35</v>
      </c>
      <c r="V467" t="s">
        <v>645</v>
      </c>
      <c r="W467" t="s">
        <v>113</v>
      </c>
    </row>
    <row r="468" spans="1:23" hidden="1" x14ac:dyDescent="0.25">
      <c r="A468" s="7" t="str">
        <f>IFERROR(VLOOKUP(H468,'Contas Orç'!A:B,2,0),"N/A")</f>
        <v>( - ) DEDUCOES DA RECEITA BRUTA</v>
      </c>
      <c r="B468" s="7" t="str">
        <f t="shared" si="14"/>
        <v>310109 - ( - ) DEDUCOES DA RECEITA BRUTA</v>
      </c>
      <c r="C468" s="25">
        <f t="shared" si="15"/>
        <v>44713</v>
      </c>
      <c r="D468" s="27">
        <f>IF(K468="CREDITO",Q468,Q468*-1)</f>
        <v>50627.07</v>
      </c>
      <c r="E468" t="s">
        <v>894</v>
      </c>
      <c r="F468" t="s">
        <v>960</v>
      </c>
      <c r="G468" s="8">
        <v>44713</v>
      </c>
      <c r="H468" t="s">
        <v>504</v>
      </c>
      <c r="I468" t="s">
        <v>40</v>
      </c>
      <c r="J468" t="s">
        <v>54</v>
      </c>
      <c r="K468" t="s">
        <v>29</v>
      </c>
      <c r="L468" t="s">
        <v>895</v>
      </c>
      <c r="M468" t="s">
        <v>4402</v>
      </c>
      <c r="O468" t="s">
        <v>896</v>
      </c>
      <c r="P468" t="s">
        <v>33</v>
      </c>
      <c r="Q468" s="22">
        <v>50627.07</v>
      </c>
      <c r="R468" t="s">
        <v>35</v>
      </c>
      <c r="S468" t="s">
        <v>35</v>
      </c>
      <c r="T468" t="s">
        <v>35</v>
      </c>
      <c r="U468" t="s">
        <v>35</v>
      </c>
      <c r="V468" t="s">
        <v>645</v>
      </c>
      <c r="W468" t="s">
        <v>113</v>
      </c>
    </row>
    <row r="469" spans="1:23" hidden="1" x14ac:dyDescent="0.25">
      <c r="A469" s="7" t="str">
        <f>IFERROR(VLOOKUP(H469,'Contas Orç'!A:B,2,0),"N/A")</f>
        <v>( - ) DEDUCOES DA RECEITA BRUTA</v>
      </c>
      <c r="B469" s="7" t="str">
        <f t="shared" si="14"/>
        <v>310109 - ( - ) DEDUCOES DA RECEITA BRUTA</v>
      </c>
      <c r="C469" s="25">
        <f t="shared" si="15"/>
        <v>44713</v>
      </c>
      <c r="D469" s="27">
        <f>IF(K469="CREDITO",Q469,Q469*-1)</f>
        <v>1282.01</v>
      </c>
      <c r="E469" t="s">
        <v>894</v>
      </c>
      <c r="F469" t="s">
        <v>961</v>
      </c>
      <c r="G469" s="8">
        <v>44713</v>
      </c>
      <c r="H469" t="s">
        <v>504</v>
      </c>
      <c r="I469" t="s">
        <v>53</v>
      </c>
      <c r="J469" t="s">
        <v>54</v>
      </c>
      <c r="K469" t="s">
        <v>29</v>
      </c>
      <c r="L469" t="s">
        <v>895</v>
      </c>
      <c r="M469" t="s">
        <v>4402</v>
      </c>
      <c r="O469" t="s">
        <v>896</v>
      </c>
      <c r="P469" t="s">
        <v>33</v>
      </c>
      <c r="Q469" s="22">
        <v>1282.01</v>
      </c>
      <c r="R469" t="s">
        <v>35</v>
      </c>
      <c r="S469" t="s">
        <v>35</v>
      </c>
      <c r="T469" t="s">
        <v>35</v>
      </c>
      <c r="U469" t="s">
        <v>35</v>
      </c>
      <c r="V469" t="s">
        <v>645</v>
      </c>
      <c r="W469" t="s">
        <v>113</v>
      </c>
    </row>
    <row r="470" spans="1:23" hidden="1" x14ac:dyDescent="0.25">
      <c r="A470" s="7" t="str">
        <f>IFERROR(VLOOKUP(H470,'Contas Orç'!A:B,2,0),"N/A")</f>
        <v>( - ) DEDUCOES DA RECEITA BRUTA</v>
      </c>
      <c r="B470" s="7" t="str">
        <f t="shared" si="14"/>
        <v>310109 - ( - ) DEDUCOES DA RECEITA BRUTA</v>
      </c>
      <c r="C470" s="25">
        <f t="shared" si="15"/>
        <v>44743</v>
      </c>
      <c r="D470" s="27">
        <f>IF(K470="CREDITO",Q470,Q470*-1)</f>
        <v>50600.480000000003</v>
      </c>
      <c r="E470" t="s">
        <v>894</v>
      </c>
      <c r="F470" t="s">
        <v>962</v>
      </c>
      <c r="G470" s="8">
        <v>44743</v>
      </c>
      <c r="H470" t="s">
        <v>504</v>
      </c>
      <c r="I470" t="s">
        <v>53</v>
      </c>
      <c r="J470" t="s">
        <v>28</v>
      </c>
      <c r="K470" t="s">
        <v>29</v>
      </c>
      <c r="L470" t="s">
        <v>895</v>
      </c>
      <c r="M470" t="s">
        <v>4402</v>
      </c>
      <c r="O470" t="s">
        <v>896</v>
      </c>
      <c r="P470" t="s">
        <v>33</v>
      </c>
      <c r="Q470" s="22">
        <v>50600.480000000003</v>
      </c>
      <c r="R470" t="s">
        <v>35</v>
      </c>
      <c r="S470" t="s">
        <v>35</v>
      </c>
      <c r="T470" t="s">
        <v>35</v>
      </c>
      <c r="U470" t="s">
        <v>35</v>
      </c>
      <c r="V470" t="s">
        <v>645</v>
      </c>
      <c r="W470" t="s">
        <v>113</v>
      </c>
    </row>
    <row r="471" spans="1:23" hidden="1" x14ac:dyDescent="0.25">
      <c r="A471" s="7" t="str">
        <f>IFERROR(VLOOKUP(H471,'Contas Orç'!A:B,2,0),"N/A")</f>
        <v>( - ) DEDUCOES DA RECEITA BRUTA</v>
      </c>
      <c r="B471" s="7" t="str">
        <f t="shared" si="14"/>
        <v>310109 - ( - ) DEDUCOES DA RECEITA BRUTA</v>
      </c>
      <c r="C471" s="25">
        <f t="shared" si="15"/>
        <v>44743</v>
      </c>
      <c r="D471" s="27">
        <f>IF(K471="CREDITO",Q471,Q471*-1)</f>
        <v>160063.57</v>
      </c>
      <c r="E471" t="s">
        <v>894</v>
      </c>
      <c r="F471" t="s">
        <v>963</v>
      </c>
      <c r="G471" s="8">
        <v>44743</v>
      </c>
      <c r="H471" t="s">
        <v>504</v>
      </c>
      <c r="I471" t="s">
        <v>27</v>
      </c>
      <c r="J471" t="s">
        <v>28</v>
      </c>
      <c r="K471" t="s">
        <v>29</v>
      </c>
      <c r="L471" t="s">
        <v>895</v>
      </c>
      <c r="M471" t="s">
        <v>4402</v>
      </c>
      <c r="O471" t="s">
        <v>896</v>
      </c>
      <c r="P471" t="s">
        <v>33</v>
      </c>
      <c r="Q471" s="22">
        <v>160063.57</v>
      </c>
      <c r="R471" t="s">
        <v>35</v>
      </c>
      <c r="S471" t="s">
        <v>35</v>
      </c>
      <c r="T471" t="s">
        <v>35</v>
      </c>
      <c r="U471" t="s">
        <v>35</v>
      </c>
      <c r="V471" t="s">
        <v>645</v>
      </c>
      <c r="W471" t="s">
        <v>113</v>
      </c>
    </row>
    <row r="472" spans="1:23" hidden="1" x14ac:dyDescent="0.25">
      <c r="A472" s="7" t="str">
        <f>IFERROR(VLOOKUP(H472,'Contas Orç'!A:B,2,0),"N/A")</f>
        <v>( - ) DEDUCOES DA RECEITA BRUTA</v>
      </c>
      <c r="B472" s="7" t="str">
        <f t="shared" si="14"/>
        <v>310109 - ( - ) DEDUCOES DA RECEITA BRUTA</v>
      </c>
      <c r="C472" s="25">
        <f t="shared" si="15"/>
        <v>44743</v>
      </c>
      <c r="D472" s="27">
        <f>IF(K472="CREDITO",Q472,Q472*-1)</f>
        <v>1282096.33</v>
      </c>
      <c r="E472" t="s">
        <v>894</v>
      </c>
      <c r="F472" t="s">
        <v>964</v>
      </c>
      <c r="G472" s="8">
        <v>44743</v>
      </c>
      <c r="H472" t="s">
        <v>504</v>
      </c>
      <c r="I472" t="s">
        <v>59</v>
      </c>
      <c r="J472" t="s">
        <v>60</v>
      </c>
      <c r="K472" t="s">
        <v>29</v>
      </c>
      <c r="L472" t="s">
        <v>895</v>
      </c>
      <c r="M472" t="s">
        <v>4402</v>
      </c>
      <c r="O472" t="s">
        <v>896</v>
      </c>
      <c r="P472" t="s">
        <v>33</v>
      </c>
      <c r="Q472" s="22">
        <v>1282096.33</v>
      </c>
      <c r="R472" t="s">
        <v>35</v>
      </c>
      <c r="S472" t="s">
        <v>35</v>
      </c>
      <c r="T472" t="s">
        <v>35</v>
      </c>
      <c r="U472" t="s">
        <v>35</v>
      </c>
      <c r="V472" t="s">
        <v>645</v>
      </c>
      <c r="W472" t="s">
        <v>113</v>
      </c>
    </row>
    <row r="473" spans="1:23" hidden="1" x14ac:dyDescent="0.25">
      <c r="A473" s="7" t="str">
        <f>IFERROR(VLOOKUP(H473,'Contas Orç'!A:B,2,0),"N/A")</f>
        <v>( - ) DEDUCOES DA RECEITA BRUTA</v>
      </c>
      <c r="B473" s="7" t="str">
        <f t="shared" si="14"/>
        <v>310109 - ( - ) DEDUCOES DA RECEITA BRUTA</v>
      </c>
      <c r="C473" s="25">
        <f t="shared" si="15"/>
        <v>44743</v>
      </c>
      <c r="D473" s="27">
        <f>IF(K473="CREDITO",Q473,Q473*-1)</f>
        <v>58898.17</v>
      </c>
      <c r="E473" t="s">
        <v>894</v>
      </c>
      <c r="F473" t="s">
        <v>965</v>
      </c>
      <c r="G473" s="8">
        <v>44743</v>
      </c>
      <c r="H473" t="s">
        <v>504</v>
      </c>
      <c r="I473" t="s">
        <v>59</v>
      </c>
      <c r="J473" t="s">
        <v>107</v>
      </c>
      <c r="K473" t="s">
        <v>29</v>
      </c>
      <c r="L473" t="s">
        <v>895</v>
      </c>
      <c r="M473" t="s">
        <v>4402</v>
      </c>
      <c r="O473" t="s">
        <v>896</v>
      </c>
      <c r="P473" t="s">
        <v>33</v>
      </c>
      <c r="Q473" s="22">
        <v>58898.17</v>
      </c>
      <c r="R473" t="s">
        <v>35</v>
      </c>
      <c r="S473" t="s">
        <v>35</v>
      </c>
      <c r="T473" t="s">
        <v>35</v>
      </c>
      <c r="U473" t="s">
        <v>35</v>
      </c>
      <c r="V473" t="s">
        <v>645</v>
      </c>
      <c r="W473" t="s">
        <v>113</v>
      </c>
    </row>
    <row r="474" spans="1:23" hidden="1" x14ac:dyDescent="0.25">
      <c r="A474" s="7" t="str">
        <f>IFERROR(VLOOKUP(H474,'Contas Orç'!A:B,2,0),"N/A")</f>
        <v>( - ) DEDUCOES DA RECEITA BRUTA</v>
      </c>
      <c r="B474" s="7" t="str">
        <f t="shared" si="14"/>
        <v>310109 - ( - ) DEDUCOES DA RECEITA BRUTA</v>
      </c>
      <c r="C474" s="25">
        <f t="shared" si="15"/>
        <v>44743</v>
      </c>
      <c r="D474" s="27">
        <f>IF(K474="CREDITO",Q474,Q474*-1)</f>
        <v>34130.339999999997</v>
      </c>
      <c r="E474" t="s">
        <v>894</v>
      </c>
      <c r="F474" t="s">
        <v>966</v>
      </c>
      <c r="G474" s="8">
        <v>44743</v>
      </c>
      <c r="H474" t="s">
        <v>504</v>
      </c>
      <c r="I474" t="s">
        <v>59</v>
      </c>
      <c r="J474" t="s">
        <v>702</v>
      </c>
      <c r="K474" t="s">
        <v>29</v>
      </c>
      <c r="L474" t="s">
        <v>895</v>
      </c>
      <c r="M474" t="s">
        <v>4402</v>
      </c>
      <c r="O474" t="s">
        <v>896</v>
      </c>
      <c r="P474" t="s">
        <v>33</v>
      </c>
      <c r="Q474" s="22">
        <v>34130.339999999997</v>
      </c>
      <c r="R474" t="s">
        <v>35</v>
      </c>
      <c r="S474" t="s">
        <v>35</v>
      </c>
      <c r="T474" t="s">
        <v>35</v>
      </c>
      <c r="U474" t="s">
        <v>35</v>
      </c>
      <c r="V474" t="s">
        <v>645</v>
      </c>
      <c r="W474" t="s">
        <v>113</v>
      </c>
    </row>
    <row r="475" spans="1:23" hidden="1" x14ac:dyDescent="0.25">
      <c r="A475" s="7" t="str">
        <f>IFERROR(VLOOKUP(H475,'Contas Orç'!A:B,2,0),"N/A")</f>
        <v>( - ) DEDUCOES DA RECEITA BRUTA</v>
      </c>
      <c r="B475" s="7" t="str">
        <f t="shared" si="14"/>
        <v>310109 - ( - ) DEDUCOES DA RECEITA BRUTA</v>
      </c>
      <c r="C475" s="25">
        <f t="shared" si="15"/>
        <v>44743</v>
      </c>
      <c r="D475" s="27">
        <f>IF(K475="CREDITO",Q475,Q475*-1)</f>
        <v>4515.3999999999996</v>
      </c>
      <c r="E475" t="s">
        <v>894</v>
      </c>
      <c r="F475" t="s">
        <v>967</v>
      </c>
      <c r="G475" s="8">
        <v>44743</v>
      </c>
      <c r="H475" t="s">
        <v>504</v>
      </c>
      <c r="I475" t="s">
        <v>59</v>
      </c>
      <c r="J475" t="s">
        <v>661</v>
      </c>
      <c r="K475" t="s">
        <v>29</v>
      </c>
      <c r="L475" t="s">
        <v>895</v>
      </c>
      <c r="M475" t="s">
        <v>4402</v>
      </c>
      <c r="O475" t="s">
        <v>896</v>
      </c>
      <c r="P475" t="s">
        <v>33</v>
      </c>
      <c r="Q475" s="22">
        <v>4515.3999999999996</v>
      </c>
      <c r="R475" t="s">
        <v>35</v>
      </c>
      <c r="S475" t="s">
        <v>35</v>
      </c>
      <c r="T475" t="s">
        <v>35</v>
      </c>
      <c r="U475" t="s">
        <v>35</v>
      </c>
      <c r="V475" t="s">
        <v>645</v>
      </c>
      <c r="W475" t="s">
        <v>113</v>
      </c>
    </row>
    <row r="476" spans="1:23" hidden="1" x14ac:dyDescent="0.25">
      <c r="A476" s="7" t="str">
        <f>IFERROR(VLOOKUP(H476,'Contas Orç'!A:B,2,0),"N/A")</f>
        <v>( - ) DEDUCOES DA RECEITA BRUTA</v>
      </c>
      <c r="B476" s="7" t="str">
        <f t="shared" si="14"/>
        <v>310109 - ( - ) DEDUCOES DA RECEITA BRUTA</v>
      </c>
      <c r="C476" s="25">
        <f t="shared" si="15"/>
        <v>44743</v>
      </c>
      <c r="D476" s="27">
        <f>IF(K476="CREDITO",Q476,Q476*-1)</f>
        <v>4680.55</v>
      </c>
      <c r="E476" t="s">
        <v>894</v>
      </c>
      <c r="F476" t="s">
        <v>968</v>
      </c>
      <c r="G476" s="8">
        <v>44743</v>
      </c>
      <c r="H476" t="s">
        <v>504</v>
      </c>
      <c r="I476" t="s">
        <v>40</v>
      </c>
      <c r="J476" t="s">
        <v>54</v>
      </c>
      <c r="K476" t="s">
        <v>29</v>
      </c>
      <c r="L476" t="s">
        <v>895</v>
      </c>
      <c r="M476" t="s">
        <v>4402</v>
      </c>
      <c r="O476" t="s">
        <v>896</v>
      </c>
      <c r="P476" t="s">
        <v>33</v>
      </c>
      <c r="Q476" s="22">
        <v>4680.55</v>
      </c>
      <c r="R476" t="s">
        <v>35</v>
      </c>
      <c r="S476" t="s">
        <v>35</v>
      </c>
      <c r="T476" t="s">
        <v>35</v>
      </c>
      <c r="U476" t="s">
        <v>35</v>
      </c>
      <c r="V476" t="s">
        <v>645</v>
      </c>
      <c r="W476" t="s">
        <v>113</v>
      </c>
    </row>
    <row r="477" spans="1:23" hidden="1" x14ac:dyDescent="0.25">
      <c r="A477" s="7" t="str">
        <f>IFERROR(VLOOKUP(H477,'Contas Orç'!A:B,2,0),"N/A")</f>
        <v>( - ) DEDUCOES DA RECEITA BRUTA</v>
      </c>
      <c r="B477" s="7" t="str">
        <f t="shared" si="14"/>
        <v>310109 - ( - ) DEDUCOES DA RECEITA BRUTA</v>
      </c>
      <c r="C477" s="25">
        <f t="shared" si="15"/>
        <v>44774</v>
      </c>
      <c r="D477" s="27">
        <f>IF(K477="CREDITO",Q477,Q477*-1)</f>
        <v>211630.89</v>
      </c>
      <c r="E477" t="s">
        <v>894</v>
      </c>
      <c r="F477" t="s">
        <v>969</v>
      </c>
      <c r="G477" s="8">
        <v>44774</v>
      </c>
      <c r="H477" t="s">
        <v>504</v>
      </c>
      <c r="I477" t="s">
        <v>27</v>
      </c>
      <c r="J477" t="s">
        <v>28</v>
      </c>
      <c r="K477" t="s">
        <v>29</v>
      </c>
      <c r="L477" t="s">
        <v>895</v>
      </c>
      <c r="M477" t="s">
        <v>4402</v>
      </c>
      <c r="O477" t="s">
        <v>896</v>
      </c>
      <c r="P477" t="s">
        <v>33</v>
      </c>
      <c r="Q477" s="22">
        <v>211630.89</v>
      </c>
      <c r="R477" t="s">
        <v>35</v>
      </c>
      <c r="S477" t="s">
        <v>35</v>
      </c>
      <c r="T477" t="s">
        <v>35</v>
      </c>
      <c r="U477" t="s">
        <v>35</v>
      </c>
      <c r="V477" t="s">
        <v>645</v>
      </c>
      <c r="W477" t="s">
        <v>113</v>
      </c>
    </row>
    <row r="478" spans="1:23" hidden="1" x14ac:dyDescent="0.25">
      <c r="A478" s="7" t="str">
        <f>IFERROR(VLOOKUP(H478,'Contas Orç'!A:B,2,0),"N/A")</f>
        <v>( - ) DEDUCOES DA RECEITA BRUTA</v>
      </c>
      <c r="B478" s="7" t="str">
        <f t="shared" si="14"/>
        <v>310109 - ( - ) DEDUCOES DA RECEITA BRUTA</v>
      </c>
      <c r="C478" s="25">
        <f t="shared" si="15"/>
        <v>44774</v>
      </c>
      <c r="D478" s="27">
        <f>IF(K478="CREDITO",Q478,Q478*-1)</f>
        <v>1349243.2</v>
      </c>
      <c r="E478" t="s">
        <v>894</v>
      </c>
      <c r="F478" t="s">
        <v>970</v>
      </c>
      <c r="G478" s="8">
        <v>44774</v>
      </c>
      <c r="H478" t="s">
        <v>504</v>
      </c>
      <c r="I478" t="s">
        <v>59</v>
      </c>
      <c r="J478" t="s">
        <v>60</v>
      </c>
      <c r="K478" t="s">
        <v>29</v>
      </c>
      <c r="L478" t="s">
        <v>895</v>
      </c>
      <c r="M478" t="s">
        <v>4402</v>
      </c>
      <c r="O478" t="s">
        <v>896</v>
      </c>
      <c r="P478" t="s">
        <v>33</v>
      </c>
      <c r="Q478" s="22">
        <v>1349243.2</v>
      </c>
      <c r="R478" t="s">
        <v>35</v>
      </c>
      <c r="S478" t="s">
        <v>35</v>
      </c>
      <c r="T478" t="s">
        <v>35</v>
      </c>
      <c r="U478" t="s">
        <v>35</v>
      </c>
      <c r="V478" t="s">
        <v>645</v>
      </c>
      <c r="W478" t="s">
        <v>113</v>
      </c>
    </row>
    <row r="479" spans="1:23" hidden="1" x14ac:dyDescent="0.25">
      <c r="A479" s="7" t="str">
        <f>IFERROR(VLOOKUP(H479,'Contas Orç'!A:B,2,0),"N/A")</f>
        <v>( - ) DEDUCOES DA RECEITA BRUTA</v>
      </c>
      <c r="B479" s="7" t="str">
        <f t="shared" si="14"/>
        <v>310109 - ( - ) DEDUCOES DA RECEITA BRUTA</v>
      </c>
      <c r="C479" s="25">
        <f t="shared" si="15"/>
        <v>44774</v>
      </c>
      <c r="D479" s="27">
        <f>IF(K479="CREDITO",Q479,Q479*-1)</f>
        <v>113920.45</v>
      </c>
      <c r="E479" t="s">
        <v>894</v>
      </c>
      <c r="F479" t="s">
        <v>971</v>
      </c>
      <c r="G479" s="8">
        <v>44774</v>
      </c>
      <c r="H479" t="s">
        <v>504</v>
      </c>
      <c r="I479" t="s">
        <v>59</v>
      </c>
      <c r="J479" t="s">
        <v>107</v>
      </c>
      <c r="K479" t="s">
        <v>29</v>
      </c>
      <c r="L479" t="s">
        <v>895</v>
      </c>
      <c r="M479" t="s">
        <v>4402</v>
      </c>
      <c r="O479" t="s">
        <v>896</v>
      </c>
      <c r="P479" t="s">
        <v>33</v>
      </c>
      <c r="Q479" s="22">
        <v>113920.45</v>
      </c>
      <c r="R479" t="s">
        <v>35</v>
      </c>
      <c r="S479" t="s">
        <v>35</v>
      </c>
      <c r="T479" t="s">
        <v>35</v>
      </c>
      <c r="U479" t="s">
        <v>35</v>
      </c>
      <c r="V479" t="s">
        <v>645</v>
      </c>
      <c r="W479" t="s">
        <v>113</v>
      </c>
    </row>
    <row r="480" spans="1:23" hidden="1" x14ac:dyDescent="0.25">
      <c r="A480" s="7" t="str">
        <f>IFERROR(VLOOKUP(H480,'Contas Orç'!A:B,2,0),"N/A")</f>
        <v>( - ) DEDUCOES DA RECEITA BRUTA</v>
      </c>
      <c r="B480" s="7" t="str">
        <f t="shared" si="14"/>
        <v>310109 - ( - ) DEDUCOES DA RECEITA BRUTA</v>
      </c>
      <c r="C480" s="25">
        <f t="shared" si="15"/>
        <v>44774</v>
      </c>
      <c r="D480" s="27">
        <f>IF(K480="CREDITO",Q480,Q480*-1)</f>
        <v>14539.77</v>
      </c>
      <c r="E480" t="s">
        <v>894</v>
      </c>
      <c r="F480" t="s">
        <v>972</v>
      </c>
      <c r="G480" s="8">
        <v>44774</v>
      </c>
      <c r="H480" t="s">
        <v>504</v>
      </c>
      <c r="I480" t="s">
        <v>59</v>
      </c>
      <c r="J480" t="s">
        <v>702</v>
      </c>
      <c r="K480" t="s">
        <v>29</v>
      </c>
      <c r="L480" t="s">
        <v>895</v>
      </c>
      <c r="M480" t="s">
        <v>4402</v>
      </c>
      <c r="O480" t="s">
        <v>896</v>
      </c>
      <c r="P480" t="s">
        <v>33</v>
      </c>
      <c r="Q480" s="22">
        <v>14539.77</v>
      </c>
      <c r="R480" t="s">
        <v>35</v>
      </c>
      <c r="S480" t="s">
        <v>35</v>
      </c>
      <c r="T480" t="s">
        <v>35</v>
      </c>
      <c r="U480" t="s">
        <v>35</v>
      </c>
      <c r="V480" t="s">
        <v>645</v>
      </c>
      <c r="W480" t="s">
        <v>113</v>
      </c>
    </row>
    <row r="481" spans="1:23" hidden="1" x14ac:dyDescent="0.25">
      <c r="A481" s="7" t="str">
        <f>IFERROR(VLOOKUP(H481,'Contas Orç'!A:B,2,0),"N/A")</f>
        <v>( - ) DEDUCOES DA RECEITA BRUTA</v>
      </c>
      <c r="B481" s="7" t="str">
        <f t="shared" si="14"/>
        <v>310109 - ( - ) DEDUCOES DA RECEITA BRUTA</v>
      </c>
      <c r="C481" s="25">
        <f t="shared" si="15"/>
        <v>44774</v>
      </c>
      <c r="D481" s="27">
        <f>IF(K481="CREDITO",Q481,Q481*-1)</f>
        <v>2835</v>
      </c>
      <c r="E481" t="s">
        <v>894</v>
      </c>
      <c r="F481" t="s">
        <v>973</v>
      </c>
      <c r="G481" s="8">
        <v>44774</v>
      </c>
      <c r="H481" t="s">
        <v>504</v>
      </c>
      <c r="I481" t="s">
        <v>59</v>
      </c>
      <c r="J481" t="s">
        <v>905</v>
      </c>
      <c r="K481" t="s">
        <v>29</v>
      </c>
      <c r="L481" t="s">
        <v>895</v>
      </c>
      <c r="M481" t="s">
        <v>4402</v>
      </c>
      <c r="O481" t="s">
        <v>896</v>
      </c>
      <c r="P481" t="s">
        <v>33</v>
      </c>
      <c r="Q481" s="22">
        <v>2835</v>
      </c>
      <c r="R481" t="s">
        <v>35</v>
      </c>
      <c r="S481" t="s">
        <v>35</v>
      </c>
      <c r="T481" t="s">
        <v>35</v>
      </c>
      <c r="U481" t="s">
        <v>35</v>
      </c>
      <c r="V481" t="s">
        <v>645</v>
      </c>
      <c r="W481" t="s">
        <v>113</v>
      </c>
    </row>
    <row r="482" spans="1:23" hidden="1" x14ac:dyDescent="0.25">
      <c r="A482" s="7" t="str">
        <f>IFERROR(VLOOKUP(H482,'Contas Orç'!A:B,2,0),"N/A")</f>
        <v>( - ) DEDUCOES DA RECEITA BRUTA</v>
      </c>
      <c r="B482" s="7" t="str">
        <f t="shared" si="14"/>
        <v>310109 - ( - ) DEDUCOES DA RECEITA BRUTA</v>
      </c>
      <c r="C482" s="25">
        <f t="shared" si="15"/>
        <v>44774</v>
      </c>
      <c r="D482" s="27">
        <f>IF(K482="CREDITO",Q482,Q482*-1)</f>
        <v>10956.42</v>
      </c>
      <c r="E482" t="s">
        <v>894</v>
      </c>
      <c r="F482" t="s">
        <v>974</v>
      </c>
      <c r="G482" s="8">
        <v>44774</v>
      </c>
      <c r="H482" t="s">
        <v>504</v>
      </c>
      <c r="I482" t="s">
        <v>59</v>
      </c>
      <c r="J482" t="s">
        <v>661</v>
      </c>
      <c r="K482" t="s">
        <v>29</v>
      </c>
      <c r="L482" t="s">
        <v>895</v>
      </c>
      <c r="M482" t="s">
        <v>4402</v>
      </c>
      <c r="O482" t="s">
        <v>896</v>
      </c>
      <c r="P482" t="s">
        <v>33</v>
      </c>
      <c r="Q482" s="22">
        <v>10956.42</v>
      </c>
      <c r="R482" t="s">
        <v>35</v>
      </c>
      <c r="S482" t="s">
        <v>35</v>
      </c>
      <c r="T482" t="s">
        <v>35</v>
      </c>
      <c r="U482" t="s">
        <v>35</v>
      </c>
      <c r="V482" t="s">
        <v>645</v>
      </c>
      <c r="W482" t="s">
        <v>113</v>
      </c>
    </row>
    <row r="483" spans="1:23" hidden="1" x14ac:dyDescent="0.25">
      <c r="A483" s="7" t="str">
        <f>IFERROR(VLOOKUP(H483,'Contas Orç'!A:B,2,0),"N/A")</f>
        <v>( - ) DEDUCOES DA RECEITA BRUTA</v>
      </c>
      <c r="B483" s="7" t="str">
        <f t="shared" si="14"/>
        <v>310109 - ( - ) DEDUCOES DA RECEITA BRUTA</v>
      </c>
      <c r="C483" s="25">
        <f t="shared" si="15"/>
        <v>44774</v>
      </c>
      <c r="D483" s="27">
        <f>IF(K483="CREDITO",Q483,Q483*-1)</f>
        <v>2105.79</v>
      </c>
      <c r="E483" t="s">
        <v>894</v>
      </c>
      <c r="F483" t="s">
        <v>975</v>
      </c>
      <c r="G483" s="8">
        <v>44774</v>
      </c>
      <c r="H483" t="s">
        <v>504</v>
      </c>
      <c r="I483" t="s">
        <v>40</v>
      </c>
      <c r="J483" t="s">
        <v>54</v>
      </c>
      <c r="K483" t="s">
        <v>29</v>
      </c>
      <c r="L483" t="s">
        <v>895</v>
      </c>
      <c r="M483" t="s">
        <v>4402</v>
      </c>
      <c r="O483" t="s">
        <v>896</v>
      </c>
      <c r="P483" t="s">
        <v>33</v>
      </c>
      <c r="Q483" s="22">
        <v>2105.79</v>
      </c>
      <c r="R483" t="s">
        <v>35</v>
      </c>
      <c r="S483" t="s">
        <v>35</v>
      </c>
      <c r="T483" t="s">
        <v>35</v>
      </c>
      <c r="U483" t="s">
        <v>35</v>
      </c>
      <c r="V483" t="s">
        <v>645</v>
      </c>
      <c r="W483" t="s">
        <v>113</v>
      </c>
    </row>
    <row r="484" spans="1:23" hidden="1" x14ac:dyDescent="0.25">
      <c r="A484" s="7" t="str">
        <f>IFERROR(VLOOKUP(H484,'Contas Orç'!A:B,2,0),"N/A")</f>
        <v>( - ) DEDUCOES DA RECEITA BRUTA</v>
      </c>
      <c r="B484" s="7" t="str">
        <f t="shared" si="14"/>
        <v>310109 - ( - ) DEDUCOES DA RECEITA BRUTA</v>
      </c>
      <c r="C484" s="25">
        <f t="shared" si="15"/>
        <v>44805</v>
      </c>
      <c r="D484" s="27">
        <f>IF(K484="CREDITO",Q484,Q484*-1)</f>
        <v>181305.08</v>
      </c>
      <c r="E484" t="s">
        <v>894</v>
      </c>
      <c r="F484" t="s">
        <v>976</v>
      </c>
      <c r="G484" s="8">
        <v>44805</v>
      </c>
      <c r="H484" t="s">
        <v>504</v>
      </c>
      <c r="I484" t="s">
        <v>27</v>
      </c>
      <c r="J484" t="s">
        <v>28</v>
      </c>
      <c r="K484" t="s">
        <v>29</v>
      </c>
      <c r="L484" t="s">
        <v>895</v>
      </c>
      <c r="M484" t="s">
        <v>4402</v>
      </c>
      <c r="O484" t="s">
        <v>896</v>
      </c>
      <c r="P484" t="s">
        <v>33</v>
      </c>
      <c r="Q484" s="22">
        <v>181305.08</v>
      </c>
      <c r="R484" t="s">
        <v>35</v>
      </c>
      <c r="S484" t="s">
        <v>35</v>
      </c>
      <c r="T484" t="s">
        <v>35</v>
      </c>
      <c r="U484" t="s">
        <v>35</v>
      </c>
      <c r="V484" t="s">
        <v>645</v>
      </c>
      <c r="W484" t="s">
        <v>113</v>
      </c>
    </row>
    <row r="485" spans="1:23" hidden="1" x14ac:dyDescent="0.25">
      <c r="A485" s="7" t="str">
        <f>IFERROR(VLOOKUP(H485,'Contas Orç'!A:B,2,0),"N/A")</f>
        <v>( - ) DEDUCOES DA RECEITA BRUTA</v>
      </c>
      <c r="B485" s="7" t="str">
        <f t="shared" si="14"/>
        <v>310109 - ( - ) DEDUCOES DA RECEITA BRUTA</v>
      </c>
      <c r="C485" s="25">
        <f t="shared" si="15"/>
        <v>44805</v>
      </c>
      <c r="D485" s="27">
        <f>IF(K485="CREDITO",Q485,Q485*-1)</f>
        <v>1268994.79</v>
      </c>
      <c r="E485" t="s">
        <v>894</v>
      </c>
      <c r="F485" t="s">
        <v>977</v>
      </c>
      <c r="G485" s="8">
        <v>44805</v>
      </c>
      <c r="H485" t="s">
        <v>504</v>
      </c>
      <c r="I485" t="s">
        <v>59</v>
      </c>
      <c r="J485" t="s">
        <v>60</v>
      </c>
      <c r="K485" t="s">
        <v>29</v>
      </c>
      <c r="L485" t="s">
        <v>895</v>
      </c>
      <c r="M485" t="s">
        <v>4402</v>
      </c>
      <c r="O485" t="s">
        <v>896</v>
      </c>
      <c r="P485" t="s">
        <v>33</v>
      </c>
      <c r="Q485" s="22">
        <v>1268994.79</v>
      </c>
      <c r="R485" t="s">
        <v>35</v>
      </c>
      <c r="S485" t="s">
        <v>35</v>
      </c>
      <c r="T485" t="s">
        <v>35</v>
      </c>
      <c r="U485" t="s">
        <v>35</v>
      </c>
      <c r="V485" t="s">
        <v>645</v>
      </c>
      <c r="W485" t="s">
        <v>113</v>
      </c>
    </row>
    <row r="486" spans="1:23" hidden="1" x14ac:dyDescent="0.25">
      <c r="A486" s="7" t="str">
        <f>IFERROR(VLOOKUP(H486,'Contas Orç'!A:B,2,0),"N/A")</f>
        <v>( - ) DEDUCOES DA RECEITA BRUTA</v>
      </c>
      <c r="B486" s="7" t="str">
        <f t="shared" si="14"/>
        <v>310109 - ( - ) DEDUCOES DA RECEITA BRUTA</v>
      </c>
      <c r="C486" s="25">
        <f t="shared" si="15"/>
        <v>44805</v>
      </c>
      <c r="D486" s="27">
        <f>IF(K486="CREDITO",Q486,Q486*-1)</f>
        <v>459369.34</v>
      </c>
      <c r="E486" t="s">
        <v>894</v>
      </c>
      <c r="F486" t="s">
        <v>978</v>
      </c>
      <c r="G486" s="8">
        <v>44805</v>
      </c>
      <c r="H486" t="s">
        <v>504</v>
      </c>
      <c r="I486" t="s">
        <v>59</v>
      </c>
      <c r="J486" t="s">
        <v>107</v>
      </c>
      <c r="K486" t="s">
        <v>29</v>
      </c>
      <c r="L486" t="s">
        <v>895</v>
      </c>
      <c r="M486" t="s">
        <v>4402</v>
      </c>
      <c r="O486" t="s">
        <v>896</v>
      </c>
      <c r="P486" t="s">
        <v>33</v>
      </c>
      <c r="Q486" s="22">
        <v>459369.34</v>
      </c>
      <c r="R486" t="s">
        <v>35</v>
      </c>
      <c r="S486" t="s">
        <v>35</v>
      </c>
      <c r="T486" t="s">
        <v>35</v>
      </c>
      <c r="U486" t="s">
        <v>35</v>
      </c>
      <c r="V486" t="s">
        <v>645</v>
      </c>
      <c r="W486" t="s">
        <v>113</v>
      </c>
    </row>
    <row r="487" spans="1:23" hidden="1" x14ac:dyDescent="0.25">
      <c r="A487" s="7" t="str">
        <f>IFERROR(VLOOKUP(H487,'Contas Orç'!A:B,2,0),"N/A")</f>
        <v>( - ) DEDUCOES DA RECEITA BRUTA</v>
      </c>
      <c r="B487" s="7" t="str">
        <f t="shared" si="14"/>
        <v>310109 - ( - ) DEDUCOES DA RECEITA BRUTA</v>
      </c>
      <c r="C487" s="25">
        <f t="shared" si="15"/>
        <v>44805</v>
      </c>
      <c r="D487" s="27">
        <f>IF(K487="CREDITO",Q487,Q487*-1)</f>
        <v>6838.29</v>
      </c>
      <c r="E487" t="s">
        <v>894</v>
      </c>
      <c r="F487" t="s">
        <v>979</v>
      </c>
      <c r="G487" s="8">
        <v>44805</v>
      </c>
      <c r="H487" t="s">
        <v>504</v>
      </c>
      <c r="I487" t="s">
        <v>59</v>
      </c>
      <c r="J487" t="s">
        <v>702</v>
      </c>
      <c r="K487" t="s">
        <v>29</v>
      </c>
      <c r="L487" t="s">
        <v>895</v>
      </c>
      <c r="M487" t="s">
        <v>4402</v>
      </c>
      <c r="O487" t="s">
        <v>896</v>
      </c>
      <c r="P487" t="s">
        <v>33</v>
      </c>
      <c r="Q487" s="22">
        <v>6838.29</v>
      </c>
      <c r="R487" t="s">
        <v>35</v>
      </c>
      <c r="S487" t="s">
        <v>35</v>
      </c>
      <c r="T487" t="s">
        <v>35</v>
      </c>
      <c r="U487" t="s">
        <v>35</v>
      </c>
      <c r="V487" t="s">
        <v>645</v>
      </c>
      <c r="W487" t="s">
        <v>113</v>
      </c>
    </row>
    <row r="488" spans="1:23" hidden="1" x14ac:dyDescent="0.25">
      <c r="A488" s="7" t="str">
        <f>IFERROR(VLOOKUP(H488,'Contas Orç'!A:B,2,0),"N/A")</f>
        <v>( - ) DEDUCOES DA RECEITA BRUTA</v>
      </c>
      <c r="B488" s="7" t="str">
        <f t="shared" si="14"/>
        <v>310109 - ( - ) DEDUCOES DA RECEITA BRUTA</v>
      </c>
      <c r="C488" s="25">
        <f t="shared" si="15"/>
        <v>44805</v>
      </c>
      <c r="D488" s="27">
        <f>IF(K488="CREDITO",Q488,Q488*-1)</f>
        <v>13347.6</v>
      </c>
      <c r="E488" t="s">
        <v>894</v>
      </c>
      <c r="F488" t="s">
        <v>980</v>
      </c>
      <c r="G488" s="8">
        <v>44805</v>
      </c>
      <c r="H488" t="s">
        <v>504</v>
      </c>
      <c r="I488" t="s">
        <v>59</v>
      </c>
      <c r="J488" t="s">
        <v>661</v>
      </c>
      <c r="K488" t="s">
        <v>29</v>
      </c>
      <c r="L488" t="s">
        <v>895</v>
      </c>
      <c r="M488" t="s">
        <v>4402</v>
      </c>
      <c r="O488" t="s">
        <v>896</v>
      </c>
      <c r="P488" t="s">
        <v>33</v>
      </c>
      <c r="Q488" s="22">
        <v>13347.6</v>
      </c>
      <c r="R488" t="s">
        <v>35</v>
      </c>
      <c r="S488" t="s">
        <v>35</v>
      </c>
      <c r="T488" t="s">
        <v>35</v>
      </c>
      <c r="U488" t="s">
        <v>35</v>
      </c>
      <c r="V488" t="s">
        <v>645</v>
      </c>
      <c r="W488" t="s">
        <v>113</v>
      </c>
    </row>
    <row r="489" spans="1:23" hidden="1" x14ac:dyDescent="0.25">
      <c r="A489" s="7" t="str">
        <f>IFERROR(VLOOKUP(H489,'Contas Orç'!A:B,2,0),"N/A")</f>
        <v>( - ) DEDUCOES DA RECEITA BRUTA</v>
      </c>
      <c r="B489" s="7" t="str">
        <f t="shared" si="14"/>
        <v>310109 - ( - ) DEDUCOES DA RECEITA BRUTA</v>
      </c>
      <c r="C489" s="25">
        <f t="shared" si="15"/>
        <v>44835</v>
      </c>
      <c r="D489" s="27">
        <f>IF(K489="CREDITO",Q489,Q489*-1)</f>
        <v>183118.13</v>
      </c>
      <c r="E489" t="s">
        <v>894</v>
      </c>
      <c r="F489" t="s">
        <v>981</v>
      </c>
      <c r="G489" s="8">
        <v>44835</v>
      </c>
      <c r="H489" t="s">
        <v>504</v>
      </c>
      <c r="I489" t="s">
        <v>27</v>
      </c>
      <c r="J489" t="s">
        <v>28</v>
      </c>
      <c r="K489" t="s">
        <v>29</v>
      </c>
      <c r="L489" t="s">
        <v>895</v>
      </c>
      <c r="M489" t="s">
        <v>4402</v>
      </c>
      <c r="O489" t="s">
        <v>896</v>
      </c>
      <c r="P489" t="s">
        <v>33</v>
      </c>
      <c r="Q489" s="22">
        <v>183118.13</v>
      </c>
      <c r="R489" t="s">
        <v>35</v>
      </c>
      <c r="S489" t="s">
        <v>35</v>
      </c>
      <c r="T489" t="s">
        <v>35</v>
      </c>
      <c r="U489" t="s">
        <v>35</v>
      </c>
      <c r="V489" t="s">
        <v>645</v>
      </c>
      <c r="W489" t="s">
        <v>113</v>
      </c>
    </row>
    <row r="490" spans="1:23" hidden="1" x14ac:dyDescent="0.25">
      <c r="A490" s="7" t="str">
        <f>IFERROR(VLOOKUP(H490,'Contas Orç'!A:B,2,0),"N/A")</f>
        <v>( - ) DEDUCOES DA RECEITA BRUTA</v>
      </c>
      <c r="B490" s="7" t="str">
        <f t="shared" si="14"/>
        <v>310109 - ( - ) DEDUCOES DA RECEITA BRUTA</v>
      </c>
      <c r="C490" s="25">
        <f t="shared" si="15"/>
        <v>44835</v>
      </c>
      <c r="D490" s="27">
        <f>IF(K490="CREDITO",Q490,Q490*-1)</f>
        <v>1281684.74</v>
      </c>
      <c r="E490" t="s">
        <v>894</v>
      </c>
      <c r="F490" t="s">
        <v>982</v>
      </c>
      <c r="G490" s="8">
        <v>44835</v>
      </c>
      <c r="H490" t="s">
        <v>504</v>
      </c>
      <c r="I490" t="s">
        <v>59</v>
      </c>
      <c r="J490" t="s">
        <v>60</v>
      </c>
      <c r="K490" t="s">
        <v>29</v>
      </c>
      <c r="L490" t="s">
        <v>895</v>
      </c>
      <c r="M490" t="s">
        <v>4402</v>
      </c>
      <c r="O490" t="s">
        <v>896</v>
      </c>
      <c r="P490" t="s">
        <v>33</v>
      </c>
      <c r="Q490" s="22">
        <v>1281684.74</v>
      </c>
      <c r="R490" t="s">
        <v>35</v>
      </c>
      <c r="S490" t="s">
        <v>35</v>
      </c>
      <c r="T490" t="s">
        <v>35</v>
      </c>
      <c r="U490" t="s">
        <v>35</v>
      </c>
      <c r="V490" t="s">
        <v>645</v>
      </c>
      <c r="W490" t="s">
        <v>113</v>
      </c>
    </row>
    <row r="491" spans="1:23" hidden="1" x14ac:dyDescent="0.25">
      <c r="A491" s="7" t="str">
        <f>IFERROR(VLOOKUP(H491,'Contas Orç'!A:B,2,0),"N/A")</f>
        <v>( - ) DEDUCOES DA RECEITA BRUTA</v>
      </c>
      <c r="B491" s="7" t="str">
        <f t="shared" si="14"/>
        <v>310109 - ( - ) DEDUCOES DA RECEITA BRUTA</v>
      </c>
      <c r="C491" s="25">
        <f t="shared" si="15"/>
        <v>44835</v>
      </c>
      <c r="D491" s="27">
        <f>IF(K491="CREDITO",Q491,Q491*-1)</f>
        <v>463963.03</v>
      </c>
      <c r="E491" t="s">
        <v>894</v>
      </c>
      <c r="F491" t="s">
        <v>983</v>
      </c>
      <c r="G491" s="8">
        <v>44835</v>
      </c>
      <c r="H491" t="s">
        <v>504</v>
      </c>
      <c r="I491" t="s">
        <v>59</v>
      </c>
      <c r="J491" t="s">
        <v>107</v>
      </c>
      <c r="K491" t="s">
        <v>29</v>
      </c>
      <c r="L491" t="s">
        <v>895</v>
      </c>
      <c r="M491" t="s">
        <v>4402</v>
      </c>
      <c r="O491" t="s">
        <v>896</v>
      </c>
      <c r="P491" t="s">
        <v>33</v>
      </c>
      <c r="Q491" s="22">
        <v>463963.03</v>
      </c>
      <c r="R491" t="s">
        <v>35</v>
      </c>
      <c r="S491" t="s">
        <v>35</v>
      </c>
      <c r="T491" t="s">
        <v>35</v>
      </c>
      <c r="U491" t="s">
        <v>35</v>
      </c>
      <c r="V491" t="s">
        <v>645</v>
      </c>
      <c r="W491" t="s">
        <v>113</v>
      </c>
    </row>
    <row r="492" spans="1:23" hidden="1" x14ac:dyDescent="0.25">
      <c r="A492" s="7" t="str">
        <f>IFERROR(VLOOKUP(H492,'Contas Orç'!A:B,2,0),"N/A")</f>
        <v>( - ) DEDUCOES DA RECEITA BRUTA</v>
      </c>
      <c r="B492" s="7" t="str">
        <f t="shared" si="14"/>
        <v>310109 - ( - ) DEDUCOES DA RECEITA BRUTA</v>
      </c>
      <c r="C492" s="25">
        <f t="shared" si="15"/>
        <v>44835</v>
      </c>
      <c r="D492" s="27">
        <f>IF(K492="CREDITO",Q492,Q492*-1)</f>
        <v>6906.67</v>
      </c>
      <c r="E492" t="s">
        <v>894</v>
      </c>
      <c r="F492" t="s">
        <v>984</v>
      </c>
      <c r="G492" s="8">
        <v>44835</v>
      </c>
      <c r="H492" t="s">
        <v>504</v>
      </c>
      <c r="I492" t="s">
        <v>59</v>
      </c>
      <c r="J492" t="s">
        <v>702</v>
      </c>
      <c r="K492" t="s">
        <v>29</v>
      </c>
      <c r="L492" t="s">
        <v>895</v>
      </c>
      <c r="M492" t="s">
        <v>4402</v>
      </c>
      <c r="O492" t="s">
        <v>896</v>
      </c>
      <c r="P492" t="s">
        <v>33</v>
      </c>
      <c r="Q492" s="22">
        <v>6906.67</v>
      </c>
      <c r="R492" t="s">
        <v>35</v>
      </c>
      <c r="S492" t="s">
        <v>35</v>
      </c>
      <c r="T492" t="s">
        <v>35</v>
      </c>
      <c r="U492" t="s">
        <v>35</v>
      </c>
      <c r="V492" t="s">
        <v>645</v>
      </c>
      <c r="W492" t="s">
        <v>113</v>
      </c>
    </row>
    <row r="493" spans="1:23" hidden="1" x14ac:dyDescent="0.25">
      <c r="A493" s="7" t="str">
        <f>IFERROR(VLOOKUP(H493,'Contas Orç'!A:B,2,0),"N/A")</f>
        <v>( - ) DEDUCOES DA RECEITA BRUTA</v>
      </c>
      <c r="B493" s="7" t="str">
        <f t="shared" si="14"/>
        <v>310109 - ( - ) DEDUCOES DA RECEITA BRUTA</v>
      </c>
      <c r="C493" s="25">
        <f t="shared" si="15"/>
        <v>44835</v>
      </c>
      <c r="D493" s="27">
        <f>IF(K493="CREDITO",Q493,Q493*-1)</f>
        <v>13481.08</v>
      </c>
      <c r="E493" t="s">
        <v>894</v>
      </c>
      <c r="F493" t="s">
        <v>985</v>
      </c>
      <c r="G493" s="8">
        <v>44835</v>
      </c>
      <c r="H493" t="s">
        <v>504</v>
      </c>
      <c r="I493" t="s">
        <v>59</v>
      </c>
      <c r="J493" t="s">
        <v>661</v>
      </c>
      <c r="K493" t="s">
        <v>29</v>
      </c>
      <c r="L493" t="s">
        <v>895</v>
      </c>
      <c r="M493" t="s">
        <v>4402</v>
      </c>
      <c r="O493" t="s">
        <v>896</v>
      </c>
      <c r="P493" t="s">
        <v>33</v>
      </c>
      <c r="Q493" s="22">
        <v>13481.08</v>
      </c>
      <c r="R493" t="s">
        <v>35</v>
      </c>
      <c r="S493" t="s">
        <v>35</v>
      </c>
      <c r="T493" t="s">
        <v>35</v>
      </c>
      <c r="U493" t="s">
        <v>35</v>
      </c>
      <c r="V493" t="s">
        <v>645</v>
      </c>
      <c r="W493" t="s">
        <v>113</v>
      </c>
    </row>
    <row r="494" spans="1:23" hidden="1" x14ac:dyDescent="0.25">
      <c r="A494" s="7" t="str">
        <f>IFERROR(VLOOKUP(H494,'Contas Orç'!A:B,2,0),"N/A")</f>
        <v>( - ) DEDUCOES DA RECEITA BRUTA</v>
      </c>
      <c r="B494" s="7" t="str">
        <f t="shared" si="14"/>
        <v>310109 - ( - ) DEDUCOES DA RECEITA BRUTA</v>
      </c>
      <c r="C494" s="25">
        <f t="shared" si="15"/>
        <v>44866</v>
      </c>
      <c r="D494" s="27">
        <f>IF(K494="CREDITO",Q494,Q494*-1)</f>
        <v>184949.31</v>
      </c>
      <c r="E494" t="s">
        <v>894</v>
      </c>
      <c r="F494" t="s">
        <v>986</v>
      </c>
      <c r="G494" s="8">
        <v>44866</v>
      </c>
      <c r="H494" t="s">
        <v>504</v>
      </c>
      <c r="I494" t="s">
        <v>27</v>
      </c>
      <c r="J494" t="s">
        <v>28</v>
      </c>
      <c r="K494" t="s">
        <v>29</v>
      </c>
      <c r="L494" t="s">
        <v>895</v>
      </c>
      <c r="M494" t="s">
        <v>4402</v>
      </c>
      <c r="O494" t="s">
        <v>896</v>
      </c>
      <c r="P494" t="s">
        <v>33</v>
      </c>
      <c r="Q494" s="22">
        <v>184949.31</v>
      </c>
      <c r="R494" t="s">
        <v>35</v>
      </c>
      <c r="S494" t="s">
        <v>35</v>
      </c>
      <c r="T494" t="s">
        <v>35</v>
      </c>
      <c r="U494" t="s">
        <v>35</v>
      </c>
      <c r="V494" t="s">
        <v>645</v>
      </c>
      <c r="W494" t="s">
        <v>113</v>
      </c>
    </row>
    <row r="495" spans="1:23" hidden="1" x14ac:dyDescent="0.25">
      <c r="A495" s="7" t="str">
        <f>IFERROR(VLOOKUP(H495,'Contas Orç'!A:B,2,0),"N/A")</f>
        <v>( - ) DEDUCOES DA RECEITA BRUTA</v>
      </c>
      <c r="B495" s="7" t="str">
        <f t="shared" si="14"/>
        <v>310109 - ( - ) DEDUCOES DA RECEITA BRUTA</v>
      </c>
      <c r="C495" s="25">
        <f t="shared" si="15"/>
        <v>44866</v>
      </c>
      <c r="D495" s="27">
        <f>IF(K495="CREDITO",Q495,Q495*-1)</f>
        <v>1294501.5900000001</v>
      </c>
      <c r="E495" t="s">
        <v>894</v>
      </c>
      <c r="F495" t="s">
        <v>987</v>
      </c>
      <c r="G495" s="8">
        <v>44866</v>
      </c>
      <c r="H495" t="s">
        <v>504</v>
      </c>
      <c r="I495" t="s">
        <v>59</v>
      </c>
      <c r="J495" t="s">
        <v>60</v>
      </c>
      <c r="K495" t="s">
        <v>29</v>
      </c>
      <c r="L495" t="s">
        <v>895</v>
      </c>
      <c r="M495" t="s">
        <v>4402</v>
      </c>
      <c r="O495" t="s">
        <v>896</v>
      </c>
      <c r="P495" t="s">
        <v>33</v>
      </c>
      <c r="Q495" s="22">
        <v>1294501.5900000001</v>
      </c>
      <c r="R495" t="s">
        <v>35</v>
      </c>
      <c r="S495" t="s">
        <v>35</v>
      </c>
      <c r="T495" t="s">
        <v>35</v>
      </c>
      <c r="U495" t="s">
        <v>35</v>
      </c>
      <c r="V495" t="s">
        <v>645</v>
      </c>
      <c r="W495" t="s">
        <v>113</v>
      </c>
    </row>
    <row r="496" spans="1:23" hidden="1" x14ac:dyDescent="0.25">
      <c r="A496" s="7" t="str">
        <f>IFERROR(VLOOKUP(H496,'Contas Orç'!A:B,2,0),"N/A")</f>
        <v>( - ) DEDUCOES DA RECEITA BRUTA</v>
      </c>
      <c r="B496" s="7" t="str">
        <f t="shared" si="14"/>
        <v>310109 - ( - ) DEDUCOES DA RECEITA BRUTA</v>
      </c>
      <c r="C496" s="25">
        <f t="shared" si="15"/>
        <v>44866</v>
      </c>
      <c r="D496" s="27">
        <f>IF(K496="CREDITO",Q496,Q496*-1)</f>
        <v>468602.66</v>
      </c>
      <c r="E496" t="s">
        <v>894</v>
      </c>
      <c r="F496" t="s">
        <v>988</v>
      </c>
      <c r="G496" s="8">
        <v>44866</v>
      </c>
      <c r="H496" t="s">
        <v>504</v>
      </c>
      <c r="I496" t="s">
        <v>59</v>
      </c>
      <c r="J496" t="s">
        <v>107</v>
      </c>
      <c r="K496" t="s">
        <v>29</v>
      </c>
      <c r="L496" t="s">
        <v>895</v>
      </c>
      <c r="M496" t="s">
        <v>4402</v>
      </c>
      <c r="O496" t="s">
        <v>896</v>
      </c>
      <c r="P496" t="s">
        <v>33</v>
      </c>
      <c r="Q496" s="22">
        <v>468602.66</v>
      </c>
      <c r="R496" t="s">
        <v>35</v>
      </c>
      <c r="S496" t="s">
        <v>35</v>
      </c>
      <c r="T496" t="s">
        <v>35</v>
      </c>
      <c r="U496" t="s">
        <v>35</v>
      </c>
      <c r="V496" t="s">
        <v>645</v>
      </c>
      <c r="W496" t="s">
        <v>113</v>
      </c>
    </row>
    <row r="497" spans="1:23" hidden="1" x14ac:dyDescent="0.25">
      <c r="A497" s="7" t="str">
        <f>IFERROR(VLOOKUP(H497,'Contas Orç'!A:B,2,0),"N/A")</f>
        <v>( - ) DEDUCOES DA RECEITA BRUTA</v>
      </c>
      <c r="B497" s="7" t="str">
        <f t="shared" si="14"/>
        <v>310109 - ( - ) DEDUCOES DA RECEITA BRUTA</v>
      </c>
      <c r="C497" s="25">
        <f t="shared" si="15"/>
        <v>44866</v>
      </c>
      <c r="D497" s="27">
        <f>IF(K497="CREDITO",Q497,Q497*-1)</f>
        <v>6975.74</v>
      </c>
      <c r="E497" t="s">
        <v>894</v>
      </c>
      <c r="F497" t="s">
        <v>989</v>
      </c>
      <c r="G497" s="8">
        <v>44866</v>
      </c>
      <c r="H497" t="s">
        <v>504</v>
      </c>
      <c r="I497" t="s">
        <v>59</v>
      </c>
      <c r="J497" t="s">
        <v>702</v>
      </c>
      <c r="K497" t="s">
        <v>29</v>
      </c>
      <c r="L497" t="s">
        <v>895</v>
      </c>
      <c r="M497" t="s">
        <v>4402</v>
      </c>
      <c r="O497" t="s">
        <v>896</v>
      </c>
      <c r="P497" t="s">
        <v>33</v>
      </c>
      <c r="Q497" s="22">
        <v>6975.74</v>
      </c>
      <c r="R497" t="s">
        <v>35</v>
      </c>
      <c r="S497" t="s">
        <v>35</v>
      </c>
      <c r="T497" t="s">
        <v>35</v>
      </c>
      <c r="U497" t="s">
        <v>35</v>
      </c>
      <c r="V497" t="s">
        <v>645</v>
      </c>
      <c r="W497" t="s">
        <v>113</v>
      </c>
    </row>
    <row r="498" spans="1:23" hidden="1" x14ac:dyDescent="0.25">
      <c r="A498" s="7" t="str">
        <f>IFERROR(VLOOKUP(H498,'Contas Orç'!A:B,2,0),"N/A")</f>
        <v>( - ) DEDUCOES DA RECEITA BRUTA</v>
      </c>
      <c r="B498" s="7" t="str">
        <f t="shared" si="14"/>
        <v>310109 - ( - ) DEDUCOES DA RECEITA BRUTA</v>
      </c>
      <c r="C498" s="25">
        <f t="shared" si="15"/>
        <v>44866</v>
      </c>
      <c r="D498" s="27">
        <f>IF(K498="CREDITO",Q498,Q498*-1)</f>
        <v>13615.89</v>
      </c>
      <c r="E498" t="s">
        <v>894</v>
      </c>
      <c r="F498" t="s">
        <v>990</v>
      </c>
      <c r="G498" s="8">
        <v>44866</v>
      </c>
      <c r="H498" t="s">
        <v>504</v>
      </c>
      <c r="I498" t="s">
        <v>59</v>
      </c>
      <c r="J498" t="s">
        <v>661</v>
      </c>
      <c r="K498" t="s">
        <v>29</v>
      </c>
      <c r="L498" t="s">
        <v>895</v>
      </c>
      <c r="M498" t="s">
        <v>4402</v>
      </c>
      <c r="O498" t="s">
        <v>896</v>
      </c>
      <c r="P498" t="s">
        <v>33</v>
      </c>
      <c r="Q498" s="22">
        <v>13615.89</v>
      </c>
      <c r="R498" t="s">
        <v>35</v>
      </c>
      <c r="S498" t="s">
        <v>35</v>
      </c>
      <c r="T498" t="s">
        <v>35</v>
      </c>
      <c r="U498" t="s">
        <v>35</v>
      </c>
      <c r="V498" t="s">
        <v>645</v>
      </c>
      <c r="W498" t="s">
        <v>113</v>
      </c>
    </row>
    <row r="499" spans="1:23" hidden="1" x14ac:dyDescent="0.25">
      <c r="A499" s="7" t="str">
        <f>IFERROR(VLOOKUP(H499,'Contas Orç'!A:B,2,0),"N/A")</f>
        <v>( - ) DEDUCOES DA RECEITA BRUTA</v>
      </c>
      <c r="B499" s="7" t="str">
        <f t="shared" si="14"/>
        <v>310109 - ( - ) DEDUCOES DA RECEITA BRUTA</v>
      </c>
      <c r="C499" s="25">
        <f t="shared" si="15"/>
        <v>44896</v>
      </c>
      <c r="D499" s="27">
        <f>IF(K499="CREDITO",Q499,Q499*-1)</f>
        <v>186798.81</v>
      </c>
      <c r="E499" t="s">
        <v>894</v>
      </c>
      <c r="F499" t="s">
        <v>991</v>
      </c>
      <c r="G499" s="8">
        <v>44896</v>
      </c>
      <c r="H499" t="s">
        <v>504</v>
      </c>
      <c r="I499" t="s">
        <v>27</v>
      </c>
      <c r="J499" t="s">
        <v>28</v>
      </c>
      <c r="K499" t="s">
        <v>29</v>
      </c>
      <c r="L499" t="s">
        <v>895</v>
      </c>
      <c r="M499" t="s">
        <v>4402</v>
      </c>
      <c r="O499" t="s">
        <v>896</v>
      </c>
      <c r="P499" t="s">
        <v>33</v>
      </c>
      <c r="Q499" s="22">
        <v>186798.81</v>
      </c>
      <c r="R499" t="s">
        <v>35</v>
      </c>
      <c r="S499" t="s">
        <v>35</v>
      </c>
      <c r="T499" t="s">
        <v>35</v>
      </c>
      <c r="U499" t="s">
        <v>35</v>
      </c>
      <c r="V499" t="s">
        <v>645</v>
      </c>
      <c r="W499" t="s">
        <v>113</v>
      </c>
    </row>
    <row r="500" spans="1:23" hidden="1" x14ac:dyDescent="0.25">
      <c r="A500" s="7" t="str">
        <f>IFERROR(VLOOKUP(H500,'Contas Orç'!A:B,2,0),"N/A")</f>
        <v>( - ) DEDUCOES DA RECEITA BRUTA</v>
      </c>
      <c r="B500" s="7" t="str">
        <f t="shared" si="14"/>
        <v>310109 - ( - ) DEDUCOES DA RECEITA BRUTA</v>
      </c>
      <c r="C500" s="25">
        <f t="shared" si="15"/>
        <v>44896</v>
      </c>
      <c r="D500" s="27">
        <f>IF(K500="CREDITO",Q500,Q500*-1)</f>
        <v>1307446.6000000001</v>
      </c>
      <c r="E500" t="s">
        <v>894</v>
      </c>
      <c r="F500" t="s">
        <v>992</v>
      </c>
      <c r="G500" s="8">
        <v>44896</v>
      </c>
      <c r="H500" t="s">
        <v>504</v>
      </c>
      <c r="I500" t="s">
        <v>59</v>
      </c>
      <c r="J500" t="s">
        <v>60</v>
      </c>
      <c r="K500" t="s">
        <v>29</v>
      </c>
      <c r="L500" t="s">
        <v>895</v>
      </c>
      <c r="M500" t="s">
        <v>4402</v>
      </c>
      <c r="O500" t="s">
        <v>896</v>
      </c>
      <c r="P500" t="s">
        <v>33</v>
      </c>
      <c r="Q500" s="22">
        <v>1307446.6000000001</v>
      </c>
      <c r="R500" t="s">
        <v>35</v>
      </c>
      <c r="S500" t="s">
        <v>35</v>
      </c>
      <c r="T500" t="s">
        <v>35</v>
      </c>
      <c r="U500" t="s">
        <v>35</v>
      </c>
      <c r="V500" t="s">
        <v>645</v>
      </c>
      <c r="W500" t="s">
        <v>113</v>
      </c>
    </row>
    <row r="501" spans="1:23" hidden="1" x14ac:dyDescent="0.25">
      <c r="A501" s="7" t="str">
        <f>IFERROR(VLOOKUP(H501,'Contas Orç'!A:B,2,0),"N/A")</f>
        <v>( - ) DEDUCOES DA RECEITA BRUTA</v>
      </c>
      <c r="B501" s="7" t="str">
        <f t="shared" si="14"/>
        <v>310109 - ( - ) DEDUCOES DA RECEITA BRUTA</v>
      </c>
      <c r="C501" s="25">
        <f t="shared" si="15"/>
        <v>44896</v>
      </c>
      <c r="D501" s="27">
        <f>IF(K501="CREDITO",Q501,Q501*-1)</f>
        <v>473288.69</v>
      </c>
      <c r="E501" t="s">
        <v>894</v>
      </c>
      <c r="F501" t="s">
        <v>993</v>
      </c>
      <c r="G501" s="8">
        <v>44896</v>
      </c>
      <c r="H501" t="s">
        <v>504</v>
      </c>
      <c r="I501" t="s">
        <v>59</v>
      </c>
      <c r="J501" t="s">
        <v>107</v>
      </c>
      <c r="K501" t="s">
        <v>29</v>
      </c>
      <c r="L501" t="s">
        <v>895</v>
      </c>
      <c r="M501" t="s">
        <v>4402</v>
      </c>
      <c r="O501" t="s">
        <v>896</v>
      </c>
      <c r="P501" t="s">
        <v>33</v>
      </c>
      <c r="Q501" s="22">
        <v>473288.69</v>
      </c>
      <c r="R501" t="s">
        <v>35</v>
      </c>
      <c r="S501" t="s">
        <v>35</v>
      </c>
      <c r="T501" t="s">
        <v>35</v>
      </c>
      <c r="U501" t="s">
        <v>35</v>
      </c>
      <c r="V501" t="s">
        <v>645</v>
      </c>
      <c r="W501" t="s">
        <v>113</v>
      </c>
    </row>
    <row r="502" spans="1:23" hidden="1" x14ac:dyDescent="0.25">
      <c r="A502" s="7" t="str">
        <f>IFERROR(VLOOKUP(H502,'Contas Orç'!A:B,2,0),"N/A")</f>
        <v>( - ) DEDUCOES DA RECEITA BRUTA</v>
      </c>
      <c r="B502" s="7" t="str">
        <f t="shared" si="14"/>
        <v>310109 - ( - ) DEDUCOES DA RECEITA BRUTA</v>
      </c>
      <c r="C502" s="25">
        <f t="shared" si="15"/>
        <v>44896</v>
      </c>
      <c r="D502" s="27">
        <f>IF(K502="CREDITO",Q502,Q502*-1)</f>
        <v>7045.5</v>
      </c>
      <c r="E502" t="s">
        <v>894</v>
      </c>
      <c r="F502" t="s">
        <v>994</v>
      </c>
      <c r="G502" s="8">
        <v>44896</v>
      </c>
      <c r="H502" t="s">
        <v>504</v>
      </c>
      <c r="I502" t="s">
        <v>59</v>
      </c>
      <c r="J502" t="s">
        <v>702</v>
      </c>
      <c r="K502" t="s">
        <v>29</v>
      </c>
      <c r="L502" t="s">
        <v>895</v>
      </c>
      <c r="M502" t="s">
        <v>4402</v>
      </c>
      <c r="O502" t="s">
        <v>896</v>
      </c>
      <c r="P502" t="s">
        <v>33</v>
      </c>
      <c r="Q502" s="22">
        <v>7045.5</v>
      </c>
      <c r="R502" t="s">
        <v>35</v>
      </c>
      <c r="S502" t="s">
        <v>35</v>
      </c>
      <c r="T502" t="s">
        <v>35</v>
      </c>
      <c r="U502" t="s">
        <v>35</v>
      </c>
      <c r="V502" t="s">
        <v>645</v>
      </c>
      <c r="W502" t="s">
        <v>113</v>
      </c>
    </row>
    <row r="503" spans="1:23" hidden="1" x14ac:dyDescent="0.25">
      <c r="A503" s="7" t="str">
        <f>IFERROR(VLOOKUP(H503,'Contas Orç'!A:B,2,0),"N/A")</f>
        <v>( - ) DEDUCOES DA RECEITA BRUTA</v>
      </c>
      <c r="B503" s="7" t="str">
        <f t="shared" si="14"/>
        <v>310109 - ( - ) DEDUCOES DA RECEITA BRUTA</v>
      </c>
      <c r="C503" s="25">
        <f t="shared" si="15"/>
        <v>44896</v>
      </c>
      <c r="D503" s="27">
        <f>IF(K503="CREDITO",Q503,Q503*-1)</f>
        <v>13752.05</v>
      </c>
      <c r="E503" t="s">
        <v>894</v>
      </c>
      <c r="F503" t="s">
        <v>995</v>
      </c>
      <c r="G503" s="8">
        <v>44896</v>
      </c>
      <c r="H503" t="s">
        <v>504</v>
      </c>
      <c r="I503" t="s">
        <v>59</v>
      </c>
      <c r="J503" t="s">
        <v>661</v>
      </c>
      <c r="K503" t="s">
        <v>29</v>
      </c>
      <c r="L503" t="s">
        <v>895</v>
      </c>
      <c r="M503" t="s">
        <v>4402</v>
      </c>
      <c r="O503" t="s">
        <v>896</v>
      </c>
      <c r="P503" t="s">
        <v>33</v>
      </c>
      <c r="Q503" s="22">
        <v>13752.05</v>
      </c>
      <c r="R503" t="s">
        <v>35</v>
      </c>
      <c r="S503" t="s">
        <v>35</v>
      </c>
      <c r="T503" t="s">
        <v>35</v>
      </c>
      <c r="U503" t="s">
        <v>35</v>
      </c>
      <c r="V503" t="s">
        <v>645</v>
      </c>
      <c r="W503" t="s">
        <v>113</v>
      </c>
    </row>
    <row r="504" spans="1:23" hidden="1" x14ac:dyDescent="0.25">
      <c r="A504" s="7" t="str">
        <f>IFERROR(VLOOKUP(H504,'Contas Orç'!A:B,2,0),"N/A")</f>
        <v>OUTRAS RECEITAS</v>
      </c>
      <c r="B504" s="7" t="str">
        <f t="shared" si="14"/>
        <v>310901 - OUTRAS RECEITAS</v>
      </c>
      <c r="C504" s="25">
        <f t="shared" si="15"/>
        <v>44562</v>
      </c>
      <c r="D504" s="27">
        <f>IF(K504="CREDITO",Q504,Q504*-1)</f>
        <v>524806.61</v>
      </c>
      <c r="E504" t="s">
        <v>894</v>
      </c>
      <c r="F504" t="s">
        <v>996</v>
      </c>
      <c r="G504" s="8">
        <v>44562</v>
      </c>
      <c r="H504" t="s">
        <v>627</v>
      </c>
      <c r="I504" t="s">
        <v>40</v>
      </c>
      <c r="J504" t="s">
        <v>54</v>
      </c>
      <c r="K504" t="s">
        <v>29</v>
      </c>
      <c r="L504" t="s">
        <v>895</v>
      </c>
      <c r="M504" t="s">
        <v>4402</v>
      </c>
      <c r="O504" t="s">
        <v>896</v>
      </c>
      <c r="P504" t="s">
        <v>33</v>
      </c>
      <c r="Q504" s="22">
        <v>524806.61</v>
      </c>
      <c r="R504" t="s">
        <v>35</v>
      </c>
      <c r="S504" t="s">
        <v>35</v>
      </c>
      <c r="T504" t="s">
        <v>35</v>
      </c>
      <c r="U504" t="s">
        <v>35</v>
      </c>
      <c r="V504" t="s">
        <v>645</v>
      </c>
      <c r="W504" t="s">
        <v>113</v>
      </c>
    </row>
    <row r="505" spans="1:23" hidden="1" x14ac:dyDescent="0.25">
      <c r="A505" s="7" t="str">
        <f>IFERROR(VLOOKUP(H505,'Contas Orç'!A:B,2,0),"N/A")</f>
        <v>OUTRAS RECEITAS</v>
      </c>
      <c r="B505" s="7" t="str">
        <f t="shared" si="14"/>
        <v>310901 - OUTRAS RECEITAS</v>
      </c>
      <c r="C505" s="25">
        <f t="shared" si="15"/>
        <v>44593</v>
      </c>
      <c r="D505" s="27">
        <f>IF(K505="CREDITO",Q505,Q505*-1)</f>
        <v>481761.62</v>
      </c>
      <c r="E505" t="s">
        <v>894</v>
      </c>
      <c r="F505" t="s">
        <v>997</v>
      </c>
      <c r="G505" s="8">
        <v>44593</v>
      </c>
      <c r="H505" t="s">
        <v>627</v>
      </c>
      <c r="I505" t="s">
        <v>40</v>
      </c>
      <c r="J505" t="s">
        <v>54</v>
      </c>
      <c r="K505" t="s">
        <v>29</v>
      </c>
      <c r="L505" t="s">
        <v>895</v>
      </c>
      <c r="M505" t="s">
        <v>4402</v>
      </c>
      <c r="O505" t="s">
        <v>896</v>
      </c>
      <c r="P505" t="s">
        <v>33</v>
      </c>
      <c r="Q505" s="22">
        <v>481761.62</v>
      </c>
      <c r="R505" t="s">
        <v>35</v>
      </c>
      <c r="S505" t="s">
        <v>35</v>
      </c>
      <c r="T505" t="s">
        <v>35</v>
      </c>
      <c r="U505" t="s">
        <v>35</v>
      </c>
      <c r="V505" t="s">
        <v>645</v>
      </c>
      <c r="W505" t="s">
        <v>113</v>
      </c>
    </row>
    <row r="506" spans="1:23" hidden="1" x14ac:dyDescent="0.25">
      <c r="A506" s="7" t="str">
        <f>IFERROR(VLOOKUP(H506,'Contas Orç'!A:B,2,0),"N/A")</f>
        <v>OUTRAS RECEITAS</v>
      </c>
      <c r="B506" s="7" t="str">
        <f t="shared" si="14"/>
        <v>310901 - OUTRAS RECEITAS</v>
      </c>
      <c r="C506" s="25">
        <f t="shared" si="15"/>
        <v>44621</v>
      </c>
      <c r="D506" s="27">
        <f>IF(K506="CREDITO",Q506,Q506*-1)</f>
        <v>533495.06000000006</v>
      </c>
      <c r="E506" t="s">
        <v>894</v>
      </c>
      <c r="F506" t="s">
        <v>998</v>
      </c>
      <c r="G506" s="8">
        <v>44621</v>
      </c>
      <c r="H506" t="s">
        <v>627</v>
      </c>
      <c r="I506" t="s">
        <v>40</v>
      </c>
      <c r="J506" t="s">
        <v>54</v>
      </c>
      <c r="K506" t="s">
        <v>29</v>
      </c>
      <c r="L506" t="s">
        <v>895</v>
      </c>
      <c r="M506" t="s">
        <v>4402</v>
      </c>
      <c r="O506" t="s">
        <v>896</v>
      </c>
      <c r="P506" t="s">
        <v>33</v>
      </c>
      <c r="Q506" s="22">
        <v>533495.06000000006</v>
      </c>
      <c r="R506" t="s">
        <v>35</v>
      </c>
      <c r="S506" t="s">
        <v>35</v>
      </c>
      <c r="T506" t="s">
        <v>35</v>
      </c>
      <c r="U506" t="s">
        <v>35</v>
      </c>
      <c r="V506" t="s">
        <v>645</v>
      </c>
      <c r="W506" t="s">
        <v>113</v>
      </c>
    </row>
    <row r="507" spans="1:23" hidden="1" x14ac:dyDescent="0.25">
      <c r="A507" s="7" t="str">
        <f>IFERROR(VLOOKUP(H507,'Contas Orç'!A:B,2,0),"N/A")</f>
        <v>OUTRAS RECEITAS</v>
      </c>
      <c r="B507" s="7" t="str">
        <f t="shared" si="14"/>
        <v>310901 - OUTRAS RECEITAS</v>
      </c>
      <c r="C507" s="25">
        <f t="shared" si="15"/>
        <v>44652</v>
      </c>
      <c r="D507" s="27">
        <f>IF(K507="CREDITO",Q507,Q507*-1)</f>
        <v>518954.36</v>
      </c>
      <c r="E507" t="s">
        <v>894</v>
      </c>
      <c r="F507" t="s">
        <v>999</v>
      </c>
      <c r="G507" s="8">
        <v>44652</v>
      </c>
      <c r="H507" t="s">
        <v>627</v>
      </c>
      <c r="I507" t="s">
        <v>40</v>
      </c>
      <c r="J507" t="s">
        <v>54</v>
      </c>
      <c r="K507" t="s">
        <v>29</v>
      </c>
      <c r="L507" t="s">
        <v>895</v>
      </c>
      <c r="M507" t="s">
        <v>4402</v>
      </c>
      <c r="O507" t="s">
        <v>896</v>
      </c>
      <c r="P507" t="s">
        <v>33</v>
      </c>
      <c r="Q507" s="22">
        <v>518954.36</v>
      </c>
      <c r="R507" t="s">
        <v>35</v>
      </c>
      <c r="S507" t="s">
        <v>35</v>
      </c>
      <c r="T507" t="s">
        <v>35</v>
      </c>
      <c r="U507" t="s">
        <v>35</v>
      </c>
      <c r="V507" t="s">
        <v>645</v>
      </c>
      <c r="W507" t="s">
        <v>113</v>
      </c>
    </row>
    <row r="508" spans="1:23" hidden="1" x14ac:dyDescent="0.25">
      <c r="A508" s="7" t="str">
        <f>IFERROR(VLOOKUP(H508,'Contas Orç'!A:B,2,0),"N/A")</f>
        <v>OUTRAS RECEITAS</v>
      </c>
      <c r="B508" s="7" t="str">
        <f t="shared" si="14"/>
        <v>310901 - OUTRAS RECEITAS</v>
      </c>
      <c r="C508" s="25">
        <f t="shared" si="15"/>
        <v>44682</v>
      </c>
      <c r="D508" s="27">
        <f>IF(K508="CREDITO",Q508,Q508*-1)</f>
        <v>501000</v>
      </c>
      <c r="E508" t="s">
        <v>894</v>
      </c>
      <c r="F508" t="s">
        <v>1000</v>
      </c>
      <c r="G508" s="8">
        <v>44682</v>
      </c>
      <c r="H508" t="s">
        <v>627</v>
      </c>
      <c r="I508" t="s">
        <v>40</v>
      </c>
      <c r="J508" t="s">
        <v>54</v>
      </c>
      <c r="K508" t="s">
        <v>29</v>
      </c>
      <c r="L508" t="s">
        <v>895</v>
      </c>
      <c r="M508" t="s">
        <v>4402</v>
      </c>
      <c r="O508" t="s">
        <v>896</v>
      </c>
      <c r="P508" t="s">
        <v>33</v>
      </c>
      <c r="Q508" s="22">
        <v>501000</v>
      </c>
      <c r="R508" t="s">
        <v>35</v>
      </c>
      <c r="S508" t="s">
        <v>35</v>
      </c>
      <c r="T508" t="s">
        <v>35</v>
      </c>
      <c r="U508" t="s">
        <v>35</v>
      </c>
      <c r="V508" t="s">
        <v>645</v>
      </c>
      <c r="W508" t="s">
        <v>113</v>
      </c>
    </row>
    <row r="509" spans="1:23" hidden="1" x14ac:dyDescent="0.25">
      <c r="A509" s="7" t="str">
        <f>IFERROR(VLOOKUP(H509,'Contas Orç'!A:B,2,0),"N/A")</f>
        <v>OUTRAS RECEITAS</v>
      </c>
      <c r="B509" s="7" t="str">
        <f t="shared" si="14"/>
        <v>310901 - OUTRAS RECEITAS</v>
      </c>
      <c r="C509" s="25">
        <f t="shared" si="15"/>
        <v>44682</v>
      </c>
      <c r="D509" s="27">
        <f>IF(K509="CREDITO",Q509,Q509*-1)</f>
        <v>70.510000000000005</v>
      </c>
      <c r="E509" t="s">
        <v>894</v>
      </c>
      <c r="F509" t="s">
        <v>1001</v>
      </c>
      <c r="G509" s="8">
        <v>44682</v>
      </c>
      <c r="H509" t="s">
        <v>627</v>
      </c>
      <c r="I509" t="s">
        <v>1002</v>
      </c>
      <c r="J509" t="s">
        <v>54</v>
      </c>
      <c r="K509" t="s">
        <v>29</v>
      </c>
      <c r="L509" t="s">
        <v>895</v>
      </c>
      <c r="M509" t="s">
        <v>4402</v>
      </c>
      <c r="O509" t="s">
        <v>896</v>
      </c>
      <c r="P509" t="s">
        <v>33</v>
      </c>
      <c r="Q509">
        <v>70.510000000000005</v>
      </c>
      <c r="R509" t="s">
        <v>35</v>
      </c>
      <c r="S509" t="s">
        <v>35</v>
      </c>
      <c r="T509" t="s">
        <v>35</v>
      </c>
      <c r="U509" t="s">
        <v>35</v>
      </c>
      <c r="V509" t="s">
        <v>645</v>
      </c>
      <c r="W509" t="s">
        <v>113</v>
      </c>
    </row>
    <row r="510" spans="1:23" hidden="1" x14ac:dyDescent="0.25">
      <c r="A510" s="7" t="str">
        <f>IFERROR(VLOOKUP(H510,'Contas Orç'!A:B,2,0),"N/A")</f>
        <v>OUTRAS RECEITAS</v>
      </c>
      <c r="B510" s="7" t="str">
        <f t="shared" si="14"/>
        <v>310901 - OUTRAS RECEITAS</v>
      </c>
      <c r="C510" s="25">
        <f t="shared" si="15"/>
        <v>44713</v>
      </c>
      <c r="D510" s="27">
        <f>IF(K510="CREDITO",Q510,Q510*-1)</f>
        <v>1110886.42</v>
      </c>
      <c r="E510" t="s">
        <v>894</v>
      </c>
      <c r="F510" t="s">
        <v>1003</v>
      </c>
      <c r="G510" s="8">
        <v>44713</v>
      </c>
      <c r="H510" t="s">
        <v>627</v>
      </c>
      <c r="I510" t="s">
        <v>40</v>
      </c>
      <c r="J510" t="s">
        <v>54</v>
      </c>
      <c r="K510" t="s">
        <v>29</v>
      </c>
      <c r="L510" t="s">
        <v>895</v>
      </c>
      <c r="M510" t="s">
        <v>4402</v>
      </c>
      <c r="O510" t="s">
        <v>896</v>
      </c>
      <c r="P510" t="s">
        <v>33</v>
      </c>
      <c r="Q510" s="22">
        <v>1110886.42</v>
      </c>
      <c r="R510" t="s">
        <v>35</v>
      </c>
      <c r="S510" t="s">
        <v>35</v>
      </c>
      <c r="T510" t="s">
        <v>35</v>
      </c>
      <c r="U510" t="s">
        <v>35</v>
      </c>
      <c r="V510" t="s">
        <v>645</v>
      </c>
      <c r="W510" t="s">
        <v>113</v>
      </c>
    </row>
    <row r="511" spans="1:23" hidden="1" x14ac:dyDescent="0.25">
      <c r="A511" s="7" t="str">
        <f>IFERROR(VLOOKUP(H511,'Contas Orç'!A:B,2,0),"N/A")</f>
        <v>OUTRAS RECEITAS</v>
      </c>
      <c r="B511" s="7" t="str">
        <f t="shared" si="14"/>
        <v>310901 - OUTRAS RECEITAS</v>
      </c>
      <c r="C511" s="25">
        <f t="shared" si="15"/>
        <v>44743</v>
      </c>
      <c r="D511" s="27">
        <f>IF(K511="CREDITO",Q511,Q511*-1)</f>
        <v>54666</v>
      </c>
      <c r="E511" t="s">
        <v>894</v>
      </c>
      <c r="F511" t="s">
        <v>1004</v>
      </c>
      <c r="G511" s="8">
        <v>44743</v>
      </c>
      <c r="H511" t="s">
        <v>627</v>
      </c>
      <c r="I511" t="s">
        <v>27</v>
      </c>
      <c r="J511" t="s">
        <v>28</v>
      </c>
      <c r="K511" t="s">
        <v>29</v>
      </c>
      <c r="L511" t="s">
        <v>895</v>
      </c>
      <c r="M511" t="s">
        <v>4402</v>
      </c>
      <c r="O511" t="s">
        <v>896</v>
      </c>
      <c r="P511" t="s">
        <v>33</v>
      </c>
      <c r="Q511" s="22">
        <v>54666</v>
      </c>
      <c r="R511" t="s">
        <v>35</v>
      </c>
      <c r="S511" t="s">
        <v>35</v>
      </c>
      <c r="T511" t="s">
        <v>35</v>
      </c>
      <c r="U511" t="s">
        <v>35</v>
      </c>
      <c r="V511" t="s">
        <v>645</v>
      </c>
      <c r="W511" t="s">
        <v>113</v>
      </c>
    </row>
    <row r="512" spans="1:23" hidden="1" x14ac:dyDescent="0.25">
      <c r="A512" s="7" t="str">
        <f>IFERROR(VLOOKUP(H512,'Contas Orç'!A:B,2,0),"N/A")</f>
        <v>OUTRAS RECEITAS</v>
      </c>
      <c r="B512" s="7" t="str">
        <f t="shared" si="14"/>
        <v>310901 - OUTRAS RECEITAS</v>
      </c>
      <c r="C512" s="25">
        <f t="shared" si="15"/>
        <v>44743</v>
      </c>
      <c r="D512" s="27">
        <f>IF(K512="CREDITO",Q512,Q512*-1)</f>
        <v>1780177.14</v>
      </c>
      <c r="E512" t="s">
        <v>894</v>
      </c>
      <c r="F512" t="s">
        <v>1005</v>
      </c>
      <c r="G512" s="8">
        <v>44743</v>
      </c>
      <c r="H512" t="s">
        <v>627</v>
      </c>
      <c r="I512" t="s">
        <v>40</v>
      </c>
      <c r="J512" t="s">
        <v>54</v>
      </c>
      <c r="K512" t="s">
        <v>29</v>
      </c>
      <c r="L512" t="s">
        <v>895</v>
      </c>
      <c r="M512" t="s">
        <v>4402</v>
      </c>
      <c r="O512" t="s">
        <v>896</v>
      </c>
      <c r="P512" t="s">
        <v>33</v>
      </c>
      <c r="Q512" s="22">
        <v>1780177.14</v>
      </c>
      <c r="R512" t="s">
        <v>35</v>
      </c>
      <c r="S512" t="s">
        <v>35</v>
      </c>
      <c r="T512" t="s">
        <v>35</v>
      </c>
      <c r="U512" t="s">
        <v>35</v>
      </c>
      <c r="V512" t="s">
        <v>645</v>
      </c>
      <c r="W512" t="s">
        <v>113</v>
      </c>
    </row>
    <row r="513" spans="1:23" hidden="1" x14ac:dyDescent="0.25">
      <c r="A513" s="7" t="str">
        <f>IFERROR(VLOOKUP(H513,'Contas Orç'!A:B,2,0),"N/A")</f>
        <v>OUTRAS RECEITAS</v>
      </c>
      <c r="B513" s="7" t="str">
        <f t="shared" si="14"/>
        <v>310901 - OUTRAS RECEITAS</v>
      </c>
      <c r="C513" s="25">
        <f t="shared" si="15"/>
        <v>44743</v>
      </c>
      <c r="D513" s="27">
        <f>IF(K513="CREDITO",Q513,Q513*-1)</f>
        <v>6639.24</v>
      </c>
      <c r="E513" t="s">
        <v>894</v>
      </c>
      <c r="F513" t="s">
        <v>1006</v>
      </c>
      <c r="G513" s="8">
        <v>44743</v>
      </c>
      <c r="H513" t="s">
        <v>627</v>
      </c>
      <c r="I513" t="s">
        <v>1002</v>
      </c>
      <c r="J513" t="s">
        <v>54</v>
      </c>
      <c r="K513" t="s">
        <v>29</v>
      </c>
      <c r="L513" t="s">
        <v>895</v>
      </c>
      <c r="M513" t="s">
        <v>4402</v>
      </c>
      <c r="O513" t="s">
        <v>896</v>
      </c>
      <c r="P513" t="s">
        <v>33</v>
      </c>
      <c r="Q513" s="22">
        <v>6639.24</v>
      </c>
      <c r="R513" t="s">
        <v>35</v>
      </c>
      <c r="S513" t="s">
        <v>35</v>
      </c>
      <c r="T513" t="s">
        <v>35</v>
      </c>
      <c r="U513" t="s">
        <v>35</v>
      </c>
      <c r="V513" t="s">
        <v>645</v>
      </c>
      <c r="W513" t="s">
        <v>113</v>
      </c>
    </row>
    <row r="514" spans="1:23" hidden="1" x14ac:dyDescent="0.25">
      <c r="A514" s="7" t="str">
        <f>IFERROR(VLOOKUP(H514,'Contas Orç'!A:B,2,0),"N/A")</f>
        <v>OUTRAS RECEITAS</v>
      </c>
      <c r="B514" s="7" t="str">
        <f t="shared" si="14"/>
        <v>310901 - OUTRAS RECEITAS</v>
      </c>
      <c r="C514" s="25">
        <f t="shared" si="15"/>
        <v>44774</v>
      </c>
      <c r="D514" s="27">
        <f>IF(K514="CREDITO",Q514,Q514*-1)</f>
        <v>71.510000000000005</v>
      </c>
      <c r="E514" t="s">
        <v>894</v>
      </c>
      <c r="F514" t="s">
        <v>1007</v>
      </c>
      <c r="G514" s="8">
        <v>44774</v>
      </c>
      <c r="H514" t="s">
        <v>627</v>
      </c>
      <c r="I514" t="s">
        <v>27</v>
      </c>
      <c r="J514" t="s">
        <v>28</v>
      </c>
      <c r="K514" t="s">
        <v>29</v>
      </c>
      <c r="L514" t="s">
        <v>895</v>
      </c>
      <c r="M514" t="s">
        <v>4402</v>
      </c>
      <c r="O514" t="s">
        <v>896</v>
      </c>
      <c r="P514" t="s">
        <v>33</v>
      </c>
      <c r="Q514">
        <v>71.510000000000005</v>
      </c>
      <c r="R514" t="s">
        <v>35</v>
      </c>
      <c r="S514" t="s">
        <v>35</v>
      </c>
      <c r="T514" t="s">
        <v>35</v>
      </c>
      <c r="U514" t="s">
        <v>35</v>
      </c>
      <c r="V514" t="s">
        <v>645</v>
      </c>
      <c r="W514" t="s">
        <v>113</v>
      </c>
    </row>
    <row r="515" spans="1:23" hidden="1" x14ac:dyDescent="0.25">
      <c r="A515" s="7" t="str">
        <f>IFERROR(VLOOKUP(H515,'Contas Orç'!A:B,2,0),"N/A")</f>
        <v>OUTRAS RECEITAS</v>
      </c>
      <c r="B515" s="7" t="str">
        <f t="shared" ref="B515:B578" si="16">_xlfn.CONCAT(H515," - ",A515)</f>
        <v>310901 - OUTRAS RECEITAS</v>
      </c>
      <c r="C515" s="25">
        <f t="shared" ref="C515:C578" si="17">DATE(YEAR(G515),MONTH(G515),1)</f>
        <v>44774</v>
      </c>
      <c r="D515" s="27">
        <f>IF(K515="CREDITO",Q515,Q515*-1)</f>
        <v>2886437.37</v>
      </c>
      <c r="E515" t="s">
        <v>894</v>
      </c>
      <c r="F515" t="s">
        <v>1008</v>
      </c>
      <c r="G515" s="8">
        <v>44774</v>
      </c>
      <c r="H515" t="s">
        <v>627</v>
      </c>
      <c r="I515" t="s">
        <v>40</v>
      </c>
      <c r="J515" t="s">
        <v>54</v>
      </c>
      <c r="K515" t="s">
        <v>29</v>
      </c>
      <c r="L515" t="s">
        <v>895</v>
      </c>
      <c r="M515" t="s">
        <v>4402</v>
      </c>
      <c r="O515" t="s">
        <v>896</v>
      </c>
      <c r="P515" t="s">
        <v>33</v>
      </c>
      <c r="Q515" s="22">
        <v>2886437.37</v>
      </c>
      <c r="R515" t="s">
        <v>35</v>
      </c>
      <c r="S515" t="s">
        <v>35</v>
      </c>
      <c r="T515" t="s">
        <v>35</v>
      </c>
      <c r="U515" t="s">
        <v>35</v>
      </c>
      <c r="V515" t="s">
        <v>645</v>
      </c>
      <c r="W515" t="s">
        <v>113</v>
      </c>
    </row>
    <row r="516" spans="1:23" hidden="1" x14ac:dyDescent="0.25">
      <c r="A516" s="7" t="str">
        <f>IFERROR(VLOOKUP(H516,'Contas Orç'!A:B,2,0),"N/A")</f>
        <v>OUTRAS RECEITAS</v>
      </c>
      <c r="B516" s="7" t="str">
        <f t="shared" si="16"/>
        <v>310901 - OUTRAS RECEITAS</v>
      </c>
      <c r="C516" s="25">
        <f t="shared" si="17"/>
        <v>44774</v>
      </c>
      <c r="D516" s="27">
        <f>IF(K516="CREDITO",Q516,Q516*-1)</f>
        <v>30953.58</v>
      </c>
      <c r="E516" t="s">
        <v>894</v>
      </c>
      <c r="F516" t="s">
        <v>1009</v>
      </c>
      <c r="G516" s="8">
        <v>44774</v>
      </c>
      <c r="H516" t="s">
        <v>627</v>
      </c>
      <c r="I516" t="s">
        <v>1002</v>
      </c>
      <c r="J516" t="s">
        <v>54</v>
      </c>
      <c r="K516" t="s">
        <v>29</v>
      </c>
      <c r="L516" t="s">
        <v>895</v>
      </c>
      <c r="M516" t="s">
        <v>4402</v>
      </c>
      <c r="O516" t="s">
        <v>896</v>
      </c>
      <c r="P516" t="s">
        <v>33</v>
      </c>
      <c r="Q516" s="22">
        <v>30953.58</v>
      </c>
      <c r="R516" t="s">
        <v>35</v>
      </c>
      <c r="S516" t="s">
        <v>35</v>
      </c>
      <c r="T516" t="s">
        <v>35</v>
      </c>
      <c r="U516" t="s">
        <v>35</v>
      </c>
      <c r="V516" t="s">
        <v>645</v>
      </c>
      <c r="W516" t="s">
        <v>113</v>
      </c>
    </row>
    <row r="517" spans="1:23" hidden="1" x14ac:dyDescent="0.25">
      <c r="A517" s="7" t="str">
        <f>IFERROR(VLOOKUP(H517,'Contas Orç'!A:B,2,0),"N/A")</f>
        <v>OUTRAS RECEITAS</v>
      </c>
      <c r="B517" s="7" t="str">
        <f t="shared" si="16"/>
        <v>310901 - OUTRAS RECEITAS</v>
      </c>
      <c r="C517" s="25">
        <f t="shared" si="17"/>
        <v>44805</v>
      </c>
      <c r="D517" s="27">
        <f>IF(K517="CREDITO",Q517,Q517*-1)</f>
        <v>185605.93</v>
      </c>
      <c r="E517" t="s">
        <v>894</v>
      </c>
      <c r="F517" t="s">
        <v>1010</v>
      </c>
      <c r="G517" s="8">
        <v>44805</v>
      </c>
      <c r="H517" t="s">
        <v>627</v>
      </c>
      <c r="I517" t="s">
        <v>40</v>
      </c>
      <c r="J517" t="s">
        <v>54</v>
      </c>
      <c r="K517" t="s">
        <v>29</v>
      </c>
      <c r="L517" t="s">
        <v>895</v>
      </c>
      <c r="M517" t="s">
        <v>4402</v>
      </c>
      <c r="O517" t="s">
        <v>896</v>
      </c>
      <c r="P517" t="s">
        <v>33</v>
      </c>
      <c r="Q517" s="22">
        <v>185605.93</v>
      </c>
      <c r="R517" t="s">
        <v>35</v>
      </c>
      <c r="S517" t="s">
        <v>35</v>
      </c>
      <c r="T517" t="s">
        <v>35</v>
      </c>
      <c r="U517" t="s">
        <v>35</v>
      </c>
      <c r="V517" t="s">
        <v>645</v>
      </c>
      <c r="W517" t="s">
        <v>113</v>
      </c>
    </row>
    <row r="518" spans="1:23" hidden="1" x14ac:dyDescent="0.25">
      <c r="A518" s="7" t="str">
        <f>IFERROR(VLOOKUP(H518,'Contas Orç'!A:B,2,0),"N/A")</f>
        <v>OUTRAS RECEITAS</v>
      </c>
      <c r="B518" s="7" t="str">
        <f t="shared" si="16"/>
        <v>310901 - OUTRAS RECEITAS</v>
      </c>
      <c r="C518" s="25">
        <f t="shared" si="17"/>
        <v>44805</v>
      </c>
      <c r="D518" s="27">
        <f>IF(K518="CREDITO",Q518,Q518*-1)</f>
        <v>27984.11</v>
      </c>
      <c r="E518" t="s">
        <v>894</v>
      </c>
      <c r="F518" t="s">
        <v>1011</v>
      </c>
      <c r="G518" s="8">
        <v>44805</v>
      </c>
      <c r="H518" t="s">
        <v>627</v>
      </c>
      <c r="I518" t="s">
        <v>1002</v>
      </c>
      <c r="J518" t="s">
        <v>54</v>
      </c>
      <c r="K518" t="s">
        <v>29</v>
      </c>
      <c r="L518" t="s">
        <v>895</v>
      </c>
      <c r="M518" t="s">
        <v>4402</v>
      </c>
      <c r="O518" t="s">
        <v>896</v>
      </c>
      <c r="P518" t="s">
        <v>33</v>
      </c>
      <c r="Q518" s="22">
        <v>27984.11</v>
      </c>
      <c r="R518" t="s">
        <v>35</v>
      </c>
      <c r="S518" t="s">
        <v>35</v>
      </c>
      <c r="T518" t="s">
        <v>35</v>
      </c>
      <c r="U518" t="s">
        <v>35</v>
      </c>
      <c r="V518" t="s">
        <v>645</v>
      </c>
      <c r="W518" t="s">
        <v>113</v>
      </c>
    </row>
    <row r="519" spans="1:23" hidden="1" x14ac:dyDescent="0.25">
      <c r="A519" s="7" t="str">
        <f>IFERROR(VLOOKUP(H519,'Contas Orç'!A:B,2,0),"N/A")</f>
        <v>OUTRAS RECEITAS</v>
      </c>
      <c r="B519" s="7" t="str">
        <f t="shared" si="16"/>
        <v>310901 - OUTRAS RECEITAS</v>
      </c>
      <c r="C519" s="25">
        <f t="shared" si="17"/>
        <v>44835</v>
      </c>
      <c r="D519" s="27">
        <f>IF(K519="CREDITO",Q519,Q519*-1)</f>
        <v>187461.99</v>
      </c>
      <c r="E519" t="s">
        <v>894</v>
      </c>
      <c r="F519" t="s">
        <v>1012</v>
      </c>
      <c r="G519" s="8">
        <v>44835</v>
      </c>
      <c r="H519" t="s">
        <v>627</v>
      </c>
      <c r="I519" t="s">
        <v>40</v>
      </c>
      <c r="J519" t="s">
        <v>54</v>
      </c>
      <c r="K519" t="s">
        <v>29</v>
      </c>
      <c r="L519" t="s">
        <v>895</v>
      </c>
      <c r="M519" t="s">
        <v>4402</v>
      </c>
      <c r="O519" t="s">
        <v>896</v>
      </c>
      <c r="P519" t="s">
        <v>33</v>
      </c>
      <c r="Q519" s="22">
        <v>187461.99</v>
      </c>
      <c r="R519" t="s">
        <v>35</v>
      </c>
      <c r="S519" t="s">
        <v>35</v>
      </c>
      <c r="T519" t="s">
        <v>35</v>
      </c>
      <c r="U519" t="s">
        <v>35</v>
      </c>
      <c r="V519" t="s">
        <v>645</v>
      </c>
      <c r="W519" t="s">
        <v>113</v>
      </c>
    </row>
    <row r="520" spans="1:23" hidden="1" x14ac:dyDescent="0.25">
      <c r="A520" s="7" t="str">
        <f>IFERROR(VLOOKUP(H520,'Contas Orç'!A:B,2,0),"N/A")</f>
        <v>OUTRAS RECEITAS</v>
      </c>
      <c r="B520" s="7" t="str">
        <f t="shared" si="16"/>
        <v>310901 - OUTRAS RECEITAS</v>
      </c>
      <c r="C520" s="25">
        <f t="shared" si="17"/>
        <v>44835</v>
      </c>
      <c r="D520" s="27">
        <f>IF(K520="CREDITO",Q520,Q520*-1)</f>
        <v>28263.95</v>
      </c>
      <c r="E520" t="s">
        <v>894</v>
      </c>
      <c r="F520" t="s">
        <v>1013</v>
      </c>
      <c r="G520" s="8">
        <v>44835</v>
      </c>
      <c r="H520" t="s">
        <v>627</v>
      </c>
      <c r="I520" t="s">
        <v>1002</v>
      </c>
      <c r="J520" t="s">
        <v>54</v>
      </c>
      <c r="K520" t="s">
        <v>29</v>
      </c>
      <c r="L520" t="s">
        <v>895</v>
      </c>
      <c r="M520" t="s">
        <v>4402</v>
      </c>
      <c r="O520" t="s">
        <v>896</v>
      </c>
      <c r="P520" t="s">
        <v>33</v>
      </c>
      <c r="Q520" s="22">
        <v>28263.95</v>
      </c>
      <c r="R520" t="s">
        <v>35</v>
      </c>
      <c r="S520" t="s">
        <v>35</v>
      </c>
      <c r="T520" t="s">
        <v>35</v>
      </c>
      <c r="U520" t="s">
        <v>35</v>
      </c>
      <c r="V520" t="s">
        <v>645</v>
      </c>
      <c r="W520" t="s">
        <v>113</v>
      </c>
    </row>
    <row r="521" spans="1:23" hidden="1" x14ac:dyDescent="0.25">
      <c r="A521" s="7" t="str">
        <f>IFERROR(VLOOKUP(H521,'Contas Orç'!A:B,2,0),"N/A")</f>
        <v>OUTRAS RECEITAS</v>
      </c>
      <c r="B521" s="7" t="str">
        <f t="shared" si="16"/>
        <v>310901 - OUTRAS RECEITAS</v>
      </c>
      <c r="C521" s="25">
        <f t="shared" si="17"/>
        <v>44866</v>
      </c>
      <c r="D521" s="27">
        <f>IF(K521="CREDITO",Q521,Q521*-1)</f>
        <v>189336.61</v>
      </c>
      <c r="E521" t="s">
        <v>894</v>
      </c>
      <c r="F521" t="s">
        <v>1014</v>
      </c>
      <c r="G521" s="8">
        <v>44866</v>
      </c>
      <c r="H521" t="s">
        <v>627</v>
      </c>
      <c r="I521" t="s">
        <v>40</v>
      </c>
      <c r="J521" t="s">
        <v>54</v>
      </c>
      <c r="K521" t="s">
        <v>29</v>
      </c>
      <c r="L521" t="s">
        <v>895</v>
      </c>
      <c r="M521" t="s">
        <v>4402</v>
      </c>
      <c r="O521" t="s">
        <v>896</v>
      </c>
      <c r="P521" t="s">
        <v>33</v>
      </c>
      <c r="Q521" s="22">
        <v>189336.61</v>
      </c>
      <c r="R521" t="s">
        <v>35</v>
      </c>
      <c r="S521" t="s">
        <v>35</v>
      </c>
      <c r="T521" t="s">
        <v>35</v>
      </c>
      <c r="U521" t="s">
        <v>35</v>
      </c>
      <c r="V521" t="s">
        <v>645</v>
      </c>
      <c r="W521" t="s">
        <v>113</v>
      </c>
    </row>
    <row r="522" spans="1:23" hidden="1" x14ac:dyDescent="0.25">
      <c r="A522" s="7" t="str">
        <f>IFERROR(VLOOKUP(H522,'Contas Orç'!A:B,2,0),"N/A")</f>
        <v>OUTRAS RECEITAS</v>
      </c>
      <c r="B522" s="7" t="str">
        <f t="shared" si="16"/>
        <v>310901 - OUTRAS RECEITAS</v>
      </c>
      <c r="C522" s="25">
        <f t="shared" si="17"/>
        <v>44866</v>
      </c>
      <c r="D522" s="27">
        <f>IF(K522="CREDITO",Q522,Q522*-1)</f>
        <v>28546.59</v>
      </c>
      <c r="E522" t="s">
        <v>894</v>
      </c>
      <c r="F522" t="s">
        <v>1015</v>
      </c>
      <c r="G522" s="8">
        <v>44866</v>
      </c>
      <c r="H522" t="s">
        <v>627</v>
      </c>
      <c r="I522" t="s">
        <v>1002</v>
      </c>
      <c r="J522" t="s">
        <v>54</v>
      </c>
      <c r="K522" t="s">
        <v>29</v>
      </c>
      <c r="L522" t="s">
        <v>895</v>
      </c>
      <c r="M522" t="s">
        <v>4402</v>
      </c>
      <c r="O522" t="s">
        <v>896</v>
      </c>
      <c r="P522" t="s">
        <v>33</v>
      </c>
      <c r="Q522" s="22">
        <v>28546.59</v>
      </c>
      <c r="R522" t="s">
        <v>35</v>
      </c>
      <c r="S522" t="s">
        <v>35</v>
      </c>
      <c r="T522" t="s">
        <v>35</v>
      </c>
      <c r="U522" t="s">
        <v>35</v>
      </c>
      <c r="V522" t="s">
        <v>645</v>
      </c>
      <c r="W522" t="s">
        <v>113</v>
      </c>
    </row>
    <row r="523" spans="1:23" hidden="1" x14ac:dyDescent="0.25">
      <c r="A523" s="7" t="str">
        <f>IFERROR(VLOOKUP(H523,'Contas Orç'!A:B,2,0),"N/A")</f>
        <v>OUTRAS RECEITAS</v>
      </c>
      <c r="B523" s="7" t="str">
        <f t="shared" si="16"/>
        <v>310901 - OUTRAS RECEITAS</v>
      </c>
      <c r="C523" s="25">
        <f t="shared" si="17"/>
        <v>44896</v>
      </c>
      <c r="D523" s="27">
        <f>IF(K523="CREDITO",Q523,Q523*-1)</f>
        <v>191229.98</v>
      </c>
      <c r="E523" t="s">
        <v>894</v>
      </c>
      <c r="F523" t="s">
        <v>1016</v>
      </c>
      <c r="G523" s="8">
        <v>44896</v>
      </c>
      <c r="H523" t="s">
        <v>627</v>
      </c>
      <c r="I523" t="s">
        <v>40</v>
      </c>
      <c r="J523" t="s">
        <v>54</v>
      </c>
      <c r="K523" t="s">
        <v>29</v>
      </c>
      <c r="L523" t="s">
        <v>895</v>
      </c>
      <c r="M523" t="s">
        <v>4402</v>
      </c>
      <c r="O523" t="s">
        <v>896</v>
      </c>
      <c r="P523" t="s">
        <v>33</v>
      </c>
      <c r="Q523" s="22">
        <v>191229.98</v>
      </c>
      <c r="R523" t="s">
        <v>35</v>
      </c>
      <c r="S523" t="s">
        <v>35</v>
      </c>
      <c r="T523" t="s">
        <v>35</v>
      </c>
      <c r="U523" t="s">
        <v>35</v>
      </c>
      <c r="V523" t="s">
        <v>645</v>
      </c>
      <c r="W523" t="s">
        <v>113</v>
      </c>
    </row>
    <row r="524" spans="1:23" hidden="1" x14ac:dyDescent="0.25">
      <c r="A524" s="7" t="str">
        <f>IFERROR(VLOOKUP(H524,'Contas Orç'!A:B,2,0),"N/A")</f>
        <v>OUTRAS RECEITAS</v>
      </c>
      <c r="B524" s="7" t="str">
        <f t="shared" si="16"/>
        <v>310901 - OUTRAS RECEITAS</v>
      </c>
      <c r="C524" s="25">
        <f t="shared" si="17"/>
        <v>44896</v>
      </c>
      <c r="D524" s="27">
        <f>IF(K524="CREDITO",Q524,Q524*-1)</f>
        <v>28832.06</v>
      </c>
      <c r="E524" t="s">
        <v>894</v>
      </c>
      <c r="F524" t="s">
        <v>1017</v>
      </c>
      <c r="G524" s="8">
        <v>44896</v>
      </c>
      <c r="H524" t="s">
        <v>627</v>
      </c>
      <c r="I524" t="s">
        <v>1002</v>
      </c>
      <c r="J524" t="s">
        <v>54</v>
      </c>
      <c r="K524" t="s">
        <v>29</v>
      </c>
      <c r="L524" t="s">
        <v>895</v>
      </c>
      <c r="M524" t="s">
        <v>4402</v>
      </c>
      <c r="O524" t="s">
        <v>896</v>
      </c>
      <c r="P524" t="s">
        <v>33</v>
      </c>
      <c r="Q524" s="22">
        <v>28832.06</v>
      </c>
      <c r="R524" t="s">
        <v>35</v>
      </c>
      <c r="S524" t="s">
        <v>35</v>
      </c>
      <c r="T524" t="s">
        <v>35</v>
      </c>
      <c r="U524" t="s">
        <v>35</v>
      </c>
      <c r="V524" t="s">
        <v>645</v>
      </c>
      <c r="W524" t="s">
        <v>113</v>
      </c>
    </row>
    <row r="525" spans="1:23" hidden="1" x14ac:dyDescent="0.25">
      <c r="A525" s="7" t="str">
        <f>IFERROR(VLOOKUP(H525,'Contas Orç'!A:B,2,0),"N/A")</f>
        <v>REMUNERACOES</v>
      </c>
      <c r="B525" s="7" t="str">
        <f t="shared" si="16"/>
        <v>320101 - REMUNERACOES</v>
      </c>
      <c r="C525" s="25">
        <f t="shared" si="17"/>
        <v>44562</v>
      </c>
      <c r="D525" s="27">
        <f>IF(K525="CREDITO",Q525,Q525*-1)</f>
        <v>991.92</v>
      </c>
      <c r="E525" t="s">
        <v>894</v>
      </c>
      <c r="F525" t="s">
        <v>1018</v>
      </c>
      <c r="G525" s="8">
        <v>44562</v>
      </c>
      <c r="H525" t="s">
        <v>508</v>
      </c>
      <c r="I525" t="s">
        <v>53</v>
      </c>
      <c r="J525" t="s">
        <v>28</v>
      </c>
      <c r="K525" t="s">
        <v>29</v>
      </c>
      <c r="L525" t="s">
        <v>895</v>
      </c>
      <c r="M525" t="s">
        <v>4402</v>
      </c>
      <c r="O525" t="s">
        <v>896</v>
      </c>
      <c r="P525" t="s">
        <v>33</v>
      </c>
      <c r="Q525">
        <v>991.92</v>
      </c>
      <c r="R525" t="s">
        <v>35</v>
      </c>
      <c r="S525" t="s">
        <v>35</v>
      </c>
      <c r="T525" t="s">
        <v>35</v>
      </c>
      <c r="U525" t="s">
        <v>35</v>
      </c>
      <c r="V525" t="s">
        <v>645</v>
      </c>
      <c r="W525" t="s">
        <v>113</v>
      </c>
    </row>
    <row r="526" spans="1:23" hidden="1" x14ac:dyDescent="0.25">
      <c r="A526" s="7" t="str">
        <f>IFERROR(VLOOKUP(H526,'Contas Orç'!A:B,2,0),"N/A")</f>
        <v>REMUNERACOES</v>
      </c>
      <c r="B526" s="7" t="str">
        <f t="shared" si="16"/>
        <v>320101 - REMUNERACOES</v>
      </c>
      <c r="C526" s="25">
        <f t="shared" si="17"/>
        <v>44562</v>
      </c>
      <c r="D526" s="27">
        <f>IF(K526="CREDITO",Q526,Q526*-1)</f>
        <v>65254.96</v>
      </c>
      <c r="E526" t="s">
        <v>894</v>
      </c>
      <c r="F526" t="s">
        <v>1019</v>
      </c>
      <c r="G526" s="8">
        <v>44562</v>
      </c>
      <c r="H526" t="s">
        <v>508</v>
      </c>
      <c r="I526" t="s">
        <v>88</v>
      </c>
      <c r="J526" t="s">
        <v>28</v>
      </c>
      <c r="K526" t="s">
        <v>29</v>
      </c>
      <c r="L526" t="s">
        <v>895</v>
      </c>
      <c r="M526" t="s">
        <v>4402</v>
      </c>
      <c r="O526" t="s">
        <v>896</v>
      </c>
      <c r="P526" t="s">
        <v>33</v>
      </c>
      <c r="Q526" s="22">
        <v>65254.96</v>
      </c>
      <c r="R526" t="s">
        <v>35</v>
      </c>
      <c r="S526" t="s">
        <v>35</v>
      </c>
      <c r="T526" t="s">
        <v>35</v>
      </c>
      <c r="U526" t="s">
        <v>35</v>
      </c>
      <c r="V526" t="s">
        <v>645</v>
      </c>
      <c r="W526" t="s">
        <v>113</v>
      </c>
    </row>
    <row r="527" spans="1:23" hidden="1" x14ac:dyDescent="0.25">
      <c r="A527" s="7" t="str">
        <f>IFERROR(VLOOKUP(H527,'Contas Orç'!A:B,2,0),"N/A")</f>
        <v>REMUNERACOES</v>
      </c>
      <c r="B527" s="7" t="str">
        <f t="shared" si="16"/>
        <v>320101 - REMUNERACOES</v>
      </c>
      <c r="C527" s="25">
        <f t="shared" si="17"/>
        <v>44562</v>
      </c>
      <c r="D527" s="27">
        <f>IF(K527="CREDITO",Q527,Q527*-1)</f>
        <v>238023.76</v>
      </c>
      <c r="E527" t="s">
        <v>894</v>
      </c>
      <c r="F527" t="s">
        <v>1020</v>
      </c>
      <c r="G527" s="8">
        <v>44562</v>
      </c>
      <c r="H527" t="s">
        <v>508</v>
      </c>
      <c r="I527" t="s">
        <v>27</v>
      </c>
      <c r="J527" t="s">
        <v>28</v>
      </c>
      <c r="K527" t="s">
        <v>29</v>
      </c>
      <c r="L527" t="s">
        <v>895</v>
      </c>
      <c r="M527" t="s">
        <v>4402</v>
      </c>
      <c r="O527" t="s">
        <v>896</v>
      </c>
      <c r="P527" t="s">
        <v>33</v>
      </c>
      <c r="Q527" s="22">
        <v>238023.76</v>
      </c>
      <c r="R527" t="s">
        <v>35</v>
      </c>
      <c r="S527" t="s">
        <v>35</v>
      </c>
      <c r="T527" t="s">
        <v>35</v>
      </c>
      <c r="U527" t="s">
        <v>35</v>
      </c>
      <c r="V527" t="s">
        <v>645</v>
      </c>
      <c r="W527" t="s">
        <v>113</v>
      </c>
    </row>
    <row r="528" spans="1:23" hidden="1" x14ac:dyDescent="0.25">
      <c r="A528" s="7" t="str">
        <f>IFERROR(VLOOKUP(H528,'Contas Orç'!A:B,2,0),"N/A")</f>
        <v>REMUNERACOES</v>
      </c>
      <c r="B528" s="7" t="str">
        <f t="shared" si="16"/>
        <v>320101 - REMUNERACOES</v>
      </c>
      <c r="C528" s="25">
        <f t="shared" si="17"/>
        <v>44562</v>
      </c>
      <c r="D528" s="27">
        <f>IF(K528="CREDITO",Q528,Q528*-1)</f>
        <v>6970.08</v>
      </c>
      <c r="E528" t="s">
        <v>894</v>
      </c>
      <c r="F528" t="s">
        <v>1021</v>
      </c>
      <c r="G528" s="8">
        <v>44562</v>
      </c>
      <c r="H528" t="s">
        <v>508</v>
      </c>
      <c r="I528" t="s">
        <v>59</v>
      </c>
      <c r="J528" t="s">
        <v>28</v>
      </c>
      <c r="K528" t="s">
        <v>29</v>
      </c>
      <c r="L528" t="s">
        <v>895</v>
      </c>
      <c r="M528" t="s">
        <v>4402</v>
      </c>
      <c r="O528" t="s">
        <v>896</v>
      </c>
      <c r="P528" t="s">
        <v>33</v>
      </c>
      <c r="Q528" s="22">
        <v>6970.08</v>
      </c>
      <c r="R528" t="s">
        <v>35</v>
      </c>
      <c r="S528" t="s">
        <v>35</v>
      </c>
      <c r="T528" t="s">
        <v>35</v>
      </c>
      <c r="U528" t="s">
        <v>35</v>
      </c>
      <c r="V528" t="s">
        <v>645</v>
      </c>
      <c r="W528" t="s">
        <v>113</v>
      </c>
    </row>
    <row r="529" spans="1:23" hidden="1" x14ac:dyDescent="0.25">
      <c r="A529" s="7" t="str">
        <f>IFERROR(VLOOKUP(H529,'Contas Orç'!A:B,2,0),"N/A")</f>
        <v>REMUNERACOES</v>
      </c>
      <c r="B529" s="7" t="str">
        <f t="shared" si="16"/>
        <v>320101 - REMUNERACOES</v>
      </c>
      <c r="C529" s="25">
        <f t="shared" si="17"/>
        <v>44562</v>
      </c>
      <c r="D529" s="27">
        <f>IF(K529="CREDITO",Q529,Q529*-1)</f>
        <v>85637.36</v>
      </c>
      <c r="E529" t="s">
        <v>894</v>
      </c>
      <c r="F529" t="s">
        <v>1022</v>
      </c>
      <c r="G529" s="8">
        <v>44562</v>
      </c>
      <c r="H529" t="s">
        <v>508</v>
      </c>
      <c r="I529" t="s">
        <v>53</v>
      </c>
      <c r="J529" t="s">
        <v>60</v>
      </c>
      <c r="K529" t="s">
        <v>29</v>
      </c>
      <c r="L529" t="s">
        <v>895</v>
      </c>
      <c r="M529" t="s">
        <v>4402</v>
      </c>
      <c r="O529" t="s">
        <v>896</v>
      </c>
      <c r="P529" t="s">
        <v>33</v>
      </c>
      <c r="Q529" s="22">
        <v>85637.36</v>
      </c>
      <c r="R529" t="s">
        <v>35</v>
      </c>
      <c r="S529" t="s">
        <v>35</v>
      </c>
      <c r="T529" t="s">
        <v>35</v>
      </c>
      <c r="U529" t="s">
        <v>35</v>
      </c>
      <c r="V529" t="s">
        <v>645</v>
      </c>
      <c r="W529" t="s">
        <v>113</v>
      </c>
    </row>
    <row r="530" spans="1:23" hidden="1" x14ac:dyDescent="0.25">
      <c r="A530" s="7" t="str">
        <f>IFERROR(VLOOKUP(H530,'Contas Orç'!A:B,2,0),"N/A")</f>
        <v>REMUNERACOES</v>
      </c>
      <c r="B530" s="7" t="str">
        <f t="shared" si="16"/>
        <v>320101 - REMUNERACOES</v>
      </c>
      <c r="C530" s="25">
        <f t="shared" si="17"/>
        <v>44562</v>
      </c>
      <c r="D530" s="27">
        <f>IF(K530="CREDITO",Q530,Q530*-1)</f>
        <v>276289.15000000002</v>
      </c>
      <c r="E530" t="s">
        <v>894</v>
      </c>
      <c r="F530" t="s">
        <v>1023</v>
      </c>
      <c r="G530" s="8">
        <v>44562</v>
      </c>
      <c r="H530" t="s">
        <v>508</v>
      </c>
      <c r="I530" t="s">
        <v>106</v>
      </c>
      <c r="J530" t="s">
        <v>60</v>
      </c>
      <c r="K530" t="s">
        <v>29</v>
      </c>
      <c r="L530" t="s">
        <v>895</v>
      </c>
      <c r="M530" t="s">
        <v>4402</v>
      </c>
      <c r="O530" t="s">
        <v>896</v>
      </c>
      <c r="P530" t="s">
        <v>33</v>
      </c>
      <c r="Q530" s="22">
        <v>276289.15000000002</v>
      </c>
      <c r="R530" t="s">
        <v>35</v>
      </c>
      <c r="S530" t="s">
        <v>35</v>
      </c>
      <c r="T530" t="s">
        <v>35</v>
      </c>
      <c r="U530" t="s">
        <v>35</v>
      </c>
      <c r="V530" t="s">
        <v>645</v>
      </c>
      <c r="W530" t="s">
        <v>113</v>
      </c>
    </row>
    <row r="531" spans="1:23" hidden="1" x14ac:dyDescent="0.25">
      <c r="A531" s="7" t="str">
        <f>IFERROR(VLOOKUP(H531,'Contas Orç'!A:B,2,0),"N/A")</f>
        <v>REMUNERACOES</v>
      </c>
      <c r="B531" s="7" t="str">
        <f t="shared" si="16"/>
        <v>320101 - REMUNERACOES</v>
      </c>
      <c r="C531" s="25">
        <f t="shared" si="17"/>
        <v>44562</v>
      </c>
      <c r="D531" s="27">
        <f>IF(K531="CREDITO",Q531,Q531*-1)</f>
        <v>1402405.57</v>
      </c>
      <c r="E531" t="s">
        <v>894</v>
      </c>
      <c r="F531" t="s">
        <v>1024</v>
      </c>
      <c r="G531" s="8">
        <v>44562</v>
      </c>
      <c r="H531" t="s">
        <v>508</v>
      </c>
      <c r="I531" t="s">
        <v>59</v>
      </c>
      <c r="J531" t="s">
        <v>60</v>
      </c>
      <c r="K531" t="s">
        <v>29</v>
      </c>
      <c r="L531" t="s">
        <v>895</v>
      </c>
      <c r="M531" t="s">
        <v>4402</v>
      </c>
      <c r="O531" t="s">
        <v>896</v>
      </c>
      <c r="P531" t="s">
        <v>33</v>
      </c>
      <c r="Q531" s="22">
        <v>1402405.57</v>
      </c>
      <c r="R531" t="s">
        <v>35</v>
      </c>
      <c r="S531" t="s">
        <v>35</v>
      </c>
      <c r="T531" t="s">
        <v>35</v>
      </c>
      <c r="U531" t="s">
        <v>35</v>
      </c>
      <c r="V531" t="s">
        <v>645</v>
      </c>
      <c r="W531" t="s">
        <v>113</v>
      </c>
    </row>
    <row r="532" spans="1:23" hidden="1" x14ac:dyDescent="0.25">
      <c r="A532" s="7" t="str">
        <f>IFERROR(VLOOKUP(H532,'Contas Orç'!A:B,2,0),"N/A")</f>
        <v>REMUNERACOES</v>
      </c>
      <c r="B532" s="7" t="str">
        <f t="shared" si="16"/>
        <v>320101 - REMUNERACOES</v>
      </c>
      <c r="C532" s="25">
        <f t="shared" si="17"/>
        <v>44562</v>
      </c>
      <c r="D532" s="27">
        <f>IF(K532="CREDITO",Q532,Q532*-1)</f>
        <v>20718.490000000002</v>
      </c>
      <c r="E532" t="s">
        <v>894</v>
      </c>
      <c r="F532" t="s">
        <v>1025</v>
      </c>
      <c r="G532" s="8">
        <v>44562</v>
      </c>
      <c r="H532" t="s">
        <v>508</v>
      </c>
      <c r="I532" t="s">
        <v>53</v>
      </c>
      <c r="J532" t="s">
        <v>702</v>
      </c>
      <c r="K532" t="s">
        <v>29</v>
      </c>
      <c r="L532" t="s">
        <v>895</v>
      </c>
      <c r="M532" t="s">
        <v>4402</v>
      </c>
      <c r="O532" t="s">
        <v>896</v>
      </c>
      <c r="P532" t="s">
        <v>33</v>
      </c>
      <c r="Q532" s="22">
        <v>20718.490000000002</v>
      </c>
      <c r="R532" t="s">
        <v>35</v>
      </c>
      <c r="S532" t="s">
        <v>35</v>
      </c>
      <c r="T532" t="s">
        <v>35</v>
      </c>
      <c r="U532" t="s">
        <v>35</v>
      </c>
      <c r="V532" t="s">
        <v>645</v>
      </c>
      <c r="W532" t="s">
        <v>113</v>
      </c>
    </row>
    <row r="533" spans="1:23" hidden="1" x14ac:dyDescent="0.25">
      <c r="A533" s="7" t="str">
        <f>IFERROR(VLOOKUP(H533,'Contas Orç'!A:B,2,0),"N/A")</f>
        <v>REMUNERACOES</v>
      </c>
      <c r="B533" s="7" t="str">
        <f t="shared" si="16"/>
        <v>320101 - REMUNERACOES</v>
      </c>
      <c r="C533" s="25">
        <f t="shared" si="17"/>
        <v>44562</v>
      </c>
      <c r="D533" s="27">
        <f>IF(K533="CREDITO",Q533,Q533*-1)</f>
        <v>104045.29</v>
      </c>
      <c r="E533" t="s">
        <v>894</v>
      </c>
      <c r="F533" t="s">
        <v>1026</v>
      </c>
      <c r="G533" s="8">
        <v>44562</v>
      </c>
      <c r="H533" t="s">
        <v>508</v>
      </c>
      <c r="I533" t="s">
        <v>59</v>
      </c>
      <c r="J533" t="s">
        <v>702</v>
      </c>
      <c r="K533" t="s">
        <v>29</v>
      </c>
      <c r="L533" t="s">
        <v>895</v>
      </c>
      <c r="M533" t="s">
        <v>4402</v>
      </c>
      <c r="O533" t="s">
        <v>896</v>
      </c>
      <c r="P533" t="s">
        <v>33</v>
      </c>
      <c r="Q533" s="22">
        <v>104045.29</v>
      </c>
      <c r="R533" t="s">
        <v>35</v>
      </c>
      <c r="S533" t="s">
        <v>35</v>
      </c>
      <c r="T533" t="s">
        <v>35</v>
      </c>
      <c r="U533" t="s">
        <v>35</v>
      </c>
      <c r="V533" t="s">
        <v>645</v>
      </c>
      <c r="W533" t="s">
        <v>113</v>
      </c>
    </row>
    <row r="534" spans="1:23" hidden="1" x14ac:dyDescent="0.25">
      <c r="A534" s="7" t="str">
        <f>IFERROR(VLOOKUP(H534,'Contas Orç'!A:B,2,0),"N/A")</f>
        <v>REMUNERACOES</v>
      </c>
      <c r="B534" s="7" t="str">
        <f t="shared" si="16"/>
        <v>320101 - REMUNERACOES</v>
      </c>
      <c r="C534" s="25">
        <f t="shared" si="17"/>
        <v>44562</v>
      </c>
      <c r="D534" s="27">
        <f>IF(K534="CREDITO",Q534,Q534*-1)</f>
        <v>23495.59</v>
      </c>
      <c r="E534" t="s">
        <v>894</v>
      </c>
      <c r="F534" t="s">
        <v>1027</v>
      </c>
      <c r="G534" s="8">
        <v>44562</v>
      </c>
      <c r="H534" t="s">
        <v>508</v>
      </c>
      <c r="I534" t="s">
        <v>125</v>
      </c>
      <c r="J534" t="s">
        <v>95</v>
      </c>
      <c r="K534" t="s">
        <v>29</v>
      </c>
      <c r="L534" t="s">
        <v>895</v>
      </c>
      <c r="M534" t="s">
        <v>4402</v>
      </c>
      <c r="O534" t="s">
        <v>896</v>
      </c>
      <c r="P534" t="s">
        <v>33</v>
      </c>
      <c r="Q534" s="22">
        <v>23495.59</v>
      </c>
      <c r="R534" t="s">
        <v>35</v>
      </c>
      <c r="S534" t="s">
        <v>35</v>
      </c>
      <c r="T534" t="s">
        <v>35</v>
      </c>
      <c r="U534" t="s">
        <v>35</v>
      </c>
      <c r="V534" t="s">
        <v>645</v>
      </c>
      <c r="W534" t="s">
        <v>113</v>
      </c>
    </row>
    <row r="535" spans="1:23" hidden="1" x14ac:dyDescent="0.25">
      <c r="A535" s="7" t="str">
        <f>IFERROR(VLOOKUP(H535,'Contas Orç'!A:B,2,0),"N/A")</f>
        <v>REMUNERACOES</v>
      </c>
      <c r="B535" s="7" t="str">
        <f t="shared" si="16"/>
        <v>320101 - REMUNERACOES</v>
      </c>
      <c r="C535" s="25">
        <f t="shared" si="17"/>
        <v>44562</v>
      </c>
      <c r="D535" s="27">
        <f>IF(K535="CREDITO",Q535,Q535*-1)</f>
        <v>8</v>
      </c>
      <c r="E535" t="s">
        <v>894</v>
      </c>
      <c r="F535" t="s">
        <v>1028</v>
      </c>
      <c r="G535" s="8">
        <v>44562</v>
      </c>
      <c r="H535" t="s">
        <v>508</v>
      </c>
      <c r="I535" t="s">
        <v>40</v>
      </c>
      <c r="J535" t="s">
        <v>54</v>
      </c>
      <c r="K535" t="s">
        <v>29</v>
      </c>
      <c r="L535" t="s">
        <v>895</v>
      </c>
      <c r="M535" t="s">
        <v>4402</v>
      </c>
      <c r="O535" t="s">
        <v>896</v>
      </c>
      <c r="P535" t="s">
        <v>33</v>
      </c>
      <c r="Q535">
        <v>8</v>
      </c>
      <c r="R535" t="s">
        <v>35</v>
      </c>
      <c r="S535" t="s">
        <v>35</v>
      </c>
      <c r="T535" t="s">
        <v>35</v>
      </c>
      <c r="U535" t="s">
        <v>35</v>
      </c>
      <c r="V535" t="s">
        <v>645</v>
      </c>
      <c r="W535" t="s">
        <v>113</v>
      </c>
    </row>
    <row r="536" spans="1:23" hidden="1" x14ac:dyDescent="0.25">
      <c r="A536" s="7" t="str">
        <f>IFERROR(VLOOKUP(H536,'Contas Orç'!A:B,2,0),"N/A")</f>
        <v>REMUNERACOES</v>
      </c>
      <c r="B536" s="7" t="str">
        <f t="shared" si="16"/>
        <v>320101 - REMUNERACOES</v>
      </c>
      <c r="C536" s="25">
        <f t="shared" si="17"/>
        <v>44562</v>
      </c>
      <c r="D536" s="27">
        <f>IF(K536="CREDITO",Q536,Q536*-1)</f>
        <v>60952.72</v>
      </c>
      <c r="E536" t="s">
        <v>894</v>
      </c>
      <c r="F536" t="s">
        <v>1029</v>
      </c>
      <c r="G536" s="8">
        <v>44562</v>
      </c>
      <c r="H536" t="s">
        <v>508</v>
      </c>
      <c r="I536" t="s">
        <v>53</v>
      </c>
      <c r="J536" t="s">
        <v>54</v>
      </c>
      <c r="K536" t="s">
        <v>29</v>
      </c>
      <c r="L536" t="s">
        <v>895</v>
      </c>
      <c r="M536" t="s">
        <v>4402</v>
      </c>
      <c r="O536" t="s">
        <v>896</v>
      </c>
      <c r="P536" t="s">
        <v>33</v>
      </c>
      <c r="Q536" s="22">
        <v>60952.72</v>
      </c>
      <c r="R536" t="s">
        <v>35</v>
      </c>
      <c r="S536" t="s">
        <v>35</v>
      </c>
      <c r="T536" t="s">
        <v>35</v>
      </c>
      <c r="U536" t="s">
        <v>35</v>
      </c>
      <c r="V536" t="s">
        <v>645</v>
      </c>
      <c r="W536" t="s">
        <v>113</v>
      </c>
    </row>
    <row r="537" spans="1:23" hidden="1" x14ac:dyDescent="0.25">
      <c r="A537" s="7" t="str">
        <f>IFERROR(VLOOKUP(H537,'Contas Orç'!A:B,2,0),"N/A")</f>
        <v>REMUNERACOES</v>
      </c>
      <c r="B537" s="7" t="str">
        <f t="shared" si="16"/>
        <v>320101 - REMUNERACOES</v>
      </c>
      <c r="C537" s="25">
        <f t="shared" si="17"/>
        <v>44593</v>
      </c>
      <c r="D537" s="27">
        <f>IF(K537="CREDITO",Q537,Q537*-1)</f>
        <v>961.33</v>
      </c>
      <c r="E537" t="s">
        <v>894</v>
      </c>
      <c r="F537" t="s">
        <v>1030</v>
      </c>
      <c r="G537" s="8">
        <v>44593</v>
      </c>
      <c r="H537" t="s">
        <v>508</v>
      </c>
      <c r="I537" t="s">
        <v>53</v>
      </c>
      <c r="J537" t="s">
        <v>28</v>
      </c>
      <c r="K537" t="s">
        <v>29</v>
      </c>
      <c r="L537" t="s">
        <v>895</v>
      </c>
      <c r="M537" t="s">
        <v>4402</v>
      </c>
      <c r="O537" t="s">
        <v>896</v>
      </c>
      <c r="P537" t="s">
        <v>33</v>
      </c>
      <c r="Q537">
        <v>961.33</v>
      </c>
      <c r="R537" t="s">
        <v>35</v>
      </c>
      <c r="S537" t="s">
        <v>35</v>
      </c>
      <c r="T537" t="s">
        <v>35</v>
      </c>
      <c r="U537" t="s">
        <v>35</v>
      </c>
      <c r="V537" t="s">
        <v>645</v>
      </c>
      <c r="W537" t="s">
        <v>113</v>
      </c>
    </row>
    <row r="538" spans="1:23" hidden="1" x14ac:dyDescent="0.25">
      <c r="A538" s="7" t="str">
        <f>IFERROR(VLOOKUP(H538,'Contas Orç'!A:B,2,0),"N/A")</f>
        <v>REMUNERACOES</v>
      </c>
      <c r="B538" s="7" t="str">
        <f t="shared" si="16"/>
        <v>320101 - REMUNERACOES</v>
      </c>
      <c r="C538" s="25">
        <f t="shared" si="17"/>
        <v>44593</v>
      </c>
      <c r="D538" s="27">
        <f>IF(K538="CREDITO",Q538,Q538*-1)</f>
        <v>73512.259999999995</v>
      </c>
      <c r="E538" t="s">
        <v>894</v>
      </c>
      <c r="F538" t="s">
        <v>1031</v>
      </c>
      <c r="G538" s="8">
        <v>44593</v>
      </c>
      <c r="H538" t="s">
        <v>508</v>
      </c>
      <c r="I538" t="s">
        <v>88</v>
      </c>
      <c r="J538" t="s">
        <v>28</v>
      </c>
      <c r="K538" t="s">
        <v>29</v>
      </c>
      <c r="L538" t="s">
        <v>895</v>
      </c>
      <c r="M538" t="s">
        <v>4402</v>
      </c>
      <c r="O538" t="s">
        <v>896</v>
      </c>
      <c r="P538" t="s">
        <v>33</v>
      </c>
      <c r="Q538" s="22">
        <v>73512.259999999995</v>
      </c>
      <c r="R538" t="s">
        <v>35</v>
      </c>
      <c r="S538" t="s">
        <v>35</v>
      </c>
      <c r="T538" t="s">
        <v>35</v>
      </c>
      <c r="U538" t="s">
        <v>35</v>
      </c>
      <c r="V538" t="s">
        <v>645</v>
      </c>
      <c r="W538" t="s">
        <v>113</v>
      </c>
    </row>
    <row r="539" spans="1:23" hidden="1" x14ac:dyDescent="0.25">
      <c r="A539" s="7" t="str">
        <f>IFERROR(VLOOKUP(H539,'Contas Orç'!A:B,2,0),"N/A")</f>
        <v>REMUNERACOES</v>
      </c>
      <c r="B539" s="7" t="str">
        <f t="shared" si="16"/>
        <v>320101 - REMUNERACOES</v>
      </c>
      <c r="C539" s="25">
        <f t="shared" si="17"/>
        <v>44593</v>
      </c>
      <c r="D539" s="27">
        <f>IF(K539="CREDITO",Q539,Q539*-1)</f>
        <v>231340</v>
      </c>
      <c r="E539" t="s">
        <v>894</v>
      </c>
      <c r="F539" t="s">
        <v>1032</v>
      </c>
      <c r="G539" s="8">
        <v>44593</v>
      </c>
      <c r="H539" t="s">
        <v>508</v>
      </c>
      <c r="I539" t="s">
        <v>27</v>
      </c>
      <c r="J539" t="s">
        <v>28</v>
      </c>
      <c r="K539" t="s">
        <v>29</v>
      </c>
      <c r="L539" t="s">
        <v>895</v>
      </c>
      <c r="M539" t="s">
        <v>4402</v>
      </c>
      <c r="O539" t="s">
        <v>896</v>
      </c>
      <c r="P539" t="s">
        <v>33</v>
      </c>
      <c r="Q539" s="22">
        <v>231340</v>
      </c>
      <c r="R539" t="s">
        <v>35</v>
      </c>
      <c r="S539" t="s">
        <v>35</v>
      </c>
      <c r="T539" t="s">
        <v>35</v>
      </c>
      <c r="U539" t="s">
        <v>35</v>
      </c>
      <c r="V539" t="s">
        <v>645</v>
      </c>
      <c r="W539" t="s">
        <v>113</v>
      </c>
    </row>
    <row r="540" spans="1:23" hidden="1" x14ac:dyDescent="0.25">
      <c r="A540" s="7" t="str">
        <f>IFERROR(VLOOKUP(H540,'Contas Orç'!A:B,2,0),"N/A")</f>
        <v>REMUNERACOES</v>
      </c>
      <c r="B540" s="7" t="str">
        <f t="shared" si="16"/>
        <v>320101 - REMUNERACOES</v>
      </c>
      <c r="C540" s="25">
        <f t="shared" si="17"/>
        <v>44593</v>
      </c>
      <c r="D540" s="27">
        <f>IF(K540="CREDITO",Q540,Q540*-1)</f>
        <v>4416.32</v>
      </c>
      <c r="E540" t="s">
        <v>894</v>
      </c>
      <c r="F540" t="s">
        <v>1033</v>
      </c>
      <c r="G540" s="8">
        <v>44593</v>
      </c>
      <c r="H540" t="s">
        <v>508</v>
      </c>
      <c r="I540" t="s">
        <v>59</v>
      </c>
      <c r="J540" t="s">
        <v>28</v>
      </c>
      <c r="K540" t="s">
        <v>29</v>
      </c>
      <c r="L540" t="s">
        <v>895</v>
      </c>
      <c r="M540" t="s">
        <v>4402</v>
      </c>
      <c r="O540" t="s">
        <v>896</v>
      </c>
      <c r="P540" t="s">
        <v>33</v>
      </c>
      <c r="Q540" s="22">
        <v>4416.32</v>
      </c>
      <c r="R540" t="s">
        <v>35</v>
      </c>
      <c r="S540" t="s">
        <v>35</v>
      </c>
      <c r="T540" t="s">
        <v>35</v>
      </c>
      <c r="U540" t="s">
        <v>35</v>
      </c>
      <c r="V540" t="s">
        <v>645</v>
      </c>
      <c r="W540" t="s">
        <v>113</v>
      </c>
    </row>
    <row r="541" spans="1:23" hidden="1" x14ac:dyDescent="0.25">
      <c r="A541" s="7" t="str">
        <f>IFERROR(VLOOKUP(H541,'Contas Orç'!A:B,2,0),"N/A")</f>
        <v>REMUNERACOES</v>
      </c>
      <c r="B541" s="7" t="str">
        <f t="shared" si="16"/>
        <v>320101 - REMUNERACOES</v>
      </c>
      <c r="C541" s="25">
        <f t="shared" si="17"/>
        <v>44593</v>
      </c>
      <c r="D541" s="27">
        <f>IF(K541="CREDITO",Q541,Q541*-1)</f>
        <v>37436.080000000002</v>
      </c>
      <c r="E541" t="s">
        <v>894</v>
      </c>
      <c r="F541" t="s">
        <v>1034</v>
      </c>
      <c r="G541" s="8">
        <v>44593</v>
      </c>
      <c r="H541" t="s">
        <v>508</v>
      </c>
      <c r="I541" t="s">
        <v>53</v>
      </c>
      <c r="J541" t="s">
        <v>60</v>
      </c>
      <c r="K541" t="s">
        <v>29</v>
      </c>
      <c r="L541" t="s">
        <v>895</v>
      </c>
      <c r="M541" t="s">
        <v>4402</v>
      </c>
      <c r="O541" t="s">
        <v>896</v>
      </c>
      <c r="P541" t="s">
        <v>33</v>
      </c>
      <c r="Q541" s="22">
        <v>37436.080000000002</v>
      </c>
      <c r="R541" t="s">
        <v>35</v>
      </c>
      <c r="S541" t="s">
        <v>35</v>
      </c>
      <c r="T541" t="s">
        <v>35</v>
      </c>
      <c r="U541" t="s">
        <v>35</v>
      </c>
      <c r="V541" t="s">
        <v>645</v>
      </c>
      <c r="W541" t="s">
        <v>113</v>
      </c>
    </row>
    <row r="542" spans="1:23" hidden="1" x14ac:dyDescent="0.25">
      <c r="A542" s="7" t="str">
        <f>IFERROR(VLOOKUP(H542,'Contas Orç'!A:B,2,0),"N/A")</f>
        <v>REMUNERACOES</v>
      </c>
      <c r="B542" s="7" t="str">
        <f t="shared" si="16"/>
        <v>320101 - REMUNERACOES</v>
      </c>
      <c r="C542" s="25">
        <f t="shared" si="17"/>
        <v>44593</v>
      </c>
      <c r="D542" s="27">
        <f>IF(K542="CREDITO",Q542,Q542*-1)</f>
        <v>138841.44</v>
      </c>
      <c r="E542" t="s">
        <v>894</v>
      </c>
      <c r="F542" t="s">
        <v>1035</v>
      </c>
      <c r="G542" s="8">
        <v>44593</v>
      </c>
      <c r="H542" t="s">
        <v>508</v>
      </c>
      <c r="I542" t="s">
        <v>106</v>
      </c>
      <c r="J542" t="s">
        <v>60</v>
      </c>
      <c r="K542" t="s">
        <v>29</v>
      </c>
      <c r="L542" t="s">
        <v>895</v>
      </c>
      <c r="M542" t="s">
        <v>4402</v>
      </c>
      <c r="O542" t="s">
        <v>896</v>
      </c>
      <c r="P542" t="s">
        <v>33</v>
      </c>
      <c r="Q542" s="22">
        <v>138841.44</v>
      </c>
      <c r="R542" t="s">
        <v>35</v>
      </c>
      <c r="S542" t="s">
        <v>35</v>
      </c>
      <c r="T542" t="s">
        <v>35</v>
      </c>
      <c r="U542" t="s">
        <v>35</v>
      </c>
      <c r="V542" t="s">
        <v>645</v>
      </c>
      <c r="W542" t="s">
        <v>113</v>
      </c>
    </row>
    <row r="543" spans="1:23" hidden="1" x14ac:dyDescent="0.25">
      <c r="A543" s="7" t="str">
        <f>IFERROR(VLOOKUP(H543,'Contas Orç'!A:B,2,0),"N/A")</f>
        <v>REMUNERACOES</v>
      </c>
      <c r="B543" s="7" t="str">
        <f t="shared" si="16"/>
        <v>320101 - REMUNERACOES</v>
      </c>
      <c r="C543" s="25">
        <f t="shared" si="17"/>
        <v>44593</v>
      </c>
      <c r="D543" s="27">
        <f>IF(K543="CREDITO",Q543,Q543*-1)</f>
        <v>716118.26</v>
      </c>
      <c r="E543" t="s">
        <v>894</v>
      </c>
      <c r="F543" t="s">
        <v>1036</v>
      </c>
      <c r="G543" s="8">
        <v>44593</v>
      </c>
      <c r="H543" t="s">
        <v>508</v>
      </c>
      <c r="I543" t="s">
        <v>59</v>
      </c>
      <c r="J543" t="s">
        <v>60</v>
      </c>
      <c r="K543" t="s">
        <v>29</v>
      </c>
      <c r="L543" t="s">
        <v>895</v>
      </c>
      <c r="M543" t="s">
        <v>4402</v>
      </c>
      <c r="O543" t="s">
        <v>896</v>
      </c>
      <c r="P543" t="s">
        <v>33</v>
      </c>
      <c r="Q543" s="22">
        <v>716118.26</v>
      </c>
      <c r="R543" t="s">
        <v>35</v>
      </c>
      <c r="S543" t="s">
        <v>35</v>
      </c>
      <c r="T543" t="s">
        <v>35</v>
      </c>
      <c r="U543" t="s">
        <v>35</v>
      </c>
      <c r="V543" t="s">
        <v>645</v>
      </c>
      <c r="W543" t="s">
        <v>113</v>
      </c>
    </row>
    <row r="544" spans="1:23" hidden="1" x14ac:dyDescent="0.25">
      <c r="A544" s="7" t="str">
        <f>IFERROR(VLOOKUP(H544,'Contas Orç'!A:B,2,0),"N/A")</f>
        <v>REMUNERACOES</v>
      </c>
      <c r="B544" s="7" t="str">
        <f t="shared" si="16"/>
        <v>320101 - REMUNERACOES</v>
      </c>
      <c r="C544" s="25">
        <f t="shared" si="17"/>
        <v>44593</v>
      </c>
      <c r="D544" s="27">
        <f>IF(K544="CREDITO",Q544,Q544*-1)</f>
        <v>11054.3</v>
      </c>
      <c r="E544" t="s">
        <v>894</v>
      </c>
      <c r="F544" t="s">
        <v>1037</v>
      </c>
      <c r="G544" s="8">
        <v>44593</v>
      </c>
      <c r="H544" t="s">
        <v>508</v>
      </c>
      <c r="I544" t="s">
        <v>53</v>
      </c>
      <c r="J544" t="s">
        <v>702</v>
      </c>
      <c r="K544" t="s">
        <v>29</v>
      </c>
      <c r="L544" t="s">
        <v>895</v>
      </c>
      <c r="M544" t="s">
        <v>4402</v>
      </c>
      <c r="O544" t="s">
        <v>896</v>
      </c>
      <c r="P544" t="s">
        <v>33</v>
      </c>
      <c r="Q544" s="22">
        <v>11054.3</v>
      </c>
      <c r="R544" t="s">
        <v>35</v>
      </c>
      <c r="S544" t="s">
        <v>35</v>
      </c>
      <c r="T544" t="s">
        <v>35</v>
      </c>
      <c r="U544" t="s">
        <v>35</v>
      </c>
      <c r="V544" t="s">
        <v>645</v>
      </c>
      <c r="W544" t="s">
        <v>113</v>
      </c>
    </row>
    <row r="545" spans="1:23" hidden="1" x14ac:dyDescent="0.25">
      <c r="A545" s="7" t="str">
        <f>IFERROR(VLOOKUP(H545,'Contas Orç'!A:B,2,0),"N/A")</f>
        <v>REMUNERACOES</v>
      </c>
      <c r="B545" s="7" t="str">
        <f t="shared" si="16"/>
        <v>320101 - REMUNERACOES</v>
      </c>
      <c r="C545" s="25">
        <f t="shared" si="17"/>
        <v>44593</v>
      </c>
      <c r="D545" s="27">
        <f>IF(K545="CREDITO",Q545,Q545*-1)</f>
        <v>49795.93</v>
      </c>
      <c r="E545" t="s">
        <v>894</v>
      </c>
      <c r="F545" t="s">
        <v>1038</v>
      </c>
      <c r="G545" s="8">
        <v>44593</v>
      </c>
      <c r="H545" t="s">
        <v>508</v>
      </c>
      <c r="I545" t="s">
        <v>59</v>
      </c>
      <c r="J545" t="s">
        <v>702</v>
      </c>
      <c r="K545" t="s">
        <v>29</v>
      </c>
      <c r="L545" t="s">
        <v>895</v>
      </c>
      <c r="M545" t="s">
        <v>4402</v>
      </c>
      <c r="O545" t="s">
        <v>896</v>
      </c>
      <c r="P545" t="s">
        <v>33</v>
      </c>
      <c r="Q545" s="22">
        <v>49795.93</v>
      </c>
      <c r="R545" t="s">
        <v>35</v>
      </c>
      <c r="S545" t="s">
        <v>35</v>
      </c>
      <c r="T545" t="s">
        <v>35</v>
      </c>
      <c r="U545" t="s">
        <v>35</v>
      </c>
      <c r="V545" t="s">
        <v>645</v>
      </c>
      <c r="W545" t="s">
        <v>113</v>
      </c>
    </row>
    <row r="546" spans="1:23" hidden="1" x14ac:dyDescent="0.25">
      <c r="A546" s="7" t="str">
        <f>IFERROR(VLOOKUP(H546,'Contas Orç'!A:B,2,0),"N/A")</f>
        <v>REMUNERACOES</v>
      </c>
      <c r="B546" s="7" t="str">
        <f t="shared" si="16"/>
        <v>320101 - REMUNERACOES</v>
      </c>
      <c r="C546" s="25">
        <f t="shared" si="17"/>
        <v>44593</v>
      </c>
      <c r="D546" s="27">
        <f>IF(K546="CREDITO",Q546,Q546*-1)</f>
        <v>23696.29</v>
      </c>
      <c r="E546" t="s">
        <v>894</v>
      </c>
      <c r="F546" t="s">
        <v>1039</v>
      </c>
      <c r="G546" s="8">
        <v>44593</v>
      </c>
      <c r="H546" t="s">
        <v>508</v>
      </c>
      <c r="I546" t="s">
        <v>125</v>
      </c>
      <c r="J546" t="s">
        <v>95</v>
      </c>
      <c r="K546" t="s">
        <v>29</v>
      </c>
      <c r="L546" t="s">
        <v>895</v>
      </c>
      <c r="M546" t="s">
        <v>4402</v>
      </c>
      <c r="O546" t="s">
        <v>896</v>
      </c>
      <c r="P546" t="s">
        <v>33</v>
      </c>
      <c r="Q546" s="22">
        <v>23696.29</v>
      </c>
      <c r="R546" t="s">
        <v>35</v>
      </c>
      <c r="S546" t="s">
        <v>35</v>
      </c>
      <c r="T546" t="s">
        <v>35</v>
      </c>
      <c r="U546" t="s">
        <v>35</v>
      </c>
      <c r="V546" t="s">
        <v>645</v>
      </c>
      <c r="W546" t="s">
        <v>113</v>
      </c>
    </row>
    <row r="547" spans="1:23" hidden="1" x14ac:dyDescent="0.25">
      <c r="A547" s="7" t="str">
        <f>IFERROR(VLOOKUP(H547,'Contas Orç'!A:B,2,0),"N/A")</f>
        <v>REMUNERACOES</v>
      </c>
      <c r="B547" s="7" t="str">
        <f t="shared" si="16"/>
        <v>320101 - REMUNERACOES</v>
      </c>
      <c r="C547" s="25">
        <f t="shared" si="17"/>
        <v>44593</v>
      </c>
      <c r="D547" s="27">
        <f>IF(K547="CREDITO",Q547,Q547*-1)</f>
        <v>58194.9</v>
      </c>
      <c r="E547" t="s">
        <v>894</v>
      </c>
      <c r="F547" t="s">
        <v>1040</v>
      </c>
      <c r="G547" s="8">
        <v>44593</v>
      </c>
      <c r="H547" t="s">
        <v>508</v>
      </c>
      <c r="I547" t="s">
        <v>53</v>
      </c>
      <c r="J547" t="s">
        <v>54</v>
      </c>
      <c r="K547" t="s">
        <v>29</v>
      </c>
      <c r="L547" t="s">
        <v>895</v>
      </c>
      <c r="M547" t="s">
        <v>4402</v>
      </c>
      <c r="O547" t="s">
        <v>896</v>
      </c>
      <c r="P547" t="s">
        <v>33</v>
      </c>
      <c r="Q547" s="22">
        <v>58194.9</v>
      </c>
      <c r="R547" t="s">
        <v>35</v>
      </c>
      <c r="S547" t="s">
        <v>35</v>
      </c>
      <c r="T547" t="s">
        <v>35</v>
      </c>
      <c r="U547" t="s">
        <v>35</v>
      </c>
      <c r="V547" t="s">
        <v>645</v>
      </c>
      <c r="W547" t="s">
        <v>113</v>
      </c>
    </row>
    <row r="548" spans="1:23" hidden="1" x14ac:dyDescent="0.25">
      <c r="A548" s="7" t="str">
        <f>IFERROR(VLOOKUP(H548,'Contas Orç'!A:B,2,0),"N/A")</f>
        <v>REMUNERACOES</v>
      </c>
      <c r="B548" s="7" t="str">
        <f t="shared" si="16"/>
        <v>320101 - REMUNERACOES</v>
      </c>
      <c r="C548" s="25">
        <f t="shared" si="17"/>
        <v>44621</v>
      </c>
      <c r="D548" s="27">
        <f>IF(K548="CREDITO",Q548,Q548*-1)</f>
        <v>957.12</v>
      </c>
      <c r="E548" t="s">
        <v>894</v>
      </c>
      <c r="F548" t="s">
        <v>1041</v>
      </c>
      <c r="G548" s="8">
        <v>44621</v>
      </c>
      <c r="H548" t="s">
        <v>508</v>
      </c>
      <c r="I548" t="s">
        <v>53</v>
      </c>
      <c r="J548" t="s">
        <v>28</v>
      </c>
      <c r="K548" t="s">
        <v>29</v>
      </c>
      <c r="L548" t="s">
        <v>895</v>
      </c>
      <c r="M548" t="s">
        <v>4402</v>
      </c>
      <c r="O548" t="s">
        <v>896</v>
      </c>
      <c r="P548" t="s">
        <v>33</v>
      </c>
      <c r="Q548">
        <v>957.12</v>
      </c>
      <c r="R548" t="s">
        <v>35</v>
      </c>
      <c r="S548" t="s">
        <v>35</v>
      </c>
      <c r="T548" t="s">
        <v>35</v>
      </c>
      <c r="U548" t="s">
        <v>35</v>
      </c>
      <c r="V548" t="s">
        <v>645</v>
      </c>
      <c r="W548" t="s">
        <v>113</v>
      </c>
    </row>
    <row r="549" spans="1:23" hidden="1" x14ac:dyDescent="0.25">
      <c r="A549" s="7" t="str">
        <f>IFERROR(VLOOKUP(H549,'Contas Orç'!A:B,2,0),"N/A")</f>
        <v>REMUNERACOES</v>
      </c>
      <c r="B549" s="7" t="str">
        <f t="shared" si="16"/>
        <v>320101 - REMUNERACOES</v>
      </c>
      <c r="C549" s="25">
        <f t="shared" si="17"/>
        <v>44621</v>
      </c>
      <c r="D549" s="27">
        <f>IF(K549="CREDITO",Q549,Q549*-1)</f>
        <v>68672.210000000006</v>
      </c>
      <c r="E549" t="s">
        <v>894</v>
      </c>
      <c r="F549" t="s">
        <v>1042</v>
      </c>
      <c r="G549" s="8">
        <v>44621</v>
      </c>
      <c r="H549" t="s">
        <v>508</v>
      </c>
      <c r="I549" t="s">
        <v>88</v>
      </c>
      <c r="J549" t="s">
        <v>28</v>
      </c>
      <c r="K549" t="s">
        <v>29</v>
      </c>
      <c r="L549" t="s">
        <v>895</v>
      </c>
      <c r="M549" t="s">
        <v>4402</v>
      </c>
      <c r="O549" t="s">
        <v>896</v>
      </c>
      <c r="P549" t="s">
        <v>33</v>
      </c>
      <c r="Q549" s="22">
        <v>68672.210000000006</v>
      </c>
      <c r="R549" t="s">
        <v>35</v>
      </c>
      <c r="S549" t="s">
        <v>35</v>
      </c>
      <c r="T549" t="s">
        <v>35</v>
      </c>
      <c r="U549" t="s">
        <v>35</v>
      </c>
      <c r="V549" t="s">
        <v>645</v>
      </c>
      <c r="W549" t="s">
        <v>113</v>
      </c>
    </row>
    <row r="550" spans="1:23" hidden="1" x14ac:dyDescent="0.25">
      <c r="A550" s="7" t="str">
        <f>IFERROR(VLOOKUP(H550,'Contas Orç'!A:B,2,0),"N/A")</f>
        <v>REMUNERACOES</v>
      </c>
      <c r="B550" s="7" t="str">
        <f t="shared" si="16"/>
        <v>320101 - REMUNERACOES</v>
      </c>
      <c r="C550" s="25">
        <f t="shared" si="17"/>
        <v>44621</v>
      </c>
      <c r="D550" s="27">
        <f>IF(K550="CREDITO",Q550,Q550*-1)</f>
        <v>146757.98000000001</v>
      </c>
      <c r="E550" t="s">
        <v>894</v>
      </c>
      <c r="F550" t="s">
        <v>1043</v>
      </c>
      <c r="G550" s="8">
        <v>44621</v>
      </c>
      <c r="H550" t="s">
        <v>508</v>
      </c>
      <c r="I550" t="s">
        <v>27</v>
      </c>
      <c r="J550" t="s">
        <v>28</v>
      </c>
      <c r="K550" t="s">
        <v>29</v>
      </c>
      <c r="L550" t="s">
        <v>895</v>
      </c>
      <c r="M550" t="s">
        <v>4402</v>
      </c>
      <c r="O550" t="s">
        <v>896</v>
      </c>
      <c r="P550" t="s">
        <v>33</v>
      </c>
      <c r="Q550" s="22">
        <v>146757.98000000001</v>
      </c>
      <c r="R550" t="s">
        <v>35</v>
      </c>
      <c r="S550" t="s">
        <v>35</v>
      </c>
      <c r="T550" t="s">
        <v>35</v>
      </c>
      <c r="U550" t="s">
        <v>35</v>
      </c>
      <c r="V550" t="s">
        <v>645</v>
      </c>
      <c r="W550" t="s">
        <v>113</v>
      </c>
    </row>
    <row r="551" spans="1:23" hidden="1" x14ac:dyDescent="0.25">
      <c r="A551" s="7" t="str">
        <f>IFERROR(VLOOKUP(H551,'Contas Orç'!A:B,2,0),"N/A")</f>
        <v>REMUNERACOES</v>
      </c>
      <c r="B551" s="7" t="str">
        <f t="shared" si="16"/>
        <v>320101 - REMUNERACOES</v>
      </c>
      <c r="C551" s="25">
        <f t="shared" si="17"/>
        <v>44621</v>
      </c>
      <c r="D551" s="27">
        <f>IF(K551="CREDITO",Q551,Q551*-1)</f>
        <v>4386.43</v>
      </c>
      <c r="E551" t="s">
        <v>894</v>
      </c>
      <c r="F551" t="s">
        <v>1044</v>
      </c>
      <c r="G551" s="8">
        <v>44621</v>
      </c>
      <c r="H551" t="s">
        <v>508</v>
      </c>
      <c r="I551" t="s">
        <v>59</v>
      </c>
      <c r="J551" t="s">
        <v>28</v>
      </c>
      <c r="K551" t="s">
        <v>29</v>
      </c>
      <c r="L551" t="s">
        <v>895</v>
      </c>
      <c r="M551" t="s">
        <v>4402</v>
      </c>
      <c r="O551" t="s">
        <v>896</v>
      </c>
      <c r="P551" t="s">
        <v>33</v>
      </c>
      <c r="Q551" s="22">
        <v>4386.43</v>
      </c>
      <c r="R551" t="s">
        <v>35</v>
      </c>
      <c r="S551" t="s">
        <v>35</v>
      </c>
      <c r="T551" t="s">
        <v>35</v>
      </c>
      <c r="U551" t="s">
        <v>35</v>
      </c>
      <c r="V551" t="s">
        <v>645</v>
      </c>
      <c r="W551" t="s">
        <v>113</v>
      </c>
    </row>
    <row r="552" spans="1:23" hidden="1" x14ac:dyDescent="0.25">
      <c r="A552" s="7" t="str">
        <f>IFERROR(VLOOKUP(H552,'Contas Orç'!A:B,2,0),"N/A")</f>
        <v>REMUNERACOES</v>
      </c>
      <c r="B552" s="7" t="str">
        <f t="shared" si="16"/>
        <v>320101 - REMUNERACOES</v>
      </c>
      <c r="C552" s="25">
        <f t="shared" si="17"/>
        <v>44621</v>
      </c>
      <c r="D552" s="27">
        <f>IF(K552="CREDITO",Q552,Q552*-1)</f>
        <v>38166.53</v>
      </c>
      <c r="E552" t="s">
        <v>894</v>
      </c>
      <c r="F552" t="s">
        <v>1045</v>
      </c>
      <c r="G552" s="8">
        <v>44621</v>
      </c>
      <c r="H552" t="s">
        <v>508</v>
      </c>
      <c r="I552" t="s">
        <v>53</v>
      </c>
      <c r="J552" t="s">
        <v>60</v>
      </c>
      <c r="K552" t="s">
        <v>29</v>
      </c>
      <c r="L552" t="s">
        <v>895</v>
      </c>
      <c r="M552" t="s">
        <v>4402</v>
      </c>
      <c r="O552" t="s">
        <v>896</v>
      </c>
      <c r="P552" t="s">
        <v>33</v>
      </c>
      <c r="Q552" s="22">
        <v>38166.53</v>
      </c>
      <c r="R552" t="s">
        <v>35</v>
      </c>
      <c r="S552" t="s">
        <v>35</v>
      </c>
      <c r="T552" t="s">
        <v>35</v>
      </c>
      <c r="U552" t="s">
        <v>35</v>
      </c>
      <c r="V552" t="s">
        <v>645</v>
      </c>
      <c r="W552" t="s">
        <v>113</v>
      </c>
    </row>
    <row r="553" spans="1:23" hidden="1" x14ac:dyDescent="0.25">
      <c r="A553" s="7" t="str">
        <f>IFERROR(VLOOKUP(H553,'Contas Orç'!A:B,2,0),"N/A")</f>
        <v>REMUNERACOES</v>
      </c>
      <c r="B553" s="7" t="str">
        <f t="shared" si="16"/>
        <v>320101 - REMUNERACOES</v>
      </c>
      <c r="C553" s="25">
        <f t="shared" si="17"/>
        <v>44621</v>
      </c>
      <c r="D553" s="27">
        <f>IF(K553="CREDITO",Q553,Q553*-1)</f>
        <v>184445</v>
      </c>
      <c r="E553" t="s">
        <v>894</v>
      </c>
      <c r="F553" t="s">
        <v>1046</v>
      </c>
      <c r="G553" s="8">
        <v>44621</v>
      </c>
      <c r="H553" t="s">
        <v>508</v>
      </c>
      <c r="I553" t="s">
        <v>106</v>
      </c>
      <c r="J553" t="s">
        <v>60</v>
      </c>
      <c r="K553" t="s">
        <v>29</v>
      </c>
      <c r="L553" t="s">
        <v>895</v>
      </c>
      <c r="M553" t="s">
        <v>4402</v>
      </c>
      <c r="O553" t="s">
        <v>896</v>
      </c>
      <c r="P553" t="s">
        <v>33</v>
      </c>
      <c r="Q553" s="22">
        <v>184445</v>
      </c>
      <c r="R553" t="s">
        <v>35</v>
      </c>
      <c r="S553" t="s">
        <v>35</v>
      </c>
      <c r="T553" t="s">
        <v>35</v>
      </c>
      <c r="U553" t="s">
        <v>35</v>
      </c>
      <c r="V553" t="s">
        <v>645</v>
      </c>
      <c r="W553" t="s">
        <v>113</v>
      </c>
    </row>
    <row r="554" spans="1:23" hidden="1" x14ac:dyDescent="0.25">
      <c r="A554" s="7" t="str">
        <f>IFERROR(VLOOKUP(H554,'Contas Orç'!A:B,2,0),"N/A")</f>
        <v>REMUNERACOES</v>
      </c>
      <c r="B554" s="7" t="str">
        <f t="shared" si="16"/>
        <v>320101 - REMUNERACOES</v>
      </c>
      <c r="C554" s="25">
        <f t="shared" si="17"/>
        <v>44621</v>
      </c>
      <c r="D554" s="27">
        <f>IF(K554="CREDITO",Q554,Q554*-1)</f>
        <v>770813.02</v>
      </c>
      <c r="E554" t="s">
        <v>894</v>
      </c>
      <c r="F554" t="s">
        <v>1047</v>
      </c>
      <c r="G554" s="8">
        <v>44621</v>
      </c>
      <c r="H554" t="s">
        <v>508</v>
      </c>
      <c r="I554" t="s">
        <v>59</v>
      </c>
      <c r="J554" t="s">
        <v>60</v>
      </c>
      <c r="K554" t="s">
        <v>29</v>
      </c>
      <c r="L554" t="s">
        <v>895</v>
      </c>
      <c r="M554" t="s">
        <v>4402</v>
      </c>
      <c r="O554" t="s">
        <v>896</v>
      </c>
      <c r="P554" t="s">
        <v>33</v>
      </c>
      <c r="Q554" s="22">
        <v>770813.02</v>
      </c>
      <c r="R554" t="s">
        <v>35</v>
      </c>
      <c r="S554" t="s">
        <v>35</v>
      </c>
      <c r="T554" t="s">
        <v>35</v>
      </c>
      <c r="U554" t="s">
        <v>35</v>
      </c>
      <c r="V554" t="s">
        <v>645</v>
      </c>
      <c r="W554" t="s">
        <v>113</v>
      </c>
    </row>
    <row r="555" spans="1:23" hidden="1" x14ac:dyDescent="0.25">
      <c r="A555" s="7" t="str">
        <f>IFERROR(VLOOKUP(H555,'Contas Orç'!A:B,2,0),"N/A")</f>
        <v>REMUNERACOES</v>
      </c>
      <c r="B555" s="7" t="str">
        <f t="shared" si="16"/>
        <v>320101 - REMUNERACOES</v>
      </c>
      <c r="C555" s="25">
        <f t="shared" si="17"/>
        <v>44621</v>
      </c>
      <c r="D555" s="27">
        <f>IF(K555="CREDITO",Q555,Q555*-1)</f>
        <v>10400.35</v>
      </c>
      <c r="E555" t="s">
        <v>894</v>
      </c>
      <c r="F555" t="s">
        <v>1048</v>
      </c>
      <c r="G555" s="8">
        <v>44621</v>
      </c>
      <c r="H555" t="s">
        <v>508</v>
      </c>
      <c r="I555" t="s">
        <v>53</v>
      </c>
      <c r="J555" t="s">
        <v>702</v>
      </c>
      <c r="K555" t="s">
        <v>29</v>
      </c>
      <c r="L555" t="s">
        <v>895</v>
      </c>
      <c r="M555" t="s">
        <v>4402</v>
      </c>
      <c r="O555" t="s">
        <v>896</v>
      </c>
      <c r="P555" t="s">
        <v>33</v>
      </c>
      <c r="Q555" s="22">
        <v>10400.35</v>
      </c>
      <c r="R555" t="s">
        <v>35</v>
      </c>
      <c r="S555" t="s">
        <v>35</v>
      </c>
      <c r="T555" t="s">
        <v>35</v>
      </c>
      <c r="U555" t="s">
        <v>35</v>
      </c>
      <c r="V555" t="s">
        <v>645</v>
      </c>
      <c r="W555" t="s">
        <v>113</v>
      </c>
    </row>
    <row r="556" spans="1:23" hidden="1" x14ac:dyDescent="0.25">
      <c r="A556" s="7" t="str">
        <f>IFERROR(VLOOKUP(H556,'Contas Orç'!A:B,2,0),"N/A")</f>
        <v>REMUNERACOES</v>
      </c>
      <c r="B556" s="7" t="str">
        <f t="shared" si="16"/>
        <v>320101 - REMUNERACOES</v>
      </c>
      <c r="C556" s="25">
        <f t="shared" si="17"/>
        <v>44621</v>
      </c>
      <c r="D556" s="27">
        <f>IF(K556="CREDITO",Q556,Q556*-1)</f>
        <v>53070.83</v>
      </c>
      <c r="E556" t="s">
        <v>894</v>
      </c>
      <c r="F556" t="s">
        <v>1049</v>
      </c>
      <c r="G556" s="8">
        <v>44621</v>
      </c>
      <c r="H556" t="s">
        <v>508</v>
      </c>
      <c r="I556" t="s">
        <v>59</v>
      </c>
      <c r="J556" t="s">
        <v>702</v>
      </c>
      <c r="K556" t="s">
        <v>29</v>
      </c>
      <c r="L556" t="s">
        <v>895</v>
      </c>
      <c r="M556" t="s">
        <v>4402</v>
      </c>
      <c r="O556" t="s">
        <v>896</v>
      </c>
      <c r="P556" t="s">
        <v>33</v>
      </c>
      <c r="Q556" s="22">
        <v>53070.83</v>
      </c>
      <c r="R556" t="s">
        <v>35</v>
      </c>
      <c r="S556" t="s">
        <v>35</v>
      </c>
      <c r="T556" t="s">
        <v>35</v>
      </c>
      <c r="U556" t="s">
        <v>35</v>
      </c>
      <c r="V556" t="s">
        <v>645</v>
      </c>
      <c r="W556" t="s">
        <v>113</v>
      </c>
    </row>
    <row r="557" spans="1:23" hidden="1" x14ac:dyDescent="0.25">
      <c r="A557" s="7" t="str">
        <f>IFERROR(VLOOKUP(H557,'Contas Orç'!A:B,2,0),"N/A")</f>
        <v>REMUNERACOES</v>
      </c>
      <c r="B557" s="7" t="str">
        <f t="shared" si="16"/>
        <v>320101 - REMUNERACOES</v>
      </c>
      <c r="C557" s="25">
        <f t="shared" si="17"/>
        <v>44621</v>
      </c>
      <c r="D557" s="27">
        <f>IF(K557="CREDITO",Q557,Q557*-1)</f>
        <v>23552.12</v>
      </c>
      <c r="E557" t="s">
        <v>894</v>
      </c>
      <c r="F557" t="s">
        <v>1050</v>
      </c>
      <c r="G557" s="8">
        <v>44621</v>
      </c>
      <c r="H557" t="s">
        <v>508</v>
      </c>
      <c r="I557" t="s">
        <v>125</v>
      </c>
      <c r="J557" t="s">
        <v>95</v>
      </c>
      <c r="K557" t="s">
        <v>29</v>
      </c>
      <c r="L557" t="s">
        <v>895</v>
      </c>
      <c r="M557" t="s">
        <v>4402</v>
      </c>
      <c r="O557" t="s">
        <v>896</v>
      </c>
      <c r="P557" t="s">
        <v>33</v>
      </c>
      <c r="Q557" s="22">
        <v>23552.12</v>
      </c>
      <c r="R557" t="s">
        <v>35</v>
      </c>
      <c r="S557" t="s">
        <v>35</v>
      </c>
      <c r="T557" t="s">
        <v>35</v>
      </c>
      <c r="U557" t="s">
        <v>35</v>
      </c>
      <c r="V557" t="s">
        <v>645</v>
      </c>
      <c r="W557" t="s">
        <v>113</v>
      </c>
    </row>
    <row r="558" spans="1:23" hidden="1" x14ac:dyDescent="0.25">
      <c r="A558" s="7" t="str">
        <f>IFERROR(VLOOKUP(H558,'Contas Orç'!A:B,2,0),"N/A")</f>
        <v>REMUNERACOES</v>
      </c>
      <c r="B558" s="7" t="str">
        <f t="shared" si="16"/>
        <v>320101 - REMUNERACOES</v>
      </c>
      <c r="C558" s="25">
        <f t="shared" si="17"/>
        <v>44621</v>
      </c>
      <c r="D558" s="27">
        <f>IF(K558="CREDITO",Q558,Q558*-1)</f>
        <v>61547.34</v>
      </c>
      <c r="E558" t="s">
        <v>894</v>
      </c>
      <c r="F558" t="s">
        <v>1051</v>
      </c>
      <c r="G558" s="8">
        <v>44621</v>
      </c>
      <c r="H558" t="s">
        <v>508</v>
      </c>
      <c r="I558" t="s">
        <v>53</v>
      </c>
      <c r="J558" t="s">
        <v>54</v>
      </c>
      <c r="K558" t="s">
        <v>29</v>
      </c>
      <c r="L558" t="s">
        <v>895</v>
      </c>
      <c r="M558" t="s">
        <v>4402</v>
      </c>
      <c r="O558" t="s">
        <v>896</v>
      </c>
      <c r="P558" t="s">
        <v>33</v>
      </c>
      <c r="Q558" s="22">
        <v>61547.34</v>
      </c>
      <c r="R558" t="s">
        <v>35</v>
      </c>
      <c r="S558" t="s">
        <v>35</v>
      </c>
      <c r="T558" t="s">
        <v>35</v>
      </c>
      <c r="U558" t="s">
        <v>35</v>
      </c>
      <c r="V558" t="s">
        <v>645</v>
      </c>
      <c r="W558" t="s">
        <v>113</v>
      </c>
    </row>
    <row r="559" spans="1:23" hidden="1" x14ac:dyDescent="0.25">
      <c r="A559" s="7" t="str">
        <f>IFERROR(VLOOKUP(H559,'Contas Orç'!A:B,2,0),"N/A")</f>
        <v>REMUNERACOES</v>
      </c>
      <c r="B559" s="7" t="str">
        <f t="shared" si="16"/>
        <v>320101 - REMUNERACOES</v>
      </c>
      <c r="C559" s="25">
        <f t="shared" si="17"/>
        <v>44652</v>
      </c>
      <c r="D559" s="27">
        <f>IF(K559="CREDITO",Q559,Q559*-1)</f>
        <v>987.55</v>
      </c>
      <c r="E559" t="s">
        <v>894</v>
      </c>
      <c r="F559" t="s">
        <v>1052</v>
      </c>
      <c r="G559" s="8">
        <v>44652</v>
      </c>
      <c r="H559" t="s">
        <v>508</v>
      </c>
      <c r="I559" t="s">
        <v>53</v>
      </c>
      <c r="J559" t="s">
        <v>28</v>
      </c>
      <c r="K559" t="s">
        <v>29</v>
      </c>
      <c r="L559" t="s">
        <v>895</v>
      </c>
      <c r="M559" t="s">
        <v>4402</v>
      </c>
      <c r="O559" t="s">
        <v>896</v>
      </c>
      <c r="P559" t="s">
        <v>33</v>
      </c>
      <c r="Q559">
        <v>987.55</v>
      </c>
      <c r="R559" t="s">
        <v>35</v>
      </c>
      <c r="S559" t="s">
        <v>35</v>
      </c>
      <c r="T559" t="s">
        <v>35</v>
      </c>
      <c r="U559" t="s">
        <v>35</v>
      </c>
      <c r="V559" t="s">
        <v>645</v>
      </c>
      <c r="W559" t="s">
        <v>113</v>
      </c>
    </row>
    <row r="560" spans="1:23" hidden="1" x14ac:dyDescent="0.25">
      <c r="A560" s="7" t="str">
        <f>IFERROR(VLOOKUP(H560,'Contas Orç'!A:B,2,0),"N/A")</f>
        <v>REMUNERACOES</v>
      </c>
      <c r="B560" s="7" t="str">
        <f t="shared" si="16"/>
        <v>320101 - REMUNERACOES</v>
      </c>
      <c r="C560" s="25">
        <f t="shared" si="17"/>
        <v>44652</v>
      </c>
      <c r="D560" s="27">
        <f>IF(K560="CREDITO",Q560,Q560*-1)</f>
        <v>59554.68</v>
      </c>
      <c r="E560" t="s">
        <v>894</v>
      </c>
      <c r="F560" t="s">
        <v>1053</v>
      </c>
      <c r="G560" s="8">
        <v>44652</v>
      </c>
      <c r="H560" t="s">
        <v>508</v>
      </c>
      <c r="I560" t="s">
        <v>88</v>
      </c>
      <c r="J560" t="s">
        <v>28</v>
      </c>
      <c r="K560" t="s">
        <v>29</v>
      </c>
      <c r="L560" t="s">
        <v>895</v>
      </c>
      <c r="M560" t="s">
        <v>4402</v>
      </c>
      <c r="O560" t="s">
        <v>896</v>
      </c>
      <c r="P560" t="s">
        <v>33</v>
      </c>
      <c r="Q560" s="22">
        <v>59554.68</v>
      </c>
      <c r="R560" t="s">
        <v>35</v>
      </c>
      <c r="S560" t="s">
        <v>35</v>
      </c>
      <c r="T560" t="s">
        <v>35</v>
      </c>
      <c r="U560" t="s">
        <v>35</v>
      </c>
      <c r="V560" t="s">
        <v>645</v>
      </c>
      <c r="W560" t="s">
        <v>113</v>
      </c>
    </row>
    <row r="561" spans="1:23" hidden="1" x14ac:dyDescent="0.25">
      <c r="A561" s="7" t="str">
        <f>IFERROR(VLOOKUP(H561,'Contas Orç'!A:B,2,0),"N/A")</f>
        <v>REMUNERACOES</v>
      </c>
      <c r="B561" s="7" t="str">
        <f t="shared" si="16"/>
        <v>320101 - REMUNERACOES</v>
      </c>
      <c r="C561" s="25">
        <f t="shared" si="17"/>
        <v>44652</v>
      </c>
      <c r="D561" s="27">
        <f>IF(K561="CREDITO",Q561,Q561*-1)</f>
        <v>111154.73</v>
      </c>
      <c r="E561" t="s">
        <v>894</v>
      </c>
      <c r="F561" t="s">
        <v>1054</v>
      </c>
      <c r="G561" s="8">
        <v>44652</v>
      </c>
      <c r="H561" t="s">
        <v>508</v>
      </c>
      <c r="I561" t="s">
        <v>27</v>
      </c>
      <c r="J561" t="s">
        <v>28</v>
      </c>
      <c r="K561" t="s">
        <v>29</v>
      </c>
      <c r="L561" t="s">
        <v>895</v>
      </c>
      <c r="M561" t="s">
        <v>4402</v>
      </c>
      <c r="O561" t="s">
        <v>896</v>
      </c>
      <c r="P561" t="s">
        <v>33</v>
      </c>
      <c r="Q561" s="22">
        <v>111154.73</v>
      </c>
      <c r="R561" t="s">
        <v>35</v>
      </c>
      <c r="S561" t="s">
        <v>35</v>
      </c>
      <c r="T561" t="s">
        <v>35</v>
      </c>
      <c r="U561" t="s">
        <v>35</v>
      </c>
      <c r="V561" t="s">
        <v>645</v>
      </c>
      <c r="W561" t="s">
        <v>113</v>
      </c>
    </row>
    <row r="562" spans="1:23" hidden="1" x14ac:dyDescent="0.25">
      <c r="A562" s="7" t="str">
        <f>IFERROR(VLOOKUP(H562,'Contas Orç'!A:B,2,0),"N/A")</f>
        <v>REMUNERACOES</v>
      </c>
      <c r="B562" s="7" t="str">
        <f t="shared" si="16"/>
        <v>320101 - REMUNERACOES</v>
      </c>
      <c r="C562" s="25">
        <f t="shared" si="17"/>
        <v>44652</v>
      </c>
      <c r="D562" s="27">
        <f>IF(K562="CREDITO",Q562,Q562*-1)</f>
        <v>5372.8</v>
      </c>
      <c r="E562" t="s">
        <v>894</v>
      </c>
      <c r="F562" t="s">
        <v>1055</v>
      </c>
      <c r="G562" s="8">
        <v>44652</v>
      </c>
      <c r="H562" t="s">
        <v>508</v>
      </c>
      <c r="I562" t="s">
        <v>59</v>
      </c>
      <c r="J562" t="s">
        <v>28</v>
      </c>
      <c r="K562" t="s">
        <v>29</v>
      </c>
      <c r="L562" t="s">
        <v>895</v>
      </c>
      <c r="M562" t="s">
        <v>4402</v>
      </c>
      <c r="O562" t="s">
        <v>896</v>
      </c>
      <c r="P562" t="s">
        <v>33</v>
      </c>
      <c r="Q562" s="22">
        <v>5372.8</v>
      </c>
      <c r="R562" t="s">
        <v>35</v>
      </c>
      <c r="S562" t="s">
        <v>35</v>
      </c>
      <c r="T562" t="s">
        <v>35</v>
      </c>
      <c r="U562" t="s">
        <v>35</v>
      </c>
      <c r="V562" t="s">
        <v>645</v>
      </c>
      <c r="W562" t="s">
        <v>113</v>
      </c>
    </row>
    <row r="563" spans="1:23" hidden="1" x14ac:dyDescent="0.25">
      <c r="A563" s="7" t="str">
        <f>IFERROR(VLOOKUP(H563,'Contas Orç'!A:B,2,0),"N/A")</f>
        <v>REMUNERACOES</v>
      </c>
      <c r="B563" s="7" t="str">
        <f t="shared" si="16"/>
        <v>320101 - REMUNERACOES</v>
      </c>
      <c r="C563" s="25">
        <f t="shared" si="17"/>
        <v>44652</v>
      </c>
      <c r="D563" s="27">
        <f>IF(K563="CREDITO",Q563,Q563*-1)</f>
        <v>76740.7</v>
      </c>
      <c r="E563" t="s">
        <v>894</v>
      </c>
      <c r="F563" t="s">
        <v>1056</v>
      </c>
      <c r="G563" s="8">
        <v>44652</v>
      </c>
      <c r="H563" t="s">
        <v>508</v>
      </c>
      <c r="I563" t="s">
        <v>53</v>
      </c>
      <c r="J563" t="s">
        <v>60</v>
      </c>
      <c r="K563" t="s">
        <v>29</v>
      </c>
      <c r="L563" t="s">
        <v>895</v>
      </c>
      <c r="M563" t="s">
        <v>4402</v>
      </c>
      <c r="O563" t="s">
        <v>896</v>
      </c>
      <c r="P563" t="s">
        <v>33</v>
      </c>
      <c r="Q563" s="22">
        <v>76740.7</v>
      </c>
      <c r="R563" t="s">
        <v>35</v>
      </c>
      <c r="S563" t="s">
        <v>35</v>
      </c>
      <c r="T563" t="s">
        <v>35</v>
      </c>
      <c r="U563" t="s">
        <v>35</v>
      </c>
      <c r="V563" t="s">
        <v>645</v>
      </c>
      <c r="W563" t="s">
        <v>113</v>
      </c>
    </row>
    <row r="564" spans="1:23" hidden="1" x14ac:dyDescent="0.25">
      <c r="A564" s="7" t="str">
        <f>IFERROR(VLOOKUP(H564,'Contas Orç'!A:B,2,0),"N/A")</f>
        <v>REMUNERACOES</v>
      </c>
      <c r="B564" s="7" t="str">
        <f t="shared" si="16"/>
        <v>320101 - REMUNERACOES</v>
      </c>
      <c r="C564" s="25">
        <f t="shared" si="17"/>
        <v>44652</v>
      </c>
      <c r="D564" s="27">
        <f>IF(K564="CREDITO",Q564,Q564*-1)</f>
        <v>259052.4</v>
      </c>
      <c r="E564" t="s">
        <v>894</v>
      </c>
      <c r="F564" t="s">
        <v>1057</v>
      </c>
      <c r="G564" s="8">
        <v>44652</v>
      </c>
      <c r="H564" t="s">
        <v>508</v>
      </c>
      <c r="I564" t="s">
        <v>106</v>
      </c>
      <c r="J564" t="s">
        <v>60</v>
      </c>
      <c r="K564" t="s">
        <v>29</v>
      </c>
      <c r="L564" t="s">
        <v>895</v>
      </c>
      <c r="M564" t="s">
        <v>4402</v>
      </c>
      <c r="O564" t="s">
        <v>896</v>
      </c>
      <c r="P564" t="s">
        <v>33</v>
      </c>
      <c r="Q564" s="22">
        <v>259052.4</v>
      </c>
      <c r="R564" t="s">
        <v>35</v>
      </c>
      <c r="S564" t="s">
        <v>35</v>
      </c>
      <c r="T564" t="s">
        <v>35</v>
      </c>
      <c r="U564" t="s">
        <v>35</v>
      </c>
      <c r="V564" t="s">
        <v>645</v>
      </c>
      <c r="W564" t="s">
        <v>113</v>
      </c>
    </row>
    <row r="565" spans="1:23" hidden="1" x14ac:dyDescent="0.25">
      <c r="A565" s="7" t="str">
        <f>IFERROR(VLOOKUP(H565,'Contas Orç'!A:B,2,0),"N/A")</f>
        <v>REMUNERACOES</v>
      </c>
      <c r="B565" s="7" t="str">
        <f t="shared" si="16"/>
        <v>320101 - REMUNERACOES</v>
      </c>
      <c r="C565" s="25">
        <f t="shared" si="17"/>
        <v>44652</v>
      </c>
      <c r="D565" s="27">
        <f>IF(K565="CREDITO",Q565,Q565*-1)</f>
        <v>914800.77</v>
      </c>
      <c r="E565" t="s">
        <v>894</v>
      </c>
      <c r="F565" t="s">
        <v>1058</v>
      </c>
      <c r="G565" s="8">
        <v>44652</v>
      </c>
      <c r="H565" t="s">
        <v>508</v>
      </c>
      <c r="I565" t="s">
        <v>59</v>
      </c>
      <c r="J565" t="s">
        <v>60</v>
      </c>
      <c r="K565" t="s">
        <v>29</v>
      </c>
      <c r="L565" t="s">
        <v>895</v>
      </c>
      <c r="M565" t="s">
        <v>4402</v>
      </c>
      <c r="O565" t="s">
        <v>896</v>
      </c>
      <c r="P565" t="s">
        <v>33</v>
      </c>
      <c r="Q565" s="22">
        <v>914800.77</v>
      </c>
      <c r="R565" t="s">
        <v>35</v>
      </c>
      <c r="S565" t="s">
        <v>35</v>
      </c>
      <c r="T565" t="s">
        <v>35</v>
      </c>
      <c r="U565" t="s">
        <v>35</v>
      </c>
      <c r="V565" t="s">
        <v>645</v>
      </c>
      <c r="W565" t="s">
        <v>113</v>
      </c>
    </row>
    <row r="566" spans="1:23" hidden="1" x14ac:dyDescent="0.25">
      <c r="A566" s="7" t="str">
        <f>IFERROR(VLOOKUP(H566,'Contas Orç'!A:B,2,0),"N/A")</f>
        <v>REMUNERACOES</v>
      </c>
      <c r="B566" s="7" t="str">
        <f t="shared" si="16"/>
        <v>320101 - REMUNERACOES</v>
      </c>
      <c r="C566" s="25">
        <f t="shared" si="17"/>
        <v>44652</v>
      </c>
      <c r="D566" s="27">
        <f>IF(K566="CREDITO",Q566,Q566*-1)</f>
        <v>13971.55</v>
      </c>
      <c r="E566" t="s">
        <v>894</v>
      </c>
      <c r="F566" t="s">
        <v>1059</v>
      </c>
      <c r="G566" s="8">
        <v>44652</v>
      </c>
      <c r="H566" t="s">
        <v>508</v>
      </c>
      <c r="I566" t="s">
        <v>53</v>
      </c>
      <c r="J566" t="s">
        <v>702</v>
      </c>
      <c r="K566" t="s">
        <v>29</v>
      </c>
      <c r="L566" t="s">
        <v>895</v>
      </c>
      <c r="M566" t="s">
        <v>4402</v>
      </c>
      <c r="O566" t="s">
        <v>896</v>
      </c>
      <c r="P566" t="s">
        <v>33</v>
      </c>
      <c r="Q566" s="22">
        <v>13971.55</v>
      </c>
      <c r="R566" t="s">
        <v>35</v>
      </c>
      <c r="S566" t="s">
        <v>35</v>
      </c>
      <c r="T566" t="s">
        <v>35</v>
      </c>
      <c r="U566" t="s">
        <v>35</v>
      </c>
      <c r="V566" t="s">
        <v>645</v>
      </c>
      <c r="W566" t="s">
        <v>113</v>
      </c>
    </row>
    <row r="567" spans="1:23" hidden="1" x14ac:dyDescent="0.25">
      <c r="A567" s="7" t="str">
        <f>IFERROR(VLOOKUP(H567,'Contas Orç'!A:B,2,0),"N/A")</f>
        <v>REMUNERACOES</v>
      </c>
      <c r="B567" s="7" t="str">
        <f t="shared" si="16"/>
        <v>320101 - REMUNERACOES</v>
      </c>
      <c r="C567" s="25">
        <f t="shared" si="17"/>
        <v>44652</v>
      </c>
      <c r="D567" s="27">
        <f>IF(K567="CREDITO",Q567,Q567*-1)</f>
        <v>51065.77</v>
      </c>
      <c r="E567" t="s">
        <v>894</v>
      </c>
      <c r="F567" t="s">
        <v>1060</v>
      </c>
      <c r="G567" s="8">
        <v>44652</v>
      </c>
      <c r="H567" t="s">
        <v>508</v>
      </c>
      <c r="I567" t="s">
        <v>59</v>
      </c>
      <c r="J567" t="s">
        <v>702</v>
      </c>
      <c r="K567" t="s">
        <v>29</v>
      </c>
      <c r="L567" t="s">
        <v>895</v>
      </c>
      <c r="M567" t="s">
        <v>4402</v>
      </c>
      <c r="O567" t="s">
        <v>896</v>
      </c>
      <c r="P567" t="s">
        <v>33</v>
      </c>
      <c r="Q567" s="22">
        <v>51065.77</v>
      </c>
      <c r="R567" t="s">
        <v>35</v>
      </c>
      <c r="S567" t="s">
        <v>35</v>
      </c>
      <c r="T567" t="s">
        <v>35</v>
      </c>
      <c r="U567" t="s">
        <v>35</v>
      </c>
      <c r="V567" t="s">
        <v>645</v>
      </c>
      <c r="W567" t="s">
        <v>113</v>
      </c>
    </row>
    <row r="568" spans="1:23" hidden="1" x14ac:dyDescent="0.25">
      <c r="A568" s="7" t="str">
        <f>IFERROR(VLOOKUP(H568,'Contas Orç'!A:B,2,0),"N/A")</f>
        <v>REMUNERACOES</v>
      </c>
      <c r="B568" s="7" t="str">
        <f t="shared" si="16"/>
        <v>320101 - REMUNERACOES</v>
      </c>
      <c r="C568" s="25">
        <f t="shared" si="17"/>
        <v>44652</v>
      </c>
      <c r="D568" s="27">
        <f>IF(K568="CREDITO",Q568,Q568*-1)</f>
        <v>28567.91</v>
      </c>
      <c r="E568" t="s">
        <v>894</v>
      </c>
      <c r="F568" t="s">
        <v>1061</v>
      </c>
      <c r="G568" s="8">
        <v>44652</v>
      </c>
      <c r="H568" t="s">
        <v>508</v>
      </c>
      <c r="I568" t="s">
        <v>125</v>
      </c>
      <c r="J568" t="s">
        <v>95</v>
      </c>
      <c r="K568" t="s">
        <v>29</v>
      </c>
      <c r="L568" t="s">
        <v>895</v>
      </c>
      <c r="M568" t="s">
        <v>4402</v>
      </c>
      <c r="O568" t="s">
        <v>896</v>
      </c>
      <c r="P568" t="s">
        <v>33</v>
      </c>
      <c r="Q568" s="22">
        <v>28567.91</v>
      </c>
      <c r="R568" t="s">
        <v>35</v>
      </c>
      <c r="S568" t="s">
        <v>35</v>
      </c>
      <c r="T568" t="s">
        <v>35</v>
      </c>
      <c r="U568" t="s">
        <v>35</v>
      </c>
      <c r="V568" t="s">
        <v>645</v>
      </c>
      <c r="W568" t="s">
        <v>113</v>
      </c>
    </row>
    <row r="569" spans="1:23" hidden="1" x14ac:dyDescent="0.25">
      <c r="A569" s="7" t="str">
        <f>IFERROR(VLOOKUP(H569,'Contas Orç'!A:B,2,0),"N/A")</f>
        <v>REMUNERACOES</v>
      </c>
      <c r="B569" s="7" t="str">
        <f t="shared" si="16"/>
        <v>320101 - REMUNERACOES</v>
      </c>
      <c r="C569" s="25">
        <f t="shared" si="17"/>
        <v>44652</v>
      </c>
      <c r="D569" s="27">
        <f>IF(K569="CREDITO",Q569,Q569*-1)</f>
        <v>88794.31</v>
      </c>
      <c r="E569" t="s">
        <v>894</v>
      </c>
      <c r="F569" t="s">
        <v>1062</v>
      </c>
      <c r="G569" s="8">
        <v>44652</v>
      </c>
      <c r="H569" t="s">
        <v>508</v>
      </c>
      <c r="I569" t="s">
        <v>53</v>
      </c>
      <c r="J569" t="s">
        <v>54</v>
      </c>
      <c r="K569" t="s">
        <v>29</v>
      </c>
      <c r="L569" t="s">
        <v>895</v>
      </c>
      <c r="M569" t="s">
        <v>4402</v>
      </c>
      <c r="O569" t="s">
        <v>896</v>
      </c>
      <c r="P569" t="s">
        <v>33</v>
      </c>
      <c r="Q569" s="22">
        <v>88794.31</v>
      </c>
      <c r="R569" t="s">
        <v>35</v>
      </c>
      <c r="S569" t="s">
        <v>35</v>
      </c>
      <c r="T569" t="s">
        <v>35</v>
      </c>
      <c r="U569" t="s">
        <v>35</v>
      </c>
      <c r="V569" t="s">
        <v>645</v>
      </c>
      <c r="W569" t="s">
        <v>113</v>
      </c>
    </row>
    <row r="570" spans="1:23" hidden="1" x14ac:dyDescent="0.25">
      <c r="A570" s="7" t="str">
        <f>IFERROR(VLOOKUP(H570,'Contas Orç'!A:B,2,0),"N/A")</f>
        <v>REMUNERACOES</v>
      </c>
      <c r="B570" s="7" t="str">
        <f t="shared" si="16"/>
        <v>320101 - REMUNERACOES</v>
      </c>
      <c r="C570" s="25">
        <f t="shared" si="17"/>
        <v>44682</v>
      </c>
      <c r="D570" s="27">
        <f>IF(K570="CREDITO",Q570,Q570*-1)</f>
        <v>5168.83</v>
      </c>
      <c r="E570" t="s">
        <v>894</v>
      </c>
      <c r="F570" t="s">
        <v>1063</v>
      </c>
      <c r="G570" s="8">
        <v>44682</v>
      </c>
      <c r="H570" t="s">
        <v>508</v>
      </c>
      <c r="I570" t="s">
        <v>53</v>
      </c>
      <c r="J570" t="s">
        <v>28</v>
      </c>
      <c r="K570" t="s">
        <v>29</v>
      </c>
      <c r="L570" t="s">
        <v>895</v>
      </c>
      <c r="M570" t="s">
        <v>4402</v>
      </c>
      <c r="O570" t="s">
        <v>896</v>
      </c>
      <c r="P570" t="s">
        <v>33</v>
      </c>
      <c r="Q570" s="22">
        <v>5168.83</v>
      </c>
      <c r="R570" t="s">
        <v>35</v>
      </c>
      <c r="S570" t="s">
        <v>35</v>
      </c>
      <c r="T570" t="s">
        <v>35</v>
      </c>
      <c r="U570" t="s">
        <v>35</v>
      </c>
      <c r="V570" t="s">
        <v>645</v>
      </c>
      <c r="W570" t="s">
        <v>113</v>
      </c>
    </row>
    <row r="571" spans="1:23" hidden="1" x14ac:dyDescent="0.25">
      <c r="A571" s="7" t="str">
        <f>IFERROR(VLOOKUP(H571,'Contas Orç'!A:B,2,0),"N/A")</f>
        <v>REMUNERACOES</v>
      </c>
      <c r="B571" s="7" t="str">
        <f t="shared" si="16"/>
        <v>320101 - REMUNERACOES</v>
      </c>
      <c r="C571" s="25">
        <f t="shared" si="17"/>
        <v>44682</v>
      </c>
      <c r="D571" s="27">
        <f>IF(K571="CREDITO",Q571,Q571*-1)</f>
        <v>62881.67</v>
      </c>
      <c r="E571" t="s">
        <v>894</v>
      </c>
      <c r="F571" t="s">
        <v>1064</v>
      </c>
      <c r="G571" s="8">
        <v>44682</v>
      </c>
      <c r="H571" t="s">
        <v>508</v>
      </c>
      <c r="I571" t="s">
        <v>88</v>
      </c>
      <c r="J571" t="s">
        <v>28</v>
      </c>
      <c r="K571" t="s">
        <v>29</v>
      </c>
      <c r="L571" t="s">
        <v>895</v>
      </c>
      <c r="M571" t="s">
        <v>4402</v>
      </c>
      <c r="O571" t="s">
        <v>896</v>
      </c>
      <c r="P571" t="s">
        <v>33</v>
      </c>
      <c r="Q571" s="22">
        <v>62881.67</v>
      </c>
      <c r="R571" t="s">
        <v>35</v>
      </c>
      <c r="S571" t="s">
        <v>35</v>
      </c>
      <c r="T571" t="s">
        <v>35</v>
      </c>
      <c r="U571" t="s">
        <v>35</v>
      </c>
      <c r="V571" t="s">
        <v>645</v>
      </c>
      <c r="W571" t="s">
        <v>113</v>
      </c>
    </row>
    <row r="572" spans="1:23" hidden="1" x14ac:dyDescent="0.25">
      <c r="A572" s="7" t="str">
        <f>IFERROR(VLOOKUP(H572,'Contas Orç'!A:B,2,0),"N/A")</f>
        <v>REMUNERACOES</v>
      </c>
      <c r="B572" s="7" t="str">
        <f t="shared" si="16"/>
        <v>320101 - REMUNERACOES</v>
      </c>
      <c r="C572" s="25">
        <f t="shared" si="17"/>
        <v>44682</v>
      </c>
      <c r="D572" s="27">
        <f>IF(K572="CREDITO",Q572,Q572*-1)</f>
        <v>107405.26</v>
      </c>
      <c r="E572" t="s">
        <v>894</v>
      </c>
      <c r="F572" t="s">
        <v>1065</v>
      </c>
      <c r="G572" s="8">
        <v>44682</v>
      </c>
      <c r="H572" t="s">
        <v>508</v>
      </c>
      <c r="I572" t="s">
        <v>27</v>
      </c>
      <c r="J572" t="s">
        <v>28</v>
      </c>
      <c r="K572" t="s">
        <v>29</v>
      </c>
      <c r="L572" t="s">
        <v>895</v>
      </c>
      <c r="M572" t="s">
        <v>4402</v>
      </c>
      <c r="O572" t="s">
        <v>896</v>
      </c>
      <c r="P572" t="s">
        <v>33</v>
      </c>
      <c r="Q572" s="22">
        <v>107405.26</v>
      </c>
      <c r="R572" t="s">
        <v>35</v>
      </c>
      <c r="S572" t="s">
        <v>35</v>
      </c>
      <c r="T572" t="s">
        <v>35</v>
      </c>
      <c r="U572" t="s">
        <v>35</v>
      </c>
      <c r="V572" t="s">
        <v>645</v>
      </c>
      <c r="W572" t="s">
        <v>113</v>
      </c>
    </row>
    <row r="573" spans="1:23" hidden="1" x14ac:dyDescent="0.25">
      <c r="A573" s="7" t="str">
        <f>IFERROR(VLOOKUP(H573,'Contas Orç'!A:B,2,0),"N/A")</f>
        <v>REMUNERACOES</v>
      </c>
      <c r="B573" s="7" t="str">
        <f t="shared" si="16"/>
        <v>320101 - REMUNERACOES</v>
      </c>
      <c r="C573" s="25">
        <f t="shared" si="17"/>
        <v>44682</v>
      </c>
      <c r="D573" s="27">
        <f>IF(K573="CREDITO",Q573,Q573*-1)</f>
        <v>3310.85</v>
      </c>
      <c r="E573" t="s">
        <v>894</v>
      </c>
      <c r="F573" t="s">
        <v>1066</v>
      </c>
      <c r="G573" s="8">
        <v>44682</v>
      </c>
      <c r="H573" t="s">
        <v>508</v>
      </c>
      <c r="I573" t="s">
        <v>59</v>
      </c>
      <c r="J573" t="s">
        <v>28</v>
      </c>
      <c r="K573" t="s">
        <v>29</v>
      </c>
      <c r="L573" t="s">
        <v>895</v>
      </c>
      <c r="M573" t="s">
        <v>4402</v>
      </c>
      <c r="O573" t="s">
        <v>896</v>
      </c>
      <c r="P573" t="s">
        <v>33</v>
      </c>
      <c r="Q573" s="22">
        <v>3310.85</v>
      </c>
      <c r="R573" t="s">
        <v>35</v>
      </c>
      <c r="S573" t="s">
        <v>35</v>
      </c>
      <c r="T573" t="s">
        <v>35</v>
      </c>
      <c r="U573" t="s">
        <v>35</v>
      </c>
      <c r="V573" t="s">
        <v>645</v>
      </c>
      <c r="W573" t="s">
        <v>113</v>
      </c>
    </row>
    <row r="574" spans="1:23" hidden="1" x14ac:dyDescent="0.25">
      <c r="A574" s="7" t="str">
        <f>IFERROR(VLOOKUP(H574,'Contas Orç'!A:B,2,0),"N/A")</f>
        <v>REMUNERACOES</v>
      </c>
      <c r="B574" s="7" t="str">
        <f t="shared" si="16"/>
        <v>320101 - REMUNERACOES</v>
      </c>
      <c r="C574" s="25">
        <f t="shared" si="17"/>
        <v>44682</v>
      </c>
      <c r="D574" s="27">
        <f>IF(K574="CREDITO",Q574,Q574*-1)</f>
        <v>38335.620000000003</v>
      </c>
      <c r="E574" t="s">
        <v>894</v>
      </c>
      <c r="F574" t="s">
        <v>1067</v>
      </c>
      <c r="G574" s="8">
        <v>44682</v>
      </c>
      <c r="H574" t="s">
        <v>508</v>
      </c>
      <c r="I574" t="s">
        <v>53</v>
      </c>
      <c r="J574" t="s">
        <v>60</v>
      </c>
      <c r="K574" t="s">
        <v>29</v>
      </c>
      <c r="L574" t="s">
        <v>895</v>
      </c>
      <c r="M574" t="s">
        <v>4402</v>
      </c>
      <c r="O574" t="s">
        <v>896</v>
      </c>
      <c r="P574" t="s">
        <v>33</v>
      </c>
      <c r="Q574" s="22">
        <v>38335.620000000003</v>
      </c>
      <c r="R574" t="s">
        <v>35</v>
      </c>
      <c r="S574" t="s">
        <v>35</v>
      </c>
      <c r="T574" t="s">
        <v>35</v>
      </c>
      <c r="U574" t="s">
        <v>35</v>
      </c>
      <c r="V574" t="s">
        <v>645</v>
      </c>
      <c r="W574" t="s">
        <v>113</v>
      </c>
    </row>
    <row r="575" spans="1:23" hidden="1" x14ac:dyDescent="0.25">
      <c r="A575" s="7" t="str">
        <f>IFERROR(VLOOKUP(H575,'Contas Orç'!A:B,2,0),"N/A")</f>
        <v>REMUNERACOES</v>
      </c>
      <c r="B575" s="7" t="str">
        <f t="shared" si="16"/>
        <v>320101 - REMUNERACOES</v>
      </c>
      <c r="C575" s="25">
        <f t="shared" si="17"/>
        <v>44682</v>
      </c>
      <c r="D575" s="27">
        <f>IF(K575="CREDITO",Q575,Q575*-1)</f>
        <v>192924.65</v>
      </c>
      <c r="E575" t="s">
        <v>894</v>
      </c>
      <c r="F575" t="s">
        <v>1068</v>
      </c>
      <c r="G575" s="8">
        <v>44682</v>
      </c>
      <c r="H575" t="s">
        <v>508</v>
      </c>
      <c r="I575" t="s">
        <v>106</v>
      </c>
      <c r="J575" t="s">
        <v>60</v>
      </c>
      <c r="K575" t="s">
        <v>29</v>
      </c>
      <c r="L575" t="s">
        <v>895</v>
      </c>
      <c r="M575" t="s">
        <v>4402</v>
      </c>
      <c r="O575" t="s">
        <v>896</v>
      </c>
      <c r="P575" t="s">
        <v>33</v>
      </c>
      <c r="Q575" s="22">
        <v>192924.65</v>
      </c>
      <c r="R575" t="s">
        <v>35</v>
      </c>
      <c r="S575" t="s">
        <v>35</v>
      </c>
      <c r="T575" t="s">
        <v>35</v>
      </c>
      <c r="U575" t="s">
        <v>35</v>
      </c>
      <c r="V575" t="s">
        <v>645</v>
      </c>
      <c r="W575" t="s">
        <v>113</v>
      </c>
    </row>
    <row r="576" spans="1:23" hidden="1" x14ac:dyDescent="0.25">
      <c r="A576" s="7" t="str">
        <f>IFERROR(VLOOKUP(H576,'Contas Orç'!A:B,2,0),"N/A")</f>
        <v>REMUNERACOES</v>
      </c>
      <c r="B576" s="7" t="str">
        <f t="shared" si="16"/>
        <v>320101 - REMUNERACOES</v>
      </c>
      <c r="C576" s="25">
        <f t="shared" si="17"/>
        <v>44682</v>
      </c>
      <c r="D576" s="27">
        <f>IF(K576="CREDITO",Q576,Q576*-1)</f>
        <v>779185.18</v>
      </c>
      <c r="E576" t="s">
        <v>894</v>
      </c>
      <c r="F576" t="s">
        <v>1069</v>
      </c>
      <c r="G576" s="8">
        <v>44682</v>
      </c>
      <c r="H576" t="s">
        <v>508</v>
      </c>
      <c r="I576" t="s">
        <v>59</v>
      </c>
      <c r="J576" t="s">
        <v>60</v>
      </c>
      <c r="K576" t="s">
        <v>29</v>
      </c>
      <c r="L576" t="s">
        <v>895</v>
      </c>
      <c r="M576" t="s">
        <v>4402</v>
      </c>
      <c r="O576" t="s">
        <v>896</v>
      </c>
      <c r="P576" t="s">
        <v>33</v>
      </c>
      <c r="Q576" s="22">
        <v>779185.18</v>
      </c>
      <c r="R576" t="s">
        <v>35</v>
      </c>
      <c r="S576" t="s">
        <v>35</v>
      </c>
      <c r="T576" t="s">
        <v>35</v>
      </c>
      <c r="U576" t="s">
        <v>35</v>
      </c>
      <c r="V576" t="s">
        <v>645</v>
      </c>
      <c r="W576" t="s">
        <v>113</v>
      </c>
    </row>
    <row r="577" spans="1:23" hidden="1" x14ac:dyDescent="0.25">
      <c r="A577" s="7" t="str">
        <f>IFERROR(VLOOKUP(H577,'Contas Orç'!A:B,2,0),"N/A")</f>
        <v>REMUNERACOES</v>
      </c>
      <c r="B577" s="7" t="str">
        <f t="shared" si="16"/>
        <v>320101 - REMUNERACOES</v>
      </c>
      <c r="C577" s="25">
        <f t="shared" si="17"/>
        <v>44682</v>
      </c>
      <c r="D577" s="27">
        <f>IF(K577="CREDITO",Q577,Q577*-1)</f>
        <v>11938.25</v>
      </c>
      <c r="E577" t="s">
        <v>894</v>
      </c>
      <c r="F577" t="s">
        <v>1070</v>
      </c>
      <c r="G577" s="8">
        <v>44682</v>
      </c>
      <c r="H577" t="s">
        <v>508</v>
      </c>
      <c r="I577" t="s">
        <v>53</v>
      </c>
      <c r="J577" t="s">
        <v>702</v>
      </c>
      <c r="K577" t="s">
        <v>29</v>
      </c>
      <c r="L577" t="s">
        <v>895</v>
      </c>
      <c r="M577" t="s">
        <v>4402</v>
      </c>
      <c r="O577" t="s">
        <v>896</v>
      </c>
      <c r="P577" t="s">
        <v>33</v>
      </c>
      <c r="Q577" s="22">
        <v>11938.25</v>
      </c>
      <c r="R577" t="s">
        <v>35</v>
      </c>
      <c r="S577" t="s">
        <v>35</v>
      </c>
      <c r="T577" t="s">
        <v>35</v>
      </c>
      <c r="U577" t="s">
        <v>35</v>
      </c>
      <c r="V577" t="s">
        <v>645</v>
      </c>
      <c r="W577" t="s">
        <v>113</v>
      </c>
    </row>
    <row r="578" spans="1:23" hidden="1" x14ac:dyDescent="0.25">
      <c r="A578" s="7" t="str">
        <f>IFERROR(VLOOKUP(H578,'Contas Orç'!A:B,2,0),"N/A")</f>
        <v>REMUNERACOES</v>
      </c>
      <c r="B578" s="7" t="str">
        <f t="shared" si="16"/>
        <v>320101 - REMUNERACOES</v>
      </c>
      <c r="C578" s="25">
        <f t="shared" si="17"/>
        <v>44682</v>
      </c>
      <c r="D578" s="27">
        <f>IF(K578="CREDITO",Q578,Q578*-1)</f>
        <v>55491.66</v>
      </c>
      <c r="E578" t="s">
        <v>894</v>
      </c>
      <c r="F578" t="s">
        <v>1071</v>
      </c>
      <c r="G578" s="8">
        <v>44682</v>
      </c>
      <c r="H578" t="s">
        <v>508</v>
      </c>
      <c r="I578" t="s">
        <v>59</v>
      </c>
      <c r="J578" t="s">
        <v>702</v>
      </c>
      <c r="K578" t="s">
        <v>29</v>
      </c>
      <c r="L578" t="s">
        <v>895</v>
      </c>
      <c r="M578" t="s">
        <v>4402</v>
      </c>
      <c r="O578" t="s">
        <v>896</v>
      </c>
      <c r="P578" t="s">
        <v>33</v>
      </c>
      <c r="Q578" s="22">
        <v>55491.66</v>
      </c>
      <c r="R578" t="s">
        <v>35</v>
      </c>
      <c r="S578" t="s">
        <v>35</v>
      </c>
      <c r="T578" t="s">
        <v>35</v>
      </c>
      <c r="U578" t="s">
        <v>35</v>
      </c>
      <c r="V578" t="s">
        <v>645</v>
      </c>
      <c r="W578" t="s">
        <v>113</v>
      </c>
    </row>
    <row r="579" spans="1:23" hidden="1" x14ac:dyDescent="0.25">
      <c r="A579" s="7" t="str">
        <f>IFERROR(VLOOKUP(H579,'Contas Orç'!A:B,2,0),"N/A")</f>
        <v>REMUNERACOES</v>
      </c>
      <c r="B579" s="7" t="str">
        <f t="shared" ref="B579:B642" si="18">_xlfn.CONCAT(H579," - ",A579)</f>
        <v>320101 - REMUNERACOES</v>
      </c>
      <c r="C579" s="25">
        <f t="shared" ref="C579:C642" si="19">DATE(YEAR(G579),MONTH(G579),1)</f>
        <v>44682</v>
      </c>
      <c r="D579" s="27">
        <f>IF(K579="CREDITO",Q579,Q579*-1)</f>
        <v>23958.3</v>
      </c>
      <c r="E579" t="s">
        <v>894</v>
      </c>
      <c r="F579" t="s">
        <v>1072</v>
      </c>
      <c r="G579" s="8">
        <v>44682</v>
      </c>
      <c r="H579" t="s">
        <v>508</v>
      </c>
      <c r="I579" t="s">
        <v>125</v>
      </c>
      <c r="J579" t="s">
        <v>95</v>
      </c>
      <c r="K579" t="s">
        <v>29</v>
      </c>
      <c r="L579" t="s">
        <v>895</v>
      </c>
      <c r="M579" t="s">
        <v>4402</v>
      </c>
      <c r="O579" t="s">
        <v>896</v>
      </c>
      <c r="P579" t="s">
        <v>33</v>
      </c>
      <c r="Q579" s="22">
        <v>23958.3</v>
      </c>
      <c r="R579" t="s">
        <v>35</v>
      </c>
      <c r="S579" t="s">
        <v>35</v>
      </c>
      <c r="T579" t="s">
        <v>35</v>
      </c>
      <c r="U579" t="s">
        <v>35</v>
      </c>
      <c r="V579" t="s">
        <v>645</v>
      </c>
      <c r="W579" t="s">
        <v>113</v>
      </c>
    </row>
    <row r="580" spans="1:23" hidden="1" x14ac:dyDescent="0.25">
      <c r="A580" s="7" t="str">
        <f>IFERROR(VLOOKUP(H580,'Contas Orç'!A:B,2,0),"N/A")</f>
        <v>REMUNERACOES</v>
      </c>
      <c r="B580" s="7" t="str">
        <f t="shared" si="18"/>
        <v>320101 - REMUNERACOES</v>
      </c>
      <c r="C580" s="25">
        <f t="shared" si="19"/>
        <v>44682</v>
      </c>
      <c r="D580" s="27">
        <f>IF(K580="CREDITO",Q580,Q580*-1)</f>
        <v>899.92</v>
      </c>
      <c r="E580" t="s">
        <v>894</v>
      </c>
      <c r="F580" t="s">
        <v>1073</v>
      </c>
      <c r="G580" s="8">
        <v>44682</v>
      </c>
      <c r="H580" t="s">
        <v>508</v>
      </c>
      <c r="I580" t="s">
        <v>81</v>
      </c>
      <c r="J580" t="s">
        <v>54</v>
      </c>
      <c r="K580" t="s">
        <v>29</v>
      </c>
      <c r="L580" t="s">
        <v>895</v>
      </c>
      <c r="M580" t="s">
        <v>4402</v>
      </c>
      <c r="O580" t="s">
        <v>896</v>
      </c>
      <c r="P580" t="s">
        <v>33</v>
      </c>
      <c r="Q580">
        <v>899.92</v>
      </c>
      <c r="R580" t="s">
        <v>35</v>
      </c>
      <c r="S580" t="s">
        <v>35</v>
      </c>
      <c r="T580" t="s">
        <v>35</v>
      </c>
      <c r="U580" t="s">
        <v>35</v>
      </c>
      <c r="V580" t="s">
        <v>645</v>
      </c>
      <c r="W580" t="s">
        <v>113</v>
      </c>
    </row>
    <row r="581" spans="1:23" hidden="1" x14ac:dyDescent="0.25">
      <c r="A581" s="7" t="str">
        <f>IFERROR(VLOOKUP(H581,'Contas Orç'!A:B,2,0),"N/A")</f>
        <v>REMUNERACOES</v>
      </c>
      <c r="B581" s="7" t="str">
        <f t="shared" si="18"/>
        <v>320101 - REMUNERACOES</v>
      </c>
      <c r="C581" s="25">
        <f t="shared" si="19"/>
        <v>44682</v>
      </c>
      <c r="D581" s="27">
        <f>IF(K581="CREDITO",Q581,Q581*-1)</f>
        <v>58210.9</v>
      </c>
      <c r="E581" t="s">
        <v>894</v>
      </c>
      <c r="F581" t="s">
        <v>1074</v>
      </c>
      <c r="G581" s="8">
        <v>44682</v>
      </c>
      <c r="H581" t="s">
        <v>508</v>
      </c>
      <c r="I581" t="s">
        <v>53</v>
      </c>
      <c r="J581" t="s">
        <v>54</v>
      </c>
      <c r="K581" t="s">
        <v>29</v>
      </c>
      <c r="L581" t="s">
        <v>895</v>
      </c>
      <c r="M581" t="s">
        <v>4402</v>
      </c>
      <c r="O581" t="s">
        <v>896</v>
      </c>
      <c r="P581" t="s">
        <v>33</v>
      </c>
      <c r="Q581" s="22">
        <v>58210.9</v>
      </c>
      <c r="R581" t="s">
        <v>35</v>
      </c>
      <c r="S581" t="s">
        <v>35</v>
      </c>
      <c r="T581" t="s">
        <v>35</v>
      </c>
      <c r="U581" t="s">
        <v>35</v>
      </c>
      <c r="V581" t="s">
        <v>645</v>
      </c>
      <c r="W581" t="s">
        <v>113</v>
      </c>
    </row>
    <row r="582" spans="1:23" hidden="1" x14ac:dyDescent="0.25">
      <c r="A582" s="7" t="str">
        <f>IFERROR(VLOOKUP(H582,'Contas Orç'!A:B,2,0),"N/A")</f>
        <v>REMUNERACOES</v>
      </c>
      <c r="B582" s="7" t="str">
        <f t="shared" si="18"/>
        <v>320101 - REMUNERACOES</v>
      </c>
      <c r="C582" s="25">
        <f t="shared" si="19"/>
        <v>44713</v>
      </c>
      <c r="D582" s="27">
        <f>IF(K582="CREDITO",Q582,Q582*-1)</f>
        <v>1117.77</v>
      </c>
      <c r="E582" t="s">
        <v>894</v>
      </c>
      <c r="F582" t="s">
        <v>1075</v>
      </c>
      <c r="G582" s="8">
        <v>44713</v>
      </c>
      <c r="H582" t="s">
        <v>508</v>
      </c>
      <c r="I582" t="s">
        <v>53</v>
      </c>
      <c r="J582" t="s">
        <v>28</v>
      </c>
      <c r="K582" t="s">
        <v>29</v>
      </c>
      <c r="L582" t="s">
        <v>895</v>
      </c>
      <c r="M582" t="s">
        <v>4402</v>
      </c>
      <c r="O582" t="s">
        <v>896</v>
      </c>
      <c r="P582" t="s">
        <v>33</v>
      </c>
      <c r="Q582" s="22">
        <v>1117.77</v>
      </c>
      <c r="R582" t="s">
        <v>35</v>
      </c>
      <c r="S582" t="s">
        <v>35</v>
      </c>
      <c r="T582" t="s">
        <v>35</v>
      </c>
      <c r="U582" t="s">
        <v>35</v>
      </c>
      <c r="V582" t="s">
        <v>645</v>
      </c>
      <c r="W582" t="s">
        <v>113</v>
      </c>
    </row>
    <row r="583" spans="1:23" hidden="1" x14ac:dyDescent="0.25">
      <c r="A583" s="7" t="str">
        <f>IFERROR(VLOOKUP(H583,'Contas Orç'!A:B,2,0),"N/A")</f>
        <v>REMUNERACOES</v>
      </c>
      <c r="B583" s="7" t="str">
        <f t="shared" si="18"/>
        <v>320101 - REMUNERACOES</v>
      </c>
      <c r="C583" s="25">
        <f t="shared" si="19"/>
        <v>44713</v>
      </c>
      <c r="D583" s="27">
        <f>IF(K583="CREDITO",Q583,Q583*-1)</f>
        <v>67181.25</v>
      </c>
      <c r="E583" t="s">
        <v>894</v>
      </c>
      <c r="F583" t="s">
        <v>1076</v>
      </c>
      <c r="G583" s="8">
        <v>44713</v>
      </c>
      <c r="H583" t="s">
        <v>508</v>
      </c>
      <c r="I583" t="s">
        <v>88</v>
      </c>
      <c r="J583" t="s">
        <v>28</v>
      </c>
      <c r="K583" t="s">
        <v>29</v>
      </c>
      <c r="L583" t="s">
        <v>895</v>
      </c>
      <c r="M583" t="s">
        <v>4402</v>
      </c>
      <c r="O583" t="s">
        <v>896</v>
      </c>
      <c r="P583" t="s">
        <v>33</v>
      </c>
      <c r="Q583" s="22">
        <v>67181.25</v>
      </c>
      <c r="R583" t="s">
        <v>35</v>
      </c>
      <c r="S583" t="s">
        <v>35</v>
      </c>
      <c r="T583" t="s">
        <v>35</v>
      </c>
      <c r="U583" t="s">
        <v>35</v>
      </c>
      <c r="V583" t="s">
        <v>645</v>
      </c>
      <c r="W583" t="s">
        <v>113</v>
      </c>
    </row>
    <row r="584" spans="1:23" hidden="1" x14ac:dyDescent="0.25">
      <c r="A584" s="7" t="str">
        <f>IFERROR(VLOOKUP(H584,'Contas Orç'!A:B,2,0),"N/A")</f>
        <v>REMUNERACOES</v>
      </c>
      <c r="B584" s="7" t="str">
        <f t="shared" si="18"/>
        <v>320101 - REMUNERACOES</v>
      </c>
      <c r="C584" s="25">
        <f t="shared" si="19"/>
        <v>44713</v>
      </c>
      <c r="D584" s="27">
        <f>IF(K584="CREDITO",Q584,Q584*-1)</f>
        <v>151171.67000000001</v>
      </c>
      <c r="E584" t="s">
        <v>894</v>
      </c>
      <c r="F584" t="s">
        <v>1077</v>
      </c>
      <c r="G584" s="8">
        <v>44713</v>
      </c>
      <c r="H584" t="s">
        <v>508</v>
      </c>
      <c r="I584" t="s">
        <v>27</v>
      </c>
      <c r="J584" t="s">
        <v>28</v>
      </c>
      <c r="K584" t="s">
        <v>29</v>
      </c>
      <c r="L584" t="s">
        <v>895</v>
      </c>
      <c r="M584" t="s">
        <v>4402</v>
      </c>
      <c r="O584" t="s">
        <v>896</v>
      </c>
      <c r="P584" t="s">
        <v>33</v>
      </c>
      <c r="Q584" s="22">
        <v>151171.67000000001</v>
      </c>
      <c r="R584" t="s">
        <v>35</v>
      </c>
      <c r="S584" t="s">
        <v>35</v>
      </c>
      <c r="T584" t="s">
        <v>35</v>
      </c>
      <c r="U584" t="s">
        <v>35</v>
      </c>
      <c r="V584" t="s">
        <v>645</v>
      </c>
      <c r="W584" t="s">
        <v>113</v>
      </c>
    </row>
    <row r="585" spans="1:23" hidden="1" x14ac:dyDescent="0.25">
      <c r="A585" s="7" t="str">
        <f>IFERROR(VLOOKUP(H585,'Contas Orç'!A:B,2,0),"N/A")</f>
        <v>REMUNERACOES</v>
      </c>
      <c r="B585" s="7" t="str">
        <f t="shared" si="18"/>
        <v>320101 - REMUNERACOES</v>
      </c>
      <c r="C585" s="25">
        <f t="shared" si="19"/>
        <v>44713</v>
      </c>
      <c r="D585" s="27">
        <f>IF(K585="CREDITO",Q585,Q585*-1)</f>
        <v>46991.33</v>
      </c>
      <c r="E585" t="s">
        <v>894</v>
      </c>
      <c r="F585" t="s">
        <v>1078</v>
      </c>
      <c r="G585" s="8">
        <v>44713</v>
      </c>
      <c r="H585" t="s">
        <v>508</v>
      </c>
      <c r="I585" t="s">
        <v>53</v>
      </c>
      <c r="J585" t="s">
        <v>60</v>
      </c>
      <c r="K585" t="s">
        <v>29</v>
      </c>
      <c r="L585" t="s">
        <v>895</v>
      </c>
      <c r="M585" t="s">
        <v>4402</v>
      </c>
      <c r="O585" t="s">
        <v>896</v>
      </c>
      <c r="P585" t="s">
        <v>33</v>
      </c>
      <c r="Q585" s="22">
        <v>46991.33</v>
      </c>
      <c r="R585" t="s">
        <v>35</v>
      </c>
      <c r="S585" t="s">
        <v>35</v>
      </c>
      <c r="T585" t="s">
        <v>35</v>
      </c>
      <c r="U585" t="s">
        <v>35</v>
      </c>
      <c r="V585" t="s">
        <v>645</v>
      </c>
      <c r="W585" t="s">
        <v>113</v>
      </c>
    </row>
    <row r="586" spans="1:23" hidden="1" x14ac:dyDescent="0.25">
      <c r="A586" s="7" t="str">
        <f>IFERROR(VLOOKUP(H586,'Contas Orç'!A:B,2,0),"N/A")</f>
        <v>REMUNERACOES</v>
      </c>
      <c r="B586" s="7" t="str">
        <f t="shared" si="18"/>
        <v>320101 - REMUNERACOES</v>
      </c>
      <c r="C586" s="25">
        <f t="shared" si="19"/>
        <v>44713</v>
      </c>
      <c r="D586" s="27">
        <f>IF(K586="CREDITO",Q586,Q586*-1)</f>
        <v>551</v>
      </c>
      <c r="E586" t="s">
        <v>894</v>
      </c>
      <c r="F586" t="s">
        <v>1079</v>
      </c>
      <c r="G586" s="8">
        <v>44713</v>
      </c>
      <c r="H586" t="s">
        <v>508</v>
      </c>
      <c r="I586" t="s">
        <v>88</v>
      </c>
      <c r="J586" t="s">
        <v>60</v>
      </c>
      <c r="K586" t="s">
        <v>29</v>
      </c>
      <c r="L586" t="s">
        <v>895</v>
      </c>
      <c r="M586" t="s">
        <v>4402</v>
      </c>
      <c r="O586" t="s">
        <v>896</v>
      </c>
      <c r="P586" t="s">
        <v>33</v>
      </c>
      <c r="Q586">
        <v>551</v>
      </c>
      <c r="R586" t="s">
        <v>35</v>
      </c>
      <c r="S586" t="s">
        <v>35</v>
      </c>
      <c r="T586" t="s">
        <v>35</v>
      </c>
      <c r="U586" t="s">
        <v>35</v>
      </c>
      <c r="V586" t="s">
        <v>645</v>
      </c>
      <c r="W586" t="s">
        <v>113</v>
      </c>
    </row>
    <row r="587" spans="1:23" hidden="1" x14ac:dyDescent="0.25">
      <c r="A587" s="7" t="str">
        <f>IFERROR(VLOOKUP(H587,'Contas Orç'!A:B,2,0),"N/A")</f>
        <v>REMUNERACOES</v>
      </c>
      <c r="B587" s="7" t="str">
        <f t="shared" si="18"/>
        <v>320101 - REMUNERACOES</v>
      </c>
      <c r="C587" s="25">
        <f t="shared" si="19"/>
        <v>44713</v>
      </c>
      <c r="D587" s="27">
        <f>IF(K587="CREDITO",Q587,Q587*-1)</f>
        <v>213935.3</v>
      </c>
      <c r="E587" t="s">
        <v>894</v>
      </c>
      <c r="F587" t="s">
        <v>1080</v>
      </c>
      <c r="G587" s="8">
        <v>44713</v>
      </c>
      <c r="H587" t="s">
        <v>508</v>
      </c>
      <c r="I587" t="s">
        <v>106</v>
      </c>
      <c r="J587" t="s">
        <v>60</v>
      </c>
      <c r="K587" t="s">
        <v>29</v>
      </c>
      <c r="L587" t="s">
        <v>895</v>
      </c>
      <c r="M587" t="s">
        <v>4402</v>
      </c>
      <c r="O587" t="s">
        <v>896</v>
      </c>
      <c r="P587" t="s">
        <v>33</v>
      </c>
      <c r="Q587" s="22">
        <v>213935.3</v>
      </c>
      <c r="R587" t="s">
        <v>35</v>
      </c>
      <c r="S587" t="s">
        <v>35</v>
      </c>
      <c r="T587" t="s">
        <v>35</v>
      </c>
      <c r="U587" t="s">
        <v>35</v>
      </c>
      <c r="V587" t="s">
        <v>645</v>
      </c>
      <c r="W587" t="s">
        <v>113</v>
      </c>
    </row>
    <row r="588" spans="1:23" hidden="1" x14ac:dyDescent="0.25">
      <c r="A588" s="7" t="str">
        <f>IFERROR(VLOOKUP(H588,'Contas Orç'!A:B,2,0),"N/A")</f>
        <v>REMUNERACOES</v>
      </c>
      <c r="B588" s="7" t="str">
        <f t="shared" si="18"/>
        <v>320101 - REMUNERACOES</v>
      </c>
      <c r="C588" s="25">
        <f t="shared" si="19"/>
        <v>44713</v>
      </c>
      <c r="D588" s="27">
        <f>IF(K588="CREDITO",Q588,Q588*-1)</f>
        <v>828902.98</v>
      </c>
      <c r="E588" t="s">
        <v>894</v>
      </c>
      <c r="F588" t="s">
        <v>1081</v>
      </c>
      <c r="G588" s="8">
        <v>44713</v>
      </c>
      <c r="H588" t="s">
        <v>508</v>
      </c>
      <c r="I588" t="s">
        <v>59</v>
      </c>
      <c r="J588" t="s">
        <v>60</v>
      </c>
      <c r="K588" t="s">
        <v>29</v>
      </c>
      <c r="L588" t="s">
        <v>895</v>
      </c>
      <c r="M588" t="s">
        <v>4402</v>
      </c>
      <c r="O588" t="s">
        <v>896</v>
      </c>
      <c r="P588" t="s">
        <v>33</v>
      </c>
      <c r="Q588" s="22">
        <v>828902.98</v>
      </c>
      <c r="R588" t="s">
        <v>35</v>
      </c>
      <c r="S588" t="s">
        <v>35</v>
      </c>
      <c r="T588" t="s">
        <v>35</v>
      </c>
      <c r="U588" t="s">
        <v>35</v>
      </c>
      <c r="V588" t="s">
        <v>645</v>
      </c>
      <c r="W588" t="s">
        <v>113</v>
      </c>
    </row>
    <row r="589" spans="1:23" hidden="1" x14ac:dyDescent="0.25">
      <c r="A589" s="7" t="str">
        <f>IFERROR(VLOOKUP(H589,'Contas Orç'!A:B,2,0),"N/A")</f>
        <v>REMUNERACOES</v>
      </c>
      <c r="B589" s="7" t="str">
        <f t="shared" si="18"/>
        <v>320101 - REMUNERACOES</v>
      </c>
      <c r="C589" s="25">
        <f t="shared" si="19"/>
        <v>44713</v>
      </c>
      <c r="D589" s="27">
        <f>IF(K589="CREDITO",Q589,Q589*-1)</f>
        <v>13842.89</v>
      </c>
      <c r="E589" t="s">
        <v>894</v>
      </c>
      <c r="F589" t="s">
        <v>1082</v>
      </c>
      <c r="G589" s="8">
        <v>44713</v>
      </c>
      <c r="H589" t="s">
        <v>508</v>
      </c>
      <c r="I589" t="s">
        <v>53</v>
      </c>
      <c r="J589" t="s">
        <v>702</v>
      </c>
      <c r="K589" t="s">
        <v>29</v>
      </c>
      <c r="L589" t="s">
        <v>895</v>
      </c>
      <c r="M589" t="s">
        <v>4402</v>
      </c>
      <c r="O589" t="s">
        <v>896</v>
      </c>
      <c r="P589" t="s">
        <v>33</v>
      </c>
      <c r="Q589" s="22">
        <v>13842.89</v>
      </c>
      <c r="R589" t="s">
        <v>35</v>
      </c>
      <c r="S589" t="s">
        <v>35</v>
      </c>
      <c r="T589" t="s">
        <v>35</v>
      </c>
      <c r="U589" t="s">
        <v>35</v>
      </c>
      <c r="V589" t="s">
        <v>645</v>
      </c>
      <c r="W589" t="s">
        <v>113</v>
      </c>
    </row>
    <row r="590" spans="1:23" hidden="1" x14ac:dyDescent="0.25">
      <c r="A590" s="7" t="str">
        <f>IFERROR(VLOOKUP(H590,'Contas Orç'!A:B,2,0),"N/A")</f>
        <v>REMUNERACOES</v>
      </c>
      <c r="B590" s="7" t="str">
        <f t="shared" si="18"/>
        <v>320101 - REMUNERACOES</v>
      </c>
      <c r="C590" s="25">
        <f t="shared" si="19"/>
        <v>44713</v>
      </c>
      <c r="D590" s="27">
        <f>IF(K590="CREDITO",Q590,Q590*-1)</f>
        <v>53641.29</v>
      </c>
      <c r="E590" t="s">
        <v>894</v>
      </c>
      <c r="F590" t="s">
        <v>1083</v>
      </c>
      <c r="G590" s="8">
        <v>44713</v>
      </c>
      <c r="H590" t="s">
        <v>508</v>
      </c>
      <c r="I590" t="s">
        <v>59</v>
      </c>
      <c r="J590" t="s">
        <v>702</v>
      </c>
      <c r="K590" t="s">
        <v>29</v>
      </c>
      <c r="L590" t="s">
        <v>895</v>
      </c>
      <c r="M590" t="s">
        <v>4402</v>
      </c>
      <c r="O590" t="s">
        <v>896</v>
      </c>
      <c r="P590" t="s">
        <v>33</v>
      </c>
      <c r="Q590" s="22">
        <v>53641.29</v>
      </c>
      <c r="R590" t="s">
        <v>35</v>
      </c>
      <c r="S590" t="s">
        <v>35</v>
      </c>
      <c r="T590" t="s">
        <v>35</v>
      </c>
      <c r="U590" t="s">
        <v>35</v>
      </c>
      <c r="V590" t="s">
        <v>645</v>
      </c>
      <c r="W590" t="s">
        <v>113</v>
      </c>
    </row>
    <row r="591" spans="1:23" hidden="1" x14ac:dyDescent="0.25">
      <c r="A591" s="7" t="str">
        <f>IFERROR(VLOOKUP(H591,'Contas Orç'!A:B,2,0),"N/A")</f>
        <v>REMUNERACOES</v>
      </c>
      <c r="B591" s="7" t="str">
        <f t="shared" si="18"/>
        <v>320101 - REMUNERACOES</v>
      </c>
      <c r="C591" s="25">
        <f t="shared" si="19"/>
        <v>44713</v>
      </c>
      <c r="D591" s="27">
        <f>IF(K591="CREDITO",Q591,Q591*-1)</f>
        <v>59.19</v>
      </c>
      <c r="E591" t="s">
        <v>894</v>
      </c>
      <c r="F591" t="s">
        <v>1084</v>
      </c>
      <c r="G591" s="8">
        <v>44713</v>
      </c>
      <c r="H591" t="s">
        <v>508</v>
      </c>
      <c r="I591" t="s">
        <v>27</v>
      </c>
      <c r="J591" t="s">
        <v>95</v>
      </c>
      <c r="K591" t="s">
        <v>29</v>
      </c>
      <c r="L591" t="s">
        <v>895</v>
      </c>
      <c r="M591" t="s">
        <v>4402</v>
      </c>
      <c r="O591" t="s">
        <v>896</v>
      </c>
      <c r="P591" t="s">
        <v>33</v>
      </c>
      <c r="Q591">
        <v>59.19</v>
      </c>
      <c r="R591" t="s">
        <v>35</v>
      </c>
      <c r="S591" t="s">
        <v>35</v>
      </c>
      <c r="T591" t="s">
        <v>35</v>
      </c>
      <c r="U591" t="s">
        <v>35</v>
      </c>
      <c r="V591" t="s">
        <v>645</v>
      </c>
      <c r="W591" t="s">
        <v>113</v>
      </c>
    </row>
    <row r="592" spans="1:23" hidden="1" x14ac:dyDescent="0.25">
      <c r="A592" s="7" t="str">
        <f>IFERROR(VLOOKUP(H592,'Contas Orç'!A:B,2,0),"N/A")</f>
        <v>REMUNERACOES</v>
      </c>
      <c r="B592" s="7" t="str">
        <f t="shared" si="18"/>
        <v>320101 - REMUNERACOES</v>
      </c>
      <c r="C592" s="25">
        <f t="shared" si="19"/>
        <v>44713</v>
      </c>
      <c r="D592" s="27">
        <f>IF(K592="CREDITO",Q592,Q592*-1)</f>
        <v>29354.73</v>
      </c>
      <c r="E592" t="s">
        <v>894</v>
      </c>
      <c r="F592" t="s">
        <v>1085</v>
      </c>
      <c r="G592" s="8">
        <v>44713</v>
      </c>
      <c r="H592" t="s">
        <v>508</v>
      </c>
      <c r="I592" t="s">
        <v>125</v>
      </c>
      <c r="J592" t="s">
        <v>95</v>
      </c>
      <c r="K592" t="s">
        <v>29</v>
      </c>
      <c r="L592" t="s">
        <v>895</v>
      </c>
      <c r="M592" t="s">
        <v>4402</v>
      </c>
      <c r="O592" t="s">
        <v>896</v>
      </c>
      <c r="P592" t="s">
        <v>33</v>
      </c>
      <c r="Q592" s="22">
        <v>29354.73</v>
      </c>
      <c r="R592" t="s">
        <v>35</v>
      </c>
      <c r="S592" t="s">
        <v>35</v>
      </c>
      <c r="T592" t="s">
        <v>35</v>
      </c>
      <c r="U592" t="s">
        <v>35</v>
      </c>
      <c r="V592" t="s">
        <v>645</v>
      </c>
      <c r="W592" t="s">
        <v>113</v>
      </c>
    </row>
    <row r="593" spans="1:23" hidden="1" x14ac:dyDescent="0.25">
      <c r="A593" s="7" t="str">
        <f>IFERROR(VLOOKUP(H593,'Contas Orç'!A:B,2,0),"N/A")</f>
        <v>REMUNERACOES</v>
      </c>
      <c r="B593" s="7" t="str">
        <f t="shared" si="18"/>
        <v>320101 - REMUNERACOES</v>
      </c>
      <c r="C593" s="25">
        <f t="shared" si="19"/>
        <v>44713</v>
      </c>
      <c r="D593" s="27">
        <f>IF(K593="CREDITO",Q593,Q593*-1)</f>
        <v>71231.39</v>
      </c>
      <c r="E593" t="s">
        <v>894</v>
      </c>
      <c r="F593" t="s">
        <v>1086</v>
      </c>
      <c r="G593" s="8">
        <v>44713</v>
      </c>
      <c r="H593" t="s">
        <v>508</v>
      </c>
      <c r="I593" t="s">
        <v>53</v>
      </c>
      <c r="J593" t="s">
        <v>54</v>
      </c>
      <c r="K593" t="s">
        <v>29</v>
      </c>
      <c r="L593" t="s">
        <v>895</v>
      </c>
      <c r="M593" t="s">
        <v>4402</v>
      </c>
      <c r="O593" t="s">
        <v>896</v>
      </c>
      <c r="P593" t="s">
        <v>33</v>
      </c>
      <c r="Q593" s="22">
        <v>71231.39</v>
      </c>
      <c r="R593" t="s">
        <v>35</v>
      </c>
      <c r="S593" t="s">
        <v>35</v>
      </c>
      <c r="T593" t="s">
        <v>35</v>
      </c>
      <c r="U593" t="s">
        <v>35</v>
      </c>
      <c r="V593" t="s">
        <v>645</v>
      </c>
      <c r="W593" t="s">
        <v>113</v>
      </c>
    </row>
    <row r="594" spans="1:23" hidden="1" x14ac:dyDescent="0.25">
      <c r="A594" s="7" t="str">
        <f>IFERROR(VLOOKUP(H594,'Contas Orç'!A:B,2,0),"N/A")</f>
        <v>REMUNERACOES</v>
      </c>
      <c r="B594" s="7" t="str">
        <f t="shared" si="18"/>
        <v>320101 - REMUNERACOES</v>
      </c>
      <c r="C594" s="25">
        <f t="shared" si="19"/>
        <v>44743</v>
      </c>
      <c r="D594" s="27">
        <f>IF(K594="CREDITO",Q594,Q594*-1)</f>
        <v>1044.8399999999999</v>
      </c>
      <c r="E594" t="s">
        <v>894</v>
      </c>
      <c r="F594" t="s">
        <v>1087</v>
      </c>
      <c r="G594" s="8">
        <v>44743</v>
      </c>
      <c r="H594" t="s">
        <v>508</v>
      </c>
      <c r="I594" t="s">
        <v>53</v>
      </c>
      <c r="J594" t="s">
        <v>28</v>
      </c>
      <c r="K594" t="s">
        <v>29</v>
      </c>
      <c r="L594" t="s">
        <v>895</v>
      </c>
      <c r="M594" t="s">
        <v>4402</v>
      </c>
      <c r="O594" t="s">
        <v>896</v>
      </c>
      <c r="P594" t="s">
        <v>33</v>
      </c>
      <c r="Q594" s="22">
        <v>1044.8399999999999</v>
      </c>
      <c r="R594" t="s">
        <v>35</v>
      </c>
      <c r="S594" t="s">
        <v>35</v>
      </c>
      <c r="T594" t="s">
        <v>35</v>
      </c>
      <c r="U594" t="s">
        <v>35</v>
      </c>
      <c r="V594" t="s">
        <v>645</v>
      </c>
      <c r="W594" t="s">
        <v>113</v>
      </c>
    </row>
    <row r="595" spans="1:23" hidden="1" x14ac:dyDescent="0.25">
      <c r="A595" s="7" t="str">
        <f>IFERROR(VLOOKUP(H595,'Contas Orç'!A:B,2,0),"N/A")</f>
        <v>REMUNERACOES</v>
      </c>
      <c r="B595" s="7" t="str">
        <f t="shared" si="18"/>
        <v>320101 - REMUNERACOES</v>
      </c>
      <c r="C595" s="25">
        <f t="shared" si="19"/>
        <v>44743</v>
      </c>
      <c r="D595" s="27">
        <f>IF(K595="CREDITO",Q595,Q595*-1)</f>
        <v>65235.45</v>
      </c>
      <c r="E595" t="s">
        <v>894</v>
      </c>
      <c r="F595" t="s">
        <v>1088</v>
      </c>
      <c r="G595" s="8">
        <v>44743</v>
      </c>
      <c r="H595" t="s">
        <v>508</v>
      </c>
      <c r="I595" t="s">
        <v>88</v>
      </c>
      <c r="J595" t="s">
        <v>28</v>
      </c>
      <c r="K595" t="s">
        <v>29</v>
      </c>
      <c r="L595" t="s">
        <v>895</v>
      </c>
      <c r="M595" t="s">
        <v>4402</v>
      </c>
      <c r="O595" t="s">
        <v>896</v>
      </c>
      <c r="P595" t="s">
        <v>33</v>
      </c>
      <c r="Q595" s="22">
        <v>65235.45</v>
      </c>
      <c r="R595" t="s">
        <v>35</v>
      </c>
      <c r="S595" t="s">
        <v>35</v>
      </c>
      <c r="T595" t="s">
        <v>35</v>
      </c>
      <c r="U595" t="s">
        <v>35</v>
      </c>
      <c r="V595" t="s">
        <v>645</v>
      </c>
      <c r="W595" t="s">
        <v>113</v>
      </c>
    </row>
    <row r="596" spans="1:23" hidden="1" x14ac:dyDescent="0.25">
      <c r="A596" s="7" t="str">
        <f>IFERROR(VLOOKUP(H596,'Contas Orç'!A:B,2,0),"N/A")</f>
        <v>REMUNERACOES</v>
      </c>
      <c r="B596" s="7" t="str">
        <f t="shared" si="18"/>
        <v>320101 - REMUNERACOES</v>
      </c>
      <c r="C596" s="25">
        <f t="shared" si="19"/>
        <v>44743</v>
      </c>
      <c r="D596" s="27">
        <f>IF(K596="CREDITO",Q596,Q596*-1)</f>
        <v>155457.76999999999</v>
      </c>
      <c r="E596" t="s">
        <v>894</v>
      </c>
      <c r="F596" t="s">
        <v>1089</v>
      </c>
      <c r="G596" s="8">
        <v>44743</v>
      </c>
      <c r="H596" t="s">
        <v>508</v>
      </c>
      <c r="I596" t="s">
        <v>27</v>
      </c>
      <c r="J596" t="s">
        <v>28</v>
      </c>
      <c r="K596" t="s">
        <v>29</v>
      </c>
      <c r="L596" t="s">
        <v>895</v>
      </c>
      <c r="M596" t="s">
        <v>4402</v>
      </c>
      <c r="O596" t="s">
        <v>896</v>
      </c>
      <c r="P596" t="s">
        <v>33</v>
      </c>
      <c r="Q596" s="22">
        <v>155457.76999999999</v>
      </c>
      <c r="R596" t="s">
        <v>35</v>
      </c>
      <c r="S596" t="s">
        <v>35</v>
      </c>
      <c r="T596" t="s">
        <v>35</v>
      </c>
      <c r="U596" t="s">
        <v>35</v>
      </c>
      <c r="V596" t="s">
        <v>645</v>
      </c>
      <c r="W596" t="s">
        <v>113</v>
      </c>
    </row>
    <row r="597" spans="1:23" hidden="1" x14ac:dyDescent="0.25">
      <c r="A597" s="7" t="str">
        <f>IFERROR(VLOOKUP(H597,'Contas Orç'!A:B,2,0),"N/A")</f>
        <v>REMUNERACOES</v>
      </c>
      <c r="B597" s="7" t="str">
        <f t="shared" si="18"/>
        <v>320101 - REMUNERACOES</v>
      </c>
      <c r="C597" s="25">
        <f t="shared" si="19"/>
        <v>44743</v>
      </c>
      <c r="D597" s="27">
        <f>IF(K597="CREDITO",Q597,Q597*-1)</f>
        <v>44007.15</v>
      </c>
      <c r="E597" t="s">
        <v>894</v>
      </c>
      <c r="F597" t="s">
        <v>1090</v>
      </c>
      <c r="G597" s="8">
        <v>44743</v>
      </c>
      <c r="H597" t="s">
        <v>508</v>
      </c>
      <c r="I597" t="s">
        <v>53</v>
      </c>
      <c r="J597" t="s">
        <v>60</v>
      </c>
      <c r="K597" t="s">
        <v>29</v>
      </c>
      <c r="L597" t="s">
        <v>895</v>
      </c>
      <c r="M597" t="s">
        <v>4402</v>
      </c>
      <c r="O597" t="s">
        <v>896</v>
      </c>
      <c r="P597" t="s">
        <v>33</v>
      </c>
      <c r="Q597" s="22">
        <v>44007.15</v>
      </c>
      <c r="R597" t="s">
        <v>35</v>
      </c>
      <c r="S597" t="s">
        <v>35</v>
      </c>
      <c r="T597" t="s">
        <v>35</v>
      </c>
      <c r="U597" t="s">
        <v>35</v>
      </c>
      <c r="V597" t="s">
        <v>645</v>
      </c>
      <c r="W597" t="s">
        <v>113</v>
      </c>
    </row>
    <row r="598" spans="1:23" hidden="1" x14ac:dyDescent="0.25">
      <c r="A598" s="7" t="str">
        <f>IFERROR(VLOOKUP(H598,'Contas Orç'!A:B,2,0),"N/A")</f>
        <v>REMUNERACOES</v>
      </c>
      <c r="B598" s="7" t="str">
        <f t="shared" si="18"/>
        <v>320101 - REMUNERACOES</v>
      </c>
      <c r="C598" s="25">
        <f t="shared" si="19"/>
        <v>44743</v>
      </c>
      <c r="D598" s="27">
        <f>IF(K598="CREDITO",Q598,Q598*-1)</f>
        <v>1503</v>
      </c>
      <c r="E598" t="s">
        <v>894</v>
      </c>
      <c r="F598" t="s">
        <v>1091</v>
      </c>
      <c r="G598" s="8">
        <v>44743</v>
      </c>
      <c r="H598" t="s">
        <v>508</v>
      </c>
      <c r="I598" t="s">
        <v>88</v>
      </c>
      <c r="J598" t="s">
        <v>60</v>
      </c>
      <c r="K598" t="s">
        <v>29</v>
      </c>
      <c r="L598" t="s">
        <v>895</v>
      </c>
      <c r="M598" t="s">
        <v>4402</v>
      </c>
      <c r="O598" t="s">
        <v>896</v>
      </c>
      <c r="P598" t="s">
        <v>33</v>
      </c>
      <c r="Q598" s="22">
        <v>1503</v>
      </c>
      <c r="R598" t="s">
        <v>35</v>
      </c>
      <c r="S598" t="s">
        <v>35</v>
      </c>
      <c r="T598" t="s">
        <v>35</v>
      </c>
      <c r="U598" t="s">
        <v>35</v>
      </c>
      <c r="V598" t="s">
        <v>645</v>
      </c>
      <c r="W598" t="s">
        <v>113</v>
      </c>
    </row>
    <row r="599" spans="1:23" hidden="1" x14ac:dyDescent="0.25">
      <c r="A599" s="7" t="str">
        <f>IFERROR(VLOOKUP(H599,'Contas Orç'!A:B,2,0),"N/A")</f>
        <v>REMUNERACOES</v>
      </c>
      <c r="B599" s="7" t="str">
        <f t="shared" si="18"/>
        <v>320101 - REMUNERACOES</v>
      </c>
      <c r="C599" s="25">
        <f t="shared" si="19"/>
        <v>44743</v>
      </c>
      <c r="D599" s="27">
        <f>IF(K599="CREDITO",Q599,Q599*-1)</f>
        <v>204466.08</v>
      </c>
      <c r="E599" t="s">
        <v>894</v>
      </c>
      <c r="F599" t="s">
        <v>1092</v>
      </c>
      <c r="G599" s="8">
        <v>44743</v>
      </c>
      <c r="H599" t="s">
        <v>508</v>
      </c>
      <c r="I599" t="s">
        <v>106</v>
      </c>
      <c r="J599" t="s">
        <v>60</v>
      </c>
      <c r="K599" t="s">
        <v>29</v>
      </c>
      <c r="L599" t="s">
        <v>895</v>
      </c>
      <c r="M599" t="s">
        <v>4402</v>
      </c>
      <c r="O599" t="s">
        <v>896</v>
      </c>
      <c r="P599" t="s">
        <v>33</v>
      </c>
      <c r="Q599" s="22">
        <v>204466.08</v>
      </c>
      <c r="R599" t="s">
        <v>35</v>
      </c>
      <c r="S599" t="s">
        <v>35</v>
      </c>
      <c r="T599" t="s">
        <v>35</v>
      </c>
      <c r="U599" t="s">
        <v>35</v>
      </c>
      <c r="V599" t="s">
        <v>645</v>
      </c>
      <c r="W599" t="s">
        <v>113</v>
      </c>
    </row>
    <row r="600" spans="1:23" hidden="1" x14ac:dyDescent="0.25">
      <c r="A600" s="7" t="str">
        <f>IFERROR(VLOOKUP(H600,'Contas Orç'!A:B,2,0),"N/A")</f>
        <v>REMUNERACOES</v>
      </c>
      <c r="B600" s="7" t="str">
        <f t="shared" si="18"/>
        <v>320101 - REMUNERACOES</v>
      </c>
      <c r="C600" s="25">
        <f t="shared" si="19"/>
        <v>44743</v>
      </c>
      <c r="D600" s="27">
        <f>IF(K600="CREDITO",Q600,Q600*-1)</f>
        <v>800756.39</v>
      </c>
      <c r="E600" t="s">
        <v>894</v>
      </c>
      <c r="F600" t="s">
        <v>1093</v>
      </c>
      <c r="G600" s="8">
        <v>44743</v>
      </c>
      <c r="H600" t="s">
        <v>508</v>
      </c>
      <c r="I600" t="s">
        <v>59</v>
      </c>
      <c r="J600" t="s">
        <v>60</v>
      </c>
      <c r="K600" t="s">
        <v>29</v>
      </c>
      <c r="L600" t="s">
        <v>895</v>
      </c>
      <c r="M600" t="s">
        <v>4402</v>
      </c>
      <c r="O600" t="s">
        <v>896</v>
      </c>
      <c r="P600" t="s">
        <v>33</v>
      </c>
      <c r="Q600" s="22">
        <v>800756.39</v>
      </c>
      <c r="R600" t="s">
        <v>35</v>
      </c>
      <c r="S600" t="s">
        <v>35</v>
      </c>
      <c r="T600" t="s">
        <v>35</v>
      </c>
      <c r="U600" t="s">
        <v>35</v>
      </c>
      <c r="V600" t="s">
        <v>645</v>
      </c>
      <c r="W600" t="s">
        <v>113</v>
      </c>
    </row>
    <row r="601" spans="1:23" hidden="1" x14ac:dyDescent="0.25">
      <c r="A601" s="7" t="str">
        <f>IFERROR(VLOOKUP(H601,'Contas Orç'!A:B,2,0),"N/A")</f>
        <v>REMUNERACOES</v>
      </c>
      <c r="B601" s="7" t="str">
        <f t="shared" si="18"/>
        <v>320101 - REMUNERACOES</v>
      </c>
      <c r="C601" s="25">
        <f t="shared" si="19"/>
        <v>44743</v>
      </c>
      <c r="D601" s="27">
        <f>IF(K601="CREDITO",Q601,Q601*-1)</f>
        <v>13131.34</v>
      </c>
      <c r="E601" t="s">
        <v>894</v>
      </c>
      <c r="F601" t="s">
        <v>1094</v>
      </c>
      <c r="G601" s="8">
        <v>44743</v>
      </c>
      <c r="H601" t="s">
        <v>508</v>
      </c>
      <c r="I601" t="s">
        <v>53</v>
      </c>
      <c r="J601" t="s">
        <v>702</v>
      </c>
      <c r="K601" t="s">
        <v>29</v>
      </c>
      <c r="L601" t="s">
        <v>895</v>
      </c>
      <c r="M601" t="s">
        <v>4402</v>
      </c>
      <c r="O601" t="s">
        <v>896</v>
      </c>
      <c r="P601" t="s">
        <v>33</v>
      </c>
      <c r="Q601" s="22">
        <v>13131.34</v>
      </c>
      <c r="R601" t="s">
        <v>35</v>
      </c>
      <c r="S601" t="s">
        <v>35</v>
      </c>
      <c r="T601" t="s">
        <v>35</v>
      </c>
      <c r="U601" t="s">
        <v>35</v>
      </c>
      <c r="V601" t="s">
        <v>645</v>
      </c>
      <c r="W601" t="s">
        <v>113</v>
      </c>
    </row>
    <row r="602" spans="1:23" hidden="1" x14ac:dyDescent="0.25">
      <c r="A602" s="7" t="str">
        <f>IFERROR(VLOOKUP(H602,'Contas Orç'!A:B,2,0),"N/A")</f>
        <v>REMUNERACOES</v>
      </c>
      <c r="B602" s="7" t="str">
        <f t="shared" si="18"/>
        <v>320101 - REMUNERACOES</v>
      </c>
      <c r="C602" s="25">
        <f t="shared" si="19"/>
        <v>44743</v>
      </c>
      <c r="D602" s="27">
        <f>IF(K602="CREDITO",Q602,Q602*-1)</f>
        <v>52387.27</v>
      </c>
      <c r="E602" t="s">
        <v>894</v>
      </c>
      <c r="F602" t="s">
        <v>1095</v>
      </c>
      <c r="G602" s="8">
        <v>44743</v>
      </c>
      <c r="H602" t="s">
        <v>508</v>
      </c>
      <c r="I602" t="s">
        <v>59</v>
      </c>
      <c r="J602" t="s">
        <v>702</v>
      </c>
      <c r="K602" t="s">
        <v>29</v>
      </c>
      <c r="L602" t="s">
        <v>895</v>
      </c>
      <c r="M602" t="s">
        <v>4402</v>
      </c>
      <c r="O602" t="s">
        <v>896</v>
      </c>
      <c r="P602" t="s">
        <v>33</v>
      </c>
      <c r="Q602" s="22">
        <v>52387.27</v>
      </c>
      <c r="R602" t="s">
        <v>35</v>
      </c>
      <c r="S602" t="s">
        <v>35</v>
      </c>
      <c r="T602" t="s">
        <v>35</v>
      </c>
      <c r="U602" t="s">
        <v>35</v>
      </c>
      <c r="V602" t="s">
        <v>645</v>
      </c>
      <c r="W602" t="s">
        <v>113</v>
      </c>
    </row>
    <row r="603" spans="1:23" hidden="1" x14ac:dyDescent="0.25">
      <c r="A603" s="7" t="str">
        <f>IFERROR(VLOOKUP(H603,'Contas Orç'!A:B,2,0),"N/A")</f>
        <v>REMUNERACOES</v>
      </c>
      <c r="B603" s="7" t="str">
        <f t="shared" si="18"/>
        <v>320101 - REMUNERACOES</v>
      </c>
      <c r="C603" s="25">
        <f t="shared" si="19"/>
        <v>44743</v>
      </c>
      <c r="D603" s="27">
        <f>IF(K603="CREDITO",Q603,Q603*-1)</f>
        <v>27315.84</v>
      </c>
      <c r="E603" t="s">
        <v>894</v>
      </c>
      <c r="F603" t="s">
        <v>1096</v>
      </c>
      <c r="G603" s="8">
        <v>44743</v>
      </c>
      <c r="H603" t="s">
        <v>508</v>
      </c>
      <c r="I603" t="s">
        <v>125</v>
      </c>
      <c r="J603" t="s">
        <v>95</v>
      </c>
      <c r="K603" t="s">
        <v>29</v>
      </c>
      <c r="L603" t="s">
        <v>895</v>
      </c>
      <c r="M603" t="s">
        <v>4402</v>
      </c>
      <c r="O603" t="s">
        <v>896</v>
      </c>
      <c r="P603" t="s">
        <v>33</v>
      </c>
      <c r="Q603" s="22">
        <v>27315.84</v>
      </c>
      <c r="R603" t="s">
        <v>35</v>
      </c>
      <c r="S603" t="s">
        <v>35</v>
      </c>
      <c r="T603" t="s">
        <v>35</v>
      </c>
      <c r="U603" t="s">
        <v>35</v>
      </c>
      <c r="V603" t="s">
        <v>645</v>
      </c>
      <c r="W603" t="s">
        <v>113</v>
      </c>
    </row>
    <row r="604" spans="1:23" hidden="1" x14ac:dyDescent="0.25">
      <c r="A604" s="7" t="str">
        <f>IFERROR(VLOOKUP(H604,'Contas Orç'!A:B,2,0),"N/A")</f>
        <v>REMUNERACOES</v>
      </c>
      <c r="B604" s="7" t="str">
        <f t="shared" si="18"/>
        <v>320101 - REMUNERACOES</v>
      </c>
      <c r="C604" s="25">
        <f t="shared" si="19"/>
        <v>44743</v>
      </c>
      <c r="D604" s="27">
        <f>IF(K604="CREDITO",Q604,Q604*-1)</f>
        <v>70695.55</v>
      </c>
      <c r="E604" t="s">
        <v>894</v>
      </c>
      <c r="F604" t="s">
        <v>1097</v>
      </c>
      <c r="G604" s="8">
        <v>44743</v>
      </c>
      <c r="H604" t="s">
        <v>508</v>
      </c>
      <c r="I604" t="s">
        <v>53</v>
      </c>
      <c r="J604" t="s">
        <v>54</v>
      </c>
      <c r="K604" t="s">
        <v>29</v>
      </c>
      <c r="L604" t="s">
        <v>895</v>
      </c>
      <c r="M604" t="s">
        <v>4402</v>
      </c>
      <c r="O604" t="s">
        <v>896</v>
      </c>
      <c r="P604" t="s">
        <v>33</v>
      </c>
      <c r="Q604" s="22">
        <v>70695.55</v>
      </c>
      <c r="R604" t="s">
        <v>35</v>
      </c>
      <c r="S604" t="s">
        <v>35</v>
      </c>
      <c r="T604" t="s">
        <v>35</v>
      </c>
      <c r="U604" t="s">
        <v>35</v>
      </c>
      <c r="V604" t="s">
        <v>645</v>
      </c>
      <c r="W604" t="s">
        <v>113</v>
      </c>
    </row>
    <row r="605" spans="1:23" hidden="1" x14ac:dyDescent="0.25">
      <c r="A605" s="7" t="str">
        <f>IFERROR(VLOOKUP(H605,'Contas Orç'!A:B,2,0),"N/A")</f>
        <v>REMUNERACOES</v>
      </c>
      <c r="B605" s="7" t="str">
        <f t="shared" si="18"/>
        <v>320101 - REMUNERACOES</v>
      </c>
      <c r="C605" s="25">
        <f t="shared" si="19"/>
        <v>44774</v>
      </c>
      <c r="D605" s="27">
        <f>IF(K605="CREDITO",Q605,Q605*-1)</f>
        <v>2460.66</v>
      </c>
      <c r="E605" t="s">
        <v>894</v>
      </c>
      <c r="F605" t="s">
        <v>1098</v>
      </c>
      <c r="G605" s="8">
        <v>44774</v>
      </c>
      <c r="H605" t="s">
        <v>508</v>
      </c>
      <c r="I605" t="s">
        <v>53</v>
      </c>
      <c r="J605" t="s">
        <v>28</v>
      </c>
      <c r="K605" t="s">
        <v>29</v>
      </c>
      <c r="L605" t="s">
        <v>895</v>
      </c>
      <c r="M605" t="s">
        <v>4402</v>
      </c>
      <c r="O605" t="s">
        <v>896</v>
      </c>
      <c r="P605" t="s">
        <v>33</v>
      </c>
      <c r="Q605" s="22">
        <v>2460.66</v>
      </c>
      <c r="R605" t="s">
        <v>35</v>
      </c>
      <c r="S605" t="s">
        <v>35</v>
      </c>
      <c r="T605" t="s">
        <v>35</v>
      </c>
      <c r="U605" t="s">
        <v>35</v>
      </c>
      <c r="V605" t="s">
        <v>645</v>
      </c>
      <c r="W605" t="s">
        <v>113</v>
      </c>
    </row>
    <row r="606" spans="1:23" hidden="1" x14ac:dyDescent="0.25">
      <c r="A606" s="7" t="str">
        <f>IFERROR(VLOOKUP(H606,'Contas Orç'!A:B,2,0),"N/A")</f>
        <v>REMUNERACOES</v>
      </c>
      <c r="B606" s="7" t="str">
        <f t="shared" si="18"/>
        <v>320101 - REMUNERACOES</v>
      </c>
      <c r="C606" s="25">
        <f t="shared" si="19"/>
        <v>44774</v>
      </c>
      <c r="D606" s="27">
        <f>IF(K606="CREDITO",Q606,Q606*-1)</f>
        <v>72504.58</v>
      </c>
      <c r="E606" t="s">
        <v>894</v>
      </c>
      <c r="F606" t="s">
        <v>1099</v>
      </c>
      <c r="G606" s="8">
        <v>44774</v>
      </c>
      <c r="H606" t="s">
        <v>508</v>
      </c>
      <c r="I606" t="s">
        <v>88</v>
      </c>
      <c r="J606" t="s">
        <v>28</v>
      </c>
      <c r="K606" t="s">
        <v>29</v>
      </c>
      <c r="L606" t="s">
        <v>895</v>
      </c>
      <c r="M606" t="s">
        <v>4402</v>
      </c>
      <c r="O606" t="s">
        <v>896</v>
      </c>
      <c r="P606" t="s">
        <v>33</v>
      </c>
      <c r="Q606" s="22">
        <v>72504.58</v>
      </c>
      <c r="R606" t="s">
        <v>35</v>
      </c>
      <c r="S606" t="s">
        <v>35</v>
      </c>
      <c r="T606" t="s">
        <v>35</v>
      </c>
      <c r="U606" t="s">
        <v>35</v>
      </c>
      <c r="V606" t="s">
        <v>645</v>
      </c>
      <c r="W606" t="s">
        <v>113</v>
      </c>
    </row>
    <row r="607" spans="1:23" hidden="1" x14ac:dyDescent="0.25">
      <c r="A607" s="7" t="str">
        <f>IFERROR(VLOOKUP(H607,'Contas Orç'!A:B,2,0),"N/A")</f>
        <v>REMUNERACOES</v>
      </c>
      <c r="B607" s="7" t="str">
        <f t="shared" si="18"/>
        <v>320101 - REMUNERACOES</v>
      </c>
      <c r="C607" s="25">
        <f t="shared" si="19"/>
        <v>44774</v>
      </c>
      <c r="D607" s="27">
        <f>IF(K607="CREDITO",Q607,Q607*-1)</f>
        <v>153945.04999999999</v>
      </c>
      <c r="E607" t="s">
        <v>894</v>
      </c>
      <c r="F607" t="s">
        <v>1100</v>
      </c>
      <c r="G607" s="8">
        <v>44774</v>
      </c>
      <c r="H607" t="s">
        <v>508</v>
      </c>
      <c r="I607" t="s">
        <v>27</v>
      </c>
      <c r="J607" t="s">
        <v>28</v>
      </c>
      <c r="K607" t="s">
        <v>29</v>
      </c>
      <c r="L607" t="s">
        <v>895</v>
      </c>
      <c r="M607" t="s">
        <v>4402</v>
      </c>
      <c r="O607" t="s">
        <v>896</v>
      </c>
      <c r="P607" t="s">
        <v>33</v>
      </c>
      <c r="Q607" s="22">
        <v>153945.04999999999</v>
      </c>
      <c r="R607" t="s">
        <v>35</v>
      </c>
      <c r="S607" t="s">
        <v>35</v>
      </c>
      <c r="T607" t="s">
        <v>35</v>
      </c>
      <c r="U607" t="s">
        <v>35</v>
      </c>
      <c r="V607" t="s">
        <v>645</v>
      </c>
      <c r="W607" t="s">
        <v>113</v>
      </c>
    </row>
    <row r="608" spans="1:23" hidden="1" x14ac:dyDescent="0.25">
      <c r="A608" s="7" t="str">
        <f>IFERROR(VLOOKUP(H608,'Contas Orç'!A:B,2,0),"N/A")</f>
        <v>REMUNERACOES</v>
      </c>
      <c r="B608" s="7" t="str">
        <f t="shared" si="18"/>
        <v>320101 - REMUNERACOES</v>
      </c>
      <c r="C608" s="25">
        <f t="shared" si="19"/>
        <v>44774</v>
      </c>
      <c r="D608" s="27">
        <f>IF(K608="CREDITO",Q608,Q608*-1)</f>
        <v>43983.66</v>
      </c>
      <c r="E608" t="s">
        <v>894</v>
      </c>
      <c r="F608" t="s">
        <v>1101</v>
      </c>
      <c r="G608" s="8">
        <v>44774</v>
      </c>
      <c r="H608" t="s">
        <v>508</v>
      </c>
      <c r="I608" t="s">
        <v>53</v>
      </c>
      <c r="J608" t="s">
        <v>60</v>
      </c>
      <c r="K608" t="s">
        <v>29</v>
      </c>
      <c r="L608" t="s">
        <v>895</v>
      </c>
      <c r="M608" t="s">
        <v>4402</v>
      </c>
      <c r="O608" t="s">
        <v>896</v>
      </c>
      <c r="P608" t="s">
        <v>33</v>
      </c>
      <c r="Q608" s="22">
        <v>43983.66</v>
      </c>
      <c r="R608" t="s">
        <v>35</v>
      </c>
      <c r="S608" t="s">
        <v>35</v>
      </c>
      <c r="T608" t="s">
        <v>35</v>
      </c>
      <c r="U608" t="s">
        <v>35</v>
      </c>
      <c r="V608" t="s">
        <v>645</v>
      </c>
      <c r="W608" t="s">
        <v>113</v>
      </c>
    </row>
    <row r="609" spans="1:23" hidden="1" x14ac:dyDescent="0.25">
      <c r="A609" s="7" t="str">
        <f>IFERROR(VLOOKUP(H609,'Contas Orç'!A:B,2,0),"N/A")</f>
        <v>REMUNERACOES</v>
      </c>
      <c r="B609" s="7" t="str">
        <f t="shared" si="18"/>
        <v>320101 - REMUNERACOES</v>
      </c>
      <c r="C609" s="25">
        <f t="shared" si="19"/>
        <v>44774</v>
      </c>
      <c r="D609" s="27">
        <f>IF(K609="CREDITO",Q609,Q609*-1)</f>
        <v>202204.61</v>
      </c>
      <c r="E609" t="s">
        <v>894</v>
      </c>
      <c r="F609" t="s">
        <v>1102</v>
      </c>
      <c r="G609" s="8">
        <v>44774</v>
      </c>
      <c r="H609" t="s">
        <v>508</v>
      </c>
      <c r="I609" t="s">
        <v>106</v>
      </c>
      <c r="J609" t="s">
        <v>60</v>
      </c>
      <c r="K609" t="s">
        <v>29</v>
      </c>
      <c r="L609" t="s">
        <v>895</v>
      </c>
      <c r="M609" t="s">
        <v>4402</v>
      </c>
      <c r="O609" t="s">
        <v>896</v>
      </c>
      <c r="P609" t="s">
        <v>33</v>
      </c>
      <c r="Q609" s="22">
        <v>202204.61</v>
      </c>
      <c r="R609" t="s">
        <v>35</v>
      </c>
      <c r="S609" t="s">
        <v>35</v>
      </c>
      <c r="T609" t="s">
        <v>35</v>
      </c>
      <c r="U609" t="s">
        <v>35</v>
      </c>
      <c r="V609" t="s">
        <v>645</v>
      </c>
      <c r="W609" t="s">
        <v>113</v>
      </c>
    </row>
    <row r="610" spans="1:23" hidden="1" x14ac:dyDescent="0.25">
      <c r="A610" s="7" t="str">
        <f>IFERROR(VLOOKUP(H610,'Contas Orç'!A:B,2,0),"N/A")</f>
        <v>REMUNERACOES</v>
      </c>
      <c r="B610" s="7" t="str">
        <f t="shared" si="18"/>
        <v>320101 - REMUNERACOES</v>
      </c>
      <c r="C610" s="25">
        <f t="shared" si="19"/>
        <v>44774</v>
      </c>
      <c r="D610" s="27">
        <f>IF(K610="CREDITO",Q610,Q610*-1)</f>
        <v>851962.92</v>
      </c>
      <c r="E610" t="s">
        <v>894</v>
      </c>
      <c r="F610" t="s">
        <v>1103</v>
      </c>
      <c r="G610" s="8">
        <v>44774</v>
      </c>
      <c r="H610" t="s">
        <v>508</v>
      </c>
      <c r="I610" t="s">
        <v>59</v>
      </c>
      <c r="J610" t="s">
        <v>60</v>
      </c>
      <c r="K610" t="s">
        <v>29</v>
      </c>
      <c r="L610" t="s">
        <v>895</v>
      </c>
      <c r="M610" t="s">
        <v>4402</v>
      </c>
      <c r="O610" t="s">
        <v>896</v>
      </c>
      <c r="P610" t="s">
        <v>33</v>
      </c>
      <c r="Q610" s="22">
        <v>851962.92</v>
      </c>
      <c r="R610" t="s">
        <v>35</v>
      </c>
      <c r="S610" t="s">
        <v>35</v>
      </c>
      <c r="T610" t="s">
        <v>35</v>
      </c>
      <c r="U610" t="s">
        <v>35</v>
      </c>
      <c r="V610" t="s">
        <v>645</v>
      </c>
      <c r="W610" t="s">
        <v>113</v>
      </c>
    </row>
    <row r="611" spans="1:23" hidden="1" x14ac:dyDescent="0.25">
      <c r="A611" s="7" t="str">
        <f>IFERROR(VLOOKUP(H611,'Contas Orç'!A:B,2,0),"N/A")</f>
        <v>REMUNERACOES</v>
      </c>
      <c r="B611" s="7" t="str">
        <f t="shared" si="18"/>
        <v>320101 - REMUNERACOES</v>
      </c>
      <c r="C611" s="25">
        <f t="shared" si="19"/>
        <v>44774</v>
      </c>
      <c r="D611" s="27">
        <f>IF(K611="CREDITO",Q611,Q611*-1)</f>
        <v>263.27999999999997</v>
      </c>
      <c r="E611" t="s">
        <v>894</v>
      </c>
      <c r="F611" t="s">
        <v>1104</v>
      </c>
      <c r="G611" s="8">
        <v>44774</v>
      </c>
      <c r="H611" t="s">
        <v>508</v>
      </c>
      <c r="I611" t="s">
        <v>59</v>
      </c>
      <c r="J611" t="s">
        <v>107</v>
      </c>
      <c r="K611" t="s">
        <v>29</v>
      </c>
      <c r="L611" t="s">
        <v>895</v>
      </c>
      <c r="M611" t="s">
        <v>4402</v>
      </c>
      <c r="O611" t="s">
        <v>896</v>
      </c>
      <c r="P611" t="s">
        <v>33</v>
      </c>
      <c r="Q611">
        <v>263.27999999999997</v>
      </c>
      <c r="R611" t="s">
        <v>35</v>
      </c>
      <c r="S611" t="s">
        <v>35</v>
      </c>
      <c r="T611" t="s">
        <v>35</v>
      </c>
      <c r="U611" t="s">
        <v>35</v>
      </c>
      <c r="V611" t="s">
        <v>645</v>
      </c>
      <c r="W611" t="s">
        <v>113</v>
      </c>
    </row>
    <row r="612" spans="1:23" hidden="1" x14ac:dyDescent="0.25">
      <c r="A612" s="7" t="str">
        <f>IFERROR(VLOOKUP(H612,'Contas Orç'!A:B,2,0),"N/A")</f>
        <v>REMUNERACOES</v>
      </c>
      <c r="B612" s="7" t="str">
        <f t="shared" si="18"/>
        <v>320101 - REMUNERACOES</v>
      </c>
      <c r="C612" s="25">
        <f t="shared" si="19"/>
        <v>44774</v>
      </c>
      <c r="D612" s="27">
        <f>IF(K612="CREDITO",Q612,Q612*-1)</f>
        <v>13132.67</v>
      </c>
      <c r="E612" t="s">
        <v>894</v>
      </c>
      <c r="F612" t="s">
        <v>1105</v>
      </c>
      <c r="G612" s="8">
        <v>44774</v>
      </c>
      <c r="H612" t="s">
        <v>508</v>
      </c>
      <c r="I612" t="s">
        <v>53</v>
      </c>
      <c r="J612" t="s">
        <v>702</v>
      </c>
      <c r="K612" t="s">
        <v>29</v>
      </c>
      <c r="L612" t="s">
        <v>895</v>
      </c>
      <c r="M612" t="s">
        <v>4402</v>
      </c>
      <c r="O612" t="s">
        <v>896</v>
      </c>
      <c r="P612" t="s">
        <v>33</v>
      </c>
      <c r="Q612" s="22">
        <v>13132.67</v>
      </c>
      <c r="R612" t="s">
        <v>35</v>
      </c>
      <c r="S612" t="s">
        <v>35</v>
      </c>
      <c r="T612" t="s">
        <v>35</v>
      </c>
      <c r="U612" t="s">
        <v>35</v>
      </c>
      <c r="V612" t="s">
        <v>645</v>
      </c>
      <c r="W612" t="s">
        <v>113</v>
      </c>
    </row>
    <row r="613" spans="1:23" hidden="1" x14ac:dyDescent="0.25">
      <c r="A613" s="7" t="str">
        <f>IFERROR(VLOOKUP(H613,'Contas Orç'!A:B,2,0),"N/A")</f>
        <v>REMUNERACOES</v>
      </c>
      <c r="B613" s="7" t="str">
        <f t="shared" si="18"/>
        <v>320101 - REMUNERACOES</v>
      </c>
      <c r="C613" s="25">
        <f t="shared" si="19"/>
        <v>44774</v>
      </c>
      <c r="D613" s="27">
        <f>IF(K613="CREDITO",Q613,Q613*-1)</f>
        <v>53586.39</v>
      </c>
      <c r="E613" t="s">
        <v>894</v>
      </c>
      <c r="F613" t="s">
        <v>1106</v>
      </c>
      <c r="G613" s="8">
        <v>44774</v>
      </c>
      <c r="H613" t="s">
        <v>508</v>
      </c>
      <c r="I613" t="s">
        <v>59</v>
      </c>
      <c r="J613" t="s">
        <v>702</v>
      </c>
      <c r="K613" t="s">
        <v>29</v>
      </c>
      <c r="L613" t="s">
        <v>895</v>
      </c>
      <c r="M613" t="s">
        <v>4402</v>
      </c>
      <c r="O613" t="s">
        <v>896</v>
      </c>
      <c r="P613" t="s">
        <v>33</v>
      </c>
      <c r="Q613" s="22">
        <v>53586.39</v>
      </c>
      <c r="R613" t="s">
        <v>35</v>
      </c>
      <c r="S613" t="s">
        <v>35</v>
      </c>
      <c r="T613" t="s">
        <v>35</v>
      </c>
      <c r="U613" t="s">
        <v>35</v>
      </c>
      <c r="V613" t="s">
        <v>645</v>
      </c>
      <c r="W613" t="s">
        <v>113</v>
      </c>
    </row>
    <row r="614" spans="1:23" hidden="1" x14ac:dyDescent="0.25">
      <c r="A614" s="7" t="str">
        <f>IFERROR(VLOOKUP(H614,'Contas Orç'!A:B,2,0),"N/A")</f>
        <v>REMUNERACOES</v>
      </c>
      <c r="B614" s="7" t="str">
        <f t="shared" si="18"/>
        <v>320101 - REMUNERACOES</v>
      </c>
      <c r="C614" s="25">
        <f t="shared" si="19"/>
        <v>44774</v>
      </c>
      <c r="D614" s="27">
        <f>IF(K614="CREDITO",Q614,Q614*-1)</f>
        <v>27596.57</v>
      </c>
      <c r="E614" t="s">
        <v>894</v>
      </c>
      <c r="F614" t="s">
        <v>1107</v>
      </c>
      <c r="G614" s="8">
        <v>44774</v>
      </c>
      <c r="H614" t="s">
        <v>508</v>
      </c>
      <c r="I614" t="s">
        <v>125</v>
      </c>
      <c r="J614" t="s">
        <v>95</v>
      </c>
      <c r="K614" t="s">
        <v>29</v>
      </c>
      <c r="L614" t="s">
        <v>895</v>
      </c>
      <c r="M614" t="s">
        <v>4402</v>
      </c>
      <c r="O614" t="s">
        <v>896</v>
      </c>
      <c r="P614" t="s">
        <v>33</v>
      </c>
      <c r="Q614" s="22">
        <v>27596.57</v>
      </c>
      <c r="R614" t="s">
        <v>35</v>
      </c>
      <c r="S614" t="s">
        <v>35</v>
      </c>
      <c r="T614" t="s">
        <v>35</v>
      </c>
      <c r="U614" t="s">
        <v>35</v>
      </c>
      <c r="V614" t="s">
        <v>645</v>
      </c>
      <c r="W614" t="s">
        <v>113</v>
      </c>
    </row>
    <row r="615" spans="1:23" hidden="1" x14ac:dyDescent="0.25">
      <c r="A615" s="7" t="str">
        <f>IFERROR(VLOOKUP(H615,'Contas Orç'!A:B,2,0),"N/A")</f>
        <v>REMUNERACOES</v>
      </c>
      <c r="B615" s="7" t="str">
        <f t="shared" si="18"/>
        <v>320101 - REMUNERACOES</v>
      </c>
      <c r="C615" s="25">
        <f t="shared" si="19"/>
        <v>44774</v>
      </c>
      <c r="D615" s="27">
        <f>IF(K615="CREDITO",Q615,Q615*-1)</f>
        <v>67340.789999999994</v>
      </c>
      <c r="E615" t="s">
        <v>894</v>
      </c>
      <c r="F615" t="s">
        <v>1108</v>
      </c>
      <c r="G615" s="8">
        <v>44774</v>
      </c>
      <c r="H615" t="s">
        <v>508</v>
      </c>
      <c r="I615" t="s">
        <v>53</v>
      </c>
      <c r="J615" t="s">
        <v>54</v>
      </c>
      <c r="K615" t="s">
        <v>29</v>
      </c>
      <c r="L615" t="s">
        <v>895</v>
      </c>
      <c r="M615" t="s">
        <v>4402</v>
      </c>
      <c r="O615" t="s">
        <v>896</v>
      </c>
      <c r="P615" t="s">
        <v>33</v>
      </c>
      <c r="Q615" s="22">
        <v>67340.789999999994</v>
      </c>
      <c r="R615" t="s">
        <v>35</v>
      </c>
      <c r="S615" t="s">
        <v>35</v>
      </c>
      <c r="T615" t="s">
        <v>35</v>
      </c>
      <c r="U615" t="s">
        <v>35</v>
      </c>
      <c r="V615" t="s">
        <v>645</v>
      </c>
      <c r="W615" t="s">
        <v>113</v>
      </c>
    </row>
    <row r="616" spans="1:23" hidden="1" x14ac:dyDescent="0.25">
      <c r="A616" s="7" t="str">
        <f>IFERROR(VLOOKUP(H616,'Contas Orç'!A:B,2,0),"N/A")</f>
        <v>REMUNERACOES</v>
      </c>
      <c r="B616" s="7" t="str">
        <f t="shared" si="18"/>
        <v>320101 - REMUNERACOES</v>
      </c>
      <c r="C616" s="25">
        <f t="shared" si="19"/>
        <v>44805</v>
      </c>
      <c r="D616" s="27">
        <f>IF(K616="CREDITO",Q616,Q616*-1)</f>
        <v>799.95</v>
      </c>
      <c r="E616" t="s">
        <v>894</v>
      </c>
      <c r="F616" t="s">
        <v>1109</v>
      </c>
      <c r="G616" s="8">
        <v>44805</v>
      </c>
      <c r="H616" t="s">
        <v>508</v>
      </c>
      <c r="I616" t="s">
        <v>53</v>
      </c>
      <c r="J616" t="s">
        <v>28</v>
      </c>
      <c r="K616" t="s">
        <v>29</v>
      </c>
      <c r="L616" t="s">
        <v>895</v>
      </c>
      <c r="M616" t="s">
        <v>4402</v>
      </c>
      <c r="O616" t="s">
        <v>896</v>
      </c>
      <c r="P616" t="s">
        <v>33</v>
      </c>
      <c r="Q616">
        <v>799.95</v>
      </c>
      <c r="R616" t="s">
        <v>35</v>
      </c>
      <c r="S616" t="s">
        <v>35</v>
      </c>
      <c r="T616" t="s">
        <v>35</v>
      </c>
      <c r="U616" t="s">
        <v>35</v>
      </c>
      <c r="V616" t="s">
        <v>645</v>
      </c>
      <c r="W616" t="s">
        <v>113</v>
      </c>
    </row>
    <row r="617" spans="1:23" hidden="1" x14ac:dyDescent="0.25">
      <c r="A617" s="7" t="str">
        <f>IFERROR(VLOOKUP(H617,'Contas Orç'!A:B,2,0),"N/A")</f>
        <v>REMUNERACOES</v>
      </c>
      <c r="B617" s="7" t="str">
        <f t="shared" si="18"/>
        <v>320101 - REMUNERACOES</v>
      </c>
      <c r="C617" s="25">
        <f t="shared" si="19"/>
        <v>44805</v>
      </c>
      <c r="D617" s="27">
        <f>IF(K617="CREDITO",Q617,Q617*-1)</f>
        <v>59476.09</v>
      </c>
      <c r="E617" t="s">
        <v>894</v>
      </c>
      <c r="F617" t="s">
        <v>1110</v>
      </c>
      <c r="G617" s="8">
        <v>44805</v>
      </c>
      <c r="H617" t="s">
        <v>508</v>
      </c>
      <c r="I617" t="s">
        <v>88</v>
      </c>
      <c r="J617" t="s">
        <v>28</v>
      </c>
      <c r="K617" t="s">
        <v>29</v>
      </c>
      <c r="L617" t="s">
        <v>895</v>
      </c>
      <c r="M617" t="s">
        <v>4402</v>
      </c>
      <c r="O617" t="s">
        <v>896</v>
      </c>
      <c r="P617" t="s">
        <v>33</v>
      </c>
      <c r="Q617" s="22">
        <v>59476.09</v>
      </c>
      <c r="R617" t="s">
        <v>35</v>
      </c>
      <c r="S617" t="s">
        <v>35</v>
      </c>
      <c r="T617" t="s">
        <v>35</v>
      </c>
      <c r="U617" t="s">
        <v>35</v>
      </c>
      <c r="V617" t="s">
        <v>645</v>
      </c>
      <c r="W617" t="s">
        <v>113</v>
      </c>
    </row>
    <row r="618" spans="1:23" hidden="1" x14ac:dyDescent="0.25">
      <c r="A618" s="7" t="str">
        <f>IFERROR(VLOOKUP(H618,'Contas Orç'!A:B,2,0),"N/A")</f>
        <v>REMUNERACOES</v>
      </c>
      <c r="B618" s="7" t="str">
        <f t="shared" si="18"/>
        <v>320101 - REMUNERACOES</v>
      </c>
      <c r="C618" s="25">
        <f t="shared" si="19"/>
        <v>44805</v>
      </c>
      <c r="D618" s="27">
        <f>IF(K618="CREDITO",Q618,Q618*-1)</f>
        <v>180164.98</v>
      </c>
      <c r="E618" t="s">
        <v>894</v>
      </c>
      <c r="F618" t="s">
        <v>1111</v>
      </c>
      <c r="G618" s="8">
        <v>44805</v>
      </c>
      <c r="H618" t="s">
        <v>508</v>
      </c>
      <c r="I618" t="s">
        <v>27</v>
      </c>
      <c r="J618" t="s">
        <v>28</v>
      </c>
      <c r="K618" t="s">
        <v>29</v>
      </c>
      <c r="L618" t="s">
        <v>895</v>
      </c>
      <c r="M618" t="s">
        <v>4402</v>
      </c>
      <c r="O618" t="s">
        <v>896</v>
      </c>
      <c r="P618" t="s">
        <v>33</v>
      </c>
      <c r="Q618" s="22">
        <v>180164.98</v>
      </c>
      <c r="R618" t="s">
        <v>35</v>
      </c>
      <c r="S618" t="s">
        <v>35</v>
      </c>
      <c r="T618" t="s">
        <v>35</v>
      </c>
      <c r="U618" t="s">
        <v>35</v>
      </c>
      <c r="V618" t="s">
        <v>645</v>
      </c>
      <c r="W618" t="s">
        <v>113</v>
      </c>
    </row>
    <row r="619" spans="1:23" hidden="1" x14ac:dyDescent="0.25">
      <c r="A619" s="7" t="str">
        <f>IFERROR(VLOOKUP(H619,'Contas Orç'!A:B,2,0),"N/A")</f>
        <v>REMUNERACOES</v>
      </c>
      <c r="B619" s="7" t="str">
        <f t="shared" si="18"/>
        <v>320101 - REMUNERACOES</v>
      </c>
      <c r="C619" s="25">
        <f t="shared" si="19"/>
        <v>44805</v>
      </c>
      <c r="D619" s="27">
        <f>IF(K619="CREDITO",Q619,Q619*-1)</f>
        <v>44074.720000000001</v>
      </c>
      <c r="E619" t="s">
        <v>894</v>
      </c>
      <c r="F619" t="s">
        <v>1112</v>
      </c>
      <c r="G619" s="8">
        <v>44805</v>
      </c>
      <c r="H619" t="s">
        <v>508</v>
      </c>
      <c r="I619" t="s">
        <v>53</v>
      </c>
      <c r="J619" t="s">
        <v>60</v>
      </c>
      <c r="K619" t="s">
        <v>29</v>
      </c>
      <c r="L619" t="s">
        <v>895</v>
      </c>
      <c r="M619" t="s">
        <v>4402</v>
      </c>
      <c r="O619" t="s">
        <v>896</v>
      </c>
      <c r="P619" t="s">
        <v>33</v>
      </c>
      <c r="Q619" s="22">
        <v>44074.720000000001</v>
      </c>
      <c r="R619" t="s">
        <v>35</v>
      </c>
      <c r="S619" t="s">
        <v>35</v>
      </c>
      <c r="T619" t="s">
        <v>35</v>
      </c>
      <c r="U619" t="s">
        <v>35</v>
      </c>
      <c r="V619" t="s">
        <v>645</v>
      </c>
      <c r="W619" t="s">
        <v>113</v>
      </c>
    </row>
    <row r="620" spans="1:23" hidden="1" x14ac:dyDescent="0.25">
      <c r="A620" s="7" t="str">
        <f>IFERROR(VLOOKUP(H620,'Contas Orç'!A:B,2,0),"N/A")</f>
        <v>REMUNERACOES</v>
      </c>
      <c r="B620" s="7" t="str">
        <f t="shared" si="18"/>
        <v>320101 - REMUNERACOES</v>
      </c>
      <c r="C620" s="25">
        <f t="shared" si="19"/>
        <v>44805</v>
      </c>
      <c r="D620" s="27">
        <f>IF(K620="CREDITO",Q620,Q620*-1)</f>
        <v>205973.06</v>
      </c>
      <c r="E620" t="s">
        <v>894</v>
      </c>
      <c r="F620" t="s">
        <v>1113</v>
      </c>
      <c r="G620" s="8">
        <v>44805</v>
      </c>
      <c r="H620" t="s">
        <v>508</v>
      </c>
      <c r="I620" t="s">
        <v>106</v>
      </c>
      <c r="J620" t="s">
        <v>60</v>
      </c>
      <c r="K620" t="s">
        <v>29</v>
      </c>
      <c r="L620" t="s">
        <v>895</v>
      </c>
      <c r="M620" t="s">
        <v>4402</v>
      </c>
      <c r="O620" t="s">
        <v>896</v>
      </c>
      <c r="P620" t="s">
        <v>33</v>
      </c>
      <c r="Q620" s="22">
        <v>205973.06</v>
      </c>
      <c r="R620" t="s">
        <v>35</v>
      </c>
      <c r="S620" t="s">
        <v>35</v>
      </c>
      <c r="T620" t="s">
        <v>35</v>
      </c>
      <c r="U620" t="s">
        <v>35</v>
      </c>
      <c r="V620" t="s">
        <v>645</v>
      </c>
      <c r="W620" t="s">
        <v>113</v>
      </c>
    </row>
    <row r="621" spans="1:23" hidden="1" x14ac:dyDescent="0.25">
      <c r="A621" s="7" t="str">
        <f>IFERROR(VLOOKUP(H621,'Contas Orç'!A:B,2,0),"N/A")</f>
        <v>REMUNERACOES</v>
      </c>
      <c r="B621" s="7" t="str">
        <f t="shared" si="18"/>
        <v>320101 - REMUNERACOES</v>
      </c>
      <c r="C621" s="25">
        <f t="shared" si="19"/>
        <v>44805</v>
      </c>
      <c r="D621" s="27">
        <f>IF(K621="CREDITO",Q621,Q621*-1)</f>
        <v>837489.86</v>
      </c>
      <c r="E621" t="s">
        <v>894</v>
      </c>
      <c r="F621" t="s">
        <v>1114</v>
      </c>
      <c r="G621" s="8">
        <v>44805</v>
      </c>
      <c r="H621" t="s">
        <v>508</v>
      </c>
      <c r="I621" t="s">
        <v>59</v>
      </c>
      <c r="J621" t="s">
        <v>60</v>
      </c>
      <c r="K621" t="s">
        <v>29</v>
      </c>
      <c r="L621" t="s">
        <v>895</v>
      </c>
      <c r="M621" t="s">
        <v>4402</v>
      </c>
      <c r="O621" t="s">
        <v>896</v>
      </c>
      <c r="P621" t="s">
        <v>33</v>
      </c>
      <c r="Q621" s="22">
        <v>837489.86</v>
      </c>
      <c r="R621" t="s">
        <v>35</v>
      </c>
      <c r="S621" t="s">
        <v>35</v>
      </c>
      <c r="T621" t="s">
        <v>35</v>
      </c>
      <c r="U621" t="s">
        <v>35</v>
      </c>
      <c r="V621" t="s">
        <v>645</v>
      </c>
      <c r="W621" t="s">
        <v>113</v>
      </c>
    </row>
    <row r="622" spans="1:23" hidden="1" x14ac:dyDescent="0.25">
      <c r="A622" s="7" t="str">
        <f>IFERROR(VLOOKUP(H622,'Contas Orç'!A:B,2,0),"N/A")</f>
        <v>REMUNERACOES</v>
      </c>
      <c r="B622" s="7" t="str">
        <f t="shared" si="18"/>
        <v>320101 - REMUNERACOES</v>
      </c>
      <c r="C622" s="25">
        <f t="shared" si="19"/>
        <v>44805</v>
      </c>
      <c r="D622" s="27">
        <f>IF(K622="CREDITO",Q622,Q622*-1)</f>
        <v>13131.34</v>
      </c>
      <c r="E622" t="s">
        <v>894</v>
      </c>
      <c r="F622" t="s">
        <v>1115</v>
      </c>
      <c r="G622" s="8">
        <v>44805</v>
      </c>
      <c r="H622" t="s">
        <v>508</v>
      </c>
      <c r="I622" t="s">
        <v>53</v>
      </c>
      <c r="J622" t="s">
        <v>702</v>
      </c>
      <c r="K622" t="s">
        <v>29</v>
      </c>
      <c r="L622" t="s">
        <v>895</v>
      </c>
      <c r="M622" t="s">
        <v>4402</v>
      </c>
      <c r="O622" t="s">
        <v>896</v>
      </c>
      <c r="P622" t="s">
        <v>33</v>
      </c>
      <c r="Q622" s="22">
        <v>13131.34</v>
      </c>
      <c r="R622" t="s">
        <v>35</v>
      </c>
      <c r="S622" t="s">
        <v>35</v>
      </c>
      <c r="T622" t="s">
        <v>35</v>
      </c>
      <c r="U622" t="s">
        <v>35</v>
      </c>
      <c r="V622" t="s">
        <v>645</v>
      </c>
      <c r="W622" t="s">
        <v>113</v>
      </c>
    </row>
    <row r="623" spans="1:23" hidden="1" x14ac:dyDescent="0.25">
      <c r="A623" s="7" t="str">
        <f>IFERROR(VLOOKUP(H623,'Contas Orç'!A:B,2,0),"N/A")</f>
        <v>REMUNERACOES</v>
      </c>
      <c r="B623" s="7" t="str">
        <f t="shared" si="18"/>
        <v>320101 - REMUNERACOES</v>
      </c>
      <c r="C623" s="25">
        <f t="shared" si="19"/>
        <v>44805</v>
      </c>
      <c r="D623" s="27">
        <f>IF(K623="CREDITO",Q623,Q623*-1)</f>
        <v>52702.52</v>
      </c>
      <c r="E623" t="s">
        <v>894</v>
      </c>
      <c r="F623" t="s">
        <v>1116</v>
      </c>
      <c r="G623" s="8">
        <v>44805</v>
      </c>
      <c r="H623" t="s">
        <v>508</v>
      </c>
      <c r="I623" t="s">
        <v>59</v>
      </c>
      <c r="J623" t="s">
        <v>702</v>
      </c>
      <c r="K623" t="s">
        <v>29</v>
      </c>
      <c r="L623" t="s">
        <v>895</v>
      </c>
      <c r="M623" t="s">
        <v>4402</v>
      </c>
      <c r="O623" t="s">
        <v>896</v>
      </c>
      <c r="P623" t="s">
        <v>33</v>
      </c>
      <c r="Q623" s="22">
        <v>52702.52</v>
      </c>
      <c r="R623" t="s">
        <v>35</v>
      </c>
      <c r="S623" t="s">
        <v>35</v>
      </c>
      <c r="T623" t="s">
        <v>35</v>
      </c>
      <c r="U623" t="s">
        <v>35</v>
      </c>
      <c r="V623" t="s">
        <v>645</v>
      </c>
      <c r="W623" t="s">
        <v>113</v>
      </c>
    </row>
    <row r="624" spans="1:23" hidden="1" x14ac:dyDescent="0.25">
      <c r="A624" s="7" t="str">
        <f>IFERROR(VLOOKUP(H624,'Contas Orç'!A:B,2,0),"N/A")</f>
        <v>REMUNERACOES</v>
      </c>
      <c r="B624" s="7" t="str">
        <f t="shared" si="18"/>
        <v>320101 - REMUNERACOES</v>
      </c>
      <c r="C624" s="25">
        <f t="shared" si="19"/>
        <v>44805</v>
      </c>
      <c r="D624" s="27">
        <f>IF(K624="CREDITO",Q624,Q624*-1)</f>
        <v>26970.58</v>
      </c>
      <c r="E624" t="s">
        <v>894</v>
      </c>
      <c r="F624" t="s">
        <v>1117</v>
      </c>
      <c r="G624" s="8">
        <v>44805</v>
      </c>
      <c r="H624" t="s">
        <v>508</v>
      </c>
      <c r="I624" t="s">
        <v>125</v>
      </c>
      <c r="J624" t="s">
        <v>95</v>
      </c>
      <c r="K624" t="s">
        <v>29</v>
      </c>
      <c r="L624" t="s">
        <v>895</v>
      </c>
      <c r="M624" t="s">
        <v>4402</v>
      </c>
      <c r="O624" t="s">
        <v>896</v>
      </c>
      <c r="P624" t="s">
        <v>33</v>
      </c>
      <c r="Q624" s="22">
        <v>26970.58</v>
      </c>
      <c r="R624" t="s">
        <v>35</v>
      </c>
      <c r="S624" t="s">
        <v>35</v>
      </c>
      <c r="T624" t="s">
        <v>35</v>
      </c>
      <c r="U624" t="s">
        <v>35</v>
      </c>
      <c r="V624" t="s">
        <v>645</v>
      </c>
      <c r="W624" t="s">
        <v>113</v>
      </c>
    </row>
    <row r="625" spans="1:23" hidden="1" x14ac:dyDescent="0.25">
      <c r="A625" s="7" t="str">
        <f>IFERROR(VLOOKUP(H625,'Contas Orç'!A:B,2,0),"N/A")</f>
        <v>REMUNERACOES</v>
      </c>
      <c r="B625" s="7" t="str">
        <f t="shared" si="18"/>
        <v>320101 - REMUNERACOES</v>
      </c>
      <c r="C625" s="25">
        <f t="shared" si="19"/>
        <v>44805</v>
      </c>
      <c r="D625" s="27">
        <f>IF(K625="CREDITO",Q625,Q625*-1)</f>
        <v>65641.17</v>
      </c>
      <c r="E625" t="s">
        <v>894</v>
      </c>
      <c r="F625" t="s">
        <v>1118</v>
      </c>
      <c r="G625" s="8">
        <v>44805</v>
      </c>
      <c r="H625" t="s">
        <v>508</v>
      </c>
      <c r="I625" t="s">
        <v>53</v>
      </c>
      <c r="J625" t="s">
        <v>54</v>
      </c>
      <c r="K625" t="s">
        <v>29</v>
      </c>
      <c r="L625" t="s">
        <v>895</v>
      </c>
      <c r="M625" t="s">
        <v>4402</v>
      </c>
      <c r="O625" t="s">
        <v>896</v>
      </c>
      <c r="P625" t="s">
        <v>33</v>
      </c>
      <c r="Q625" s="22">
        <v>65641.17</v>
      </c>
      <c r="R625" t="s">
        <v>35</v>
      </c>
      <c r="S625" t="s">
        <v>35</v>
      </c>
      <c r="T625" t="s">
        <v>35</v>
      </c>
      <c r="U625" t="s">
        <v>35</v>
      </c>
      <c r="V625" t="s">
        <v>645</v>
      </c>
      <c r="W625" t="s">
        <v>113</v>
      </c>
    </row>
    <row r="626" spans="1:23" hidden="1" x14ac:dyDescent="0.25">
      <c r="A626" s="7" t="str">
        <f>IFERROR(VLOOKUP(H626,'Contas Orç'!A:B,2,0),"N/A")</f>
        <v>REMUNERACOES</v>
      </c>
      <c r="B626" s="7" t="str">
        <f t="shared" si="18"/>
        <v>320101 - REMUNERACOES</v>
      </c>
      <c r="C626" s="25">
        <f t="shared" si="19"/>
        <v>44805</v>
      </c>
      <c r="D626" s="27">
        <f>IF(K626="CREDITO",Q626,Q626*-1)</f>
        <v>260.64999999999998</v>
      </c>
      <c r="E626" t="s">
        <v>894</v>
      </c>
      <c r="F626" t="s">
        <v>1119</v>
      </c>
      <c r="G626" s="8">
        <v>44805</v>
      </c>
      <c r="H626" t="s">
        <v>508</v>
      </c>
      <c r="I626" t="s">
        <v>88</v>
      </c>
      <c r="J626" t="s">
        <v>54</v>
      </c>
      <c r="K626" t="s">
        <v>29</v>
      </c>
      <c r="L626" t="s">
        <v>895</v>
      </c>
      <c r="M626" t="s">
        <v>4402</v>
      </c>
      <c r="O626" t="s">
        <v>896</v>
      </c>
      <c r="P626" t="s">
        <v>33</v>
      </c>
      <c r="Q626">
        <v>260.64999999999998</v>
      </c>
      <c r="R626" t="s">
        <v>35</v>
      </c>
      <c r="S626" t="s">
        <v>35</v>
      </c>
      <c r="T626" t="s">
        <v>35</v>
      </c>
      <c r="U626" t="s">
        <v>35</v>
      </c>
      <c r="V626" t="s">
        <v>645</v>
      </c>
      <c r="W626" t="s">
        <v>113</v>
      </c>
    </row>
    <row r="627" spans="1:23" hidden="1" x14ac:dyDescent="0.25">
      <c r="A627" s="7" t="str">
        <f>IFERROR(VLOOKUP(H627,'Contas Orç'!A:B,2,0),"N/A")</f>
        <v>REMUNERACOES</v>
      </c>
      <c r="B627" s="7" t="str">
        <f t="shared" si="18"/>
        <v>320101 - REMUNERACOES</v>
      </c>
      <c r="C627" s="25">
        <f t="shared" si="19"/>
        <v>44835</v>
      </c>
      <c r="D627" s="27">
        <f>IF(K627="CREDITO",Q627,Q627*-1)</f>
        <v>807.95</v>
      </c>
      <c r="E627" t="s">
        <v>894</v>
      </c>
      <c r="F627" t="s">
        <v>1120</v>
      </c>
      <c r="G627" s="8">
        <v>44835</v>
      </c>
      <c r="H627" t="s">
        <v>508</v>
      </c>
      <c r="I627" t="s">
        <v>53</v>
      </c>
      <c r="J627" t="s">
        <v>28</v>
      </c>
      <c r="K627" t="s">
        <v>29</v>
      </c>
      <c r="L627" t="s">
        <v>895</v>
      </c>
      <c r="M627" t="s">
        <v>4402</v>
      </c>
      <c r="O627" t="s">
        <v>896</v>
      </c>
      <c r="P627" t="s">
        <v>33</v>
      </c>
      <c r="Q627">
        <v>807.95</v>
      </c>
      <c r="R627" t="s">
        <v>35</v>
      </c>
      <c r="S627" t="s">
        <v>35</v>
      </c>
      <c r="T627" t="s">
        <v>35</v>
      </c>
      <c r="U627" t="s">
        <v>35</v>
      </c>
      <c r="V627" t="s">
        <v>645</v>
      </c>
      <c r="W627" t="s">
        <v>113</v>
      </c>
    </row>
    <row r="628" spans="1:23" hidden="1" x14ac:dyDescent="0.25">
      <c r="A628" s="7" t="str">
        <f>IFERROR(VLOOKUP(H628,'Contas Orç'!A:B,2,0),"N/A")</f>
        <v>REMUNERACOES</v>
      </c>
      <c r="B628" s="7" t="str">
        <f t="shared" si="18"/>
        <v>320101 - REMUNERACOES</v>
      </c>
      <c r="C628" s="25">
        <f t="shared" si="19"/>
        <v>44835</v>
      </c>
      <c r="D628" s="27">
        <f>IF(K628="CREDITO",Q628,Q628*-1)</f>
        <v>60070.85</v>
      </c>
      <c r="E628" t="s">
        <v>894</v>
      </c>
      <c r="F628" t="s">
        <v>1121</v>
      </c>
      <c r="G628" s="8">
        <v>44835</v>
      </c>
      <c r="H628" t="s">
        <v>508</v>
      </c>
      <c r="I628" t="s">
        <v>88</v>
      </c>
      <c r="J628" t="s">
        <v>28</v>
      </c>
      <c r="K628" t="s">
        <v>29</v>
      </c>
      <c r="L628" t="s">
        <v>895</v>
      </c>
      <c r="M628" t="s">
        <v>4402</v>
      </c>
      <c r="O628" t="s">
        <v>896</v>
      </c>
      <c r="P628" t="s">
        <v>33</v>
      </c>
      <c r="Q628" s="22">
        <v>60070.85</v>
      </c>
      <c r="R628" t="s">
        <v>35</v>
      </c>
      <c r="S628" t="s">
        <v>35</v>
      </c>
      <c r="T628" t="s">
        <v>35</v>
      </c>
      <c r="U628" t="s">
        <v>35</v>
      </c>
      <c r="V628" t="s">
        <v>645</v>
      </c>
      <c r="W628" t="s">
        <v>113</v>
      </c>
    </row>
    <row r="629" spans="1:23" hidden="1" x14ac:dyDescent="0.25">
      <c r="A629" s="7" t="str">
        <f>IFERROR(VLOOKUP(H629,'Contas Orç'!A:B,2,0),"N/A")</f>
        <v>REMUNERACOES</v>
      </c>
      <c r="B629" s="7" t="str">
        <f t="shared" si="18"/>
        <v>320101 - REMUNERACOES</v>
      </c>
      <c r="C629" s="25">
        <f t="shared" si="19"/>
        <v>44835</v>
      </c>
      <c r="D629" s="27">
        <f>IF(K629="CREDITO",Q629,Q629*-1)</f>
        <v>181966.63</v>
      </c>
      <c r="E629" t="s">
        <v>894</v>
      </c>
      <c r="F629" t="s">
        <v>1122</v>
      </c>
      <c r="G629" s="8">
        <v>44835</v>
      </c>
      <c r="H629" t="s">
        <v>508</v>
      </c>
      <c r="I629" t="s">
        <v>27</v>
      </c>
      <c r="J629" t="s">
        <v>28</v>
      </c>
      <c r="K629" t="s">
        <v>29</v>
      </c>
      <c r="L629" t="s">
        <v>895</v>
      </c>
      <c r="M629" t="s">
        <v>4402</v>
      </c>
      <c r="O629" t="s">
        <v>896</v>
      </c>
      <c r="P629" t="s">
        <v>33</v>
      </c>
      <c r="Q629" s="22">
        <v>181966.63</v>
      </c>
      <c r="R629" t="s">
        <v>35</v>
      </c>
      <c r="S629" t="s">
        <v>35</v>
      </c>
      <c r="T629" t="s">
        <v>35</v>
      </c>
      <c r="U629" t="s">
        <v>35</v>
      </c>
      <c r="V629" t="s">
        <v>645</v>
      </c>
      <c r="W629" t="s">
        <v>113</v>
      </c>
    </row>
    <row r="630" spans="1:23" hidden="1" x14ac:dyDescent="0.25">
      <c r="A630" s="7" t="str">
        <f>IFERROR(VLOOKUP(H630,'Contas Orç'!A:B,2,0),"N/A")</f>
        <v>REMUNERACOES</v>
      </c>
      <c r="B630" s="7" t="str">
        <f t="shared" si="18"/>
        <v>320101 - REMUNERACOES</v>
      </c>
      <c r="C630" s="25">
        <f t="shared" si="19"/>
        <v>44835</v>
      </c>
      <c r="D630" s="27">
        <f>IF(K630="CREDITO",Q630,Q630*-1)</f>
        <v>44515.47</v>
      </c>
      <c r="E630" t="s">
        <v>894</v>
      </c>
      <c r="F630" t="s">
        <v>1123</v>
      </c>
      <c r="G630" s="8">
        <v>44835</v>
      </c>
      <c r="H630" t="s">
        <v>508</v>
      </c>
      <c r="I630" t="s">
        <v>53</v>
      </c>
      <c r="J630" t="s">
        <v>60</v>
      </c>
      <c r="K630" t="s">
        <v>29</v>
      </c>
      <c r="L630" t="s">
        <v>895</v>
      </c>
      <c r="M630" t="s">
        <v>4402</v>
      </c>
      <c r="O630" t="s">
        <v>896</v>
      </c>
      <c r="P630" t="s">
        <v>33</v>
      </c>
      <c r="Q630" s="22">
        <v>44515.47</v>
      </c>
      <c r="R630" t="s">
        <v>35</v>
      </c>
      <c r="S630" t="s">
        <v>35</v>
      </c>
      <c r="T630" t="s">
        <v>35</v>
      </c>
      <c r="U630" t="s">
        <v>35</v>
      </c>
      <c r="V630" t="s">
        <v>645</v>
      </c>
      <c r="W630" t="s">
        <v>113</v>
      </c>
    </row>
    <row r="631" spans="1:23" hidden="1" x14ac:dyDescent="0.25">
      <c r="A631" s="7" t="str">
        <f>IFERROR(VLOOKUP(H631,'Contas Orç'!A:B,2,0),"N/A")</f>
        <v>REMUNERACOES</v>
      </c>
      <c r="B631" s="7" t="str">
        <f t="shared" si="18"/>
        <v>320101 - REMUNERACOES</v>
      </c>
      <c r="C631" s="25">
        <f t="shared" si="19"/>
        <v>44835</v>
      </c>
      <c r="D631" s="27">
        <f>IF(K631="CREDITO",Q631,Q631*-1)</f>
        <v>208032.79</v>
      </c>
      <c r="E631" t="s">
        <v>894</v>
      </c>
      <c r="F631" t="s">
        <v>1124</v>
      </c>
      <c r="G631" s="8">
        <v>44835</v>
      </c>
      <c r="H631" t="s">
        <v>508</v>
      </c>
      <c r="I631" t="s">
        <v>106</v>
      </c>
      <c r="J631" t="s">
        <v>60</v>
      </c>
      <c r="K631" t="s">
        <v>29</v>
      </c>
      <c r="L631" t="s">
        <v>895</v>
      </c>
      <c r="M631" t="s">
        <v>4402</v>
      </c>
      <c r="O631" t="s">
        <v>896</v>
      </c>
      <c r="P631" t="s">
        <v>33</v>
      </c>
      <c r="Q631" s="22">
        <v>208032.79</v>
      </c>
      <c r="R631" t="s">
        <v>35</v>
      </c>
      <c r="S631" t="s">
        <v>35</v>
      </c>
      <c r="T631" t="s">
        <v>35</v>
      </c>
      <c r="U631" t="s">
        <v>35</v>
      </c>
      <c r="V631" t="s">
        <v>645</v>
      </c>
      <c r="W631" t="s">
        <v>113</v>
      </c>
    </row>
    <row r="632" spans="1:23" hidden="1" x14ac:dyDescent="0.25">
      <c r="A632" s="7" t="str">
        <f>IFERROR(VLOOKUP(H632,'Contas Orç'!A:B,2,0),"N/A")</f>
        <v>REMUNERACOES</v>
      </c>
      <c r="B632" s="7" t="str">
        <f t="shared" si="18"/>
        <v>320101 - REMUNERACOES</v>
      </c>
      <c r="C632" s="25">
        <f t="shared" si="19"/>
        <v>44835</v>
      </c>
      <c r="D632" s="27">
        <f>IF(K632="CREDITO",Q632,Q632*-1)</f>
        <v>845864.76</v>
      </c>
      <c r="E632" t="s">
        <v>894</v>
      </c>
      <c r="F632" t="s">
        <v>1125</v>
      </c>
      <c r="G632" s="8">
        <v>44835</v>
      </c>
      <c r="H632" t="s">
        <v>508</v>
      </c>
      <c r="I632" t="s">
        <v>59</v>
      </c>
      <c r="J632" t="s">
        <v>60</v>
      </c>
      <c r="K632" t="s">
        <v>29</v>
      </c>
      <c r="L632" t="s">
        <v>895</v>
      </c>
      <c r="M632" t="s">
        <v>4402</v>
      </c>
      <c r="O632" t="s">
        <v>896</v>
      </c>
      <c r="P632" t="s">
        <v>33</v>
      </c>
      <c r="Q632" s="22">
        <v>845864.76</v>
      </c>
      <c r="R632" t="s">
        <v>35</v>
      </c>
      <c r="S632" t="s">
        <v>35</v>
      </c>
      <c r="T632" t="s">
        <v>35</v>
      </c>
      <c r="U632" t="s">
        <v>35</v>
      </c>
      <c r="V632" t="s">
        <v>645</v>
      </c>
      <c r="W632" t="s">
        <v>113</v>
      </c>
    </row>
    <row r="633" spans="1:23" hidden="1" x14ac:dyDescent="0.25">
      <c r="A633" s="7" t="str">
        <f>IFERROR(VLOOKUP(H633,'Contas Orç'!A:B,2,0),"N/A")</f>
        <v>REMUNERACOES</v>
      </c>
      <c r="B633" s="7" t="str">
        <f t="shared" si="18"/>
        <v>320101 - REMUNERACOES</v>
      </c>
      <c r="C633" s="25">
        <f t="shared" si="19"/>
        <v>44835</v>
      </c>
      <c r="D633" s="27">
        <f>IF(K633="CREDITO",Q633,Q633*-1)</f>
        <v>13262.65</v>
      </c>
      <c r="E633" t="s">
        <v>894</v>
      </c>
      <c r="F633" t="s">
        <v>1126</v>
      </c>
      <c r="G633" s="8">
        <v>44835</v>
      </c>
      <c r="H633" t="s">
        <v>508</v>
      </c>
      <c r="I633" t="s">
        <v>53</v>
      </c>
      <c r="J633" t="s">
        <v>702</v>
      </c>
      <c r="K633" t="s">
        <v>29</v>
      </c>
      <c r="L633" t="s">
        <v>895</v>
      </c>
      <c r="M633" t="s">
        <v>4402</v>
      </c>
      <c r="O633" t="s">
        <v>896</v>
      </c>
      <c r="P633" t="s">
        <v>33</v>
      </c>
      <c r="Q633" s="22">
        <v>13262.65</v>
      </c>
      <c r="R633" t="s">
        <v>35</v>
      </c>
      <c r="S633" t="s">
        <v>35</v>
      </c>
      <c r="T633" t="s">
        <v>35</v>
      </c>
      <c r="U633" t="s">
        <v>35</v>
      </c>
      <c r="V633" t="s">
        <v>645</v>
      </c>
      <c r="W633" t="s">
        <v>113</v>
      </c>
    </row>
    <row r="634" spans="1:23" hidden="1" x14ac:dyDescent="0.25">
      <c r="A634" s="7" t="str">
        <f>IFERROR(VLOOKUP(H634,'Contas Orç'!A:B,2,0),"N/A")</f>
        <v>REMUNERACOES</v>
      </c>
      <c r="B634" s="7" t="str">
        <f t="shared" si="18"/>
        <v>320101 - REMUNERACOES</v>
      </c>
      <c r="C634" s="25">
        <f t="shared" si="19"/>
        <v>44835</v>
      </c>
      <c r="D634" s="27">
        <f>IF(K634="CREDITO",Q634,Q634*-1)</f>
        <v>53229.55</v>
      </c>
      <c r="E634" t="s">
        <v>894</v>
      </c>
      <c r="F634" t="s">
        <v>1127</v>
      </c>
      <c r="G634" s="8">
        <v>44835</v>
      </c>
      <c r="H634" t="s">
        <v>508</v>
      </c>
      <c r="I634" t="s">
        <v>59</v>
      </c>
      <c r="J634" t="s">
        <v>702</v>
      </c>
      <c r="K634" t="s">
        <v>29</v>
      </c>
      <c r="L634" t="s">
        <v>895</v>
      </c>
      <c r="M634" t="s">
        <v>4402</v>
      </c>
      <c r="O634" t="s">
        <v>896</v>
      </c>
      <c r="P634" t="s">
        <v>33</v>
      </c>
      <c r="Q634" s="22">
        <v>53229.55</v>
      </c>
      <c r="R634" t="s">
        <v>35</v>
      </c>
      <c r="S634" t="s">
        <v>35</v>
      </c>
      <c r="T634" t="s">
        <v>35</v>
      </c>
      <c r="U634" t="s">
        <v>35</v>
      </c>
      <c r="V634" t="s">
        <v>645</v>
      </c>
      <c r="W634" t="s">
        <v>113</v>
      </c>
    </row>
    <row r="635" spans="1:23" hidden="1" x14ac:dyDescent="0.25">
      <c r="A635" s="7" t="str">
        <f>IFERROR(VLOOKUP(H635,'Contas Orç'!A:B,2,0),"N/A")</f>
        <v>REMUNERACOES</v>
      </c>
      <c r="B635" s="7" t="str">
        <f t="shared" si="18"/>
        <v>320101 - REMUNERACOES</v>
      </c>
      <c r="C635" s="25">
        <f t="shared" si="19"/>
        <v>44835</v>
      </c>
      <c r="D635" s="27">
        <f>IF(K635="CREDITO",Q635,Q635*-1)</f>
        <v>27240.29</v>
      </c>
      <c r="E635" t="s">
        <v>894</v>
      </c>
      <c r="F635" t="s">
        <v>1128</v>
      </c>
      <c r="G635" s="8">
        <v>44835</v>
      </c>
      <c r="H635" t="s">
        <v>508</v>
      </c>
      <c r="I635" t="s">
        <v>125</v>
      </c>
      <c r="J635" t="s">
        <v>95</v>
      </c>
      <c r="K635" t="s">
        <v>29</v>
      </c>
      <c r="L635" t="s">
        <v>895</v>
      </c>
      <c r="M635" t="s">
        <v>4402</v>
      </c>
      <c r="O635" t="s">
        <v>896</v>
      </c>
      <c r="P635" t="s">
        <v>33</v>
      </c>
      <c r="Q635" s="22">
        <v>27240.29</v>
      </c>
      <c r="R635" t="s">
        <v>35</v>
      </c>
      <c r="S635" t="s">
        <v>35</v>
      </c>
      <c r="T635" t="s">
        <v>35</v>
      </c>
      <c r="U635" t="s">
        <v>35</v>
      </c>
      <c r="V635" t="s">
        <v>645</v>
      </c>
      <c r="W635" t="s">
        <v>113</v>
      </c>
    </row>
    <row r="636" spans="1:23" hidden="1" x14ac:dyDescent="0.25">
      <c r="A636" s="7" t="str">
        <f>IFERROR(VLOOKUP(H636,'Contas Orç'!A:B,2,0),"N/A")</f>
        <v>REMUNERACOES</v>
      </c>
      <c r="B636" s="7" t="str">
        <f t="shared" si="18"/>
        <v>320101 - REMUNERACOES</v>
      </c>
      <c r="C636" s="25">
        <f t="shared" si="19"/>
        <v>44835</v>
      </c>
      <c r="D636" s="27">
        <f>IF(K636="CREDITO",Q636,Q636*-1)</f>
        <v>66297.58</v>
      </c>
      <c r="E636" t="s">
        <v>894</v>
      </c>
      <c r="F636" t="s">
        <v>1129</v>
      </c>
      <c r="G636" s="8">
        <v>44835</v>
      </c>
      <c r="H636" t="s">
        <v>508</v>
      </c>
      <c r="I636" t="s">
        <v>53</v>
      </c>
      <c r="J636" t="s">
        <v>54</v>
      </c>
      <c r="K636" t="s">
        <v>29</v>
      </c>
      <c r="L636" t="s">
        <v>895</v>
      </c>
      <c r="M636" t="s">
        <v>4402</v>
      </c>
      <c r="O636" t="s">
        <v>896</v>
      </c>
      <c r="P636" t="s">
        <v>33</v>
      </c>
      <c r="Q636" s="22">
        <v>66297.58</v>
      </c>
      <c r="R636" t="s">
        <v>35</v>
      </c>
      <c r="S636" t="s">
        <v>35</v>
      </c>
      <c r="T636" t="s">
        <v>35</v>
      </c>
      <c r="U636" t="s">
        <v>35</v>
      </c>
      <c r="V636" t="s">
        <v>645</v>
      </c>
      <c r="W636" t="s">
        <v>113</v>
      </c>
    </row>
    <row r="637" spans="1:23" hidden="1" x14ac:dyDescent="0.25">
      <c r="A637" s="7" t="str">
        <f>IFERROR(VLOOKUP(H637,'Contas Orç'!A:B,2,0),"N/A")</f>
        <v>REMUNERACOES</v>
      </c>
      <c r="B637" s="7" t="str">
        <f t="shared" si="18"/>
        <v>320101 - REMUNERACOES</v>
      </c>
      <c r="C637" s="25">
        <f t="shared" si="19"/>
        <v>44835</v>
      </c>
      <c r="D637" s="27">
        <f>IF(K637="CREDITO",Q637,Q637*-1)</f>
        <v>263.26</v>
      </c>
      <c r="E637" t="s">
        <v>894</v>
      </c>
      <c r="F637" t="s">
        <v>1130</v>
      </c>
      <c r="G637" s="8">
        <v>44835</v>
      </c>
      <c r="H637" t="s">
        <v>508</v>
      </c>
      <c r="I637" t="s">
        <v>88</v>
      </c>
      <c r="J637" t="s">
        <v>54</v>
      </c>
      <c r="K637" t="s">
        <v>29</v>
      </c>
      <c r="L637" t="s">
        <v>895</v>
      </c>
      <c r="M637" t="s">
        <v>4402</v>
      </c>
      <c r="O637" t="s">
        <v>896</v>
      </c>
      <c r="P637" t="s">
        <v>33</v>
      </c>
      <c r="Q637">
        <v>263.26</v>
      </c>
      <c r="R637" t="s">
        <v>35</v>
      </c>
      <c r="S637" t="s">
        <v>35</v>
      </c>
      <c r="T637" t="s">
        <v>35</v>
      </c>
      <c r="U637" t="s">
        <v>35</v>
      </c>
      <c r="V637" t="s">
        <v>645</v>
      </c>
      <c r="W637" t="s">
        <v>113</v>
      </c>
    </row>
    <row r="638" spans="1:23" hidden="1" x14ac:dyDescent="0.25">
      <c r="A638" s="7" t="str">
        <f>IFERROR(VLOOKUP(H638,'Contas Orç'!A:B,2,0),"N/A")</f>
        <v>REMUNERACOES</v>
      </c>
      <c r="B638" s="7" t="str">
        <f t="shared" si="18"/>
        <v>320101 - REMUNERACOES</v>
      </c>
      <c r="C638" s="25">
        <f t="shared" si="19"/>
        <v>44866</v>
      </c>
      <c r="D638" s="27">
        <f>IF(K638="CREDITO",Q638,Q638*-1)</f>
        <v>816.03</v>
      </c>
      <c r="E638" t="s">
        <v>894</v>
      </c>
      <c r="F638" t="s">
        <v>1131</v>
      </c>
      <c r="G638" s="8">
        <v>44866</v>
      </c>
      <c r="H638" t="s">
        <v>508</v>
      </c>
      <c r="I638" t="s">
        <v>53</v>
      </c>
      <c r="J638" t="s">
        <v>28</v>
      </c>
      <c r="K638" t="s">
        <v>29</v>
      </c>
      <c r="L638" t="s">
        <v>895</v>
      </c>
      <c r="M638" t="s">
        <v>4402</v>
      </c>
      <c r="O638" t="s">
        <v>896</v>
      </c>
      <c r="P638" t="s">
        <v>33</v>
      </c>
      <c r="Q638">
        <v>816.03</v>
      </c>
      <c r="R638" t="s">
        <v>35</v>
      </c>
      <c r="S638" t="s">
        <v>35</v>
      </c>
      <c r="T638" t="s">
        <v>35</v>
      </c>
      <c r="U638" t="s">
        <v>35</v>
      </c>
      <c r="V638" t="s">
        <v>645</v>
      </c>
      <c r="W638" t="s">
        <v>113</v>
      </c>
    </row>
    <row r="639" spans="1:23" hidden="1" x14ac:dyDescent="0.25">
      <c r="A639" s="7" t="str">
        <f>IFERROR(VLOOKUP(H639,'Contas Orç'!A:B,2,0),"N/A")</f>
        <v>REMUNERACOES</v>
      </c>
      <c r="B639" s="7" t="str">
        <f t="shared" si="18"/>
        <v>320101 - REMUNERACOES</v>
      </c>
      <c r="C639" s="25">
        <f t="shared" si="19"/>
        <v>44866</v>
      </c>
      <c r="D639" s="27">
        <f>IF(K639="CREDITO",Q639,Q639*-1)</f>
        <v>60671.56</v>
      </c>
      <c r="E639" t="s">
        <v>894</v>
      </c>
      <c r="F639" t="s">
        <v>1132</v>
      </c>
      <c r="G639" s="8">
        <v>44866</v>
      </c>
      <c r="H639" t="s">
        <v>508</v>
      </c>
      <c r="I639" t="s">
        <v>88</v>
      </c>
      <c r="J639" t="s">
        <v>28</v>
      </c>
      <c r="K639" t="s">
        <v>29</v>
      </c>
      <c r="L639" t="s">
        <v>895</v>
      </c>
      <c r="M639" t="s">
        <v>4402</v>
      </c>
      <c r="O639" t="s">
        <v>896</v>
      </c>
      <c r="P639" t="s">
        <v>33</v>
      </c>
      <c r="Q639" s="22">
        <v>60671.56</v>
      </c>
      <c r="R639" t="s">
        <v>35</v>
      </c>
      <c r="S639" t="s">
        <v>35</v>
      </c>
      <c r="T639" t="s">
        <v>35</v>
      </c>
      <c r="U639" t="s">
        <v>35</v>
      </c>
      <c r="V639" t="s">
        <v>645</v>
      </c>
      <c r="W639" t="s">
        <v>113</v>
      </c>
    </row>
    <row r="640" spans="1:23" hidden="1" x14ac:dyDescent="0.25">
      <c r="A640" s="7" t="str">
        <f>IFERROR(VLOOKUP(H640,'Contas Orç'!A:B,2,0),"N/A")</f>
        <v>REMUNERACOES</v>
      </c>
      <c r="B640" s="7" t="str">
        <f t="shared" si="18"/>
        <v>320101 - REMUNERACOES</v>
      </c>
      <c r="C640" s="25">
        <f t="shared" si="19"/>
        <v>44866</v>
      </c>
      <c r="D640" s="27">
        <f>IF(K640="CREDITO",Q640,Q640*-1)</f>
        <v>183786.3</v>
      </c>
      <c r="E640" t="s">
        <v>894</v>
      </c>
      <c r="F640" t="s">
        <v>1133</v>
      </c>
      <c r="G640" s="8">
        <v>44866</v>
      </c>
      <c r="H640" t="s">
        <v>508</v>
      </c>
      <c r="I640" t="s">
        <v>27</v>
      </c>
      <c r="J640" t="s">
        <v>28</v>
      </c>
      <c r="K640" t="s">
        <v>29</v>
      </c>
      <c r="L640" t="s">
        <v>895</v>
      </c>
      <c r="M640" t="s">
        <v>4402</v>
      </c>
      <c r="O640" t="s">
        <v>896</v>
      </c>
      <c r="P640" t="s">
        <v>33</v>
      </c>
      <c r="Q640" s="22">
        <v>183786.3</v>
      </c>
      <c r="R640" t="s">
        <v>35</v>
      </c>
      <c r="S640" t="s">
        <v>35</v>
      </c>
      <c r="T640" t="s">
        <v>35</v>
      </c>
      <c r="U640" t="s">
        <v>35</v>
      </c>
      <c r="V640" t="s">
        <v>645</v>
      </c>
      <c r="W640" t="s">
        <v>113</v>
      </c>
    </row>
    <row r="641" spans="1:23" hidden="1" x14ac:dyDescent="0.25">
      <c r="A641" s="7" t="str">
        <f>IFERROR(VLOOKUP(H641,'Contas Orç'!A:B,2,0),"N/A")</f>
        <v>REMUNERACOES</v>
      </c>
      <c r="B641" s="7" t="str">
        <f t="shared" si="18"/>
        <v>320101 - REMUNERACOES</v>
      </c>
      <c r="C641" s="25">
        <f t="shared" si="19"/>
        <v>44866</v>
      </c>
      <c r="D641" s="27">
        <f>IF(K641="CREDITO",Q641,Q641*-1)</f>
        <v>44960.62</v>
      </c>
      <c r="E641" t="s">
        <v>894</v>
      </c>
      <c r="F641" t="s">
        <v>1134</v>
      </c>
      <c r="G641" s="8">
        <v>44866</v>
      </c>
      <c r="H641" t="s">
        <v>508</v>
      </c>
      <c r="I641" t="s">
        <v>53</v>
      </c>
      <c r="J641" t="s">
        <v>60</v>
      </c>
      <c r="K641" t="s">
        <v>29</v>
      </c>
      <c r="L641" t="s">
        <v>895</v>
      </c>
      <c r="M641" t="s">
        <v>4402</v>
      </c>
      <c r="O641" t="s">
        <v>896</v>
      </c>
      <c r="P641" t="s">
        <v>33</v>
      </c>
      <c r="Q641" s="22">
        <v>44960.62</v>
      </c>
      <c r="R641" t="s">
        <v>35</v>
      </c>
      <c r="S641" t="s">
        <v>35</v>
      </c>
      <c r="T641" t="s">
        <v>35</v>
      </c>
      <c r="U641" t="s">
        <v>35</v>
      </c>
      <c r="V641" t="s">
        <v>645</v>
      </c>
      <c r="W641" t="s">
        <v>113</v>
      </c>
    </row>
    <row r="642" spans="1:23" hidden="1" x14ac:dyDescent="0.25">
      <c r="A642" s="7" t="str">
        <f>IFERROR(VLOOKUP(H642,'Contas Orç'!A:B,2,0),"N/A")</f>
        <v>REMUNERACOES</v>
      </c>
      <c r="B642" s="7" t="str">
        <f t="shared" si="18"/>
        <v>320101 - REMUNERACOES</v>
      </c>
      <c r="C642" s="25">
        <f t="shared" si="19"/>
        <v>44866</v>
      </c>
      <c r="D642" s="27">
        <f>IF(K642="CREDITO",Q642,Q642*-1)</f>
        <v>210113.12</v>
      </c>
      <c r="E642" t="s">
        <v>894</v>
      </c>
      <c r="F642" t="s">
        <v>1135</v>
      </c>
      <c r="G642" s="8">
        <v>44866</v>
      </c>
      <c r="H642" t="s">
        <v>508</v>
      </c>
      <c r="I642" t="s">
        <v>106</v>
      </c>
      <c r="J642" t="s">
        <v>60</v>
      </c>
      <c r="K642" t="s">
        <v>29</v>
      </c>
      <c r="L642" t="s">
        <v>895</v>
      </c>
      <c r="M642" t="s">
        <v>4402</v>
      </c>
      <c r="O642" t="s">
        <v>896</v>
      </c>
      <c r="P642" t="s">
        <v>33</v>
      </c>
      <c r="Q642" s="22">
        <v>210113.12</v>
      </c>
      <c r="R642" t="s">
        <v>35</v>
      </c>
      <c r="S642" t="s">
        <v>35</v>
      </c>
      <c r="T642" t="s">
        <v>35</v>
      </c>
      <c r="U642" t="s">
        <v>35</v>
      </c>
      <c r="V642" t="s">
        <v>645</v>
      </c>
      <c r="W642" t="s">
        <v>113</v>
      </c>
    </row>
    <row r="643" spans="1:23" hidden="1" x14ac:dyDescent="0.25">
      <c r="A643" s="7" t="str">
        <f>IFERROR(VLOOKUP(H643,'Contas Orç'!A:B,2,0),"N/A")</f>
        <v>REMUNERACOES</v>
      </c>
      <c r="B643" s="7" t="str">
        <f t="shared" ref="B643:B706" si="20">_xlfn.CONCAT(H643," - ",A643)</f>
        <v>320101 - REMUNERACOES</v>
      </c>
      <c r="C643" s="25">
        <f t="shared" ref="C643:C706" si="21">DATE(YEAR(G643),MONTH(G643),1)</f>
        <v>44866</v>
      </c>
      <c r="D643" s="27">
        <f>IF(K643="CREDITO",Q643,Q643*-1)</f>
        <v>854323.41</v>
      </c>
      <c r="E643" t="s">
        <v>894</v>
      </c>
      <c r="F643" t="s">
        <v>1136</v>
      </c>
      <c r="G643" s="8">
        <v>44866</v>
      </c>
      <c r="H643" t="s">
        <v>508</v>
      </c>
      <c r="I643" t="s">
        <v>59</v>
      </c>
      <c r="J643" t="s">
        <v>60</v>
      </c>
      <c r="K643" t="s">
        <v>29</v>
      </c>
      <c r="L643" t="s">
        <v>895</v>
      </c>
      <c r="M643" t="s">
        <v>4402</v>
      </c>
      <c r="O643" t="s">
        <v>896</v>
      </c>
      <c r="P643" t="s">
        <v>33</v>
      </c>
      <c r="Q643" s="22">
        <v>854323.41</v>
      </c>
      <c r="R643" t="s">
        <v>35</v>
      </c>
      <c r="S643" t="s">
        <v>35</v>
      </c>
      <c r="T643" t="s">
        <v>35</v>
      </c>
      <c r="U643" t="s">
        <v>35</v>
      </c>
      <c r="V643" t="s">
        <v>645</v>
      </c>
      <c r="W643" t="s">
        <v>113</v>
      </c>
    </row>
    <row r="644" spans="1:23" hidden="1" x14ac:dyDescent="0.25">
      <c r="A644" s="7" t="str">
        <f>IFERROR(VLOOKUP(H644,'Contas Orç'!A:B,2,0),"N/A")</f>
        <v>REMUNERACOES</v>
      </c>
      <c r="B644" s="7" t="str">
        <f t="shared" si="20"/>
        <v>320101 - REMUNERACOES</v>
      </c>
      <c r="C644" s="25">
        <f t="shared" si="21"/>
        <v>44866</v>
      </c>
      <c r="D644" s="27">
        <f>IF(K644="CREDITO",Q644,Q644*-1)</f>
        <v>13395.28</v>
      </c>
      <c r="E644" t="s">
        <v>894</v>
      </c>
      <c r="F644" t="s">
        <v>1137</v>
      </c>
      <c r="G644" s="8">
        <v>44866</v>
      </c>
      <c r="H644" t="s">
        <v>508</v>
      </c>
      <c r="I644" t="s">
        <v>53</v>
      </c>
      <c r="J644" t="s">
        <v>702</v>
      </c>
      <c r="K644" t="s">
        <v>29</v>
      </c>
      <c r="L644" t="s">
        <v>895</v>
      </c>
      <c r="M644" t="s">
        <v>4402</v>
      </c>
      <c r="O644" t="s">
        <v>896</v>
      </c>
      <c r="P644" t="s">
        <v>33</v>
      </c>
      <c r="Q644" s="22">
        <v>13395.28</v>
      </c>
      <c r="R644" t="s">
        <v>35</v>
      </c>
      <c r="S644" t="s">
        <v>35</v>
      </c>
      <c r="T644" t="s">
        <v>35</v>
      </c>
      <c r="U644" t="s">
        <v>35</v>
      </c>
      <c r="V644" t="s">
        <v>645</v>
      </c>
      <c r="W644" t="s">
        <v>113</v>
      </c>
    </row>
    <row r="645" spans="1:23" hidden="1" x14ac:dyDescent="0.25">
      <c r="A645" s="7" t="str">
        <f>IFERROR(VLOOKUP(H645,'Contas Orç'!A:B,2,0),"N/A")</f>
        <v>REMUNERACOES</v>
      </c>
      <c r="B645" s="7" t="str">
        <f t="shared" si="20"/>
        <v>320101 - REMUNERACOES</v>
      </c>
      <c r="C645" s="25">
        <f t="shared" si="21"/>
        <v>44866</v>
      </c>
      <c r="D645" s="27">
        <f>IF(K645="CREDITO",Q645,Q645*-1)</f>
        <v>53761.84</v>
      </c>
      <c r="E645" t="s">
        <v>894</v>
      </c>
      <c r="F645" t="s">
        <v>1138</v>
      </c>
      <c r="G645" s="8">
        <v>44866</v>
      </c>
      <c r="H645" t="s">
        <v>508</v>
      </c>
      <c r="I645" t="s">
        <v>59</v>
      </c>
      <c r="J645" t="s">
        <v>702</v>
      </c>
      <c r="K645" t="s">
        <v>29</v>
      </c>
      <c r="L645" t="s">
        <v>895</v>
      </c>
      <c r="M645" t="s">
        <v>4402</v>
      </c>
      <c r="O645" t="s">
        <v>896</v>
      </c>
      <c r="P645" t="s">
        <v>33</v>
      </c>
      <c r="Q645" s="22">
        <v>53761.84</v>
      </c>
      <c r="R645" t="s">
        <v>35</v>
      </c>
      <c r="S645" t="s">
        <v>35</v>
      </c>
      <c r="T645" t="s">
        <v>35</v>
      </c>
      <c r="U645" t="s">
        <v>35</v>
      </c>
      <c r="V645" t="s">
        <v>645</v>
      </c>
      <c r="W645" t="s">
        <v>113</v>
      </c>
    </row>
    <row r="646" spans="1:23" hidden="1" x14ac:dyDescent="0.25">
      <c r="A646" s="7" t="str">
        <f>IFERROR(VLOOKUP(H646,'Contas Orç'!A:B,2,0),"N/A")</f>
        <v>REMUNERACOES</v>
      </c>
      <c r="B646" s="7" t="str">
        <f t="shared" si="20"/>
        <v>320101 - REMUNERACOES</v>
      </c>
      <c r="C646" s="25">
        <f t="shared" si="21"/>
        <v>44866</v>
      </c>
      <c r="D646" s="27">
        <f>IF(K646="CREDITO",Q646,Q646*-1)</f>
        <v>27512.69</v>
      </c>
      <c r="E646" t="s">
        <v>894</v>
      </c>
      <c r="F646" t="s">
        <v>1139</v>
      </c>
      <c r="G646" s="8">
        <v>44866</v>
      </c>
      <c r="H646" t="s">
        <v>508</v>
      </c>
      <c r="I646" t="s">
        <v>125</v>
      </c>
      <c r="J646" t="s">
        <v>95</v>
      </c>
      <c r="K646" t="s">
        <v>29</v>
      </c>
      <c r="L646" t="s">
        <v>895</v>
      </c>
      <c r="M646" t="s">
        <v>4402</v>
      </c>
      <c r="O646" t="s">
        <v>896</v>
      </c>
      <c r="P646" t="s">
        <v>33</v>
      </c>
      <c r="Q646" s="22">
        <v>27512.69</v>
      </c>
      <c r="R646" t="s">
        <v>35</v>
      </c>
      <c r="S646" t="s">
        <v>35</v>
      </c>
      <c r="T646" t="s">
        <v>35</v>
      </c>
      <c r="U646" t="s">
        <v>35</v>
      </c>
      <c r="V646" t="s">
        <v>645</v>
      </c>
      <c r="W646" t="s">
        <v>113</v>
      </c>
    </row>
    <row r="647" spans="1:23" hidden="1" x14ac:dyDescent="0.25">
      <c r="A647" s="7" t="str">
        <f>IFERROR(VLOOKUP(H647,'Contas Orç'!A:B,2,0),"N/A")</f>
        <v>REMUNERACOES</v>
      </c>
      <c r="B647" s="7" t="str">
        <f t="shared" si="20"/>
        <v>320101 - REMUNERACOES</v>
      </c>
      <c r="C647" s="25">
        <f t="shared" si="21"/>
        <v>44866</v>
      </c>
      <c r="D647" s="27">
        <f>IF(K647="CREDITO",Q647,Q647*-1)</f>
        <v>66960.56</v>
      </c>
      <c r="E647" t="s">
        <v>894</v>
      </c>
      <c r="F647" t="s">
        <v>1140</v>
      </c>
      <c r="G647" s="8">
        <v>44866</v>
      </c>
      <c r="H647" t="s">
        <v>508</v>
      </c>
      <c r="I647" t="s">
        <v>53</v>
      </c>
      <c r="J647" t="s">
        <v>54</v>
      </c>
      <c r="K647" t="s">
        <v>29</v>
      </c>
      <c r="L647" t="s">
        <v>895</v>
      </c>
      <c r="M647" t="s">
        <v>4402</v>
      </c>
      <c r="O647" t="s">
        <v>896</v>
      </c>
      <c r="P647" t="s">
        <v>33</v>
      </c>
      <c r="Q647" s="22">
        <v>66960.56</v>
      </c>
      <c r="R647" t="s">
        <v>35</v>
      </c>
      <c r="S647" t="s">
        <v>35</v>
      </c>
      <c r="T647" t="s">
        <v>35</v>
      </c>
      <c r="U647" t="s">
        <v>35</v>
      </c>
      <c r="V647" t="s">
        <v>645</v>
      </c>
      <c r="W647" t="s">
        <v>113</v>
      </c>
    </row>
    <row r="648" spans="1:23" hidden="1" x14ac:dyDescent="0.25">
      <c r="A648" s="7" t="str">
        <f>IFERROR(VLOOKUP(H648,'Contas Orç'!A:B,2,0),"N/A")</f>
        <v>REMUNERACOES</v>
      </c>
      <c r="B648" s="7" t="str">
        <f t="shared" si="20"/>
        <v>320101 - REMUNERACOES</v>
      </c>
      <c r="C648" s="25">
        <f t="shared" si="21"/>
        <v>44866</v>
      </c>
      <c r="D648" s="27">
        <f>IF(K648="CREDITO",Q648,Q648*-1)</f>
        <v>265.89</v>
      </c>
      <c r="E648" t="s">
        <v>894</v>
      </c>
      <c r="F648" t="s">
        <v>1141</v>
      </c>
      <c r="G648" s="8">
        <v>44866</v>
      </c>
      <c r="H648" t="s">
        <v>508</v>
      </c>
      <c r="I648" t="s">
        <v>88</v>
      </c>
      <c r="J648" t="s">
        <v>54</v>
      </c>
      <c r="K648" t="s">
        <v>29</v>
      </c>
      <c r="L648" t="s">
        <v>895</v>
      </c>
      <c r="M648" t="s">
        <v>4402</v>
      </c>
      <c r="O648" t="s">
        <v>896</v>
      </c>
      <c r="P648" t="s">
        <v>33</v>
      </c>
      <c r="Q648">
        <v>265.89</v>
      </c>
      <c r="R648" t="s">
        <v>35</v>
      </c>
      <c r="S648" t="s">
        <v>35</v>
      </c>
      <c r="T648" t="s">
        <v>35</v>
      </c>
      <c r="U648" t="s">
        <v>35</v>
      </c>
      <c r="V648" t="s">
        <v>645</v>
      </c>
      <c r="W648" t="s">
        <v>113</v>
      </c>
    </row>
    <row r="649" spans="1:23" hidden="1" x14ac:dyDescent="0.25">
      <c r="A649" s="7" t="str">
        <f>IFERROR(VLOOKUP(H649,'Contas Orç'!A:B,2,0),"N/A")</f>
        <v>REMUNERACOES</v>
      </c>
      <c r="B649" s="7" t="str">
        <f t="shared" si="20"/>
        <v>320101 - REMUNERACOES</v>
      </c>
      <c r="C649" s="25">
        <f t="shared" si="21"/>
        <v>44896</v>
      </c>
      <c r="D649" s="27">
        <f>IF(K649="CREDITO",Q649,Q649*-1)</f>
        <v>824.19</v>
      </c>
      <c r="E649" t="s">
        <v>894</v>
      </c>
      <c r="F649" t="s">
        <v>1142</v>
      </c>
      <c r="G649" s="8">
        <v>44896</v>
      </c>
      <c r="H649" t="s">
        <v>508</v>
      </c>
      <c r="I649" t="s">
        <v>53</v>
      </c>
      <c r="J649" t="s">
        <v>28</v>
      </c>
      <c r="K649" t="s">
        <v>29</v>
      </c>
      <c r="L649" t="s">
        <v>895</v>
      </c>
      <c r="M649" t="s">
        <v>4402</v>
      </c>
      <c r="O649" t="s">
        <v>896</v>
      </c>
      <c r="P649" t="s">
        <v>33</v>
      </c>
      <c r="Q649">
        <v>824.19</v>
      </c>
      <c r="R649" t="s">
        <v>35</v>
      </c>
      <c r="S649" t="s">
        <v>35</v>
      </c>
      <c r="T649" t="s">
        <v>35</v>
      </c>
      <c r="U649" t="s">
        <v>35</v>
      </c>
      <c r="V649" t="s">
        <v>645</v>
      </c>
      <c r="W649" t="s">
        <v>113</v>
      </c>
    </row>
    <row r="650" spans="1:23" hidden="1" x14ac:dyDescent="0.25">
      <c r="A650" s="7" t="str">
        <f>IFERROR(VLOOKUP(H650,'Contas Orç'!A:B,2,0),"N/A")</f>
        <v>REMUNERACOES</v>
      </c>
      <c r="B650" s="7" t="str">
        <f t="shared" si="20"/>
        <v>320101 - REMUNERACOES</v>
      </c>
      <c r="C650" s="25">
        <f t="shared" si="21"/>
        <v>44896</v>
      </c>
      <c r="D650" s="27">
        <f>IF(K650="CREDITO",Q650,Q650*-1)</f>
        <v>61278.28</v>
      </c>
      <c r="E650" t="s">
        <v>894</v>
      </c>
      <c r="F650" t="s">
        <v>1143</v>
      </c>
      <c r="G650" s="8">
        <v>44896</v>
      </c>
      <c r="H650" t="s">
        <v>508</v>
      </c>
      <c r="I650" t="s">
        <v>88</v>
      </c>
      <c r="J650" t="s">
        <v>28</v>
      </c>
      <c r="K650" t="s">
        <v>29</v>
      </c>
      <c r="L650" t="s">
        <v>895</v>
      </c>
      <c r="M650" t="s">
        <v>4402</v>
      </c>
      <c r="O650" t="s">
        <v>896</v>
      </c>
      <c r="P650" t="s">
        <v>33</v>
      </c>
      <c r="Q650" s="22">
        <v>61278.28</v>
      </c>
      <c r="R650" t="s">
        <v>35</v>
      </c>
      <c r="S650" t="s">
        <v>35</v>
      </c>
      <c r="T650" t="s">
        <v>35</v>
      </c>
      <c r="U650" t="s">
        <v>35</v>
      </c>
      <c r="V650" t="s">
        <v>645</v>
      </c>
      <c r="W650" t="s">
        <v>113</v>
      </c>
    </row>
    <row r="651" spans="1:23" hidden="1" x14ac:dyDescent="0.25">
      <c r="A651" s="7" t="str">
        <f>IFERROR(VLOOKUP(H651,'Contas Orç'!A:B,2,0),"N/A")</f>
        <v>REMUNERACOES</v>
      </c>
      <c r="B651" s="7" t="str">
        <f t="shared" si="20"/>
        <v>320101 - REMUNERACOES</v>
      </c>
      <c r="C651" s="25">
        <f t="shared" si="21"/>
        <v>44896</v>
      </c>
      <c r="D651" s="27">
        <f>IF(K651="CREDITO",Q651,Q651*-1)</f>
        <v>185624.16</v>
      </c>
      <c r="E651" t="s">
        <v>894</v>
      </c>
      <c r="F651" t="s">
        <v>1144</v>
      </c>
      <c r="G651" s="8">
        <v>44896</v>
      </c>
      <c r="H651" t="s">
        <v>508</v>
      </c>
      <c r="I651" t="s">
        <v>27</v>
      </c>
      <c r="J651" t="s">
        <v>28</v>
      </c>
      <c r="K651" t="s">
        <v>29</v>
      </c>
      <c r="L651" t="s">
        <v>895</v>
      </c>
      <c r="M651" t="s">
        <v>4402</v>
      </c>
      <c r="O651" t="s">
        <v>896</v>
      </c>
      <c r="P651" t="s">
        <v>33</v>
      </c>
      <c r="Q651" s="22">
        <v>185624.16</v>
      </c>
      <c r="R651" t="s">
        <v>35</v>
      </c>
      <c r="S651" t="s">
        <v>35</v>
      </c>
      <c r="T651" t="s">
        <v>35</v>
      </c>
      <c r="U651" t="s">
        <v>35</v>
      </c>
      <c r="V651" t="s">
        <v>645</v>
      </c>
      <c r="W651" t="s">
        <v>113</v>
      </c>
    </row>
    <row r="652" spans="1:23" hidden="1" x14ac:dyDescent="0.25">
      <c r="A652" s="7" t="str">
        <f>IFERROR(VLOOKUP(H652,'Contas Orç'!A:B,2,0),"N/A")</f>
        <v>REMUNERACOES</v>
      </c>
      <c r="B652" s="7" t="str">
        <f t="shared" si="20"/>
        <v>320101 - REMUNERACOES</v>
      </c>
      <c r="C652" s="25">
        <f t="shared" si="21"/>
        <v>44896</v>
      </c>
      <c r="D652" s="27">
        <f>IF(K652="CREDITO",Q652,Q652*-1)</f>
        <v>45410.23</v>
      </c>
      <c r="E652" t="s">
        <v>894</v>
      </c>
      <c r="F652" t="s">
        <v>1145</v>
      </c>
      <c r="G652" s="8">
        <v>44896</v>
      </c>
      <c r="H652" t="s">
        <v>508</v>
      </c>
      <c r="I652" t="s">
        <v>53</v>
      </c>
      <c r="J652" t="s">
        <v>60</v>
      </c>
      <c r="K652" t="s">
        <v>29</v>
      </c>
      <c r="L652" t="s">
        <v>895</v>
      </c>
      <c r="M652" t="s">
        <v>4402</v>
      </c>
      <c r="O652" t="s">
        <v>896</v>
      </c>
      <c r="P652" t="s">
        <v>33</v>
      </c>
      <c r="Q652" s="22">
        <v>45410.23</v>
      </c>
      <c r="R652" t="s">
        <v>35</v>
      </c>
      <c r="S652" t="s">
        <v>35</v>
      </c>
      <c r="T652" t="s">
        <v>35</v>
      </c>
      <c r="U652" t="s">
        <v>35</v>
      </c>
      <c r="V652" t="s">
        <v>645</v>
      </c>
      <c r="W652" t="s">
        <v>113</v>
      </c>
    </row>
    <row r="653" spans="1:23" hidden="1" x14ac:dyDescent="0.25">
      <c r="A653" s="7" t="str">
        <f>IFERROR(VLOOKUP(H653,'Contas Orç'!A:B,2,0),"N/A")</f>
        <v>REMUNERACOES</v>
      </c>
      <c r="B653" s="7" t="str">
        <f t="shared" si="20"/>
        <v>320101 - REMUNERACOES</v>
      </c>
      <c r="C653" s="25">
        <f t="shared" si="21"/>
        <v>44896</v>
      </c>
      <c r="D653" s="27">
        <f>IF(K653="CREDITO",Q653,Q653*-1)</f>
        <v>212214.25</v>
      </c>
      <c r="E653" t="s">
        <v>894</v>
      </c>
      <c r="F653" t="s">
        <v>1146</v>
      </c>
      <c r="G653" s="8">
        <v>44896</v>
      </c>
      <c r="H653" t="s">
        <v>508</v>
      </c>
      <c r="I653" t="s">
        <v>106</v>
      </c>
      <c r="J653" t="s">
        <v>60</v>
      </c>
      <c r="K653" t="s">
        <v>29</v>
      </c>
      <c r="L653" t="s">
        <v>895</v>
      </c>
      <c r="M653" t="s">
        <v>4402</v>
      </c>
      <c r="O653" t="s">
        <v>896</v>
      </c>
      <c r="P653" t="s">
        <v>33</v>
      </c>
      <c r="Q653" s="22">
        <v>212214.25</v>
      </c>
      <c r="R653" t="s">
        <v>35</v>
      </c>
      <c r="S653" t="s">
        <v>35</v>
      </c>
      <c r="T653" t="s">
        <v>35</v>
      </c>
      <c r="U653" t="s">
        <v>35</v>
      </c>
      <c r="V653" t="s">
        <v>645</v>
      </c>
      <c r="W653" t="s">
        <v>113</v>
      </c>
    </row>
    <row r="654" spans="1:23" hidden="1" x14ac:dyDescent="0.25">
      <c r="A654" s="7" t="str">
        <f>IFERROR(VLOOKUP(H654,'Contas Orç'!A:B,2,0),"N/A")</f>
        <v>REMUNERACOES</v>
      </c>
      <c r="B654" s="7" t="str">
        <f t="shared" si="20"/>
        <v>320101 - REMUNERACOES</v>
      </c>
      <c r="C654" s="25">
        <f t="shared" si="21"/>
        <v>44896</v>
      </c>
      <c r="D654" s="27">
        <f>IF(K654="CREDITO",Q654,Q654*-1)</f>
        <v>862866.64</v>
      </c>
      <c r="E654" t="s">
        <v>894</v>
      </c>
      <c r="F654" t="s">
        <v>1147</v>
      </c>
      <c r="G654" s="8">
        <v>44896</v>
      </c>
      <c r="H654" t="s">
        <v>508</v>
      </c>
      <c r="I654" t="s">
        <v>59</v>
      </c>
      <c r="J654" t="s">
        <v>60</v>
      </c>
      <c r="K654" t="s">
        <v>29</v>
      </c>
      <c r="L654" t="s">
        <v>895</v>
      </c>
      <c r="M654" t="s">
        <v>4402</v>
      </c>
      <c r="O654" t="s">
        <v>896</v>
      </c>
      <c r="P654" t="s">
        <v>33</v>
      </c>
      <c r="Q654" s="22">
        <v>862866.64</v>
      </c>
      <c r="R654" t="s">
        <v>35</v>
      </c>
      <c r="S654" t="s">
        <v>35</v>
      </c>
      <c r="T654" t="s">
        <v>35</v>
      </c>
      <c r="U654" t="s">
        <v>35</v>
      </c>
      <c r="V654" t="s">
        <v>645</v>
      </c>
      <c r="W654" t="s">
        <v>113</v>
      </c>
    </row>
    <row r="655" spans="1:23" hidden="1" x14ac:dyDescent="0.25">
      <c r="A655" s="7" t="str">
        <f>IFERROR(VLOOKUP(H655,'Contas Orç'!A:B,2,0),"N/A")</f>
        <v>REMUNERACOES</v>
      </c>
      <c r="B655" s="7" t="str">
        <f t="shared" si="20"/>
        <v>320101 - REMUNERACOES</v>
      </c>
      <c r="C655" s="25">
        <f t="shared" si="21"/>
        <v>44896</v>
      </c>
      <c r="D655" s="27">
        <f>IF(K655="CREDITO",Q655,Q655*-1)</f>
        <v>13529.23</v>
      </c>
      <c r="E655" t="s">
        <v>894</v>
      </c>
      <c r="F655" t="s">
        <v>1148</v>
      </c>
      <c r="G655" s="8">
        <v>44896</v>
      </c>
      <c r="H655" t="s">
        <v>508</v>
      </c>
      <c r="I655" t="s">
        <v>53</v>
      </c>
      <c r="J655" t="s">
        <v>702</v>
      </c>
      <c r="K655" t="s">
        <v>29</v>
      </c>
      <c r="L655" t="s">
        <v>895</v>
      </c>
      <c r="M655" t="s">
        <v>4402</v>
      </c>
      <c r="O655" t="s">
        <v>896</v>
      </c>
      <c r="P655" t="s">
        <v>33</v>
      </c>
      <c r="Q655" s="22">
        <v>13529.23</v>
      </c>
      <c r="R655" t="s">
        <v>35</v>
      </c>
      <c r="S655" t="s">
        <v>35</v>
      </c>
      <c r="T655" t="s">
        <v>35</v>
      </c>
      <c r="U655" t="s">
        <v>35</v>
      </c>
      <c r="V655" t="s">
        <v>645</v>
      </c>
      <c r="W655" t="s">
        <v>113</v>
      </c>
    </row>
    <row r="656" spans="1:23" hidden="1" x14ac:dyDescent="0.25">
      <c r="A656" s="7" t="str">
        <f>IFERROR(VLOOKUP(H656,'Contas Orç'!A:B,2,0),"N/A")</f>
        <v>REMUNERACOES</v>
      </c>
      <c r="B656" s="7" t="str">
        <f t="shared" si="20"/>
        <v>320101 - REMUNERACOES</v>
      </c>
      <c r="C656" s="25">
        <f t="shared" si="21"/>
        <v>44896</v>
      </c>
      <c r="D656" s="27">
        <f>IF(K656="CREDITO",Q656,Q656*-1)</f>
        <v>54299.46</v>
      </c>
      <c r="E656" t="s">
        <v>894</v>
      </c>
      <c r="F656" t="s">
        <v>1149</v>
      </c>
      <c r="G656" s="8">
        <v>44896</v>
      </c>
      <c r="H656" t="s">
        <v>508</v>
      </c>
      <c r="I656" t="s">
        <v>59</v>
      </c>
      <c r="J656" t="s">
        <v>702</v>
      </c>
      <c r="K656" t="s">
        <v>29</v>
      </c>
      <c r="L656" t="s">
        <v>895</v>
      </c>
      <c r="M656" t="s">
        <v>4402</v>
      </c>
      <c r="O656" t="s">
        <v>896</v>
      </c>
      <c r="P656" t="s">
        <v>33</v>
      </c>
      <c r="Q656" s="22">
        <v>54299.46</v>
      </c>
      <c r="R656" t="s">
        <v>35</v>
      </c>
      <c r="S656" t="s">
        <v>35</v>
      </c>
      <c r="T656" t="s">
        <v>35</v>
      </c>
      <c r="U656" t="s">
        <v>35</v>
      </c>
      <c r="V656" t="s">
        <v>645</v>
      </c>
      <c r="W656" t="s">
        <v>113</v>
      </c>
    </row>
    <row r="657" spans="1:23" hidden="1" x14ac:dyDescent="0.25">
      <c r="A657" s="7" t="str">
        <f>IFERROR(VLOOKUP(H657,'Contas Orç'!A:B,2,0),"N/A")</f>
        <v>REMUNERACOES</v>
      </c>
      <c r="B657" s="7" t="str">
        <f t="shared" si="20"/>
        <v>320101 - REMUNERACOES</v>
      </c>
      <c r="C657" s="25">
        <f t="shared" si="21"/>
        <v>44896</v>
      </c>
      <c r="D657" s="27">
        <f>IF(K657="CREDITO",Q657,Q657*-1)</f>
        <v>27787.82</v>
      </c>
      <c r="E657" t="s">
        <v>894</v>
      </c>
      <c r="F657" t="s">
        <v>1150</v>
      </c>
      <c r="G657" s="8">
        <v>44896</v>
      </c>
      <c r="H657" t="s">
        <v>508</v>
      </c>
      <c r="I657" t="s">
        <v>125</v>
      </c>
      <c r="J657" t="s">
        <v>95</v>
      </c>
      <c r="K657" t="s">
        <v>29</v>
      </c>
      <c r="L657" t="s">
        <v>895</v>
      </c>
      <c r="M657" t="s">
        <v>4402</v>
      </c>
      <c r="O657" t="s">
        <v>896</v>
      </c>
      <c r="P657" t="s">
        <v>33</v>
      </c>
      <c r="Q657" s="22">
        <v>27787.82</v>
      </c>
      <c r="R657" t="s">
        <v>35</v>
      </c>
      <c r="S657" t="s">
        <v>35</v>
      </c>
      <c r="T657" t="s">
        <v>35</v>
      </c>
      <c r="U657" t="s">
        <v>35</v>
      </c>
      <c r="V657" t="s">
        <v>645</v>
      </c>
      <c r="W657" t="s">
        <v>113</v>
      </c>
    </row>
    <row r="658" spans="1:23" hidden="1" x14ac:dyDescent="0.25">
      <c r="A658" s="7" t="str">
        <f>IFERROR(VLOOKUP(H658,'Contas Orç'!A:B,2,0),"N/A")</f>
        <v>REMUNERACOES</v>
      </c>
      <c r="B658" s="7" t="str">
        <f t="shared" si="20"/>
        <v>320101 - REMUNERACOES</v>
      </c>
      <c r="C658" s="25">
        <f t="shared" si="21"/>
        <v>44896</v>
      </c>
      <c r="D658" s="27">
        <f>IF(K658="CREDITO",Q658,Q658*-1)</f>
        <v>67630.16</v>
      </c>
      <c r="E658" t="s">
        <v>894</v>
      </c>
      <c r="F658" t="s">
        <v>1151</v>
      </c>
      <c r="G658" s="8">
        <v>44896</v>
      </c>
      <c r="H658" t="s">
        <v>508</v>
      </c>
      <c r="I658" t="s">
        <v>53</v>
      </c>
      <c r="J658" t="s">
        <v>54</v>
      </c>
      <c r="K658" t="s">
        <v>29</v>
      </c>
      <c r="L658" t="s">
        <v>895</v>
      </c>
      <c r="M658" t="s">
        <v>4402</v>
      </c>
      <c r="O658" t="s">
        <v>896</v>
      </c>
      <c r="P658" t="s">
        <v>33</v>
      </c>
      <c r="Q658" s="22">
        <v>67630.16</v>
      </c>
      <c r="R658" t="s">
        <v>35</v>
      </c>
      <c r="S658" t="s">
        <v>35</v>
      </c>
      <c r="T658" t="s">
        <v>35</v>
      </c>
      <c r="U658" t="s">
        <v>35</v>
      </c>
      <c r="V658" t="s">
        <v>645</v>
      </c>
      <c r="W658" t="s">
        <v>113</v>
      </c>
    </row>
    <row r="659" spans="1:23" hidden="1" x14ac:dyDescent="0.25">
      <c r="A659" s="7" t="str">
        <f>IFERROR(VLOOKUP(H659,'Contas Orç'!A:B,2,0),"N/A")</f>
        <v>REMUNERACOES</v>
      </c>
      <c r="B659" s="7" t="str">
        <f t="shared" si="20"/>
        <v>320101 - REMUNERACOES</v>
      </c>
      <c r="C659" s="25">
        <f t="shared" si="21"/>
        <v>44896</v>
      </c>
      <c r="D659" s="27">
        <f>IF(K659="CREDITO",Q659,Q659*-1)</f>
        <v>268.55</v>
      </c>
      <c r="E659" t="s">
        <v>894</v>
      </c>
      <c r="F659" t="s">
        <v>1152</v>
      </c>
      <c r="G659" s="8">
        <v>44896</v>
      </c>
      <c r="H659" t="s">
        <v>508</v>
      </c>
      <c r="I659" t="s">
        <v>88</v>
      </c>
      <c r="J659" t="s">
        <v>54</v>
      </c>
      <c r="K659" t="s">
        <v>29</v>
      </c>
      <c r="L659" t="s">
        <v>895</v>
      </c>
      <c r="M659" t="s">
        <v>4402</v>
      </c>
      <c r="O659" t="s">
        <v>896</v>
      </c>
      <c r="P659" t="s">
        <v>33</v>
      </c>
      <c r="Q659">
        <v>268.55</v>
      </c>
      <c r="R659" t="s">
        <v>35</v>
      </c>
      <c r="S659" t="s">
        <v>35</v>
      </c>
      <c r="T659" t="s">
        <v>35</v>
      </c>
      <c r="U659" t="s">
        <v>35</v>
      </c>
      <c r="V659" t="s">
        <v>645</v>
      </c>
      <c r="W659" t="s">
        <v>113</v>
      </c>
    </row>
    <row r="660" spans="1:23" hidden="1" x14ac:dyDescent="0.25">
      <c r="A660" s="7" t="str">
        <f>IFERROR(VLOOKUP(H660,'Contas Orç'!A:B,2,0),"N/A")</f>
        <v>ENCARGOS SOCIAIS</v>
      </c>
      <c r="B660" s="7" t="str">
        <f t="shared" si="20"/>
        <v>320102 - ENCARGOS SOCIAIS</v>
      </c>
      <c r="C660" s="25">
        <f t="shared" si="21"/>
        <v>44562</v>
      </c>
      <c r="D660" s="27">
        <f>IF(K660="CREDITO",Q660,Q660*-1)</f>
        <v>107.25</v>
      </c>
      <c r="E660" t="s">
        <v>894</v>
      </c>
      <c r="F660" t="s">
        <v>1153</v>
      </c>
      <c r="G660" s="8">
        <v>44562</v>
      </c>
      <c r="H660" t="s">
        <v>510</v>
      </c>
      <c r="I660" t="s">
        <v>53</v>
      </c>
      <c r="J660" t="s">
        <v>28</v>
      </c>
      <c r="K660" t="s">
        <v>29</v>
      </c>
      <c r="L660" t="s">
        <v>895</v>
      </c>
      <c r="M660" t="s">
        <v>4402</v>
      </c>
      <c r="O660" t="s">
        <v>896</v>
      </c>
      <c r="P660" t="s">
        <v>33</v>
      </c>
      <c r="Q660">
        <v>107.25</v>
      </c>
      <c r="R660" t="s">
        <v>35</v>
      </c>
      <c r="S660" t="s">
        <v>35</v>
      </c>
      <c r="T660" t="s">
        <v>35</v>
      </c>
      <c r="U660" t="s">
        <v>35</v>
      </c>
      <c r="V660" t="s">
        <v>645</v>
      </c>
      <c r="W660" t="s">
        <v>113</v>
      </c>
    </row>
    <row r="661" spans="1:23" hidden="1" x14ac:dyDescent="0.25">
      <c r="A661" s="7" t="str">
        <f>IFERROR(VLOOKUP(H661,'Contas Orç'!A:B,2,0),"N/A")</f>
        <v>ENCARGOS SOCIAIS</v>
      </c>
      <c r="B661" s="7" t="str">
        <f t="shared" si="20"/>
        <v>320102 - ENCARGOS SOCIAIS</v>
      </c>
      <c r="C661" s="25">
        <f t="shared" si="21"/>
        <v>44562</v>
      </c>
      <c r="D661" s="27">
        <f>IF(K661="CREDITO",Q661,Q661*-1)</f>
        <v>9964.65</v>
      </c>
      <c r="E661" t="s">
        <v>894</v>
      </c>
      <c r="F661" t="s">
        <v>1154</v>
      </c>
      <c r="G661" s="8">
        <v>44562</v>
      </c>
      <c r="H661" t="s">
        <v>510</v>
      </c>
      <c r="I661" t="s">
        <v>88</v>
      </c>
      <c r="J661" t="s">
        <v>28</v>
      </c>
      <c r="K661" t="s">
        <v>29</v>
      </c>
      <c r="L661" t="s">
        <v>895</v>
      </c>
      <c r="M661" t="s">
        <v>4402</v>
      </c>
      <c r="O661" t="s">
        <v>896</v>
      </c>
      <c r="P661" t="s">
        <v>33</v>
      </c>
      <c r="Q661" s="22">
        <v>9964.65</v>
      </c>
      <c r="R661" t="s">
        <v>35</v>
      </c>
      <c r="S661" t="s">
        <v>35</v>
      </c>
      <c r="T661" t="s">
        <v>35</v>
      </c>
      <c r="U661" t="s">
        <v>35</v>
      </c>
      <c r="V661" t="s">
        <v>645</v>
      </c>
      <c r="W661" t="s">
        <v>113</v>
      </c>
    </row>
    <row r="662" spans="1:23" hidden="1" x14ac:dyDescent="0.25">
      <c r="A662" s="7" t="str">
        <f>IFERROR(VLOOKUP(H662,'Contas Orç'!A:B,2,0),"N/A")</f>
        <v>ENCARGOS SOCIAIS</v>
      </c>
      <c r="B662" s="7" t="str">
        <f t="shared" si="20"/>
        <v>320102 - ENCARGOS SOCIAIS</v>
      </c>
      <c r="C662" s="25">
        <f t="shared" si="21"/>
        <v>44562</v>
      </c>
      <c r="D662" s="27">
        <f>IF(K662="CREDITO",Q662,Q662*-1)</f>
        <v>35994.49</v>
      </c>
      <c r="E662" t="s">
        <v>894</v>
      </c>
      <c r="F662" t="s">
        <v>1155</v>
      </c>
      <c r="G662" s="8">
        <v>44562</v>
      </c>
      <c r="H662" t="s">
        <v>510</v>
      </c>
      <c r="I662" t="s">
        <v>27</v>
      </c>
      <c r="J662" t="s">
        <v>28</v>
      </c>
      <c r="K662" t="s">
        <v>29</v>
      </c>
      <c r="L662" t="s">
        <v>895</v>
      </c>
      <c r="M662" t="s">
        <v>4402</v>
      </c>
      <c r="O662" t="s">
        <v>896</v>
      </c>
      <c r="P662" t="s">
        <v>33</v>
      </c>
      <c r="Q662" s="22">
        <v>35994.49</v>
      </c>
      <c r="R662" t="s">
        <v>35</v>
      </c>
      <c r="S662" t="s">
        <v>35</v>
      </c>
      <c r="T662" t="s">
        <v>35</v>
      </c>
      <c r="U662" t="s">
        <v>35</v>
      </c>
      <c r="V662" t="s">
        <v>645</v>
      </c>
      <c r="W662" t="s">
        <v>113</v>
      </c>
    </row>
    <row r="663" spans="1:23" hidden="1" x14ac:dyDescent="0.25">
      <c r="A663" s="7" t="str">
        <f>IFERROR(VLOOKUP(H663,'Contas Orç'!A:B,2,0),"N/A")</f>
        <v>ENCARGOS SOCIAIS</v>
      </c>
      <c r="B663" s="7" t="str">
        <f t="shared" si="20"/>
        <v>320102 - ENCARGOS SOCIAIS</v>
      </c>
      <c r="C663" s="25">
        <f t="shared" si="21"/>
        <v>44562</v>
      </c>
      <c r="D663" s="27">
        <f>IF(K663="CREDITO",Q663,Q663*-1)</f>
        <v>1308.72</v>
      </c>
      <c r="E663" t="s">
        <v>894</v>
      </c>
      <c r="F663" t="s">
        <v>1156</v>
      </c>
      <c r="G663" s="8">
        <v>44562</v>
      </c>
      <c r="H663" t="s">
        <v>510</v>
      </c>
      <c r="I663" t="s">
        <v>59</v>
      </c>
      <c r="J663" t="s">
        <v>28</v>
      </c>
      <c r="K663" t="s">
        <v>29</v>
      </c>
      <c r="L663" t="s">
        <v>895</v>
      </c>
      <c r="M663" t="s">
        <v>4402</v>
      </c>
      <c r="O663" t="s">
        <v>896</v>
      </c>
      <c r="P663" t="s">
        <v>33</v>
      </c>
      <c r="Q663" s="22">
        <v>1308.72</v>
      </c>
      <c r="R663" t="s">
        <v>35</v>
      </c>
      <c r="S663" t="s">
        <v>35</v>
      </c>
      <c r="T663" t="s">
        <v>35</v>
      </c>
      <c r="U663" t="s">
        <v>35</v>
      </c>
      <c r="V663" t="s">
        <v>645</v>
      </c>
      <c r="W663" t="s">
        <v>113</v>
      </c>
    </row>
    <row r="664" spans="1:23" hidden="1" x14ac:dyDescent="0.25">
      <c r="A664" s="7" t="str">
        <f>IFERROR(VLOOKUP(H664,'Contas Orç'!A:B,2,0),"N/A")</f>
        <v>ENCARGOS SOCIAIS</v>
      </c>
      <c r="B664" s="7" t="str">
        <f t="shared" si="20"/>
        <v>320102 - ENCARGOS SOCIAIS</v>
      </c>
      <c r="C664" s="25">
        <f t="shared" si="21"/>
        <v>44562</v>
      </c>
      <c r="D664" s="27">
        <f>IF(K664="CREDITO",Q664,Q664*-1)</f>
        <v>16370.45</v>
      </c>
      <c r="E664" t="s">
        <v>894</v>
      </c>
      <c r="F664" t="s">
        <v>1157</v>
      </c>
      <c r="G664" s="8">
        <v>44562</v>
      </c>
      <c r="H664" t="s">
        <v>510</v>
      </c>
      <c r="I664" t="s">
        <v>53</v>
      </c>
      <c r="J664" t="s">
        <v>60</v>
      </c>
      <c r="K664" t="s">
        <v>29</v>
      </c>
      <c r="L664" t="s">
        <v>895</v>
      </c>
      <c r="M664" t="s">
        <v>4402</v>
      </c>
      <c r="O664" t="s">
        <v>896</v>
      </c>
      <c r="P664" t="s">
        <v>33</v>
      </c>
      <c r="Q664" s="22">
        <v>16370.45</v>
      </c>
      <c r="R664" t="s">
        <v>35</v>
      </c>
      <c r="S664" t="s">
        <v>35</v>
      </c>
      <c r="T664" t="s">
        <v>35</v>
      </c>
      <c r="U664" t="s">
        <v>35</v>
      </c>
      <c r="V664" t="s">
        <v>645</v>
      </c>
      <c r="W664" t="s">
        <v>113</v>
      </c>
    </row>
    <row r="665" spans="1:23" hidden="1" x14ac:dyDescent="0.25">
      <c r="A665" s="7" t="str">
        <f>IFERROR(VLOOKUP(H665,'Contas Orç'!A:B,2,0),"N/A")</f>
        <v>ENCARGOS SOCIAIS</v>
      </c>
      <c r="B665" s="7" t="str">
        <f t="shared" si="20"/>
        <v>320102 - ENCARGOS SOCIAIS</v>
      </c>
      <c r="C665" s="25">
        <f t="shared" si="21"/>
        <v>44562</v>
      </c>
      <c r="D665" s="27">
        <f>IF(K665="CREDITO",Q665,Q665*-1)</f>
        <v>49669.33</v>
      </c>
      <c r="E665" t="s">
        <v>894</v>
      </c>
      <c r="F665" t="s">
        <v>1158</v>
      </c>
      <c r="G665" s="8">
        <v>44562</v>
      </c>
      <c r="H665" t="s">
        <v>510</v>
      </c>
      <c r="I665" t="s">
        <v>106</v>
      </c>
      <c r="J665" t="s">
        <v>60</v>
      </c>
      <c r="K665" t="s">
        <v>29</v>
      </c>
      <c r="L665" t="s">
        <v>895</v>
      </c>
      <c r="M665" t="s">
        <v>4402</v>
      </c>
      <c r="O665" t="s">
        <v>896</v>
      </c>
      <c r="P665" t="s">
        <v>33</v>
      </c>
      <c r="Q665" s="22">
        <v>49669.33</v>
      </c>
      <c r="R665" t="s">
        <v>35</v>
      </c>
      <c r="S665" t="s">
        <v>35</v>
      </c>
      <c r="T665" t="s">
        <v>35</v>
      </c>
      <c r="U665" t="s">
        <v>35</v>
      </c>
      <c r="V665" t="s">
        <v>645</v>
      </c>
      <c r="W665" t="s">
        <v>113</v>
      </c>
    </row>
    <row r="666" spans="1:23" hidden="1" x14ac:dyDescent="0.25">
      <c r="A666" s="7" t="str">
        <f>IFERROR(VLOOKUP(H666,'Contas Orç'!A:B,2,0),"N/A")</f>
        <v>ENCARGOS SOCIAIS</v>
      </c>
      <c r="B666" s="7" t="str">
        <f t="shared" si="20"/>
        <v>320102 - ENCARGOS SOCIAIS</v>
      </c>
      <c r="C666" s="25">
        <f t="shared" si="21"/>
        <v>44562</v>
      </c>
      <c r="D666" s="27">
        <f>IF(K666="CREDITO",Q666,Q666*-1)</f>
        <v>265880.93</v>
      </c>
      <c r="E666" t="s">
        <v>894</v>
      </c>
      <c r="F666" t="s">
        <v>1159</v>
      </c>
      <c r="G666" s="8">
        <v>44562</v>
      </c>
      <c r="H666" t="s">
        <v>510</v>
      </c>
      <c r="I666" t="s">
        <v>59</v>
      </c>
      <c r="J666" t="s">
        <v>60</v>
      </c>
      <c r="K666" t="s">
        <v>29</v>
      </c>
      <c r="L666" t="s">
        <v>895</v>
      </c>
      <c r="M666" t="s">
        <v>4402</v>
      </c>
      <c r="O666" t="s">
        <v>896</v>
      </c>
      <c r="P666" t="s">
        <v>33</v>
      </c>
      <c r="Q666" s="22">
        <v>265880.93</v>
      </c>
      <c r="R666" t="s">
        <v>35</v>
      </c>
      <c r="S666" t="s">
        <v>35</v>
      </c>
      <c r="T666" t="s">
        <v>35</v>
      </c>
      <c r="U666" t="s">
        <v>35</v>
      </c>
      <c r="V666" t="s">
        <v>645</v>
      </c>
      <c r="W666" t="s">
        <v>113</v>
      </c>
    </row>
    <row r="667" spans="1:23" hidden="1" x14ac:dyDescent="0.25">
      <c r="A667" s="7" t="str">
        <f>IFERROR(VLOOKUP(H667,'Contas Orç'!A:B,2,0),"N/A")</f>
        <v>ENCARGOS SOCIAIS</v>
      </c>
      <c r="B667" s="7" t="str">
        <f t="shared" si="20"/>
        <v>320102 - ENCARGOS SOCIAIS</v>
      </c>
      <c r="C667" s="25">
        <f t="shared" si="21"/>
        <v>44562</v>
      </c>
      <c r="D667" s="27">
        <f>IF(K667="CREDITO",Q667,Q667*-1)</f>
        <v>3882.27</v>
      </c>
      <c r="E667" t="s">
        <v>894</v>
      </c>
      <c r="F667" t="s">
        <v>1160</v>
      </c>
      <c r="G667" s="8">
        <v>44562</v>
      </c>
      <c r="H667" t="s">
        <v>510</v>
      </c>
      <c r="I667" t="s">
        <v>53</v>
      </c>
      <c r="J667" t="s">
        <v>702</v>
      </c>
      <c r="K667" t="s">
        <v>29</v>
      </c>
      <c r="L667" t="s">
        <v>895</v>
      </c>
      <c r="M667" t="s">
        <v>4402</v>
      </c>
      <c r="O667" t="s">
        <v>896</v>
      </c>
      <c r="P667" t="s">
        <v>33</v>
      </c>
      <c r="Q667" s="22">
        <v>3882.27</v>
      </c>
      <c r="R667" t="s">
        <v>35</v>
      </c>
      <c r="S667" t="s">
        <v>35</v>
      </c>
      <c r="T667" t="s">
        <v>35</v>
      </c>
      <c r="U667" t="s">
        <v>35</v>
      </c>
      <c r="V667" t="s">
        <v>645</v>
      </c>
      <c r="W667" t="s">
        <v>113</v>
      </c>
    </row>
    <row r="668" spans="1:23" hidden="1" x14ac:dyDescent="0.25">
      <c r="A668" s="7" t="str">
        <f>IFERROR(VLOOKUP(H668,'Contas Orç'!A:B,2,0),"N/A")</f>
        <v>ENCARGOS SOCIAIS</v>
      </c>
      <c r="B668" s="7" t="str">
        <f t="shared" si="20"/>
        <v>320102 - ENCARGOS SOCIAIS</v>
      </c>
      <c r="C668" s="25">
        <f t="shared" si="21"/>
        <v>44562</v>
      </c>
      <c r="D668" s="27">
        <f>IF(K668="CREDITO",Q668,Q668*-1)</f>
        <v>19189.490000000002</v>
      </c>
      <c r="E668" t="s">
        <v>894</v>
      </c>
      <c r="F668" t="s">
        <v>1161</v>
      </c>
      <c r="G668" s="8">
        <v>44562</v>
      </c>
      <c r="H668" t="s">
        <v>510</v>
      </c>
      <c r="I668" t="s">
        <v>59</v>
      </c>
      <c r="J668" t="s">
        <v>702</v>
      </c>
      <c r="K668" t="s">
        <v>29</v>
      </c>
      <c r="L668" t="s">
        <v>895</v>
      </c>
      <c r="M668" t="s">
        <v>4402</v>
      </c>
      <c r="O668" t="s">
        <v>896</v>
      </c>
      <c r="P668" t="s">
        <v>33</v>
      </c>
      <c r="Q668" s="22">
        <v>19189.490000000002</v>
      </c>
      <c r="R668" t="s">
        <v>35</v>
      </c>
      <c r="S668" t="s">
        <v>35</v>
      </c>
      <c r="T668" t="s">
        <v>35</v>
      </c>
      <c r="U668" t="s">
        <v>35</v>
      </c>
      <c r="V668" t="s">
        <v>645</v>
      </c>
      <c r="W668" t="s">
        <v>113</v>
      </c>
    </row>
    <row r="669" spans="1:23" hidden="1" x14ac:dyDescent="0.25">
      <c r="A669" s="7" t="str">
        <f>IFERROR(VLOOKUP(H669,'Contas Orç'!A:B,2,0),"N/A")</f>
        <v>ENCARGOS SOCIAIS</v>
      </c>
      <c r="B669" s="7" t="str">
        <f t="shared" si="20"/>
        <v>320102 - ENCARGOS SOCIAIS</v>
      </c>
      <c r="C669" s="25">
        <f t="shared" si="21"/>
        <v>44562</v>
      </c>
      <c r="D669" s="27">
        <f>IF(K669="CREDITO",Q669,Q669*-1)</f>
        <v>4015.74</v>
      </c>
      <c r="E669" t="s">
        <v>894</v>
      </c>
      <c r="F669" t="s">
        <v>1162</v>
      </c>
      <c r="G669" s="8">
        <v>44562</v>
      </c>
      <c r="H669" t="s">
        <v>510</v>
      </c>
      <c r="I669" t="s">
        <v>125</v>
      </c>
      <c r="J669" t="s">
        <v>95</v>
      </c>
      <c r="K669" t="s">
        <v>29</v>
      </c>
      <c r="L669" t="s">
        <v>895</v>
      </c>
      <c r="M669" t="s">
        <v>4402</v>
      </c>
      <c r="O669" t="s">
        <v>896</v>
      </c>
      <c r="P669" t="s">
        <v>33</v>
      </c>
      <c r="Q669" s="22">
        <v>4015.74</v>
      </c>
      <c r="R669" t="s">
        <v>35</v>
      </c>
      <c r="S669" t="s">
        <v>35</v>
      </c>
      <c r="T669" t="s">
        <v>35</v>
      </c>
      <c r="U669" t="s">
        <v>35</v>
      </c>
      <c r="V669" t="s">
        <v>645</v>
      </c>
      <c r="W669" t="s">
        <v>113</v>
      </c>
    </row>
    <row r="670" spans="1:23" hidden="1" x14ac:dyDescent="0.25">
      <c r="A670" s="7" t="str">
        <f>IFERROR(VLOOKUP(H670,'Contas Orç'!A:B,2,0),"N/A")</f>
        <v>ENCARGOS SOCIAIS</v>
      </c>
      <c r="B670" s="7" t="str">
        <f t="shared" si="20"/>
        <v>320102 - ENCARGOS SOCIAIS</v>
      </c>
      <c r="C670" s="25">
        <f t="shared" si="21"/>
        <v>44562</v>
      </c>
      <c r="D670" s="27">
        <f>IF(K670="CREDITO",Q670,Q670*-1)</f>
        <v>10122.93</v>
      </c>
      <c r="E670" t="s">
        <v>894</v>
      </c>
      <c r="F670" t="s">
        <v>1163</v>
      </c>
      <c r="G670" s="8">
        <v>44562</v>
      </c>
      <c r="H670" t="s">
        <v>510</v>
      </c>
      <c r="I670" t="s">
        <v>53</v>
      </c>
      <c r="J670" t="s">
        <v>54</v>
      </c>
      <c r="K670" t="s">
        <v>29</v>
      </c>
      <c r="L670" t="s">
        <v>895</v>
      </c>
      <c r="M670" t="s">
        <v>4402</v>
      </c>
      <c r="O670" t="s">
        <v>896</v>
      </c>
      <c r="P670" t="s">
        <v>33</v>
      </c>
      <c r="Q670" s="22">
        <v>10122.93</v>
      </c>
      <c r="R670" t="s">
        <v>35</v>
      </c>
      <c r="S670" t="s">
        <v>35</v>
      </c>
      <c r="T670" t="s">
        <v>35</v>
      </c>
      <c r="U670" t="s">
        <v>35</v>
      </c>
      <c r="V670" t="s">
        <v>645</v>
      </c>
      <c r="W670" t="s">
        <v>113</v>
      </c>
    </row>
    <row r="671" spans="1:23" hidden="1" x14ac:dyDescent="0.25">
      <c r="A671" s="7" t="str">
        <f>IFERROR(VLOOKUP(H671,'Contas Orç'!A:B,2,0),"N/A")</f>
        <v>ENCARGOS SOCIAIS</v>
      </c>
      <c r="B671" s="7" t="str">
        <f t="shared" si="20"/>
        <v>320102 - ENCARGOS SOCIAIS</v>
      </c>
      <c r="C671" s="25">
        <f t="shared" si="21"/>
        <v>44593</v>
      </c>
      <c r="D671" s="27">
        <f>IF(K671="CREDITO",Q671,Q671*-1)</f>
        <v>95.69</v>
      </c>
      <c r="E671" t="s">
        <v>894</v>
      </c>
      <c r="F671" t="s">
        <v>1164</v>
      </c>
      <c r="G671" s="8">
        <v>44593</v>
      </c>
      <c r="H671" t="s">
        <v>510</v>
      </c>
      <c r="I671" t="s">
        <v>53</v>
      </c>
      <c r="J671" t="s">
        <v>28</v>
      </c>
      <c r="K671" t="s">
        <v>29</v>
      </c>
      <c r="L671" t="s">
        <v>895</v>
      </c>
      <c r="M671" t="s">
        <v>4402</v>
      </c>
      <c r="O671" t="s">
        <v>896</v>
      </c>
      <c r="P671" t="s">
        <v>33</v>
      </c>
      <c r="Q671">
        <v>95.69</v>
      </c>
      <c r="R671" t="s">
        <v>35</v>
      </c>
      <c r="S671" t="s">
        <v>35</v>
      </c>
      <c r="T671" t="s">
        <v>35</v>
      </c>
      <c r="U671" t="s">
        <v>35</v>
      </c>
      <c r="V671" t="s">
        <v>645</v>
      </c>
      <c r="W671" t="s">
        <v>113</v>
      </c>
    </row>
    <row r="672" spans="1:23" hidden="1" x14ac:dyDescent="0.25">
      <c r="A672" s="7" t="str">
        <f>IFERROR(VLOOKUP(H672,'Contas Orç'!A:B,2,0),"N/A")</f>
        <v>ENCARGOS SOCIAIS</v>
      </c>
      <c r="B672" s="7" t="str">
        <f t="shared" si="20"/>
        <v>320102 - ENCARGOS SOCIAIS</v>
      </c>
      <c r="C672" s="25">
        <f t="shared" si="21"/>
        <v>44593</v>
      </c>
      <c r="D672" s="27">
        <f>IF(K672="CREDITO",Q672,Q672*-1)</f>
        <v>10780.29</v>
      </c>
      <c r="E672" t="s">
        <v>894</v>
      </c>
      <c r="F672" t="s">
        <v>1165</v>
      </c>
      <c r="G672" s="8">
        <v>44593</v>
      </c>
      <c r="H672" t="s">
        <v>510</v>
      </c>
      <c r="I672" t="s">
        <v>88</v>
      </c>
      <c r="J672" t="s">
        <v>28</v>
      </c>
      <c r="K672" t="s">
        <v>29</v>
      </c>
      <c r="L672" t="s">
        <v>895</v>
      </c>
      <c r="M672" t="s">
        <v>4402</v>
      </c>
      <c r="O672" t="s">
        <v>896</v>
      </c>
      <c r="P672" t="s">
        <v>33</v>
      </c>
      <c r="Q672" s="22">
        <v>10780.29</v>
      </c>
      <c r="R672" t="s">
        <v>35</v>
      </c>
      <c r="S672" t="s">
        <v>35</v>
      </c>
      <c r="T672" t="s">
        <v>35</v>
      </c>
      <c r="U672" t="s">
        <v>35</v>
      </c>
      <c r="V672" t="s">
        <v>645</v>
      </c>
      <c r="W672" t="s">
        <v>113</v>
      </c>
    </row>
    <row r="673" spans="1:23" hidden="1" x14ac:dyDescent="0.25">
      <c r="A673" s="7" t="str">
        <f>IFERROR(VLOOKUP(H673,'Contas Orç'!A:B,2,0),"N/A")</f>
        <v>ENCARGOS SOCIAIS</v>
      </c>
      <c r="B673" s="7" t="str">
        <f t="shared" si="20"/>
        <v>320102 - ENCARGOS SOCIAIS</v>
      </c>
      <c r="C673" s="25">
        <f t="shared" si="21"/>
        <v>44593</v>
      </c>
      <c r="D673" s="27">
        <f>IF(K673="CREDITO",Q673,Q673*-1)</f>
        <v>16755.43</v>
      </c>
      <c r="E673" t="s">
        <v>894</v>
      </c>
      <c r="F673" t="s">
        <v>1166</v>
      </c>
      <c r="G673" s="8">
        <v>44593</v>
      </c>
      <c r="H673" t="s">
        <v>510</v>
      </c>
      <c r="I673" t="s">
        <v>27</v>
      </c>
      <c r="J673" t="s">
        <v>28</v>
      </c>
      <c r="K673" t="s">
        <v>29</v>
      </c>
      <c r="L673" t="s">
        <v>895</v>
      </c>
      <c r="M673" t="s">
        <v>4402</v>
      </c>
      <c r="O673" t="s">
        <v>896</v>
      </c>
      <c r="P673" t="s">
        <v>33</v>
      </c>
      <c r="Q673" s="22">
        <v>16755.43</v>
      </c>
      <c r="R673" t="s">
        <v>35</v>
      </c>
      <c r="S673" t="s">
        <v>35</v>
      </c>
      <c r="T673" t="s">
        <v>35</v>
      </c>
      <c r="U673" t="s">
        <v>35</v>
      </c>
      <c r="V673" t="s">
        <v>645</v>
      </c>
      <c r="W673" t="s">
        <v>113</v>
      </c>
    </row>
    <row r="674" spans="1:23" hidden="1" x14ac:dyDescent="0.25">
      <c r="A674" s="7" t="str">
        <f>IFERROR(VLOOKUP(H674,'Contas Orç'!A:B,2,0),"N/A")</f>
        <v>ENCARGOS SOCIAIS</v>
      </c>
      <c r="B674" s="7" t="str">
        <f t="shared" si="20"/>
        <v>320102 - ENCARGOS SOCIAIS</v>
      </c>
      <c r="C674" s="25">
        <f t="shared" si="21"/>
        <v>44593</v>
      </c>
      <c r="D674" s="27">
        <f>IF(K674="CREDITO",Q674,Q674*-1)</f>
        <v>769.03</v>
      </c>
      <c r="E674" t="s">
        <v>894</v>
      </c>
      <c r="F674" t="s">
        <v>1167</v>
      </c>
      <c r="G674" s="8">
        <v>44593</v>
      </c>
      <c r="H674" t="s">
        <v>510</v>
      </c>
      <c r="I674" t="s">
        <v>59</v>
      </c>
      <c r="J674" t="s">
        <v>28</v>
      </c>
      <c r="K674" t="s">
        <v>29</v>
      </c>
      <c r="L674" t="s">
        <v>895</v>
      </c>
      <c r="M674" t="s">
        <v>4402</v>
      </c>
      <c r="O674" t="s">
        <v>896</v>
      </c>
      <c r="P674" t="s">
        <v>33</v>
      </c>
      <c r="Q674">
        <v>769.03</v>
      </c>
      <c r="R674" t="s">
        <v>35</v>
      </c>
      <c r="S674" t="s">
        <v>35</v>
      </c>
      <c r="T674" t="s">
        <v>35</v>
      </c>
      <c r="U674" t="s">
        <v>35</v>
      </c>
      <c r="V674" t="s">
        <v>645</v>
      </c>
      <c r="W674" t="s">
        <v>113</v>
      </c>
    </row>
    <row r="675" spans="1:23" hidden="1" x14ac:dyDescent="0.25">
      <c r="A675" s="7" t="str">
        <f>IFERROR(VLOOKUP(H675,'Contas Orç'!A:B,2,0),"N/A")</f>
        <v>ENCARGOS SOCIAIS</v>
      </c>
      <c r="B675" s="7" t="str">
        <f t="shared" si="20"/>
        <v>320102 - ENCARGOS SOCIAIS</v>
      </c>
      <c r="C675" s="25">
        <f t="shared" si="21"/>
        <v>44593</v>
      </c>
      <c r="D675" s="27">
        <f>IF(K675="CREDITO",Q675,Q675*-1)</f>
        <v>6408.15</v>
      </c>
      <c r="E675" t="s">
        <v>894</v>
      </c>
      <c r="F675" t="s">
        <v>1168</v>
      </c>
      <c r="G675" s="8">
        <v>44593</v>
      </c>
      <c r="H675" t="s">
        <v>510</v>
      </c>
      <c r="I675" t="s">
        <v>53</v>
      </c>
      <c r="J675" t="s">
        <v>60</v>
      </c>
      <c r="K675" t="s">
        <v>29</v>
      </c>
      <c r="L675" t="s">
        <v>895</v>
      </c>
      <c r="M675" t="s">
        <v>4402</v>
      </c>
      <c r="O675" t="s">
        <v>896</v>
      </c>
      <c r="P675" t="s">
        <v>33</v>
      </c>
      <c r="Q675" s="22">
        <v>6408.15</v>
      </c>
      <c r="R675" t="s">
        <v>35</v>
      </c>
      <c r="S675" t="s">
        <v>35</v>
      </c>
      <c r="T675" t="s">
        <v>35</v>
      </c>
      <c r="U675" t="s">
        <v>35</v>
      </c>
      <c r="V675" t="s">
        <v>645</v>
      </c>
      <c r="W675" t="s">
        <v>113</v>
      </c>
    </row>
    <row r="676" spans="1:23" hidden="1" x14ac:dyDescent="0.25">
      <c r="A676" s="7" t="str">
        <f>IFERROR(VLOOKUP(H676,'Contas Orç'!A:B,2,0),"N/A")</f>
        <v>ENCARGOS SOCIAIS</v>
      </c>
      <c r="B676" s="7" t="str">
        <f t="shared" si="20"/>
        <v>320102 - ENCARGOS SOCIAIS</v>
      </c>
      <c r="C676" s="25">
        <f t="shared" si="21"/>
        <v>44593</v>
      </c>
      <c r="D676" s="27">
        <f>IF(K676="CREDITO",Q676,Q676*-1)</f>
        <v>24397.84</v>
      </c>
      <c r="E676" t="s">
        <v>894</v>
      </c>
      <c r="F676" t="s">
        <v>1169</v>
      </c>
      <c r="G676" s="8">
        <v>44593</v>
      </c>
      <c r="H676" t="s">
        <v>510</v>
      </c>
      <c r="I676" t="s">
        <v>106</v>
      </c>
      <c r="J676" t="s">
        <v>60</v>
      </c>
      <c r="K676" t="s">
        <v>29</v>
      </c>
      <c r="L676" t="s">
        <v>895</v>
      </c>
      <c r="M676" t="s">
        <v>4402</v>
      </c>
      <c r="O676" t="s">
        <v>896</v>
      </c>
      <c r="P676" t="s">
        <v>33</v>
      </c>
      <c r="Q676" s="22">
        <v>24397.84</v>
      </c>
      <c r="R676" t="s">
        <v>35</v>
      </c>
      <c r="S676" t="s">
        <v>35</v>
      </c>
      <c r="T676" t="s">
        <v>35</v>
      </c>
      <c r="U676" t="s">
        <v>35</v>
      </c>
      <c r="V676" t="s">
        <v>645</v>
      </c>
      <c r="W676" t="s">
        <v>113</v>
      </c>
    </row>
    <row r="677" spans="1:23" hidden="1" x14ac:dyDescent="0.25">
      <c r="A677" s="7" t="str">
        <f>IFERROR(VLOOKUP(H677,'Contas Orç'!A:B,2,0),"N/A")</f>
        <v>ENCARGOS SOCIAIS</v>
      </c>
      <c r="B677" s="7" t="str">
        <f t="shared" si="20"/>
        <v>320102 - ENCARGOS SOCIAIS</v>
      </c>
      <c r="C677" s="25">
        <f t="shared" si="21"/>
        <v>44593</v>
      </c>
      <c r="D677" s="27">
        <f>IF(K677="CREDITO",Q677,Q677*-1)</f>
        <v>126857.48</v>
      </c>
      <c r="E677" t="s">
        <v>894</v>
      </c>
      <c r="F677" t="s">
        <v>1170</v>
      </c>
      <c r="G677" s="8">
        <v>44593</v>
      </c>
      <c r="H677" t="s">
        <v>510</v>
      </c>
      <c r="I677" t="s">
        <v>59</v>
      </c>
      <c r="J677" t="s">
        <v>60</v>
      </c>
      <c r="K677" t="s">
        <v>29</v>
      </c>
      <c r="L677" t="s">
        <v>895</v>
      </c>
      <c r="M677" t="s">
        <v>4402</v>
      </c>
      <c r="O677" t="s">
        <v>896</v>
      </c>
      <c r="P677" t="s">
        <v>33</v>
      </c>
      <c r="Q677" s="22">
        <v>126857.48</v>
      </c>
      <c r="R677" t="s">
        <v>35</v>
      </c>
      <c r="S677" t="s">
        <v>35</v>
      </c>
      <c r="T677" t="s">
        <v>35</v>
      </c>
      <c r="U677" t="s">
        <v>35</v>
      </c>
      <c r="V677" t="s">
        <v>645</v>
      </c>
      <c r="W677" t="s">
        <v>113</v>
      </c>
    </row>
    <row r="678" spans="1:23" hidden="1" x14ac:dyDescent="0.25">
      <c r="A678" s="7" t="str">
        <f>IFERROR(VLOOKUP(H678,'Contas Orç'!A:B,2,0),"N/A")</f>
        <v>ENCARGOS SOCIAIS</v>
      </c>
      <c r="B678" s="7" t="str">
        <f t="shared" si="20"/>
        <v>320102 - ENCARGOS SOCIAIS</v>
      </c>
      <c r="C678" s="25">
        <f t="shared" si="21"/>
        <v>44593</v>
      </c>
      <c r="D678" s="27">
        <f>IF(K678="CREDITO",Q678,Q678*-1)</f>
        <v>1918.81</v>
      </c>
      <c r="E678" t="s">
        <v>894</v>
      </c>
      <c r="F678" t="s">
        <v>1171</v>
      </c>
      <c r="G678" s="8">
        <v>44593</v>
      </c>
      <c r="H678" t="s">
        <v>510</v>
      </c>
      <c r="I678" t="s">
        <v>53</v>
      </c>
      <c r="J678" t="s">
        <v>702</v>
      </c>
      <c r="K678" t="s">
        <v>29</v>
      </c>
      <c r="L678" t="s">
        <v>895</v>
      </c>
      <c r="M678" t="s">
        <v>4402</v>
      </c>
      <c r="O678" t="s">
        <v>896</v>
      </c>
      <c r="P678" t="s">
        <v>33</v>
      </c>
      <c r="Q678" s="22">
        <v>1918.81</v>
      </c>
      <c r="R678" t="s">
        <v>35</v>
      </c>
      <c r="S678" t="s">
        <v>35</v>
      </c>
      <c r="T678" t="s">
        <v>35</v>
      </c>
      <c r="U678" t="s">
        <v>35</v>
      </c>
      <c r="V678" t="s">
        <v>645</v>
      </c>
      <c r="W678" t="s">
        <v>113</v>
      </c>
    </row>
    <row r="679" spans="1:23" hidden="1" x14ac:dyDescent="0.25">
      <c r="A679" s="7" t="str">
        <f>IFERROR(VLOOKUP(H679,'Contas Orç'!A:B,2,0),"N/A")</f>
        <v>ENCARGOS SOCIAIS</v>
      </c>
      <c r="B679" s="7" t="str">
        <f t="shared" si="20"/>
        <v>320102 - ENCARGOS SOCIAIS</v>
      </c>
      <c r="C679" s="25">
        <f t="shared" si="21"/>
        <v>44593</v>
      </c>
      <c r="D679" s="27">
        <f>IF(K679="CREDITO",Q679,Q679*-1)</f>
        <v>8647.9599999999991</v>
      </c>
      <c r="E679" t="s">
        <v>894</v>
      </c>
      <c r="F679" t="s">
        <v>1172</v>
      </c>
      <c r="G679" s="8">
        <v>44593</v>
      </c>
      <c r="H679" t="s">
        <v>510</v>
      </c>
      <c r="I679" t="s">
        <v>59</v>
      </c>
      <c r="J679" t="s">
        <v>702</v>
      </c>
      <c r="K679" t="s">
        <v>29</v>
      </c>
      <c r="L679" t="s">
        <v>895</v>
      </c>
      <c r="M679" t="s">
        <v>4402</v>
      </c>
      <c r="O679" t="s">
        <v>896</v>
      </c>
      <c r="P679" t="s">
        <v>33</v>
      </c>
      <c r="Q679" s="22">
        <v>8647.9599999999991</v>
      </c>
      <c r="R679" t="s">
        <v>35</v>
      </c>
      <c r="S679" t="s">
        <v>35</v>
      </c>
      <c r="T679" t="s">
        <v>35</v>
      </c>
      <c r="U679" t="s">
        <v>35</v>
      </c>
      <c r="V679" t="s">
        <v>645</v>
      </c>
      <c r="W679" t="s">
        <v>113</v>
      </c>
    </row>
    <row r="680" spans="1:23" hidden="1" x14ac:dyDescent="0.25">
      <c r="A680" s="7" t="str">
        <f>IFERROR(VLOOKUP(H680,'Contas Orç'!A:B,2,0),"N/A")</f>
        <v>ENCARGOS SOCIAIS</v>
      </c>
      <c r="B680" s="7" t="str">
        <f t="shared" si="20"/>
        <v>320102 - ENCARGOS SOCIAIS</v>
      </c>
      <c r="C680" s="25">
        <f t="shared" si="21"/>
        <v>44593</v>
      </c>
      <c r="D680" s="27">
        <f>IF(K680="CREDITO",Q680,Q680*-1)</f>
        <v>4069.77</v>
      </c>
      <c r="E680" t="s">
        <v>894</v>
      </c>
      <c r="F680" t="s">
        <v>1173</v>
      </c>
      <c r="G680" s="8">
        <v>44593</v>
      </c>
      <c r="H680" t="s">
        <v>510</v>
      </c>
      <c r="I680" t="s">
        <v>125</v>
      </c>
      <c r="J680" t="s">
        <v>95</v>
      </c>
      <c r="K680" t="s">
        <v>29</v>
      </c>
      <c r="L680" t="s">
        <v>895</v>
      </c>
      <c r="M680" t="s">
        <v>4402</v>
      </c>
      <c r="O680" t="s">
        <v>896</v>
      </c>
      <c r="P680" t="s">
        <v>33</v>
      </c>
      <c r="Q680" s="22">
        <v>4069.77</v>
      </c>
      <c r="R680" t="s">
        <v>35</v>
      </c>
      <c r="S680" t="s">
        <v>35</v>
      </c>
      <c r="T680" t="s">
        <v>35</v>
      </c>
      <c r="U680" t="s">
        <v>35</v>
      </c>
      <c r="V680" t="s">
        <v>645</v>
      </c>
      <c r="W680" t="s">
        <v>113</v>
      </c>
    </row>
    <row r="681" spans="1:23" hidden="1" x14ac:dyDescent="0.25">
      <c r="A681" s="7" t="str">
        <f>IFERROR(VLOOKUP(H681,'Contas Orç'!A:B,2,0),"N/A")</f>
        <v>ENCARGOS SOCIAIS</v>
      </c>
      <c r="B681" s="7" t="str">
        <f t="shared" si="20"/>
        <v>320102 - ENCARGOS SOCIAIS</v>
      </c>
      <c r="C681" s="25">
        <f t="shared" si="21"/>
        <v>44593</v>
      </c>
      <c r="D681" s="27">
        <f>IF(K681="CREDITO",Q681,Q681*-1)</f>
        <v>9627.57</v>
      </c>
      <c r="E681" t="s">
        <v>894</v>
      </c>
      <c r="F681" t="s">
        <v>1174</v>
      </c>
      <c r="G681" s="8">
        <v>44593</v>
      </c>
      <c r="H681" t="s">
        <v>510</v>
      </c>
      <c r="I681" t="s">
        <v>53</v>
      </c>
      <c r="J681" t="s">
        <v>54</v>
      </c>
      <c r="K681" t="s">
        <v>29</v>
      </c>
      <c r="L681" t="s">
        <v>895</v>
      </c>
      <c r="M681" t="s">
        <v>4402</v>
      </c>
      <c r="O681" t="s">
        <v>896</v>
      </c>
      <c r="P681" t="s">
        <v>33</v>
      </c>
      <c r="Q681" s="22">
        <v>9627.57</v>
      </c>
      <c r="R681" t="s">
        <v>35</v>
      </c>
      <c r="S681" t="s">
        <v>35</v>
      </c>
      <c r="T681" t="s">
        <v>35</v>
      </c>
      <c r="U681" t="s">
        <v>35</v>
      </c>
      <c r="V681" t="s">
        <v>645</v>
      </c>
      <c r="W681" t="s">
        <v>113</v>
      </c>
    </row>
    <row r="682" spans="1:23" hidden="1" x14ac:dyDescent="0.25">
      <c r="A682" s="7" t="str">
        <f>IFERROR(VLOOKUP(H682,'Contas Orç'!A:B,2,0),"N/A")</f>
        <v>ENCARGOS SOCIAIS</v>
      </c>
      <c r="B682" s="7" t="str">
        <f t="shared" si="20"/>
        <v>320102 - ENCARGOS SOCIAIS</v>
      </c>
      <c r="C682" s="25">
        <f t="shared" si="21"/>
        <v>44621</v>
      </c>
      <c r="D682" s="27">
        <f>IF(K682="CREDITO",Q682,Q682*-1)</f>
        <v>135.88</v>
      </c>
      <c r="E682" t="s">
        <v>894</v>
      </c>
      <c r="F682" t="s">
        <v>1175</v>
      </c>
      <c r="G682" s="8">
        <v>44621</v>
      </c>
      <c r="H682" t="s">
        <v>510</v>
      </c>
      <c r="I682" t="s">
        <v>53</v>
      </c>
      <c r="J682" t="s">
        <v>28</v>
      </c>
      <c r="K682" t="s">
        <v>29</v>
      </c>
      <c r="L682" t="s">
        <v>895</v>
      </c>
      <c r="M682" t="s">
        <v>4402</v>
      </c>
      <c r="O682" t="s">
        <v>896</v>
      </c>
      <c r="P682" t="s">
        <v>33</v>
      </c>
      <c r="Q682">
        <v>135.88</v>
      </c>
      <c r="R682" t="s">
        <v>35</v>
      </c>
      <c r="S682" t="s">
        <v>35</v>
      </c>
      <c r="T682" t="s">
        <v>35</v>
      </c>
      <c r="U682" t="s">
        <v>35</v>
      </c>
      <c r="V682" t="s">
        <v>645</v>
      </c>
      <c r="W682" t="s">
        <v>113</v>
      </c>
    </row>
    <row r="683" spans="1:23" hidden="1" x14ac:dyDescent="0.25">
      <c r="A683" s="7" t="str">
        <f>IFERROR(VLOOKUP(H683,'Contas Orç'!A:B,2,0),"N/A")</f>
        <v>ENCARGOS SOCIAIS</v>
      </c>
      <c r="B683" s="7" t="str">
        <f t="shared" si="20"/>
        <v>320102 - ENCARGOS SOCIAIS</v>
      </c>
      <c r="C683" s="25">
        <f t="shared" si="21"/>
        <v>44621</v>
      </c>
      <c r="D683" s="27">
        <f>IF(K683="CREDITO",Q683,Q683*-1)</f>
        <v>9753.0400000000009</v>
      </c>
      <c r="E683" t="s">
        <v>894</v>
      </c>
      <c r="F683" t="s">
        <v>1176</v>
      </c>
      <c r="G683" s="8">
        <v>44621</v>
      </c>
      <c r="H683" t="s">
        <v>510</v>
      </c>
      <c r="I683" t="s">
        <v>88</v>
      </c>
      <c r="J683" t="s">
        <v>28</v>
      </c>
      <c r="K683" t="s">
        <v>29</v>
      </c>
      <c r="L683" t="s">
        <v>895</v>
      </c>
      <c r="M683" t="s">
        <v>4402</v>
      </c>
      <c r="O683" t="s">
        <v>896</v>
      </c>
      <c r="P683" t="s">
        <v>33</v>
      </c>
      <c r="Q683" s="22">
        <v>9753.0400000000009</v>
      </c>
      <c r="R683" t="s">
        <v>35</v>
      </c>
      <c r="S683" t="s">
        <v>35</v>
      </c>
      <c r="T683" t="s">
        <v>35</v>
      </c>
      <c r="U683" t="s">
        <v>35</v>
      </c>
      <c r="V683" t="s">
        <v>645</v>
      </c>
      <c r="W683" t="s">
        <v>113</v>
      </c>
    </row>
    <row r="684" spans="1:23" hidden="1" x14ac:dyDescent="0.25">
      <c r="A684" s="7" t="str">
        <f>IFERROR(VLOOKUP(H684,'Contas Orç'!A:B,2,0),"N/A")</f>
        <v>ENCARGOS SOCIAIS</v>
      </c>
      <c r="B684" s="7" t="str">
        <f t="shared" si="20"/>
        <v>320102 - ENCARGOS SOCIAIS</v>
      </c>
      <c r="C684" s="25">
        <f t="shared" si="21"/>
        <v>44621</v>
      </c>
      <c r="D684" s="27">
        <f>IF(K684="CREDITO",Q684,Q684*-1)</f>
        <v>14580.92</v>
      </c>
      <c r="E684" t="s">
        <v>894</v>
      </c>
      <c r="F684" t="s">
        <v>1177</v>
      </c>
      <c r="G684" s="8">
        <v>44621</v>
      </c>
      <c r="H684" t="s">
        <v>510</v>
      </c>
      <c r="I684" t="s">
        <v>27</v>
      </c>
      <c r="J684" t="s">
        <v>28</v>
      </c>
      <c r="K684" t="s">
        <v>29</v>
      </c>
      <c r="L684" t="s">
        <v>895</v>
      </c>
      <c r="M684" t="s">
        <v>4402</v>
      </c>
      <c r="O684" t="s">
        <v>896</v>
      </c>
      <c r="P684" t="s">
        <v>33</v>
      </c>
      <c r="Q684" s="22">
        <v>14580.92</v>
      </c>
      <c r="R684" t="s">
        <v>35</v>
      </c>
      <c r="S684" t="s">
        <v>35</v>
      </c>
      <c r="T684" t="s">
        <v>35</v>
      </c>
      <c r="U684" t="s">
        <v>35</v>
      </c>
      <c r="V684" t="s">
        <v>645</v>
      </c>
      <c r="W684" t="s">
        <v>113</v>
      </c>
    </row>
    <row r="685" spans="1:23" hidden="1" x14ac:dyDescent="0.25">
      <c r="A685" s="7" t="str">
        <f>IFERROR(VLOOKUP(H685,'Contas Orç'!A:B,2,0),"N/A")</f>
        <v>ENCARGOS SOCIAIS</v>
      </c>
      <c r="B685" s="7" t="str">
        <f t="shared" si="20"/>
        <v>320102 - ENCARGOS SOCIAIS</v>
      </c>
      <c r="C685" s="25">
        <f t="shared" si="21"/>
        <v>44621</v>
      </c>
      <c r="D685" s="27">
        <f>IF(K685="CREDITO",Q685,Q685*-1)</f>
        <v>723.81</v>
      </c>
      <c r="E685" t="s">
        <v>894</v>
      </c>
      <c r="F685" t="s">
        <v>1178</v>
      </c>
      <c r="G685" s="8">
        <v>44621</v>
      </c>
      <c r="H685" t="s">
        <v>510</v>
      </c>
      <c r="I685" t="s">
        <v>59</v>
      </c>
      <c r="J685" t="s">
        <v>28</v>
      </c>
      <c r="K685" t="s">
        <v>29</v>
      </c>
      <c r="L685" t="s">
        <v>895</v>
      </c>
      <c r="M685" t="s">
        <v>4402</v>
      </c>
      <c r="O685" t="s">
        <v>896</v>
      </c>
      <c r="P685" t="s">
        <v>33</v>
      </c>
      <c r="Q685">
        <v>723.81</v>
      </c>
      <c r="R685" t="s">
        <v>35</v>
      </c>
      <c r="S685" t="s">
        <v>35</v>
      </c>
      <c r="T685" t="s">
        <v>35</v>
      </c>
      <c r="U685" t="s">
        <v>35</v>
      </c>
      <c r="V685" t="s">
        <v>645</v>
      </c>
      <c r="W685" t="s">
        <v>113</v>
      </c>
    </row>
    <row r="686" spans="1:23" hidden="1" x14ac:dyDescent="0.25">
      <c r="A686" s="7" t="str">
        <f>IFERROR(VLOOKUP(H686,'Contas Orç'!A:B,2,0),"N/A")</f>
        <v>ENCARGOS SOCIAIS</v>
      </c>
      <c r="B686" s="7" t="str">
        <f t="shared" si="20"/>
        <v>320102 - ENCARGOS SOCIAIS</v>
      </c>
      <c r="C686" s="25">
        <f t="shared" si="21"/>
        <v>44621</v>
      </c>
      <c r="D686" s="27">
        <f>IF(K686="CREDITO",Q686,Q686*-1)</f>
        <v>6436.93</v>
      </c>
      <c r="E686" t="s">
        <v>894</v>
      </c>
      <c r="F686" t="s">
        <v>1179</v>
      </c>
      <c r="G686" s="8">
        <v>44621</v>
      </c>
      <c r="H686" t="s">
        <v>510</v>
      </c>
      <c r="I686" t="s">
        <v>53</v>
      </c>
      <c r="J686" t="s">
        <v>60</v>
      </c>
      <c r="K686" t="s">
        <v>29</v>
      </c>
      <c r="L686" t="s">
        <v>895</v>
      </c>
      <c r="M686" t="s">
        <v>4402</v>
      </c>
      <c r="O686" t="s">
        <v>896</v>
      </c>
      <c r="P686" t="s">
        <v>33</v>
      </c>
      <c r="Q686" s="22">
        <v>6436.93</v>
      </c>
      <c r="R686" t="s">
        <v>35</v>
      </c>
      <c r="S686" t="s">
        <v>35</v>
      </c>
      <c r="T686" t="s">
        <v>35</v>
      </c>
      <c r="U686" t="s">
        <v>35</v>
      </c>
      <c r="V686" t="s">
        <v>645</v>
      </c>
      <c r="W686" t="s">
        <v>113</v>
      </c>
    </row>
    <row r="687" spans="1:23" hidden="1" x14ac:dyDescent="0.25">
      <c r="A687" s="7" t="str">
        <f>IFERROR(VLOOKUP(H687,'Contas Orç'!A:B,2,0),"N/A")</f>
        <v>ENCARGOS SOCIAIS</v>
      </c>
      <c r="B687" s="7" t="str">
        <f t="shared" si="20"/>
        <v>320102 - ENCARGOS SOCIAIS</v>
      </c>
      <c r="C687" s="25">
        <f t="shared" si="21"/>
        <v>44621</v>
      </c>
      <c r="D687" s="27">
        <f>IF(K687="CREDITO",Q687,Q687*-1)</f>
        <v>25476.31</v>
      </c>
      <c r="E687" t="s">
        <v>894</v>
      </c>
      <c r="F687" t="s">
        <v>1180</v>
      </c>
      <c r="G687" s="8">
        <v>44621</v>
      </c>
      <c r="H687" t="s">
        <v>510</v>
      </c>
      <c r="I687" t="s">
        <v>106</v>
      </c>
      <c r="J687" t="s">
        <v>60</v>
      </c>
      <c r="K687" t="s">
        <v>29</v>
      </c>
      <c r="L687" t="s">
        <v>895</v>
      </c>
      <c r="M687" t="s">
        <v>4402</v>
      </c>
      <c r="O687" t="s">
        <v>896</v>
      </c>
      <c r="P687" t="s">
        <v>33</v>
      </c>
      <c r="Q687" s="22">
        <v>25476.31</v>
      </c>
      <c r="R687" t="s">
        <v>35</v>
      </c>
      <c r="S687" t="s">
        <v>35</v>
      </c>
      <c r="T687" t="s">
        <v>35</v>
      </c>
      <c r="U687" t="s">
        <v>35</v>
      </c>
      <c r="V687" t="s">
        <v>645</v>
      </c>
      <c r="W687" t="s">
        <v>113</v>
      </c>
    </row>
    <row r="688" spans="1:23" hidden="1" x14ac:dyDescent="0.25">
      <c r="A688" s="7" t="str">
        <f>IFERROR(VLOOKUP(H688,'Contas Orç'!A:B,2,0),"N/A")</f>
        <v>ENCARGOS SOCIAIS</v>
      </c>
      <c r="B688" s="7" t="str">
        <f t="shared" si="20"/>
        <v>320102 - ENCARGOS SOCIAIS</v>
      </c>
      <c r="C688" s="25">
        <f t="shared" si="21"/>
        <v>44621</v>
      </c>
      <c r="D688" s="27">
        <f>IF(K688="CREDITO",Q688,Q688*-1)</f>
        <v>129674.91</v>
      </c>
      <c r="E688" t="s">
        <v>894</v>
      </c>
      <c r="F688" t="s">
        <v>1181</v>
      </c>
      <c r="G688" s="8">
        <v>44621</v>
      </c>
      <c r="H688" t="s">
        <v>510</v>
      </c>
      <c r="I688" t="s">
        <v>59</v>
      </c>
      <c r="J688" t="s">
        <v>60</v>
      </c>
      <c r="K688" t="s">
        <v>29</v>
      </c>
      <c r="L688" t="s">
        <v>895</v>
      </c>
      <c r="M688" t="s">
        <v>4402</v>
      </c>
      <c r="O688" t="s">
        <v>896</v>
      </c>
      <c r="P688" t="s">
        <v>33</v>
      </c>
      <c r="Q688" s="22">
        <v>129674.91</v>
      </c>
      <c r="R688" t="s">
        <v>35</v>
      </c>
      <c r="S688" t="s">
        <v>35</v>
      </c>
      <c r="T688" t="s">
        <v>35</v>
      </c>
      <c r="U688" t="s">
        <v>35</v>
      </c>
      <c r="V688" t="s">
        <v>645</v>
      </c>
      <c r="W688" t="s">
        <v>113</v>
      </c>
    </row>
    <row r="689" spans="1:23" hidden="1" x14ac:dyDescent="0.25">
      <c r="A689" s="7" t="str">
        <f>IFERROR(VLOOKUP(H689,'Contas Orç'!A:B,2,0),"N/A")</f>
        <v>ENCARGOS SOCIAIS</v>
      </c>
      <c r="B689" s="7" t="str">
        <f t="shared" si="20"/>
        <v>320102 - ENCARGOS SOCIAIS</v>
      </c>
      <c r="C689" s="25">
        <f t="shared" si="21"/>
        <v>44621</v>
      </c>
      <c r="D689" s="27">
        <f>IF(K689="CREDITO",Q689,Q689*-1)</f>
        <v>2097.33</v>
      </c>
      <c r="E689" t="s">
        <v>894</v>
      </c>
      <c r="F689" t="s">
        <v>1182</v>
      </c>
      <c r="G689" s="8">
        <v>44621</v>
      </c>
      <c r="H689" t="s">
        <v>510</v>
      </c>
      <c r="I689" t="s">
        <v>53</v>
      </c>
      <c r="J689" t="s">
        <v>702</v>
      </c>
      <c r="K689" t="s">
        <v>29</v>
      </c>
      <c r="L689" t="s">
        <v>895</v>
      </c>
      <c r="M689" t="s">
        <v>4402</v>
      </c>
      <c r="O689" t="s">
        <v>896</v>
      </c>
      <c r="P689" t="s">
        <v>33</v>
      </c>
      <c r="Q689" s="22">
        <v>2097.33</v>
      </c>
      <c r="R689" t="s">
        <v>35</v>
      </c>
      <c r="S689" t="s">
        <v>35</v>
      </c>
      <c r="T689" t="s">
        <v>35</v>
      </c>
      <c r="U689" t="s">
        <v>35</v>
      </c>
      <c r="V689" t="s">
        <v>645</v>
      </c>
      <c r="W689" t="s">
        <v>113</v>
      </c>
    </row>
    <row r="690" spans="1:23" hidden="1" x14ac:dyDescent="0.25">
      <c r="A690" s="7" t="str">
        <f>IFERROR(VLOOKUP(H690,'Contas Orç'!A:B,2,0),"N/A")</f>
        <v>ENCARGOS SOCIAIS</v>
      </c>
      <c r="B690" s="7" t="str">
        <f t="shared" si="20"/>
        <v>320102 - ENCARGOS SOCIAIS</v>
      </c>
      <c r="C690" s="25">
        <f t="shared" si="21"/>
        <v>44621</v>
      </c>
      <c r="D690" s="27">
        <f>IF(K690="CREDITO",Q690,Q690*-1)</f>
        <v>8695.09</v>
      </c>
      <c r="E690" t="s">
        <v>894</v>
      </c>
      <c r="F690" t="s">
        <v>1183</v>
      </c>
      <c r="G690" s="8">
        <v>44621</v>
      </c>
      <c r="H690" t="s">
        <v>510</v>
      </c>
      <c r="I690" t="s">
        <v>59</v>
      </c>
      <c r="J690" t="s">
        <v>702</v>
      </c>
      <c r="K690" t="s">
        <v>29</v>
      </c>
      <c r="L690" t="s">
        <v>895</v>
      </c>
      <c r="M690" t="s">
        <v>4402</v>
      </c>
      <c r="O690" t="s">
        <v>896</v>
      </c>
      <c r="P690" t="s">
        <v>33</v>
      </c>
      <c r="Q690" s="22">
        <v>8695.09</v>
      </c>
      <c r="R690" t="s">
        <v>35</v>
      </c>
      <c r="S690" t="s">
        <v>35</v>
      </c>
      <c r="T690" t="s">
        <v>35</v>
      </c>
      <c r="U690" t="s">
        <v>35</v>
      </c>
      <c r="V690" t="s">
        <v>645</v>
      </c>
      <c r="W690" t="s">
        <v>113</v>
      </c>
    </row>
    <row r="691" spans="1:23" hidden="1" x14ac:dyDescent="0.25">
      <c r="A691" s="7" t="str">
        <f>IFERROR(VLOOKUP(H691,'Contas Orç'!A:B,2,0),"N/A")</f>
        <v>ENCARGOS SOCIAIS</v>
      </c>
      <c r="B691" s="7" t="str">
        <f t="shared" si="20"/>
        <v>320102 - ENCARGOS SOCIAIS</v>
      </c>
      <c r="C691" s="25">
        <f t="shared" si="21"/>
        <v>44621</v>
      </c>
      <c r="D691" s="27">
        <f>IF(K691="CREDITO",Q691,Q691*-1)</f>
        <v>3985.81</v>
      </c>
      <c r="E691" t="s">
        <v>894</v>
      </c>
      <c r="F691" t="s">
        <v>1184</v>
      </c>
      <c r="G691" s="8">
        <v>44621</v>
      </c>
      <c r="H691" t="s">
        <v>510</v>
      </c>
      <c r="I691" t="s">
        <v>125</v>
      </c>
      <c r="J691" t="s">
        <v>95</v>
      </c>
      <c r="K691" t="s">
        <v>29</v>
      </c>
      <c r="L691" t="s">
        <v>895</v>
      </c>
      <c r="M691" t="s">
        <v>4402</v>
      </c>
      <c r="O691" t="s">
        <v>896</v>
      </c>
      <c r="P691" t="s">
        <v>33</v>
      </c>
      <c r="Q691" s="22">
        <v>3985.81</v>
      </c>
      <c r="R691" t="s">
        <v>35</v>
      </c>
      <c r="S691" t="s">
        <v>35</v>
      </c>
      <c r="T691" t="s">
        <v>35</v>
      </c>
      <c r="U691" t="s">
        <v>35</v>
      </c>
      <c r="V691" t="s">
        <v>645</v>
      </c>
      <c r="W691" t="s">
        <v>113</v>
      </c>
    </row>
    <row r="692" spans="1:23" hidden="1" x14ac:dyDescent="0.25">
      <c r="A692" s="7" t="str">
        <f>IFERROR(VLOOKUP(H692,'Contas Orç'!A:B,2,0),"N/A")</f>
        <v>ENCARGOS SOCIAIS</v>
      </c>
      <c r="B692" s="7" t="str">
        <f t="shared" si="20"/>
        <v>320102 - ENCARGOS SOCIAIS</v>
      </c>
      <c r="C692" s="25">
        <f t="shared" si="21"/>
        <v>44621</v>
      </c>
      <c r="D692" s="27">
        <f>IF(K692="CREDITO",Q692,Q692*-1)</f>
        <v>10147.18</v>
      </c>
      <c r="E692" t="s">
        <v>894</v>
      </c>
      <c r="F692" t="s">
        <v>1185</v>
      </c>
      <c r="G692" s="8">
        <v>44621</v>
      </c>
      <c r="H692" t="s">
        <v>510</v>
      </c>
      <c r="I692" t="s">
        <v>53</v>
      </c>
      <c r="J692" t="s">
        <v>54</v>
      </c>
      <c r="K692" t="s">
        <v>29</v>
      </c>
      <c r="L692" t="s">
        <v>895</v>
      </c>
      <c r="M692" t="s">
        <v>4402</v>
      </c>
      <c r="O692" t="s">
        <v>896</v>
      </c>
      <c r="P692" t="s">
        <v>33</v>
      </c>
      <c r="Q692" s="22">
        <v>10147.18</v>
      </c>
      <c r="R692" t="s">
        <v>35</v>
      </c>
      <c r="S692" t="s">
        <v>35</v>
      </c>
      <c r="T692" t="s">
        <v>35</v>
      </c>
      <c r="U692" t="s">
        <v>35</v>
      </c>
      <c r="V692" t="s">
        <v>645</v>
      </c>
      <c r="W692" t="s">
        <v>113</v>
      </c>
    </row>
    <row r="693" spans="1:23" hidden="1" x14ac:dyDescent="0.25">
      <c r="A693" s="7" t="str">
        <f>IFERROR(VLOOKUP(H693,'Contas Orç'!A:B,2,0),"N/A")</f>
        <v>ENCARGOS SOCIAIS</v>
      </c>
      <c r="B693" s="7" t="str">
        <f t="shared" si="20"/>
        <v>320102 - ENCARGOS SOCIAIS</v>
      </c>
      <c r="C693" s="25">
        <f t="shared" si="21"/>
        <v>44652</v>
      </c>
      <c r="D693" s="27">
        <f>IF(K693="CREDITO",Q693,Q693*-1)</f>
        <v>101.68</v>
      </c>
      <c r="E693" t="s">
        <v>894</v>
      </c>
      <c r="F693" t="s">
        <v>1186</v>
      </c>
      <c r="G693" s="8">
        <v>44652</v>
      </c>
      <c r="H693" t="s">
        <v>510</v>
      </c>
      <c r="I693" t="s">
        <v>53</v>
      </c>
      <c r="J693" t="s">
        <v>28</v>
      </c>
      <c r="K693" t="s">
        <v>29</v>
      </c>
      <c r="L693" t="s">
        <v>895</v>
      </c>
      <c r="M693" t="s">
        <v>4402</v>
      </c>
      <c r="O693" t="s">
        <v>896</v>
      </c>
      <c r="P693" t="s">
        <v>33</v>
      </c>
      <c r="Q693">
        <v>101.68</v>
      </c>
      <c r="R693" t="s">
        <v>35</v>
      </c>
      <c r="S693" t="s">
        <v>35</v>
      </c>
      <c r="T693" t="s">
        <v>35</v>
      </c>
      <c r="U693" t="s">
        <v>35</v>
      </c>
      <c r="V693" t="s">
        <v>645</v>
      </c>
      <c r="W693" t="s">
        <v>113</v>
      </c>
    </row>
    <row r="694" spans="1:23" hidden="1" x14ac:dyDescent="0.25">
      <c r="A694" s="7" t="str">
        <f>IFERROR(VLOOKUP(H694,'Contas Orç'!A:B,2,0),"N/A")</f>
        <v>ENCARGOS SOCIAIS</v>
      </c>
      <c r="B694" s="7" t="str">
        <f t="shared" si="20"/>
        <v>320102 - ENCARGOS SOCIAIS</v>
      </c>
      <c r="C694" s="25">
        <f t="shared" si="21"/>
        <v>44652</v>
      </c>
      <c r="D694" s="27">
        <f>IF(K694="CREDITO",Q694,Q694*-1)</f>
        <v>9241.94</v>
      </c>
      <c r="E694" t="s">
        <v>894</v>
      </c>
      <c r="F694" t="s">
        <v>1187</v>
      </c>
      <c r="G694" s="8">
        <v>44652</v>
      </c>
      <c r="H694" t="s">
        <v>510</v>
      </c>
      <c r="I694" t="s">
        <v>88</v>
      </c>
      <c r="J694" t="s">
        <v>28</v>
      </c>
      <c r="K694" t="s">
        <v>29</v>
      </c>
      <c r="L694" t="s">
        <v>895</v>
      </c>
      <c r="M694" t="s">
        <v>4402</v>
      </c>
      <c r="O694" t="s">
        <v>896</v>
      </c>
      <c r="P694" t="s">
        <v>33</v>
      </c>
      <c r="Q694" s="22">
        <v>9241.94</v>
      </c>
      <c r="R694" t="s">
        <v>35</v>
      </c>
      <c r="S694" t="s">
        <v>35</v>
      </c>
      <c r="T694" t="s">
        <v>35</v>
      </c>
      <c r="U694" t="s">
        <v>35</v>
      </c>
      <c r="V694" t="s">
        <v>645</v>
      </c>
      <c r="W694" t="s">
        <v>113</v>
      </c>
    </row>
    <row r="695" spans="1:23" hidden="1" x14ac:dyDescent="0.25">
      <c r="A695" s="7" t="str">
        <f>IFERROR(VLOOKUP(H695,'Contas Orç'!A:B,2,0),"N/A")</f>
        <v>ENCARGOS SOCIAIS</v>
      </c>
      <c r="B695" s="7" t="str">
        <f t="shared" si="20"/>
        <v>320102 - ENCARGOS SOCIAIS</v>
      </c>
      <c r="C695" s="25">
        <f t="shared" si="21"/>
        <v>44652</v>
      </c>
      <c r="D695" s="27">
        <f>IF(K695="CREDITO",Q695,Q695*-1)</f>
        <v>17515.32</v>
      </c>
      <c r="E695" t="s">
        <v>894</v>
      </c>
      <c r="F695" t="s">
        <v>1188</v>
      </c>
      <c r="G695" s="8">
        <v>44652</v>
      </c>
      <c r="H695" t="s">
        <v>510</v>
      </c>
      <c r="I695" t="s">
        <v>27</v>
      </c>
      <c r="J695" t="s">
        <v>28</v>
      </c>
      <c r="K695" t="s">
        <v>29</v>
      </c>
      <c r="L695" t="s">
        <v>895</v>
      </c>
      <c r="M695" t="s">
        <v>4402</v>
      </c>
      <c r="O695" t="s">
        <v>896</v>
      </c>
      <c r="P695" t="s">
        <v>33</v>
      </c>
      <c r="Q695" s="22">
        <v>17515.32</v>
      </c>
      <c r="R695" t="s">
        <v>35</v>
      </c>
      <c r="S695" t="s">
        <v>35</v>
      </c>
      <c r="T695" t="s">
        <v>35</v>
      </c>
      <c r="U695" t="s">
        <v>35</v>
      </c>
      <c r="V695" t="s">
        <v>645</v>
      </c>
      <c r="W695" t="s">
        <v>113</v>
      </c>
    </row>
    <row r="696" spans="1:23" hidden="1" x14ac:dyDescent="0.25">
      <c r="A696" s="7" t="str">
        <f>IFERROR(VLOOKUP(H696,'Contas Orç'!A:B,2,0),"N/A")</f>
        <v>ENCARGOS SOCIAIS</v>
      </c>
      <c r="B696" s="7" t="str">
        <f t="shared" si="20"/>
        <v>320102 - ENCARGOS SOCIAIS</v>
      </c>
      <c r="C696" s="25">
        <f t="shared" si="21"/>
        <v>44652</v>
      </c>
      <c r="D696" s="27">
        <f>IF(K696="CREDITO",Q696,Q696*-1)</f>
        <v>925.82</v>
      </c>
      <c r="E696" t="s">
        <v>894</v>
      </c>
      <c r="F696" t="s">
        <v>1189</v>
      </c>
      <c r="G696" s="8">
        <v>44652</v>
      </c>
      <c r="H696" t="s">
        <v>510</v>
      </c>
      <c r="I696" t="s">
        <v>59</v>
      </c>
      <c r="J696" t="s">
        <v>28</v>
      </c>
      <c r="K696" t="s">
        <v>29</v>
      </c>
      <c r="L696" t="s">
        <v>895</v>
      </c>
      <c r="M696" t="s">
        <v>4402</v>
      </c>
      <c r="O696" t="s">
        <v>896</v>
      </c>
      <c r="P696" t="s">
        <v>33</v>
      </c>
      <c r="Q696">
        <v>925.82</v>
      </c>
      <c r="R696" t="s">
        <v>35</v>
      </c>
      <c r="S696" t="s">
        <v>35</v>
      </c>
      <c r="T696" t="s">
        <v>35</v>
      </c>
      <c r="U696" t="s">
        <v>35</v>
      </c>
      <c r="V696" t="s">
        <v>645</v>
      </c>
      <c r="W696" t="s">
        <v>113</v>
      </c>
    </row>
    <row r="697" spans="1:23" hidden="1" x14ac:dyDescent="0.25">
      <c r="A697" s="7" t="str">
        <f>IFERROR(VLOOKUP(H697,'Contas Orç'!A:B,2,0),"N/A")</f>
        <v>ENCARGOS SOCIAIS</v>
      </c>
      <c r="B697" s="7" t="str">
        <f t="shared" si="20"/>
        <v>320102 - ENCARGOS SOCIAIS</v>
      </c>
      <c r="C697" s="25">
        <f t="shared" si="21"/>
        <v>44652</v>
      </c>
      <c r="D697" s="27">
        <f>IF(K697="CREDITO",Q697,Q697*-1)</f>
        <v>8565.8700000000008</v>
      </c>
      <c r="E697" t="s">
        <v>894</v>
      </c>
      <c r="F697" t="s">
        <v>1190</v>
      </c>
      <c r="G697" s="8">
        <v>44652</v>
      </c>
      <c r="H697" t="s">
        <v>510</v>
      </c>
      <c r="I697" t="s">
        <v>53</v>
      </c>
      <c r="J697" t="s">
        <v>60</v>
      </c>
      <c r="K697" t="s">
        <v>29</v>
      </c>
      <c r="L697" t="s">
        <v>895</v>
      </c>
      <c r="M697" t="s">
        <v>4402</v>
      </c>
      <c r="O697" t="s">
        <v>896</v>
      </c>
      <c r="P697" t="s">
        <v>33</v>
      </c>
      <c r="Q697" s="22">
        <v>8565.8700000000008</v>
      </c>
      <c r="R697" t="s">
        <v>35</v>
      </c>
      <c r="S697" t="s">
        <v>35</v>
      </c>
      <c r="T697" t="s">
        <v>35</v>
      </c>
      <c r="U697" t="s">
        <v>35</v>
      </c>
      <c r="V697" t="s">
        <v>645</v>
      </c>
      <c r="W697" t="s">
        <v>113</v>
      </c>
    </row>
    <row r="698" spans="1:23" hidden="1" x14ac:dyDescent="0.25">
      <c r="A698" s="7" t="str">
        <f>IFERROR(VLOOKUP(H698,'Contas Orç'!A:B,2,0),"N/A")</f>
        <v>ENCARGOS SOCIAIS</v>
      </c>
      <c r="B698" s="7" t="str">
        <f t="shared" si="20"/>
        <v>320102 - ENCARGOS SOCIAIS</v>
      </c>
      <c r="C698" s="25">
        <f t="shared" si="21"/>
        <v>44652</v>
      </c>
      <c r="D698" s="27">
        <f>IF(K698="CREDITO",Q698,Q698*-1)</f>
        <v>34073.74</v>
      </c>
      <c r="E698" t="s">
        <v>894</v>
      </c>
      <c r="F698" t="s">
        <v>1191</v>
      </c>
      <c r="G698" s="8">
        <v>44652</v>
      </c>
      <c r="H698" t="s">
        <v>510</v>
      </c>
      <c r="I698" t="s">
        <v>106</v>
      </c>
      <c r="J698" t="s">
        <v>60</v>
      </c>
      <c r="K698" t="s">
        <v>29</v>
      </c>
      <c r="L698" t="s">
        <v>895</v>
      </c>
      <c r="M698" t="s">
        <v>4402</v>
      </c>
      <c r="O698" t="s">
        <v>896</v>
      </c>
      <c r="P698" t="s">
        <v>33</v>
      </c>
      <c r="Q698" s="22">
        <v>34073.74</v>
      </c>
      <c r="R698" t="s">
        <v>35</v>
      </c>
      <c r="S698" t="s">
        <v>35</v>
      </c>
      <c r="T698" t="s">
        <v>35</v>
      </c>
      <c r="U698" t="s">
        <v>35</v>
      </c>
      <c r="V698" t="s">
        <v>645</v>
      </c>
      <c r="W698" t="s">
        <v>113</v>
      </c>
    </row>
    <row r="699" spans="1:23" hidden="1" x14ac:dyDescent="0.25">
      <c r="A699" s="7" t="str">
        <f>IFERROR(VLOOKUP(H699,'Contas Orç'!A:B,2,0),"N/A")</f>
        <v>ENCARGOS SOCIAIS</v>
      </c>
      <c r="B699" s="7" t="str">
        <f t="shared" si="20"/>
        <v>320102 - ENCARGOS SOCIAIS</v>
      </c>
      <c r="C699" s="25">
        <f t="shared" si="21"/>
        <v>44652</v>
      </c>
      <c r="D699" s="27">
        <f>IF(K699="CREDITO",Q699,Q699*-1)</f>
        <v>156327.49</v>
      </c>
      <c r="E699" t="s">
        <v>894</v>
      </c>
      <c r="F699" t="s">
        <v>1192</v>
      </c>
      <c r="G699" s="8">
        <v>44652</v>
      </c>
      <c r="H699" t="s">
        <v>510</v>
      </c>
      <c r="I699" t="s">
        <v>59</v>
      </c>
      <c r="J699" t="s">
        <v>60</v>
      </c>
      <c r="K699" t="s">
        <v>29</v>
      </c>
      <c r="L699" t="s">
        <v>895</v>
      </c>
      <c r="M699" t="s">
        <v>4402</v>
      </c>
      <c r="O699" t="s">
        <v>896</v>
      </c>
      <c r="P699" t="s">
        <v>33</v>
      </c>
      <c r="Q699" s="22">
        <v>156327.49</v>
      </c>
      <c r="R699" t="s">
        <v>35</v>
      </c>
      <c r="S699" t="s">
        <v>35</v>
      </c>
      <c r="T699" t="s">
        <v>35</v>
      </c>
      <c r="U699" t="s">
        <v>35</v>
      </c>
      <c r="V699" t="s">
        <v>645</v>
      </c>
      <c r="W699" t="s">
        <v>113</v>
      </c>
    </row>
    <row r="700" spans="1:23" hidden="1" x14ac:dyDescent="0.25">
      <c r="A700" s="7" t="str">
        <f>IFERROR(VLOOKUP(H700,'Contas Orç'!A:B,2,0),"N/A")</f>
        <v>ENCARGOS SOCIAIS</v>
      </c>
      <c r="B700" s="7" t="str">
        <f t="shared" si="20"/>
        <v>320102 - ENCARGOS SOCIAIS</v>
      </c>
      <c r="C700" s="25">
        <f t="shared" si="21"/>
        <v>44652</v>
      </c>
      <c r="D700" s="27">
        <f>IF(K700="CREDITO",Q700,Q700*-1)</f>
        <v>2432.9</v>
      </c>
      <c r="E700" t="s">
        <v>894</v>
      </c>
      <c r="F700" t="s">
        <v>1193</v>
      </c>
      <c r="G700" s="8">
        <v>44652</v>
      </c>
      <c r="H700" t="s">
        <v>510</v>
      </c>
      <c r="I700" t="s">
        <v>53</v>
      </c>
      <c r="J700" t="s">
        <v>702</v>
      </c>
      <c r="K700" t="s">
        <v>29</v>
      </c>
      <c r="L700" t="s">
        <v>895</v>
      </c>
      <c r="M700" t="s">
        <v>4402</v>
      </c>
      <c r="O700" t="s">
        <v>896</v>
      </c>
      <c r="P700" t="s">
        <v>33</v>
      </c>
      <c r="Q700" s="22">
        <v>2432.9</v>
      </c>
      <c r="R700" t="s">
        <v>35</v>
      </c>
      <c r="S700" t="s">
        <v>35</v>
      </c>
      <c r="T700" t="s">
        <v>35</v>
      </c>
      <c r="U700" t="s">
        <v>35</v>
      </c>
      <c r="V700" t="s">
        <v>645</v>
      </c>
      <c r="W700" t="s">
        <v>113</v>
      </c>
    </row>
    <row r="701" spans="1:23" hidden="1" x14ac:dyDescent="0.25">
      <c r="A701" s="7" t="str">
        <f>IFERROR(VLOOKUP(H701,'Contas Orç'!A:B,2,0),"N/A")</f>
        <v>ENCARGOS SOCIAIS</v>
      </c>
      <c r="B701" s="7" t="str">
        <f t="shared" si="20"/>
        <v>320102 - ENCARGOS SOCIAIS</v>
      </c>
      <c r="C701" s="25">
        <f t="shared" si="21"/>
        <v>44652</v>
      </c>
      <c r="D701" s="27">
        <f>IF(K701="CREDITO",Q701,Q701*-1)</f>
        <v>11029.59</v>
      </c>
      <c r="E701" t="s">
        <v>894</v>
      </c>
      <c r="F701" t="s">
        <v>1194</v>
      </c>
      <c r="G701" s="8">
        <v>44652</v>
      </c>
      <c r="H701" t="s">
        <v>510</v>
      </c>
      <c r="I701" t="s">
        <v>59</v>
      </c>
      <c r="J701" t="s">
        <v>702</v>
      </c>
      <c r="K701" t="s">
        <v>29</v>
      </c>
      <c r="L701" t="s">
        <v>895</v>
      </c>
      <c r="M701" t="s">
        <v>4402</v>
      </c>
      <c r="O701" t="s">
        <v>896</v>
      </c>
      <c r="P701" t="s">
        <v>33</v>
      </c>
      <c r="Q701" s="22">
        <v>11029.59</v>
      </c>
      <c r="R701" t="s">
        <v>35</v>
      </c>
      <c r="S701" t="s">
        <v>35</v>
      </c>
      <c r="T701" t="s">
        <v>35</v>
      </c>
      <c r="U701" t="s">
        <v>35</v>
      </c>
      <c r="V701" t="s">
        <v>645</v>
      </c>
      <c r="W701" t="s">
        <v>113</v>
      </c>
    </row>
    <row r="702" spans="1:23" hidden="1" x14ac:dyDescent="0.25">
      <c r="A702" s="7" t="str">
        <f>IFERROR(VLOOKUP(H702,'Contas Orç'!A:B,2,0),"N/A")</f>
        <v>ENCARGOS SOCIAIS</v>
      </c>
      <c r="B702" s="7" t="str">
        <f t="shared" si="20"/>
        <v>320102 - ENCARGOS SOCIAIS</v>
      </c>
      <c r="C702" s="25">
        <f t="shared" si="21"/>
        <v>44652</v>
      </c>
      <c r="D702" s="27">
        <f>IF(K702="CREDITO",Q702,Q702*-1)</f>
        <v>5083.6099999999997</v>
      </c>
      <c r="E702" t="s">
        <v>894</v>
      </c>
      <c r="F702" t="s">
        <v>1195</v>
      </c>
      <c r="G702" s="8">
        <v>44652</v>
      </c>
      <c r="H702" t="s">
        <v>510</v>
      </c>
      <c r="I702" t="s">
        <v>125</v>
      </c>
      <c r="J702" t="s">
        <v>95</v>
      </c>
      <c r="K702" t="s">
        <v>29</v>
      </c>
      <c r="L702" t="s">
        <v>895</v>
      </c>
      <c r="M702" t="s">
        <v>4402</v>
      </c>
      <c r="O702" t="s">
        <v>896</v>
      </c>
      <c r="P702" t="s">
        <v>33</v>
      </c>
      <c r="Q702" s="22">
        <v>5083.6099999999997</v>
      </c>
      <c r="R702" t="s">
        <v>35</v>
      </c>
      <c r="S702" t="s">
        <v>35</v>
      </c>
      <c r="T702" t="s">
        <v>35</v>
      </c>
      <c r="U702" t="s">
        <v>35</v>
      </c>
      <c r="V702" t="s">
        <v>645</v>
      </c>
      <c r="W702" t="s">
        <v>113</v>
      </c>
    </row>
    <row r="703" spans="1:23" hidden="1" x14ac:dyDescent="0.25">
      <c r="A703" s="7" t="str">
        <f>IFERROR(VLOOKUP(H703,'Contas Orç'!A:B,2,0),"N/A")</f>
        <v>ENCARGOS SOCIAIS</v>
      </c>
      <c r="B703" s="7" t="str">
        <f t="shared" si="20"/>
        <v>320102 - ENCARGOS SOCIAIS</v>
      </c>
      <c r="C703" s="25">
        <f t="shared" si="21"/>
        <v>44652</v>
      </c>
      <c r="D703" s="27">
        <f>IF(K703="CREDITO",Q703,Q703*-1)</f>
        <v>9394.2199999999993</v>
      </c>
      <c r="E703" t="s">
        <v>894</v>
      </c>
      <c r="F703" t="s">
        <v>1196</v>
      </c>
      <c r="G703" s="8">
        <v>44652</v>
      </c>
      <c r="H703" t="s">
        <v>510</v>
      </c>
      <c r="I703" t="s">
        <v>53</v>
      </c>
      <c r="J703" t="s">
        <v>54</v>
      </c>
      <c r="K703" t="s">
        <v>29</v>
      </c>
      <c r="L703" t="s">
        <v>895</v>
      </c>
      <c r="M703" t="s">
        <v>4402</v>
      </c>
      <c r="O703" t="s">
        <v>896</v>
      </c>
      <c r="P703" t="s">
        <v>33</v>
      </c>
      <c r="Q703" s="22">
        <v>9394.2199999999993</v>
      </c>
      <c r="R703" t="s">
        <v>35</v>
      </c>
      <c r="S703" t="s">
        <v>35</v>
      </c>
      <c r="T703" t="s">
        <v>35</v>
      </c>
      <c r="U703" t="s">
        <v>35</v>
      </c>
      <c r="V703" t="s">
        <v>645</v>
      </c>
      <c r="W703" t="s">
        <v>113</v>
      </c>
    </row>
    <row r="704" spans="1:23" hidden="1" x14ac:dyDescent="0.25">
      <c r="A704" s="7" t="str">
        <f>IFERROR(VLOOKUP(H704,'Contas Orç'!A:B,2,0),"N/A")</f>
        <v>ENCARGOS SOCIAIS</v>
      </c>
      <c r="B704" s="7" t="str">
        <f t="shared" si="20"/>
        <v>320102 - ENCARGOS SOCIAIS</v>
      </c>
      <c r="C704" s="25">
        <f t="shared" si="21"/>
        <v>44682</v>
      </c>
      <c r="D704" s="27">
        <f>IF(K704="CREDITO",Q704,Q704*-1)</f>
        <v>96.1</v>
      </c>
      <c r="E704" t="s">
        <v>894</v>
      </c>
      <c r="F704" t="s">
        <v>1197</v>
      </c>
      <c r="G704" s="8">
        <v>44682</v>
      </c>
      <c r="H704" t="s">
        <v>510</v>
      </c>
      <c r="I704" t="s">
        <v>53</v>
      </c>
      <c r="J704" t="s">
        <v>28</v>
      </c>
      <c r="K704" t="s">
        <v>29</v>
      </c>
      <c r="L704" t="s">
        <v>895</v>
      </c>
      <c r="M704" t="s">
        <v>4402</v>
      </c>
      <c r="O704" t="s">
        <v>896</v>
      </c>
      <c r="P704" t="s">
        <v>33</v>
      </c>
      <c r="Q704">
        <v>96.1</v>
      </c>
      <c r="R704" t="s">
        <v>35</v>
      </c>
      <c r="S704" t="s">
        <v>35</v>
      </c>
      <c r="T704" t="s">
        <v>35</v>
      </c>
      <c r="U704" t="s">
        <v>35</v>
      </c>
      <c r="V704" t="s">
        <v>645</v>
      </c>
      <c r="W704" t="s">
        <v>113</v>
      </c>
    </row>
    <row r="705" spans="1:23" hidden="1" x14ac:dyDescent="0.25">
      <c r="A705" s="7" t="str">
        <f>IFERROR(VLOOKUP(H705,'Contas Orç'!A:B,2,0),"N/A")</f>
        <v>ENCARGOS SOCIAIS</v>
      </c>
      <c r="B705" s="7" t="str">
        <f t="shared" si="20"/>
        <v>320102 - ENCARGOS SOCIAIS</v>
      </c>
      <c r="C705" s="25">
        <f t="shared" si="21"/>
        <v>44682</v>
      </c>
      <c r="D705" s="27">
        <f>IF(K705="CREDITO",Q705,Q705*-1)</f>
        <v>8705.9699999999993</v>
      </c>
      <c r="E705" t="s">
        <v>894</v>
      </c>
      <c r="F705" t="s">
        <v>1198</v>
      </c>
      <c r="G705" s="8">
        <v>44682</v>
      </c>
      <c r="H705" t="s">
        <v>510</v>
      </c>
      <c r="I705" t="s">
        <v>88</v>
      </c>
      <c r="J705" t="s">
        <v>28</v>
      </c>
      <c r="K705" t="s">
        <v>29</v>
      </c>
      <c r="L705" t="s">
        <v>895</v>
      </c>
      <c r="M705" t="s">
        <v>4402</v>
      </c>
      <c r="O705" t="s">
        <v>896</v>
      </c>
      <c r="P705" t="s">
        <v>33</v>
      </c>
      <c r="Q705" s="22">
        <v>8705.9699999999993</v>
      </c>
      <c r="R705" t="s">
        <v>35</v>
      </c>
      <c r="S705" t="s">
        <v>35</v>
      </c>
      <c r="T705" t="s">
        <v>35</v>
      </c>
      <c r="U705" t="s">
        <v>35</v>
      </c>
      <c r="V705" t="s">
        <v>645</v>
      </c>
      <c r="W705" t="s">
        <v>113</v>
      </c>
    </row>
    <row r="706" spans="1:23" hidden="1" x14ac:dyDescent="0.25">
      <c r="A706" s="7" t="str">
        <f>IFERROR(VLOOKUP(H706,'Contas Orç'!A:B,2,0),"N/A")</f>
        <v>ENCARGOS SOCIAIS</v>
      </c>
      <c r="B706" s="7" t="str">
        <f t="shared" si="20"/>
        <v>320102 - ENCARGOS SOCIAIS</v>
      </c>
      <c r="C706" s="25">
        <f t="shared" si="21"/>
        <v>44682</v>
      </c>
      <c r="D706" s="27">
        <f>IF(K706="CREDITO",Q706,Q706*-1)</f>
        <v>15905.57</v>
      </c>
      <c r="E706" t="s">
        <v>894</v>
      </c>
      <c r="F706" t="s">
        <v>1199</v>
      </c>
      <c r="G706" s="8">
        <v>44682</v>
      </c>
      <c r="H706" t="s">
        <v>510</v>
      </c>
      <c r="I706" t="s">
        <v>27</v>
      </c>
      <c r="J706" t="s">
        <v>28</v>
      </c>
      <c r="K706" t="s">
        <v>29</v>
      </c>
      <c r="L706" t="s">
        <v>895</v>
      </c>
      <c r="M706" t="s">
        <v>4402</v>
      </c>
      <c r="O706" t="s">
        <v>896</v>
      </c>
      <c r="P706" t="s">
        <v>33</v>
      </c>
      <c r="Q706" s="22">
        <v>15905.57</v>
      </c>
      <c r="R706" t="s">
        <v>35</v>
      </c>
      <c r="S706" t="s">
        <v>35</v>
      </c>
      <c r="T706" t="s">
        <v>35</v>
      </c>
      <c r="U706" t="s">
        <v>35</v>
      </c>
      <c r="V706" t="s">
        <v>645</v>
      </c>
      <c r="W706" t="s">
        <v>113</v>
      </c>
    </row>
    <row r="707" spans="1:23" hidden="1" x14ac:dyDescent="0.25">
      <c r="A707" s="7" t="str">
        <f>IFERROR(VLOOKUP(H707,'Contas Orç'!A:B,2,0),"N/A")</f>
        <v>ENCARGOS SOCIAIS</v>
      </c>
      <c r="B707" s="7" t="str">
        <f t="shared" ref="B707:B770" si="22">_xlfn.CONCAT(H707," - ",A707)</f>
        <v>320102 - ENCARGOS SOCIAIS</v>
      </c>
      <c r="C707" s="25">
        <f t="shared" ref="C707:C770" si="23">DATE(YEAR(G707),MONTH(G707),1)</f>
        <v>44682</v>
      </c>
      <c r="D707" s="27">
        <f>IF(K707="CREDITO",Q707,Q707*-1)</f>
        <v>822.44</v>
      </c>
      <c r="E707" t="s">
        <v>894</v>
      </c>
      <c r="F707" t="s">
        <v>1200</v>
      </c>
      <c r="G707" s="8">
        <v>44682</v>
      </c>
      <c r="H707" t="s">
        <v>510</v>
      </c>
      <c r="I707" t="s">
        <v>59</v>
      </c>
      <c r="J707" t="s">
        <v>28</v>
      </c>
      <c r="K707" t="s">
        <v>29</v>
      </c>
      <c r="L707" t="s">
        <v>895</v>
      </c>
      <c r="M707" t="s">
        <v>4402</v>
      </c>
      <c r="O707" t="s">
        <v>896</v>
      </c>
      <c r="P707" t="s">
        <v>33</v>
      </c>
      <c r="Q707">
        <v>822.44</v>
      </c>
      <c r="R707" t="s">
        <v>35</v>
      </c>
      <c r="S707" t="s">
        <v>35</v>
      </c>
      <c r="T707" t="s">
        <v>35</v>
      </c>
      <c r="U707" t="s">
        <v>35</v>
      </c>
      <c r="V707" t="s">
        <v>645</v>
      </c>
      <c r="W707" t="s">
        <v>113</v>
      </c>
    </row>
    <row r="708" spans="1:23" hidden="1" x14ac:dyDescent="0.25">
      <c r="A708" s="7" t="str">
        <f>IFERROR(VLOOKUP(H708,'Contas Orç'!A:B,2,0),"N/A")</f>
        <v>ENCARGOS SOCIAIS</v>
      </c>
      <c r="B708" s="7" t="str">
        <f t="shared" si="22"/>
        <v>320102 - ENCARGOS SOCIAIS</v>
      </c>
      <c r="C708" s="25">
        <f t="shared" si="23"/>
        <v>44682</v>
      </c>
      <c r="D708" s="27">
        <f>IF(K708="CREDITO",Q708,Q708*-1)</f>
        <v>7150.85</v>
      </c>
      <c r="E708" t="s">
        <v>894</v>
      </c>
      <c r="F708" t="s">
        <v>1201</v>
      </c>
      <c r="G708" s="8">
        <v>44682</v>
      </c>
      <c r="H708" t="s">
        <v>510</v>
      </c>
      <c r="I708" t="s">
        <v>53</v>
      </c>
      <c r="J708" t="s">
        <v>60</v>
      </c>
      <c r="K708" t="s">
        <v>29</v>
      </c>
      <c r="L708" t="s">
        <v>895</v>
      </c>
      <c r="M708" t="s">
        <v>4402</v>
      </c>
      <c r="O708" t="s">
        <v>896</v>
      </c>
      <c r="P708" t="s">
        <v>33</v>
      </c>
      <c r="Q708" s="22">
        <v>7150.85</v>
      </c>
      <c r="R708" t="s">
        <v>35</v>
      </c>
      <c r="S708" t="s">
        <v>35</v>
      </c>
      <c r="T708" t="s">
        <v>35</v>
      </c>
      <c r="U708" t="s">
        <v>35</v>
      </c>
      <c r="V708" t="s">
        <v>645</v>
      </c>
      <c r="W708" t="s">
        <v>113</v>
      </c>
    </row>
    <row r="709" spans="1:23" hidden="1" x14ac:dyDescent="0.25">
      <c r="A709" s="7" t="str">
        <f>IFERROR(VLOOKUP(H709,'Contas Orç'!A:B,2,0),"N/A")</f>
        <v>ENCARGOS SOCIAIS</v>
      </c>
      <c r="B709" s="7" t="str">
        <f t="shared" si="22"/>
        <v>320102 - ENCARGOS SOCIAIS</v>
      </c>
      <c r="C709" s="25">
        <f t="shared" si="23"/>
        <v>44682</v>
      </c>
      <c r="D709" s="27">
        <f>IF(K709="CREDITO",Q709,Q709*-1)</f>
        <v>33761.129999999997</v>
      </c>
      <c r="E709" t="s">
        <v>894</v>
      </c>
      <c r="F709" t="s">
        <v>1202</v>
      </c>
      <c r="G709" s="8">
        <v>44682</v>
      </c>
      <c r="H709" t="s">
        <v>510</v>
      </c>
      <c r="I709" t="s">
        <v>106</v>
      </c>
      <c r="J709" t="s">
        <v>60</v>
      </c>
      <c r="K709" t="s">
        <v>29</v>
      </c>
      <c r="L709" t="s">
        <v>895</v>
      </c>
      <c r="M709" t="s">
        <v>4402</v>
      </c>
      <c r="O709" t="s">
        <v>896</v>
      </c>
      <c r="P709" t="s">
        <v>33</v>
      </c>
      <c r="Q709" s="22">
        <v>33761.129999999997</v>
      </c>
      <c r="R709" t="s">
        <v>35</v>
      </c>
      <c r="S709" t="s">
        <v>35</v>
      </c>
      <c r="T709" t="s">
        <v>35</v>
      </c>
      <c r="U709" t="s">
        <v>35</v>
      </c>
      <c r="V709" t="s">
        <v>645</v>
      </c>
      <c r="W709" t="s">
        <v>113</v>
      </c>
    </row>
    <row r="710" spans="1:23" hidden="1" x14ac:dyDescent="0.25">
      <c r="A710" s="7" t="str">
        <f>IFERROR(VLOOKUP(H710,'Contas Orç'!A:B,2,0),"N/A")</f>
        <v>ENCARGOS SOCIAIS</v>
      </c>
      <c r="B710" s="7" t="str">
        <f t="shared" si="22"/>
        <v>320102 - ENCARGOS SOCIAIS</v>
      </c>
      <c r="C710" s="25">
        <f t="shared" si="23"/>
        <v>44682</v>
      </c>
      <c r="D710" s="27">
        <f>IF(K710="CREDITO",Q710,Q710*-1)</f>
        <v>135932.10999999999</v>
      </c>
      <c r="E710" t="s">
        <v>894</v>
      </c>
      <c r="F710" t="s">
        <v>1203</v>
      </c>
      <c r="G710" s="8">
        <v>44682</v>
      </c>
      <c r="H710" t="s">
        <v>510</v>
      </c>
      <c r="I710" t="s">
        <v>59</v>
      </c>
      <c r="J710" t="s">
        <v>60</v>
      </c>
      <c r="K710" t="s">
        <v>29</v>
      </c>
      <c r="L710" t="s">
        <v>895</v>
      </c>
      <c r="M710" t="s">
        <v>4402</v>
      </c>
      <c r="O710" t="s">
        <v>896</v>
      </c>
      <c r="P710" t="s">
        <v>33</v>
      </c>
      <c r="Q710" s="22">
        <v>135932.10999999999</v>
      </c>
      <c r="R710" t="s">
        <v>35</v>
      </c>
      <c r="S710" t="s">
        <v>35</v>
      </c>
      <c r="T710" t="s">
        <v>35</v>
      </c>
      <c r="U710" t="s">
        <v>35</v>
      </c>
      <c r="V710" t="s">
        <v>645</v>
      </c>
      <c r="W710" t="s">
        <v>113</v>
      </c>
    </row>
    <row r="711" spans="1:23" hidden="1" x14ac:dyDescent="0.25">
      <c r="A711" s="7" t="str">
        <f>IFERROR(VLOOKUP(H711,'Contas Orç'!A:B,2,0),"N/A")</f>
        <v>ENCARGOS SOCIAIS</v>
      </c>
      <c r="B711" s="7" t="str">
        <f t="shared" si="22"/>
        <v>320102 - ENCARGOS SOCIAIS</v>
      </c>
      <c r="C711" s="25">
        <f t="shared" si="23"/>
        <v>44682</v>
      </c>
      <c r="D711" s="27">
        <f>IF(K711="CREDITO",Q711,Q711*-1)</f>
        <v>2072.34</v>
      </c>
      <c r="E711" t="s">
        <v>894</v>
      </c>
      <c r="F711" t="s">
        <v>1204</v>
      </c>
      <c r="G711" s="8">
        <v>44682</v>
      </c>
      <c r="H711" t="s">
        <v>510</v>
      </c>
      <c r="I711" t="s">
        <v>53</v>
      </c>
      <c r="J711" t="s">
        <v>702</v>
      </c>
      <c r="K711" t="s">
        <v>29</v>
      </c>
      <c r="L711" t="s">
        <v>895</v>
      </c>
      <c r="M711" t="s">
        <v>4402</v>
      </c>
      <c r="O711" t="s">
        <v>896</v>
      </c>
      <c r="P711" t="s">
        <v>33</v>
      </c>
      <c r="Q711" s="22">
        <v>2072.34</v>
      </c>
      <c r="R711" t="s">
        <v>35</v>
      </c>
      <c r="S711" t="s">
        <v>35</v>
      </c>
      <c r="T711" t="s">
        <v>35</v>
      </c>
      <c r="U711" t="s">
        <v>35</v>
      </c>
      <c r="V711" t="s">
        <v>645</v>
      </c>
      <c r="W711" t="s">
        <v>113</v>
      </c>
    </row>
    <row r="712" spans="1:23" hidden="1" x14ac:dyDescent="0.25">
      <c r="A712" s="7" t="str">
        <f>IFERROR(VLOOKUP(H712,'Contas Orç'!A:B,2,0),"N/A")</f>
        <v>ENCARGOS SOCIAIS</v>
      </c>
      <c r="B712" s="7" t="str">
        <f t="shared" si="22"/>
        <v>320102 - ENCARGOS SOCIAIS</v>
      </c>
      <c r="C712" s="25">
        <f t="shared" si="23"/>
        <v>44682</v>
      </c>
      <c r="D712" s="27">
        <f>IF(K712="CREDITO",Q712,Q712*-1)</f>
        <v>10644.87</v>
      </c>
      <c r="E712" t="s">
        <v>894</v>
      </c>
      <c r="F712" t="s">
        <v>1205</v>
      </c>
      <c r="G712" s="8">
        <v>44682</v>
      </c>
      <c r="H712" t="s">
        <v>510</v>
      </c>
      <c r="I712" t="s">
        <v>59</v>
      </c>
      <c r="J712" t="s">
        <v>702</v>
      </c>
      <c r="K712" t="s">
        <v>29</v>
      </c>
      <c r="L712" t="s">
        <v>895</v>
      </c>
      <c r="M712" t="s">
        <v>4402</v>
      </c>
      <c r="O712" t="s">
        <v>896</v>
      </c>
      <c r="P712" t="s">
        <v>33</v>
      </c>
      <c r="Q712" s="22">
        <v>10644.87</v>
      </c>
      <c r="R712" t="s">
        <v>35</v>
      </c>
      <c r="S712" t="s">
        <v>35</v>
      </c>
      <c r="T712" t="s">
        <v>35</v>
      </c>
      <c r="U712" t="s">
        <v>35</v>
      </c>
      <c r="V712" t="s">
        <v>645</v>
      </c>
      <c r="W712" t="s">
        <v>113</v>
      </c>
    </row>
    <row r="713" spans="1:23" hidden="1" x14ac:dyDescent="0.25">
      <c r="A713" s="7" t="str">
        <f>IFERROR(VLOOKUP(H713,'Contas Orç'!A:B,2,0),"N/A")</f>
        <v>ENCARGOS SOCIAIS</v>
      </c>
      <c r="B713" s="7" t="str">
        <f t="shared" si="22"/>
        <v>320102 - ENCARGOS SOCIAIS</v>
      </c>
      <c r="C713" s="25">
        <f t="shared" si="23"/>
        <v>44682</v>
      </c>
      <c r="D713" s="27">
        <f>IF(K713="CREDITO",Q713,Q713*-1)</f>
        <v>4391.88</v>
      </c>
      <c r="E713" t="s">
        <v>894</v>
      </c>
      <c r="F713" t="s">
        <v>1206</v>
      </c>
      <c r="G713" s="8">
        <v>44682</v>
      </c>
      <c r="H713" t="s">
        <v>510</v>
      </c>
      <c r="I713" t="s">
        <v>125</v>
      </c>
      <c r="J713" t="s">
        <v>95</v>
      </c>
      <c r="K713" t="s">
        <v>29</v>
      </c>
      <c r="L713" t="s">
        <v>895</v>
      </c>
      <c r="M713" t="s">
        <v>4402</v>
      </c>
      <c r="O713" t="s">
        <v>896</v>
      </c>
      <c r="P713" t="s">
        <v>33</v>
      </c>
      <c r="Q713" s="22">
        <v>4391.88</v>
      </c>
      <c r="R713" t="s">
        <v>35</v>
      </c>
      <c r="S713" t="s">
        <v>35</v>
      </c>
      <c r="T713" t="s">
        <v>35</v>
      </c>
      <c r="U713" t="s">
        <v>35</v>
      </c>
      <c r="V713" t="s">
        <v>645</v>
      </c>
      <c r="W713" t="s">
        <v>113</v>
      </c>
    </row>
    <row r="714" spans="1:23" hidden="1" x14ac:dyDescent="0.25">
      <c r="A714" s="7" t="str">
        <f>IFERROR(VLOOKUP(H714,'Contas Orç'!A:B,2,0),"N/A")</f>
        <v>ENCARGOS SOCIAIS</v>
      </c>
      <c r="B714" s="7" t="str">
        <f t="shared" si="22"/>
        <v>320102 - ENCARGOS SOCIAIS</v>
      </c>
      <c r="C714" s="25">
        <f t="shared" si="23"/>
        <v>44682</v>
      </c>
      <c r="D714" s="27">
        <f>IF(K714="CREDITO",Q714,Q714*-1)</f>
        <v>10216.44</v>
      </c>
      <c r="E714" t="s">
        <v>894</v>
      </c>
      <c r="F714" t="s">
        <v>1207</v>
      </c>
      <c r="G714" s="8">
        <v>44682</v>
      </c>
      <c r="H714" t="s">
        <v>510</v>
      </c>
      <c r="I714" t="s">
        <v>53</v>
      </c>
      <c r="J714" t="s">
        <v>54</v>
      </c>
      <c r="K714" t="s">
        <v>29</v>
      </c>
      <c r="L714" t="s">
        <v>895</v>
      </c>
      <c r="M714" t="s">
        <v>4402</v>
      </c>
      <c r="O714" t="s">
        <v>896</v>
      </c>
      <c r="P714" t="s">
        <v>33</v>
      </c>
      <c r="Q714" s="22">
        <v>10216.44</v>
      </c>
      <c r="R714" t="s">
        <v>35</v>
      </c>
      <c r="S714" t="s">
        <v>35</v>
      </c>
      <c r="T714" t="s">
        <v>35</v>
      </c>
      <c r="U714" t="s">
        <v>35</v>
      </c>
      <c r="V714" t="s">
        <v>645</v>
      </c>
      <c r="W714" t="s">
        <v>113</v>
      </c>
    </row>
    <row r="715" spans="1:23" hidden="1" x14ac:dyDescent="0.25">
      <c r="A715" s="7" t="str">
        <f>IFERROR(VLOOKUP(H715,'Contas Orç'!A:B,2,0),"N/A")</f>
        <v>ENCARGOS SOCIAIS</v>
      </c>
      <c r="B715" s="7" t="str">
        <f t="shared" si="22"/>
        <v>320102 - ENCARGOS SOCIAIS</v>
      </c>
      <c r="C715" s="25">
        <f t="shared" si="23"/>
        <v>44713</v>
      </c>
      <c r="D715" s="27">
        <f>IF(K715="CREDITO",Q715,Q715*-1)</f>
        <v>111.29</v>
      </c>
      <c r="E715" t="s">
        <v>894</v>
      </c>
      <c r="F715" t="s">
        <v>1208</v>
      </c>
      <c r="G715" s="8">
        <v>44713</v>
      </c>
      <c r="H715" t="s">
        <v>510</v>
      </c>
      <c r="I715" t="s">
        <v>53</v>
      </c>
      <c r="J715" t="s">
        <v>28</v>
      </c>
      <c r="K715" t="s">
        <v>29</v>
      </c>
      <c r="L715" t="s">
        <v>895</v>
      </c>
      <c r="M715" t="s">
        <v>4402</v>
      </c>
      <c r="O715" t="s">
        <v>896</v>
      </c>
      <c r="P715" t="s">
        <v>33</v>
      </c>
      <c r="Q715">
        <v>111.29</v>
      </c>
      <c r="R715" t="s">
        <v>35</v>
      </c>
      <c r="S715" t="s">
        <v>35</v>
      </c>
      <c r="T715" t="s">
        <v>35</v>
      </c>
      <c r="U715" t="s">
        <v>35</v>
      </c>
      <c r="V715" t="s">
        <v>645</v>
      </c>
      <c r="W715" t="s">
        <v>113</v>
      </c>
    </row>
    <row r="716" spans="1:23" hidden="1" x14ac:dyDescent="0.25">
      <c r="A716" s="7" t="str">
        <f>IFERROR(VLOOKUP(H716,'Contas Orç'!A:B,2,0),"N/A")</f>
        <v>ENCARGOS SOCIAIS</v>
      </c>
      <c r="B716" s="7" t="str">
        <f t="shared" si="22"/>
        <v>320102 - ENCARGOS SOCIAIS</v>
      </c>
      <c r="C716" s="25">
        <f t="shared" si="23"/>
        <v>44713</v>
      </c>
      <c r="D716" s="27">
        <f>IF(K716="CREDITO",Q716,Q716*-1)</f>
        <v>10275.030000000001</v>
      </c>
      <c r="E716" t="s">
        <v>894</v>
      </c>
      <c r="F716" t="s">
        <v>1209</v>
      </c>
      <c r="G716" s="8">
        <v>44713</v>
      </c>
      <c r="H716" t="s">
        <v>510</v>
      </c>
      <c r="I716" t="s">
        <v>88</v>
      </c>
      <c r="J716" t="s">
        <v>28</v>
      </c>
      <c r="K716" t="s">
        <v>29</v>
      </c>
      <c r="L716" t="s">
        <v>895</v>
      </c>
      <c r="M716" t="s">
        <v>4402</v>
      </c>
      <c r="O716" t="s">
        <v>896</v>
      </c>
      <c r="P716" t="s">
        <v>33</v>
      </c>
      <c r="Q716" s="22">
        <v>10275.030000000001</v>
      </c>
      <c r="R716" t="s">
        <v>35</v>
      </c>
      <c r="S716" t="s">
        <v>35</v>
      </c>
      <c r="T716" t="s">
        <v>35</v>
      </c>
      <c r="U716" t="s">
        <v>35</v>
      </c>
      <c r="V716" t="s">
        <v>645</v>
      </c>
      <c r="W716" t="s">
        <v>113</v>
      </c>
    </row>
    <row r="717" spans="1:23" hidden="1" x14ac:dyDescent="0.25">
      <c r="A717" s="7" t="str">
        <f>IFERROR(VLOOKUP(H717,'Contas Orç'!A:B,2,0),"N/A")</f>
        <v>ENCARGOS SOCIAIS</v>
      </c>
      <c r="B717" s="7" t="str">
        <f t="shared" si="22"/>
        <v>320102 - ENCARGOS SOCIAIS</v>
      </c>
      <c r="C717" s="25">
        <f t="shared" si="23"/>
        <v>44713</v>
      </c>
      <c r="D717" s="27">
        <f>IF(K717="CREDITO",Q717,Q717*-1)</f>
        <v>19644.259999999998</v>
      </c>
      <c r="E717" t="s">
        <v>894</v>
      </c>
      <c r="F717" t="s">
        <v>1210</v>
      </c>
      <c r="G717" s="8">
        <v>44713</v>
      </c>
      <c r="H717" t="s">
        <v>510</v>
      </c>
      <c r="I717" t="s">
        <v>27</v>
      </c>
      <c r="J717" t="s">
        <v>28</v>
      </c>
      <c r="K717" t="s">
        <v>29</v>
      </c>
      <c r="L717" t="s">
        <v>895</v>
      </c>
      <c r="M717" t="s">
        <v>4402</v>
      </c>
      <c r="O717" t="s">
        <v>896</v>
      </c>
      <c r="P717" t="s">
        <v>33</v>
      </c>
      <c r="Q717" s="22">
        <v>19644.259999999998</v>
      </c>
      <c r="R717" t="s">
        <v>35</v>
      </c>
      <c r="S717" t="s">
        <v>35</v>
      </c>
      <c r="T717" t="s">
        <v>35</v>
      </c>
      <c r="U717" t="s">
        <v>35</v>
      </c>
      <c r="V717" t="s">
        <v>645</v>
      </c>
      <c r="W717" t="s">
        <v>113</v>
      </c>
    </row>
    <row r="718" spans="1:23" hidden="1" x14ac:dyDescent="0.25">
      <c r="A718" s="7" t="str">
        <f>IFERROR(VLOOKUP(H718,'Contas Orç'!A:B,2,0),"N/A")</f>
        <v>ENCARGOS SOCIAIS</v>
      </c>
      <c r="B718" s="7" t="str">
        <f t="shared" si="22"/>
        <v>320102 - ENCARGOS SOCIAIS</v>
      </c>
      <c r="C718" s="25">
        <f t="shared" si="23"/>
        <v>44713</v>
      </c>
      <c r="D718" s="27">
        <f>IF(K718="CREDITO",Q718,Q718*-1)</f>
        <v>8268.4500000000007</v>
      </c>
      <c r="E718" t="s">
        <v>894</v>
      </c>
      <c r="F718" t="s">
        <v>1211</v>
      </c>
      <c r="G718" s="8">
        <v>44713</v>
      </c>
      <c r="H718" t="s">
        <v>510</v>
      </c>
      <c r="I718" t="s">
        <v>53</v>
      </c>
      <c r="J718" t="s">
        <v>60</v>
      </c>
      <c r="K718" t="s">
        <v>29</v>
      </c>
      <c r="L718" t="s">
        <v>895</v>
      </c>
      <c r="M718" t="s">
        <v>4402</v>
      </c>
      <c r="O718" t="s">
        <v>896</v>
      </c>
      <c r="P718" t="s">
        <v>33</v>
      </c>
      <c r="Q718" s="22">
        <v>8268.4500000000007</v>
      </c>
      <c r="R718" t="s">
        <v>35</v>
      </c>
      <c r="S718" t="s">
        <v>35</v>
      </c>
      <c r="T718" t="s">
        <v>35</v>
      </c>
      <c r="U718" t="s">
        <v>35</v>
      </c>
      <c r="V718" t="s">
        <v>645</v>
      </c>
      <c r="W718" t="s">
        <v>113</v>
      </c>
    </row>
    <row r="719" spans="1:23" hidden="1" x14ac:dyDescent="0.25">
      <c r="A719" s="7" t="str">
        <f>IFERROR(VLOOKUP(H719,'Contas Orç'!A:B,2,0),"N/A")</f>
        <v>ENCARGOS SOCIAIS</v>
      </c>
      <c r="B719" s="7" t="str">
        <f t="shared" si="22"/>
        <v>320102 - ENCARGOS SOCIAIS</v>
      </c>
      <c r="C719" s="25">
        <f t="shared" si="23"/>
        <v>44713</v>
      </c>
      <c r="D719" s="27">
        <f>IF(K719="CREDITO",Q719,Q719*-1)</f>
        <v>31271.15</v>
      </c>
      <c r="E719" t="s">
        <v>894</v>
      </c>
      <c r="F719" t="s">
        <v>1212</v>
      </c>
      <c r="G719" s="8">
        <v>44713</v>
      </c>
      <c r="H719" t="s">
        <v>510</v>
      </c>
      <c r="I719" t="s">
        <v>106</v>
      </c>
      <c r="J719" t="s">
        <v>60</v>
      </c>
      <c r="K719" t="s">
        <v>29</v>
      </c>
      <c r="L719" t="s">
        <v>895</v>
      </c>
      <c r="M719" t="s">
        <v>4402</v>
      </c>
      <c r="O719" t="s">
        <v>896</v>
      </c>
      <c r="P719" t="s">
        <v>33</v>
      </c>
      <c r="Q719" s="22">
        <v>31271.15</v>
      </c>
      <c r="R719" t="s">
        <v>35</v>
      </c>
      <c r="S719" t="s">
        <v>35</v>
      </c>
      <c r="T719" t="s">
        <v>35</v>
      </c>
      <c r="U719" t="s">
        <v>35</v>
      </c>
      <c r="V719" t="s">
        <v>645</v>
      </c>
      <c r="W719" t="s">
        <v>113</v>
      </c>
    </row>
    <row r="720" spans="1:23" hidden="1" x14ac:dyDescent="0.25">
      <c r="A720" s="7" t="str">
        <f>IFERROR(VLOOKUP(H720,'Contas Orç'!A:B,2,0),"N/A")</f>
        <v>ENCARGOS SOCIAIS</v>
      </c>
      <c r="B720" s="7" t="str">
        <f t="shared" si="22"/>
        <v>320102 - ENCARGOS SOCIAIS</v>
      </c>
      <c r="C720" s="25">
        <f t="shared" si="23"/>
        <v>44713</v>
      </c>
      <c r="D720" s="27">
        <f>IF(K720="CREDITO",Q720,Q720*-1)</f>
        <v>144227.6</v>
      </c>
      <c r="E720" t="s">
        <v>894</v>
      </c>
      <c r="F720" t="s">
        <v>1213</v>
      </c>
      <c r="G720" s="8">
        <v>44713</v>
      </c>
      <c r="H720" t="s">
        <v>510</v>
      </c>
      <c r="I720" t="s">
        <v>59</v>
      </c>
      <c r="J720" t="s">
        <v>60</v>
      </c>
      <c r="K720" t="s">
        <v>29</v>
      </c>
      <c r="L720" t="s">
        <v>895</v>
      </c>
      <c r="M720" t="s">
        <v>4402</v>
      </c>
      <c r="O720" t="s">
        <v>896</v>
      </c>
      <c r="P720" t="s">
        <v>33</v>
      </c>
      <c r="Q720" s="22">
        <v>144227.6</v>
      </c>
      <c r="R720" t="s">
        <v>35</v>
      </c>
      <c r="S720" t="s">
        <v>35</v>
      </c>
      <c r="T720" t="s">
        <v>35</v>
      </c>
      <c r="U720" t="s">
        <v>35</v>
      </c>
      <c r="V720" t="s">
        <v>645</v>
      </c>
      <c r="W720" t="s">
        <v>113</v>
      </c>
    </row>
    <row r="721" spans="1:23" hidden="1" x14ac:dyDescent="0.25">
      <c r="A721" s="7" t="str">
        <f>IFERROR(VLOOKUP(H721,'Contas Orç'!A:B,2,0),"N/A")</f>
        <v>ENCARGOS SOCIAIS</v>
      </c>
      <c r="B721" s="7" t="str">
        <f t="shared" si="22"/>
        <v>320102 - ENCARGOS SOCIAIS</v>
      </c>
      <c r="C721" s="25">
        <f t="shared" si="23"/>
        <v>44713</v>
      </c>
      <c r="D721" s="27">
        <f>IF(K721="CREDITO",Q721,Q721*-1)</f>
        <v>2428.98</v>
      </c>
      <c r="E721" t="s">
        <v>894</v>
      </c>
      <c r="F721" t="s">
        <v>1214</v>
      </c>
      <c r="G721" s="8">
        <v>44713</v>
      </c>
      <c r="H721" t="s">
        <v>510</v>
      </c>
      <c r="I721" t="s">
        <v>53</v>
      </c>
      <c r="J721" t="s">
        <v>702</v>
      </c>
      <c r="K721" t="s">
        <v>29</v>
      </c>
      <c r="L721" t="s">
        <v>895</v>
      </c>
      <c r="M721" t="s">
        <v>4402</v>
      </c>
      <c r="O721" t="s">
        <v>896</v>
      </c>
      <c r="P721" t="s">
        <v>33</v>
      </c>
      <c r="Q721" s="22">
        <v>2428.98</v>
      </c>
      <c r="R721" t="s">
        <v>35</v>
      </c>
      <c r="S721" t="s">
        <v>35</v>
      </c>
      <c r="T721" t="s">
        <v>35</v>
      </c>
      <c r="U721" t="s">
        <v>35</v>
      </c>
      <c r="V721" t="s">
        <v>645</v>
      </c>
      <c r="W721" t="s">
        <v>113</v>
      </c>
    </row>
    <row r="722" spans="1:23" hidden="1" x14ac:dyDescent="0.25">
      <c r="A722" s="7" t="str">
        <f>IFERROR(VLOOKUP(H722,'Contas Orç'!A:B,2,0),"N/A")</f>
        <v>ENCARGOS SOCIAIS</v>
      </c>
      <c r="B722" s="7" t="str">
        <f t="shared" si="22"/>
        <v>320102 - ENCARGOS SOCIAIS</v>
      </c>
      <c r="C722" s="25">
        <f t="shared" si="23"/>
        <v>44713</v>
      </c>
      <c r="D722" s="27">
        <f>IF(K722="CREDITO",Q722,Q722*-1)</f>
        <v>10120.98</v>
      </c>
      <c r="E722" t="s">
        <v>894</v>
      </c>
      <c r="F722" t="s">
        <v>1215</v>
      </c>
      <c r="G722" s="8">
        <v>44713</v>
      </c>
      <c r="H722" t="s">
        <v>510</v>
      </c>
      <c r="I722" t="s">
        <v>59</v>
      </c>
      <c r="J722" t="s">
        <v>702</v>
      </c>
      <c r="K722" t="s">
        <v>29</v>
      </c>
      <c r="L722" t="s">
        <v>895</v>
      </c>
      <c r="M722" t="s">
        <v>4402</v>
      </c>
      <c r="O722" t="s">
        <v>896</v>
      </c>
      <c r="P722" t="s">
        <v>33</v>
      </c>
      <c r="Q722" s="22">
        <v>10120.98</v>
      </c>
      <c r="R722" t="s">
        <v>35</v>
      </c>
      <c r="S722" t="s">
        <v>35</v>
      </c>
      <c r="T722" t="s">
        <v>35</v>
      </c>
      <c r="U722" t="s">
        <v>35</v>
      </c>
      <c r="V722" t="s">
        <v>645</v>
      </c>
      <c r="W722" t="s">
        <v>113</v>
      </c>
    </row>
    <row r="723" spans="1:23" hidden="1" x14ac:dyDescent="0.25">
      <c r="A723" s="7" t="str">
        <f>IFERROR(VLOOKUP(H723,'Contas Orç'!A:B,2,0),"N/A")</f>
        <v>ENCARGOS SOCIAIS</v>
      </c>
      <c r="B723" s="7" t="str">
        <f t="shared" si="22"/>
        <v>320102 - ENCARGOS SOCIAIS</v>
      </c>
      <c r="C723" s="25">
        <f t="shared" si="23"/>
        <v>44713</v>
      </c>
      <c r="D723" s="27">
        <f>IF(K723="CREDITO",Q723,Q723*-1)</f>
        <v>5228.07</v>
      </c>
      <c r="E723" t="s">
        <v>894</v>
      </c>
      <c r="F723" t="s">
        <v>1216</v>
      </c>
      <c r="G723" s="8">
        <v>44713</v>
      </c>
      <c r="H723" t="s">
        <v>510</v>
      </c>
      <c r="I723" t="s">
        <v>125</v>
      </c>
      <c r="J723" t="s">
        <v>95</v>
      </c>
      <c r="K723" t="s">
        <v>29</v>
      </c>
      <c r="L723" t="s">
        <v>895</v>
      </c>
      <c r="M723" t="s">
        <v>4402</v>
      </c>
      <c r="O723" t="s">
        <v>896</v>
      </c>
      <c r="P723" t="s">
        <v>33</v>
      </c>
      <c r="Q723" s="22">
        <v>5228.07</v>
      </c>
      <c r="R723" t="s">
        <v>35</v>
      </c>
      <c r="S723" t="s">
        <v>35</v>
      </c>
      <c r="T723" t="s">
        <v>35</v>
      </c>
      <c r="U723" t="s">
        <v>35</v>
      </c>
      <c r="V723" t="s">
        <v>645</v>
      </c>
      <c r="W723" t="s">
        <v>113</v>
      </c>
    </row>
    <row r="724" spans="1:23" hidden="1" x14ac:dyDescent="0.25">
      <c r="A724" s="7" t="str">
        <f>IFERROR(VLOOKUP(H724,'Contas Orç'!A:B,2,0),"N/A")</f>
        <v>ENCARGOS SOCIAIS</v>
      </c>
      <c r="B724" s="7" t="str">
        <f t="shared" si="22"/>
        <v>320102 - ENCARGOS SOCIAIS</v>
      </c>
      <c r="C724" s="25">
        <f t="shared" si="23"/>
        <v>44713</v>
      </c>
      <c r="D724" s="27">
        <f>IF(K724="CREDITO",Q724,Q724*-1)</f>
        <v>11273.51</v>
      </c>
      <c r="E724" t="s">
        <v>894</v>
      </c>
      <c r="F724" t="s">
        <v>1217</v>
      </c>
      <c r="G724" s="8">
        <v>44713</v>
      </c>
      <c r="H724" t="s">
        <v>510</v>
      </c>
      <c r="I724" t="s">
        <v>53</v>
      </c>
      <c r="J724" t="s">
        <v>54</v>
      </c>
      <c r="K724" t="s">
        <v>29</v>
      </c>
      <c r="L724" t="s">
        <v>895</v>
      </c>
      <c r="M724" t="s">
        <v>4402</v>
      </c>
      <c r="O724" t="s">
        <v>896</v>
      </c>
      <c r="P724" t="s">
        <v>33</v>
      </c>
      <c r="Q724" s="22">
        <v>11273.51</v>
      </c>
      <c r="R724" t="s">
        <v>35</v>
      </c>
      <c r="S724" t="s">
        <v>35</v>
      </c>
      <c r="T724" t="s">
        <v>35</v>
      </c>
      <c r="U724" t="s">
        <v>35</v>
      </c>
      <c r="V724" t="s">
        <v>645</v>
      </c>
      <c r="W724" t="s">
        <v>113</v>
      </c>
    </row>
    <row r="725" spans="1:23" hidden="1" x14ac:dyDescent="0.25">
      <c r="A725" s="7" t="str">
        <f>IFERROR(VLOOKUP(H725,'Contas Orç'!A:B,2,0),"N/A")</f>
        <v>ENCARGOS SOCIAIS</v>
      </c>
      <c r="B725" s="7" t="str">
        <f t="shared" si="22"/>
        <v>320102 - ENCARGOS SOCIAIS</v>
      </c>
      <c r="C725" s="25">
        <f t="shared" si="23"/>
        <v>44743</v>
      </c>
      <c r="D725" s="27">
        <f>IF(K725="CREDITO",Q725,Q725*-1)</f>
        <v>109.64</v>
      </c>
      <c r="E725" t="s">
        <v>894</v>
      </c>
      <c r="F725" t="s">
        <v>1218</v>
      </c>
      <c r="G725" s="8">
        <v>44743</v>
      </c>
      <c r="H725" t="s">
        <v>510</v>
      </c>
      <c r="I725" t="s">
        <v>53</v>
      </c>
      <c r="J725" t="s">
        <v>28</v>
      </c>
      <c r="K725" t="s">
        <v>29</v>
      </c>
      <c r="L725" t="s">
        <v>895</v>
      </c>
      <c r="M725" t="s">
        <v>4402</v>
      </c>
      <c r="O725" t="s">
        <v>896</v>
      </c>
      <c r="P725" t="s">
        <v>33</v>
      </c>
      <c r="Q725">
        <v>109.64</v>
      </c>
      <c r="R725" t="s">
        <v>35</v>
      </c>
      <c r="S725" t="s">
        <v>35</v>
      </c>
      <c r="T725" t="s">
        <v>35</v>
      </c>
      <c r="U725" t="s">
        <v>35</v>
      </c>
      <c r="V725" t="s">
        <v>645</v>
      </c>
      <c r="W725" t="s">
        <v>113</v>
      </c>
    </row>
    <row r="726" spans="1:23" hidden="1" x14ac:dyDescent="0.25">
      <c r="A726" s="7" t="str">
        <f>IFERROR(VLOOKUP(H726,'Contas Orç'!A:B,2,0),"N/A")</f>
        <v>ENCARGOS SOCIAIS</v>
      </c>
      <c r="B726" s="7" t="str">
        <f t="shared" si="22"/>
        <v>320102 - ENCARGOS SOCIAIS</v>
      </c>
      <c r="C726" s="25">
        <f t="shared" si="23"/>
        <v>44743</v>
      </c>
      <c r="D726" s="27">
        <f>IF(K726="CREDITO",Q726,Q726*-1)</f>
        <v>9584.7099999999991</v>
      </c>
      <c r="E726" t="s">
        <v>894</v>
      </c>
      <c r="F726" t="s">
        <v>1219</v>
      </c>
      <c r="G726" s="8">
        <v>44743</v>
      </c>
      <c r="H726" t="s">
        <v>510</v>
      </c>
      <c r="I726" t="s">
        <v>88</v>
      </c>
      <c r="J726" t="s">
        <v>28</v>
      </c>
      <c r="K726" t="s">
        <v>29</v>
      </c>
      <c r="L726" t="s">
        <v>895</v>
      </c>
      <c r="M726" t="s">
        <v>4402</v>
      </c>
      <c r="O726" t="s">
        <v>896</v>
      </c>
      <c r="P726" t="s">
        <v>33</v>
      </c>
      <c r="Q726" s="22">
        <v>9584.7099999999991</v>
      </c>
      <c r="R726" t="s">
        <v>35</v>
      </c>
      <c r="S726" t="s">
        <v>35</v>
      </c>
      <c r="T726" t="s">
        <v>35</v>
      </c>
      <c r="U726" t="s">
        <v>35</v>
      </c>
      <c r="V726" t="s">
        <v>645</v>
      </c>
      <c r="W726" t="s">
        <v>113</v>
      </c>
    </row>
    <row r="727" spans="1:23" hidden="1" x14ac:dyDescent="0.25">
      <c r="A727" s="7" t="str">
        <f>IFERROR(VLOOKUP(H727,'Contas Orç'!A:B,2,0),"N/A")</f>
        <v>ENCARGOS SOCIAIS</v>
      </c>
      <c r="B727" s="7" t="str">
        <f t="shared" si="22"/>
        <v>320102 - ENCARGOS SOCIAIS</v>
      </c>
      <c r="C727" s="25">
        <f t="shared" si="23"/>
        <v>44743</v>
      </c>
      <c r="D727" s="27">
        <f>IF(K727="CREDITO",Q727,Q727*-1)</f>
        <v>25515.599999999999</v>
      </c>
      <c r="E727" t="s">
        <v>894</v>
      </c>
      <c r="F727" t="s">
        <v>1220</v>
      </c>
      <c r="G727" s="8">
        <v>44743</v>
      </c>
      <c r="H727" t="s">
        <v>510</v>
      </c>
      <c r="I727" t="s">
        <v>27</v>
      </c>
      <c r="J727" t="s">
        <v>28</v>
      </c>
      <c r="K727" t="s">
        <v>29</v>
      </c>
      <c r="L727" t="s">
        <v>895</v>
      </c>
      <c r="M727" t="s">
        <v>4402</v>
      </c>
      <c r="O727" t="s">
        <v>896</v>
      </c>
      <c r="P727" t="s">
        <v>33</v>
      </c>
      <c r="Q727" s="22">
        <v>25515.599999999999</v>
      </c>
      <c r="R727" t="s">
        <v>35</v>
      </c>
      <c r="S727" t="s">
        <v>35</v>
      </c>
      <c r="T727" t="s">
        <v>35</v>
      </c>
      <c r="U727" t="s">
        <v>35</v>
      </c>
      <c r="V727" t="s">
        <v>645</v>
      </c>
      <c r="W727" t="s">
        <v>113</v>
      </c>
    </row>
    <row r="728" spans="1:23" hidden="1" x14ac:dyDescent="0.25">
      <c r="A728" s="7" t="str">
        <f>IFERROR(VLOOKUP(H728,'Contas Orç'!A:B,2,0),"N/A")</f>
        <v>ENCARGOS SOCIAIS</v>
      </c>
      <c r="B728" s="7" t="str">
        <f t="shared" si="22"/>
        <v>320102 - ENCARGOS SOCIAIS</v>
      </c>
      <c r="C728" s="25">
        <f t="shared" si="23"/>
        <v>44743</v>
      </c>
      <c r="D728" s="27">
        <f>IF(K728="CREDITO",Q728,Q728*-1)</f>
        <v>7650.82</v>
      </c>
      <c r="E728" t="s">
        <v>894</v>
      </c>
      <c r="F728" t="s">
        <v>1221</v>
      </c>
      <c r="G728" s="8">
        <v>44743</v>
      </c>
      <c r="H728" t="s">
        <v>510</v>
      </c>
      <c r="I728" t="s">
        <v>53</v>
      </c>
      <c r="J728" t="s">
        <v>60</v>
      </c>
      <c r="K728" t="s">
        <v>29</v>
      </c>
      <c r="L728" t="s">
        <v>895</v>
      </c>
      <c r="M728" t="s">
        <v>4402</v>
      </c>
      <c r="O728" t="s">
        <v>896</v>
      </c>
      <c r="P728" t="s">
        <v>33</v>
      </c>
      <c r="Q728" s="22">
        <v>7650.82</v>
      </c>
      <c r="R728" t="s">
        <v>35</v>
      </c>
      <c r="S728" t="s">
        <v>35</v>
      </c>
      <c r="T728" t="s">
        <v>35</v>
      </c>
      <c r="U728" t="s">
        <v>35</v>
      </c>
      <c r="V728" t="s">
        <v>645</v>
      </c>
      <c r="W728" t="s">
        <v>113</v>
      </c>
    </row>
    <row r="729" spans="1:23" hidden="1" x14ac:dyDescent="0.25">
      <c r="A729" s="7" t="str">
        <f>IFERROR(VLOOKUP(H729,'Contas Orç'!A:B,2,0),"N/A")</f>
        <v>ENCARGOS SOCIAIS</v>
      </c>
      <c r="B729" s="7" t="str">
        <f t="shared" si="22"/>
        <v>320102 - ENCARGOS SOCIAIS</v>
      </c>
      <c r="C729" s="25">
        <f t="shared" si="23"/>
        <v>44743</v>
      </c>
      <c r="D729" s="27">
        <f>IF(K729="CREDITO",Q729,Q729*-1)</f>
        <v>34196.400000000001</v>
      </c>
      <c r="E729" t="s">
        <v>894</v>
      </c>
      <c r="F729" t="s">
        <v>1222</v>
      </c>
      <c r="G729" s="8">
        <v>44743</v>
      </c>
      <c r="H729" t="s">
        <v>510</v>
      </c>
      <c r="I729" t="s">
        <v>106</v>
      </c>
      <c r="J729" t="s">
        <v>60</v>
      </c>
      <c r="K729" t="s">
        <v>29</v>
      </c>
      <c r="L729" t="s">
        <v>895</v>
      </c>
      <c r="M729" t="s">
        <v>4402</v>
      </c>
      <c r="O729" t="s">
        <v>896</v>
      </c>
      <c r="P729" t="s">
        <v>33</v>
      </c>
      <c r="Q729" s="22">
        <v>34196.400000000001</v>
      </c>
      <c r="R729" t="s">
        <v>35</v>
      </c>
      <c r="S729" t="s">
        <v>35</v>
      </c>
      <c r="T729" t="s">
        <v>35</v>
      </c>
      <c r="U729" t="s">
        <v>35</v>
      </c>
      <c r="V729" t="s">
        <v>645</v>
      </c>
      <c r="W729" t="s">
        <v>113</v>
      </c>
    </row>
    <row r="730" spans="1:23" hidden="1" x14ac:dyDescent="0.25">
      <c r="A730" s="7" t="str">
        <f>IFERROR(VLOOKUP(H730,'Contas Orç'!A:B,2,0),"N/A")</f>
        <v>ENCARGOS SOCIAIS</v>
      </c>
      <c r="B730" s="7" t="str">
        <f t="shared" si="22"/>
        <v>320102 - ENCARGOS SOCIAIS</v>
      </c>
      <c r="C730" s="25">
        <f t="shared" si="23"/>
        <v>44743</v>
      </c>
      <c r="D730" s="27">
        <f>IF(K730="CREDITO",Q730,Q730*-1)</f>
        <v>141263.67000000001</v>
      </c>
      <c r="E730" t="s">
        <v>894</v>
      </c>
      <c r="F730" t="s">
        <v>1223</v>
      </c>
      <c r="G730" s="8">
        <v>44743</v>
      </c>
      <c r="H730" t="s">
        <v>510</v>
      </c>
      <c r="I730" t="s">
        <v>59</v>
      </c>
      <c r="J730" t="s">
        <v>60</v>
      </c>
      <c r="K730" t="s">
        <v>29</v>
      </c>
      <c r="L730" t="s">
        <v>895</v>
      </c>
      <c r="M730" t="s">
        <v>4402</v>
      </c>
      <c r="O730" t="s">
        <v>896</v>
      </c>
      <c r="P730" t="s">
        <v>33</v>
      </c>
      <c r="Q730" s="22">
        <v>141263.67000000001</v>
      </c>
      <c r="R730" t="s">
        <v>35</v>
      </c>
      <c r="S730" t="s">
        <v>35</v>
      </c>
      <c r="T730" t="s">
        <v>35</v>
      </c>
      <c r="U730" t="s">
        <v>35</v>
      </c>
      <c r="V730" t="s">
        <v>645</v>
      </c>
      <c r="W730" t="s">
        <v>113</v>
      </c>
    </row>
    <row r="731" spans="1:23" hidden="1" x14ac:dyDescent="0.25">
      <c r="A731" s="7" t="str">
        <f>IFERROR(VLOOKUP(H731,'Contas Orç'!A:B,2,0),"N/A")</f>
        <v>ENCARGOS SOCIAIS</v>
      </c>
      <c r="B731" s="7" t="str">
        <f t="shared" si="22"/>
        <v>320102 - ENCARGOS SOCIAIS</v>
      </c>
      <c r="C731" s="25">
        <f t="shared" si="23"/>
        <v>44743</v>
      </c>
      <c r="D731" s="27">
        <f>IF(K731="CREDITO",Q731,Q731*-1)</f>
        <v>2279.56</v>
      </c>
      <c r="E731" t="s">
        <v>894</v>
      </c>
      <c r="F731" t="s">
        <v>1224</v>
      </c>
      <c r="G731" s="8">
        <v>44743</v>
      </c>
      <c r="H731" t="s">
        <v>510</v>
      </c>
      <c r="I731" t="s">
        <v>53</v>
      </c>
      <c r="J731" t="s">
        <v>702</v>
      </c>
      <c r="K731" t="s">
        <v>29</v>
      </c>
      <c r="L731" t="s">
        <v>895</v>
      </c>
      <c r="M731" t="s">
        <v>4402</v>
      </c>
      <c r="O731" t="s">
        <v>896</v>
      </c>
      <c r="P731" t="s">
        <v>33</v>
      </c>
      <c r="Q731" s="22">
        <v>2279.56</v>
      </c>
      <c r="R731" t="s">
        <v>35</v>
      </c>
      <c r="S731" t="s">
        <v>35</v>
      </c>
      <c r="T731" t="s">
        <v>35</v>
      </c>
      <c r="U731" t="s">
        <v>35</v>
      </c>
      <c r="V731" t="s">
        <v>645</v>
      </c>
      <c r="W731" t="s">
        <v>113</v>
      </c>
    </row>
    <row r="732" spans="1:23" hidden="1" x14ac:dyDescent="0.25">
      <c r="A732" s="7" t="str">
        <f>IFERROR(VLOOKUP(H732,'Contas Orç'!A:B,2,0),"N/A")</f>
        <v>ENCARGOS SOCIAIS</v>
      </c>
      <c r="B732" s="7" t="str">
        <f t="shared" si="22"/>
        <v>320102 - ENCARGOS SOCIAIS</v>
      </c>
      <c r="C732" s="25">
        <f t="shared" si="23"/>
        <v>44743</v>
      </c>
      <c r="D732" s="27">
        <f>IF(K732="CREDITO",Q732,Q732*-1)</f>
        <v>10264.99</v>
      </c>
      <c r="E732" t="s">
        <v>894</v>
      </c>
      <c r="F732" t="s">
        <v>1225</v>
      </c>
      <c r="G732" s="8">
        <v>44743</v>
      </c>
      <c r="H732" t="s">
        <v>510</v>
      </c>
      <c r="I732" t="s">
        <v>59</v>
      </c>
      <c r="J732" t="s">
        <v>702</v>
      </c>
      <c r="K732" t="s">
        <v>29</v>
      </c>
      <c r="L732" t="s">
        <v>895</v>
      </c>
      <c r="M732" t="s">
        <v>4402</v>
      </c>
      <c r="O732" t="s">
        <v>896</v>
      </c>
      <c r="P732" t="s">
        <v>33</v>
      </c>
      <c r="Q732" s="22">
        <v>10264.99</v>
      </c>
      <c r="R732" t="s">
        <v>35</v>
      </c>
      <c r="S732" t="s">
        <v>35</v>
      </c>
      <c r="T732" t="s">
        <v>35</v>
      </c>
      <c r="U732" t="s">
        <v>35</v>
      </c>
      <c r="V732" t="s">
        <v>645</v>
      </c>
      <c r="W732" t="s">
        <v>113</v>
      </c>
    </row>
    <row r="733" spans="1:23" hidden="1" x14ac:dyDescent="0.25">
      <c r="A733" s="7" t="str">
        <f>IFERROR(VLOOKUP(H733,'Contas Orç'!A:B,2,0),"N/A")</f>
        <v>ENCARGOS SOCIAIS</v>
      </c>
      <c r="B733" s="7" t="str">
        <f t="shared" si="22"/>
        <v>320102 - ENCARGOS SOCIAIS</v>
      </c>
      <c r="C733" s="25">
        <f t="shared" si="23"/>
        <v>44743</v>
      </c>
      <c r="D733" s="27">
        <f>IF(K733="CREDITO",Q733,Q733*-1)</f>
        <v>4798.37</v>
      </c>
      <c r="E733" t="s">
        <v>894</v>
      </c>
      <c r="F733" t="s">
        <v>1226</v>
      </c>
      <c r="G733" s="8">
        <v>44743</v>
      </c>
      <c r="H733" t="s">
        <v>510</v>
      </c>
      <c r="I733" t="s">
        <v>125</v>
      </c>
      <c r="J733" t="s">
        <v>95</v>
      </c>
      <c r="K733" t="s">
        <v>29</v>
      </c>
      <c r="L733" t="s">
        <v>895</v>
      </c>
      <c r="M733" t="s">
        <v>4402</v>
      </c>
      <c r="O733" t="s">
        <v>896</v>
      </c>
      <c r="P733" t="s">
        <v>33</v>
      </c>
      <c r="Q733" s="22">
        <v>4798.37</v>
      </c>
      <c r="R733" t="s">
        <v>35</v>
      </c>
      <c r="S733" t="s">
        <v>35</v>
      </c>
      <c r="T733" t="s">
        <v>35</v>
      </c>
      <c r="U733" t="s">
        <v>35</v>
      </c>
      <c r="V733" t="s">
        <v>645</v>
      </c>
      <c r="W733" t="s">
        <v>113</v>
      </c>
    </row>
    <row r="734" spans="1:23" hidden="1" x14ac:dyDescent="0.25">
      <c r="A734" s="7" t="str">
        <f>IFERROR(VLOOKUP(H734,'Contas Orç'!A:B,2,0),"N/A")</f>
        <v>ENCARGOS SOCIAIS</v>
      </c>
      <c r="B734" s="7" t="str">
        <f t="shared" si="22"/>
        <v>320102 - ENCARGOS SOCIAIS</v>
      </c>
      <c r="C734" s="25">
        <f t="shared" si="23"/>
        <v>44743</v>
      </c>
      <c r="D734" s="27">
        <f>IF(K734="CREDITO",Q734,Q734*-1)</f>
        <v>10730.06</v>
      </c>
      <c r="E734" t="s">
        <v>894</v>
      </c>
      <c r="F734" t="s">
        <v>1227</v>
      </c>
      <c r="G734" s="8">
        <v>44743</v>
      </c>
      <c r="H734" t="s">
        <v>510</v>
      </c>
      <c r="I734" t="s">
        <v>53</v>
      </c>
      <c r="J734" t="s">
        <v>54</v>
      </c>
      <c r="K734" t="s">
        <v>29</v>
      </c>
      <c r="L734" t="s">
        <v>895</v>
      </c>
      <c r="M734" t="s">
        <v>4402</v>
      </c>
      <c r="O734" t="s">
        <v>896</v>
      </c>
      <c r="P734" t="s">
        <v>33</v>
      </c>
      <c r="Q734" s="22">
        <v>10730.06</v>
      </c>
      <c r="R734" t="s">
        <v>35</v>
      </c>
      <c r="S734" t="s">
        <v>35</v>
      </c>
      <c r="T734" t="s">
        <v>35</v>
      </c>
      <c r="U734" t="s">
        <v>35</v>
      </c>
      <c r="V734" t="s">
        <v>645</v>
      </c>
      <c r="W734" t="s">
        <v>113</v>
      </c>
    </row>
    <row r="735" spans="1:23" hidden="1" x14ac:dyDescent="0.25">
      <c r="A735" s="7" t="str">
        <f>IFERROR(VLOOKUP(H735,'Contas Orç'!A:B,2,0),"N/A")</f>
        <v>ENCARGOS SOCIAIS</v>
      </c>
      <c r="B735" s="7" t="str">
        <f t="shared" si="22"/>
        <v>320102 - ENCARGOS SOCIAIS</v>
      </c>
      <c r="C735" s="25">
        <f t="shared" si="23"/>
        <v>44774</v>
      </c>
      <c r="D735" s="27">
        <f>IF(K735="CREDITO",Q735,Q735*-1)</f>
        <v>105.22</v>
      </c>
      <c r="E735" t="s">
        <v>894</v>
      </c>
      <c r="F735" t="s">
        <v>1228</v>
      </c>
      <c r="G735" s="8">
        <v>44774</v>
      </c>
      <c r="H735" t="s">
        <v>510</v>
      </c>
      <c r="I735" t="s">
        <v>53</v>
      </c>
      <c r="J735" t="s">
        <v>28</v>
      </c>
      <c r="K735" t="s">
        <v>29</v>
      </c>
      <c r="L735" t="s">
        <v>895</v>
      </c>
      <c r="M735" t="s">
        <v>4402</v>
      </c>
      <c r="O735" t="s">
        <v>896</v>
      </c>
      <c r="P735" t="s">
        <v>33</v>
      </c>
      <c r="Q735">
        <v>105.22</v>
      </c>
      <c r="R735" t="s">
        <v>35</v>
      </c>
      <c r="S735" t="s">
        <v>35</v>
      </c>
      <c r="T735" t="s">
        <v>35</v>
      </c>
      <c r="U735" t="s">
        <v>35</v>
      </c>
      <c r="V735" t="s">
        <v>645</v>
      </c>
      <c r="W735" t="s">
        <v>113</v>
      </c>
    </row>
    <row r="736" spans="1:23" hidden="1" x14ac:dyDescent="0.25">
      <c r="A736" s="7" t="str">
        <f>IFERROR(VLOOKUP(H736,'Contas Orç'!A:B,2,0),"N/A")</f>
        <v>ENCARGOS SOCIAIS</v>
      </c>
      <c r="B736" s="7" t="str">
        <f t="shared" si="22"/>
        <v>320102 - ENCARGOS SOCIAIS</v>
      </c>
      <c r="C736" s="25">
        <f t="shared" si="23"/>
        <v>44774</v>
      </c>
      <c r="D736" s="27">
        <f>IF(K736="CREDITO",Q736,Q736*-1)</f>
        <v>9865.0400000000009</v>
      </c>
      <c r="E736" t="s">
        <v>894</v>
      </c>
      <c r="F736" t="s">
        <v>1229</v>
      </c>
      <c r="G736" s="8">
        <v>44774</v>
      </c>
      <c r="H736" t="s">
        <v>510</v>
      </c>
      <c r="I736" t="s">
        <v>88</v>
      </c>
      <c r="J736" t="s">
        <v>28</v>
      </c>
      <c r="K736" t="s">
        <v>29</v>
      </c>
      <c r="L736" t="s">
        <v>895</v>
      </c>
      <c r="M736" t="s">
        <v>4402</v>
      </c>
      <c r="O736" t="s">
        <v>896</v>
      </c>
      <c r="P736" t="s">
        <v>33</v>
      </c>
      <c r="Q736" s="22">
        <v>9865.0400000000009</v>
      </c>
      <c r="R736" t="s">
        <v>35</v>
      </c>
      <c r="S736" t="s">
        <v>35</v>
      </c>
      <c r="T736" t="s">
        <v>35</v>
      </c>
      <c r="U736" t="s">
        <v>35</v>
      </c>
      <c r="V736" t="s">
        <v>645</v>
      </c>
      <c r="W736" t="s">
        <v>113</v>
      </c>
    </row>
    <row r="737" spans="1:23" hidden="1" x14ac:dyDescent="0.25">
      <c r="A737" s="7" t="str">
        <f>IFERROR(VLOOKUP(H737,'Contas Orç'!A:B,2,0),"N/A")</f>
        <v>ENCARGOS SOCIAIS</v>
      </c>
      <c r="B737" s="7" t="str">
        <f t="shared" si="22"/>
        <v>320102 - ENCARGOS SOCIAIS</v>
      </c>
      <c r="C737" s="25">
        <f t="shared" si="23"/>
        <v>44774</v>
      </c>
      <c r="D737" s="27">
        <f>IF(K737="CREDITO",Q737,Q737*-1)</f>
        <v>18444.96</v>
      </c>
      <c r="E737" t="s">
        <v>894</v>
      </c>
      <c r="F737" t="s">
        <v>1230</v>
      </c>
      <c r="G737" s="8">
        <v>44774</v>
      </c>
      <c r="H737" t="s">
        <v>510</v>
      </c>
      <c r="I737" t="s">
        <v>27</v>
      </c>
      <c r="J737" t="s">
        <v>28</v>
      </c>
      <c r="K737" t="s">
        <v>29</v>
      </c>
      <c r="L737" t="s">
        <v>895</v>
      </c>
      <c r="M737" t="s">
        <v>4402</v>
      </c>
      <c r="O737" t="s">
        <v>896</v>
      </c>
      <c r="P737" t="s">
        <v>33</v>
      </c>
      <c r="Q737" s="22">
        <v>18444.96</v>
      </c>
      <c r="R737" t="s">
        <v>35</v>
      </c>
      <c r="S737" t="s">
        <v>35</v>
      </c>
      <c r="T737" t="s">
        <v>35</v>
      </c>
      <c r="U737" t="s">
        <v>35</v>
      </c>
      <c r="V737" t="s">
        <v>645</v>
      </c>
      <c r="W737" t="s">
        <v>113</v>
      </c>
    </row>
    <row r="738" spans="1:23" hidden="1" x14ac:dyDescent="0.25">
      <c r="A738" s="7" t="str">
        <f>IFERROR(VLOOKUP(H738,'Contas Orç'!A:B,2,0),"N/A")</f>
        <v>ENCARGOS SOCIAIS</v>
      </c>
      <c r="B738" s="7" t="str">
        <f t="shared" si="22"/>
        <v>320102 - ENCARGOS SOCIAIS</v>
      </c>
      <c r="C738" s="25">
        <f t="shared" si="23"/>
        <v>44774</v>
      </c>
      <c r="D738" s="27">
        <f>IF(K738="CREDITO",Q738,Q738*-1)</f>
        <v>7646.62</v>
      </c>
      <c r="E738" t="s">
        <v>894</v>
      </c>
      <c r="F738" t="s">
        <v>1231</v>
      </c>
      <c r="G738" s="8">
        <v>44774</v>
      </c>
      <c r="H738" t="s">
        <v>510</v>
      </c>
      <c r="I738" t="s">
        <v>53</v>
      </c>
      <c r="J738" t="s">
        <v>60</v>
      </c>
      <c r="K738" t="s">
        <v>29</v>
      </c>
      <c r="L738" t="s">
        <v>895</v>
      </c>
      <c r="M738" t="s">
        <v>4402</v>
      </c>
      <c r="O738" t="s">
        <v>896</v>
      </c>
      <c r="P738" t="s">
        <v>33</v>
      </c>
      <c r="Q738" s="22">
        <v>7646.62</v>
      </c>
      <c r="R738" t="s">
        <v>35</v>
      </c>
      <c r="S738" t="s">
        <v>35</v>
      </c>
      <c r="T738" t="s">
        <v>35</v>
      </c>
      <c r="U738" t="s">
        <v>35</v>
      </c>
      <c r="V738" t="s">
        <v>645</v>
      </c>
      <c r="W738" t="s">
        <v>113</v>
      </c>
    </row>
    <row r="739" spans="1:23" hidden="1" x14ac:dyDescent="0.25">
      <c r="A739" s="7" t="str">
        <f>IFERROR(VLOOKUP(H739,'Contas Orç'!A:B,2,0),"N/A")</f>
        <v>ENCARGOS SOCIAIS</v>
      </c>
      <c r="B739" s="7" t="str">
        <f t="shared" si="22"/>
        <v>320102 - ENCARGOS SOCIAIS</v>
      </c>
      <c r="C739" s="25">
        <f t="shared" si="23"/>
        <v>44774</v>
      </c>
      <c r="D739" s="27">
        <f>IF(K739="CREDITO",Q739,Q739*-1)</f>
        <v>33742.050000000003</v>
      </c>
      <c r="E739" t="s">
        <v>894</v>
      </c>
      <c r="F739" t="s">
        <v>1232</v>
      </c>
      <c r="G739" s="8">
        <v>44774</v>
      </c>
      <c r="H739" t="s">
        <v>510</v>
      </c>
      <c r="I739" t="s">
        <v>106</v>
      </c>
      <c r="J739" t="s">
        <v>60</v>
      </c>
      <c r="K739" t="s">
        <v>29</v>
      </c>
      <c r="L739" t="s">
        <v>895</v>
      </c>
      <c r="M739" t="s">
        <v>4402</v>
      </c>
      <c r="O739" t="s">
        <v>896</v>
      </c>
      <c r="P739" t="s">
        <v>33</v>
      </c>
      <c r="Q739" s="22">
        <v>33742.050000000003</v>
      </c>
      <c r="R739" t="s">
        <v>35</v>
      </c>
      <c r="S739" t="s">
        <v>35</v>
      </c>
      <c r="T739" t="s">
        <v>35</v>
      </c>
      <c r="U739" t="s">
        <v>35</v>
      </c>
      <c r="V739" t="s">
        <v>645</v>
      </c>
      <c r="W739" t="s">
        <v>113</v>
      </c>
    </row>
    <row r="740" spans="1:23" hidden="1" x14ac:dyDescent="0.25">
      <c r="A740" s="7" t="str">
        <f>IFERROR(VLOOKUP(H740,'Contas Orç'!A:B,2,0),"N/A")</f>
        <v>ENCARGOS SOCIAIS</v>
      </c>
      <c r="B740" s="7" t="str">
        <f t="shared" si="22"/>
        <v>320102 - ENCARGOS SOCIAIS</v>
      </c>
      <c r="C740" s="25">
        <f t="shared" si="23"/>
        <v>44774</v>
      </c>
      <c r="D740" s="27">
        <f>IF(K740="CREDITO",Q740,Q740*-1)</f>
        <v>145411.26999999999</v>
      </c>
      <c r="E740" t="s">
        <v>894</v>
      </c>
      <c r="F740" t="s">
        <v>1233</v>
      </c>
      <c r="G740" s="8">
        <v>44774</v>
      </c>
      <c r="H740" t="s">
        <v>510</v>
      </c>
      <c r="I740" t="s">
        <v>59</v>
      </c>
      <c r="J740" t="s">
        <v>60</v>
      </c>
      <c r="K740" t="s">
        <v>29</v>
      </c>
      <c r="L740" t="s">
        <v>895</v>
      </c>
      <c r="M740" t="s">
        <v>4402</v>
      </c>
      <c r="O740" t="s">
        <v>896</v>
      </c>
      <c r="P740" t="s">
        <v>33</v>
      </c>
      <c r="Q740" s="22">
        <v>145411.26999999999</v>
      </c>
      <c r="R740" t="s">
        <v>35</v>
      </c>
      <c r="S740" t="s">
        <v>35</v>
      </c>
      <c r="T740" t="s">
        <v>35</v>
      </c>
      <c r="U740" t="s">
        <v>35</v>
      </c>
      <c r="V740" t="s">
        <v>645</v>
      </c>
      <c r="W740" t="s">
        <v>113</v>
      </c>
    </row>
    <row r="741" spans="1:23" hidden="1" x14ac:dyDescent="0.25">
      <c r="A741" s="7" t="str">
        <f>IFERROR(VLOOKUP(H741,'Contas Orç'!A:B,2,0),"N/A")</f>
        <v>ENCARGOS SOCIAIS</v>
      </c>
      <c r="B741" s="7" t="str">
        <f t="shared" si="22"/>
        <v>320102 - ENCARGOS SOCIAIS</v>
      </c>
      <c r="C741" s="25">
        <f t="shared" si="23"/>
        <v>44774</v>
      </c>
      <c r="D741" s="27">
        <f>IF(K741="CREDITO",Q741,Q741*-1)</f>
        <v>2279.58</v>
      </c>
      <c r="E741" t="s">
        <v>894</v>
      </c>
      <c r="F741" t="s">
        <v>1234</v>
      </c>
      <c r="G741" s="8">
        <v>44774</v>
      </c>
      <c r="H741" t="s">
        <v>510</v>
      </c>
      <c r="I741" t="s">
        <v>53</v>
      </c>
      <c r="J741" t="s">
        <v>702</v>
      </c>
      <c r="K741" t="s">
        <v>29</v>
      </c>
      <c r="L741" t="s">
        <v>895</v>
      </c>
      <c r="M741" t="s">
        <v>4402</v>
      </c>
      <c r="O741" t="s">
        <v>896</v>
      </c>
      <c r="P741" t="s">
        <v>33</v>
      </c>
      <c r="Q741" s="22">
        <v>2279.58</v>
      </c>
      <c r="R741" t="s">
        <v>35</v>
      </c>
      <c r="S741" t="s">
        <v>35</v>
      </c>
      <c r="T741" t="s">
        <v>35</v>
      </c>
      <c r="U741" t="s">
        <v>35</v>
      </c>
      <c r="V741" t="s">
        <v>645</v>
      </c>
      <c r="W741" t="s">
        <v>113</v>
      </c>
    </row>
    <row r="742" spans="1:23" hidden="1" x14ac:dyDescent="0.25">
      <c r="A742" s="7" t="str">
        <f>IFERROR(VLOOKUP(H742,'Contas Orç'!A:B,2,0),"N/A")</f>
        <v>ENCARGOS SOCIAIS</v>
      </c>
      <c r="B742" s="7" t="str">
        <f t="shared" si="22"/>
        <v>320102 - ENCARGOS SOCIAIS</v>
      </c>
      <c r="C742" s="25">
        <f t="shared" si="23"/>
        <v>44774</v>
      </c>
      <c r="D742" s="27">
        <f>IF(K742="CREDITO",Q742,Q742*-1)</f>
        <v>10468.74</v>
      </c>
      <c r="E742" t="s">
        <v>894</v>
      </c>
      <c r="F742" t="s">
        <v>1235</v>
      </c>
      <c r="G742" s="8">
        <v>44774</v>
      </c>
      <c r="H742" t="s">
        <v>510</v>
      </c>
      <c r="I742" t="s">
        <v>59</v>
      </c>
      <c r="J742" t="s">
        <v>702</v>
      </c>
      <c r="K742" t="s">
        <v>29</v>
      </c>
      <c r="L742" t="s">
        <v>895</v>
      </c>
      <c r="M742" t="s">
        <v>4402</v>
      </c>
      <c r="O742" t="s">
        <v>896</v>
      </c>
      <c r="P742" t="s">
        <v>33</v>
      </c>
      <c r="Q742" s="22">
        <v>10468.74</v>
      </c>
      <c r="R742" t="s">
        <v>35</v>
      </c>
      <c r="S742" t="s">
        <v>35</v>
      </c>
      <c r="T742" t="s">
        <v>35</v>
      </c>
      <c r="U742" t="s">
        <v>35</v>
      </c>
      <c r="V742" t="s">
        <v>645</v>
      </c>
      <c r="W742" t="s">
        <v>113</v>
      </c>
    </row>
    <row r="743" spans="1:23" hidden="1" x14ac:dyDescent="0.25">
      <c r="A743" s="7" t="str">
        <f>IFERROR(VLOOKUP(H743,'Contas Orç'!A:B,2,0),"N/A")</f>
        <v>ENCARGOS SOCIAIS</v>
      </c>
      <c r="B743" s="7" t="str">
        <f t="shared" si="22"/>
        <v>320102 - ENCARGOS SOCIAIS</v>
      </c>
      <c r="C743" s="25">
        <f t="shared" si="23"/>
        <v>44774</v>
      </c>
      <c r="D743" s="27">
        <f>IF(K743="CREDITO",Q743,Q743*-1)</f>
        <v>4730.29</v>
      </c>
      <c r="E743" t="s">
        <v>894</v>
      </c>
      <c r="F743" t="s">
        <v>1236</v>
      </c>
      <c r="G743" s="8">
        <v>44774</v>
      </c>
      <c r="H743" t="s">
        <v>510</v>
      </c>
      <c r="I743" t="s">
        <v>125</v>
      </c>
      <c r="J743" t="s">
        <v>95</v>
      </c>
      <c r="K743" t="s">
        <v>29</v>
      </c>
      <c r="L743" t="s">
        <v>895</v>
      </c>
      <c r="M743" t="s">
        <v>4402</v>
      </c>
      <c r="O743" t="s">
        <v>896</v>
      </c>
      <c r="P743" t="s">
        <v>33</v>
      </c>
      <c r="Q743" s="22">
        <v>4730.29</v>
      </c>
      <c r="R743" t="s">
        <v>35</v>
      </c>
      <c r="S743" t="s">
        <v>35</v>
      </c>
      <c r="T743" t="s">
        <v>35</v>
      </c>
      <c r="U743" t="s">
        <v>35</v>
      </c>
      <c r="V743" t="s">
        <v>645</v>
      </c>
      <c r="W743" t="s">
        <v>113</v>
      </c>
    </row>
    <row r="744" spans="1:23" hidden="1" x14ac:dyDescent="0.25">
      <c r="A744" s="7" t="str">
        <f>IFERROR(VLOOKUP(H744,'Contas Orç'!A:B,2,0),"N/A")</f>
        <v>ENCARGOS SOCIAIS</v>
      </c>
      <c r="B744" s="7" t="str">
        <f t="shared" si="22"/>
        <v>320102 - ENCARGOS SOCIAIS</v>
      </c>
      <c r="C744" s="25">
        <f t="shared" si="23"/>
        <v>44774</v>
      </c>
      <c r="D744" s="27">
        <f>IF(K744="CREDITO",Q744,Q744*-1)</f>
        <v>11225.65</v>
      </c>
      <c r="E744" t="s">
        <v>894</v>
      </c>
      <c r="F744" t="s">
        <v>1237</v>
      </c>
      <c r="G744" s="8">
        <v>44774</v>
      </c>
      <c r="H744" t="s">
        <v>510</v>
      </c>
      <c r="I744" t="s">
        <v>53</v>
      </c>
      <c r="J744" t="s">
        <v>54</v>
      </c>
      <c r="K744" t="s">
        <v>29</v>
      </c>
      <c r="L744" t="s">
        <v>895</v>
      </c>
      <c r="M744" t="s">
        <v>4402</v>
      </c>
      <c r="O744" t="s">
        <v>896</v>
      </c>
      <c r="P744" t="s">
        <v>33</v>
      </c>
      <c r="Q744" s="22">
        <v>11225.65</v>
      </c>
      <c r="R744" t="s">
        <v>35</v>
      </c>
      <c r="S744" t="s">
        <v>35</v>
      </c>
      <c r="T744" t="s">
        <v>35</v>
      </c>
      <c r="U744" t="s">
        <v>35</v>
      </c>
      <c r="V744" t="s">
        <v>645</v>
      </c>
      <c r="W744" t="s">
        <v>113</v>
      </c>
    </row>
    <row r="745" spans="1:23" hidden="1" x14ac:dyDescent="0.25">
      <c r="A745" s="7" t="str">
        <f>IFERROR(VLOOKUP(H745,'Contas Orç'!A:B,2,0),"N/A")</f>
        <v>ENCARGOS SOCIAIS</v>
      </c>
      <c r="B745" s="7" t="str">
        <f t="shared" si="22"/>
        <v>320102 - ENCARGOS SOCIAIS</v>
      </c>
      <c r="C745" s="25">
        <f t="shared" si="23"/>
        <v>44805</v>
      </c>
      <c r="D745" s="27">
        <f>IF(K745="CREDITO",Q745,Q745*-1)</f>
        <v>122.16</v>
      </c>
      <c r="E745" t="s">
        <v>894</v>
      </c>
      <c r="F745" t="s">
        <v>1238</v>
      </c>
      <c r="G745" s="8">
        <v>44805</v>
      </c>
      <c r="H745" t="s">
        <v>510</v>
      </c>
      <c r="I745" t="s">
        <v>53</v>
      </c>
      <c r="J745" t="s">
        <v>28</v>
      </c>
      <c r="K745" t="s">
        <v>29</v>
      </c>
      <c r="L745" t="s">
        <v>895</v>
      </c>
      <c r="M745" t="s">
        <v>4402</v>
      </c>
      <c r="O745" t="s">
        <v>896</v>
      </c>
      <c r="P745" t="s">
        <v>33</v>
      </c>
      <c r="Q745">
        <v>122.16</v>
      </c>
      <c r="R745" t="s">
        <v>35</v>
      </c>
      <c r="S745" t="s">
        <v>35</v>
      </c>
      <c r="T745" t="s">
        <v>35</v>
      </c>
      <c r="U745" t="s">
        <v>35</v>
      </c>
      <c r="V745" t="s">
        <v>645</v>
      </c>
      <c r="W745" t="s">
        <v>113</v>
      </c>
    </row>
    <row r="746" spans="1:23" hidden="1" x14ac:dyDescent="0.25">
      <c r="A746" s="7" t="str">
        <f>IFERROR(VLOOKUP(H746,'Contas Orç'!A:B,2,0),"N/A")</f>
        <v>ENCARGOS SOCIAIS</v>
      </c>
      <c r="B746" s="7" t="str">
        <f t="shared" si="22"/>
        <v>320102 - ENCARGOS SOCIAIS</v>
      </c>
      <c r="C746" s="25">
        <f t="shared" si="23"/>
        <v>44805</v>
      </c>
      <c r="D746" s="27">
        <f>IF(K746="CREDITO",Q746,Q746*-1)</f>
        <v>9264.41</v>
      </c>
      <c r="E746" t="s">
        <v>894</v>
      </c>
      <c r="F746" t="s">
        <v>1239</v>
      </c>
      <c r="G746" s="8">
        <v>44805</v>
      </c>
      <c r="H746" t="s">
        <v>510</v>
      </c>
      <c r="I746" t="s">
        <v>88</v>
      </c>
      <c r="J746" t="s">
        <v>28</v>
      </c>
      <c r="K746" t="s">
        <v>29</v>
      </c>
      <c r="L746" t="s">
        <v>895</v>
      </c>
      <c r="M746" t="s">
        <v>4402</v>
      </c>
      <c r="O746" t="s">
        <v>896</v>
      </c>
      <c r="P746" t="s">
        <v>33</v>
      </c>
      <c r="Q746" s="22">
        <v>9264.41</v>
      </c>
      <c r="R746" t="s">
        <v>35</v>
      </c>
      <c r="S746" t="s">
        <v>35</v>
      </c>
      <c r="T746" t="s">
        <v>35</v>
      </c>
      <c r="U746" t="s">
        <v>35</v>
      </c>
      <c r="V746" t="s">
        <v>645</v>
      </c>
      <c r="W746" t="s">
        <v>113</v>
      </c>
    </row>
    <row r="747" spans="1:23" hidden="1" x14ac:dyDescent="0.25">
      <c r="A747" s="7" t="str">
        <f>IFERROR(VLOOKUP(H747,'Contas Orç'!A:B,2,0),"N/A")</f>
        <v>ENCARGOS SOCIAIS</v>
      </c>
      <c r="B747" s="7" t="str">
        <f t="shared" si="22"/>
        <v>320102 - ENCARGOS SOCIAIS</v>
      </c>
      <c r="C747" s="25">
        <f t="shared" si="23"/>
        <v>44805</v>
      </c>
      <c r="D747" s="27">
        <f>IF(K747="CREDITO",Q747,Q747*-1)</f>
        <v>25885.89</v>
      </c>
      <c r="E747" t="s">
        <v>894</v>
      </c>
      <c r="F747" t="s">
        <v>1240</v>
      </c>
      <c r="G747" s="8">
        <v>44805</v>
      </c>
      <c r="H747" t="s">
        <v>510</v>
      </c>
      <c r="I747" t="s">
        <v>27</v>
      </c>
      <c r="J747" t="s">
        <v>28</v>
      </c>
      <c r="K747" t="s">
        <v>29</v>
      </c>
      <c r="L747" t="s">
        <v>895</v>
      </c>
      <c r="M747" t="s">
        <v>4402</v>
      </c>
      <c r="O747" t="s">
        <v>896</v>
      </c>
      <c r="P747" t="s">
        <v>33</v>
      </c>
      <c r="Q747" s="22">
        <v>25885.89</v>
      </c>
      <c r="R747" t="s">
        <v>35</v>
      </c>
      <c r="S747" t="s">
        <v>35</v>
      </c>
      <c r="T747" t="s">
        <v>35</v>
      </c>
      <c r="U747" t="s">
        <v>35</v>
      </c>
      <c r="V747" t="s">
        <v>645</v>
      </c>
      <c r="W747" t="s">
        <v>113</v>
      </c>
    </row>
    <row r="748" spans="1:23" hidden="1" x14ac:dyDescent="0.25">
      <c r="A748" s="7" t="str">
        <f>IFERROR(VLOOKUP(H748,'Contas Orç'!A:B,2,0),"N/A")</f>
        <v>ENCARGOS SOCIAIS</v>
      </c>
      <c r="B748" s="7" t="str">
        <f t="shared" si="22"/>
        <v>320102 - ENCARGOS SOCIAIS</v>
      </c>
      <c r="C748" s="25">
        <f t="shared" si="23"/>
        <v>44805</v>
      </c>
      <c r="D748" s="27">
        <f>IF(K748="CREDITO",Q748,Q748*-1)</f>
        <v>7665.66</v>
      </c>
      <c r="E748" t="s">
        <v>894</v>
      </c>
      <c r="F748" t="s">
        <v>1241</v>
      </c>
      <c r="G748" s="8">
        <v>44805</v>
      </c>
      <c r="H748" t="s">
        <v>510</v>
      </c>
      <c r="I748" t="s">
        <v>53</v>
      </c>
      <c r="J748" t="s">
        <v>60</v>
      </c>
      <c r="K748" t="s">
        <v>29</v>
      </c>
      <c r="L748" t="s">
        <v>895</v>
      </c>
      <c r="M748" t="s">
        <v>4402</v>
      </c>
      <c r="O748" t="s">
        <v>896</v>
      </c>
      <c r="P748" t="s">
        <v>33</v>
      </c>
      <c r="Q748" s="22">
        <v>7665.66</v>
      </c>
      <c r="R748" t="s">
        <v>35</v>
      </c>
      <c r="S748" t="s">
        <v>35</v>
      </c>
      <c r="T748" t="s">
        <v>35</v>
      </c>
      <c r="U748" t="s">
        <v>35</v>
      </c>
      <c r="V748" t="s">
        <v>645</v>
      </c>
      <c r="W748" t="s">
        <v>113</v>
      </c>
    </row>
    <row r="749" spans="1:23" hidden="1" x14ac:dyDescent="0.25">
      <c r="A749" s="7" t="str">
        <f>IFERROR(VLOOKUP(H749,'Contas Orç'!A:B,2,0),"N/A")</f>
        <v>ENCARGOS SOCIAIS</v>
      </c>
      <c r="B749" s="7" t="str">
        <f t="shared" si="22"/>
        <v>320102 - ENCARGOS SOCIAIS</v>
      </c>
      <c r="C749" s="25">
        <f t="shared" si="23"/>
        <v>44805</v>
      </c>
      <c r="D749" s="27">
        <f>IF(K749="CREDITO",Q749,Q749*-1)</f>
        <v>31210.65</v>
      </c>
      <c r="E749" t="s">
        <v>894</v>
      </c>
      <c r="F749" t="s">
        <v>1242</v>
      </c>
      <c r="G749" s="8">
        <v>44805</v>
      </c>
      <c r="H749" t="s">
        <v>510</v>
      </c>
      <c r="I749" t="s">
        <v>106</v>
      </c>
      <c r="J749" t="s">
        <v>60</v>
      </c>
      <c r="K749" t="s">
        <v>29</v>
      </c>
      <c r="L749" t="s">
        <v>895</v>
      </c>
      <c r="M749" t="s">
        <v>4402</v>
      </c>
      <c r="O749" t="s">
        <v>896</v>
      </c>
      <c r="P749" t="s">
        <v>33</v>
      </c>
      <c r="Q749" s="22">
        <v>31210.65</v>
      </c>
      <c r="R749" t="s">
        <v>35</v>
      </c>
      <c r="S749" t="s">
        <v>35</v>
      </c>
      <c r="T749" t="s">
        <v>35</v>
      </c>
      <c r="U749" t="s">
        <v>35</v>
      </c>
      <c r="V749" t="s">
        <v>645</v>
      </c>
      <c r="W749" t="s">
        <v>113</v>
      </c>
    </row>
    <row r="750" spans="1:23" hidden="1" x14ac:dyDescent="0.25">
      <c r="A750" s="7" t="str">
        <f>IFERROR(VLOOKUP(H750,'Contas Orç'!A:B,2,0),"N/A")</f>
        <v>ENCARGOS SOCIAIS</v>
      </c>
      <c r="B750" s="7" t="str">
        <f t="shared" si="22"/>
        <v>320102 - ENCARGOS SOCIAIS</v>
      </c>
      <c r="C750" s="25">
        <f t="shared" si="23"/>
        <v>44805</v>
      </c>
      <c r="D750" s="27">
        <f>IF(K750="CREDITO",Q750,Q750*-1)</f>
        <v>146568.14000000001</v>
      </c>
      <c r="E750" t="s">
        <v>894</v>
      </c>
      <c r="F750" t="s">
        <v>1243</v>
      </c>
      <c r="G750" s="8">
        <v>44805</v>
      </c>
      <c r="H750" t="s">
        <v>510</v>
      </c>
      <c r="I750" t="s">
        <v>59</v>
      </c>
      <c r="J750" t="s">
        <v>60</v>
      </c>
      <c r="K750" t="s">
        <v>29</v>
      </c>
      <c r="L750" t="s">
        <v>895</v>
      </c>
      <c r="M750" t="s">
        <v>4402</v>
      </c>
      <c r="O750" t="s">
        <v>896</v>
      </c>
      <c r="P750" t="s">
        <v>33</v>
      </c>
      <c r="Q750" s="22">
        <v>146568.14000000001</v>
      </c>
      <c r="R750" t="s">
        <v>35</v>
      </c>
      <c r="S750" t="s">
        <v>35</v>
      </c>
      <c r="T750" t="s">
        <v>35</v>
      </c>
      <c r="U750" t="s">
        <v>35</v>
      </c>
      <c r="V750" t="s">
        <v>645</v>
      </c>
      <c r="W750" t="s">
        <v>113</v>
      </c>
    </row>
    <row r="751" spans="1:23" hidden="1" x14ac:dyDescent="0.25">
      <c r="A751" s="7" t="str">
        <f>IFERROR(VLOOKUP(H751,'Contas Orç'!A:B,2,0),"N/A")</f>
        <v>ENCARGOS SOCIAIS</v>
      </c>
      <c r="B751" s="7" t="str">
        <f t="shared" si="22"/>
        <v>320102 - ENCARGOS SOCIAIS</v>
      </c>
      <c r="C751" s="25">
        <f t="shared" si="23"/>
        <v>44805</v>
      </c>
      <c r="D751" s="27">
        <f>IF(K751="CREDITO",Q751,Q751*-1)</f>
        <v>2279.58</v>
      </c>
      <c r="E751" t="s">
        <v>894</v>
      </c>
      <c r="F751" t="s">
        <v>1244</v>
      </c>
      <c r="G751" s="8">
        <v>44805</v>
      </c>
      <c r="H751" t="s">
        <v>510</v>
      </c>
      <c r="I751" t="s">
        <v>53</v>
      </c>
      <c r="J751" t="s">
        <v>702</v>
      </c>
      <c r="K751" t="s">
        <v>29</v>
      </c>
      <c r="L751" t="s">
        <v>895</v>
      </c>
      <c r="M751" t="s">
        <v>4402</v>
      </c>
      <c r="O751" t="s">
        <v>896</v>
      </c>
      <c r="P751" t="s">
        <v>33</v>
      </c>
      <c r="Q751" s="22">
        <v>2279.58</v>
      </c>
      <c r="R751" t="s">
        <v>35</v>
      </c>
      <c r="S751" t="s">
        <v>35</v>
      </c>
      <c r="T751" t="s">
        <v>35</v>
      </c>
      <c r="U751" t="s">
        <v>35</v>
      </c>
      <c r="V751" t="s">
        <v>645</v>
      </c>
      <c r="W751" t="s">
        <v>113</v>
      </c>
    </row>
    <row r="752" spans="1:23" hidden="1" x14ac:dyDescent="0.25">
      <c r="A752" s="7" t="str">
        <f>IFERROR(VLOOKUP(H752,'Contas Orç'!A:B,2,0),"N/A")</f>
        <v>ENCARGOS SOCIAIS</v>
      </c>
      <c r="B752" s="7" t="str">
        <f t="shared" si="22"/>
        <v>320102 - ENCARGOS SOCIAIS</v>
      </c>
      <c r="C752" s="25">
        <f t="shared" si="23"/>
        <v>44805</v>
      </c>
      <c r="D752" s="27">
        <f>IF(K752="CREDITO",Q752,Q752*-1)</f>
        <v>9975.6200000000008</v>
      </c>
      <c r="E752" t="s">
        <v>894</v>
      </c>
      <c r="F752" t="s">
        <v>1245</v>
      </c>
      <c r="G752" s="8">
        <v>44805</v>
      </c>
      <c r="H752" t="s">
        <v>510</v>
      </c>
      <c r="I752" t="s">
        <v>59</v>
      </c>
      <c r="J752" t="s">
        <v>702</v>
      </c>
      <c r="K752" t="s">
        <v>29</v>
      </c>
      <c r="L752" t="s">
        <v>895</v>
      </c>
      <c r="M752" t="s">
        <v>4402</v>
      </c>
      <c r="O752" t="s">
        <v>896</v>
      </c>
      <c r="P752" t="s">
        <v>33</v>
      </c>
      <c r="Q752" s="22">
        <v>9975.6200000000008</v>
      </c>
      <c r="R752" t="s">
        <v>35</v>
      </c>
      <c r="S752" t="s">
        <v>35</v>
      </c>
      <c r="T752" t="s">
        <v>35</v>
      </c>
      <c r="U752" t="s">
        <v>35</v>
      </c>
      <c r="V752" t="s">
        <v>645</v>
      </c>
      <c r="W752" t="s">
        <v>113</v>
      </c>
    </row>
    <row r="753" spans="1:23" hidden="1" x14ac:dyDescent="0.25">
      <c r="A753" s="7" t="str">
        <f>IFERROR(VLOOKUP(H753,'Contas Orç'!A:B,2,0),"N/A")</f>
        <v>ENCARGOS SOCIAIS</v>
      </c>
      <c r="B753" s="7" t="str">
        <f t="shared" si="22"/>
        <v>320102 - ENCARGOS SOCIAIS</v>
      </c>
      <c r="C753" s="25">
        <f t="shared" si="23"/>
        <v>44805</v>
      </c>
      <c r="D753" s="27">
        <f>IF(K753="CREDITO",Q753,Q753*-1)</f>
        <v>4791.4399999999996</v>
      </c>
      <c r="E753" t="s">
        <v>894</v>
      </c>
      <c r="F753" t="s">
        <v>1246</v>
      </c>
      <c r="G753" s="8">
        <v>44805</v>
      </c>
      <c r="H753" t="s">
        <v>510</v>
      </c>
      <c r="I753" t="s">
        <v>125</v>
      </c>
      <c r="J753" t="s">
        <v>95</v>
      </c>
      <c r="K753" t="s">
        <v>29</v>
      </c>
      <c r="L753" t="s">
        <v>895</v>
      </c>
      <c r="M753" t="s">
        <v>4402</v>
      </c>
      <c r="O753" t="s">
        <v>896</v>
      </c>
      <c r="P753" t="s">
        <v>33</v>
      </c>
      <c r="Q753" s="22">
        <v>4791.4399999999996</v>
      </c>
      <c r="R753" t="s">
        <v>35</v>
      </c>
      <c r="S753" t="s">
        <v>35</v>
      </c>
      <c r="T753" t="s">
        <v>35</v>
      </c>
      <c r="U753" t="s">
        <v>35</v>
      </c>
      <c r="V753" t="s">
        <v>645</v>
      </c>
      <c r="W753" t="s">
        <v>113</v>
      </c>
    </row>
    <row r="754" spans="1:23" hidden="1" x14ac:dyDescent="0.25">
      <c r="A754" s="7" t="str">
        <f>IFERROR(VLOOKUP(H754,'Contas Orç'!A:B,2,0),"N/A")</f>
        <v>ENCARGOS SOCIAIS</v>
      </c>
      <c r="B754" s="7" t="str">
        <f t="shared" si="22"/>
        <v>320102 - ENCARGOS SOCIAIS</v>
      </c>
      <c r="C754" s="25">
        <f t="shared" si="23"/>
        <v>44805</v>
      </c>
      <c r="D754" s="27">
        <f>IF(K754="CREDITO",Q754,Q754*-1)</f>
        <v>11188.46</v>
      </c>
      <c r="E754" t="s">
        <v>894</v>
      </c>
      <c r="F754" t="s">
        <v>1247</v>
      </c>
      <c r="G754" s="8">
        <v>44805</v>
      </c>
      <c r="H754" t="s">
        <v>510</v>
      </c>
      <c r="I754" t="s">
        <v>53</v>
      </c>
      <c r="J754" t="s">
        <v>54</v>
      </c>
      <c r="K754" t="s">
        <v>29</v>
      </c>
      <c r="L754" t="s">
        <v>895</v>
      </c>
      <c r="M754" t="s">
        <v>4402</v>
      </c>
      <c r="O754" t="s">
        <v>896</v>
      </c>
      <c r="P754" t="s">
        <v>33</v>
      </c>
      <c r="Q754" s="22">
        <v>11188.46</v>
      </c>
      <c r="R754" t="s">
        <v>35</v>
      </c>
      <c r="S754" t="s">
        <v>35</v>
      </c>
      <c r="T754" t="s">
        <v>35</v>
      </c>
      <c r="U754" t="s">
        <v>35</v>
      </c>
      <c r="V754" t="s">
        <v>645</v>
      </c>
      <c r="W754" t="s">
        <v>113</v>
      </c>
    </row>
    <row r="755" spans="1:23" hidden="1" x14ac:dyDescent="0.25">
      <c r="A755" s="7" t="str">
        <f>IFERROR(VLOOKUP(H755,'Contas Orç'!A:B,2,0),"N/A")</f>
        <v>ENCARGOS SOCIAIS</v>
      </c>
      <c r="B755" s="7" t="str">
        <f t="shared" si="22"/>
        <v>320102 - ENCARGOS SOCIAIS</v>
      </c>
      <c r="C755" s="25">
        <f t="shared" si="23"/>
        <v>44805</v>
      </c>
      <c r="D755" s="27">
        <f>IF(K755="CREDITO",Q755,Q755*-1)</f>
        <v>43.6</v>
      </c>
      <c r="E755" t="s">
        <v>894</v>
      </c>
      <c r="F755" t="s">
        <v>1248</v>
      </c>
      <c r="G755" s="8">
        <v>44805</v>
      </c>
      <c r="H755" t="s">
        <v>510</v>
      </c>
      <c r="I755" t="s">
        <v>88</v>
      </c>
      <c r="J755" t="s">
        <v>54</v>
      </c>
      <c r="K755" t="s">
        <v>29</v>
      </c>
      <c r="L755" t="s">
        <v>895</v>
      </c>
      <c r="M755" t="s">
        <v>4402</v>
      </c>
      <c r="O755" t="s">
        <v>896</v>
      </c>
      <c r="P755" t="s">
        <v>33</v>
      </c>
      <c r="Q755">
        <v>43.6</v>
      </c>
      <c r="R755" t="s">
        <v>35</v>
      </c>
      <c r="S755" t="s">
        <v>35</v>
      </c>
      <c r="T755" t="s">
        <v>35</v>
      </c>
      <c r="U755" t="s">
        <v>35</v>
      </c>
      <c r="V755" t="s">
        <v>645</v>
      </c>
      <c r="W755" t="s">
        <v>113</v>
      </c>
    </row>
    <row r="756" spans="1:23" hidden="1" x14ac:dyDescent="0.25">
      <c r="A756" s="7" t="str">
        <f>IFERROR(VLOOKUP(H756,'Contas Orç'!A:B,2,0),"N/A")</f>
        <v>ENCARGOS SOCIAIS</v>
      </c>
      <c r="B756" s="7" t="str">
        <f t="shared" si="22"/>
        <v>320102 - ENCARGOS SOCIAIS</v>
      </c>
      <c r="C756" s="25">
        <f t="shared" si="23"/>
        <v>44835</v>
      </c>
      <c r="D756" s="27">
        <f>IF(K756="CREDITO",Q756,Q756*-1)</f>
        <v>123.38</v>
      </c>
      <c r="E756" t="s">
        <v>894</v>
      </c>
      <c r="F756" t="s">
        <v>1249</v>
      </c>
      <c r="G756" s="8">
        <v>44835</v>
      </c>
      <c r="H756" t="s">
        <v>510</v>
      </c>
      <c r="I756" t="s">
        <v>53</v>
      </c>
      <c r="J756" t="s">
        <v>28</v>
      </c>
      <c r="K756" t="s">
        <v>29</v>
      </c>
      <c r="L756" t="s">
        <v>895</v>
      </c>
      <c r="M756" t="s">
        <v>4402</v>
      </c>
      <c r="O756" t="s">
        <v>896</v>
      </c>
      <c r="P756" t="s">
        <v>33</v>
      </c>
      <c r="Q756">
        <v>123.38</v>
      </c>
      <c r="R756" t="s">
        <v>35</v>
      </c>
      <c r="S756" t="s">
        <v>35</v>
      </c>
      <c r="T756" t="s">
        <v>35</v>
      </c>
      <c r="U756" t="s">
        <v>35</v>
      </c>
      <c r="V756" t="s">
        <v>645</v>
      </c>
      <c r="W756" t="s">
        <v>113</v>
      </c>
    </row>
    <row r="757" spans="1:23" hidden="1" x14ac:dyDescent="0.25">
      <c r="A757" s="7" t="str">
        <f>IFERROR(VLOOKUP(H757,'Contas Orç'!A:B,2,0),"N/A")</f>
        <v>ENCARGOS SOCIAIS</v>
      </c>
      <c r="B757" s="7" t="str">
        <f t="shared" si="22"/>
        <v>320102 - ENCARGOS SOCIAIS</v>
      </c>
      <c r="C757" s="25">
        <f t="shared" si="23"/>
        <v>44835</v>
      </c>
      <c r="D757" s="27">
        <f>IF(K757="CREDITO",Q757,Q757*-1)</f>
        <v>9357.0499999999993</v>
      </c>
      <c r="E757" t="s">
        <v>894</v>
      </c>
      <c r="F757" t="s">
        <v>1250</v>
      </c>
      <c r="G757" s="8">
        <v>44835</v>
      </c>
      <c r="H757" t="s">
        <v>510</v>
      </c>
      <c r="I757" t="s">
        <v>88</v>
      </c>
      <c r="J757" t="s">
        <v>28</v>
      </c>
      <c r="K757" t="s">
        <v>29</v>
      </c>
      <c r="L757" t="s">
        <v>895</v>
      </c>
      <c r="M757" t="s">
        <v>4402</v>
      </c>
      <c r="O757" t="s">
        <v>896</v>
      </c>
      <c r="P757" t="s">
        <v>33</v>
      </c>
      <c r="Q757" s="22">
        <v>9357.0499999999993</v>
      </c>
      <c r="R757" t="s">
        <v>35</v>
      </c>
      <c r="S757" t="s">
        <v>35</v>
      </c>
      <c r="T757" t="s">
        <v>35</v>
      </c>
      <c r="U757" t="s">
        <v>35</v>
      </c>
      <c r="V757" t="s">
        <v>645</v>
      </c>
      <c r="W757" t="s">
        <v>113</v>
      </c>
    </row>
    <row r="758" spans="1:23" hidden="1" x14ac:dyDescent="0.25">
      <c r="A758" s="7" t="str">
        <f>IFERROR(VLOOKUP(H758,'Contas Orç'!A:B,2,0),"N/A")</f>
        <v>ENCARGOS SOCIAIS</v>
      </c>
      <c r="B758" s="7" t="str">
        <f t="shared" si="22"/>
        <v>320102 - ENCARGOS SOCIAIS</v>
      </c>
      <c r="C758" s="25">
        <f t="shared" si="23"/>
        <v>44835</v>
      </c>
      <c r="D758" s="27">
        <f>IF(K758="CREDITO",Q758,Q758*-1)</f>
        <v>26144.75</v>
      </c>
      <c r="E758" t="s">
        <v>894</v>
      </c>
      <c r="F758" t="s">
        <v>1251</v>
      </c>
      <c r="G758" s="8">
        <v>44835</v>
      </c>
      <c r="H758" t="s">
        <v>510</v>
      </c>
      <c r="I758" t="s">
        <v>27</v>
      </c>
      <c r="J758" t="s">
        <v>28</v>
      </c>
      <c r="K758" t="s">
        <v>29</v>
      </c>
      <c r="L758" t="s">
        <v>895</v>
      </c>
      <c r="M758" t="s">
        <v>4402</v>
      </c>
      <c r="O758" t="s">
        <v>896</v>
      </c>
      <c r="P758" t="s">
        <v>33</v>
      </c>
      <c r="Q758" s="22">
        <v>26144.75</v>
      </c>
      <c r="R758" t="s">
        <v>35</v>
      </c>
      <c r="S758" t="s">
        <v>35</v>
      </c>
      <c r="T758" t="s">
        <v>35</v>
      </c>
      <c r="U758" t="s">
        <v>35</v>
      </c>
      <c r="V758" t="s">
        <v>645</v>
      </c>
      <c r="W758" t="s">
        <v>113</v>
      </c>
    </row>
    <row r="759" spans="1:23" hidden="1" x14ac:dyDescent="0.25">
      <c r="A759" s="7" t="str">
        <f>IFERROR(VLOOKUP(H759,'Contas Orç'!A:B,2,0),"N/A")</f>
        <v>ENCARGOS SOCIAIS</v>
      </c>
      <c r="B759" s="7" t="str">
        <f t="shared" si="22"/>
        <v>320102 - ENCARGOS SOCIAIS</v>
      </c>
      <c r="C759" s="25">
        <f t="shared" si="23"/>
        <v>44835</v>
      </c>
      <c r="D759" s="27">
        <f>IF(K759="CREDITO",Q759,Q759*-1)</f>
        <v>7742.32</v>
      </c>
      <c r="E759" t="s">
        <v>894</v>
      </c>
      <c r="F759" t="s">
        <v>1252</v>
      </c>
      <c r="G759" s="8">
        <v>44835</v>
      </c>
      <c r="H759" t="s">
        <v>510</v>
      </c>
      <c r="I759" t="s">
        <v>53</v>
      </c>
      <c r="J759" t="s">
        <v>60</v>
      </c>
      <c r="K759" t="s">
        <v>29</v>
      </c>
      <c r="L759" t="s">
        <v>895</v>
      </c>
      <c r="M759" t="s">
        <v>4402</v>
      </c>
      <c r="O759" t="s">
        <v>896</v>
      </c>
      <c r="P759" t="s">
        <v>33</v>
      </c>
      <c r="Q759" s="22">
        <v>7742.32</v>
      </c>
      <c r="R759" t="s">
        <v>35</v>
      </c>
      <c r="S759" t="s">
        <v>35</v>
      </c>
      <c r="T759" t="s">
        <v>35</v>
      </c>
      <c r="U759" t="s">
        <v>35</v>
      </c>
      <c r="V759" t="s">
        <v>645</v>
      </c>
      <c r="W759" t="s">
        <v>113</v>
      </c>
    </row>
    <row r="760" spans="1:23" hidden="1" x14ac:dyDescent="0.25">
      <c r="A760" s="7" t="str">
        <f>IFERROR(VLOOKUP(H760,'Contas Orç'!A:B,2,0),"N/A")</f>
        <v>ENCARGOS SOCIAIS</v>
      </c>
      <c r="B760" s="7" t="str">
        <f t="shared" si="22"/>
        <v>320102 - ENCARGOS SOCIAIS</v>
      </c>
      <c r="C760" s="25">
        <f t="shared" si="23"/>
        <v>44835</v>
      </c>
      <c r="D760" s="27">
        <f>IF(K760="CREDITO",Q760,Q760*-1)</f>
        <v>31522.76</v>
      </c>
      <c r="E760" t="s">
        <v>894</v>
      </c>
      <c r="F760" t="s">
        <v>1253</v>
      </c>
      <c r="G760" s="8">
        <v>44835</v>
      </c>
      <c r="H760" t="s">
        <v>510</v>
      </c>
      <c r="I760" t="s">
        <v>106</v>
      </c>
      <c r="J760" t="s">
        <v>60</v>
      </c>
      <c r="K760" t="s">
        <v>29</v>
      </c>
      <c r="L760" t="s">
        <v>895</v>
      </c>
      <c r="M760" t="s">
        <v>4402</v>
      </c>
      <c r="O760" t="s">
        <v>896</v>
      </c>
      <c r="P760" t="s">
        <v>33</v>
      </c>
      <c r="Q760" s="22">
        <v>31522.76</v>
      </c>
      <c r="R760" t="s">
        <v>35</v>
      </c>
      <c r="S760" t="s">
        <v>35</v>
      </c>
      <c r="T760" t="s">
        <v>35</v>
      </c>
      <c r="U760" t="s">
        <v>35</v>
      </c>
      <c r="V760" t="s">
        <v>645</v>
      </c>
      <c r="W760" t="s">
        <v>113</v>
      </c>
    </row>
    <row r="761" spans="1:23" hidden="1" x14ac:dyDescent="0.25">
      <c r="A761" s="7" t="str">
        <f>IFERROR(VLOOKUP(H761,'Contas Orç'!A:B,2,0),"N/A")</f>
        <v>ENCARGOS SOCIAIS</v>
      </c>
      <c r="B761" s="7" t="str">
        <f t="shared" si="22"/>
        <v>320102 - ENCARGOS SOCIAIS</v>
      </c>
      <c r="C761" s="25">
        <f t="shared" si="23"/>
        <v>44835</v>
      </c>
      <c r="D761" s="27">
        <f>IF(K761="CREDITO",Q761,Q761*-1)</f>
        <v>148033.82</v>
      </c>
      <c r="E761" t="s">
        <v>894</v>
      </c>
      <c r="F761" t="s">
        <v>1254</v>
      </c>
      <c r="G761" s="8">
        <v>44835</v>
      </c>
      <c r="H761" t="s">
        <v>510</v>
      </c>
      <c r="I761" t="s">
        <v>59</v>
      </c>
      <c r="J761" t="s">
        <v>60</v>
      </c>
      <c r="K761" t="s">
        <v>29</v>
      </c>
      <c r="L761" t="s">
        <v>895</v>
      </c>
      <c r="M761" t="s">
        <v>4402</v>
      </c>
      <c r="O761" t="s">
        <v>896</v>
      </c>
      <c r="P761" t="s">
        <v>33</v>
      </c>
      <c r="Q761" s="22">
        <v>148033.82</v>
      </c>
      <c r="R761" t="s">
        <v>35</v>
      </c>
      <c r="S761" t="s">
        <v>35</v>
      </c>
      <c r="T761" t="s">
        <v>35</v>
      </c>
      <c r="U761" t="s">
        <v>35</v>
      </c>
      <c r="V761" t="s">
        <v>645</v>
      </c>
      <c r="W761" t="s">
        <v>113</v>
      </c>
    </row>
    <row r="762" spans="1:23" hidden="1" x14ac:dyDescent="0.25">
      <c r="A762" s="7" t="str">
        <f>IFERROR(VLOOKUP(H762,'Contas Orç'!A:B,2,0),"N/A")</f>
        <v>ENCARGOS SOCIAIS</v>
      </c>
      <c r="B762" s="7" t="str">
        <f t="shared" si="22"/>
        <v>320102 - ENCARGOS SOCIAIS</v>
      </c>
      <c r="C762" s="25">
        <f t="shared" si="23"/>
        <v>44835</v>
      </c>
      <c r="D762" s="27">
        <f>IF(K762="CREDITO",Q762,Q762*-1)</f>
        <v>2302.38</v>
      </c>
      <c r="E762" t="s">
        <v>894</v>
      </c>
      <c r="F762" t="s">
        <v>1255</v>
      </c>
      <c r="G762" s="8">
        <v>44835</v>
      </c>
      <c r="H762" t="s">
        <v>510</v>
      </c>
      <c r="I762" t="s">
        <v>53</v>
      </c>
      <c r="J762" t="s">
        <v>702</v>
      </c>
      <c r="K762" t="s">
        <v>29</v>
      </c>
      <c r="L762" t="s">
        <v>895</v>
      </c>
      <c r="M762" t="s">
        <v>4402</v>
      </c>
      <c r="O762" t="s">
        <v>896</v>
      </c>
      <c r="P762" t="s">
        <v>33</v>
      </c>
      <c r="Q762" s="22">
        <v>2302.38</v>
      </c>
      <c r="R762" t="s">
        <v>35</v>
      </c>
      <c r="S762" t="s">
        <v>35</v>
      </c>
      <c r="T762" t="s">
        <v>35</v>
      </c>
      <c r="U762" t="s">
        <v>35</v>
      </c>
      <c r="V762" t="s">
        <v>645</v>
      </c>
      <c r="W762" t="s">
        <v>113</v>
      </c>
    </row>
    <row r="763" spans="1:23" hidden="1" x14ac:dyDescent="0.25">
      <c r="A763" s="7" t="str">
        <f>IFERROR(VLOOKUP(H763,'Contas Orç'!A:B,2,0),"N/A")</f>
        <v>ENCARGOS SOCIAIS</v>
      </c>
      <c r="B763" s="7" t="str">
        <f t="shared" si="22"/>
        <v>320102 - ENCARGOS SOCIAIS</v>
      </c>
      <c r="C763" s="25">
        <f t="shared" si="23"/>
        <v>44835</v>
      </c>
      <c r="D763" s="27">
        <f>IF(K763="CREDITO",Q763,Q763*-1)</f>
        <v>10075.379999999999</v>
      </c>
      <c r="E763" t="s">
        <v>894</v>
      </c>
      <c r="F763" t="s">
        <v>1256</v>
      </c>
      <c r="G763" s="8">
        <v>44835</v>
      </c>
      <c r="H763" t="s">
        <v>510</v>
      </c>
      <c r="I763" t="s">
        <v>59</v>
      </c>
      <c r="J763" t="s">
        <v>702</v>
      </c>
      <c r="K763" t="s">
        <v>29</v>
      </c>
      <c r="L763" t="s">
        <v>895</v>
      </c>
      <c r="M763" t="s">
        <v>4402</v>
      </c>
      <c r="O763" t="s">
        <v>896</v>
      </c>
      <c r="P763" t="s">
        <v>33</v>
      </c>
      <c r="Q763" s="22">
        <v>10075.379999999999</v>
      </c>
      <c r="R763" t="s">
        <v>35</v>
      </c>
      <c r="S763" t="s">
        <v>35</v>
      </c>
      <c r="T763" t="s">
        <v>35</v>
      </c>
      <c r="U763" t="s">
        <v>35</v>
      </c>
      <c r="V763" t="s">
        <v>645</v>
      </c>
      <c r="W763" t="s">
        <v>113</v>
      </c>
    </row>
    <row r="764" spans="1:23" hidden="1" x14ac:dyDescent="0.25">
      <c r="A764" s="7" t="str">
        <f>IFERROR(VLOOKUP(H764,'Contas Orç'!A:B,2,0),"N/A")</f>
        <v>ENCARGOS SOCIAIS</v>
      </c>
      <c r="B764" s="7" t="str">
        <f t="shared" si="22"/>
        <v>320102 - ENCARGOS SOCIAIS</v>
      </c>
      <c r="C764" s="25">
        <f t="shared" si="23"/>
        <v>44835</v>
      </c>
      <c r="D764" s="27">
        <f>IF(K764="CREDITO",Q764,Q764*-1)</f>
        <v>4839.3500000000004</v>
      </c>
      <c r="E764" t="s">
        <v>894</v>
      </c>
      <c r="F764" t="s">
        <v>1257</v>
      </c>
      <c r="G764" s="8">
        <v>44835</v>
      </c>
      <c r="H764" t="s">
        <v>510</v>
      </c>
      <c r="I764" t="s">
        <v>125</v>
      </c>
      <c r="J764" t="s">
        <v>95</v>
      </c>
      <c r="K764" t="s">
        <v>29</v>
      </c>
      <c r="L764" t="s">
        <v>895</v>
      </c>
      <c r="M764" t="s">
        <v>4402</v>
      </c>
      <c r="O764" t="s">
        <v>896</v>
      </c>
      <c r="P764" t="s">
        <v>33</v>
      </c>
      <c r="Q764" s="22">
        <v>4839.3500000000004</v>
      </c>
      <c r="R764" t="s">
        <v>35</v>
      </c>
      <c r="S764" t="s">
        <v>35</v>
      </c>
      <c r="T764" t="s">
        <v>35</v>
      </c>
      <c r="U764" t="s">
        <v>35</v>
      </c>
      <c r="V764" t="s">
        <v>645</v>
      </c>
      <c r="W764" t="s">
        <v>113</v>
      </c>
    </row>
    <row r="765" spans="1:23" hidden="1" x14ac:dyDescent="0.25">
      <c r="A765" s="7" t="str">
        <f>IFERROR(VLOOKUP(H765,'Contas Orç'!A:B,2,0),"N/A")</f>
        <v>ENCARGOS SOCIAIS</v>
      </c>
      <c r="B765" s="7" t="str">
        <f t="shared" si="22"/>
        <v>320102 - ENCARGOS SOCIAIS</v>
      </c>
      <c r="C765" s="25">
        <f t="shared" si="23"/>
        <v>44835</v>
      </c>
      <c r="D765" s="27">
        <f>IF(K765="CREDITO",Q765,Q765*-1)</f>
        <v>11300.34</v>
      </c>
      <c r="E765" t="s">
        <v>894</v>
      </c>
      <c r="F765" t="s">
        <v>1258</v>
      </c>
      <c r="G765" s="8">
        <v>44835</v>
      </c>
      <c r="H765" t="s">
        <v>510</v>
      </c>
      <c r="I765" t="s">
        <v>53</v>
      </c>
      <c r="J765" t="s">
        <v>54</v>
      </c>
      <c r="K765" t="s">
        <v>29</v>
      </c>
      <c r="L765" t="s">
        <v>895</v>
      </c>
      <c r="M765" t="s">
        <v>4402</v>
      </c>
      <c r="O765" t="s">
        <v>896</v>
      </c>
      <c r="P765" t="s">
        <v>33</v>
      </c>
      <c r="Q765" s="22">
        <v>11300.34</v>
      </c>
      <c r="R765" t="s">
        <v>35</v>
      </c>
      <c r="S765" t="s">
        <v>35</v>
      </c>
      <c r="T765" t="s">
        <v>35</v>
      </c>
      <c r="U765" t="s">
        <v>35</v>
      </c>
      <c r="V765" t="s">
        <v>645</v>
      </c>
      <c r="W765" t="s">
        <v>113</v>
      </c>
    </row>
    <row r="766" spans="1:23" hidden="1" x14ac:dyDescent="0.25">
      <c r="A766" s="7" t="str">
        <f>IFERROR(VLOOKUP(H766,'Contas Orç'!A:B,2,0),"N/A")</f>
        <v>ENCARGOS SOCIAIS</v>
      </c>
      <c r="B766" s="7" t="str">
        <f t="shared" si="22"/>
        <v>320102 - ENCARGOS SOCIAIS</v>
      </c>
      <c r="C766" s="25">
        <f t="shared" si="23"/>
        <v>44835</v>
      </c>
      <c r="D766" s="27">
        <f>IF(K766="CREDITO",Q766,Q766*-1)</f>
        <v>44.04</v>
      </c>
      <c r="E766" t="s">
        <v>894</v>
      </c>
      <c r="F766" t="s">
        <v>1259</v>
      </c>
      <c r="G766" s="8">
        <v>44835</v>
      </c>
      <c r="H766" t="s">
        <v>510</v>
      </c>
      <c r="I766" t="s">
        <v>88</v>
      </c>
      <c r="J766" t="s">
        <v>54</v>
      </c>
      <c r="K766" t="s">
        <v>29</v>
      </c>
      <c r="L766" t="s">
        <v>895</v>
      </c>
      <c r="M766" t="s">
        <v>4402</v>
      </c>
      <c r="O766" t="s">
        <v>896</v>
      </c>
      <c r="P766" t="s">
        <v>33</v>
      </c>
      <c r="Q766">
        <v>44.04</v>
      </c>
      <c r="R766" t="s">
        <v>35</v>
      </c>
      <c r="S766" t="s">
        <v>35</v>
      </c>
      <c r="T766" t="s">
        <v>35</v>
      </c>
      <c r="U766" t="s">
        <v>35</v>
      </c>
      <c r="V766" t="s">
        <v>645</v>
      </c>
      <c r="W766" t="s">
        <v>113</v>
      </c>
    </row>
    <row r="767" spans="1:23" hidden="1" x14ac:dyDescent="0.25">
      <c r="A767" s="7" t="str">
        <f>IFERROR(VLOOKUP(H767,'Contas Orç'!A:B,2,0),"N/A")</f>
        <v>ENCARGOS SOCIAIS</v>
      </c>
      <c r="B767" s="7" t="str">
        <f t="shared" si="22"/>
        <v>320102 - ENCARGOS SOCIAIS</v>
      </c>
      <c r="C767" s="25">
        <f t="shared" si="23"/>
        <v>44866</v>
      </c>
      <c r="D767" s="27">
        <f>IF(K767="CREDITO",Q767,Q767*-1)</f>
        <v>124.62</v>
      </c>
      <c r="E767" t="s">
        <v>894</v>
      </c>
      <c r="F767" t="s">
        <v>1260</v>
      </c>
      <c r="G767" s="8">
        <v>44866</v>
      </c>
      <c r="H767" t="s">
        <v>510</v>
      </c>
      <c r="I767" t="s">
        <v>53</v>
      </c>
      <c r="J767" t="s">
        <v>28</v>
      </c>
      <c r="K767" t="s">
        <v>29</v>
      </c>
      <c r="L767" t="s">
        <v>895</v>
      </c>
      <c r="M767" t="s">
        <v>4402</v>
      </c>
      <c r="O767" t="s">
        <v>896</v>
      </c>
      <c r="P767" t="s">
        <v>33</v>
      </c>
      <c r="Q767">
        <v>124.62</v>
      </c>
      <c r="R767" t="s">
        <v>35</v>
      </c>
      <c r="S767" t="s">
        <v>35</v>
      </c>
      <c r="T767" t="s">
        <v>35</v>
      </c>
      <c r="U767" t="s">
        <v>35</v>
      </c>
      <c r="V767" t="s">
        <v>645</v>
      </c>
      <c r="W767" t="s">
        <v>113</v>
      </c>
    </row>
    <row r="768" spans="1:23" hidden="1" x14ac:dyDescent="0.25">
      <c r="A768" s="7" t="str">
        <f>IFERROR(VLOOKUP(H768,'Contas Orç'!A:B,2,0),"N/A")</f>
        <v>ENCARGOS SOCIAIS</v>
      </c>
      <c r="B768" s="7" t="str">
        <f t="shared" si="22"/>
        <v>320102 - ENCARGOS SOCIAIS</v>
      </c>
      <c r="C768" s="25">
        <f t="shared" si="23"/>
        <v>44866</v>
      </c>
      <c r="D768" s="27">
        <f>IF(K768="CREDITO",Q768,Q768*-1)</f>
        <v>9450.6200000000008</v>
      </c>
      <c r="E768" t="s">
        <v>894</v>
      </c>
      <c r="F768" t="s">
        <v>1261</v>
      </c>
      <c r="G768" s="8">
        <v>44866</v>
      </c>
      <c r="H768" t="s">
        <v>510</v>
      </c>
      <c r="I768" t="s">
        <v>88</v>
      </c>
      <c r="J768" t="s">
        <v>28</v>
      </c>
      <c r="K768" t="s">
        <v>29</v>
      </c>
      <c r="L768" t="s">
        <v>895</v>
      </c>
      <c r="M768" t="s">
        <v>4402</v>
      </c>
      <c r="O768" t="s">
        <v>896</v>
      </c>
      <c r="P768" t="s">
        <v>33</v>
      </c>
      <c r="Q768" s="22">
        <v>9450.6200000000008</v>
      </c>
      <c r="R768" t="s">
        <v>35</v>
      </c>
      <c r="S768" t="s">
        <v>35</v>
      </c>
      <c r="T768" t="s">
        <v>35</v>
      </c>
      <c r="U768" t="s">
        <v>35</v>
      </c>
      <c r="V768" t="s">
        <v>645</v>
      </c>
      <c r="W768" t="s">
        <v>113</v>
      </c>
    </row>
    <row r="769" spans="1:23" hidden="1" x14ac:dyDescent="0.25">
      <c r="A769" s="7" t="str">
        <f>IFERROR(VLOOKUP(H769,'Contas Orç'!A:B,2,0),"N/A")</f>
        <v>ENCARGOS SOCIAIS</v>
      </c>
      <c r="B769" s="7" t="str">
        <f t="shared" si="22"/>
        <v>320102 - ENCARGOS SOCIAIS</v>
      </c>
      <c r="C769" s="25">
        <f t="shared" si="23"/>
        <v>44866</v>
      </c>
      <c r="D769" s="27">
        <f>IF(K769="CREDITO",Q769,Q769*-1)</f>
        <v>26406.2</v>
      </c>
      <c r="E769" t="s">
        <v>894</v>
      </c>
      <c r="F769" t="s">
        <v>1262</v>
      </c>
      <c r="G769" s="8">
        <v>44866</v>
      </c>
      <c r="H769" t="s">
        <v>510</v>
      </c>
      <c r="I769" t="s">
        <v>27</v>
      </c>
      <c r="J769" t="s">
        <v>28</v>
      </c>
      <c r="K769" t="s">
        <v>29</v>
      </c>
      <c r="L769" t="s">
        <v>895</v>
      </c>
      <c r="M769" t="s">
        <v>4402</v>
      </c>
      <c r="O769" t="s">
        <v>896</v>
      </c>
      <c r="P769" t="s">
        <v>33</v>
      </c>
      <c r="Q769" s="22">
        <v>26406.2</v>
      </c>
      <c r="R769" t="s">
        <v>35</v>
      </c>
      <c r="S769" t="s">
        <v>35</v>
      </c>
      <c r="T769" t="s">
        <v>35</v>
      </c>
      <c r="U769" t="s">
        <v>35</v>
      </c>
      <c r="V769" t="s">
        <v>645</v>
      </c>
      <c r="W769" t="s">
        <v>113</v>
      </c>
    </row>
    <row r="770" spans="1:23" hidden="1" x14ac:dyDescent="0.25">
      <c r="A770" s="7" t="str">
        <f>IFERROR(VLOOKUP(H770,'Contas Orç'!A:B,2,0),"N/A")</f>
        <v>ENCARGOS SOCIAIS</v>
      </c>
      <c r="B770" s="7" t="str">
        <f t="shared" si="22"/>
        <v>320102 - ENCARGOS SOCIAIS</v>
      </c>
      <c r="C770" s="25">
        <f t="shared" si="23"/>
        <v>44866</v>
      </c>
      <c r="D770" s="27">
        <f>IF(K770="CREDITO",Q770,Q770*-1)</f>
        <v>7819.74</v>
      </c>
      <c r="E770" t="s">
        <v>894</v>
      </c>
      <c r="F770" t="s">
        <v>1263</v>
      </c>
      <c r="G770" s="8">
        <v>44866</v>
      </c>
      <c r="H770" t="s">
        <v>510</v>
      </c>
      <c r="I770" t="s">
        <v>53</v>
      </c>
      <c r="J770" t="s">
        <v>60</v>
      </c>
      <c r="K770" t="s">
        <v>29</v>
      </c>
      <c r="L770" t="s">
        <v>895</v>
      </c>
      <c r="M770" t="s">
        <v>4402</v>
      </c>
      <c r="O770" t="s">
        <v>896</v>
      </c>
      <c r="P770" t="s">
        <v>33</v>
      </c>
      <c r="Q770" s="22">
        <v>7819.74</v>
      </c>
      <c r="R770" t="s">
        <v>35</v>
      </c>
      <c r="S770" t="s">
        <v>35</v>
      </c>
      <c r="T770" t="s">
        <v>35</v>
      </c>
      <c r="U770" t="s">
        <v>35</v>
      </c>
      <c r="V770" t="s">
        <v>645</v>
      </c>
      <c r="W770" t="s">
        <v>113</v>
      </c>
    </row>
    <row r="771" spans="1:23" hidden="1" x14ac:dyDescent="0.25">
      <c r="A771" s="7" t="str">
        <f>IFERROR(VLOOKUP(H771,'Contas Orç'!A:B,2,0),"N/A")</f>
        <v>ENCARGOS SOCIAIS</v>
      </c>
      <c r="B771" s="7" t="str">
        <f t="shared" ref="B771:B834" si="24">_xlfn.CONCAT(H771," - ",A771)</f>
        <v>320102 - ENCARGOS SOCIAIS</v>
      </c>
      <c r="C771" s="25">
        <f t="shared" ref="C771:C834" si="25">DATE(YEAR(G771),MONTH(G771),1)</f>
        <v>44866</v>
      </c>
      <c r="D771" s="27">
        <f>IF(K771="CREDITO",Q771,Q771*-1)</f>
        <v>31837.98</v>
      </c>
      <c r="E771" t="s">
        <v>894</v>
      </c>
      <c r="F771" t="s">
        <v>1264</v>
      </c>
      <c r="G771" s="8">
        <v>44866</v>
      </c>
      <c r="H771" t="s">
        <v>510</v>
      </c>
      <c r="I771" t="s">
        <v>106</v>
      </c>
      <c r="J771" t="s">
        <v>60</v>
      </c>
      <c r="K771" t="s">
        <v>29</v>
      </c>
      <c r="L771" t="s">
        <v>895</v>
      </c>
      <c r="M771" t="s">
        <v>4402</v>
      </c>
      <c r="O771" t="s">
        <v>896</v>
      </c>
      <c r="P771" t="s">
        <v>33</v>
      </c>
      <c r="Q771" s="22">
        <v>31837.98</v>
      </c>
      <c r="R771" t="s">
        <v>35</v>
      </c>
      <c r="S771" t="s">
        <v>35</v>
      </c>
      <c r="T771" t="s">
        <v>35</v>
      </c>
      <c r="U771" t="s">
        <v>35</v>
      </c>
      <c r="V771" t="s">
        <v>645</v>
      </c>
      <c r="W771" t="s">
        <v>113</v>
      </c>
    </row>
    <row r="772" spans="1:23" hidden="1" x14ac:dyDescent="0.25">
      <c r="A772" s="7" t="str">
        <f>IFERROR(VLOOKUP(H772,'Contas Orç'!A:B,2,0),"N/A")</f>
        <v>ENCARGOS SOCIAIS</v>
      </c>
      <c r="B772" s="7" t="str">
        <f t="shared" si="24"/>
        <v>320102 - ENCARGOS SOCIAIS</v>
      </c>
      <c r="C772" s="25">
        <f t="shared" si="25"/>
        <v>44866</v>
      </c>
      <c r="D772" s="27">
        <f>IF(K772="CREDITO",Q772,Q772*-1)</f>
        <v>149514.16</v>
      </c>
      <c r="E772" t="s">
        <v>894</v>
      </c>
      <c r="F772" t="s">
        <v>1265</v>
      </c>
      <c r="G772" s="8">
        <v>44866</v>
      </c>
      <c r="H772" t="s">
        <v>510</v>
      </c>
      <c r="I772" t="s">
        <v>59</v>
      </c>
      <c r="J772" t="s">
        <v>60</v>
      </c>
      <c r="K772" t="s">
        <v>29</v>
      </c>
      <c r="L772" t="s">
        <v>895</v>
      </c>
      <c r="M772" t="s">
        <v>4402</v>
      </c>
      <c r="O772" t="s">
        <v>896</v>
      </c>
      <c r="P772" t="s">
        <v>33</v>
      </c>
      <c r="Q772" s="22">
        <v>149514.16</v>
      </c>
      <c r="R772" t="s">
        <v>35</v>
      </c>
      <c r="S772" t="s">
        <v>35</v>
      </c>
      <c r="T772" t="s">
        <v>35</v>
      </c>
      <c r="U772" t="s">
        <v>35</v>
      </c>
      <c r="V772" t="s">
        <v>645</v>
      </c>
      <c r="W772" t="s">
        <v>113</v>
      </c>
    </row>
    <row r="773" spans="1:23" hidden="1" x14ac:dyDescent="0.25">
      <c r="A773" s="7" t="str">
        <f>IFERROR(VLOOKUP(H773,'Contas Orç'!A:B,2,0),"N/A")</f>
        <v>ENCARGOS SOCIAIS</v>
      </c>
      <c r="B773" s="7" t="str">
        <f t="shared" si="24"/>
        <v>320102 - ENCARGOS SOCIAIS</v>
      </c>
      <c r="C773" s="25">
        <f t="shared" si="25"/>
        <v>44866</v>
      </c>
      <c r="D773" s="27">
        <f>IF(K773="CREDITO",Q773,Q773*-1)</f>
        <v>2325.4</v>
      </c>
      <c r="E773" t="s">
        <v>894</v>
      </c>
      <c r="F773" t="s">
        <v>1266</v>
      </c>
      <c r="G773" s="8">
        <v>44866</v>
      </c>
      <c r="H773" t="s">
        <v>510</v>
      </c>
      <c r="I773" t="s">
        <v>53</v>
      </c>
      <c r="J773" t="s">
        <v>702</v>
      </c>
      <c r="K773" t="s">
        <v>29</v>
      </c>
      <c r="L773" t="s">
        <v>895</v>
      </c>
      <c r="M773" t="s">
        <v>4402</v>
      </c>
      <c r="O773" t="s">
        <v>896</v>
      </c>
      <c r="P773" t="s">
        <v>33</v>
      </c>
      <c r="Q773" s="22">
        <v>2325.4</v>
      </c>
      <c r="R773" t="s">
        <v>35</v>
      </c>
      <c r="S773" t="s">
        <v>35</v>
      </c>
      <c r="T773" t="s">
        <v>35</v>
      </c>
      <c r="U773" t="s">
        <v>35</v>
      </c>
      <c r="V773" t="s">
        <v>645</v>
      </c>
      <c r="W773" t="s">
        <v>113</v>
      </c>
    </row>
    <row r="774" spans="1:23" hidden="1" x14ac:dyDescent="0.25">
      <c r="A774" s="7" t="str">
        <f>IFERROR(VLOOKUP(H774,'Contas Orç'!A:B,2,0),"N/A")</f>
        <v>ENCARGOS SOCIAIS</v>
      </c>
      <c r="B774" s="7" t="str">
        <f t="shared" si="24"/>
        <v>320102 - ENCARGOS SOCIAIS</v>
      </c>
      <c r="C774" s="25">
        <f t="shared" si="25"/>
        <v>44866</v>
      </c>
      <c r="D774" s="27">
        <f>IF(K774="CREDITO",Q774,Q774*-1)</f>
        <v>10176.129999999999</v>
      </c>
      <c r="E774" t="s">
        <v>894</v>
      </c>
      <c r="F774" t="s">
        <v>1267</v>
      </c>
      <c r="G774" s="8">
        <v>44866</v>
      </c>
      <c r="H774" t="s">
        <v>510</v>
      </c>
      <c r="I774" t="s">
        <v>59</v>
      </c>
      <c r="J774" t="s">
        <v>702</v>
      </c>
      <c r="K774" t="s">
        <v>29</v>
      </c>
      <c r="L774" t="s">
        <v>895</v>
      </c>
      <c r="M774" t="s">
        <v>4402</v>
      </c>
      <c r="O774" t="s">
        <v>896</v>
      </c>
      <c r="P774" t="s">
        <v>33</v>
      </c>
      <c r="Q774" s="22">
        <v>10176.129999999999</v>
      </c>
      <c r="R774" t="s">
        <v>35</v>
      </c>
      <c r="S774" t="s">
        <v>35</v>
      </c>
      <c r="T774" t="s">
        <v>35</v>
      </c>
      <c r="U774" t="s">
        <v>35</v>
      </c>
      <c r="V774" t="s">
        <v>645</v>
      </c>
      <c r="W774" t="s">
        <v>113</v>
      </c>
    </row>
    <row r="775" spans="1:23" hidden="1" x14ac:dyDescent="0.25">
      <c r="A775" s="7" t="str">
        <f>IFERROR(VLOOKUP(H775,'Contas Orç'!A:B,2,0),"N/A")</f>
        <v>ENCARGOS SOCIAIS</v>
      </c>
      <c r="B775" s="7" t="str">
        <f t="shared" si="24"/>
        <v>320102 - ENCARGOS SOCIAIS</v>
      </c>
      <c r="C775" s="25">
        <f t="shared" si="25"/>
        <v>44866</v>
      </c>
      <c r="D775" s="27">
        <f>IF(K775="CREDITO",Q775,Q775*-1)</f>
        <v>4887.75</v>
      </c>
      <c r="E775" t="s">
        <v>894</v>
      </c>
      <c r="F775" t="s">
        <v>1268</v>
      </c>
      <c r="G775" s="8">
        <v>44866</v>
      </c>
      <c r="H775" t="s">
        <v>510</v>
      </c>
      <c r="I775" t="s">
        <v>125</v>
      </c>
      <c r="J775" t="s">
        <v>95</v>
      </c>
      <c r="K775" t="s">
        <v>29</v>
      </c>
      <c r="L775" t="s">
        <v>895</v>
      </c>
      <c r="M775" t="s">
        <v>4402</v>
      </c>
      <c r="O775" t="s">
        <v>896</v>
      </c>
      <c r="P775" t="s">
        <v>33</v>
      </c>
      <c r="Q775" s="22">
        <v>4887.75</v>
      </c>
      <c r="R775" t="s">
        <v>35</v>
      </c>
      <c r="S775" t="s">
        <v>35</v>
      </c>
      <c r="T775" t="s">
        <v>35</v>
      </c>
      <c r="U775" t="s">
        <v>35</v>
      </c>
      <c r="V775" t="s">
        <v>645</v>
      </c>
      <c r="W775" t="s">
        <v>113</v>
      </c>
    </row>
    <row r="776" spans="1:23" hidden="1" x14ac:dyDescent="0.25">
      <c r="A776" s="7" t="str">
        <f>IFERROR(VLOOKUP(H776,'Contas Orç'!A:B,2,0),"N/A")</f>
        <v>ENCARGOS SOCIAIS</v>
      </c>
      <c r="B776" s="7" t="str">
        <f t="shared" si="24"/>
        <v>320102 - ENCARGOS SOCIAIS</v>
      </c>
      <c r="C776" s="25">
        <f t="shared" si="25"/>
        <v>44866</v>
      </c>
      <c r="D776" s="27">
        <f>IF(K776="CREDITO",Q776,Q776*-1)</f>
        <v>11413.35</v>
      </c>
      <c r="E776" t="s">
        <v>894</v>
      </c>
      <c r="F776" t="s">
        <v>1269</v>
      </c>
      <c r="G776" s="8">
        <v>44866</v>
      </c>
      <c r="H776" t="s">
        <v>510</v>
      </c>
      <c r="I776" t="s">
        <v>53</v>
      </c>
      <c r="J776" t="s">
        <v>54</v>
      </c>
      <c r="K776" t="s">
        <v>29</v>
      </c>
      <c r="L776" t="s">
        <v>895</v>
      </c>
      <c r="M776" t="s">
        <v>4402</v>
      </c>
      <c r="O776" t="s">
        <v>896</v>
      </c>
      <c r="P776" t="s">
        <v>33</v>
      </c>
      <c r="Q776" s="22">
        <v>11413.35</v>
      </c>
      <c r="R776" t="s">
        <v>35</v>
      </c>
      <c r="S776" t="s">
        <v>35</v>
      </c>
      <c r="T776" t="s">
        <v>35</v>
      </c>
      <c r="U776" t="s">
        <v>35</v>
      </c>
      <c r="V776" t="s">
        <v>645</v>
      </c>
      <c r="W776" t="s">
        <v>113</v>
      </c>
    </row>
    <row r="777" spans="1:23" hidden="1" x14ac:dyDescent="0.25">
      <c r="A777" s="7" t="str">
        <f>IFERROR(VLOOKUP(H777,'Contas Orç'!A:B,2,0),"N/A")</f>
        <v>ENCARGOS SOCIAIS</v>
      </c>
      <c r="B777" s="7" t="str">
        <f t="shared" si="24"/>
        <v>320102 - ENCARGOS SOCIAIS</v>
      </c>
      <c r="C777" s="25">
        <f t="shared" si="25"/>
        <v>44866</v>
      </c>
      <c r="D777" s="27">
        <f>IF(K777="CREDITO",Q777,Q777*-1)</f>
        <v>44.48</v>
      </c>
      <c r="E777" t="s">
        <v>894</v>
      </c>
      <c r="F777" t="s">
        <v>1270</v>
      </c>
      <c r="G777" s="8">
        <v>44866</v>
      </c>
      <c r="H777" t="s">
        <v>510</v>
      </c>
      <c r="I777" t="s">
        <v>88</v>
      </c>
      <c r="J777" t="s">
        <v>54</v>
      </c>
      <c r="K777" t="s">
        <v>29</v>
      </c>
      <c r="L777" t="s">
        <v>895</v>
      </c>
      <c r="M777" t="s">
        <v>4402</v>
      </c>
      <c r="O777" t="s">
        <v>896</v>
      </c>
      <c r="P777" t="s">
        <v>33</v>
      </c>
      <c r="Q777">
        <v>44.48</v>
      </c>
      <c r="R777" t="s">
        <v>35</v>
      </c>
      <c r="S777" t="s">
        <v>35</v>
      </c>
      <c r="T777" t="s">
        <v>35</v>
      </c>
      <c r="U777" t="s">
        <v>35</v>
      </c>
      <c r="V777" t="s">
        <v>645</v>
      </c>
      <c r="W777" t="s">
        <v>113</v>
      </c>
    </row>
    <row r="778" spans="1:23" hidden="1" x14ac:dyDescent="0.25">
      <c r="A778" s="7" t="str">
        <f>IFERROR(VLOOKUP(H778,'Contas Orç'!A:B,2,0),"N/A")</f>
        <v>ENCARGOS SOCIAIS</v>
      </c>
      <c r="B778" s="7" t="str">
        <f t="shared" si="24"/>
        <v>320102 - ENCARGOS SOCIAIS</v>
      </c>
      <c r="C778" s="25">
        <f t="shared" si="25"/>
        <v>44896</v>
      </c>
      <c r="D778" s="27">
        <f>IF(K778="CREDITO",Q778,Q778*-1)</f>
        <v>125.86</v>
      </c>
      <c r="E778" t="s">
        <v>894</v>
      </c>
      <c r="F778" t="s">
        <v>1271</v>
      </c>
      <c r="G778" s="8">
        <v>44896</v>
      </c>
      <c r="H778" t="s">
        <v>510</v>
      </c>
      <c r="I778" t="s">
        <v>53</v>
      </c>
      <c r="J778" t="s">
        <v>28</v>
      </c>
      <c r="K778" t="s">
        <v>29</v>
      </c>
      <c r="L778" t="s">
        <v>895</v>
      </c>
      <c r="M778" t="s">
        <v>4402</v>
      </c>
      <c r="O778" t="s">
        <v>896</v>
      </c>
      <c r="P778" t="s">
        <v>33</v>
      </c>
      <c r="Q778">
        <v>125.86</v>
      </c>
      <c r="R778" t="s">
        <v>35</v>
      </c>
      <c r="S778" t="s">
        <v>35</v>
      </c>
      <c r="T778" t="s">
        <v>35</v>
      </c>
      <c r="U778" t="s">
        <v>35</v>
      </c>
      <c r="V778" t="s">
        <v>645</v>
      </c>
      <c r="W778" t="s">
        <v>113</v>
      </c>
    </row>
    <row r="779" spans="1:23" hidden="1" x14ac:dyDescent="0.25">
      <c r="A779" s="7" t="str">
        <f>IFERROR(VLOOKUP(H779,'Contas Orç'!A:B,2,0),"N/A")</f>
        <v>ENCARGOS SOCIAIS</v>
      </c>
      <c r="B779" s="7" t="str">
        <f t="shared" si="24"/>
        <v>320102 - ENCARGOS SOCIAIS</v>
      </c>
      <c r="C779" s="25">
        <f t="shared" si="25"/>
        <v>44896</v>
      </c>
      <c r="D779" s="27">
        <f>IF(K779="CREDITO",Q779,Q779*-1)</f>
        <v>9545.1299999999992</v>
      </c>
      <c r="E779" t="s">
        <v>894</v>
      </c>
      <c r="F779" t="s">
        <v>1272</v>
      </c>
      <c r="G779" s="8">
        <v>44896</v>
      </c>
      <c r="H779" t="s">
        <v>510</v>
      </c>
      <c r="I779" t="s">
        <v>88</v>
      </c>
      <c r="J779" t="s">
        <v>28</v>
      </c>
      <c r="K779" t="s">
        <v>29</v>
      </c>
      <c r="L779" t="s">
        <v>895</v>
      </c>
      <c r="M779" t="s">
        <v>4402</v>
      </c>
      <c r="O779" t="s">
        <v>896</v>
      </c>
      <c r="P779" t="s">
        <v>33</v>
      </c>
      <c r="Q779" s="22">
        <v>9545.1299999999992</v>
      </c>
      <c r="R779" t="s">
        <v>35</v>
      </c>
      <c r="S779" t="s">
        <v>35</v>
      </c>
      <c r="T779" t="s">
        <v>35</v>
      </c>
      <c r="U779" t="s">
        <v>35</v>
      </c>
      <c r="V779" t="s">
        <v>645</v>
      </c>
      <c r="W779" t="s">
        <v>113</v>
      </c>
    </row>
    <row r="780" spans="1:23" hidden="1" x14ac:dyDescent="0.25">
      <c r="A780" s="7" t="str">
        <f>IFERROR(VLOOKUP(H780,'Contas Orç'!A:B,2,0),"N/A")</f>
        <v>ENCARGOS SOCIAIS</v>
      </c>
      <c r="B780" s="7" t="str">
        <f t="shared" si="24"/>
        <v>320102 - ENCARGOS SOCIAIS</v>
      </c>
      <c r="C780" s="25">
        <f t="shared" si="25"/>
        <v>44896</v>
      </c>
      <c r="D780" s="27">
        <f>IF(K780="CREDITO",Q780,Q780*-1)</f>
        <v>26670.26</v>
      </c>
      <c r="E780" t="s">
        <v>894</v>
      </c>
      <c r="F780" t="s">
        <v>1273</v>
      </c>
      <c r="G780" s="8">
        <v>44896</v>
      </c>
      <c r="H780" t="s">
        <v>510</v>
      </c>
      <c r="I780" t="s">
        <v>27</v>
      </c>
      <c r="J780" t="s">
        <v>28</v>
      </c>
      <c r="K780" t="s">
        <v>29</v>
      </c>
      <c r="L780" t="s">
        <v>895</v>
      </c>
      <c r="M780" t="s">
        <v>4402</v>
      </c>
      <c r="O780" t="s">
        <v>896</v>
      </c>
      <c r="P780" t="s">
        <v>33</v>
      </c>
      <c r="Q780" s="22">
        <v>26670.26</v>
      </c>
      <c r="R780" t="s">
        <v>35</v>
      </c>
      <c r="S780" t="s">
        <v>35</v>
      </c>
      <c r="T780" t="s">
        <v>35</v>
      </c>
      <c r="U780" t="s">
        <v>35</v>
      </c>
      <c r="V780" t="s">
        <v>645</v>
      </c>
      <c r="W780" t="s">
        <v>113</v>
      </c>
    </row>
    <row r="781" spans="1:23" hidden="1" x14ac:dyDescent="0.25">
      <c r="A781" s="7" t="str">
        <f>IFERROR(VLOOKUP(H781,'Contas Orç'!A:B,2,0),"N/A")</f>
        <v>ENCARGOS SOCIAIS</v>
      </c>
      <c r="B781" s="7" t="str">
        <f t="shared" si="24"/>
        <v>320102 - ENCARGOS SOCIAIS</v>
      </c>
      <c r="C781" s="25">
        <f t="shared" si="25"/>
        <v>44896</v>
      </c>
      <c r="D781" s="27">
        <f>IF(K781="CREDITO",Q781,Q781*-1)</f>
        <v>7897.94</v>
      </c>
      <c r="E781" t="s">
        <v>894</v>
      </c>
      <c r="F781" t="s">
        <v>1274</v>
      </c>
      <c r="G781" s="8">
        <v>44896</v>
      </c>
      <c r="H781" t="s">
        <v>510</v>
      </c>
      <c r="I781" t="s">
        <v>53</v>
      </c>
      <c r="J781" t="s">
        <v>60</v>
      </c>
      <c r="K781" t="s">
        <v>29</v>
      </c>
      <c r="L781" t="s">
        <v>895</v>
      </c>
      <c r="M781" t="s">
        <v>4402</v>
      </c>
      <c r="O781" t="s">
        <v>896</v>
      </c>
      <c r="P781" t="s">
        <v>33</v>
      </c>
      <c r="Q781" s="22">
        <v>7897.94</v>
      </c>
      <c r="R781" t="s">
        <v>35</v>
      </c>
      <c r="S781" t="s">
        <v>35</v>
      </c>
      <c r="T781" t="s">
        <v>35</v>
      </c>
      <c r="U781" t="s">
        <v>35</v>
      </c>
      <c r="V781" t="s">
        <v>645</v>
      </c>
      <c r="W781" t="s">
        <v>113</v>
      </c>
    </row>
    <row r="782" spans="1:23" hidden="1" x14ac:dyDescent="0.25">
      <c r="A782" s="7" t="str">
        <f>IFERROR(VLOOKUP(H782,'Contas Orç'!A:B,2,0),"N/A")</f>
        <v>ENCARGOS SOCIAIS</v>
      </c>
      <c r="B782" s="7" t="str">
        <f t="shared" si="24"/>
        <v>320102 - ENCARGOS SOCIAIS</v>
      </c>
      <c r="C782" s="25">
        <f t="shared" si="25"/>
        <v>44896</v>
      </c>
      <c r="D782" s="27">
        <f>IF(K782="CREDITO",Q782,Q782*-1)</f>
        <v>32156.36</v>
      </c>
      <c r="E782" t="s">
        <v>894</v>
      </c>
      <c r="F782" t="s">
        <v>1275</v>
      </c>
      <c r="G782" s="8">
        <v>44896</v>
      </c>
      <c r="H782" t="s">
        <v>510</v>
      </c>
      <c r="I782" t="s">
        <v>106</v>
      </c>
      <c r="J782" t="s">
        <v>60</v>
      </c>
      <c r="K782" t="s">
        <v>29</v>
      </c>
      <c r="L782" t="s">
        <v>895</v>
      </c>
      <c r="M782" t="s">
        <v>4402</v>
      </c>
      <c r="O782" t="s">
        <v>896</v>
      </c>
      <c r="P782" t="s">
        <v>33</v>
      </c>
      <c r="Q782" s="22">
        <v>32156.36</v>
      </c>
      <c r="R782" t="s">
        <v>35</v>
      </c>
      <c r="S782" t="s">
        <v>35</v>
      </c>
      <c r="T782" t="s">
        <v>35</v>
      </c>
      <c r="U782" t="s">
        <v>35</v>
      </c>
      <c r="V782" t="s">
        <v>645</v>
      </c>
      <c r="W782" t="s">
        <v>113</v>
      </c>
    </row>
    <row r="783" spans="1:23" hidden="1" x14ac:dyDescent="0.25">
      <c r="A783" s="7" t="str">
        <f>IFERROR(VLOOKUP(H783,'Contas Orç'!A:B,2,0),"N/A")</f>
        <v>ENCARGOS SOCIAIS</v>
      </c>
      <c r="B783" s="7" t="str">
        <f t="shared" si="24"/>
        <v>320102 - ENCARGOS SOCIAIS</v>
      </c>
      <c r="C783" s="25">
        <f t="shared" si="25"/>
        <v>44896</v>
      </c>
      <c r="D783" s="27">
        <f>IF(K783="CREDITO",Q783,Q783*-1)</f>
        <v>151009.29999999999</v>
      </c>
      <c r="E783" t="s">
        <v>894</v>
      </c>
      <c r="F783" t="s">
        <v>1276</v>
      </c>
      <c r="G783" s="8">
        <v>44896</v>
      </c>
      <c r="H783" t="s">
        <v>510</v>
      </c>
      <c r="I783" t="s">
        <v>59</v>
      </c>
      <c r="J783" t="s">
        <v>60</v>
      </c>
      <c r="K783" t="s">
        <v>29</v>
      </c>
      <c r="L783" t="s">
        <v>895</v>
      </c>
      <c r="M783" t="s">
        <v>4402</v>
      </c>
      <c r="O783" t="s">
        <v>896</v>
      </c>
      <c r="P783" t="s">
        <v>33</v>
      </c>
      <c r="Q783" s="22">
        <v>151009.29999999999</v>
      </c>
      <c r="R783" t="s">
        <v>35</v>
      </c>
      <c r="S783" t="s">
        <v>35</v>
      </c>
      <c r="T783" t="s">
        <v>35</v>
      </c>
      <c r="U783" t="s">
        <v>35</v>
      </c>
      <c r="V783" t="s">
        <v>645</v>
      </c>
      <c r="W783" t="s">
        <v>113</v>
      </c>
    </row>
    <row r="784" spans="1:23" hidden="1" x14ac:dyDescent="0.25">
      <c r="A784" s="7" t="str">
        <f>IFERROR(VLOOKUP(H784,'Contas Orç'!A:B,2,0),"N/A")</f>
        <v>ENCARGOS SOCIAIS</v>
      </c>
      <c r="B784" s="7" t="str">
        <f t="shared" si="24"/>
        <v>320102 - ENCARGOS SOCIAIS</v>
      </c>
      <c r="C784" s="25">
        <f t="shared" si="25"/>
        <v>44896</v>
      </c>
      <c r="D784" s="27">
        <f>IF(K784="CREDITO",Q784,Q784*-1)</f>
        <v>2348.65</v>
      </c>
      <c r="E784" t="s">
        <v>894</v>
      </c>
      <c r="F784" t="s">
        <v>1277</v>
      </c>
      <c r="G784" s="8">
        <v>44896</v>
      </c>
      <c r="H784" t="s">
        <v>510</v>
      </c>
      <c r="I784" t="s">
        <v>53</v>
      </c>
      <c r="J784" t="s">
        <v>702</v>
      </c>
      <c r="K784" t="s">
        <v>29</v>
      </c>
      <c r="L784" t="s">
        <v>895</v>
      </c>
      <c r="M784" t="s">
        <v>4402</v>
      </c>
      <c r="O784" t="s">
        <v>896</v>
      </c>
      <c r="P784" t="s">
        <v>33</v>
      </c>
      <c r="Q784" s="22">
        <v>2348.65</v>
      </c>
      <c r="R784" t="s">
        <v>35</v>
      </c>
      <c r="S784" t="s">
        <v>35</v>
      </c>
      <c r="T784" t="s">
        <v>35</v>
      </c>
      <c r="U784" t="s">
        <v>35</v>
      </c>
      <c r="V784" t="s">
        <v>645</v>
      </c>
      <c r="W784" t="s">
        <v>113</v>
      </c>
    </row>
    <row r="785" spans="1:23" hidden="1" x14ac:dyDescent="0.25">
      <c r="A785" s="7" t="str">
        <f>IFERROR(VLOOKUP(H785,'Contas Orç'!A:B,2,0),"N/A")</f>
        <v>ENCARGOS SOCIAIS</v>
      </c>
      <c r="B785" s="7" t="str">
        <f t="shared" si="24"/>
        <v>320102 - ENCARGOS SOCIAIS</v>
      </c>
      <c r="C785" s="25">
        <f t="shared" si="25"/>
        <v>44896</v>
      </c>
      <c r="D785" s="27">
        <f>IF(K785="CREDITO",Q785,Q785*-1)</f>
        <v>10277.89</v>
      </c>
      <c r="E785" t="s">
        <v>894</v>
      </c>
      <c r="F785" t="s">
        <v>1278</v>
      </c>
      <c r="G785" s="8">
        <v>44896</v>
      </c>
      <c r="H785" t="s">
        <v>510</v>
      </c>
      <c r="I785" t="s">
        <v>59</v>
      </c>
      <c r="J785" t="s">
        <v>702</v>
      </c>
      <c r="K785" t="s">
        <v>29</v>
      </c>
      <c r="L785" t="s">
        <v>895</v>
      </c>
      <c r="M785" t="s">
        <v>4402</v>
      </c>
      <c r="O785" t="s">
        <v>896</v>
      </c>
      <c r="P785" t="s">
        <v>33</v>
      </c>
      <c r="Q785" s="22">
        <v>10277.89</v>
      </c>
      <c r="R785" t="s">
        <v>35</v>
      </c>
      <c r="S785" t="s">
        <v>35</v>
      </c>
      <c r="T785" t="s">
        <v>35</v>
      </c>
      <c r="U785" t="s">
        <v>35</v>
      </c>
      <c r="V785" t="s">
        <v>645</v>
      </c>
      <c r="W785" t="s">
        <v>113</v>
      </c>
    </row>
    <row r="786" spans="1:23" hidden="1" x14ac:dyDescent="0.25">
      <c r="A786" s="7" t="str">
        <f>IFERROR(VLOOKUP(H786,'Contas Orç'!A:B,2,0),"N/A")</f>
        <v>ENCARGOS SOCIAIS</v>
      </c>
      <c r="B786" s="7" t="str">
        <f t="shared" si="24"/>
        <v>320102 - ENCARGOS SOCIAIS</v>
      </c>
      <c r="C786" s="25">
        <f t="shared" si="25"/>
        <v>44896</v>
      </c>
      <c r="D786" s="27">
        <f>IF(K786="CREDITO",Q786,Q786*-1)</f>
        <v>4936.63</v>
      </c>
      <c r="E786" t="s">
        <v>894</v>
      </c>
      <c r="F786" t="s">
        <v>1279</v>
      </c>
      <c r="G786" s="8">
        <v>44896</v>
      </c>
      <c r="H786" t="s">
        <v>510</v>
      </c>
      <c r="I786" t="s">
        <v>125</v>
      </c>
      <c r="J786" t="s">
        <v>95</v>
      </c>
      <c r="K786" t="s">
        <v>29</v>
      </c>
      <c r="L786" t="s">
        <v>895</v>
      </c>
      <c r="M786" t="s">
        <v>4402</v>
      </c>
      <c r="O786" t="s">
        <v>896</v>
      </c>
      <c r="P786" t="s">
        <v>33</v>
      </c>
      <c r="Q786" s="22">
        <v>4936.63</v>
      </c>
      <c r="R786" t="s">
        <v>35</v>
      </c>
      <c r="S786" t="s">
        <v>35</v>
      </c>
      <c r="T786" t="s">
        <v>35</v>
      </c>
      <c r="U786" t="s">
        <v>35</v>
      </c>
      <c r="V786" t="s">
        <v>645</v>
      </c>
      <c r="W786" t="s">
        <v>113</v>
      </c>
    </row>
    <row r="787" spans="1:23" hidden="1" x14ac:dyDescent="0.25">
      <c r="A787" s="7" t="str">
        <f>IFERROR(VLOOKUP(H787,'Contas Orç'!A:B,2,0),"N/A")</f>
        <v>ENCARGOS SOCIAIS</v>
      </c>
      <c r="B787" s="7" t="str">
        <f t="shared" si="24"/>
        <v>320102 - ENCARGOS SOCIAIS</v>
      </c>
      <c r="C787" s="25">
        <f t="shared" si="25"/>
        <v>44896</v>
      </c>
      <c r="D787" s="27">
        <f>IF(K787="CREDITO",Q787,Q787*-1)</f>
        <v>11527.48</v>
      </c>
      <c r="E787" t="s">
        <v>894</v>
      </c>
      <c r="F787" t="s">
        <v>1280</v>
      </c>
      <c r="G787" s="8">
        <v>44896</v>
      </c>
      <c r="H787" t="s">
        <v>510</v>
      </c>
      <c r="I787" t="s">
        <v>53</v>
      </c>
      <c r="J787" t="s">
        <v>54</v>
      </c>
      <c r="K787" t="s">
        <v>29</v>
      </c>
      <c r="L787" t="s">
        <v>895</v>
      </c>
      <c r="M787" t="s">
        <v>4402</v>
      </c>
      <c r="O787" t="s">
        <v>896</v>
      </c>
      <c r="P787" t="s">
        <v>33</v>
      </c>
      <c r="Q787" s="22">
        <v>11527.48</v>
      </c>
      <c r="R787" t="s">
        <v>35</v>
      </c>
      <c r="S787" t="s">
        <v>35</v>
      </c>
      <c r="T787" t="s">
        <v>35</v>
      </c>
      <c r="U787" t="s">
        <v>35</v>
      </c>
      <c r="V787" t="s">
        <v>645</v>
      </c>
      <c r="W787" t="s">
        <v>113</v>
      </c>
    </row>
    <row r="788" spans="1:23" hidden="1" x14ac:dyDescent="0.25">
      <c r="A788" s="7" t="str">
        <f>IFERROR(VLOOKUP(H788,'Contas Orç'!A:B,2,0),"N/A")</f>
        <v>ENCARGOS SOCIAIS</v>
      </c>
      <c r="B788" s="7" t="str">
        <f t="shared" si="24"/>
        <v>320102 - ENCARGOS SOCIAIS</v>
      </c>
      <c r="C788" s="25">
        <f t="shared" si="25"/>
        <v>44896</v>
      </c>
      <c r="D788" s="27">
        <f>IF(K788="CREDITO",Q788,Q788*-1)</f>
        <v>44.92</v>
      </c>
      <c r="E788" t="s">
        <v>894</v>
      </c>
      <c r="F788" t="s">
        <v>1281</v>
      </c>
      <c r="G788" s="8">
        <v>44896</v>
      </c>
      <c r="H788" t="s">
        <v>510</v>
      </c>
      <c r="I788" t="s">
        <v>88</v>
      </c>
      <c r="J788" t="s">
        <v>54</v>
      </c>
      <c r="K788" t="s">
        <v>29</v>
      </c>
      <c r="L788" t="s">
        <v>895</v>
      </c>
      <c r="M788" t="s">
        <v>4402</v>
      </c>
      <c r="O788" t="s">
        <v>896</v>
      </c>
      <c r="P788" t="s">
        <v>33</v>
      </c>
      <c r="Q788">
        <v>44.92</v>
      </c>
      <c r="R788" t="s">
        <v>35</v>
      </c>
      <c r="S788" t="s">
        <v>35</v>
      </c>
      <c r="T788" t="s">
        <v>35</v>
      </c>
      <c r="U788" t="s">
        <v>35</v>
      </c>
      <c r="V788" t="s">
        <v>645</v>
      </c>
      <c r="W788" t="s">
        <v>113</v>
      </c>
    </row>
    <row r="789" spans="1:23" hidden="1" x14ac:dyDescent="0.25">
      <c r="A789" s="7" t="str">
        <f>IFERROR(VLOOKUP(H789,'Contas Orç'!A:B,2,0),"N/A")</f>
        <v>BENEFICIOS</v>
      </c>
      <c r="B789" s="7" t="str">
        <f t="shared" si="24"/>
        <v>320103 - BENEFICIOS</v>
      </c>
      <c r="C789" s="25">
        <f t="shared" si="25"/>
        <v>44562</v>
      </c>
      <c r="D789" s="27">
        <f>IF(K789="CREDITO",Q789,Q789*-1)</f>
        <v>1050</v>
      </c>
      <c r="E789" t="s">
        <v>894</v>
      </c>
      <c r="F789" t="s">
        <v>1282</v>
      </c>
      <c r="G789" s="8">
        <v>44562</v>
      </c>
      <c r="H789" t="s">
        <v>84</v>
      </c>
      <c r="I789" t="s">
        <v>99</v>
      </c>
      <c r="J789" t="s">
        <v>28</v>
      </c>
      <c r="K789" t="s">
        <v>29</v>
      </c>
      <c r="L789" t="s">
        <v>895</v>
      </c>
      <c r="M789" t="s">
        <v>4402</v>
      </c>
      <c r="O789" t="s">
        <v>896</v>
      </c>
      <c r="P789" t="s">
        <v>33</v>
      </c>
      <c r="Q789" s="22">
        <v>1050</v>
      </c>
      <c r="R789" t="s">
        <v>35</v>
      </c>
      <c r="S789" t="s">
        <v>35</v>
      </c>
      <c r="T789" t="s">
        <v>35</v>
      </c>
      <c r="U789" t="s">
        <v>35</v>
      </c>
      <c r="V789" t="s">
        <v>645</v>
      </c>
      <c r="W789" t="s">
        <v>113</v>
      </c>
    </row>
    <row r="790" spans="1:23" hidden="1" x14ac:dyDescent="0.25">
      <c r="A790" s="7" t="str">
        <f>IFERROR(VLOOKUP(H790,'Contas Orç'!A:B,2,0),"N/A")</f>
        <v>BENEFICIOS</v>
      </c>
      <c r="B790" s="7" t="str">
        <f t="shared" si="24"/>
        <v>320103 - BENEFICIOS</v>
      </c>
      <c r="C790" s="25">
        <f t="shared" si="25"/>
        <v>44562</v>
      </c>
      <c r="D790" s="27">
        <f>IF(K790="CREDITO",Q790,Q790*-1)</f>
        <v>273.72000000000003</v>
      </c>
      <c r="E790" t="s">
        <v>894</v>
      </c>
      <c r="F790" t="s">
        <v>1283</v>
      </c>
      <c r="G790" s="8">
        <v>44562</v>
      </c>
      <c r="H790" t="s">
        <v>84</v>
      </c>
      <c r="I790" t="s">
        <v>53</v>
      </c>
      <c r="J790" t="s">
        <v>28</v>
      </c>
      <c r="K790" t="s">
        <v>29</v>
      </c>
      <c r="L790" t="s">
        <v>895</v>
      </c>
      <c r="M790" t="s">
        <v>4402</v>
      </c>
      <c r="O790" t="s">
        <v>896</v>
      </c>
      <c r="P790" t="s">
        <v>33</v>
      </c>
      <c r="Q790">
        <v>273.72000000000003</v>
      </c>
      <c r="R790" t="s">
        <v>35</v>
      </c>
      <c r="S790" t="s">
        <v>35</v>
      </c>
      <c r="T790" t="s">
        <v>35</v>
      </c>
      <c r="U790" t="s">
        <v>35</v>
      </c>
      <c r="V790" t="s">
        <v>645</v>
      </c>
      <c r="W790" t="s">
        <v>113</v>
      </c>
    </row>
    <row r="791" spans="1:23" hidden="1" x14ac:dyDescent="0.25">
      <c r="A791" s="7" t="str">
        <f>IFERROR(VLOOKUP(H791,'Contas Orç'!A:B,2,0),"N/A")</f>
        <v>BENEFICIOS</v>
      </c>
      <c r="B791" s="7" t="str">
        <f t="shared" si="24"/>
        <v>320103 - BENEFICIOS</v>
      </c>
      <c r="C791" s="25">
        <f t="shared" si="25"/>
        <v>44562</v>
      </c>
      <c r="D791" s="27">
        <f>IF(K791="CREDITO",Q791,Q791*-1)</f>
        <v>21038.5</v>
      </c>
      <c r="E791" t="s">
        <v>894</v>
      </c>
      <c r="F791" t="s">
        <v>1284</v>
      </c>
      <c r="G791" s="8">
        <v>44562</v>
      </c>
      <c r="H791" t="s">
        <v>84</v>
      </c>
      <c r="I791" t="s">
        <v>88</v>
      </c>
      <c r="J791" t="s">
        <v>28</v>
      </c>
      <c r="K791" t="s">
        <v>29</v>
      </c>
      <c r="L791" t="s">
        <v>895</v>
      </c>
      <c r="M791" t="s">
        <v>4402</v>
      </c>
      <c r="O791" t="s">
        <v>896</v>
      </c>
      <c r="P791" t="s">
        <v>33</v>
      </c>
      <c r="Q791" s="22">
        <v>21038.5</v>
      </c>
      <c r="R791" t="s">
        <v>35</v>
      </c>
      <c r="S791" t="s">
        <v>35</v>
      </c>
      <c r="T791" t="s">
        <v>35</v>
      </c>
      <c r="U791" t="s">
        <v>35</v>
      </c>
      <c r="V791" t="s">
        <v>645</v>
      </c>
      <c r="W791" t="s">
        <v>113</v>
      </c>
    </row>
    <row r="792" spans="1:23" hidden="1" x14ac:dyDescent="0.25">
      <c r="A792" s="7" t="str">
        <f>IFERROR(VLOOKUP(H792,'Contas Orç'!A:B,2,0),"N/A")</f>
        <v>BENEFICIOS</v>
      </c>
      <c r="B792" s="7" t="str">
        <f t="shared" si="24"/>
        <v>320103 - BENEFICIOS</v>
      </c>
      <c r="C792" s="25">
        <f t="shared" si="25"/>
        <v>44562</v>
      </c>
      <c r="D792" s="27">
        <f>IF(K792="CREDITO",Q792,Q792*-1)</f>
        <v>48956.46</v>
      </c>
      <c r="E792" t="s">
        <v>894</v>
      </c>
      <c r="F792" t="s">
        <v>1285</v>
      </c>
      <c r="G792" s="8">
        <v>44562</v>
      </c>
      <c r="H792" t="s">
        <v>84</v>
      </c>
      <c r="I792" t="s">
        <v>27</v>
      </c>
      <c r="J792" t="s">
        <v>28</v>
      </c>
      <c r="K792" t="s">
        <v>29</v>
      </c>
      <c r="L792" t="s">
        <v>895</v>
      </c>
      <c r="M792" t="s">
        <v>4402</v>
      </c>
      <c r="O792" t="s">
        <v>896</v>
      </c>
      <c r="P792" t="s">
        <v>33</v>
      </c>
      <c r="Q792" s="22">
        <v>48956.46</v>
      </c>
      <c r="R792" t="s">
        <v>35</v>
      </c>
      <c r="S792" t="s">
        <v>35</v>
      </c>
      <c r="T792" t="s">
        <v>35</v>
      </c>
      <c r="U792" t="s">
        <v>35</v>
      </c>
      <c r="V792" t="s">
        <v>645</v>
      </c>
      <c r="W792" t="s">
        <v>113</v>
      </c>
    </row>
    <row r="793" spans="1:23" hidden="1" x14ac:dyDescent="0.25">
      <c r="A793" s="7" t="str">
        <f>IFERROR(VLOOKUP(H793,'Contas Orç'!A:B,2,0),"N/A")</f>
        <v>BENEFICIOS</v>
      </c>
      <c r="B793" s="7" t="str">
        <f t="shared" si="24"/>
        <v>320103 - BENEFICIOS</v>
      </c>
      <c r="C793" s="25">
        <f t="shared" si="25"/>
        <v>44562</v>
      </c>
      <c r="D793" s="27">
        <f>IF(K793="CREDITO",Q793,Q793*-1)</f>
        <v>1113.68</v>
      </c>
      <c r="E793" t="s">
        <v>894</v>
      </c>
      <c r="F793" t="s">
        <v>1286</v>
      </c>
      <c r="G793" s="8">
        <v>44562</v>
      </c>
      <c r="H793" t="s">
        <v>84</v>
      </c>
      <c r="I793" t="s">
        <v>59</v>
      </c>
      <c r="J793" t="s">
        <v>28</v>
      </c>
      <c r="K793" t="s">
        <v>29</v>
      </c>
      <c r="L793" t="s">
        <v>895</v>
      </c>
      <c r="M793" t="s">
        <v>4402</v>
      </c>
      <c r="O793" t="s">
        <v>896</v>
      </c>
      <c r="P793" t="s">
        <v>33</v>
      </c>
      <c r="Q793" s="22">
        <v>1113.68</v>
      </c>
      <c r="R793" t="s">
        <v>35</v>
      </c>
      <c r="S793" t="s">
        <v>35</v>
      </c>
      <c r="T793" t="s">
        <v>35</v>
      </c>
      <c r="U793" t="s">
        <v>35</v>
      </c>
      <c r="V793" t="s">
        <v>645</v>
      </c>
      <c r="W793" t="s">
        <v>113</v>
      </c>
    </row>
    <row r="794" spans="1:23" hidden="1" x14ac:dyDescent="0.25">
      <c r="A794" s="7" t="str">
        <f>IFERROR(VLOOKUP(H794,'Contas Orç'!A:B,2,0),"N/A")</f>
        <v>BENEFICIOS</v>
      </c>
      <c r="B794" s="7" t="str">
        <f t="shared" si="24"/>
        <v>320103 - BENEFICIOS</v>
      </c>
      <c r="C794" s="25">
        <f t="shared" si="25"/>
        <v>44562</v>
      </c>
      <c r="D794" s="27">
        <f>IF(K794="CREDITO",Q794,Q794*-1)</f>
        <v>86.4</v>
      </c>
      <c r="E794" t="s">
        <v>894</v>
      </c>
      <c r="F794" t="s">
        <v>1287</v>
      </c>
      <c r="G794" s="8">
        <v>44562</v>
      </c>
      <c r="H794" t="s">
        <v>84</v>
      </c>
      <c r="I794" t="s">
        <v>81</v>
      </c>
      <c r="J794" t="s">
        <v>60</v>
      </c>
      <c r="K794" t="s">
        <v>29</v>
      </c>
      <c r="L794" t="s">
        <v>895</v>
      </c>
      <c r="M794" t="s">
        <v>4402</v>
      </c>
      <c r="O794" t="s">
        <v>896</v>
      </c>
      <c r="P794" t="s">
        <v>33</v>
      </c>
      <c r="Q794">
        <v>86.4</v>
      </c>
      <c r="R794" t="s">
        <v>35</v>
      </c>
      <c r="S794" t="s">
        <v>35</v>
      </c>
      <c r="T794" t="s">
        <v>35</v>
      </c>
      <c r="U794" t="s">
        <v>35</v>
      </c>
      <c r="V794" t="s">
        <v>645</v>
      </c>
      <c r="W794" t="s">
        <v>113</v>
      </c>
    </row>
    <row r="795" spans="1:23" hidden="1" x14ac:dyDescent="0.25">
      <c r="A795" s="7" t="str">
        <f>IFERROR(VLOOKUP(H795,'Contas Orç'!A:B,2,0),"N/A")</f>
        <v>BENEFICIOS</v>
      </c>
      <c r="B795" s="7" t="str">
        <f t="shared" si="24"/>
        <v>320103 - BENEFICIOS</v>
      </c>
      <c r="C795" s="25">
        <f t="shared" si="25"/>
        <v>44562</v>
      </c>
      <c r="D795" s="27">
        <f>IF(K795="CREDITO",Q795,Q795*-1)</f>
        <v>3680.9</v>
      </c>
      <c r="E795" t="s">
        <v>894</v>
      </c>
      <c r="F795" t="s">
        <v>1288</v>
      </c>
      <c r="G795" s="8">
        <v>44562</v>
      </c>
      <c r="H795" t="s">
        <v>84</v>
      </c>
      <c r="I795" t="s">
        <v>53</v>
      </c>
      <c r="J795" t="s">
        <v>60</v>
      </c>
      <c r="K795" t="s">
        <v>29</v>
      </c>
      <c r="L795" t="s">
        <v>895</v>
      </c>
      <c r="M795" t="s">
        <v>4402</v>
      </c>
      <c r="O795" t="s">
        <v>896</v>
      </c>
      <c r="P795" t="s">
        <v>33</v>
      </c>
      <c r="Q795" s="22">
        <v>3680.9</v>
      </c>
      <c r="R795" t="s">
        <v>35</v>
      </c>
      <c r="S795" t="s">
        <v>35</v>
      </c>
      <c r="T795" t="s">
        <v>35</v>
      </c>
      <c r="U795" t="s">
        <v>35</v>
      </c>
      <c r="V795" t="s">
        <v>645</v>
      </c>
      <c r="W795" t="s">
        <v>113</v>
      </c>
    </row>
    <row r="796" spans="1:23" hidden="1" x14ac:dyDescent="0.25">
      <c r="A796" s="7" t="str">
        <f>IFERROR(VLOOKUP(H796,'Contas Orç'!A:B,2,0),"N/A")</f>
        <v>BENEFICIOS</v>
      </c>
      <c r="B796" s="7" t="str">
        <f t="shared" si="24"/>
        <v>320103 - BENEFICIOS</v>
      </c>
      <c r="C796" s="25">
        <f t="shared" si="25"/>
        <v>44562</v>
      </c>
      <c r="D796" s="27">
        <f>IF(K796="CREDITO",Q796,Q796*-1)</f>
        <v>31828.560000000001</v>
      </c>
      <c r="E796" t="s">
        <v>894</v>
      </c>
      <c r="F796" t="s">
        <v>1289</v>
      </c>
      <c r="G796" s="8">
        <v>44562</v>
      </c>
      <c r="H796" t="s">
        <v>84</v>
      </c>
      <c r="I796" t="s">
        <v>106</v>
      </c>
      <c r="J796" t="s">
        <v>60</v>
      </c>
      <c r="K796" t="s">
        <v>29</v>
      </c>
      <c r="L796" t="s">
        <v>895</v>
      </c>
      <c r="M796" t="s">
        <v>4402</v>
      </c>
      <c r="O796" t="s">
        <v>896</v>
      </c>
      <c r="P796" t="s">
        <v>33</v>
      </c>
      <c r="Q796" s="22">
        <v>31828.560000000001</v>
      </c>
      <c r="R796" t="s">
        <v>35</v>
      </c>
      <c r="S796" t="s">
        <v>35</v>
      </c>
      <c r="T796" t="s">
        <v>35</v>
      </c>
      <c r="U796" t="s">
        <v>35</v>
      </c>
      <c r="V796" t="s">
        <v>645</v>
      </c>
      <c r="W796" t="s">
        <v>113</v>
      </c>
    </row>
    <row r="797" spans="1:23" hidden="1" x14ac:dyDescent="0.25">
      <c r="A797" s="7" t="str">
        <f>IFERROR(VLOOKUP(H797,'Contas Orç'!A:B,2,0),"N/A")</f>
        <v>BENEFICIOS</v>
      </c>
      <c r="B797" s="7" t="str">
        <f t="shared" si="24"/>
        <v>320103 - BENEFICIOS</v>
      </c>
      <c r="C797" s="25">
        <f t="shared" si="25"/>
        <v>44562</v>
      </c>
      <c r="D797" s="27">
        <f>IF(K797="CREDITO",Q797,Q797*-1)</f>
        <v>184034.5</v>
      </c>
      <c r="E797" t="s">
        <v>894</v>
      </c>
      <c r="F797" t="s">
        <v>1290</v>
      </c>
      <c r="G797" s="8">
        <v>44562</v>
      </c>
      <c r="H797" t="s">
        <v>84</v>
      </c>
      <c r="I797" t="s">
        <v>59</v>
      </c>
      <c r="J797" t="s">
        <v>60</v>
      </c>
      <c r="K797" t="s">
        <v>29</v>
      </c>
      <c r="L797" t="s">
        <v>895</v>
      </c>
      <c r="M797" t="s">
        <v>4402</v>
      </c>
      <c r="O797" t="s">
        <v>896</v>
      </c>
      <c r="P797" t="s">
        <v>33</v>
      </c>
      <c r="Q797" s="22">
        <v>184034.5</v>
      </c>
      <c r="R797" t="s">
        <v>35</v>
      </c>
      <c r="S797" t="s">
        <v>35</v>
      </c>
      <c r="T797" t="s">
        <v>35</v>
      </c>
      <c r="U797" t="s">
        <v>35</v>
      </c>
      <c r="V797" t="s">
        <v>645</v>
      </c>
      <c r="W797" t="s">
        <v>113</v>
      </c>
    </row>
    <row r="798" spans="1:23" hidden="1" x14ac:dyDescent="0.25">
      <c r="A798" s="7" t="str">
        <f>IFERROR(VLOOKUP(H798,'Contas Orç'!A:B,2,0),"N/A")</f>
        <v>BENEFICIOS</v>
      </c>
      <c r="B798" s="7" t="str">
        <f t="shared" si="24"/>
        <v>320103 - BENEFICIOS</v>
      </c>
      <c r="C798" s="25">
        <f t="shared" si="25"/>
        <v>44562</v>
      </c>
      <c r="D798" s="27">
        <f>IF(K798="CREDITO",Q798,Q798*-1)</f>
        <v>7785.68</v>
      </c>
      <c r="E798" t="s">
        <v>894</v>
      </c>
      <c r="F798" t="s">
        <v>1291</v>
      </c>
      <c r="G798" s="8">
        <v>44562</v>
      </c>
      <c r="H798" t="s">
        <v>84</v>
      </c>
      <c r="I798" t="s">
        <v>59</v>
      </c>
      <c r="J798" t="s">
        <v>107</v>
      </c>
      <c r="K798" t="s">
        <v>29</v>
      </c>
      <c r="L798" t="s">
        <v>895</v>
      </c>
      <c r="M798" t="s">
        <v>4402</v>
      </c>
      <c r="O798" t="s">
        <v>896</v>
      </c>
      <c r="P798" t="s">
        <v>33</v>
      </c>
      <c r="Q798" s="22">
        <v>7785.68</v>
      </c>
      <c r="R798" t="s">
        <v>35</v>
      </c>
      <c r="S798" t="s">
        <v>35</v>
      </c>
      <c r="T798" t="s">
        <v>35</v>
      </c>
      <c r="U798" t="s">
        <v>35</v>
      </c>
      <c r="V798" t="s">
        <v>645</v>
      </c>
      <c r="W798" t="s">
        <v>113</v>
      </c>
    </row>
    <row r="799" spans="1:23" hidden="1" x14ac:dyDescent="0.25">
      <c r="A799" s="7" t="str">
        <f>IFERROR(VLOOKUP(H799,'Contas Orç'!A:B,2,0),"N/A")</f>
        <v>BENEFICIOS</v>
      </c>
      <c r="B799" s="7" t="str">
        <f t="shared" si="24"/>
        <v>320103 - BENEFICIOS</v>
      </c>
      <c r="C799" s="25">
        <f t="shared" si="25"/>
        <v>44562</v>
      </c>
      <c r="D799" s="27">
        <f>IF(K799="CREDITO",Q799,Q799*-1)</f>
        <v>599.34</v>
      </c>
      <c r="E799" t="s">
        <v>894</v>
      </c>
      <c r="F799" t="s">
        <v>1292</v>
      </c>
      <c r="G799" s="8">
        <v>44562</v>
      </c>
      <c r="H799" t="s">
        <v>84</v>
      </c>
      <c r="I799" t="s">
        <v>53</v>
      </c>
      <c r="J799" t="s">
        <v>702</v>
      </c>
      <c r="K799" t="s">
        <v>29</v>
      </c>
      <c r="L799" t="s">
        <v>895</v>
      </c>
      <c r="M799" t="s">
        <v>4402</v>
      </c>
      <c r="O799" t="s">
        <v>896</v>
      </c>
      <c r="P799" t="s">
        <v>33</v>
      </c>
      <c r="Q799">
        <v>599.34</v>
      </c>
      <c r="R799" t="s">
        <v>35</v>
      </c>
      <c r="S799" t="s">
        <v>35</v>
      </c>
      <c r="T799" t="s">
        <v>35</v>
      </c>
      <c r="U799" t="s">
        <v>35</v>
      </c>
      <c r="V799" t="s">
        <v>645</v>
      </c>
      <c r="W799" t="s">
        <v>113</v>
      </c>
    </row>
    <row r="800" spans="1:23" hidden="1" x14ac:dyDescent="0.25">
      <c r="A800" s="7" t="str">
        <f>IFERROR(VLOOKUP(H800,'Contas Orç'!A:B,2,0),"N/A")</f>
        <v>BENEFICIOS</v>
      </c>
      <c r="B800" s="7" t="str">
        <f t="shared" si="24"/>
        <v>320103 - BENEFICIOS</v>
      </c>
      <c r="C800" s="25">
        <f t="shared" si="25"/>
        <v>44562</v>
      </c>
      <c r="D800" s="27">
        <f>IF(K800="CREDITO",Q800,Q800*-1)</f>
        <v>85789.66</v>
      </c>
      <c r="E800" t="s">
        <v>894</v>
      </c>
      <c r="F800" t="s">
        <v>1293</v>
      </c>
      <c r="G800" s="8">
        <v>44562</v>
      </c>
      <c r="H800" t="s">
        <v>84</v>
      </c>
      <c r="I800" t="s">
        <v>59</v>
      </c>
      <c r="J800" t="s">
        <v>702</v>
      </c>
      <c r="K800" t="s">
        <v>29</v>
      </c>
      <c r="L800" t="s">
        <v>895</v>
      </c>
      <c r="M800" t="s">
        <v>4402</v>
      </c>
      <c r="O800" t="s">
        <v>896</v>
      </c>
      <c r="P800" t="s">
        <v>33</v>
      </c>
      <c r="Q800" s="22">
        <v>85789.66</v>
      </c>
      <c r="R800" t="s">
        <v>35</v>
      </c>
      <c r="S800" t="s">
        <v>35</v>
      </c>
      <c r="T800" t="s">
        <v>35</v>
      </c>
      <c r="U800" t="s">
        <v>35</v>
      </c>
      <c r="V800" t="s">
        <v>645</v>
      </c>
      <c r="W800" t="s">
        <v>113</v>
      </c>
    </row>
    <row r="801" spans="1:23" hidden="1" x14ac:dyDescent="0.25">
      <c r="A801" s="7" t="str">
        <f>IFERROR(VLOOKUP(H801,'Contas Orç'!A:B,2,0),"N/A")</f>
        <v>BENEFICIOS</v>
      </c>
      <c r="B801" s="7" t="str">
        <f t="shared" si="24"/>
        <v>320103 - BENEFICIOS</v>
      </c>
      <c r="C801" s="25">
        <f t="shared" si="25"/>
        <v>44562</v>
      </c>
      <c r="D801" s="27">
        <f>IF(K801="CREDITO",Q801,Q801*-1)</f>
        <v>3785.98</v>
      </c>
      <c r="E801" t="s">
        <v>894</v>
      </c>
      <c r="F801" t="s">
        <v>1294</v>
      </c>
      <c r="G801" s="8">
        <v>44562</v>
      </c>
      <c r="H801" t="s">
        <v>84</v>
      </c>
      <c r="I801" t="s">
        <v>125</v>
      </c>
      <c r="J801" t="s">
        <v>95</v>
      </c>
      <c r="K801" t="s">
        <v>29</v>
      </c>
      <c r="L801" t="s">
        <v>895</v>
      </c>
      <c r="M801" t="s">
        <v>4402</v>
      </c>
      <c r="O801" t="s">
        <v>896</v>
      </c>
      <c r="P801" t="s">
        <v>33</v>
      </c>
      <c r="Q801" s="22">
        <v>3785.98</v>
      </c>
      <c r="R801" t="s">
        <v>35</v>
      </c>
      <c r="S801" t="s">
        <v>35</v>
      </c>
      <c r="T801" t="s">
        <v>35</v>
      </c>
      <c r="U801" t="s">
        <v>35</v>
      </c>
      <c r="V801" t="s">
        <v>645</v>
      </c>
      <c r="W801" t="s">
        <v>113</v>
      </c>
    </row>
    <row r="802" spans="1:23" hidden="1" x14ac:dyDescent="0.25">
      <c r="A802" s="7" t="str">
        <f>IFERROR(VLOOKUP(H802,'Contas Orç'!A:B,2,0),"N/A")</f>
        <v>BENEFICIOS</v>
      </c>
      <c r="B802" s="7" t="str">
        <f t="shared" si="24"/>
        <v>320103 - BENEFICIOS</v>
      </c>
      <c r="C802" s="25">
        <f t="shared" si="25"/>
        <v>44562</v>
      </c>
      <c r="D802" s="27">
        <f>IF(K802="CREDITO",Q802,Q802*-1)</f>
        <v>447.44</v>
      </c>
      <c r="E802" t="s">
        <v>894</v>
      </c>
      <c r="F802" t="s">
        <v>1295</v>
      </c>
      <c r="G802" s="8">
        <v>44562</v>
      </c>
      <c r="H802" t="s">
        <v>84</v>
      </c>
      <c r="I802" t="s">
        <v>59</v>
      </c>
      <c r="J802" t="s">
        <v>661</v>
      </c>
      <c r="K802" t="s">
        <v>29</v>
      </c>
      <c r="L802" t="s">
        <v>895</v>
      </c>
      <c r="M802" t="s">
        <v>4402</v>
      </c>
      <c r="O802" t="s">
        <v>896</v>
      </c>
      <c r="P802" t="s">
        <v>33</v>
      </c>
      <c r="Q802">
        <v>447.44</v>
      </c>
      <c r="R802" t="s">
        <v>35</v>
      </c>
      <c r="S802" t="s">
        <v>35</v>
      </c>
      <c r="T802" t="s">
        <v>35</v>
      </c>
      <c r="U802" t="s">
        <v>35</v>
      </c>
      <c r="V802" t="s">
        <v>645</v>
      </c>
      <c r="W802" t="s">
        <v>113</v>
      </c>
    </row>
    <row r="803" spans="1:23" hidden="1" x14ac:dyDescent="0.25">
      <c r="A803" s="7" t="str">
        <f>IFERROR(VLOOKUP(H803,'Contas Orç'!A:B,2,0),"N/A")</f>
        <v>BENEFICIOS</v>
      </c>
      <c r="B803" s="7" t="str">
        <f t="shared" si="24"/>
        <v>320103 - BENEFICIOS</v>
      </c>
      <c r="C803" s="25">
        <f t="shared" si="25"/>
        <v>44562</v>
      </c>
      <c r="D803" s="27">
        <f>IF(K803="CREDITO",Q803,Q803*-1)</f>
        <v>17437.52</v>
      </c>
      <c r="E803" t="s">
        <v>894</v>
      </c>
      <c r="F803" t="s">
        <v>1296</v>
      </c>
      <c r="G803" s="8">
        <v>44562</v>
      </c>
      <c r="H803" t="s">
        <v>84</v>
      </c>
      <c r="I803" t="s">
        <v>53</v>
      </c>
      <c r="J803" t="s">
        <v>54</v>
      </c>
      <c r="K803" t="s">
        <v>29</v>
      </c>
      <c r="L803" t="s">
        <v>895</v>
      </c>
      <c r="M803" t="s">
        <v>4402</v>
      </c>
      <c r="O803" t="s">
        <v>896</v>
      </c>
      <c r="P803" t="s">
        <v>33</v>
      </c>
      <c r="Q803" s="22">
        <v>17437.52</v>
      </c>
      <c r="R803" t="s">
        <v>35</v>
      </c>
      <c r="S803" t="s">
        <v>35</v>
      </c>
      <c r="T803" t="s">
        <v>35</v>
      </c>
      <c r="U803" t="s">
        <v>35</v>
      </c>
      <c r="V803" t="s">
        <v>645</v>
      </c>
      <c r="W803" t="s">
        <v>113</v>
      </c>
    </row>
    <row r="804" spans="1:23" hidden="1" x14ac:dyDescent="0.25">
      <c r="A804" s="7" t="str">
        <f>IFERROR(VLOOKUP(H804,'Contas Orç'!A:B,2,0),"N/A")</f>
        <v>BENEFICIOS</v>
      </c>
      <c r="B804" s="7" t="str">
        <f t="shared" si="24"/>
        <v>320103 - BENEFICIOS</v>
      </c>
      <c r="C804" s="25">
        <f t="shared" si="25"/>
        <v>44562</v>
      </c>
      <c r="D804" s="27">
        <f>IF(K804="CREDITO",Q804,Q804*-1)</f>
        <v>168</v>
      </c>
      <c r="E804" t="s">
        <v>894</v>
      </c>
      <c r="F804" t="s">
        <v>1297</v>
      </c>
      <c r="G804" s="8">
        <v>44562</v>
      </c>
      <c r="H804" t="s">
        <v>84</v>
      </c>
      <c r="I804" t="s">
        <v>106</v>
      </c>
      <c r="J804" t="s">
        <v>54</v>
      </c>
      <c r="K804" t="s">
        <v>29</v>
      </c>
      <c r="L804" t="s">
        <v>895</v>
      </c>
      <c r="M804" t="s">
        <v>4402</v>
      </c>
      <c r="O804" t="s">
        <v>896</v>
      </c>
      <c r="P804" t="s">
        <v>33</v>
      </c>
      <c r="Q804">
        <v>168</v>
      </c>
      <c r="R804" t="s">
        <v>35</v>
      </c>
      <c r="S804" t="s">
        <v>35</v>
      </c>
      <c r="T804" t="s">
        <v>35</v>
      </c>
      <c r="U804" t="s">
        <v>35</v>
      </c>
      <c r="V804" t="s">
        <v>645</v>
      </c>
      <c r="W804" t="s">
        <v>113</v>
      </c>
    </row>
    <row r="805" spans="1:23" hidden="1" x14ac:dyDescent="0.25">
      <c r="A805" s="7" t="str">
        <f>IFERROR(VLOOKUP(H805,'Contas Orç'!A:B,2,0),"N/A")</f>
        <v>BENEFICIOS</v>
      </c>
      <c r="B805" s="7" t="str">
        <f t="shared" si="24"/>
        <v>320103 - BENEFICIOS</v>
      </c>
      <c r="C805" s="25">
        <f t="shared" si="25"/>
        <v>44593</v>
      </c>
      <c r="D805" s="27">
        <f>IF(K805="CREDITO",Q805,Q805*-1)</f>
        <v>1050</v>
      </c>
      <c r="E805" t="s">
        <v>894</v>
      </c>
      <c r="F805" t="s">
        <v>1298</v>
      </c>
      <c r="G805" s="8">
        <v>44593</v>
      </c>
      <c r="H805" t="s">
        <v>84</v>
      </c>
      <c r="I805" t="s">
        <v>99</v>
      </c>
      <c r="J805" t="s">
        <v>28</v>
      </c>
      <c r="K805" t="s">
        <v>29</v>
      </c>
      <c r="L805" t="s">
        <v>895</v>
      </c>
      <c r="M805" t="s">
        <v>4402</v>
      </c>
      <c r="O805" t="s">
        <v>896</v>
      </c>
      <c r="P805" t="s">
        <v>33</v>
      </c>
      <c r="Q805" s="22">
        <v>1050</v>
      </c>
      <c r="R805" t="s">
        <v>35</v>
      </c>
      <c r="S805" t="s">
        <v>35</v>
      </c>
      <c r="T805" t="s">
        <v>35</v>
      </c>
      <c r="U805" t="s">
        <v>35</v>
      </c>
      <c r="V805" t="s">
        <v>645</v>
      </c>
      <c r="W805" t="s">
        <v>113</v>
      </c>
    </row>
    <row r="806" spans="1:23" hidden="1" x14ac:dyDescent="0.25">
      <c r="A806" s="7" t="str">
        <f>IFERROR(VLOOKUP(H806,'Contas Orç'!A:B,2,0),"N/A")</f>
        <v>BENEFICIOS</v>
      </c>
      <c r="B806" s="7" t="str">
        <f t="shared" si="24"/>
        <v>320103 - BENEFICIOS</v>
      </c>
      <c r="C806" s="25">
        <f t="shared" si="25"/>
        <v>44593</v>
      </c>
      <c r="D806" s="27">
        <f>IF(K806="CREDITO",Q806,Q806*-1)</f>
        <v>258.12</v>
      </c>
      <c r="E806" t="s">
        <v>894</v>
      </c>
      <c r="F806" t="s">
        <v>1299</v>
      </c>
      <c r="G806" s="8">
        <v>44593</v>
      </c>
      <c r="H806" t="s">
        <v>84</v>
      </c>
      <c r="I806" t="s">
        <v>53</v>
      </c>
      <c r="J806" t="s">
        <v>28</v>
      </c>
      <c r="K806" t="s">
        <v>29</v>
      </c>
      <c r="L806" t="s">
        <v>895</v>
      </c>
      <c r="M806" t="s">
        <v>4402</v>
      </c>
      <c r="O806" t="s">
        <v>896</v>
      </c>
      <c r="P806" t="s">
        <v>33</v>
      </c>
      <c r="Q806">
        <v>258.12</v>
      </c>
      <c r="R806" t="s">
        <v>35</v>
      </c>
      <c r="S806" t="s">
        <v>35</v>
      </c>
      <c r="T806" t="s">
        <v>35</v>
      </c>
      <c r="U806" t="s">
        <v>35</v>
      </c>
      <c r="V806" t="s">
        <v>645</v>
      </c>
      <c r="W806" t="s">
        <v>113</v>
      </c>
    </row>
    <row r="807" spans="1:23" hidden="1" x14ac:dyDescent="0.25">
      <c r="A807" s="7" t="str">
        <f>IFERROR(VLOOKUP(H807,'Contas Orç'!A:B,2,0),"N/A")</f>
        <v>BENEFICIOS</v>
      </c>
      <c r="B807" s="7" t="str">
        <f t="shared" si="24"/>
        <v>320103 - BENEFICIOS</v>
      </c>
      <c r="C807" s="25">
        <f t="shared" si="25"/>
        <v>44593</v>
      </c>
      <c r="D807" s="27">
        <f>IF(K807="CREDITO",Q807,Q807*-1)</f>
        <v>20314.34</v>
      </c>
      <c r="E807" t="s">
        <v>894</v>
      </c>
      <c r="F807" t="s">
        <v>1300</v>
      </c>
      <c r="G807" s="8">
        <v>44593</v>
      </c>
      <c r="H807" t="s">
        <v>84</v>
      </c>
      <c r="I807" t="s">
        <v>88</v>
      </c>
      <c r="J807" t="s">
        <v>28</v>
      </c>
      <c r="K807" t="s">
        <v>29</v>
      </c>
      <c r="L807" t="s">
        <v>895</v>
      </c>
      <c r="M807" t="s">
        <v>4402</v>
      </c>
      <c r="O807" t="s">
        <v>896</v>
      </c>
      <c r="P807" t="s">
        <v>33</v>
      </c>
      <c r="Q807" s="22">
        <v>20314.34</v>
      </c>
      <c r="R807" t="s">
        <v>35</v>
      </c>
      <c r="S807" t="s">
        <v>35</v>
      </c>
      <c r="T807" t="s">
        <v>35</v>
      </c>
      <c r="U807" t="s">
        <v>35</v>
      </c>
      <c r="V807" t="s">
        <v>645</v>
      </c>
      <c r="W807" t="s">
        <v>113</v>
      </c>
    </row>
    <row r="808" spans="1:23" hidden="1" x14ac:dyDescent="0.25">
      <c r="A808" s="7" t="str">
        <f>IFERROR(VLOOKUP(H808,'Contas Orç'!A:B,2,0),"N/A")</f>
        <v>BENEFICIOS</v>
      </c>
      <c r="B808" s="7" t="str">
        <f t="shared" si="24"/>
        <v>320103 - BENEFICIOS</v>
      </c>
      <c r="C808" s="25">
        <f t="shared" si="25"/>
        <v>44593</v>
      </c>
      <c r="D808" s="27">
        <f>IF(K808="CREDITO",Q808,Q808*-1)</f>
        <v>46550.3</v>
      </c>
      <c r="E808" t="s">
        <v>894</v>
      </c>
      <c r="F808" t="s">
        <v>1301</v>
      </c>
      <c r="G808" s="8">
        <v>44593</v>
      </c>
      <c r="H808" t="s">
        <v>84</v>
      </c>
      <c r="I808" t="s">
        <v>27</v>
      </c>
      <c r="J808" t="s">
        <v>28</v>
      </c>
      <c r="K808" t="s">
        <v>29</v>
      </c>
      <c r="L808" t="s">
        <v>895</v>
      </c>
      <c r="M808" t="s">
        <v>4402</v>
      </c>
      <c r="O808" t="s">
        <v>896</v>
      </c>
      <c r="P808" t="s">
        <v>33</v>
      </c>
      <c r="Q808" s="22">
        <v>46550.3</v>
      </c>
      <c r="R808" t="s">
        <v>35</v>
      </c>
      <c r="S808" t="s">
        <v>35</v>
      </c>
      <c r="T808" t="s">
        <v>35</v>
      </c>
      <c r="U808" t="s">
        <v>35</v>
      </c>
      <c r="V808" t="s">
        <v>645</v>
      </c>
      <c r="W808" t="s">
        <v>113</v>
      </c>
    </row>
    <row r="809" spans="1:23" hidden="1" x14ac:dyDescent="0.25">
      <c r="A809" s="7" t="str">
        <f>IFERROR(VLOOKUP(H809,'Contas Orç'!A:B,2,0),"N/A")</f>
        <v>BENEFICIOS</v>
      </c>
      <c r="B809" s="7" t="str">
        <f t="shared" si="24"/>
        <v>320103 - BENEFICIOS</v>
      </c>
      <c r="C809" s="25">
        <f t="shared" si="25"/>
        <v>44593</v>
      </c>
      <c r="D809" s="27">
        <f>IF(K809="CREDITO",Q809,Q809*-1)</f>
        <v>1113.68</v>
      </c>
      <c r="E809" t="s">
        <v>894</v>
      </c>
      <c r="F809" t="s">
        <v>1302</v>
      </c>
      <c r="G809" s="8">
        <v>44593</v>
      </c>
      <c r="H809" t="s">
        <v>84</v>
      </c>
      <c r="I809" t="s">
        <v>59</v>
      </c>
      <c r="J809" t="s">
        <v>28</v>
      </c>
      <c r="K809" t="s">
        <v>29</v>
      </c>
      <c r="L809" t="s">
        <v>895</v>
      </c>
      <c r="M809" t="s">
        <v>4402</v>
      </c>
      <c r="O809" t="s">
        <v>896</v>
      </c>
      <c r="P809" t="s">
        <v>33</v>
      </c>
      <c r="Q809" s="22">
        <v>1113.68</v>
      </c>
      <c r="R809" t="s">
        <v>35</v>
      </c>
      <c r="S809" t="s">
        <v>35</v>
      </c>
      <c r="T809" t="s">
        <v>35</v>
      </c>
      <c r="U809" t="s">
        <v>35</v>
      </c>
      <c r="V809" t="s">
        <v>645</v>
      </c>
      <c r="W809" t="s">
        <v>113</v>
      </c>
    </row>
    <row r="810" spans="1:23" hidden="1" x14ac:dyDescent="0.25">
      <c r="A810" s="7" t="str">
        <f>IFERROR(VLOOKUP(H810,'Contas Orç'!A:B,2,0),"N/A")</f>
        <v>BENEFICIOS</v>
      </c>
      <c r="B810" s="7" t="str">
        <f t="shared" si="24"/>
        <v>320103 - BENEFICIOS</v>
      </c>
      <c r="C810" s="25">
        <f t="shared" si="25"/>
        <v>44593</v>
      </c>
      <c r="D810" s="27">
        <f>IF(K810="CREDITO",Q810,Q810*-1)</f>
        <v>3605.88</v>
      </c>
      <c r="E810" t="s">
        <v>894</v>
      </c>
      <c r="F810" t="s">
        <v>1303</v>
      </c>
      <c r="G810" s="8">
        <v>44593</v>
      </c>
      <c r="H810" t="s">
        <v>84</v>
      </c>
      <c r="I810" t="s">
        <v>53</v>
      </c>
      <c r="J810" t="s">
        <v>60</v>
      </c>
      <c r="K810" t="s">
        <v>29</v>
      </c>
      <c r="L810" t="s">
        <v>895</v>
      </c>
      <c r="M810" t="s">
        <v>4402</v>
      </c>
      <c r="O810" t="s">
        <v>896</v>
      </c>
      <c r="P810" t="s">
        <v>33</v>
      </c>
      <c r="Q810" s="22">
        <v>3605.88</v>
      </c>
      <c r="R810" t="s">
        <v>35</v>
      </c>
      <c r="S810" t="s">
        <v>35</v>
      </c>
      <c r="T810" t="s">
        <v>35</v>
      </c>
      <c r="U810" t="s">
        <v>35</v>
      </c>
      <c r="V810" t="s">
        <v>645</v>
      </c>
      <c r="W810" t="s">
        <v>113</v>
      </c>
    </row>
    <row r="811" spans="1:23" hidden="1" x14ac:dyDescent="0.25">
      <c r="A811" s="7" t="str">
        <f>IFERROR(VLOOKUP(H811,'Contas Orç'!A:B,2,0),"N/A")</f>
        <v>BENEFICIOS</v>
      </c>
      <c r="B811" s="7" t="str">
        <f t="shared" si="24"/>
        <v>320103 - BENEFICIOS</v>
      </c>
      <c r="C811" s="25">
        <f t="shared" si="25"/>
        <v>44593</v>
      </c>
      <c r="D811" s="27">
        <f>IF(K811="CREDITO",Q811,Q811*-1)</f>
        <v>29672.61</v>
      </c>
      <c r="E811" t="s">
        <v>894</v>
      </c>
      <c r="F811" t="s">
        <v>1304</v>
      </c>
      <c r="G811" s="8">
        <v>44593</v>
      </c>
      <c r="H811" t="s">
        <v>84</v>
      </c>
      <c r="I811" t="s">
        <v>106</v>
      </c>
      <c r="J811" t="s">
        <v>60</v>
      </c>
      <c r="K811" t="s">
        <v>29</v>
      </c>
      <c r="L811" t="s">
        <v>895</v>
      </c>
      <c r="M811" t="s">
        <v>4402</v>
      </c>
      <c r="O811" t="s">
        <v>896</v>
      </c>
      <c r="P811" t="s">
        <v>33</v>
      </c>
      <c r="Q811" s="22">
        <v>29672.61</v>
      </c>
      <c r="R811" t="s">
        <v>35</v>
      </c>
      <c r="S811" t="s">
        <v>35</v>
      </c>
      <c r="T811" t="s">
        <v>35</v>
      </c>
      <c r="U811" t="s">
        <v>35</v>
      </c>
      <c r="V811" t="s">
        <v>645</v>
      </c>
      <c r="W811" t="s">
        <v>113</v>
      </c>
    </row>
    <row r="812" spans="1:23" hidden="1" x14ac:dyDescent="0.25">
      <c r="A812" s="7" t="str">
        <f>IFERROR(VLOOKUP(H812,'Contas Orç'!A:B,2,0),"N/A")</f>
        <v>BENEFICIOS</v>
      </c>
      <c r="B812" s="7" t="str">
        <f t="shared" si="24"/>
        <v>320103 - BENEFICIOS</v>
      </c>
      <c r="C812" s="25">
        <f t="shared" si="25"/>
        <v>44593</v>
      </c>
      <c r="D812" s="27">
        <f>IF(K812="CREDITO",Q812,Q812*-1)</f>
        <v>148.4</v>
      </c>
      <c r="E812" t="s">
        <v>894</v>
      </c>
      <c r="F812" t="s">
        <v>1305</v>
      </c>
      <c r="G812" s="8">
        <v>44593</v>
      </c>
      <c r="H812" t="s">
        <v>84</v>
      </c>
      <c r="I812" t="s">
        <v>27</v>
      </c>
      <c r="J812" t="s">
        <v>60</v>
      </c>
      <c r="K812" t="s">
        <v>29</v>
      </c>
      <c r="L812" t="s">
        <v>895</v>
      </c>
      <c r="M812" t="s">
        <v>4402</v>
      </c>
      <c r="O812" t="s">
        <v>896</v>
      </c>
      <c r="P812" t="s">
        <v>33</v>
      </c>
      <c r="Q812">
        <v>148.4</v>
      </c>
      <c r="R812" t="s">
        <v>35</v>
      </c>
      <c r="S812" t="s">
        <v>35</v>
      </c>
      <c r="T812" t="s">
        <v>35</v>
      </c>
      <c r="U812" t="s">
        <v>35</v>
      </c>
      <c r="V812" t="s">
        <v>645</v>
      </c>
      <c r="W812" t="s">
        <v>113</v>
      </c>
    </row>
    <row r="813" spans="1:23" hidden="1" x14ac:dyDescent="0.25">
      <c r="A813" s="7" t="str">
        <f>IFERROR(VLOOKUP(H813,'Contas Orç'!A:B,2,0),"N/A")</f>
        <v>BENEFICIOS</v>
      </c>
      <c r="B813" s="7" t="str">
        <f t="shared" si="24"/>
        <v>320103 - BENEFICIOS</v>
      </c>
      <c r="C813" s="25">
        <f t="shared" si="25"/>
        <v>44593</v>
      </c>
      <c r="D813" s="27">
        <f>IF(K813="CREDITO",Q813,Q813*-1)</f>
        <v>176124.72</v>
      </c>
      <c r="E813" t="s">
        <v>894</v>
      </c>
      <c r="F813" t="s">
        <v>1306</v>
      </c>
      <c r="G813" s="8">
        <v>44593</v>
      </c>
      <c r="H813" t="s">
        <v>84</v>
      </c>
      <c r="I813" t="s">
        <v>59</v>
      </c>
      <c r="J813" t="s">
        <v>60</v>
      </c>
      <c r="K813" t="s">
        <v>29</v>
      </c>
      <c r="L813" t="s">
        <v>895</v>
      </c>
      <c r="M813" t="s">
        <v>4402</v>
      </c>
      <c r="O813" t="s">
        <v>896</v>
      </c>
      <c r="P813" t="s">
        <v>33</v>
      </c>
      <c r="Q813" s="22">
        <v>176124.72</v>
      </c>
      <c r="R813" t="s">
        <v>35</v>
      </c>
      <c r="S813" t="s">
        <v>35</v>
      </c>
      <c r="T813" t="s">
        <v>35</v>
      </c>
      <c r="U813" t="s">
        <v>35</v>
      </c>
      <c r="V813" t="s">
        <v>645</v>
      </c>
      <c r="W813" t="s">
        <v>113</v>
      </c>
    </row>
    <row r="814" spans="1:23" hidden="1" x14ac:dyDescent="0.25">
      <c r="A814" s="7" t="str">
        <f>IFERROR(VLOOKUP(H814,'Contas Orç'!A:B,2,0),"N/A")</f>
        <v>BENEFICIOS</v>
      </c>
      <c r="B814" s="7" t="str">
        <f t="shared" si="24"/>
        <v>320103 - BENEFICIOS</v>
      </c>
      <c r="C814" s="25">
        <f t="shared" si="25"/>
        <v>44593</v>
      </c>
      <c r="D814" s="27">
        <f>IF(K814="CREDITO",Q814,Q814*-1)</f>
        <v>3063.91</v>
      </c>
      <c r="E814" t="s">
        <v>894</v>
      </c>
      <c r="F814" t="s">
        <v>1307</v>
      </c>
      <c r="G814" s="8">
        <v>44593</v>
      </c>
      <c r="H814" t="s">
        <v>84</v>
      </c>
      <c r="I814" t="s">
        <v>59</v>
      </c>
      <c r="J814" t="s">
        <v>107</v>
      </c>
      <c r="K814" t="s">
        <v>29</v>
      </c>
      <c r="L814" t="s">
        <v>895</v>
      </c>
      <c r="M814" t="s">
        <v>4402</v>
      </c>
      <c r="O814" t="s">
        <v>896</v>
      </c>
      <c r="P814" t="s">
        <v>33</v>
      </c>
      <c r="Q814" s="22">
        <v>3063.91</v>
      </c>
      <c r="R814" t="s">
        <v>35</v>
      </c>
      <c r="S814" t="s">
        <v>35</v>
      </c>
      <c r="T814" t="s">
        <v>35</v>
      </c>
      <c r="U814" t="s">
        <v>35</v>
      </c>
      <c r="V814" t="s">
        <v>645</v>
      </c>
      <c r="W814" t="s">
        <v>113</v>
      </c>
    </row>
    <row r="815" spans="1:23" hidden="1" x14ac:dyDescent="0.25">
      <c r="A815" s="7" t="str">
        <f>IFERROR(VLOOKUP(H815,'Contas Orç'!A:B,2,0),"N/A")</f>
        <v>BENEFICIOS</v>
      </c>
      <c r="B815" s="7" t="str">
        <f t="shared" si="24"/>
        <v>320103 - BENEFICIOS</v>
      </c>
      <c r="C815" s="25">
        <f t="shared" si="25"/>
        <v>44593</v>
      </c>
      <c r="D815" s="27">
        <f>IF(K815="CREDITO",Q815,Q815*-1)</f>
        <v>1217.6400000000001</v>
      </c>
      <c r="E815" t="s">
        <v>894</v>
      </c>
      <c r="F815" t="s">
        <v>1308</v>
      </c>
      <c r="G815" s="8">
        <v>44593</v>
      </c>
      <c r="H815" t="s">
        <v>84</v>
      </c>
      <c r="I815" t="s">
        <v>53</v>
      </c>
      <c r="J815" t="s">
        <v>702</v>
      </c>
      <c r="K815" t="s">
        <v>29</v>
      </c>
      <c r="L815" t="s">
        <v>895</v>
      </c>
      <c r="M815" t="s">
        <v>4402</v>
      </c>
      <c r="O815" t="s">
        <v>896</v>
      </c>
      <c r="P815" t="s">
        <v>33</v>
      </c>
      <c r="Q815" s="22">
        <v>1217.6400000000001</v>
      </c>
      <c r="R815" t="s">
        <v>35</v>
      </c>
      <c r="S815" t="s">
        <v>35</v>
      </c>
      <c r="T815" t="s">
        <v>35</v>
      </c>
      <c r="U815" t="s">
        <v>35</v>
      </c>
      <c r="V815" t="s">
        <v>645</v>
      </c>
      <c r="W815" t="s">
        <v>113</v>
      </c>
    </row>
    <row r="816" spans="1:23" hidden="1" x14ac:dyDescent="0.25">
      <c r="A816" s="7" t="str">
        <f>IFERROR(VLOOKUP(H816,'Contas Orç'!A:B,2,0),"N/A")</f>
        <v>BENEFICIOS</v>
      </c>
      <c r="B816" s="7" t="str">
        <f t="shared" si="24"/>
        <v>320103 - BENEFICIOS</v>
      </c>
      <c r="C816" s="25">
        <f t="shared" si="25"/>
        <v>44593</v>
      </c>
      <c r="D816" s="27">
        <f>IF(K816="CREDITO",Q816,Q816*-1)</f>
        <v>86435.74</v>
      </c>
      <c r="E816" t="s">
        <v>894</v>
      </c>
      <c r="F816" t="s">
        <v>1309</v>
      </c>
      <c r="G816" s="8">
        <v>44593</v>
      </c>
      <c r="H816" t="s">
        <v>84</v>
      </c>
      <c r="I816" t="s">
        <v>59</v>
      </c>
      <c r="J816" t="s">
        <v>702</v>
      </c>
      <c r="K816" t="s">
        <v>29</v>
      </c>
      <c r="L816" t="s">
        <v>895</v>
      </c>
      <c r="M816" t="s">
        <v>4402</v>
      </c>
      <c r="O816" t="s">
        <v>896</v>
      </c>
      <c r="P816" t="s">
        <v>33</v>
      </c>
      <c r="Q816" s="22">
        <v>86435.74</v>
      </c>
      <c r="R816" t="s">
        <v>35</v>
      </c>
      <c r="S816" t="s">
        <v>35</v>
      </c>
      <c r="T816" t="s">
        <v>35</v>
      </c>
      <c r="U816" t="s">
        <v>35</v>
      </c>
      <c r="V816" t="s">
        <v>645</v>
      </c>
      <c r="W816" t="s">
        <v>113</v>
      </c>
    </row>
    <row r="817" spans="1:23" hidden="1" x14ac:dyDescent="0.25">
      <c r="A817" s="7" t="str">
        <f>IFERROR(VLOOKUP(H817,'Contas Orç'!A:B,2,0),"N/A")</f>
        <v>BENEFICIOS</v>
      </c>
      <c r="B817" s="7" t="str">
        <f t="shared" si="24"/>
        <v>320103 - BENEFICIOS</v>
      </c>
      <c r="C817" s="25">
        <f t="shared" si="25"/>
        <v>44593</v>
      </c>
      <c r="D817" s="27">
        <f>IF(K817="CREDITO",Q817,Q817*-1)</f>
        <v>3986.7</v>
      </c>
      <c r="E817" t="s">
        <v>894</v>
      </c>
      <c r="F817" t="s">
        <v>1310</v>
      </c>
      <c r="G817" s="8">
        <v>44593</v>
      </c>
      <c r="H817" t="s">
        <v>84</v>
      </c>
      <c r="I817" t="s">
        <v>125</v>
      </c>
      <c r="J817" t="s">
        <v>95</v>
      </c>
      <c r="K817" t="s">
        <v>29</v>
      </c>
      <c r="L817" t="s">
        <v>895</v>
      </c>
      <c r="M817" t="s">
        <v>4402</v>
      </c>
      <c r="O817" t="s">
        <v>896</v>
      </c>
      <c r="P817" t="s">
        <v>33</v>
      </c>
      <c r="Q817" s="22">
        <v>3986.7</v>
      </c>
      <c r="R817" t="s">
        <v>35</v>
      </c>
      <c r="S817" t="s">
        <v>35</v>
      </c>
      <c r="T817" t="s">
        <v>35</v>
      </c>
      <c r="U817" t="s">
        <v>35</v>
      </c>
      <c r="V817" t="s">
        <v>645</v>
      </c>
      <c r="W817" t="s">
        <v>113</v>
      </c>
    </row>
    <row r="818" spans="1:23" hidden="1" x14ac:dyDescent="0.25">
      <c r="A818" s="7" t="str">
        <f>IFERROR(VLOOKUP(H818,'Contas Orç'!A:B,2,0),"N/A")</f>
        <v>BENEFICIOS</v>
      </c>
      <c r="B818" s="7" t="str">
        <f t="shared" si="24"/>
        <v>320103 - BENEFICIOS</v>
      </c>
      <c r="C818" s="25">
        <f t="shared" si="25"/>
        <v>44593</v>
      </c>
      <c r="D818" s="27">
        <f>IF(K818="CREDITO",Q818,Q818*-1)</f>
        <v>16831.53</v>
      </c>
      <c r="E818" t="s">
        <v>894</v>
      </c>
      <c r="F818" t="s">
        <v>1311</v>
      </c>
      <c r="G818" s="8">
        <v>44593</v>
      </c>
      <c r="H818" t="s">
        <v>84</v>
      </c>
      <c r="I818" t="s">
        <v>53</v>
      </c>
      <c r="J818" t="s">
        <v>54</v>
      </c>
      <c r="K818" t="s">
        <v>29</v>
      </c>
      <c r="L818" t="s">
        <v>895</v>
      </c>
      <c r="M818" t="s">
        <v>4402</v>
      </c>
      <c r="O818" t="s">
        <v>896</v>
      </c>
      <c r="P818" t="s">
        <v>33</v>
      </c>
      <c r="Q818" s="22">
        <v>16831.53</v>
      </c>
      <c r="R818" t="s">
        <v>35</v>
      </c>
      <c r="S818" t="s">
        <v>35</v>
      </c>
      <c r="T818" t="s">
        <v>35</v>
      </c>
      <c r="U818" t="s">
        <v>35</v>
      </c>
      <c r="V818" t="s">
        <v>645</v>
      </c>
      <c r="W818" t="s">
        <v>113</v>
      </c>
    </row>
    <row r="819" spans="1:23" hidden="1" x14ac:dyDescent="0.25">
      <c r="A819" s="7" t="str">
        <f>IFERROR(VLOOKUP(H819,'Contas Orç'!A:B,2,0),"N/A")</f>
        <v>BENEFICIOS</v>
      </c>
      <c r="B819" s="7" t="str">
        <f t="shared" si="24"/>
        <v>320103 - BENEFICIOS</v>
      </c>
      <c r="C819" s="25">
        <f t="shared" si="25"/>
        <v>44593</v>
      </c>
      <c r="D819" s="27">
        <f>IF(K819="CREDITO",Q819,Q819*-1)</f>
        <v>168</v>
      </c>
      <c r="E819" t="s">
        <v>894</v>
      </c>
      <c r="F819" t="s">
        <v>1312</v>
      </c>
      <c r="G819" s="8">
        <v>44593</v>
      </c>
      <c r="H819" t="s">
        <v>84</v>
      </c>
      <c r="I819" t="s">
        <v>106</v>
      </c>
      <c r="J819" t="s">
        <v>54</v>
      </c>
      <c r="K819" t="s">
        <v>29</v>
      </c>
      <c r="L819" t="s">
        <v>895</v>
      </c>
      <c r="M819" t="s">
        <v>4402</v>
      </c>
      <c r="O819" t="s">
        <v>896</v>
      </c>
      <c r="P819" t="s">
        <v>33</v>
      </c>
      <c r="Q819">
        <v>168</v>
      </c>
      <c r="R819" t="s">
        <v>35</v>
      </c>
      <c r="S819" t="s">
        <v>35</v>
      </c>
      <c r="T819" t="s">
        <v>35</v>
      </c>
      <c r="U819" t="s">
        <v>35</v>
      </c>
      <c r="V819" t="s">
        <v>645</v>
      </c>
      <c r="W819" t="s">
        <v>113</v>
      </c>
    </row>
    <row r="820" spans="1:23" hidden="1" x14ac:dyDescent="0.25">
      <c r="A820" s="7" t="str">
        <f>IFERROR(VLOOKUP(H820,'Contas Orç'!A:B,2,0),"N/A")</f>
        <v>BENEFICIOS</v>
      </c>
      <c r="B820" s="7" t="str">
        <f t="shared" si="24"/>
        <v>320103 - BENEFICIOS</v>
      </c>
      <c r="C820" s="25">
        <f t="shared" si="25"/>
        <v>44621</v>
      </c>
      <c r="D820" s="27">
        <f>IF(K820="CREDITO",Q820,Q820*-1)</f>
        <v>1050</v>
      </c>
      <c r="E820" t="s">
        <v>894</v>
      </c>
      <c r="F820" t="s">
        <v>1313</v>
      </c>
      <c r="G820" s="8">
        <v>44621</v>
      </c>
      <c r="H820" t="s">
        <v>84</v>
      </c>
      <c r="I820" t="s">
        <v>99</v>
      </c>
      <c r="J820" t="s">
        <v>28</v>
      </c>
      <c r="K820" t="s">
        <v>29</v>
      </c>
      <c r="L820" t="s">
        <v>895</v>
      </c>
      <c r="M820" t="s">
        <v>4402</v>
      </c>
      <c r="O820" t="s">
        <v>896</v>
      </c>
      <c r="P820" t="s">
        <v>33</v>
      </c>
      <c r="Q820" s="22">
        <v>1050</v>
      </c>
      <c r="R820" t="s">
        <v>35</v>
      </c>
      <c r="S820" t="s">
        <v>35</v>
      </c>
      <c r="T820" t="s">
        <v>35</v>
      </c>
      <c r="U820" t="s">
        <v>35</v>
      </c>
      <c r="V820" t="s">
        <v>645</v>
      </c>
      <c r="W820" t="s">
        <v>113</v>
      </c>
    </row>
    <row r="821" spans="1:23" hidden="1" x14ac:dyDescent="0.25">
      <c r="A821" s="7" t="str">
        <f>IFERROR(VLOOKUP(H821,'Contas Orç'!A:B,2,0),"N/A")</f>
        <v>BENEFICIOS</v>
      </c>
      <c r="B821" s="7" t="str">
        <f t="shared" si="24"/>
        <v>320103 - BENEFICIOS</v>
      </c>
      <c r="C821" s="25">
        <f t="shared" si="25"/>
        <v>44621</v>
      </c>
      <c r="D821" s="27">
        <f>IF(K821="CREDITO",Q821,Q821*-1)</f>
        <v>263.88</v>
      </c>
      <c r="E821" t="s">
        <v>894</v>
      </c>
      <c r="F821" t="s">
        <v>1314</v>
      </c>
      <c r="G821" s="8">
        <v>44621</v>
      </c>
      <c r="H821" t="s">
        <v>84</v>
      </c>
      <c r="I821" t="s">
        <v>53</v>
      </c>
      <c r="J821" t="s">
        <v>28</v>
      </c>
      <c r="K821" t="s">
        <v>29</v>
      </c>
      <c r="L821" t="s">
        <v>895</v>
      </c>
      <c r="M821" t="s">
        <v>4402</v>
      </c>
      <c r="O821" t="s">
        <v>896</v>
      </c>
      <c r="P821" t="s">
        <v>33</v>
      </c>
      <c r="Q821">
        <v>263.88</v>
      </c>
      <c r="R821" t="s">
        <v>35</v>
      </c>
      <c r="S821" t="s">
        <v>35</v>
      </c>
      <c r="T821" t="s">
        <v>35</v>
      </c>
      <c r="U821" t="s">
        <v>35</v>
      </c>
      <c r="V821" t="s">
        <v>645</v>
      </c>
      <c r="W821" t="s">
        <v>113</v>
      </c>
    </row>
    <row r="822" spans="1:23" hidden="1" x14ac:dyDescent="0.25">
      <c r="A822" s="7" t="str">
        <f>IFERROR(VLOOKUP(H822,'Contas Orç'!A:B,2,0),"N/A")</f>
        <v>BENEFICIOS</v>
      </c>
      <c r="B822" s="7" t="str">
        <f t="shared" si="24"/>
        <v>320103 - BENEFICIOS</v>
      </c>
      <c r="C822" s="25">
        <f t="shared" si="25"/>
        <v>44621</v>
      </c>
      <c r="D822" s="27">
        <f>IF(K822="CREDITO",Q822,Q822*-1)</f>
        <v>18176.7</v>
      </c>
      <c r="E822" t="s">
        <v>894</v>
      </c>
      <c r="F822" t="s">
        <v>1315</v>
      </c>
      <c r="G822" s="8">
        <v>44621</v>
      </c>
      <c r="H822" t="s">
        <v>84</v>
      </c>
      <c r="I822" t="s">
        <v>88</v>
      </c>
      <c r="J822" t="s">
        <v>28</v>
      </c>
      <c r="K822" t="s">
        <v>29</v>
      </c>
      <c r="L822" t="s">
        <v>895</v>
      </c>
      <c r="M822" t="s">
        <v>4402</v>
      </c>
      <c r="O822" t="s">
        <v>896</v>
      </c>
      <c r="P822" t="s">
        <v>33</v>
      </c>
      <c r="Q822" s="22">
        <v>18176.7</v>
      </c>
      <c r="R822" t="s">
        <v>35</v>
      </c>
      <c r="S822" t="s">
        <v>35</v>
      </c>
      <c r="T822" t="s">
        <v>35</v>
      </c>
      <c r="U822" t="s">
        <v>35</v>
      </c>
      <c r="V822" t="s">
        <v>645</v>
      </c>
      <c r="W822" t="s">
        <v>113</v>
      </c>
    </row>
    <row r="823" spans="1:23" hidden="1" x14ac:dyDescent="0.25">
      <c r="A823" s="7" t="str">
        <f>IFERROR(VLOOKUP(H823,'Contas Orç'!A:B,2,0),"N/A")</f>
        <v>BENEFICIOS</v>
      </c>
      <c r="B823" s="7" t="str">
        <f t="shared" si="24"/>
        <v>320103 - BENEFICIOS</v>
      </c>
      <c r="C823" s="25">
        <f t="shared" si="25"/>
        <v>44621</v>
      </c>
      <c r="D823" s="27">
        <f>IF(K823="CREDITO",Q823,Q823*-1)</f>
        <v>34739.879999999997</v>
      </c>
      <c r="E823" t="s">
        <v>894</v>
      </c>
      <c r="F823" t="s">
        <v>1316</v>
      </c>
      <c r="G823" s="8">
        <v>44621</v>
      </c>
      <c r="H823" t="s">
        <v>84</v>
      </c>
      <c r="I823" t="s">
        <v>27</v>
      </c>
      <c r="J823" t="s">
        <v>28</v>
      </c>
      <c r="K823" t="s">
        <v>29</v>
      </c>
      <c r="L823" t="s">
        <v>895</v>
      </c>
      <c r="M823" t="s">
        <v>4402</v>
      </c>
      <c r="O823" t="s">
        <v>896</v>
      </c>
      <c r="P823" t="s">
        <v>33</v>
      </c>
      <c r="Q823" s="22">
        <v>34739.879999999997</v>
      </c>
      <c r="R823" t="s">
        <v>35</v>
      </c>
      <c r="S823" t="s">
        <v>35</v>
      </c>
      <c r="T823" t="s">
        <v>35</v>
      </c>
      <c r="U823" t="s">
        <v>35</v>
      </c>
      <c r="V823" t="s">
        <v>645</v>
      </c>
      <c r="W823" t="s">
        <v>113</v>
      </c>
    </row>
    <row r="824" spans="1:23" hidden="1" x14ac:dyDescent="0.25">
      <c r="A824" s="7" t="str">
        <f>IFERROR(VLOOKUP(H824,'Contas Orç'!A:B,2,0),"N/A")</f>
        <v>BENEFICIOS</v>
      </c>
      <c r="B824" s="7" t="str">
        <f t="shared" si="24"/>
        <v>320103 - BENEFICIOS</v>
      </c>
      <c r="C824" s="25">
        <f t="shared" si="25"/>
        <v>44621</v>
      </c>
      <c r="D824" s="27">
        <f>IF(K824="CREDITO",Q824,Q824*-1)</f>
        <v>1113.68</v>
      </c>
      <c r="E824" t="s">
        <v>894</v>
      </c>
      <c r="F824" t="s">
        <v>1317</v>
      </c>
      <c r="G824" s="8">
        <v>44621</v>
      </c>
      <c r="H824" t="s">
        <v>84</v>
      </c>
      <c r="I824" t="s">
        <v>59</v>
      </c>
      <c r="J824" t="s">
        <v>28</v>
      </c>
      <c r="K824" t="s">
        <v>29</v>
      </c>
      <c r="L824" t="s">
        <v>895</v>
      </c>
      <c r="M824" t="s">
        <v>4402</v>
      </c>
      <c r="O824" t="s">
        <v>896</v>
      </c>
      <c r="P824" t="s">
        <v>33</v>
      </c>
      <c r="Q824" s="22">
        <v>1113.68</v>
      </c>
      <c r="R824" t="s">
        <v>35</v>
      </c>
      <c r="S824" t="s">
        <v>35</v>
      </c>
      <c r="T824" t="s">
        <v>35</v>
      </c>
      <c r="U824" t="s">
        <v>35</v>
      </c>
      <c r="V824" t="s">
        <v>645</v>
      </c>
      <c r="W824" t="s">
        <v>113</v>
      </c>
    </row>
    <row r="825" spans="1:23" hidden="1" x14ac:dyDescent="0.25">
      <c r="A825" s="7" t="str">
        <f>IFERROR(VLOOKUP(H825,'Contas Orç'!A:B,2,0),"N/A")</f>
        <v>BENEFICIOS</v>
      </c>
      <c r="B825" s="7" t="str">
        <f t="shared" si="24"/>
        <v>320103 - BENEFICIOS</v>
      </c>
      <c r="C825" s="25">
        <f t="shared" si="25"/>
        <v>44621</v>
      </c>
      <c r="D825" s="27">
        <f>IF(K825="CREDITO",Q825,Q825*-1)</f>
        <v>3445.74</v>
      </c>
      <c r="E825" t="s">
        <v>894</v>
      </c>
      <c r="F825" t="s">
        <v>1318</v>
      </c>
      <c r="G825" s="8">
        <v>44621</v>
      </c>
      <c r="H825" t="s">
        <v>84</v>
      </c>
      <c r="I825" t="s">
        <v>53</v>
      </c>
      <c r="J825" t="s">
        <v>60</v>
      </c>
      <c r="K825" t="s">
        <v>29</v>
      </c>
      <c r="L825" t="s">
        <v>895</v>
      </c>
      <c r="M825" t="s">
        <v>4402</v>
      </c>
      <c r="O825" t="s">
        <v>896</v>
      </c>
      <c r="P825" t="s">
        <v>33</v>
      </c>
      <c r="Q825" s="22">
        <v>3445.74</v>
      </c>
      <c r="R825" t="s">
        <v>35</v>
      </c>
      <c r="S825" t="s">
        <v>35</v>
      </c>
      <c r="T825" t="s">
        <v>35</v>
      </c>
      <c r="U825" t="s">
        <v>35</v>
      </c>
      <c r="V825" t="s">
        <v>645</v>
      </c>
      <c r="W825" t="s">
        <v>113</v>
      </c>
    </row>
    <row r="826" spans="1:23" hidden="1" x14ac:dyDescent="0.25">
      <c r="A826" s="7" t="str">
        <f>IFERROR(VLOOKUP(H826,'Contas Orç'!A:B,2,0),"N/A")</f>
        <v>BENEFICIOS</v>
      </c>
      <c r="B826" s="7" t="str">
        <f t="shared" si="24"/>
        <v>320103 - BENEFICIOS</v>
      </c>
      <c r="C826" s="25">
        <f t="shared" si="25"/>
        <v>44621</v>
      </c>
      <c r="D826" s="27">
        <f>IF(K826="CREDITO",Q826,Q826*-1)</f>
        <v>25672.91</v>
      </c>
      <c r="E826" t="s">
        <v>894</v>
      </c>
      <c r="F826" t="s">
        <v>1319</v>
      </c>
      <c r="G826" s="8">
        <v>44621</v>
      </c>
      <c r="H826" t="s">
        <v>84</v>
      </c>
      <c r="I826" t="s">
        <v>106</v>
      </c>
      <c r="J826" t="s">
        <v>60</v>
      </c>
      <c r="K826" t="s">
        <v>29</v>
      </c>
      <c r="L826" t="s">
        <v>895</v>
      </c>
      <c r="M826" t="s">
        <v>4402</v>
      </c>
      <c r="O826" t="s">
        <v>896</v>
      </c>
      <c r="P826" t="s">
        <v>33</v>
      </c>
      <c r="Q826" s="22">
        <v>25672.91</v>
      </c>
      <c r="R826" t="s">
        <v>35</v>
      </c>
      <c r="S826" t="s">
        <v>35</v>
      </c>
      <c r="T826" t="s">
        <v>35</v>
      </c>
      <c r="U826" t="s">
        <v>35</v>
      </c>
      <c r="V826" t="s">
        <v>645</v>
      </c>
      <c r="W826" t="s">
        <v>113</v>
      </c>
    </row>
    <row r="827" spans="1:23" hidden="1" x14ac:dyDescent="0.25">
      <c r="A827" s="7" t="str">
        <f>IFERROR(VLOOKUP(H827,'Contas Orç'!A:B,2,0),"N/A")</f>
        <v>BENEFICIOS</v>
      </c>
      <c r="B827" s="7" t="str">
        <f t="shared" si="24"/>
        <v>320103 - BENEFICIOS</v>
      </c>
      <c r="C827" s="25">
        <f t="shared" si="25"/>
        <v>44621</v>
      </c>
      <c r="D827" s="27">
        <f>IF(K827="CREDITO",Q827,Q827*-1)</f>
        <v>159</v>
      </c>
      <c r="E827" t="s">
        <v>894</v>
      </c>
      <c r="F827" t="s">
        <v>1320</v>
      </c>
      <c r="G827" s="8">
        <v>44621</v>
      </c>
      <c r="H827" t="s">
        <v>84</v>
      </c>
      <c r="I827" t="s">
        <v>27</v>
      </c>
      <c r="J827" t="s">
        <v>60</v>
      </c>
      <c r="K827" t="s">
        <v>29</v>
      </c>
      <c r="L827" t="s">
        <v>895</v>
      </c>
      <c r="M827" t="s">
        <v>4402</v>
      </c>
      <c r="O827" t="s">
        <v>896</v>
      </c>
      <c r="P827" t="s">
        <v>33</v>
      </c>
      <c r="Q827">
        <v>159</v>
      </c>
      <c r="R827" t="s">
        <v>35</v>
      </c>
      <c r="S827" t="s">
        <v>35</v>
      </c>
      <c r="T827" t="s">
        <v>35</v>
      </c>
      <c r="U827" t="s">
        <v>35</v>
      </c>
      <c r="V827" t="s">
        <v>645</v>
      </c>
      <c r="W827" t="s">
        <v>113</v>
      </c>
    </row>
    <row r="828" spans="1:23" hidden="1" x14ac:dyDescent="0.25">
      <c r="A828" s="7" t="str">
        <f>IFERROR(VLOOKUP(H828,'Contas Orç'!A:B,2,0),"N/A")</f>
        <v>BENEFICIOS</v>
      </c>
      <c r="B828" s="7" t="str">
        <f t="shared" si="24"/>
        <v>320103 - BENEFICIOS</v>
      </c>
      <c r="C828" s="25">
        <f t="shared" si="25"/>
        <v>44621</v>
      </c>
      <c r="D828" s="27">
        <f>IF(K828="CREDITO",Q828,Q828*-1)</f>
        <v>170528.77</v>
      </c>
      <c r="E828" t="s">
        <v>894</v>
      </c>
      <c r="F828" t="s">
        <v>1321</v>
      </c>
      <c r="G828" s="8">
        <v>44621</v>
      </c>
      <c r="H828" t="s">
        <v>84</v>
      </c>
      <c r="I828" t="s">
        <v>59</v>
      </c>
      <c r="J828" t="s">
        <v>60</v>
      </c>
      <c r="K828" t="s">
        <v>29</v>
      </c>
      <c r="L828" t="s">
        <v>895</v>
      </c>
      <c r="M828" t="s">
        <v>4402</v>
      </c>
      <c r="O828" t="s">
        <v>896</v>
      </c>
      <c r="P828" t="s">
        <v>33</v>
      </c>
      <c r="Q828" s="22">
        <v>170528.77</v>
      </c>
      <c r="R828" t="s">
        <v>35</v>
      </c>
      <c r="S828" t="s">
        <v>35</v>
      </c>
      <c r="T828" t="s">
        <v>35</v>
      </c>
      <c r="U828" t="s">
        <v>35</v>
      </c>
      <c r="V828" t="s">
        <v>645</v>
      </c>
      <c r="W828" t="s">
        <v>113</v>
      </c>
    </row>
    <row r="829" spans="1:23" hidden="1" x14ac:dyDescent="0.25">
      <c r="A829" s="7" t="str">
        <f>IFERROR(VLOOKUP(H829,'Contas Orç'!A:B,2,0),"N/A")</f>
        <v>BENEFICIOS</v>
      </c>
      <c r="B829" s="7" t="str">
        <f t="shared" si="24"/>
        <v>320103 - BENEFICIOS</v>
      </c>
      <c r="C829" s="25">
        <f t="shared" si="25"/>
        <v>44621</v>
      </c>
      <c r="D829" s="27">
        <f>IF(K829="CREDITO",Q829,Q829*-1)</f>
        <v>1399.67</v>
      </c>
      <c r="E829" t="s">
        <v>894</v>
      </c>
      <c r="F829" t="s">
        <v>1322</v>
      </c>
      <c r="G829" s="8">
        <v>44621</v>
      </c>
      <c r="H829" t="s">
        <v>84</v>
      </c>
      <c r="I829" t="s">
        <v>53</v>
      </c>
      <c r="J829" t="s">
        <v>702</v>
      </c>
      <c r="K829" t="s">
        <v>29</v>
      </c>
      <c r="L829" t="s">
        <v>895</v>
      </c>
      <c r="M829" t="s">
        <v>4402</v>
      </c>
      <c r="O829" t="s">
        <v>896</v>
      </c>
      <c r="P829" t="s">
        <v>33</v>
      </c>
      <c r="Q829" s="22">
        <v>1399.67</v>
      </c>
      <c r="R829" t="s">
        <v>35</v>
      </c>
      <c r="S829" t="s">
        <v>35</v>
      </c>
      <c r="T829" t="s">
        <v>35</v>
      </c>
      <c r="U829" t="s">
        <v>35</v>
      </c>
      <c r="V829" t="s">
        <v>645</v>
      </c>
      <c r="W829" t="s">
        <v>113</v>
      </c>
    </row>
    <row r="830" spans="1:23" hidden="1" x14ac:dyDescent="0.25">
      <c r="A830" s="7" t="str">
        <f>IFERROR(VLOOKUP(H830,'Contas Orç'!A:B,2,0),"N/A")</f>
        <v>BENEFICIOS</v>
      </c>
      <c r="B830" s="7" t="str">
        <f t="shared" si="24"/>
        <v>320103 - BENEFICIOS</v>
      </c>
      <c r="C830" s="25">
        <f t="shared" si="25"/>
        <v>44621</v>
      </c>
      <c r="D830" s="27">
        <f>IF(K830="CREDITO",Q830,Q830*-1)</f>
        <v>60361.279999999999</v>
      </c>
      <c r="E830" t="s">
        <v>894</v>
      </c>
      <c r="F830" t="s">
        <v>1323</v>
      </c>
      <c r="G830" s="8">
        <v>44621</v>
      </c>
      <c r="H830" t="s">
        <v>84</v>
      </c>
      <c r="I830" t="s">
        <v>59</v>
      </c>
      <c r="J830" t="s">
        <v>702</v>
      </c>
      <c r="K830" t="s">
        <v>29</v>
      </c>
      <c r="L830" t="s">
        <v>895</v>
      </c>
      <c r="M830" t="s">
        <v>4402</v>
      </c>
      <c r="O830" t="s">
        <v>896</v>
      </c>
      <c r="P830" t="s">
        <v>33</v>
      </c>
      <c r="Q830" s="22">
        <v>60361.279999999999</v>
      </c>
      <c r="R830" t="s">
        <v>35</v>
      </c>
      <c r="S830" t="s">
        <v>35</v>
      </c>
      <c r="T830" t="s">
        <v>35</v>
      </c>
      <c r="U830" t="s">
        <v>35</v>
      </c>
      <c r="V830" t="s">
        <v>645</v>
      </c>
      <c r="W830" t="s">
        <v>113</v>
      </c>
    </row>
    <row r="831" spans="1:23" hidden="1" x14ac:dyDescent="0.25">
      <c r="A831" s="7" t="str">
        <f>IFERROR(VLOOKUP(H831,'Contas Orç'!A:B,2,0),"N/A")</f>
        <v>BENEFICIOS</v>
      </c>
      <c r="B831" s="7" t="str">
        <f t="shared" si="24"/>
        <v>320103 - BENEFICIOS</v>
      </c>
      <c r="C831" s="25">
        <f t="shared" si="25"/>
        <v>44621</v>
      </c>
      <c r="D831" s="27">
        <f>IF(K831="CREDITO",Q831,Q831*-1)</f>
        <v>3423.56</v>
      </c>
      <c r="E831" t="s">
        <v>894</v>
      </c>
      <c r="F831" t="s">
        <v>1324</v>
      </c>
      <c r="G831" s="8">
        <v>44621</v>
      </c>
      <c r="H831" t="s">
        <v>84</v>
      </c>
      <c r="I831" t="s">
        <v>125</v>
      </c>
      <c r="J831" t="s">
        <v>95</v>
      </c>
      <c r="K831" t="s">
        <v>29</v>
      </c>
      <c r="L831" t="s">
        <v>895</v>
      </c>
      <c r="M831" t="s">
        <v>4402</v>
      </c>
      <c r="O831" t="s">
        <v>896</v>
      </c>
      <c r="P831" t="s">
        <v>33</v>
      </c>
      <c r="Q831" s="22">
        <v>3423.56</v>
      </c>
      <c r="R831" t="s">
        <v>35</v>
      </c>
      <c r="S831" t="s">
        <v>35</v>
      </c>
      <c r="T831" t="s">
        <v>35</v>
      </c>
      <c r="U831" t="s">
        <v>35</v>
      </c>
      <c r="V831" t="s">
        <v>645</v>
      </c>
      <c r="W831" t="s">
        <v>113</v>
      </c>
    </row>
    <row r="832" spans="1:23" hidden="1" x14ac:dyDescent="0.25">
      <c r="A832" s="7" t="str">
        <f>IFERROR(VLOOKUP(H832,'Contas Orç'!A:B,2,0),"N/A")</f>
        <v>BENEFICIOS</v>
      </c>
      <c r="B832" s="7" t="str">
        <f t="shared" si="24"/>
        <v>320103 - BENEFICIOS</v>
      </c>
      <c r="C832" s="25">
        <f t="shared" si="25"/>
        <v>44621</v>
      </c>
      <c r="D832" s="27">
        <f>IF(K832="CREDITO",Q832,Q832*-1)</f>
        <v>390</v>
      </c>
      <c r="E832" t="s">
        <v>894</v>
      </c>
      <c r="F832" t="s">
        <v>1325</v>
      </c>
      <c r="G832" s="8">
        <v>44621</v>
      </c>
      <c r="H832" t="s">
        <v>84</v>
      </c>
      <c r="I832" t="s">
        <v>59</v>
      </c>
      <c r="J832" t="s">
        <v>661</v>
      </c>
      <c r="K832" t="s">
        <v>29</v>
      </c>
      <c r="L832" t="s">
        <v>895</v>
      </c>
      <c r="M832" t="s">
        <v>4402</v>
      </c>
      <c r="O832" t="s">
        <v>896</v>
      </c>
      <c r="P832" t="s">
        <v>33</v>
      </c>
      <c r="Q832">
        <v>390</v>
      </c>
      <c r="R832" t="s">
        <v>35</v>
      </c>
      <c r="S832" t="s">
        <v>35</v>
      </c>
      <c r="T832" t="s">
        <v>35</v>
      </c>
      <c r="U832" t="s">
        <v>35</v>
      </c>
      <c r="V832" t="s">
        <v>645</v>
      </c>
      <c r="W832" t="s">
        <v>113</v>
      </c>
    </row>
    <row r="833" spans="1:23" hidden="1" x14ac:dyDescent="0.25">
      <c r="A833" s="7" t="str">
        <f>IFERROR(VLOOKUP(H833,'Contas Orç'!A:B,2,0),"N/A")</f>
        <v>BENEFICIOS</v>
      </c>
      <c r="B833" s="7" t="str">
        <f t="shared" si="24"/>
        <v>320103 - BENEFICIOS</v>
      </c>
      <c r="C833" s="25">
        <f t="shared" si="25"/>
        <v>44621</v>
      </c>
      <c r="D833" s="27">
        <f>IF(K833="CREDITO",Q833,Q833*-1)</f>
        <v>485.23</v>
      </c>
      <c r="E833" t="s">
        <v>894</v>
      </c>
      <c r="F833" t="s">
        <v>1326</v>
      </c>
      <c r="G833" s="8">
        <v>44621</v>
      </c>
      <c r="H833" t="s">
        <v>84</v>
      </c>
      <c r="I833" t="s">
        <v>40</v>
      </c>
      <c r="J833" t="s">
        <v>54</v>
      </c>
      <c r="K833" t="s">
        <v>29</v>
      </c>
      <c r="L833" t="s">
        <v>895</v>
      </c>
      <c r="M833" t="s">
        <v>4402</v>
      </c>
      <c r="O833" t="s">
        <v>896</v>
      </c>
      <c r="P833" t="s">
        <v>33</v>
      </c>
      <c r="Q833">
        <v>485.23</v>
      </c>
      <c r="R833" t="s">
        <v>35</v>
      </c>
      <c r="S833" t="s">
        <v>35</v>
      </c>
      <c r="T833" t="s">
        <v>35</v>
      </c>
      <c r="U833" t="s">
        <v>35</v>
      </c>
      <c r="V833" t="s">
        <v>645</v>
      </c>
      <c r="W833" t="s">
        <v>113</v>
      </c>
    </row>
    <row r="834" spans="1:23" hidden="1" x14ac:dyDescent="0.25">
      <c r="A834" s="7" t="str">
        <f>IFERROR(VLOOKUP(H834,'Contas Orç'!A:B,2,0),"N/A")</f>
        <v>BENEFICIOS</v>
      </c>
      <c r="B834" s="7" t="str">
        <f t="shared" si="24"/>
        <v>320103 - BENEFICIOS</v>
      </c>
      <c r="C834" s="25">
        <f t="shared" si="25"/>
        <v>44621</v>
      </c>
      <c r="D834" s="27">
        <f>IF(K834="CREDITO",Q834,Q834*-1)</f>
        <v>15197.19</v>
      </c>
      <c r="E834" t="s">
        <v>894</v>
      </c>
      <c r="F834" t="s">
        <v>1327</v>
      </c>
      <c r="G834" s="8">
        <v>44621</v>
      </c>
      <c r="H834" t="s">
        <v>84</v>
      </c>
      <c r="I834" t="s">
        <v>53</v>
      </c>
      <c r="J834" t="s">
        <v>54</v>
      </c>
      <c r="K834" t="s">
        <v>29</v>
      </c>
      <c r="L834" t="s">
        <v>895</v>
      </c>
      <c r="M834" t="s">
        <v>4402</v>
      </c>
      <c r="O834" t="s">
        <v>896</v>
      </c>
      <c r="P834" t="s">
        <v>33</v>
      </c>
      <c r="Q834" s="22">
        <v>15197.19</v>
      </c>
      <c r="R834" t="s">
        <v>35</v>
      </c>
      <c r="S834" t="s">
        <v>35</v>
      </c>
      <c r="T834" t="s">
        <v>35</v>
      </c>
      <c r="U834" t="s">
        <v>35</v>
      </c>
      <c r="V834" t="s">
        <v>645</v>
      </c>
      <c r="W834" t="s">
        <v>113</v>
      </c>
    </row>
    <row r="835" spans="1:23" hidden="1" x14ac:dyDescent="0.25">
      <c r="A835" s="7" t="str">
        <f>IFERROR(VLOOKUP(H835,'Contas Orç'!A:B,2,0),"N/A")</f>
        <v>BENEFICIOS</v>
      </c>
      <c r="B835" s="7" t="str">
        <f t="shared" ref="B835:B898" si="26">_xlfn.CONCAT(H835," - ",A835)</f>
        <v>320103 - BENEFICIOS</v>
      </c>
      <c r="C835" s="25">
        <f t="shared" ref="C835:C898" si="27">DATE(YEAR(G835),MONTH(G835),1)</f>
        <v>44621</v>
      </c>
      <c r="D835" s="27">
        <f>IF(K835="CREDITO",Q835,Q835*-1)</f>
        <v>168</v>
      </c>
      <c r="E835" t="s">
        <v>894</v>
      </c>
      <c r="F835" t="s">
        <v>1328</v>
      </c>
      <c r="G835" s="8">
        <v>44621</v>
      </c>
      <c r="H835" t="s">
        <v>84</v>
      </c>
      <c r="I835" t="s">
        <v>106</v>
      </c>
      <c r="J835" t="s">
        <v>54</v>
      </c>
      <c r="K835" t="s">
        <v>29</v>
      </c>
      <c r="L835" t="s">
        <v>895</v>
      </c>
      <c r="M835" t="s">
        <v>4402</v>
      </c>
      <c r="O835" t="s">
        <v>896</v>
      </c>
      <c r="P835" t="s">
        <v>33</v>
      </c>
      <c r="Q835">
        <v>168</v>
      </c>
      <c r="R835" t="s">
        <v>35</v>
      </c>
      <c r="S835" t="s">
        <v>35</v>
      </c>
      <c r="T835" t="s">
        <v>35</v>
      </c>
      <c r="U835" t="s">
        <v>35</v>
      </c>
      <c r="V835" t="s">
        <v>645</v>
      </c>
      <c r="W835" t="s">
        <v>113</v>
      </c>
    </row>
    <row r="836" spans="1:23" hidden="1" x14ac:dyDescent="0.25">
      <c r="A836" s="7" t="str">
        <f>IFERROR(VLOOKUP(H836,'Contas Orç'!A:B,2,0),"N/A")</f>
        <v>BENEFICIOS</v>
      </c>
      <c r="B836" s="7" t="str">
        <f t="shared" si="26"/>
        <v>320103 - BENEFICIOS</v>
      </c>
      <c r="C836" s="25">
        <f t="shared" si="27"/>
        <v>44652</v>
      </c>
      <c r="D836" s="27">
        <f>IF(K836="CREDITO",Q836,Q836*-1)</f>
        <v>98.3</v>
      </c>
      <c r="E836" t="s">
        <v>894</v>
      </c>
      <c r="F836" t="s">
        <v>1329</v>
      </c>
      <c r="G836" s="8">
        <v>44652</v>
      </c>
      <c r="H836" t="s">
        <v>84</v>
      </c>
      <c r="I836" t="s">
        <v>53</v>
      </c>
      <c r="J836" t="s">
        <v>28</v>
      </c>
      <c r="K836" t="s">
        <v>29</v>
      </c>
      <c r="L836" t="s">
        <v>895</v>
      </c>
      <c r="M836" t="s">
        <v>4402</v>
      </c>
      <c r="O836" t="s">
        <v>896</v>
      </c>
      <c r="P836" t="s">
        <v>33</v>
      </c>
      <c r="Q836">
        <v>98.3</v>
      </c>
      <c r="R836" t="s">
        <v>35</v>
      </c>
      <c r="S836" t="s">
        <v>35</v>
      </c>
      <c r="T836" t="s">
        <v>35</v>
      </c>
      <c r="U836" t="s">
        <v>35</v>
      </c>
      <c r="V836" t="s">
        <v>645</v>
      </c>
      <c r="W836" t="s">
        <v>113</v>
      </c>
    </row>
    <row r="837" spans="1:23" hidden="1" x14ac:dyDescent="0.25">
      <c r="A837" s="7" t="str">
        <f>IFERROR(VLOOKUP(H837,'Contas Orç'!A:B,2,0),"N/A")</f>
        <v>BENEFICIOS</v>
      </c>
      <c r="B837" s="7" t="str">
        <f t="shared" si="26"/>
        <v>320103 - BENEFICIOS</v>
      </c>
      <c r="C837" s="25">
        <f t="shared" si="27"/>
        <v>44652</v>
      </c>
      <c r="D837" s="27">
        <f>IF(K837="CREDITO",Q837,Q837*-1)</f>
        <v>14403.54</v>
      </c>
      <c r="E837" t="s">
        <v>894</v>
      </c>
      <c r="F837" t="s">
        <v>1330</v>
      </c>
      <c r="G837" s="8">
        <v>44652</v>
      </c>
      <c r="H837" t="s">
        <v>84</v>
      </c>
      <c r="I837" t="s">
        <v>88</v>
      </c>
      <c r="J837" t="s">
        <v>28</v>
      </c>
      <c r="K837" t="s">
        <v>29</v>
      </c>
      <c r="L837" t="s">
        <v>895</v>
      </c>
      <c r="M837" t="s">
        <v>4402</v>
      </c>
      <c r="O837" t="s">
        <v>896</v>
      </c>
      <c r="P837" t="s">
        <v>33</v>
      </c>
      <c r="Q837" s="22">
        <v>14403.54</v>
      </c>
      <c r="R837" t="s">
        <v>35</v>
      </c>
      <c r="S837" t="s">
        <v>35</v>
      </c>
      <c r="T837" t="s">
        <v>35</v>
      </c>
      <c r="U837" t="s">
        <v>35</v>
      </c>
      <c r="V837" t="s">
        <v>645</v>
      </c>
      <c r="W837" t="s">
        <v>113</v>
      </c>
    </row>
    <row r="838" spans="1:23" hidden="1" x14ac:dyDescent="0.25">
      <c r="A838" s="7" t="str">
        <f>IFERROR(VLOOKUP(H838,'Contas Orç'!A:B,2,0),"N/A")</f>
        <v>BENEFICIOS</v>
      </c>
      <c r="B838" s="7" t="str">
        <f t="shared" si="26"/>
        <v>320103 - BENEFICIOS</v>
      </c>
      <c r="C838" s="25">
        <f t="shared" si="27"/>
        <v>44652</v>
      </c>
      <c r="D838" s="27">
        <f>IF(K838="CREDITO",Q838,Q838*-1)</f>
        <v>35997.660000000003</v>
      </c>
      <c r="E838" t="s">
        <v>894</v>
      </c>
      <c r="F838" t="s">
        <v>1331</v>
      </c>
      <c r="G838" s="8">
        <v>44652</v>
      </c>
      <c r="H838" t="s">
        <v>84</v>
      </c>
      <c r="I838" t="s">
        <v>27</v>
      </c>
      <c r="J838" t="s">
        <v>28</v>
      </c>
      <c r="K838" t="s">
        <v>29</v>
      </c>
      <c r="L838" t="s">
        <v>895</v>
      </c>
      <c r="M838" t="s">
        <v>4402</v>
      </c>
      <c r="O838" t="s">
        <v>896</v>
      </c>
      <c r="P838" t="s">
        <v>33</v>
      </c>
      <c r="Q838" s="22">
        <v>35997.660000000003</v>
      </c>
      <c r="R838" t="s">
        <v>35</v>
      </c>
      <c r="S838" t="s">
        <v>35</v>
      </c>
      <c r="T838" t="s">
        <v>35</v>
      </c>
      <c r="U838" t="s">
        <v>35</v>
      </c>
      <c r="V838" t="s">
        <v>645</v>
      </c>
      <c r="W838" t="s">
        <v>113</v>
      </c>
    </row>
    <row r="839" spans="1:23" hidden="1" x14ac:dyDescent="0.25">
      <c r="A839" s="7" t="str">
        <f>IFERROR(VLOOKUP(H839,'Contas Orç'!A:B,2,0),"N/A")</f>
        <v>BENEFICIOS</v>
      </c>
      <c r="B839" s="7" t="str">
        <f t="shared" si="26"/>
        <v>320103 - BENEFICIOS</v>
      </c>
      <c r="C839" s="25">
        <f t="shared" si="27"/>
        <v>44652</v>
      </c>
      <c r="D839" s="27">
        <f>IF(K839="CREDITO",Q839,Q839*-1)</f>
        <v>1164.04</v>
      </c>
      <c r="E839" t="s">
        <v>894</v>
      </c>
      <c r="F839" t="s">
        <v>1332</v>
      </c>
      <c r="G839" s="8">
        <v>44652</v>
      </c>
      <c r="H839" t="s">
        <v>84</v>
      </c>
      <c r="I839" t="s">
        <v>59</v>
      </c>
      <c r="J839" t="s">
        <v>28</v>
      </c>
      <c r="K839" t="s">
        <v>29</v>
      </c>
      <c r="L839" t="s">
        <v>895</v>
      </c>
      <c r="M839" t="s">
        <v>4402</v>
      </c>
      <c r="O839" t="s">
        <v>896</v>
      </c>
      <c r="P839" t="s">
        <v>33</v>
      </c>
      <c r="Q839" s="22">
        <v>1164.04</v>
      </c>
      <c r="R839" t="s">
        <v>35</v>
      </c>
      <c r="S839" t="s">
        <v>35</v>
      </c>
      <c r="T839" t="s">
        <v>35</v>
      </c>
      <c r="U839" t="s">
        <v>35</v>
      </c>
      <c r="V839" t="s">
        <v>645</v>
      </c>
      <c r="W839" t="s">
        <v>113</v>
      </c>
    </row>
    <row r="840" spans="1:23" hidden="1" x14ac:dyDescent="0.25">
      <c r="A840" s="7" t="str">
        <f>IFERROR(VLOOKUP(H840,'Contas Orç'!A:B,2,0),"N/A")</f>
        <v>BENEFICIOS</v>
      </c>
      <c r="B840" s="7" t="str">
        <f t="shared" si="26"/>
        <v>320103 - BENEFICIOS</v>
      </c>
      <c r="C840" s="25">
        <f t="shared" si="27"/>
        <v>44652</v>
      </c>
      <c r="D840" s="27">
        <f>IF(K840="CREDITO",Q840,Q840*-1)</f>
        <v>4277.22</v>
      </c>
      <c r="E840" t="s">
        <v>894</v>
      </c>
      <c r="F840" t="s">
        <v>1333</v>
      </c>
      <c r="G840" s="8">
        <v>44652</v>
      </c>
      <c r="H840" t="s">
        <v>84</v>
      </c>
      <c r="I840" t="s">
        <v>53</v>
      </c>
      <c r="J840" t="s">
        <v>60</v>
      </c>
      <c r="K840" t="s">
        <v>29</v>
      </c>
      <c r="L840" t="s">
        <v>895</v>
      </c>
      <c r="M840" t="s">
        <v>4402</v>
      </c>
      <c r="O840" t="s">
        <v>896</v>
      </c>
      <c r="P840" t="s">
        <v>33</v>
      </c>
      <c r="Q840" s="22">
        <v>4277.22</v>
      </c>
      <c r="R840" t="s">
        <v>35</v>
      </c>
      <c r="S840" t="s">
        <v>35</v>
      </c>
      <c r="T840" t="s">
        <v>35</v>
      </c>
      <c r="U840" t="s">
        <v>35</v>
      </c>
      <c r="V840" t="s">
        <v>645</v>
      </c>
      <c r="W840" t="s">
        <v>113</v>
      </c>
    </row>
    <row r="841" spans="1:23" hidden="1" x14ac:dyDescent="0.25">
      <c r="A841" s="7" t="str">
        <f>IFERROR(VLOOKUP(H841,'Contas Orç'!A:B,2,0),"N/A")</f>
        <v>BENEFICIOS</v>
      </c>
      <c r="B841" s="7" t="str">
        <f t="shared" si="26"/>
        <v>320103 - BENEFICIOS</v>
      </c>
      <c r="C841" s="25">
        <f t="shared" si="27"/>
        <v>44652</v>
      </c>
      <c r="D841" s="27">
        <f>IF(K841="CREDITO",Q841,Q841*-1)</f>
        <v>47952</v>
      </c>
      <c r="E841" t="s">
        <v>894</v>
      </c>
      <c r="F841" t="s">
        <v>1334</v>
      </c>
      <c r="G841" s="8">
        <v>44652</v>
      </c>
      <c r="H841" t="s">
        <v>84</v>
      </c>
      <c r="I841" t="s">
        <v>106</v>
      </c>
      <c r="J841" t="s">
        <v>60</v>
      </c>
      <c r="K841" t="s">
        <v>29</v>
      </c>
      <c r="L841" t="s">
        <v>895</v>
      </c>
      <c r="M841" t="s">
        <v>4402</v>
      </c>
      <c r="O841" t="s">
        <v>896</v>
      </c>
      <c r="P841" t="s">
        <v>33</v>
      </c>
      <c r="Q841" s="22">
        <v>47952</v>
      </c>
      <c r="R841" t="s">
        <v>35</v>
      </c>
      <c r="S841" t="s">
        <v>35</v>
      </c>
      <c r="T841" t="s">
        <v>35</v>
      </c>
      <c r="U841" t="s">
        <v>35</v>
      </c>
      <c r="V841" t="s">
        <v>645</v>
      </c>
      <c r="W841" t="s">
        <v>113</v>
      </c>
    </row>
    <row r="842" spans="1:23" hidden="1" x14ac:dyDescent="0.25">
      <c r="A842" s="7" t="str">
        <f>IFERROR(VLOOKUP(H842,'Contas Orç'!A:B,2,0),"N/A")</f>
        <v>BENEFICIOS</v>
      </c>
      <c r="B842" s="7" t="str">
        <f t="shared" si="26"/>
        <v>320103 - BENEFICIOS</v>
      </c>
      <c r="C842" s="25">
        <f t="shared" si="27"/>
        <v>44652</v>
      </c>
      <c r="D842" s="27">
        <f>IF(K842="CREDITO",Q842,Q842*-1)</f>
        <v>203610.58</v>
      </c>
      <c r="E842" t="s">
        <v>894</v>
      </c>
      <c r="F842" t="s">
        <v>1335</v>
      </c>
      <c r="G842" s="8">
        <v>44652</v>
      </c>
      <c r="H842" t="s">
        <v>84</v>
      </c>
      <c r="I842" t="s">
        <v>59</v>
      </c>
      <c r="J842" t="s">
        <v>60</v>
      </c>
      <c r="K842" t="s">
        <v>29</v>
      </c>
      <c r="L842" t="s">
        <v>895</v>
      </c>
      <c r="M842" t="s">
        <v>4402</v>
      </c>
      <c r="O842" t="s">
        <v>896</v>
      </c>
      <c r="P842" t="s">
        <v>33</v>
      </c>
      <c r="Q842" s="22">
        <v>203610.58</v>
      </c>
      <c r="R842" t="s">
        <v>35</v>
      </c>
      <c r="S842" t="s">
        <v>35</v>
      </c>
      <c r="T842" t="s">
        <v>35</v>
      </c>
      <c r="U842" t="s">
        <v>35</v>
      </c>
      <c r="V842" t="s">
        <v>645</v>
      </c>
      <c r="W842" t="s">
        <v>113</v>
      </c>
    </row>
    <row r="843" spans="1:23" hidden="1" x14ac:dyDescent="0.25">
      <c r="A843" s="7" t="str">
        <f>IFERROR(VLOOKUP(H843,'Contas Orç'!A:B,2,0),"N/A")</f>
        <v>BENEFICIOS</v>
      </c>
      <c r="B843" s="7" t="str">
        <f t="shared" si="26"/>
        <v>320103 - BENEFICIOS</v>
      </c>
      <c r="C843" s="25">
        <f t="shared" si="27"/>
        <v>44652</v>
      </c>
      <c r="D843" s="27">
        <f>IF(K843="CREDITO",Q843,Q843*-1)</f>
        <v>20052.48</v>
      </c>
      <c r="E843" t="s">
        <v>894</v>
      </c>
      <c r="F843" t="s">
        <v>1336</v>
      </c>
      <c r="G843" s="8">
        <v>44652</v>
      </c>
      <c r="H843" t="s">
        <v>84</v>
      </c>
      <c r="I843" t="s">
        <v>59</v>
      </c>
      <c r="J843" t="s">
        <v>107</v>
      </c>
      <c r="K843" t="s">
        <v>29</v>
      </c>
      <c r="L843" t="s">
        <v>895</v>
      </c>
      <c r="M843" t="s">
        <v>4402</v>
      </c>
      <c r="O843" t="s">
        <v>896</v>
      </c>
      <c r="P843" t="s">
        <v>33</v>
      </c>
      <c r="Q843" s="22">
        <v>20052.48</v>
      </c>
      <c r="R843" t="s">
        <v>35</v>
      </c>
      <c r="S843" t="s">
        <v>35</v>
      </c>
      <c r="T843" t="s">
        <v>35</v>
      </c>
      <c r="U843" t="s">
        <v>35</v>
      </c>
      <c r="V843" t="s">
        <v>645</v>
      </c>
      <c r="W843" t="s">
        <v>113</v>
      </c>
    </row>
    <row r="844" spans="1:23" hidden="1" x14ac:dyDescent="0.25">
      <c r="A844" s="7" t="str">
        <f>IFERROR(VLOOKUP(H844,'Contas Orç'!A:B,2,0),"N/A")</f>
        <v>BENEFICIOS</v>
      </c>
      <c r="B844" s="7" t="str">
        <f t="shared" si="26"/>
        <v>320103 - BENEFICIOS</v>
      </c>
      <c r="C844" s="25">
        <f t="shared" si="27"/>
        <v>44652</v>
      </c>
      <c r="D844" s="27">
        <f>IF(K844="CREDITO",Q844,Q844*-1)</f>
        <v>1072.8699999999999</v>
      </c>
      <c r="E844" t="s">
        <v>894</v>
      </c>
      <c r="F844" t="s">
        <v>1337</v>
      </c>
      <c r="G844" s="8">
        <v>44652</v>
      </c>
      <c r="H844" t="s">
        <v>84</v>
      </c>
      <c r="I844" t="s">
        <v>53</v>
      </c>
      <c r="J844" t="s">
        <v>702</v>
      </c>
      <c r="K844" t="s">
        <v>29</v>
      </c>
      <c r="L844" t="s">
        <v>895</v>
      </c>
      <c r="M844" t="s">
        <v>4402</v>
      </c>
      <c r="O844" t="s">
        <v>896</v>
      </c>
      <c r="P844" t="s">
        <v>33</v>
      </c>
      <c r="Q844" s="22">
        <v>1072.8699999999999</v>
      </c>
      <c r="R844" t="s">
        <v>35</v>
      </c>
      <c r="S844" t="s">
        <v>35</v>
      </c>
      <c r="T844" t="s">
        <v>35</v>
      </c>
      <c r="U844" t="s">
        <v>35</v>
      </c>
      <c r="V844" t="s">
        <v>645</v>
      </c>
      <c r="W844" t="s">
        <v>113</v>
      </c>
    </row>
    <row r="845" spans="1:23" hidden="1" x14ac:dyDescent="0.25">
      <c r="A845" s="7" t="str">
        <f>IFERROR(VLOOKUP(H845,'Contas Orç'!A:B,2,0),"N/A")</f>
        <v>BENEFICIOS</v>
      </c>
      <c r="B845" s="7" t="str">
        <f t="shared" si="26"/>
        <v>320103 - BENEFICIOS</v>
      </c>
      <c r="C845" s="25">
        <f t="shared" si="27"/>
        <v>44652</v>
      </c>
      <c r="D845" s="27">
        <f>IF(K845="CREDITO",Q845,Q845*-1)</f>
        <v>83535.88</v>
      </c>
      <c r="E845" t="s">
        <v>894</v>
      </c>
      <c r="F845" t="s">
        <v>1338</v>
      </c>
      <c r="G845" s="8">
        <v>44652</v>
      </c>
      <c r="H845" t="s">
        <v>84</v>
      </c>
      <c r="I845" t="s">
        <v>59</v>
      </c>
      <c r="J845" t="s">
        <v>702</v>
      </c>
      <c r="K845" t="s">
        <v>29</v>
      </c>
      <c r="L845" t="s">
        <v>895</v>
      </c>
      <c r="M845" t="s">
        <v>4402</v>
      </c>
      <c r="O845" t="s">
        <v>896</v>
      </c>
      <c r="P845" t="s">
        <v>33</v>
      </c>
      <c r="Q845" s="22">
        <v>83535.88</v>
      </c>
      <c r="R845" t="s">
        <v>35</v>
      </c>
      <c r="S845" t="s">
        <v>35</v>
      </c>
      <c r="T845" t="s">
        <v>35</v>
      </c>
      <c r="U845" t="s">
        <v>35</v>
      </c>
      <c r="V845" t="s">
        <v>645</v>
      </c>
      <c r="W845" t="s">
        <v>113</v>
      </c>
    </row>
    <row r="846" spans="1:23" hidden="1" x14ac:dyDescent="0.25">
      <c r="A846" s="7" t="str">
        <f>IFERROR(VLOOKUP(H846,'Contas Orç'!A:B,2,0),"N/A")</f>
        <v>BENEFICIOS</v>
      </c>
      <c r="B846" s="7" t="str">
        <f t="shared" si="26"/>
        <v>320103 - BENEFICIOS</v>
      </c>
      <c r="C846" s="25">
        <f t="shared" si="27"/>
        <v>44652</v>
      </c>
      <c r="D846" s="27">
        <f>IF(K846="CREDITO",Q846,Q846*-1)</f>
        <v>4041.36</v>
      </c>
      <c r="E846" t="s">
        <v>894</v>
      </c>
      <c r="F846" t="s">
        <v>1339</v>
      </c>
      <c r="G846" s="8">
        <v>44652</v>
      </c>
      <c r="H846" t="s">
        <v>84</v>
      </c>
      <c r="I846" t="s">
        <v>125</v>
      </c>
      <c r="J846" t="s">
        <v>95</v>
      </c>
      <c r="K846" t="s">
        <v>29</v>
      </c>
      <c r="L846" t="s">
        <v>895</v>
      </c>
      <c r="M846" t="s">
        <v>4402</v>
      </c>
      <c r="O846" t="s">
        <v>896</v>
      </c>
      <c r="P846" t="s">
        <v>33</v>
      </c>
      <c r="Q846" s="22">
        <v>4041.36</v>
      </c>
      <c r="R846" t="s">
        <v>35</v>
      </c>
      <c r="S846" t="s">
        <v>35</v>
      </c>
      <c r="T846" t="s">
        <v>35</v>
      </c>
      <c r="U846" t="s">
        <v>35</v>
      </c>
      <c r="V846" t="s">
        <v>645</v>
      </c>
      <c r="W846" t="s">
        <v>113</v>
      </c>
    </row>
    <row r="847" spans="1:23" hidden="1" x14ac:dyDescent="0.25">
      <c r="A847" s="7" t="str">
        <f>IFERROR(VLOOKUP(H847,'Contas Orç'!A:B,2,0),"N/A")</f>
        <v>BENEFICIOS</v>
      </c>
      <c r="B847" s="7" t="str">
        <f t="shared" si="26"/>
        <v>320103 - BENEFICIOS</v>
      </c>
      <c r="C847" s="25">
        <f t="shared" si="27"/>
        <v>44652</v>
      </c>
      <c r="D847" s="27">
        <f>IF(K847="CREDITO",Q847,Q847*-1)</f>
        <v>374.4</v>
      </c>
      <c r="E847" t="s">
        <v>894</v>
      </c>
      <c r="F847" t="s">
        <v>1340</v>
      </c>
      <c r="G847" s="8">
        <v>44652</v>
      </c>
      <c r="H847" t="s">
        <v>84</v>
      </c>
      <c r="I847" t="s">
        <v>59</v>
      </c>
      <c r="J847" t="s">
        <v>661</v>
      </c>
      <c r="K847" t="s">
        <v>29</v>
      </c>
      <c r="L847" t="s">
        <v>895</v>
      </c>
      <c r="M847" t="s">
        <v>4402</v>
      </c>
      <c r="O847" t="s">
        <v>896</v>
      </c>
      <c r="P847" t="s">
        <v>33</v>
      </c>
      <c r="Q847">
        <v>374.4</v>
      </c>
      <c r="R847" t="s">
        <v>35</v>
      </c>
      <c r="S847" t="s">
        <v>35</v>
      </c>
      <c r="T847" t="s">
        <v>35</v>
      </c>
      <c r="U847" t="s">
        <v>35</v>
      </c>
      <c r="V847" t="s">
        <v>645</v>
      </c>
      <c r="W847" t="s">
        <v>113</v>
      </c>
    </row>
    <row r="848" spans="1:23" hidden="1" x14ac:dyDescent="0.25">
      <c r="A848" s="7" t="str">
        <f>IFERROR(VLOOKUP(H848,'Contas Orç'!A:B,2,0),"N/A")</f>
        <v>BENEFICIOS</v>
      </c>
      <c r="B848" s="7" t="str">
        <f t="shared" si="26"/>
        <v>320103 - BENEFICIOS</v>
      </c>
      <c r="C848" s="25">
        <f t="shared" si="27"/>
        <v>44652</v>
      </c>
      <c r="D848" s="27">
        <f>IF(K848="CREDITO",Q848,Q848*-1)</f>
        <v>15183.33</v>
      </c>
      <c r="E848" t="s">
        <v>894</v>
      </c>
      <c r="F848" t="s">
        <v>1341</v>
      </c>
      <c r="G848" s="8">
        <v>44652</v>
      </c>
      <c r="H848" t="s">
        <v>84</v>
      </c>
      <c r="I848" t="s">
        <v>53</v>
      </c>
      <c r="J848" t="s">
        <v>54</v>
      </c>
      <c r="K848" t="s">
        <v>29</v>
      </c>
      <c r="L848" t="s">
        <v>895</v>
      </c>
      <c r="M848" t="s">
        <v>4402</v>
      </c>
      <c r="O848" t="s">
        <v>896</v>
      </c>
      <c r="P848" t="s">
        <v>33</v>
      </c>
      <c r="Q848" s="22">
        <v>15183.33</v>
      </c>
      <c r="R848" t="s">
        <v>35</v>
      </c>
      <c r="S848" t="s">
        <v>35</v>
      </c>
      <c r="T848" t="s">
        <v>35</v>
      </c>
      <c r="U848" t="s">
        <v>35</v>
      </c>
      <c r="V848" t="s">
        <v>645</v>
      </c>
      <c r="W848" t="s">
        <v>113</v>
      </c>
    </row>
    <row r="849" spans="1:23" hidden="1" x14ac:dyDescent="0.25">
      <c r="A849" s="7" t="str">
        <f>IFERROR(VLOOKUP(H849,'Contas Orç'!A:B,2,0),"N/A")</f>
        <v>BENEFICIOS</v>
      </c>
      <c r="B849" s="7" t="str">
        <f t="shared" si="26"/>
        <v>320103 - BENEFICIOS</v>
      </c>
      <c r="C849" s="25">
        <f t="shared" si="27"/>
        <v>44652</v>
      </c>
      <c r="D849" s="27">
        <f>IF(K849="CREDITO",Q849,Q849*-1)</f>
        <v>108</v>
      </c>
      <c r="E849" t="s">
        <v>894</v>
      </c>
      <c r="F849" t="s">
        <v>1342</v>
      </c>
      <c r="G849" s="8">
        <v>44652</v>
      </c>
      <c r="H849" t="s">
        <v>84</v>
      </c>
      <c r="I849" t="s">
        <v>106</v>
      </c>
      <c r="J849" t="s">
        <v>54</v>
      </c>
      <c r="K849" t="s">
        <v>29</v>
      </c>
      <c r="L849" t="s">
        <v>895</v>
      </c>
      <c r="M849" t="s">
        <v>4402</v>
      </c>
      <c r="O849" t="s">
        <v>896</v>
      </c>
      <c r="P849" t="s">
        <v>33</v>
      </c>
      <c r="Q849">
        <v>108</v>
      </c>
      <c r="R849" t="s">
        <v>35</v>
      </c>
      <c r="S849" t="s">
        <v>35</v>
      </c>
      <c r="T849" t="s">
        <v>35</v>
      </c>
      <c r="U849" t="s">
        <v>35</v>
      </c>
      <c r="V849" t="s">
        <v>645</v>
      </c>
      <c r="W849" t="s">
        <v>113</v>
      </c>
    </row>
    <row r="850" spans="1:23" hidden="1" x14ac:dyDescent="0.25">
      <c r="A850" s="7" t="str">
        <f>IFERROR(VLOOKUP(H850,'Contas Orç'!A:B,2,0),"N/A")</f>
        <v>BENEFICIOS</v>
      </c>
      <c r="B850" s="7" t="str">
        <f t="shared" si="26"/>
        <v>320103 - BENEFICIOS</v>
      </c>
      <c r="C850" s="25">
        <f t="shared" si="27"/>
        <v>44682</v>
      </c>
      <c r="D850" s="27">
        <f>IF(K850="CREDITO",Q850,Q850*-1)</f>
        <v>460.6</v>
      </c>
      <c r="E850" t="s">
        <v>894</v>
      </c>
      <c r="F850" t="s">
        <v>1343</v>
      </c>
      <c r="G850" s="8">
        <v>44682</v>
      </c>
      <c r="H850" t="s">
        <v>84</v>
      </c>
      <c r="I850" t="s">
        <v>53</v>
      </c>
      <c r="J850" t="s">
        <v>28</v>
      </c>
      <c r="K850" t="s">
        <v>29</v>
      </c>
      <c r="L850" t="s">
        <v>895</v>
      </c>
      <c r="M850" t="s">
        <v>4402</v>
      </c>
      <c r="O850" t="s">
        <v>896</v>
      </c>
      <c r="P850" t="s">
        <v>33</v>
      </c>
      <c r="Q850">
        <v>460.6</v>
      </c>
      <c r="R850" t="s">
        <v>35</v>
      </c>
      <c r="S850" t="s">
        <v>35</v>
      </c>
      <c r="T850" t="s">
        <v>35</v>
      </c>
      <c r="U850" t="s">
        <v>35</v>
      </c>
      <c r="V850" t="s">
        <v>645</v>
      </c>
      <c r="W850" t="s">
        <v>113</v>
      </c>
    </row>
    <row r="851" spans="1:23" hidden="1" x14ac:dyDescent="0.25">
      <c r="A851" s="7" t="str">
        <f>IFERROR(VLOOKUP(H851,'Contas Orç'!A:B,2,0),"N/A")</f>
        <v>BENEFICIOS</v>
      </c>
      <c r="B851" s="7" t="str">
        <f t="shared" si="26"/>
        <v>320103 - BENEFICIOS</v>
      </c>
      <c r="C851" s="25">
        <f t="shared" si="27"/>
        <v>44682</v>
      </c>
      <c r="D851" s="27">
        <f>IF(K851="CREDITO",Q851,Q851*-1)</f>
        <v>11934.69</v>
      </c>
      <c r="E851" t="s">
        <v>894</v>
      </c>
      <c r="F851" t="s">
        <v>1344</v>
      </c>
      <c r="G851" s="8">
        <v>44682</v>
      </c>
      <c r="H851" t="s">
        <v>84</v>
      </c>
      <c r="I851" t="s">
        <v>88</v>
      </c>
      <c r="J851" t="s">
        <v>28</v>
      </c>
      <c r="K851" t="s">
        <v>29</v>
      </c>
      <c r="L851" t="s">
        <v>895</v>
      </c>
      <c r="M851" t="s">
        <v>4402</v>
      </c>
      <c r="O851" t="s">
        <v>896</v>
      </c>
      <c r="P851" t="s">
        <v>33</v>
      </c>
      <c r="Q851" s="22">
        <v>11934.69</v>
      </c>
      <c r="R851" t="s">
        <v>35</v>
      </c>
      <c r="S851" t="s">
        <v>35</v>
      </c>
      <c r="T851" t="s">
        <v>35</v>
      </c>
      <c r="U851" t="s">
        <v>35</v>
      </c>
      <c r="V851" t="s">
        <v>645</v>
      </c>
      <c r="W851" t="s">
        <v>113</v>
      </c>
    </row>
    <row r="852" spans="1:23" hidden="1" x14ac:dyDescent="0.25">
      <c r="A852" s="7" t="str">
        <f>IFERROR(VLOOKUP(H852,'Contas Orç'!A:B,2,0),"N/A")</f>
        <v>BENEFICIOS</v>
      </c>
      <c r="B852" s="7" t="str">
        <f t="shared" si="26"/>
        <v>320103 - BENEFICIOS</v>
      </c>
      <c r="C852" s="25">
        <f t="shared" si="27"/>
        <v>44682</v>
      </c>
      <c r="D852" s="27">
        <f>IF(K852="CREDITO",Q852,Q852*-1)</f>
        <v>27099.62</v>
      </c>
      <c r="E852" t="s">
        <v>894</v>
      </c>
      <c r="F852" t="s">
        <v>1345</v>
      </c>
      <c r="G852" s="8">
        <v>44682</v>
      </c>
      <c r="H852" t="s">
        <v>84</v>
      </c>
      <c r="I852" t="s">
        <v>27</v>
      </c>
      <c r="J852" t="s">
        <v>28</v>
      </c>
      <c r="K852" t="s">
        <v>29</v>
      </c>
      <c r="L852" t="s">
        <v>895</v>
      </c>
      <c r="M852" t="s">
        <v>4402</v>
      </c>
      <c r="O852" t="s">
        <v>896</v>
      </c>
      <c r="P852" t="s">
        <v>33</v>
      </c>
      <c r="Q852" s="22">
        <v>27099.62</v>
      </c>
      <c r="R852" t="s">
        <v>35</v>
      </c>
      <c r="S852" t="s">
        <v>35</v>
      </c>
      <c r="T852" t="s">
        <v>35</v>
      </c>
      <c r="U852" t="s">
        <v>35</v>
      </c>
      <c r="V852" t="s">
        <v>645</v>
      </c>
      <c r="W852" t="s">
        <v>113</v>
      </c>
    </row>
    <row r="853" spans="1:23" hidden="1" x14ac:dyDescent="0.25">
      <c r="A853" s="7" t="str">
        <f>IFERROR(VLOOKUP(H853,'Contas Orç'!A:B,2,0),"N/A")</f>
        <v>BENEFICIOS</v>
      </c>
      <c r="B853" s="7" t="str">
        <f t="shared" si="26"/>
        <v>320103 - BENEFICIOS</v>
      </c>
      <c r="C853" s="25">
        <f t="shared" si="27"/>
        <v>44682</v>
      </c>
      <c r="D853" s="27">
        <f>IF(K853="CREDITO",Q853,Q853*-1)</f>
        <v>1266.32</v>
      </c>
      <c r="E853" t="s">
        <v>894</v>
      </c>
      <c r="F853" t="s">
        <v>1346</v>
      </c>
      <c r="G853" s="8">
        <v>44682</v>
      </c>
      <c r="H853" t="s">
        <v>84</v>
      </c>
      <c r="I853" t="s">
        <v>59</v>
      </c>
      <c r="J853" t="s">
        <v>28</v>
      </c>
      <c r="K853" t="s">
        <v>29</v>
      </c>
      <c r="L853" t="s">
        <v>895</v>
      </c>
      <c r="M853" t="s">
        <v>4402</v>
      </c>
      <c r="O853" t="s">
        <v>896</v>
      </c>
      <c r="P853" t="s">
        <v>33</v>
      </c>
      <c r="Q853" s="22">
        <v>1266.32</v>
      </c>
      <c r="R853" t="s">
        <v>35</v>
      </c>
      <c r="S853" t="s">
        <v>35</v>
      </c>
      <c r="T853" t="s">
        <v>35</v>
      </c>
      <c r="U853" t="s">
        <v>35</v>
      </c>
      <c r="V853" t="s">
        <v>645</v>
      </c>
      <c r="W853" t="s">
        <v>113</v>
      </c>
    </row>
    <row r="854" spans="1:23" hidden="1" x14ac:dyDescent="0.25">
      <c r="A854" s="7" t="str">
        <f>IFERROR(VLOOKUP(H854,'Contas Orç'!A:B,2,0),"N/A")</f>
        <v>BENEFICIOS</v>
      </c>
      <c r="B854" s="7" t="str">
        <f t="shared" si="26"/>
        <v>320103 - BENEFICIOS</v>
      </c>
      <c r="C854" s="25">
        <f t="shared" si="27"/>
        <v>44682</v>
      </c>
      <c r="D854" s="27">
        <f>IF(K854="CREDITO",Q854,Q854*-1)</f>
        <v>3733.02</v>
      </c>
      <c r="E854" t="s">
        <v>894</v>
      </c>
      <c r="F854" t="s">
        <v>1347</v>
      </c>
      <c r="G854" s="8">
        <v>44682</v>
      </c>
      <c r="H854" t="s">
        <v>84</v>
      </c>
      <c r="I854" t="s">
        <v>53</v>
      </c>
      <c r="J854" t="s">
        <v>60</v>
      </c>
      <c r="K854" t="s">
        <v>29</v>
      </c>
      <c r="L854" t="s">
        <v>895</v>
      </c>
      <c r="M854" t="s">
        <v>4402</v>
      </c>
      <c r="O854" t="s">
        <v>896</v>
      </c>
      <c r="P854" t="s">
        <v>33</v>
      </c>
      <c r="Q854" s="22">
        <v>3733.02</v>
      </c>
      <c r="R854" t="s">
        <v>35</v>
      </c>
      <c r="S854" t="s">
        <v>35</v>
      </c>
      <c r="T854" t="s">
        <v>35</v>
      </c>
      <c r="U854" t="s">
        <v>35</v>
      </c>
      <c r="V854" t="s">
        <v>645</v>
      </c>
      <c r="W854" t="s">
        <v>113</v>
      </c>
    </row>
    <row r="855" spans="1:23" hidden="1" x14ac:dyDescent="0.25">
      <c r="A855" s="7" t="str">
        <f>IFERROR(VLOOKUP(H855,'Contas Orç'!A:B,2,0),"N/A")</f>
        <v>BENEFICIOS</v>
      </c>
      <c r="B855" s="7" t="str">
        <f t="shared" si="26"/>
        <v>320103 - BENEFICIOS</v>
      </c>
      <c r="C855" s="25">
        <f t="shared" si="27"/>
        <v>44682</v>
      </c>
      <c r="D855" s="27">
        <f>IF(K855="CREDITO",Q855,Q855*-1)</f>
        <v>39463.33</v>
      </c>
      <c r="E855" t="s">
        <v>894</v>
      </c>
      <c r="F855" t="s">
        <v>1348</v>
      </c>
      <c r="G855" s="8">
        <v>44682</v>
      </c>
      <c r="H855" t="s">
        <v>84</v>
      </c>
      <c r="I855" t="s">
        <v>106</v>
      </c>
      <c r="J855" t="s">
        <v>60</v>
      </c>
      <c r="K855" t="s">
        <v>29</v>
      </c>
      <c r="L855" t="s">
        <v>895</v>
      </c>
      <c r="M855" t="s">
        <v>4402</v>
      </c>
      <c r="O855" t="s">
        <v>896</v>
      </c>
      <c r="P855" t="s">
        <v>33</v>
      </c>
      <c r="Q855" s="22">
        <v>39463.33</v>
      </c>
      <c r="R855" t="s">
        <v>35</v>
      </c>
      <c r="S855" t="s">
        <v>35</v>
      </c>
      <c r="T855" t="s">
        <v>35</v>
      </c>
      <c r="U855" t="s">
        <v>35</v>
      </c>
      <c r="V855" t="s">
        <v>645</v>
      </c>
      <c r="W855" t="s">
        <v>113</v>
      </c>
    </row>
    <row r="856" spans="1:23" hidden="1" x14ac:dyDescent="0.25">
      <c r="A856" s="7" t="str">
        <f>IFERROR(VLOOKUP(H856,'Contas Orç'!A:B,2,0),"N/A")</f>
        <v>BENEFICIOS</v>
      </c>
      <c r="B856" s="7" t="str">
        <f t="shared" si="26"/>
        <v>320103 - BENEFICIOS</v>
      </c>
      <c r="C856" s="25">
        <f t="shared" si="27"/>
        <v>44682</v>
      </c>
      <c r="D856" s="27">
        <f>IF(K856="CREDITO",Q856,Q856*-1)</f>
        <v>235134.94</v>
      </c>
      <c r="E856" t="s">
        <v>894</v>
      </c>
      <c r="F856" t="s">
        <v>1349</v>
      </c>
      <c r="G856" s="8">
        <v>44682</v>
      </c>
      <c r="H856" t="s">
        <v>84</v>
      </c>
      <c r="I856" t="s">
        <v>59</v>
      </c>
      <c r="J856" t="s">
        <v>60</v>
      </c>
      <c r="K856" t="s">
        <v>29</v>
      </c>
      <c r="L856" t="s">
        <v>895</v>
      </c>
      <c r="M856" t="s">
        <v>4402</v>
      </c>
      <c r="O856" t="s">
        <v>896</v>
      </c>
      <c r="P856" t="s">
        <v>33</v>
      </c>
      <c r="Q856" s="22">
        <v>235134.94</v>
      </c>
      <c r="R856" t="s">
        <v>35</v>
      </c>
      <c r="S856" t="s">
        <v>35</v>
      </c>
      <c r="T856" t="s">
        <v>35</v>
      </c>
      <c r="U856" t="s">
        <v>35</v>
      </c>
      <c r="V856" t="s">
        <v>645</v>
      </c>
      <c r="W856" t="s">
        <v>113</v>
      </c>
    </row>
    <row r="857" spans="1:23" hidden="1" x14ac:dyDescent="0.25">
      <c r="A857" s="7" t="str">
        <f>IFERROR(VLOOKUP(H857,'Contas Orç'!A:B,2,0),"N/A")</f>
        <v>BENEFICIOS</v>
      </c>
      <c r="B857" s="7" t="str">
        <f t="shared" si="26"/>
        <v>320103 - BENEFICIOS</v>
      </c>
      <c r="C857" s="25">
        <f t="shared" si="27"/>
        <v>44682</v>
      </c>
      <c r="D857" s="27">
        <f>IF(K857="CREDITO",Q857,Q857*-1)</f>
        <v>10820.85</v>
      </c>
      <c r="E857" t="s">
        <v>894</v>
      </c>
      <c r="F857" t="s">
        <v>1350</v>
      </c>
      <c r="G857" s="8">
        <v>44682</v>
      </c>
      <c r="H857" t="s">
        <v>84</v>
      </c>
      <c r="I857" t="s">
        <v>59</v>
      </c>
      <c r="J857" t="s">
        <v>107</v>
      </c>
      <c r="K857" t="s">
        <v>29</v>
      </c>
      <c r="L857" t="s">
        <v>895</v>
      </c>
      <c r="M857" t="s">
        <v>4402</v>
      </c>
      <c r="O857" t="s">
        <v>896</v>
      </c>
      <c r="P857" t="s">
        <v>33</v>
      </c>
      <c r="Q857" s="22">
        <v>10820.85</v>
      </c>
      <c r="R857" t="s">
        <v>35</v>
      </c>
      <c r="S857" t="s">
        <v>35</v>
      </c>
      <c r="T857" t="s">
        <v>35</v>
      </c>
      <c r="U857" t="s">
        <v>35</v>
      </c>
      <c r="V857" t="s">
        <v>645</v>
      </c>
      <c r="W857" t="s">
        <v>113</v>
      </c>
    </row>
    <row r="858" spans="1:23" hidden="1" x14ac:dyDescent="0.25">
      <c r="A858" s="7" t="str">
        <f>IFERROR(VLOOKUP(H858,'Contas Orç'!A:B,2,0),"N/A")</f>
        <v>BENEFICIOS</v>
      </c>
      <c r="B858" s="7" t="str">
        <f t="shared" si="26"/>
        <v>320103 - BENEFICIOS</v>
      </c>
      <c r="C858" s="25">
        <f t="shared" si="27"/>
        <v>44682</v>
      </c>
      <c r="D858" s="27">
        <f>IF(K858="CREDITO",Q858,Q858*-1)</f>
        <v>975.55</v>
      </c>
      <c r="E858" t="s">
        <v>894</v>
      </c>
      <c r="F858" t="s">
        <v>1351</v>
      </c>
      <c r="G858" s="8">
        <v>44682</v>
      </c>
      <c r="H858" t="s">
        <v>84</v>
      </c>
      <c r="I858" t="s">
        <v>53</v>
      </c>
      <c r="J858" t="s">
        <v>702</v>
      </c>
      <c r="K858" t="s">
        <v>29</v>
      </c>
      <c r="L858" t="s">
        <v>895</v>
      </c>
      <c r="M858" t="s">
        <v>4402</v>
      </c>
      <c r="O858" t="s">
        <v>896</v>
      </c>
      <c r="P858" t="s">
        <v>33</v>
      </c>
      <c r="Q858">
        <v>975.55</v>
      </c>
      <c r="R858" t="s">
        <v>35</v>
      </c>
      <c r="S858" t="s">
        <v>35</v>
      </c>
      <c r="T858" t="s">
        <v>35</v>
      </c>
      <c r="U858" t="s">
        <v>35</v>
      </c>
      <c r="V858" t="s">
        <v>645</v>
      </c>
      <c r="W858" t="s">
        <v>113</v>
      </c>
    </row>
    <row r="859" spans="1:23" hidden="1" x14ac:dyDescent="0.25">
      <c r="A859" s="7" t="str">
        <f>IFERROR(VLOOKUP(H859,'Contas Orç'!A:B,2,0),"N/A")</f>
        <v>BENEFICIOS</v>
      </c>
      <c r="B859" s="7" t="str">
        <f t="shared" si="26"/>
        <v>320103 - BENEFICIOS</v>
      </c>
      <c r="C859" s="25">
        <f t="shared" si="27"/>
        <v>44682</v>
      </c>
      <c r="D859" s="27">
        <f>IF(K859="CREDITO",Q859,Q859*-1)</f>
        <v>18313.580000000002</v>
      </c>
      <c r="E859" t="s">
        <v>894</v>
      </c>
      <c r="F859" t="s">
        <v>1352</v>
      </c>
      <c r="G859" s="8">
        <v>44682</v>
      </c>
      <c r="H859" t="s">
        <v>84</v>
      </c>
      <c r="I859" t="s">
        <v>59</v>
      </c>
      <c r="J859" t="s">
        <v>702</v>
      </c>
      <c r="K859" t="s">
        <v>29</v>
      </c>
      <c r="L859" t="s">
        <v>895</v>
      </c>
      <c r="M859" t="s">
        <v>4402</v>
      </c>
      <c r="O859" t="s">
        <v>896</v>
      </c>
      <c r="P859" t="s">
        <v>33</v>
      </c>
      <c r="Q859" s="22">
        <v>18313.580000000002</v>
      </c>
      <c r="R859" t="s">
        <v>35</v>
      </c>
      <c r="S859" t="s">
        <v>35</v>
      </c>
      <c r="T859" t="s">
        <v>35</v>
      </c>
      <c r="U859" t="s">
        <v>35</v>
      </c>
      <c r="V859" t="s">
        <v>645</v>
      </c>
      <c r="W859" t="s">
        <v>113</v>
      </c>
    </row>
    <row r="860" spans="1:23" hidden="1" x14ac:dyDescent="0.25">
      <c r="A860" s="7" t="str">
        <f>IFERROR(VLOOKUP(H860,'Contas Orç'!A:B,2,0),"N/A")</f>
        <v>BENEFICIOS</v>
      </c>
      <c r="B860" s="7" t="str">
        <f t="shared" si="26"/>
        <v>320103 - BENEFICIOS</v>
      </c>
      <c r="C860" s="25">
        <f t="shared" si="27"/>
        <v>44682</v>
      </c>
      <c r="D860" s="27">
        <f>IF(K860="CREDITO",Q860,Q860*-1)</f>
        <v>3960.13</v>
      </c>
      <c r="E860" t="s">
        <v>894</v>
      </c>
      <c r="F860" t="s">
        <v>1353</v>
      </c>
      <c r="G860" s="8">
        <v>44682</v>
      </c>
      <c r="H860" t="s">
        <v>84</v>
      </c>
      <c r="I860" t="s">
        <v>125</v>
      </c>
      <c r="J860" t="s">
        <v>95</v>
      </c>
      <c r="K860" t="s">
        <v>29</v>
      </c>
      <c r="L860" t="s">
        <v>895</v>
      </c>
      <c r="M860" t="s">
        <v>4402</v>
      </c>
      <c r="O860" t="s">
        <v>896</v>
      </c>
      <c r="P860" t="s">
        <v>33</v>
      </c>
      <c r="Q860" s="22">
        <v>3960.13</v>
      </c>
      <c r="R860" t="s">
        <v>35</v>
      </c>
      <c r="S860" t="s">
        <v>35</v>
      </c>
      <c r="T860" t="s">
        <v>35</v>
      </c>
      <c r="U860" t="s">
        <v>35</v>
      </c>
      <c r="V860" t="s">
        <v>645</v>
      </c>
      <c r="W860" t="s">
        <v>113</v>
      </c>
    </row>
    <row r="861" spans="1:23" hidden="1" x14ac:dyDescent="0.25">
      <c r="A861" s="7" t="str">
        <f>IFERROR(VLOOKUP(H861,'Contas Orç'!A:B,2,0),"N/A")</f>
        <v>BENEFICIOS</v>
      </c>
      <c r="B861" s="7" t="str">
        <f t="shared" si="26"/>
        <v>320103 - BENEFICIOS</v>
      </c>
      <c r="C861" s="25">
        <f t="shared" si="27"/>
        <v>44682</v>
      </c>
      <c r="D861" s="27">
        <f>IF(K861="CREDITO",Q861,Q861*-1)</f>
        <v>431.67</v>
      </c>
      <c r="E861" t="s">
        <v>894</v>
      </c>
      <c r="F861" t="s">
        <v>1354</v>
      </c>
      <c r="G861" s="8">
        <v>44682</v>
      </c>
      <c r="H861" t="s">
        <v>84</v>
      </c>
      <c r="I861" t="s">
        <v>81</v>
      </c>
      <c r="J861" t="s">
        <v>54</v>
      </c>
      <c r="K861" t="s">
        <v>29</v>
      </c>
      <c r="L861" t="s">
        <v>895</v>
      </c>
      <c r="M861" t="s">
        <v>4402</v>
      </c>
      <c r="O861" t="s">
        <v>896</v>
      </c>
      <c r="P861" t="s">
        <v>33</v>
      </c>
      <c r="Q861">
        <v>431.67</v>
      </c>
      <c r="R861" t="s">
        <v>35</v>
      </c>
      <c r="S861" t="s">
        <v>35</v>
      </c>
      <c r="T861" t="s">
        <v>35</v>
      </c>
      <c r="U861" t="s">
        <v>35</v>
      </c>
      <c r="V861" t="s">
        <v>645</v>
      </c>
      <c r="W861" t="s">
        <v>113</v>
      </c>
    </row>
    <row r="862" spans="1:23" hidden="1" x14ac:dyDescent="0.25">
      <c r="A862" s="7" t="str">
        <f>IFERROR(VLOOKUP(H862,'Contas Orç'!A:B,2,0),"N/A")</f>
        <v>BENEFICIOS</v>
      </c>
      <c r="B862" s="7" t="str">
        <f t="shared" si="26"/>
        <v>320103 - BENEFICIOS</v>
      </c>
      <c r="C862" s="25">
        <f t="shared" si="27"/>
        <v>44682</v>
      </c>
      <c r="D862" s="27">
        <f>IF(K862="CREDITO",Q862,Q862*-1)</f>
        <v>13372.75</v>
      </c>
      <c r="E862" t="s">
        <v>894</v>
      </c>
      <c r="F862" t="s">
        <v>1355</v>
      </c>
      <c r="G862" s="8">
        <v>44682</v>
      </c>
      <c r="H862" t="s">
        <v>84</v>
      </c>
      <c r="I862" t="s">
        <v>53</v>
      </c>
      <c r="J862" t="s">
        <v>54</v>
      </c>
      <c r="K862" t="s">
        <v>29</v>
      </c>
      <c r="L862" t="s">
        <v>895</v>
      </c>
      <c r="M862" t="s">
        <v>4402</v>
      </c>
      <c r="O862" t="s">
        <v>896</v>
      </c>
      <c r="P862" t="s">
        <v>33</v>
      </c>
      <c r="Q862" s="22">
        <v>13372.75</v>
      </c>
      <c r="R862" t="s">
        <v>35</v>
      </c>
      <c r="S862" t="s">
        <v>35</v>
      </c>
      <c r="T862" t="s">
        <v>35</v>
      </c>
      <c r="U862" t="s">
        <v>35</v>
      </c>
      <c r="V862" t="s">
        <v>645</v>
      </c>
      <c r="W862" t="s">
        <v>113</v>
      </c>
    </row>
    <row r="863" spans="1:23" hidden="1" x14ac:dyDescent="0.25">
      <c r="A863" s="7" t="str">
        <f>IFERROR(VLOOKUP(H863,'Contas Orç'!A:B,2,0),"N/A")</f>
        <v>BENEFICIOS</v>
      </c>
      <c r="B863" s="7" t="str">
        <f t="shared" si="26"/>
        <v>320103 - BENEFICIOS</v>
      </c>
      <c r="C863" s="25">
        <f t="shared" si="27"/>
        <v>44682</v>
      </c>
      <c r="D863" s="27">
        <f>IF(K863="CREDITO",Q863,Q863*-1)</f>
        <v>108</v>
      </c>
      <c r="E863" t="s">
        <v>894</v>
      </c>
      <c r="F863" t="s">
        <v>1356</v>
      </c>
      <c r="G863" s="8">
        <v>44682</v>
      </c>
      <c r="H863" t="s">
        <v>84</v>
      </c>
      <c r="I863" t="s">
        <v>106</v>
      </c>
      <c r="J863" t="s">
        <v>54</v>
      </c>
      <c r="K863" t="s">
        <v>29</v>
      </c>
      <c r="L863" t="s">
        <v>895</v>
      </c>
      <c r="M863" t="s">
        <v>4402</v>
      </c>
      <c r="O863" t="s">
        <v>896</v>
      </c>
      <c r="P863" t="s">
        <v>33</v>
      </c>
      <c r="Q863">
        <v>108</v>
      </c>
      <c r="R863" t="s">
        <v>35</v>
      </c>
      <c r="S863" t="s">
        <v>35</v>
      </c>
      <c r="T863" t="s">
        <v>35</v>
      </c>
      <c r="U863" t="s">
        <v>35</v>
      </c>
      <c r="V863" t="s">
        <v>645</v>
      </c>
      <c r="W863" t="s">
        <v>113</v>
      </c>
    </row>
    <row r="864" spans="1:23" hidden="1" x14ac:dyDescent="0.25">
      <c r="A864" s="7" t="str">
        <f>IFERROR(VLOOKUP(H864,'Contas Orç'!A:B,2,0),"N/A")</f>
        <v>BENEFICIOS</v>
      </c>
      <c r="B864" s="7" t="str">
        <f t="shared" si="26"/>
        <v>320103 - BENEFICIOS</v>
      </c>
      <c r="C864" s="25">
        <f t="shared" si="27"/>
        <v>44682</v>
      </c>
      <c r="D864" s="27">
        <f>IF(K864="CREDITO",Q864,Q864*-1)</f>
        <v>200</v>
      </c>
      <c r="E864" t="s">
        <v>894</v>
      </c>
      <c r="F864" t="s">
        <v>1357</v>
      </c>
      <c r="G864" s="8">
        <v>44682</v>
      </c>
      <c r="H864" t="s">
        <v>84</v>
      </c>
      <c r="I864" t="s">
        <v>125</v>
      </c>
      <c r="J864" t="s">
        <v>54</v>
      </c>
      <c r="K864" t="s">
        <v>29</v>
      </c>
      <c r="L864" t="s">
        <v>895</v>
      </c>
      <c r="M864" t="s">
        <v>4402</v>
      </c>
      <c r="O864" t="s">
        <v>896</v>
      </c>
      <c r="P864" t="s">
        <v>33</v>
      </c>
      <c r="Q864">
        <v>200</v>
      </c>
      <c r="R864" t="s">
        <v>35</v>
      </c>
      <c r="S864" t="s">
        <v>35</v>
      </c>
      <c r="T864" t="s">
        <v>35</v>
      </c>
      <c r="U864" t="s">
        <v>35</v>
      </c>
      <c r="V864" t="s">
        <v>645</v>
      </c>
      <c r="W864" t="s">
        <v>113</v>
      </c>
    </row>
    <row r="865" spans="1:23" hidden="1" x14ac:dyDescent="0.25">
      <c r="A865" s="7" t="str">
        <f>IFERROR(VLOOKUP(H865,'Contas Orç'!A:B,2,0),"N/A")</f>
        <v>BENEFICIOS</v>
      </c>
      <c r="B865" s="7" t="str">
        <f t="shared" si="26"/>
        <v>320103 - BENEFICIOS</v>
      </c>
      <c r="C865" s="25">
        <f t="shared" si="27"/>
        <v>44713</v>
      </c>
      <c r="D865" s="27">
        <f>IF(K865="CREDITO",Q865,Q865*-1)</f>
        <v>242.32</v>
      </c>
      <c r="E865" t="s">
        <v>894</v>
      </c>
      <c r="F865" t="s">
        <v>1358</v>
      </c>
      <c r="G865" s="8">
        <v>44713</v>
      </c>
      <c r="H865" t="s">
        <v>84</v>
      </c>
      <c r="I865" t="s">
        <v>53</v>
      </c>
      <c r="J865" t="s">
        <v>28</v>
      </c>
      <c r="K865" t="s">
        <v>29</v>
      </c>
      <c r="L865" t="s">
        <v>895</v>
      </c>
      <c r="M865" t="s">
        <v>4402</v>
      </c>
      <c r="O865" t="s">
        <v>896</v>
      </c>
      <c r="P865" t="s">
        <v>33</v>
      </c>
      <c r="Q865">
        <v>242.32</v>
      </c>
      <c r="R865" t="s">
        <v>35</v>
      </c>
      <c r="S865" t="s">
        <v>35</v>
      </c>
      <c r="T865" t="s">
        <v>35</v>
      </c>
      <c r="U865" t="s">
        <v>35</v>
      </c>
      <c r="V865" t="s">
        <v>645</v>
      </c>
      <c r="W865" t="s">
        <v>113</v>
      </c>
    </row>
    <row r="866" spans="1:23" hidden="1" x14ac:dyDescent="0.25">
      <c r="A866" s="7" t="str">
        <f>IFERROR(VLOOKUP(H866,'Contas Orç'!A:B,2,0),"N/A")</f>
        <v>BENEFICIOS</v>
      </c>
      <c r="B866" s="7" t="str">
        <f t="shared" si="26"/>
        <v>320103 - BENEFICIOS</v>
      </c>
      <c r="C866" s="25">
        <f t="shared" si="27"/>
        <v>44713</v>
      </c>
      <c r="D866" s="27">
        <f>IF(K866="CREDITO",Q866,Q866*-1)</f>
        <v>12383.86</v>
      </c>
      <c r="E866" t="s">
        <v>894</v>
      </c>
      <c r="F866" t="s">
        <v>1359</v>
      </c>
      <c r="G866" s="8">
        <v>44713</v>
      </c>
      <c r="H866" t="s">
        <v>84</v>
      </c>
      <c r="I866" t="s">
        <v>88</v>
      </c>
      <c r="J866" t="s">
        <v>28</v>
      </c>
      <c r="K866" t="s">
        <v>29</v>
      </c>
      <c r="L866" t="s">
        <v>895</v>
      </c>
      <c r="M866" t="s">
        <v>4402</v>
      </c>
      <c r="O866" t="s">
        <v>896</v>
      </c>
      <c r="P866" t="s">
        <v>33</v>
      </c>
      <c r="Q866" s="22">
        <v>12383.86</v>
      </c>
      <c r="R866" t="s">
        <v>35</v>
      </c>
      <c r="S866" t="s">
        <v>35</v>
      </c>
      <c r="T866" t="s">
        <v>35</v>
      </c>
      <c r="U866" t="s">
        <v>35</v>
      </c>
      <c r="V866" t="s">
        <v>645</v>
      </c>
      <c r="W866" t="s">
        <v>113</v>
      </c>
    </row>
    <row r="867" spans="1:23" hidden="1" x14ac:dyDescent="0.25">
      <c r="A867" s="7" t="str">
        <f>IFERROR(VLOOKUP(H867,'Contas Orç'!A:B,2,0),"N/A")</f>
        <v>BENEFICIOS</v>
      </c>
      <c r="B867" s="7" t="str">
        <f t="shared" si="26"/>
        <v>320103 - BENEFICIOS</v>
      </c>
      <c r="C867" s="25">
        <f t="shared" si="27"/>
        <v>44713</v>
      </c>
      <c r="D867" s="27">
        <f>IF(K867="CREDITO",Q867,Q867*-1)</f>
        <v>29610.06</v>
      </c>
      <c r="E867" t="s">
        <v>894</v>
      </c>
      <c r="F867" t="s">
        <v>1360</v>
      </c>
      <c r="G867" s="8">
        <v>44713</v>
      </c>
      <c r="H867" t="s">
        <v>84</v>
      </c>
      <c r="I867" t="s">
        <v>27</v>
      </c>
      <c r="J867" t="s">
        <v>28</v>
      </c>
      <c r="K867" t="s">
        <v>29</v>
      </c>
      <c r="L867" t="s">
        <v>895</v>
      </c>
      <c r="M867" t="s">
        <v>4402</v>
      </c>
      <c r="O867" t="s">
        <v>896</v>
      </c>
      <c r="P867" t="s">
        <v>33</v>
      </c>
      <c r="Q867" s="22">
        <v>29610.06</v>
      </c>
      <c r="R867" t="s">
        <v>35</v>
      </c>
      <c r="S867" t="s">
        <v>35</v>
      </c>
      <c r="T867" t="s">
        <v>35</v>
      </c>
      <c r="U867" t="s">
        <v>35</v>
      </c>
      <c r="V867" t="s">
        <v>645</v>
      </c>
      <c r="W867" t="s">
        <v>113</v>
      </c>
    </row>
    <row r="868" spans="1:23" hidden="1" x14ac:dyDescent="0.25">
      <c r="A868" s="7" t="str">
        <f>IFERROR(VLOOKUP(H868,'Contas Orç'!A:B,2,0),"N/A")</f>
        <v>BENEFICIOS</v>
      </c>
      <c r="B868" s="7" t="str">
        <f t="shared" si="26"/>
        <v>320103 - BENEFICIOS</v>
      </c>
      <c r="C868" s="25">
        <f t="shared" si="27"/>
        <v>44713</v>
      </c>
      <c r="D868" s="27">
        <f>IF(K868="CREDITO",Q868,Q868*-1)</f>
        <v>3725.22</v>
      </c>
      <c r="E868" t="s">
        <v>894</v>
      </c>
      <c r="F868" t="s">
        <v>1361</v>
      </c>
      <c r="G868" s="8">
        <v>44713</v>
      </c>
      <c r="H868" t="s">
        <v>84</v>
      </c>
      <c r="I868" t="s">
        <v>53</v>
      </c>
      <c r="J868" t="s">
        <v>60</v>
      </c>
      <c r="K868" t="s">
        <v>29</v>
      </c>
      <c r="L868" t="s">
        <v>895</v>
      </c>
      <c r="M868" t="s">
        <v>4402</v>
      </c>
      <c r="O868" t="s">
        <v>896</v>
      </c>
      <c r="P868" t="s">
        <v>33</v>
      </c>
      <c r="Q868" s="22">
        <v>3725.22</v>
      </c>
      <c r="R868" t="s">
        <v>35</v>
      </c>
      <c r="S868" t="s">
        <v>35</v>
      </c>
      <c r="T868" t="s">
        <v>35</v>
      </c>
      <c r="U868" t="s">
        <v>35</v>
      </c>
      <c r="V868" t="s">
        <v>645</v>
      </c>
      <c r="W868" t="s">
        <v>113</v>
      </c>
    </row>
    <row r="869" spans="1:23" hidden="1" x14ac:dyDescent="0.25">
      <c r="A869" s="7" t="str">
        <f>IFERROR(VLOOKUP(H869,'Contas Orç'!A:B,2,0),"N/A")</f>
        <v>BENEFICIOS</v>
      </c>
      <c r="B869" s="7" t="str">
        <f t="shared" si="26"/>
        <v>320103 - BENEFICIOS</v>
      </c>
      <c r="C869" s="25">
        <f t="shared" si="27"/>
        <v>44713</v>
      </c>
      <c r="D869" s="27">
        <f>IF(K869="CREDITO",Q869,Q869*-1)</f>
        <v>38088.800000000003</v>
      </c>
      <c r="E869" t="s">
        <v>894</v>
      </c>
      <c r="F869" t="s">
        <v>1362</v>
      </c>
      <c r="G869" s="8">
        <v>44713</v>
      </c>
      <c r="H869" t="s">
        <v>84</v>
      </c>
      <c r="I869" t="s">
        <v>106</v>
      </c>
      <c r="J869" t="s">
        <v>60</v>
      </c>
      <c r="K869" t="s">
        <v>29</v>
      </c>
      <c r="L869" t="s">
        <v>895</v>
      </c>
      <c r="M869" t="s">
        <v>4402</v>
      </c>
      <c r="O869" t="s">
        <v>896</v>
      </c>
      <c r="P869" t="s">
        <v>33</v>
      </c>
      <c r="Q869" s="22">
        <v>38088.800000000003</v>
      </c>
      <c r="R869" t="s">
        <v>35</v>
      </c>
      <c r="S869" t="s">
        <v>35</v>
      </c>
      <c r="T869" t="s">
        <v>35</v>
      </c>
      <c r="U869" t="s">
        <v>35</v>
      </c>
      <c r="V869" t="s">
        <v>645</v>
      </c>
      <c r="W869" t="s">
        <v>113</v>
      </c>
    </row>
    <row r="870" spans="1:23" hidden="1" x14ac:dyDescent="0.25">
      <c r="A870" s="7" t="str">
        <f>IFERROR(VLOOKUP(H870,'Contas Orç'!A:B,2,0),"N/A")</f>
        <v>BENEFICIOS</v>
      </c>
      <c r="B870" s="7" t="str">
        <f t="shared" si="26"/>
        <v>320103 - BENEFICIOS</v>
      </c>
      <c r="C870" s="25">
        <f t="shared" si="27"/>
        <v>44713</v>
      </c>
      <c r="D870" s="27">
        <f>IF(K870="CREDITO",Q870,Q870*-1)</f>
        <v>234677.68</v>
      </c>
      <c r="E870" t="s">
        <v>894</v>
      </c>
      <c r="F870" t="s">
        <v>1363</v>
      </c>
      <c r="G870" s="8">
        <v>44713</v>
      </c>
      <c r="H870" t="s">
        <v>84</v>
      </c>
      <c r="I870" t="s">
        <v>59</v>
      </c>
      <c r="J870" t="s">
        <v>60</v>
      </c>
      <c r="K870" t="s">
        <v>29</v>
      </c>
      <c r="L870" t="s">
        <v>895</v>
      </c>
      <c r="M870" t="s">
        <v>4402</v>
      </c>
      <c r="O870" t="s">
        <v>896</v>
      </c>
      <c r="P870" t="s">
        <v>33</v>
      </c>
      <c r="Q870" s="22">
        <v>234677.68</v>
      </c>
      <c r="R870" t="s">
        <v>35</v>
      </c>
      <c r="S870" t="s">
        <v>35</v>
      </c>
      <c r="T870" t="s">
        <v>35</v>
      </c>
      <c r="U870" t="s">
        <v>35</v>
      </c>
      <c r="V870" t="s">
        <v>645</v>
      </c>
      <c r="W870" t="s">
        <v>113</v>
      </c>
    </row>
    <row r="871" spans="1:23" hidden="1" x14ac:dyDescent="0.25">
      <c r="A871" s="7" t="str">
        <f>IFERROR(VLOOKUP(H871,'Contas Orç'!A:B,2,0),"N/A")</f>
        <v>BENEFICIOS</v>
      </c>
      <c r="B871" s="7" t="str">
        <f t="shared" si="26"/>
        <v>320103 - BENEFICIOS</v>
      </c>
      <c r="C871" s="25">
        <f t="shared" si="27"/>
        <v>44713</v>
      </c>
      <c r="D871" s="27">
        <f>IF(K871="CREDITO",Q871,Q871*-1)</f>
        <v>11380.14</v>
      </c>
      <c r="E871" t="s">
        <v>894</v>
      </c>
      <c r="F871" t="s">
        <v>1364</v>
      </c>
      <c r="G871" s="8">
        <v>44713</v>
      </c>
      <c r="H871" t="s">
        <v>84</v>
      </c>
      <c r="I871" t="s">
        <v>59</v>
      </c>
      <c r="J871" t="s">
        <v>107</v>
      </c>
      <c r="K871" t="s">
        <v>29</v>
      </c>
      <c r="L871" t="s">
        <v>895</v>
      </c>
      <c r="M871" t="s">
        <v>4402</v>
      </c>
      <c r="O871" t="s">
        <v>896</v>
      </c>
      <c r="P871" t="s">
        <v>33</v>
      </c>
      <c r="Q871" s="22">
        <v>11380.14</v>
      </c>
      <c r="R871" t="s">
        <v>35</v>
      </c>
      <c r="S871" t="s">
        <v>35</v>
      </c>
      <c r="T871" t="s">
        <v>35</v>
      </c>
      <c r="U871" t="s">
        <v>35</v>
      </c>
      <c r="V871" t="s">
        <v>645</v>
      </c>
      <c r="W871" t="s">
        <v>113</v>
      </c>
    </row>
    <row r="872" spans="1:23" hidden="1" x14ac:dyDescent="0.25">
      <c r="A872" s="7" t="str">
        <f>IFERROR(VLOOKUP(H872,'Contas Orç'!A:B,2,0),"N/A")</f>
        <v>BENEFICIOS</v>
      </c>
      <c r="B872" s="7" t="str">
        <f t="shared" si="26"/>
        <v>320103 - BENEFICIOS</v>
      </c>
      <c r="C872" s="25">
        <f t="shared" si="27"/>
        <v>44713</v>
      </c>
      <c r="D872" s="27">
        <f>IF(K872="CREDITO",Q872,Q872*-1)</f>
        <v>975.55</v>
      </c>
      <c r="E872" t="s">
        <v>894</v>
      </c>
      <c r="F872" t="s">
        <v>1365</v>
      </c>
      <c r="G872" s="8">
        <v>44713</v>
      </c>
      <c r="H872" t="s">
        <v>84</v>
      </c>
      <c r="I872" t="s">
        <v>53</v>
      </c>
      <c r="J872" t="s">
        <v>702</v>
      </c>
      <c r="K872" t="s">
        <v>29</v>
      </c>
      <c r="L872" t="s">
        <v>895</v>
      </c>
      <c r="M872" t="s">
        <v>4402</v>
      </c>
      <c r="O872" t="s">
        <v>896</v>
      </c>
      <c r="P872" t="s">
        <v>33</v>
      </c>
      <c r="Q872">
        <v>975.55</v>
      </c>
      <c r="R872" t="s">
        <v>35</v>
      </c>
      <c r="S872" t="s">
        <v>35</v>
      </c>
      <c r="T872" t="s">
        <v>35</v>
      </c>
      <c r="U872" t="s">
        <v>35</v>
      </c>
      <c r="V872" t="s">
        <v>645</v>
      </c>
      <c r="W872" t="s">
        <v>113</v>
      </c>
    </row>
    <row r="873" spans="1:23" hidden="1" x14ac:dyDescent="0.25">
      <c r="A873" s="7" t="str">
        <f>IFERROR(VLOOKUP(H873,'Contas Orç'!A:B,2,0),"N/A")</f>
        <v>BENEFICIOS</v>
      </c>
      <c r="B873" s="7" t="str">
        <f t="shared" si="26"/>
        <v>320103 - BENEFICIOS</v>
      </c>
      <c r="C873" s="25">
        <f t="shared" si="27"/>
        <v>44713</v>
      </c>
      <c r="D873" s="27">
        <f>IF(K873="CREDITO",Q873,Q873*-1)</f>
        <v>17992.650000000001</v>
      </c>
      <c r="E873" t="s">
        <v>894</v>
      </c>
      <c r="F873" t="s">
        <v>1366</v>
      </c>
      <c r="G873" s="8">
        <v>44713</v>
      </c>
      <c r="H873" t="s">
        <v>84</v>
      </c>
      <c r="I873" t="s">
        <v>59</v>
      </c>
      <c r="J873" t="s">
        <v>702</v>
      </c>
      <c r="K873" t="s">
        <v>29</v>
      </c>
      <c r="L873" t="s">
        <v>895</v>
      </c>
      <c r="M873" t="s">
        <v>4402</v>
      </c>
      <c r="O873" t="s">
        <v>896</v>
      </c>
      <c r="P873" t="s">
        <v>33</v>
      </c>
      <c r="Q873" s="22">
        <v>17992.650000000001</v>
      </c>
      <c r="R873" t="s">
        <v>35</v>
      </c>
      <c r="S873" t="s">
        <v>35</v>
      </c>
      <c r="T873" t="s">
        <v>35</v>
      </c>
      <c r="U873" t="s">
        <v>35</v>
      </c>
      <c r="V873" t="s">
        <v>645</v>
      </c>
      <c r="W873" t="s">
        <v>113</v>
      </c>
    </row>
    <row r="874" spans="1:23" hidden="1" x14ac:dyDescent="0.25">
      <c r="A874" s="7" t="str">
        <f>IFERROR(VLOOKUP(H874,'Contas Orç'!A:B,2,0),"N/A")</f>
        <v>BENEFICIOS</v>
      </c>
      <c r="B874" s="7" t="str">
        <f t="shared" si="26"/>
        <v>320103 - BENEFICIOS</v>
      </c>
      <c r="C874" s="25">
        <f t="shared" si="27"/>
        <v>44713</v>
      </c>
      <c r="D874" s="27">
        <f>IF(K874="CREDITO",Q874,Q874*-1)</f>
        <v>4409.29</v>
      </c>
      <c r="E874" t="s">
        <v>894</v>
      </c>
      <c r="F874" t="s">
        <v>1367</v>
      </c>
      <c r="G874" s="8">
        <v>44713</v>
      </c>
      <c r="H874" t="s">
        <v>84</v>
      </c>
      <c r="I874" t="s">
        <v>125</v>
      </c>
      <c r="J874" t="s">
        <v>95</v>
      </c>
      <c r="K874" t="s">
        <v>29</v>
      </c>
      <c r="L874" t="s">
        <v>895</v>
      </c>
      <c r="M874" t="s">
        <v>4402</v>
      </c>
      <c r="O874" t="s">
        <v>896</v>
      </c>
      <c r="P874" t="s">
        <v>33</v>
      </c>
      <c r="Q874" s="22">
        <v>4409.29</v>
      </c>
      <c r="R874" t="s">
        <v>35</v>
      </c>
      <c r="S874" t="s">
        <v>35</v>
      </c>
      <c r="T874" t="s">
        <v>35</v>
      </c>
      <c r="U874" t="s">
        <v>35</v>
      </c>
      <c r="V874" t="s">
        <v>645</v>
      </c>
      <c r="W874" t="s">
        <v>113</v>
      </c>
    </row>
    <row r="875" spans="1:23" hidden="1" x14ac:dyDescent="0.25">
      <c r="A875" s="7" t="str">
        <f>IFERROR(VLOOKUP(H875,'Contas Orç'!A:B,2,0),"N/A")</f>
        <v>BENEFICIOS</v>
      </c>
      <c r="B875" s="7" t="str">
        <f t="shared" si="26"/>
        <v>320103 - BENEFICIOS</v>
      </c>
      <c r="C875" s="25">
        <f t="shared" si="27"/>
        <v>44713</v>
      </c>
      <c r="D875" s="27">
        <f>IF(K875="CREDITO",Q875,Q875*-1)</f>
        <v>117</v>
      </c>
      <c r="E875" t="s">
        <v>894</v>
      </c>
      <c r="F875" t="s">
        <v>1368</v>
      </c>
      <c r="G875" s="8">
        <v>44713</v>
      </c>
      <c r="H875" t="s">
        <v>84</v>
      </c>
      <c r="I875" t="s">
        <v>81</v>
      </c>
      <c r="J875" t="s">
        <v>54</v>
      </c>
      <c r="K875" t="s">
        <v>29</v>
      </c>
      <c r="L875" t="s">
        <v>895</v>
      </c>
      <c r="M875" t="s">
        <v>4402</v>
      </c>
      <c r="O875" t="s">
        <v>896</v>
      </c>
      <c r="P875" t="s">
        <v>33</v>
      </c>
      <c r="Q875">
        <v>117</v>
      </c>
      <c r="R875" t="s">
        <v>35</v>
      </c>
      <c r="S875" t="s">
        <v>35</v>
      </c>
      <c r="T875" t="s">
        <v>35</v>
      </c>
      <c r="U875" t="s">
        <v>35</v>
      </c>
      <c r="V875" t="s">
        <v>645</v>
      </c>
      <c r="W875" t="s">
        <v>113</v>
      </c>
    </row>
    <row r="876" spans="1:23" hidden="1" x14ac:dyDescent="0.25">
      <c r="A876" s="7" t="str">
        <f>IFERROR(VLOOKUP(H876,'Contas Orç'!A:B,2,0),"N/A")</f>
        <v>BENEFICIOS</v>
      </c>
      <c r="B876" s="7" t="str">
        <f t="shared" si="26"/>
        <v>320103 - BENEFICIOS</v>
      </c>
      <c r="C876" s="25">
        <f t="shared" si="27"/>
        <v>44713</v>
      </c>
      <c r="D876" s="27">
        <f>IF(K876="CREDITO",Q876,Q876*-1)</f>
        <v>13811.33</v>
      </c>
      <c r="E876" t="s">
        <v>894</v>
      </c>
      <c r="F876" t="s">
        <v>1369</v>
      </c>
      <c r="G876" s="8">
        <v>44713</v>
      </c>
      <c r="H876" t="s">
        <v>84</v>
      </c>
      <c r="I876" t="s">
        <v>53</v>
      </c>
      <c r="J876" t="s">
        <v>54</v>
      </c>
      <c r="K876" t="s">
        <v>29</v>
      </c>
      <c r="L876" t="s">
        <v>895</v>
      </c>
      <c r="M876" t="s">
        <v>4402</v>
      </c>
      <c r="O876" t="s">
        <v>896</v>
      </c>
      <c r="P876" t="s">
        <v>33</v>
      </c>
      <c r="Q876" s="22">
        <v>13811.33</v>
      </c>
      <c r="R876" t="s">
        <v>35</v>
      </c>
      <c r="S876" t="s">
        <v>35</v>
      </c>
      <c r="T876" t="s">
        <v>35</v>
      </c>
      <c r="U876" t="s">
        <v>35</v>
      </c>
      <c r="V876" t="s">
        <v>645</v>
      </c>
      <c r="W876" t="s">
        <v>113</v>
      </c>
    </row>
    <row r="877" spans="1:23" hidden="1" x14ac:dyDescent="0.25">
      <c r="A877" s="7" t="str">
        <f>IFERROR(VLOOKUP(H877,'Contas Orç'!A:B,2,0),"N/A")</f>
        <v>BENEFICIOS</v>
      </c>
      <c r="B877" s="7" t="str">
        <f t="shared" si="26"/>
        <v>320103 - BENEFICIOS</v>
      </c>
      <c r="C877" s="25">
        <f t="shared" si="27"/>
        <v>44713</v>
      </c>
      <c r="D877" s="27">
        <f>IF(K877="CREDITO",Q877,Q877*-1)</f>
        <v>108</v>
      </c>
      <c r="E877" t="s">
        <v>894</v>
      </c>
      <c r="F877" t="s">
        <v>1370</v>
      </c>
      <c r="G877" s="8">
        <v>44713</v>
      </c>
      <c r="H877" t="s">
        <v>84</v>
      </c>
      <c r="I877" t="s">
        <v>106</v>
      </c>
      <c r="J877" t="s">
        <v>54</v>
      </c>
      <c r="K877" t="s">
        <v>29</v>
      </c>
      <c r="L877" t="s">
        <v>895</v>
      </c>
      <c r="M877" t="s">
        <v>4402</v>
      </c>
      <c r="O877" t="s">
        <v>896</v>
      </c>
      <c r="P877" t="s">
        <v>33</v>
      </c>
      <c r="Q877">
        <v>108</v>
      </c>
      <c r="R877" t="s">
        <v>35</v>
      </c>
      <c r="S877" t="s">
        <v>35</v>
      </c>
      <c r="T877" t="s">
        <v>35</v>
      </c>
      <c r="U877" t="s">
        <v>35</v>
      </c>
      <c r="V877" t="s">
        <v>645</v>
      </c>
      <c r="W877" t="s">
        <v>113</v>
      </c>
    </row>
    <row r="878" spans="1:23" hidden="1" x14ac:dyDescent="0.25">
      <c r="A878" s="7" t="str">
        <f>IFERROR(VLOOKUP(H878,'Contas Orç'!A:B,2,0),"N/A")</f>
        <v>BENEFICIOS</v>
      </c>
      <c r="B878" s="7" t="str">
        <f t="shared" si="26"/>
        <v>320103 - BENEFICIOS</v>
      </c>
      <c r="C878" s="25">
        <f t="shared" si="27"/>
        <v>44713</v>
      </c>
      <c r="D878" s="27">
        <f>IF(K878="CREDITO",Q878,Q878*-1)</f>
        <v>175.4</v>
      </c>
      <c r="E878" t="s">
        <v>894</v>
      </c>
      <c r="F878" t="s">
        <v>1371</v>
      </c>
      <c r="G878" s="8">
        <v>44713</v>
      </c>
      <c r="H878" t="s">
        <v>84</v>
      </c>
      <c r="I878" t="s">
        <v>125</v>
      </c>
      <c r="J878" t="s">
        <v>54</v>
      </c>
      <c r="K878" t="s">
        <v>29</v>
      </c>
      <c r="L878" t="s">
        <v>895</v>
      </c>
      <c r="M878" t="s">
        <v>4402</v>
      </c>
      <c r="O878" t="s">
        <v>896</v>
      </c>
      <c r="P878" t="s">
        <v>33</v>
      </c>
      <c r="Q878">
        <v>175.4</v>
      </c>
      <c r="R878" t="s">
        <v>35</v>
      </c>
      <c r="S878" t="s">
        <v>35</v>
      </c>
      <c r="T878" t="s">
        <v>35</v>
      </c>
      <c r="U878" t="s">
        <v>35</v>
      </c>
      <c r="V878" t="s">
        <v>645</v>
      </c>
      <c r="W878" t="s">
        <v>113</v>
      </c>
    </row>
    <row r="879" spans="1:23" hidden="1" x14ac:dyDescent="0.25">
      <c r="A879" s="7" t="str">
        <f>IFERROR(VLOOKUP(H879,'Contas Orç'!A:B,2,0),"N/A")</f>
        <v>BENEFICIOS</v>
      </c>
      <c r="B879" s="7" t="str">
        <f t="shared" si="26"/>
        <v>320103 - BENEFICIOS</v>
      </c>
      <c r="C879" s="25">
        <f t="shared" si="27"/>
        <v>44743</v>
      </c>
      <c r="D879" s="27">
        <f>IF(K879="CREDITO",Q879,Q879*-1)</f>
        <v>282.32</v>
      </c>
      <c r="E879" t="s">
        <v>894</v>
      </c>
      <c r="F879" t="s">
        <v>1372</v>
      </c>
      <c r="G879" s="8">
        <v>44743</v>
      </c>
      <c r="H879" t="s">
        <v>84</v>
      </c>
      <c r="I879" t="s">
        <v>53</v>
      </c>
      <c r="J879" t="s">
        <v>28</v>
      </c>
      <c r="K879" t="s">
        <v>29</v>
      </c>
      <c r="L879" t="s">
        <v>895</v>
      </c>
      <c r="M879" t="s">
        <v>4402</v>
      </c>
      <c r="O879" t="s">
        <v>896</v>
      </c>
      <c r="P879" t="s">
        <v>33</v>
      </c>
      <c r="Q879">
        <v>282.32</v>
      </c>
      <c r="R879" t="s">
        <v>35</v>
      </c>
      <c r="S879" t="s">
        <v>35</v>
      </c>
      <c r="T879" t="s">
        <v>35</v>
      </c>
      <c r="U879" t="s">
        <v>35</v>
      </c>
      <c r="V879" t="s">
        <v>645</v>
      </c>
      <c r="W879" t="s">
        <v>113</v>
      </c>
    </row>
    <row r="880" spans="1:23" hidden="1" x14ac:dyDescent="0.25">
      <c r="A880" s="7" t="str">
        <f>IFERROR(VLOOKUP(H880,'Contas Orç'!A:B,2,0),"N/A")</f>
        <v>BENEFICIOS</v>
      </c>
      <c r="B880" s="7" t="str">
        <f t="shared" si="26"/>
        <v>320103 - BENEFICIOS</v>
      </c>
      <c r="C880" s="25">
        <f t="shared" si="27"/>
        <v>44743</v>
      </c>
      <c r="D880" s="27">
        <f>IF(K880="CREDITO",Q880,Q880*-1)</f>
        <v>13876.92</v>
      </c>
      <c r="E880" t="s">
        <v>894</v>
      </c>
      <c r="F880" t="s">
        <v>1373</v>
      </c>
      <c r="G880" s="8">
        <v>44743</v>
      </c>
      <c r="H880" t="s">
        <v>84</v>
      </c>
      <c r="I880" t="s">
        <v>88</v>
      </c>
      <c r="J880" t="s">
        <v>28</v>
      </c>
      <c r="K880" t="s">
        <v>29</v>
      </c>
      <c r="L880" t="s">
        <v>895</v>
      </c>
      <c r="M880" t="s">
        <v>4402</v>
      </c>
      <c r="O880" t="s">
        <v>896</v>
      </c>
      <c r="P880" t="s">
        <v>33</v>
      </c>
      <c r="Q880" s="22">
        <v>13876.92</v>
      </c>
      <c r="R880" t="s">
        <v>35</v>
      </c>
      <c r="S880" t="s">
        <v>35</v>
      </c>
      <c r="T880" t="s">
        <v>35</v>
      </c>
      <c r="U880" t="s">
        <v>35</v>
      </c>
      <c r="V880" t="s">
        <v>645</v>
      </c>
      <c r="W880" t="s">
        <v>113</v>
      </c>
    </row>
    <row r="881" spans="1:23" hidden="1" x14ac:dyDescent="0.25">
      <c r="A881" s="7" t="str">
        <f>IFERROR(VLOOKUP(H881,'Contas Orç'!A:B,2,0),"N/A")</f>
        <v>BENEFICIOS</v>
      </c>
      <c r="B881" s="7" t="str">
        <f t="shared" si="26"/>
        <v>320103 - BENEFICIOS</v>
      </c>
      <c r="C881" s="25">
        <f t="shared" si="27"/>
        <v>44743</v>
      </c>
      <c r="D881" s="27">
        <f>IF(K881="CREDITO",Q881,Q881*-1)</f>
        <v>61405.41</v>
      </c>
      <c r="E881" t="s">
        <v>894</v>
      </c>
      <c r="F881" t="s">
        <v>1374</v>
      </c>
      <c r="G881" s="8">
        <v>44743</v>
      </c>
      <c r="H881" t="s">
        <v>84</v>
      </c>
      <c r="I881" t="s">
        <v>27</v>
      </c>
      <c r="J881" t="s">
        <v>28</v>
      </c>
      <c r="K881" t="s">
        <v>29</v>
      </c>
      <c r="L881" t="s">
        <v>895</v>
      </c>
      <c r="M881" t="s">
        <v>4402</v>
      </c>
      <c r="O881" t="s">
        <v>896</v>
      </c>
      <c r="P881" t="s">
        <v>33</v>
      </c>
      <c r="Q881" s="22">
        <v>61405.41</v>
      </c>
      <c r="R881" t="s">
        <v>35</v>
      </c>
      <c r="S881" t="s">
        <v>35</v>
      </c>
      <c r="T881" t="s">
        <v>35</v>
      </c>
      <c r="U881" t="s">
        <v>35</v>
      </c>
      <c r="V881" t="s">
        <v>645</v>
      </c>
      <c r="W881" t="s">
        <v>113</v>
      </c>
    </row>
    <row r="882" spans="1:23" hidden="1" x14ac:dyDescent="0.25">
      <c r="A882" s="7" t="str">
        <f>IFERROR(VLOOKUP(H882,'Contas Orç'!A:B,2,0),"N/A")</f>
        <v>BENEFICIOS</v>
      </c>
      <c r="B882" s="7" t="str">
        <f t="shared" si="26"/>
        <v>320103 - BENEFICIOS</v>
      </c>
      <c r="C882" s="25">
        <f t="shared" si="27"/>
        <v>44743</v>
      </c>
      <c r="D882" s="27">
        <f>IF(K882="CREDITO",Q882,Q882*-1)</f>
        <v>3725.22</v>
      </c>
      <c r="E882" t="s">
        <v>894</v>
      </c>
      <c r="F882" t="s">
        <v>1375</v>
      </c>
      <c r="G882" s="8">
        <v>44743</v>
      </c>
      <c r="H882" t="s">
        <v>84</v>
      </c>
      <c r="I882" t="s">
        <v>53</v>
      </c>
      <c r="J882" t="s">
        <v>60</v>
      </c>
      <c r="K882" t="s">
        <v>29</v>
      </c>
      <c r="L882" t="s">
        <v>895</v>
      </c>
      <c r="M882" t="s">
        <v>4402</v>
      </c>
      <c r="O882" t="s">
        <v>896</v>
      </c>
      <c r="P882" t="s">
        <v>33</v>
      </c>
      <c r="Q882" s="22">
        <v>3725.22</v>
      </c>
      <c r="R882" t="s">
        <v>35</v>
      </c>
      <c r="S882" t="s">
        <v>35</v>
      </c>
      <c r="T882" t="s">
        <v>35</v>
      </c>
      <c r="U882" t="s">
        <v>35</v>
      </c>
      <c r="V882" t="s">
        <v>645</v>
      </c>
      <c r="W882" t="s">
        <v>113</v>
      </c>
    </row>
    <row r="883" spans="1:23" hidden="1" x14ac:dyDescent="0.25">
      <c r="A883" s="7" t="str">
        <f>IFERROR(VLOOKUP(H883,'Contas Orç'!A:B,2,0),"N/A")</f>
        <v>BENEFICIOS</v>
      </c>
      <c r="B883" s="7" t="str">
        <f t="shared" si="26"/>
        <v>320103 - BENEFICIOS</v>
      </c>
      <c r="C883" s="25">
        <f t="shared" si="27"/>
        <v>44743</v>
      </c>
      <c r="D883" s="27">
        <f>IF(K883="CREDITO",Q883,Q883*-1)</f>
        <v>1</v>
      </c>
      <c r="E883" t="s">
        <v>894</v>
      </c>
      <c r="F883" t="s">
        <v>1376</v>
      </c>
      <c r="G883" s="8">
        <v>44743</v>
      </c>
      <c r="H883" t="s">
        <v>84</v>
      </c>
      <c r="I883" t="s">
        <v>88</v>
      </c>
      <c r="J883" t="s">
        <v>60</v>
      </c>
      <c r="K883" t="s">
        <v>29</v>
      </c>
      <c r="L883" t="s">
        <v>895</v>
      </c>
      <c r="M883" t="s">
        <v>4402</v>
      </c>
      <c r="O883" t="s">
        <v>896</v>
      </c>
      <c r="P883" t="s">
        <v>33</v>
      </c>
      <c r="Q883">
        <v>1</v>
      </c>
      <c r="R883" t="s">
        <v>35</v>
      </c>
      <c r="S883" t="s">
        <v>35</v>
      </c>
      <c r="T883" t="s">
        <v>35</v>
      </c>
      <c r="U883" t="s">
        <v>35</v>
      </c>
      <c r="V883" t="s">
        <v>645</v>
      </c>
      <c r="W883" t="s">
        <v>113</v>
      </c>
    </row>
    <row r="884" spans="1:23" hidden="1" x14ac:dyDescent="0.25">
      <c r="A884" s="7" t="str">
        <f>IFERROR(VLOOKUP(H884,'Contas Orç'!A:B,2,0),"N/A")</f>
        <v>BENEFICIOS</v>
      </c>
      <c r="B884" s="7" t="str">
        <f t="shared" si="26"/>
        <v>320103 - BENEFICIOS</v>
      </c>
      <c r="C884" s="25">
        <f t="shared" si="27"/>
        <v>44743</v>
      </c>
      <c r="D884" s="27">
        <f>IF(K884="CREDITO",Q884,Q884*-1)</f>
        <v>33777.49</v>
      </c>
      <c r="E884" t="s">
        <v>894</v>
      </c>
      <c r="F884" t="s">
        <v>1377</v>
      </c>
      <c r="G884" s="8">
        <v>44743</v>
      </c>
      <c r="H884" t="s">
        <v>84</v>
      </c>
      <c r="I884" t="s">
        <v>106</v>
      </c>
      <c r="J884" t="s">
        <v>60</v>
      </c>
      <c r="K884" t="s">
        <v>29</v>
      </c>
      <c r="L884" t="s">
        <v>895</v>
      </c>
      <c r="M884" t="s">
        <v>4402</v>
      </c>
      <c r="O884" t="s">
        <v>896</v>
      </c>
      <c r="P884" t="s">
        <v>33</v>
      </c>
      <c r="Q884" s="22">
        <v>33777.49</v>
      </c>
      <c r="R884" t="s">
        <v>35</v>
      </c>
      <c r="S884" t="s">
        <v>35</v>
      </c>
      <c r="T884" t="s">
        <v>35</v>
      </c>
      <c r="U884" t="s">
        <v>35</v>
      </c>
      <c r="V884" t="s">
        <v>645</v>
      </c>
      <c r="W884" t="s">
        <v>113</v>
      </c>
    </row>
    <row r="885" spans="1:23" hidden="1" x14ac:dyDescent="0.25">
      <c r="A885" s="7" t="str">
        <f>IFERROR(VLOOKUP(H885,'Contas Orç'!A:B,2,0),"N/A")</f>
        <v>BENEFICIOS</v>
      </c>
      <c r="B885" s="7" t="str">
        <f t="shared" si="26"/>
        <v>320103 - BENEFICIOS</v>
      </c>
      <c r="C885" s="25">
        <f t="shared" si="27"/>
        <v>44743</v>
      </c>
      <c r="D885" s="27">
        <f>IF(K885="CREDITO",Q885,Q885*-1)</f>
        <v>191795.02</v>
      </c>
      <c r="E885" t="s">
        <v>894</v>
      </c>
      <c r="F885" t="s">
        <v>1378</v>
      </c>
      <c r="G885" s="8">
        <v>44743</v>
      </c>
      <c r="H885" t="s">
        <v>84</v>
      </c>
      <c r="I885" t="s">
        <v>59</v>
      </c>
      <c r="J885" t="s">
        <v>60</v>
      </c>
      <c r="K885" t="s">
        <v>29</v>
      </c>
      <c r="L885" t="s">
        <v>895</v>
      </c>
      <c r="M885" t="s">
        <v>4402</v>
      </c>
      <c r="O885" t="s">
        <v>896</v>
      </c>
      <c r="P885" t="s">
        <v>33</v>
      </c>
      <c r="Q885" s="22">
        <v>191795.02</v>
      </c>
      <c r="R885" t="s">
        <v>35</v>
      </c>
      <c r="S885" t="s">
        <v>35</v>
      </c>
      <c r="T885" t="s">
        <v>35</v>
      </c>
      <c r="U885" t="s">
        <v>35</v>
      </c>
      <c r="V885" t="s">
        <v>645</v>
      </c>
      <c r="W885" t="s">
        <v>113</v>
      </c>
    </row>
    <row r="886" spans="1:23" hidden="1" x14ac:dyDescent="0.25">
      <c r="A886" s="7" t="str">
        <f>IFERROR(VLOOKUP(H886,'Contas Orç'!A:B,2,0),"N/A")</f>
        <v>BENEFICIOS</v>
      </c>
      <c r="B886" s="7" t="str">
        <f t="shared" si="26"/>
        <v>320103 - BENEFICIOS</v>
      </c>
      <c r="C886" s="25">
        <f t="shared" si="27"/>
        <v>44743</v>
      </c>
      <c r="D886" s="27">
        <f>IF(K886="CREDITO",Q886,Q886*-1)</f>
        <v>13132.21</v>
      </c>
      <c r="E886" t="s">
        <v>894</v>
      </c>
      <c r="F886" t="s">
        <v>1379</v>
      </c>
      <c r="G886" s="8">
        <v>44743</v>
      </c>
      <c r="H886" t="s">
        <v>84</v>
      </c>
      <c r="I886" t="s">
        <v>59</v>
      </c>
      <c r="J886" t="s">
        <v>107</v>
      </c>
      <c r="K886" t="s">
        <v>29</v>
      </c>
      <c r="L886" t="s">
        <v>895</v>
      </c>
      <c r="M886" t="s">
        <v>4402</v>
      </c>
      <c r="O886" t="s">
        <v>896</v>
      </c>
      <c r="P886" t="s">
        <v>33</v>
      </c>
      <c r="Q886" s="22">
        <v>13132.21</v>
      </c>
      <c r="R886" t="s">
        <v>35</v>
      </c>
      <c r="S886" t="s">
        <v>35</v>
      </c>
      <c r="T886" t="s">
        <v>35</v>
      </c>
      <c r="U886" t="s">
        <v>35</v>
      </c>
      <c r="V886" t="s">
        <v>645</v>
      </c>
      <c r="W886" t="s">
        <v>113</v>
      </c>
    </row>
    <row r="887" spans="1:23" hidden="1" x14ac:dyDescent="0.25">
      <c r="A887" s="7" t="str">
        <f>IFERROR(VLOOKUP(H887,'Contas Orç'!A:B,2,0),"N/A")</f>
        <v>BENEFICIOS</v>
      </c>
      <c r="B887" s="7" t="str">
        <f t="shared" si="26"/>
        <v>320103 - BENEFICIOS</v>
      </c>
      <c r="C887" s="25">
        <f t="shared" si="27"/>
        <v>44743</v>
      </c>
      <c r="D887" s="27">
        <f>IF(K887="CREDITO",Q887,Q887*-1)</f>
        <v>975.55</v>
      </c>
      <c r="E887" t="s">
        <v>894</v>
      </c>
      <c r="F887" t="s">
        <v>1380</v>
      </c>
      <c r="G887" s="8">
        <v>44743</v>
      </c>
      <c r="H887" t="s">
        <v>84</v>
      </c>
      <c r="I887" t="s">
        <v>53</v>
      </c>
      <c r="J887" t="s">
        <v>702</v>
      </c>
      <c r="K887" t="s">
        <v>29</v>
      </c>
      <c r="L887" t="s">
        <v>895</v>
      </c>
      <c r="M887" t="s">
        <v>4402</v>
      </c>
      <c r="O887" t="s">
        <v>896</v>
      </c>
      <c r="P887" t="s">
        <v>33</v>
      </c>
      <c r="Q887">
        <v>975.55</v>
      </c>
      <c r="R887" t="s">
        <v>35</v>
      </c>
      <c r="S887" t="s">
        <v>35</v>
      </c>
      <c r="T887" t="s">
        <v>35</v>
      </c>
      <c r="U887" t="s">
        <v>35</v>
      </c>
      <c r="V887" t="s">
        <v>645</v>
      </c>
      <c r="W887" t="s">
        <v>113</v>
      </c>
    </row>
    <row r="888" spans="1:23" hidden="1" x14ac:dyDescent="0.25">
      <c r="A888" s="7" t="str">
        <f>IFERROR(VLOOKUP(H888,'Contas Orç'!A:B,2,0),"N/A")</f>
        <v>BENEFICIOS</v>
      </c>
      <c r="B888" s="7" t="str">
        <f t="shared" si="26"/>
        <v>320103 - BENEFICIOS</v>
      </c>
      <c r="C888" s="25">
        <f t="shared" si="27"/>
        <v>44743</v>
      </c>
      <c r="D888" s="27">
        <f>IF(K888="CREDITO",Q888,Q888*-1)</f>
        <v>16211.65</v>
      </c>
      <c r="E888" t="s">
        <v>894</v>
      </c>
      <c r="F888" t="s">
        <v>1381</v>
      </c>
      <c r="G888" s="8">
        <v>44743</v>
      </c>
      <c r="H888" t="s">
        <v>84</v>
      </c>
      <c r="I888" t="s">
        <v>59</v>
      </c>
      <c r="J888" t="s">
        <v>702</v>
      </c>
      <c r="K888" t="s">
        <v>29</v>
      </c>
      <c r="L888" t="s">
        <v>895</v>
      </c>
      <c r="M888" t="s">
        <v>4402</v>
      </c>
      <c r="O888" t="s">
        <v>896</v>
      </c>
      <c r="P888" t="s">
        <v>33</v>
      </c>
      <c r="Q888" s="22">
        <v>16211.65</v>
      </c>
      <c r="R888" t="s">
        <v>35</v>
      </c>
      <c r="S888" t="s">
        <v>35</v>
      </c>
      <c r="T888" t="s">
        <v>35</v>
      </c>
      <c r="U888" t="s">
        <v>35</v>
      </c>
      <c r="V888" t="s">
        <v>645</v>
      </c>
      <c r="W888" t="s">
        <v>113</v>
      </c>
    </row>
    <row r="889" spans="1:23" hidden="1" x14ac:dyDescent="0.25">
      <c r="A889" s="7" t="str">
        <f>IFERROR(VLOOKUP(H889,'Contas Orç'!A:B,2,0),"N/A")</f>
        <v>BENEFICIOS</v>
      </c>
      <c r="B889" s="7" t="str">
        <f t="shared" si="26"/>
        <v>320103 - BENEFICIOS</v>
      </c>
      <c r="C889" s="25">
        <f t="shared" si="27"/>
        <v>44743</v>
      </c>
      <c r="D889" s="27">
        <f>IF(K889="CREDITO",Q889,Q889*-1)</f>
        <v>4176.7</v>
      </c>
      <c r="E889" t="s">
        <v>894</v>
      </c>
      <c r="F889" t="s">
        <v>1382</v>
      </c>
      <c r="G889" s="8">
        <v>44743</v>
      </c>
      <c r="H889" t="s">
        <v>84</v>
      </c>
      <c r="I889" t="s">
        <v>125</v>
      </c>
      <c r="J889" t="s">
        <v>95</v>
      </c>
      <c r="K889" t="s">
        <v>29</v>
      </c>
      <c r="L889" t="s">
        <v>895</v>
      </c>
      <c r="M889" t="s">
        <v>4402</v>
      </c>
      <c r="O889" t="s">
        <v>896</v>
      </c>
      <c r="P889" t="s">
        <v>33</v>
      </c>
      <c r="Q889" s="22">
        <v>4176.7</v>
      </c>
      <c r="R889" t="s">
        <v>35</v>
      </c>
      <c r="S889" t="s">
        <v>35</v>
      </c>
      <c r="T889" t="s">
        <v>35</v>
      </c>
      <c r="U889" t="s">
        <v>35</v>
      </c>
      <c r="V889" t="s">
        <v>645</v>
      </c>
      <c r="W889" t="s">
        <v>113</v>
      </c>
    </row>
    <row r="890" spans="1:23" hidden="1" x14ac:dyDescent="0.25">
      <c r="A890" s="7" t="str">
        <f>IFERROR(VLOOKUP(H890,'Contas Orç'!A:B,2,0),"N/A")</f>
        <v>BENEFICIOS</v>
      </c>
      <c r="B890" s="7" t="str">
        <f t="shared" si="26"/>
        <v>320103 - BENEFICIOS</v>
      </c>
      <c r="C890" s="25">
        <f t="shared" si="27"/>
        <v>44743</v>
      </c>
      <c r="D890" s="27">
        <f>IF(K890="CREDITO",Q890,Q890*-1)</f>
        <v>301</v>
      </c>
      <c r="E890" t="s">
        <v>894</v>
      </c>
      <c r="F890" t="s">
        <v>1383</v>
      </c>
      <c r="G890" s="8">
        <v>44743</v>
      </c>
      <c r="H890" t="s">
        <v>84</v>
      </c>
      <c r="I890" t="s">
        <v>59</v>
      </c>
      <c r="J890" t="s">
        <v>661</v>
      </c>
      <c r="K890" t="s">
        <v>29</v>
      </c>
      <c r="L890" t="s">
        <v>895</v>
      </c>
      <c r="M890" t="s">
        <v>4402</v>
      </c>
      <c r="O890" t="s">
        <v>896</v>
      </c>
      <c r="P890" t="s">
        <v>33</v>
      </c>
      <c r="Q890">
        <v>301</v>
      </c>
      <c r="R890" t="s">
        <v>35</v>
      </c>
      <c r="S890" t="s">
        <v>35</v>
      </c>
      <c r="T890" t="s">
        <v>35</v>
      </c>
      <c r="U890" t="s">
        <v>35</v>
      </c>
      <c r="V890" t="s">
        <v>645</v>
      </c>
      <c r="W890" t="s">
        <v>113</v>
      </c>
    </row>
    <row r="891" spans="1:23" hidden="1" x14ac:dyDescent="0.25">
      <c r="A891" s="7" t="str">
        <f>IFERROR(VLOOKUP(H891,'Contas Orç'!A:B,2,0),"N/A")</f>
        <v>BENEFICIOS</v>
      </c>
      <c r="B891" s="7" t="str">
        <f t="shared" si="26"/>
        <v>320103 - BENEFICIOS</v>
      </c>
      <c r="C891" s="25">
        <f t="shared" si="27"/>
        <v>44743</v>
      </c>
      <c r="D891" s="27">
        <f>IF(K891="CREDITO",Q891,Q891*-1)</f>
        <v>27783.919999999998</v>
      </c>
      <c r="E891" t="s">
        <v>894</v>
      </c>
      <c r="F891" t="s">
        <v>1384</v>
      </c>
      <c r="G891" s="8">
        <v>44743</v>
      </c>
      <c r="H891" t="s">
        <v>84</v>
      </c>
      <c r="I891" t="s">
        <v>40</v>
      </c>
      <c r="J891" t="s">
        <v>54</v>
      </c>
      <c r="K891" t="s">
        <v>29</v>
      </c>
      <c r="L891" t="s">
        <v>895</v>
      </c>
      <c r="M891" t="s">
        <v>4402</v>
      </c>
      <c r="O891" t="s">
        <v>896</v>
      </c>
      <c r="P891" t="s">
        <v>33</v>
      </c>
      <c r="Q891" s="22">
        <v>27783.919999999998</v>
      </c>
      <c r="R891" t="s">
        <v>35</v>
      </c>
      <c r="S891" t="s">
        <v>35</v>
      </c>
      <c r="T891" t="s">
        <v>35</v>
      </c>
      <c r="U891" t="s">
        <v>35</v>
      </c>
      <c r="V891" t="s">
        <v>645</v>
      </c>
      <c r="W891" t="s">
        <v>113</v>
      </c>
    </row>
    <row r="892" spans="1:23" hidden="1" x14ac:dyDescent="0.25">
      <c r="A892" s="7" t="str">
        <f>IFERROR(VLOOKUP(H892,'Contas Orç'!A:B,2,0),"N/A")</f>
        <v>BENEFICIOS</v>
      </c>
      <c r="B892" s="7" t="str">
        <f t="shared" si="26"/>
        <v>320103 - BENEFICIOS</v>
      </c>
      <c r="C892" s="25">
        <f t="shared" si="27"/>
        <v>44743</v>
      </c>
      <c r="D892" s="27">
        <f>IF(K892="CREDITO",Q892,Q892*-1)</f>
        <v>327.60000000000002</v>
      </c>
      <c r="E892" t="s">
        <v>894</v>
      </c>
      <c r="F892" t="s">
        <v>1385</v>
      </c>
      <c r="G892" s="8">
        <v>44743</v>
      </c>
      <c r="H892" t="s">
        <v>84</v>
      </c>
      <c r="I892" t="s">
        <v>81</v>
      </c>
      <c r="J892" t="s">
        <v>54</v>
      </c>
      <c r="K892" t="s">
        <v>29</v>
      </c>
      <c r="L892" t="s">
        <v>895</v>
      </c>
      <c r="M892" t="s">
        <v>4402</v>
      </c>
      <c r="O892" t="s">
        <v>896</v>
      </c>
      <c r="P892" t="s">
        <v>33</v>
      </c>
      <c r="Q892">
        <v>327.60000000000002</v>
      </c>
      <c r="R892" t="s">
        <v>35</v>
      </c>
      <c r="S892" t="s">
        <v>35</v>
      </c>
      <c r="T892" t="s">
        <v>35</v>
      </c>
      <c r="U892" t="s">
        <v>35</v>
      </c>
      <c r="V892" t="s">
        <v>645</v>
      </c>
      <c r="W892" t="s">
        <v>113</v>
      </c>
    </row>
    <row r="893" spans="1:23" hidden="1" x14ac:dyDescent="0.25">
      <c r="A893" s="7" t="str">
        <f>IFERROR(VLOOKUP(H893,'Contas Orç'!A:B,2,0),"N/A")</f>
        <v>BENEFICIOS</v>
      </c>
      <c r="B893" s="7" t="str">
        <f t="shared" si="26"/>
        <v>320103 - BENEFICIOS</v>
      </c>
      <c r="C893" s="25">
        <f t="shared" si="27"/>
        <v>44743</v>
      </c>
      <c r="D893" s="27">
        <f>IF(K893="CREDITO",Q893,Q893*-1)</f>
        <v>13709.4</v>
      </c>
      <c r="E893" t="s">
        <v>894</v>
      </c>
      <c r="F893" t="s">
        <v>1386</v>
      </c>
      <c r="G893" s="8">
        <v>44743</v>
      </c>
      <c r="H893" t="s">
        <v>84</v>
      </c>
      <c r="I893" t="s">
        <v>53</v>
      </c>
      <c r="J893" t="s">
        <v>54</v>
      </c>
      <c r="K893" t="s">
        <v>29</v>
      </c>
      <c r="L893" t="s">
        <v>895</v>
      </c>
      <c r="M893" t="s">
        <v>4402</v>
      </c>
      <c r="O893" t="s">
        <v>896</v>
      </c>
      <c r="P893" t="s">
        <v>33</v>
      </c>
      <c r="Q893" s="22">
        <v>13709.4</v>
      </c>
      <c r="R893" t="s">
        <v>35</v>
      </c>
      <c r="S893" t="s">
        <v>35</v>
      </c>
      <c r="T893" t="s">
        <v>35</v>
      </c>
      <c r="U893" t="s">
        <v>35</v>
      </c>
      <c r="V893" t="s">
        <v>645</v>
      </c>
      <c r="W893" t="s">
        <v>113</v>
      </c>
    </row>
    <row r="894" spans="1:23" hidden="1" x14ac:dyDescent="0.25">
      <c r="A894" s="7" t="str">
        <f>IFERROR(VLOOKUP(H894,'Contas Orç'!A:B,2,0),"N/A")</f>
        <v>BENEFICIOS</v>
      </c>
      <c r="B894" s="7" t="str">
        <f t="shared" si="26"/>
        <v>320103 - BENEFICIOS</v>
      </c>
      <c r="C894" s="25">
        <f t="shared" si="27"/>
        <v>44743</v>
      </c>
      <c r="D894" s="27">
        <f>IF(K894="CREDITO",Q894,Q894*-1)</f>
        <v>216</v>
      </c>
      <c r="E894" t="s">
        <v>894</v>
      </c>
      <c r="F894" t="s">
        <v>1387</v>
      </c>
      <c r="G894" s="8">
        <v>44743</v>
      </c>
      <c r="H894" t="s">
        <v>84</v>
      </c>
      <c r="I894" t="s">
        <v>106</v>
      </c>
      <c r="J894" t="s">
        <v>54</v>
      </c>
      <c r="K894" t="s">
        <v>29</v>
      </c>
      <c r="L894" t="s">
        <v>895</v>
      </c>
      <c r="M894" t="s">
        <v>4402</v>
      </c>
      <c r="O894" t="s">
        <v>896</v>
      </c>
      <c r="P894" t="s">
        <v>33</v>
      </c>
      <c r="Q894">
        <v>216</v>
      </c>
      <c r="R894" t="s">
        <v>35</v>
      </c>
      <c r="S894" t="s">
        <v>35</v>
      </c>
      <c r="T894" t="s">
        <v>35</v>
      </c>
      <c r="U894" t="s">
        <v>35</v>
      </c>
      <c r="V894" t="s">
        <v>645</v>
      </c>
      <c r="W894" t="s">
        <v>113</v>
      </c>
    </row>
    <row r="895" spans="1:23" hidden="1" x14ac:dyDescent="0.25">
      <c r="A895" s="7" t="str">
        <f>IFERROR(VLOOKUP(H895,'Contas Orç'!A:B,2,0),"N/A")</f>
        <v>BENEFICIOS</v>
      </c>
      <c r="B895" s="7" t="str">
        <f t="shared" si="26"/>
        <v>320103 - BENEFICIOS</v>
      </c>
      <c r="C895" s="25">
        <f t="shared" si="27"/>
        <v>44774</v>
      </c>
      <c r="D895" s="27">
        <f>IF(K895="CREDITO",Q895,Q895*-1)</f>
        <v>28068.44</v>
      </c>
      <c r="E895" t="s">
        <v>894</v>
      </c>
      <c r="F895" t="s">
        <v>1388</v>
      </c>
      <c r="G895" s="8">
        <v>44774</v>
      </c>
      <c r="H895" t="s">
        <v>84</v>
      </c>
      <c r="I895" t="s">
        <v>53</v>
      </c>
      <c r="J895" t="s">
        <v>28</v>
      </c>
      <c r="K895" t="s">
        <v>29</v>
      </c>
      <c r="L895" t="s">
        <v>895</v>
      </c>
      <c r="M895" t="s">
        <v>4402</v>
      </c>
      <c r="O895" t="s">
        <v>896</v>
      </c>
      <c r="P895" t="s">
        <v>33</v>
      </c>
      <c r="Q895" s="22">
        <v>28068.44</v>
      </c>
      <c r="R895" t="s">
        <v>35</v>
      </c>
      <c r="S895" t="s">
        <v>35</v>
      </c>
      <c r="T895" t="s">
        <v>35</v>
      </c>
      <c r="U895" t="s">
        <v>35</v>
      </c>
      <c r="V895" t="s">
        <v>645</v>
      </c>
      <c r="W895" t="s">
        <v>113</v>
      </c>
    </row>
    <row r="896" spans="1:23" hidden="1" x14ac:dyDescent="0.25">
      <c r="A896" s="7" t="str">
        <f>IFERROR(VLOOKUP(H896,'Contas Orç'!A:B,2,0),"N/A")</f>
        <v>BENEFICIOS</v>
      </c>
      <c r="B896" s="7" t="str">
        <f t="shared" si="26"/>
        <v>320103 - BENEFICIOS</v>
      </c>
      <c r="C896" s="25">
        <f t="shared" si="27"/>
        <v>44774</v>
      </c>
      <c r="D896" s="27">
        <f>IF(K896="CREDITO",Q896,Q896*-1)</f>
        <v>18395.04</v>
      </c>
      <c r="E896" t="s">
        <v>894</v>
      </c>
      <c r="F896" t="s">
        <v>1389</v>
      </c>
      <c r="G896" s="8">
        <v>44774</v>
      </c>
      <c r="H896" t="s">
        <v>84</v>
      </c>
      <c r="I896" t="s">
        <v>88</v>
      </c>
      <c r="J896" t="s">
        <v>28</v>
      </c>
      <c r="K896" t="s">
        <v>29</v>
      </c>
      <c r="L896" t="s">
        <v>895</v>
      </c>
      <c r="M896" t="s">
        <v>4402</v>
      </c>
      <c r="O896" t="s">
        <v>896</v>
      </c>
      <c r="P896" t="s">
        <v>33</v>
      </c>
      <c r="Q896" s="22">
        <v>18395.04</v>
      </c>
      <c r="R896" t="s">
        <v>35</v>
      </c>
      <c r="S896" t="s">
        <v>35</v>
      </c>
      <c r="T896" t="s">
        <v>35</v>
      </c>
      <c r="U896" t="s">
        <v>35</v>
      </c>
      <c r="V896" t="s">
        <v>645</v>
      </c>
      <c r="W896" t="s">
        <v>113</v>
      </c>
    </row>
    <row r="897" spans="1:23" hidden="1" x14ac:dyDescent="0.25">
      <c r="A897" s="7" t="str">
        <f>IFERROR(VLOOKUP(H897,'Contas Orç'!A:B,2,0),"N/A")</f>
        <v>BENEFICIOS</v>
      </c>
      <c r="B897" s="7" t="str">
        <f t="shared" si="26"/>
        <v>320103 - BENEFICIOS</v>
      </c>
      <c r="C897" s="25">
        <f t="shared" si="27"/>
        <v>44774</v>
      </c>
      <c r="D897" s="27">
        <f>IF(K897="CREDITO",Q897,Q897*-1)</f>
        <v>54222.99</v>
      </c>
      <c r="E897" t="s">
        <v>894</v>
      </c>
      <c r="F897" t="s">
        <v>1390</v>
      </c>
      <c r="G897" s="8">
        <v>44774</v>
      </c>
      <c r="H897" t="s">
        <v>84</v>
      </c>
      <c r="I897" t="s">
        <v>27</v>
      </c>
      <c r="J897" t="s">
        <v>28</v>
      </c>
      <c r="K897" t="s">
        <v>29</v>
      </c>
      <c r="L897" t="s">
        <v>895</v>
      </c>
      <c r="M897" t="s">
        <v>4402</v>
      </c>
      <c r="O897" t="s">
        <v>896</v>
      </c>
      <c r="P897" t="s">
        <v>33</v>
      </c>
      <c r="Q897" s="22">
        <v>54222.99</v>
      </c>
      <c r="R897" t="s">
        <v>35</v>
      </c>
      <c r="S897" t="s">
        <v>35</v>
      </c>
      <c r="T897" t="s">
        <v>35</v>
      </c>
      <c r="U897" t="s">
        <v>35</v>
      </c>
      <c r="V897" t="s">
        <v>645</v>
      </c>
      <c r="W897" t="s">
        <v>113</v>
      </c>
    </row>
    <row r="898" spans="1:23" hidden="1" x14ac:dyDescent="0.25">
      <c r="A898" s="7" t="str">
        <f>IFERROR(VLOOKUP(H898,'Contas Orç'!A:B,2,0),"N/A")</f>
        <v>BENEFICIOS</v>
      </c>
      <c r="B898" s="7" t="str">
        <f t="shared" si="26"/>
        <v>320103 - BENEFICIOS</v>
      </c>
      <c r="C898" s="25">
        <f t="shared" si="27"/>
        <v>44774</v>
      </c>
      <c r="D898" s="27">
        <f>IF(K898="CREDITO",Q898,Q898*-1)</f>
        <v>3733.02</v>
      </c>
      <c r="E898" t="s">
        <v>894</v>
      </c>
      <c r="F898" t="s">
        <v>1391</v>
      </c>
      <c r="G898" s="8">
        <v>44774</v>
      </c>
      <c r="H898" t="s">
        <v>84</v>
      </c>
      <c r="I898" t="s">
        <v>53</v>
      </c>
      <c r="J898" t="s">
        <v>60</v>
      </c>
      <c r="K898" t="s">
        <v>29</v>
      </c>
      <c r="L898" t="s">
        <v>895</v>
      </c>
      <c r="M898" t="s">
        <v>4402</v>
      </c>
      <c r="O898" t="s">
        <v>896</v>
      </c>
      <c r="P898" t="s">
        <v>33</v>
      </c>
      <c r="Q898" s="22">
        <v>3733.02</v>
      </c>
      <c r="R898" t="s">
        <v>35</v>
      </c>
      <c r="S898" t="s">
        <v>35</v>
      </c>
      <c r="T898" t="s">
        <v>35</v>
      </c>
      <c r="U898" t="s">
        <v>35</v>
      </c>
      <c r="V898" t="s">
        <v>645</v>
      </c>
      <c r="W898" t="s">
        <v>113</v>
      </c>
    </row>
    <row r="899" spans="1:23" hidden="1" x14ac:dyDescent="0.25">
      <c r="A899" s="7" t="str">
        <f>IFERROR(VLOOKUP(H899,'Contas Orç'!A:B,2,0),"N/A")</f>
        <v>BENEFICIOS</v>
      </c>
      <c r="B899" s="7" t="str">
        <f t="shared" ref="B899:B962" si="28">_xlfn.CONCAT(H899," - ",A899)</f>
        <v>320103 - BENEFICIOS</v>
      </c>
      <c r="C899" s="25">
        <f t="shared" ref="C899:C962" si="29">DATE(YEAR(G899),MONTH(G899),1)</f>
        <v>44774</v>
      </c>
      <c r="D899" s="27">
        <f>IF(K899="CREDITO",Q899,Q899*-1)</f>
        <v>53507.91</v>
      </c>
      <c r="E899" t="s">
        <v>894</v>
      </c>
      <c r="F899" t="s">
        <v>1392</v>
      </c>
      <c r="G899" s="8">
        <v>44774</v>
      </c>
      <c r="H899" t="s">
        <v>84</v>
      </c>
      <c r="I899" t="s">
        <v>106</v>
      </c>
      <c r="J899" t="s">
        <v>60</v>
      </c>
      <c r="K899" t="s">
        <v>29</v>
      </c>
      <c r="L899" t="s">
        <v>895</v>
      </c>
      <c r="M899" t="s">
        <v>4402</v>
      </c>
      <c r="O899" t="s">
        <v>896</v>
      </c>
      <c r="P899" t="s">
        <v>33</v>
      </c>
      <c r="Q899" s="22">
        <v>53507.91</v>
      </c>
      <c r="R899" t="s">
        <v>35</v>
      </c>
      <c r="S899" t="s">
        <v>35</v>
      </c>
      <c r="T899" t="s">
        <v>35</v>
      </c>
      <c r="U899" t="s">
        <v>35</v>
      </c>
      <c r="V899" t="s">
        <v>645</v>
      </c>
      <c r="W899" t="s">
        <v>113</v>
      </c>
    </row>
    <row r="900" spans="1:23" hidden="1" x14ac:dyDescent="0.25">
      <c r="A900" s="7" t="str">
        <f>IFERROR(VLOOKUP(H900,'Contas Orç'!A:B,2,0),"N/A")</f>
        <v>BENEFICIOS</v>
      </c>
      <c r="B900" s="7" t="str">
        <f t="shared" si="28"/>
        <v>320103 - BENEFICIOS</v>
      </c>
      <c r="C900" s="25">
        <f t="shared" si="29"/>
        <v>44774</v>
      </c>
      <c r="D900" s="27">
        <f>IF(K900="CREDITO",Q900,Q900*-1)</f>
        <v>237752.11</v>
      </c>
      <c r="E900" t="s">
        <v>894</v>
      </c>
      <c r="F900" t="s">
        <v>1393</v>
      </c>
      <c r="G900" s="8">
        <v>44774</v>
      </c>
      <c r="H900" t="s">
        <v>84</v>
      </c>
      <c r="I900" t="s">
        <v>59</v>
      </c>
      <c r="J900" t="s">
        <v>60</v>
      </c>
      <c r="K900" t="s">
        <v>29</v>
      </c>
      <c r="L900" t="s">
        <v>895</v>
      </c>
      <c r="M900" t="s">
        <v>4402</v>
      </c>
      <c r="O900" t="s">
        <v>896</v>
      </c>
      <c r="P900" t="s">
        <v>33</v>
      </c>
      <c r="Q900" s="22">
        <v>237752.11</v>
      </c>
      <c r="R900" t="s">
        <v>35</v>
      </c>
      <c r="S900" t="s">
        <v>35</v>
      </c>
      <c r="T900" t="s">
        <v>35</v>
      </c>
      <c r="U900" t="s">
        <v>35</v>
      </c>
      <c r="V900" t="s">
        <v>645</v>
      </c>
      <c r="W900" t="s">
        <v>113</v>
      </c>
    </row>
    <row r="901" spans="1:23" hidden="1" x14ac:dyDescent="0.25">
      <c r="A901" s="7" t="str">
        <f>IFERROR(VLOOKUP(H901,'Contas Orç'!A:B,2,0),"N/A")</f>
        <v>BENEFICIOS</v>
      </c>
      <c r="B901" s="7" t="str">
        <f t="shared" si="28"/>
        <v>320103 - BENEFICIOS</v>
      </c>
      <c r="C901" s="25">
        <f t="shared" si="29"/>
        <v>44774</v>
      </c>
      <c r="D901" s="27">
        <f>IF(K901="CREDITO",Q901,Q901*-1)</f>
        <v>90650.1</v>
      </c>
      <c r="E901" t="s">
        <v>894</v>
      </c>
      <c r="F901" t="s">
        <v>1394</v>
      </c>
      <c r="G901" s="8">
        <v>44774</v>
      </c>
      <c r="H901" t="s">
        <v>84</v>
      </c>
      <c r="I901" t="s">
        <v>59</v>
      </c>
      <c r="J901" t="s">
        <v>107</v>
      </c>
      <c r="K901" t="s">
        <v>29</v>
      </c>
      <c r="L901" t="s">
        <v>895</v>
      </c>
      <c r="M901" t="s">
        <v>4402</v>
      </c>
      <c r="O901" t="s">
        <v>896</v>
      </c>
      <c r="P901" t="s">
        <v>33</v>
      </c>
      <c r="Q901" s="22">
        <v>90650.1</v>
      </c>
      <c r="R901" t="s">
        <v>35</v>
      </c>
      <c r="S901" t="s">
        <v>35</v>
      </c>
      <c r="T901" t="s">
        <v>35</v>
      </c>
      <c r="U901" t="s">
        <v>35</v>
      </c>
      <c r="V901" t="s">
        <v>645</v>
      </c>
      <c r="W901" t="s">
        <v>113</v>
      </c>
    </row>
    <row r="902" spans="1:23" hidden="1" x14ac:dyDescent="0.25">
      <c r="A902" s="7" t="str">
        <f>IFERROR(VLOOKUP(H902,'Contas Orç'!A:B,2,0),"N/A")</f>
        <v>BENEFICIOS</v>
      </c>
      <c r="B902" s="7" t="str">
        <f t="shared" si="28"/>
        <v>320103 - BENEFICIOS</v>
      </c>
      <c r="C902" s="25">
        <f t="shared" si="29"/>
        <v>44774</v>
      </c>
      <c r="D902" s="27">
        <f>IF(K902="CREDITO",Q902,Q902*-1)</f>
        <v>975.55</v>
      </c>
      <c r="E902" t="s">
        <v>894</v>
      </c>
      <c r="F902" t="s">
        <v>1395</v>
      </c>
      <c r="G902" s="8">
        <v>44774</v>
      </c>
      <c r="H902" t="s">
        <v>84</v>
      </c>
      <c r="I902" t="s">
        <v>53</v>
      </c>
      <c r="J902" t="s">
        <v>702</v>
      </c>
      <c r="K902" t="s">
        <v>29</v>
      </c>
      <c r="L902" t="s">
        <v>895</v>
      </c>
      <c r="M902" t="s">
        <v>4402</v>
      </c>
      <c r="O902" t="s">
        <v>896</v>
      </c>
      <c r="P902" t="s">
        <v>33</v>
      </c>
      <c r="Q902">
        <v>975.55</v>
      </c>
      <c r="R902" t="s">
        <v>35</v>
      </c>
      <c r="S902" t="s">
        <v>35</v>
      </c>
      <c r="T902" t="s">
        <v>35</v>
      </c>
      <c r="U902" t="s">
        <v>35</v>
      </c>
      <c r="V902" t="s">
        <v>645</v>
      </c>
      <c r="W902" t="s">
        <v>113</v>
      </c>
    </row>
    <row r="903" spans="1:23" hidden="1" x14ac:dyDescent="0.25">
      <c r="A903" s="7" t="str">
        <f>IFERROR(VLOOKUP(H903,'Contas Orç'!A:B,2,0),"N/A")</f>
        <v>BENEFICIOS</v>
      </c>
      <c r="B903" s="7" t="str">
        <f t="shared" si="28"/>
        <v>320103 - BENEFICIOS</v>
      </c>
      <c r="C903" s="25">
        <f t="shared" si="29"/>
        <v>44774</v>
      </c>
      <c r="D903" s="27">
        <f>IF(K903="CREDITO",Q903,Q903*-1)</f>
        <v>17068.25</v>
      </c>
      <c r="E903" t="s">
        <v>894</v>
      </c>
      <c r="F903" t="s">
        <v>1396</v>
      </c>
      <c r="G903" s="8">
        <v>44774</v>
      </c>
      <c r="H903" t="s">
        <v>84</v>
      </c>
      <c r="I903" t="s">
        <v>59</v>
      </c>
      <c r="J903" t="s">
        <v>702</v>
      </c>
      <c r="K903" t="s">
        <v>29</v>
      </c>
      <c r="L903" t="s">
        <v>895</v>
      </c>
      <c r="M903" t="s">
        <v>4402</v>
      </c>
      <c r="O903" t="s">
        <v>896</v>
      </c>
      <c r="P903" t="s">
        <v>33</v>
      </c>
      <c r="Q903" s="22">
        <v>17068.25</v>
      </c>
      <c r="R903" t="s">
        <v>35</v>
      </c>
      <c r="S903" t="s">
        <v>35</v>
      </c>
      <c r="T903" t="s">
        <v>35</v>
      </c>
      <c r="U903" t="s">
        <v>35</v>
      </c>
      <c r="V903" t="s">
        <v>645</v>
      </c>
      <c r="W903" t="s">
        <v>113</v>
      </c>
    </row>
    <row r="904" spans="1:23" hidden="1" x14ac:dyDescent="0.25">
      <c r="A904" s="7" t="str">
        <f>IFERROR(VLOOKUP(H904,'Contas Orç'!A:B,2,0),"N/A")</f>
        <v>BENEFICIOS</v>
      </c>
      <c r="B904" s="7" t="str">
        <f t="shared" si="28"/>
        <v>320103 - BENEFICIOS</v>
      </c>
      <c r="C904" s="25">
        <f t="shared" si="29"/>
        <v>44774</v>
      </c>
      <c r="D904" s="27">
        <f>IF(K904="CREDITO",Q904,Q904*-1)</f>
        <v>6234.39</v>
      </c>
      <c r="E904" t="s">
        <v>894</v>
      </c>
      <c r="F904" t="s">
        <v>1397</v>
      </c>
      <c r="G904" s="8">
        <v>44774</v>
      </c>
      <c r="H904" t="s">
        <v>84</v>
      </c>
      <c r="I904" t="s">
        <v>125</v>
      </c>
      <c r="J904" t="s">
        <v>95</v>
      </c>
      <c r="K904" t="s">
        <v>29</v>
      </c>
      <c r="L904" t="s">
        <v>895</v>
      </c>
      <c r="M904" t="s">
        <v>4402</v>
      </c>
      <c r="O904" t="s">
        <v>896</v>
      </c>
      <c r="P904" t="s">
        <v>33</v>
      </c>
      <c r="Q904" s="22">
        <v>6234.39</v>
      </c>
      <c r="R904" t="s">
        <v>35</v>
      </c>
      <c r="S904" t="s">
        <v>35</v>
      </c>
      <c r="T904" t="s">
        <v>35</v>
      </c>
      <c r="U904" t="s">
        <v>35</v>
      </c>
      <c r="V904" t="s">
        <v>645</v>
      </c>
      <c r="W904" t="s">
        <v>113</v>
      </c>
    </row>
    <row r="905" spans="1:23" hidden="1" x14ac:dyDescent="0.25">
      <c r="A905" s="7" t="str">
        <f>IFERROR(VLOOKUP(H905,'Contas Orç'!A:B,2,0),"N/A")</f>
        <v>BENEFICIOS</v>
      </c>
      <c r="B905" s="7" t="str">
        <f t="shared" si="28"/>
        <v>320103 - BENEFICIOS</v>
      </c>
      <c r="C905" s="25">
        <f t="shared" si="29"/>
        <v>44774</v>
      </c>
      <c r="D905" s="27">
        <f>IF(K905="CREDITO",Q905,Q905*-1)</f>
        <v>124.8</v>
      </c>
      <c r="E905" t="s">
        <v>894</v>
      </c>
      <c r="F905" t="s">
        <v>1398</v>
      </c>
      <c r="G905" s="8">
        <v>44774</v>
      </c>
      <c r="H905" t="s">
        <v>84</v>
      </c>
      <c r="I905" t="s">
        <v>81</v>
      </c>
      <c r="J905" t="s">
        <v>54</v>
      </c>
      <c r="K905" t="s">
        <v>29</v>
      </c>
      <c r="L905" t="s">
        <v>895</v>
      </c>
      <c r="M905" t="s">
        <v>4402</v>
      </c>
      <c r="O905" t="s">
        <v>896</v>
      </c>
      <c r="P905" t="s">
        <v>33</v>
      </c>
      <c r="Q905">
        <v>124.8</v>
      </c>
      <c r="R905" t="s">
        <v>35</v>
      </c>
      <c r="S905" t="s">
        <v>35</v>
      </c>
      <c r="T905" t="s">
        <v>35</v>
      </c>
      <c r="U905" t="s">
        <v>35</v>
      </c>
      <c r="V905" t="s">
        <v>645</v>
      </c>
      <c r="W905" t="s">
        <v>113</v>
      </c>
    </row>
    <row r="906" spans="1:23" hidden="1" x14ac:dyDescent="0.25">
      <c r="A906" s="7" t="str">
        <f>IFERROR(VLOOKUP(H906,'Contas Orç'!A:B,2,0),"N/A")</f>
        <v>BENEFICIOS</v>
      </c>
      <c r="B906" s="7" t="str">
        <f t="shared" si="28"/>
        <v>320103 - BENEFICIOS</v>
      </c>
      <c r="C906" s="25">
        <f t="shared" si="29"/>
        <v>44774</v>
      </c>
      <c r="D906" s="27">
        <f>IF(K906="CREDITO",Q906,Q906*-1)</f>
        <v>24553.040000000001</v>
      </c>
      <c r="E906" t="s">
        <v>894</v>
      </c>
      <c r="F906" t="s">
        <v>1399</v>
      </c>
      <c r="G906" s="8">
        <v>44774</v>
      </c>
      <c r="H906" t="s">
        <v>84</v>
      </c>
      <c r="I906" t="s">
        <v>53</v>
      </c>
      <c r="J906" t="s">
        <v>54</v>
      </c>
      <c r="K906" t="s">
        <v>29</v>
      </c>
      <c r="L906" t="s">
        <v>895</v>
      </c>
      <c r="M906" t="s">
        <v>4402</v>
      </c>
      <c r="O906" t="s">
        <v>896</v>
      </c>
      <c r="P906" t="s">
        <v>33</v>
      </c>
      <c r="Q906" s="22">
        <v>24553.040000000001</v>
      </c>
      <c r="R906" t="s">
        <v>35</v>
      </c>
      <c r="S906" t="s">
        <v>35</v>
      </c>
      <c r="T906" t="s">
        <v>35</v>
      </c>
      <c r="U906" t="s">
        <v>35</v>
      </c>
      <c r="V906" t="s">
        <v>645</v>
      </c>
      <c r="W906" t="s">
        <v>113</v>
      </c>
    </row>
    <row r="907" spans="1:23" hidden="1" x14ac:dyDescent="0.25">
      <c r="A907" s="7" t="str">
        <f>IFERROR(VLOOKUP(H907,'Contas Orç'!A:B,2,0),"N/A")</f>
        <v>BENEFICIOS</v>
      </c>
      <c r="B907" s="7" t="str">
        <f t="shared" si="28"/>
        <v>320103 - BENEFICIOS</v>
      </c>
      <c r="C907" s="25">
        <f t="shared" si="29"/>
        <v>44774</v>
      </c>
      <c r="D907" s="27">
        <f>IF(K907="CREDITO",Q907,Q907*-1)</f>
        <v>468</v>
      </c>
      <c r="E907" t="s">
        <v>894</v>
      </c>
      <c r="F907" t="s">
        <v>1400</v>
      </c>
      <c r="G907" s="8">
        <v>44774</v>
      </c>
      <c r="H907" t="s">
        <v>84</v>
      </c>
      <c r="I907" t="s">
        <v>106</v>
      </c>
      <c r="J907" t="s">
        <v>54</v>
      </c>
      <c r="K907" t="s">
        <v>29</v>
      </c>
      <c r="L907" t="s">
        <v>895</v>
      </c>
      <c r="M907" t="s">
        <v>4402</v>
      </c>
      <c r="O907" t="s">
        <v>896</v>
      </c>
      <c r="P907" t="s">
        <v>33</v>
      </c>
      <c r="Q907">
        <v>468</v>
      </c>
      <c r="R907" t="s">
        <v>35</v>
      </c>
      <c r="S907" t="s">
        <v>35</v>
      </c>
      <c r="T907" t="s">
        <v>35</v>
      </c>
      <c r="U907" t="s">
        <v>35</v>
      </c>
      <c r="V907" t="s">
        <v>645</v>
      </c>
      <c r="W907" t="s">
        <v>113</v>
      </c>
    </row>
    <row r="908" spans="1:23" hidden="1" x14ac:dyDescent="0.25">
      <c r="A908" s="7" t="str">
        <f>IFERROR(VLOOKUP(H908,'Contas Orç'!A:B,2,0),"N/A")</f>
        <v>BENEFICIOS</v>
      </c>
      <c r="B908" s="7" t="str">
        <f t="shared" si="28"/>
        <v>320103 - BENEFICIOS</v>
      </c>
      <c r="C908" s="25">
        <f t="shared" si="29"/>
        <v>44774</v>
      </c>
      <c r="D908" s="27">
        <f>IF(K908="CREDITO",Q908,Q908*-1)</f>
        <v>251.28</v>
      </c>
      <c r="E908" t="s">
        <v>894</v>
      </c>
      <c r="F908" t="s">
        <v>1401</v>
      </c>
      <c r="G908" s="8">
        <v>44774</v>
      </c>
      <c r="H908" t="s">
        <v>84</v>
      </c>
      <c r="I908" t="s">
        <v>125</v>
      </c>
      <c r="J908" t="s">
        <v>54</v>
      </c>
      <c r="K908" t="s">
        <v>29</v>
      </c>
      <c r="L908" t="s">
        <v>895</v>
      </c>
      <c r="M908" t="s">
        <v>4402</v>
      </c>
      <c r="O908" t="s">
        <v>896</v>
      </c>
      <c r="P908" t="s">
        <v>33</v>
      </c>
      <c r="Q908">
        <v>251.28</v>
      </c>
      <c r="R908" t="s">
        <v>35</v>
      </c>
      <c r="S908" t="s">
        <v>35</v>
      </c>
      <c r="T908" t="s">
        <v>35</v>
      </c>
      <c r="U908" t="s">
        <v>35</v>
      </c>
      <c r="V908" t="s">
        <v>645</v>
      </c>
      <c r="W908" t="s">
        <v>113</v>
      </c>
    </row>
    <row r="909" spans="1:23" hidden="1" x14ac:dyDescent="0.25">
      <c r="A909" s="7" t="str">
        <f>IFERROR(VLOOKUP(H909,'Contas Orç'!A:B,2,0),"N/A")</f>
        <v>BENEFICIOS</v>
      </c>
      <c r="B909" s="7" t="str">
        <f t="shared" si="28"/>
        <v>320103 - BENEFICIOS</v>
      </c>
      <c r="C909" s="25">
        <f t="shared" si="29"/>
        <v>44805</v>
      </c>
      <c r="D909" s="27">
        <f>IF(K909="CREDITO",Q909,Q909*-1)</f>
        <v>73.760000000000005</v>
      </c>
      <c r="E909" t="s">
        <v>894</v>
      </c>
      <c r="F909" t="s">
        <v>1402</v>
      </c>
      <c r="G909" s="8">
        <v>44805</v>
      </c>
      <c r="H909" t="s">
        <v>84</v>
      </c>
      <c r="I909" t="s">
        <v>53</v>
      </c>
      <c r="J909" t="s">
        <v>28</v>
      </c>
      <c r="K909" t="s">
        <v>29</v>
      </c>
      <c r="L909" t="s">
        <v>895</v>
      </c>
      <c r="M909" t="s">
        <v>4402</v>
      </c>
      <c r="O909" t="s">
        <v>896</v>
      </c>
      <c r="P909" t="s">
        <v>33</v>
      </c>
      <c r="Q909">
        <v>73.760000000000005</v>
      </c>
      <c r="R909" t="s">
        <v>35</v>
      </c>
      <c r="S909" t="s">
        <v>35</v>
      </c>
      <c r="T909" t="s">
        <v>35</v>
      </c>
      <c r="U909" t="s">
        <v>35</v>
      </c>
      <c r="V909" t="s">
        <v>645</v>
      </c>
      <c r="W909" t="s">
        <v>113</v>
      </c>
    </row>
    <row r="910" spans="1:23" hidden="1" x14ac:dyDescent="0.25">
      <c r="A910" s="7" t="str">
        <f>IFERROR(VLOOKUP(H910,'Contas Orç'!A:B,2,0),"N/A")</f>
        <v>BENEFICIOS</v>
      </c>
      <c r="B910" s="7" t="str">
        <f t="shared" si="28"/>
        <v>320103 - BENEFICIOS</v>
      </c>
      <c r="C910" s="25">
        <f t="shared" si="29"/>
        <v>44805</v>
      </c>
      <c r="D910" s="27">
        <f>IF(K910="CREDITO",Q910,Q910*-1)</f>
        <v>14131.98</v>
      </c>
      <c r="E910" t="s">
        <v>894</v>
      </c>
      <c r="F910" t="s">
        <v>1403</v>
      </c>
      <c r="G910" s="8">
        <v>44805</v>
      </c>
      <c r="H910" t="s">
        <v>84</v>
      </c>
      <c r="I910" t="s">
        <v>88</v>
      </c>
      <c r="J910" t="s">
        <v>28</v>
      </c>
      <c r="K910" t="s">
        <v>29</v>
      </c>
      <c r="L910" t="s">
        <v>895</v>
      </c>
      <c r="M910" t="s">
        <v>4402</v>
      </c>
      <c r="O910" t="s">
        <v>896</v>
      </c>
      <c r="P910" t="s">
        <v>33</v>
      </c>
      <c r="Q910" s="22">
        <v>14131.98</v>
      </c>
      <c r="R910" t="s">
        <v>35</v>
      </c>
      <c r="S910" t="s">
        <v>35</v>
      </c>
      <c r="T910" t="s">
        <v>35</v>
      </c>
      <c r="U910" t="s">
        <v>35</v>
      </c>
      <c r="V910" t="s">
        <v>645</v>
      </c>
      <c r="W910" t="s">
        <v>113</v>
      </c>
    </row>
    <row r="911" spans="1:23" hidden="1" x14ac:dyDescent="0.25">
      <c r="A911" s="7" t="str">
        <f>IFERROR(VLOOKUP(H911,'Contas Orç'!A:B,2,0),"N/A")</f>
        <v>BENEFICIOS</v>
      </c>
      <c r="B911" s="7" t="str">
        <f t="shared" si="28"/>
        <v>320103 - BENEFICIOS</v>
      </c>
      <c r="C911" s="25">
        <f t="shared" si="29"/>
        <v>44805</v>
      </c>
      <c r="D911" s="27">
        <f>IF(K911="CREDITO",Q911,Q911*-1)</f>
        <v>22363.67</v>
      </c>
      <c r="E911" t="s">
        <v>894</v>
      </c>
      <c r="F911" t="s">
        <v>1404</v>
      </c>
      <c r="G911" s="8">
        <v>44805</v>
      </c>
      <c r="H911" t="s">
        <v>84</v>
      </c>
      <c r="I911" t="s">
        <v>27</v>
      </c>
      <c r="J911" t="s">
        <v>28</v>
      </c>
      <c r="K911" t="s">
        <v>29</v>
      </c>
      <c r="L911" t="s">
        <v>895</v>
      </c>
      <c r="M911" t="s">
        <v>4402</v>
      </c>
      <c r="O911" t="s">
        <v>896</v>
      </c>
      <c r="P911" t="s">
        <v>33</v>
      </c>
      <c r="Q911" s="22">
        <v>22363.67</v>
      </c>
      <c r="R911" t="s">
        <v>35</v>
      </c>
      <c r="S911" t="s">
        <v>35</v>
      </c>
      <c r="T911" t="s">
        <v>35</v>
      </c>
      <c r="U911" t="s">
        <v>35</v>
      </c>
      <c r="V911" t="s">
        <v>645</v>
      </c>
      <c r="W911" t="s">
        <v>113</v>
      </c>
    </row>
    <row r="912" spans="1:23" hidden="1" x14ac:dyDescent="0.25">
      <c r="A912" s="7" t="str">
        <f>IFERROR(VLOOKUP(H912,'Contas Orç'!A:B,2,0),"N/A")</f>
        <v>BENEFICIOS</v>
      </c>
      <c r="B912" s="7" t="str">
        <f t="shared" si="28"/>
        <v>320103 - BENEFICIOS</v>
      </c>
      <c r="C912" s="25">
        <f t="shared" si="29"/>
        <v>44805</v>
      </c>
      <c r="D912" s="27">
        <f>IF(K912="CREDITO",Q912,Q912*-1)</f>
        <v>117</v>
      </c>
      <c r="E912" t="s">
        <v>894</v>
      </c>
      <c r="F912" t="s">
        <v>1405</v>
      </c>
      <c r="G912" s="8">
        <v>44805</v>
      </c>
      <c r="H912" t="s">
        <v>84</v>
      </c>
      <c r="I912" t="s">
        <v>81</v>
      </c>
      <c r="J912" t="s">
        <v>60</v>
      </c>
      <c r="K912" t="s">
        <v>29</v>
      </c>
      <c r="L912" t="s">
        <v>895</v>
      </c>
      <c r="M912" t="s">
        <v>4402</v>
      </c>
      <c r="O912" t="s">
        <v>896</v>
      </c>
      <c r="P912" t="s">
        <v>33</v>
      </c>
      <c r="Q912">
        <v>117</v>
      </c>
      <c r="R912" t="s">
        <v>35</v>
      </c>
      <c r="S912" t="s">
        <v>35</v>
      </c>
      <c r="T912" t="s">
        <v>35</v>
      </c>
      <c r="U912" t="s">
        <v>35</v>
      </c>
      <c r="V912" t="s">
        <v>645</v>
      </c>
      <c r="W912" t="s">
        <v>113</v>
      </c>
    </row>
    <row r="913" spans="1:23" hidden="1" x14ac:dyDescent="0.25">
      <c r="A913" s="7" t="str">
        <f>IFERROR(VLOOKUP(H913,'Contas Orç'!A:B,2,0),"N/A")</f>
        <v>BENEFICIOS</v>
      </c>
      <c r="B913" s="7" t="str">
        <f t="shared" si="28"/>
        <v>320103 - BENEFICIOS</v>
      </c>
      <c r="C913" s="25">
        <f t="shared" si="29"/>
        <v>44805</v>
      </c>
      <c r="D913" s="27">
        <f>IF(K913="CREDITO",Q913,Q913*-1)</f>
        <v>3561.42</v>
      </c>
      <c r="E913" t="s">
        <v>894</v>
      </c>
      <c r="F913" t="s">
        <v>1406</v>
      </c>
      <c r="G913" s="8">
        <v>44805</v>
      </c>
      <c r="H913" t="s">
        <v>84</v>
      </c>
      <c r="I913" t="s">
        <v>53</v>
      </c>
      <c r="J913" t="s">
        <v>60</v>
      </c>
      <c r="K913" t="s">
        <v>29</v>
      </c>
      <c r="L913" t="s">
        <v>895</v>
      </c>
      <c r="M913" t="s">
        <v>4402</v>
      </c>
      <c r="O913" t="s">
        <v>896</v>
      </c>
      <c r="P913" t="s">
        <v>33</v>
      </c>
      <c r="Q913" s="22">
        <v>3561.42</v>
      </c>
      <c r="R913" t="s">
        <v>35</v>
      </c>
      <c r="S913" t="s">
        <v>35</v>
      </c>
      <c r="T913" t="s">
        <v>35</v>
      </c>
      <c r="U913" t="s">
        <v>35</v>
      </c>
      <c r="V913" t="s">
        <v>645</v>
      </c>
      <c r="W913" t="s">
        <v>113</v>
      </c>
    </row>
    <row r="914" spans="1:23" hidden="1" x14ac:dyDescent="0.25">
      <c r="A914" s="7" t="str">
        <f>IFERROR(VLOOKUP(H914,'Contas Orç'!A:B,2,0),"N/A")</f>
        <v>BENEFICIOS</v>
      </c>
      <c r="B914" s="7" t="str">
        <f t="shared" si="28"/>
        <v>320103 - BENEFICIOS</v>
      </c>
      <c r="C914" s="25">
        <f t="shared" si="29"/>
        <v>44805</v>
      </c>
      <c r="D914" s="27">
        <f>IF(K914="CREDITO",Q914,Q914*-1)</f>
        <v>41083.25</v>
      </c>
      <c r="E914" t="s">
        <v>894</v>
      </c>
      <c r="F914" t="s">
        <v>1407</v>
      </c>
      <c r="G914" s="8">
        <v>44805</v>
      </c>
      <c r="H914" t="s">
        <v>84</v>
      </c>
      <c r="I914" t="s">
        <v>106</v>
      </c>
      <c r="J914" t="s">
        <v>60</v>
      </c>
      <c r="K914" t="s">
        <v>29</v>
      </c>
      <c r="L914" t="s">
        <v>895</v>
      </c>
      <c r="M914" t="s">
        <v>4402</v>
      </c>
      <c r="O914" t="s">
        <v>896</v>
      </c>
      <c r="P914" t="s">
        <v>33</v>
      </c>
      <c r="Q914" s="22">
        <v>41083.25</v>
      </c>
      <c r="R914" t="s">
        <v>35</v>
      </c>
      <c r="S914" t="s">
        <v>35</v>
      </c>
      <c r="T914" t="s">
        <v>35</v>
      </c>
      <c r="U914" t="s">
        <v>35</v>
      </c>
      <c r="V914" t="s">
        <v>645</v>
      </c>
      <c r="W914" t="s">
        <v>113</v>
      </c>
    </row>
    <row r="915" spans="1:23" hidden="1" x14ac:dyDescent="0.25">
      <c r="A915" s="7" t="str">
        <f>IFERROR(VLOOKUP(H915,'Contas Orç'!A:B,2,0),"N/A")</f>
        <v>BENEFICIOS</v>
      </c>
      <c r="B915" s="7" t="str">
        <f t="shared" si="28"/>
        <v>320103 - BENEFICIOS</v>
      </c>
      <c r="C915" s="25">
        <f t="shared" si="29"/>
        <v>44805</v>
      </c>
      <c r="D915" s="27">
        <f>IF(K915="CREDITO",Q915,Q915*-1)</f>
        <v>189593.93</v>
      </c>
      <c r="E915" t="s">
        <v>894</v>
      </c>
      <c r="F915" t="s">
        <v>1408</v>
      </c>
      <c r="G915" s="8">
        <v>44805</v>
      </c>
      <c r="H915" t="s">
        <v>84</v>
      </c>
      <c r="I915" t="s">
        <v>59</v>
      </c>
      <c r="J915" t="s">
        <v>60</v>
      </c>
      <c r="K915" t="s">
        <v>29</v>
      </c>
      <c r="L915" t="s">
        <v>895</v>
      </c>
      <c r="M915" t="s">
        <v>4402</v>
      </c>
      <c r="O915" t="s">
        <v>896</v>
      </c>
      <c r="P915" t="s">
        <v>33</v>
      </c>
      <c r="Q915" s="22">
        <v>189593.93</v>
      </c>
      <c r="R915" t="s">
        <v>35</v>
      </c>
      <c r="S915" t="s">
        <v>35</v>
      </c>
      <c r="T915" t="s">
        <v>35</v>
      </c>
      <c r="U915" t="s">
        <v>35</v>
      </c>
      <c r="V915" t="s">
        <v>645</v>
      </c>
      <c r="W915" t="s">
        <v>113</v>
      </c>
    </row>
    <row r="916" spans="1:23" hidden="1" x14ac:dyDescent="0.25">
      <c r="A916" s="7" t="str">
        <f>IFERROR(VLOOKUP(H916,'Contas Orç'!A:B,2,0),"N/A")</f>
        <v>BENEFICIOS</v>
      </c>
      <c r="B916" s="7" t="str">
        <f t="shared" si="28"/>
        <v>320103 - BENEFICIOS</v>
      </c>
      <c r="C916" s="25">
        <f t="shared" si="29"/>
        <v>44805</v>
      </c>
      <c r="D916" s="27">
        <f>IF(K916="CREDITO",Q916,Q916*-1)</f>
        <v>71308.570000000007</v>
      </c>
      <c r="E916" t="s">
        <v>894</v>
      </c>
      <c r="F916" t="s">
        <v>1409</v>
      </c>
      <c r="G916" s="8">
        <v>44805</v>
      </c>
      <c r="H916" t="s">
        <v>84</v>
      </c>
      <c r="I916" t="s">
        <v>59</v>
      </c>
      <c r="J916" t="s">
        <v>107</v>
      </c>
      <c r="K916" t="s">
        <v>29</v>
      </c>
      <c r="L916" t="s">
        <v>895</v>
      </c>
      <c r="M916" t="s">
        <v>4402</v>
      </c>
      <c r="O916" t="s">
        <v>896</v>
      </c>
      <c r="P916" t="s">
        <v>33</v>
      </c>
      <c r="Q916" s="22">
        <v>71308.570000000007</v>
      </c>
      <c r="R916" t="s">
        <v>35</v>
      </c>
      <c r="S916" t="s">
        <v>35</v>
      </c>
      <c r="T916" t="s">
        <v>35</v>
      </c>
      <c r="U916" t="s">
        <v>35</v>
      </c>
      <c r="V916" t="s">
        <v>645</v>
      </c>
      <c r="W916" t="s">
        <v>113</v>
      </c>
    </row>
    <row r="917" spans="1:23" hidden="1" x14ac:dyDescent="0.25">
      <c r="A917" s="7" t="str">
        <f>IFERROR(VLOOKUP(H917,'Contas Orç'!A:B,2,0),"N/A")</f>
        <v>BENEFICIOS</v>
      </c>
      <c r="B917" s="7" t="str">
        <f t="shared" si="28"/>
        <v>320103 - BENEFICIOS</v>
      </c>
      <c r="C917" s="25">
        <f t="shared" si="29"/>
        <v>44805</v>
      </c>
      <c r="D917" s="27">
        <f>IF(K917="CREDITO",Q917,Q917*-1)</f>
        <v>975.55</v>
      </c>
      <c r="E917" t="s">
        <v>894</v>
      </c>
      <c r="F917" t="s">
        <v>1410</v>
      </c>
      <c r="G917" s="8">
        <v>44805</v>
      </c>
      <c r="H917" t="s">
        <v>84</v>
      </c>
      <c r="I917" t="s">
        <v>53</v>
      </c>
      <c r="J917" t="s">
        <v>702</v>
      </c>
      <c r="K917" t="s">
        <v>29</v>
      </c>
      <c r="L917" t="s">
        <v>895</v>
      </c>
      <c r="M917" t="s">
        <v>4402</v>
      </c>
      <c r="O917" t="s">
        <v>896</v>
      </c>
      <c r="P917" t="s">
        <v>33</v>
      </c>
      <c r="Q917">
        <v>975.55</v>
      </c>
      <c r="R917" t="s">
        <v>35</v>
      </c>
      <c r="S917" t="s">
        <v>35</v>
      </c>
      <c r="T917" t="s">
        <v>35</v>
      </c>
      <c r="U917" t="s">
        <v>35</v>
      </c>
      <c r="V917" t="s">
        <v>645</v>
      </c>
      <c r="W917" t="s">
        <v>113</v>
      </c>
    </row>
    <row r="918" spans="1:23" hidden="1" x14ac:dyDescent="0.25">
      <c r="A918" s="7" t="str">
        <f>IFERROR(VLOOKUP(H918,'Contas Orç'!A:B,2,0),"N/A")</f>
        <v>BENEFICIOS</v>
      </c>
      <c r="B918" s="7" t="str">
        <f t="shared" si="28"/>
        <v>320103 - BENEFICIOS</v>
      </c>
      <c r="C918" s="25">
        <f t="shared" si="29"/>
        <v>44805</v>
      </c>
      <c r="D918" s="27">
        <f>IF(K918="CREDITO",Q918,Q918*-1)</f>
        <v>17351.650000000001</v>
      </c>
      <c r="E918" t="s">
        <v>894</v>
      </c>
      <c r="F918" t="s">
        <v>1411</v>
      </c>
      <c r="G918" s="8">
        <v>44805</v>
      </c>
      <c r="H918" t="s">
        <v>84</v>
      </c>
      <c r="I918" t="s">
        <v>59</v>
      </c>
      <c r="J918" t="s">
        <v>702</v>
      </c>
      <c r="K918" t="s">
        <v>29</v>
      </c>
      <c r="L918" t="s">
        <v>895</v>
      </c>
      <c r="M918" t="s">
        <v>4402</v>
      </c>
      <c r="O918" t="s">
        <v>896</v>
      </c>
      <c r="P918" t="s">
        <v>33</v>
      </c>
      <c r="Q918" s="22">
        <v>17351.650000000001</v>
      </c>
      <c r="R918" t="s">
        <v>35</v>
      </c>
      <c r="S918" t="s">
        <v>35</v>
      </c>
      <c r="T918" t="s">
        <v>35</v>
      </c>
      <c r="U918" t="s">
        <v>35</v>
      </c>
      <c r="V918" t="s">
        <v>645</v>
      </c>
      <c r="W918" t="s">
        <v>113</v>
      </c>
    </row>
    <row r="919" spans="1:23" hidden="1" x14ac:dyDescent="0.25">
      <c r="A919" s="7" t="str">
        <f>IFERROR(VLOOKUP(H919,'Contas Orç'!A:B,2,0),"N/A")</f>
        <v>BENEFICIOS</v>
      </c>
      <c r="B919" s="7" t="str">
        <f t="shared" si="28"/>
        <v>320103 - BENEFICIOS</v>
      </c>
      <c r="C919" s="25">
        <f t="shared" si="29"/>
        <v>44805</v>
      </c>
      <c r="D919" s="27">
        <f>IF(K919="CREDITO",Q919,Q919*-1)</f>
        <v>4847.34</v>
      </c>
      <c r="E919" t="s">
        <v>894</v>
      </c>
      <c r="F919" t="s">
        <v>1412</v>
      </c>
      <c r="G919" s="8">
        <v>44805</v>
      </c>
      <c r="H919" t="s">
        <v>84</v>
      </c>
      <c r="I919" t="s">
        <v>125</v>
      </c>
      <c r="J919" t="s">
        <v>95</v>
      </c>
      <c r="K919" t="s">
        <v>29</v>
      </c>
      <c r="L919" t="s">
        <v>895</v>
      </c>
      <c r="M919" t="s">
        <v>4402</v>
      </c>
      <c r="O919" t="s">
        <v>896</v>
      </c>
      <c r="P919" t="s">
        <v>33</v>
      </c>
      <c r="Q919" s="22">
        <v>4847.34</v>
      </c>
      <c r="R919" t="s">
        <v>35</v>
      </c>
      <c r="S919" t="s">
        <v>35</v>
      </c>
      <c r="T919" t="s">
        <v>35</v>
      </c>
      <c r="U919" t="s">
        <v>35</v>
      </c>
      <c r="V919" t="s">
        <v>645</v>
      </c>
      <c r="W919" t="s">
        <v>113</v>
      </c>
    </row>
    <row r="920" spans="1:23" hidden="1" x14ac:dyDescent="0.25">
      <c r="A920" s="7" t="str">
        <f>IFERROR(VLOOKUP(H920,'Contas Orç'!A:B,2,0),"N/A")</f>
        <v>BENEFICIOS</v>
      </c>
      <c r="B920" s="7" t="str">
        <f t="shared" si="28"/>
        <v>320103 - BENEFICIOS</v>
      </c>
      <c r="C920" s="25">
        <f t="shared" si="29"/>
        <v>44805</v>
      </c>
      <c r="D920" s="27">
        <f>IF(K920="CREDITO",Q920,Q920*-1)</f>
        <v>18381.96</v>
      </c>
      <c r="E920" t="s">
        <v>894</v>
      </c>
      <c r="F920" t="s">
        <v>1413</v>
      </c>
      <c r="G920" s="8">
        <v>44805</v>
      </c>
      <c r="H920" t="s">
        <v>84</v>
      </c>
      <c r="I920" t="s">
        <v>53</v>
      </c>
      <c r="J920" t="s">
        <v>54</v>
      </c>
      <c r="K920" t="s">
        <v>29</v>
      </c>
      <c r="L920" t="s">
        <v>895</v>
      </c>
      <c r="M920" t="s">
        <v>4402</v>
      </c>
      <c r="O920" t="s">
        <v>896</v>
      </c>
      <c r="P920" t="s">
        <v>33</v>
      </c>
      <c r="Q920" s="22">
        <v>18381.96</v>
      </c>
      <c r="R920" t="s">
        <v>35</v>
      </c>
      <c r="S920" t="s">
        <v>35</v>
      </c>
      <c r="T920" t="s">
        <v>35</v>
      </c>
      <c r="U920" t="s">
        <v>35</v>
      </c>
      <c r="V920" t="s">
        <v>645</v>
      </c>
      <c r="W920" t="s">
        <v>113</v>
      </c>
    </row>
    <row r="921" spans="1:23" hidden="1" x14ac:dyDescent="0.25">
      <c r="A921" s="7" t="str">
        <f>IFERROR(VLOOKUP(H921,'Contas Orç'!A:B,2,0),"N/A")</f>
        <v>BENEFICIOS</v>
      </c>
      <c r="B921" s="7" t="str">
        <f t="shared" si="28"/>
        <v>320103 - BENEFICIOS</v>
      </c>
      <c r="C921" s="25">
        <f t="shared" si="29"/>
        <v>44835</v>
      </c>
      <c r="D921" s="27">
        <f>IF(K921="CREDITO",Q921,Q921*-1)</f>
        <v>74.5</v>
      </c>
      <c r="E921" t="s">
        <v>894</v>
      </c>
      <c r="F921" t="s">
        <v>1414</v>
      </c>
      <c r="G921" s="8">
        <v>44835</v>
      </c>
      <c r="H921" t="s">
        <v>84</v>
      </c>
      <c r="I921" t="s">
        <v>53</v>
      </c>
      <c r="J921" t="s">
        <v>28</v>
      </c>
      <c r="K921" t="s">
        <v>29</v>
      </c>
      <c r="L921" t="s">
        <v>895</v>
      </c>
      <c r="M921" t="s">
        <v>4402</v>
      </c>
      <c r="O921" t="s">
        <v>896</v>
      </c>
      <c r="P921" t="s">
        <v>33</v>
      </c>
      <c r="Q921">
        <v>74.5</v>
      </c>
      <c r="R921" t="s">
        <v>35</v>
      </c>
      <c r="S921" t="s">
        <v>35</v>
      </c>
      <c r="T921" t="s">
        <v>35</v>
      </c>
      <c r="U921" t="s">
        <v>35</v>
      </c>
      <c r="V921" t="s">
        <v>645</v>
      </c>
      <c r="W921" t="s">
        <v>113</v>
      </c>
    </row>
    <row r="922" spans="1:23" hidden="1" x14ac:dyDescent="0.25">
      <c r="A922" s="7" t="str">
        <f>IFERROR(VLOOKUP(H922,'Contas Orç'!A:B,2,0),"N/A")</f>
        <v>BENEFICIOS</v>
      </c>
      <c r="B922" s="7" t="str">
        <f t="shared" si="28"/>
        <v>320103 - BENEFICIOS</v>
      </c>
      <c r="C922" s="25">
        <f t="shared" si="29"/>
        <v>44835</v>
      </c>
      <c r="D922" s="27">
        <f>IF(K922="CREDITO",Q922,Q922*-1)</f>
        <v>14273.3</v>
      </c>
      <c r="E922" t="s">
        <v>894</v>
      </c>
      <c r="F922" t="s">
        <v>1415</v>
      </c>
      <c r="G922" s="8">
        <v>44835</v>
      </c>
      <c r="H922" t="s">
        <v>84</v>
      </c>
      <c r="I922" t="s">
        <v>88</v>
      </c>
      <c r="J922" t="s">
        <v>28</v>
      </c>
      <c r="K922" t="s">
        <v>29</v>
      </c>
      <c r="L922" t="s">
        <v>895</v>
      </c>
      <c r="M922" t="s">
        <v>4402</v>
      </c>
      <c r="O922" t="s">
        <v>896</v>
      </c>
      <c r="P922" t="s">
        <v>33</v>
      </c>
      <c r="Q922" s="22">
        <v>14273.3</v>
      </c>
      <c r="R922" t="s">
        <v>35</v>
      </c>
      <c r="S922" t="s">
        <v>35</v>
      </c>
      <c r="T922" t="s">
        <v>35</v>
      </c>
      <c r="U922" t="s">
        <v>35</v>
      </c>
      <c r="V922" t="s">
        <v>645</v>
      </c>
      <c r="W922" t="s">
        <v>113</v>
      </c>
    </row>
    <row r="923" spans="1:23" hidden="1" x14ac:dyDescent="0.25">
      <c r="A923" s="7" t="str">
        <f>IFERROR(VLOOKUP(H923,'Contas Orç'!A:B,2,0),"N/A")</f>
        <v>BENEFICIOS</v>
      </c>
      <c r="B923" s="7" t="str">
        <f t="shared" si="28"/>
        <v>320103 - BENEFICIOS</v>
      </c>
      <c r="C923" s="25">
        <f t="shared" si="29"/>
        <v>44835</v>
      </c>
      <c r="D923" s="27">
        <f>IF(K923="CREDITO",Q923,Q923*-1)</f>
        <v>22587.31</v>
      </c>
      <c r="E923" t="s">
        <v>894</v>
      </c>
      <c r="F923" t="s">
        <v>1416</v>
      </c>
      <c r="G923" s="8">
        <v>44835</v>
      </c>
      <c r="H923" t="s">
        <v>84</v>
      </c>
      <c r="I923" t="s">
        <v>27</v>
      </c>
      <c r="J923" t="s">
        <v>28</v>
      </c>
      <c r="K923" t="s">
        <v>29</v>
      </c>
      <c r="L923" t="s">
        <v>895</v>
      </c>
      <c r="M923" t="s">
        <v>4402</v>
      </c>
      <c r="O923" t="s">
        <v>896</v>
      </c>
      <c r="P923" t="s">
        <v>33</v>
      </c>
      <c r="Q923" s="22">
        <v>22587.31</v>
      </c>
      <c r="R923" t="s">
        <v>35</v>
      </c>
      <c r="S923" t="s">
        <v>35</v>
      </c>
      <c r="T923" t="s">
        <v>35</v>
      </c>
      <c r="U923" t="s">
        <v>35</v>
      </c>
      <c r="V923" t="s">
        <v>645</v>
      </c>
      <c r="W923" t="s">
        <v>113</v>
      </c>
    </row>
    <row r="924" spans="1:23" hidden="1" x14ac:dyDescent="0.25">
      <c r="A924" s="7" t="str">
        <f>IFERROR(VLOOKUP(H924,'Contas Orç'!A:B,2,0),"N/A")</f>
        <v>BENEFICIOS</v>
      </c>
      <c r="B924" s="7" t="str">
        <f t="shared" si="28"/>
        <v>320103 - BENEFICIOS</v>
      </c>
      <c r="C924" s="25">
        <f t="shared" si="29"/>
        <v>44835</v>
      </c>
      <c r="D924" s="27">
        <f>IF(K924="CREDITO",Q924,Q924*-1)</f>
        <v>118.17</v>
      </c>
      <c r="E924" t="s">
        <v>894</v>
      </c>
      <c r="F924" t="s">
        <v>1417</v>
      </c>
      <c r="G924" s="8">
        <v>44835</v>
      </c>
      <c r="H924" t="s">
        <v>84</v>
      </c>
      <c r="I924" t="s">
        <v>81</v>
      </c>
      <c r="J924" t="s">
        <v>60</v>
      </c>
      <c r="K924" t="s">
        <v>29</v>
      </c>
      <c r="L924" t="s">
        <v>895</v>
      </c>
      <c r="M924" t="s">
        <v>4402</v>
      </c>
      <c r="O924" t="s">
        <v>896</v>
      </c>
      <c r="P924" t="s">
        <v>33</v>
      </c>
      <c r="Q924">
        <v>118.17</v>
      </c>
      <c r="R924" t="s">
        <v>35</v>
      </c>
      <c r="S924" t="s">
        <v>35</v>
      </c>
      <c r="T924" t="s">
        <v>35</v>
      </c>
      <c r="U924" t="s">
        <v>35</v>
      </c>
      <c r="V924" t="s">
        <v>645</v>
      </c>
      <c r="W924" t="s">
        <v>113</v>
      </c>
    </row>
    <row r="925" spans="1:23" hidden="1" x14ac:dyDescent="0.25">
      <c r="A925" s="7" t="str">
        <f>IFERROR(VLOOKUP(H925,'Contas Orç'!A:B,2,0),"N/A")</f>
        <v>BENEFICIOS</v>
      </c>
      <c r="B925" s="7" t="str">
        <f t="shared" si="28"/>
        <v>320103 - BENEFICIOS</v>
      </c>
      <c r="C925" s="25">
        <f t="shared" si="29"/>
        <v>44835</v>
      </c>
      <c r="D925" s="27">
        <f>IF(K925="CREDITO",Q925,Q925*-1)</f>
        <v>3597.03</v>
      </c>
      <c r="E925" t="s">
        <v>894</v>
      </c>
      <c r="F925" t="s">
        <v>1418</v>
      </c>
      <c r="G925" s="8">
        <v>44835</v>
      </c>
      <c r="H925" t="s">
        <v>84</v>
      </c>
      <c r="I925" t="s">
        <v>53</v>
      </c>
      <c r="J925" t="s">
        <v>60</v>
      </c>
      <c r="K925" t="s">
        <v>29</v>
      </c>
      <c r="L925" t="s">
        <v>895</v>
      </c>
      <c r="M925" t="s">
        <v>4402</v>
      </c>
      <c r="O925" t="s">
        <v>896</v>
      </c>
      <c r="P925" t="s">
        <v>33</v>
      </c>
      <c r="Q925" s="22">
        <v>3597.03</v>
      </c>
      <c r="R925" t="s">
        <v>35</v>
      </c>
      <c r="S925" t="s">
        <v>35</v>
      </c>
      <c r="T925" t="s">
        <v>35</v>
      </c>
      <c r="U925" t="s">
        <v>35</v>
      </c>
      <c r="V925" t="s">
        <v>645</v>
      </c>
      <c r="W925" t="s">
        <v>113</v>
      </c>
    </row>
    <row r="926" spans="1:23" hidden="1" x14ac:dyDescent="0.25">
      <c r="A926" s="7" t="str">
        <f>IFERROR(VLOOKUP(H926,'Contas Orç'!A:B,2,0),"N/A")</f>
        <v>BENEFICIOS</v>
      </c>
      <c r="B926" s="7" t="str">
        <f t="shared" si="28"/>
        <v>320103 - BENEFICIOS</v>
      </c>
      <c r="C926" s="25">
        <f t="shared" si="29"/>
        <v>44835</v>
      </c>
      <c r="D926" s="27">
        <f>IF(K926="CREDITO",Q926,Q926*-1)</f>
        <v>41494.080000000002</v>
      </c>
      <c r="E926" t="s">
        <v>894</v>
      </c>
      <c r="F926" t="s">
        <v>1419</v>
      </c>
      <c r="G926" s="8">
        <v>44835</v>
      </c>
      <c r="H926" t="s">
        <v>84</v>
      </c>
      <c r="I926" t="s">
        <v>106</v>
      </c>
      <c r="J926" t="s">
        <v>60</v>
      </c>
      <c r="K926" t="s">
        <v>29</v>
      </c>
      <c r="L926" t="s">
        <v>895</v>
      </c>
      <c r="M926" t="s">
        <v>4402</v>
      </c>
      <c r="O926" t="s">
        <v>896</v>
      </c>
      <c r="P926" t="s">
        <v>33</v>
      </c>
      <c r="Q926" s="22">
        <v>41494.080000000002</v>
      </c>
      <c r="R926" t="s">
        <v>35</v>
      </c>
      <c r="S926" t="s">
        <v>35</v>
      </c>
      <c r="T926" t="s">
        <v>35</v>
      </c>
      <c r="U926" t="s">
        <v>35</v>
      </c>
      <c r="V926" t="s">
        <v>645</v>
      </c>
      <c r="W926" t="s">
        <v>113</v>
      </c>
    </row>
    <row r="927" spans="1:23" hidden="1" x14ac:dyDescent="0.25">
      <c r="A927" s="7" t="str">
        <f>IFERROR(VLOOKUP(H927,'Contas Orç'!A:B,2,0),"N/A")</f>
        <v>BENEFICIOS</v>
      </c>
      <c r="B927" s="7" t="str">
        <f t="shared" si="28"/>
        <v>320103 - BENEFICIOS</v>
      </c>
      <c r="C927" s="25">
        <f t="shared" si="29"/>
        <v>44835</v>
      </c>
      <c r="D927" s="27">
        <f>IF(K927="CREDITO",Q927,Q927*-1)</f>
        <v>191489.87</v>
      </c>
      <c r="E927" t="s">
        <v>894</v>
      </c>
      <c r="F927" t="s">
        <v>1420</v>
      </c>
      <c r="G927" s="8">
        <v>44835</v>
      </c>
      <c r="H927" t="s">
        <v>84</v>
      </c>
      <c r="I927" t="s">
        <v>59</v>
      </c>
      <c r="J927" t="s">
        <v>60</v>
      </c>
      <c r="K927" t="s">
        <v>29</v>
      </c>
      <c r="L927" t="s">
        <v>895</v>
      </c>
      <c r="M927" t="s">
        <v>4402</v>
      </c>
      <c r="O927" t="s">
        <v>896</v>
      </c>
      <c r="P927" t="s">
        <v>33</v>
      </c>
      <c r="Q927" s="22">
        <v>191489.87</v>
      </c>
      <c r="R927" t="s">
        <v>35</v>
      </c>
      <c r="S927" t="s">
        <v>35</v>
      </c>
      <c r="T927" t="s">
        <v>35</v>
      </c>
      <c r="U927" t="s">
        <v>35</v>
      </c>
      <c r="V927" t="s">
        <v>645</v>
      </c>
      <c r="W927" t="s">
        <v>113</v>
      </c>
    </row>
    <row r="928" spans="1:23" hidden="1" x14ac:dyDescent="0.25">
      <c r="A928" s="7" t="str">
        <f>IFERROR(VLOOKUP(H928,'Contas Orç'!A:B,2,0),"N/A")</f>
        <v>BENEFICIOS</v>
      </c>
      <c r="B928" s="7" t="str">
        <f t="shared" si="28"/>
        <v>320103 - BENEFICIOS</v>
      </c>
      <c r="C928" s="25">
        <f t="shared" si="29"/>
        <v>44835</v>
      </c>
      <c r="D928" s="27">
        <f>IF(K928="CREDITO",Q928,Q928*-1)</f>
        <v>72021.66</v>
      </c>
      <c r="E928" t="s">
        <v>894</v>
      </c>
      <c r="F928" t="s">
        <v>1421</v>
      </c>
      <c r="G928" s="8">
        <v>44835</v>
      </c>
      <c r="H928" t="s">
        <v>84</v>
      </c>
      <c r="I928" t="s">
        <v>59</v>
      </c>
      <c r="J928" t="s">
        <v>107</v>
      </c>
      <c r="K928" t="s">
        <v>29</v>
      </c>
      <c r="L928" t="s">
        <v>895</v>
      </c>
      <c r="M928" t="s">
        <v>4402</v>
      </c>
      <c r="O928" t="s">
        <v>896</v>
      </c>
      <c r="P928" t="s">
        <v>33</v>
      </c>
      <c r="Q928" s="22">
        <v>72021.66</v>
      </c>
      <c r="R928" t="s">
        <v>35</v>
      </c>
      <c r="S928" t="s">
        <v>35</v>
      </c>
      <c r="T928" t="s">
        <v>35</v>
      </c>
      <c r="U928" t="s">
        <v>35</v>
      </c>
      <c r="V928" t="s">
        <v>645</v>
      </c>
      <c r="W928" t="s">
        <v>113</v>
      </c>
    </row>
    <row r="929" spans="1:23" hidden="1" x14ac:dyDescent="0.25">
      <c r="A929" s="7" t="str">
        <f>IFERROR(VLOOKUP(H929,'Contas Orç'!A:B,2,0),"N/A")</f>
        <v>BENEFICIOS</v>
      </c>
      <c r="B929" s="7" t="str">
        <f t="shared" si="28"/>
        <v>320103 - BENEFICIOS</v>
      </c>
      <c r="C929" s="25">
        <f t="shared" si="29"/>
        <v>44835</v>
      </c>
      <c r="D929" s="27">
        <f>IF(K929="CREDITO",Q929,Q929*-1)</f>
        <v>985.31</v>
      </c>
      <c r="E929" t="s">
        <v>894</v>
      </c>
      <c r="F929" t="s">
        <v>1422</v>
      </c>
      <c r="G929" s="8">
        <v>44835</v>
      </c>
      <c r="H929" t="s">
        <v>84</v>
      </c>
      <c r="I929" t="s">
        <v>53</v>
      </c>
      <c r="J929" t="s">
        <v>702</v>
      </c>
      <c r="K929" t="s">
        <v>29</v>
      </c>
      <c r="L929" t="s">
        <v>895</v>
      </c>
      <c r="M929" t="s">
        <v>4402</v>
      </c>
      <c r="O929" t="s">
        <v>896</v>
      </c>
      <c r="P929" t="s">
        <v>33</v>
      </c>
      <c r="Q929">
        <v>985.31</v>
      </c>
      <c r="R929" t="s">
        <v>35</v>
      </c>
      <c r="S929" t="s">
        <v>35</v>
      </c>
      <c r="T929" t="s">
        <v>35</v>
      </c>
      <c r="U929" t="s">
        <v>35</v>
      </c>
      <c r="V929" t="s">
        <v>645</v>
      </c>
      <c r="W929" t="s">
        <v>113</v>
      </c>
    </row>
    <row r="930" spans="1:23" hidden="1" x14ac:dyDescent="0.25">
      <c r="A930" s="7" t="str">
        <f>IFERROR(VLOOKUP(H930,'Contas Orç'!A:B,2,0),"N/A")</f>
        <v>BENEFICIOS</v>
      </c>
      <c r="B930" s="7" t="str">
        <f t="shared" si="28"/>
        <v>320103 - BENEFICIOS</v>
      </c>
      <c r="C930" s="25">
        <f t="shared" si="29"/>
        <v>44835</v>
      </c>
      <c r="D930" s="27">
        <f>IF(K930="CREDITO",Q930,Q930*-1)</f>
        <v>17525.169999999998</v>
      </c>
      <c r="E930" t="s">
        <v>894</v>
      </c>
      <c r="F930" t="s">
        <v>1423</v>
      </c>
      <c r="G930" s="8">
        <v>44835</v>
      </c>
      <c r="H930" t="s">
        <v>84</v>
      </c>
      <c r="I930" t="s">
        <v>59</v>
      </c>
      <c r="J930" t="s">
        <v>702</v>
      </c>
      <c r="K930" t="s">
        <v>29</v>
      </c>
      <c r="L930" t="s">
        <v>895</v>
      </c>
      <c r="M930" t="s">
        <v>4402</v>
      </c>
      <c r="O930" t="s">
        <v>896</v>
      </c>
      <c r="P930" t="s">
        <v>33</v>
      </c>
      <c r="Q930" s="22">
        <v>17525.169999999998</v>
      </c>
      <c r="R930" t="s">
        <v>35</v>
      </c>
      <c r="S930" t="s">
        <v>35</v>
      </c>
      <c r="T930" t="s">
        <v>35</v>
      </c>
      <c r="U930" t="s">
        <v>35</v>
      </c>
      <c r="V930" t="s">
        <v>645</v>
      </c>
      <c r="W930" t="s">
        <v>113</v>
      </c>
    </row>
    <row r="931" spans="1:23" hidden="1" x14ac:dyDescent="0.25">
      <c r="A931" s="7" t="str">
        <f>IFERROR(VLOOKUP(H931,'Contas Orç'!A:B,2,0),"N/A")</f>
        <v>BENEFICIOS</v>
      </c>
      <c r="B931" s="7" t="str">
        <f t="shared" si="28"/>
        <v>320103 - BENEFICIOS</v>
      </c>
      <c r="C931" s="25">
        <f t="shared" si="29"/>
        <v>44835</v>
      </c>
      <c r="D931" s="27">
        <f>IF(K931="CREDITO",Q931,Q931*-1)</f>
        <v>4895.8100000000004</v>
      </c>
      <c r="E931" t="s">
        <v>894</v>
      </c>
      <c r="F931" t="s">
        <v>1424</v>
      </c>
      <c r="G931" s="8">
        <v>44835</v>
      </c>
      <c r="H931" t="s">
        <v>84</v>
      </c>
      <c r="I931" t="s">
        <v>125</v>
      </c>
      <c r="J931" t="s">
        <v>95</v>
      </c>
      <c r="K931" t="s">
        <v>29</v>
      </c>
      <c r="L931" t="s">
        <v>895</v>
      </c>
      <c r="M931" t="s">
        <v>4402</v>
      </c>
      <c r="O931" t="s">
        <v>896</v>
      </c>
      <c r="P931" t="s">
        <v>33</v>
      </c>
      <c r="Q931" s="22">
        <v>4895.8100000000004</v>
      </c>
      <c r="R931" t="s">
        <v>35</v>
      </c>
      <c r="S931" t="s">
        <v>35</v>
      </c>
      <c r="T931" t="s">
        <v>35</v>
      </c>
      <c r="U931" t="s">
        <v>35</v>
      </c>
      <c r="V931" t="s">
        <v>645</v>
      </c>
      <c r="W931" t="s">
        <v>113</v>
      </c>
    </row>
    <row r="932" spans="1:23" hidden="1" x14ac:dyDescent="0.25">
      <c r="A932" s="7" t="str">
        <f>IFERROR(VLOOKUP(H932,'Contas Orç'!A:B,2,0),"N/A")</f>
        <v>BENEFICIOS</v>
      </c>
      <c r="B932" s="7" t="str">
        <f t="shared" si="28"/>
        <v>320103 - BENEFICIOS</v>
      </c>
      <c r="C932" s="25">
        <f t="shared" si="29"/>
        <v>44835</v>
      </c>
      <c r="D932" s="27">
        <f>IF(K932="CREDITO",Q932,Q932*-1)</f>
        <v>18565.78</v>
      </c>
      <c r="E932" t="s">
        <v>894</v>
      </c>
      <c r="F932" t="s">
        <v>1425</v>
      </c>
      <c r="G932" s="8">
        <v>44835</v>
      </c>
      <c r="H932" t="s">
        <v>84</v>
      </c>
      <c r="I932" t="s">
        <v>53</v>
      </c>
      <c r="J932" t="s">
        <v>54</v>
      </c>
      <c r="K932" t="s">
        <v>29</v>
      </c>
      <c r="L932" t="s">
        <v>895</v>
      </c>
      <c r="M932" t="s">
        <v>4402</v>
      </c>
      <c r="O932" t="s">
        <v>896</v>
      </c>
      <c r="P932" t="s">
        <v>33</v>
      </c>
      <c r="Q932" s="22">
        <v>18565.78</v>
      </c>
      <c r="R932" t="s">
        <v>35</v>
      </c>
      <c r="S932" t="s">
        <v>35</v>
      </c>
      <c r="T932" t="s">
        <v>35</v>
      </c>
      <c r="U932" t="s">
        <v>35</v>
      </c>
      <c r="V932" t="s">
        <v>645</v>
      </c>
      <c r="W932" t="s">
        <v>113</v>
      </c>
    </row>
    <row r="933" spans="1:23" hidden="1" x14ac:dyDescent="0.25">
      <c r="A933" s="7" t="str">
        <f>IFERROR(VLOOKUP(H933,'Contas Orç'!A:B,2,0),"N/A")</f>
        <v>BENEFICIOS</v>
      </c>
      <c r="B933" s="7" t="str">
        <f t="shared" si="28"/>
        <v>320103 - BENEFICIOS</v>
      </c>
      <c r="C933" s="25">
        <f t="shared" si="29"/>
        <v>44866</v>
      </c>
      <c r="D933" s="27">
        <f>IF(K933="CREDITO",Q933,Q933*-1)</f>
        <v>75.239999999999995</v>
      </c>
      <c r="E933" t="s">
        <v>894</v>
      </c>
      <c r="F933" t="s">
        <v>1426</v>
      </c>
      <c r="G933" s="8">
        <v>44866</v>
      </c>
      <c r="H933" t="s">
        <v>84</v>
      </c>
      <c r="I933" t="s">
        <v>53</v>
      </c>
      <c r="J933" t="s">
        <v>28</v>
      </c>
      <c r="K933" t="s">
        <v>29</v>
      </c>
      <c r="L933" t="s">
        <v>895</v>
      </c>
      <c r="M933" t="s">
        <v>4402</v>
      </c>
      <c r="O933" t="s">
        <v>896</v>
      </c>
      <c r="P933" t="s">
        <v>33</v>
      </c>
      <c r="Q933">
        <v>75.239999999999995</v>
      </c>
      <c r="R933" t="s">
        <v>35</v>
      </c>
      <c r="S933" t="s">
        <v>35</v>
      </c>
      <c r="T933" t="s">
        <v>35</v>
      </c>
      <c r="U933" t="s">
        <v>35</v>
      </c>
      <c r="V933" t="s">
        <v>645</v>
      </c>
      <c r="W933" t="s">
        <v>113</v>
      </c>
    </row>
    <row r="934" spans="1:23" hidden="1" x14ac:dyDescent="0.25">
      <c r="A934" s="7" t="str">
        <f>IFERROR(VLOOKUP(H934,'Contas Orç'!A:B,2,0),"N/A")</f>
        <v>BENEFICIOS</v>
      </c>
      <c r="B934" s="7" t="str">
        <f t="shared" si="28"/>
        <v>320103 - BENEFICIOS</v>
      </c>
      <c r="C934" s="25">
        <f t="shared" si="29"/>
        <v>44866</v>
      </c>
      <c r="D934" s="27">
        <f>IF(K934="CREDITO",Q934,Q934*-1)</f>
        <v>14416.03</v>
      </c>
      <c r="E934" t="s">
        <v>894</v>
      </c>
      <c r="F934" t="s">
        <v>1427</v>
      </c>
      <c r="G934" s="8">
        <v>44866</v>
      </c>
      <c r="H934" t="s">
        <v>84</v>
      </c>
      <c r="I934" t="s">
        <v>88</v>
      </c>
      <c r="J934" t="s">
        <v>28</v>
      </c>
      <c r="K934" t="s">
        <v>29</v>
      </c>
      <c r="L934" t="s">
        <v>895</v>
      </c>
      <c r="M934" t="s">
        <v>4402</v>
      </c>
      <c r="O934" t="s">
        <v>896</v>
      </c>
      <c r="P934" t="s">
        <v>33</v>
      </c>
      <c r="Q934" s="22">
        <v>14416.03</v>
      </c>
      <c r="R934" t="s">
        <v>35</v>
      </c>
      <c r="S934" t="s">
        <v>35</v>
      </c>
      <c r="T934" t="s">
        <v>35</v>
      </c>
      <c r="U934" t="s">
        <v>35</v>
      </c>
      <c r="V934" t="s">
        <v>645</v>
      </c>
      <c r="W934" t="s">
        <v>113</v>
      </c>
    </row>
    <row r="935" spans="1:23" hidden="1" x14ac:dyDescent="0.25">
      <c r="A935" s="7" t="str">
        <f>IFERROR(VLOOKUP(H935,'Contas Orç'!A:B,2,0),"N/A")</f>
        <v>BENEFICIOS</v>
      </c>
      <c r="B935" s="7" t="str">
        <f t="shared" si="28"/>
        <v>320103 - BENEFICIOS</v>
      </c>
      <c r="C935" s="25">
        <f t="shared" si="29"/>
        <v>44866</v>
      </c>
      <c r="D935" s="27">
        <f>IF(K935="CREDITO",Q935,Q935*-1)</f>
        <v>22813.18</v>
      </c>
      <c r="E935" t="s">
        <v>894</v>
      </c>
      <c r="F935" t="s">
        <v>1428</v>
      </c>
      <c r="G935" s="8">
        <v>44866</v>
      </c>
      <c r="H935" t="s">
        <v>84</v>
      </c>
      <c r="I935" t="s">
        <v>27</v>
      </c>
      <c r="J935" t="s">
        <v>28</v>
      </c>
      <c r="K935" t="s">
        <v>29</v>
      </c>
      <c r="L935" t="s">
        <v>895</v>
      </c>
      <c r="M935" t="s">
        <v>4402</v>
      </c>
      <c r="O935" t="s">
        <v>896</v>
      </c>
      <c r="P935" t="s">
        <v>33</v>
      </c>
      <c r="Q935" s="22">
        <v>22813.18</v>
      </c>
      <c r="R935" t="s">
        <v>35</v>
      </c>
      <c r="S935" t="s">
        <v>35</v>
      </c>
      <c r="T935" t="s">
        <v>35</v>
      </c>
      <c r="U935" t="s">
        <v>35</v>
      </c>
      <c r="V935" t="s">
        <v>645</v>
      </c>
      <c r="W935" t="s">
        <v>113</v>
      </c>
    </row>
    <row r="936" spans="1:23" hidden="1" x14ac:dyDescent="0.25">
      <c r="A936" s="7" t="str">
        <f>IFERROR(VLOOKUP(H936,'Contas Orç'!A:B,2,0),"N/A")</f>
        <v>BENEFICIOS</v>
      </c>
      <c r="B936" s="7" t="str">
        <f t="shared" si="28"/>
        <v>320103 - BENEFICIOS</v>
      </c>
      <c r="C936" s="25">
        <f t="shared" si="29"/>
        <v>44866</v>
      </c>
      <c r="D936" s="27">
        <f>IF(K936="CREDITO",Q936,Q936*-1)</f>
        <v>119.35</v>
      </c>
      <c r="E936" t="s">
        <v>894</v>
      </c>
      <c r="F936" t="s">
        <v>1429</v>
      </c>
      <c r="G936" s="8">
        <v>44866</v>
      </c>
      <c r="H936" t="s">
        <v>84</v>
      </c>
      <c r="I936" t="s">
        <v>81</v>
      </c>
      <c r="J936" t="s">
        <v>60</v>
      </c>
      <c r="K936" t="s">
        <v>29</v>
      </c>
      <c r="L936" t="s">
        <v>895</v>
      </c>
      <c r="M936" t="s">
        <v>4402</v>
      </c>
      <c r="O936" t="s">
        <v>896</v>
      </c>
      <c r="P936" t="s">
        <v>33</v>
      </c>
      <c r="Q936">
        <v>119.35</v>
      </c>
      <c r="R936" t="s">
        <v>35</v>
      </c>
      <c r="S936" t="s">
        <v>35</v>
      </c>
      <c r="T936" t="s">
        <v>35</v>
      </c>
      <c r="U936" t="s">
        <v>35</v>
      </c>
      <c r="V936" t="s">
        <v>645</v>
      </c>
      <c r="W936" t="s">
        <v>113</v>
      </c>
    </row>
    <row r="937" spans="1:23" hidden="1" x14ac:dyDescent="0.25">
      <c r="A937" s="7" t="str">
        <f>IFERROR(VLOOKUP(H937,'Contas Orç'!A:B,2,0),"N/A")</f>
        <v>BENEFICIOS</v>
      </c>
      <c r="B937" s="7" t="str">
        <f t="shared" si="28"/>
        <v>320103 - BENEFICIOS</v>
      </c>
      <c r="C937" s="25">
        <f t="shared" si="29"/>
        <v>44866</v>
      </c>
      <c r="D937" s="27">
        <f>IF(K937="CREDITO",Q937,Q937*-1)</f>
        <v>3633</v>
      </c>
      <c r="E937" t="s">
        <v>894</v>
      </c>
      <c r="F937" t="s">
        <v>1430</v>
      </c>
      <c r="G937" s="8">
        <v>44866</v>
      </c>
      <c r="H937" t="s">
        <v>84</v>
      </c>
      <c r="I937" t="s">
        <v>53</v>
      </c>
      <c r="J937" t="s">
        <v>60</v>
      </c>
      <c r="K937" t="s">
        <v>29</v>
      </c>
      <c r="L937" t="s">
        <v>895</v>
      </c>
      <c r="M937" t="s">
        <v>4402</v>
      </c>
      <c r="O937" t="s">
        <v>896</v>
      </c>
      <c r="P937" t="s">
        <v>33</v>
      </c>
      <c r="Q937" s="22">
        <v>3633</v>
      </c>
      <c r="R937" t="s">
        <v>35</v>
      </c>
      <c r="S937" t="s">
        <v>35</v>
      </c>
      <c r="T937" t="s">
        <v>35</v>
      </c>
      <c r="U937" t="s">
        <v>35</v>
      </c>
      <c r="V937" t="s">
        <v>645</v>
      </c>
      <c r="W937" t="s">
        <v>113</v>
      </c>
    </row>
    <row r="938" spans="1:23" hidden="1" x14ac:dyDescent="0.25">
      <c r="A938" s="7" t="str">
        <f>IFERROR(VLOOKUP(H938,'Contas Orç'!A:B,2,0),"N/A")</f>
        <v>BENEFICIOS</v>
      </c>
      <c r="B938" s="7" t="str">
        <f t="shared" si="28"/>
        <v>320103 - BENEFICIOS</v>
      </c>
      <c r="C938" s="25">
        <f t="shared" si="29"/>
        <v>44866</v>
      </c>
      <c r="D938" s="27">
        <f>IF(K938="CREDITO",Q938,Q938*-1)</f>
        <v>41909.019999999997</v>
      </c>
      <c r="E938" t="s">
        <v>894</v>
      </c>
      <c r="F938" t="s">
        <v>1431</v>
      </c>
      <c r="G938" s="8">
        <v>44866</v>
      </c>
      <c r="H938" t="s">
        <v>84</v>
      </c>
      <c r="I938" t="s">
        <v>106</v>
      </c>
      <c r="J938" t="s">
        <v>60</v>
      </c>
      <c r="K938" t="s">
        <v>29</v>
      </c>
      <c r="L938" t="s">
        <v>895</v>
      </c>
      <c r="M938" t="s">
        <v>4402</v>
      </c>
      <c r="O938" t="s">
        <v>896</v>
      </c>
      <c r="P938" t="s">
        <v>33</v>
      </c>
      <c r="Q938" s="22">
        <v>41909.019999999997</v>
      </c>
      <c r="R938" t="s">
        <v>35</v>
      </c>
      <c r="S938" t="s">
        <v>35</v>
      </c>
      <c r="T938" t="s">
        <v>35</v>
      </c>
      <c r="U938" t="s">
        <v>35</v>
      </c>
      <c r="V938" t="s">
        <v>645</v>
      </c>
      <c r="W938" t="s">
        <v>113</v>
      </c>
    </row>
    <row r="939" spans="1:23" hidden="1" x14ac:dyDescent="0.25">
      <c r="A939" s="7" t="str">
        <f>IFERROR(VLOOKUP(H939,'Contas Orç'!A:B,2,0),"N/A")</f>
        <v>BENEFICIOS</v>
      </c>
      <c r="B939" s="7" t="str">
        <f t="shared" si="28"/>
        <v>320103 - BENEFICIOS</v>
      </c>
      <c r="C939" s="25">
        <f t="shared" si="29"/>
        <v>44866</v>
      </c>
      <c r="D939" s="27">
        <f>IF(K939="CREDITO",Q939,Q939*-1)</f>
        <v>193404.77</v>
      </c>
      <c r="E939" t="s">
        <v>894</v>
      </c>
      <c r="F939" t="s">
        <v>1432</v>
      </c>
      <c r="G939" s="8">
        <v>44866</v>
      </c>
      <c r="H939" t="s">
        <v>84</v>
      </c>
      <c r="I939" t="s">
        <v>59</v>
      </c>
      <c r="J939" t="s">
        <v>60</v>
      </c>
      <c r="K939" t="s">
        <v>29</v>
      </c>
      <c r="L939" t="s">
        <v>895</v>
      </c>
      <c r="M939" t="s">
        <v>4402</v>
      </c>
      <c r="O939" t="s">
        <v>896</v>
      </c>
      <c r="P939" t="s">
        <v>33</v>
      </c>
      <c r="Q939" s="22">
        <v>193404.77</v>
      </c>
      <c r="R939" t="s">
        <v>35</v>
      </c>
      <c r="S939" t="s">
        <v>35</v>
      </c>
      <c r="T939" t="s">
        <v>35</v>
      </c>
      <c r="U939" t="s">
        <v>35</v>
      </c>
      <c r="V939" t="s">
        <v>645</v>
      </c>
      <c r="W939" t="s">
        <v>113</v>
      </c>
    </row>
    <row r="940" spans="1:23" hidden="1" x14ac:dyDescent="0.25">
      <c r="A940" s="7" t="str">
        <f>IFERROR(VLOOKUP(H940,'Contas Orç'!A:B,2,0),"N/A")</f>
        <v>BENEFICIOS</v>
      </c>
      <c r="B940" s="7" t="str">
        <f t="shared" si="28"/>
        <v>320103 - BENEFICIOS</v>
      </c>
      <c r="C940" s="25">
        <f t="shared" si="29"/>
        <v>44866</v>
      </c>
      <c r="D940" s="27">
        <f>IF(K940="CREDITO",Q940,Q940*-1)</f>
        <v>72741.87</v>
      </c>
      <c r="E940" t="s">
        <v>894</v>
      </c>
      <c r="F940" t="s">
        <v>1433</v>
      </c>
      <c r="G940" s="8">
        <v>44866</v>
      </c>
      <c r="H940" t="s">
        <v>84</v>
      </c>
      <c r="I940" t="s">
        <v>59</v>
      </c>
      <c r="J940" t="s">
        <v>107</v>
      </c>
      <c r="K940" t="s">
        <v>29</v>
      </c>
      <c r="L940" t="s">
        <v>895</v>
      </c>
      <c r="M940" t="s">
        <v>4402</v>
      </c>
      <c r="O940" t="s">
        <v>896</v>
      </c>
      <c r="P940" t="s">
        <v>33</v>
      </c>
      <c r="Q940" s="22">
        <v>72741.87</v>
      </c>
      <c r="R940" t="s">
        <v>35</v>
      </c>
      <c r="S940" t="s">
        <v>35</v>
      </c>
      <c r="T940" t="s">
        <v>35</v>
      </c>
      <c r="U940" t="s">
        <v>35</v>
      </c>
      <c r="V940" t="s">
        <v>645</v>
      </c>
      <c r="W940" t="s">
        <v>113</v>
      </c>
    </row>
    <row r="941" spans="1:23" hidden="1" x14ac:dyDescent="0.25">
      <c r="A941" s="7" t="str">
        <f>IFERROR(VLOOKUP(H941,'Contas Orç'!A:B,2,0),"N/A")</f>
        <v>BENEFICIOS</v>
      </c>
      <c r="B941" s="7" t="str">
        <f t="shared" si="28"/>
        <v>320103 - BENEFICIOS</v>
      </c>
      <c r="C941" s="25">
        <f t="shared" si="29"/>
        <v>44866</v>
      </c>
      <c r="D941" s="27">
        <f>IF(K941="CREDITO",Q941,Q941*-1)</f>
        <v>995.16</v>
      </c>
      <c r="E941" t="s">
        <v>894</v>
      </c>
      <c r="F941" t="s">
        <v>1434</v>
      </c>
      <c r="G941" s="8">
        <v>44866</v>
      </c>
      <c r="H941" t="s">
        <v>84</v>
      </c>
      <c r="I941" t="s">
        <v>53</v>
      </c>
      <c r="J941" t="s">
        <v>702</v>
      </c>
      <c r="K941" t="s">
        <v>29</v>
      </c>
      <c r="L941" t="s">
        <v>895</v>
      </c>
      <c r="M941" t="s">
        <v>4402</v>
      </c>
      <c r="O941" t="s">
        <v>896</v>
      </c>
      <c r="P941" t="s">
        <v>33</v>
      </c>
      <c r="Q941">
        <v>995.16</v>
      </c>
      <c r="R941" t="s">
        <v>35</v>
      </c>
      <c r="S941" t="s">
        <v>35</v>
      </c>
      <c r="T941" t="s">
        <v>35</v>
      </c>
      <c r="U941" t="s">
        <v>35</v>
      </c>
      <c r="V941" t="s">
        <v>645</v>
      </c>
      <c r="W941" t="s">
        <v>113</v>
      </c>
    </row>
    <row r="942" spans="1:23" hidden="1" x14ac:dyDescent="0.25">
      <c r="A942" s="7" t="str">
        <f>IFERROR(VLOOKUP(H942,'Contas Orç'!A:B,2,0),"N/A")</f>
        <v>BENEFICIOS</v>
      </c>
      <c r="B942" s="7" t="str">
        <f t="shared" si="28"/>
        <v>320103 - BENEFICIOS</v>
      </c>
      <c r="C942" s="25">
        <f t="shared" si="29"/>
        <v>44866</v>
      </c>
      <c r="D942" s="27">
        <f>IF(K942="CREDITO",Q942,Q942*-1)</f>
        <v>17700.419999999998</v>
      </c>
      <c r="E942" t="s">
        <v>894</v>
      </c>
      <c r="F942" t="s">
        <v>1435</v>
      </c>
      <c r="G942" s="8">
        <v>44866</v>
      </c>
      <c r="H942" t="s">
        <v>84</v>
      </c>
      <c r="I942" t="s">
        <v>59</v>
      </c>
      <c r="J942" t="s">
        <v>702</v>
      </c>
      <c r="K942" t="s">
        <v>29</v>
      </c>
      <c r="L942" t="s">
        <v>895</v>
      </c>
      <c r="M942" t="s">
        <v>4402</v>
      </c>
      <c r="O942" t="s">
        <v>896</v>
      </c>
      <c r="P942" t="s">
        <v>33</v>
      </c>
      <c r="Q942" s="22">
        <v>17700.419999999998</v>
      </c>
      <c r="R942" t="s">
        <v>35</v>
      </c>
      <c r="S942" t="s">
        <v>35</v>
      </c>
      <c r="T942" t="s">
        <v>35</v>
      </c>
      <c r="U942" t="s">
        <v>35</v>
      </c>
      <c r="V942" t="s">
        <v>645</v>
      </c>
      <c r="W942" t="s">
        <v>113</v>
      </c>
    </row>
    <row r="943" spans="1:23" hidden="1" x14ac:dyDescent="0.25">
      <c r="A943" s="7" t="str">
        <f>IFERROR(VLOOKUP(H943,'Contas Orç'!A:B,2,0),"N/A")</f>
        <v>BENEFICIOS</v>
      </c>
      <c r="B943" s="7" t="str">
        <f t="shared" si="28"/>
        <v>320103 - BENEFICIOS</v>
      </c>
      <c r="C943" s="25">
        <f t="shared" si="29"/>
        <v>44866</v>
      </c>
      <c r="D943" s="27">
        <f>IF(K943="CREDITO",Q943,Q943*-1)</f>
        <v>4944.7700000000004</v>
      </c>
      <c r="E943" t="s">
        <v>894</v>
      </c>
      <c r="F943" t="s">
        <v>1436</v>
      </c>
      <c r="G943" s="8">
        <v>44866</v>
      </c>
      <c r="H943" t="s">
        <v>84</v>
      </c>
      <c r="I943" t="s">
        <v>125</v>
      </c>
      <c r="J943" t="s">
        <v>95</v>
      </c>
      <c r="K943" t="s">
        <v>29</v>
      </c>
      <c r="L943" t="s">
        <v>895</v>
      </c>
      <c r="M943" t="s">
        <v>4402</v>
      </c>
      <c r="O943" t="s">
        <v>896</v>
      </c>
      <c r="P943" t="s">
        <v>33</v>
      </c>
      <c r="Q943" s="22">
        <v>4944.7700000000004</v>
      </c>
      <c r="R943" t="s">
        <v>35</v>
      </c>
      <c r="S943" t="s">
        <v>35</v>
      </c>
      <c r="T943" t="s">
        <v>35</v>
      </c>
      <c r="U943" t="s">
        <v>35</v>
      </c>
      <c r="V943" t="s">
        <v>645</v>
      </c>
      <c r="W943" t="s">
        <v>113</v>
      </c>
    </row>
    <row r="944" spans="1:23" hidden="1" x14ac:dyDescent="0.25">
      <c r="A944" s="7" t="str">
        <f>IFERROR(VLOOKUP(H944,'Contas Orç'!A:B,2,0),"N/A")</f>
        <v>BENEFICIOS</v>
      </c>
      <c r="B944" s="7" t="str">
        <f t="shared" si="28"/>
        <v>320103 - BENEFICIOS</v>
      </c>
      <c r="C944" s="25">
        <f t="shared" si="29"/>
        <v>44866</v>
      </c>
      <c r="D944" s="27">
        <f>IF(K944="CREDITO",Q944,Q944*-1)</f>
        <v>18751.439999999999</v>
      </c>
      <c r="E944" t="s">
        <v>894</v>
      </c>
      <c r="F944" t="s">
        <v>1437</v>
      </c>
      <c r="G944" s="8">
        <v>44866</v>
      </c>
      <c r="H944" t="s">
        <v>84</v>
      </c>
      <c r="I944" t="s">
        <v>53</v>
      </c>
      <c r="J944" t="s">
        <v>54</v>
      </c>
      <c r="K944" t="s">
        <v>29</v>
      </c>
      <c r="L944" t="s">
        <v>895</v>
      </c>
      <c r="M944" t="s">
        <v>4402</v>
      </c>
      <c r="O944" t="s">
        <v>896</v>
      </c>
      <c r="P944" t="s">
        <v>33</v>
      </c>
      <c r="Q944" s="22">
        <v>18751.439999999999</v>
      </c>
      <c r="R944" t="s">
        <v>35</v>
      </c>
      <c r="S944" t="s">
        <v>35</v>
      </c>
      <c r="T944" t="s">
        <v>35</v>
      </c>
      <c r="U944" t="s">
        <v>35</v>
      </c>
      <c r="V944" t="s">
        <v>645</v>
      </c>
      <c r="W944" t="s">
        <v>113</v>
      </c>
    </row>
    <row r="945" spans="1:23" hidden="1" x14ac:dyDescent="0.25">
      <c r="A945" s="7" t="str">
        <f>IFERROR(VLOOKUP(H945,'Contas Orç'!A:B,2,0),"N/A")</f>
        <v>BENEFICIOS</v>
      </c>
      <c r="B945" s="7" t="str">
        <f t="shared" si="28"/>
        <v>320103 - BENEFICIOS</v>
      </c>
      <c r="C945" s="25">
        <f t="shared" si="29"/>
        <v>44896</v>
      </c>
      <c r="D945" s="27">
        <f>IF(K945="CREDITO",Q945,Q945*-1)</f>
        <v>76</v>
      </c>
      <c r="E945" t="s">
        <v>894</v>
      </c>
      <c r="F945" t="s">
        <v>1438</v>
      </c>
      <c r="G945" s="8">
        <v>44896</v>
      </c>
      <c r="H945" t="s">
        <v>84</v>
      </c>
      <c r="I945" t="s">
        <v>53</v>
      </c>
      <c r="J945" t="s">
        <v>28</v>
      </c>
      <c r="K945" t="s">
        <v>29</v>
      </c>
      <c r="L945" t="s">
        <v>895</v>
      </c>
      <c r="M945" t="s">
        <v>4402</v>
      </c>
      <c r="O945" t="s">
        <v>896</v>
      </c>
      <c r="P945" t="s">
        <v>33</v>
      </c>
      <c r="Q945">
        <v>76</v>
      </c>
      <c r="R945" t="s">
        <v>35</v>
      </c>
      <c r="S945" t="s">
        <v>35</v>
      </c>
      <c r="T945" t="s">
        <v>35</v>
      </c>
      <c r="U945" t="s">
        <v>35</v>
      </c>
      <c r="V945" t="s">
        <v>645</v>
      </c>
      <c r="W945" t="s">
        <v>113</v>
      </c>
    </row>
    <row r="946" spans="1:23" hidden="1" x14ac:dyDescent="0.25">
      <c r="A946" s="7" t="str">
        <f>IFERROR(VLOOKUP(H946,'Contas Orç'!A:B,2,0),"N/A")</f>
        <v>BENEFICIOS</v>
      </c>
      <c r="B946" s="7" t="str">
        <f t="shared" si="28"/>
        <v>320103 - BENEFICIOS</v>
      </c>
      <c r="C946" s="25">
        <f t="shared" si="29"/>
        <v>44896</v>
      </c>
      <c r="D946" s="27">
        <f>IF(K946="CREDITO",Q946,Q946*-1)</f>
        <v>14560.19</v>
      </c>
      <c r="E946" t="s">
        <v>894</v>
      </c>
      <c r="F946" t="s">
        <v>1439</v>
      </c>
      <c r="G946" s="8">
        <v>44896</v>
      </c>
      <c r="H946" t="s">
        <v>84</v>
      </c>
      <c r="I946" t="s">
        <v>88</v>
      </c>
      <c r="J946" t="s">
        <v>28</v>
      </c>
      <c r="K946" t="s">
        <v>29</v>
      </c>
      <c r="L946" t="s">
        <v>895</v>
      </c>
      <c r="M946" t="s">
        <v>4402</v>
      </c>
      <c r="O946" t="s">
        <v>896</v>
      </c>
      <c r="P946" t="s">
        <v>33</v>
      </c>
      <c r="Q946" s="22">
        <v>14560.19</v>
      </c>
      <c r="R946" t="s">
        <v>35</v>
      </c>
      <c r="S946" t="s">
        <v>35</v>
      </c>
      <c r="T946" t="s">
        <v>35</v>
      </c>
      <c r="U946" t="s">
        <v>35</v>
      </c>
      <c r="V946" t="s">
        <v>645</v>
      </c>
      <c r="W946" t="s">
        <v>113</v>
      </c>
    </row>
    <row r="947" spans="1:23" hidden="1" x14ac:dyDescent="0.25">
      <c r="A947" s="7" t="str">
        <f>IFERROR(VLOOKUP(H947,'Contas Orç'!A:B,2,0),"N/A")</f>
        <v>BENEFICIOS</v>
      </c>
      <c r="B947" s="7" t="str">
        <f t="shared" si="28"/>
        <v>320103 - BENEFICIOS</v>
      </c>
      <c r="C947" s="25">
        <f t="shared" si="29"/>
        <v>44896</v>
      </c>
      <c r="D947" s="27">
        <f>IF(K947="CREDITO",Q947,Q947*-1)</f>
        <v>23041.31</v>
      </c>
      <c r="E947" t="s">
        <v>894</v>
      </c>
      <c r="F947" t="s">
        <v>1440</v>
      </c>
      <c r="G947" s="8">
        <v>44896</v>
      </c>
      <c r="H947" t="s">
        <v>84</v>
      </c>
      <c r="I947" t="s">
        <v>27</v>
      </c>
      <c r="J947" t="s">
        <v>28</v>
      </c>
      <c r="K947" t="s">
        <v>29</v>
      </c>
      <c r="L947" t="s">
        <v>895</v>
      </c>
      <c r="M947" t="s">
        <v>4402</v>
      </c>
      <c r="O947" t="s">
        <v>896</v>
      </c>
      <c r="P947" t="s">
        <v>33</v>
      </c>
      <c r="Q947" s="22">
        <v>23041.31</v>
      </c>
      <c r="R947" t="s">
        <v>35</v>
      </c>
      <c r="S947" t="s">
        <v>35</v>
      </c>
      <c r="T947" t="s">
        <v>35</v>
      </c>
      <c r="U947" t="s">
        <v>35</v>
      </c>
      <c r="V947" t="s">
        <v>645</v>
      </c>
      <c r="W947" t="s">
        <v>113</v>
      </c>
    </row>
    <row r="948" spans="1:23" hidden="1" x14ac:dyDescent="0.25">
      <c r="A948" s="7" t="str">
        <f>IFERROR(VLOOKUP(H948,'Contas Orç'!A:B,2,0),"N/A")</f>
        <v>BENEFICIOS</v>
      </c>
      <c r="B948" s="7" t="str">
        <f t="shared" si="28"/>
        <v>320103 - BENEFICIOS</v>
      </c>
      <c r="C948" s="25">
        <f t="shared" si="29"/>
        <v>44896</v>
      </c>
      <c r="D948" s="27">
        <f>IF(K948="CREDITO",Q948,Q948*-1)</f>
        <v>120.55</v>
      </c>
      <c r="E948" t="s">
        <v>894</v>
      </c>
      <c r="F948" t="s">
        <v>1441</v>
      </c>
      <c r="G948" s="8">
        <v>44896</v>
      </c>
      <c r="H948" t="s">
        <v>84</v>
      </c>
      <c r="I948" t="s">
        <v>81</v>
      </c>
      <c r="J948" t="s">
        <v>60</v>
      </c>
      <c r="K948" t="s">
        <v>29</v>
      </c>
      <c r="L948" t="s">
        <v>895</v>
      </c>
      <c r="M948" t="s">
        <v>4402</v>
      </c>
      <c r="O948" t="s">
        <v>896</v>
      </c>
      <c r="P948" t="s">
        <v>33</v>
      </c>
      <c r="Q948">
        <v>120.55</v>
      </c>
      <c r="R948" t="s">
        <v>35</v>
      </c>
      <c r="S948" t="s">
        <v>35</v>
      </c>
      <c r="T948" t="s">
        <v>35</v>
      </c>
      <c r="U948" t="s">
        <v>35</v>
      </c>
      <c r="V948" t="s">
        <v>645</v>
      </c>
      <c r="W948" t="s">
        <v>113</v>
      </c>
    </row>
    <row r="949" spans="1:23" hidden="1" x14ac:dyDescent="0.25">
      <c r="A949" s="7" t="str">
        <f>IFERROR(VLOOKUP(H949,'Contas Orç'!A:B,2,0),"N/A")</f>
        <v>BENEFICIOS</v>
      </c>
      <c r="B949" s="7" t="str">
        <f t="shared" si="28"/>
        <v>320103 - BENEFICIOS</v>
      </c>
      <c r="C949" s="25">
        <f t="shared" si="29"/>
        <v>44896</v>
      </c>
      <c r="D949" s="27">
        <f>IF(K949="CREDITO",Q949,Q949*-1)</f>
        <v>3669.33</v>
      </c>
      <c r="E949" t="s">
        <v>894</v>
      </c>
      <c r="F949" t="s">
        <v>1442</v>
      </c>
      <c r="G949" s="8">
        <v>44896</v>
      </c>
      <c r="H949" t="s">
        <v>84</v>
      </c>
      <c r="I949" t="s">
        <v>53</v>
      </c>
      <c r="J949" t="s">
        <v>60</v>
      </c>
      <c r="K949" t="s">
        <v>29</v>
      </c>
      <c r="L949" t="s">
        <v>895</v>
      </c>
      <c r="M949" t="s">
        <v>4402</v>
      </c>
      <c r="O949" t="s">
        <v>896</v>
      </c>
      <c r="P949" t="s">
        <v>33</v>
      </c>
      <c r="Q949" s="22">
        <v>3669.33</v>
      </c>
      <c r="R949" t="s">
        <v>35</v>
      </c>
      <c r="S949" t="s">
        <v>35</v>
      </c>
      <c r="T949" t="s">
        <v>35</v>
      </c>
      <c r="U949" t="s">
        <v>35</v>
      </c>
      <c r="V949" t="s">
        <v>645</v>
      </c>
      <c r="W949" t="s">
        <v>113</v>
      </c>
    </row>
    <row r="950" spans="1:23" hidden="1" x14ac:dyDescent="0.25">
      <c r="A950" s="7" t="str">
        <f>IFERROR(VLOOKUP(H950,'Contas Orç'!A:B,2,0),"N/A")</f>
        <v>BENEFICIOS</v>
      </c>
      <c r="B950" s="7" t="str">
        <f t="shared" si="28"/>
        <v>320103 - BENEFICIOS</v>
      </c>
      <c r="C950" s="25">
        <f t="shared" si="29"/>
        <v>44896</v>
      </c>
      <c r="D950" s="27">
        <f>IF(K950="CREDITO",Q950,Q950*-1)</f>
        <v>42328.11</v>
      </c>
      <c r="E950" t="s">
        <v>894</v>
      </c>
      <c r="F950" t="s">
        <v>1443</v>
      </c>
      <c r="G950" s="8">
        <v>44896</v>
      </c>
      <c r="H950" t="s">
        <v>84</v>
      </c>
      <c r="I950" t="s">
        <v>106</v>
      </c>
      <c r="J950" t="s">
        <v>60</v>
      </c>
      <c r="K950" t="s">
        <v>29</v>
      </c>
      <c r="L950" t="s">
        <v>895</v>
      </c>
      <c r="M950" t="s">
        <v>4402</v>
      </c>
      <c r="O950" t="s">
        <v>896</v>
      </c>
      <c r="P950" t="s">
        <v>33</v>
      </c>
      <c r="Q950" s="22">
        <v>42328.11</v>
      </c>
      <c r="R950" t="s">
        <v>35</v>
      </c>
      <c r="S950" t="s">
        <v>35</v>
      </c>
      <c r="T950" t="s">
        <v>35</v>
      </c>
      <c r="U950" t="s">
        <v>35</v>
      </c>
      <c r="V950" t="s">
        <v>645</v>
      </c>
      <c r="W950" t="s">
        <v>113</v>
      </c>
    </row>
    <row r="951" spans="1:23" hidden="1" x14ac:dyDescent="0.25">
      <c r="A951" s="7" t="str">
        <f>IFERROR(VLOOKUP(H951,'Contas Orç'!A:B,2,0),"N/A")</f>
        <v>BENEFICIOS</v>
      </c>
      <c r="B951" s="7" t="str">
        <f t="shared" si="28"/>
        <v>320103 - BENEFICIOS</v>
      </c>
      <c r="C951" s="25">
        <f t="shared" si="29"/>
        <v>44896</v>
      </c>
      <c r="D951" s="27">
        <f>IF(K951="CREDITO",Q951,Q951*-1)</f>
        <v>195338.82</v>
      </c>
      <c r="E951" t="s">
        <v>894</v>
      </c>
      <c r="F951" t="s">
        <v>1444</v>
      </c>
      <c r="G951" s="8">
        <v>44896</v>
      </c>
      <c r="H951" t="s">
        <v>84</v>
      </c>
      <c r="I951" t="s">
        <v>59</v>
      </c>
      <c r="J951" t="s">
        <v>60</v>
      </c>
      <c r="K951" t="s">
        <v>29</v>
      </c>
      <c r="L951" t="s">
        <v>895</v>
      </c>
      <c r="M951" t="s">
        <v>4402</v>
      </c>
      <c r="O951" t="s">
        <v>896</v>
      </c>
      <c r="P951" t="s">
        <v>33</v>
      </c>
      <c r="Q951" s="22">
        <v>195338.82</v>
      </c>
      <c r="R951" t="s">
        <v>35</v>
      </c>
      <c r="S951" t="s">
        <v>35</v>
      </c>
      <c r="T951" t="s">
        <v>35</v>
      </c>
      <c r="U951" t="s">
        <v>35</v>
      </c>
      <c r="V951" t="s">
        <v>645</v>
      </c>
      <c r="W951" t="s">
        <v>113</v>
      </c>
    </row>
    <row r="952" spans="1:23" hidden="1" x14ac:dyDescent="0.25">
      <c r="A952" s="7" t="str">
        <f>IFERROR(VLOOKUP(H952,'Contas Orç'!A:B,2,0),"N/A")</f>
        <v>BENEFICIOS</v>
      </c>
      <c r="B952" s="7" t="str">
        <f t="shared" si="28"/>
        <v>320103 - BENEFICIOS</v>
      </c>
      <c r="C952" s="25">
        <f t="shared" si="29"/>
        <v>44896</v>
      </c>
      <c r="D952" s="27">
        <f>IF(K952="CREDITO",Q952,Q952*-1)</f>
        <v>73469.289999999994</v>
      </c>
      <c r="E952" t="s">
        <v>894</v>
      </c>
      <c r="F952" t="s">
        <v>1445</v>
      </c>
      <c r="G952" s="8">
        <v>44896</v>
      </c>
      <c r="H952" t="s">
        <v>84</v>
      </c>
      <c r="I952" t="s">
        <v>59</v>
      </c>
      <c r="J952" t="s">
        <v>107</v>
      </c>
      <c r="K952" t="s">
        <v>29</v>
      </c>
      <c r="L952" t="s">
        <v>895</v>
      </c>
      <c r="M952" t="s">
        <v>4402</v>
      </c>
      <c r="O952" t="s">
        <v>896</v>
      </c>
      <c r="P952" t="s">
        <v>33</v>
      </c>
      <c r="Q952" s="22">
        <v>73469.289999999994</v>
      </c>
      <c r="R952" t="s">
        <v>35</v>
      </c>
      <c r="S952" t="s">
        <v>35</v>
      </c>
      <c r="T952" t="s">
        <v>35</v>
      </c>
      <c r="U952" t="s">
        <v>35</v>
      </c>
      <c r="V952" t="s">
        <v>645</v>
      </c>
      <c r="W952" t="s">
        <v>113</v>
      </c>
    </row>
    <row r="953" spans="1:23" hidden="1" x14ac:dyDescent="0.25">
      <c r="A953" s="7" t="str">
        <f>IFERROR(VLOOKUP(H953,'Contas Orç'!A:B,2,0),"N/A")</f>
        <v>BENEFICIOS</v>
      </c>
      <c r="B953" s="7" t="str">
        <f t="shared" si="28"/>
        <v>320103 - BENEFICIOS</v>
      </c>
      <c r="C953" s="25">
        <f t="shared" si="29"/>
        <v>44896</v>
      </c>
      <c r="D953" s="27">
        <f>IF(K953="CREDITO",Q953,Q953*-1)</f>
        <v>1005.11</v>
      </c>
      <c r="E953" t="s">
        <v>894</v>
      </c>
      <c r="F953" t="s">
        <v>1446</v>
      </c>
      <c r="G953" s="8">
        <v>44896</v>
      </c>
      <c r="H953" t="s">
        <v>84</v>
      </c>
      <c r="I953" t="s">
        <v>53</v>
      </c>
      <c r="J953" t="s">
        <v>702</v>
      </c>
      <c r="K953" t="s">
        <v>29</v>
      </c>
      <c r="L953" t="s">
        <v>895</v>
      </c>
      <c r="M953" t="s">
        <v>4402</v>
      </c>
      <c r="O953" t="s">
        <v>896</v>
      </c>
      <c r="P953" t="s">
        <v>33</v>
      </c>
      <c r="Q953" s="22">
        <v>1005.11</v>
      </c>
      <c r="R953" t="s">
        <v>35</v>
      </c>
      <c r="S953" t="s">
        <v>35</v>
      </c>
      <c r="T953" t="s">
        <v>35</v>
      </c>
      <c r="U953" t="s">
        <v>35</v>
      </c>
      <c r="V953" t="s">
        <v>645</v>
      </c>
      <c r="W953" t="s">
        <v>113</v>
      </c>
    </row>
    <row r="954" spans="1:23" hidden="1" x14ac:dyDescent="0.25">
      <c r="A954" s="7" t="str">
        <f>IFERROR(VLOOKUP(H954,'Contas Orç'!A:B,2,0),"N/A")</f>
        <v>BENEFICIOS</v>
      </c>
      <c r="B954" s="7" t="str">
        <f t="shared" si="28"/>
        <v>320103 - BENEFICIOS</v>
      </c>
      <c r="C954" s="25">
        <f t="shared" si="29"/>
        <v>44896</v>
      </c>
      <c r="D954" s="27">
        <f>IF(K954="CREDITO",Q954,Q954*-1)</f>
        <v>17877.419999999998</v>
      </c>
      <c r="E954" t="s">
        <v>894</v>
      </c>
      <c r="F954" t="s">
        <v>1447</v>
      </c>
      <c r="G954" s="8">
        <v>44896</v>
      </c>
      <c r="H954" t="s">
        <v>84</v>
      </c>
      <c r="I954" t="s">
        <v>59</v>
      </c>
      <c r="J954" t="s">
        <v>702</v>
      </c>
      <c r="K954" t="s">
        <v>29</v>
      </c>
      <c r="L954" t="s">
        <v>895</v>
      </c>
      <c r="M954" t="s">
        <v>4402</v>
      </c>
      <c r="O954" t="s">
        <v>896</v>
      </c>
      <c r="P954" t="s">
        <v>33</v>
      </c>
      <c r="Q954" s="22">
        <v>17877.419999999998</v>
      </c>
      <c r="R954" t="s">
        <v>35</v>
      </c>
      <c r="S954" t="s">
        <v>35</v>
      </c>
      <c r="T954" t="s">
        <v>35</v>
      </c>
      <c r="U954" t="s">
        <v>35</v>
      </c>
      <c r="V954" t="s">
        <v>645</v>
      </c>
      <c r="W954" t="s">
        <v>113</v>
      </c>
    </row>
    <row r="955" spans="1:23" hidden="1" x14ac:dyDescent="0.25">
      <c r="A955" s="7" t="str">
        <f>IFERROR(VLOOKUP(H955,'Contas Orç'!A:B,2,0),"N/A")</f>
        <v>BENEFICIOS</v>
      </c>
      <c r="B955" s="7" t="str">
        <f t="shared" si="28"/>
        <v>320103 - BENEFICIOS</v>
      </c>
      <c r="C955" s="25">
        <f t="shared" si="29"/>
        <v>44896</v>
      </c>
      <c r="D955" s="27">
        <f>IF(K955="CREDITO",Q955,Q955*-1)</f>
        <v>4994.22</v>
      </c>
      <c r="E955" t="s">
        <v>894</v>
      </c>
      <c r="F955" t="s">
        <v>1448</v>
      </c>
      <c r="G955" s="8">
        <v>44896</v>
      </c>
      <c r="H955" t="s">
        <v>84</v>
      </c>
      <c r="I955" t="s">
        <v>125</v>
      </c>
      <c r="J955" t="s">
        <v>95</v>
      </c>
      <c r="K955" t="s">
        <v>29</v>
      </c>
      <c r="L955" t="s">
        <v>895</v>
      </c>
      <c r="M955" t="s">
        <v>4402</v>
      </c>
      <c r="O955" t="s">
        <v>896</v>
      </c>
      <c r="P955" t="s">
        <v>33</v>
      </c>
      <c r="Q955" s="22">
        <v>4994.22</v>
      </c>
      <c r="R955" t="s">
        <v>35</v>
      </c>
      <c r="S955" t="s">
        <v>35</v>
      </c>
      <c r="T955" t="s">
        <v>35</v>
      </c>
      <c r="U955" t="s">
        <v>35</v>
      </c>
      <c r="V955" t="s">
        <v>645</v>
      </c>
      <c r="W955" t="s">
        <v>113</v>
      </c>
    </row>
    <row r="956" spans="1:23" hidden="1" x14ac:dyDescent="0.25">
      <c r="A956" s="7" t="str">
        <f>IFERROR(VLOOKUP(H956,'Contas Orç'!A:B,2,0),"N/A")</f>
        <v>BENEFICIOS</v>
      </c>
      <c r="B956" s="7" t="str">
        <f t="shared" si="28"/>
        <v>320103 - BENEFICIOS</v>
      </c>
      <c r="C956" s="25">
        <f t="shared" si="29"/>
        <v>44896</v>
      </c>
      <c r="D956" s="27">
        <f>IF(K956="CREDITO",Q956,Q956*-1)</f>
        <v>18938.95</v>
      </c>
      <c r="E956" t="s">
        <v>894</v>
      </c>
      <c r="F956" t="s">
        <v>1449</v>
      </c>
      <c r="G956" s="8">
        <v>44896</v>
      </c>
      <c r="H956" t="s">
        <v>84</v>
      </c>
      <c r="I956" t="s">
        <v>53</v>
      </c>
      <c r="J956" t="s">
        <v>54</v>
      </c>
      <c r="K956" t="s">
        <v>29</v>
      </c>
      <c r="L956" t="s">
        <v>895</v>
      </c>
      <c r="M956" t="s">
        <v>4402</v>
      </c>
      <c r="O956" t="s">
        <v>896</v>
      </c>
      <c r="P956" t="s">
        <v>33</v>
      </c>
      <c r="Q956" s="22">
        <v>18938.95</v>
      </c>
      <c r="R956" t="s">
        <v>35</v>
      </c>
      <c r="S956" t="s">
        <v>35</v>
      </c>
      <c r="T956" t="s">
        <v>35</v>
      </c>
      <c r="U956" t="s">
        <v>35</v>
      </c>
      <c r="V956" t="s">
        <v>645</v>
      </c>
      <c r="W956" t="s">
        <v>113</v>
      </c>
    </row>
    <row r="957" spans="1:23" hidden="1" x14ac:dyDescent="0.25">
      <c r="A957" s="7" t="str">
        <f>IFERROR(VLOOKUP(H957,'Contas Orç'!A:B,2,0),"N/A")</f>
        <v>OUTROS GASTOS COM PESSOAL</v>
      </c>
      <c r="B957" s="7" t="str">
        <f t="shared" si="28"/>
        <v>320104 - OUTROS GASTOS COM PESSOAL</v>
      </c>
      <c r="C957" s="25">
        <f t="shared" si="29"/>
        <v>44562</v>
      </c>
      <c r="D957" s="27">
        <f>IF(K957="CREDITO",Q957,Q957*-1)</f>
        <v>4598.1099999999997</v>
      </c>
      <c r="E957" t="s">
        <v>894</v>
      </c>
      <c r="F957" t="s">
        <v>1450</v>
      </c>
      <c r="G957" s="8">
        <v>44562</v>
      </c>
      <c r="H957" t="s">
        <v>513</v>
      </c>
      <c r="I957" t="s">
        <v>88</v>
      </c>
      <c r="J957" t="s">
        <v>28</v>
      </c>
      <c r="K957" t="s">
        <v>29</v>
      </c>
      <c r="L957" t="s">
        <v>895</v>
      </c>
      <c r="M957" t="s">
        <v>4402</v>
      </c>
      <c r="O957" t="s">
        <v>896</v>
      </c>
      <c r="P957" t="s">
        <v>33</v>
      </c>
      <c r="Q957" s="22">
        <v>4598.1099999999997</v>
      </c>
      <c r="R957" t="s">
        <v>35</v>
      </c>
      <c r="S957" t="s">
        <v>35</v>
      </c>
      <c r="T957" t="s">
        <v>35</v>
      </c>
      <c r="U957" t="s">
        <v>35</v>
      </c>
      <c r="V957" t="s">
        <v>645</v>
      </c>
      <c r="W957" t="s">
        <v>113</v>
      </c>
    </row>
    <row r="958" spans="1:23" hidden="1" x14ac:dyDescent="0.25">
      <c r="A958" s="7" t="str">
        <f>IFERROR(VLOOKUP(H958,'Contas Orç'!A:B,2,0),"N/A")</f>
        <v>OUTROS GASTOS COM PESSOAL</v>
      </c>
      <c r="B958" s="7" t="str">
        <f t="shared" si="28"/>
        <v>320104 - OUTROS GASTOS COM PESSOAL</v>
      </c>
      <c r="C958" s="25">
        <f t="shared" si="29"/>
        <v>44562</v>
      </c>
      <c r="D958" s="27">
        <f>IF(K958="CREDITO",Q958,Q958*-1)</f>
        <v>4051.62</v>
      </c>
      <c r="E958" t="s">
        <v>894</v>
      </c>
      <c r="F958" t="s">
        <v>1451</v>
      </c>
      <c r="G958" s="8">
        <v>44562</v>
      </c>
      <c r="H958" t="s">
        <v>513</v>
      </c>
      <c r="I958" t="s">
        <v>27</v>
      </c>
      <c r="J958" t="s">
        <v>28</v>
      </c>
      <c r="K958" t="s">
        <v>29</v>
      </c>
      <c r="L958" t="s">
        <v>895</v>
      </c>
      <c r="M958" t="s">
        <v>4402</v>
      </c>
      <c r="O958" t="s">
        <v>896</v>
      </c>
      <c r="P958" t="s">
        <v>33</v>
      </c>
      <c r="Q958" s="22">
        <v>4051.62</v>
      </c>
      <c r="R958" t="s">
        <v>35</v>
      </c>
      <c r="S958" t="s">
        <v>35</v>
      </c>
      <c r="T958" t="s">
        <v>35</v>
      </c>
      <c r="U958" t="s">
        <v>35</v>
      </c>
      <c r="V958" t="s">
        <v>645</v>
      </c>
      <c r="W958" t="s">
        <v>113</v>
      </c>
    </row>
    <row r="959" spans="1:23" hidden="1" x14ac:dyDescent="0.25">
      <c r="A959" s="7" t="str">
        <f>IFERROR(VLOOKUP(H959,'Contas Orç'!A:B,2,0),"N/A")</f>
        <v>OUTROS GASTOS COM PESSOAL</v>
      </c>
      <c r="B959" s="7" t="str">
        <f t="shared" si="28"/>
        <v>320104 - OUTROS GASTOS COM PESSOAL</v>
      </c>
      <c r="C959" s="25">
        <f t="shared" si="29"/>
        <v>44562</v>
      </c>
      <c r="D959" s="27">
        <f>IF(K959="CREDITO",Q959,Q959*-1)</f>
        <v>1862.83</v>
      </c>
      <c r="E959" t="s">
        <v>894</v>
      </c>
      <c r="F959" t="s">
        <v>1452</v>
      </c>
      <c r="G959" s="8">
        <v>44562</v>
      </c>
      <c r="H959" t="s">
        <v>513</v>
      </c>
      <c r="I959" t="s">
        <v>106</v>
      </c>
      <c r="J959" t="s">
        <v>60</v>
      </c>
      <c r="K959" t="s">
        <v>29</v>
      </c>
      <c r="L959" t="s">
        <v>895</v>
      </c>
      <c r="M959" t="s">
        <v>4402</v>
      </c>
      <c r="O959" t="s">
        <v>896</v>
      </c>
      <c r="P959" t="s">
        <v>33</v>
      </c>
      <c r="Q959" s="22">
        <v>1862.83</v>
      </c>
      <c r="R959" t="s">
        <v>35</v>
      </c>
      <c r="S959" t="s">
        <v>35</v>
      </c>
      <c r="T959" t="s">
        <v>35</v>
      </c>
      <c r="U959" t="s">
        <v>35</v>
      </c>
      <c r="V959" t="s">
        <v>645</v>
      </c>
      <c r="W959" t="s">
        <v>113</v>
      </c>
    </row>
    <row r="960" spans="1:23" hidden="1" x14ac:dyDescent="0.25">
      <c r="A960" s="7" t="str">
        <f>IFERROR(VLOOKUP(H960,'Contas Orç'!A:B,2,0),"N/A")</f>
        <v>OUTROS GASTOS COM PESSOAL</v>
      </c>
      <c r="B960" s="7" t="str">
        <f t="shared" si="28"/>
        <v>320104 - OUTROS GASTOS COM PESSOAL</v>
      </c>
      <c r="C960" s="25">
        <f t="shared" si="29"/>
        <v>44562</v>
      </c>
      <c r="D960" s="27">
        <f>IF(K960="CREDITO",Q960,Q960*-1)</f>
        <v>14911.42</v>
      </c>
      <c r="E960" t="s">
        <v>894</v>
      </c>
      <c r="F960" t="s">
        <v>1453</v>
      </c>
      <c r="G960" s="8">
        <v>44562</v>
      </c>
      <c r="H960" t="s">
        <v>513</v>
      </c>
      <c r="I960" t="s">
        <v>59</v>
      </c>
      <c r="J960" t="s">
        <v>60</v>
      </c>
      <c r="K960" t="s">
        <v>29</v>
      </c>
      <c r="L960" t="s">
        <v>895</v>
      </c>
      <c r="M960" t="s">
        <v>4402</v>
      </c>
      <c r="O960" t="s">
        <v>896</v>
      </c>
      <c r="P960" t="s">
        <v>33</v>
      </c>
      <c r="Q960" s="22">
        <v>14911.42</v>
      </c>
      <c r="R960" t="s">
        <v>35</v>
      </c>
      <c r="S960" t="s">
        <v>35</v>
      </c>
      <c r="T960" t="s">
        <v>35</v>
      </c>
      <c r="U960" t="s">
        <v>35</v>
      </c>
      <c r="V960" t="s">
        <v>645</v>
      </c>
      <c r="W960" t="s">
        <v>113</v>
      </c>
    </row>
    <row r="961" spans="1:23" hidden="1" x14ac:dyDescent="0.25">
      <c r="A961" s="7" t="str">
        <f>IFERROR(VLOOKUP(H961,'Contas Orç'!A:B,2,0),"N/A")</f>
        <v>OUTROS GASTOS COM PESSOAL</v>
      </c>
      <c r="B961" s="7" t="str">
        <f t="shared" si="28"/>
        <v>320104 - OUTROS GASTOS COM PESSOAL</v>
      </c>
      <c r="C961" s="25">
        <f t="shared" si="29"/>
        <v>44562</v>
      </c>
      <c r="D961" s="27">
        <f>IF(K961="CREDITO",Q961,Q961*-1)</f>
        <v>2009.19</v>
      </c>
      <c r="E961" t="s">
        <v>894</v>
      </c>
      <c r="F961" t="s">
        <v>1454</v>
      </c>
      <c r="G961" s="8">
        <v>44562</v>
      </c>
      <c r="H961" t="s">
        <v>513</v>
      </c>
      <c r="I961" t="s">
        <v>59</v>
      </c>
      <c r="J961" t="s">
        <v>107</v>
      </c>
      <c r="K961" t="s">
        <v>29</v>
      </c>
      <c r="L961" t="s">
        <v>895</v>
      </c>
      <c r="M961" t="s">
        <v>4402</v>
      </c>
      <c r="O961" t="s">
        <v>896</v>
      </c>
      <c r="P961" t="s">
        <v>33</v>
      </c>
      <c r="Q961" s="22">
        <v>2009.19</v>
      </c>
      <c r="R961" t="s">
        <v>35</v>
      </c>
      <c r="S961" t="s">
        <v>35</v>
      </c>
      <c r="T961" t="s">
        <v>35</v>
      </c>
      <c r="U961" t="s">
        <v>35</v>
      </c>
      <c r="V961" t="s">
        <v>645</v>
      </c>
      <c r="W961" t="s">
        <v>113</v>
      </c>
    </row>
    <row r="962" spans="1:23" hidden="1" x14ac:dyDescent="0.25">
      <c r="A962" s="7" t="str">
        <f>IFERROR(VLOOKUP(H962,'Contas Orç'!A:B,2,0),"N/A")</f>
        <v>OUTROS GASTOS COM PESSOAL</v>
      </c>
      <c r="B962" s="7" t="str">
        <f t="shared" si="28"/>
        <v>320104 - OUTROS GASTOS COM PESSOAL</v>
      </c>
      <c r="C962" s="25">
        <f t="shared" si="29"/>
        <v>44562</v>
      </c>
      <c r="D962" s="27">
        <f>IF(K962="CREDITO",Q962,Q962*-1)</f>
        <v>178.89</v>
      </c>
      <c r="E962" t="s">
        <v>894</v>
      </c>
      <c r="F962" t="s">
        <v>1455</v>
      </c>
      <c r="G962" s="8">
        <v>44562</v>
      </c>
      <c r="H962" t="s">
        <v>513</v>
      </c>
      <c r="I962" t="s">
        <v>53</v>
      </c>
      <c r="J962" t="s">
        <v>54</v>
      </c>
      <c r="K962" t="s">
        <v>29</v>
      </c>
      <c r="L962" t="s">
        <v>895</v>
      </c>
      <c r="M962" t="s">
        <v>4402</v>
      </c>
      <c r="O962" t="s">
        <v>896</v>
      </c>
      <c r="P962" t="s">
        <v>33</v>
      </c>
      <c r="Q962">
        <v>178.89</v>
      </c>
      <c r="R962" t="s">
        <v>35</v>
      </c>
      <c r="S962" t="s">
        <v>35</v>
      </c>
      <c r="T962" t="s">
        <v>35</v>
      </c>
      <c r="U962" t="s">
        <v>35</v>
      </c>
      <c r="V962" t="s">
        <v>645</v>
      </c>
      <c r="W962" t="s">
        <v>113</v>
      </c>
    </row>
    <row r="963" spans="1:23" hidden="1" x14ac:dyDescent="0.25">
      <c r="A963" s="7" t="str">
        <f>IFERROR(VLOOKUP(H963,'Contas Orç'!A:B,2,0),"N/A")</f>
        <v>OUTROS GASTOS COM PESSOAL</v>
      </c>
      <c r="B963" s="7" t="str">
        <f t="shared" ref="B963:B1026" si="30">_xlfn.CONCAT(H963," - ",A963)</f>
        <v>320104 - OUTROS GASTOS COM PESSOAL</v>
      </c>
      <c r="C963" s="25">
        <f t="shared" ref="C963:C1026" si="31">DATE(YEAR(G963),MONTH(G963),1)</f>
        <v>44593</v>
      </c>
      <c r="D963" s="27">
        <f>IF(K963="CREDITO",Q963,Q963*-1)</f>
        <v>4684.1099999999997</v>
      </c>
      <c r="E963" t="s">
        <v>894</v>
      </c>
      <c r="F963" t="s">
        <v>1456</v>
      </c>
      <c r="G963" s="8">
        <v>44593</v>
      </c>
      <c r="H963" t="s">
        <v>513</v>
      </c>
      <c r="I963" t="s">
        <v>88</v>
      </c>
      <c r="J963" t="s">
        <v>28</v>
      </c>
      <c r="K963" t="s">
        <v>29</v>
      </c>
      <c r="L963" t="s">
        <v>895</v>
      </c>
      <c r="M963" t="s">
        <v>4402</v>
      </c>
      <c r="O963" t="s">
        <v>896</v>
      </c>
      <c r="P963" t="s">
        <v>33</v>
      </c>
      <c r="Q963" s="22">
        <v>4684.1099999999997</v>
      </c>
      <c r="R963" t="s">
        <v>35</v>
      </c>
      <c r="S963" t="s">
        <v>35</v>
      </c>
      <c r="T963" t="s">
        <v>35</v>
      </c>
      <c r="U963" t="s">
        <v>35</v>
      </c>
      <c r="V963" t="s">
        <v>645</v>
      </c>
      <c r="W963" t="s">
        <v>113</v>
      </c>
    </row>
    <row r="964" spans="1:23" hidden="1" x14ac:dyDescent="0.25">
      <c r="A964" s="7" t="str">
        <f>IFERROR(VLOOKUP(H964,'Contas Orç'!A:B,2,0),"N/A")</f>
        <v>OUTROS GASTOS COM PESSOAL</v>
      </c>
      <c r="B964" s="7" t="str">
        <f t="shared" si="30"/>
        <v>320104 - OUTROS GASTOS COM PESSOAL</v>
      </c>
      <c r="C964" s="25">
        <f t="shared" si="31"/>
        <v>44593</v>
      </c>
      <c r="D964" s="27">
        <f>IF(K964="CREDITO",Q964,Q964*-1)</f>
        <v>826.29</v>
      </c>
      <c r="E964" t="s">
        <v>894</v>
      </c>
      <c r="F964" t="s">
        <v>1457</v>
      </c>
      <c r="G964" s="8">
        <v>44593</v>
      </c>
      <c r="H964" t="s">
        <v>513</v>
      </c>
      <c r="I964" t="s">
        <v>27</v>
      </c>
      <c r="J964" t="s">
        <v>28</v>
      </c>
      <c r="K964" t="s">
        <v>29</v>
      </c>
      <c r="L964" t="s">
        <v>895</v>
      </c>
      <c r="M964" t="s">
        <v>4402</v>
      </c>
      <c r="O964" t="s">
        <v>896</v>
      </c>
      <c r="P964" t="s">
        <v>33</v>
      </c>
      <c r="Q964">
        <v>826.29</v>
      </c>
      <c r="R964" t="s">
        <v>35</v>
      </c>
      <c r="S964" t="s">
        <v>35</v>
      </c>
      <c r="T964" t="s">
        <v>35</v>
      </c>
      <c r="U964" t="s">
        <v>35</v>
      </c>
      <c r="V964" t="s">
        <v>645</v>
      </c>
      <c r="W964" t="s">
        <v>113</v>
      </c>
    </row>
    <row r="965" spans="1:23" hidden="1" x14ac:dyDescent="0.25">
      <c r="A965" s="7" t="str">
        <f>IFERROR(VLOOKUP(H965,'Contas Orç'!A:B,2,0),"N/A")</f>
        <v>OUTROS GASTOS COM PESSOAL</v>
      </c>
      <c r="B965" s="7" t="str">
        <f t="shared" si="30"/>
        <v>320104 - OUTROS GASTOS COM PESSOAL</v>
      </c>
      <c r="C965" s="25">
        <f t="shared" si="31"/>
        <v>44593</v>
      </c>
      <c r="D965" s="27">
        <f>IF(K965="CREDITO",Q965,Q965*-1)</f>
        <v>6043.2</v>
      </c>
      <c r="E965" t="s">
        <v>894</v>
      </c>
      <c r="F965" t="s">
        <v>1458</v>
      </c>
      <c r="G965" s="8">
        <v>44593</v>
      </c>
      <c r="H965" t="s">
        <v>513</v>
      </c>
      <c r="I965" t="s">
        <v>106</v>
      </c>
      <c r="J965" t="s">
        <v>60</v>
      </c>
      <c r="K965" t="s">
        <v>29</v>
      </c>
      <c r="L965" t="s">
        <v>895</v>
      </c>
      <c r="M965" t="s">
        <v>4402</v>
      </c>
      <c r="O965" t="s">
        <v>896</v>
      </c>
      <c r="P965" t="s">
        <v>33</v>
      </c>
      <c r="Q965" s="22">
        <v>6043.2</v>
      </c>
      <c r="R965" t="s">
        <v>35</v>
      </c>
      <c r="S965" t="s">
        <v>35</v>
      </c>
      <c r="T965" t="s">
        <v>35</v>
      </c>
      <c r="U965" t="s">
        <v>35</v>
      </c>
      <c r="V965" t="s">
        <v>645</v>
      </c>
      <c r="W965" t="s">
        <v>113</v>
      </c>
    </row>
    <row r="966" spans="1:23" hidden="1" x14ac:dyDescent="0.25">
      <c r="A966" s="7" t="str">
        <f>IFERROR(VLOOKUP(H966,'Contas Orç'!A:B,2,0),"N/A")</f>
        <v>OUTROS GASTOS COM PESSOAL</v>
      </c>
      <c r="B966" s="7" t="str">
        <f t="shared" si="30"/>
        <v>320104 - OUTROS GASTOS COM PESSOAL</v>
      </c>
      <c r="C966" s="25">
        <f t="shared" si="31"/>
        <v>44593</v>
      </c>
      <c r="D966" s="27">
        <f>IF(K966="CREDITO",Q966,Q966*-1)</f>
        <v>24500.04</v>
      </c>
      <c r="E966" t="s">
        <v>894</v>
      </c>
      <c r="F966" t="s">
        <v>1459</v>
      </c>
      <c r="G966" s="8">
        <v>44593</v>
      </c>
      <c r="H966" t="s">
        <v>513</v>
      </c>
      <c r="I966" t="s">
        <v>59</v>
      </c>
      <c r="J966" t="s">
        <v>60</v>
      </c>
      <c r="K966" t="s">
        <v>29</v>
      </c>
      <c r="L966" t="s">
        <v>895</v>
      </c>
      <c r="M966" t="s">
        <v>4402</v>
      </c>
      <c r="O966" t="s">
        <v>896</v>
      </c>
      <c r="P966" t="s">
        <v>33</v>
      </c>
      <c r="Q966" s="22">
        <v>24500.04</v>
      </c>
      <c r="R966" t="s">
        <v>35</v>
      </c>
      <c r="S966" t="s">
        <v>35</v>
      </c>
      <c r="T966" t="s">
        <v>35</v>
      </c>
      <c r="U966" t="s">
        <v>35</v>
      </c>
      <c r="V966" t="s">
        <v>645</v>
      </c>
      <c r="W966" t="s">
        <v>113</v>
      </c>
    </row>
    <row r="967" spans="1:23" hidden="1" x14ac:dyDescent="0.25">
      <c r="A967" s="7" t="str">
        <f>IFERROR(VLOOKUP(H967,'Contas Orç'!A:B,2,0),"N/A")</f>
        <v>OUTROS GASTOS COM PESSOAL</v>
      </c>
      <c r="B967" s="7" t="str">
        <f t="shared" si="30"/>
        <v>320104 - OUTROS GASTOS COM PESSOAL</v>
      </c>
      <c r="C967" s="25">
        <f t="shared" si="31"/>
        <v>44593</v>
      </c>
      <c r="D967" s="27">
        <f>IF(K967="CREDITO",Q967,Q967*-1)</f>
        <v>3238.7</v>
      </c>
      <c r="E967" t="s">
        <v>894</v>
      </c>
      <c r="F967" t="s">
        <v>1460</v>
      </c>
      <c r="G967" s="8">
        <v>44593</v>
      </c>
      <c r="H967" t="s">
        <v>513</v>
      </c>
      <c r="I967" t="s">
        <v>59</v>
      </c>
      <c r="J967" t="s">
        <v>107</v>
      </c>
      <c r="K967" t="s">
        <v>29</v>
      </c>
      <c r="L967" t="s">
        <v>895</v>
      </c>
      <c r="M967" t="s">
        <v>4402</v>
      </c>
      <c r="O967" t="s">
        <v>896</v>
      </c>
      <c r="P967" t="s">
        <v>33</v>
      </c>
      <c r="Q967" s="22">
        <v>3238.7</v>
      </c>
      <c r="R967" t="s">
        <v>35</v>
      </c>
      <c r="S967" t="s">
        <v>35</v>
      </c>
      <c r="T967" t="s">
        <v>35</v>
      </c>
      <c r="U967" t="s">
        <v>35</v>
      </c>
      <c r="V967" t="s">
        <v>645</v>
      </c>
      <c r="W967" t="s">
        <v>113</v>
      </c>
    </row>
    <row r="968" spans="1:23" hidden="1" x14ac:dyDescent="0.25">
      <c r="A968" s="7" t="str">
        <f>IFERROR(VLOOKUP(H968,'Contas Orç'!A:B,2,0),"N/A")</f>
        <v>OUTROS GASTOS COM PESSOAL</v>
      </c>
      <c r="B968" s="7" t="str">
        <f t="shared" si="30"/>
        <v>320104 - OUTROS GASTOS COM PESSOAL</v>
      </c>
      <c r="C968" s="25">
        <f t="shared" si="31"/>
        <v>44593</v>
      </c>
      <c r="D968" s="27">
        <f>IF(K968="CREDITO",Q968,Q968*-1)</f>
        <v>5.92</v>
      </c>
      <c r="E968" t="s">
        <v>894</v>
      </c>
      <c r="F968" t="s">
        <v>1461</v>
      </c>
      <c r="G968" s="8">
        <v>44593</v>
      </c>
      <c r="H968" t="s">
        <v>513</v>
      </c>
      <c r="I968" t="s">
        <v>53</v>
      </c>
      <c r="J968" t="s">
        <v>54</v>
      </c>
      <c r="K968" t="s">
        <v>29</v>
      </c>
      <c r="L968" t="s">
        <v>895</v>
      </c>
      <c r="M968" t="s">
        <v>4402</v>
      </c>
      <c r="O968" t="s">
        <v>896</v>
      </c>
      <c r="P968" t="s">
        <v>33</v>
      </c>
      <c r="Q968">
        <v>5.92</v>
      </c>
      <c r="R968" t="s">
        <v>35</v>
      </c>
      <c r="S968" t="s">
        <v>35</v>
      </c>
      <c r="T968" t="s">
        <v>35</v>
      </c>
      <c r="U968" t="s">
        <v>35</v>
      </c>
      <c r="V968" t="s">
        <v>645</v>
      </c>
      <c r="W968" t="s">
        <v>113</v>
      </c>
    </row>
    <row r="969" spans="1:23" hidden="1" x14ac:dyDescent="0.25">
      <c r="A969" s="7" t="str">
        <f>IFERROR(VLOOKUP(H969,'Contas Orç'!A:B,2,0),"N/A")</f>
        <v>OUTROS GASTOS COM PESSOAL</v>
      </c>
      <c r="B969" s="7" t="str">
        <f t="shared" si="30"/>
        <v>320104 - OUTROS GASTOS COM PESSOAL</v>
      </c>
      <c r="C969" s="25">
        <f t="shared" si="31"/>
        <v>44652</v>
      </c>
      <c r="D969" s="27">
        <f>IF(K969="CREDITO",Q969,Q969*-1)</f>
        <v>2114.2600000000002</v>
      </c>
      <c r="E969" t="s">
        <v>894</v>
      </c>
      <c r="F969" t="s">
        <v>1462</v>
      </c>
      <c r="G969" s="8">
        <v>44652</v>
      </c>
      <c r="H969" t="s">
        <v>513</v>
      </c>
      <c r="I969" t="s">
        <v>88</v>
      </c>
      <c r="J969" t="s">
        <v>28</v>
      </c>
      <c r="K969" t="s">
        <v>29</v>
      </c>
      <c r="L969" t="s">
        <v>895</v>
      </c>
      <c r="M969" t="s">
        <v>4402</v>
      </c>
      <c r="O969" t="s">
        <v>896</v>
      </c>
      <c r="P969" t="s">
        <v>33</v>
      </c>
      <c r="Q969" s="22">
        <v>2114.2600000000002</v>
      </c>
      <c r="R969" t="s">
        <v>35</v>
      </c>
      <c r="S969" t="s">
        <v>35</v>
      </c>
      <c r="T969" t="s">
        <v>35</v>
      </c>
      <c r="U969" t="s">
        <v>35</v>
      </c>
      <c r="V969" t="s">
        <v>645</v>
      </c>
      <c r="W969" t="s">
        <v>113</v>
      </c>
    </row>
    <row r="970" spans="1:23" hidden="1" x14ac:dyDescent="0.25">
      <c r="A970" s="7" t="str">
        <f>IFERROR(VLOOKUP(H970,'Contas Orç'!A:B,2,0),"N/A")</f>
        <v>OUTROS GASTOS COM PESSOAL</v>
      </c>
      <c r="B970" s="7" t="str">
        <f t="shared" si="30"/>
        <v>320104 - OUTROS GASTOS COM PESSOAL</v>
      </c>
      <c r="C970" s="25">
        <f t="shared" si="31"/>
        <v>44652</v>
      </c>
      <c r="D970" s="27">
        <f>IF(K970="CREDITO",Q970,Q970*-1)</f>
        <v>1349.37</v>
      </c>
      <c r="E970" t="s">
        <v>894</v>
      </c>
      <c r="F970" t="s">
        <v>1463</v>
      </c>
      <c r="G970" s="8">
        <v>44652</v>
      </c>
      <c r="H970" t="s">
        <v>513</v>
      </c>
      <c r="I970" t="s">
        <v>27</v>
      </c>
      <c r="J970" t="s">
        <v>28</v>
      </c>
      <c r="K970" t="s">
        <v>29</v>
      </c>
      <c r="L970" t="s">
        <v>895</v>
      </c>
      <c r="M970" t="s">
        <v>4402</v>
      </c>
      <c r="O970" t="s">
        <v>896</v>
      </c>
      <c r="P970" t="s">
        <v>33</v>
      </c>
      <c r="Q970" s="22">
        <v>1349.37</v>
      </c>
      <c r="R970" t="s">
        <v>35</v>
      </c>
      <c r="S970" t="s">
        <v>35</v>
      </c>
      <c r="T970" t="s">
        <v>35</v>
      </c>
      <c r="U970" t="s">
        <v>35</v>
      </c>
      <c r="V970" t="s">
        <v>645</v>
      </c>
      <c r="W970" t="s">
        <v>113</v>
      </c>
    </row>
    <row r="971" spans="1:23" hidden="1" x14ac:dyDescent="0.25">
      <c r="A971" s="7" t="str">
        <f>IFERROR(VLOOKUP(H971,'Contas Orç'!A:B,2,0),"N/A")</f>
        <v>OUTROS GASTOS COM PESSOAL</v>
      </c>
      <c r="B971" s="7" t="str">
        <f t="shared" si="30"/>
        <v>320104 - OUTROS GASTOS COM PESSOAL</v>
      </c>
      <c r="C971" s="25">
        <f t="shared" si="31"/>
        <v>44652</v>
      </c>
      <c r="D971" s="27">
        <f>IF(K971="CREDITO",Q971,Q971*-1)</f>
        <v>3.32</v>
      </c>
      <c r="E971" t="s">
        <v>894</v>
      </c>
      <c r="F971" t="s">
        <v>1464</v>
      </c>
      <c r="G971" s="8">
        <v>44652</v>
      </c>
      <c r="H971" t="s">
        <v>513</v>
      </c>
      <c r="I971" t="s">
        <v>53</v>
      </c>
      <c r="J971" t="s">
        <v>60</v>
      </c>
      <c r="K971" t="s">
        <v>29</v>
      </c>
      <c r="L971" t="s">
        <v>895</v>
      </c>
      <c r="M971" t="s">
        <v>4402</v>
      </c>
      <c r="O971" t="s">
        <v>896</v>
      </c>
      <c r="P971" t="s">
        <v>33</v>
      </c>
      <c r="Q971">
        <v>3.32</v>
      </c>
      <c r="R971" t="s">
        <v>35</v>
      </c>
      <c r="S971" t="s">
        <v>35</v>
      </c>
      <c r="T971" t="s">
        <v>35</v>
      </c>
      <c r="U971" t="s">
        <v>35</v>
      </c>
      <c r="V971" t="s">
        <v>645</v>
      </c>
      <c r="W971" t="s">
        <v>113</v>
      </c>
    </row>
    <row r="972" spans="1:23" hidden="1" x14ac:dyDescent="0.25">
      <c r="A972" s="7" t="str">
        <f>IFERROR(VLOOKUP(H972,'Contas Orç'!A:B,2,0),"N/A")</f>
        <v>OUTROS GASTOS COM PESSOAL</v>
      </c>
      <c r="B972" s="7" t="str">
        <f t="shared" si="30"/>
        <v>320104 - OUTROS GASTOS COM PESSOAL</v>
      </c>
      <c r="C972" s="25">
        <f t="shared" si="31"/>
        <v>44652</v>
      </c>
      <c r="D972" s="27">
        <f>IF(K972="CREDITO",Q972,Q972*-1)</f>
        <v>6900.76</v>
      </c>
      <c r="E972" t="s">
        <v>894</v>
      </c>
      <c r="F972" t="s">
        <v>1465</v>
      </c>
      <c r="G972" s="8">
        <v>44652</v>
      </c>
      <c r="H972" t="s">
        <v>513</v>
      </c>
      <c r="I972" t="s">
        <v>106</v>
      </c>
      <c r="J972" t="s">
        <v>60</v>
      </c>
      <c r="K972" t="s">
        <v>29</v>
      </c>
      <c r="L972" t="s">
        <v>895</v>
      </c>
      <c r="M972" t="s">
        <v>4402</v>
      </c>
      <c r="O972" t="s">
        <v>896</v>
      </c>
      <c r="P972" t="s">
        <v>33</v>
      </c>
      <c r="Q972" s="22">
        <v>6900.76</v>
      </c>
      <c r="R972" t="s">
        <v>35</v>
      </c>
      <c r="S972" t="s">
        <v>35</v>
      </c>
      <c r="T972" t="s">
        <v>35</v>
      </c>
      <c r="U972" t="s">
        <v>35</v>
      </c>
      <c r="V972" t="s">
        <v>645</v>
      </c>
      <c r="W972" t="s">
        <v>113</v>
      </c>
    </row>
    <row r="973" spans="1:23" hidden="1" x14ac:dyDescent="0.25">
      <c r="A973" s="7" t="str">
        <f>IFERROR(VLOOKUP(H973,'Contas Orç'!A:B,2,0),"N/A")</f>
        <v>OUTROS GASTOS COM PESSOAL</v>
      </c>
      <c r="B973" s="7" t="str">
        <f t="shared" si="30"/>
        <v>320104 - OUTROS GASTOS COM PESSOAL</v>
      </c>
      <c r="C973" s="25">
        <f t="shared" si="31"/>
        <v>44652</v>
      </c>
      <c r="D973" s="27">
        <f>IF(K973="CREDITO",Q973,Q973*-1)</f>
        <v>14517.33</v>
      </c>
      <c r="E973" t="s">
        <v>894</v>
      </c>
      <c r="F973" t="s">
        <v>1466</v>
      </c>
      <c r="G973" s="8">
        <v>44652</v>
      </c>
      <c r="H973" t="s">
        <v>513</v>
      </c>
      <c r="I973" t="s">
        <v>59</v>
      </c>
      <c r="J973" t="s">
        <v>60</v>
      </c>
      <c r="K973" t="s">
        <v>29</v>
      </c>
      <c r="L973" t="s">
        <v>895</v>
      </c>
      <c r="M973" t="s">
        <v>4402</v>
      </c>
      <c r="O973" t="s">
        <v>896</v>
      </c>
      <c r="P973" t="s">
        <v>33</v>
      </c>
      <c r="Q973" s="22">
        <v>14517.33</v>
      </c>
      <c r="R973" t="s">
        <v>35</v>
      </c>
      <c r="S973" t="s">
        <v>35</v>
      </c>
      <c r="T973" t="s">
        <v>35</v>
      </c>
      <c r="U973" t="s">
        <v>35</v>
      </c>
      <c r="V973" t="s">
        <v>645</v>
      </c>
      <c r="W973" t="s">
        <v>113</v>
      </c>
    </row>
    <row r="974" spans="1:23" hidden="1" x14ac:dyDescent="0.25">
      <c r="A974" s="7" t="str">
        <f>IFERROR(VLOOKUP(H974,'Contas Orç'!A:B,2,0),"N/A")</f>
        <v>OUTROS GASTOS COM PESSOAL</v>
      </c>
      <c r="B974" s="7" t="str">
        <f t="shared" si="30"/>
        <v>320104 - OUTROS GASTOS COM PESSOAL</v>
      </c>
      <c r="C974" s="25">
        <f t="shared" si="31"/>
        <v>44652</v>
      </c>
      <c r="D974" s="27">
        <f>IF(K974="CREDITO",Q974,Q974*-1)</f>
        <v>309.92</v>
      </c>
      <c r="E974" t="s">
        <v>894</v>
      </c>
      <c r="F974" t="s">
        <v>1467</v>
      </c>
      <c r="G974" s="8">
        <v>44652</v>
      </c>
      <c r="H974" t="s">
        <v>513</v>
      </c>
      <c r="I974" t="s">
        <v>106</v>
      </c>
      <c r="J974" t="s">
        <v>107</v>
      </c>
      <c r="K974" t="s">
        <v>29</v>
      </c>
      <c r="L974" t="s">
        <v>895</v>
      </c>
      <c r="M974" t="s">
        <v>4402</v>
      </c>
      <c r="O974" t="s">
        <v>896</v>
      </c>
      <c r="P974" t="s">
        <v>33</v>
      </c>
      <c r="Q974">
        <v>309.92</v>
      </c>
      <c r="R974" t="s">
        <v>35</v>
      </c>
      <c r="S974" t="s">
        <v>35</v>
      </c>
      <c r="T974" t="s">
        <v>35</v>
      </c>
      <c r="U974" t="s">
        <v>35</v>
      </c>
      <c r="V974" t="s">
        <v>645</v>
      </c>
      <c r="W974" t="s">
        <v>113</v>
      </c>
    </row>
    <row r="975" spans="1:23" hidden="1" x14ac:dyDescent="0.25">
      <c r="A975" s="7" t="str">
        <f>IFERROR(VLOOKUP(H975,'Contas Orç'!A:B,2,0),"N/A")</f>
        <v>OUTROS GASTOS COM PESSOAL</v>
      </c>
      <c r="B975" s="7" t="str">
        <f t="shared" si="30"/>
        <v>320104 - OUTROS GASTOS COM PESSOAL</v>
      </c>
      <c r="C975" s="25">
        <f t="shared" si="31"/>
        <v>44652</v>
      </c>
      <c r="D975" s="27">
        <f>IF(K975="CREDITO",Q975,Q975*-1)</f>
        <v>2735.86</v>
      </c>
      <c r="E975" t="s">
        <v>894</v>
      </c>
      <c r="F975" t="s">
        <v>1468</v>
      </c>
      <c r="G975" s="8">
        <v>44652</v>
      </c>
      <c r="H975" t="s">
        <v>513</v>
      </c>
      <c r="I975" t="s">
        <v>59</v>
      </c>
      <c r="J975" t="s">
        <v>107</v>
      </c>
      <c r="K975" t="s">
        <v>29</v>
      </c>
      <c r="L975" t="s">
        <v>895</v>
      </c>
      <c r="M975" t="s">
        <v>4402</v>
      </c>
      <c r="O975" t="s">
        <v>896</v>
      </c>
      <c r="P975" t="s">
        <v>33</v>
      </c>
      <c r="Q975" s="22">
        <v>2735.86</v>
      </c>
      <c r="R975" t="s">
        <v>35</v>
      </c>
      <c r="S975" t="s">
        <v>35</v>
      </c>
      <c r="T975" t="s">
        <v>35</v>
      </c>
      <c r="U975" t="s">
        <v>35</v>
      </c>
      <c r="V975" t="s">
        <v>645</v>
      </c>
      <c r="W975" t="s">
        <v>113</v>
      </c>
    </row>
    <row r="976" spans="1:23" hidden="1" x14ac:dyDescent="0.25">
      <c r="A976" s="7" t="str">
        <f>IFERROR(VLOOKUP(H976,'Contas Orç'!A:B,2,0),"N/A")</f>
        <v>OUTROS GASTOS COM PESSOAL</v>
      </c>
      <c r="B976" s="7" t="str">
        <f t="shared" si="30"/>
        <v>320104 - OUTROS GASTOS COM PESSOAL</v>
      </c>
      <c r="C976" s="25">
        <f t="shared" si="31"/>
        <v>44652</v>
      </c>
      <c r="D976" s="27">
        <f>IF(K976="CREDITO",Q976,Q976*-1)</f>
        <v>116.51</v>
      </c>
      <c r="E976" t="s">
        <v>894</v>
      </c>
      <c r="F976" t="s">
        <v>1469</v>
      </c>
      <c r="G976" s="8">
        <v>44652</v>
      </c>
      <c r="H976" t="s">
        <v>513</v>
      </c>
      <c r="I976" t="s">
        <v>53</v>
      </c>
      <c r="J976" t="s">
        <v>54</v>
      </c>
      <c r="K976" t="s">
        <v>29</v>
      </c>
      <c r="L976" t="s">
        <v>895</v>
      </c>
      <c r="M976" t="s">
        <v>4402</v>
      </c>
      <c r="O976" t="s">
        <v>896</v>
      </c>
      <c r="P976" t="s">
        <v>33</v>
      </c>
      <c r="Q976">
        <v>116.51</v>
      </c>
      <c r="R976" t="s">
        <v>35</v>
      </c>
      <c r="S976" t="s">
        <v>35</v>
      </c>
      <c r="T976" t="s">
        <v>35</v>
      </c>
      <c r="U976" t="s">
        <v>35</v>
      </c>
      <c r="V976" t="s">
        <v>645</v>
      </c>
      <c r="W976" t="s">
        <v>113</v>
      </c>
    </row>
    <row r="977" spans="1:23" hidden="1" x14ac:dyDescent="0.25">
      <c r="A977" s="7" t="str">
        <f>IFERROR(VLOOKUP(H977,'Contas Orç'!A:B,2,0),"N/A")</f>
        <v>OUTROS GASTOS COM PESSOAL</v>
      </c>
      <c r="B977" s="7" t="str">
        <f t="shared" si="30"/>
        <v>320104 - OUTROS GASTOS COM PESSOAL</v>
      </c>
      <c r="C977" s="25">
        <f t="shared" si="31"/>
        <v>44682</v>
      </c>
      <c r="D977" s="27">
        <f>IF(K977="CREDITO",Q977,Q977*-1)</f>
        <v>3586.55</v>
      </c>
      <c r="E977" t="s">
        <v>894</v>
      </c>
      <c r="F977" t="s">
        <v>1470</v>
      </c>
      <c r="G977" s="8">
        <v>44682</v>
      </c>
      <c r="H977" t="s">
        <v>513</v>
      </c>
      <c r="I977" t="s">
        <v>88</v>
      </c>
      <c r="J977" t="s">
        <v>28</v>
      </c>
      <c r="K977" t="s">
        <v>29</v>
      </c>
      <c r="L977" t="s">
        <v>895</v>
      </c>
      <c r="M977" t="s">
        <v>4402</v>
      </c>
      <c r="O977" t="s">
        <v>896</v>
      </c>
      <c r="P977" t="s">
        <v>33</v>
      </c>
      <c r="Q977" s="22">
        <v>3586.55</v>
      </c>
      <c r="R977" t="s">
        <v>35</v>
      </c>
      <c r="S977" t="s">
        <v>35</v>
      </c>
      <c r="T977" t="s">
        <v>35</v>
      </c>
      <c r="U977" t="s">
        <v>35</v>
      </c>
      <c r="V977" t="s">
        <v>645</v>
      </c>
      <c r="W977" t="s">
        <v>113</v>
      </c>
    </row>
    <row r="978" spans="1:23" hidden="1" x14ac:dyDescent="0.25">
      <c r="A978" s="7" t="str">
        <f>IFERROR(VLOOKUP(H978,'Contas Orç'!A:B,2,0),"N/A")</f>
        <v>OUTROS GASTOS COM PESSOAL</v>
      </c>
      <c r="B978" s="7" t="str">
        <f t="shared" si="30"/>
        <v>320104 - OUTROS GASTOS COM PESSOAL</v>
      </c>
      <c r="C978" s="25">
        <f t="shared" si="31"/>
        <v>44682</v>
      </c>
      <c r="D978" s="27">
        <f>IF(K978="CREDITO",Q978,Q978*-1)</f>
        <v>5351.69</v>
      </c>
      <c r="E978" t="s">
        <v>894</v>
      </c>
      <c r="F978" t="s">
        <v>1471</v>
      </c>
      <c r="G978" s="8">
        <v>44682</v>
      </c>
      <c r="H978" t="s">
        <v>513</v>
      </c>
      <c r="I978" t="s">
        <v>27</v>
      </c>
      <c r="J978" t="s">
        <v>28</v>
      </c>
      <c r="K978" t="s">
        <v>29</v>
      </c>
      <c r="L978" t="s">
        <v>895</v>
      </c>
      <c r="M978" t="s">
        <v>4402</v>
      </c>
      <c r="O978" t="s">
        <v>896</v>
      </c>
      <c r="P978" t="s">
        <v>33</v>
      </c>
      <c r="Q978" s="22">
        <v>5351.69</v>
      </c>
      <c r="R978" t="s">
        <v>35</v>
      </c>
      <c r="S978" t="s">
        <v>35</v>
      </c>
      <c r="T978" t="s">
        <v>35</v>
      </c>
      <c r="U978" t="s">
        <v>35</v>
      </c>
      <c r="V978" t="s">
        <v>645</v>
      </c>
      <c r="W978" t="s">
        <v>113</v>
      </c>
    </row>
    <row r="979" spans="1:23" hidden="1" x14ac:dyDescent="0.25">
      <c r="A979" s="7" t="str">
        <f>IFERROR(VLOOKUP(H979,'Contas Orç'!A:B,2,0),"N/A")</f>
        <v>OUTROS GASTOS COM PESSOAL</v>
      </c>
      <c r="B979" s="7" t="str">
        <f t="shared" si="30"/>
        <v>320104 - OUTROS GASTOS COM PESSOAL</v>
      </c>
      <c r="C979" s="25">
        <f t="shared" si="31"/>
        <v>44682</v>
      </c>
      <c r="D979" s="27">
        <f>IF(K979="CREDITO",Q979,Q979*-1)</f>
        <v>2847.08</v>
      </c>
      <c r="E979" t="s">
        <v>894</v>
      </c>
      <c r="F979" t="s">
        <v>1472</v>
      </c>
      <c r="G979" s="8">
        <v>44682</v>
      </c>
      <c r="H979" t="s">
        <v>513</v>
      </c>
      <c r="I979" t="s">
        <v>106</v>
      </c>
      <c r="J979" t="s">
        <v>60</v>
      </c>
      <c r="K979" t="s">
        <v>29</v>
      </c>
      <c r="L979" t="s">
        <v>895</v>
      </c>
      <c r="M979" t="s">
        <v>4402</v>
      </c>
      <c r="O979" t="s">
        <v>896</v>
      </c>
      <c r="P979" t="s">
        <v>33</v>
      </c>
      <c r="Q979" s="22">
        <v>2847.08</v>
      </c>
      <c r="R979" t="s">
        <v>35</v>
      </c>
      <c r="S979" t="s">
        <v>35</v>
      </c>
      <c r="T979" t="s">
        <v>35</v>
      </c>
      <c r="U979" t="s">
        <v>35</v>
      </c>
      <c r="V979" t="s">
        <v>645</v>
      </c>
      <c r="W979" t="s">
        <v>113</v>
      </c>
    </row>
    <row r="980" spans="1:23" hidden="1" x14ac:dyDescent="0.25">
      <c r="A980" s="7" t="str">
        <f>IFERROR(VLOOKUP(H980,'Contas Orç'!A:B,2,0),"N/A")</f>
        <v>OUTROS GASTOS COM PESSOAL</v>
      </c>
      <c r="B980" s="7" t="str">
        <f t="shared" si="30"/>
        <v>320104 - OUTROS GASTOS COM PESSOAL</v>
      </c>
      <c r="C980" s="25">
        <f t="shared" si="31"/>
        <v>44682</v>
      </c>
      <c r="D980" s="27">
        <f>IF(K980="CREDITO",Q980,Q980*-1)</f>
        <v>17154.04</v>
      </c>
      <c r="E980" t="s">
        <v>894</v>
      </c>
      <c r="F980" t="s">
        <v>1473</v>
      </c>
      <c r="G980" s="8">
        <v>44682</v>
      </c>
      <c r="H980" t="s">
        <v>513</v>
      </c>
      <c r="I980" t="s">
        <v>59</v>
      </c>
      <c r="J980" t="s">
        <v>60</v>
      </c>
      <c r="K980" t="s">
        <v>29</v>
      </c>
      <c r="L980" t="s">
        <v>895</v>
      </c>
      <c r="M980" t="s">
        <v>4402</v>
      </c>
      <c r="O980" t="s">
        <v>896</v>
      </c>
      <c r="P980" t="s">
        <v>33</v>
      </c>
      <c r="Q980" s="22">
        <v>17154.04</v>
      </c>
      <c r="R980" t="s">
        <v>35</v>
      </c>
      <c r="S980" t="s">
        <v>35</v>
      </c>
      <c r="T980" t="s">
        <v>35</v>
      </c>
      <c r="U980" t="s">
        <v>35</v>
      </c>
      <c r="V980" t="s">
        <v>645</v>
      </c>
      <c r="W980" t="s">
        <v>113</v>
      </c>
    </row>
    <row r="981" spans="1:23" hidden="1" x14ac:dyDescent="0.25">
      <c r="A981" s="7" t="str">
        <f>IFERROR(VLOOKUP(H981,'Contas Orç'!A:B,2,0),"N/A")</f>
        <v>OUTROS GASTOS COM PESSOAL</v>
      </c>
      <c r="B981" s="7" t="str">
        <f t="shared" si="30"/>
        <v>320104 - OUTROS GASTOS COM PESSOAL</v>
      </c>
      <c r="C981" s="25">
        <f t="shared" si="31"/>
        <v>44682</v>
      </c>
      <c r="D981" s="27">
        <f>IF(K981="CREDITO",Q981,Q981*-1)</f>
        <v>40.11</v>
      </c>
      <c r="E981" t="s">
        <v>894</v>
      </c>
      <c r="F981" t="s">
        <v>1474</v>
      </c>
      <c r="G981" s="8">
        <v>44682</v>
      </c>
      <c r="H981" t="s">
        <v>513</v>
      </c>
      <c r="I981" t="s">
        <v>106</v>
      </c>
      <c r="J981" t="s">
        <v>107</v>
      </c>
      <c r="K981" t="s">
        <v>29</v>
      </c>
      <c r="L981" t="s">
        <v>895</v>
      </c>
      <c r="M981" t="s">
        <v>4402</v>
      </c>
      <c r="O981" t="s">
        <v>896</v>
      </c>
      <c r="P981" t="s">
        <v>33</v>
      </c>
      <c r="Q981">
        <v>40.11</v>
      </c>
      <c r="R981" t="s">
        <v>35</v>
      </c>
      <c r="S981" t="s">
        <v>35</v>
      </c>
      <c r="T981" t="s">
        <v>35</v>
      </c>
      <c r="U981" t="s">
        <v>35</v>
      </c>
      <c r="V981" t="s">
        <v>645</v>
      </c>
      <c r="W981" t="s">
        <v>113</v>
      </c>
    </row>
    <row r="982" spans="1:23" hidden="1" x14ac:dyDescent="0.25">
      <c r="A982" s="7" t="str">
        <f>IFERROR(VLOOKUP(H982,'Contas Orç'!A:B,2,0),"N/A")</f>
        <v>OUTROS GASTOS COM PESSOAL</v>
      </c>
      <c r="B982" s="7" t="str">
        <f t="shared" si="30"/>
        <v>320104 - OUTROS GASTOS COM PESSOAL</v>
      </c>
      <c r="C982" s="25">
        <f t="shared" si="31"/>
        <v>44682</v>
      </c>
      <c r="D982" s="27">
        <f>IF(K982="CREDITO",Q982,Q982*-1)</f>
        <v>9378.0499999999993</v>
      </c>
      <c r="E982" t="s">
        <v>894</v>
      </c>
      <c r="F982" t="s">
        <v>1475</v>
      </c>
      <c r="G982" s="8">
        <v>44682</v>
      </c>
      <c r="H982" t="s">
        <v>513</v>
      </c>
      <c r="I982" t="s">
        <v>59</v>
      </c>
      <c r="J982" t="s">
        <v>107</v>
      </c>
      <c r="K982" t="s">
        <v>29</v>
      </c>
      <c r="L982" t="s">
        <v>895</v>
      </c>
      <c r="M982" t="s">
        <v>4402</v>
      </c>
      <c r="O982" t="s">
        <v>896</v>
      </c>
      <c r="P982" t="s">
        <v>33</v>
      </c>
      <c r="Q982" s="22">
        <v>9378.0499999999993</v>
      </c>
      <c r="R982" t="s">
        <v>35</v>
      </c>
      <c r="S982" t="s">
        <v>35</v>
      </c>
      <c r="T982" t="s">
        <v>35</v>
      </c>
      <c r="U982" t="s">
        <v>35</v>
      </c>
      <c r="V982" t="s">
        <v>645</v>
      </c>
      <c r="W982" t="s">
        <v>113</v>
      </c>
    </row>
    <row r="983" spans="1:23" hidden="1" x14ac:dyDescent="0.25">
      <c r="A983" s="7" t="str">
        <f>IFERROR(VLOOKUP(H983,'Contas Orç'!A:B,2,0),"N/A")</f>
        <v>OUTROS GASTOS COM PESSOAL</v>
      </c>
      <c r="B983" s="7" t="str">
        <f t="shared" si="30"/>
        <v>320104 - OUTROS GASTOS COM PESSOAL</v>
      </c>
      <c r="C983" s="25">
        <f t="shared" si="31"/>
        <v>44713</v>
      </c>
      <c r="D983" s="27">
        <f>IF(K983="CREDITO",Q983,Q983*-1)</f>
        <v>3830.73</v>
      </c>
      <c r="E983" t="s">
        <v>894</v>
      </c>
      <c r="F983" t="s">
        <v>1476</v>
      </c>
      <c r="G983" s="8">
        <v>44713</v>
      </c>
      <c r="H983" t="s">
        <v>513</v>
      </c>
      <c r="I983" t="s">
        <v>88</v>
      </c>
      <c r="J983" t="s">
        <v>28</v>
      </c>
      <c r="K983" t="s">
        <v>29</v>
      </c>
      <c r="L983" t="s">
        <v>895</v>
      </c>
      <c r="M983" t="s">
        <v>4402</v>
      </c>
      <c r="O983" t="s">
        <v>896</v>
      </c>
      <c r="P983" t="s">
        <v>33</v>
      </c>
      <c r="Q983" s="22">
        <v>3830.73</v>
      </c>
      <c r="R983" t="s">
        <v>35</v>
      </c>
      <c r="S983" t="s">
        <v>35</v>
      </c>
      <c r="T983" t="s">
        <v>35</v>
      </c>
      <c r="U983" t="s">
        <v>35</v>
      </c>
      <c r="V983" t="s">
        <v>645</v>
      </c>
      <c r="W983" t="s">
        <v>113</v>
      </c>
    </row>
    <row r="984" spans="1:23" hidden="1" x14ac:dyDescent="0.25">
      <c r="A984" s="7" t="str">
        <f>IFERROR(VLOOKUP(H984,'Contas Orç'!A:B,2,0),"N/A")</f>
        <v>OUTROS GASTOS COM PESSOAL</v>
      </c>
      <c r="B984" s="7" t="str">
        <f t="shared" si="30"/>
        <v>320104 - OUTROS GASTOS COM PESSOAL</v>
      </c>
      <c r="C984" s="25">
        <f t="shared" si="31"/>
        <v>44713</v>
      </c>
      <c r="D984" s="27">
        <f>IF(K984="CREDITO",Q984,Q984*-1)</f>
        <v>6408.94</v>
      </c>
      <c r="E984" t="s">
        <v>894</v>
      </c>
      <c r="F984" t="s">
        <v>1477</v>
      </c>
      <c r="G984" s="8">
        <v>44713</v>
      </c>
      <c r="H984" t="s">
        <v>513</v>
      </c>
      <c r="I984" t="s">
        <v>27</v>
      </c>
      <c r="J984" t="s">
        <v>28</v>
      </c>
      <c r="K984" t="s">
        <v>29</v>
      </c>
      <c r="L984" t="s">
        <v>895</v>
      </c>
      <c r="M984" t="s">
        <v>4402</v>
      </c>
      <c r="O984" t="s">
        <v>896</v>
      </c>
      <c r="P984" t="s">
        <v>33</v>
      </c>
      <c r="Q984" s="22">
        <v>6408.94</v>
      </c>
      <c r="R984" t="s">
        <v>35</v>
      </c>
      <c r="S984" t="s">
        <v>35</v>
      </c>
      <c r="T984" t="s">
        <v>35</v>
      </c>
      <c r="U984" t="s">
        <v>35</v>
      </c>
      <c r="V984" t="s">
        <v>645</v>
      </c>
      <c r="W984" t="s">
        <v>113</v>
      </c>
    </row>
    <row r="985" spans="1:23" hidden="1" x14ac:dyDescent="0.25">
      <c r="A985" s="7" t="str">
        <f>IFERROR(VLOOKUP(H985,'Contas Orç'!A:B,2,0),"N/A")</f>
        <v>OUTROS GASTOS COM PESSOAL</v>
      </c>
      <c r="B985" s="7" t="str">
        <f t="shared" si="30"/>
        <v>320104 - OUTROS GASTOS COM PESSOAL</v>
      </c>
      <c r="C985" s="25">
        <f t="shared" si="31"/>
        <v>44713</v>
      </c>
      <c r="D985" s="27">
        <f>IF(K985="CREDITO",Q985,Q985*-1)</f>
        <v>10378.129999999999</v>
      </c>
      <c r="E985" t="s">
        <v>894</v>
      </c>
      <c r="F985" t="s">
        <v>1478</v>
      </c>
      <c r="G985" s="8">
        <v>44713</v>
      </c>
      <c r="H985" t="s">
        <v>513</v>
      </c>
      <c r="I985" t="s">
        <v>106</v>
      </c>
      <c r="J985" t="s">
        <v>60</v>
      </c>
      <c r="K985" t="s">
        <v>29</v>
      </c>
      <c r="L985" t="s">
        <v>895</v>
      </c>
      <c r="M985" t="s">
        <v>4402</v>
      </c>
      <c r="O985" t="s">
        <v>896</v>
      </c>
      <c r="P985" t="s">
        <v>33</v>
      </c>
      <c r="Q985" s="22">
        <v>10378.129999999999</v>
      </c>
      <c r="R985" t="s">
        <v>35</v>
      </c>
      <c r="S985" t="s">
        <v>35</v>
      </c>
      <c r="T985" t="s">
        <v>35</v>
      </c>
      <c r="U985" t="s">
        <v>35</v>
      </c>
      <c r="V985" t="s">
        <v>645</v>
      </c>
      <c r="W985" t="s">
        <v>113</v>
      </c>
    </row>
    <row r="986" spans="1:23" hidden="1" x14ac:dyDescent="0.25">
      <c r="A986" s="7" t="str">
        <f>IFERROR(VLOOKUP(H986,'Contas Orç'!A:B,2,0),"N/A")</f>
        <v>OUTROS GASTOS COM PESSOAL</v>
      </c>
      <c r="B986" s="7" t="str">
        <f t="shared" si="30"/>
        <v>320104 - OUTROS GASTOS COM PESSOAL</v>
      </c>
      <c r="C986" s="25">
        <f t="shared" si="31"/>
        <v>44713</v>
      </c>
      <c r="D986" s="27">
        <f>IF(K986="CREDITO",Q986,Q986*-1)</f>
        <v>20977.54</v>
      </c>
      <c r="E986" t="s">
        <v>894</v>
      </c>
      <c r="F986" t="s">
        <v>1479</v>
      </c>
      <c r="G986" s="8">
        <v>44713</v>
      </c>
      <c r="H986" t="s">
        <v>513</v>
      </c>
      <c r="I986" t="s">
        <v>59</v>
      </c>
      <c r="J986" t="s">
        <v>60</v>
      </c>
      <c r="K986" t="s">
        <v>29</v>
      </c>
      <c r="L986" t="s">
        <v>895</v>
      </c>
      <c r="M986" t="s">
        <v>4402</v>
      </c>
      <c r="O986" t="s">
        <v>896</v>
      </c>
      <c r="P986" t="s">
        <v>33</v>
      </c>
      <c r="Q986" s="22">
        <v>20977.54</v>
      </c>
      <c r="R986" t="s">
        <v>35</v>
      </c>
      <c r="S986" t="s">
        <v>35</v>
      </c>
      <c r="T986" t="s">
        <v>35</v>
      </c>
      <c r="U986" t="s">
        <v>35</v>
      </c>
      <c r="V986" t="s">
        <v>645</v>
      </c>
      <c r="W986" t="s">
        <v>113</v>
      </c>
    </row>
    <row r="987" spans="1:23" hidden="1" x14ac:dyDescent="0.25">
      <c r="A987" s="7" t="str">
        <f>IFERROR(VLOOKUP(H987,'Contas Orç'!A:B,2,0),"N/A")</f>
        <v>OUTROS GASTOS COM PESSOAL</v>
      </c>
      <c r="B987" s="7" t="str">
        <f t="shared" si="30"/>
        <v>320104 - OUTROS GASTOS COM PESSOAL</v>
      </c>
      <c r="C987" s="25">
        <f t="shared" si="31"/>
        <v>44713</v>
      </c>
      <c r="D987" s="27">
        <f>IF(K987="CREDITO",Q987,Q987*-1)</f>
        <v>69.97</v>
      </c>
      <c r="E987" t="s">
        <v>894</v>
      </c>
      <c r="F987" t="s">
        <v>1480</v>
      </c>
      <c r="G987" s="8">
        <v>44713</v>
      </c>
      <c r="H987" t="s">
        <v>513</v>
      </c>
      <c r="I987" t="s">
        <v>59</v>
      </c>
      <c r="J987" t="s">
        <v>107</v>
      </c>
      <c r="K987" t="s">
        <v>29</v>
      </c>
      <c r="L987" t="s">
        <v>895</v>
      </c>
      <c r="M987" t="s">
        <v>4402</v>
      </c>
      <c r="O987" t="s">
        <v>896</v>
      </c>
      <c r="P987" t="s">
        <v>33</v>
      </c>
      <c r="Q987">
        <v>69.97</v>
      </c>
      <c r="R987" t="s">
        <v>35</v>
      </c>
      <c r="S987" t="s">
        <v>35</v>
      </c>
      <c r="T987" t="s">
        <v>35</v>
      </c>
      <c r="U987" t="s">
        <v>35</v>
      </c>
      <c r="V987" t="s">
        <v>645</v>
      </c>
      <c r="W987" t="s">
        <v>113</v>
      </c>
    </row>
    <row r="988" spans="1:23" hidden="1" x14ac:dyDescent="0.25">
      <c r="A988" s="7" t="str">
        <f>IFERROR(VLOOKUP(H988,'Contas Orç'!A:B,2,0),"N/A")</f>
        <v>OUTROS GASTOS COM PESSOAL</v>
      </c>
      <c r="B988" s="7" t="str">
        <f t="shared" si="30"/>
        <v>320104 - OUTROS GASTOS COM PESSOAL</v>
      </c>
      <c r="C988" s="25">
        <f t="shared" si="31"/>
        <v>44713</v>
      </c>
      <c r="D988" s="27">
        <f>IF(K988="CREDITO",Q988,Q988*-1)</f>
        <v>38.229999999999997</v>
      </c>
      <c r="E988" t="s">
        <v>894</v>
      </c>
      <c r="F988" t="s">
        <v>1481</v>
      </c>
      <c r="G988" s="8">
        <v>44713</v>
      </c>
      <c r="H988" t="s">
        <v>513</v>
      </c>
      <c r="I988" t="s">
        <v>106</v>
      </c>
      <c r="J988" t="s">
        <v>95</v>
      </c>
      <c r="K988" t="s">
        <v>29</v>
      </c>
      <c r="L988" t="s">
        <v>895</v>
      </c>
      <c r="M988" t="s">
        <v>4402</v>
      </c>
      <c r="O988" t="s">
        <v>896</v>
      </c>
      <c r="P988" t="s">
        <v>33</v>
      </c>
      <c r="Q988">
        <v>38.229999999999997</v>
      </c>
      <c r="R988" t="s">
        <v>35</v>
      </c>
      <c r="S988" t="s">
        <v>35</v>
      </c>
      <c r="T988" t="s">
        <v>35</v>
      </c>
      <c r="U988" t="s">
        <v>35</v>
      </c>
      <c r="V988" t="s">
        <v>645</v>
      </c>
      <c r="W988" t="s">
        <v>113</v>
      </c>
    </row>
    <row r="989" spans="1:23" hidden="1" x14ac:dyDescent="0.25">
      <c r="A989" s="7" t="str">
        <f>IFERROR(VLOOKUP(H989,'Contas Orç'!A:B,2,0),"N/A")</f>
        <v>OUTROS GASTOS COM PESSOAL</v>
      </c>
      <c r="B989" s="7" t="str">
        <f t="shared" si="30"/>
        <v>320104 - OUTROS GASTOS COM PESSOAL</v>
      </c>
      <c r="C989" s="25">
        <f t="shared" si="31"/>
        <v>44713</v>
      </c>
      <c r="D989" s="27">
        <f>IF(K989="CREDITO",Q989,Q989*-1)</f>
        <v>295.37</v>
      </c>
      <c r="E989" t="s">
        <v>894</v>
      </c>
      <c r="F989" t="s">
        <v>1482</v>
      </c>
      <c r="G989" s="8">
        <v>44713</v>
      </c>
      <c r="H989" t="s">
        <v>513</v>
      </c>
      <c r="I989" t="s">
        <v>53</v>
      </c>
      <c r="J989" t="s">
        <v>54</v>
      </c>
      <c r="K989" t="s">
        <v>29</v>
      </c>
      <c r="L989" t="s">
        <v>895</v>
      </c>
      <c r="M989" t="s">
        <v>4402</v>
      </c>
      <c r="O989" t="s">
        <v>896</v>
      </c>
      <c r="P989" t="s">
        <v>33</v>
      </c>
      <c r="Q989">
        <v>295.37</v>
      </c>
      <c r="R989" t="s">
        <v>35</v>
      </c>
      <c r="S989" t="s">
        <v>35</v>
      </c>
      <c r="T989" t="s">
        <v>35</v>
      </c>
      <c r="U989" t="s">
        <v>35</v>
      </c>
      <c r="V989" t="s">
        <v>645</v>
      </c>
      <c r="W989" t="s">
        <v>113</v>
      </c>
    </row>
    <row r="990" spans="1:23" hidden="1" x14ac:dyDescent="0.25">
      <c r="A990" s="7" t="str">
        <f>IFERROR(VLOOKUP(H990,'Contas Orç'!A:B,2,0),"N/A")</f>
        <v>OUTROS GASTOS COM PESSOAL</v>
      </c>
      <c r="B990" s="7" t="str">
        <f t="shared" si="30"/>
        <v>320104 - OUTROS GASTOS COM PESSOAL</v>
      </c>
      <c r="C990" s="25">
        <f t="shared" si="31"/>
        <v>44743</v>
      </c>
      <c r="D990" s="27">
        <f>IF(K990="CREDITO",Q990,Q990*-1)</f>
        <v>4078.82</v>
      </c>
      <c r="E990" t="s">
        <v>894</v>
      </c>
      <c r="F990" t="s">
        <v>1483</v>
      </c>
      <c r="G990" s="8">
        <v>44743</v>
      </c>
      <c r="H990" t="s">
        <v>513</v>
      </c>
      <c r="I990" t="s">
        <v>88</v>
      </c>
      <c r="J990" t="s">
        <v>28</v>
      </c>
      <c r="K990" t="s">
        <v>29</v>
      </c>
      <c r="L990" t="s">
        <v>895</v>
      </c>
      <c r="M990" t="s">
        <v>4402</v>
      </c>
      <c r="O990" t="s">
        <v>896</v>
      </c>
      <c r="P990" t="s">
        <v>33</v>
      </c>
      <c r="Q990" s="22">
        <v>4078.82</v>
      </c>
      <c r="R990" t="s">
        <v>35</v>
      </c>
      <c r="S990" t="s">
        <v>35</v>
      </c>
      <c r="T990" t="s">
        <v>35</v>
      </c>
      <c r="U990" t="s">
        <v>35</v>
      </c>
      <c r="V990" t="s">
        <v>645</v>
      </c>
      <c r="W990" t="s">
        <v>113</v>
      </c>
    </row>
    <row r="991" spans="1:23" hidden="1" x14ac:dyDescent="0.25">
      <c r="A991" s="7" t="str">
        <f>IFERROR(VLOOKUP(H991,'Contas Orç'!A:B,2,0),"N/A")</f>
        <v>OUTROS GASTOS COM PESSOAL</v>
      </c>
      <c r="B991" s="7" t="str">
        <f t="shared" si="30"/>
        <v>320104 - OUTROS GASTOS COM PESSOAL</v>
      </c>
      <c r="C991" s="25">
        <f t="shared" si="31"/>
        <v>44743</v>
      </c>
      <c r="D991" s="27">
        <f>IF(K991="CREDITO",Q991,Q991*-1)</f>
        <v>3479.84</v>
      </c>
      <c r="E991" t="s">
        <v>894</v>
      </c>
      <c r="F991" t="s">
        <v>1484</v>
      </c>
      <c r="G991" s="8">
        <v>44743</v>
      </c>
      <c r="H991" t="s">
        <v>513</v>
      </c>
      <c r="I991" t="s">
        <v>27</v>
      </c>
      <c r="J991" t="s">
        <v>28</v>
      </c>
      <c r="K991" t="s">
        <v>29</v>
      </c>
      <c r="L991" t="s">
        <v>895</v>
      </c>
      <c r="M991" t="s">
        <v>4402</v>
      </c>
      <c r="O991" t="s">
        <v>896</v>
      </c>
      <c r="P991" t="s">
        <v>33</v>
      </c>
      <c r="Q991" s="22">
        <v>3479.84</v>
      </c>
      <c r="R991" t="s">
        <v>35</v>
      </c>
      <c r="S991" t="s">
        <v>35</v>
      </c>
      <c r="T991" t="s">
        <v>35</v>
      </c>
      <c r="U991" t="s">
        <v>35</v>
      </c>
      <c r="V991" t="s">
        <v>645</v>
      </c>
      <c r="W991" t="s">
        <v>113</v>
      </c>
    </row>
    <row r="992" spans="1:23" hidden="1" x14ac:dyDescent="0.25">
      <c r="A992" s="7" t="str">
        <f>IFERROR(VLOOKUP(H992,'Contas Orç'!A:B,2,0),"N/A")</f>
        <v>OUTROS GASTOS COM PESSOAL</v>
      </c>
      <c r="B992" s="7" t="str">
        <f t="shared" si="30"/>
        <v>320104 - OUTROS GASTOS COM PESSOAL</v>
      </c>
      <c r="C992" s="25">
        <f t="shared" si="31"/>
        <v>44743</v>
      </c>
      <c r="D992" s="27">
        <f>IF(K992="CREDITO",Q992,Q992*-1)</f>
        <v>10561.41</v>
      </c>
      <c r="E992" t="s">
        <v>894</v>
      </c>
      <c r="F992" t="s">
        <v>1485</v>
      </c>
      <c r="G992" s="8">
        <v>44743</v>
      </c>
      <c r="H992" t="s">
        <v>513</v>
      </c>
      <c r="I992" t="s">
        <v>106</v>
      </c>
      <c r="J992" t="s">
        <v>60</v>
      </c>
      <c r="K992" t="s">
        <v>29</v>
      </c>
      <c r="L992" t="s">
        <v>895</v>
      </c>
      <c r="M992" t="s">
        <v>4402</v>
      </c>
      <c r="O992" t="s">
        <v>896</v>
      </c>
      <c r="P992" t="s">
        <v>33</v>
      </c>
      <c r="Q992" s="22">
        <v>10561.41</v>
      </c>
      <c r="R992" t="s">
        <v>35</v>
      </c>
      <c r="S992" t="s">
        <v>35</v>
      </c>
      <c r="T992" t="s">
        <v>35</v>
      </c>
      <c r="U992" t="s">
        <v>35</v>
      </c>
      <c r="V992" t="s">
        <v>645</v>
      </c>
      <c r="W992" t="s">
        <v>113</v>
      </c>
    </row>
    <row r="993" spans="1:23" hidden="1" x14ac:dyDescent="0.25">
      <c r="A993" s="7" t="str">
        <f>IFERROR(VLOOKUP(H993,'Contas Orç'!A:B,2,0),"N/A")</f>
        <v>OUTROS GASTOS COM PESSOAL</v>
      </c>
      <c r="B993" s="7" t="str">
        <f t="shared" si="30"/>
        <v>320104 - OUTROS GASTOS COM PESSOAL</v>
      </c>
      <c r="C993" s="25">
        <f t="shared" si="31"/>
        <v>44743</v>
      </c>
      <c r="D993" s="27">
        <f>IF(K993="CREDITO",Q993,Q993*-1)</f>
        <v>24151.21</v>
      </c>
      <c r="E993" t="s">
        <v>894</v>
      </c>
      <c r="F993" t="s">
        <v>1486</v>
      </c>
      <c r="G993" s="8">
        <v>44743</v>
      </c>
      <c r="H993" t="s">
        <v>513</v>
      </c>
      <c r="I993" t="s">
        <v>59</v>
      </c>
      <c r="J993" t="s">
        <v>60</v>
      </c>
      <c r="K993" t="s">
        <v>29</v>
      </c>
      <c r="L993" t="s">
        <v>895</v>
      </c>
      <c r="M993" t="s">
        <v>4402</v>
      </c>
      <c r="O993" t="s">
        <v>896</v>
      </c>
      <c r="P993" t="s">
        <v>33</v>
      </c>
      <c r="Q993" s="22">
        <v>24151.21</v>
      </c>
      <c r="R993" t="s">
        <v>35</v>
      </c>
      <c r="S993" t="s">
        <v>35</v>
      </c>
      <c r="T993" t="s">
        <v>35</v>
      </c>
      <c r="U993" t="s">
        <v>35</v>
      </c>
      <c r="V993" t="s">
        <v>645</v>
      </c>
      <c r="W993" t="s">
        <v>113</v>
      </c>
    </row>
    <row r="994" spans="1:23" hidden="1" x14ac:dyDescent="0.25">
      <c r="A994" s="7" t="str">
        <f>IFERROR(VLOOKUP(H994,'Contas Orç'!A:B,2,0),"N/A")</f>
        <v>OUTROS GASTOS COM PESSOAL</v>
      </c>
      <c r="B994" s="7" t="str">
        <f t="shared" si="30"/>
        <v>320104 - OUTROS GASTOS COM PESSOAL</v>
      </c>
      <c r="C994" s="25">
        <f t="shared" si="31"/>
        <v>44743</v>
      </c>
      <c r="D994" s="27">
        <f>IF(K994="CREDITO",Q994,Q994*-1)</f>
        <v>218.03</v>
      </c>
      <c r="E994" t="s">
        <v>894</v>
      </c>
      <c r="F994" t="s">
        <v>1487</v>
      </c>
      <c r="G994" s="8">
        <v>44743</v>
      </c>
      <c r="H994" t="s">
        <v>513</v>
      </c>
      <c r="I994" t="s">
        <v>53</v>
      </c>
      <c r="J994" t="s">
        <v>54</v>
      </c>
      <c r="K994" t="s">
        <v>29</v>
      </c>
      <c r="L994" t="s">
        <v>895</v>
      </c>
      <c r="M994" t="s">
        <v>4402</v>
      </c>
      <c r="O994" t="s">
        <v>896</v>
      </c>
      <c r="P994" t="s">
        <v>33</v>
      </c>
      <c r="Q994">
        <v>218.03</v>
      </c>
      <c r="R994" t="s">
        <v>35</v>
      </c>
      <c r="S994" t="s">
        <v>35</v>
      </c>
      <c r="T994" t="s">
        <v>35</v>
      </c>
      <c r="U994" t="s">
        <v>35</v>
      </c>
      <c r="V994" t="s">
        <v>645</v>
      </c>
      <c r="W994" t="s">
        <v>113</v>
      </c>
    </row>
    <row r="995" spans="1:23" hidden="1" x14ac:dyDescent="0.25">
      <c r="A995" s="7" t="str">
        <f>IFERROR(VLOOKUP(H995,'Contas Orç'!A:B,2,0),"N/A")</f>
        <v>OUTROS GASTOS COM PESSOAL</v>
      </c>
      <c r="B995" s="7" t="str">
        <f t="shared" si="30"/>
        <v>320104 - OUTROS GASTOS COM PESSOAL</v>
      </c>
      <c r="C995" s="25">
        <f t="shared" si="31"/>
        <v>44774</v>
      </c>
      <c r="D995" s="27">
        <f>IF(K995="CREDITO",Q995,Q995*-1)</f>
        <v>4349.74</v>
      </c>
      <c r="E995" t="s">
        <v>894</v>
      </c>
      <c r="F995" t="s">
        <v>1488</v>
      </c>
      <c r="G995" s="8">
        <v>44774</v>
      </c>
      <c r="H995" t="s">
        <v>513</v>
      </c>
      <c r="I995" t="s">
        <v>88</v>
      </c>
      <c r="J995" t="s">
        <v>28</v>
      </c>
      <c r="K995" t="s">
        <v>29</v>
      </c>
      <c r="L995" t="s">
        <v>895</v>
      </c>
      <c r="M995" t="s">
        <v>4402</v>
      </c>
      <c r="O995" t="s">
        <v>896</v>
      </c>
      <c r="P995" t="s">
        <v>33</v>
      </c>
      <c r="Q995" s="22">
        <v>4349.74</v>
      </c>
      <c r="R995" t="s">
        <v>35</v>
      </c>
      <c r="S995" t="s">
        <v>35</v>
      </c>
      <c r="T995" t="s">
        <v>35</v>
      </c>
      <c r="U995" t="s">
        <v>35</v>
      </c>
      <c r="V995" t="s">
        <v>645</v>
      </c>
      <c r="W995" t="s">
        <v>113</v>
      </c>
    </row>
    <row r="996" spans="1:23" hidden="1" x14ac:dyDescent="0.25">
      <c r="A996" s="7" t="str">
        <f>IFERROR(VLOOKUP(H996,'Contas Orç'!A:B,2,0),"N/A")</f>
        <v>OUTROS GASTOS COM PESSOAL</v>
      </c>
      <c r="B996" s="7" t="str">
        <f t="shared" si="30"/>
        <v>320104 - OUTROS GASTOS COM PESSOAL</v>
      </c>
      <c r="C996" s="25">
        <f t="shared" si="31"/>
        <v>44774</v>
      </c>
      <c r="D996" s="27">
        <f>IF(K996="CREDITO",Q996,Q996*-1)</f>
        <v>3465.32</v>
      </c>
      <c r="E996" t="s">
        <v>894</v>
      </c>
      <c r="F996" t="s">
        <v>1489</v>
      </c>
      <c r="G996" s="8">
        <v>44774</v>
      </c>
      <c r="H996" t="s">
        <v>513</v>
      </c>
      <c r="I996" t="s">
        <v>27</v>
      </c>
      <c r="J996" t="s">
        <v>28</v>
      </c>
      <c r="K996" t="s">
        <v>29</v>
      </c>
      <c r="L996" t="s">
        <v>895</v>
      </c>
      <c r="M996" t="s">
        <v>4402</v>
      </c>
      <c r="O996" t="s">
        <v>896</v>
      </c>
      <c r="P996" t="s">
        <v>33</v>
      </c>
      <c r="Q996" s="22">
        <v>3465.32</v>
      </c>
      <c r="R996" t="s">
        <v>35</v>
      </c>
      <c r="S996" t="s">
        <v>35</v>
      </c>
      <c r="T996" t="s">
        <v>35</v>
      </c>
      <c r="U996" t="s">
        <v>35</v>
      </c>
      <c r="V996" t="s">
        <v>645</v>
      </c>
      <c r="W996" t="s">
        <v>113</v>
      </c>
    </row>
    <row r="997" spans="1:23" hidden="1" x14ac:dyDescent="0.25">
      <c r="A997" s="7" t="str">
        <f>IFERROR(VLOOKUP(H997,'Contas Orç'!A:B,2,0),"N/A")</f>
        <v>OUTROS GASTOS COM PESSOAL</v>
      </c>
      <c r="B997" s="7" t="str">
        <f t="shared" si="30"/>
        <v>320104 - OUTROS GASTOS COM PESSOAL</v>
      </c>
      <c r="C997" s="25">
        <f t="shared" si="31"/>
        <v>44774</v>
      </c>
      <c r="D997" s="27">
        <f>IF(K997="CREDITO",Q997,Q997*-1)</f>
        <v>11287.75</v>
      </c>
      <c r="E997" t="s">
        <v>894</v>
      </c>
      <c r="F997" t="s">
        <v>1490</v>
      </c>
      <c r="G997" s="8">
        <v>44774</v>
      </c>
      <c r="H997" t="s">
        <v>513</v>
      </c>
      <c r="I997" t="s">
        <v>106</v>
      </c>
      <c r="J997" t="s">
        <v>60</v>
      </c>
      <c r="K997" t="s">
        <v>29</v>
      </c>
      <c r="L997" t="s">
        <v>895</v>
      </c>
      <c r="M997" t="s">
        <v>4402</v>
      </c>
      <c r="O997" t="s">
        <v>896</v>
      </c>
      <c r="P997" t="s">
        <v>33</v>
      </c>
      <c r="Q997" s="22">
        <v>11287.75</v>
      </c>
      <c r="R997" t="s">
        <v>35</v>
      </c>
      <c r="S997" t="s">
        <v>35</v>
      </c>
      <c r="T997" t="s">
        <v>35</v>
      </c>
      <c r="U997" t="s">
        <v>35</v>
      </c>
      <c r="V997" t="s">
        <v>645</v>
      </c>
      <c r="W997" t="s">
        <v>113</v>
      </c>
    </row>
    <row r="998" spans="1:23" hidden="1" x14ac:dyDescent="0.25">
      <c r="A998" s="7" t="str">
        <f>IFERROR(VLOOKUP(H998,'Contas Orç'!A:B,2,0),"N/A")</f>
        <v>OUTROS GASTOS COM PESSOAL</v>
      </c>
      <c r="B998" s="7" t="str">
        <f t="shared" si="30"/>
        <v>320104 - OUTROS GASTOS COM PESSOAL</v>
      </c>
      <c r="C998" s="25">
        <f t="shared" si="31"/>
        <v>44774</v>
      </c>
      <c r="D998" s="27">
        <f>IF(K998="CREDITO",Q998,Q998*-1)</f>
        <v>13782.23</v>
      </c>
      <c r="E998" t="s">
        <v>894</v>
      </c>
      <c r="F998" t="s">
        <v>1491</v>
      </c>
      <c r="G998" s="8">
        <v>44774</v>
      </c>
      <c r="H998" t="s">
        <v>513</v>
      </c>
      <c r="I998" t="s">
        <v>59</v>
      </c>
      <c r="J998" t="s">
        <v>60</v>
      </c>
      <c r="K998" t="s">
        <v>29</v>
      </c>
      <c r="L998" t="s">
        <v>895</v>
      </c>
      <c r="M998" t="s">
        <v>4402</v>
      </c>
      <c r="O998" t="s">
        <v>896</v>
      </c>
      <c r="P998" t="s">
        <v>33</v>
      </c>
      <c r="Q998" s="22">
        <v>13782.23</v>
      </c>
      <c r="R998" t="s">
        <v>35</v>
      </c>
      <c r="S998" t="s">
        <v>35</v>
      </c>
      <c r="T998" t="s">
        <v>35</v>
      </c>
      <c r="U998" t="s">
        <v>35</v>
      </c>
      <c r="V998" t="s">
        <v>645</v>
      </c>
      <c r="W998" t="s">
        <v>113</v>
      </c>
    </row>
    <row r="999" spans="1:23" hidden="1" x14ac:dyDescent="0.25">
      <c r="A999" s="7" t="str">
        <f>IFERROR(VLOOKUP(H999,'Contas Orç'!A:B,2,0),"N/A")</f>
        <v>OUTROS GASTOS COM PESSOAL</v>
      </c>
      <c r="B999" s="7" t="str">
        <f t="shared" si="30"/>
        <v>320104 - OUTROS GASTOS COM PESSOAL</v>
      </c>
      <c r="C999" s="25">
        <f t="shared" si="31"/>
        <v>44774</v>
      </c>
      <c r="D999" s="27">
        <f>IF(K999="CREDITO",Q999,Q999*-1)</f>
        <v>90.27</v>
      </c>
      <c r="E999" t="s">
        <v>894</v>
      </c>
      <c r="F999" t="s">
        <v>1492</v>
      </c>
      <c r="G999" s="8">
        <v>44774</v>
      </c>
      <c r="H999" t="s">
        <v>513</v>
      </c>
      <c r="I999" t="s">
        <v>106</v>
      </c>
      <c r="J999" t="s">
        <v>107</v>
      </c>
      <c r="K999" t="s">
        <v>29</v>
      </c>
      <c r="L999" t="s">
        <v>895</v>
      </c>
      <c r="M999" t="s">
        <v>4402</v>
      </c>
      <c r="O999" t="s">
        <v>896</v>
      </c>
      <c r="P999" t="s">
        <v>33</v>
      </c>
      <c r="Q999">
        <v>90.27</v>
      </c>
      <c r="R999" t="s">
        <v>35</v>
      </c>
      <c r="S999" t="s">
        <v>35</v>
      </c>
      <c r="T999" t="s">
        <v>35</v>
      </c>
      <c r="U999" t="s">
        <v>35</v>
      </c>
      <c r="V999" t="s">
        <v>645</v>
      </c>
      <c r="W999" t="s">
        <v>113</v>
      </c>
    </row>
    <row r="1000" spans="1:23" hidden="1" x14ac:dyDescent="0.25">
      <c r="A1000" s="7" t="str">
        <f>IFERROR(VLOOKUP(H1000,'Contas Orç'!A:B,2,0),"N/A")</f>
        <v>OUTROS GASTOS COM PESSOAL</v>
      </c>
      <c r="B1000" s="7" t="str">
        <f t="shared" si="30"/>
        <v>320104 - OUTROS GASTOS COM PESSOAL</v>
      </c>
      <c r="C1000" s="25">
        <f t="shared" si="31"/>
        <v>44774</v>
      </c>
      <c r="D1000" s="27">
        <f>IF(K1000="CREDITO",Q1000,Q1000*-1)</f>
        <v>204.07</v>
      </c>
      <c r="E1000" t="s">
        <v>894</v>
      </c>
      <c r="F1000" t="s">
        <v>1493</v>
      </c>
      <c r="G1000" s="8">
        <v>44774</v>
      </c>
      <c r="H1000" t="s">
        <v>513</v>
      </c>
      <c r="I1000" t="s">
        <v>53</v>
      </c>
      <c r="J1000" t="s">
        <v>54</v>
      </c>
      <c r="K1000" t="s">
        <v>29</v>
      </c>
      <c r="L1000" t="s">
        <v>895</v>
      </c>
      <c r="M1000" t="s">
        <v>4402</v>
      </c>
      <c r="O1000" t="s">
        <v>896</v>
      </c>
      <c r="P1000" t="s">
        <v>33</v>
      </c>
      <c r="Q1000">
        <v>204.07</v>
      </c>
      <c r="R1000" t="s">
        <v>35</v>
      </c>
      <c r="S1000" t="s">
        <v>35</v>
      </c>
      <c r="T1000" t="s">
        <v>35</v>
      </c>
      <c r="U1000" t="s">
        <v>35</v>
      </c>
      <c r="V1000" t="s">
        <v>645</v>
      </c>
      <c r="W1000" t="s">
        <v>113</v>
      </c>
    </row>
    <row r="1001" spans="1:23" hidden="1" x14ac:dyDescent="0.25">
      <c r="A1001" s="7" t="str">
        <f>IFERROR(VLOOKUP(H1001,'Contas Orç'!A:B,2,0),"N/A")</f>
        <v>OUTROS GASTOS COM PESSOAL</v>
      </c>
      <c r="B1001" s="7" t="str">
        <f t="shared" si="30"/>
        <v>320104 - OUTROS GASTOS COM PESSOAL</v>
      </c>
      <c r="C1001" s="25">
        <f t="shared" si="31"/>
        <v>44774</v>
      </c>
      <c r="D1001" s="27">
        <f>IF(K1001="CREDITO",Q1001,Q1001*-1)</f>
        <v>246.71</v>
      </c>
      <c r="E1001" t="s">
        <v>894</v>
      </c>
      <c r="F1001" t="s">
        <v>1494</v>
      </c>
      <c r="G1001" s="8">
        <v>44774</v>
      </c>
      <c r="H1001" t="s">
        <v>513</v>
      </c>
      <c r="I1001" t="s">
        <v>106</v>
      </c>
      <c r="J1001" t="s">
        <v>54</v>
      </c>
      <c r="K1001" t="s">
        <v>29</v>
      </c>
      <c r="L1001" t="s">
        <v>895</v>
      </c>
      <c r="M1001" t="s">
        <v>4402</v>
      </c>
      <c r="O1001" t="s">
        <v>896</v>
      </c>
      <c r="P1001" t="s">
        <v>33</v>
      </c>
      <c r="Q1001">
        <v>246.71</v>
      </c>
      <c r="R1001" t="s">
        <v>35</v>
      </c>
      <c r="S1001" t="s">
        <v>35</v>
      </c>
      <c r="T1001" t="s">
        <v>35</v>
      </c>
      <c r="U1001" t="s">
        <v>35</v>
      </c>
      <c r="V1001" t="s">
        <v>645</v>
      </c>
      <c r="W1001" t="s">
        <v>113</v>
      </c>
    </row>
    <row r="1002" spans="1:23" hidden="1" x14ac:dyDescent="0.25">
      <c r="A1002" s="7" t="str">
        <f>IFERROR(VLOOKUP(H1002,'Contas Orç'!A:B,2,0),"N/A")</f>
        <v>OUTROS GASTOS COM PESSOAL</v>
      </c>
      <c r="B1002" s="7" t="str">
        <f t="shared" si="30"/>
        <v>320104 - OUTROS GASTOS COM PESSOAL</v>
      </c>
      <c r="C1002" s="25">
        <f t="shared" si="31"/>
        <v>44805</v>
      </c>
      <c r="D1002" s="27">
        <f>IF(K1002="CREDITO",Q1002,Q1002*-1)</f>
        <v>4587.2</v>
      </c>
      <c r="E1002" t="s">
        <v>894</v>
      </c>
      <c r="F1002" t="s">
        <v>1495</v>
      </c>
      <c r="G1002" s="8">
        <v>44805</v>
      </c>
      <c r="H1002" t="s">
        <v>513</v>
      </c>
      <c r="I1002" t="s">
        <v>88</v>
      </c>
      <c r="J1002" t="s">
        <v>28</v>
      </c>
      <c r="K1002" t="s">
        <v>29</v>
      </c>
      <c r="L1002" t="s">
        <v>895</v>
      </c>
      <c r="M1002" t="s">
        <v>4402</v>
      </c>
      <c r="O1002" t="s">
        <v>896</v>
      </c>
      <c r="P1002" t="s">
        <v>33</v>
      </c>
      <c r="Q1002" s="22">
        <v>4587.2</v>
      </c>
      <c r="R1002" t="s">
        <v>35</v>
      </c>
      <c r="S1002" t="s">
        <v>35</v>
      </c>
      <c r="T1002" t="s">
        <v>35</v>
      </c>
      <c r="U1002" t="s">
        <v>35</v>
      </c>
      <c r="V1002" t="s">
        <v>645</v>
      </c>
      <c r="W1002" t="s">
        <v>113</v>
      </c>
    </row>
    <row r="1003" spans="1:23" hidden="1" x14ac:dyDescent="0.25">
      <c r="A1003" s="7" t="str">
        <f>IFERROR(VLOOKUP(H1003,'Contas Orç'!A:B,2,0),"N/A")</f>
        <v>OUTROS GASTOS COM PESSOAL</v>
      </c>
      <c r="B1003" s="7" t="str">
        <f t="shared" si="30"/>
        <v>320104 - OUTROS GASTOS COM PESSOAL</v>
      </c>
      <c r="C1003" s="25">
        <f t="shared" si="31"/>
        <v>44805</v>
      </c>
      <c r="D1003" s="27">
        <f>IF(K1003="CREDITO",Q1003,Q1003*-1)</f>
        <v>3557.52</v>
      </c>
      <c r="E1003" t="s">
        <v>894</v>
      </c>
      <c r="F1003" t="s">
        <v>1496</v>
      </c>
      <c r="G1003" s="8">
        <v>44805</v>
      </c>
      <c r="H1003" t="s">
        <v>513</v>
      </c>
      <c r="I1003" t="s">
        <v>27</v>
      </c>
      <c r="J1003" t="s">
        <v>28</v>
      </c>
      <c r="K1003" t="s">
        <v>29</v>
      </c>
      <c r="L1003" t="s">
        <v>895</v>
      </c>
      <c r="M1003" t="s">
        <v>4402</v>
      </c>
      <c r="O1003" t="s">
        <v>896</v>
      </c>
      <c r="P1003" t="s">
        <v>33</v>
      </c>
      <c r="Q1003" s="22">
        <v>3557.52</v>
      </c>
      <c r="R1003" t="s">
        <v>35</v>
      </c>
      <c r="S1003" t="s">
        <v>35</v>
      </c>
      <c r="T1003" t="s">
        <v>35</v>
      </c>
      <c r="U1003" t="s">
        <v>35</v>
      </c>
      <c r="V1003" t="s">
        <v>645</v>
      </c>
      <c r="W1003" t="s">
        <v>113</v>
      </c>
    </row>
    <row r="1004" spans="1:23" hidden="1" x14ac:dyDescent="0.25">
      <c r="A1004" s="7" t="str">
        <f>IFERROR(VLOOKUP(H1004,'Contas Orç'!A:B,2,0),"N/A")</f>
        <v>OUTROS GASTOS COM PESSOAL</v>
      </c>
      <c r="B1004" s="7" t="str">
        <f t="shared" si="30"/>
        <v>320104 - OUTROS GASTOS COM PESSOAL</v>
      </c>
      <c r="C1004" s="25">
        <f t="shared" si="31"/>
        <v>44805</v>
      </c>
      <c r="D1004" s="27">
        <f>IF(K1004="CREDITO",Q1004,Q1004*-1)</f>
        <v>9642.2199999999993</v>
      </c>
      <c r="E1004" t="s">
        <v>894</v>
      </c>
      <c r="F1004" t="s">
        <v>1497</v>
      </c>
      <c r="G1004" s="8">
        <v>44805</v>
      </c>
      <c r="H1004" t="s">
        <v>513</v>
      </c>
      <c r="I1004" t="s">
        <v>106</v>
      </c>
      <c r="J1004" t="s">
        <v>60</v>
      </c>
      <c r="K1004" t="s">
        <v>29</v>
      </c>
      <c r="L1004" t="s">
        <v>895</v>
      </c>
      <c r="M1004" t="s">
        <v>4402</v>
      </c>
      <c r="O1004" t="s">
        <v>896</v>
      </c>
      <c r="P1004" t="s">
        <v>33</v>
      </c>
      <c r="Q1004" s="22">
        <v>9642.2199999999993</v>
      </c>
      <c r="R1004" t="s">
        <v>35</v>
      </c>
      <c r="S1004" t="s">
        <v>35</v>
      </c>
      <c r="T1004" t="s">
        <v>35</v>
      </c>
      <c r="U1004" t="s">
        <v>35</v>
      </c>
      <c r="V1004" t="s">
        <v>645</v>
      </c>
      <c r="W1004" t="s">
        <v>113</v>
      </c>
    </row>
    <row r="1005" spans="1:23" hidden="1" x14ac:dyDescent="0.25">
      <c r="A1005" s="7" t="str">
        <f>IFERROR(VLOOKUP(H1005,'Contas Orç'!A:B,2,0),"N/A")</f>
        <v>OUTROS GASTOS COM PESSOAL</v>
      </c>
      <c r="B1005" s="7" t="str">
        <f t="shared" si="30"/>
        <v>320104 - OUTROS GASTOS COM PESSOAL</v>
      </c>
      <c r="C1005" s="25">
        <f t="shared" si="31"/>
        <v>44805</v>
      </c>
      <c r="D1005" s="27">
        <f>IF(K1005="CREDITO",Q1005,Q1005*-1)</f>
        <v>17343.22</v>
      </c>
      <c r="E1005" t="s">
        <v>894</v>
      </c>
      <c r="F1005" t="s">
        <v>1498</v>
      </c>
      <c r="G1005" s="8">
        <v>44805</v>
      </c>
      <c r="H1005" t="s">
        <v>513</v>
      </c>
      <c r="I1005" t="s">
        <v>59</v>
      </c>
      <c r="J1005" t="s">
        <v>60</v>
      </c>
      <c r="K1005" t="s">
        <v>29</v>
      </c>
      <c r="L1005" t="s">
        <v>895</v>
      </c>
      <c r="M1005" t="s">
        <v>4402</v>
      </c>
      <c r="O1005" t="s">
        <v>896</v>
      </c>
      <c r="P1005" t="s">
        <v>33</v>
      </c>
      <c r="Q1005" s="22">
        <v>17343.22</v>
      </c>
      <c r="R1005" t="s">
        <v>35</v>
      </c>
      <c r="S1005" t="s">
        <v>35</v>
      </c>
      <c r="T1005" t="s">
        <v>35</v>
      </c>
      <c r="U1005" t="s">
        <v>35</v>
      </c>
      <c r="V1005" t="s">
        <v>645</v>
      </c>
      <c r="W1005" t="s">
        <v>113</v>
      </c>
    </row>
    <row r="1006" spans="1:23" hidden="1" x14ac:dyDescent="0.25">
      <c r="A1006" s="7" t="str">
        <f>IFERROR(VLOOKUP(H1006,'Contas Orç'!A:B,2,0),"N/A")</f>
        <v>OUTROS GASTOS COM PESSOAL</v>
      </c>
      <c r="B1006" s="7" t="str">
        <f t="shared" si="30"/>
        <v>320104 - OUTROS GASTOS COM PESSOAL</v>
      </c>
      <c r="C1006" s="25">
        <f t="shared" si="31"/>
        <v>44805</v>
      </c>
      <c r="D1006" s="27">
        <f>IF(K1006="CREDITO",Q1006,Q1006*-1)</f>
        <v>1908</v>
      </c>
      <c r="E1006" t="s">
        <v>894</v>
      </c>
      <c r="F1006" t="s">
        <v>1499</v>
      </c>
      <c r="G1006" s="8">
        <v>44805</v>
      </c>
      <c r="H1006" t="s">
        <v>513</v>
      </c>
      <c r="I1006" t="s">
        <v>40</v>
      </c>
      <c r="J1006" t="s">
        <v>54</v>
      </c>
      <c r="K1006" t="s">
        <v>29</v>
      </c>
      <c r="L1006" t="s">
        <v>895</v>
      </c>
      <c r="M1006" t="s">
        <v>4402</v>
      </c>
      <c r="O1006" t="s">
        <v>896</v>
      </c>
      <c r="P1006" t="s">
        <v>33</v>
      </c>
      <c r="Q1006" s="22">
        <v>1908</v>
      </c>
      <c r="R1006" t="s">
        <v>35</v>
      </c>
      <c r="S1006" t="s">
        <v>35</v>
      </c>
      <c r="T1006" t="s">
        <v>35</v>
      </c>
      <c r="U1006" t="s">
        <v>35</v>
      </c>
      <c r="V1006" t="s">
        <v>645</v>
      </c>
      <c r="W1006" t="s">
        <v>113</v>
      </c>
    </row>
    <row r="1007" spans="1:23" hidden="1" x14ac:dyDescent="0.25">
      <c r="A1007" s="7" t="str">
        <f>IFERROR(VLOOKUP(H1007,'Contas Orç'!A:B,2,0),"N/A")</f>
        <v>OUTROS GASTOS COM PESSOAL</v>
      </c>
      <c r="B1007" s="7" t="str">
        <f t="shared" si="30"/>
        <v>320104 - OUTROS GASTOS COM PESSOAL</v>
      </c>
      <c r="C1007" s="25">
        <f t="shared" si="31"/>
        <v>44805</v>
      </c>
      <c r="D1007" s="27">
        <f>IF(K1007="CREDITO",Q1007,Q1007*-1)</f>
        <v>5820.7</v>
      </c>
      <c r="E1007" t="s">
        <v>894</v>
      </c>
      <c r="F1007" t="s">
        <v>1500</v>
      </c>
      <c r="G1007" s="8">
        <v>44805</v>
      </c>
      <c r="H1007" t="s">
        <v>513</v>
      </c>
      <c r="I1007" t="s">
        <v>53</v>
      </c>
      <c r="J1007" t="s">
        <v>54</v>
      </c>
      <c r="K1007" t="s">
        <v>29</v>
      </c>
      <c r="L1007" t="s">
        <v>895</v>
      </c>
      <c r="M1007" t="s">
        <v>4402</v>
      </c>
      <c r="O1007" t="s">
        <v>896</v>
      </c>
      <c r="P1007" t="s">
        <v>33</v>
      </c>
      <c r="Q1007" s="22">
        <v>5820.7</v>
      </c>
      <c r="R1007" t="s">
        <v>35</v>
      </c>
      <c r="S1007" t="s">
        <v>35</v>
      </c>
      <c r="T1007" t="s">
        <v>35</v>
      </c>
      <c r="U1007" t="s">
        <v>35</v>
      </c>
      <c r="V1007" t="s">
        <v>645</v>
      </c>
      <c r="W1007" t="s">
        <v>113</v>
      </c>
    </row>
    <row r="1008" spans="1:23" hidden="1" x14ac:dyDescent="0.25">
      <c r="A1008" s="7" t="str">
        <f>IFERROR(VLOOKUP(H1008,'Contas Orç'!A:B,2,0),"N/A")</f>
        <v>OUTROS GASTOS COM PESSOAL</v>
      </c>
      <c r="B1008" s="7" t="str">
        <f t="shared" si="30"/>
        <v>320104 - OUTROS GASTOS COM PESSOAL</v>
      </c>
      <c r="C1008" s="25">
        <f t="shared" si="31"/>
        <v>44835</v>
      </c>
      <c r="D1008" s="27">
        <f>IF(K1008="CREDITO",Q1008,Q1008*-1)</f>
        <v>4633.07</v>
      </c>
      <c r="E1008" t="s">
        <v>894</v>
      </c>
      <c r="F1008" t="s">
        <v>1501</v>
      </c>
      <c r="G1008" s="8">
        <v>44835</v>
      </c>
      <c r="H1008" t="s">
        <v>513</v>
      </c>
      <c r="I1008" t="s">
        <v>88</v>
      </c>
      <c r="J1008" t="s">
        <v>28</v>
      </c>
      <c r="K1008" t="s">
        <v>29</v>
      </c>
      <c r="L1008" t="s">
        <v>895</v>
      </c>
      <c r="M1008" t="s">
        <v>4402</v>
      </c>
      <c r="O1008" t="s">
        <v>896</v>
      </c>
      <c r="P1008" t="s">
        <v>33</v>
      </c>
      <c r="Q1008" s="22">
        <v>4633.07</v>
      </c>
      <c r="R1008" t="s">
        <v>35</v>
      </c>
      <c r="S1008" t="s">
        <v>35</v>
      </c>
      <c r="T1008" t="s">
        <v>35</v>
      </c>
      <c r="U1008" t="s">
        <v>35</v>
      </c>
      <c r="V1008" t="s">
        <v>645</v>
      </c>
      <c r="W1008" t="s">
        <v>113</v>
      </c>
    </row>
    <row r="1009" spans="1:23" hidden="1" x14ac:dyDescent="0.25">
      <c r="A1009" s="7" t="str">
        <f>IFERROR(VLOOKUP(H1009,'Contas Orç'!A:B,2,0),"N/A")</f>
        <v>OUTROS GASTOS COM PESSOAL</v>
      </c>
      <c r="B1009" s="7" t="str">
        <f t="shared" si="30"/>
        <v>320104 - OUTROS GASTOS COM PESSOAL</v>
      </c>
      <c r="C1009" s="25">
        <f t="shared" si="31"/>
        <v>44835</v>
      </c>
      <c r="D1009" s="27">
        <f>IF(K1009="CREDITO",Q1009,Q1009*-1)</f>
        <v>3593.1</v>
      </c>
      <c r="E1009" t="s">
        <v>894</v>
      </c>
      <c r="F1009" t="s">
        <v>1502</v>
      </c>
      <c r="G1009" s="8">
        <v>44835</v>
      </c>
      <c r="H1009" t="s">
        <v>513</v>
      </c>
      <c r="I1009" t="s">
        <v>27</v>
      </c>
      <c r="J1009" t="s">
        <v>28</v>
      </c>
      <c r="K1009" t="s">
        <v>29</v>
      </c>
      <c r="L1009" t="s">
        <v>895</v>
      </c>
      <c r="M1009" t="s">
        <v>4402</v>
      </c>
      <c r="O1009" t="s">
        <v>896</v>
      </c>
      <c r="P1009" t="s">
        <v>33</v>
      </c>
      <c r="Q1009" s="22">
        <v>3593.1</v>
      </c>
      <c r="R1009" t="s">
        <v>35</v>
      </c>
      <c r="S1009" t="s">
        <v>35</v>
      </c>
      <c r="T1009" t="s">
        <v>35</v>
      </c>
      <c r="U1009" t="s">
        <v>35</v>
      </c>
      <c r="V1009" t="s">
        <v>645</v>
      </c>
      <c r="W1009" t="s">
        <v>113</v>
      </c>
    </row>
    <row r="1010" spans="1:23" hidden="1" x14ac:dyDescent="0.25">
      <c r="A1010" s="7" t="str">
        <f>IFERROR(VLOOKUP(H1010,'Contas Orç'!A:B,2,0),"N/A")</f>
        <v>OUTROS GASTOS COM PESSOAL</v>
      </c>
      <c r="B1010" s="7" t="str">
        <f t="shared" si="30"/>
        <v>320104 - OUTROS GASTOS COM PESSOAL</v>
      </c>
      <c r="C1010" s="25">
        <f t="shared" si="31"/>
        <v>44835</v>
      </c>
      <c r="D1010" s="27">
        <f>IF(K1010="CREDITO",Q1010,Q1010*-1)</f>
        <v>9738.64</v>
      </c>
      <c r="E1010" t="s">
        <v>894</v>
      </c>
      <c r="F1010" t="s">
        <v>1503</v>
      </c>
      <c r="G1010" s="8">
        <v>44835</v>
      </c>
      <c r="H1010" t="s">
        <v>513</v>
      </c>
      <c r="I1010" t="s">
        <v>106</v>
      </c>
      <c r="J1010" t="s">
        <v>60</v>
      </c>
      <c r="K1010" t="s">
        <v>29</v>
      </c>
      <c r="L1010" t="s">
        <v>895</v>
      </c>
      <c r="M1010" t="s">
        <v>4402</v>
      </c>
      <c r="O1010" t="s">
        <v>896</v>
      </c>
      <c r="P1010" t="s">
        <v>33</v>
      </c>
      <c r="Q1010" s="22">
        <v>9738.64</v>
      </c>
      <c r="R1010" t="s">
        <v>35</v>
      </c>
      <c r="S1010" t="s">
        <v>35</v>
      </c>
      <c r="T1010" t="s">
        <v>35</v>
      </c>
      <c r="U1010" t="s">
        <v>35</v>
      </c>
      <c r="V1010" t="s">
        <v>645</v>
      </c>
      <c r="W1010" t="s">
        <v>113</v>
      </c>
    </row>
    <row r="1011" spans="1:23" hidden="1" x14ac:dyDescent="0.25">
      <c r="A1011" s="7" t="str">
        <f>IFERROR(VLOOKUP(H1011,'Contas Orç'!A:B,2,0),"N/A")</f>
        <v>OUTROS GASTOS COM PESSOAL</v>
      </c>
      <c r="B1011" s="7" t="str">
        <f t="shared" si="30"/>
        <v>320104 - OUTROS GASTOS COM PESSOAL</v>
      </c>
      <c r="C1011" s="25">
        <f t="shared" si="31"/>
        <v>44835</v>
      </c>
      <c r="D1011" s="27">
        <f>IF(K1011="CREDITO",Q1011,Q1011*-1)</f>
        <v>17516.650000000001</v>
      </c>
      <c r="E1011" t="s">
        <v>894</v>
      </c>
      <c r="F1011" t="s">
        <v>1504</v>
      </c>
      <c r="G1011" s="8">
        <v>44835</v>
      </c>
      <c r="H1011" t="s">
        <v>513</v>
      </c>
      <c r="I1011" t="s">
        <v>59</v>
      </c>
      <c r="J1011" t="s">
        <v>60</v>
      </c>
      <c r="K1011" t="s">
        <v>29</v>
      </c>
      <c r="L1011" t="s">
        <v>895</v>
      </c>
      <c r="M1011" t="s">
        <v>4402</v>
      </c>
      <c r="O1011" t="s">
        <v>896</v>
      </c>
      <c r="P1011" t="s">
        <v>33</v>
      </c>
      <c r="Q1011" s="22">
        <v>17516.650000000001</v>
      </c>
      <c r="R1011" t="s">
        <v>35</v>
      </c>
      <c r="S1011" t="s">
        <v>35</v>
      </c>
      <c r="T1011" t="s">
        <v>35</v>
      </c>
      <c r="U1011" t="s">
        <v>35</v>
      </c>
      <c r="V1011" t="s">
        <v>645</v>
      </c>
      <c r="W1011" t="s">
        <v>113</v>
      </c>
    </row>
    <row r="1012" spans="1:23" hidden="1" x14ac:dyDescent="0.25">
      <c r="A1012" s="7" t="str">
        <f>IFERROR(VLOOKUP(H1012,'Contas Orç'!A:B,2,0),"N/A")</f>
        <v>OUTROS GASTOS COM PESSOAL</v>
      </c>
      <c r="B1012" s="7" t="str">
        <f t="shared" si="30"/>
        <v>320104 - OUTROS GASTOS COM PESSOAL</v>
      </c>
      <c r="C1012" s="25">
        <f t="shared" si="31"/>
        <v>44835</v>
      </c>
      <c r="D1012" s="27">
        <f>IF(K1012="CREDITO",Q1012,Q1012*-1)</f>
        <v>1927.08</v>
      </c>
      <c r="E1012" t="s">
        <v>894</v>
      </c>
      <c r="F1012" t="s">
        <v>1505</v>
      </c>
      <c r="G1012" s="8">
        <v>44835</v>
      </c>
      <c r="H1012" t="s">
        <v>513</v>
      </c>
      <c r="I1012" t="s">
        <v>40</v>
      </c>
      <c r="J1012" t="s">
        <v>54</v>
      </c>
      <c r="K1012" t="s">
        <v>29</v>
      </c>
      <c r="L1012" t="s">
        <v>895</v>
      </c>
      <c r="M1012" t="s">
        <v>4402</v>
      </c>
      <c r="O1012" t="s">
        <v>896</v>
      </c>
      <c r="P1012" t="s">
        <v>33</v>
      </c>
      <c r="Q1012" s="22">
        <v>1927.08</v>
      </c>
      <c r="R1012" t="s">
        <v>35</v>
      </c>
      <c r="S1012" t="s">
        <v>35</v>
      </c>
      <c r="T1012" t="s">
        <v>35</v>
      </c>
      <c r="U1012" t="s">
        <v>35</v>
      </c>
      <c r="V1012" t="s">
        <v>645</v>
      </c>
      <c r="W1012" t="s">
        <v>113</v>
      </c>
    </row>
    <row r="1013" spans="1:23" hidden="1" x14ac:dyDescent="0.25">
      <c r="A1013" s="7" t="str">
        <f>IFERROR(VLOOKUP(H1013,'Contas Orç'!A:B,2,0),"N/A")</f>
        <v>OUTROS GASTOS COM PESSOAL</v>
      </c>
      <c r="B1013" s="7" t="str">
        <f t="shared" si="30"/>
        <v>320104 - OUTROS GASTOS COM PESSOAL</v>
      </c>
      <c r="C1013" s="25">
        <f t="shared" si="31"/>
        <v>44835</v>
      </c>
      <c r="D1013" s="27">
        <f>IF(K1013="CREDITO",Q1013,Q1013*-1)</f>
        <v>5878.91</v>
      </c>
      <c r="E1013" t="s">
        <v>894</v>
      </c>
      <c r="F1013" t="s">
        <v>1506</v>
      </c>
      <c r="G1013" s="8">
        <v>44835</v>
      </c>
      <c r="H1013" t="s">
        <v>513</v>
      </c>
      <c r="I1013" t="s">
        <v>53</v>
      </c>
      <c r="J1013" t="s">
        <v>54</v>
      </c>
      <c r="K1013" t="s">
        <v>29</v>
      </c>
      <c r="L1013" t="s">
        <v>895</v>
      </c>
      <c r="M1013" t="s">
        <v>4402</v>
      </c>
      <c r="O1013" t="s">
        <v>896</v>
      </c>
      <c r="P1013" t="s">
        <v>33</v>
      </c>
      <c r="Q1013" s="22">
        <v>5878.91</v>
      </c>
      <c r="R1013" t="s">
        <v>35</v>
      </c>
      <c r="S1013" t="s">
        <v>35</v>
      </c>
      <c r="T1013" t="s">
        <v>35</v>
      </c>
      <c r="U1013" t="s">
        <v>35</v>
      </c>
      <c r="V1013" t="s">
        <v>645</v>
      </c>
      <c r="W1013" t="s">
        <v>113</v>
      </c>
    </row>
    <row r="1014" spans="1:23" hidden="1" x14ac:dyDescent="0.25">
      <c r="A1014" s="7" t="str">
        <f>IFERROR(VLOOKUP(H1014,'Contas Orç'!A:B,2,0),"N/A")</f>
        <v>OUTROS GASTOS COM PESSOAL</v>
      </c>
      <c r="B1014" s="7" t="str">
        <f t="shared" si="30"/>
        <v>320104 - OUTROS GASTOS COM PESSOAL</v>
      </c>
      <c r="C1014" s="25">
        <f t="shared" si="31"/>
        <v>44866</v>
      </c>
      <c r="D1014" s="27">
        <f>IF(K1014="CREDITO",Q1014,Q1014*-1)</f>
        <v>4679.3999999999996</v>
      </c>
      <c r="E1014" t="s">
        <v>894</v>
      </c>
      <c r="F1014" t="s">
        <v>1507</v>
      </c>
      <c r="G1014" s="8">
        <v>44866</v>
      </c>
      <c r="H1014" t="s">
        <v>513</v>
      </c>
      <c r="I1014" t="s">
        <v>88</v>
      </c>
      <c r="J1014" t="s">
        <v>28</v>
      </c>
      <c r="K1014" t="s">
        <v>29</v>
      </c>
      <c r="L1014" t="s">
        <v>895</v>
      </c>
      <c r="M1014" t="s">
        <v>4402</v>
      </c>
      <c r="O1014" t="s">
        <v>896</v>
      </c>
      <c r="P1014" t="s">
        <v>33</v>
      </c>
      <c r="Q1014" s="22">
        <v>4679.3999999999996</v>
      </c>
      <c r="R1014" t="s">
        <v>35</v>
      </c>
      <c r="S1014" t="s">
        <v>35</v>
      </c>
      <c r="T1014" t="s">
        <v>35</v>
      </c>
      <c r="U1014" t="s">
        <v>35</v>
      </c>
      <c r="V1014" t="s">
        <v>645</v>
      </c>
      <c r="W1014" t="s">
        <v>113</v>
      </c>
    </row>
    <row r="1015" spans="1:23" hidden="1" x14ac:dyDescent="0.25">
      <c r="A1015" s="7" t="str">
        <f>IFERROR(VLOOKUP(H1015,'Contas Orç'!A:B,2,0),"N/A")</f>
        <v>OUTROS GASTOS COM PESSOAL</v>
      </c>
      <c r="B1015" s="7" t="str">
        <f t="shared" si="30"/>
        <v>320104 - OUTROS GASTOS COM PESSOAL</v>
      </c>
      <c r="C1015" s="25">
        <f t="shared" si="31"/>
        <v>44866</v>
      </c>
      <c r="D1015" s="27">
        <f>IF(K1015="CREDITO",Q1015,Q1015*-1)</f>
        <v>3629.03</v>
      </c>
      <c r="E1015" t="s">
        <v>894</v>
      </c>
      <c r="F1015" t="s">
        <v>1508</v>
      </c>
      <c r="G1015" s="8">
        <v>44866</v>
      </c>
      <c r="H1015" t="s">
        <v>513</v>
      </c>
      <c r="I1015" t="s">
        <v>27</v>
      </c>
      <c r="J1015" t="s">
        <v>28</v>
      </c>
      <c r="K1015" t="s">
        <v>29</v>
      </c>
      <c r="L1015" t="s">
        <v>895</v>
      </c>
      <c r="M1015" t="s">
        <v>4402</v>
      </c>
      <c r="O1015" t="s">
        <v>896</v>
      </c>
      <c r="P1015" t="s">
        <v>33</v>
      </c>
      <c r="Q1015" s="22">
        <v>3629.03</v>
      </c>
      <c r="R1015" t="s">
        <v>35</v>
      </c>
      <c r="S1015" t="s">
        <v>35</v>
      </c>
      <c r="T1015" t="s">
        <v>35</v>
      </c>
      <c r="U1015" t="s">
        <v>35</v>
      </c>
      <c r="V1015" t="s">
        <v>645</v>
      </c>
      <c r="W1015" t="s">
        <v>113</v>
      </c>
    </row>
    <row r="1016" spans="1:23" hidden="1" x14ac:dyDescent="0.25">
      <c r="A1016" s="7" t="str">
        <f>IFERROR(VLOOKUP(H1016,'Contas Orç'!A:B,2,0),"N/A")</f>
        <v>OUTROS GASTOS COM PESSOAL</v>
      </c>
      <c r="B1016" s="7" t="str">
        <f t="shared" si="30"/>
        <v>320104 - OUTROS GASTOS COM PESSOAL</v>
      </c>
      <c r="C1016" s="25">
        <f t="shared" si="31"/>
        <v>44866</v>
      </c>
      <c r="D1016" s="27">
        <f>IF(K1016="CREDITO",Q1016,Q1016*-1)</f>
        <v>9836.0300000000007</v>
      </c>
      <c r="E1016" t="s">
        <v>894</v>
      </c>
      <c r="F1016" t="s">
        <v>1509</v>
      </c>
      <c r="G1016" s="8">
        <v>44866</v>
      </c>
      <c r="H1016" t="s">
        <v>513</v>
      </c>
      <c r="I1016" t="s">
        <v>106</v>
      </c>
      <c r="J1016" t="s">
        <v>60</v>
      </c>
      <c r="K1016" t="s">
        <v>29</v>
      </c>
      <c r="L1016" t="s">
        <v>895</v>
      </c>
      <c r="M1016" t="s">
        <v>4402</v>
      </c>
      <c r="O1016" t="s">
        <v>896</v>
      </c>
      <c r="P1016" t="s">
        <v>33</v>
      </c>
      <c r="Q1016" s="22">
        <v>9836.0300000000007</v>
      </c>
      <c r="R1016" t="s">
        <v>35</v>
      </c>
      <c r="S1016" t="s">
        <v>35</v>
      </c>
      <c r="T1016" t="s">
        <v>35</v>
      </c>
      <c r="U1016" t="s">
        <v>35</v>
      </c>
      <c r="V1016" t="s">
        <v>645</v>
      </c>
      <c r="W1016" t="s">
        <v>113</v>
      </c>
    </row>
    <row r="1017" spans="1:23" hidden="1" x14ac:dyDescent="0.25">
      <c r="A1017" s="7" t="str">
        <f>IFERROR(VLOOKUP(H1017,'Contas Orç'!A:B,2,0),"N/A")</f>
        <v>OUTROS GASTOS COM PESSOAL</v>
      </c>
      <c r="B1017" s="7" t="str">
        <f t="shared" si="30"/>
        <v>320104 - OUTROS GASTOS COM PESSOAL</v>
      </c>
      <c r="C1017" s="25">
        <f t="shared" si="31"/>
        <v>44866</v>
      </c>
      <c r="D1017" s="27">
        <f>IF(K1017="CREDITO",Q1017,Q1017*-1)</f>
        <v>17691.82</v>
      </c>
      <c r="E1017" t="s">
        <v>894</v>
      </c>
      <c r="F1017" t="s">
        <v>1510</v>
      </c>
      <c r="G1017" s="8">
        <v>44866</v>
      </c>
      <c r="H1017" t="s">
        <v>513</v>
      </c>
      <c r="I1017" t="s">
        <v>59</v>
      </c>
      <c r="J1017" t="s">
        <v>60</v>
      </c>
      <c r="K1017" t="s">
        <v>29</v>
      </c>
      <c r="L1017" t="s">
        <v>895</v>
      </c>
      <c r="M1017" t="s">
        <v>4402</v>
      </c>
      <c r="O1017" t="s">
        <v>896</v>
      </c>
      <c r="P1017" t="s">
        <v>33</v>
      </c>
      <c r="Q1017" s="22">
        <v>17691.82</v>
      </c>
      <c r="R1017" t="s">
        <v>35</v>
      </c>
      <c r="S1017" t="s">
        <v>35</v>
      </c>
      <c r="T1017" t="s">
        <v>35</v>
      </c>
      <c r="U1017" t="s">
        <v>35</v>
      </c>
      <c r="V1017" t="s">
        <v>645</v>
      </c>
      <c r="W1017" t="s">
        <v>113</v>
      </c>
    </row>
    <row r="1018" spans="1:23" hidden="1" x14ac:dyDescent="0.25">
      <c r="A1018" s="7" t="str">
        <f>IFERROR(VLOOKUP(H1018,'Contas Orç'!A:B,2,0),"N/A")</f>
        <v>OUTROS GASTOS COM PESSOAL</v>
      </c>
      <c r="B1018" s="7" t="str">
        <f t="shared" si="30"/>
        <v>320104 - OUTROS GASTOS COM PESSOAL</v>
      </c>
      <c r="C1018" s="25">
        <f t="shared" si="31"/>
        <v>44866</v>
      </c>
      <c r="D1018" s="27">
        <f>IF(K1018="CREDITO",Q1018,Q1018*-1)</f>
        <v>1946.35</v>
      </c>
      <c r="E1018" t="s">
        <v>894</v>
      </c>
      <c r="F1018" t="s">
        <v>1511</v>
      </c>
      <c r="G1018" s="8">
        <v>44866</v>
      </c>
      <c r="H1018" t="s">
        <v>513</v>
      </c>
      <c r="I1018" t="s">
        <v>40</v>
      </c>
      <c r="J1018" t="s">
        <v>54</v>
      </c>
      <c r="K1018" t="s">
        <v>29</v>
      </c>
      <c r="L1018" t="s">
        <v>895</v>
      </c>
      <c r="M1018" t="s">
        <v>4402</v>
      </c>
      <c r="O1018" t="s">
        <v>896</v>
      </c>
      <c r="P1018" t="s">
        <v>33</v>
      </c>
      <c r="Q1018" s="22">
        <v>1946.35</v>
      </c>
      <c r="R1018" t="s">
        <v>35</v>
      </c>
      <c r="S1018" t="s">
        <v>35</v>
      </c>
      <c r="T1018" t="s">
        <v>35</v>
      </c>
      <c r="U1018" t="s">
        <v>35</v>
      </c>
      <c r="V1018" t="s">
        <v>645</v>
      </c>
      <c r="W1018" t="s">
        <v>113</v>
      </c>
    </row>
    <row r="1019" spans="1:23" hidden="1" x14ac:dyDescent="0.25">
      <c r="A1019" s="7" t="str">
        <f>IFERROR(VLOOKUP(H1019,'Contas Orç'!A:B,2,0),"N/A")</f>
        <v>OUTROS GASTOS COM PESSOAL</v>
      </c>
      <c r="B1019" s="7" t="str">
        <f t="shared" si="30"/>
        <v>320104 - OUTROS GASTOS COM PESSOAL</v>
      </c>
      <c r="C1019" s="25">
        <f t="shared" si="31"/>
        <v>44866</v>
      </c>
      <c r="D1019" s="27">
        <f>IF(K1019="CREDITO",Q1019,Q1019*-1)</f>
        <v>5937.7</v>
      </c>
      <c r="E1019" t="s">
        <v>894</v>
      </c>
      <c r="F1019" t="s">
        <v>1512</v>
      </c>
      <c r="G1019" s="8">
        <v>44866</v>
      </c>
      <c r="H1019" t="s">
        <v>513</v>
      </c>
      <c r="I1019" t="s">
        <v>53</v>
      </c>
      <c r="J1019" t="s">
        <v>54</v>
      </c>
      <c r="K1019" t="s">
        <v>29</v>
      </c>
      <c r="L1019" t="s">
        <v>895</v>
      </c>
      <c r="M1019" t="s">
        <v>4402</v>
      </c>
      <c r="O1019" t="s">
        <v>896</v>
      </c>
      <c r="P1019" t="s">
        <v>33</v>
      </c>
      <c r="Q1019" s="22">
        <v>5937.7</v>
      </c>
      <c r="R1019" t="s">
        <v>35</v>
      </c>
      <c r="S1019" t="s">
        <v>35</v>
      </c>
      <c r="T1019" t="s">
        <v>35</v>
      </c>
      <c r="U1019" t="s">
        <v>35</v>
      </c>
      <c r="V1019" t="s">
        <v>645</v>
      </c>
      <c r="W1019" t="s">
        <v>113</v>
      </c>
    </row>
    <row r="1020" spans="1:23" hidden="1" x14ac:dyDescent="0.25">
      <c r="A1020" s="7" t="str">
        <f>IFERROR(VLOOKUP(H1020,'Contas Orç'!A:B,2,0),"N/A")</f>
        <v>OUTROS GASTOS COM PESSOAL</v>
      </c>
      <c r="B1020" s="7" t="str">
        <f t="shared" si="30"/>
        <v>320104 - OUTROS GASTOS COM PESSOAL</v>
      </c>
      <c r="C1020" s="25">
        <f t="shared" si="31"/>
        <v>44896</v>
      </c>
      <c r="D1020" s="27">
        <f>IF(K1020="CREDITO",Q1020,Q1020*-1)</f>
        <v>4726.2</v>
      </c>
      <c r="E1020" t="s">
        <v>894</v>
      </c>
      <c r="F1020" t="s">
        <v>1513</v>
      </c>
      <c r="G1020" s="8">
        <v>44896</v>
      </c>
      <c r="H1020" t="s">
        <v>513</v>
      </c>
      <c r="I1020" t="s">
        <v>88</v>
      </c>
      <c r="J1020" t="s">
        <v>28</v>
      </c>
      <c r="K1020" t="s">
        <v>29</v>
      </c>
      <c r="L1020" t="s">
        <v>895</v>
      </c>
      <c r="M1020" t="s">
        <v>4402</v>
      </c>
      <c r="O1020" t="s">
        <v>896</v>
      </c>
      <c r="P1020" t="s">
        <v>33</v>
      </c>
      <c r="Q1020" s="22">
        <v>4726.2</v>
      </c>
      <c r="R1020" t="s">
        <v>35</v>
      </c>
      <c r="S1020" t="s">
        <v>35</v>
      </c>
      <c r="T1020" t="s">
        <v>35</v>
      </c>
      <c r="U1020" t="s">
        <v>35</v>
      </c>
      <c r="V1020" t="s">
        <v>645</v>
      </c>
      <c r="W1020" t="s">
        <v>113</v>
      </c>
    </row>
    <row r="1021" spans="1:23" hidden="1" x14ac:dyDescent="0.25">
      <c r="A1021" s="7" t="str">
        <f>IFERROR(VLOOKUP(H1021,'Contas Orç'!A:B,2,0),"N/A")</f>
        <v>OUTROS GASTOS COM PESSOAL</v>
      </c>
      <c r="B1021" s="7" t="str">
        <f t="shared" si="30"/>
        <v>320104 - OUTROS GASTOS COM PESSOAL</v>
      </c>
      <c r="C1021" s="25">
        <f t="shared" si="31"/>
        <v>44896</v>
      </c>
      <c r="D1021" s="27">
        <f>IF(K1021="CREDITO",Q1021,Q1021*-1)</f>
        <v>3665.32</v>
      </c>
      <c r="E1021" t="s">
        <v>894</v>
      </c>
      <c r="F1021" t="s">
        <v>1514</v>
      </c>
      <c r="G1021" s="8">
        <v>44896</v>
      </c>
      <c r="H1021" t="s">
        <v>513</v>
      </c>
      <c r="I1021" t="s">
        <v>27</v>
      </c>
      <c r="J1021" t="s">
        <v>28</v>
      </c>
      <c r="K1021" t="s">
        <v>29</v>
      </c>
      <c r="L1021" t="s">
        <v>895</v>
      </c>
      <c r="M1021" t="s">
        <v>4402</v>
      </c>
      <c r="O1021" t="s">
        <v>896</v>
      </c>
      <c r="P1021" t="s">
        <v>33</v>
      </c>
      <c r="Q1021" s="22">
        <v>3665.32</v>
      </c>
      <c r="R1021" t="s">
        <v>35</v>
      </c>
      <c r="S1021" t="s">
        <v>35</v>
      </c>
      <c r="T1021" t="s">
        <v>35</v>
      </c>
      <c r="U1021" t="s">
        <v>35</v>
      </c>
      <c r="V1021" t="s">
        <v>645</v>
      </c>
      <c r="W1021" t="s">
        <v>113</v>
      </c>
    </row>
    <row r="1022" spans="1:23" hidden="1" x14ac:dyDescent="0.25">
      <c r="A1022" s="7" t="str">
        <f>IFERROR(VLOOKUP(H1022,'Contas Orç'!A:B,2,0),"N/A")</f>
        <v>OUTROS GASTOS COM PESSOAL</v>
      </c>
      <c r="B1022" s="7" t="str">
        <f t="shared" si="30"/>
        <v>320104 - OUTROS GASTOS COM PESSOAL</v>
      </c>
      <c r="C1022" s="25">
        <f t="shared" si="31"/>
        <v>44896</v>
      </c>
      <c r="D1022" s="27">
        <f>IF(K1022="CREDITO",Q1022,Q1022*-1)</f>
        <v>9934.39</v>
      </c>
      <c r="E1022" t="s">
        <v>894</v>
      </c>
      <c r="F1022" t="s">
        <v>1515</v>
      </c>
      <c r="G1022" s="8">
        <v>44896</v>
      </c>
      <c r="H1022" t="s">
        <v>513</v>
      </c>
      <c r="I1022" t="s">
        <v>106</v>
      </c>
      <c r="J1022" t="s">
        <v>60</v>
      </c>
      <c r="K1022" t="s">
        <v>29</v>
      </c>
      <c r="L1022" t="s">
        <v>895</v>
      </c>
      <c r="M1022" t="s">
        <v>4402</v>
      </c>
      <c r="O1022" t="s">
        <v>896</v>
      </c>
      <c r="P1022" t="s">
        <v>33</v>
      </c>
      <c r="Q1022" s="22">
        <v>9934.39</v>
      </c>
      <c r="R1022" t="s">
        <v>35</v>
      </c>
      <c r="S1022" t="s">
        <v>35</v>
      </c>
      <c r="T1022" t="s">
        <v>35</v>
      </c>
      <c r="U1022" t="s">
        <v>35</v>
      </c>
      <c r="V1022" t="s">
        <v>645</v>
      </c>
      <c r="W1022" t="s">
        <v>113</v>
      </c>
    </row>
    <row r="1023" spans="1:23" hidden="1" x14ac:dyDescent="0.25">
      <c r="A1023" s="7" t="str">
        <f>IFERROR(VLOOKUP(H1023,'Contas Orç'!A:B,2,0),"N/A")</f>
        <v>OUTROS GASTOS COM PESSOAL</v>
      </c>
      <c r="B1023" s="7" t="str">
        <f t="shared" si="30"/>
        <v>320104 - OUTROS GASTOS COM PESSOAL</v>
      </c>
      <c r="C1023" s="25">
        <f t="shared" si="31"/>
        <v>44896</v>
      </c>
      <c r="D1023" s="27">
        <f>IF(K1023="CREDITO",Q1023,Q1023*-1)</f>
        <v>17868.740000000002</v>
      </c>
      <c r="E1023" t="s">
        <v>894</v>
      </c>
      <c r="F1023" t="s">
        <v>1516</v>
      </c>
      <c r="G1023" s="8">
        <v>44896</v>
      </c>
      <c r="H1023" t="s">
        <v>513</v>
      </c>
      <c r="I1023" t="s">
        <v>59</v>
      </c>
      <c r="J1023" t="s">
        <v>60</v>
      </c>
      <c r="K1023" t="s">
        <v>29</v>
      </c>
      <c r="L1023" t="s">
        <v>895</v>
      </c>
      <c r="M1023" t="s">
        <v>4402</v>
      </c>
      <c r="O1023" t="s">
        <v>896</v>
      </c>
      <c r="P1023" t="s">
        <v>33</v>
      </c>
      <c r="Q1023" s="22">
        <v>17868.740000000002</v>
      </c>
      <c r="R1023" t="s">
        <v>35</v>
      </c>
      <c r="S1023" t="s">
        <v>35</v>
      </c>
      <c r="T1023" t="s">
        <v>35</v>
      </c>
      <c r="U1023" t="s">
        <v>35</v>
      </c>
      <c r="V1023" t="s">
        <v>645</v>
      </c>
      <c r="W1023" t="s">
        <v>113</v>
      </c>
    </row>
    <row r="1024" spans="1:23" hidden="1" x14ac:dyDescent="0.25">
      <c r="A1024" s="7" t="str">
        <f>IFERROR(VLOOKUP(H1024,'Contas Orç'!A:B,2,0),"N/A")</f>
        <v>OUTROS GASTOS COM PESSOAL</v>
      </c>
      <c r="B1024" s="7" t="str">
        <f t="shared" si="30"/>
        <v>320104 - OUTROS GASTOS COM PESSOAL</v>
      </c>
      <c r="C1024" s="25">
        <f t="shared" si="31"/>
        <v>44896</v>
      </c>
      <c r="D1024" s="27">
        <f>IF(K1024="CREDITO",Q1024,Q1024*-1)</f>
        <v>1965.81</v>
      </c>
      <c r="E1024" t="s">
        <v>894</v>
      </c>
      <c r="F1024" t="s">
        <v>1517</v>
      </c>
      <c r="G1024" s="8">
        <v>44896</v>
      </c>
      <c r="H1024" t="s">
        <v>513</v>
      </c>
      <c r="I1024" t="s">
        <v>40</v>
      </c>
      <c r="J1024" t="s">
        <v>54</v>
      </c>
      <c r="K1024" t="s">
        <v>29</v>
      </c>
      <c r="L1024" t="s">
        <v>895</v>
      </c>
      <c r="M1024" t="s">
        <v>4402</v>
      </c>
      <c r="O1024" t="s">
        <v>896</v>
      </c>
      <c r="P1024" t="s">
        <v>33</v>
      </c>
      <c r="Q1024" s="22">
        <v>1965.81</v>
      </c>
      <c r="R1024" t="s">
        <v>35</v>
      </c>
      <c r="S1024" t="s">
        <v>35</v>
      </c>
      <c r="T1024" t="s">
        <v>35</v>
      </c>
      <c r="U1024" t="s">
        <v>35</v>
      </c>
      <c r="V1024" t="s">
        <v>645</v>
      </c>
      <c r="W1024" t="s">
        <v>113</v>
      </c>
    </row>
    <row r="1025" spans="1:23" hidden="1" x14ac:dyDescent="0.25">
      <c r="A1025" s="7" t="str">
        <f>IFERROR(VLOOKUP(H1025,'Contas Orç'!A:B,2,0),"N/A")</f>
        <v>OUTROS GASTOS COM PESSOAL</v>
      </c>
      <c r="B1025" s="7" t="str">
        <f t="shared" si="30"/>
        <v>320104 - OUTROS GASTOS COM PESSOAL</v>
      </c>
      <c r="C1025" s="25">
        <f t="shared" si="31"/>
        <v>44896</v>
      </c>
      <c r="D1025" s="27">
        <f>IF(K1025="CREDITO",Q1025,Q1025*-1)</f>
        <v>5997.07</v>
      </c>
      <c r="E1025" t="s">
        <v>894</v>
      </c>
      <c r="F1025" t="s">
        <v>1518</v>
      </c>
      <c r="G1025" s="8">
        <v>44896</v>
      </c>
      <c r="H1025" t="s">
        <v>513</v>
      </c>
      <c r="I1025" t="s">
        <v>53</v>
      </c>
      <c r="J1025" t="s">
        <v>54</v>
      </c>
      <c r="K1025" t="s">
        <v>29</v>
      </c>
      <c r="L1025" t="s">
        <v>895</v>
      </c>
      <c r="M1025" t="s">
        <v>4402</v>
      </c>
      <c r="O1025" t="s">
        <v>896</v>
      </c>
      <c r="P1025" t="s">
        <v>33</v>
      </c>
      <c r="Q1025" s="22">
        <v>5997.07</v>
      </c>
      <c r="R1025" t="s">
        <v>35</v>
      </c>
      <c r="S1025" t="s">
        <v>35</v>
      </c>
      <c r="T1025" t="s">
        <v>35</v>
      </c>
      <c r="U1025" t="s">
        <v>35</v>
      </c>
      <c r="V1025" t="s">
        <v>645</v>
      </c>
      <c r="W1025" t="s">
        <v>113</v>
      </c>
    </row>
    <row r="1026" spans="1:23" hidden="1" x14ac:dyDescent="0.25">
      <c r="A1026" s="7" t="str">
        <f>IFERROR(VLOOKUP(H1026,'Contas Orç'!A:B,2,0),"N/A")</f>
        <v>PJ-CONSULTORIA E ASSESSORIA</v>
      </c>
      <c r="B1026" s="7" t="str">
        <f t="shared" si="30"/>
        <v>320201001 - PJ-CONSULTORIA E ASSESSORIA</v>
      </c>
      <c r="C1026" s="25">
        <f t="shared" si="31"/>
        <v>44562</v>
      </c>
      <c r="D1026" s="27">
        <f>IF(K1026="CREDITO",Q1026,Q1026*-1)</f>
        <v>880</v>
      </c>
      <c r="E1026" t="s">
        <v>894</v>
      </c>
      <c r="F1026" t="s">
        <v>1519</v>
      </c>
      <c r="G1026" s="8">
        <v>44562</v>
      </c>
      <c r="H1026" t="s">
        <v>517</v>
      </c>
      <c r="I1026" t="s">
        <v>27</v>
      </c>
      <c r="J1026" t="s">
        <v>28</v>
      </c>
      <c r="K1026" t="s">
        <v>29</v>
      </c>
      <c r="L1026" t="s">
        <v>895</v>
      </c>
      <c r="M1026" t="s">
        <v>4402</v>
      </c>
      <c r="O1026" t="s">
        <v>896</v>
      </c>
      <c r="P1026" t="s">
        <v>33</v>
      </c>
      <c r="Q1026">
        <v>880</v>
      </c>
      <c r="R1026" t="s">
        <v>35</v>
      </c>
      <c r="S1026" t="s">
        <v>35</v>
      </c>
      <c r="T1026" t="s">
        <v>35</v>
      </c>
      <c r="U1026" t="s">
        <v>35</v>
      </c>
      <c r="V1026" t="s">
        <v>645</v>
      </c>
      <c r="W1026" t="s">
        <v>113</v>
      </c>
    </row>
    <row r="1027" spans="1:23" hidden="1" x14ac:dyDescent="0.25">
      <c r="A1027" s="7" t="str">
        <f>IFERROR(VLOOKUP(H1027,'Contas Orç'!A:B,2,0),"N/A")</f>
        <v>PJ-CONSULTORIA E ASSESSORIA</v>
      </c>
      <c r="B1027" s="7" t="str">
        <f t="shared" ref="B1027:B1090" si="32">_xlfn.CONCAT(H1027," - ",A1027)</f>
        <v>320201001 - PJ-CONSULTORIA E ASSESSORIA</v>
      </c>
      <c r="C1027" s="25">
        <f t="shared" ref="C1027:C1090" si="33">DATE(YEAR(G1027),MONTH(G1027),1)</f>
        <v>44562</v>
      </c>
      <c r="D1027" s="27">
        <f>IF(K1027="CREDITO",Q1027,Q1027*-1)</f>
        <v>80</v>
      </c>
      <c r="E1027" t="s">
        <v>894</v>
      </c>
      <c r="F1027" t="s">
        <v>1520</v>
      </c>
      <c r="G1027" s="8">
        <v>44562</v>
      </c>
      <c r="H1027" t="s">
        <v>517</v>
      </c>
      <c r="I1027" t="s">
        <v>59</v>
      </c>
      <c r="J1027" t="s">
        <v>60</v>
      </c>
      <c r="K1027" t="s">
        <v>29</v>
      </c>
      <c r="L1027" t="s">
        <v>895</v>
      </c>
      <c r="M1027" t="s">
        <v>4402</v>
      </c>
      <c r="O1027" t="s">
        <v>896</v>
      </c>
      <c r="P1027" t="s">
        <v>33</v>
      </c>
      <c r="Q1027">
        <v>80</v>
      </c>
      <c r="R1027" t="s">
        <v>35</v>
      </c>
      <c r="S1027" t="s">
        <v>35</v>
      </c>
      <c r="T1027" t="s">
        <v>35</v>
      </c>
      <c r="U1027" t="s">
        <v>35</v>
      </c>
      <c r="V1027" t="s">
        <v>645</v>
      </c>
      <c r="W1027" t="s">
        <v>113</v>
      </c>
    </row>
    <row r="1028" spans="1:23" hidden="1" x14ac:dyDescent="0.25">
      <c r="A1028" s="7" t="str">
        <f>IFERROR(VLOOKUP(H1028,'Contas Orç'!A:B,2,0),"N/A")</f>
        <v>PJ-CONSULTORIA E ASSESSORIA</v>
      </c>
      <c r="B1028" s="7" t="str">
        <f t="shared" si="32"/>
        <v>320201001 - PJ-CONSULTORIA E ASSESSORIA</v>
      </c>
      <c r="C1028" s="25">
        <f t="shared" si="33"/>
        <v>44593</v>
      </c>
      <c r="D1028" s="27">
        <f>IF(K1028="CREDITO",Q1028,Q1028*-1)</f>
        <v>80</v>
      </c>
      <c r="E1028" t="s">
        <v>894</v>
      </c>
      <c r="F1028" t="s">
        <v>1521</v>
      </c>
      <c r="G1028" s="8">
        <v>44593</v>
      </c>
      <c r="H1028" t="s">
        <v>517</v>
      </c>
      <c r="I1028" t="s">
        <v>59</v>
      </c>
      <c r="J1028" t="s">
        <v>60</v>
      </c>
      <c r="K1028" t="s">
        <v>29</v>
      </c>
      <c r="L1028" t="s">
        <v>895</v>
      </c>
      <c r="M1028" t="s">
        <v>4402</v>
      </c>
      <c r="O1028" t="s">
        <v>896</v>
      </c>
      <c r="P1028" t="s">
        <v>33</v>
      </c>
      <c r="Q1028">
        <v>80</v>
      </c>
      <c r="R1028" t="s">
        <v>35</v>
      </c>
      <c r="S1028" t="s">
        <v>35</v>
      </c>
      <c r="T1028" t="s">
        <v>35</v>
      </c>
      <c r="U1028" t="s">
        <v>35</v>
      </c>
      <c r="V1028" t="s">
        <v>645</v>
      </c>
      <c r="W1028" t="s">
        <v>113</v>
      </c>
    </row>
    <row r="1029" spans="1:23" hidden="1" x14ac:dyDescent="0.25">
      <c r="A1029" s="7" t="str">
        <f>IFERROR(VLOOKUP(H1029,'Contas Orç'!A:B,2,0),"N/A")</f>
        <v>PJ-CONSULTORIA E ASSESSORIA</v>
      </c>
      <c r="B1029" s="7" t="str">
        <f t="shared" si="32"/>
        <v>320201001 - PJ-CONSULTORIA E ASSESSORIA</v>
      </c>
      <c r="C1029" s="25">
        <f t="shared" si="33"/>
        <v>44621</v>
      </c>
      <c r="D1029" s="27">
        <f>IF(K1029="CREDITO",Q1029,Q1029*-1)</f>
        <v>80</v>
      </c>
      <c r="E1029" t="s">
        <v>894</v>
      </c>
      <c r="F1029" t="s">
        <v>1522</v>
      </c>
      <c r="G1029" s="8">
        <v>44621</v>
      </c>
      <c r="H1029" t="s">
        <v>517</v>
      </c>
      <c r="I1029" t="s">
        <v>59</v>
      </c>
      <c r="J1029" t="s">
        <v>60</v>
      </c>
      <c r="K1029" t="s">
        <v>29</v>
      </c>
      <c r="L1029" t="s">
        <v>895</v>
      </c>
      <c r="M1029" t="s">
        <v>4402</v>
      </c>
      <c r="O1029" t="s">
        <v>896</v>
      </c>
      <c r="P1029" t="s">
        <v>33</v>
      </c>
      <c r="Q1029">
        <v>80</v>
      </c>
      <c r="R1029" t="s">
        <v>35</v>
      </c>
      <c r="S1029" t="s">
        <v>35</v>
      </c>
      <c r="T1029" t="s">
        <v>35</v>
      </c>
      <c r="U1029" t="s">
        <v>35</v>
      </c>
      <c r="V1029" t="s">
        <v>645</v>
      </c>
      <c r="W1029" t="s">
        <v>113</v>
      </c>
    </row>
    <row r="1030" spans="1:23" hidden="1" x14ac:dyDescent="0.25">
      <c r="A1030" s="7" t="str">
        <f>IFERROR(VLOOKUP(H1030,'Contas Orç'!A:B,2,0),"N/A")</f>
        <v>PJ-CONSULTORIA E ASSESSORIA</v>
      </c>
      <c r="B1030" s="7" t="str">
        <f t="shared" si="32"/>
        <v>320201001 - PJ-CONSULTORIA E ASSESSORIA</v>
      </c>
      <c r="C1030" s="25">
        <f t="shared" si="33"/>
        <v>44652</v>
      </c>
      <c r="D1030" s="27">
        <f>IF(K1030="CREDITO",Q1030,Q1030*-1)</f>
        <v>96</v>
      </c>
      <c r="E1030" t="s">
        <v>894</v>
      </c>
      <c r="F1030" t="s">
        <v>1523</v>
      </c>
      <c r="G1030" s="8">
        <v>44652</v>
      </c>
      <c r="H1030" t="s">
        <v>517</v>
      </c>
      <c r="I1030" t="s">
        <v>59</v>
      </c>
      <c r="J1030" t="s">
        <v>60</v>
      </c>
      <c r="K1030" t="s">
        <v>29</v>
      </c>
      <c r="L1030" t="s">
        <v>895</v>
      </c>
      <c r="M1030" t="s">
        <v>4402</v>
      </c>
      <c r="O1030" t="s">
        <v>896</v>
      </c>
      <c r="P1030" t="s">
        <v>33</v>
      </c>
      <c r="Q1030">
        <v>96</v>
      </c>
      <c r="R1030" t="s">
        <v>35</v>
      </c>
      <c r="S1030" t="s">
        <v>35</v>
      </c>
      <c r="T1030" t="s">
        <v>35</v>
      </c>
      <c r="U1030" t="s">
        <v>35</v>
      </c>
      <c r="V1030" t="s">
        <v>645</v>
      </c>
      <c r="W1030" t="s">
        <v>113</v>
      </c>
    </row>
    <row r="1031" spans="1:23" hidden="1" x14ac:dyDescent="0.25">
      <c r="A1031" s="7" t="str">
        <f>IFERROR(VLOOKUP(H1031,'Contas Orç'!A:B,2,0),"N/A")</f>
        <v>PJ-CONSULTORIA E ASSESSORIA</v>
      </c>
      <c r="B1031" s="7" t="str">
        <f t="shared" si="32"/>
        <v>320201001 - PJ-CONSULTORIA E ASSESSORIA</v>
      </c>
      <c r="C1031" s="25">
        <f t="shared" si="33"/>
        <v>44682</v>
      </c>
      <c r="D1031" s="27">
        <f>IF(K1031="CREDITO",Q1031,Q1031*-1)</f>
        <v>12009.97</v>
      </c>
      <c r="E1031" t="s">
        <v>894</v>
      </c>
      <c r="F1031" t="s">
        <v>1524</v>
      </c>
      <c r="G1031" s="8">
        <v>44682</v>
      </c>
      <c r="H1031" t="s">
        <v>517</v>
      </c>
      <c r="I1031" t="s">
        <v>27</v>
      </c>
      <c r="J1031" t="s">
        <v>28</v>
      </c>
      <c r="K1031" t="s">
        <v>29</v>
      </c>
      <c r="L1031" t="s">
        <v>895</v>
      </c>
      <c r="M1031" t="s">
        <v>4402</v>
      </c>
      <c r="O1031" t="s">
        <v>896</v>
      </c>
      <c r="P1031" t="s">
        <v>33</v>
      </c>
      <c r="Q1031" s="22">
        <v>12009.97</v>
      </c>
      <c r="R1031" t="s">
        <v>35</v>
      </c>
      <c r="S1031" t="s">
        <v>35</v>
      </c>
      <c r="T1031" t="s">
        <v>35</v>
      </c>
      <c r="U1031" t="s">
        <v>35</v>
      </c>
      <c r="V1031" t="s">
        <v>645</v>
      </c>
      <c r="W1031" t="s">
        <v>113</v>
      </c>
    </row>
    <row r="1032" spans="1:23" hidden="1" x14ac:dyDescent="0.25">
      <c r="A1032" s="7" t="str">
        <f>IFERROR(VLOOKUP(H1032,'Contas Orç'!A:B,2,0),"N/A")</f>
        <v>PJ-CONSULTORIA E ASSESSORIA</v>
      </c>
      <c r="B1032" s="7" t="str">
        <f t="shared" si="32"/>
        <v>320201001 - PJ-CONSULTORIA E ASSESSORIA</v>
      </c>
      <c r="C1032" s="25">
        <f t="shared" si="33"/>
        <v>44682</v>
      </c>
      <c r="D1032" s="27">
        <f>IF(K1032="CREDITO",Q1032,Q1032*-1)</f>
        <v>96</v>
      </c>
      <c r="E1032" t="s">
        <v>894</v>
      </c>
      <c r="F1032" t="s">
        <v>1525</v>
      </c>
      <c r="G1032" s="8">
        <v>44682</v>
      </c>
      <c r="H1032" t="s">
        <v>517</v>
      </c>
      <c r="I1032" t="s">
        <v>59</v>
      </c>
      <c r="J1032" t="s">
        <v>60</v>
      </c>
      <c r="K1032" t="s">
        <v>29</v>
      </c>
      <c r="L1032" t="s">
        <v>895</v>
      </c>
      <c r="M1032" t="s">
        <v>4402</v>
      </c>
      <c r="O1032" t="s">
        <v>896</v>
      </c>
      <c r="P1032" t="s">
        <v>33</v>
      </c>
      <c r="Q1032">
        <v>96</v>
      </c>
      <c r="R1032" t="s">
        <v>35</v>
      </c>
      <c r="S1032" t="s">
        <v>35</v>
      </c>
      <c r="T1032" t="s">
        <v>35</v>
      </c>
      <c r="U1032" t="s">
        <v>35</v>
      </c>
      <c r="V1032" t="s">
        <v>645</v>
      </c>
      <c r="W1032" t="s">
        <v>113</v>
      </c>
    </row>
    <row r="1033" spans="1:23" hidden="1" x14ac:dyDescent="0.25">
      <c r="A1033" s="7" t="str">
        <f>IFERROR(VLOOKUP(H1033,'Contas Orç'!A:B,2,0),"N/A")</f>
        <v>PJ-CONSULTORIA E ASSESSORIA</v>
      </c>
      <c r="B1033" s="7" t="str">
        <f t="shared" si="32"/>
        <v>320201001 - PJ-CONSULTORIA E ASSESSORIA</v>
      </c>
      <c r="C1033" s="25">
        <f t="shared" si="33"/>
        <v>44713</v>
      </c>
      <c r="D1033" s="27">
        <f>IF(K1033="CREDITO",Q1033,Q1033*-1)</f>
        <v>96</v>
      </c>
      <c r="E1033" t="s">
        <v>894</v>
      </c>
      <c r="F1033" t="s">
        <v>1526</v>
      </c>
      <c r="G1033" s="8">
        <v>44713</v>
      </c>
      <c r="H1033" t="s">
        <v>517</v>
      </c>
      <c r="I1033" t="s">
        <v>59</v>
      </c>
      <c r="J1033" t="s">
        <v>60</v>
      </c>
      <c r="K1033" t="s">
        <v>29</v>
      </c>
      <c r="L1033" t="s">
        <v>895</v>
      </c>
      <c r="M1033" t="s">
        <v>4402</v>
      </c>
      <c r="O1033" t="s">
        <v>896</v>
      </c>
      <c r="P1033" t="s">
        <v>33</v>
      </c>
      <c r="Q1033">
        <v>96</v>
      </c>
      <c r="R1033" t="s">
        <v>35</v>
      </c>
      <c r="S1033" t="s">
        <v>35</v>
      </c>
      <c r="T1033" t="s">
        <v>35</v>
      </c>
      <c r="U1033" t="s">
        <v>35</v>
      </c>
      <c r="V1033" t="s">
        <v>645</v>
      </c>
      <c r="W1033" t="s">
        <v>113</v>
      </c>
    </row>
    <row r="1034" spans="1:23" hidden="1" x14ac:dyDescent="0.25">
      <c r="A1034" s="7" t="str">
        <f>IFERROR(VLOOKUP(H1034,'Contas Orç'!A:B,2,0),"N/A")</f>
        <v>PJ-CONSULTORIA E ASSESSORIA</v>
      </c>
      <c r="B1034" s="7" t="str">
        <f t="shared" si="32"/>
        <v>320201001 - PJ-CONSULTORIA E ASSESSORIA</v>
      </c>
      <c r="C1034" s="25">
        <f t="shared" si="33"/>
        <v>44743</v>
      </c>
      <c r="D1034" s="27">
        <f>IF(K1034="CREDITO",Q1034,Q1034*-1)</f>
        <v>15747.31</v>
      </c>
      <c r="E1034" t="s">
        <v>894</v>
      </c>
      <c r="F1034" t="s">
        <v>1527</v>
      </c>
      <c r="G1034" s="8">
        <v>44743</v>
      </c>
      <c r="H1034" t="s">
        <v>517</v>
      </c>
      <c r="I1034" t="s">
        <v>27</v>
      </c>
      <c r="J1034" t="s">
        <v>28</v>
      </c>
      <c r="K1034" t="s">
        <v>29</v>
      </c>
      <c r="L1034" t="s">
        <v>895</v>
      </c>
      <c r="M1034" t="s">
        <v>4402</v>
      </c>
      <c r="O1034" t="s">
        <v>896</v>
      </c>
      <c r="P1034" t="s">
        <v>33</v>
      </c>
      <c r="Q1034" s="22">
        <v>15747.31</v>
      </c>
      <c r="R1034" t="s">
        <v>35</v>
      </c>
      <c r="S1034" t="s">
        <v>35</v>
      </c>
      <c r="T1034" t="s">
        <v>35</v>
      </c>
      <c r="U1034" t="s">
        <v>35</v>
      </c>
      <c r="V1034" t="s">
        <v>645</v>
      </c>
      <c r="W1034" t="s">
        <v>113</v>
      </c>
    </row>
    <row r="1035" spans="1:23" hidden="1" x14ac:dyDescent="0.25">
      <c r="A1035" s="7" t="str">
        <f>IFERROR(VLOOKUP(H1035,'Contas Orç'!A:B,2,0),"N/A")</f>
        <v>PJ-CONSULTORIA E ASSESSORIA</v>
      </c>
      <c r="B1035" s="7" t="str">
        <f t="shared" si="32"/>
        <v>320201001 - PJ-CONSULTORIA E ASSESSORIA</v>
      </c>
      <c r="C1035" s="25">
        <f t="shared" si="33"/>
        <v>44743</v>
      </c>
      <c r="D1035" s="27">
        <f>IF(K1035="CREDITO",Q1035,Q1035*-1)</f>
        <v>96</v>
      </c>
      <c r="E1035" t="s">
        <v>894</v>
      </c>
      <c r="F1035" t="s">
        <v>1528</v>
      </c>
      <c r="G1035" s="8">
        <v>44743</v>
      </c>
      <c r="H1035" t="s">
        <v>517</v>
      </c>
      <c r="I1035" t="s">
        <v>59</v>
      </c>
      <c r="J1035" t="s">
        <v>60</v>
      </c>
      <c r="K1035" t="s">
        <v>29</v>
      </c>
      <c r="L1035" t="s">
        <v>895</v>
      </c>
      <c r="M1035" t="s">
        <v>4402</v>
      </c>
      <c r="O1035" t="s">
        <v>896</v>
      </c>
      <c r="P1035" t="s">
        <v>33</v>
      </c>
      <c r="Q1035">
        <v>96</v>
      </c>
      <c r="R1035" t="s">
        <v>35</v>
      </c>
      <c r="S1035" t="s">
        <v>35</v>
      </c>
      <c r="T1035" t="s">
        <v>35</v>
      </c>
      <c r="U1035" t="s">
        <v>35</v>
      </c>
      <c r="V1035" t="s">
        <v>645</v>
      </c>
      <c r="W1035" t="s">
        <v>113</v>
      </c>
    </row>
    <row r="1036" spans="1:23" hidden="1" x14ac:dyDescent="0.25">
      <c r="A1036" s="7" t="str">
        <f>IFERROR(VLOOKUP(H1036,'Contas Orç'!A:B,2,0),"N/A")</f>
        <v>PJ-CONSULTORIA E ASSESSORIA</v>
      </c>
      <c r="B1036" s="7" t="str">
        <f t="shared" si="32"/>
        <v>320201001 - PJ-CONSULTORIA E ASSESSORIA</v>
      </c>
      <c r="C1036" s="25">
        <f t="shared" si="33"/>
        <v>44774</v>
      </c>
      <c r="D1036" s="27">
        <f>IF(K1036="CREDITO",Q1036,Q1036*-1)</f>
        <v>100</v>
      </c>
      <c r="E1036" t="s">
        <v>894</v>
      </c>
      <c r="F1036" t="s">
        <v>1529</v>
      </c>
      <c r="G1036" s="8">
        <v>44774</v>
      </c>
      <c r="H1036" t="s">
        <v>517</v>
      </c>
      <c r="I1036" t="s">
        <v>27</v>
      </c>
      <c r="J1036" t="s">
        <v>28</v>
      </c>
      <c r="K1036" t="s">
        <v>29</v>
      </c>
      <c r="L1036" t="s">
        <v>895</v>
      </c>
      <c r="M1036" t="s">
        <v>4402</v>
      </c>
      <c r="O1036" t="s">
        <v>896</v>
      </c>
      <c r="P1036" t="s">
        <v>33</v>
      </c>
      <c r="Q1036">
        <v>100</v>
      </c>
      <c r="R1036" t="s">
        <v>35</v>
      </c>
      <c r="S1036" t="s">
        <v>35</v>
      </c>
      <c r="T1036" t="s">
        <v>35</v>
      </c>
      <c r="U1036" t="s">
        <v>35</v>
      </c>
      <c r="V1036" t="s">
        <v>645</v>
      </c>
      <c r="W1036" t="s">
        <v>113</v>
      </c>
    </row>
    <row r="1037" spans="1:23" hidden="1" x14ac:dyDescent="0.25">
      <c r="A1037" s="7" t="str">
        <f>IFERROR(VLOOKUP(H1037,'Contas Orç'!A:B,2,0),"N/A")</f>
        <v>PJ-CONSULTORIA E ASSESSORIA</v>
      </c>
      <c r="B1037" s="7" t="str">
        <f t="shared" si="32"/>
        <v>320201001 - PJ-CONSULTORIA E ASSESSORIA</v>
      </c>
      <c r="C1037" s="25">
        <f t="shared" si="33"/>
        <v>44774</v>
      </c>
      <c r="D1037" s="27">
        <f>IF(K1037="CREDITO",Q1037,Q1037*-1)</f>
        <v>240</v>
      </c>
      <c r="E1037" t="s">
        <v>894</v>
      </c>
      <c r="F1037" t="s">
        <v>1530</v>
      </c>
      <c r="G1037" s="8">
        <v>44774</v>
      </c>
      <c r="H1037" t="s">
        <v>517</v>
      </c>
      <c r="I1037" t="s">
        <v>59</v>
      </c>
      <c r="J1037" t="s">
        <v>60</v>
      </c>
      <c r="K1037" t="s">
        <v>29</v>
      </c>
      <c r="L1037" t="s">
        <v>895</v>
      </c>
      <c r="M1037" t="s">
        <v>4402</v>
      </c>
      <c r="O1037" t="s">
        <v>896</v>
      </c>
      <c r="P1037" t="s">
        <v>33</v>
      </c>
      <c r="Q1037">
        <v>240</v>
      </c>
      <c r="R1037" t="s">
        <v>35</v>
      </c>
      <c r="S1037" t="s">
        <v>35</v>
      </c>
      <c r="T1037" t="s">
        <v>35</v>
      </c>
      <c r="U1037" t="s">
        <v>35</v>
      </c>
      <c r="V1037" t="s">
        <v>645</v>
      </c>
      <c r="W1037" t="s">
        <v>113</v>
      </c>
    </row>
    <row r="1038" spans="1:23" hidden="1" x14ac:dyDescent="0.25">
      <c r="A1038" s="7" t="str">
        <f>IFERROR(VLOOKUP(H1038,'Contas Orç'!A:B,2,0),"N/A")</f>
        <v>PJ-CONSULTORIA E ASSESSORIA</v>
      </c>
      <c r="B1038" s="7" t="str">
        <f t="shared" si="32"/>
        <v>320201001 - PJ-CONSULTORIA E ASSESSORIA</v>
      </c>
      <c r="C1038" s="25">
        <f t="shared" si="33"/>
        <v>44805</v>
      </c>
      <c r="D1038" s="27">
        <f>IF(K1038="CREDITO",Q1038,Q1038*-1)</f>
        <v>244</v>
      </c>
      <c r="E1038" t="s">
        <v>894</v>
      </c>
      <c r="F1038" t="s">
        <v>1531</v>
      </c>
      <c r="G1038" s="8">
        <v>44805</v>
      </c>
      <c r="H1038" t="s">
        <v>517</v>
      </c>
      <c r="I1038" t="s">
        <v>27</v>
      </c>
      <c r="J1038" t="s">
        <v>28</v>
      </c>
      <c r="K1038" t="s">
        <v>29</v>
      </c>
      <c r="L1038" t="s">
        <v>895</v>
      </c>
      <c r="M1038" t="s">
        <v>4402</v>
      </c>
      <c r="O1038" t="s">
        <v>896</v>
      </c>
      <c r="P1038" t="s">
        <v>33</v>
      </c>
      <c r="Q1038">
        <v>244</v>
      </c>
      <c r="R1038" t="s">
        <v>35</v>
      </c>
      <c r="S1038" t="s">
        <v>35</v>
      </c>
      <c r="T1038" t="s">
        <v>35</v>
      </c>
      <c r="U1038" t="s">
        <v>35</v>
      </c>
      <c r="V1038" t="s">
        <v>645</v>
      </c>
      <c r="W1038" t="s">
        <v>113</v>
      </c>
    </row>
    <row r="1039" spans="1:23" hidden="1" x14ac:dyDescent="0.25">
      <c r="A1039" s="7" t="str">
        <f>IFERROR(VLOOKUP(H1039,'Contas Orç'!A:B,2,0),"N/A")</f>
        <v>PJ-CONSULTORIA E ASSESSORIA</v>
      </c>
      <c r="B1039" s="7" t="str">
        <f t="shared" si="32"/>
        <v>320201001 - PJ-CONSULTORIA E ASSESSORIA</v>
      </c>
      <c r="C1039" s="25">
        <f t="shared" si="33"/>
        <v>44805</v>
      </c>
      <c r="D1039" s="27">
        <f>IF(K1039="CREDITO",Q1039,Q1039*-1)</f>
        <v>96</v>
      </c>
      <c r="E1039" t="s">
        <v>894</v>
      </c>
      <c r="F1039" t="s">
        <v>1532</v>
      </c>
      <c r="G1039" s="8">
        <v>44805</v>
      </c>
      <c r="H1039" t="s">
        <v>517</v>
      </c>
      <c r="I1039" t="s">
        <v>59</v>
      </c>
      <c r="J1039" t="s">
        <v>60</v>
      </c>
      <c r="K1039" t="s">
        <v>29</v>
      </c>
      <c r="L1039" t="s">
        <v>895</v>
      </c>
      <c r="M1039" t="s">
        <v>4402</v>
      </c>
      <c r="O1039" t="s">
        <v>896</v>
      </c>
      <c r="P1039" t="s">
        <v>33</v>
      </c>
      <c r="Q1039">
        <v>96</v>
      </c>
      <c r="R1039" t="s">
        <v>35</v>
      </c>
      <c r="S1039" t="s">
        <v>35</v>
      </c>
      <c r="T1039" t="s">
        <v>35</v>
      </c>
      <c r="U1039" t="s">
        <v>35</v>
      </c>
      <c r="V1039" t="s">
        <v>645</v>
      </c>
      <c r="W1039" t="s">
        <v>113</v>
      </c>
    </row>
    <row r="1040" spans="1:23" hidden="1" x14ac:dyDescent="0.25">
      <c r="A1040" s="7" t="str">
        <f>IFERROR(VLOOKUP(H1040,'Contas Orç'!A:B,2,0),"N/A")</f>
        <v>PJ-CONSULTORIA E ASSESSORIA</v>
      </c>
      <c r="B1040" s="7" t="str">
        <f t="shared" si="32"/>
        <v>320201001 - PJ-CONSULTORIA E ASSESSORIA</v>
      </c>
      <c r="C1040" s="25">
        <f t="shared" si="33"/>
        <v>44805</v>
      </c>
      <c r="D1040" s="27">
        <f>IF(K1040="CREDITO",Q1040,Q1040*-1)</f>
        <v>21827.53</v>
      </c>
      <c r="E1040" t="s">
        <v>894</v>
      </c>
      <c r="F1040" t="s">
        <v>1533</v>
      </c>
      <c r="G1040" s="8">
        <v>44805</v>
      </c>
      <c r="H1040" t="s">
        <v>517</v>
      </c>
      <c r="I1040" t="s">
        <v>53</v>
      </c>
      <c r="J1040" t="s">
        <v>54</v>
      </c>
      <c r="K1040" t="s">
        <v>29</v>
      </c>
      <c r="L1040" t="s">
        <v>895</v>
      </c>
      <c r="M1040" t="s">
        <v>4402</v>
      </c>
      <c r="O1040" t="s">
        <v>896</v>
      </c>
      <c r="P1040" t="s">
        <v>33</v>
      </c>
      <c r="Q1040" s="22">
        <v>21827.53</v>
      </c>
      <c r="R1040" t="s">
        <v>35</v>
      </c>
      <c r="S1040" t="s">
        <v>35</v>
      </c>
      <c r="T1040" t="s">
        <v>35</v>
      </c>
      <c r="U1040" t="s">
        <v>35</v>
      </c>
      <c r="V1040" t="s">
        <v>645</v>
      </c>
      <c r="W1040" t="s">
        <v>113</v>
      </c>
    </row>
    <row r="1041" spans="1:23" hidden="1" x14ac:dyDescent="0.25">
      <c r="A1041" s="7" t="str">
        <f>IFERROR(VLOOKUP(H1041,'Contas Orç'!A:B,2,0),"N/A")</f>
        <v>PJ-CONSULTORIA E ASSESSORIA</v>
      </c>
      <c r="B1041" s="7" t="str">
        <f t="shared" si="32"/>
        <v>320201001 - PJ-CONSULTORIA E ASSESSORIA</v>
      </c>
      <c r="C1041" s="25">
        <f t="shared" si="33"/>
        <v>44835</v>
      </c>
      <c r="D1041" s="27">
        <f>IF(K1041="CREDITO",Q1041,Q1041*-1)</f>
        <v>246.44</v>
      </c>
      <c r="E1041" t="s">
        <v>894</v>
      </c>
      <c r="F1041" t="s">
        <v>1534</v>
      </c>
      <c r="G1041" s="8">
        <v>44835</v>
      </c>
      <c r="H1041" t="s">
        <v>517</v>
      </c>
      <c r="I1041" t="s">
        <v>27</v>
      </c>
      <c r="J1041" t="s">
        <v>28</v>
      </c>
      <c r="K1041" t="s">
        <v>29</v>
      </c>
      <c r="L1041" t="s">
        <v>895</v>
      </c>
      <c r="M1041" t="s">
        <v>4402</v>
      </c>
      <c r="O1041" t="s">
        <v>896</v>
      </c>
      <c r="P1041" t="s">
        <v>33</v>
      </c>
      <c r="Q1041">
        <v>246.44</v>
      </c>
      <c r="R1041" t="s">
        <v>35</v>
      </c>
      <c r="S1041" t="s">
        <v>35</v>
      </c>
      <c r="T1041" t="s">
        <v>35</v>
      </c>
      <c r="U1041" t="s">
        <v>35</v>
      </c>
      <c r="V1041" t="s">
        <v>645</v>
      </c>
      <c r="W1041" t="s">
        <v>113</v>
      </c>
    </row>
    <row r="1042" spans="1:23" hidden="1" x14ac:dyDescent="0.25">
      <c r="A1042" s="7" t="str">
        <f>IFERROR(VLOOKUP(H1042,'Contas Orç'!A:B,2,0),"N/A")</f>
        <v>PJ-CONSULTORIA E ASSESSORIA</v>
      </c>
      <c r="B1042" s="7" t="str">
        <f t="shared" si="32"/>
        <v>320201001 - PJ-CONSULTORIA E ASSESSORIA</v>
      </c>
      <c r="C1042" s="25">
        <f t="shared" si="33"/>
        <v>44835</v>
      </c>
      <c r="D1042" s="27">
        <f>IF(K1042="CREDITO",Q1042,Q1042*-1)</f>
        <v>96.96</v>
      </c>
      <c r="E1042" t="s">
        <v>894</v>
      </c>
      <c r="F1042" t="s">
        <v>1535</v>
      </c>
      <c r="G1042" s="8">
        <v>44835</v>
      </c>
      <c r="H1042" t="s">
        <v>517</v>
      </c>
      <c r="I1042" t="s">
        <v>59</v>
      </c>
      <c r="J1042" t="s">
        <v>60</v>
      </c>
      <c r="K1042" t="s">
        <v>29</v>
      </c>
      <c r="L1042" t="s">
        <v>895</v>
      </c>
      <c r="M1042" t="s">
        <v>4402</v>
      </c>
      <c r="O1042" t="s">
        <v>896</v>
      </c>
      <c r="P1042" t="s">
        <v>33</v>
      </c>
      <c r="Q1042">
        <v>96.96</v>
      </c>
      <c r="R1042" t="s">
        <v>35</v>
      </c>
      <c r="S1042" t="s">
        <v>35</v>
      </c>
      <c r="T1042" t="s">
        <v>35</v>
      </c>
      <c r="U1042" t="s">
        <v>35</v>
      </c>
      <c r="V1042" t="s">
        <v>645</v>
      </c>
      <c r="W1042" t="s">
        <v>113</v>
      </c>
    </row>
    <row r="1043" spans="1:23" hidden="1" x14ac:dyDescent="0.25">
      <c r="A1043" s="7" t="str">
        <f>IFERROR(VLOOKUP(H1043,'Contas Orç'!A:B,2,0),"N/A")</f>
        <v>PJ-CONSULTORIA E ASSESSORIA</v>
      </c>
      <c r="B1043" s="7" t="str">
        <f t="shared" si="32"/>
        <v>320201001 - PJ-CONSULTORIA E ASSESSORIA</v>
      </c>
      <c r="C1043" s="25">
        <f t="shared" si="33"/>
        <v>44835</v>
      </c>
      <c r="D1043" s="27">
        <f>IF(K1043="CREDITO",Q1043,Q1043*-1)</f>
        <v>22045.81</v>
      </c>
      <c r="E1043" t="s">
        <v>894</v>
      </c>
      <c r="F1043" t="s">
        <v>1536</v>
      </c>
      <c r="G1043" s="8">
        <v>44835</v>
      </c>
      <c r="H1043" t="s">
        <v>517</v>
      </c>
      <c r="I1043" t="s">
        <v>53</v>
      </c>
      <c r="J1043" t="s">
        <v>54</v>
      </c>
      <c r="K1043" t="s">
        <v>29</v>
      </c>
      <c r="L1043" t="s">
        <v>895</v>
      </c>
      <c r="M1043" t="s">
        <v>4402</v>
      </c>
      <c r="O1043" t="s">
        <v>896</v>
      </c>
      <c r="P1043" t="s">
        <v>33</v>
      </c>
      <c r="Q1043" s="22">
        <v>22045.81</v>
      </c>
      <c r="R1043" t="s">
        <v>35</v>
      </c>
      <c r="S1043" t="s">
        <v>35</v>
      </c>
      <c r="T1043" t="s">
        <v>35</v>
      </c>
      <c r="U1043" t="s">
        <v>35</v>
      </c>
      <c r="V1043" t="s">
        <v>645</v>
      </c>
      <c r="W1043" t="s">
        <v>113</v>
      </c>
    </row>
    <row r="1044" spans="1:23" hidden="1" x14ac:dyDescent="0.25">
      <c r="A1044" s="7" t="str">
        <f>IFERROR(VLOOKUP(H1044,'Contas Orç'!A:B,2,0),"N/A")</f>
        <v>PJ-CONSULTORIA E ASSESSORIA</v>
      </c>
      <c r="B1044" s="7" t="str">
        <f t="shared" si="32"/>
        <v>320201001 - PJ-CONSULTORIA E ASSESSORIA</v>
      </c>
      <c r="C1044" s="25">
        <f t="shared" si="33"/>
        <v>44866</v>
      </c>
      <c r="D1044" s="27">
        <f>IF(K1044="CREDITO",Q1044,Q1044*-1)</f>
        <v>248.9</v>
      </c>
      <c r="E1044" t="s">
        <v>894</v>
      </c>
      <c r="F1044" t="s">
        <v>1537</v>
      </c>
      <c r="G1044" s="8">
        <v>44866</v>
      </c>
      <c r="H1044" t="s">
        <v>517</v>
      </c>
      <c r="I1044" t="s">
        <v>27</v>
      </c>
      <c r="J1044" t="s">
        <v>28</v>
      </c>
      <c r="K1044" t="s">
        <v>29</v>
      </c>
      <c r="L1044" t="s">
        <v>895</v>
      </c>
      <c r="M1044" t="s">
        <v>4402</v>
      </c>
      <c r="O1044" t="s">
        <v>896</v>
      </c>
      <c r="P1044" t="s">
        <v>33</v>
      </c>
      <c r="Q1044">
        <v>248.9</v>
      </c>
      <c r="R1044" t="s">
        <v>35</v>
      </c>
      <c r="S1044" t="s">
        <v>35</v>
      </c>
      <c r="T1044" t="s">
        <v>35</v>
      </c>
      <c r="U1044" t="s">
        <v>35</v>
      </c>
      <c r="V1044" t="s">
        <v>645</v>
      </c>
      <c r="W1044" t="s">
        <v>113</v>
      </c>
    </row>
    <row r="1045" spans="1:23" hidden="1" x14ac:dyDescent="0.25">
      <c r="A1045" s="7" t="str">
        <f>IFERROR(VLOOKUP(H1045,'Contas Orç'!A:B,2,0),"N/A")</f>
        <v>PJ-CONSULTORIA E ASSESSORIA</v>
      </c>
      <c r="B1045" s="7" t="str">
        <f t="shared" si="32"/>
        <v>320201001 - PJ-CONSULTORIA E ASSESSORIA</v>
      </c>
      <c r="C1045" s="25">
        <f t="shared" si="33"/>
        <v>44866</v>
      </c>
      <c r="D1045" s="27">
        <f>IF(K1045="CREDITO",Q1045,Q1045*-1)</f>
        <v>97.93</v>
      </c>
      <c r="E1045" t="s">
        <v>894</v>
      </c>
      <c r="F1045" t="s">
        <v>1538</v>
      </c>
      <c r="G1045" s="8">
        <v>44866</v>
      </c>
      <c r="H1045" t="s">
        <v>517</v>
      </c>
      <c r="I1045" t="s">
        <v>59</v>
      </c>
      <c r="J1045" t="s">
        <v>60</v>
      </c>
      <c r="K1045" t="s">
        <v>29</v>
      </c>
      <c r="L1045" t="s">
        <v>895</v>
      </c>
      <c r="M1045" t="s">
        <v>4402</v>
      </c>
      <c r="O1045" t="s">
        <v>896</v>
      </c>
      <c r="P1045" t="s">
        <v>33</v>
      </c>
      <c r="Q1045">
        <v>97.93</v>
      </c>
      <c r="R1045" t="s">
        <v>35</v>
      </c>
      <c r="S1045" t="s">
        <v>35</v>
      </c>
      <c r="T1045" t="s">
        <v>35</v>
      </c>
      <c r="U1045" t="s">
        <v>35</v>
      </c>
      <c r="V1045" t="s">
        <v>645</v>
      </c>
      <c r="W1045" t="s">
        <v>113</v>
      </c>
    </row>
    <row r="1046" spans="1:23" hidden="1" x14ac:dyDescent="0.25">
      <c r="A1046" s="7" t="str">
        <f>IFERROR(VLOOKUP(H1046,'Contas Orç'!A:B,2,0),"N/A")</f>
        <v>PJ-CONSULTORIA E ASSESSORIA</v>
      </c>
      <c r="B1046" s="7" t="str">
        <f t="shared" si="32"/>
        <v>320201001 - PJ-CONSULTORIA E ASSESSORIA</v>
      </c>
      <c r="C1046" s="25">
        <f t="shared" si="33"/>
        <v>44866</v>
      </c>
      <c r="D1046" s="27">
        <f>IF(K1046="CREDITO",Q1046,Q1046*-1)</f>
        <v>22266.26</v>
      </c>
      <c r="E1046" t="s">
        <v>894</v>
      </c>
      <c r="F1046" t="s">
        <v>1539</v>
      </c>
      <c r="G1046" s="8">
        <v>44866</v>
      </c>
      <c r="H1046" t="s">
        <v>517</v>
      </c>
      <c r="I1046" t="s">
        <v>53</v>
      </c>
      <c r="J1046" t="s">
        <v>54</v>
      </c>
      <c r="K1046" t="s">
        <v>29</v>
      </c>
      <c r="L1046" t="s">
        <v>895</v>
      </c>
      <c r="M1046" t="s">
        <v>4402</v>
      </c>
      <c r="O1046" t="s">
        <v>896</v>
      </c>
      <c r="P1046" t="s">
        <v>33</v>
      </c>
      <c r="Q1046" s="22">
        <v>22266.26</v>
      </c>
      <c r="R1046" t="s">
        <v>35</v>
      </c>
      <c r="S1046" t="s">
        <v>35</v>
      </c>
      <c r="T1046" t="s">
        <v>35</v>
      </c>
      <c r="U1046" t="s">
        <v>35</v>
      </c>
      <c r="V1046" t="s">
        <v>645</v>
      </c>
      <c r="W1046" t="s">
        <v>113</v>
      </c>
    </row>
    <row r="1047" spans="1:23" hidden="1" x14ac:dyDescent="0.25">
      <c r="A1047" s="7" t="str">
        <f>IFERROR(VLOOKUP(H1047,'Contas Orç'!A:B,2,0),"N/A")</f>
        <v>PJ-CONSULTORIA E ASSESSORIA</v>
      </c>
      <c r="B1047" s="7" t="str">
        <f t="shared" si="32"/>
        <v>320201001 - PJ-CONSULTORIA E ASSESSORIA</v>
      </c>
      <c r="C1047" s="25">
        <f t="shared" si="33"/>
        <v>44896</v>
      </c>
      <c r="D1047" s="27">
        <f>IF(K1047="CREDITO",Q1047,Q1047*-1)</f>
        <v>251.39</v>
      </c>
      <c r="E1047" t="s">
        <v>894</v>
      </c>
      <c r="F1047" t="s">
        <v>1540</v>
      </c>
      <c r="G1047" s="8">
        <v>44896</v>
      </c>
      <c r="H1047" t="s">
        <v>517</v>
      </c>
      <c r="I1047" t="s">
        <v>27</v>
      </c>
      <c r="J1047" t="s">
        <v>28</v>
      </c>
      <c r="K1047" t="s">
        <v>29</v>
      </c>
      <c r="L1047" t="s">
        <v>895</v>
      </c>
      <c r="M1047" t="s">
        <v>4402</v>
      </c>
      <c r="O1047" t="s">
        <v>896</v>
      </c>
      <c r="P1047" t="s">
        <v>33</v>
      </c>
      <c r="Q1047">
        <v>251.39</v>
      </c>
      <c r="R1047" t="s">
        <v>35</v>
      </c>
      <c r="S1047" t="s">
        <v>35</v>
      </c>
      <c r="T1047" t="s">
        <v>35</v>
      </c>
      <c r="U1047" t="s">
        <v>35</v>
      </c>
      <c r="V1047" t="s">
        <v>645</v>
      </c>
      <c r="W1047" t="s">
        <v>113</v>
      </c>
    </row>
    <row r="1048" spans="1:23" hidden="1" x14ac:dyDescent="0.25">
      <c r="A1048" s="7" t="str">
        <f>IFERROR(VLOOKUP(H1048,'Contas Orç'!A:B,2,0),"N/A")</f>
        <v>PJ-CONSULTORIA E ASSESSORIA</v>
      </c>
      <c r="B1048" s="7" t="str">
        <f t="shared" si="32"/>
        <v>320201001 - PJ-CONSULTORIA E ASSESSORIA</v>
      </c>
      <c r="C1048" s="25">
        <f t="shared" si="33"/>
        <v>44896</v>
      </c>
      <c r="D1048" s="27">
        <f>IF(K1048="CREDITO",Q1048,Q1048*-1)</f>
        <v>98.91</v>
      </c>
      <c r="E1048" t="s">
        <v>894</v>
      </c>
      <c r="F1048" t="s">
        <v>1541</v>
      </c>
      <c r="G1048" s="8">
        <v>44896</v>
      </c>
      <c r="H1048" t="s">
        <v>517</v>
      </c>
      <c r="I1048" t="s">
        <v>59</v>
      </c>
      <c r="J1048" t="s">
        <v>60</v>
      </c>
      <c r="K1048" t="s">
        <v>29</v>
      </c>
      <c r="L1048" t="s">
        <v>895</v>
      </c>
      <c r="M1048" t="s">
        <v>4402</v>
      </c>
      <c r="O1048" t="s">
        <v>896</v>
      </c>
      <c r="P1048" t="s">
        <v>33</v>
      </c>
      <c r="Q1048">
        <v>98.91</v>
      </c>
      <c r="R1048" t="s">
        <v>35</v>
      </c>
      <c r="S1048" t="s">
        <v>35</v>
      </c>
      <c r="T1048" t="s">
        <v>35</v>
      </c>
      <c r="U1048" t="s">
        <v>35</v>
      </c>
      <c r="V1048" t="s">
        <v>645</v>
      </c>
      <c r="W1048" t="s">
        <v>113</v>
      </c>
    </row>
    <row r="1049" spans="1:23" hidden="1" x14ac:dyDescent="0.25">
      <c r="A1049" s="7" t="str">
        <f>IFERROR(VLOOKUP(H1049,'Contas Orç'!A:B,2,0),"N/A")</f>
        <v>PJ-CONSULTORIA E ASSESSORIA</v>
      </c>
      <c r="B1049" s="7" t="str">
        <f t="shared" si="32"/>
        <v>320201001 - PJ-CONSULTORIA E ASSESSORIA</v>
      </c>
      <c r="C1049" s="25">
        <f t="shared" si="33"/>
        <v>44896</v>
      </c>
      <c r="D1049" s="27">
        <f>IF(K1049="CREDITO",Q1049,Q1049*-1)</f>
        <v>22488.93</v>
      </c>
      <c r="E1049" t="s">
        <v>894</v>
      </c>
      <c r="F1049" t="s">
        <v>1542</v>
      </c>
      <c r="G1049" s="8">
        <v>44896</v>
      </c>
      <c r="H1049" t="s">
        <v>517</v>
      </c>
      <c r="I1049" t="s">
        <v>53</v>
      </c>
      <c r="J1049" t="s">
        <v>54</v>
      </c>
      <c r="K1049" t="s">
        <v>29</v>
      </c>
      <c r="L1049" t="s">
        <v>895</v>
      </c>
      <c r="M1049" t="s">
        <v>4402</v>
      </c>
      <c r="O1049" t="s">
        <v>896</v>
      </c>
      <c r="P1049" t="s">
        <v>33</v>
      </c>
      <c r="Q1049" s="22">
        <v>22488.93</v>
      </c>
      <c r="R1049" t="s">
        <v>35</v>
      </c>
      <c r="S1049" t="s">
        <v>35</v>
      </c>
      <c r="T1049" t="s">
        <v>35</v>
      </c>
      <c r="U1049" t="s">
        <v>35</v>
      </c>
      <c r="V1049" t="s">
        <v>645</v>
      </c>
      <c r="W1049" t="s">
        <v>113</v>
      </c>
    </row>
    <row r="1050" spans="1:23" hidden="1" x14ac:dyDescent="0.25">
      <c r="A1050" s="7" t="str">
        <f>IFERROR(VLOOKUP(H1050,'Contas Orç'!A:B,2,0),"N/A")</f>
        <v>PJ-LOCACAO DE MAQUINAS E EQUIPAMENTO</v>
      </c>
      <c r="B1050" s="7" t="str">
        <f t="shared" si="32"/>
        <v>320201004 - PJ-LOCACAO DE MAQUINAS E EQUIPAMENTO</v>
      </c>
      <c r="C1050" s="25">
        <f t="shared" si="33"/>
        <v>44562</v>
      </c>
      <c r="D1050" s="27">
        <f>IF(K1050="CREDITO",Q1050,Q1050*-1)</f>
        <v>412904.79</v>
      </c>
      <c r="E1050" t="s">
        <v>894</v>
      </c>
      <c r="F1050" t="s">
        <v>1543</v>
      </c>
      <c r="G1050" s="8">
        <v>44562</v>
      </c>
      <c r="H1050" t="s">
        <v>280</v>
      </c>
      <c r="I1050" t="s">
        <v>59</v>
      </c>
      <c r="J1050" t="s">
        <v>60</v>
      </c>
      <c r="K1050" t="s">
        <v>29</v>
      </c>
      <c r="L1050" t="s">
        <v>895</v>
      </c>
      <c r="M1050" t="s">
        <v>4402</v>
      </c>
      <c r="O1050" t="s">
        <v>896</v>
      </c>
      <c r="P1050" t="s">
        <v>33</v>
      </c>
      <c r="Q1050" s="22">
        <v>412904.79</v>
      </c>
      <c r="R1050" t="s">
        <v>35</v>
      </c>
      <c r="S1050" t="s">
        <v>35</v>
      </c>
      <c r="T1050" t="s">
        <v>35</v>
      </c>
      <c r="U1050" t="s">
        <v>35</v>
      </c>
      <c r="V1050" t="s">
        <v>645</v>
      </c>
      <c r="W1050" t="s">
        <v>113</v>
      </c>
    </row>
    <row r="1051" spans="1:23" hidden="1" x14ac:dyDescent="0.25">
      <c r="A1051" s="7" t="str">
        <f>IFERROR(VLOOKUP(H1051,'Contas Orç'!A:B,2,0),"N/A")</f>
        <v>PJ-LOCACAO DE MAQUINAS E EQUIPAMENTO</v>
      </c>
      <c r="B1051" s="7" t="str">
        <f t="shared" si="32"/>
        <v>320201004 - PJ-LOCACAO DE MAQUINAS E EQUIPAMENTO</v>
      </c>
      <c r="C1051" s="25">
        <f t="shared" si="33"/>
        <v>44562</v>
      </c>
      <c r="D1051" s="27">
        <f>IF(K1051="CREDITO",Q1051,Q1051*-1)</f>
        <v>5750</v>
      </c>
      <c r="E1051" t="s">
        <v>894</v>
      </c>
      <c r="F1051" t="s">
        <v>1544</v>
      </c>
      <c r="G1051" s="8">
        <v>44562</v>
      </c>
      <c r="H1051" t="s">
        <v>280</v>
      </c>
      <c r="I1051" t="s">
        <v>53</v>
      </c>
      <c r="J1051" t="s">
        <v>54</v>
      </c>
      <c r="K1051" t="s">
        <v>29</v>
      </c>
      <c r="L1051" t="s">
        <v>895</v>
      </c>
      <c r="M1051" t="s">
        <v>4402</v>
      </c>
      <c r="O1051" t="s">
        <v>896</v>
      </c>
      <c r="P1051" t="s">
        <v>33</v>
      </c>
      <c r="Q1051" s="22">
        <v>5750</v>
      </c>
      <c r="R1051" t="s">
        <v>35</v>
      </c>
      <c r="S1051" t="s">
        <v>35</v>
      </c>
      <c r="T1051" t="s">
        <v>35</v>
      </c>
      <c r="U1051" t="s">
        <v>35</v>
      </c>
      <c r="V1051" t="s">
        <v>645</v>
      </c>
      <c r="W1051" t="s">
        <v>113</v>
      </c>
    </row>
    <row r="1052" spans="1:23" hidden="1" x14ac:dyDescent="0.25">
      <c r="A1052" s="7" t="str">
        <f>IFERROR(VLOOKUP(H1052,'Contas Orç'!A:B,2,0),"N/A")</f>
        <v>PJ-LOCACAO DE MAQUINAS E EQUIPAMENTO</v>
      </c>
      <c r="B1052" s="7" t="str">
        <f t="shared" si="32"/>
        <v>320201004 - PJ-LOCACAO DE MAQUINAS E EQUIPAMENTO</v>
      </c>
      <c r="C1052" s="25">
        <f t="shared" si="33"/>
        <v>44593</v>
      </c>
      <c r="D1052" s="27">
        <f>IF(K1052="CREDITO",Q1052,Q1052*-1)</f>
        <v>295175.12</v>
      </c>
      <c r="E1052" t="s">
        <v>894</v>
      </c>
      <c r="F1052" t="s">
        <v>1545</v>
      </c>
      <c r="G1052" s="8">
        <v>44593</v>
      </c>
      <c r="H1052" t="s">
        <v>280</v>
      </c>
      <c r="I1052" t="s">
        <v>59</v>
      </c>
      <c r="J1052" t="s">
        <v>60</v>
      </c>
      <c r="K1052" t="s">
        <v>29</v>
      </c>
      <c r="L1052" t="s">
        <v>895</v>
      </c>
      <c r="M1052" t="s">
        <v>4402</v>
      </c>
      <c r="O1052" t="s">
        <v>896</v>
      </c>
      <c r="P1052" t="s">
        <v>33</v>
      </c>
      <c r="Q1052" s="22">
        <v>295175.12</v>
      </c>
      <c r="R1052" t="s">
        <v>35</v>
      </c>
      <c r="S1052" t="s">
        <v>35</v>
      </c>
      <c r="T1052" t="s">
        <v>35</v>
      </c>
      <c r="U1052" t="s">
        <v>35</v>
      </c>
      <c r="V1052" t="s">
        <v>645</v>
      </c>
      <c r="W1052" t="s">
        <v>113</v>
      </c>
    </row>
    <row r="1053" spans="1:23" hidden="1" x14ac:dyDescent="0.25">
      <c r="A1053" s="7" t="str">
        <f>IFERROR(VLOOKUP(H1053,'Contas Orç'!A:B,2,0),"N/A")</f>
        <v>PJ-LOCACAO DE MAQUINAS E EQUIPAMENTO</v>
      </c>
      <c r="B1053" s="7" t="str">
        <f t="shared" si="32"/>
        <v>320201004 - PJ-LOCACAO DE MAQUINAS E EQUIPAMENTO</v>
      </c>
      <c r="C1053" s="25">
        <f t="shared" si="33"/>
        <v>44593</v>
      </c>
      <c r="D1053" s="27">
        <f>IF(K1053="CREDITO",Q1053,Q1053*-1)</f>
        <v>5750</v>
      </c>
      <c r="E1053" t="s">
        <v>894</v>
      </c>
      <c r="F1053" t="s">
        <v>1546</v>
      </c>
      <c r="G1053" s="8">
        <v>44593</v>
      </c>
      <c r="H1053" t="s">
        <v>280</v>
      </c>
      <c r="I1053" t="s">
        <v>53</v>
      </c>
      <c r="J1053" t="s">
        <v>54</v>
      </c>
      <c r="K1053" t="s">
        <v>29</v>
      </c>
      <c r="L1053" t="s">
        <v>895</v>
      </c>
      <c r="M1053" t="s">
        <v>4402</v>
      </c>
      <c r="O1053" t="s">
        <v>896</v>
      </c>
      <c r="P1053" t="s">
        <v>33</v>
      </c>
      <c r="Q1053" s="22">
        <v>5750</v>
      </c>
      <c r="R1053" t="s">
        <v>35</v>
      </c>
      <c r="S1053" t="s">
        <v>35</v>
      </c>
      <c r="T1053" t="s">
        <v>35</v>
      </c>
      <c r="U1053" t="s">
        <v>35</v>
      </c>
      <c r="V1053" t="s">
        <v>645</v>
      </c>
      <c r="W1053" t="s">
        <v>113</v>
      </c>
    </row>
    <row r="1054" spans="1:23" hidden="1" x14ac:dyDescent="0.25">
      <c r="A1054" s="7" t="str">
        <f>IFERROR(VLOOKUP(H1054,'Contas Orç'!A:B,2,0),"N/A")</f>
        <v>PJ-LOCACAO DE MAQUINAS E EQUIPAMENTO</v>
      </c>
      <c r="B1054" s="7" t="str">
        <f t="shared" si="32"/>
        <v>320201004 - PJ-LOCACAO DE MAQUINAS E EQUIPAMENTO</v>
      </c>
      <c r="C1054" s="25">
        <f t="shared" si="33"/>
        <v>44621</v>
      </c>
      <c r="D1054" s="27">
        <f>IF(K1054="CREDITO",Q1054,Q1054*-1)</f>
        <v>421869.38</v>
      </c>
      <c r="E1054" t="s">
        <v>894</v>
      </c>
      <c r="F1054" t="s">
        <v>1547</v>
      </c>
      <c r="G1054" s="8">
        <v>44621</v>
      </c>
      <c r="H1054" t="s">
        <v>280</v>
      </c>
      <c r="I1054" t="s">
        <v>59</v>
      </c>
      <c r="J1054" t="s">
        <v>60</v>
      </c>
      <c r="K1054" t="s">
        <v>29</v>
      </c>
      <c r="L1054" t="s">
        <v>895</v>
      </c>
      <c r="M1054" t="s">
        <v>4402</v>
      </c>
      <c r="O1054" t="s">
        <v>896</v>
      </c>
      <c r="P1054" t="s">
        <v>33</v>
      </c>
      <c r="Q1054" s="22">
        <v>421869.38</v>
      </c>
      <c r="R1054" t="s">
        <v>35</v>
      </c>
      <c r="S1054" t="s">
        <v>35</v>
      </c>
      <c r="T1054" t="s">
        <v>35</v>
      </c>
      <c r="U1054" t="s">
        <v>35</v>
      </c>
      <c r="V1054" t="s">
        <v>645</v>
      </c>
      <c r="W1054" t="s">
        <v>113</v>
      </c>
    </row>
    <row r="1055" spans="1:23" hidden="1" x14ac:dyDescent="0.25">
      <c r="A1055" s="7" t="str">
        <f>IFERROR(VLOOKUP(H1055,'Contas Orç'!A:B,2,0),"N/A")</f>
        <v>PJ-LOCACAO DE MAQUINAS E EQUIPAMENTO</v>
      </c>
      <c r="B1055" s="7" t="str">
        <f t="shared" si="32"/>
        <v>320201004 - PJ-LOCACAO DE MAQUINAS E EQUIPAMENTO</v>
      </c>
      <c r="C1055" s="25">
        <f t="shared" si="33"/>
        <v>44621</v>
      </c>
      <c r="D1055" s="27">
        <f>IF(K1055="CREDITO",Q1055,Q1055*-1)</f>
        <v>5750</v>
      </c>
      <c r="E1055" t="s">
        <v>894</v>
      </c>
      <c r="F1055" t="s">
        <v>1548</v>
      </c>
      <c r="G1055" s="8">
        <v>44621</v>
      </c>
      <c r="H1055" t="s">
        <v>280</v>
      </c>
      <c r="I1055" t="s">
        <v>53</v>
      </c>
      <c r="J1055" t="s">
        <v>54</v>
      </c>
      <c r="K1055" t="s">
        <v>29</v>
      </c>
      <c r="L1055" t="s">
        <v>895</v>
      </c>
      <c r="M1055" t="s">
        <v>4402</v>
      </c>
      <c r="O1055" t="s">
        <v>896</v>
      </c>
      <c r="P1055" t="s">
        <v>33</v>
      </c>
      <c r="Q1055" s="22">
        <v>5750</v>
      </c>
      <c r="R1055" t="s">
        <v>35</v>
      </c>
      <c r="S1055" t="s">
        <v>35</v>
      </c>
      <c r="T1055" t="s">
        <v>35</v>
      </c>
      <c r="U1055" t="s">
        <v>35</v>
      </c>
      <c r="V1055" t="s">
        <v>645</v>
      </c>
      <c r="W1055" t="s">
        <v>113</v>
      </c>
    </row>
    <row r="1056" spans="1:23" hidden="1" x14ac:dyDescent="0.25">
      <c r="A1056" s="7" t="str">
        <f>IFERROR(VLOOKUP(H1056,'Contas Orç'!A:B,2,0),"N/A")</f>
        <v>PJ-LOCACAO DE MAQUINAS E EQUIPAMENTO</v>
      </c>
      <c r="B1056" s="7" t="str">
        <f t="shared" si="32"/>
        <v>320201004 - PJ-LOCACAO DE MAQUINAS E EQUIPAMENTO</v>
      </c>
      <c r="C1056" s="25">
        <f t="shared" si="33"/>
        <v>44652</v>
      </c>
      <c r="D1056" s="27">
        <f>IF(K1056="CREDITO",Q1056,Q1056*-1)</f>
        <v>443253.56</v>
      </c>
      <c r="E1056" t="s">
        <v>894</v>
      </c>
      <c r="F1056" t="s">
        <v>1549</v>
      </c>
      <c r="G1056" s="8">
        <v>44652</v>
      </c>
      <c r="H1056" t="s">
        <v>280</v>
      </c>
      <c r="I1056" t="s">
        <v>59</v>
      </c>
      <c r="J1056" t="s">
        <v>60</v>
      </c>
      <c r="K1056" t="s">
        <v>29</v>
      </c>
      <c r="L1056" t="s">
        <v>895</v>
      </c>
      <c r="M1056" t="s">
        <v>4402</v>
      </c>
      <c r="O1056" t="s">
        <v>896</v>
      </c>
      <c r="P1056" t="s">
        <v>33</v>
      </c>
      <c r="Q1056" s="22">
        <v>443253.56</v>
      </c>
      <c r="R1056" t="s">
        <v>35</v>
      </c>
      <c r="S1056" t="s">
        <v>35</v>
      </c>
      <c r="T1056" t="s">
        <v>35</v>
      </c>
      <c r="U1056" t="s">
        <v>35</v>
      </c>
      <c r="V1056" t="s">
        <v>645</v>
      </c>
      <c r="W1056" t="s">
        <v>113</v>
      </c>
    </row>
    <row r="1057" spans="1:23" hidden="1" x14ac:dyDescent="0.25">
      <c r="A1057" s="7" t="str">
        <f>IFERROR(VLOOKUP(H1057,'Contas Orç'!A:B,2,0),"N/A")</f>
        <v>PJ-LOCACAO DE MAQUINAS E EQUIPAMENTO</v>
      </c>
      <c r="B1057" s="7" t="str">
        <f t="shared" si="32"/>
        <v>320201004 - PJ-LOCACAO DE MAQUINAS E EQUIPAMENTO</v>
      </c>
      <c r="C1057" s="25">
        <f t="shared" si="33"/>
        <v>44652</v>
      </c>
      <c r="D1057" s="27">
        <f>IF(K1057="CREDITO",Q1057,Q1057*-1)</f>
        <v>7030</v>
      </c>
      <c r="E1057" t="s">
        <v>894</v>
      </c>
      <c r="F1057" t="s">
        <v>1550</v>
      </c>
      <c r="G1057" s="8">
        <v>44652</v>
      </c>
      <c r="H1057" t="s">
        <v>280</v>
      </c>
      <c r="I1057" t="s">
        <v>53</v>
      </c>
      <c r="J1057" t="s">
        <v>54</v>
      </c>
      <c r="K1057" t="s">
        <v>29</v>
      </c>
      <c r="L1057" t="s">
        <v>895</v>
      </c>
      <c r="M1057" t="s">
        <v>4402</v>
      </c>
      <c r="O1057" t="s">
        <v>896</v>
      </c>
      <c r="P1057" t="s">
        <v>33</v>
      </c>
      <c r="Q1057" s="22">
        <v>7030</v>
      </c>
      <c r="R1057" t="s">
        <v>35</v>
      </c>
      <c r="S1057" t="s">
        <v>35</v>
      </c>
      <c r="T1057" t="s">
        <v>35</v>
      </c>
      <c r="U1057" t="s">
        <v>35</v>
      </c>
      <c r="V1057" t="s">
        <v>645</v>
      </c>
      <c r="W1057" t="s">
        <v>113</v>
      </c>
    </row>
    <row r="1058" spans="1:23" hidden="1" x14ac:dyDescent="0.25">
      <c r="A1058" s="7" t="str">
        <f>IFERROR(VLOOKUP(H1058,'Contas Orç'!A:B,2,0),"N/A")</f>
        <v>PJ-LOCACAO DE MAQUINAS E EQUIPAMENTO</v>
      </c>
      <c r="B1058" s="7" t="str">
        <f t="shared" si="32"/>
        <v>320201004 - PJ-LOCACAO DE MAQUINAS E EQUIPAMENTO</v>
      </c>
      <c r="C1058" s="25">
        <f t="shared" si="33"/>
        <v>44652</v>
      </c>
      <c r="D1058" s="27">
        <f>IF(K1058="CREDITO",Q1058,Q1058*-1)</f>
        <v>300</v>
      </c>
      <c r="E1058" t="s">
        <v>894</v>
      </c>
      <c r="F1058" t="s">
        <v>1551</v>
      </c>
      <c r="G1058" s="8">
        <v>44652</v>
      </c>
      <c r="H1058" t="s">
        <v>280</v>
      </c>
      <c r="I1058" t="s">
        <v>59</v>
      </c>
      <c r="J1058" t="s">
        <v>54</v>
      </c>
      <c r="K1058" t="s">
        <v>29</v>
      </c>
      <c r="L1058" t="s">
        <v>895</v>
      </c>
      <c r="M1058" t="s">
        <v>4402</v>
      </c>
      <c r="O1058" t="s">
        <v>896</v>
      </c>
      <c r="P1058" t="s">
        <v>33</v>
      </c>
      <c r="Q1058">
        <v>300</v>
      </c>
      <c r="R1058" t="s">
        <v>35</v>
      </c>
      <c r="S1058" t="s">
        <v>35</v>
      </c>
      <c r="T1058" t="s">
        <v>35</v>
      </c>
      <c r="U1058" t="s">
        <v>35</v>
      </c>
      <c r="V1058" t="s">
        <v>645</v>
      </c>
      <c r="W1058" t="s">
        <v>113</v>
      </c>
    </row>
    <row r="1059" spans="1:23" hidden="1" x14ac:dyDescent="0.25">
      <c r="A1059" s="7" t="str">
        <f>IFERROR(VLOOKUP(H1059,'Contas Orç'!A:B,2,0),"N/A")</f>
        <v>PJ-LOCACAO DE MAQUINAS E EQUIPAMENTO</v>
      </c>
      <c r="B1059" s="7" t="str">
        <f t="shared" si="32"/>
        <v>320201004 - PJ-LOCACAO DE MAQUINAS E EQUIPAMENTO</v>
      </c>
      <c r="C1059" s="25">
        <f t="shared" si="33"/>
        <v>44682</v>
      </c>
      <c r="D1059" s="27">
        <f>IF(K1059="CREDITO",Q1059,Q1059*-1)</f>
        <v>1500</v>
      </c>
      <c r="E1059" t="s">
        <v>894</v>
      </c>
      <c r="F1059" t="s">
        <v>1552</v>
      </c>
      <c r="G1059" s="8">
        <v>44682</v>
      </c>
      <c r="H1059" t="s">
        <v>280</v>
      </c>
      <c r="I1059" t="s">
        <v>27</v>
      </c>
      <c r="J1059" t="s">
        <v>28</v>
      </c>
      <c r="K1059" t="s">
        <v>29</v>
      </c>
      <c r="L1059" t="s">
        <v>895</v>
      </c>
      <c r="M1059" t="s">
        <v>4402</v>
      </c>
      <c r="O1059" t="s">
        <v>896</v>
      </c>
      <c r="P1059" t="s">
        <v>33</v>
      </c>
      <c r="Q1059" s="22">
        <v>1500</v>
      </c>
      <c r="R1059" t="s">
        <v>35</v>
      </c>
      <c r="S1059" t="s">
        <v>35</v>
      </c>
      <c r="T1059" t="s">
        <v>35</v>
      </c>
      <c r="U1059" t="s">
        <v>35</v>
      </c>
      <c r="V1059" t="s">
        <v>645</v>
      </c>
      <c r="W1059" t="s">
        <v>113</v>
      </c>
    </row>
    <row r="1060" spans="1:23" hidden="1" x14ac:dyDescent="0.25">
      <c r="A1060" s="7" t="str">
        <f>IFERROR(VLOOKUP(H1060,'Contas Orç'!A:B,2,0),"N/A")</f>
        <v>PJ-LOCACAO DE MAQUINAS E EQUIPAMENTO</v>
      </c>
      <c r="B1060" s="7" t="str">
        <f t="shared" si="32"/>
        <v>320201004 - PJ-LOCACAO DE MAQUINAS E EQUIPAMENTO</v>
      </c>
      <c r="C1060" s="25">
        <f t="shared" si="33"/>
        <v>44682</v>
      </c>
      <c r="D1060" s="27">
        <f>IF(K1060="CREDITO",Q1060,Q1060*-1)</f>
        <v>467723.43</v>
      </c>
      <c r="E1060" t="s">
        <v>894</v>
      </c>
      <c r="F1060" t="s">
        <v>1553</v>
      </c>
      <c r="G1060" s="8">
        <v>44682</v>
      </c>
      <c r="H1060" t="s">
        <v>280</v>
      </c>
      <c r="I1060" t="s">
        <v>59</v>
      </c>
      <c r="J1060" t="s">
        <v>60</v>
      </c>
      <c r="K1060" t="s">
        <v>29</v>
      </c>
      <c r="L1060" t="s">
        <v>895</v>
      </c>
      <c r="M1060" t="s">
        <v>4402</v>
      </c>
      <c r="O1060" t="s">
        <v>896</v>
      </c>
      <c r="P1060" t="s">
        <v>33</v>
      </c>
      <c r="Q1060" s="22">
        <v>467723.43</v>
      </c>
      <c r="R1060" t="s">
        <v>35</v>
      </c>
      <c r="S1060" t="s">
        <v>35</v>
      </c>
      <c r="T1060" t="s">
        <v>35</v>
      </c>
      <c r="U1060" t="s">
        <v>35</v>
      </c>
      <c r="V1060" t="s">
        <v>645</v>
      </c>
      <c r="W1060" t="s">
        <v>113</v>
      </c>
    </row>
    <row r="1061" spans="1:23" hidden="1" x14ac:dyDescent="0.25">
      <c r="A1061" s="7" t="str">
        <f>IFERROR(VLOOKUP(H1061,'Contas Orç'!A:B,2,0),"N/A")</f>
        <v>PJ-LOCACAO DE MAQUINAS E EQUIPAMENTO</v>
      </c>
      <c r="B1061" s="7" t="str">
        <f t="shared" si="32"/>
        <v>320201004 - PJ-LOCACAO DE MAQUINAS E EQUIPAMENTO</v>
      </c>
      <c r="C1061" s="25">
        <f t="shared" si="33"/>
        <v>44682</v>
      </c>
      <c r="D1061" s="27">
        <f>IF(K1061="CREDITO",Q1061,Q1061*-1)</f>
        <v>5750</v>
      </c>
      <c r="E1061" t="s">
        <v>894</v>
      </c>
      <c r="F1061" t="s">
        <v>1554</v>
      </c>
      <c r="G1061" s="8">
        <v>44682</v>
      </c>
      <c r="H1061" t="s">
        <v>280</v>
      </c>
      <c r="I1061" t="s">
        <v>53</v>
      </c>
      <c r="J1061" t="s">
        <v>54</v>
      </c>
      <c r="K1061" t="s">
        <v>29</v>
      </c>
      <c r="L1061" t="s">
        <v>895</v>
      </c>
      <c r="M1061" t="s">
        <v>4402</v>
      </c>
      <c r="O1061" t="s">
        <v>896</v>
      </c>
      <c r="P1061" t="s">
        <v>33</v>
      </c>
      <c r="Q1061" s="22">
        <v>5750</v>
      </c>
      <c r="R1061" t="s">
        <v>35</v>
      </c>
      <c r="S1061" t="s">
        <v>35</v>
      </c>
      <c r="T1061" t="s">
        <v>35</v>
      </c>
      <c r="U1061" t="s">
        <v>35</v>
      </c>
      <c r="V1061" t="s">
        <v>645</v>
      </c>
      <c r="W1061" t="s">
        <v>113</v>
      </c>
    </row>
    <row r="1062" spans="1:23" hidden="1" x14ac:dyDescent="0.25">
      <c r="A1062" s="7" t="str">
        <f>IFERROR(VLOOKUP(H1062,'Contas Orç'!A:B,2,0),"N/A")</f>
        <v>PJ-LOCACAO DE MAQUINAS E EQUIPAMENTO</v>
      </c>
      <c r="B1062" s="7" t="str">
        <f t="shared" si="32"/>
        <v>320201004 - PJ-LOCACAO DE MAQUINAS E EQUIPAMENTO</v>
      </c>
      <c r="C1062" s="25">
        <f t="shared" si="33"/>
        <v>44713</v>
      </c>
      <c r="D1062" s="27">
        <f>IF(K1062="CREDITO",Q1062,Q1062*-1)</f>
        <v>440331.93</v>
      </c>
      <c r="E1062" t="s">
        <v>894</v>
      </c>
      <c r="F1062" t="s">
        <v>1555</v>
      </c>
      <c r="G1062" s="8">
        <v>44713</v>
      </c>
      <c r="H1062" t="s">
        <v>280</v>
      </c>
      <c r="I1062" t="s">
        <v>59</v>
      </c>
      <c r="J1062" t="s">
        <v>60</v>
      </c>
      <c r="K1062" t="s">
        <v>29</v>
      </c>
      <c r="L1062" t="s">
        <v>895</v>
      </c>
      <c r="M1062" t="s">
        <v>4402</v>
      </c>
      <c r="O1062" t="s">
        <v>896</v>
      </c>
      <c r="P1062" t="s">
        <v>33</v>
      </c>
      <c r="Q1062" s="22">
        <v>440331.93</v>
      </c>
      <c r="R1062" t="s">
        <v>35</v>
      </c>
      <c r="S1062" t="s">
        <v>35</v>
      </c>
      <c r="T1062" t="s">
        <v>35</v>
      </c>
      <c r="U1062" t="s">
        <v>35</v>
      </c>
      <c r="V1062" t="s">
        <v>645</v>
      </c>
      <c r="W1062" t="s">
        <v>113</v>
      </c>
    </row>
    <row r="1063" spans="1:23" hidden="1" x14ac:dyDescent="0.25">
      <c r="A1063" s="7" t="str">
        <f>IFERROR(VLOOKUP(H1063,'Contas Orç'!A:B,2,0),"N/A")</f>
        <v>PJ-LOCACAO DE MAQUINAS E EQUIPAMENTO</v>
      </c>
      <c r="B1063" s="7" t="str">
        <f t="shared" si="32"/>
        <v>320201004 - PJ-LOCACAO DE MAQUINAS E EQUIPAMENTO</v>
      </c>
      <c r="C1063" s="25">
        <f t="shared" si="33"/>
        <v>44713</v>
      </c>
      <c r="D1063" s="27">
        <f>IF(K1063="CREDITO",Q1063,Q1063*-1)</f>
        <v>6378.18</v>
      </c>
      <c r="E1063" t="s">
        <v>894</v>
      </c>
      <c r="F1063" t="s">
        <v>1556</v>
      </c>
      <c r="G1063" s="8">
        <v>44713</v>
      </c>
      <c r="H1063" t="s">
        <v>280</v>
      </c>
      <c r="I1063" t="s">
        <v>53</v>
      </c>
      <c r="J1063" t="s">
        <v>54</v>
      </c>
      <c r="K1063" t="s">
        <v>29</v>
      </c>
      <c r="L1063" t="s">
        <v>895</v>
      </c>
      <c r="M1063" t="s">
        <v>4402</v>
      </c>
      <c r="O1063" t="s">
        <v>896</v>
      </c>
      <c r="P1063" t="s">
        <v>33</v>
      </c>
      <c r="Q1063" s="22">
        <v>6378.18</v>
      </c>
      <c r="R1063" t="s">
        <v>35</v>
      </c>
      <c r="S1063" t="s">
        <v>35</v>
      </c>
      <c r="T1063" t="s">
        <v>35</v>
      </c>
      <c r="U1063" t="s">
        <v>35</v>
      </c>
      <c r="V1063" t="s">
        <v>645</v>
      </c>
      <c r="W1063" t="s">
        <v>113</v>
      </c>
    </row>
    <row r="1064" spans="1:23" hidden="1" x14ac:dyDescent="0.25">
      <c r="A1064" s="7" t="str">
        <f>IFERROR(VLOOKUP(H1064,'Contas Orç'!A:B,2,0),"N/A")</f>
        <v>PJ-LOCACAO DE MAQUINAS E EQUIPAMENTO</v>
      </c>
      <c r="B1064" s="7" t="str">
        <f t="shared" si="32"/>
        <v>320201004 - PJ-LOCACAO DE MAQUINAS E EQUIPAMENTO</v>
      </c>
      <c r="C1064" s="25">
        <f t="shared" si="33"/>
        <v>44743</v>
      </c>
      <c r="D1064" s="27">
        <f>IF(K1064="CREDITO",Q1064,Q1064*-1)</f>
        <v>433914.3</v>
      </c>
      <c r="E1064" t="s">
        <v>894</v>
      </c>
      <c r="F1064" t="s">
        <v>1557</v>
      </c>
      <c r="G1064" s="8">
        <v>44743</v>
      </c>
      <c r="H1064" t="s">
        <v>280</v>
      </c>
      <c r="I1064" t="s">
        <v>59</v>
      </c>
      <c r="J1064" t="s">
        <v>60</v>
      </c>
      <c r="K1064" t="s">
        <v>29</v>
      </c>
      <c r="L1064" t="s">
        <v>895</v>
      </c>
      <c r="M1064" t="s">
        <v>4402</v>
      </c>
      <c r="O1064" t="s">
        <v>896</v>
      </c>
      <c r="P1064" t="s">
        <v>33</v>
      </c>
      <c r="Q1064" s="22">
        <v>433914.3</v>
      </c>
      <c r="R1064" t="s">
        <v>35</v>
      </c>
      <c r="S1064" t="s">
        <v>35</v>
      </c>
      <c r="T1064" t="s">
        <v>35</v>
      </c>
      <c r="U1064" t="s">
        <v>35</v>
      </c>
      <c r="V1064" t="s">
        <v>645</v>
      </c>
      <c r="W1064" t="s">
        <v>113</v>
      </c>
    </row>
    <row r="1065" spans="1:23" hidden="1" x14ac:dyDescent="0.25">
      <c r="A1065" s="7" t="str">
        <f>IFERROR(VLOOKUP(H1065,'Contas Orç'!A:B,2,0),"N/A")</f>
        <v>PJ-LOCACAO DE MAQUINAS E EQUIPAMENTO</v>
      </c>
      <c r="B1065" s="7" t="str">
        <f t="shared" si="32"/>
        <v>320201004 - PJ-LOCACAO DE MAQUINAS E EQUIPAMENTO</v>
      </c>
      <c r="C1065" s="25">
        <f t="shared" si="33"/>
        <v>44743</v>
      </c>
      <c r="D1065" s="27">
        <f>IF(K1065="CREDITO",Q1065,Q1065*-1)</f>
        <v>7597</v>
      </c>
      <c r="E1065" t="s">
        <v>894</v>
      </c>
      <c r="F1065" t="s">
        <v>1558</v>
      </c>
      <c r="G1065" s="8">
        <v>44743</v>
      </c>
      <c r="H1065" t="s">
        <v>280</v>
      </c>
      <c r="I1065" t="s">
        <v>53</v>
      </c>
      <c r="J1065" t="s">
        <v>54</v>
      </c>
      <c r="K1065" t="s">
        <v>29</v>
      </c>
      <c r="L1065" t="s">
        <v>895</v>
      </c>
      <c r="M1065" t="s">
        <v>4402</v>
      </c>
      <c r="O1065" t="s">
        <v>896</v>
      </c>
      <c r="P1065" t="s">
        <v>33</v>
      </c>
      <c r="Q1065" s="22">
        <v>7597</v>
      </c>
      <c r="R1065" t="s">
        <v>35</v>
      </c>
      <c r="S1065" t="s">
        <v>35</v>
      </c>
      <c r="T1065" t="s">
        <v>35</v>
      </c>
      <c r="U1065" t="s">
        <v>35</v>
      </c>
      <c r="V1065" t="s">
        <v>645</v>
      </c>
      <c r="W1065" t="s">
        <v>113</v>
      </c>
    </row>
    <row r="1066" spans="1:23" hidden="1" x14ac:dyDescent="0.25">
      <c r="A1066" s="7" t="str">
        <f>IFERROR(VLOOKUP(H1066,'Contas Orç'!A:B,2,0),"N/A")</f>
        <v>PJ-LOCACAO DE MAQUINAS E EQUIPAMENTO</v>
      </c>
      <c r="B1066" s="7" t="str">
        <f t="shared" si="32"/>
        <v>320201004 - PJ-LOCACAO DE MAQUINAS E EQUIPAMENTO</v>
      </c>
      <c r="C1066" s="25">
        <f t="shared" si="33"/>
        <v>44774</v>
      </c>
      <c r="D1066" s="27">
        <f>IF(K1066="CREDITO",Q1066,Q1066*-1)</f>
        <v>1361.24</v>
      </c>
      <c r="E1066" t="s">
        <v>894</v>
      </c>
      <c r="F1066" t="s">
        <v>1559</v>
      </c>
      <c r="G1066" s="8">
        <v>44774</v>
      </c>
      <c r="H1066" t="s">
        <v>280</v>
      </c>
      <c r="I1066" t="s">
        <v>27</v>
      </c>
      <c r="J1066" t="s">
        <v>28</v>
      </c>
      <c r="K1066" t="s">
        <v>29</v>
      </c>
      <c r="L1066" t="s">
        <v>895</v>
      </c>
      <c r="M1066" t="s">
        <v>4402</v>
      </c>
      <c r="O1066" t="s">
        <v>896</v>
      </c>
      <c r="P1066" t="s">
        <v>33</v>
      </c>
      <c r="Q1066" s="22">
        <v>1361.24</v>
      </c>
      <c r="R1066" t="s">
        <v>35</v>
      </c>
      <c r="S1066" t="s">
        <v>35</v>
      </c>
      <c r="T1066" t="s">
        <v>35</v>
      </c>
      <c r="U1066" t="s">
        <v>35</v>
      </c>
      <c r="V1066" t="s">
        <v>645</v>
      </c>
      <c r="W1066" t="s">
        <v>113</v>
      </c>
    </row>
    <row r="1067" spans="1:23" hidden="1" x14ac:dyDescent="0.25">
      <c r="A1067" s="7" t="str">
        <f>IFERROR(VLOOKUP(H1067,'Contas Orç'!A:B,2,0),"N/A")</f>
        <v>PJ-LOCACAO DE MAQUINAS E EQUIPAMENTO</v>
      </c>
      <c r="B1067" s="7" t="str">
        <f t="shared" si="32"/>
        <v>320201004 - PJ-LOCACAO DE MAQUINAS E EQUIPAMENTO</v>
      </c>
      <c r="C1067" s="25">
        <f t="shared" si="33"/>
        <v>44774</v>
      </c>
      <c r="D1067" s="27">
        <f>IF(K1067="CREDITO",Q1067,Q1067*-1)</f>
        <v>427027.56</v>
      </c>
      <c r="E1067" t="s">
        <v>894</v>
      </c>
      <c r="F1067" t="s">
        <v>1560</v>
      </c>
      <c r="G1067" s="8">
        <v>44774</v>
      </c>
      <c r="H1067" t="s">
        <v>280</v>
      </c>
      <c r="I1067" t="s">
        <v>59</v>
      </c>
      <c r="J1067" t="s">
        <v>60</v>
      </c>
      <c r="K1067" t="s">
        <v>29</v>
      </c>
      <c r="L1067" t="s">
        <v>895</v>
      </c>
      <c r="M1067" t="s">
        <v>4402</v>
      </c>
      <c r="O1067" t="s">
        <v>896</v>
      </c>
      <c r="P1067" t="s">
        <v>33</v>
      </c>
      <c r="Q1067" s="22">
        <v>427027.56</v>
      </c>
      <c r="R1067" t="s">
        <v>35</v>
      </c>
      <c r="S1067" t="s">
        <v>35</v>
      </c>
      <c r="T1067" t="s">
        <v>35</v>
      </c>
      <c r="U1067" t="s">
        <v>35</v>
      </c>
      <c r="V1067" t="s">
        <v>645</v>
      </c>
      <c r="W1067" t="s">
        <v>113</v>
      </c>
    </row>
    <row r="1068" spans="1:23" hidden="1" x14ac:dyDescent="0.25">
      <c r="A1068" s="7" t="str">
        <f>IFERROR(VLOOKUP(H1068,'Contas Orç'!A:B,2,0),"N/A")</f>
        <v>PJ-LOCACAO DE MAQUINAS E EQUIPAMENTO</v>
      </c>
      <c r="B1068" s="7" t="str">
        <f t="shared" si="32"/>
        <v>320201004 - PJ-LOCACAO DE MAQUINAS E EQUIPAMENTO</v>
      </c>
      <c r="C1068" s="25">
        <f t="shared" si="33"/>
        <v>44774</v>
      </c>
      <c r="D1068" s="27">
        <f>IF(K1068="CREDITO",Q1068,Q1068*-1)</f>
        <v>900</v>
      </c>
      <c r="E1068" t="s">
        <v>894</v>
      </c>
      <c r="F1068" t="s">
        <v>1561</v>
      </c>
      <c r="G1068" s="8">
        <v>44774</v>
      </c>
      <c r="H1068" t="s">
        <v>280</v>
      </c>
      <c r="I1068" t="s">
        <v>59</v>
      </c>
      <c r="J1068" t="s">
        <v>702</v>
      </c>
      <c r="K1068" t="s">
        <v>29</v>
      </c>
      <c r="L1068" t="s">
        <v>895</v>
      </c>
      <c r="M1068" t="s">
        <v>4402</v>
      </c>
      <c r="O1068" t="s">
        <v>896</v>
      </c>
      <c r="P1068" t="s">
        <v>33</v>
      </c>
      <c r="Q1068">
        <v>900</v>
      </c>
      <c r="R1068" t="s">
        <v>35</v>
      </c>
      <c r="S1068" t="s">
        <v>35</v>
      </c>
      <c r="T1068" t="s">
        <v>35</v>
      </c>
      <c r="U1068" t="s">
        <v>35</v>
      </c>
      <c r="V1068" t="s">
        <v>645</v>
      </c>
      <c r="W1068" t="s">
        <v>113</v>
      </c>
    </row>
    <row r="1069" spans="1:23" hidden="1" x14ac:dyDescent="0.25">
      <c r="A1069" s="7" t="str">
        <f>IFERROR(VLOOKUP(H1069,'Contas Orç'!A:B,2,0),"N/A")</f>
        <v>PJ-LOCACAO DE MAQUINAS E EQUIPAMENTO</v>
      </c>
      <c r="B1069" s="7" t="str">
        <f t="shared" si="32"/>
        <v>320201004 - PJ-LOCACAO DE MAQUINAS E EQUIPAMENTO</v>
      </c>
      <c r="C1069" s="25">
        <f t="shared" si="33"/>
        <v>44774</v>
      </c>
      <c r="D1069" s="27">
        <f>IF(K1069="CREDITO",Q1069,Q1069*-1)</f>
        <v>6797</v>
      </c>
      <c r="E1069" t="s">
        <v>894</v>
      </c>
      <c r="F1069" t="s">
        <v>1562</v>
      </c>
      <c r="G1069" s="8">
        <v>44774</v>
      </c>
      <c r="H1069" t="s">
        <v>280</v>
      </c>
      <c r="I1069" t="s">
        <v>53</v>
      </c>
      <c r="J1069" t="s">
        <v>54</v>
      </c>
      <c r="K1069" t="s">
        <v>29</v>
      </c>
      <c r="L1069" t="s">
        <v>895</v>
      </c>
      <c r="M1069" t="s">
        <v>4402</v>
      </c>
      <c r="O1069" t="s">
        <v>896</v>
      </c>
      <c r="P1069" t="s">
        <v>33</v>
      </c>
      <c r="Q1069" s="22">
        <v>6797</v>
      </c>
      <c r="R1069" t="s">
        <v>35</v>
      </c>
      <c r="S1069" t="s">
        <v>35</v>
      </c>
      <c r="T1069" t="s">
        <v>35</v>
      </c>
      <c r="U1069" t="s">
        <v>35</v>
      </c>
      <c r="V1069" t="s">
        <v>645</v>
      </c>
      <c r="W1069" t="s">
        <v>113</v>
      </c>
    </row>
    <row r="1070" spans="1:23" hidden="1" x14ac:dyDescent="0.25">
      <c r="A1070" s="7" t="str">
        <f>IFERROR(VLOOKUP(H1070,'Contas Orç'!A:B,2,0),"N/A")</f>
        <v>PJ-LOCACAO DE MAQUINAS E EQUIPAMENTO</v>
      </c>
      <c r="B1070" s="7" t="str">
        <f t="shared" si="32"/>
        <v>320201004 - PJ-LOCACAO DE MAQUINAS E EQUIPAMENTO</v>
      </c>
      <c r="C1070" s="25">
        <f t="shared" si="33"/>
        <v>44805</v>
      </c>
      <c r="D1070" s="27">
        <f>IF(K1070="CREDITO",Q1070,Q1070*-1)</f>
        <v>446584.18</v>
      </c>
      <c r="E1070" t="s">
        <v>894</v>
      </c>
      <c r="F1070" t="s">
        <v>1563</v>
      </c>
      <c r="G1070" s="8">
        <v>44805</v>
      </c>
      <c r="H1070" t="s">
        <v>280</v>
      </c>
      <c r="I1070" t="s">
        <v>59</v>
      </c>
      <c r="J1070" t="s">
        <v>60</v>
      </c>
      <c r="K1070" t="s">
        <v>29</v>
      </c>
      <c r="L1070" t="s">
        <v>895</v>
      </c>
      <c r="M1070" t="s">
        <v>4402</v>
      </c>
      <c r="O1070" t="s">
        <v>896</v>
      </c>
      <c r="P1070" t="s">
        <v>33</v>
      </c>
      <c r="Q1070" s="22">
        <v>446584.18</v>
      </c>
      <c r="R1070" t="s">
        <v>35</v>
      </c>
      <c r="S1070" t="s">
        <v>35</v>
      </c>
      <c r="T1070" t="s">
        <v>35</v>
      </c>
      <c r="U1070" t="s">
        <v>35</v>
      </c>
      <c r="V1070" t="s">
        <v>645</v>
      </c>
      <c r="W1070" t="s">
        <v>113</v>
      </c>
    </row>
    <row r="1071" spans="1:23" hidden="1" x14ac:dyDescent="0.25">
      <c r="A1071" s="7" t="str">
        <f>IFERROR(VLOOKUP(H1071,'Contas Orç'!A:B,2,0),"N/A")</f>
        <v>PJ-LOCACAO DE MAQUINAS E EQUIPAMENTO</v>
      </c>
      <c r="B1071" s="7" t="str">
        <f t="shared" si="32"/>
        <v>320201004 - PJ-LOCACAO DE MAQUINAS E EQUIPAMENTO</v>
      </c>
      <c r="C1071" s="25">
        <f t="shared" si="33"/>
        <v>44805</v>
      </c>
      <c r="D1071" s="27">
        <f>IF(K1071="CREDITO",Q1071,Q1071*-1)</f>
        <v>6797</v>
      </c>
      <c r="E1071" t="s">
        <v>894</v>
      </c>
      <c r="F1071" t="s">
        <v>1564</v>
      </c>
      <c r="G1071" s="8">
        <v>44805</v>
      </c>
      <c r="H1071" t="s">
        <v>280</v>
      </c>
      <c r="I1071" t="s">
        <v>53</v>
      </c>
      <c r="J1071" t="s">
        <v>54</v>
      </c>
      <c r="K1071" t="s">
        <v>29</v>
      </c>
      <c r="L1071" t="s">
        <v>895</v>
      </c>
      <c r="M1071" t="s">
        <v>4402</v>
      </c>
      <c r="O1071" t="s">
        <v>896</v>
      </c>
      <c r="P1071" t="s">
        <v>33</v>
      </c>
      <c r="Q1071" s="22">
        <v>6797</v>
      </c>
      <c r="R1071" t="s">
        <v>35</v>
      </c>
      <c r="S1071" t="s">
        <v>35</v>
      </c>
      <c r="T1071" t="s">
        <v>35</v>
      </c>
      <c r="U1071" t="s">
        <v>35</v>
      </c>
      <c r="V1071" t="s">
        <v>645</v>
      </c>
      <c r="W1071" t="s">
        <v>113</v>
      </c>
    </row>
    <row r="1072" spans="1:23" hidden="1" x14ac:dyDescent="0.25">
      <c r="A1072" s="7" t="str">
        <f>IFERROR(VLOOKUP(H1072,'Contas Orç'!A:B,2,0),"N/A")</f>
        <v>PJ-LOCACAO DE MAQUINAS E EQUIPAMENTO</v>
      </c>
      <c r="B1072" s="7" t="str">
        <f t="shared" si="32"/>
        <v>320201004 - PJ-LOCACAO DE MAQUINAS E EQUIPAMENTO</v>
      </c>
      <c r="C1072" s="25">
        <f t="shared" si="33"/>
        <v>44835</v>
      </c>
      <c r="D1072" s="27">
        <f>IF(K1072="CREDITO",Q1072,Q1072*-1)</f>
        <v>451050.02</v>
      </c>
      <c r="E1072" t="s">
        <v>894</v>
      </c>
      <c r="F1072" t="s">
        <v>1565</v>
      </c>
      <c r="G1072" s="8">
        <v>44835</v>
      </c>
      <c r="H1072" t="s">
        <v>280</v>
      </c>
      <c r="I1072" t="s">
        <v>59</v>
      </c>
      <c r="J1072" t="s">
        <v>60</v>
      </c>
      <c r="K1072" t="s">
        <v>29</v>
      </c>
      <c r="L1072" t="s">
        <v>895</v>
      </c>
      <c r="M1072" t="s">
        <v>4402</v>
      </c>
      <c r="O1072" t="s">
        <v>896</v>
      </c>
      <c r="P1072" t="s">
        <v>33</v>
      </c>
      <c r="Q1072" s="22">
        <v>451050.02</v>
      </c>
      <c r="R1072" t="s">
        <v>35</v>
      </c>
      <c r="S1072" t="s">
        <v>35</v>
      </c>
      <c r="T1072" t="s">
        <v>35</v>
      </c>
      <c r="U1072" t="s">
        <v>35</v>
      </c>
      <c r="V1072" t="s">
        <v>645</v>
      </c>
      <c r="W1072" t="s">
        <v>113</v>
      </c>
    </row>
    <row r="1073" spans="1:23" hidden="1" x14ac:dyDescent="0.25">
      <c r="A1073" s="7" t="str">
        <f>IFERROR(VLOOKUP(H1073,'Contas Orç'!A:B,2,0),"N/A")</f>
        <v>PJ-LOCACAO DE MAQUINAS E EQUIPAMENTO</v>
      </c>
      <c r="B1073" s="7" t="str">
        <f t="shared" si="32"/>
        <v>320201004 - PJ-LOCACAO DE MAQUINAS E EQUIPAMENTO</v>
      </c>
      <c r="C1073" s="25">
        <f t="shared" si="33"/>
        <v>44835</v>
      </c>
      <c r="D1073" s="27">
        <f>IF(K1073="CREDITO",Q1073,Q1073*-1)</f>
        <v>6864.97</v>
      </c>
      <c r="E1073" t="s">
        <v>894</v>
      </c>
      <c r="F1073" t="s">
        <v>1566</v>
      </c>
      <c r="G1073" s="8">
        <v>44835</v>
      </c>
      <c r="H1073" t="s">
        <v>280</v>
      </c>
      <c r="I1073" t="s">
        <v>53</v>
      </c>
      <c r="J1073" t="s">
        <v>54</v>
      </c>
      <c r="K1073" t="s">
        <v>29</v>
      </c>
      <c r="L1073" t="s">
        <v>895</v>
      </c>
      <c r="M1073" t="s">
        <v>4402</v>
      </c>
      <c r="O1073" t="s">
        <v>896</v>
      </c>
      <c r="P1073" t="s">
        <v>33</v>
      </c>
      <c r="Q1073" s="22">
        <v>6864.97</v>
      </c>
      <c r="R1073" t="s">
        <v>35</v>
      </c>
      <c r="S1073" t="s">
        <v>35</v>
      </c>
      <c r="T1073" t="s">
        <v>35</v>
      </c>
      <c r="U1073" t="s">
        <v>35</v>
      </c>
      <c r="V1073" t="s">
        <v>645</v>
      </c>
      <c r="W1073" t="s">
        <v>113</v>
      </c>
    </row>
    <row r="1074" spans="1:23" hidden="1" x14ac:dyDescent="0.25">
      <c r="A1074" s="7" t="str">
        <f>IFERROR(VLOOKUP(H1074,'Contas Orç'!A:B,2,0),"N/A")</f>
        <v>PJ-LOCACAO DE MAQUINAS E EQUIPAMENTO</v>
      </c>
      <c r="B1074" s="7" t="str">
        <f t="shared" si="32"/>
        <v>320201004 - PJ-LOCACAO DE MAQUINAS E EQUIPAMENTO</v>
      </c>
      <c r="C1074" s="25">
        <f t="shared" si="33"/>
        <v>44866</v>
      </c>
      <c r="D1074" s="27">
        <f>IF(K1074="CREDITO",Q1074,Q1074*-1)</f>
        <v>455560.52</v>
      </c>
      <c r="E1074" t="s">
        <v>894</v>
      </c>
      <c r="F1074" t="s">
        <v>1567</v>
      </c>
      <c r="G1074" s="8">
        <v>44866</v>
      </c>
      <c r="H1074" t="s">
        <v>280</v>
      </c>
      <c r="I1074" t="s">
        <v>59</v>
      </c>
      <c r="J1074" t="s">
        <v>60</v>
      </c>
      <c r="K1074" t="s">
        <v>29</v>
      </c>
      <c r="L1074" t="s">
        <v>895</v>
      </c>
      <c r="M1074" t="s">
        <v>4402</v>
      </c>
      <c r="O1074" t="s">
        <v>896</v>
      </c>
      <c r="P1074" t="s">
        <v>33</v>
      </c>
      <c r="Q1074" s="22">
        <v>455560.52</v>
      </c>
      <c r="R1074" t="s">
        <v>35</v>
      </c>
      <c r="S1074" t="s">
        <v>35</v>
      </c>
      <c r="T1074" t="s">
        <v>35</v>
      </c>
      <c r="U1074" t="s">
        <v>35</v>
      </c>
      <c r="V1074" t="s">
        <v>645</v>
      </c>
      <c r="W1074" t="s">
        <v>113</v>
      </c>
    </row>
    <row r="1075" spans="1:23" hidden="1" x14ac:dyDescent="0.25">
      <c r="A1075" s="7" t="str">
        <f>IFERROR(VLOOKUP(H1075,'Contas Orç'!A:B,2,0),"N/A")</f>
        <v>PJ-LOCACAO DE MAQUINAS E EQUIPAMENTO</v>
      </c>
      <c r="B1075" s="7" t="str">
        <f t="shared" si="32"/>
        <v>320201004 - PJ-LOCACAO DE MAQUINAS E EQUIPAMENTO</v>
      </c>
      <c r="C1075" s="25">
        <f t="shared" si="33"/>
        <v>44866</v>
      </c>
      <c r="D1075" s="27">
        <f>IF(K1075="CREDITO",Q1075,Q1075*-1)</f>
        <v>6933.62</v>
      </c>
      <c r="E1075" t="s">
        <v>894</v>
      </c>
      <c r="F1075" t="s">
        <v>1568</v>
      </c>
      <c r="G1075" s="8">
        <v>44866</v>
      </c>
      <c r="H1075" t="s">
        <v>280</v>
      </c>
      <c r="I1075" t="s">
        <v>53</v>
      </c>
      <c r="J1075" t="s">
        <v>54</v>
      </c>
      <c r="K1075" t="s">
        <v>29</v>
      </c>
      <c r="L1075" t="s">
        <v>895</v>
      </c>
      <c r="M1075" t="s">
        <v>4402</v>
      </c>
      <c r="O1075" t="s">
        <v>896</v>
      </c>
      <c r="P1075" t="s">
        <v>33</v>
      </c>
      <c r="Q1075" s="22">
        <v>6933.62</v>
      </c>
      <c r="R1075" t="s">
        <v>35</v>
      </c>
      <c r="S1075" t="s">
        <v>35</v>
      </c>
      <c r="T1075" t="s">
        <v>35</v>
      </c>
      <c r="U1075" t="s">
        <v>35</v>
      </c>
      <c r="V1075" t="s">
        <v>645</v>
      </c>
      <c r="W1075" t="s">
        <v>113</v>
      </c>
    </row>
    <row r="1076" spans="1:23" hidden="1" x14ac:dyDescent="0.25">
      <c r="A1076" s="7" t="str">
        <f>IFERROR(VLOOKUP(H1076,'Contas Orç'!A:B,2,0),"N/A")</f>
        <v>PJ-LOCACAO DE MAQUINAS E EQUIPAMENTO</v>
      </c>
      <c r="B1076" s="7" t="str">
        <f t="shared" si="32"/>
        <v>320201004 - PJ-LOCACAO DE MAQUINAS E EQUIPAMENTO</v>
      </c>
      <c r="C1076" s="25">
        <f t="shared" si="33"/>
        <v>44896</v>
      </c>
      <c r="D1076" s="27">
        <f>IF(K1076="CREDITO",Q1076,Q1076*-1)</f>
        <v>460116.13</v>
      </c>
      <c r="E1076" t="s">
        <v>894</v>
      </c>
      <c r="F1076" t="s">
        <v>1569</v>
      </c>
      <c r="G1076" s="8">
        <v>44896</v>
      </c>
      <c r="H1076" t="s">
        <v>280</v>
      </c>
      <c r="I1076" t="s">
        <v>59</v>
      </c>
      <c r="J1076" t="s">
        <v>60</v>
      </c>
      <c r="K1076" t="s">
        <v>29</v>
      </c>
      <c r="L1076" t="s">
        <v>895</v>
      </c>
      <c r="M1076" t="s">
        <v>4402</v>
      </c>
      <c r="O1076" t="s">
        <v>896</v>
      </c>
      <c r="P1076" t="s">
        <v>33</v>
      </c>
      <c r="Q1076" s="22">
        <v>460116.13</v>
      </c>
      <c r="R1076" t="s">
        <v>35</v>
      </c>
      <c r="S1076" t="s">
        <v>35</v>
      </c>
      <c r="T1076" t="s">
        <v>35</v>
      </c>
      <c r="U1076" t="s">
        <v>35</v>
      </c>
      <c r="V1076" t="s">
        <v>645</v>
      </c>
      <c r="W1076" t="s">
        <v>113</v>
      </c>
    </row>
    <row r="1077" spans="1:23" hidden="1" x14ac:dyDescent="0.25">
      <c r="A1077" s="7" t="str">
        <f>IFERROR(VLOOKUP(H1077,'Contas Orç'!A:B,2,0),"N/A")</f>
        <v>PJ-LOCACAO DE MAQUINAS E EQUIPAMENTO</v>
      </c>
      <c r="B1077" s="7" t="str">
        <f t="shared" si="32"/>
        <v>320201004 - PJ-LOCACAO DE MAQUINAS E EQUIPAMENTO</v>
      </c>
      <c r="C1077" s="25">
        <f t="shared" si="33"/>
        <v>44896</v>
      </c>
      <c r="D1077" s="27">
        <f>IF(K1077="CREDITO",Q1077,Q1077*-1)</f>
        <v>7002.96</v>
      </c>
      <c r="E1077" t="s">
        <v>894</v>
      </c>
      <c r="F1077" t="s">
        <v>1570</v>
      </c>
      <c r="G1077" s="8">
        <v>44896</v>
      </c>
      <c r="H1077" t="s">
        <v>280</v>
      </c>
      <c r="I1077" t="s">
        <v>53</v>
      </c>
      <c r="J1077" t="s">
        <v>54</v>
      </c>
      <c r="K1077" t="s">
        <v>29</v>
      </c>
      <c r="L1077" t="s">
        <v>895</v>
      </c>
      <c r="M1077" t="s">
        <v>4402</v>
      </c>
      <c r="O1077" t="s">
        <v>896</v>
      </c>
      <c r="P1077" t="s">
        <v>33</v>
      </c>
      <c r="Q1077" s="22">
        <v>7002.96</v>
      </c>
      <c r="R1077" t="s">
        <v>35</v>
      </c>
      <c r="S1077" t="s">
        <v>35</v>
      </c>
      <c r="T1077" t="s">
        <v>35</v>
      </c>
      <c r="U1077" t="s">
        <v>35</v>
      </c>
      <c r="V1077" t="s">
        <v>645</v>
      </c>
      <c r="W1077" t="s">
        <v>113</v>
      </c>
    </row>
    <row r="1078" spans="1:23" hidden="1" x14ac:dyDescent="0.25">
      <c r="A1078" s="7" t="str">
        <f>IFERROR(VLOOKUP(H1078,'Contas Orç'!A:B,2,0),"N/A")</f>
        <v>PJ-MAO-DE-OBRA TERCEIRIZADA</v>
      </c>
      <c r="B1078" s="7" t="str">
        <f t="shared" si="32"/>
        <v>320201005 - PJ-MAO-DE-OBRA TERCEIRIZADA</v>
      </c>
      <c r="C1078" s="25">
        <f t="shared" si="33"/>
        <v>44743</v>
      </c>
      <c r="D1078" s="27">
        <f>IF(K1078="CREDITO",Q1078,Q1078*-1)</f>
        <v>19963.509999999998</v>
      </c>
      <c r="E1078" t="s">
        <v>894</v>
      </c>
      <c r="F1078" t="s">
        <v>1571</v>
      </c>
      <c r="G1078" s="8">
        <v>44743</v>
      </c>
      <c r="H1078" t="s">
        <v>524</v>
      </c>
      <c r="I1078" t="s">
        <v>59</v>
      </c>
      <c r="J1078" t="s">
        <v>661</v>
      </c>
      <c r="K1078" t="s">
        <v>29</v>
      </c>
      <c r="L1078" t="s">
        <v>895</v>
      </c>
      <c r="M1078" t="s">
        <v>4402</v>
      </c>
      <c r="O1078" t="s">
        <v>896</v>
      </c>
      <c r="P1078" t="s">
        <v>33</v>
      </c>
      <c r="Q1078" s="22">
        <v>19963.509999999998</v>
      </c>
      <c r="R1078" t="s">
        <v>35</v>
      </c>
      <c r="S1078" t="s">
        <v>35</v>
      </c>
      <c r="T1078" t="s">
        <v>35</v>
      </c>
      <c r="U1078" t="s">
        <v>35</v>
      </c>
      <c r="V1078" t="s">
        <v>645</v>
      </c>
      <c r="W1078" t="s">
        <v>113</v>
      </c>
    </row>
    <row r="1079" spans="1:23" hidden="1" x14ac:dyDescent="0.25">
      <c r="A1079" s="7" t="str">
        <f>IFERROR(VLOOKUP(H1079,'Contas Orç'!A:B,2,0),"N/A")</f>
        <v>PJ-MAO-DE-OBRA TERCEIRIZADA</v>
      </c>
      <c r="B1079" s="7" t="str">
        <f t="shared" si="32"/>
        <v>320201005 - PJ-MAO-DE-OBRA TERCEIRIZADA</v>
      </c>
      <c r="C1079" s="25">
        <f t="shared" si="33"/>
        <v>44774</v>
      </c>
      <c r="D1079" s="27">
        <f>IF(K1079="CREDITO",Q1079,Q1079*-1)</f>
        <v>25609.17</v>
      </c>
      <c r="E1079" t="s">
        <v>894</v>
      </c>
      <c r="F1079" t="s">
        <v>1572</v>
      </c>
      <c r="G1079" s="8">
        <v>44774</v>
      </c>
      <c r="H1079" t="s">
        <v>524</v>
      </c>
      <c r="I1079" t="s">
        <v>59</v>
      </c>
      <c r="J1079" t="s">
        <v>661</v>
      </c>
      <c r="K1079" t="s">
        <v>29</v>
      </c>
      <c r="L1079" t="s">
        <v>895</v>
      </c>
      <c r="M1079" t="s">
        <v>4402</v>
      </c>
      <c r="O1079" t="s">
        <v>896</v>
      </c>
      <c r="P1079" t="s">
        <v>33</v>
      </c>
      <c r="Q1079" s="22">
        <v>25609.17</v>
      </c>
      <c r="R1079" t="s">
        <v>35</v>
      </c>
      <c r="S1079" t="s">
        <v>35</v>
      </c>
      <c r="T1079" t="s">
        <v>35</v>
      </c>
      <c r="U1079" t="s">
        <v>35</v>
      </c>
      <c r="V1079" t="s">
        <v>645</v>
      </c>
      <c r="W1079" t="s">
        <v>113</v>
      </c>
    </row>
    <row r="1080" spans="1:23" hidden="1" x14ac:dyDescent="0.25">
      <c r="A1080" s="7" t="str">
        <f>IFERROR(VLOOKUP(H1080,'Contas Orç'!A:B,2,0),"N/A")</f>
        <v>PJ-MAO-DE-OBRA TERCEIRIZADA</v>
      </c>
      <c r="B1080" s="7" t="str">
        <f t="shared" si="32"/>
        <v>320201005 - PJ-MAO-DE-OBRA TERCEIRIZADA</v>
      </c>
      <c r="C1080" s="25">
        <f t="shared" si="33"/>
        <v>44805</v>
      </c>
      <c r="D1080" s="27">
        <f>IF(K1080="CREDITO",Q1080,Q1080*-1)</f>
        <v>33797.75</v>
      </c>
      <c r="E1080" t="s">
        <v>894</v>
      </c>
      <c r="F1080" t="s">
        <v>1573</v>
      </c>
      <c r="G1080" s="8">
        <v>44805</v>
      </c>
      <c r="H1080" t="s">
        <v>524</v>
      </c>
      <c r="I1080" t="s">
        <v>59</v>
      </c>
      <c r="J1080" t="s">
        <v>661</v>
      </c>
      <c r="K1080" t="s">
        <v>29</v>
      </c>
      <c r="L1080" t="s">
        <v>895</v>
      </c>
      <c r="M1080" t="s">
        <v>4402</v>
      </c>
      <c r="O1080" t="s">
        <v>896</v>
      </c>
      <c r="P1080" t="s">
        <v>33</v>
      </c>
      <c r="Q1080" s="22">
        <v>33797.75</v>
      </c>
      <c r="R1080" t="s">
        <v>35</v>
      </c>
      <c r="S1080" t="s">
        <v>35</v>
      </c>
      <c r="T1080" t="s">
        <v>35</v>
      </c>
      <c r="U1080" t="s">
        <v>35</v>
      </c>
      <c r="V1080" t="s">
        <v>645</v>
      </c>
      <c r="W1080" t="s">
        <v>113</v>
      </c>
    </row>
    <row r="1081" spans="1:23" hidden="1" x14ac:dyDescent="0.25">
      <c r="A1081" s="7" t="str">
        <f>IFERROR(VLOOKUP(H1081,'Contas Orç'!A:B,2,0),"N/A")</f>
        <v>PJ-MAO-DE-OBRA TERCEIRIZADA</v>
      </c>
      <c r="B1081" s="7" t="str">
        <f t="shared" si="32"/>
        <v>320201005 - PJ-MAO-DE-OBRA TERCEIRIZADA</v>
      </c>
      <c r="C1081" s="25">
        <f t="shared" si="33"/>
        <v>44835</v>
      </c>
      <c r="D1081" s="27">
        <f>IF(K1081="CREDITO",Q1081,Q1081*-1)</f>
        <v>34135.730000000003</v>
      </c>
      <c r="E1081" t="s">
        <v>894</v>
      </c>
      <c r="F1081" t="s">
        <v>1574</v>
      </c>
      <c r="G1081" s="8">
        <v>44835</v>
      </c>
      <c r="H1081" t="s">
        <v>524</v>
      </c>
      <c r="I1081" t="s">
        <v>59</v>
      </c>
      <c r="J1081" t="s">
        <v>661</v>
      </c>
      <c r="K1081" t="s">
        <v>29</v>
      </c>
      <c r="L1081" t="s">
        <v>895</v>
      </c>
      <c r="M1081" t="s">
        <v>4402</v>
      </c>
      <c r="O1081" t="s">
        <v>896</v>
      </c>
      <c r="P1081" t="s">
        <v>33</v>
      </c>
      <c r="Q1081" s="22">
        <v>34135.730000000003</v>
      </c>
      <c r="R1081" t="s">
        <v>35</v>
      </c>
      <c r="S1081" t="s">
        <v>35</v>
      </c>
      <c r="T1081" t="s">
        <v>35</v>
      </c>
      <c r="U1081" t="s">
        <v>35</v>
      </c>
      <c r="V1081" t="s">
        <v>645</v>
      </c>
      <c r="W1081" t="s">
        <v>113</v>
      </c>
    </row>
    <row r="1082" spans="1:23" hidden="1" x14ac:dyDescent="0.25">
      <c r="A1082" s="7" t="str">
        <f>IFERROR(VLOOKUP(H1082,'Contas Orç'!A:B,2,0),"N/A")</f>
        <v>PJ-MAO-DE-OBRA TERCEIRIZADA</v>
      </c>
      <c r="B1082" s="7" t="str">
        <f t="shared" si="32"/>
        <v>320201005 - PJ-MAO-DE-OBRA TERCEIRIZADA</v>
      </c>
      <c r="C1082" s="25">
        <f t="shared" si="33"/>
        <v>44866</v>
      </c>
      <c r="D1082" s="27">
        <f>IF(K1082="CREDITO",Q1082,Q1082*-1)</f>
        <v>34477.08</v>
      </c>
      <c r="E1082" t="s">
        <v>894</v>
      </c>
      <c r="F1082" t="s">
        <v>1575</v>
      </c>
      <c r="G1082" s="8">
        <v>44866</v>
      </c>
      <c r="H1082" t="s">
        <v>524</v>
      </c>
      <c r="I1082" t="s">
        <v>59</v>
      </c>
      <c r="J1082" t="s">
        <v>661</v>
      </c>
      <c r="K1082" t="s">
        <v>29</v>
      </c>
      <c r="L1082" t="s">
        <v>895</v>
      </c>
      <c r="M1082" t="s">
        <v>4402</v>
      </c>
      <c r="O1082" t="s">
        <v>896</v>
      </c>
      <c r="P1082" t="s">
        <v>33</v>
      </c>
      <c r="Q1082" s="22">
        <v>34477.08</v>
      </c>
      <c r="R1082" t="s">
        <v>35</v>
      </c>
      <c r="S1082" t="s">
        <v>35</v>
      </c>
      <c r="T1082" t="s">
        <v>35</v>
      </c>
      <c r="U1082" t="s">
        <v>35</v>
      </c>
      <c r="V1082" t="s">
        <v>645</v>
      </c>
      <c r="W1082" t="s">
        <v>113</v>
      </c>
    </row>
    <row r="1083" spans="1:23" hidden="1" x14ac:dyDescent="0.25">
      <c r="A1083" s="7" t="str">
        <f>IFERROR(VLOOKUP(H1083,'Contas Orç'!A:B,2,0),"N/A")</f>
        <v>PJ-MAO-DE-OBRA TERCEIRIZADA</v>
      </c>
      <c r="B1083" s="7" t="str">
        <f t="shared" si="32"/>
        <v>320201005 - PJ-MAO-DE-OBRA TERCEIRIZADA</v>
      </c>
      <c r="C1083" s="25">
        <f t="shared" si="33"/>
        <v>44896</v>
      </c>
      <c r="D1083" s="27">
        <f>IF(K1083="CREDITO",Q1083,Q1083*-1)</f>
        <v>34821.86</v>
      </c>
      <c r="E1083" t="s">
        <v>894</v>
      </c>
      <c r="F1083" t="s">
        <v>1576</v>
      </c>
      <c r="G1083" s="8">
        <v>44896</v>
      </c>
      <c r="H1083" t="s">
        <v>524</v>
      </c>
      <c r="I1083" t="s">
        <v>59</v>
      </c>
      <c r="J1083" t="s">
        <v>661</v>
      </c>
      <c r="K1083" t="s">
        <v>29</v>
      </c>
      <c r="L1083" t="s">
        <v>895</v>
      </c>
      <c r="M1083" t="s">
        <v>4402</v>
      </c>
      <c r="O1083" t="s">
        <v>896</v>
      </c>
      <c r="P1083" t="s">
        <v>33</v>
      </c>
      <c r="Q1083" s="22">
        <v>34821.86</v>
      </c>
      <c r="R1083" t="s">
        <v>35</v>
      </c>
      <c r="S1083" t="s">
        <v>35</v>
      </c>
      <c r="T1083" t="s">
        <v>35</v>
      </c>
      <c r="U1083" t="s">
        <v>35</v>
      </c>
      <c r="V1083" t="s">
        <v>645</v>
      </c>
      <c r="W1083" t="s">
        <v>113</v>
      </c>
    </row>
    <row r="1084" spans="1:23" hidden="1" x14ac:dyDescent="0.25">
      <c r="A1084" s="7" t="str">
        <f>IFERROR(VLOOKUP(H1084,'Contas Orç'!A:B,2,0),"N/A")</f>
        <v>PJ-OUTROS SERVICOS CONTRATADOS-PJ</v>
      </c>
      <c r="B1084" s="7" t="str">
        <f t="shared" si="32"/>
        <v>320201006 - PJ-OUTROS SERVICOS CONTRATADOS-PJ</v>
      </c>
      <c r="C1084" s="25">
        <f t="shared" si="33"/>
        <v>44562</v>
      </c>
      <c r="D1084" s="27">
        <f>IF(K1084="CREDITO",Q1084,Q1084*-1)</f>
        <v>18311.759999999998</v>
      </c>
      <c r="E1084" t="s">
        <v>894</v>
      </c>
      <c r="F1084" t="s">
        <v>1577</v>
      </c>
      <c r="G1084" s="8">
        <v>44562</v>
      </c>
      <c r="H1084" t="s">
        <v>144</v>
      </c>
      <c r="I1084" t="s">
        <v>27</v>
      </c>
      <c r="J1084" t="s">
        <v>28</v>
      </c>
      <c r="K1084" t="s">
        <v>29</v>
      </c>
      <c r="L1084" t="s">
        <v>895</v>
      </c>
      <c r="M1084" t="s">
        <v>4402</v>
      </c>
      <c r="O1084" t="s">
        <v>896</v>
      </c>
      <c r="P1084" t="s">
        <v>33</v>
      </c>
      <c r="Q1084" s="22">
        <v>18311.759999999998</v>
      </c>
      <c r="R1084" t="s">
        <v>35</v>
      </c>
      <c r="S1084" t="s">
        <v>35</v>
      </c>
      <c r="T1084" t="s">
        <v>35</v>
      </c>
      <c r="U1084" t="s">
        <v>35</v>
      </c>
      <c r="V1084" t="s">
        <v>645</v>
      </c>
      <c r="W1084" t="s">
        <v>113</v>
      </c>
    </row>
    <row r="1085" spans="1:23" hidden="1" x14ac:dyDescent="0.25">
      <c r="A1085" s="7" t="str">
        <f>IFERROR(VLOOKUP(H1085,'Contas Orç'!A:B,2,0),"N/A")</f>
        <v>PJ-OUTROS SERVICOS CONTRATADOS-PJ</v>
      </c>
      <c r="B1085" s="7" t="str">
        <f t="shared" si="32"/>
        <v>320201006 - PJ-OUTROS SERVICOS CONTRATADOS-PJ</v>
      </c>
      <c r="C1085" s="25">
        <f t="shared" si="33"/>
        <v>44562</v>
      </c>
      <c r="D1085" s="27">
        <f>IF(K1085="CREDITO",Q1085,Q1085*-1)</f>
        <v>6465</v>
      </c>
      <c r="E1085" t="s">
        <v>894</v>
      </c>
      <c r="F1085" t="s">
        <v>1578</v>
      </c>
      <c r="G1085" s="8">
        <v>44562</v>
      </c>
      <c r="H1085" t="s">
        <v>144</v>
      </c>
      <c r="I1085" t="s">
        <v>106</v>
      </c>
      <c r="J1085" t="s">
        <v>60</v>
      </c>
      <c r="K1085" t="s">
        <v>29</v>
      </c>
      <c r="L1085" t="s">
        <v>895</v>
      </c>
      <c r="M1085" t="s">
        <v>4402</v>
      </c>
      <c r="O1085" t="s">
        <v>896</v>
      </c>
      <c r="P1085" t="s">
        <v>33</v>
      </c>
      <c r="Q1085" s="22">
        <v>6465</v>
      </c>
      <c r="R1085" t="s">
        <v>35</v>
      </c>
      <c r="S1085" t="s">
        <v>35</v>
      </c>
      <c r="T1085" t="s">
        <v>35</v>
      </c>
      <c r="U1085" t="s">
        <v>35</v>
      </c>
      <c r="V1085" t="s">
        <v>645</v>
      </c>
      <c r="W1085" t="s">
        <v>113</v>
      </c>
    </row>
    <row r="1086" spans="1:23" hidden="1" x14ac:dyDescent="0.25">
      <c r="A1086" s="7" t="str">
        <f>IFERROR(VLOOKUP(H1086,'Contas Orç'!A:B,2,0),"N/A")</f>
        <v>PJ-OUTROS SERVICOS CONTRATADOS-PJ</v>
      </c>
      <c r="B1086" s="7" t="str">
        <f t="shared" si="32"/>
        <v>320201006 - PJ-OUTROS SERVICOS CONTRATADOS-PJ</v>
      </c>
      <c r="C1086" s="25">
        <f t="shared" si="33"/>
        <v>44562</v>
      </c>
      <c r="D1086" s="27">
        <f>IF(K1086="CREDITO",Q1086,Q1086*-1)</f>
        <v>192781.94</v>
      </c>
      <c r="E1086" t="s">
        <v>894</v>
      </c>
      <c r="F1086" t="s">
        <v>1579</v>
      </c>
      <c r="G1086" s="8">
        <v>44562</v>
      </c>
      <c r="H1086" t="s">
        <v>144</v>
      </c>
      <c r="I1086" t="s">
        <v>59</v>
      </c>
      <c r="J1086" t="s">
        <v>60</v>
      </c>
      <c r="K1086" t="s">
        <v>29</v>
      </c>
      <c r="L1086" t="s">
        <v>895</v>
      </c>
      <c r="M1086" t="s">
        <v>4402</v>
      </c>
      <c r="O1086" t="s">
        <v>896</v>
      </c>
      <c r="P1086" t="s">
        <v>33</v>
      </c>
      <c r="Q1086" s="22">
        <v>192781.94</v>
      </c>
      <c r="R1086" t="s">
        <v>35</v>
      </c>
      <c r="S1086" t="s">
        <v>35</v>
      </c>
      <c r="T1086" t="s">
        <v>35</v>
      </c>
      <c r="U1086" t="s">
        <v>35</v>
      </c>
      <c r="V1086" t="s">
        <v>645</v>
      </c>
      <c r="W1086" t="s">
        <v>113</v>
      </c>
    </row>
    <row r="1087" spans="1:23" hidden="1" x14ac:dyDescent="0.25">
      <c r="A1087" s="7" t="str">
        <f>IFERROR(VLOOKUP(H1087,'Contas Orç'!A:B,2,0),"N/A")</f>
        <v>PJ-OUTROS SERVICOS CONTRATADOS-PJ</v>
      </c>
      <c r="B1087" s="7" t="str">
        <f t="shared" si="32"/>
        <v>320201006 - PJ-OUTROS SERVICOS CONTRATADOS-PJ</v>
      </c>
      <c r="C1087" s="25">
        <f t="shared" si="33"/>
        <v>44562</v>
      </c>
      <c r="D1087" s="27">
        <f>IF(K1087="CREDITO",Q1087,Q1087*-1)</f>
        <v>312758.53000000003</v>
      </c>
      <c r="E1087" t="s">
        <v>894</v>
      </c>
      <c r="F1087" t="s">
        <v>1580</v>
      </c>
      <c r="G1087" s="8">
        <v>44562</v>
      </c>
      <c r="H1087" t="s">
        <v>144</v>
      </c>
      <c r="I1087" t="s">
        <v>59</v>
      </c>
      <c r="J1087" t="s">
        <v>107</v>
      </c>
      <c r="K1087" t="s">
        <v>29</v>
      </c>
      <c r="L1087" t="s">
        <v>895</v>
      </c>
      <c r="M1087" t="s">
        <v>4402</v>
      </c>
      <c r="O1087" t="s">
        <v>896</v>
      </c>
      <c r="P1087" t="s">
        <v>33</v>
      </c>
      <c r="Q1087" s="22">
        <v>312758.53000000003</v>
      </c>
      <c r="R1087" t="s">
        <v>35</v>
      </c>
      <c r="S1087" t="s">
        <v>35</v>
      </c>
      <c r="T1087" t="s">
        <v>35</v>
      </c>
      <c r="U1087" t="s">
        <v>35</v>
      </c>
      <c r="V1087" t="s">
        <v>645</v>
      </c>
      <c r="W1087" t="s">
        <v>113</v>
      </c>
    </row>
    <row r="1088" spans="1:23" hidden="1" x14ac:dyDescent="0.25">
      <c r="A1088" s="7" t="str">
        <f>IFERROR(VLOOKUP(H1088,'Contas Orç'!A:B,2,0),"N/A")</f>
        <v>PJ-OUTROS SERVICOS CONTRATADOS-PJ</v>
      </c>
      <c r="B1088" s="7" t="str">
        <f t="shared" si="32"/>
        <v>320201006 - PJ-OUTROS SERVICOS CONTRATADOS-PJ</v>
      </c>
      <c r="C1088" s="25">
        <f t="shared" si="33"/>
        <v>44562</v>
      </c>
      <c r="D1088" s="27">
        <f>IF(K1088="CREDITO",Q1088,Q1088*-1)</f>
        <v>8002.59</v>
      </c>
      <c r="E1088" t="s">
        <v>894</v>
      </c>
      <c r="F1088" t="s">
        <v>1581</v>
      </c>
      <c r="G1088" s="8">
        <v>44562</v>
      </c>
      <c r="H1088" t="s">
        <v>144</v>
      </c>
      <c r="I1088" t="s">
        <v>59</v>
      </c>
      <c r="J1088" t="s">
        <v>702</v>
      </c>
      <c r="K1088" t="s">
        <v>29</v>
      </c>
      <c r="L1088" t="s">
        <v>895</v>
      </c>
      <c r="M1088" t="s">
        <v>4402</v>
      </c>
      <c r="O1088" t="s">
        <v>896</v>
      </c>
      <c r="P1088" t="s">
        <v>33</v>
      </c>
      <c r="Q1088" s="22">
        <v>8002.59</v>
      </c>
      <c r="R1088" t="s">
        <v>35</v>
      </c>
      <c r="S1088" t="s">
        <v>35</v>
      </c>
      <c r="T1088" t="s">
        <v>35</v>
      </c>
      <c r="U1088" t="s">
        <v>35</v>
      </c>
      <c r="V1088" t="s">
        <v>645</v>
      </c>
      <c r="W1088" t="s">
        <v>113</v>
      </c>
    </row>
    <row r="1089" spans="1:23" hidden="1" x14ac:dyDescent="0.25">
      <c r="A1089" s="7" t="str">
        <f>IFERROR(VLOOKUP(H1089,'Contas Orç'!A:B,2,0),"N/A")</f>
        <v>PJ-OUTROS SERVICOS CONTRATADOS-PJ</v>
      </c>
      <c r="B1089" s="7" t="str">
        <f t="shared" si="32"/>
        <v>320201006 - PJ-OUTROS SERVICOS CONTRATADOS-PJ</v>
      </c>
      <c r="C1089" s="25">
        <f t="shared" si="33"/>
        <v>44562</v>
      </c>
      <c r="D1089" s="27">
        <f>IF(K1089="CREDITO",Q1089,Q1089*-1)</f>
        <v>128495.09</v>
      </c>
      <c r="E1089" t="s">
        <v>894</v>
      </c>
      <c r="F1089" t="s">
        <v>1582</v>
      </c>
      <c r="G1089" s="8">
        <v>44562</v>
      </c>
      <c r="H1089" t="s">
        <v>144</v>
      </c>
      <c r="I1089" t="s">
        <v>53</v>
      </c>
      <c r="J1089" t="s">
        <v>54</v>
      </c>
      <c r="K1089" t="s">
        <v>29</v>
      </c>
      <c r="L1089" t="s">
        <v>895</v>
      </c>
      <c r="M1089" t="s">
        <v>4402</v>
      </c>
      <c r="O1089" t="s">
        <v>896</v>
      </c>
      <c r="P1089" t="s">
        <v>33</v>
      </c>
      <c r="Q1089" s="22">
        <v>128495.09</v>
      </c>
      <c r="R1089" t="s">
        <v>35</v>
      </c>
      <c r="S1089" t="s">
        <v>35</v>
      </c>
      <c r="T1089" t="s">
        <v>35</v>
      </c>
      <c r="U1089" t="s">
        <v>35</v>
      </c>
      <c r="V1089" t="s">
        <v>645</v>
      </c>
      <c r="W1089" t="s">
        <v>113</v>
      </c>
    </row>
    <row r="1090" spans="1:23" hidden="1" x14ac:dyDescent="0.25">
      <c r="A1090" s="7" t="str">
        <f>IFERROR(VLOOKUP(H1090,'Contas Orç'!A:B,2,0),"N/A")</f>
        <v>PJ-OUTROS SERVICOS CONTRATADOS-PJ</v>
      </c>
      <c r="B1090" s="7" t="str">
        <f t="shared" si="32"/>
        <v>320201006 - PJ-OUTROS SERVICOS CONTRATADOS-PJ</v>
      </c>
      <c r="C1090" s="25">
        <f t="shared" si="33"/>
        <v>44593</v>
      </c>
      <c r="D1090" s="27">
        <f>IF(K1090="CREDITO",Q1090,Q1090*-1)</f>
        <v>317.62</v>
      </c>
      <c r="E1090" t="s">
        <v>894</v>
      </c>
      <c r="F1090" t="s">
        <v>1583</v>
      </c>
      <c r="G1090" s="8">
        <v>44593</v>
      </c>
      <c r="H1090" t="s">
        <v>144</v>
      </c>
      <c r="I1090" t="s">
        <v>88</v>
      </c>
      <c r="J1090" t="s">
        <v>28</v>
      </c>
      <c r="K1090" t="s">
        <v>29</v>
      </c>
      <c r="L1090" t="s">
        <v>895</v>
      </c>
      <c r="M1090" t="s">
        <v>4402</v>
      </c>
      <c r="O1090" t="s">
        <v>896</v>
      </c>
      <c r="P1090" t="s">
        <v>33</v>
      </c>
      <c r="Q1090">
        <v>317.62</v>
      </c>
      <c r="R1090" t="s">
        <v>35</v>
      </c>
      <c r="S1090" t="s">
        <v>35</v>
      </c>
      <c r="T1090" t="s">
        <v>35</v>
      </c>
      <c r="U1090" t="s">
        <v>35</v>
      </c>
      <c r="V1090" t="s">
        <v>645</v>
      </c>
      <c r="W1090" t="s">
        <v>113</v>
      </c>
    </row>
    <row r="1091" spans="1:23" hidden="1" x14ac:dyDescent="0.25">
      <c r="A1091" s="7" t="str">
        <f>IFERROR(VLOOKUP(H1091,'Contas Orç'!A:B,2,0),"N/A")</f>
        <v>PJ-OUTROS SERVICOS CONTRATADOS-PJ</v>
      </c>
      <c r="B1091" s="7" t="str">
        <f t="shared" ref="B1091:B1154" si="34">_xlfn.CONCAT(H1091," - ",A1091)</f>
        <v>320201006 - PJ-OUTROS SERVICOS CONTRATADOS-PJ</v>
      </c>
      <c r="C1091" s="25">
        <f t="shared" ref="C1091:C1154" si="35">DATE(YEAR(G1091),MONTH(G1091),1)</f>
        <v>44593</v>
      </c>
      <c r="D1091" s="27">
        <f>IF(K1091="CREDITO",Q1091,Q1091*-1)</f>
        <v>3600</v>
      </c>
      <c r="E1091" t="s">
        <v>894</v>
      </c>
      <c r="F1091" t="s">
        <v>1584</v>
      </c>
      <c r="G1091" s="8">
        <v>44593</v>
      </c>
      <c r="H1091" t="s">
        <v>144</v>
      </c>
      <c r="I1091" t="s">
        <v>27</v>
      </c>
      <c r="J1091" t="s">
        <v>28</v>
      </c>
      <c r="K1091" t="s">
        <v>29</v>
      </c>
      <c r="L1091" t="s">
        <v>895</v>
      </c>
      <c r="M1091" t="s">
        <v>4402</v>
      </c>
      <c r="O1091" t="s">
        <v>896</v>
      </c>
      <c r="P1091" t="s">
        <v>33</v>
      </c>
      <c r="Q1091" s="22">
        <v>3600</v>
      </c>
      <c r="R1091" t="s">
        <v>35</v>
      </c>
      <c r="S1091" t="s">
        <v>35</v>
      </c>
      <c r="T1091" t="s">
        <v>35</v>
      </c>
      <c r="U1091" t="s">
        <v>35</v>
      </c>
      <c r="V1091" t="s">
        <v>645</v>
      </c>
      <c r="W1091" t="s">
        <v>113</v>
      </c>
    </row>
    <row r="1092" spans="1:23" hidden="1" x14ac:dyDescent="0.25">
      <c r="A1092" s="7" t="str">
        <f>IFERROR(VLOOKUP(H1092,'Contas Orç'!A:B,2,0),"N/A")</f>
        <v>PJ-OUTROS SERVICOS CONTRATADOS-PJ</v>
      </c>
      <c r="B1092" s="7" t="str">
        <f t="shared" si="34"/>
        <v>320201006 - PJ-OUTROS SERVICOS CONTRATADOS-PJ</v>
      </c>
      <c r="C1092" s="25">
        <f t="shared" si="35"/>
        <v>44593</v>
      </c>
      <c r="D1092" s="27">
        <f>IF(K1092="CREDITO",Q1092,Q1092*-1)</f>
        <v>7165</v>
      </c>
      <c r="E1092" t="s">
        <v>894</v>
      </c>
      <c r="F1092" t="s">
        <v>1585</v>
      </c>
      <c r="G1092" s="8">
        <v>44593</v>
      </c>
      <c r="H1092" t="s">
        <v>144</v>
      </c>
      <c r="I1092" t="s">
        <v>106</v>
      </c>
      <c r="J1092" t="s">
        <v>60</v>
      </c>
      <c r="K1092" t="s">
        <v>29</v>
      </c>
      <c r="L1092" t="s">
        <v>895</v>
      </c>
      <c r="M1092" t="s">
        <v>4402</v>
      </c>
      <c r="O1092" t="s">
        <v>896</v>
      </c>
      <c r="P1092" t="s">
        <v>33</v>
      </c>
      <c r="Q1092" s="22">
        <v>7165</v>
      </c>
      <c r="R1092" t="s">
        <v>35</v>
      </c>
      <c r="S1092" t="s">
        <v>35</v>
      </c>
      <c r="T1092" t="s">
        <v>35</v>
      </c>
      <c r="U1092" t="s">
        <v>35</v>
      </c>
      <c r="V1092" t="s">
        <v>645</v>
      </c>
      <c r="W1092" t="s">
        <v>113</v>
      </c>
    </row>
    <row r="1093" spans="1:23" hidden="1" x14ac:dyDescent="0.25">
      <c r="A1093" s="7" t="str">
        <f>IFERROR(VLOOKUP(H1093,'Contas Orç'!A:B,2,0),"N/A")</f>
        <v>PJ-OUTROS SERVICOS CONTRATADOS-PJ</v>
      </c>
      <c r="B1093" s="7" t="str">
        <f t="shared" si="34"/>
        <v>320201006 - PJ-OUTROS SERVICOS CONTRATADOS-PJ</v>
      </c>
      <c r="C1093" s="25">
        <f t="shared" si="35"/>
        <v>44593</v>
      </c>
      <c r="D1093" s="27">
        <f>IF(K1093="CREDITO",Q1093,Q1093*-1)</f>
        <v>195342.63</v>
      </c>
      <c r="E1093" t="s">
        <v>894</v>
      </c>
      <c r="F1093" t="s">
        <v>1586</v>
      </c>
      <c r="G1093" s="8">
        <v>44593</v>
      </c>
      <c r="H1093" t="s">
        <v>144</v>
      </c>
      <c r="I1093" t="s">
        <v>59</v>
      </c>
      <c r="J1093" t="s">
        <v>60</v>
      </c>
      <c r="K1093" t="s">
        <v>29</v>
      </c>
      <c r="L1093" t="s">
        <v>895</v>
      </c>
      <c r="M1093" t="s">
        <v>4402</v>
      </c>
      <c r="O1093" t="s">
        <v>896</v>
      </c>
      <c r="P1093" t="s">
        <v>33</v>
      </c>
      <c r="Q1093" s="22">
        <v>195342.63</v>
      </c>
      <c r="R1093" t="s">
        <v>35</v>
      </c>
      <c r="S1093" t="s">
        <v>35</v>
      </c>
      <c r="T1093" t="s">
        <v>35</v>
      </c>
      <c r="U1093" t="s">
        <v>35</v>
      </c>
      <c r="V1093" t="s">
        <v>645</v>
      </c>
      <c r="W1093" t="s">
        <v>113</v>
      </c>
    </row>
    <row r="1094" spans="1:23" hidden="1" x14ac:dyDescent="0.25">
      <c r="A1094" s="7" t="str">
        <f>IFERROR(VLOOKUP(H1094,'Contas Orç'!A:B,2,0),"N/A")</f>
        <v>PJ-OUTROS SERVICOS CONTRATADOS-PJ</v>
      </c>
      <c r="B1094" s="7" t="str">
        <f t="shared" si="34"/>
        <v>320201006 - PJ-OUTROS SERVICOS CONTRATADOS-PJ</v>
      </c>
      <c r="C1094" s="25">
        <f t="shared" si="35"/>
        <v>44593</v>
      </c>
      <c r="D1094" s="27">
        <f>IF(K1094="CREDITO",Q1094,Q1094*-1)</f>
        <v>105270</v>
      </c>
      <c r="E1094" t="s">
        <v>894</v>
      </c>
      <c r="F1094" t="s">
        <v>1587</v>
      </c>
      <c r="G1094" s="8">
        <v>44593</v>
      </c>
      <c r="H1094" t="s">
        <v>144</v>
      </c>
      <c r="I1094" t="s">
        <v>59</v>
      </c>
      <c r="J1094" t="s">
        <v>107</v>
      </c>
      <c r="K1094" t="s">
        <v>29</v>
      </c>
      <c r="L1094" t="s">
        <v>895</v>
      </c>
      <c r="M1094" t="s">
        <v>4402</v>
      </c>
      <c r="O1094" t="s">
        <v>896</v>
      </c>
      <c r="P1094" t="s">
        <v>33</v>
      </c>
      <c r="Q1094" s="22">
        <v>105270</v>
      </c>
      <c r="R1094" t="s">
        <v>35</v>
      </c>
      <c r="S1094" t="s">
        <v>35</v>
      </c>
      <c r="T1094" t="s">
        <v>35</v>
      </c>
      <c r="U1094" t="s">
        <v>35</v>
      </c>
      <c r="V1094" t="s">
        <v>645</v>
      </c>
      <c r="W1094" t="s">
        <v>113</v>
      </c>
    </row>
    <row r="1095" spans="1:23" hidden="1" x14ac:dyDescent="0.25">
      <c r="A1095" s="7" t="str">
        <f>IFERROR(VLOOKUP(H1095,'Contas Orç'!A:B,2,0),"N/A")</f>
        <v>PJ-OUTROS SERVICOS CONTRATADOS-PJ</v>
      </c>
      <c r="B1095" s="7" t="str">
        <f t="shared" si="34"/>
        <v>320201006 - PJ-OUTROS SERVICOS CONTRATADOS-PJ</v>
      </c>
      <c r="C1095" s="25">
        <f t="shared" si="35"/>
        <v>44593</v>
      </c>
      <c r="D1095" s="27">
        <f>IF(K1095="CREDITO",Q1095,Q1095*-1)</f>
        <v>7270.62</v>
      </c>
      <c r="E1095" t="s">
        <v>894</v>
      </c>
      <c r="F1095" t="s">
        <v>1588</v>
      </c>
      <c r="G1095" s="8">
        <v>44593</v>
      </c>
      <c r="H1095" t="s">
        <v>144</v>
      </c>
      <c r="I1095" t="s">
        <v>59</v>
      </c>
      <c r="J1095" t="s">
        <v>702</v>
      </c>
      <c r="K1095" t="s">
        <v>29</v>
      </c>
      <c r="L1095" t="s">
        <v>895</v>
      </c>
      <c r="M1095" t="s">
        <v>4402</v>
      </c>
      <c r="O1095" t="s">
        <v>896</v>
      </c>
      <c r="P1095" t="s">
        <v>33</v>
      </c>
      <c r="Q1095" s="22">
        <v>7270.62</v>
      </c>
      <c r="R1095" t="s">
        <v>35</v>
      </c>
      <c r="S1095" t="s">
        <v>35</v>
      </c>
      <c r="T1095" t="s">
        <v>35</v>
      </c>
      <c r="U1095" t="s">
        <v>35</v>
      </c>
      <c r="V1095" t="s">
        <v>645</v>
      </c>
      <c r="W1095" t="s">
        <v>113</v>
      </c>
    </row>
    <row r="1096" spans="1:23" hidden="1" x14ac:dyDescent="0.25">
      <c r="A1096" s="7" t="str">
        <f>IFERROR(VLOOKUP(H1096,'Contas Orç'!A:B,2,0),"N/A")</f>
        <v>PJ-OUTROS SERVICOS CONTRATADOS-PJ</v>
      </c>
      <c r="B1096" s="7" t="str">
        <f t="shared" si="34"/>
        <v>320201006 - PJ-OUTROS SERVICOS CONTRATADOS-PJ</v>
      </c>
      <c r="C1096" s="25">
        <f t="shared" si="35"/>
        <v>44593</v>
      </c>
      <c r="D1096" s="27">
        <f>IF(K1096="CREDITO",Q1096,Q1096*-1)</f>
        <v>112690.65</v>
      </c>
      <c r="E1096" t="s">
        <v>894</v>
      </c>
      <c r="F1096" t="s">
        <v>1589</v>
      </c>
      <c r="G1096" s="8">
        <v>44593</v>
      </c>
      <c r="H1096" t="s">
        <v>144</v>
      </c>
      <c r="I1096" t="s">
        <v>53</v>
      </c>
      <c r="J1096" t="s">
        <v>54</v>
      </c>
      <c r="K1096" t="s">
        <v>29</v>
      </c>
      <c r="L1096" t="s">
        <v>895</v>
      </c>
      <c r="M1096" t="s">
        <v>4402</v>
      </c>
      <c r="O1096" t="s">
        <v>896</v>
      </c>
      <c r="P1096" t="s">
        <v>33</v>
      </c>
      <c r="Q1096" s="22">
        <v>112690.65</v>
      </c>
      <c r="R1096" t="s">
        <v>35</v>
      </c>
      <c r="S1096" t="s">
        <v>35</v>
      </c>
      <c r="T1096" t="s">
        <v>35</v>
      </c>
      <c r="U1096" t="s">
        <v>35</v>
      </c>
      <c r="V1096" t="s">
        <v>645</v>
      </c>
      <c r="W1096" t="s">
        <v>113</v>
      </c>
    </row>
    <row r="1097" spans="1:23" hidden="1" x14ac:dyDescent="0.25">
      <c r="A1097" s="7" t="str">
        <f>IFERROR(VLOOKUP(H1097,'Contas Orç'!A:B,2,0),"N/A")</f>
        <v>PJ-OUTROS SERVICOS CONTRATADOS-PJ</v>
      </c>
      <c r="B1097" s="7" t="str">
        <f t="shared" si="34"/>
        <v>320201006 - PJ-OUTROS SERVICOS CONTRATADOS-PJ</v>
      </c>
      <c r="C1097" s="25">
        <f t="shared" si="35"/>
        <v>44621</v>
      </c>
      <c r="D1097" s="27">
        <f>IF(K1097="CREDITO",Q1097,Q1097*-1)</f>
        <v>2070</v>
      </c>
      <c r="E1097" t="s">
        <v>894</v>
      </c>
      <c r="F1097" t="s">
        <v>1590</v>
      </c>
      <c r="G1097" s="8">
        <v>44621</v>
      </c>
      <c r="H1097" t="s">
        <v>144</v>
      </c>
      <c r="I1097" t="s">
        <v>27</v>
      </c>
      <c r="J1097" t="s">
        <v>28</v>
      </c>
      <c r="K1097" t="s">
        <v>29</v>
      </c>
      <c r="L1097" t="s">
        <v>895</v>
      </c>
      <c r="M1097" t="s">
        <v>4402</v>
      </c>
      <c r="O1097" t="s">
        <v>896</v>
      </c>
      <c r="P1097" t="s">
        <v>33</v>
      </c>
      <c r="Q1097" s="22">
        <v>2070</v>
      </c>
      <c r="R1097" t="s">
        <v>35</v>
      </c>
      <c r="S1097" t="s">
        <v>35</v>
      </c>
      <c r="T1097" t="s">
        <v>35</v>
      </c>
      <c r="U1097" t="s">
        <v>35</v>
      </c>
      <c r="V1097" t="s">
        <v>645</v>
      </c>
      <c r="W1097" t="s">
        <v>113</v>
      </c>
    </row>
    <row r="1098" spans="1:23" hidden="1" x14ac:dyDescent="0.25">
      <c r="A1098" s="7" t="str">
        <f>IFERROR(VLOOKUP(H1098,'Contas Orç'!A:B,2,0),"N/A")</f>
        <v>PJ-OUTROS SERVICOS CONTRATADOS-PJ</v>
      </c>
      <c r="B1098" s="7" t="str">
        <f t="shared" si="34"/>
        <v>320201006 - PJ-OUTROS SERVICOS CONTRATADOS-PJ</v>
      </c>
      <c r="C1098" s="25">
        <f t="shared" si="35"/>
        <v>44621</v>
      </c>
      <c r="D1098" s="27">
        <f>IF(K1098="CREDITO",Q1098,Q1098*-1)</f>
        <v>6050</v>
      </c>
      <c r="E1098" t="s">
        <v>894</v>
      </c>
      <c r="F1098" t="s">
        <v>1591</v>
      </c>
      <c r="G1098" s="8">
        <v>44621</v>
      </c>
      <c r="H1098" t="s">
        <v>144</v>
      </c>
      <c r="I1098" t="s">
        <v>106</v>
      </c>
      <c r="J1098" t="s">
        <v>60</v>
      </c>
      <c r="K1098" t="s">
        <v>29</v>
      </c>
      <c r="L1098" t="s">
        <v>895</v>
      </c>
      <c r="M1098" t="s">
        <v>4402</v>
      </c>
      <c r="O1098" t="s">
        <v>896</v>
      </c>
      <c r="P1098" t="s">
        <v>33</v>
      </c>
      <c r="Q1098" s="22">
        <v>6050</v>
      </c>
      <c r="R1098" t="s">
        <v>35</v>
      </c>
      <c r="S1098" t="s">
        <v>35</v>
      </c>
      <c r="T1098" t="s">
        <v>35</v>
      </c>
      <c r="U1098" t="s">
        <v>35</v>
      </c>
      <c r="V1098" t="s">
        <v>645</v>
      </c>
      <c r="W1098" t="s">
        <v>113</v>
      </c>
    </row>
    <row r="1099" spans="1:23" hidden="1" x14ac:dyDescent="0.25">
      <c r="A1099" s="7" t="str">
        <f>IFERROR(VLOOKUP(H1099,'Contas Orç'!A:B,2,0),"N/A")</f>
        <v>PJ-OUTROS SERVICOS CONTRATADOS-PJ</v>
      </c>
      <c r="B1099" s="7" t="str">
        <f t="shared" si="34"/>
        <v>320201006 - PJ-OUTROS SERVICOS CONTRATADOS-PJ</v>
      </c>
      <c r="C1099" s="25">
        <f t="shared" si="35"/>
        <v>44621</v>
      </c>
      <c r="D1099" s="27">
        <f>IF(K1099="CREDITO",Q1099,Q1099*-1)</f>
        <v>160808.35999999999</v>
      </c>
      <c r="E1099" t="s">
        <v>894</v>
      </c>
      <c r="F1099" t="s">
        <v>1592</v>
      </c>
      <c r="G1099" s="8">
        <v>44621</v>
      </c>
      <c r="H1099" t="s">
        <v>144</v>
      </c>
      <c r="I1099" t="s">
        <v>59</v>
      </c>
      <c r="J1099" t="s">
        <v>60</v>
      </c>
      <c r="K1099" t="s">
        <v>29</v>
      </c>
      <c r="L1099" t="s">
        <v>895</v>
      </c>
      <c r="M1099" t="s">
        <v>4402</v>
      </c>
      <c r="O1099" t="s">
        <v>896</v>
      </c>
      <c r="P1099" t="s">
        <v>33</v>
      </c>
      <c r="Q1099" s="22">
        <v>160808.35999999999</v>
      </c>
      <c r="R1099" t="s">
        <v>35</v>
      </c>
      <c r="S1099" t="s">
        <v>35</v>
      </c>
      <c r="T1099" t="s">
        <v>35</v>
      </c>
      <c r="U1099" t="s">
        <v>35</v>
      </c>
      <c r="V1099" t="s">
        <v>645</v>
      </c>
      <c r="W1099" t="s">
        <v>113</v>
      </c>
    </row>
    <row r="1100" spans="1:23" hidden="1" x14ac:dyDescent="0.25">
      <c r="A1100" s="7" t="str">
        <f>IFERROR(VLOOKUP(H1100,'Contas Orç'!A:B,2,0),"N/A")</f>
        <v>PJ-OUTROS SERVICOS CONTRATADOS-PJ</v>
      </c>
      <c r="B1100" s="7" t="str">
        <f t="shared" si="34"/>
        <v>320201006 - PJ-OUTROS SERVICOS CONTRATADOS-PJ</v>
      </c>
      <c r="C1100" s="25">
        <f t="shared" si="35"/>
        <v>44621</v>
      </c>
      <c r="D1100" s="27">
        <f>IF(K1100="CREDITO",Q1100,Q1100*-1)</f>
        <v>54450</v>
      </c>
      <c r="E1100" t="s">
        <v>894</v>
      </c>
      <c r="F1100" t="s">
        <v>1593</v>
      </c>
      <c r="G1100" s="8">
        <v>44621</v>
      </c>
      <c r="H1100" t="s">
        <v>144</v>
      </c>
      <c r="I1100" t="s">
        <v>59</v>
      </c>
      <c r="J1100" t="s">
        <v>107</v>
      </c>
      <c r="K1100" t="s">
        <v>29</v>
      </c>
      <c r="L1100" t="s">
        <v>895</v>
      </c>
      <c r="M1100" t="s">
        <v>4402</v>
      </c>
      <c r="O1100" t="s">
        <v>896</v>
      </c>
      <c r="P1100" t="s">
        <v>33</v>
      </c>
      <c r="Q1100" s="22">
        <v>54450</v>
      </c>
      <c r="R1100" t="s">
        <v>35</v>
      </c>
      <c r="S1100" t="s">
        <v>35</v>
      </c>
      <c r="T1100" t="s">
        <v>35</v>
      </c>
      <c r="U1100" t="s">
        <v>35</v>
      </c>
      <c r="V1100" t="s">
        <v>645</v>
      </c>
      <c r="W1100" t="s">
        <v>113</v>
      </c>
    </row>
    <row r="1101" spans="1:23" hidden="1" x14ac:dyDescent="0.25">
      <c r="A1101" s="7" t="str">
        <f>IFERROR(VLOOKUP(H1101,'Contas Orç'!A:B,2,0),"N/A")</f>
        <v>PJ-OUTROS SERVICOS CONTRATADOS-PJ</v>
      </c>
      <c r="B1101" s="7" t="str">
        <f t="shared" si="34"/>
        <v>320201006 - PJ-OUTROS SERVICOS CONTRATADOS-PJ</v>
      </c>
      <c r="C1101" s="25">
        <f t="shared" si="35"/>
        <v>44621</v>
      </c>
      <c r="D1101" s="27">
        <f>IF(K1101="CREDITO",Q1101,Q1101*-1)</f>
        <v>9629.39</v>
      </c>
      <c r="E1101" t="s">
        <v>894</v>
      </c>
      <c r="F1101" t="s">
        <v>1594</v>
      </c>
      <c r="G1101" s="8">
        <v>44621</v>
      </c>
      <c r="H1101" t="s">
        <v>144</v>
      </c>
      <c r="I1101" t="s">
        <v>125</v>
      </c>
      <c r="J1101" t="s">
        <v>95</v>
      </c>
      <c r="K1101" t="s">
        <v>29</v>
      </c>
      <c r="L1101" t="s">
        <v>895</v>
      </c>
      <c r="M1101" t="s">
        <v>4402</v>
      </c>
      <c r="O1101" t="s">
        <v>896</v>
      </c>
      <c r="P1101" t="s">
        <v>33</v>
      </c>
      <c r="Q1101" s="22">
        <v>9629.39</v>
      </c>
      <c r="R1101" t="s">
        <v>35</v>
      </c>
      <c r="S1101" t="s">
        <v>35</v>
      </c>
      <c r="T1101" t="s">
        <v>35</v>
      </c>
      <c r="U1101" t="s">
        <v>35</v>
      </c>
      <c r="V1101" t="s">
        <v>645</v>
      </c>
      <c r="W1101" t="s">
        <v>113</v>
      </c>
    </row>
    <row r="1102" spans="1:23" hidden="1" x14ac:dyDescent="0.25">
      <c r="A1102" s="7" t="str">
        <f>IFERROR(VLOOKUP(H1102,'Contas Orç'!A:B,2,0),"N/A")</f>
        <v>PJ-OUTROS SERVICOS CONTRATADOS-PJ</v>
      </c>
      <c r="B1102" s="7" t="str">
        <f t="shared" si="34"/>
        <v>320201006 - PJ-OUTROS SERVICOS CONTRATADOS-PJ</v>
      </c>
      <c r="C1102" s="25">
        <f t="shared" si="35"/>
        <v>44621</v>
      </c>
      <c r="D1102" s="27">
        <f>IF(K1102="CREDITO",Q1102,Q1102*-1)</f>
        <v>175</v>
      </c>
      <c r="E1102" t="s">
        <v>894</v>
      </c>
      <c r="F1102" t="s">
        <v>1595</v>
      </c>
      <c r="G1102" s="8">
        <v>44621</v>
      </c>
      <c r="H1102" t="s">
        <v>144</v>
      </c>
      <c r="I1102" t="s">
        <v>53</v>
      </c>
      <c r="J1102" t="s">
        <v>661</v>
      </c>
      <c r="K1102" t="s">
        <v>29</v>
      </c>
      <c r="L1102" t="s">
        <v>895</v>
      </c>
      <c r="M1102" t="s">
        <v>4402</v>
      </c>
      <c r="O1102" t="s">
        <v>896</v>
      </c>
      <c r="P1102" t="s">
        <v>33</v>
      </c>
      <c r="Q1102">
        <v>175</v>
      </c>
      <c r="R1102" t="s">
        <v>35</v>
      </c>
      <c r="S1102" t="s">
        <v>35</v>
      </c>
      <c r="T1102" t="s">
        <v>35</v>
      </c>
      <c r="U1102" t="s">
        <v>35</v>
      </c>
      <c r="V1102" t="s">
        <v>645</v>
      </c>
      <c r="W1102" t="s">
        <v>113</v>
      </c>
    </row>
    <row r="1103" spans="1:23" hidden="1" x14ac:dyDescent="0.25">
      <c r="A1103" s="7" t="str">
        <f>IFERROR(VLOOKUP(H1103,'Contas Orç'!A:B,2,0),"N/A")</f>
        <v>PJ-OUTROS SERVICOS CONTRATADOS-PJ</v>
      </c>
      <c r="B1103" s="7" t="str">
        <f t="shared" si="34"/>
        <v>320201006 - PJ-OUTROS SERVICOS CONTRATADOS-PJ</v>
      </c>
      <c r="C1103" s="25">
        <f t="shared" si="35"/>
        <v>44621</v>
      </c>
      <c r="D1103" s="27">
        <f>IF(K1103="CREDITO",Q1103,Q1103*-1)</f>
        <v>131730.20000000001</v>
      </c>
      <c r="E1103" t="s">
        <v>894</v>
      </c>
      <c r="F1103" t="s">
        <v>1596</v>
      </c>
      <c r="G1103" s="8">
        <v>44621</v>
      </c>
      <c r="H1103" t="s">
        <v>144</v>
      </c>
      <c r="I1103" t="s">
        <v>53</v>
      </c>
      <c r="J1103" t="s">
        <v>54</v>
      </c>
      <c r="K1103" t="s">
        <v>29</v>
      </c>
      <c r="L1103" t="s">
        <v>895</v>
      </c>
      <c r="M1103" t="s">
        <v>4402</v>
      </c>
      <c r="O1103" t="s">
        <v>896</v>
      </c>
      <c r="P1103" t="s">
        <v>33</v>
      </c>
      <c r="Q1103" s="22">
        <v>131730.20000000001</v>
      </c>
      <c r="R1103" t="s">
        <v>35</v>
      </c>
      <c r="S1103" t="s">
        <v>35</v>
      </c>
      <c r="T1103" t="s">
        <v>35</v>
      </c>
      <c r="U1103" t="s">
        <v>35</v>
      </c>
      <c r="V1103" t="s">
        <v>645</v>
      </c>
      <c r="W1103" t="s">
        <v>113</v>
      </c>
    </row>
    <row r="1104" spans="1:23" hidden="1" x14ac:dyDescent="0.25">
      <c r="A1104" s="7" t="str">
        <f>IFERROR(VLOOKUP(H1104,'Contas Orç'!A:B,2,0),"N/A")</f>
        <v>PJ-OUTROS SERVICOS CONTRATADOS-PJ</v>
      </c>
      <c r="B1104" s="7" t="str">
        <f t="shared" si="34"/>
        <v>320201006 - PJ-OUTROS SERVICOS CONTRATADOS-PJ</v>
      </c>
      <c r="C1104" s="25">
        <f t="shared" si="35"/>
        <v>44652</v>
      </c>
      <c r="D1104" s="27">
        <f>IF(K1104="CREDITO",Q1104,Q1104*-1)</f>
        <v>862.12</v>
      </c>
      <c r="E1104" t="s">
        <v>894</v>
      </c>
      <c r="F1104" t="s">
        <v>1597</v>
      </c>
      <c r="G1104" s="8">
        <v>44652</v>
      </c>
      <c r="H1104" t="s">
        <v>144</v>
      </c>
      <c r="I1104" t="s">
        <v>27</v>
      </c>
      <c r="J1104" t="s">
        <v>28</v>
      </c>
      <c r="K1104" t="s">
        <v>29</v>
      </c>
      <c r="L1104" t="s">
        <v>895</v>
      </c>
      <c r="M1104" t="s">
        <v>4402</v>
      </c>
      <c r="O1104" t="s">
        <v>896</v>
      </c>
      <c r="P1104" t="s">
        <v>33</v>
      </c>
      <c r="Q1104">
        <v>862.12</v>
      </c>
      <c r="R1104" t="s">
        <v>35</v>
      </c>
      <c r="S1104" t="s">
        <v>35</v>
      </c>
      <c r="T1104" t="s">
        <v>35</v>
      </c>
      <c r="U1104" t="s">
        <v>35</v>
      </c>
      <c r="V1104" t="s">
        <v>645</v>
      </c>
      <c r="W1104" t="s">
        <v>113</v>
      </c>
    </row>
    <row r="1105" spans="1:23" hidden="1" x14ac:dyDescent="0.25">
      <c r="A1105" s="7" t="str">
        <f>IFERROR(VLOOKUP(H1105,'Contas Orç'!A:B,2,0),"N/A")</f>
        <v>PJ-OUTROS SERVICOS CONTRATADOS-PJ</v>
      </c>
      <c r="B1105" s="7" t="str">
        <f t="shared" si="34"/>
        <v>320201006 - PJ-OUTROS SERVICOS CONTRATADOS-PJ</v>
      </c>
      <c r="C1105" s="25">
        <f t="shared" si="35"/>
        <v>44652</v>
      </c>
      <c r="D1105" s="27">
        <f>IF(K1105="CREDITO",Q1105,Q1105*-1)</f>
        <v>7507.22</v>
      </c>
      <c r="E1105" t="s">
        <v>894</v>
      </c>
      <c r="F1105" t="s">
        <v>1598</v>
      </c>
      <c r="G1105" s="8">
        <v>44652</v>
      </c>
      <c r="H1105" t="s">
        <v>144</v>
      </c>
      <c r="I1105" t="s">
        <v>106</v>
      </c>
      <c r="J1105" t="s">
        <v>60</v>
      </c>
      <c r="K1105" t="s">
        <v>29</v>
      </c>
      <c r="L1105" t="s">
        <v>895</v>
      </c>
      <c r="M1105" t="s">
        <v>4402</v>
      </c>
      <c r="O1105" t="s">
        <v>896</v>
      </c>
      <c r="P1105" t="s">
        <v>33</v>
      </c>
      <c r="Q1105" s="22">
        <v>7507.22</v>
      </c>
      <c r="R1105" t="s">
        <v>35</v>
      </c>
      <c r="S1105" t="s">
        <v>35</v>
      </c>
      <c r="T1105" t="s">
        <v>35</v>
      </c>
      <c r="U1105" t="s">
        <v>35</v>
      </c>
      <c r="V1105" t="s">
        <v>645</v>
      </c>
      <c r="W1105" t="s">
        <v>113</v>
      </c>
    </row>
    <row r="1106" spans="1:23" hidden="1" x14ac:dyDescent="0.25">
      <c r="A1106" s="7" t="str">
        <f>IFERROR(VLOOKUP(H1106,'Contas Orç'!A:B,2,0),"N/A")</f>
        <v>PJ-OUTROS SERVICOS CONTRATADOS-PJ</v>
      </c>
      <c r="B1106" s="7" t="str">
        <f t="shared" si="34"/>
        <v>320201006 - PJ-OUTROS SERVICOS CONTRATADOS-PJ</v>
      </c>
      <c r="C1106" s="25">
        <f t="shared" si="35"/>
        <v>44652</v>
      </c>
      <c r="D1106" s="27">
        <f>IF(K1106="CREDITO",Q1106,Q1106*-1)</f>
        <v>189806.8</v>
      </c>
      <c r="E1106" t="s">
        <v>894</v>
      </c>
      <c r="F1106" t="s">
        <v>1599</v>
      </c>
      <c r="G1106" s="8">
        <v>44652</v>
      </c>
      <c r="H1106" t="s">
        <v>144</v>
      </c>
      <c r="I1106" t="s">
        <v>59</v>
      </c>
      <c r="J1106" t="s">
        <v>60</v>
      </c>
      <c r="K1106" t="s">
        <v>29</v>
      </c>
      <c r="L1106" t="s">
        <v>895</v>
      </c>
      <c r="M1106" t="s">
        <v>4402</v>
      </c>
      <c r="O1106" t="s">
        <v>896</v>
      </c>
      <c r="P1106" t="s">
        <v>33</v>
      </c>
      <c r="Q1106" s="22">
        <v>189806.8</v>
      </c>
      <c r="R1106" t="s">
        <v>35</v>
      </c>
      <c r="S1106" t="s">
        <v>35</v>
      </c>
      <c r="T1106" t="s">
        <v>35</v>
      </c>
      <c r="U1106" t="s">
        <v>35</v>
      </c>
      <c r="V1106" t="s">
        <v>645</v>
      </c>
      <c r="W1106" t="s">
        <v>113</v>
      </c>
    </row>
    <row r="1107" spans="1:23" hidden="1" x14ac:dyDescent="0.25">
      <c r="A1107" s="7" t="str">
        <f>IFERROR(VLOOKUP(H1107,'Contas Orç'!A:B,2,0),"N/A")</f>
        <v>PJ-OUTROS SERVICOS CONTRATADOS-PJ</v>
      </c>
      <c r="B1107" s="7" t="str">
        <f t="shared" si="34"/>
        <v>320201006 - PJ-OUTROS SERVICOS CONTRATADOS-PJ</v>
      </c>
      <c r="C1107" s="25">
        <f t="shared" si="35"/>
        <v>44652</v>
      </c>
      <c r="D1107" s="27">
        <f>IF(K1107="CREDITO",Q1107,Q1107*-1)</f>
        <v>122512.5</v>
      </c>
      <c r="E1107" t="s">
        <v>894</v>
      </c>
      <c r="F1107" t="s">
        <v>1600</v>
      </c>
      <c r="G1107" s="8">
        <v>44652</v>
      </c>
      <c r="H1107" t="s">
        <v>144</v>
      </c>
      <c r="I1107" t="s">
        <v>59</v>
      </c>
      <c r="J1107" t="s">
        <v>107</v>
      </c>
      <c r="K1107" t="s">
        <v>29</v>
      </c>
      <c r="L1107" t="s">
        <v>895</v>
      </c>
      <c r="M1107" t="s">
        <v>4402</v>
      </c>
      <c r="O1107" t="s">
        <v>896</v>
      </c>
      <c r="P1107" t="s">
        <v>33</v>
      </c>
      <c r="Q1107" s="22">
        <v>122512.5</v>
      </c>
      <c r="R1107" t="s">
        <v>35</v>
      </c>
      <c r="S1107" t="s">
        <v>35</v>
      </c>
      <c r="T1107" t="s">
        <v>35</v>
      </c>
      <c r="U1107" t="s">
        <v>35</v>
      </c>
      <c r="V1107" t="s">
        <v>645</v>
      </c>
      <c r="W1107" t="s">
        <v>113</v>
      </c>
    </row>
    <row r="1108" spans="1:23" hidden="1" x14ac:dyDescent="0.25">
      <c r="A1108" s="7" t="str">
        <f>IFERROR(VLOOKUP(H1108,'Contas Orç'!A:B,2,0),"N/A")</f>
        <v>PJ-OUTROS SERVICOS CONTRATADOS-PJ</v>
      </c>
      <c r="B1108" s="7" t="str">
        <f t="shared" si="34"/>
        <v>320201006 - PJ-OUTROS SERVICOS CONTRATADOS-PJ</v>
      </c>
      <c r="C1108" s="25">
        <f t="shared" si="35"/>
        <v>44652</v>
      </c>
      <c r="D1108" s="27">
        <f>IF(K1108="CREDITO",Q1108,Q1108*-1)</f>
        <v>11531.48</v>
      </c>
      <c r="E1108" t="s">
        <v>894</v>
      </c>
      <c r="F1108" t="s">
        <v>1601</v>
      </c>
      <c r="G1108" s="8">
        <v>44652</v>
      </c>
      <c r="H1108" t="s">
        <v>144</v>
      </c>
      <c r="I1108" t="s">
        <v>59</v>
      </c>
      <c r="J1108" t="s">
        <v>702</v>
      </c>
      <c r="K1108" t="s">
        <v>29</v>
      </c>
      <c r="L1108" t="s">
        <v>895</v>
      </c>
      <c r="M1108" t="s">
        <v>4402</v>
      </c>
      <c r="O1108" t="s">
        <v>896</v>
      </c>
      <c r="P1108" t="s">
        <v>33</v>
      </c>
      <c r="Q1108" s="22">
        <v>11531.48</v>
      </c>
      <c r="R1108" t="s">
        <v>35</v>
      </c>
      <c r="S1108" t="s">
        <v>35</v>
      </c>
      <c r="T1108" t="s">
        <v>35</v>
      </c>
      <c r="U1108" t="s">
        <v>35</v>
      </c>
      <c r="V1108" t="s">
        <v>645</v>
      </c>
      <c r="W1108" t="s">
        <v>113</v>
      </c>
    </row>
    <row r="1109" spans="1:23" hidden="1" x14ac:dyDescent="0.25">
      <c r="A1109" s="7" t="str">
        <f>IFERROR(VLOOKUP(H1109,'Contas Orç'!A:B,2,0),"N/A")</f>
        <v>PJ-OUTROS SERVICOS CONTRATADOS-PJ</v>
      </c>
      <c r="B1109" s="7" t="str">
        <f t="shared" si="34"/>
        <v>320201006 - PJ-OUTROS SERVICOS CONTRATADOS-PJ</v>
      </c>
      <c r="C1109" s="25">
        <f t="shared" si="35"/>
        <v>44652</v>
      </c>
      <c r="D1109" s="27">
        <f>IF(K1109="CREDITO",Q1109,Q1109*-1)</f>
        <v>12412.81</v>
      </c>
      <c r="E1109" t="s">
        <v>894</v>
      </c>
      <c r="F1109" t="s">
        <v>1602</v>
      </c>
      <c r="G1109" s="8">
        <v>44652</v>
      </c>
      <c r="H1109" t="s">
        <v>144</v>
      </c>
      <c r="I1109" t="s">
        <v>68</v>
      </c>
      <c r="J1109" t="s">
        <v>69</v>
      </c>
      <c r="K1109" t="s">
        <v>29</v>
      </c>
      <c r="L1109" t="s">
        <v>895</v>
      </c>
      <c r="M1109" t="s">
        <v>4402</v>
      </c>
      <c r="O1109" t="s">
        <v>896</v>
      </c>
      <c r="P1109" t="s">
        <v>33</v>
      </c>
      <c r="Q1109" s="22">
        <v>12412.81</v>
      </c>
      <c r="R1109" t="s">
        <v>35</v>
      </c>
      <c r="S1109" t="s">
        <v>35</v>
      </c>
      <c r="T1109" t="s">
        <v>35</v>
      </c>
      <c r="U1109" t="s">
        <v>35</v>
      </c>
      <c r="V1109" t="s">
        <v>645</v>
      </c>
      <c r="W1109" t="s">
        <v>113</v>
      </c>
    </row>
    <row r="1110" spans="1:23" hidden="1" x14ac:dyDescent="0.25">
      <c r="A1110" s="7" t="str">
        <f>IFERROR(VLOOKUP(H1110,'Contas Orç'!A:B,2,0),"N/A")</f>
        <v>PJ-OUTROS SERVICOS CONTRATADOS-PJ</v>
      </c>
      <c r="B1110" s="7" t="str">
        <f t="shared" si="34"/>
        <v>320201006 - PJ-OUTROS SERVICOS CONTRATADOS-PJ</v>
      </c>
      <c r="C1110" s="25">
        <f t="shared" si="35"/>
        <v>44652</v>
      </c>
      <c r="D1110" s="27">
        <f>IF(K1110="CREDITO",Q1110,Q1110*-1)</f>
        <v>168761.2</v>
      </c>
      <c r="E1110" t="s">
        <v>894</v>
      </c>
      <c r="F1110" t="s">
        <v>1603</v>
      </c>
      <c r="G1110" s="8">
        <v>44652</v>
      </c>
      <c r="H1110" t="s">
        <v>144</v>
      </c>
      <c r="I1110" t="s">
        <v>53</v>
      </c>
      <c r="J1110" t="s">
        <v>54</v>
      </c>
      <c r="K1110" t="s">
        <v>29</v>
      </c>
      <c r="L1110" t="s">
        <v>895</v>
      </c>
      <c r="M1110" t="s">
        <v>4402</v>
      </c>
      <c r="O1110" t="s">
        <v>896</v>
      </c>
      <c r="P1110" t="s">
        <v>33</v>
      </c>
      <c r="Q1110" s="22">
        <v>168761.2</v>
      </c>
      <c r="R1110" t="s">
        <v>35</v>
      </c>
      <c r="S1110" t="s">
        <v>35</v>
      </c>
      <c r="T1110" t="s">
        <v>35</v>
      </c>
      <c r="U1110" t="s">
        <v>35</v>
      </c>
      <c r="V1110" t="s">
        <v>645</v>
      </c>
      <c r="W1110" t="s">
        <v>113</v>
      </c>
    </row>
    <row r="1111" spans="1:23" hidden="1" x14ac:dyDescent="0.25">
      <c r="A1111" s="7" t="str">
        <f>IFERROR(VLOOKUP(H1111,'Contas Orç'!A:B,2,0),"N/A")</f>
        <v>PJ-OUTROS SERVICOS CONTRATADOS-PJ</v>
      </c>
      <c r="B1111" s="7" t="str">
        <f t="shared" si="34"/>
        <v>320201006 - PJ-OUTROS SERVICOS CONTRATADOS-PJ</v>
      </c>
      <c r="C1111" s="25">
        <f t="shared" si="35"/>
        <v>44682</v>
      </c>
      <c r="D1111" s="27">
        <f>IF(K1111="CREDITO",Q1111,Q1111*-1)</f>
        <v>188</v>
      </c>
      <c r="E1111" t="s">
        <v>894</v>
      </c>
      <c r="F1111" t="s">
        <v>1604</v>
      </c>
      <c r="G1111" s="8">
        <v>44682</v>
      </c>
      <c r="H1111" t="s">
        <v>144</v>
      </c>
      <c r="I1111" t="s">
        <v>27</v>
      </c>
      <c r="J1111" t="s">
        <v>28</v>
      </c>
      <c r="K1111" t="s">
        <v>29</v>
      </c>
      <c r="L1111" t="s">
        <v>895</v>
      </c>
      <c r="M1111" t="s">
        <v>4402</v>
      </c>
      <c r="O1111" t="s">
        <v>896</v>
      </c>
      <c r="P1111" t="s">
        <v>33</v>
      </c>
      <c r="Q1111">
        <v>188</v>
      </c>
      <c r="R1111" t="s">
        <v>35</v>
      </c>
      <c r="S1111" t="s">
        <v>35</v>
      </c>
      <c r="T1111" t="s">
        <v>35</v>
      </c>
      <c r="U1111" t="s">
        <v>35</v>
      </c>
      <c r="V1111" t="s">
        <v>645</v>
      </c>
      <c r="W1111" t="s">
        <v>113</v>
      </c>
    </row>
    <row r="1112" spans="1:23" hidden="1" x14ac:dyDescent="0.25">
      <c r="A1112" s="7" t="str">
        <f>IFERROR(VLOOKUP(H1112,'Contas Orç'!A:B,2,0),"N/A")</f>
        <v>PJ-OUTROS SERVICOS CONTRATADOS-PJ</v>
      </c>
      <c r="B1112" s="7" t="str">
        <f t="shared" si="34"/>
        <v>320201006 - PJ-OUTROS SERVICOS CONTRATADOS-PJ</v>
      </c>
      <c r="C1112" s="25">
        <f t="shared" si="35"/>
        <v>44682</v>
      </c>
      <c r="D1112" s="27">
        <f>IF(K1112="CREDITO",Q1112,Q1112*-1)</f>
        <v>7507.22</v>
      </c>
      <c r="E1112" t="s">
        <v>894</v>
      </c>
      <c r="F1112" t="s">
        <v>1605</v>
      </c>
      <c r="G1112" s="8">
        <v>44682</v>
      </c>
      <c r="H1112" t="s">
        <v>144</v>
      </c>
      <c r="I1112" t="s">
        <v>106</v>
      </c>
      <c r="J1112" t="s">
        <v>60</v>
      </c>
      <c r="K1112" t="s">
        <v>29</v>
      </c>
      <c r="L1112" t="s">
        <v>895</v>
      </c>
      <c r="M1112" t="s">
        <v>4402</v>
      </c>
      <c r="O1112" t="s">
        <v>896</v>
      </c>
      <c r="P1112" t="s">
        <v>33</v>
      </c>
      <c r="Q1112" s="22">
        <v>7507.22</v>
      </c>
      <c r="R1112" t="s">
        <v>35</v>
      </c>
      <c r="S1112" t="s">
        <v>35</v>
      </c>
      <c r="T1112" t="s">
        <v>35</v>
      </c>
      <c r="U1112" t="s">
        <v>35</v>
      </c>
      <c r="V1112" t="s">
        <v>645</v>
      </c>
      <c r="W1112" t="s">
        <v>113</v>
      </c>
    </row>
    <row r="1113" spans="1:23" hidden="1" x14ac:dyDescent="0.25">
      <c r="A1113" s="7" t="str">
        <f>IFERROR(VLOOKUP(H1113,'Contas Orç'!A:B,2,0),"N/A")</f>
        <v>PJ-OUTROS SERVICOS CONTRATADOS-PJ</v>
      </c>
      <c r="B1113" s="7" t="str">
        <f t="shared" si="34"/>
        <v>320201006 - PJ-OUTROS SERVICOS CONTRATADOS-PJ</v>
      </c>
      <c r="C1113" s="25">
        <f t="shared" si="35"/>
        <v>44682</v>
      </c>
      <c r="D1113" s="27">
        <f>IF(K1113="CREDITO",Q1113,Q1113*-1)</f>
        <v>235005.3</v>
      </c>
      <c r="E1113" t="s">
        <v>894</v>
      </c>
      <c r="F1113" t="s">
        <v>1606</v>
      </c>
      <c r="G1113" s="8">
        <v>44682</v>
      </c>
      <c r="H1113" t="s">
        <v>144</v>
      </c>
      <c r="I1113" t="s">
        <v>59</v>
      </c>
      <c r="J1113" t="s">
        <v>60</v>
      </c>
      <c r="K1113" t="s">
        <v>29</v>
      </c>
      <c r="L1113" t="s">
        <v>895</v>
      </c>
      <c r="M1113" t="s">
        <v>4402</v>
      </c>
      <c r="O1113" t="s">
        <v>896</v>
      </c>
      <c r="P1113" t="s">
        <v>33</v>
      </c>
      <c r="Q1113" s="22">
        <v>235005.3</v>
      </c>
      <c r="R1113" t="s">
        <v>35</v>
      </c>
      <c r="S1113" t="s">
        <v>35</v>
      </c>
      <c r="T1113" t="s">
        <v>35</v>
      </c>
      <c r="U1113" t="s">
        <v>35</v>
      </c>
      <c r="V1113" t="s">
        <v>645</v>
      </c>
      <c r="W1113" t="s">
        <v>113</v>
      </c>
    </row>
    <row r="1114" spans="1:23" hidden="1" x14ac:dyDescent="0.25">
      <c r="A1114" s="7" t="str">
        <f>IFERROR(VLOOKUP(H1114,'Contas Orç'!A:B,2,0),"N/A")</f>
        <v>PJ-OUTROS SERVICOS CONTRATADOS-PJ</v>
      </c>
      <c r="B1114" s="7" t="str">
        <f t="shared" si="34"/>
        <v>320201006 - PJ-OUTROS SERVICOS CONTRATADOS-PJ</v>
      </c>
      <c r="C1114" s="25">
        <f t="shared" si="35"/>
        <v>44682</v>
      </c>
      <c r="D1114" s="27">
        <f>IF(K1114="CREDITO",Q1114,Q1114*-1)</f>
        <v>371309.58</v>
      </c>
      <c r="E1114" t="s">
        <v>894</v>
      </c>
      <c r="F1114" t="s">
        <v>1607</v>
      </c>
      <c r="G1114" s="8">
        <v>44682</v>
      </c>
      <c r="H1114" t="s">
        <v>144</v>
      </c>
      <c r="I1114" t="s">
        <v>59</v>
      </c>
      <c r="J1114" t="s">
        <v>107</v>
      </c>
      <c r="K1114" t="s">
        <v>29</v>
      </c>
      <c r="L1114" t="s">
        <v>895</v>
      </c>
      <c r="M1114" t="s">
        <v>4402</v>
      </c>
      <c r="O1114" t="s">
        <v>896</v>
      </c>
      <c r="P1114" t="s">
        <v>33</v>
      </c>
      <c r="Q1114" s="22">
        <v>371309.58</v>
      </c>
      <c r="R1114" t="s">
        <v>35</v>
      </c>
      <c r="S1114" t="s">
        <v>35</v>
      </c>
      <c r="T1114" t="s">
        <v>35</v>
      </c>
      <c r="U1114" t="s">
        <v>35</v>
      </c>
      <c r="V1114" t="s">
        <v>645</v>
      </c>
      <c r="W1114" t="s">
        <v>113</v>
      </c>
    </row>
    <row r="1115" spans="1:23" hidden="1" x14ac:dyDescent="0.25">
      <c r="A1115" s="7" t="str">
        <f>IFERROR(VLOOKUP(H1115,'Contas Orç'!A:B,2,0),"N/A")</f>
        <v>PJ-OUTROS SERVICOS CONTRATADOS-PJ</v>
      </c>
      <c r="B1115" s="7" t="str">
        <f t="shared" si="34"/>
        <v>320201006 - PJ-OUTROS SERVICOS CONTRATADOS-PJ</v>
      </c>
      <c r="C1115" s="25">
        <f t="shared" si="35"/>
        <v>44682</v>
      </c>
      <c r="D1115" s="27">
        <f>IF(K1115="CREDITO",Q1115,Q1115*-1)</f>
        <v>5129.1899999999996</v>
      </c>
      <c r="E1115" t="s">
        <v>894</v>
      </c>
      <c r="F1115" t="s">
        <v>1608</v>
      </c>
      <c r="G1115" s="8">
        <v>44682</v>
      </c>
      <c r="H1115" t="s">
        <v>144</v>
      </c>
      <c r="I1115" t="s">
        <v>125</v>
      </c>
      <c r="J1115" t="s">
        <v>95</v>
      </c>
      <c r="K1115" t="s">
        <v>29</v>
      </c>
      <c r="L1115" t="s">
        <v>895</v>
      </c>
      <c r="M1115" t="s">
        <v>4402</v>
      </c>
      <c r="O1115" t="s">
        <v>896</v>
      </c>
      <c r="P1115" t="s">
        <v>33</v>
      </c>
      <c r="Q1115" s="22">
        <v>5129.1899999999996</v>
      </c>
      <c r="R1115" t="s">
        <v>35</v>
      </c>
      <c r="S1115" t="s">
        <v>35</v>
      </c>
      <c r="T1115" t="s">
        <v>35</v>
      </c>
      <c r="U1115" t="s">
        <v>35</v>
      </c>
      <c r="V1115" t="s">
        <v>645</v>
      </c>
      <c r="W1115" t="s">
        <v>113</v>
      </c>
    </row>
    <row r="1116" spans="1:23" hidden="1" x14ac:dyDescent="0.25">
      <c r="A1116" s="7" t="str">
        <f>IFERROR(VLOOKUP(H1116,'Contas Orç'!A:B,2,0),"N/A")</f>
        <v>PJ-OUTROS SERVICOS CONTRATADOS-PJ</v>
      </c>
      <c r="B1116" s="7" t="str">
        <f t="shared" si="34"/>
        <v>320201006 - PJ-OUTROS SERVICOS CONTRATADOS-PJ</v>
      </c>
      <c r="C1116" s="25">
        <f t="shared" si="35"/>
        <v>44682</v>
      </c>
      <c r="D1116" s="27">
        <f>IF(K1116="CREDITO",Q1116,Q1116*-1)</f>
        <v>8640</v>
      </c>
      <c r="E1116" t="s">
        <v>894</v>
      </c>
      <c r="F1116" t="s">
        <v>1609</v>
      </c>
      <c r="G1116" s="8">
        <v>44682</v>
      </c>
      <c r="H1116" t="s">
        <v>144</v>
      </c>
      <c r="I1116" t="s">
        <v>68</v>
      </c>
      <c r="J1116" t="s">
        <v>69</v>
      </c>
      <c r="K1116" t="s">
        <v>29</v>
      </c>
      <c r="L1116" t="s">
        <v>895</v>
      </c>
      <c r="M1116" t="s">
        <v>4402</v>
      </c>
      <c r="O1116" t="s">
        <v>896</v>
      </c>
      <c r="P1116" t="s">
        <v>33</v>
      </c>
      <c r="Q1116" s="22">
        <v>8640</v>
      </c>
      <c r="R1116" t="s">
        <v>35</v>
      </c>
      <c r="S1116" t="s">
        <v>35</v>
      </c>
      <c r="T1116" t="s">
        <v>35</v>
      </c>
      <c r="U1116" t="s">
        <v>35</v>
      </c>
      <c r="V1116" t="s">
        <v>645</v>
      </c>
      <c r="W1116" t="s">
        <v>113</v>
      </c>
    </row>
    <row r="1117" spans="1:23" hidden="1" x14ac:dyDescent="0.25">
      <c r="A1117" s="7" t="str">
        <f>IFERROR(VLOOKUP(H1117,'Contas Orç'!A:B,2,0),"N/A")</f>
        <v>PJ-OUTROS SERVICOS CONTRATADOS-PJ</v>
      </c>
      <c r="B1117" s="7" t="str">
        <f t="shared" si="34"/>
        <v>320201006 - PJ-OUTROS SERVICOS CONTRATADOS-PJ</v>
      </c>
      <c r="C1117" s="25">
        <f t="shared" si="35"/>
        <v>44682</v>
      </c>
      <c r="D1117" s="27">
        <f>IF(K1117="CREDITO",Q1117,Q1117*-1)</f>
        <v>172603.09</v>
      </c>
      <c r="E1117" t="s">
        <v>894</v>
      </c>
      <c r="F1117" t="s">
        <v>1610</v>
      </c>
      <c r="G1117" s="8">
        <v>44682</v>
      </c>
      <c r="H1117" t="s">
        <v>144</v>
      </c>
      <c r="I1117" t="s">
        <v>53</v>
      </c>
      <c r="J1117" t="s">
        <v>54</v>
      </c>
      <c r="K1117" t="s">
        <v>29</v>
      </c>
      <c r="L1117" t="s">
        <v>895</v>
      </c>
      <c r="M1117" t="s">
        <v>4402</v>
      </c>
      <c r="O1117" t="s">
        <v>896</v>
      </c>
      <c r="P1117" t="s">
        <v>33</v>
      </c>
      <c r="Q1117" s="22">
        <v>172603.09</v>
      </c>
      <c r="R1117" t="s">
        <v>35</v>
      </c>
      <c r="S1117" t="s">
        <v>35</v>
      </c>
      <c r="T1117" t="s">
        <v>35</v>
      </c>
      <c r="U1117" t="s">
        <v>35</v>
      </c>
      <c r="V1117" t="s">
        <v>645</v>
      </c>
      <c r="W1117" t="s">
        <v>113</v>
      </c>
    </row>
    <row r="1118" spans="1:23" hidden="1" x14ac:dyDescent="0.25">
      <c r="A1118" s="7" t="str">
        <f>IFERROR(VLOOKUP(H1118,'Contas Orç'!A:B,2,0),"N/A")</f>
        <v>PJ-OUTROS SERVICOS CONTRATADOS-PJ</v>
      </c>
      <c r="B1118" s="7" t="str">
        <f t="shared" si="34"/>
        <v>320201006 - PJ-OUTROS SERVICOS CONTRATADOS-PJ</v>
      </c>
      <c r="C1118" s="25">
        <f t="shared" si="35"/>
        <v>44713</v>
      </c>
      <c r="D1118" s="27">
        <f>IF(K1118="CREDITO",Q1118,Q1118*-1)</f>
        <v>28921.15</v>
      </c>
      <c r="E1118" t="s">
        <v>894</v>
      </c>
      <c r="F1118" t="s">
        <v>1611</v>
      </c>
      <c r="G1118" s="8">
        <v>44713</v>
      </c>
      <c r="H1118" t="s">
        <v>144</v>
      </c>
      <c r="I1118" t="s">
        <v>27</v>
      </c>
      <c r="J1118" t="s">
        <v>28</v>
      </c>
      <c r="K1118" t="s">
        <v>29</v>
      </c>
      <c r="L1118" t="s">
        <v>895</v>
      </c>
      <c r="M1118" t="s">
        <v>4402</v>
      </c>
      <c r="O1118" t="s">
        <v>896</v>
      </c>
      <c r="P1118" t="s">
        <v>33</v>
      </c>
      <c r="Q1118" s="22">
        <v>28921.15</v>
      </c>
      <c r="R1118" t="s">
        <v>35</v>
      </c>
      <c r="S1118" t="s">
        <v>35</v>
      </c>
      <c r="T1118" t="s">
        <v>35</v>
      </c>
      <c r="U1118" t="s">
        <v>35</v>
      </c>
      <c r="V1118" t="s">
        <v>645</v>
      </c>
      <c r="W1118" t="s">
        <v>113</v>
      </c>
    </row>
    <row r="1119" spans="1:23" hidden="1" x14ac:dyDescent="0.25">
      <c r="A1119" s="7" t="str">
        <f>IFERROR(VLOOKUP(H1119,'Contas Orç'!A:B,2,0),"N/A")</f>
        <v>PJ-OUTROS SERVICOS CONTRATADOS-PJ</v>
      </c>
      <c r="B1119" s="7" t="str">
        <f t="shared" si="34"/>
        <v>320201006 - PJ-OUTROS SERVICOS CONTRATADOS-PJ</v>
      </c>
      <c r="C1119" s="25">
        <f t="shared" si="35"/>
        <v>44713</v>
      </c>
      <c r="D1119" s="27">
        <f>IF(K1119="CREDITO",Q1119,Q1119*-1)</f>
        <v>7722.05</v>
      </c>
      <c r="E1119" t="s">
        <v>894</v>
      </c>
      <c r="F1119" t="s">
        <v>1612</v>
      </c>
      <c r="G1119" s="8">
        <v>44713</v>
      </c>
      <c r="H1119" t="s">
        <v>144</v>
      </c>
      <c r="I1119" t="s">
        <v>106</v>
      </c>
      <c r="J1119" t="s">
        <v>60</v>
      </c>
      <c r="K1119" t="s">
        <v>29</v>
      </c>
      <c r="L1119" t="s">
        <v>895</v>
      </c>
      <c r="M1119" t="s">
        <v>4402</v>
      </c>
      <c r="O1119" t="s">
        <v>896</v>
      </c>
      <c r="P1119" t="s">
        <v>33</v>
      </c>
      <c r="Q1119" s="22">
        <v>7722.05</v>
      </c>
      <c r="R1119" t="s">
        <v>35</v>
      </c>
      <c r="S1119" t="s">
        <v>35</v>
      </c>
      <c r="T1119" t="s">
        <v>35</v>
      </c>
      <c r="U1119" t="s">
        <v>35</v>
      </c>
      <c r="V1119" t="s">
        <v>645</v>
      </c>
      <c r="W1119" t="s">
        <v>113</v>
      </c>
    </row>
    <row r="1120" spans="1:23" hidden="1" x14ac:dyDescent="0.25">
      <c r="A1120" s="7" t="str">
        <f>IFERROR(VLOOKUP(H1120,'Contas Orç'!A:B,2,0),"N/A")</f>
        <v>PJ-OUTROS SERVICOS CONTRATADOS-PJ</v>
      </c>
      <c r="B1120" s="7" t="str">
        <f t="shared" si="34"/>
        <v>320201006 - PJ-OUTROS SERVICOS CONTRATADOS-PJ</v>
      </c>
      <c r="C1120" s="25">
        <f t="shared" si="35"/>
        <v>44713</v>
      </c>
      <c r="D1120" s="27">
        <f>IF(K1120="CREDITO",Q1120,Q1120*-1)</f>
        <v>319067.31</v>
      </c>
      <c r="E1120" t="s">
        <v>894</v>
      </c>
      <c r="F1120" t="s">
        <v>1613</v>
      </c>
      <c r="G1120" s="8">
        <v>44713</v>
      </c>
      <c r="H1120" t="s">
        <v>144</v>
      </c>
      <c r="I1120" t="s">
        <v>59</v>
      </c>
      <c r="J1120" t="s">
        <v>60</v>
      </c>
      <c r="K1120" t="s">
        <v>29</v>
      </c>
      <c r="L1120" t="s">
        <v>895</v>
      </c>
      <c r="M1120" t="s">
        <v>4402</v>
      </c>
      <c r="O1120" t="s">
        <v>896</v>
      </c>
      <c r="P1120" t="s">
        <v>33</v>
      </c>
      <c r="Q1120" s="22">
        <v>319067.31</v>
      </c>
      <c r="R1120" t="s">
        <v>35</v>
      </c>
      <c r="S1120" t="s">
        <v>35</v>
      </c>
      <c r="T1120" t="s">
        <v>35</v>
      </c>
      <c r="U1120" t="s">
        <v>35</v>
      </c>
      <c r="V1120" t="s">
        <v>645</v>
      </c>
      <c r="W1120" t="s">
        <v>113</v>
      </c>
    </row>
    <row r="1121" spans="1:23" hidden="1" x14ac:dyDescent="0.25">
      <c r="A1121" s="7" t="str">
        <f>IFERROR(VLOOKUP(H1121,'Contas Orç'!A:B,2,0),"N/A")</f>
        <v>PJ-OUTROS SERVICOS CONTRATADOS-PJ</v>
      </c>
      <c r="B1121" s="7" t="str">
        <f t="shared" si="34"/>
        <v>320201006 - PJ-OUTROS SERVICOS CONTRATADOS-PJ</v>
      </c>
      <c r="C1121" s="25">
        <f t="shared" si="35"/>
        <v>44713</v>
      </c>
      <c r="D1121" s="27">
        <f>IF(K1121="CREDITO",Q1121,Q1121*-1)</f>
        <v>14207.12</v>
      </c>
      <c r="E1121" t="s">
        <v>894</v>
      </c>
      <c r="F1121" t="s">
        <v>1614</v>
      </c>
      <c r="G1121" s="8">
        <v>44713</v>
      </c>
      <c r="H1121" t="s">
        <v>144</v>
      </c>
      <c r="I1121" t="s">
        <v>59</v>
      </c>
      <c r="J1121" t="s">
        <v>702</v>
      </c>
      <c r="K1121" t="s">
        <v>29</v>
      </c>
      <c r="L1121" t="s">
        <v>895</v>
      </c>
      <c r="M1121" t="s">
        <v>4402</v>
      </c>
      <c r="O1121" t="s">
        <v>896</v>
      </c>
      <c r="P1121" t="s">
        <v>33</v>
      </c>
      <c r="Q1121" s="22">
        <v>14207.12</v>
      </c>
      <c r="R1121" t="s">
        <v>35</v>
      </c>
      <c r="S1121" t="s">
        <v>35</v>
      </c>
      <c r="T1121" t="s">
        <v>35</v>
      </c>
      <c r="U1121" t="s">
        <v>35</v>
      </c>
      <c r="V1121" t="s">
        <v>645</v>
      </c>
      <c r="W1121" t="s">
        <v>113</v>
      </c>
    </row>
    <row r="1122" spans="1:23" hidden="1" x14ac:dyDescent="0.25">
      <c r="A1122" s="7" t="str">
        <f>IFERROR(VLOOKUP(H1122,'Contas Orç'!A:B,2,0),"N/A")</f>
        <v>PJ-OUTROS SERVICOS CONTRATADOS-PJ</v>
      </c>
      <c r="B1122" s="7" t="str">
        <f t="shared" si="34"/>
        <v>320201006 - PJ-OUTROS SERVICOS CONTRATADOS-PJ</v>
      </c>
      <c r="C1122" s="25">
        <f t="shared" si="35"/>
        <v>44713</v>
      </c>
      <c r="D1122" s="27">
        <f>IF(K1122="CREDITO",Q1122,Q1122*-1)</f>
        <v>17688.96</v>
      </c>
      <c r="E1122" t="s">
        <v>894</v>
      </c>
      <c r="F1122" t="s">
        <v>1615</v>
      </c>
      <c r="G1122" s="8">
        <v>44713</v>
      </c>
      <c r="H1122" t="s">
        <v>144</v>
      </c>
      <c r="I1122" t="s">
        <v>68</v>
      </c>
      <c r="J1122" t="s">
        <v>69</v>
      </c>
      <c r="K1122" t="s">
        <v>29</v>
      </c>
      <c r="L1122" t="s">
        <v>895</v>
      </c>
      <c r="M1122" t="s">
        <v>4402</v>
      </c>
      <c r="O1122" t="s">
        <v>896</v>
      </c>
      <c r="P1122" t="s">
        <v>33</v>
      </c>
      <c r="Q1122" s="22">
        <v>17688.96</v>
      </c>
      <c r="R1122" t="s">
        <v>35</v>
      </c>
      <c r="S1122" t="s">
        <v>35</v>
      </c>
      <c r="T1122" t="s">
        <v>35</v>
      </c>
      <c r="U1122" t="s">
        <v>35</v>
      </c>
      <c r="V1122" t="s">
        <v>645</v>
      </c>
      <c r="W1122" t="s">
        <v>113</v>
      </c>
    </row>
    <row r="1123" spans="1:23" hidden="1" x14ac:dyDescent="0.25">
      <c r="A1123" s="7" t="str">
        <f>IFERROR(VLOOKUP(H1123,'Contas Orç'!A:B,2,0),"N/A")</f>
        <v>PJ-OUTROS SERVICOS CONTRATADOS-PJ</v>
      </c>
      <c r="B1123" s="7" t="str">
        <f t="shared" si="34"/>
        <v>320201006 - PJ-OUTROS SERVICOS CONTRATADOS-PJ</v>
      </c>
      <c r="C1123" s="25">
        <f t="shared" si="35"/>
        <v>44713</v>
      </c>
      <c r="D1123" s="27">
        <f>IF(K1123="CREDITO",Q1123,Q1123*-1)</f>
        <v>152943.89000000001</v>
      </c>
      <c r="E1123" t="s">
        <v>894</v>
      </c>
      <c r="F1123" t="s">
        <v>1616</v>
      </c>
      <c r="G1123" s="8">
        <v>44713</v>
      </c>
      <c r="H1123" t="s">
        <v>144</v>
      </c>
      <c r="I1123" t="s">
        <v>53</v>
      </c>
      <c r="J1123" t="s">
        <v>54</v>
      </c>
      <c r="K1123" t="s">
        <v>29</v>
      </c>
      <c r="L1123" t="s">
        <v>895</v>
      </c>
      <c r="M1123" t="s">
        <v>4402</v>
      </c>
      <c r="O1123" t="s">
        <v>896</v>
      </c>
      <c r="P1123" t="s">
        <v>33</v>
      </c>
      <c r="Q1123" s="22">
        <v>152943.89000000001</v>
      </c>
      <c r="R1123" t="s">
        <v>35</v>
      </c>
      <c r="S1123" t="s">
        <v>35</v>
      </c>
      <c r="T1123" t="s">
        <v>35</v>
      </c>
      <c r="U1123" t="s">
        <v>35</v>
      </c>
      <c r="V1123" t="s">
        <v>645</v>
      </c>
      <c r="W1123" t="s">
        <v>113</v>
      </c>
    </row>
    <row r="1124" spans="1:23" hidden="1" x14ac:dyDescent="0.25">
      <c r="A1124" s="7" t="str">
        <f>IFERROR(VLOOKUP(H1124,'Contas Orç'!A:B,2,0),"N/A")</f>
        <v>PJ-OUTROS SERVICOS CONTRATADOS-PJ</v>
      </c>
      <c r="B1124" s="7" t="str">
        <f t="shared" si="34"/>
        <v>320201006 - PJ-OUTROS SERVICOS CONTRATADOS-PJ</v>
      </c>
      <c r="C1124" s="25">
        <f t="shared" si="35"/>
        <v>44743</v>
      </c>
      <c r="D1124" s="27">
        <f>IF(K1124="CREDITO",Q1124,Q1124*-1)</f>
        <v>661.11</v>
      </c>
      <c r="E1124" t="s">
        <v>894</v>
      </c>
      <c r="F1124" t="s">
        <v>1617</v>
      </c>
      <c r="G1124" s="8">
        <v>44743</v>
      </c>
      <c r="H1124" t="s">
        <v>144</v>
      </c>
      <c r="I1124" t="s">
        <v>88</v>
      </c>
      <c r="J1124" t="s">
        <v>28</v>
      </c>
      <c r="K1124" t="s">
        <v>29</v>
      </c>
      <c r="L1124" t="s">
        <v>895</v>
      </c>
      <c r="M1124" t="s">
        <v>4402</v>
      </c>
      <c r="O1124" t="s">
        <v>896</v>
      </c>
      <c r="P1124" t="s">
        <v>33</v>
      </c>
      <c r="Q1124">
        <v>661.11</v>
      </c>
      <c r="R1124" t="s">
        <v>35</v>
      </c>
      <c r="S1124" t="s">
        <v>35</v>
      </c>
      <c r="T1124" t="s">
        <v>35</v>
      </c>
      <c r="U1124" t="s">
        <v>35</v>
      </c>
      <c r="V1124" t="s">
        <v>645</v>
      </c>
      <c r="W1124" t="s">
        <v>113</v>
      </c>
    </row>
    <row r="1125" spans="1:23" hidden="1" x14ac:dyDescent="0.25">
      <c r="A1125" s="7" t="str">
        <f>IFERROR(VLOOKUP(H1125,'Contas Orç'!A:B,2,0),"N/A")</f>
        <v>PJ-OUTROS SERVICOS CONTRATADOS-PJ</v>
      </c>
      <c r="B1125" s="7" t="str">
        <f t="shared" si="34"/>
        <v>320201006 - PJ-OUTROS SERVICOS CONTRATADOS-PJ</v>
      </c>
      <c r="C1125" s="25">
        <f t="shared" si="35"/>
        <v>44743</v>
      </c>
      <c r="D1125" s="27">
        <f>IF(K1125="CREDITO",Q1125,Q1125*-1)</f>
        <v>19728.36</v>
      </c>
      <c r="E1125" t="s">
        <v>894</v>
      </c>
      <c r="F1125" t="s">
        <v>1618</v>
      </c>
      <c r="G1125" s="8">
        <v>44743</v>
      </c>
      <c r="H1125" t="s">
        <v>144</v>
      </c>
      <c r="I1125" t="s">
        <v>27</v>
      </c>
      <c r="J1125" t="s">
        <v>28</v>
      </c>
      <c r="K1125" t="s">
        <v>29</v>
      </c>
      <c r="L1125" t="s">
        <v>895</v>
      </c>
      <c r="M1125" t="s">
        <v>4402</v>
      </c>
      <c r="O1125" t="s">
        <v>896</v>
      </c>
      <c r="P1125" t="s">
        <v>33</v>
      </c>
      <c r="Q1125" s="22">
        <v>19728.36</v>
      </c>
      <c r="R1125" t="s">
        <v>35</v>
      </c>
      <c r="S1125" t="s">
        <v>35</v>
      </c>
      <c r="T1125" t="s">
        <v>35</v>
      </c>
      <c r="U1125" t="s">
        <v>35</v>
      </c>
      <c r="V1125" t="s">
        <v>645</v>
      </c>
      <c r="W1125" t="s">
        <v>113</v>
      </c>
    </row>
    <row r="1126" spans="1:23" hidden="1" x14ac:dyDescent="0.25">
      <c r="A1126" s="7" t="str">
        <f>IFERROR(VLOOKUP(H1126,'Contas Orç'!A:B,2,0),"N/A")</f>
        <v>PJ-OUTROS SERVICOS CONTRATADOS-PJ</v>
      </c>
      <c r="B1126" s="7" t="str">
        <f t="shared" si="34"/>
        <v>320201006 - PJ-OUTROS SERVICOS CONTRATADOS-PJ</v>
      </c>
      <c r="C1126" s="25">
        <f t="shared" si="35"/>
        <v>44743</v>
      </c>
      <c r="D1126" s="27">
        <f>IF(K1126="CREDITO",Q1126,Q1126*-1)</f>
        <v>7507.22</v>
      </c>
      <c r="E1126" t="s">
        <v>894</v>
      </c>
      <c r="F1126" t="s">
        <v>1619</v>
      </c>
      <c r="G1126" s="8">
        <v>44743</v>
      </c>
      <c r="H1126" t="s">
        <v>144</v>
      </c>
      <c r="I1126" t="s">
        <v>106</v>
      </c>
      <c r="J1126" t="s">
        <v>60</v>
      </c>
      <c r="K1126" t="s">
        <v>29</v>
      </c>
      <c r="L1126" t="s">
        <v>895</v>
      </c>
      <c r="M1126" t="s">
        <v>4402</v>
      </c>
      <c r="O1126" t="s">
        <v>896</v>
      </c>
      <c r="P1126" t="s">
        <v>33</v>
      </c>
      <c r="Q1126" s="22">
        <v>7507.22</v>
      </c>
      <c r="R1126" t="s">
        <v>35</v>
      </c>
      <c r="S1126" t="s">
        <v>35</v>
      </c>
      <c r="T1126" t="s">
        <v>35</v>
      </c>
      <c r="U1126" t="s">
        <v>35</v>
      </c>
      <c r="V1126" t="s">
        <v>645</v>
      </c>
      <c r="W1126" t="s">
        <v>113</v>
      </c>
    </row>
    <row r="1127" spans="1:23" hidden="1" x14ac:dyDescent="0.25">
      <c r="A1127" s="7" t="str">
        <f>IFERROR(VLOOKUP(H1127,'Contas Orç'!A:B,2,0),"N/A")</f>
        <v>PJ-OUTROS SERVICOS CONTRATADOS-PJ</v>
      </c>
      <c r="B1127" s="7" t="str">
        <f t="shared" si="34"/>
        <v>320201006 - PJ-OUTROS SERVICOS CONTRATADOS-PJ</v>
      </c>
      <c r="C1127" s="25">
        <f t="shared" si="35"/>
        <v>44743</v>
      </c>
      <c r="D1127" s="27">
        <f>IF(K1127="CREDITO",Q1127,Q1127*-1)</f>
        <v>241888.04</v>
      </c>
      <c r="E1127" t="s">
        <v>894</v>
      </c>
      <c r="F1127" t="s">
        <v>1620</v>
      </c>
      <c r="G1127" s="8">
        <v>44743</v>
      </c>
      <c r="H1127" t="s">
        <v>144</v>
      </c>
      <c r="I1127" t="s">
        <v>59</v>
      </c>
      <c r="J1127" t="s">
        <v>60</v>
      </c>
      <c r="K1127" t="s">
        <v>29</v>
      </c>
      <c r="L1127" t="s">
        <v>895</v>
      </c>
      <c r="M1127" t="s">
        <v>4402</v>
      </c>
      <c r="O1127" t="s">
        <v>896</v>
      </c>
      <c r="P1127" t="s">
        <v>33</v>
      </c>
      <c r="Q1127" s="22">
        <v>241888.04</v>
      </c>
      <c r="R1127" t="s">
        <v>35</v>
      </c>
      <c r="S1127" t="s">
        <v>35</v>
      </c>
      <c r="T1127" t="s">
        <v>35</v>
      </c>
      <c r="U1127" t="s">
        <v>35</v>
      </c>
      <c r="V1127" t="s">
        <v>645</v>
      </c>
      <c r="W1127" t="s">
        <v>113</v>
      </c>
    </row>
    <row r="1128" spans="1:23" hidden="1" x14ac:dyDescent="0.25">
      <c r="A1128" s="7" t="str">
        <f>IFERROR(VLOOKUP(H1128,'Contas Orç'!A:B,2,0),"N/A")</f>
        <v>PJ-OUTROS SERVICOS CONTRATADOS-PJ</v>
      </c>
      <c r="B1128" s="7" t="str">
        <f t="shared" si="34"/>
        <v>320201006 - PJ-OUTROS SERVICOS CONTRATADOS-PJ</v>
      </c>
      <c r="C1128" s="25">
        <f t="shared" si="35"/>
        <v>44743</v>
      </c>
      <c r="D1128" s="27">
        <f>IF(K1128="CREDITO",Q1128,Q1128*-1)</f>
        <v>27225</v>
      </c>
      <c r="E1128" t="s">
        <v>894</v>
      </c>
      <c r="F1128" t="s">
        <v>1621</v>
      </c>
      <c r="G1128" s="8">
        <v>44743</v>
      </c>
      <c r="H1128" t="s">
        <v>144</v>
      </c>
      <c r="I1128" t="s">
        <v>59</v>
      </c>
      <c r="J1128" t="s">
        <v>107</v>
      </c>
      <c r="K1128" t="s">
        <v>29</v>
      </c>
      <c r="L1128" t="s">
        <v>895</v>
      </c>
      <c r="M1128" t="s">
        <v>4402</v>
      </c>
      <c r="O1128" t="s">
        <v>896</v>
      </c>
      <c r="P1128" t="s">
        <v>33</v>
      </c>
      <c r="Q1128" s="22">
        <v>27225</v>
      </c>
      <c r="R1128" t="s">
        <v>35</v>
      </c>
      <c r="S1128" t="s">
        <v>35</v>
      </c>
      <c r="T1128" t="s">
        <v>35</v>
      </c>
      <c r="U1128" t="s">
        <v>35</v>
      </c>
      <c r="V1128" t="s">
        <v>645</v>
      </c>
      <c r="W1128" t="s">
        <v>113</v>
      </c>
    </row>
    <row r="1129" spans="1:23" hidden="1" x14ac:dyDescent="0.25">
      <c r="A1129" s="7" t="str">
        <f>IFERROR(VLOOKUP(H1129,'Contas Orç'!A:B,2,0),"N/A")</f>
        <v>PJ-OUTROS SERVICOS CONTRATADOS-PJ</v>
      </c>
      <c r="B1129" s="7" t="str">
        <f t="shared" si="34"/>
        <v>320201006 - PJ-OUTROS SERVICOS CONTRATADOS-PJ</v>
      </c>
      <c r="C1129" s="25">
        <f t="shared" si="35"/>
        <v>44743</v>
      </c>
      <c r="D1129" s="27">
        <f>IF(K1129="CREDITO",Q1129,Q1129*-1)</f>
        <v>2087.25</v>
      </c>
      <c r="E1129" t="s">
        <v>894</v>
      </c>
      <c r="F1129" t="s">
        <v>1622</v>
      </c>
      <c r="G1129" s="8">
        <v>44743</v>
      </c>
      <c r="H1129" t="s">
        <v>144</v>
      </c>
      <c r="I1129" t="s">
        <v>125</v>
      </c>
      <c r="J1129" t="s">
        <v>95</v>
      </c>
      <c r="K1129" t="s">
        <v>29</v>
      </c>
      <c r="L1129" t="s">
        <v>895</v>
      </c>
      <c r="M1129" t="s">
        <v>4402</v>
      </c>
      <c r="O1129" t="s">
        <v>896</v>
      </c>
      <c r="P1129" t="s">
        <v>33</v>
      </c>
      <c r="Q1129" s="22">
        <v>2087.25</v>
      </c>
      <c r="R1129" t="s">
        <v>35</v>
      </c>
      <c r="S1129" t="s">
        <v>35</v>
      </c>
      <c r="T1129" t="s">
        <v>35</v>
      </c>
      <c r="U1129" t="s">
        <v>35</v>
      </c>
      <c r="V1129" t="s">
        <v>645</v>
      </c>
      <c r="W1129" t="s">
        <v>113</v>
      </c>
    </row>
    <row r="1130" spans="1:23" hidden="1" x14ac:dyDescent="0.25">
      <c r="A1130" s="7" t="str">
        <f>IFERROR(VLOOKUP(H1130,'Contas Orç'!A:B,2,0),"N/A")</f>
        <v>PJ-OUTROS SERVICOS CONTRATADOS-PJ</v>
      </c>
      <c r="B1130" s="7" t="str">
        <f t="shared" si="34"/>
        <v>320201006 - PJ-OUTROS SERVICOS CONTRATADOS-PJ</v>
      </c>
      <c r="C1130" s="25">
        <f t="shared" si="35"/>
        <v>44743</v>
      </c>
      <c r="D1130" s="27">
        <f>IF(K1130="CREDITO",Q1130,Q1130*-1)</f>
        <v>63434.25</v>
      </c>
      <c r="E1130" t="s">
        <v>894</v>
      </c>
      <c r="F1130" t="s">
        <v>1623</v>
      </c>
      <c r="G1130" s="8">
        <v>44743</v>
      </c>
      <c r="H1130" t="s">
        <v>144</v>
      </c>
      <c r="I1130" t="s">
        <v>59</v>
      </c>
      <c r="J1130" t="s">
        <v>1624</v>
      </c>
      <c r="K1130" t="s">
        <v>29</v>
      </c>
      <c r="L1130" t="s">
        <v>895</v>
      </c>
      <c r="M1130" t="s">
        <v>4402</v>
      </c>
      <c r="O1130" t="s">
        <v>896</v>
      </c>
      <c r="P1130" t="s">
        <v>33</v>
      </c>
      <c r="Q1130" s="22">
        <v>63434.25</v>
      </c>
      <c r="R1130" t="s">
        <v>35</v>
      </c>
      <c r="S1130" t="s">
        <v>35</v>
      </c>
      <c r="T1130" t="s">
        <v>35</v>
      </c>
      <c r="U1130" t="s">
        <v>35</v>
      </c>
      <c r="V1130" t="s">
        <v>645</v>
      </c>
      <c r="W1130" t="s">
        <v>113</v>
      </c>
    </row>
    <row r="1131" spans="1:23" hidden="1" x14ac:dyDescent="0.25">
      <c r="A1131" s="7" t="str">
        <f>IFERROR(VLOOKUP(H1131,'Contas Orç'!A:B,2,0),"N/A")</f>
        <v>PJ-OUTROS SERVICOS CONTRATADOS-PJ</v>
      </c>
      <c r="B1131" s="7" t="str">
        <f t="shared" si="34"/>
        <v>320201006 - PJ-OUTROS SERVICOS CONTRATADOS-PJ</v>
      </c>
      <c r="C1131" s="25">
        <f t="shared" si="35"/>
        <v>44743</v>
      </c>
      <c r="D1131" s="27">
        <f>IF(K1131="CREDITO",Q1131,Q1131*-1)</f>
        <v>200</v>
      </c>
      <c r="E1131" t="s">
        <v>894</v>
      </c>
      <c r="F1131" t="s">
        <v>1625</v>
      </c>
      <c r="G1131" s="8">
        <v>44743</v>
      </c>
      <c r="H1131" t="s">
        <v>144</v>
      </c>
      <c r="I1131" t="s">
        <v>40</v>
      </c>
      <c r="J1131" t="s">
        <v>54</v>
      </c>
      <c r="K1131" t="s">
        <v>29</v>
      </c>
      <c r="L1131" t="s">
        <v>895</v>
      </c>
      <c r="M1131" t="s">
        <v>4402</v>
      </c>
      <c r="O1131" t="s">
        <v>896</v>
      </c>
      <c r="P1131" t="s">
        <v>33</v>
      </c>
      <c r="Q1131">
        <v>200</v>
      </c>
      <c r="R1131" t="s">
        <v>35</v>
      </c>
      <c r="S1131" t="s">
        <v>35</v>
      </c>
      <c r="T1131" t="s">
        <v>35</v>
      </c>
      <c r="U1131" t="s">
        <v>35</v>
      </c>
      <c r="V1131" t="s">
        <v>645</v>
      </c>
      <c r="W1131" t="s">
        <v>113</v>
      </c>
    </row>
    <row r="1132" spans="1:23" hidden="1" x14ac:dyDescent="0.25">
      <c r="A1132" s="7" t="str">
        <f>IFERROR(VLOOKUP(H1132,'Contas Orç'!A:B,2,0),"N/A")</f>
        <v>PJ-OUTROS SERVICOS CONTRATADOS-PJ</v>
      </c>
      <c r="B1132" s="7" t="str">
        <f t="shared" si="34"/>
        <v>320201006 - PJ-OUTROS SERVICOS CONTRATADOS-PJ</v>
      </c>
      <c r="C1132" s="25">
        <f t="shared" si="35"/>
        <v>44743</v>
      </c>
      <c r="D1132" s="27">
        <f>IF(K1132="CREDITO",Q1132,Q1132*-1)</f>
        <v>133947</v>
      </c>
      <c r="E1132" t="s">
        <v>894</v>
      </c>
      <c r="F1132" t="s">
        <v>1626</v>
      </c>
      <c r="G1132" s="8">
        <v>44743</v>
      </c>
      <c r="H1132" t="s">
        <v>144</v>
      </c>
      <c r="I1132" t="s">
        <v>53</v>
      </c>
      <c r="J1132" t="s">
        <v>54</v>
      </c>
      <c r="K1132" t="s">
        <v>29</v>
      </c>
      <c r="L1132" t="s">
        <v>895</v>
      </c>
      <c r="M1132" t="s">
        <v>4402</v>
      </c>
      <c r="O1132" t="s">
        <v>896</v>
      </c>
      <c r="P1132" t="s">
        <v>33</v>
      </c>
      <c r="Q1132" s="22">
        <v>133947</v>
      </c>
      <c r="R1132" t="s">
        <v>35</v>
      </c>
      <c r="S1132" t="s">
        <v>35</v>
      </c>
      <c r="T1132" t="s">
        <v>35</v>
      </c>
      <c r="U1132" t="s">
        <v>35</v>
      </c>
      <c r="V1132" t="s">
        <v>645</v>
      </c>
      <c r="W1132" t="s">
        <v>113</v>
      </c>
    </row>
    <row r="1133" spans="1:23" hidden="1" x14ac:dyDescent="0.25">
      <c r="A1133" s="7" t="str">
        <f>IFERROR(VLOOKUP(H1133,'Contas Orç'!A:B,2,0),"N/A")</f>
        <v>PJ-OUTROS SERVICOS CONTRATADOS-PJ</v>
      </c>
      <c r="B1133" s="7" t="str">
        <f t="shared" si="34"/>
        <v>320201006 - PJ-OUTROS SERVICOS CONTRATADOS-PJ</v>
      </c>
      <c r="C1133" s="25">
        <f t="shared" si="35"/>
        <v>44774</v>
      </c>
      <c r="D1133" s="27">
        <f>IF(K1133="CREDITO",Q1133,Q1133*-1)</f>
        <v>22722.16</v>
      </c>
      <c r="E1133" t="s">
        <v>894</v>
      </c>
      <c r="F1133" t="s">
        <v>1627</v>
      </c>
      <c r="G1133" s="8">
        <v>44774</v>
      </c>
      <c r="H1133" t="s">
        <v>144</v>
      </c>
      <c r="I1133" t="s">
        <v>27</v>
      </c>
      <c r="J1133" t="s">
        <v>28</v>
      </c>
      <c r="K1133" t="s">
        <v>29</v>
      </c>
      <c r="L1133" t="s">
        <v>895</v>
      </c>
      <c r="M1133" t="s">
        <v>4402</v>
      </c>
      <c r="O1133" t="s">
        <v>896</v>
      </c>
      <c r="P1133" t="s">
        <v>33</v>
      </c>
      <c r="Q1133" s="22">
        <v>22722.16</v>
      </c>
      <c r="R1133" t="s">
        <v>35</v>
      </c>
      <c r="S1133" t="s">
        <v>35</v>
      </c>
      <c r="T1133" t="s">
        <v>35</v>
      </c>
      <c r="U1133" t="s">
        <v>35</v>
      </c>
      <c r="V1133" t="s">
        <v>645</v>
      </c>
      <c r="W1133" t="s">
        <v>113</v>
      </c>
    </row>
    <row r="1134" spans="1:23" hidden="1" x14ac:dyDescent="0.25">
      <c r="A1134" s="7" t="str">
        <f>IFERROR(VLOOKUP(H1134,'Contas Orç'!A:B,2,0),"N/A")</f>
        <v>PJ-OUTROS SERVICOS CONTRATADOS-PJ</v>
      </c>
      <c r="B1134" s="7" t="str">
        <f t="shared" si="34"/>
        <v>320201006 - PJ-OUTROS SERVICOS CONTRATADOS-PJ</v>
      </c>
      <c r="C1134" s="25">
        <f t="shared" si="35"/>
        <v>44774</v>
      </c>
      <c r="D1134" s="27">
        <f>IF(K1134="CREDITO",Q1134,Q1134*-1)</f>
        <v>13504.87</v>
      </c>
      <c r="E1134" t="s">
        <v>894</v>
      </c>
      <c r="F1134" t="s">
        <v>1628</v>
      </c>
      <c r="G1134" s="8">
        <v>44774</v>
      </c>
      <c r="H1134" t="s">
        <v>144</v>
      </c>
      <c r="I1134" t="s">
        <v>106</v>
      </c>
      <c r="J1134" t="s">
        <v>60</v>
      </c>
      <c r="K1134" t="s">
        <v>29</v>
      </c>
      <c r="L1134" t="s">
        <v>895</v>
      </c>
      <c r="M1134" t="s">
        <v>4402</v>
      </c>
      <c r="O1134" t="s">
        <v>896</v>
      </c>
      <c r="P1134" t="s">
        <v>33</v>
      </c>
      <c r="Q1134" s="22">
        <v>13504.87</v>
      </c>
      <c r="R1134" t="s">
        <v>35</v>
      </c>
      <c r="S1134" t="s">
        <v>35</v>
      </c>
      <c r="T1134" t="s">
        <v>35</v>
      </c>
      <c r="U1134" t="s">
        <v>35</v>
      </c>
      <c r="V1134" t="s">
        <v>645</v>
      </c>
      <c r="W1134" t="s">
        <v>113</v>
      </c>
    </row>
    <row r="1135" spans="1:23" hidden="1" x14ac:dyDescent="0.25">
      <c r="A1135" s="7" t="str">
        <f>IFERROR(VLOOKUP(H1135,'Contas Orç'!A:B,2,0),"N/A")</f>
        <v>PJ-OUTROS SERVICOS CONTRATADOS-PJ</v>
      </c>
      <c r="B1135" s="7" t="str">
        <f t="shared" si="34"/>
        <v>320201006 - PJ-OUTROS SERVICOS CONTRATADOS-PJ</v>
      </c>
      <c r="C1135" s="25">
        <f t="shared" si="35"/>
        <v>44774</v>
      </c>
      <c r="D1135" s="27">
        <f>IF(K1135="CREDITO",Q1135,Q1135*-1)</f>
        <v>241729.21</v>
      </c>
      <c r="E1135" t="s">
        <v>894</v>
      </c>
      <c r="F1135" t="s">
        <v>1629</v>
      </c>
      <c r="G1135" s="8">
        <v>44774</v>
      </c>
      <c r="H1135" t="s">
        <v>144</v>
      </c>
      <c r="I1135" t="s">
        <v>59</v>
      </c>
      <c r="J1135" t="s">
        <v>60</v>
      </c>
      <c r="K1135" t="s">
        <v>29</v>
      </c>
      <c r="L1135" t="s">
        <v>895</v>
      </c>
      <c r="M1135" t="s">
        <v>4402</v>
      </c>
      <c r="O1135" t="s">
        <v>896</v>
      </c>
      <c r="P1135" t="s">
        <v>33</v>
      </c>
      <c r="Q1135" s="22">
        <v>241729.21</v>
      </c>
      <c r="R1135" t="s">
        <v>35</v>
      </c>
      <c r="S1135" t="s">
        <v>35</v>
      </c>
      <c r="T1135" t="s">
        <v>35</v>
      </c>
      <c r="U1135" t="s">
        <v>35</v>
      </c>
      <c r="V1135" t="s">
        <v>645</v>
      </c>
      <c r="W1135" t="s">
        <v>113</v>
      </c>
    </row>
    <row r="1136" spans="1:23" hidden="1" x14ac:dyDescent="0.25">
      <c r="A1136" s="7" t="str">
        <f>IFERROR(VLOOKUP(H1136,'Contas Orç'!A:B,2,0),"N/A")</f>
        <v>PJ-OUTROS SERVICOS CONTRATADOS-PJ</v>
      </c>
      <c r="B1136" s="7" t="str">
        <f t="shared" si="34"/>
        <v>320201006 - PJ-OUTROS SERVICOS CONTRATADOS-PJ</v>
      </c>
      <c r="C1136" s="25">
        <f t="shared" si="35"/>
        <v>44774</v>
      </c>
      <c r="D1136" s="27">
        <f>IF(K1136="CREDITO",Q1136,Q1136*-1)</f>
        <v>3471.19</v>
      </c>
      <c r="E1136" t="s">
        <v>894</v>
      </c>
      <c r="F1136" t="s">
        <v>1630</v>
      </c>
      <c r="G1136" s="8">
        <v>44774</v>
      </c>
      <c r="H1136" t="s">
        <v>144</v>
      </c>
      <c r="I1136" t="s">
        <v>125</v>
      </c>
      <c r="J1136" t="s">
        <v>95</v>
      </c>
      <c r="K1136" t="s">
        <v>29</v>
      </c>
      <c r="L1136" t="s">
        <v>895</v>
      </c>
      <c r="M1136" t="s">
        <v>4402</v>
      </c>
      <c r="O1136" t="s">
        <v>896</v>
      </c>
      <c r="P1136" t="s">
        <v>33</v>
      </c>
      <c r="Q1136" s="22">
        <v>3471.19</v>
      </c>
      <c r="R1136" t="s">
        <v>35</v>
      </c>
      <c r="S1136" t="s">
        <v>35</v>
      </c>
      <c r="T1136" t="s">
        <v>35</v>
      </c>
      <c r="U1136" t="s">
        <v>35</v>
      </c>
      <c r="V1136" t="s">
        <v>645</v>
      </c>
      <c r="W1136" t="s">
        <v>113</v>
      </c>
    </row>
    <row r="1137" spans="1:23" hidden="1" x14ac:dyDescent="0.25">
      <c r="A1137" s="7" t="str">
        <f>IFERROR(VLOOKUP(H1137,'Contas Orç'!A:B,2,0),"N/A")</f>
        <v>PJ-OUTROS SERVICOS CONTRATADOS-PJ</v>
      </c>
      <c r="B1137" s="7" t="str">
        <f t="shared" si="34"/>
        <v>320201006 - PJ-OUTROS SERVICOS CONTRATADOS-PJ</v>
      </c>
      <c r="C1137" s="25">
        <f t="shared" si="35"/>
        <v>44774</v>
      </c>
      <c r="D1137" s="27">
        <f>IF(K1137="CREDITO",Q1137,Q1137*-1)</f>
        <v>98434.25</v>
      </c>
      <c r="E1137" t="s">
        <v>894</v>
      </c>
      <c r="F1137" t="s">
        <v>1631</v>
      </c>
      <c r="G1137" s="8">
        <v>44774</v>
      </c>
      <c r="H1137" t="s">
        <v>144</v>
      </c>
      <c r="I1137" t="s">
        <v>59</v>
      </c>
      <c r="J1137" t="s">
        <v>1624</v>
      </c>
      <c r="K1137" t="s">
        <v>29</v>
      </c>
      <c r="L1137" t="s">
        <v>895</v>
      </c>
      <c r="M1137" t="s">
        <v>4402</v>
      </c>
      <c r="O1137" t="s">
        <v>896</v>
      </c>
      <c r="P1137" t="s">
        <v>33</v>
      </c>
      <c r="Q1137" s="22">
        <v>98434.25</v>
      </c>
      <c r="R1137" t="s">
        <v>35</v>
      </c>
      <c r="S1137" t="s">
        <v>35</v>
      </c>
      <c r="T1137" t="s">
        <v>35</v>
      </c>
      <c r="U1137" t="s">
        <v>35</v>
      </c>
      <c r="V1137" t="s">
        <v>645</v>
      </c>
      <c r="W1137" t="s">
        <v>113</v>
      </c>
    </row>
    <row r="1138" spans="1:23" hidden="1" x14ac:dyDescent="0.25">
      <c r="A1138" s="7" t="str">
        <f>IFERROR(VLOOKUP(H1138,'Contas Orç'!A:B,2,0),"N/A")</f>
        <v>PJ-OUTROS SERVICOS CONTRATADOS-PJ</v>
      </c>
      <c r="B1138" s="7" t="str">
        <f t="shared" si="34"/>
        <v>320201006 - PJ-OUTROS SERVICOS CONTRATADOS-PJ</v>
      </c>
      <c r="C1138" s="25">
        <f t="shared" si="35"/>
        <v>44774</v>
      </c>
      <c r="D1138" s="27">
        <f>IF(K1138="CREDITO",Q1138,Q1138*-1)</f>
        <v>127917.69</v>
      </c>
      <c r="E1138" t="s">
        <v>894</v>
      </c>
      <c r="F1138" t="s">
        <v>1632</v>
      </c>
      <c r="G1138" s="8">
        <v>44774</v>
      </c>
      <c r="H1138" t="s">
        <v>144</v>
      </c>
      <c r="I1138" t="s">
        <v>53</v>
      </c>
      <c r="J1138" t="s">
        <v>54</v>
      </c>
      <c r="K1138" t="s">
        <v>29</v>
      </c>
      <c r="L1138" t="s">
        <v>895</v>
      </c>
      <c r="M1138" t="s">
        <v>4402</v>
      </c>
      <c r="O1138" t="s">
        <v>896</v>
      </c>
      <c r="P1138" t="s">
        <v>33</v>
      </c>
      <c r="Q1138" s="22">
        <v>127917.69</v>
      </c>
      <c r="R1138" t="s">
        <v>35</v>
      </c>
      <c r="S1138" t="s">
        <v>35</v>
      </c>
      <c r="T1138" t="s">
        <v>35</v>
      </c>
      <c r="U1138" t="s">
        <v>35</v>
      </c>
      <c r="V1138" t="s">
        <v>645</v>
      </c>
      <c r="W1138" t="s">
        <v>113</v>
      </c>
    </row>
    <row r="1139" spans="1:23" hidden="1" x14ac:dyDescent="0.25">
      <c r="A1139" s="7" t="str">
        <f>IFERROR(VLOOKUP(H1139,'Contas Orç'!A:B,2,0),"N/A")</f>
        <v>PJ-OUTROS SERVICOS CONTRATADOS-PJ</v>
      </c>
      <c r="B1139" s="7" t="str">
        <f t="shared" si="34"/>
        <v>320201006 - PJ-OUTROS SERVICOS CONTRATADOS-PJ</v>
      </c>
      <c r="C1139" s="25">
        <f t="shared" si="35"/>
        <v>44805</v>
      </c>
      <c r="D1139" s="27">
        <f>IF(K1139="CREDITO",Q1139,Q1139*-1)</f>
        <v>45.37</v>
      </c>
      <c r="E1139" t="s">
        <v>894</v>
      </c>
      <c r="F1139" t="s">
        <v>1633</v>
      </c>
      <c r="G1139" s="8">
        <v>44805</v>
      </c>
      <c r="H1139" t="s">
        <v>144</v>
      </c>
      <c r="I1139" t="s">
        <v>88</v>
      </c>
      <c r="J1139" t="s">
        <v>28</v>
      </c>
      <c r="K1139" t="s">
        <v>29</v>
      </c>
      <c r="L1139" t="s">
        <v>895</v>
      </c>
      <c r="M1139" t="s">
        <v>4402</v>
      </c>
      <c r="O1139" t="s">
        <v>896</v>
      </c>
      <c r="P1139" t="s">
        <v>33</v>
      </c>
      <c r="Q1139">
        <v>45.37</v>
      </c>
      <c r="R1139" t="s">
        <v>35</v>
      </c>
      <c r="S1139" t="s">
        <v>35</v>
      </c>
      <c r="T1139" t="s">
        <v>35</v>
      </c>
      <c r="U1139" t="s">
        <v>35</v>
      </c>
      <c r="V1139" t="s">
        <v>645</v>
      </c>
      <c r="W1139" t="s">
        <v>113</v>
      </c>
    </row>
    <row r="1140" spans="1:23" hidden="1" x14ac:dyDescent="0.25">
      <c r="A1140" s="7" t="str">
        <f>IFERROR(VLOOKUP(H1140,'Contas Orç'!A:B,2,0),"N/A")</f>
        <v>PJ-OUTROS SERVICOS CONTRATADOS-PJ</v>
      </c>
      <c r="B1140" s="7" t="str">
        <f t="shared" si="34"/>
        <v>320201006 - PJ-OUTROS SERVICOS CONTRATADOS-PJ</v>
      </c>
      <c r="C1140" s="25">
        <f t="shared" si="35"/>
        <v>44805</v>
      </c>
      <c r="D1140" s="27">
        <f>IF(K1140="CREDITO",Q1140,Q1140*-1)</f>
        <v>2857.26</v>
      </c>
      <c r="E1140" t="s">
        <v>894</v>
      </c>
      <c r="F1140" t="s">
        <v>1634</v>
      </c>
      <c r="G1140" s="8">
        <v>44805</v>
      </c>
      <c r="H1140" t="s">
        <v>144</v>
      </c>
      <c r="I1140" t="s">
        <v>27</v>
      </c>
      <c r="J1140" t="s">
        <v>28</v>
      </c>
      <c r="K1140" t="s">
        <v>29</v>
      </c>
      <c r="L1140" t="s">
        <v>895</v>
      </c>
      <c r="M1140" t="s">
        <v>4402</v>
      </c>
      <c r="O1140" t="s">
        <v>896</v>
      </c>
      <c r="P1140" t="s">
        <v>33</v>
      </c>
      <c r="Q1140" s="22">
        <v>2857.26</v>
      </c>
      <c r="R1140" t="s">
        <v>35</v>
      </c>
      <c r="S1140" t="s">
        <v>35</v>
      </c>
      <c r="T1140" t="s">
        <v>35</v>
      </c>
      <c r="U1140" t="s">
        <v>35</v>
      </c>
      <c r="V1140" t="s">
        <v>645</v>
      </c>
      <c r="W1140" t="s">
        <v>113</v>
      </c>
    </row>
    <row r="1141" spans="1:23" hidden="1" x14ac:dyDescent="0.25">
      <c r="A1141" s="7" t="str">
        <f>IFERROR(VLOOKUP(H1141,'Contas Orç'!A:B,2,0),"N/A")</f>
        <v>PJ-OUTROS SERVICOS CONTRATADOS-PJ</v>
      </c>
      <c r="B1141" s="7" t="str">
        <f t="shared" si="34"/>
        <v>320201006 - PJ-OUTROS SERVICOS CONTRATADOS-PJ</v>
      </c>
      <c r="C1141" s="25">
        <f t="shared" si="35"/>
        <v>44805</v>
      </c>
      <c r="D1141" s="27">
        <f>IF(K1141="CREDITO",Q1141,Q1141*-1)</f>
        <v>246932.66</v>
      </c>
      <c r="E1141" t="s">
        <v>894</v>
      </c>
      <c r="F1141" t="s">
        <v>1635</v>
      </c>
      <c r="G1141" s="8">
        <v>44805</v>
      </c>
      <c r="H1141" t="s">
        <v>144</v>
      </c>
      <c r="I1141" t="s">
        <v>59</v>
      </c>
      <c r="J1141" t="s">
        <v>60</v>
      </c>
      <c r="K1141" t="s">
        <v>29</v>
      </c>
      <c r="L1141" t="s">
        <v>895</v>
      </c>
      <c r="M1141" t="s">
        <v>4402</v>
      </c>
      <c r="O1141" t="s">
        <v>896</v>
      </c>
      <c r="P1141" t="s">
        <v>33</v>
      </c>
      <c r="Q1141" s="22">
        <v>246932.66</v>
      </c>
      <c r="R1141" t="s">
        <v>35</v>
      </c>
      <c r="S1141" t="s">
        <v>35</v>
      </c>
      <c r="T1141" t="s">
        <v>35</v>
      </c>
      <c r="U1141" t="s">
        <v>35</v>
      </c>
      <c r="V1141" t="s">
        <v>645</v>
      </c>
      <c r="W1141" t="s">
        <v>113</v>
      </c>
    </row>
    <row r="1142" spans="1:23" hidden="1" x14ac:dyDescent="0.25">
      <c r="A1142" s="7" t="str">
        <f>IFERROR(VLOOKUP(H1142,'Contas Orç'!A:B,2,0),"N/A")</f>
        <v>PJ-OUTROS SERVICOS CONTRATADOS-PJ</v>
      </c>
      <c r="B1142" s="7" t="str">
        <f t="shared" si="34"/>
        <v>320201006 - PJ-OUTROS SERVICOS CONTRATADOS-PJ</v>
      </c>
      <c r="C1142" s="25">
        <f t="shared" si="35"/>
        <v>44805</v>
      </c>
      <c r="D1142" s="27">
        <f>IF(K1142="CREDITO",Q1142,Q1142*-1)</f>
        <v>578121.80000000005</v>
      </c>
      <c r="E1142" t="s">
        <v>894</v>
      </c>
      <c r="F1142" t="s">
        <v>1636</v>
      </c>
      <c r="G1142" s="8">
        <v>44805</v>
      </c>
      <c r="H1142" t="s">
        <v>144</v>
      </c>
      <c r="I1142" t="s">
        <v>59</v>
      </c>
      <c r="J1142" t="s">
        <v>107</v>
      </c>
      <c r="K1142" t="s">
        <v>29</v>
      </c>
      <c r="L1142" t="s">
        <v>895</v>
      </c>
      <c r="M1142" t="s">
        <v>4402</v>
      </c>
      <c r="O1142" t="s">
        <v>896</v>
      </c>
      <c r="P1142" t="s">
        <v>33</v>
      </c>
      <c r="Q1142" s="22">
        <v>578121.80000000005</v>
      </c>
      <c r="R1142" t="s">
        <v>35</v>
      </c>
      <c r="S1142" t="s">
        <v>35</v>
      </c>
      <c r="T1142" t="s">
        <v>35</v>
      </c>
      <c r="U1142" t="s">
        <v>35</v>
      </c>
      <c r="V1142" t="s">
        <v>645</v>
      </c>
      <c r="W1142" t="s">
        <v>113</v>
      </c>
    </row>
    <row r="1143" spans="1:23" hidden="1" x14ac:dyDescent="0.25">
      <c r="A1143" s="7" t="str">
        <f>IFERROR(VLOOKUP(H1143,'Contas Orç'!A:B,2,0),"N/A")</f>
        <v>PJ-OUTROS SERVICOS CONTRATADOS-PJ</v>
      </c>
      <c r="B1143" s="7" t="str">
        <f t="shared" si="34"/>
        <v>320201006 - PJ-OUTROS SERVICOS CONTRATADOS-PJ</v>
      </c>
      <c r="C1143" s="25">
        <f t="shared" si="35"/>
        <v>44805</v>
      </c>
      <c r="D1143" s="27">
        <f>IF(K1143="CREDITO",Q1143,Q1143*-1)</f>
        <v>4245.28</v>
      </c>
      <c r="E1143" t="s">
        <v>894</v>
      </c>
      <c r="F1143" t="s">
        <v>1637</v>
      </c>
      <c r="G1143" s="8">
        <v>44805</v>
      </c>
      <c r="H1143" t="s">
        <v>144</v>
      </c>
      <c r="I1143" t="s">
        <v>125</v>
      </c>
      <c r="J1143" t="s">
        <v>95</v>
      </c>
      <c r="K1143" t="s">
        <v>29</v>
      </c>
      <c r="L1143" t="s">
        <v>895</v>
      </c>
      <c r="M1143" t="s">
        <v>4402</v>
      </c>
      <c r="O1143" t="s">
        <v>896</v>
      </c>
      <c r="P1143" t="s">
        <v>33</v>
      </c>
      <c r="Q1143" s="22">
        <v>4245.28</v>
      </c>
      <c r="R1143" t="s">
        <v>35</v>
      </c>
      <c r="S1143" t="s">
        <v>35</v>
      </c>
      <c r="T1143" t="s">
        <v>35</v>
      </c>
      <c r="U1143" t="s">
        <v>35</v>
      </c>
      <c r="V1143" t="s">
        <v>645</v>
      </c>
      <c r="W1143" t="s">
        <v>113</v>
      </c>
    </row>
    <row r="1144" spans="1:23" hidden="1" x14ac:dyDescent="0.25">
      <c r="A1144" s="7" t="str">
        <f>IFERROR(VLOOKUP(H1144,'Contas Orç'!A:B,2,0),"N/A")</f>
        <v>PJ-OUTROS SERVICOS CONTRATADOS-PJ</v>
      </c>
      <c r="B1144" s="7" t="str">
        <f t="shared" si="34"/>
        <v>320201006 - PJ-OUTROS SERVICOS CONTRATADOS-PJ</v>
      </c>
      <c r="C1144" s="25">
        <f t="shared" si="35"/>
        <v>44805</v>
      </c>
      <c r="D1144" s="27">
        <f>IF(K1144="CREDITO",Q1144,Q1144*-1)</f>
        <v>63434.25</v>
      </c>
      <c r="E1144" t="s">
        <v>894</v>
      </c>
      <c r="F1144" t="s">
        <v>1638</v>
      </c>
      <c r="G1144" s="8">
        <v>44805</v>
      </c>
      <c r="H1144" t="s">
        <v>144</v>
      </c>
      <c r="I1144" t="s">
        <v>59</v>
      </c>
      <c r="J1144" t="s">
        <v>1624</v>
      </c>
      <c r="K1144" t="s">
        <v>29</v>
      </c>
      <c r="L1144" t="s">
        <v>895</v>
      </c>
      <c r="M1144" t="s">
        <v>4402</v>
      </c>
      <c r="O1144" t="s">
        <v>896</v>
      </c>
      <c r="P1144" t="s">
        <v>33</v>
      </c>
      <c r="Q1144" s="22">
        <v>63434.25</v>
      </c>
      <c r="R1144" t="s">
        <v>35</v>
      </c>
      <c r="S1144" t="s">
        <v>35</v>
      </c>
      <c r="T1144" t="s">
        <v>35</v>
      </c>
      <c r="U1144" t="s">
        <v>35</v>
      </c>
      <c r="V1144" t="s">
        <v>645</v>
      </c>
      <c r="W1144" t="s">
        <v>113</v>
      </c>
    </row>
    <row r="1145" spans="1:23" hidden="1" x14ac:dyDescent="0.25">
      <c r="A1145" s="7" t="str">
        <f>IFERROR(VLOOKUP(H1145,'Contas Orç'!A:B,2,0),"N/A")</f>
        <v>PJ-OUTROS SERVICOS CONTRATADOS-PJ</v>
      </c>
      <c r="B1145" s="7" t="str">
        <f t="shared" si="34"/>
        <v>320201006 - PJ-OUTROS SERVICOS CONTRATADOS-PJ</v>
      </c>
      <c r="C1145" s="25">
        <f t="shared" si="35"/>
        <v>44805</v>
      </c>
      <c r="D1145" s="27">
        <f>IF(K1145="CREDITO",Q1145,Q1145*-1)</f>
        <v>144433.97</v>
      </c>
      <c r="E1145" t="s">
        <v>894</v>
      </c>
      <c r="F1145" t="s">
        <v>1639</v>
      </c>
      <c r="G1145" s="8">
        <v>44805</v>
      </c>
      <c r="H1145" t="s">
        <v>144</v>
      </c>
      <c r="I1145" t="s">
        <v>53</v>
      </c>
      <c r="J1145" t="s">
        <v>54</v>
      </c>
      <c r="K1145" t="s">
        <v>29</v>
      </c>
      <c r="L1145" t="s">
        <v>895</v>
      </c>
      <c r="M1145" t="s">
        <v>4402</v>
      </c>
      <c r="O1145" t="s">
        <v>896</v>
      </c>
      <c r="P1145" t="s">
        <v>33</v>
      </c>
      <c r="Q1145" s="22">
        <v>144433.97</v>
      </c>
      <c r="R1145" t="s">
        <v>35</v>
      </c>
      <c r="S1145" t="s">
        <v>35</v>
      </c>
      <c r="T1145" t="s">
        <v>35</v>
      </c>
      <c r="U1145" t="s">
        <v>35</v>
      </c>
      <c r="V1145" t="s">
        <v>645</v>
      </c>
      <c r="W1145" t="s">
        <v>113</v>
      </c>
    </row>
    <row r="1146" spans="1:23" hidden="1" x14ac:dyDescent="0.25">
      <c r="A1146" s="7" t="str">
        <f>IFERROR(VLOOKUP(H1146,'Contas Orç'!A:B,2,0),"N/A")</f>
        <v>PJ-OUTROS SERVICOS CONTRATADOS-PJ</v>
      </c>
      <c r="B1146" s="7" t="str">
        <f t="shared" si="34"/>
        <v>320201006 - PJ-OUTROS SERVICOS CONTRATADOS-PJ</v>
      </c>
      <c r="C1146" s="25">
        <f t="shared" si="35"/>
        <v>44805</v>
      </c>
      <c r="D1146" s="27">
        <f>IF(K1146="CREDITO",Q1146,Q1146*-1)</f>
        <v>150</v>
      </c>
      <c r="E1146" t="s">
        <v>894</v>
      </c>
      <c r="F1146" t="s">
        <v>1640</v>
      </c>
      <c r="G1146" s="8">
        <v>44805</v>
      </c>
      <c r="H1146" t="s">
        <v>144</v>
      </c>
      <c r="I1146" t="s">
        <v>88</v>
      </c>
      <c r="J1146" t="s">
        <v>54</v>
      </c>
      <c r="K1146" t="s">
        <v>29</v>
      </c>
      <c r="L1146" t="s">
        <v>895</v>
      </c>
      <c r="M1146" t="s">
        <v>4402</v>
      </c>
      <c r="O1146" t="s">
        <v>896</v>
      </c>
      <c r="P1146" t="s">
        <v>33</v>
      </c>
      <c r="Q1146">
        <v>150</v>
      </c>
      <c r="R1146" t="s">
        <v>35</v>
      </c>
      <c r="S1146" t="s">
        <v>35</v>
      </c>
      <c r="T1146" t="s">
        <v>35</v>
      </c>
      <c r="U1146" t="s">
        <v>35</v>
      </c>
      <c r="V1146" t="s">
        <v>645</v>
      </c>
      <c r="W1146" t="s">
        <v>113</v>
      </c>
    </row>
    <row r="1147" spans="1:23" hidden="1" x14ac:dyDescent="0.25">
      <c r="A1147" s="7" t="str">
        <f>IFERROR(VLOOKUP(H1147,'Contas Orç'!A:B,2,0),"N/A")</f>
        <v>PJ-OUTROS SERVICOS CONTRATADOS-PJ</v>
      </c>
      <c r="B1147" s="7" t="str">
        <f t="shared" si="34"/>
        <v>320201006 - PJ-OUTROS SERVICOS CONTRATADOS-PJ</v>
      </c>
      <c r="C1147" s="25">
        <f t="shared" si="35"/>
        <v>44835</v>
      </c>
      <c r="D1147" s="27">
        <f>IF(K1147="CREDITO",Q1147,Q1147*-1)</f>
        <v>45.82</v>
      </c>
      <c r="E1147" t="s">
        <v>894</v>
      </c>
      <c r="F1147" t="s">
        <v>1641</v>
      </c>
      <c r="G1147" s="8">
        <v>44835</v>
      </c>
      <c r="H1147" t="s">
        <v>144</v>
      </c>
      <c r="I1147" t="s">
        <v>88</v>
      </c>
      <c r="J1147" t="s">
        <v>28</v>
      </c>
      <c r="K1147" t="s">
        <v>29</v>
      </c>
      <c r="L1147" t="s">
        <v>895</v>
      </c>
      <c r="M1147" t="s">
        <v>4402</v>
      </c>
      <c r="O1147" t="s">
        <v>896</v>
      </c>
      <c r="P1147" t="s">
        <v>33</v>
      </c>
      <c r="Q1147">
        <v>45.82</v>
      </c>
      <c r="R1147" t="s">
        <v>35</v>
      </c>
      <c r="S1147" t="s">
        <v>35</v>
      </c>
      <c r="T1147" t="s">
        <v>35</v>
      </c>
      <c r="U1147" t="s">
        <v>35</v>
      </c>
      <c r="V1147" t="s">
        <v>645</v>
      </c>
      <c r="W1147" t="s">
        <v>113</v>
      </c>
    </row>
    <row r="1148" spans="1:23" hidden="1" x14ac:dyDescent="0.25">
      <c r="A1148" s="7" t="str">
        <f>IFERROR(VLOOKUP(H1148,'Contas Orç'!A:B,2,0),"N/A")</f>
        <v>PJ-OUTROS SERVICOS CONTRATADOS-PJ</v>
      </c>
      <c r="B1148" s="7" t="str">
        <f t="shared" si="34"/>
        <v>320201006 - PJ-OUTROS SERVICOS CONTRATADOS-PJ</v>
      </c>
      <c r="C1148" s="25">
        <f t="shared" si="35"/>
        <v>44835</v>
      </c>
      <c r="D1148" s="27">
        <f>IF(K1148="CREDITO",Q1148,Q1148*-1)</f>
        <v>2885.83</v>
      </c>
      <c r="E1148" t="s">
        <v>894</v>
      </c>
      <c r="F1148" t="s">
        <v>1642</v>
      </c>
      <c r="G1148" s="8">
        <v>44835</v>
      </c>
      <c r="H1148" t="s">
        <v>144</v>
      </c>
      <c r="I1148" t="s">
        <v>27</v>
      </c>
      <c r="J1148" t="s">
        <v>28</v>
      </c>
      <c r="K1148" t="s">
        <v>29</v>
      </c>
      <c r="L1148" t="s">
        <v>895</v>
      </c>
      <c r="M1148" t="s">
        <v>4402</v>
      </c>
      <c r="O1148" t="s">
        <v>896</v>
      </c>
      <c r="P1148" t="s">
        <v>33</v>
      </c>
      <c r="Q1148" s="22">
        <v>2885.83</v>
      </c>
      <c r="R1148" t="s">
        <v>35</v>
      </c>
      <c r="S1148" t="s">
        <v>35</v>
      </c>
      <c r="T1148" t="s">
        <v>35</v>
      </c>
      <c r="U1148" t="s">
        <v>35</v>
      </c>
      <c r="V1148" t="s">
        <v>645</v>
      </c>
      <c r="W1148" t="s">
        <v>113</v>
      </c>
    </row>
    <row r="1149" spans="1:23" hidden="1" x14ac:dyDescent="0.25">
      <c r="A1149" s="7" t="str">
        <f>IFERROR(VLOOKUP(H1149,'Contas Orç'!A:B,2,0),"N/A")</f>
        <v>PJ-OUTROS SERVICOS CONTRATADOS-PJ</v>
      </c>
      <c r="B1149" s="7" t="str">
        <f t="shared" si="34"/>
        <v>320201006 - PJ-OUTROS SERVICOS CONTRATADOS-PJ</v>
      </c>
      <c r="C1149" s="25">
        <f t="shared" si="35"/>
        <v>44835</v>
      </c>
      <c r="D1149" s="27">
        <f>IF(K1149="CREDITO",Q1149,Q1149*-1)</f>
        <v>249401.99</v>
      </c>
      <c r="E1149" t="s">
        <v>894</v>
      </c>
      <c r="F1149" t="s">
        <v>1643</v>
      </c>
      <c r="G1149" s="8">
        <v>44835</v>
      </c>
      <c r="H1149" t="s">
        <v>144</v>
      </c>
      <c r="I1149" t="s">
        <v>59</v>
      </c>
      <c r="J1149" t="s">
        <v>60</v>
      </c>
      <c r="K1149" t="s">
        <v>29</v>
      </c>
      <c r="L1149" t="s">
        <v>895</v>
      </c>
      <c r="M1149" t="s">
        <v>4402</v>
      </c>
      <c r="O1149" t="s">
        <v>896</v>
      </c>
      <c r="P1149" t="s">
        <v>33</v>
      </c>
      <c r="Q1149" s="22">
        <v>249401.99</v>
      </c>
      <c r="R1149" t="s">
        <v>35</v>
      </c>
      <c r="S1149" t="s">
        <v>35</v>
      </c>
      <c r="T1149" t="s">
        <v>35</v>
      </c>
      <c r="U1149" t="s">
        <v>35</v>
      </c>
      <c r="V1149" t="s">
        <v>645</v>
      </c>
      <c r="W1149" t="s">
        <v>113</v>
      </c>
    </row>
    <row r="1150" spans="1:23" hidden="1" x14ac:dyDescent="0.25">
      <c r="A1150" s="7" t="str">
        <f>IFERROR(VLOOKUP(H1150,'Contas Orç'!A:B,2,0),"N/A")</f>
        <v>PJ-OUTROS SERVICOS CONTRATADOS-PJ</v>
      </c>
      <c r="B1150" s="7" t="str">
        <f t="shared" si="34"/>
        <v>320201006 - PJ-OUTROS SERVICOS CONTRATADOS-PJ</v>
      </c>
      <c r="C1150" s="25">
        <f t="shared" si="35"/>
        <v>44835</v>
      </c>
      <c r="D1150" s="27">
        <f>IF(K1150="CREDITO",Q1150,Q1150*-1)</f>
        <v>583903.02</v>
      </c>
      <c r="E1150" t="s">
        <v>894</v>
      </c>
      <c r="F1150" t="s">
        <v>1644</v>
      </c>
      <c r="G1150" s="8">
        <v>44835</v>
      </c>
      <c r="H1150" t="s">
        <v>144</v>
      </c>
      <c r="I1150" t="s">
        <v>59</v>
      </c>
      <c r="J1150" t="s">
        <v>107</v>
      </c>
      <c r="K1150" t="s">
        <v>29</v>
      </c>
      <c r="L1150" t="s">
        <v>895</v>
      </c>
      <c r="M1150" t="s">
        <v>4402</v>
      </c>
      <c r="O1150" t="s">
        <v>896</v>
      </c>
      <c r="P1150" t="s">
        <v>33</v>
      </c>
      <c r="Q1150" s="22">
        <v>583903.02</v>
      </c>
      <c r="R1150" t="s">
        <v>35</v>
      </c>
      <c r="S1150" t="s">
        <v>35</v>
      </c>
      <c r="T1150" t="s">
        <v>35</v>
      </c>
      <c r="U1150" t="s">
        <v>35</v>
      </c>
      <c r="V1150" t="s">
        <v>645</v>
      </c>
      <c r="W1150" t="s">
        <v>113</v>
      </c>
    </row>
    <row r="1151" spans="1:23" hidden="1" x14ac:dyDescent="0.25">
      <c r="A1151" s="7" t="str">
        <f>IFERROR(VLOOKUP(H1151,'Contas Orç'!A:B,2,0),"N/A")</f>
        <v>PJ-OUTROS SERVICOS CONTRATADOS-PJ</v>
      </c>
      <c r="B1151" s="7" t="str">
        <f t="shared" si="34"/>
        <v>320201006 - PJ-OUTROS SERVICOS CONTRATADOS-PJ</v>
      </c>
      <c r="C1151" s="25">
        <f t="shared" si="35"/>
        <v>44835</v>
      </c>
      <c r="D1151" s="27">
        <f>IF(K1151="CREDITO",Q1151,Q1151*-1)</f>
        <v>4287.7299999999996</v>
      </c>
      <c r="E1151" t="s">
        <v>894</v>
      </c>
      <c r="F1151" t="s">
        <v>1645</v>
      </c>
      <c r="G1151" s="8">
        <v>44835</v>
      </c>
      <c r="H1151" t="s">
        <v>144</v>
      </c>
      <c r="I1151" t="s">
        <v>125</v>
      </c>
      <c r="J1151" t="s">
        <v>95</v>
      </c>
      <c r="K1151" t="s">
        <v>29</v>
      </c>
      <c r="L1151" t="s">
        <v>895</v>
      </c>
      <c r="M1151" t="s">
        <v>4402</v>
      </c>
      <c r="O1151" t="s">
        <v>896</v>
      </c>
      <c r="P1151" t="s">
        <v>33</v>
      </c>
      <c r="Q1151" s="22">
        <v>4287.7299999999996</v>
      </c>
      <c r="R1151" t="s">
        <v>35</v>
      </c>
      <c r="S1151" t="s">
        <v>35</v>
      </c>
      <c r="T1151" t="s">
        <v>35</v>
      </c>
      <c r="U1151" t="s">
        <v>35</v>
      </c>
      <c r="V1151" t="s">
        <v>645</v>
      </c>
      <c r="W1151" t="s">
        <v>113</v>
      </c>
    </row>
    <row r="1152" spans="1:23" hidden="1" x14ac:dyDescent="0.25">
      <c r="A1152" s="7" t="str">
        <f>IFERROR(VLOOKUP(H1152,'Contas Orç'!A:B,2,0),"N/A")</f>
        <v>PJ-OUTROS SERVICOS CONTRATADOS-PJ</v>
      </c>
      <c r="B1152" s="7" t="str">
        <f t="shared" si="34"/>
        <v>320201006 - PJ-OUTROS SERVICOS CONTRATADOS-PJ</v>
      </c>
      <c r="C1152" s="25">
        <f t="shared" si="35"/>
        <v>44835</v>
      </c>
      <c r="D1152" s="27">
        <f>IF(K1152="CREDITO",Q1152,Q1152*-1)</f>
        <v>64068.59</v>
      </c>
      <c r="E1152" t="s">
        <v>894</v>
      </c>
      <c r="F1152" t="s">
        <v>1646</v>
      </c>
      <c r="G1152" s="8">
        <v>44835</v>
      </c>
      <c r="H1152" t="s">
        <v>144</v>
      </c>
      <c r="I1152" t="s">
        <v>59</v>
      </c>
      <c r="J1152" t="s">
        <v>1624</v>
      </c>
      <c r="K1152" t="s">
        <v>29</v>
      </c>
      <c r="L1152" t="s">
        <v>895</v>
      </c>
      <c r="M1152" t="s">
        <v>4402</v>
      </c>
      <c r="O1152" t="s">
        <v>896</v>
      </c>
      <c r="P1152" t="s">
        <v>33</v>
      </c>
      <c r="Q1152" s="22">
        <v>64068.59</v>
      </c>
      <c r="R1152" t="s">
        <v>35</v>
      </c>
      <c r="S1152" t="s">
        <v>35</v>
      </c>
      <c r="T1152" t="s">
        <v>35</v>
      </c>
      <c r="U1152" t="s">
        <v>35</v>
      </c>
      <c r="V1152" t="s">
        <v>645</v>
      </c>
      <c r="W1152" t="s">
        <v>113</v>
      </c>
    </row>
    <row r="1153" spans="1:23" hidden="1" x14ac:dyDescent="0.25">
      <c r="A1153" s="7" t="str">
        <f>IFERROR(VLOOKUP(H1153,'Contas Orç'!A:B,2,0),"N/A")</f>
        <v>PJ-OUTROS SERVICOS CONTRATADOS-PJ</v>
      </c>
      <c r="B1153" s="7" t="str">
        <f t="shared" si="34"/>
        <v>320201006 - PJ-OUTROS SERVICOS CONTRATADOS-PJ</v>
      </c>
      <c r="C1153" s="25">
        <f t="shared" si="35"/>
        <v>44835</v>
      </c>
      <c r="D1153" s="27">
        <f>IF(K1153="CREDITO",Q1153,Q1153*-1)</f>
        <v>145878.31</v>
      </c>
      <c r="E1153" t="s">
        <v>894</v>
      </c>
      <c r="F1153" t="s">
        <v>1647</v>
      </c>
      <c r="G1153" s="8">
        <v>44835</v>
      </c>
      <c r="H1153" t="s">
        <v>144</v>
      </c>
      <c r="I1153" t="s">
        <v>53</v>
      </c>
      <c r="J1153" t="s">
        <v>54</v>
      </c>
      <c r="K1153" t="s">
        <v>29</v>
      </c>
      <c r="L1153" t="s">
        <v>895</v>
      </c>
      <c r="M1153" t="s">
        <v>4402</v>
      </c>
      <c r="O1153" t="s">
        <v>896</v>
      </c>
      <c r="P1153" t="s">
        <v>33</v>
      </c>
      <c r="Q1153" s="22">
        <v>145878.31</v>
      </c>
      <c r="R1153" t="s">
        <v>35</v>
      </c>
      <c r="S1153" t="s">
        <v>35</v>
      </c>
      <c r="T1153" t="s">
        <v>35</v>
      </c>
      <c r="U1153" t="s">
        <v>35</v>
      </c>
      <c r="V1153" t="s">
        <v>645</v>
      </c>
      <c r="W1153" t="s">
        <v>113</v>
      </c>
    </row>
    <row r="1154" spans="1:23" hidden="1" x14ac:dyDescent="0.25">
      <c r="A1154" s="7" t="str">
        <f>IFERROR(VLOOKUP(H1154,'Contas Orç'!A:B,2,0),"N/A")</f>
        <v>PJ-OUTROS SERVICOS CONTRATADOS-PJ</v>
      </c>
      <c r="B1154" s="7" t="str">
        <f t="shared" si="34"/>
        <v>320201006 - PJ-OUTROS SERVICOS CONTRATADOS-PJ</v>
      </c>
      <c r="C1154" s="25">
        <f t="shared" si="35"/>
        <v>44835</v>
      </c>
      <c r="D1154" s="27">
        <f>IF(K1154="CREDITO",Q1154,Q1154*-1)</f>
        <v>151.5</v>
      </c>
      <c r="E1154" t="s">
        <v>894</v>
      </c>
      <c r="F1154" t="s">
        <v>1648</v>
      </c>
      <c r="G1154" s="8">
        <v>44835</v>
      </c>
      <c r="H1154" t="s">
        <v>144</v>
      </c>
      <c r="I1154" t="s">
        <v>88</v>
      </c>
      <c r="J1154" t="s">
        <v>54</v>
      </c>
      <c r="K1154" t="s">
        <v>29</v>
      </c>
      <c r="L1154" t="s">
        <v>895</v>
      </c>
      <c r="M1154" t="s">
        <v>4402</v>
      </c>
      <c r="O1154" t="s">
        <v>896</v>
      </c>
      <c r="P1154" t="s">
        <v>33</v>
      </c>
      <c r="Q1154">
        <v>151.5</v>
      </c>
      <c r="R1154" t="s">
        <v>35</v>
      </c>
      <c r="S1154" t="s">
        <v>35</v>
      </c>
      <c r="T1154" t="s">
        <v>35</v>
      </c>
      <c r="U1154" t="s">
        <v>35</v>
      </c>
      <c r="V1154" t="s">
        <v>645</v>
      </c>
      <c r="W1154" t="s">
        <v>113</v>
      </c>
    </row>
    <row r="1155" spans="1:23" hidden="1" x14ac:dyDescent="0.25">
      <c r="A1155" s="7" t="str">
        <f>IFERROR(VLOOKUP(H1155,'Contas Orç'!A:B,2,0),"N/A")</f>
        <v>PJ-OUTROS SERVICOS CONTRATADOS-PJ</v>
      </c>
      <c r="B1155" s="7" t="str">
        <f t="shared" ref="B1155:B1218" si="36">_xlfn.CONCAT(H1155," - ",A1155)</f>
        <v>320201006 - PJ-OUTROS SERVICOS CONTRATADOS-PJ</v>
      </c>
      <c r="C1155" s="25">
        <f t="shared" ref="C1155:C1218" si="37">DATE(YEAR(G1155),MONTH(G1155),1)</f>
        <v>44866</v>
      </c>
      <c r="D1155" s="27">
        <f>IF(K1155="CREDITO",Q1155,Q1155*-1)</f>
        <v>46.28</v>
      </c>
      <c r="E1155" t="s">
        <v>894</v>
      </c>
      <c r="F1155" t="s">
        <v>1649</v>
      </c>
      <c r="G1155" s="8">
        <v>44866</v>
      </c>
      <c r="H1155" t="s">
        <v>144</v>
      </c>
      <c r="I1155" t="s">
        <v>88</v>
      </c>
      <c r="J1155" t="s">
        <v>28</v>
      </c>
      <c r="K1155" t="s">
        <v>29</v>
      </c>
      <c r="L1155" t="s">
        <v>895</v>
      </c>
      <c r="M1155" t="s">
        <v>4402</v>
      </c>
      <c r="O1155" t="s">
        <v>896</v>
      </c>
      <c r="P1155" t="s">
        <v>33</v>
      </c>
      <c r="Q1155">
        <v>46.28</v>
      </c>
      <c r="R1155" t="s">
        <v>35</v>
      </c>
      <c r="S1155" t="s">
        <v>35</v>
      </c>
      <c r="T1155" t="s">
        <v>35</v>
      </c>
      <c r="U1155" t="s">
        <v>35</v>
      </c>
      <c r="V1155" t="s">
        <v>645</v>
      </c>
      <c r="W1155" t="s">
        <v>113</v>
      </c>
    </row>
    <row r="1156" spans="1:23" hidden="1" x14ac:dyDescent="0.25">
      <c r="A1156" s="7" t="str">
        <f>IFERROR(VLOOKUP(H1156,'Contas Orç'!A:B,2,0),"N/A")</f>
        <v>PJ-OUTROS SERVICOS CONTRATADOS-PJ</v>
      </c>
      <c r="B1156" s="7" t="str">
        <f t="shared" si="36"/>
        <v>320201006 - PJ-OUTROS SERVICOS CONTRATADOS-PJ</v>
      </c>
      <c r="C1156" s="25">
        <f t="shared" si="37"/>
        <v>44866</v>
      </c>
      <c r="D1156" s="27">
        <f>IF(K1156="CREDITO",Q1156,Q1156*-1)</f>
        <v>2914.69</v>
      </c>
      <c r="E1156" t="s">
        <v>894</v>
      </c>
      <c r="F1156" t="s">
        <v>1650</v>
      </c>
      <c r="G1156" s="8">
        <v>44866</v>
      </c>
      <c r="H1156" t="s">
        <v>144</v>
      </c>
      <c r="I1156" t="s">
        <v>27</v>
      </c>
      <c r="J1156" t="s">
        <v>28</v>
      </c>
      <c r="K1156" t="s">
        <v>29</v>
      </c>
      <c r="L1156" t="s">
        <v>895</v>
      </c>
      <c r="M1156" t="s">
        <v>4402</v>
      </c>
      <c r="O1156" t="s">
        <v>896</v>
      </c>
      <c r="P1156" t="s">
        <v>33</v>
      </c>
      <c r="Q1156" s="22">
        <v>2914.69</v>
      </c>
      <c r="R1156" t="s">
        <v>35</v>
      </c>
      <c r="S1156" t="s">
        <v>35</v>
      </c>
      <c r="T1156" t="s">
        <v>35</v>
      </c>
      <c r="U1156" t="s">
        <v>35</v>
      </c>
      <c r="V1156" t="s">
        <v>645</v>
      </c>
      <c r="W1156" t="s">
        <v>113</v>
      </c>
    </row>
    <row r="1157" spans="1:23" hidden="1" x14ac:dyDescent="0.25">
      <c r="A1157" s="7" t="str">
        <f>IFERROR(VLOOKUP(H1157,'Contas Orç'!A:B,2,0),"N/A")</f>
        <v>PJ-OUTROS SERVICOS CONTRATADOS-PJ</v>
      </c>
      <c r="B1157" s="7" t="str">
        <f t="shared" si="36"/>
        <v>320201006 - PJ-OUTROS SERVICOS CONTRATADOS-PJ</v>
      </c>
      <c r="C1157" s="25">
        <f t="shared" si="37"/>
        <v>44866</v>
      </c>
      <c r="D1157" s="27">
        <f>IF(K1157="CREDITO",Q1157,Q1157*-1)</f>
        <v>251896.01</v>
      </c>
      <c r="E1157" t="s">
        <v>894</v>
      </c>
      <c r="F1157" t="s">
        <v>1651</v>
      </c>
      <c r="G1157" s="8">
        <v>44866</v>
      </c>
      <c r="H1157" t="s">
        <v>144</v>
      </c>
      <c r="I1157" t="s">
        <v>59</v>
      </c>
      <c r="J1157" t="s">
        <v>60</v>
      </c>
      <c r="K1157" t="s">
        <v>29</v>
      </c>
      <c r="L1157" t="s">
        <v>895</v>
      </c>
      <c r="M1157" t="s">
        <v>4402</v>
      </c>
      <c r="O1157" t="s">
        <v>896</v>
      </c>
      <c r="P1157" t="s">
        <v>33</v>
      </c>
      <c r="Q1157" s="22">
        <v>251896.01</v>
      </c>
      <c r="R1157" t="s">
        <v>35</v>
      </c>
      <c r="S1157" t="s">
        <v>35</v>
      </c>
      <c r="T1157" t="s">
        <v>35</v>
      </c>
      <c r="U1157" t="s">
        <v>35</v>
      </c>
      <c r="V1157" t="s">
        <v>645</v>
      </c>
      <c r="W1157" t="s">
        <v>113</v>
      </c>
    </row>
    <row r="1158" spans="1:23" hidden="1" x14ac:dyDescent="0.25">
      <c r="A1158" s="7" t="str">
        <f>IFERROR(VLOOKUP(H1158,'Contas Orç'!A:B,2,0),"N/A")</f>
        <v>PJ-OUTROS SERVICOS CONTRATADOS-PJ</v>
      </c>
      <c r="B1158" s="7" t="str">
        <f t="shared" si="36"/>
        <v>320201006 - PJ-OUTROS SERVICOS CONTRATADOS-PJ</v>
      </c>
      <c r="C1158" s="25">
        <f t="shared" si="37"/>
        <v>44866</v>
      </c>
      <c r="D1158" s="27">
        <f>IF(K1158="CREDITO",Q1158,Q1158*-1)</f>
        <v>589742.05000000005</v>
      </c>
      <c r="E1158" t="s">
        <v>894</v>
      </c>
      <c r="F1158" t="s">
        <v>1652</v>
      </c>
      <c r="G1158" s="8">
        <v>44866</v>
      </c>
      <c r="H1158" t="s">
        <v>144</v>
      </c>
      <c r="I1158" t="s">
        <v>59</v>
      </c>
      <c r="J1158" t="s">
        <v>107</v>
      </c>
      <c r="K1158" t="s">
        <v>29</v>
      </c>
      <c r="L1158" t="s">
        <v>895</v>
      </c>
      <c r="M1158" t="s">
        <v>4402</v>
      </c>
      <c r="O1158" t="s">
        <v>896</v>
      </c>
      <c r="P1158" t="s">
        <v>33</v>
      </c>
      <c r="Q1158" s="22">
        <v>589742.05000000005</v>
      </c>
      <c r="R1158" t="s">
        <v>35</v>
      </c>
      <c r="S1158" t="s">
        <v>35</v>
      </c>
      <c r="T1158" t="s">
        <v>35</v>
      </c>
      <c r="U1158" t="s">
        <v>35</v>
      </c>
      <c r="V1158" t="s">
        <v>645</v>
      </c>
      <c r="W1158" t="s">
        <v>113</v>
      </c>
    </row>
    <row r="1159" spans="1:23" hidden="1" x14ac:dyDescent="0.25">
      <c r="A1159" s="7" t="str">
        <f>IFERROR(VLOOKUP(H1159,'Contas Orç'!A:B,2,0),"N/A")</f>
        <v>PJ-OUTROS SERVICOS CONTRATADOS-PJ</v>
      </c>
      <c r="B1159" s="7" t="str">
        <f t="shared" si="36"/>
        <v>320201006 - PJ-OUTROS SERVICOS CONTRATADOS-PJ</v>
      </c>
      <c r="C1159" s="25">
        <f t="shared" si="37"/>
        <v>44866</v>
      </c>
      <c r="D1159" s="27">
        <f>IF(K1159="CREDITO",Q1159,Q1159*-1)</f>
        <v>4330.6099999999997</v>
      </c>
      <c r="E1159" t="s">
        <v>894</v>
      </c>
      <c r="F1159" t="s">
        <v>1653</v>
      </c>
      <c r="G1159" s="8">
        <v>44866</v>
      </c>
      <c r="H1159" t="s">
        <v>144</v>
      </c>
      <c r="I1159" t="s">
        <v>125</v>
      </c>
      <c r="J1159" t="s">
        <v>95</v>
      </c>
      <c r="K1159" t="s">
        <v>29</v>
      </c>
      <c r="L1159" t="s">
        <v>895</v>
      </c>
      <c r="M1159" t="s">
        <v>4402</v>
      </c>
      <c r="O1159" t="s">
        <v>896</v>
      </c>
      <c r="P1159" t="s">
        <v>33</v>
      </c>
      <c r="Q1159" s="22">
        <v>4330.6099999999997</v>
      </c>
      <c r="R1159" t="s">
        <v>35</v>
      </c>
      <c r="S1159" t="s">
        <v>35</v>
      </c>
      <c r="T1159" t="s">
        <v>35</v>
      </c>
      <c r="U1159" t="s">
        <v>35</v>
      </c>
      <c r="V1159" t="s">
        <v>645</v>
      </c>
      <c r="W1159" t="s">
        <v>113</v>
      </c>
    </row>
    <row r="1160" spans="1:23" hidden="1" x14ac:dyDescent="0.25">
      <c r="A1160" s="7" t="str">
        <f>IFERROR(VLOOKUP(H1160,'Contas Orç'!A:B,2,0),"N/A")</f>
        <v>PJ-OUTROS SERVICOS CONTRATADOS-PJ</v>
      </c>
      <c r="B1160" s="7" t="str">
        <f t="shared" si="36"/>
        <v>320201006 - PJ-OUTROS SERVICOS CONTRATADOS-PJ</v>
      </c>
      <c r="C1160" s="25">
        <f t="shared" si="37"/>
        <v>44866</v>
      </c>
      <c r="D1160" s="27">
        <f>IF(K1160="CREDITO",Q1160,Q1160*-1)</f>
        <v>64709.279999999999</v>
      </c>
      <c r="E1160" t="s">
        <v>894</v>
      </c>
      <c r="F1160" t="s">
        <v>1654</v>
      </c>
      <c r="G1160" s="8">
        <v>44866</v>
      </c>
      <c r="H1160" t="s">
        <v>144</v>
      </c>
      <c r="I1160" t="s">
        <v>59</v>
      </c>
      <c r="J1160" t="s">
        <v>1624</v>
      </c>
      <c r="K1160" t="s">
        <v>29</v>
      </c>
      <c r="L1160" t="s">
        <v>895</v>
      </c>
      <c r="M1160" t="s">
        <v>4402</v>
      </c>
      <c r="O1160" t="s">
        <v>896</v>
      </c>
      <c r="P1160" t="s">
        <v>33</v>
      </c>
      <c r="Q1160" s="22">
        <v>64709.279999999999</v>
      </c>
      <c r="R1160" t="s">
        <v>35</v>
      </c>
      <c r="S1160" t="s">
        <v>35</v>
      </c>
      <c r="T1160" t="s">
        <v>35</v>
      </c>
      <c r="U1160" t="s">
        <v>35</v>
      </c>
      <c r="V1160" t="s">
        <v>645</v>
      </c>
      <c r="W1160" t="s">
        <v>113</v>
      </c>
    </row>
    <row r="1161" spans="1:23" hidden="1" x14ac:dyDescent="0.25">
      <c r="A1161" s="7" t="str">
        <f>IFERROR(VLOOKUP(H1161,'Contas Orç'!A:B,2,0),"N/A")</f>
        <v>PJ-OUTROS SERVICOS CONTRATADOS-PJ</v>
      </c>
      <c r="B1161" s="7" t="str">
        <f t="shared" si="36"/>
        <v>320201006 - PJ-OUTROS SERVICOS CONTRATADOS-PJ</v>
      </c>
      <c r="C1161" s="25">
        <f t="shared" si="37"/>
        <v>44866</v>
      </c>
      <c r="D1161" s="27">
        <f>IF(K1161="CREDITO",Q1161,Q1161*-1)</f>
        <v>147337.09</v>
      </c>
      <c r="E1161" t="s">
        <v>894</v>
      </c>
      <c r="F1161" t="s">
        <v>1655</v>
      </c>
      <c r="G1161" s="8">
        <v>44866</v>
      </c>
      <c r="H1161" t="s">
        <v>144</v>
      </c>
      <c r="I1161" t="s">
        <v>53</v>
      </c>
      <c r="J1161" t="s">
        <v>54</v>
      </c>
      <c r="K1161" t="s">
        <v>29</v>
      </c>
      <c r="L1161" t="s">
        <v>895</v>
      </c>
      <c r="M1161" t="s">
        <v>4402</v>
      </c>
      <c r="O1161" t="s">
        <v>896</v>
      </c>
      <c r="P1161" t="s">
        <v>33</v>
      </c>
      <c r="Q1161" s="22">
        <v>147337.09</v>
      </c>
      <c r="R1161" t="s">
        <v>35</v>
      </c>
      <c r="S1161" t="s">
        <v>35</v>
      </c>
      <c r="T1161" t="s">
        <v>35</v>
      </c>
      <c r="U1161" t="s">
        <v>35</v>
      </c>
      <c r="V1161" t="s">
        <v>645</v>
      </c>
      <c r="W1161" t="s">
        <v>113</v>
      </c>
    </row>
    <row r="1162" spans="1:23" hidden="1" x14ac:dyDescent="0.25">
      <c r="A1162" s="7" t="str">
        <f>IFERROR(VLOOKUP(H1162,'Contas Orç'!A:B,2,0),"N/A")</f>
        <v>PJ-OUTROS SERVICOS CONTRATADOS-PJ</v>
      </c>
      <c r="B1162" s="7" t="str">
        <f t="shared" si="36"/>
        <v>320201006 - PJ-OUTROS SERVICOS CONTRATADOS-PJ</v>
      </c>
      <c r="C1162" s="25">
        <f t="shared" si="37"/>
        <v>44866</v>
      </c>
      <c r="D1162" s="27">
        <f>IF(K1162="CREDITO",Q1162,Q1162*-1)</f>
        <v>153.02000000000001</v>
      </c>
      <c r="E1162" t="s">
        <v>894</v>
      </c>
      <c r="F1162" t="s">
        <v>1656</v>
      </c>
      <c r="G1162" s="8">
        <v>44866</v>
      </c>
      <c r="H1162" t="s">
        <v>144</v>
      </c>
      <c r="I1162" t="s">
        <v>88</v>
      </c>
      <c r="J1162" t="s">
        <v>54</v>
      </c>
      <c r="K1162" t="s">
        <v>29</v>
      </c>
      <c r="L1162" t="s">
        <v>895</v>
      </c>
      <c r="M1162" t="s">
        <v>4402</v>
      </c>
      <c r="O1162" t="s">
        <v>896</v>
      </c>
      <c r="P1162" t="s">
        <v>33</v>
      </c>
      <c r="Q1162">
        <v>153.02000000000001</v>
      </c>
      <c r="R1162" t="s">
        <v>35</v>
      </c>
      <c r="S1162" t="s">
        <v>35</v>
      </c>
      <c r="T1162" t="s">
        <v>35</v>
      </c>
      <c r="U1162" t="s">
        <v>35</v>
      </c>
      <c r="V1162" t="s">
        <v>645</v>
      </c>
      <c r="W1162" t="s">
        <v>113</v>
      </c>
    </row>
    <row r="1163" spans="1:23" hidden="1" x14ac:dyDescent="0.25">
      <c r="A1163" s="7" t="str">
        <f>IFERROR(VLOOKUP(H1163,'Contas Orç'!A:B,2,0),"N/A")</f>
        <v>PJ-OUTROS SERVICOS CONTRATADOS-PJ</v>
      </c>
      <c r="B1163" s="7" t="str">
        <f t="shared" si="36"/>
        <v>320201006 - PJ-OUTROS SERVICOS CONTRATADOS-PJ</v>
      </c>
      <c r="C1163" s="25">
        <f t="shared" si="37"/>
        <v>44896</v>
      </c>
      <c r="D1163" s="27">
        <f>IF(K1163="CREDITO",Q1163,Q1163*-1)</f>
        <v>46.74</v>
      </c>
      <c r="E1163" t="s">
        <v>894</v>
      </c>
      <c r="F1163" t="s">
        <v>1657</v>
      </c>
      <c r="G1163" s="8">
        <v>44896</v>
      </c>
      <c r="H1163" t="s">
        <v>144</v>
      </c>
      <c r="I1163" t="s">
        <v>88</v>
      </c>
      <c r="J1163" t="s">
        <v>28</v>
      </c>
      <c r="K1163" t="s">
        <v>29</v>
      </c>
      <c r="L1163" t="s">
        <v>895</v>
      </c>
      <c r="M1163" t="s">
        <v>4402</v>
      </c>
      <c r="O1163" t="s">
        <v>896</v>
      </c>
      <c r="P1163" t="s">
        <v>33</v>
      </c>
      <c r="Q1163">
        <v>46.74</v>
      </c>
      <c r="R1163" t="s">
        <v>35</v>
      </c>
      <c r="S1163" t="s">
        <v>35</v>
      </c>
      <c r="T1163" t="s">
        <v>35</v>
      </c>
      <c r="U1163" t="s">
        <v>35</v>
      </c>
      <c r="V1163" t="s">
        <v>645</v>
      </c>
      <c r="W1163" t="s">
        <v>113</v>
      </c>
    </row>
    <row r="1164" spans="1:23" hidden="1" x14ac:dyDescent="0.25">
      <c r="A1164" s="7" t="str">
        <f>IFERROR(VLOOKUP(H1164,'Contas Orç'!A:B,2,0),"N/A")</f>
        <v>PJ-OUTROS SERVICOS CONTRATADOS-PJ</v>
      </c>
      <c r="B1164" s="7" t="str">
        <f t="shared" si="36"/>
        <v>320201006 - PJ-OUTROS SERVICOS CONTRATADOS-PJ</v>
      </c>
      <c r="C1164" s="25">
        <f t="shared" si="37"/>
        <v>44896</v>
      </c>
      <c r="D1164" s="27">
        <f>IF(K1164="CREDITO",Q1164,Q1164*-1)</f>
        <v>2943.84</v>
      </c>
      <c r="E1164" t="s">
        <v>894</v>
      </c>
      <c r="F1164" t="s">
        <v>1658</v>
      </c>
      <c r="G1164" s="8">
        <v>44896</v>
      </c>
      <c r="H1164" t="s">
        <v>144</v>
      </c>
      <c r="I1164" t="s">
        <v>27</v>
      </c>
      <c r="J1164" t="s">
        <v>28</v>
      </c>
      <c r="K1164" t="s">
        <v>29</v>
      </c>
      <c r="L1164" t="s">
        <v>895</v>
      </c>
      <c r="M1164" t="s">
        <v>4402</v>
      </c>
      <c r="O1164" t="s">
        <v>896</v>
      </c>
      <c r="P1164" t="s">
        <v>33</v>
      </c>
      <c r="Q1164" s="22">
        <v>2943.84</v>
      </c>
      <c r="R1164" t="s">
        <v>35</v>
      </c>
      <c r="S1164" t="s">
        <v>35</v>
      </c>
      <c r="T1164" t="s">
        <v>35</v>
      </c>
      <c r="U1164" t="s">
        <v>35</v>
      </c>
      <c r="V1164" t="s">
        <v>645</v>
      </c>
      <c r="W1164" t="s">
        <v>113</v>
      </c>
    </row>
    <row r="1165" spans="1:23" hidden="1" x14ac:dyDescent="0.25">
      <c r="A1165" s="7" t="str">
        <f>IFERROR(VLOOKUP(H1165,'Contas Orç'!A:B,2,0),"N/A")</f>
        <v>PJ-OUTROS SERVICOS CONTRATADOS-PJ</v>
      </c>
      <c r="B1165" s="7" t="str">
        <f t="shared" si="36"/>
        <v>320201006 - PJ-OUTROS SERVICOS CONTRATADOS-PJ</v>
      </c>
      <c r="C1165" s="25">
        <f t="shared" si="37"/>
        <v>44896</v>
      </c>
      <c r="D1165" s="27">
        <f>IF(K1165="CREDITO",Q1165,Q1165*-1)</f>
        <v>254414.97</v>
      </c>
      <c r="E1165" t="s">
        <v>894</v>
      </c>
      <c r="F1165" t="s">
        <v>1659</v>
      </c>
      <c r="G1165" s="8">
        <v>44896</v>
      </c>
      <c r="H1165" t="s">
        <v>144</v>
      </c>
      <c r="I1165" t="s">
        <v>59</v>
      </c>
      <c r="J1165" t="s">
        <v>60</v>
      </c>
      <c r="K1165" t="s">
        <v>29</v>
      </c>
      <c r="L1165" t="s">
        <v>895</v>
      </c>
      <c r="M1165" t="s">
        <v>4402</v>
      </c>
      <c r="O1165" t="s">
        <v>896</v>
      </c>
      <c r="P1165" t="s">
        <v>33</v>
      </c>
      <c r="Q1165" s="22">
        <v>254414.97</v>
      </c>
      <c r="R1165" t="s">
        <v>35</v>
      </c>
      <c r="S1165" t="s">
        <v>35</v>
      </c>
      <c r="T1165" t="s">
        <v>35</v>
      </c>
      <c r="U1165" t="s">
        <v>35</v>
      </c>
      <c r="V1165" t="s">
        <v>645</v>
      </c>
      <c r="W1165" t="s">
        <v>113</v>
      </c>
    </row>
    <row r="1166" spans="1:23" hidden="1" x14ac:dyDescent="0.25">
      <c r="A1166" s="7" t="str">
        <f>IFERROR(VLOOKUP(H1166,'Contas Orç'!A:B,2,0),"N/A")</f>
        <v>PJ-OUTROS SERVICOS CONTRATADOS-PJ</v>
      </c>
      <c r="B1166" s="7" t="str">
        <f t="shared" si="36"/>
        <v>320201006 - PJ-OUTROS SERVICOS CONTRATADOS-PJ</v>
      </c>
      <c r="C1166" s="25">
        <f t="shared" si="37"/>
        <v>44896</v>
      </c>
      <c r="D1166" s="27">
        <f>IF(K1166="CREDITO",Q1166,Q1166*-1)</f>
        <v>595639.47</v>
      </c>
      <c r="E1166" t="s">
        <v>894</v>
      </c>
      <c r="F1166" t="s">
        <v>1660</v>
      </c>
      <c r="G1166" s="8">
        <v>44896</v>
      </c>
      <c r="H1166" t="s">
        <v>144</v>
      </c>
      <c r="I1166" t="s">
        <v>59</v>
      </c>
      <c r="J1166" t="s">
        <v>107</v>
      </c>
      <c r="K1166" t="s">
        <v>29</v>
      </c>
      <c r="L1166" t="s">
        <v>895</v>
      </c>
      <c r="M1166" t="s">
        <v>4402</v>
      </c>
      <c r="O1166" t="s">
        <v>896</v>
      </c>
      <c r="P1166" t="s">
        <v>33</v>
      </c>
      <c r="Q1166" s="22">
        <v>595639.47</v>
      </c>
      <c r="R1166" t="s">
        <v>35</v>
      </c>
      <c r="S1166" t="s">
        <v>35</v>
      </c>
      <c r="T1166" t="s">
        <v>35</v>
      </c>
      <c r="U1166" t="s">
        <v>35</v>
      </c>
      <c r="V1166" t="s">
        <v>645</v>
      </c>
      <c r="W1166" t="s">
        <v>113</v>
      </c>
    </row>
    <row r="1167" spans="1:23" hidden="1" x14ac:dyDescent="0.25">
      <c r="A1167" s="7" t="str">
        <f>IFERROR(VLOOKUP(H1167,'Contas Orç'!A:B,2,0),"N/A")</f>
        <v>PJ-OUTROS SERVICOS CONTRATADOS-PJ</v>
      </c>
      <c r="B1167" s="7" t="str">
        <f t="shared" si="36"/>
        <v>320201006 - PJ-OUTROS SERVICOS CONTRATADOS-PJ</v>
      </c>
      <c r="C1167" s="25">
        <f t="shared" si="37"/>
        <v>44896</v>
      </c>
      <c r="D1167" s="27">
        <f>IF(K1167="CREDITO",Q1167,Q1167*-1)</f>
        <v>4373.92</v>
      </c>
      <c r="E1167" t="s">
        <v>894</v>
      </c>
      <c r="F1167" t="s">
        <v>1661</v>
      </c>
      <c r="G1167" s="8">
        <v>44896</v>
      </c>
      <c r="H1167" t="s">
        <v>144</v>
      </c>
      <c r="I1167" t="s">
        <v>125</v>
      </c>
      <c r="J1167" t="s">
        <v>95</v>
      </c>
      <c r="K1167" t="s">
        <v>29</v>
      </c>
      <c r="L1167" t="s">
        <v>895</v>
      </c>
      <c r="M1167" t="s">
        <v>4402</v>
      </c>
      <c r="O1167" t="s">
        <v>896</v>
      </c>
      <c r="P1167" t="s">
        <v>33</v>
      </c>
      <c r="Q1167" s="22">
        <v>4373.92</v>
      </c>
      <c r="R1167" t="s">
        <v>35</v>
      </c>
      <c r="S1167" t="s">
        <v>35</v>
      </c>
      <c r="T1167" t="s">
        <v>35</v>
      </c>
      <c r="U1167" t="s">
        <v>35</v>
      </c>
      <c r="V1167" t="s">
        <v>645</v>
      </c>
      <c r="W1167" t="s">
        <v>113</v>
      </c>
    </row>
    <row r="1168" spans="1:23" hidden="1" x14ac:dyDescent="0.25">
      <c r="A1168" s="7" t="str">
        <f>IFERROR(VLOOKUP(H1168,'Contas Orç'!A:B,2,0),"N/A")</f>
        <v>PJ-OUTROS SERVICOS CONTRATADOS-PJ</v>
      </c>
      <c r="B1168" s="7" t="str">
        <f t="shared" si="36"/>
        <v>320201006 - PJ-OUTROS SERVICOS CONTRATADOS-PJ</v>
      </c>
      <c r="C1168" s="25">
        <f t="shared" si="37"/>
        <v>44896</v>
      </c>
      <c r="D1168" s="27">
        <f>IF(K1168="CREDITO",Q1168,Q1168*-1)</f>
        <v>65356.37</v>
      </c>
      <c r="E1168" t="s">
        <v>894</v>
      </c>
      <c r="F1168" t="s">
        <v>1662</v>
      </c>
      <c r="G1168" s="8">
        <v>44896</v>
      </c>
      <c r="H1168" t="s">
        <v>144</v>
      </c>
      <c r="I1168" t="s">
        <v>59</v>
      </c>
      <c r="J1168" t="s">
        <v>1624</v>
      </c>
      <c r="K1168" t="s">
        <v>29</v>
      </c>
      <c r="L1168" t="s">
        <v>895</v>
      </c>
      <c r="M1168" t="s">
        <v>4402</v>
      </c>
      <c r="O1168" t="s">
        <v>896</v>
      </c>
      <c r="P1168" t="s">
        <v>33</v>
      </c>
      <c r="Q1168" s="22">
        <v>65356.37</v>
      </c>
      <c r="R1168" t="s">
        <v>35</v>
      </c>
      <c r="S1168" t="s">
        <v>35</v>
      </c>
      <c r="T1168" t="s">
        <v>35</v>
      </c>
      <c r="U1168" t="s">
        <v>35</v>
      </c>
      <c r="V1168" t="s">
        <v>645</v>
      </c>
      <c r="W1168" t="s">
        <v>113</v>
      </c>
    </row>
    <row r="1169" spans="1:23" hidden="1" x14ac:dyDescent="0.25">
      <c r="A1169" s="7" t="str">
        <f>IFERROR(VLOOKUP(H1169,'Contas Orç'!A:B,2,0),"N/A")</f>
        <v>PJ-OUTROS SERVICOS CONTRATADOS-PJ</v>
      </c>
      <c r="B1169" s="7" t="str">
        <f t="shared" si="36"/>
        <v>320201006 - PJ-OUTROS SERVICOS CONTRATADOS-PJ</v>
      </c>
      <c r="C1169" s="25">
        <f t="shared" si="37"/>
        <v>44896</v>
      </c>
      <c r="D1169" s="27">
        <f>IF(K1169="CREDITO",Q1169,Q1169*-1)</f>
        <v>148810.46</v>
      </c>
      <c r="E1169" t="s">
        <v>894</v>
      </c>
      <c r="F1169" t="s">
        <v>1663</v>
      </c>
      <c r="G1169" s="8">
        <v>44896</v>
      </c>
      <c r="H1169" t="s">
        <v>144</v>
      </c>
      <c r="I1169" t="s">
        <v>53</v>
      </c>
      <c r="J1169" t="s">
        <v>54</v>
      </c>
      <c r="K1169" t="s">
        <v>29</v>
      </c>
      <c r="L1169" t="s">
        <v>895</v>
      </c>
      <c r="M1169" t="s">
        <v>4402</v>
      </c>
      <c r="O1169" t="s">
        <v>896</v>
      </c>
      <c r="P1169" t="s">
        <v>33</v>
      </c>
      <c r="Q1169" s="22">
        <v>148810.46</v>
      </c>
      <c r="R1169" t="s">
        <v>35</v>
      </c>
      <c r="S1169" t="s">
        <v>35</v>
      </c>
      <c r="T1169" t="s">
        <v>35</v>
      </c>
      <c r="U1169" t="s">
        <v>35</v>
      </c>
      <c r="V1169" t="s">
        <v>645</v>
      </c>
      <c r="W1169" t="s">
        <v>113</v>
      </c>
    </row>
    <row r="1170" spans="1:23" hidden="1" x14ac:dyDescent="0.25">
      <c r="A1170" s="7" t="str">
        <f>IFERROR(VLOOKUP(H1170,'Contas Orç'!A:B,2,0),"N/A")</f>
        <v>PJ-OUTROS SERVICOS CONTRATADOS-PJ</v>
      </c>
      <c r="B1170" s="7" t="str">
        <f t="shared" si="36"/>
        <v>320201006 - PJ-OUTROS SERVICOS CONTRATADOS-PJ</v>
      </c>
      <c r="C1170" s="25">
        <f t="shared" si="37"/>
        <v>44896</v>
      </c>
      <c r="D1170" s="27">
        <f>IF(K1170="CREDITO",Q1170,Q1170*-1)</f>
        <v>154.55000000000001</v>
      </c>
      <c r="E1170" t="s">
        <v>894</v>
      </c>
      <c r="F1170" t="s">
        <v>1664</v>
      </c>
      <c r="G1170" s="8">
        <v>44896</v>
      </c>
      <c r="H1170" t="s">
        <v>144</v>
      </c>
      <c r="I1170" t="s">
        <v>88</v>
      </c>
      <c r="J1170" t="s">
        <v>54</v>
      </c>
      <c r="K1170" t="s">
        <v>29</v>
      </c>
      <c r="L1170" t="s">
        <v>895</v>
      </c>
      <c r="M1170" t="s">
        <v>4402</v>
      </c>
      <c r="O1170" t="s">
        <v>896</v>
      </c>
      <c r="P1170" t="s">
        <v>33</v>
      </c>
      <c r="Q1170">
        <v>154.55000000000001</v>
      </c>
      <c r="R1170" t="s">
        <v>35</v>
      </c>
      <c r="S1170" t="s">
        <v>35</v>
      </c>
      <c r="T1170" t="s">
        <v>35</v>
      </c>
      <c r="U1170" t="s">
        <v>35</v>
      </c>
      <c r="V1170" t="s">
        <v>645</v>
      </c>
      <c r="W1170" t="s">
        <v>113</v>
      </c>
    </row>
    <row r="1171" spans="1:23" hidden="1" x14ac:dyDescent="0.25">
      <c r="A1171" s="7" t="str">
        <f>IFERROR(VLOOKUP(H1171,'Contas Orç'!A:B,2,0),"N/A")</f>
        <v>PF-OUTROS SERVICOS CONTRATADOS-PF</v>
      </c>
      <c r="B1171" s="7" t="str">
        <f t="shared" si="36"/>
        <v>320202003 - PF-OUTROS SERVICOS CONTRATADOS-PF</v>
      </c>
      <c r="C1171" s="25">
        <f t="shared" si="37"/>
        <v>44562</v>
      </c>
      <c r="D1171" s="27">
        <f>IF(K1171="CREDITO",Q1171,Q1171*-1)</f>
        <v>6815.32</v>
      </c>
      <c r="E1171" t="s">
        <v>894</v>
      </c>
      <c r="F1171" t="s">
        <v>1665</v>
      </c>
      <c r="G1171" s="8">
        <v>44562</v>
      </c>
      <c r="H1171" t="s">
        <v>531</v>
      </c>
      <c r="I1171" t="s">
        <v>59</v>
      </c>
      <c r="J1171" t="s">
        <v>661</v>
      </c>
      <c r="K1171" t="s">
        <v>29</v>
      </c>
      <c r="L1171" t="s">
        <v>895</v>
      </c>
      <c r="M1171" t="s">
        <v>4402</v>
      </c>
      <c r="O1171" t="s">
        <v>896</v>
      </c>
      <c r="P1171" t="s">
        <v>33</v>
      </c>
      <c r="Q1171" s="22">
        <v>6815.32</v>
      </c>
      <c r="R1171" t="s">
        <v>35</v>
      </c>
      <c r="S1171" t="s">
        <v>35</v>
      </c>
      <c r="T1171" t="s">
        <v>35</v>
      </c>
      <c r="U1171" t="s">
        <v>35</v>
      </c>
      <c r="V1171" t="s">
        <v>645</v>
      </c>
      <c r="W1171" t="s">
        <v>113</v>
      </c>
    </row>
    <row r="1172" spans="1:23" hidden="1" x14ac:dyDescent="0.25">
      <c r="A1172" s="7" t="str">
        <f>IFERROR(VLOOKUP(H1172,'Contas Orç'!A:B,2,0),"N/A")</f>
        <v>PF-OUTROS SERVICOS CONTRATADOS-PF</v>
      </c>
      <c r="B1172" s="7" t="str">
        <f t="shared" si="36"/>
        <v>320202003 - PF-OUTROS SERVICOS CONTRATADOS-PF</v>
      </c>
      <c r="C1172" s="25">
        <f t="shared" si="37"/>
        <v>44593</v>
      </c>
      <c r="D1172" s="27">
        <f>IF(K1172="CREDITO",Q1172,Q1172*-1)</f>
        <v>4725</v>
      </c>
      <c r="E1172" t="s">
        <v>894</v>
      </c>
      <c r="F1172" t="s">
        <v>1666</v>
      </c>
      <c r="G1172" s="8">
        <v>44593</v>
      </c>
      <c r="H1172" t="s">
        <v>531</v>
      </c>
      <c r="I1172" t="s">
        <v>53</v>
      </c>
      <c r="J1172" t="s">
        <v>661</v>
      </c>
      <c r="K1172" t="s">
        <v>29</v>
      </c>
      <c r="L1172" t="s">
        <v>895</v>
      </c>
      <c r="M1172" t="s">
        <v>4402</v>
      </c>
      <c r="O1172" t="s">
        <v>896</v>
      </c>
      <c r="P1172" t="s">
        <v>33</v>
      </c>
      <c r="Q1172" s="22">
        <v>4725</v>
      </c>
      <c r="R1172" t="s">
        <v>35</v>
      </c>
      <c r="S1172" t="s">
        <v>35</v>
      </c>
      <c r="T1172" t="s">
        <v>35</v>
      </c>
      <c r="U1172" t="s">
        <v>35</v>
      </c>
      <c r="V1172" t="s">
        <v>645</v>
      </c>
      <c r="W1172" t="s">
        <v>113</v>
      </c>
    </row>
    <row r="1173" spans="1:23" hidden="1" x14ac:dyDescent="0.25">
      <c r="A1173" s="7" t="str">
        <f>IFERROR(VLOOKUP(H1173,'Contas Orç'!A:B,2,0),"N/A")</f>
        <v>PF-OUTROS SERVICOS CONTRATADOS-PF</v>
      </c>
      <c r="B1173" s="7" t="str">
        <f t="shared" si="36"/>
        <v>320202003 - PF-OUTROS SERVICOS CONTRATADOS-PF</v>
      </c>
      <c r="C1173" s="25">
        <f t="shared" si="37"/>
        <v>44621</v>
      </c>
      <c r="D1173" s="27">
        <f>IF(K1173="CREDITO",Q1173,Q1173*-1)</f>
        <v>5375</v>
      </c>
      <c r="E1173" t="s">
        <v>894</v>
      </c>
      <c r="F1173" t="s">
        <v>1667</v>
      </c>
      <c r="G1173" s="8">
        <v>44621</v>
      </c>
      <c r="H1173" t="s">
        <v>531</v>
      </c>
      <c r="I1173" t="s">
        <v>53</v>
      </c>
      <c r="J1173" t="s">
        <v>661</v>
      </c>
      <c r="K1173" t="s">
        <v>29</v>
      </c>
      <c r="L1173" t="s">
        <v>895</v>
      </c>
      <c r="M1173" t="s">
        <v>4402</v>
      </c>
      <c r="O1173" t="s">
        <v>896</v>
      </c>
      <c r="P1173" t="s">
        <v>33</v>
      </c>
      <c r="Q1173" s="22">
        <v>5375</v>
      </c>
      <c r="R1173" t="s">
        <v>35</v>
      </c>
      <c r="S1173" t="s">
        <v>35</v>
      </c>
      <c r="T1173" t="s">
        <v>35</v>
      </c>
      <c r="U1173" t="s">
        <v>35</v>
      </c>
      <c r="V1173" t="s">
        <v>645</v>
      </c>
      <c r="W1173" t="s">
        <v>113</v>
      </c>
    </row>
    <row r="1174" spans="1:23" hidden="1" x14ac:dyDescent="0.25">
      <c r="A1174" s="7" t="str">
        <f>IFERROR(VLOOKUP(H1174,'Contas Orç'!A:B,2,0),"N/A")</f>
        <v>PF-OUTROS SERVICOS CONTRATADOS-PF</v>
      </c>
      <c r="B1174" s="7" t="str">
        <f t="shared" si="36"/>
        <v>320202003 - PF-OUTROS SERVICOS CONTRATADOS-PF</v>
      </c>
      <c r="C1174" s="25">
        <f t="shared" si="37"/>
        <v>44652</v>
      </c>
      <c r="D1174" s="27">
        <f>IF(K1174="CREDITO",Q1174,Q1174*-1)</f>
        <v>5870.1</v>
      </c>
      <c r="E1174" t="s">
        <v>894</v>
      </c>
      <c r="F1174" t="s">
        <v>1668</v>
      </c>
      <c r="G1174" s="8">
        <v>44652</v>
      </c>
      <c r="H1174" t="s">
        <v>531</v>
      </c>
      <c r="I1174" t="s">
        <v>27</v>
      </c>
      <c r="J1174" t="s">
        <v>28</v>
      </c>
      <c r="K1174" t="s">
        <v>29</v>
      </c>
      <c r="L1174" t="s">
        <v>895</v>
      </c>
      <c r="M1174" t="s">
        <v>4402</v>
      </c>
      <c r="O1174" t="s">
        <v>896</v>
      </c>
      <c r="P1174" t="s">
        <v>33</v>
      </c>
      <c r="Q1174" s="22">
        <v>5870.1</v>
      </c>
      <c r="R1174" t="s">
        <v>35</v>
      </c>
      <c r="S1174" t="s">
        <v>35</v>
      </c>
      <c r="T1174" t="s">
        <v>35</v>
      </c>
      <c r="U1174" t="s">
        <v>35</v>
      </c>
      <c r="V1174" t="s">
        <v>645</v>
      </c>
      <c r="W1174" t="s">
        <v>113</v>
      </c>
    </row>
    <row r="1175" spans="1:23" hidden="1" x14ac:dyDescent="0.25">
      <c r="A1175" s="7" t="str">
        <f>IFERROR(VLOOKUP(H1175,'Contas Orç'!A:B,2,0),"N/A")</f>
        <v>PF-OUTROS SERVICOS CONTRATADOS-PF</v>
      </c>
      <c r="B1175" s="7" t="str">
        <f t="shared" si="36"/>
        <v>320202003 - PF-OUTROS SERVICOS CONTRATADOS-PF</v>
      </c>
      <c r="C1175" s="25">
        <f t="shared" si="37"/>
        <v>44682</v>
      </c>
      <c r="D1175" s="27">
        <f>IF(K1175="CREDITO",Q1175,Q1175*-1)</f>
        <v>3560</v>
      </c>
      <c r="E1175" t="s">
        <v>894</v>
      </c>
      <c r="F1175" t="s">
        <v>1669</v>
      </c>
      <c r="G1175" s="8">
        <v>44682</v>
      </c>
      <c r="H1175" t="s">
        <v>531</v>
      </c>
      <c r="I1175" t="s">
        <v>59</v>
      </c>
      <c r="J1175" t="s">
        <v>661</v>
      </c>
      <c r="K1175" t="s">
        <v>29</v>
      </c>
      <c r="L1175" t="s">
        <v>895</v>
      </c>
      <c r="M1175" t="s">
        <v>4402</v>
      </c>
      <c r="O1175" t="s">
        <v>896</v>
      </c>
      <c r="P1175" t="s">
        <v>33</v>
      </c>
      <c r="Q1175" s="22">
        <v>3560</v>
      </c>
      <c r="R1175" t="s">
        <v>35</v>
      </c>
      <c r="S1175" t="s">
        <v>35</v>
      </c>
      <c r="T1175" t="s">
        <v>35</v>
      </c>
      <c r="U1175" t="s">
        <v>35</v>
      </c>
      <c r="V1175" t="s">
        <v>645</v>
      </c>
      <c r="W1175" t="s">
        <v>113</v>
      </c>
    </row>
    <row r="1176" spans="1:23" hidden="1" x14ac:dyDescent="0.25">
      <c r="A1176" s="7" t="str">
        <f>IFERROR(VLOOKUP(H1176,'Contas Orç'!A:B,2,0),"N/A")</f>
        <v>PF-OUTROS SERVICOS CONTRATADOS-PF</v>
      </c>
      <c r="B1176" s="7" t="str">
        <f t="shared" si="36"/>
        <v>320202003 - PF-OUTROS SERVICOS CONTRATADOS-PF</v>
      </c>
      <c r="C1176" s="25">
        <f t="shared" si="37"/>
        <v>44713</v>
      </c>
      <c r="D1176" s="27">
        <f>IF(K1176="CREDITO",Q1176,Q1176*-1)</f>
        <v>392</v>
      </c>
      <c r="E1176" t="s">
        <v>894</v>
      </c>
      <c r="F1176" t="s">
        <v>1670</v>
      </c>
      <c r="G1176" s="8">
        <v>44713</v>
      </c>
      <c r="H1176" t="s">
        <v>531</v>
      </c>
      <c r="I1176" t="s">
        <v>59</v>
      </c>
      <c r="J1176" t="s">
        <v>60</v>
      </c>
      <c r="K1176" t="s">
        <v>29</v>
      </c>
      <c r="L1176" t="s">
        <v>895</v>
      </c>
      <c r="M1176" t="s">
        <v>4402</v>
      </c>
      <c r="O1176" t="s">
        <v>896</v>
      </c>
      <c r="P1176" t="s">
        <v>33</v>
      </c>
      <c r="Q1176">
        <v>392</v>
      </c>
      <c r="R1176" t="s">
        <v>35</v>
      </c>
      <c r="S1176" t="s">
        <v>35</v>
      </c>
      <c r="T1176" t="s">
        <v>35</v>
      </c>
      <c r="U1176" t="s">
        <v>35</v>
      </c>
      <c r="V1176" t="s">
        <v>645</v>
      </c>
      <c r="W1176" t="s">
        <v>113</v>
      </c>
    </row>
    <row r="1177" spans="1:23" hidden="1" x14ac:dyDescent="0.25">
      <c r="A1177" s="7" t="str">
        <f>IFERROR(VLOOKUP(H1177,'Contas Orç'!A:B,2,0),"N/A")</f>
        <v>PF-OUTROS SERVICOS CONTRATADOS-PF</v>
      </c>
      <c r="B1177" s="7" t="str">
        <f t="shared" si="36"/>
        <v>320202003 - PF-OUTROS SERVICOS CONTRATADOS-PF</v>
      </c>
      <c r="C1177" s="25">
        <f t="shared" si="37"/>
        <v>44713</v>
      </c>
      <c r="D1177" s="27">
        <f>IF(K1177="CREDITO",Q1177,Q1177*-1)</f>
        <v>7680</v>
      </c>
      <c r="E1177" t="s">
        <v>894</v>
      </c>
      <c r="F1177" t="s">
        <v>1671</v>
      </c>
      <c r="G1177" s="8">
        <v>44713</v>
      </c>
      <c r="H1177" t="s">
        <v>531</v>
      </c>
      <c r="I1177" t="s">
        <v>59</v>
      </c>
      <c r="J1177" t="s">
        <v>661</v>
      </c>
      <c r="K1177" t="s">
        <v>29</v>
      </c>
      <c r="L1177" t="s">
        <v>895</v>
      </c>
      <c r="M1177" t="s">
        <v>4402</v>
      </c>
      <c r="O1177" t="s">
        <v>896</v>
      </c>
      <c r="P1177" t="s">
        <v>33</v>
      </c>
      <c r="Q1177" s="22">
        <v>7680</v>
      </c>
      <c r="R1177" t="s">
        <v>35</v>
      </c>
      <c r="S1177" t="s">
        <v>35</v>
      </c>
      <c r="T1177" t="s">
        <v>35</v>
      </c>
      <c r="U1177" t="s">
        <v>35</v>
      </c>
      <c r="V1177" t="s">
        <v>645</v>
      </c>
      <c r="W1177" t="s">
        <v>113</v>
      </c>
    </row>
    <row r="1178" spans="1:23" hidden="1" x14ac:dyDescent="0.25">
      <c r="A1178" s="7" t="str">
        <f>IFERROR(VLOOKUP(H1178,'Contas Orç'!A:B,2,0),"N/A")</f>
        <v>PF-OUTROS SERVICOS CONTRATADOS-PF</v>
      </c>
      <c r="B1178" s="7" t="str">
        <f t="shared" si="36"/>
        <v>320202003 - PF-OUTROS SERVICOS CONTRATADOS-PF</v>
      </c>
      <c r="C1178" s="25">
        <f t="shared" si="37"/>
        <v>44774</v>
      </c>
      <c r="D1178" s="27">
        <f>IF(K1178="CREDITO",Q1178,Q1178*-1)</f>
        <v>2280</v>
      </c>
      <c r="E1178" t="s">
        <v>894</v>
      </c>
      <c r="F1178" t="s">
        <v>1672</v>
      </c>
      <c r="G1178" s="8">
        <v>44774</v>
      </c>
      <c r="H1178" t="s">
        <v>531</v>
      </c>
      <c r="I1178" t="s">
        <v>59</v>
      </c>
      <c r="J1178" t="s">
        <v>661</v>
      </c>
      <c r="K1178" t="s">
        <v>29</v>
      </c>
      <c r="L1178" t="s">
        <v>895</v>
      </c>
      <c r="M1178" t="s">
        <v>4402</v>
      </c>
      <c r="O1178" t="s">
        <v>896</v>
      </c>
      <c r="P1178" t="s">
        <v>33</v>
      </c>
      <c r="Q1178" s="22">
        <v>2280</v>
      </c>
      <c r="R1178" t="s">
        <v>35</v>
      </c>
      <c r="S1178" t="s">
        <v>35</v>
      </c>
      <c r="T1178" t="s">
        <v>35</v>
      </c>
      <c r="U1178" t="s">
        <v>35</v>
      </c>
      <c r="V1178" t="s">
        <v>645</v>
      </c>
      <c r="W1178" t="s">
        <v>113</v>
      </c>
    </row>
    <row r="1179" spans="1:23" hidden="1" x14ac:dyDescent="0.25">
      <c r="A1179" s="7" t="str">
        <f>IFERROR(VLOOKUP(H1179,'Contas Orç'!A:B,2,0),"N/A")</f>
        <v>PF-OUTROS SERVICOS CONTRATADOS-PF</v>
      </c>
      <c r="B1179" s="7" t="str">
        <f t="shared" si="36"/>
        <v>320202003 - PF-OUTROS SERVICOS CONTRATADOS-PF</v>
      </c>
      <c r="C1179" s="25">
        <f t="shared" si="37"/>
        <v>44805</v>
      </c>
      <c r="D1179" s="27">
        <f>IF(K1179="CREDITO",Q1179,Q1179*-1)</f>
        <v>4570</v>
      </c>
      <c r="E1179" t="s">
        <v>894</v>
      </c>
      <c r="F1179" t="s">
        <v>1673</v>
      </c>
      <c r="G1179" s="8">
        <v>44805</v>
      </c>
      <c r="H1179" t="s">
        <v>531</v>
      </c>
      <c r="I1179" t="s">
        <v>59</v>
      </c>
      <c r="J1179" t="s">
        <v>661</v>
      </c>
      <c r="K1179" t="s">
        <v>29</v>
      </c>
      <c r="L1179" t="s">
        <v>895</v>
      </c>
      <c r="M1179" t="s">
        <v>4402</v>
      </c>
      <c r="O1179" t="s">
        <v>896</v>
      </c>
      <c r="P1179" t="s">
        <v>33</v>
      </c>
      <c r="Q1179" s="22">
        <v>4570</v>
      </c>
      <c r="R1179" t="s">
        <v>35</v>
      </c>
      <c r="S1179" t="s">
        <v>35</v>
      </c>
      <c r="T1179" t="s">
        <v>35</v>
      </c>
      <c r="U1179" t="s">
        <v>35</v>
      </c>
      <c r="V1179" t="s">
        <v>645</v>
      </c>
      <c r="W1179" t="s">
        <v>113</v>
      </c>
    </row>
    <row r="1180" spans="1:23" hidden="1" x14ac:dyDescent="0.25">
      <c r="A1180" s="7" t="str">
        <f>IFERROR(VLOOKUP(H1180,'Contas Orç'!A:B,2,0),"N/A")</f>
        <v>PF-OUTROS SERVICOS CONTRATADOS-PF</v>
      </c>
      <c r="B1180" s="7" t="str">
        <f t="shared" si="36"/>
        <v>320202003 - PF-OUTROS SERVICOS CONTRATADOS-PF</v>
      </c>
      <c r="C1180" s="25">
        <f t="shared" si="37"/>
        <v>44835</v>
      </c>
      <c r="D1180" s="27">
        <f>IF(K1180="CREDITO",Q1180,Q1180*-1)</f>
        <v>4615.7</v>
      </c>
      <c r="E1180" t="s">
        <v>894</v>
      </c>
      <c r="F1180" t="s">
        <v>1674</v>
      </c>
      <c r="G1180" s="8">
        <v>44835</v>
      </c>
      <c r="H1180" t="s">
        <v>531</v>
      </c>
      <c r="I1180" t="s">
        <v>59</v>
      </c>
      <c r="J1180" t="s">
        <v>661</v>
      </c>
      <c r="K1180" t="s">
        <v>29</v>
      </c>
      <c r="L1180" t="s">
        <v>895</v>
      </c>
      <c r="M1180" t="s">
        <v>4402</v>
      </c>
      <c r="O1180" t="s">
        <v>896</v>
      </c>
      <c r="P1180" t="s">
        <v>33</v>
      </c>
      <c r="Q1180" s="22">
        <v>4615.7</v>
      </c>
      <c r="R1180" t="s">
        <v>35</v>
      </c>
      <c r="S1180" t="s">
        <v>35</v>
      </c>
      <c r="T1180" t="s">
        <v>35</v>
      </c>
      <c r="U1180" t="s">
        <v>35</v>
      </c>
      <c r="V1180" t="s">
        <v>645</v>
      </c>
      <c r="W1180" t="s">
        <v>113</v>
      </c>
    </row>
    <row r="1181" spans="1:23" hidden="1" x14ac:dyDescent="0.25">
      <c r="A1181" s="7" t="str">
        <f>IFERROR(VLOOKUP(H1181,'Contas Orç'!A:B,2,0),"N/A")</f>
        <v>PF-OUTROS SERVICOS CONTRATADOS-PF</v>
      </c>
      <c r="B1181" s="7" t="str">
        <f t="shared" si="36"/>
        <v>320202003 - PF-OUTROS SERVICOS CONTRATADOS-PF</v>
      </c>
      <c r="C1181" s="25">
        <f t="shared" si="37"/>
        <v>44866</v>
      </c>
      <c r="D1181" s="27">
        <f>IF(K1181="CREDITO",Q1181,Q1181*-1)</f>
        <v>4661.8599999999997</v>
      </c>
      <c r="E1181" t="s">
        <v>894</v>
      </c>
      <c r="F1181" t="s">
        <v>1675</v>
      </c>
      <c r="G1181" s="8">
        <v>44866</v>
      </c>
      <c r="H1181" t="s">
        <v>531</v>
      </c>
      <c r="I1181" t="s">
        <v>59</v>
      </c>
      <c r="J1181" t="s">
        <v>661</v>
      </c>
      <c r="K1181" t="s">
        <v>29</v>
      </c>
      <c r="L1181" t="s">
        <v>895</v>
      </c>
      <c r="M1181" t="s">
        <v>4402</v>
      </c>
      <c r="O1181" t="s">
        <v>896</v>
      </c>
      <c r="P1181" t="s">
        <v>33</v>
      </c>
      <c r="Q1181" s="22">
        <v>4661.8599999999997</v>
      </c>
      <c r="R1181" t="s">
        <v>35</v>
      </c>
      <c r="S1181" t="s">
        <v>35</v>
      </c>
      <c r="T1181" t="s">
        <v>35</v>
      </c>
      <c r="U1181" t="s">
        <v>35</v>
      </c>
      <c r="V1181" t="s">
        <v>645</v>
      </c>
      <c r="W1181" t="s">
        <v>113</v>
      </c>
    </row>
    <row r="1182" spans="1:23" hidden="1" x14ac:dyDescent="0.25">
      <c r="A1182" s="7" t="str">
        <f>IFERROR(VLOOKUP(H1182,'Contas Orç'!A:B,2,0),"N/A")</f>
        <v>PF-OUTROS SERVICOS CONTRATADOS-PF</v>
      </c>
      <c r="B1182" s="7" t="str">
        <f t="shared" si="36"/>
        <v>320202003 - PF-OUTROS SERVICOS CONTRATADOS-PF</v>
      </c>
      <c r="C1182" s="25">
        <f t="shared" si="37"/>
        <v>44896</v>
      </c>
      <c r="D1182" s="27">
        <f>IF(K1182="CREDITO",Q1182,Q1182*-1)</f>
        <v>4708.4799999999996</v>
      </c>
      <c r="E1182" t="s">
        <v>894</v>
      </c>
      <c r="F1182" t="s">
        <v>1676</v>
      </c>
      <c r="G1182" s="8">
        <v>44896</v>
      </c>
      <c r="H1182" t="s">
        <v>531</v>
      </c>
      <c r="I1182" t="s">
        <v>59</v>
      </c>
      <c r="J1182" t="s">
        <v>661</v>
      </c>
      <c r="K1182" t="s">
        <v>29</v>
      </c>
      <c r="L1182" t="s">
        <v>895</v>
      </c>
      <c r="M1182" t="s">
        <v>4402</v>
      </c>
      <c r="O1182" t="s">
        <v>896</v>
      </c>
      <c r="P1182" t="s">
        <v>33</v>
      </c>
      <c r="Q1182" s="22">
        <v>4708.4799999999996</v>
      </c>
      <c r="R1182" t="s">
        <v>35</v>
      </c>
      <c r="S1182" t="s">
        <v>35</v>
      </c>
      <c r="T1182" t="s">
        <v>35</v>
      </c>
      <c r="U1182" t="s">
        <v>35</v>
      </c>
      <c r="V1182" t="s">
        <v>645</v>
      </c>
      <c r="W1182" t="s">
        <v>113</v>
      </c>
    </row>
    <row r="1183" spans="1:23" hidden="1" x14ac:dyDescent="0.25">
      <c r="A1183" s="7" t="str">
        <f>IFERROR(VLOOKUP(H1183,'Contas Orç'!A:B,2,0),"N/A")</f>
        <v>COMBUSTIVEIS</v>
      </c>
      <c r="B1183" s="7" t="str">
        <f t="shared" si="36"/>
        <v>320301001 - COMBUSTIVEIS</v>
      </c>
      <c r="C1183" s="25">
        <f t="shared" si="37"/>
        <v>44562</v>
      </c>
      <c r="D1183" s="27">
        <f>IF(K1183="CREDITO",Q1183,Q1183*-1)</f>
        <v>1446.93</v>
      </c>
      <c r="E1183" t="s">
        <v>894</v>
      </c>
      <c r="F1183" t="s">
        <v>1677</v>
      </c>
      <c r="G1183" s="8">
        <v>44562</v>
      </c>
      <c r="H1183" t="s">
        <v>205</v>
      </c>
      <c r="I1183" t="s">
        <v>88</v>
      </c>
      <c r="J1183" t="s">
        <v>28</v>
      </c>
      <c r="K1183" t="s">
        <v>29</v>
      </c>
      <c r="L1183" t="s">
        <v>895</v>
      </c>
      <c r="M1183" t="s">
        <v>4402</v>
      </c>
      <c r="O1183" t="s">
        <v>896</v>
      </c>
      <c r="P1183" t="s">
        <v>33</v>
      </c>
      <c r="Q1183" s="22">
        <v>1446.93</v>
      </c>
      <c r="R1183" t="s">
        <v>35</v>
      </c>
      <c r="S1183" t="s">
        <v>35</v>
      </c>
      <c r="T1183" t="s">
        <v>35</v>
      </c>
      <c r="U1183" t="s">
        <v>35</v>
      </c>
      <c r="V1183" t="s">
        <v>645</v>
      </c>
      <c r="W1183" t="s">
        <v>113</v>
      </c>
    </row>
    <row r="1184" spans="1:23" hidden="1" x14ac:dyDescent="0.25">
      <c r="A1184" s="7" t="str">
        <f>IFERROR(VLOOKUP(H1184,'Contas Orç'!A:B,2,0),"N/A")</f>
        <v>COMBUSTIVEIS</v>
      </c>
      <c r="B1184" s="7" t="str">
        <f t="shared" si="36"/>
        <v>320301001 - COMBUSTIVEIS</v>
      </c>
      <c r="C1184" s="25">
        <f t="shared" si="37"/>
        <v>44562</v>
      </c>
      <c r="D1184" s="27">
        <f>IF(K1184="CREDITO",Q1184,Q1184*-1)</f>
        <v>182445.07</v>
      </c>
      <c r="E1184" t="s">
        <v>894</v>
      </c>
      <c r="F1184" t="s">
        <v>1678</v>
      </c>
      <c r="G1184" s="8">
        <v>44562</v>
      </c>
      <c r="H1184" t="s">
        <v>205</v>
      </c>
      <c r="I1184" t="s">
        <v>27</v>
      </c>
      <c r="J1184" t="s">
        <v>28</v>
      </c>
      <c r="K1184" t="s">
        <v>29</v>
      </c>
      <c r="L1184" t="s">
        <v>895</v>
      </c>
      <c r="M1184" t="s">
        <v>4402</v>
      </c>
      <c r="O1184" t="s">
        <v>896</v>
      </c>
      <c r="P1184" t="s">
        <v>33</v>
      </c>
      <c r="Q1184" s="22">
        <v>182445.07</v>
      </c>
      <c r="R1184" t="s">
        <v>35</v>
      </c>
      <c r="S1184" t="s">
        <v>35</v>
      </c>
      <c r="T1184" t="s">
        <v>35</v>
      </c>
      <c r="U1184" t="s">
        <v>35</v>
      </c>
      <c r="V1184" t="s">
        <v>645</v>
      </c>
      <c r="W1184" t="s">
        <v>113</v>
      </c>
    </row>
    <row r="1185" spans="1:23" hidden="1" x14ac:dyDescent="0.25">
      <c r="A1185" s="7" t="str">
        <f>IFERROR(VLOOKUP(H1185,'Contas Orç'!A:B,2,0),"N/A")</f>
        <v>COMBUSTIVEIS</v>
      </c>
      <c r="B1185" s="7" t="str">
        <f t="shared" si="36"/>
        <v>320301001 - COMBUSTIVEIS</v>
      </c>
      <c r="C1185" s="25">
        <f t="shared" si="37"/>
        <v>44562</v>
      </c>
      <c r="D1185" s="27">
        <f>IF(K1185="CREDITO",Q1185,Q1185*-1)</f>
        <v>1618.28</v>
      </c>
      <c r="E1185" t="s">
        <v>894</v>
      </c>
      <c r="F1185" t="s">
        <v>1679</v>
      </c>
      <c r="G1185" s="8">
        <v>44562</v>
      </c>
      <c r="H1185" t="s">
        <v>205</v>
      </c>
      <c r="I1185" t="s">
        <v>59</v>
      </c>
      <c r="J1185" t="s">
        <v>28</v>
      </c>
      <c r="K1185" t="s">
        <v>29</v>
      </c>
      <c r="L1185" t="s">
        <v>895</v>
      </c>
      <c r="M1185" t="s">
        <v>4402</v>
      </c>
      <c r="O1185" t="s">
        <v>896</v>
      </c>
      <c r="P1185" t="s">
        <v>33</v>
      </c>
      <c r="Q1185" s="22">
        <v>1618.28</v>
      </c>
      <c r="R1185" t="s">
        <v>35</v>
      </c>
      <c r="S1185" t="s">
        <v>35</v>
      </c>
      <c r="T1185" t="s">
        <v>35</v>
      </c>
      <c r="U1185" t="s">
        <v>35</v>
      </c>
      <c r="V1185" t="s">
        <v>645</v>
      </c>
      <c r="W1185" t="s">
        <v>113</v>
      </c>
    </row>
    <row r="1186" spans="1:23" hidden="1" x14ac:dyDescent="0.25">
      <c r="A1186" s="7" t="str">
        <f>IFERROR(VLOOKUP(H1186,'Contas Orç'!A:B,2,0),"N/A")</f>
        <v>COMBUSTIVEIS</v>
      </c>
      <c r="B1186" s="7" t="str">
        <f t="shared" si="36"/>
        <v>320301001 - COMBUSTIVEIS</v>
      </c>
      <c r="C1186" s="25">
        <f t="shared" si="37"/>
        <v>44562</v>
      </c>
      <c r="D1186" s="27">
        <f>IF(K1186="CREDITO",Q1186,Q1186*-1)</f>
        <v>4832.74</v>
      </c>
      <c r="E1186" t="s">
        <v>894</v>
      </c>
      <c r="F1186" t="s">
        <v>1680</v>
      </c>
      <c r="G1186" s="8">
        <v>44562</v>
      </c>
      <c r="H1186" t="s">
        <v>205</v>
      </c>
      <c r="I1186" t="s">
        <v>88</v>
      </c>
      <c r="J1186" t="s">
        <v>60</v>
      </c>
      <c r="K1186" t="s">
        <v>29</v>
      </c>
      <c r="L1186" t="s">
        <v>895</v>
      </c>
      <c r="M1186" t="s">
        <v>4402</v>
      </c>
      <c r="O1186" t="s">
        <v>896</v>
      </c>
      <c r="P1186" t="s">
        <v>33</v>
      </c>
      <c r="Q1186" s="22">
        <v>4832.74</v>
      </c>
      <c r="R1186" t="s">
        <v>35</v>
      </c>
      <c r="S1186" t="s">
        <v>35</v>
      </c>
      <c r="T1186" t="s">
        <v>35</v>
      </c>
      <c r="U1186" t="s">
        <v>35</v>
      </c>
      <c r="V1186" t="s">
        <v>645</v>
      </c>
      <c r="W1186" t="s">
        <v>113</v>
      </c>
    </row>
    <row r="1187" spans="1:23" hidden="1" x14ac:dyDescent="0.25">
      <c r="A1187" s="7" t="str">
        <f>IFERROR(VLOOKUP(H1187,'Contas Orç'!A:B,2,0),"N/A")</f>
        <v>COMBUSTIVEIS</v>
      </c>
      <c r="B1187" s="7" t="str">
        <f t="shared" si="36"/>
        <v>320301001 - COMBUSTIVEIS</v>
      </c>
      <c r="C1187" s="25">
        <f t="shared" si="37"/>
        <v>44562</v>
      </c>
      <c r="D1187" s="27">
        <f>IF(K1187="CREDITO",Q1187,Q1187*-1)</f>
        <v>200071.5</v>
      </c>
      <c r="E1187" t="s">
        <v>894</v>
      </c>
      <c r="F1187" t="s">
        <v>1681</v>
      </c>
      <c r="G1187" s="8">
        <v>44562</v>
      </c>
      <c r="H1187" t="s">
        <v>205</v>
      </c>
      <c r="I1187" t="s">
        <v>106</v>
      </c>
      <c r="J1187" t="s">
        <v>60</v>
      </c>
      <c r="K1187" t="s">
        <v>29</v>
      </c>
      <c r="L1187" t="s">
        <v>895</v>
      </c>
      <c r="M1187" t="s">
        <v>4402</v>
      </c>
      <c r="O1187" t="s">
        <v>896</v>
      </c>
      <c r="P1187" t="s">
        <v>33</v>
      </c>
      <c r="Q1187" s="22">
        <v>200071.5</v>
      </c>
      <c r="R1187" t="s">
        <v>35</v>
      </c>
      <c r="S1187" t="s">
        <v>35</v>
      </c>
      <c r="T1187" t="s">
        <v>35</v>
      </c>
      <c r="U1187" t="s">
        <v>35</v>
      </c>
      <c r="V1187" t="s">
        <v>645</v>
      </c>
      <c r="W1187" t="s">
        <v>113</v>
      </c>
    </row>
    <row r="1188" spans="1:23" hidden="1" x14ac:dyDescent="0.25">
      <c r="A1188" s="7" t="str">
        <f>IFERROR(VLOOKUP(H1188,'Contas Orç'!A:B,2,0),"N/A")</f>
        <v>COMBUSTIVEIS</v>
      </c>
      <c r="B1188" s="7" t="str">
        <f t="shared" si="36"/>
        <v>320301001 - COMBUSTIVEIS</v>
      </c>
      <c r="C1188" s="25">
        <f t="shared" si="37"/>
        <v>44562</v>
      </c>
      <c r="D1188" s="27">
        <f>IF(K1188="CREDITO",Q1188,Q1188*-1)</f>
        <v>227112.85</v>
      </c>
      <c r="E1188" t="s">
        <v>894</v>
      </c>
      <c r="F1188" t="s">
        <v>1682</v>
      </c>
      <c r="G1188" s="8">
        <v>44562</v>
      </c>
      <c r="H1188" t="s">
        <v>205</v>
      </c>
      <c r="I1188" t="s">
        <v>59</v>
      </c>
      <c r="J1188" t="s">
        <v>60</v>
      </c>
      <c r="K1188" t="s">
        <v>29</v>
      </c>
      <c r="L1188" t="s">
        <v>895</v>
      </c>
      <c r="M1188" t="s">
        <v>4402</v>
      </c>
      <c r="O1188" t="s">
        <v>896</v>
      </c>
      <c r="P1188" t="s">
        <v>33</v>
      </c>
      <c r="Q1188" s="22">
        <v>227112.85</v>
      </c>
      <c r="R1188" t="s">
        <v>35</v>
      </c>
      <c r="S1188" t="s">
        <v>35</v>
      </c>
      <c r="T1188" t="s">
        <v>35</v>
      </c>
      <c r="U1188" t="s">
        <v>35</v>
      </c>
      <c r="V1188" t="s">
        <v>645</v>
      </c>
      <c r="W1188" t="s">
        <v>113</v>
      </c>
    </row>
    <row r="1189" spans="1:23" hidden="1" x14ac:dyDescent="0.25">
      <c r="A1189" s="7" t="str">
        <f>IFERROR(VLOOKUP(H1189,'Contas Orç'!A:B,2,0),"N/A")</f>
        <v>COMBUSTIVEIS</v>
      </c>
      <c r="B1189" s="7" t="str">
        <f t="shared" si="36"/>
        <v>320301001 - COMBUSTIVEIS</v>
      </c>
      <c r="C1189" s="25">
        <f t="shared" si="37"/>
        <v>44562</v>
      </c>
      <c r="D1189" s="27">
        <f>IF(K1189="CREDITO",Q1189,Q1189*-1)</f>
        <v>631.67999999999995</v>
      </c>
      <c r="E1189" t="s">
        <v>894</v>
      </c>
      <c r="F1189" t="s">
        <v>1683</v>
      </c>
      <c r="G1189" s="8">
        <v>44562</v>
      </c>
      <c r="H1189" t="s">
        <v>205</v>
      </c>
      <c r="I1189" t="s">
        <v>59</v>
      </c>
      <c r="J1189" t="s">
        <v>107</v>
      </c>
      <c r="K1189" t="s">
        <v>29</v>
      </c>
      <c r="L1189" t="s">
        <v>895</v>
      </c>
      <c r="M1189" t="s">
        <v>4402</v>
      </c>
      <c r="O1189" t="s">
        <v>896</v>
      </c>
      <c r="P1189" t="s">
        <v>33</v>
      </c>
      <c r="Q1189">
        <v>631.67999999999995</v>
      </c>
      <c r="R1189" t="s">
        <v>35</v>
      </c>
      <c r="S1189" t="s">
        <v>35</v>
      </c>
      <c r="T1189" t="s">
        <v>35</v>
      </c>
      <c r="U1189" t="s">
        <v>35</v>
      </c>
      <c r="V1189" t="s">
        <v>645</v>
      </c>
      <c r="W1189" t="s">
        <v>113</v>
      </c>
    </row>
    <row r="1190" spans="1:23" hidden="1" x14ac:dyDescent="0.25">
      <c r="A1190" s="7" t="str">
        <f>IFERROR(VLOOKUP(H1190,'Contas Orç'!A:B,2,0),"N/A")</f>
        <v>COMBUSTIVEIS</v>
      </c>
      <c r="B1190" s="7" t="str">
        <f t="shared" si="36"/>
        <v>320301001 - COMBUSTIVEIS</v>
      </c>
      <c r="C1190" s="25">
        <f t="shared" si="37"/>
        <v>44562</v>
      </c>
      <c r="D1190" s="27">
        <f>IF(K1190="CREDITO",Q1190,Q1190*-1)</f>
        <v>6883.47</v>
      </c>
      <c r="E1190" t="s">
        <v>894</v>
      </c>
      <c r="F1190" t="s">
        <v>1684</v>
      </c>
      <c r="G1190" s="8">
        <v>44562</v>
      </c>
      <c r="H1190" t="s">
        <v>205</v>
      </c>
      <c r="I1190" t="s">
        <v>53</v>
      </c>
      <c r="J1190" t="s">
        <v>54</v>
      </c>
      <c r="K1190" t="s">
        <v>29</v>
      </c>
      <c r="L1190" t="s">
        <v>895</v>
      </c>
      <c r="M1190" t="s">
        <v>4402</v>
      </c>
      <c r="O1190" t="s">
        <v>896</v>
      </c>
      <c r="P1190" t="s">
        <v>33</v>
      </c>
      <c r="Q1190" s="22">
        <v>6883.47</v>
      </c>
      <c r="R1190" t="s">
        <v>35</v>
      </c>
      <c r="S1190" t="s">
        <v>35</v>
      </c>
      <c r="T1190" t="s">
        <v>35</v>
      </c>
      <c r="U1190" t="s">
        <v>35</v>
      </c>
      <c r="V1190" t="s">
        <v>645</v>
      </c>
      <c r="W1190" t="s">
        <v>113</v>
      </c>
    </row>
    <row r="1191" spans="1:23" hidden="1" x14ac:dyDescent="0.25">
      <c r="A1191" s="7" t="str">
        <f>IFERROR(VLOOKUP(H1191,'Contas Orç'!A:B,2,0),"N/A")</f>
        <v>COMBUSTIVEIS</v>
      </c>
      <c r="B1191" s="7" t="str">
        <f t="shared" si="36"/>
        <v>320301001 - COMBUSTIVEIS</v>
      </c>
      <c r="C1191" s="25">
        <f t="shared" si="37"/>
        <v>44593</v>
      </c>
      <c r="D1191" s="27">
        <f>IF(K1191="CREDITO",Q1191,Q1191*-1)</f>
        <v>1294.5999999999999</v>
      </c>
      <c r="E1191" t="s">
        <v>894</v>
      </c>
      <c r="F1191" t="s">
        <v>1685</v>
      </c>
      <c r="G1191" s="8">
        <v>44593</v>
      </c>
      <c r="H1191" t="s">
        <v>205</v>
      </c>
      <c r="I1191" t="s">
        <v>88</v>
      </c>
      <c r="J1191" t="s">
        <v>28</v>
      </c>
      <c r="K1191" t="s">
        <v>29</v>
      </c>
      <c r="L1191" t="s">
        <v>895</v>
      </c>
      <c r="M1191" t="s">
        <v>4402</v>
      </c>
      <c r="O1191" t="s">
        <v>896</v>
      </c>
      <c r="P1191" t="s">
        <v>33</v>
      </c>
      <c r="Q1191" s="22">
        <v>1294.5999999999999</v>
      </c>
      <c r="R1191" t="s">
        <v>35</v>
      </c>
      <c r="S1191" t="s">
        <v>35</v>
      </c>
      <c r="T1191" t="s">
        <v>35</v>
      </c>
      <c r="U1191" t="s">
        <v>35</v>
      </c>
      <c r="V1191" t="s">
        <v>645</v>
      </c>
      <c r="W1191" t="s">
        <v>113</v>
      </c>
    </row>
    <row r="1192" spans="1:23" hidden="1" x14ac:dyDescent="0.25">
      <c r="A1192" s="7" t="str">
        <f>IFERROR(VLOOKUP(H1192,'Contas Orç'!A:B,2,0),"N/A")</f>
        <v>COMBUSTIVEIS</v>
      </c>
      <c r="B1192" s="7" t="str">
        <f t="shared" si="36"/>
        <v>320301001 - COMBUSTIVEIS</v>
      </c>
      <c r="C1192" s="25">
        <f t="shared" si="37"/>
        <v>44593</v>
      </c>
      <c r="D1192" s="27">
        <f>IF(K1192="CREDITO",Q1192,Q1192*-1)</f>
        <v>159488.20000000001</v>
      </c>
      <c r="E1192" t="s">
        <v>894</v>
      </c>
      <c r="F1192" t="s">
        <v>1686</v>
      </c>
      <c r="G1192" s="8">
        <v>44593</v>
      </c>
      <c r="H1192" t="s">
        <v>205</v>
      </c>
      <c r="I1192" t="s">
        <v>27</v>
      </c>
      <c r="J1192" t="s">
        <v>28</v>
      </c>
      <c r="K1192" t="s">
        <v>29</v>
      </c>
      <c r="L1192" t="s">
        <v>895</v>
      </c>
      <c r="M1192" t="s">
        <v>4402</v>
      </c>
      <c r="O1192" t="s">
        <v>896</v>
      </c>
      <c r="P1192" t="s">
        <v>33</v>
      </c>
      <c r="Q1192" s="22">
        <v>159488.20000000001</v>
      </c>
      <c r="R1192" t="s">
        <v>35</v>
      </c>
      <c r="S1192" t="s">
        <v>35</v>
      </c>
      <c r="T1192" t="s">
        <v>35</v>
      </c>
      <c r="U1192" t="s">
        <v>35</v>
      </c>
      <c r="V1192" t="s">
        <v>645</v>
      </c>
      <c r="W1192" t="s">
        <v>113</v>
      </c>
    </row>
    <row r="1193" spans="1:23" hidden="1" x14ac:dyDescent="0.25">
      <c r="A1193" s="7" t="str">
        <f>IFERROR(VLOOKUP(H1193,'Contas Orç'!A:B,2,0),"N/A")</f>
        <v>COMBUSTIVEIS</v>
      </c>
      <c r="B1193" s="7" t="str">
        <f t="shared" si="36"/>
        <v>320301001 - COMBUSTIVEIS</v>
      </c>
      <c r="C1193" s="25">
        <f t="shared" si="37"/>
        <v>44593</v>
      </c>
      <c r="D1193" s="27">
        <f>IF(K1193="CREDITO",Q1193,Q1193*-1)</f>
        <v>2388.4899999999998</v>
      </c>
      <c r="E1193" t="s">
        <v>894</v>
      </c>
      <c r="F1193" t="s">
        <v>1687</v>
      </c>
      <c r="G1193" s="8">
        <v>44593</v>
      </c>
      <c r="H1193" t="s">
        <v>205</v>
      </c>
      <c r="I1193" t="s">
        <v>59</v>
      </c>
      <c r="J1193" t="s">
        <v>28</v>
      </c>
      <c r="K1193" t="s">
        <v>29</v>
      </c>
      <c r="L1193" t="s">
        <v>895</v>
      </c>
      <c r="M1193" t="s">
        <v>4402</v>
      </c>
      <c r="O1193" t="s">
        <v>896</v>
      </c>
      <c r="P1193" t="s">
        <v>33</v>
      </c>
      <c r="Q1193" s="22">
        <v>2388.4899999999998</v>
      </c>
      <c r="R1193" t="s">
        <v>35</v>
      </c>
      <c r="S1193" t="s">
        <v>35</v>
      </c>
      <c r="T1193" t="s">
        <v>35</v>
      </c>
      <c r="U1193" t="s">
        <v>35</v>
      </c>
      <c r="V1193" t="s">
        <v>645</v>
      </c>
      <c r="W1193" t="s">
        <v>113</v>
      </c>
    </row>
    <row r="1194" spans="1:23" hidden="1" x14ac:dyDescent="0.25">
      <c r="A1194" s="7" t="str">
        <f>IFERROR(VLOOKUP(H1194,'Contas Orç'!A:B,2,0),"N/A")</f>
        <v>COMBUSTIVEIS</v>
      </c>
      <c r="B1194" s="7" t="str">
        <f t="shared" si="36"/>
        <v>320301001 - COMBUSTIVEIS</v>
      </c>
      <c r="C1194" s="25">
        <f t="shared" si="37"/>
        <v>44593</v>
      </c>
      <c r="D1194" s="27">
        <f>IF(K1194="CREDITO",Q1194,Q1194*-1)</f>
        <v>7431.8</v>
      </c>
      <c r="E1194" t="s">
        <v>894</v>
      </c>
      <c r="F1194" t="s">
        <v>1688</v>
      </c>
      <c r="G1194" s="8">
        <v>44593</v>
      </c>
      <c r="H1194" t="s">
        <v>205</v>
      </c>
      <c r="I1194" t="s">
        <v>88</v>
      </c>
      <c r="J1194" t="s">
        <v>60</v>
      </c>
      <c r="K1194" t="s">
        <v>29</v>
      </c>
      <c r="L1194" t="s">
        <v>895</v>
      </c>
      <c r="M1194" t="s">
        <v>4402</v>
      </c>
      <c r="O1194" t="s">
        <v>896</v>
      </c>
      <c r="P1194" t="s">
        <v>33</v>
      </c>
      <c r="Q1194" s="22">
        <v>7431.8</v>
      </c>
      <c r="R1194" t="s">
        <v>35</v>
      </c>
      <c r="S1194" t="s">
        <v>35</v>
      </c>
      <c r="T1194" t="s">
        <v>35</v>
      </c>
      <c r="U1194" t="s">
        <v>35</v>
      </c>
      <c r="V1194" t="s">
        <v>645</v>
      </c>
      <c r="W1194" t="s">
        <v>113</v>
      </c>
    </row>
    <row r="1195" spans="1:23" hidden="1" x14ac:dyDescent="0.25">
      <c r="A1195" s="7" t="str">
        <f>IFERROR(VLOOKUP(H1195,'Contas Orç'!A:B,2,0),"N/A")</f>
        <v>COMBUSTIVEIS</v>
      </c>
      <c r="B1195" s="7" t="str">
        <f t="shared" si="36"/>
        <v>320301001 - COMBUSTIVEIS</v>
      </c>
      <c r="C1195" s="25">
        <f t="shared" si="37"/>
        <v>44593</v>
      </c>
      <c r="D1195" s="27">
        <f>IF(K1195="CREDITO",Q1195,Q1195*-1)</f>
        <v>82238.53</v>
      </c>
      <c r="E1195" t="s">
        <v>894</v>
      </c>
      <c r="F1195" t="s">
        <v>1689</v>
      </c>
      <c r="G1195" s="8">
        <v>44593</v>
      </c>
      <c r="H1195" t="s">
        <v>205</v>
      </c>
      <c r="I1195" t="s">
        <v>106</v>
      </c>
      <c r="J1195" t="s">
        <v>60</v>
      </c>
      <c r="K1195" t="s">
        <v>29</v>
      </c>
      <c r="L1195" t="s">
        <v>895</v>
      </c>
      <c r="M1195" t="s">
        <v>4402</v>
      </c>
      <c r="O1195" t="s">
        <v>896</v>
      </c>
      <c r="P1195" t="s">
        <v>33</v>
      </c>
      <c r="Q1195" s="22">
        <v>82238.53</v>
      </c>
      <c r="R1195" t="s">
        <v>35</v>
      </c>
      <c r="S1195" t="s">
        <v>35</v>
      </c>
      <c r="T1195" t="s">
        <v>35</v>
      </c>
      <c r="U1195" t="s">
        <v>35</v>
      </c>
      <c r="V1195" t="s">
        <v>645</v>
      </c>
      <c r="W1195" t="s">
        <v>113</v>
      </c>
    </row>
    <row r="1196" spans="1:23" hidden="1" x14ac:dyDescent="0.25">
      <c r="A1196" s="7" t="str">
        <f>IFERROR(VLOOKUP(H1196,'Contas Orç'!A:B,2,0),"N/A")</f>
        <v>COMBUSTIVEIS</v>
      </c>
      <c r="B1196" s="7" t="str">
        <f t="shared" si="36"/>
        <v>320301001 - COMBUSTIVEIS</v>
      </c>
      <c r="C1196" s="25">
        <f t="shared" si="37"/>
        <v>44593</v>
      </c>
      <c r="D1196" s="27">
        <f>IF(K1196="CREDITO",Q1196,Q1196*-1)</f>
        <v>1064.4100000000001</v>
      </c>
      <c r="E1196" t="s">
        <v>894</v>
      </c>
      <c r="F1196" t="s">
        <v>1690</v>
      </c>
      <c r="G1196" s="8">
        <v>44593</v>
      </c>
      <c r="H1196" t="s">
        <v>205</v>
      </c>
      <c r="I1196" t="s">
        <v>27</v>
      </c>
      <c r="J1196" t="s">
        <v>60</v>
      </c>
      <c r="K1196" t="s">
        <v>29</v>
      </c>
      <c r="L1196" t="s">
        <v>895</v>
      </c>
      <c r="M1196" t="s">
        <v>4402</v>
      </c>
      <c r="O1196" t="s">
        <v>896</v>
      </c>
      <c r="P1196" t="s">
        <v>33</v>
      </c>
      <c r="Q1196" s="22">
        <v>1064.4100000000001</v>
      </c>
      <c r="R1196" t="s">
        <v>35</v>
      </c>
      <c r="S1196" t="s">
        <v>35</v>
      </c>
      <c r="T1196" t="s">
        <v>35</v>
      </c>
      <c r="U1196" t="s">
        <v>35</v>
      </c>
      <c r="V1196" t="s">
        <v>645</v>
      </c>
      <c r="W1196" t="s">
        <v>113</v>
      </c>
    </row>
    <row r="1197" spans="1:23" hidden="1" x14ac:dyDescent="0.25">
      <c r="A1197" s="7" t="str">
        <f>IFERROR(VLOOKUP(H1197,'Contas Orç'!A:B,2,0),"N/A")</f>
        <v>COMBUSTIVEIS</v>
      </c>
      <c r="B1197" s="7" t="str">
        <f t="shared" si="36"/>
        <v>320301001 - COMBUSTIVEIS</v>
      </c>
      <c r="C1197" s="25">
        <f t="shared" si="37"/>
        <v>44593</v>
      </c>
      <c r="D1197" s="27">
        <f>IF(K1197="CREDITO",Q1197,Q1197*-1)</f>
        <v>94170</v>
      </c>
      <c r="E1197" t="s">
        <v>894</v>
      </c>
      <c r="F1197" t="s">
        <v>1691</v>
      </c>
      <c r="G1197" s="8">
        <v>44593</v>
      </c>
      <c r="H1197" t="s">
        <v>205</v>
      </c>
      <c r="I1197" t="s">
        <v>59</v>
      </c>
      <c r="J1197" t="s">
        <v>60</v>
      </c>
      <c r="K1197" t="s">
        <v>29</v>
      </c>
      <c r="L1197" t="s">
        <v>895</v>
      </c>
      <c r="M1197" t="s">
        <v>4402</v>
      </c>
      <c r="O1197" t="s">
        <v>896</v>
      </c>
      <c r="P1197" t="s">
        <v>33</v>
      </c>
      <c r="Q1197" s="22">
        <v>94170</v>
      </c>
      <c r="R1197" t="s">
        <v>35</v>
      </c>
      <c r="S1197" t="s">
        <v>35</v>
      </c>
      <c r="T1197" t="s">
        <v>35</v>
      </c>
      <c r="U1197" t="s">
        <v>35</v>
      </c>
      <c r="V1197" t="s">
        <v>645</v>
      </c>
      <c r="W1197" t="s">
        <v>113</v>
      </c>
    </row>
    <row r="1198" spans="1:23" hidden="1" x14ac:dyDescent="0.25">
      <c r="A1198" s="7" t="str">
        <f>IFERROR(VLOOKUP(H1198,'Contas Orç'!A:B,2,0),"N/A")</f>
        <v>COMBUSTIVEIS</v>
      </c>
      <c r="B1198" s="7" t="str">
        <f t="shared" si="36"/>
        <v>320301001 - COMBUSTIVEIS</v>
      </c>
      <c r="C1198" s="25">
        <f t="shared" si="37"/>
        <v>44593</v>
      </c>
      <c r="D1198" s="27">
        <f>IF(K1198="CREDITO",Q1198,Q1198*-1)</f>
        <v>88.52</v>
      </c>
      <c r="E1198" t="s">
        <v>894</v>
      </c>
      <c r="F1198" t="s">
        <v>1692</v>
      </c>
      <c r="G1198" s="8">
        <v>44593</v>
      </c>
      <c r="H1198" t="s">
        <v>205</v>
      </c>
      <c r="I1198" t="s">
        <v>59</v>
      </c>
      <c r="J1198" t="s">
        <v>107</v>
      </c>
      <c r="K1198" t="s">
        <v>29</v>
      </c>
      <c r="L1198" t="s">
        <v>895</v>
      </c>
      <c r="M1198" t="s">
        <v>4402</v>
      </c>
      <c r="O1198" t="s">
        <v>896</v>
      </c>
      <c r="P1198" t="s">
        <v>33</v>
      </c>
      <c r="Q1198">
        <v>88.52</v>
      </c>
      <c r="R1198" t="s">
        <v>35</v>
      </c>
      <c r="S1198" t="s">
        <v>35</v>
      </c>
      <c r="T1198" t="s">
        <v>35</v>
      </c>
      <c r="U1198" t="s">
        <v>35</v>
      </c>
      <c r="V1198" t="s">
        <v>645</v>
      </c>
      <c r="W1198" t="s">
        <v>113</v>
      </c>
    </row>
    <row r="1199" spans="1:23" hidden="1" x14ac:dyDescent="0.25">
      <c r="A1199" s="7" t="str">
        <f>IFERROR(VLOOKUP(H1199,'Contas Orç'!A:B,2,0),"N/A")</f>
        <v>COMBUSTIVEIS</v>
      </c>
      <c r="B1199" s="7" t="str">
        <f t="shared" si="36"/>
        <v>320301001 - COMBUSTIVEIS</v>
      </c>
      <c r="C1199" s="25">
        <f t="shared" si="37"/>
        <v>44593</v>
      </c>
      <c r="D1199" s="27">
        <f>IF(K1199="CREDITO",Q1199,Q1199*-1)</f>
        <v>6087.46</v>
      </c>
      <c r="E1199" t="s">
        <v>894</v>
      </c>
      <c r="F1199" t="s">
        <v>1693</v>
      </c>
      <c r="G1199" s="8">
        <v>44593</v>
      </c>
      <c r="H1199" t="s">
        <v>205</v>
      </c>
      <c r="I1199" t="s">
        <v>53</v>
      </c>
      <c r="J1199" t="s">
        <v>54</v>
      </c>
      <c r="K1199" t="s">
        <v>29</v>
      </c>
      <c r="L1199" t="s">
        <v>895</v>
      </c>
      <c r="M1199" t="s">
        <v>4402</v>
      </c>
      <c r="O1199" t="s">
        <v>896</v>
      </c>
      <c r="P1199" t="s">
        <v>33</v>
      </c>
      <c r="Q1199" s="22">
        <v>6087.46</v>
      </c>
      <c r="R1199" t="s">
        <v>35</v>
      </c>
      <c r="S1199" t="s">
        <v>35</v>
      </c>
      <c r="T1199" t="s">
        <v>35</v>
      </c>
      <c r="U1199" t="s">
        <v>35</v>
      </c>
      <c r="V1199" t="s">
        <v>645</v>
      </c>
      <c r="W1199" t="s">
        <v>113</v>
      </c>
    </row>
    <row r="1200" spans="1:23" hidden="1" x14ac:dyDescent="0.25">
      <c r="A1200" s="7" t="str">
        <f>IFERROR(VLOOKUP(H1200,'Contas Orç'!A:B,2,0),"N/A")</f>
        <v>COMBUSTIVEIS</v>
      </c>
      <c r="B1200" s="7" t="str">
        <f t="shared" si="36"/>
        <v>320301001 - COMBUSTIVEIS</v>
      </c>
      <c r="C1200" s="25">
        <f t="shared" si="37"/>
        <v>44621</v>
      </c>
      <c r="D1200" s="27">
        <f>IF(K1200="CREDITO",Q1200,Q1200*-1)</f>
        <v>382320.66</v>
      </c>
      <c r="E1200" t="s">
        <v>894</v>
      </c>
      <c r="F1200" t="s">
        <v>1694</v>
      </c>
      <c r="G1200" s="8">
        <v>44621</v>
      </c>
      <c r="H1200" t="s">
        <v>205</v>
      </c>
      <c r="I1200" t="s">
        <v>27</v>
      </c>
      <c r="J1200" t="s">
        <v>28</v>
      </c>
      <c r="K1200" t="s">
        <v>29</v>
      </c>
      <c r="L1200" t="s">
        <v>895</v>
      </c>
      <c r="M1200" t="s">
        <v>4402</v>
      </c>
      <c r="O1200" t="s">
        <v>896</v>
      </c>
      <c r="P1200" t="s">
        <v>33</v>
      </c>
      <c r="Q1200" s="22">
        <v>382320.66</v>
      </c>
      <c r="R1200" t="s">
        <v>35</v>
      </c>
      <c r="S1200" t="s">
        <v>35</v>
      </c>
      <c r="T1200" t="s">
        <v>35</v>
      </c>
      <c r="U1200" t="s">
        <v>35</v>
      </c>
      <c r="V1200" t="s">
        <v>645</v>
      </c>
      <c r="W1200" t="s">
        <v>113</v>
      </c>
    </row>
    <row r="1201" spans="1:23" hidden="1" x14ac:dyDescent="0.25">
      <c r="A1201" s="7" t="str">
        <f>IFERROR(VLOOKUP(H1201,'Contas Orç'!A:B,2,0),"N/A")</f>
        <v>COMBUSTIVEIS</v>
      </c>
      <c r="B1201" s="7" t="str">
        <f t="shared" si="36"/>
        <v>320301001 - COMBUSTIVEIS</v>
      </c>
      <c r="C1201" s="25">
        <f t="shared" si="37"/>
        <v>44621</v>
      </c>
      <c r="D1201" s="27">
        <f>IF(K1201="CREDITO",Q1201,Q1201*-1)</f>
        <v>6434.02</v>
      </c>
      <c r="E1201" t="s">
        <v>894</v>
      </c>
      <c r="F1201" t="s">
        <v>1695</v>
      </c>
      <c r="G1201" s="8">
        <v>44621</v>
      </c>
      <c r="H1201" t="s">
        <v>205</v>
      </c>
      <c r="I1201" t="s">
        <v>53</v>
      </c>
      <c r="J1201" t="s">
        <v>54</v>
      </c>
      <c r="K1201" t="s">
        <v>29</v>
      </c>
      <c r="L1201" t="s">
        <v>895</v>
      </c>
      <c r="M1201" t="s">
        <v>4402</v>
      </c>
      <c r="O1201" t="s">
        <v>896</v>
      </c>
      <c r="P1201" t="s">
        <v>33</v>
      </c>
      <c r="Q1201" s="22">
        <v>6434.02</v>
      </c>
      <c r="R1201" t="s">
        <v>35</v>
      </c>
      <c r="S1201" t="s">
        <v>35</v>
      </c>
      <c r="T1201" t="s">
        <v>35</v>
      </c>
      <c r="U1201" t="s">
        <v>35</v>
      </c>
      <c r="V1201" t="s">
        <v>645</v>
      </c>
      <c r="W1201" t="s">
        <v>113</v>
      </c>
    </row>
    <row r="1202" spans="1:23" hidden="1" x14ac:dyDescent="0.25">
      <c r="A1202" s="7" t="str">
        <f>IFERROR(VLOOKUP(H1202,'Contas Orç'!A:B,2,0),"N/A")</f>
        <v>COMBUSTIVEIS</v>
      </c>
      <c r="B1202" s="7" t="str">
        <f t="shared" si="36"/>
        <v>320301001 - COMBUSTIVEIS</v>
      </c>
      <c r="C1202" s="25">
        <f t="shared" si="37"/>
        <v>44652</v>
      </c>
      <c r="D1202" s="27">
        <f>IF(K1202="CREDITO",Q1202,Q1202*-1)</f>
        <v>183775.17</v>
      </c>
      <c r="E1202" t="s">
        <v>894</v>
      </c>
      <c r="F1202" t="s">
        <v>1696</v>
      </c>
      <c r="G1202" s="8">
        <v>44652</v>
      </c>
      <c r="H1202" t="s">
        <v>205</v>
      </c>
      <c r="I1202" t="s">
        <v>27</v>
      </c>
      <c r="J1202" t="s">
        <v>28</v>
      </c>
      <c r="K1202" t="s">
        <v>29</v>
      </c>
      <c r="L1202" t="s">
        <v>895</v>
      </c>
      <c r="M1202" t="s">
        <v>4402</v>
      </c>
      <c r="O1202" t="s">
        <v>896</v>
      </c>
      <c r="P1202" t="s">
        <v>33</v>
      </c>
      <c r="Q1202" s="22">
        <v>183775.17</v>
      </c>
      <c r="R1202" t="s">
        <v>35</v>
      </c>
      <c r="S1202" t="s">
        <v>35</v>
      </c>
      <c r="T1202" t="s">
        <v>35</v>
      </c>
      <c r="U1202" t="s">
        <v>35</v>
      </c>
      <c r="V1202" t="s">
        <v>645</v>
      </c>
      <c r="W1202" t="s">
        <v>113</v>
      </c>
    </row>
    <row r="1203" spans="1:23" hidden="1" x14ac:dyDescent="0.25">
      <c r="A1203" s="7" t="str">
        <f>IFERROR(VLOOKUP(H1203,'Contas Orç'!A:B,2,0),"N/A")</f>
        <v>COMBUSTIVEIS</v>
      </c>
      <c r="B1203" s="7" t="str">
        <f t="shared" si="36"/>
        <v>320301001 - COMBUSTIVEIS</v>
      </c>
      <c r="C1203" s="25">
        <f t="shared" si="37"/>
        <v>44652</v>
      </c>
      <c r="D1203" s="27">
        <f>IF(K1203="CREDITO",Q1203,Q1203*-1)</f>
        <v>1642.14</v>
      </c>
      <c r="E1203" t="s">
        <v>894</v>
      </c>
      <c r="F1203" t="s">
        <v>1697</v>
      </c>
      <c r="G1203" s="8">
        <v>44652</v>
      </c>
      <c r="H1203" t="s">
        <v>205</v>
      </c>
      <c r="I1203" t="s">
        <v>106</v>
      </c>
      <c r="J1203" t="s">
        <v>60</v>
      </c>
      <c r="K1203" t="s">
        <v>29</v>
      </c>
      <c r="L1203" t="s">
        <v>895</v>
      </c>
      <c r="M1203" t="s">
        <v>4402</v>
      </c>
      <c r="O1203" t="s">
        <v>896</v>
      </c>
      <c r="P1203" t="s">
        <v>33</v>
      </c>
      <c r="Q1203" s="22">
        <v>1642.14</v>
      </c>
      <c r="R1203" t="s">
        <v>35</v>
      </c>
      <c r="S1203" t="s">
        <v>35</v>
      </c>
      <c r="T1203" t="s">
        <v>35</v>
      </c>
      <c r="U1203" t="s">
        <v>35</v>
      </c>
      <c r="V1203" t="s">
        <v>645</v>
      </c>
      <c r="W1203" t="s">
        <v>113</v>
      </c>
    </row>
    <row r="1204" spans="1:23" hidden="1" x14ac:dyDescent="0.25">
      <c r="A1204" s="7" t="str">
        <f>IFERROR(VLOOKUP(H1204,'Contas Orç'!A:B,2,0),"N/A")</f>
        <v>COMBUSTIVEIS</v>
      </c>
      <c r="B1204" s="7" t="str">
        <f t="shared" si="36"/>
        <v>320301001 - COMBUSTIVEIS</v>
      </c>
      <c r="C1204" s="25">
        <f t="shared" si="37"/>
        <v>44652</v>
      </c>
      <c r="D1204" s="27">
        <f>IF(K1204="CREDITO",Q1204,Q1204*-1)</f>
        <v>269545.64</v>
      </c>
      <c r="E1204" t="s">
        <v>894</v>
      </c>
      <c r="F1204" t="s">
        <v>1698</v>
      </c>
      <c r="G1204" s="8">
        <v>44652</v>
      </c>
      <c r="H1204" t="s">
        <v>205</v>
      </c>
      <c r="I1204" t="s">
        <v>59</v>
      </c>
      <c r="J1204" t="s">
        <v>60</v>
      </c>
      <c r="K1204" t="s">
        <v>29</v>
      </c>
      <c r="L1204" t="s">
        <v>895</v>
      </c>
      <c r="M1204" t="s">
        <v>4402</v>
      </c>
      <c r="O1204" t="s">
        <v>896</v>
      </c>
      <c r="P1204" t="s">
        <v>33</v>
      </c>
      <c r="Q1204" s="22">
        <v>269545.64</v>
      </c>
      <c r="R1204" t="s">
        <v>35</v>
      </c>
      <c r="S1204" t="s">
        <v>35</v>
      </c>
      <c r="T1204" t="s">
        <v>35</v>
      </c>
      <c r="U1204" t="s">
        <v>35</v>
      </c>
      <c r="V1204" t="s">
        <v>645</v>
      </c>
      <c r="W1204" t="s">
        <v>113</v>
      </c>
    </row>
    <row r="1205" spans="1:23" hidden="1" x14ac:dyDescent="0.25">
      <c r="A1205" s="7" t="str">
        <f>IFERROR(VLOOKUP(H1205,'Contas Orç'!A:B,2,0),"N/A")</f>
        <v>COMBUSTIVEIS</v>
      </c>
      <c r="B1205" s="7" t="str">
        <f t="shared" si="36"/>
        <v>320301001 - COMBUSTIVEIS</v>
      </c>
      <c r="C1205" s="25">
        <f t="shared" si="37"/>
        <v>44652</v>
      </c>
      <c r="D1205" s="27">
        <f>IF(K1205="CREDITO",Q1205,Q1205*-1)</f>
        <v>15416.59</v>
      </c>
      <c r="E1205" t="s">
        <v>894</v>
      </c>
      <c r="F1205" t="s">
        <v>1699</v>
      </c>
      <c r="G1205" s="8">
        <v>44652</v>
      </c>
      <c r="H1205" t="s">
        <v>205</v>
      </c>
      <c r="I1205" t="s">
        <v>59</v>
      </c>
      <c r="J1205" t="s">
        <v>107</v>
      </c>
      <c r="K1205" t="s">
        <v>29</v>
      </c>
      <c r="L1205" t="s">
        <v>895</v>
      </c>
      <c r="M1205" t="s">
        <v>4402</v>
      </c>
      <c r="O1205" t="s">
        <v>896</v>
      </c>
      <c r="P1205" t="s">
        <v>33</v>
      </c>
      <c r="Q1205" s="22">
        <v>15416.59</v>
      </c>
      <c r="R1205" t="s">
        <v>35</v>
      </c>
      <c r="S1205" t="s">
        <v>35</v>
      </c>
      <c r="T1205" t="s">
        <v>35</v>
      </c>
      <c r="U1205" t="s">
        <v>35</v>
      </c>
      <c r="V1205" t="s">
        <v>645</v>
      </c>
      <c r="W1205" t="s">
        <v>113</v>
      </c>
    </row>
    <row r="1206" spans="1:23" hidden="1" x14ac:dyDescent="0.25">
      <c r="A1206" s="7" t="str">
        <f>IFERROR(VLOOKUP(H1206,'Contas Orç'!A:B,2,0),"N/A")</f>
        <v>COMBUSTIVEIS</v>
      </c>
      <c r="B1206" s="7" t="str">
        <f t="shared" si="36"/>
        <v>320301001 - COMBUSTIVEIS</v>
      </c>
      <c r="C1206" s="25">
        <f t="shared" si="37"/>
        <v>44652</v>
      </c>
      <c r="D1206" s="27">
        <f>IF(K1206="CREDITO",Q1206,Q1206*-1)</f>
        <v>9421.4699999999993</v>
      </c>
      <c r="E1206" t="s">
        <v>894</v>
      </c>
      <c r="F1206" t="s">
        <v>1700</v>
      </c>
      <c r="G1206" s="8">
        <v>44652</v>
      </c>
      <c r="H1206" t="s">
        <v>205</v>
      </c>
      <c r="I1206" t="s">
        <v>53</v>
      </c>
      <c r="J1206" t="s">
        <v>54</v>
      </c>
      <c r="K1206" t="s">
        <v>29</v>
      </c>
      <c r="L1206" t="s">
        <v>895</v>
      </c>
      <c r="M1206" t="s">
        <v>4402</v>
      </c>
      <c r="O1206" t="s">
        <v>896</v>
      </c>
      <c r="P1206" t="s">
        <v>33</v>
      </c>
      <c r="Q1206" s="22">
        <v>9421.4699999999993</v>
      </c>
      <c r="R1206" t="s">
        <v>35</v>
      </c>
      <c r="S1206" t="s">
        <v>35</v>
      </c>
      <c r="T1206" t="s">
        <v>35</v>
      </c>
      <c r="U1206" t="s">
        <v>35</v>
      </c>
      <c r="V1206" t="s">
        <v>645</v>
      </c>
      <c r="W1206" t="s">
        <v>113</v>
      </c>
    </row>
    <row r="1207" spans="1:23" hidden="1" x14ac:dyDescent="0.25">
      <c r="A1207" s="7" t="str">
        <f>IFERROR(VLOOKUP(H1207,'Contas Orç'!A:B,2,0),"N/A")</f>
        <v>COMBUSTIVEIS</v>
      </c>
      <c r="B1207" s="7" t="str">
        <f t="shared" si="36"/>
        <v>320301001 - COMBUSTIVEIS</v>
      </c>
      <c r="C1207" s="25">
        <f t="shared" si="37"/>
        <v>44682</v>
      </c>
      <c r="D1207" s="27">
        <f>IF(K1207="CREDITO",Q1207,Q1207*-1)</f>
        <v>311019.5</v>
      </c>
      <c r="E1207" t="s">
        <v>894</v>
      </c>
      <c r="F1207" t="s">
        <v>1701</v>
      </c>
      <c r="G1207" s="8">
        <v>44682</v>
      </c>
      <c r="H1207" t="s">
        <v>205</v>
      </c>
      <c r="I1207" t="s">
        <v>27</v>
      </c>
      <c r="J1207" t="s">
        <v>28</v>
      </c>
      <c r="K1207" t="s">
        <v>29</v>
      </c>
      <c r="L1207" t="s">
        <v>895</v>
      </c>
      <c r="M1207" t="s">
        <v>4402</v>
      </c>
      <c r="O1207" t="s">
        <v>896</v>
      </c>
      <c r="P1207" t="s">
        <v>33</v>
      </c>
      <c r="Q1207" s="22">
        <v>311019.5</v>
      </c>
      <c r="R1207" t="s">
        <v>35</v>
      </c>
      <c r="S1207" t="s">
        <v>35</v>
      </c>
      <c r="T1207" t="s">
        <v>35</v>
      </c>
      <c r="U1207" t="s">
        <v>35</v>
      </c>
      <c r="V1207" t="s">
        <v>645</v>
      </c>
      <c r="W1207" t="s">
        <v>113</v>
      </c>
    </row>
    <row r="1208" spans="1:23" hidden="1" x14ac:dyDescent="0.25">
      <c r="A1208" s="7" t="str">
        <f>IFERROR(VLOOKUP(H1208,'Contas Orç'!A:B,2,0),"N/A")</f>
        <v>COMBUSTIVEIS</v>
      </c>
      <c r="B1208" s="7" t="str">
        <f t="shared" si="36"/>
        <v>320301001 - COMBUSTIVEIS</v>
      </c>
      <c r="C1208" s="25">
        <f t="shared" si="37"/>
        <v>44682</v>
      </c>
      <c r="D1208" s="27">
        <f>IF(K1208="CREDITO",Q1208,Q1208*-1)</f>
        <v>244647.54</v>
      </c>
      <c r="E1208" t="s">
        <v>894</v>
      </c>
      <c r="F1208" t="s">
        <v>1702</v>
      </c>
      <c r="G1208" s="8">
        <v>44682</v>
      </c>
      <c r="H1208" t="s">
        <v>205</v>
      </c>
      <c r="I1208" t="s">
        <v>59</v>
      </c>
      <c r="J1208" t="s">
        <v>60</v>
      </c>
      <c r="K1208" t="s">
        <v>29</v>
      </c>
      <c r="L1208" t="s">
        <v>895</v>
      </c>
      <c r="M1208" t="s">
        <v>4402</v>
      </c>
      <c r="O1208" t="s">
        <v>896</v>
      </c>
      <c r="P1208" t="s">
        <v>33</v>
      </c>
      <c r="Q1208" s="22">
        <v>244647.54</v>
      </c>
      <c r="R1208" t="s">
        <v>35</v>
      </c>
      <c r="S1208" t="s">
        <v>35</v>
      </c>
      <c r="T1208" t="s">
        <v>35</v>
      </c>
      <c r="U1208" t="s">
        <v>35</v>
      </c>
      <c r="V1208" t="s">
        <v>645</v>
      </c>
      <c r="W1208" t="s">
        <v>113</v>
      </c>
    </row>
    <row r="1209" spans="1:23" hidden="1" x14ac:dyDescent="0.25">
      <c r="A1209" s="7" t="str">
        <f>IFERROR(VLOOKUP(H1209,'Contas Orç'!A:B,2,0),"N/A")</f>
        <v>COMBUSTIVEIS</v>
      </c>
      <c r="B1209" s="7" t="str">
        <f t="shared" si="36"/>
        <v>320301001 - COMBUSTIVEIS</v>
      </c>
      <c r="C1209" s="25">
        <f t="shared" si="37"/>
        <v>44682</v>
      </c>
      <c r="D1209" s="27">
        <f>IF(K1209="CREDITO",Q1209,Q1209*-1)</f>
        <v>59040.02</v>
      </c>
      <c r="E1209" t="s">
        <v>894</v>
      </c>
      <c r="F1209" t="s">
        <v>1703</v>
      </c>
      <c r="G1209" s="8">
        <v>44682</v>
      </c>
      <c r="H1209" t="s">
        <v>205</v>
      </c>
      <c r="I1209" t="s">
        <v>59</v>
      </c>
      <c r="J1209" t="s">
        <v>107</v>
      </c>
      <c r="K1209" t="s">
        <v>29</v>
      </c>
      <c r="L1209" t="s">
        <v>895</v>
      </c>
      <c r="M1209" t="s">
        <v>4402</v>
      </c>
      <c r="O1209" t="s">
        <v>896</v>
      </c>
      <c r="P1209" t="s">
        <v>33</v>
      </c>
      <c r="Q1209" s="22">
        <v>59040.02</v>
      </c>
      <c r="R1209" t="s">
        <v>35</v>
      </c>
      <c r="S1209" t="s">
        <v>35</v>
      </c>
      <c r="T1209" t="s">
        <v>35</v>
      </c>
      <c r="U1209" t="s">
        <v>35</v>
      </c>
      <c r="V1209" t="s">
        <v>645</v>
      </c>
      <c r="W1209" t="s">
        <v>113</v>
      </c>
    </row>
    <row r="1210" spans="1:23" hidden="1" x14ac:dyDescent="0.25">
      <c r="A1210" s="7" t="str">
        <f>IFERROR(VLOOKUP(H1210,'Contas Orç'!A:B,2,0),"N/A")</f>
        <v>COMBUSTIVEIS</v>
      </c>
      <c r="B1210" s="7" t="str">
        <f t="shared" si="36"/>
        <v>320301001 - COMBUSTIVEIS</v>
      </c>
      <c r="C1210" s="25">
        <f t="shared" si="37"/>
        <v>44682</v>
      </c>
      <c r="D1210" s="27">
        <f>IF(K1210="CREDITO",Q1210,Q1210*-1)</f>
        <v>24895.4</v>
      </c>
      <c r="E1210" t="s">
        <v>894</v>
      </c>
      <c r="F1210" t="s">
        <v>1704</v>
      </c>
      <c r="G1210" s="8">
        <v>44682</v>
      </c>
      <c r="H1210" t="s">
        <v>205</v>
      </c>
      <c r="I1210" t="s">
        <v>125</v>
      </c>
      <c r="J1210" t="s">
        <v>95</v>
      </c>
      <c r="K1210" t="s">
        <v>29</v>
      </c>
      <c r="L1210" t="s">
        <v>895</v>
      </c>
      <c r="M1210" t="s">
        <v>4402</v>
      </c>
      <c r="O1210" t="s">
        <v>896</v>
      </c>
      <c r="P1210" t="s">
        <v>33</v>
      </c>
      <c r="Q1210" s="22">
        <v>24895.4</v>
      </c>
      <c r="R1210" t="s">
        <v>35</v>
      </c>
      <c r="S1210" t="s">
        <v>35</v>
      </c>
      <c r="T1210" t="s">
        <v>35</v>
      </c>
      <c r="U1210" t="s">
        <v>35</v>
      </c>
      <c r="V1210" t="s">
        <v>645</v>
      </c>
      <c r="W1210" t="s">
        <v>113</v>
      </c>
    </row>
    <row r="1211" spans="1:23" hidden="1" x14ac:dyDescent="0.25">
      <c r="A1211" s="7" t="str">
        <f>IFERROR(VLOOKUP(H1211,'Contas Orç'!A:B,2,0),"N/A")</f>
        <v>COMBUSTIVEIS</v>
      </c>
      <c r="B1211" s="7" t="str">
        <f t="shared" si="36"/>
        <v>320301001 - COMBUSTIVEIS</v>
      </c>
      <c r="C1211" s="25">
        <f t="shared" si="37"/>
        <v>44682</v>
      </c>
      <c r="D1211" s="27">
        <f>IF(K1211="CREDITO",Q1211,Q1211*-1)</f>
        <v>21373.19</v>
      </c>
      <c r="E1211" t="s">
        <v>894</v>
      </c>
      <c r="F1211" t="s">
        <v>1705</v>
      </c>
      <c r="G1211" s="8">
        <v>44682</v>
      </c>
      <c r="H1211" t="s">
        <v>205</v>
      </c>
      <c r="I1211" t="s">
        <v>53</v>
      </c>
      <c r="J1211" t="s">
        <v>54</v>
      </c>
      <c r="K1211" t="s">
        <v>29</v>
      </c>
      <c r="L1211" t="s">
        <v>895</v>
      </c>
      <c r="M1211" t="s">
        <v>4402</v>
      </c>
      <c r="O1211" t="s">
        <v>896</v>
      </c>
      <c r="P1211" t="s">
        <v>33</v>
      </c>
      <c r="Q1211" s="22">
        <v>21373.19</v>
      </c>
      <c r="R1211" t="s">
        <v>35</v>
      </c>
      <c r="S1211" t="s">
        <v>35</v>
      </c>
      <c r="T1211" t="s">
        <v>35</v>
      </c>
      <c r="U1211" t="s">
        <v>35</v>
      </c>
      <c r="V1211" t="s">
        <v>645</v>
      </c>
      <c r="W1211" t="s">
        <v>113</v>
      </c>
    </row>
    <row r="1212" spans="1:23" hidden="1" x14ac:dyDescent="0.25">
      <c r="A1212" s="7" t="str">
        <f>IFERROR(VLOOKUP(H1212,'Contas Orç'!A:B,2,0),"N/A")</f>
        <v>COMBUSTIVEIS</v>
      </c>
      <c r="B1212" s="7" t="str">
        <f t="shared" si="36"/>
        <v>320301001 - COMBUSTIVEIS</v>
      </c>
      <c r="C1212" s="25">
        <f t="shared" si="37"/>
        <v>44682</v>
      </c>
      <c r="D1212" s="27">
        <f>IF(K1212="CREDITO",Q1212,Q1212*-1)</f>
        <v>58282.04</v>
      </c>
      <c r="E1212" t="s">
        <v>894</v>
      </c>
      <c r="F1212" t="s">
        <v>1706</v>
      </c>
      <c r="G1212" s="8">
        <v>44682</v>
      </c>
      <c r="H1212" t="s">
        <v>205</v>
      </c>
      <c r="I1212" t="s">
        <v>59</v>
      </c>
      <c r="J1212" t="s">
        <v>54</v>
      </c>
      <c r="K1212" t="s">
        <v>29</v>
      </c>
      <c r="L1212" t="s">
        <v>895</v>
      </c>
      <c r="M1212" t="s">
        <v>4402</v>
      </c>
      <c r="O1212" t="s">
        <v>896</v>
      </c>
      <c r="P1212" t="s">
        <v>33</v>
      </c>
      <c r="Q1212" s="22">
        <v>58282.04</v>
      </c>
      <c r="R1212" t="s">
        <v>35</v>
      </c>
      <c r="S1212" t="s">
        <v>35</v>
      </c>
      <c r="T1212" t="s">
        <v>35</v>
      </c>
      <c r="U1212" t="s">
        <v>35</v>
      </c>
      <c r="V1212" t="s">
        <v>645</v>
      </c>
      <c r="W1212" t="s">
        <v>113</v>
      </c>
    </row>
    <row r="1213" spans="1:23" hidden="1" x14ac:dyDescent="0.25">
      <c r="A1213" s="7" t="str">
        <f>IFERROR(VLOOKUP(H1213,'Contas Orç'!A:B,2,0),"N/A")</f>
        <v>COMBUSTIVEIS</v>
      </c>
      <c r="B1213" s="7" t="str">
        <f t="shared" si="36"/>
        <v>320301001 - COMBUSTIVEIS</v>
      </c>
      <c r="C1213" s="25">
        <f t="shared" si="37"/>
        <v>44713</v>
      </c>
      <c r="D1213" s="27">
        <f>IF(K1213="CREDITO",Q1213,Q1213*-1)</f>
        <v>329313.62</v>
      </c>
      <c r="E1213" t="s">
        <v>894</v>
      </c>
      <c r="F1213" t="s">
        <v>1707</v>
      </c>
      <c r="G1213" s="8">
        <v>44713</v>
      </c>
      <c r="H1213" t="s">
        <v>205</v>
      </c>
      <c r="I1213" t="s">
        <v>27</v>
      </c>
      <c r="J1213" t="s">
        <v>28</v>
      </c>
      <c r="K1213" t="s">
        <v>29</v>
      </c>
      <c r="L1213" t="s">
        <v>895</v>
      </c>
      <c r="M1213" t="s">
        <v>4402</v>
      </c>
      <c r="O1213" t="s">
        <v>896</v>
      </c>
      <c r="P1213" t="s">
        <v>33</v>
      </c>
      <c r="Q1213" s="22">
        <v>329313.62</v>
      </c>
      <c r="R1213" t="s">
        <v>35</v>
      </c>
      <c r="S1213" t="s">
        <v>35</v>
      </c>
      <c r="T1213" t="s">
        <v>35</v>
      </c>
      <c r="U1213" t="s">
        <v>35</v>
      </c>
      <c r="V1213" t="s">
        <v>645</v>
      </c>
      <c r="W1213" t="s">
        <v>113</v>
      </c>
    </row>
    <row r="1214" spans="1:23" hidden="1" x14ac:dyDescent="0.25">
      <c r="A1214" s="7" t="str">
        <f>IFERROR(VLOOKUP(H1214,'Contas Orç'!A:B,2,0),"N/A")</f>
        <v>COMBUSTIVEIS</v>
      </c>
      <c r="B1214" s="7" t="str">
        <f t="shared" si="36"/>
        <v>320301001 - COMBUSTIVEIS</v>
      </c>
      <c r="C1214" s="25">
        <f t="shared" si="37"/>
        <v>44713</v>
      </c>
      <c r="D1214" s="27">
        <f>IF(K1214="CREDITO",Q1214,Q1214*-1)</f>
        <v>11818.19</v>
      </c>
      <c r="E1214" t="s">
        <v>894</v>
      </c>
      <c r="F1214" t="s">
        <v>1708</v>
      </c>
      <c r="G1214" s="8">
        <v>44713</v>
      </c>
      <c r="H1214" t="s">
        <v>205</v>
      </c>
      <c r="I1214" t="s">
        <v>59</v>
      </c>
      <c r="J1214" t="s">
        <v>28</v>
      </c>
      <c r="K1214" t="s">
        <v>29</v>
      </c>
      <c r="L1214" t="s">
        <v>895</v>
      </c>
      <c r="M1214" t="s">
        <v>4402</v>
      </c>
      <c r="O1214" t="s">
        <v>896</v>
      </c>
      <c r="P1214" t="s">
        <v>33</v>
      </c>
      <c r="Q1214" s="22">
        <v>11818.19</v>
      </c>
      <c r="R1214" t="s">
        <v>35</v>
      </c>
      <c r="S1214" t="s">
        <v>35</v>
      </c>
      <c r="T1214" t="s">
        <v>35</v>
      </c>
      <c r="U1214" t="s">
        <v>35</v>
      </c>
      <c r="V1214" t="s">
        <v>645</v>
      </c>
      <c r="W1214" t="s">
        <v>113</v>
      </c>
    </row>
    <row r="1215" spans="1:23" hidden="1" x14ac:dyDescent="0.25">
      <c r="A1215" s="7" t="str">
        <f>IFERROR(VLOOKUP(H1215,'Contas Orç'!A:B,2,0),"N/A")</f>
        <v>COMBUSTIVEIS</v>
      </c>
      <c r="B1215" s="7" t="str">
        <f t="shared" si="36"/>
        <v>320301001 - COMBUSTIVEIS</v>
      </c>
      <c r="C1215" s="25">
        <f t="shared" si="37"/>
        <v>44713</v>
      </c>
      <c r="D1215" s="27">
        <f>IF(K1215="CREDITO",Q1215,Q1215*-1)</f>
        <v>1447.55</v>
      </c>
      <c r="E1215" t="s">
        <v>894</v>
      </c>
      <c r="F1215" t="s">
        <v>1709</v>
      </c>
      <c r="G1215" s="8">
        <v>44713</v>
      </c>
      <c r="H1215" t="s">
        <v>205</v>
      </c>
      <c r="I1215" t="s">
        <v>106</v>
      </c>
      <c r="J1215" t="s">
        <v>60</v>
      </c>
      <c r="K1215" t="s">
        <v>29</v>
      </c>
      <c r="L1215" t="s">
        <v>895</v>
      </c>
      <c r="M1215" t="s">
        <v>4402</v>
      </c>
      <c r="O1215" t="s">
        <v>896</v>
      </c>
      <c r="P1215" t="s">
        <v>33</v>
      </c>
      <c r="Q1215" s="22">
        <v>1447.55</v>
      </c>
      <c r="R1215" t="s">
        <v>35</v>
      </c>
      <c r="S1215" t="s">
        <v>35</v>
      </c>
      <c r="T1215" t="s">
        <v>35</v>
      </c>
      <c r="U1215" t="s">
        <v>35</v>
      </c>
      <c r="V1215" t="s">
        <v>645</v>
      </c>
      <c r="W1215" t="s">
        <v>113</v>
      </c>
    </row>
    <row r="1216" spans="1:23" hidden="1" x14ac:dyDescent="0.25">
      <c r="A1216" s="7" t="str">
        <f>IFERROR(VLOOKUP(H1216,'Contas Orç'!A:B,2,0),"N/A")</f>
        <v>COMBUSTIVEIS</v>
      </c>
      <c r="B1216" s="7" t="str">
        <f t="shared" si="36"/>
        <v>320301001 - COMBUSTIVEIS</v>
      </c>
      <c r="C1216" s="25">
        <f t="shared" si="37"/>
        <v>44713</v>
      </c>
      <c r="D1216" s="27">
        <f>IF(K1216="CREDITO",Q1216,Q1216*-1)</f>
        <v>237365.36</v>
      </c>
      <c r="E1216" t="s">
        <v>894</v>
      </c>
      <c r="F1216" t="s">
        <v>1710</v>
      </c>
      <c r="G1216" s="8">
        <v>44713</v>
      </c>
      <c r="H1216" t="s">
        <v>205</v>
      </c>
      <c r="I1216" t="s">
        <v>59</v>
      </c>
      <c r="J1216" t="s">
        <v>60</v>
      </c>
      <c r="K1216" t="s">
        <v>29</v>
      </c>
      <c r="L1216" t="s">
        <v>895</v>
      </c>
      <c r="M1216" t="s">
        <v>4402</v>
      </c>
      <c r="O1216" t="s">
        <v>896</v>
      </c>
      <c r="P1216" t="s">
        <v>33</v>
      </c>
      <c r="Q1216" s="22">
        <v>237365.36</v>
      </c>
      <c r="R1216" t="s">
        <v>35</v>
      </c>
      <c r="S1216" t="s">
        <v>35</v>
      </c>
      <c r="T1216" t="s">
        <v>35</v>
      </c>
      <c r="U1216" t="s">
        <v>35</v>
      </c>
      <c r="V1216" t="s">
        <v>645</v>
      </c>
      <c r="W1216" t="s">
        <v>113</v>
      </c>
    </row>
    <row r="1217" spans="1:23" hidden="1" x14ac:dyDescent="0.25">
      <c r="A1217" s="7" t="str">
        <f>IFERROR(VLOOKUP(H1217,'Contas Orç'!A:B,2,0),"N/A")</f>
        <v>COMBUSTIVEIS</v>
      </c>
      <c r="B1217" s="7" t="str">
        <f t="shared" si="36"/>
        <v>320301001 - COMBUSTIVEIS</v>
      </c>
      <c r="C1217" s="25">
        <f t="shared" si="37"/>
        <v>44713</v>
      </c>
      <c r="D1217" s="27">
        <f>IF(K1217="CREDITO",Q1217,Q1217*-1)</f>
        <v>74762.850000000006</v>
      </c>
      <c r="E1217" t="s">
        <v>894</v>
      </c>
      <c r="F1217" t="s">
        <v>1711</v>
      </c>
      <c r="G1217" s="8">
        <v>44713</v>
      </c>
      <c r="H1217" t="s">
        <v>205</v>
      </c>
      <c r="I1217" t="s">
        <v>59</v>
      </c>
      <c r="J1217" t="s">
        <v>107</v>
      </c>
      <c r="K1217" t="s">
        <v>29</v>
      </c>
      <c r="L1217" t="s">
        <v>895</v>
      </c>
      <c r="M1217" t="s">
        <v>4402</v>
      </c>
      <c r="O1217" t="s">
        <v>896</v>
      </c>
      <c r="P1217" t="s">
        <v>33</v>
      </c>
      <c r="Q1217" s="22">
        <v>74762.850000000006</v>
      </c>
      <c r="R1217" t="s">
        <v>35</v>
      </c>
      <c r="S1217" t="s">
        <v>35</v>
      </c>
      <c r="T1217" t="s">
        <v>35</v>
      </c>
      <c r="U1217" t="s">
        <v>35</v>
      </c>
      <c r="V1217" t="s">
        <v>645</v>
      </c>
      <c r="W1217" t="s">
        <v>113</v>
      </c>
    </row>
    <row r="1218" spans="1:23" hidden="1" x14ac:dyDescent="0.25">
      <c r="A1218" s="7" t="str">
        <f>IFERROR(VLOOKUP(H1218,'Contas Orç'!A:B,2,0),"N/A")</f>
        <v>COMBUSTIVEIS</v>
      </c>
      <c r="B1218" s="7" t="str">
        <f t="shared" si="36"/>
        <v>320301001 - COMBUSTIVEIS</v>
      </c>
      <c r="C1218" s="25">
        <f t="shared" si="37"/>
        <v>44713</v>
      </c>
      <c r="D1218" s="27">
        <f>IF(K1218="CREDITO",Q1218,Q1218*-1)</f>
        <v>76470.75</v>
      </c>
      <c r="E1218" t="s">
        <v>894</v>
      </c>
      <c r="F1218" t="s">
        <v>1712</v>
      </c>
      <c r="G1218" s="8">
        <v>44713</v>
      </c>
      <c r="H1218" t="s">
        <v>205</v>
      </c>
      <c r="I1218" t="s">
        <v>125</v>
      </c>
      <c r="J1218" t="s">
        <v>95</v>
      </c>
      <c r="K1218" t="s">
        <v>29</v>
      </c>
      <c r="L1218" t="s">
        <v>895</v>
      </c>
      <c r="M1218" t="s">
        <v>4402</v>
      </c>
      <c r="O1218" t="s">
        <v>896</v>
      </c>
      <c r="P1218" t="s">
        <v>33</v>
      </c>
      <c r="Q1218" s="22">
        <v>76470.75</v>
      </c>
      <c r="R1218" t="s">
        <v>35</v>
      </c>
      <c r="S1218" t="s">
        <v>35</v>
      </c>
      <c r="T1218" t="s">
        <v>35</v>
      </c>
      <c r="U1218" t="s">
        <v>35</v>
      </c>
      <c r="V1218" t="s">
        <v>645</v>
      </c>
      <c r="W1218" t="s">
        <v>113</v>
      </c>
    </row>
    <row r="1219" spans="1:23" hidden="1" x14ac:dyDescent="0.25">
      <c r="A1219" s="7" t="str">
        <f>IFERROR(VLOOKUP(H1219,'Contas Orç'!A:B,2,0),"N/A")</f>
        <v>COMBUSTIVEIS</v>
      </c>
      <c r="B1219" s="7" t="str">
        <f t="shared" ref="B1219:B1282" si="38">_xlfn.CONCAT(H1219," - ",A1219)</f>
        <v>320301001 - COMBUSTIVEIS</v>
      </c>
      <c r="C1219" s="25">
        <f t="shared" ref="C1219:C1282" si="39">DATE(YEAR(G1219),MONTH(G1219),1)</f>
        <v>44713</v>
      </c>
      <c r="D1219" s="27">
        <f>IF(K1219="CREDITO",Q1219,Q1219*-1)</f>
        <v>22349.14</v>
      </c>
      <c r="E1219" t="s">
        <v>894</v>
      </c>
      <c r="F1219" t="s">
        <v>1713</v>
      </c>
      <c r="G1219" s="8">
        <v>44713</v>
      </c>
      <c r="H1219" t="s">
        <v>205</v>
      </c>
      <c r="I1219" t="s">
        <v>53</v>
      </c>
      <c r="J1219" t="s">
        <v>54</v>
      </c>
      <c r="K1219" t="s">
        <v>29</v>
      </c>
      <c r="L1219" t="s">
        <v>895</v>
      </c>
      <c r="M1219" t="s">
        <v>4402</v>
      </c>
      <c r="O1219" t="s">
        <v>896</v>
      </c>
      <c r="P1219" t="s">
        <v>33</v>
      </c>
      <c r="Q1219" s="22">
        <v>22349.14</v>
      </c>
      <c r="R1219" t="s">
        <v>35</v>
      </c>
      <c r="S1219" t="s">
        <v>35</v>
      </c>
      <c r="T1219" t="s">
        <v>35</v>
      </c>
      <c r="U1219" t="s">
        <v>35</v>
      </c>
      <c r="V1219" t="s">
        <v>645</v>
      </c>
      <c r="W1219" t="s">
        <v>113</v>
      </c>
    </row>
    <row r="1220" spans="1:23" hidden="1" x14ac:dyDescent="0.25">
      <c r="A1220" s="7" t="str">
        <f>IFERROR(VLOOKUP(H1220,'Contas Orç'!A:B,2,0),"N/A")</f>
        <v>COMBUSTIVEIS</v>
      </c>
      <c r="B1220" s="7" t="str">
        <f t="shared" si="38"/>
        <v>320301001 - COMBUSTIVEIS</v>
      </c>
      <c r="C1220" s="25">
        <f t="shared" si="39"/>
        <v>44743</v>
      </c>
      <c r="D1220" s="27">
        <f>IF(K1220="CREDITO",Q1220,Q1220*-1)</f>
        <v>425364.08</v>
      </c>
      <c r="E1220" t="s">
        <v>894</v>
      </c>
      <c r="F1220" t="s">
        <v>1714</v>
      </c>
      <c r="G1220" s="8">
        <v>44743</v>
      </c>
      <c r="H1220" t="s">
        <v>205</v>
      </c>
      <c r="I1220" t="s">
        <v>27</v>
      </c>
      <c r="J1220" t="s">
        <v>28</v>
      </c>
      <c r="K1220" t="s">
        <v>29</v>
      </c>
      <c r="L1220" t="s">
        <v>895</v>
      </c>
      <c r="M1220" t="s">
        <v>4402</v>
      </c>
      <c r="O1220" t="s">
        <v>896</v>
      </c>
      <c r="P1220" t="s">
        <v>33</v>
      </c>
      <c r="Q1220" s="22">
        <v>425364.08</v>
      </c>
      <c r="R1220" t="s">
        <v>35</v>
      </c>
      <c r="S1220" t="s">
        <v>35</v>
      </c>
      <c r="T1220" t="s">
        <v>35</v>
      </c>
      <c r="U1220" t="s">
        <v>35</v>
      </c>
      <c r="V1220" t="s">
        <v>645</v>
      </c>
      <c r="W1220" t="s">
        <v>113</v>
      </c>
    </row>
    <row r="1221" spans="1:23" hidden="1" x14ac:dyDescent="0.25">
      <c r="A1221" s="7" t="str">
        <f>IFERROR(VLOOKUP(H1221,'Contas Orç'!A:B,2,0),"N/A")</f>
        <v>COMBUSTIVEIS</v>
      </c>
      <c r="B1221" s="7" t="str">
        <f t="shared" si="38"/>
        <v>320301001 - COMBUSTIVEIS</v>
      </c>
      <c r="C1221" s="25">
        <f t="shared" si="39"/>
        <v>44743</v>
      </c>
      <c r="D1221" s="27">
        <f>IF(K1221="CREDITO",Q1221,Q1221*-1)</f>
        <v>188.7</v>
      </c>
      <c r="E1221" t="s">
        <v>894</v>
      </c>
      <c r="F1221" t="s">
        <v>1715</v>
      </c>
      <c r="G1221" s="8">
        <v>44743</v>
      </c>
      <c r="H1221" t="s">
        <v>205</v>
      </c>
      <c r="I1221" t="s">
        <v>106</v>
      </c>
      <c r="J1221" t="s">
        <v>60</v>
      </c>
      <c r="K1221" t="s">
        <v>29</v>
      </c>
      <c r="L1221" t="s">
        <v>895</v>
      </c>
      <c r="M1221" t="s">
        <v>4402</v>
      </c>
      <c r="O1221" t="s">
        <v>896</v>
      </c>
      <c r="P1221" t="s">
        <v>33</v>
      </c>
      <c r="Q1221">
        <v>188.7</v>
      </c>
      <c r="R1221" t="s">
        <v>35</v>
      </c>
      <c r="S1221" t="s">
        <v>35</v>
      </c>
      <c r="T1221" t="s">
        <v>35</v>
      </c>
      <c r="U1221" t="s">
        <v>35</v>
      </c>
      <c r="V1221" t="s">
        <v>645</v>
      </c>
      <c r="W1221" t="s">
        <v>113</v>
      </c>
    </row>
    <row r="1222" spans="1:23" hidden="1" x14ac:dyDescent="0.25">
      <c r="A1222" s="7" t="str">
        <f>IFERROR(VLOOKUP(H1222,'Contas Orç'!A:B,2,0),"N/A")</f>
        <v>COMBUSTIVEIS</v>
      </c>
      <c r="B1222" s="7" t="str">
        <f t="shared" si="38"/>
        <v>320301001 - COMBUSTIVEIS</v>
      </c>
      <c r="C1222" s="25">
        <f t="shared" si="39"/>
        <v>44743</v>
      </c>
      <c r="D1222" s="27">
        <f>IF(K1222="CREDITO",Q1222,Q1222*-1)</f>
        <v>346.71</v>
      </c>
      <c r="E1222" t="s">
        <v>894</v>
      </c>
      <c r="F1222" t="s">
        <v>1716</v>
      </c>
      <c r="G1222" s="8">
        <v>44743</v>
      </c>
      <c r="H1222" t="s">
        <v>205</v>
      </c>
      <c r="I1222" t="s">
        <v>27</v>
      </c>
      <c r="J1222" t="s">
        <v>60</v>
      </c>
      <c r="K1222" t="s">
        <v>29</v>
      </c>
      <c r="L1222" t="s">
        <v>895</v>
      </c>
      <c r="M1222" t="s">
        <v>4402</v>
      </c>
      <c r="O1222" t="s">
        <v>896</v>
      </c>
      <c r="P1222" t="s">
        <v>33</v>
      </c>
      <c r="Q1222">
        <v>346.71</v>
      </c>
      <c r="R1222" t="s">
        <v>35</v>
      </c>
      <c r="S1222" t="s">
        <v>35</v>
      </c>
      <c r="T1222" t="s">
        <v>35</v>
      </c>
      <c r="U1222" t="s">
        <v>35</v>
      </c>
      <c r="V1222" t="s">
        <v>645</v>
      </c>
      <c r="W1222" t="s">
        <v>113</v>
      </c>
    </row>
    <row r="1223" spans="1:23" hidden="1" x14ac:dyDescent="0.25">
      <c r="A1223" s="7" t="str">
        <f>IFERROR(VLOOKUP(H1223,'Contas Orç'!A:B,2,0),"N/A")</f>
        <v>COMBUSTIVEIS</v>
      </c>
      <c r="B1223" s="7" t="str">
        <f t="shared" si="38"/>
        <v>320301001 - COMBUSTIVEIS</v>
      </c>
      <c r="C1223" s="25">
        <f t="shared" si="39"/>
        <v>44743</v>
      </c>
      <c r="D1223" s="27">
        <f>IF(K1223="CREDITO",Q1223,Q1223*-1)</f>
        <v>264892.28999999998</v>
      </c>
      <c r="E1223" t="s">
        <v>894</v>
      </c>
      <c r="F1223" t="s">
        <v>1717</v>
      </c>
      <c r="G1223" s="8">
        <v>44743</v>
      </c>
      <c r="H1223" t="s">
        <v>205</v>
      </c>
      <c r="I1223" t="s">
        <v>59</v>
      </c>
      <c r="J1223" t="s">
        <v>60</v>
      </c>
      <c r="K1223" t="s">
        <v>29</v>
      </c>
      <c r="L1223" t="s">
        <v>895</v>
      </c>
      <c r="M1223" t="s">
        <v>4402</v>
      </c>
      <c r="O1223" t="s">
        <v>896</v>
      </c>
      <c r="P1223" t="s">
        <v>33</v>
      </c>
      <c r="Q1223" s="22">
        <v>264892.28999999998</v>
      </c>
      <c r="R1223" t="s">
        <v>35</v>
      </c>
      <c r="S1223" t="s">
        <v>35</v>
      </c>
      <c r="T1223" t="s">
        <v>35</v>
      </c>
      <c r="U1223" t="s">
        <v>35</v>
      </c>
      <c r="V1223" t="s">
        <v>645</v>
      </c>
      <c r="W1223" t="s">
        <v>113</v>
      </c>
    </row>
    <row r="1224" spans="1:23" hidden="1" x14ac:dyDescent="0.25">
      <c r="A1224" s="7" t="str">
        <f>IFERROR(VLOOKUP(H1224,'Contas Orç'!A:B,2,0),"N/A")</f>
        <v>COMBUSTIVEIS</v>
      </c>
      <c r="B1224" s="7" t="str">
        <f t="shared" si="38"/>
        <v>320301001 - COMBUSTIVEIS</v>
      </c>
      <c r="C1224" s="25">
        <f t="shared" si="39"/>
        <v>44743</v>
      </c>
      <c r="D1224" s="27">
        <f>IF(K1224="CREDITO",Q1224,Q1224*-1)</f>
        <v>70406.27</v>
      </c>
      <c r="E1224" t="s">
        <v>894</v>
      </c>
      <c r="F1224" t="s">
        <v>1718</v>
      </c>
      <c r="G1224" s="8">
        <v>44743</v>
      </c>
      <c r="H1224" t="s">
        <v>205</v>
      </c>
      <c r="I1224" t="s">
        <v>59</v>
      </c>
      <c r="J1224" t="s">
        <v>107</v>
      </c>
      <c r="K1224" t="s">
        <v>29</v>
      </c>
      <c r="L1224" t="s">
        <v>895</v>
      </c>
      <c r="M1224" t="s">
        <v>4402</v>
      </c>
      <c r="O1224" t="s">
        <v>896</v>
      </c>
      <c r="P1224" t="s">
        <v>33</v>
      </c>
      <c r="Q1224" s="22">
        <v>70406.27</v>
      </c>
      <c r="R1224" t="s">
        <v>35</v>
      </c>
      <c r="S1224" t="s">
        <v>35</v>
      </c>
      <c r="T1224" t="s">
        <v>35</v>
      </c>
      <c r="U1224" t="s">
        <v>35</v>
      </c>
      <c r="V1224" t="s">
        <v>645</v>
      </c>
      <c r="W1224" t="s">
        <v>113</v>
      </c>
    </row>
    <row r="1225" spans="1:23" hidden="1" x14ac:dyDescent="0.25">
      <c r="A1225" s="7" t="str">
        <f>IFERROR(VLOOKUP(H1225,'Contas Orç'!A:B,2,0),"N/A")</f>
        <v>COMBUSTIVEIS</v>
      </c>
      <c r="B1225" s="7" t="str">
        <f t="shared" si="38"/>
        <v>320301001 - COMBUSTIVEIS</v>
      </c>
      <c r="C1225" s="25">
        <f t="shared" si="39"/>
        <v>44743</v>
      </c>
      <c r="D1225" s="27">
        <f>IF(K1225="CREDITO",Q1225,Q1225*-1)</f>
        <v>62539.06</v>
      </c>
      <c r="E1225" t="s">
        <v>894</v>
      </c>
      <c r="F1225" t="s">
        <v>1719</v>
      </c>
      <c r="G1225" s="8">
        <v>44743</v>
      </c>
      <c r="H1225" t="s">
        <v>205</v>
      </c>
      <c r="I1225" t="s">
        <v>125</v>
      </c>
      <c r="J1225" t="s">
        <v>95</v>
      </c>
      <c r="K1225" t="s">
        <v>29</v>
      </c>
      <c r="L1225" t="s">
        <v>895</v>
      </c>
      <c r="M1225" t="s">
        <v>4402</v>
      </c>
      <c r="O1225" t="s">
        <v>896</v>
      </c>
      <c r="P1225" t="s">
        <v>33</v>
      </c>
      <c r="Q1225" s="22">
        <v>62539.06</v>
      </c>
      <c r="R1225" t="s">
        <v>35</v>
      </c>
      <c r="S1225" t="s">
        <v>35</v>
      </c>
      <c r="T1225" t="s">
        <v>35</v>
      </c>
      <c r="U1225" t="s">
        <v>35</v>
      </c>
      <c r="V1225" t="s">
        <v>645</v>
      </c>
      <c r="W1225" t="s">
        <v>113</v>
      </c>
    </row>
    <row r="1226" spans="1:23" hidden="1" x14ac:dyDescent="0.25">
      <c r="A1226" s="7" t="str">
        <f>IFERROR(VLOOKUP(H1226,'Contas Orç'!A:B,2,0),"N/A")</f>
        <v>COMBUSTIVEIS</v>
      </c>
      <c r="B1226" s="7" t="str">
        <f t="shared" si="38"/>
        <v>320301001 - COMBUSTIVEIS</v>
      </c>
      <c r="C1226" s="25">
        <f t="shared" si="39"/>
        <v>44743</v>
      </c>
      <c r="D1226" s="27">
        <f>IF(K1226="CREDITO",Q1226,Q1226*-1)</f>
        <v>24875.66</v>
      </c>
      <c r="E1226" t="s">
        <v>894</v>
      </c>
      <c r="F1226" t="s">
        <v>1720</v>
      </c>
      <c r="G1226" s="8">
        <v>44743</v>
      </c>
      <c r="H1226" t="s">
        <v>205</v>
      </c>
      <c r="I1226" t="s">
        <v>53</v>
      </c>
      <c r="J1226" t="s">
        <v>54</v>
      </c>
      <c r="K1226" t="s">
        <v>29</v>
      </c>
      <c r="L1226" t="s">
        <v>895</v>
      </c>
      <c r="M1226" t="s">
        <v>4402</v>
      </c>
      <c r="O1226" t="s">
        <v>896</v>
      </c>
      <c r="P1226" t="s">
        <v>33</v>
      </c>
      <c r="Q1226" s="22">
        <v>24875.66</v>
      </c>
      <c r="R1226" t="s">
        <v>35</v>
      </c>
      <c r="S1226" t="s">
        <v>35</v>
      </c>
      <c r="T1226" t="s">
        <v>35</v>
      </c>
      <c r="U1226" t="s">
        <v>35</v>
      </c>
      <c r="V1226" t="s">
        <v>645</v>
      </c>
      <c r="W1226" t="s">
        <v>113</v>
      </c>
    </row>
    <row r="1227" spans="1:23" hidden="1" x14ac:dyDescent="0.25">
      <c r="A1227" s="7" t="str">
        <f>IFERROR(VLOOKUP(H1227,'Contas Orç'!A:B,2,0),"N/A")</f>
        <v>COMBUSTIVEIS</v>
      </c>
      <c r="B1227" s="7" t="str">
        <f t="shared" si="38"/>
        <v>320301001 - COMBUSTIVEIS</v>
      </c>
      <c r="C1227" s="25">
        <f t="shared" si="39"/>
        <v>44774</v>
      </c>
      <c r="D1227" s="27">
        <f>IF(K1227="CREDITO",Q1227,Q1227*-1)</f>
        <v>367613.16</v>
      </c>
      <c r="E1227" t="s">
        <v>894</v>
      </c>
      <c r="F1227" t="s">
        <v>1721</v>
      </c>
      <c r="G1227" s="8">
        <v>44774</v>
      </c>
      <c r="H1227" t="s">
        <v>205</v>
      </c>
      <c r="I1227" t="s">
        <v>27</v>
      </c>
      <c r="J1227" t="s">
        <v>28</v>
      </c>
      <c r="K1227" t="s">
        <v>29</v>
      </c>
      <c r="L1227" t="s">
        <v>895</v>
      </c>
      <c r="M1227" t="s">
        <v>4402</v>
      </c>
      <c r="O1227" t="s">
        <v>896</v>
      </c>
      <c r="P1227" t="s">
        <v>33</v>
      </c>
      <c r="Q1227" s="22">
        <v>367613.16</v>
      </c>
      <c r="R1227" t="s">
        <v>35</v>
      </c>
      <c r="S1227" t="s">
        <v>35</v>
      </c>
      <c r="T1227" t="s">
        <v>35</v>
      </c>
      <c r="U1227" t="s">
        <v>35</v>
      </c>
      <c r="V1227" t="s">
        <v>645</v>
      </c>
      <c r="W1227" t="s">
        <v>113</v>
      </c>
    </row>
    <row r="1228" spans="1:23" hidden="1" x14ac:dyDescent="0.25">
      <c r="A1228" s="7" t="str">
        <f>IFERROR(VLOOKUP(H1228,'Contas Orç'!A:B,2,0),"N/A")</f>
        <v>COMBUSTIVEIS</v>
      </c>
      <c r="B1228" s="7" t="str">
        <f t="shared" si="38"/>
        <v>320301001 - COMBUSTIVEIS</v>
      </c>
      <c r="C1228" s="25">
        <f t="shared" si="39"/>
        <v>44774</v>
      </c>
      <c r="D1228" s="27">
        <f>IF(K1228="CREDITO",Q1228,Q1228*-1)</f>
        <v>752.99</v>
      </c>
      <c r="E1228" t="s">
        <v>894</v>
      </c>
      <c r="F1228" t="s">
        <v>1722</v>
      </c>
      <c r="G1228" s="8">
        <v>44774</v>
      </c>
      <c r="H1228" t="s">
        <v>205</v>
      </c>
      <c r="I1228" t="s">
        <v>59</v>
      </c>
      <c r="J1228" t="s">
        <v>28</v>
      </c>
      <c r="K1228" t="s">
        <v>29</v>
      </c>
      <c r="L1228" t="s">
        <v>895</v>
      </c>
      <c r="M1228" t="s">
        <v>4402</v>
      </c>
      <c r="O1228" t="s">
        <v>896</v>
      </c>
      <c r="P1228" t="s">
        <v>33</v>
      </c>
      <c r="Q1228">
        <v>752.99</v>
      </c>
      <c r="R1228" t="s">
        <v>35</v>
      </c>
      <c r="S1228" t="s">
        <v>35</v>
      </c>
      <c r="T1228" t="s">
        <v>35</v>
      </c>
      <c r="U1228" t="s">
        <v>35</v>
      </c>
      <c r="V1228" t="s">
        <v>645</v>
      </c>
      <c r="W1228" t="s">
        <v>113</v>
      </c>
    </row>
    <row r="1229" spans="1:23" hidden="1" x14ac:dyDescent="0.25">
      <c r="A1229" s="7" t="str">
        <f>IFERROR(VLOOKUP(H1229,'Contas Orç'!A:B,2,0),"N/A")</f>
        <v>COMBUSTIVEIS</v>
      </c>
      <c r="B1229" s="7" t="str">
        <f t="shared" si="38"/>
        <v>320301001 - COMBUSTIVEIS</v>
      </c>
      <c r="C1229" s="25">
        <f t="shared" si="39"/>
        <v>44774</v>
      </c>
      <c r="D1229" s="27">
        <f>IF(K1229="CREDITO",Q1229,Q1229*-1)</f>
        <v>870.02</v>
      </c>
      <c r="E1229" t="s">
        <v>894</v>
      </c>
      <c r="F1229" t="s">
        <v>1723</v>
      </c>
      <c r="G1229" s="8">
        <v>44774</v>
      </c>
      <c r="H1229" t="s">
        <v>205</v>
      </c>
      <c r="I1229" t="s">
        <v>106</v>
      </c>
      <c r="J1229" t="s">
        <v>60</v>
      </c>
      <c r="K1229" t="s">
        <v>29</v>
      </c>
      <c r="L1229" t="s">
        <v>895</v>
      </c>
      <c r="M1229" t="s">
        <v>4402</v>
      </c>
      <c r="O1229" t="s">
        <v>896</v>
      </c>
      <c r="P1229" t="s">
        <v>33</v>
      </c>
      <c r="Q1229">
        <v>870.02</v>
      </c>
      <c r="R1229" t="s">
        <v>35</v>
      </c>
      <c r="S1229" t="s">
        <v>35</v>
      </c>
      <c r="T1229" t="s">
        <v>35</v>
      </c>
      <c r="U1229" t="s">
        <v>35</v>
      </c>
      <c r="V1229" t="s">
        <v>645</v>
      </c>
      <c r="W1229" t="s">
        <v>113</v>
      </c>
    </row>
    <row r="1230" spans="1:23" hidden="1" x14ac:dyDescent="0.25">
      <c r="A1230" s="7" t="str">
        <f>IFERROR(VLOOKUP(H1230,'Contas Orç'!A:B,2,0),"N/A")</f>
        <v>COMBUSTIVEIS</v>
      </c>
      <c r="B1230" s="7" t="str">
        <f t="shared" si="38"/>
        <v>320301001 - COMBUSTIVEIS</v>
      </c>
      <c r="C1230" s="25">
        <f t="shared" si="39"/>
        <v>44774</v>
      </c>
      <c r="D1230" s="27">
        <f>IF(K1230="CREDITO",Q1230,Q1230*-1)</f>
        <v>272348.98</v>
      </c>
      <c r="E1230" t="s">
        <v>894</v>
      </c>
      <c r="F1230" t="s">
        <v>1724</v>
      </c>
      <c r="G1230" s="8">
        <v>44774</v>
      </c>
      <c r="H1230" t="s">
        <v>205</v>
      </c>
      <c r="I1230" t="s">
        <v>59</v>
      </c>
      <c r="J1230" t="s">
        <v>60</v>
      </c>
      <c r="K1230" t="s">
        <v>29</v>
      </c>
      <c r="L1230" t="s">
        <v>895</v>
      </c>
      <c r="M1230" t="s">
        <v>4402</v>
      </c>
      <c r="O1230" t="s">
        <v>896</v>
      </c>
      <c r="P1230" t="s">
        <v>33</v>
      </c>
      <c r="Q1230" s="22">
        <v>272348.98</v>
      </c>
      <c r="R1230" t="s">
        <v>35</v>
      </c>
      <c r="S1230" t="s">
        <v>35</v>
      </c>
      <c r="T1230" t="s">
        <v>35</v>
      </c>
      <c r="U1230" t="s">
        <v>35</v>
      </c>
      <c r="V1230" t="s">
        <v>645</v>
      </c>
      <c r="W1230" t="s">
        <v>113</v>
      </c>
    </row>
    <row r="1231" spans="1:23" hidden="1" x14ac:dyDescent="0.25">
      <c r="A1231" s="7" t="str">
        <f>IFERROR(VLOOKUP(H1231,'Contas Orç'!A:B,2,0),"N/A")</f>
        <v>COMBUSTIVEIS</v>
      </c>
      <c r="B1231" s="7" t="str">
        <f t="shared" si="38"/>
        <v>320301001 - COMBUSTIVEIS</v>
      </c>
      <c r="C1231" s="25">
        <f t="shared" si="39"/>
        <v>44774</v>
      </c>
      <c r="D1231" s="27">
        <f>IF(K1231="CREDITO",Q1231,Q1231*-1)</f>
        <v>61448.24</v>
      </c>
      <c r="E1231" t="s">
        <v>894</v>
      </c>
      <c r="F1231" t="s">
        <v>1725</v>
      </c>
      <c r="G1231" s="8">
        <v>44774</v>
      </c>
      <c r="H1231" t="s">
        <v>205</v>
      </c>
      <c r="I1231" t="s">
        <v>59</v>
      </c>
      <c r="J1231" t="s">
        <v>107</v>
      </c>
      <c r="K1231" t="s">
        <v>29</v>
      </c>
      <c r="L1231" t="s">
        <v>895</v>
      </c>
      <c r="M1231" t="s">
        <v>4402</v>
      </c>
      <c r="O1231" t="s">
        <v>896</v>
      </c>
      <c r="P1231" t="s">
        <v>33</v>
      </c>
      <c r="Q1231" s="22">
        <v>61448.24</v>
      </c>
      <c r="R1231" t="s">
        <v>35</v>
      </c>
      <c r="S1231" t="s">
        <v>35</v>
      </c>
      <c r="T1231" t="s">
        <v>35</v>
      </c>
      <c r="U1231" t="s">
        <v>35</v>
      </c>
      <c r="V1231" t="s">
        <v>645</v>
      </c>
      <c r="W1231" t="s">
        <v>113</v>
      </c>
    </row>
    <row r="1232" spans="1:23" hidden="1" x14ac:dyDescent="0.25">
      <c r="A1232" s="7" t="str">
        <f>IFERROR(VLOOKUP(H1232,'Contas Orç'!A:B,2,0),"N/A")</f>
        <v>COMBUSTIVEIS</v>
      </c>
      <c r="B1232" s="7" t="str">
        <f t="shared" si="38"/>
        <v>320301001 - COMBUSTIVEIS</v>
      </c>
      <c r="C1232" s="25">
        <f t="shared" si="39"/>
        <v>44774</v>
      </c>
      <c r="D1232" s="27">
        <f>IF(K1232="CREDITO",Q1232,Q1232*-1)</f>
        <v>22138.47</v>
      </c>
      <c r="E1232" t="s">
        <v>894</v>
      </c>
      <c r="F1232" t="s">
        <v>1726</v>
      </c>
      <c r="G1232" s="8">
        <v>44774</v>
      </c>
      <c r="H1232" t="s">
        <v>205</v>
      </c>
      <c r="I1232" t="s">
        <v>125</v>
      </c>
      <c r="J1232" t="s">
        <v>95</v>
      </c>
      <c r="K1232" t="s">
        <v>29</v>
      </c>
      <c r="L1232" t="s">
        <v>895</v>
      </c>
      <c r="M1232" t="s">
        <v>4402</v>
      </c>
      <c r="O1232" t="s">
        <v>896</v>
      </c>
      <c r="P1232" t="s">
        <v>33</v>
      </c>
      <c r="Q1232" s="22">
        <v>22138.47</v>
      </c>
      <c r="R1232" t="s">
        <v>35</v>
      </c>
      <c r="S1232" t="s">
        <v>35</v>
      </c>
      <c r="T1232" t="s">
        <v>35</v>
      </c>
      <c r="U1232" t="s">
        <v>35</v>
      </c>
      <c r="V1232" t="s">
        <v>645</v>
      </c>
      <c r="W1232" t="s">
        <v>113</v>
      </c>
    </row>
    <row r="1233" spans="1:23" hidden="1" x14ac:dyDescent="0.25">
      <c r="A1233" s="7" t="str">
        <f>IFERROR(VLOOKUP(H1233,'Contas Orç'!A:B,2,0),"N/A")</f>
        <v>COMBUSTIVEIS</v>
      </c>
      <c r="B1233" s="7" t="str">
        <f t="shared" si="38"/>
        <v>320301001 - COMBUSTIVEIS</v>
      </c>
      <c r="C1233" s="25">
        <f t="shared" si="39"/>
        <v>44774</v>
      </c>
      <c r="D1233" s="27">
        <f>IF(K1233="CREDITO",Q1233,Q1233*-1)</f>
        <v>4877.67</v>
      </c>
      <c r="E1233" t="s">
        <v>894</v>
      </c>
      <c r="F1233" t="s">
        <v>1727</v>
      </c>
      <c r="G1233" s="8">
        <v>44774</v>
      </c>
      <c r="H1233" t="s">
        <v>205</v>
      </c>
      <c r="I1233" t="s">
        <v>53</v>
      </c>
      <c r="J1233" t="s">
        <v>54</v>
      </c>
      <c r="K1233" t="s">
        <v>29</v>
      </c>
      <c r="L1233" t="s">
        <v>895</v>
      </c>
      <c r="M1233" t="s">
        <v>4402</v>
      </c>
      <c r="O1233" t="s">
        <v>896</v>
      </c>
      <c r="P1233" t="s">
        <v>33</v>
      </c>
      <c r="Q1233" s="22">
        <v>4877.67</v>
      </c>
      <c r="R1233" t="s">
        <v>35</v>
      </c>
      <c r="S1233" t="s">
        <v>35</v>
      </c>
      <c r="T1233" t="s">
        <v>35</v>
      </c>
      <c r="U1233" t="s">
        <v>35</v>
      </c>
      <c r="V1233" t="s">
        <v>645</v>
      </c>
      <c r="W1233" t="s">
        <v>113</v>
      </c>
    </row>
    <row r="1234" spans="1:23" hidden="1" x14ac:dyDescent="0.25">
      <c r="A1234" s="7" t="str">
        <f>IFERROR(VLOOKUP(H1234,'Contas Orç'!A:B,2,0),"N/A")</f>
        <v>COMBUSTIVEIS</v>
      </c>
      <c r="B1234" s="7" t="str">
        <f t="shared" si="38"/>
        <v>320301001 - COMBUSTIVEIS</v>
      </c>
      <c r="C1234" s="25">
        <f t="shared" si="39"/>
        <v>44805</v>
      </c>
      <c r="D1234" s="27">
        <f>IF(K1234="CREDITO",Q1234,Q1234*-1)</f>
        <v>413023.2</v>
      </c>
      <c r="E1234" t="s">
        <v>894</v>
      </c>
      <c r="F1234" t="s">
        <v>1728</v>
      </c>
      <c r="G1234" s="8">
        <v>44805</v>
      </c>
      <c r="H1234" t="s">
        <v>205</v>
      </c>
      <c r="I1234" t="s">
        <v>27</v>
      </c>
      <c r="J1234" t="s">
        <v>28</v>
      </c>
      <c r="K1234" t="s">
        <v>29</v>
      </c>
      <c r="L1234" t="s">
        <v>895</v>
      </c>
      <c r="M1234" t="s">
        <v>4402</v>
      </c>
      <c r="O1234" t="s">
        <v>896</v>
      </c>
      <c r="P1234" t="s">
        <v>33</v>
      </c>
      <c r="Q1234" s="22">
        <v>413023.2</v>
      </c>
      <c r="R1234" t="s">
        <v>35</v>
      </c>
      <c r="S1234" t="s">
        <v>35</v>
      </c>
      <c r="T1234" t="s">
        <v>35</v>
      </c>
      <c r="U1234" t="s">
        <v>35</v>
      </c>
      <c r="V1234" t="s">
        <v>645</v>
      </c>
      <c r="W1234" t="s">
        <v>113</v>
      </c>
    </row>
    <row r="1235" spans="1:23" hidden="1" x14ac:dyDescent="0.25">
      <c r="A1235" s="7" t="str">
        <f>IFERROR(VLOOKUP(H1235,'Contas Orç'!A:B,2,0),"N/A")</f>
        <v>COMBUSTIVEIS</v>
      </c>
      <c r="B1235" s="7" t="str">
        <f t="shared" si="38"/>
        <v>320301001 - COMBUSTIVEIS</v>
      </c>
      <c r="C1235" s="25">
        <f t="shared" si="39"/>
        <v>44805</v>
      </c>
      <c r="D1235" s="27">
        <f>IF(K1235="CREDITO",Q1235,Q1235*-1)</f>
        <v>1599.44</v>
      </c>
      <c r="E1235" t="s">
        <v>894</v>
      </c>
      <c r="F1235" t="s">
        <v>1729</v>
      </c>
      <c r="G1235" s="8">
        <v>44805</v>
      </c>
      <c r="H1235" t="s">
        <v>205</v>
      </c>
      <c r="I1235" t="s">
        <v>106</v>
      </c>
      <c r="J1235" t="s">
        <v>60</v>
      </c>
      <c r="K1235" t="s">
        <v>29</v>
      </c>
      <c r="L1235" t="s">
        <v>895</v>
      </c>
      <c r="M1235" t="s">
        <v>4402</v>
      </c>
      <c r="O1235" t="s">
        <v>896</v>
      </c>
      <c r="P1235" t="s">
        <v>33</v>
      </c>
      <c r="Q1235" s="22">
        <v>1599.44</v>
      </c>
      <c r="R1235" t="s">
        <v>35</v>
      </c>
      <c r="S1235" t="s">
        <v>35</v>
      </c>
      <c r="T1235" t="s">
        <v>35</v>
      </c>
      <c r="U1235" t="s">
        <v>35</v>
      </c>
      <c r="V1235" t="s">
        <v>645</v>
      </c>
      <c r="W1235" t="s">
        <v>113</v>
      </c>
    </row>
    <row r="1236" spans="1:23" hidden="1" x14ac:dyDescent="0.25">
      <c r="A1236" s="7" t="str">
        <f>IFERROR(VLOOKUP(H1236,'Contas Orç'!A:B,2,0),"N/A")</f>
        <v>COMBUSTIVEIS</v>
      </c>
      <c r="B1236" s="7" t="str">
        <f t="shared" si="38"/>
        <v>320301001 - COMBUSTIVEIS</v>
      </c>
      <c r="C1236" s="25">
        <f t="shared" si="39"/>
        <v>44805</v>
      </c>
      <c r="D1236" s="27">
        <f>IF(K1236="CREDITO",Q1236,Q1236*-1)</f>
        <v>361016.63</v>
      </c>
      <c r="E1236" t="s">
        <v>894</v>
      </c>
      <c r="F1236" t="s">
        <v>1730</v>
      </c>
      <c r="G1236" s="8">
        <v>44805</v>
      </c>
      <c r="H1236" t="s">
        <v>205</v>
      </c>
      <c r="I1236" t="s">
        <v>59</v>
      </c>
      <c r="J1236" t="s">
        <v>60</v>
      </c>
      <c r="K1236" t="s">
        <v>29</v>
      </c>
      <c r="L1236" t="s">
        <v>895</v>
      </c>
      <c r="M1236" t="s">
        <v>4402</v>
      </c>
      <c r="O1236" t="s">
        <v>896</v>
      </c>
      <c r="P1236" t="s">
        <v>33</v>
      </c>
      <c r="Q1236" s="22">
        <v>361016.63</v>
      </c>
      <c r="R1236" t="s">
        <v>35</v>
      </c>
      <c r="S1236" t="s">
        <v>35</v>
      </c>
      <c r="T1236" t="s">
        <v>35</v>
      </c>
      <c r="U1236" t="s">
        <v>35</v>
      </c>
      <c r="V1236" t="s">
        <v>645</v>
      </c>
      <c r="W1236" t="s">
        <v>113</v>
      </c>
    </row>
    <row r="1237" spans="1:23" hidden="1" x14ac:dyDescent="0.25">
      <c r="A1237" s="7" t="str">
        <f>IFERROR(VLOOKUP(H1237,'Contas Orç'!A:B,2,0),"N/A")</f>
        <v>COMBUSTIVEIS</v>
      </c>
      <c r="B1237" s="7" t="str">
        <f t="shared" si="38"/>
        <v>320301001 - COMBUSTIVEIS</v>
      </c>
      <c r="C1237" s="25">
        <f t="shared" si="39"/>
        <v>44805</v>
      </c>
      <c r="D1237" s="27">
        <f>IF(K1237="CREDITO",Q1237,Q1237*-1)</f>
        <v>64549.19</v>
      </c>
      <c r="E1237" t="s">
        <v>894</v>
      </c>
      <c r="F1237" t="s">
        <v>1731</v>
      </c>
      <c r="G1237" s="8">
        <v>44805</v>
      </c>
      <c r="H1237" t="s">
        <v>205</v>
      </c>
      <c r="I1237" t="s">
        <v>59</v>
      </c>
      <c r="J1237" t="s">
        <v>107</v>
      </c>
      <c r="K1237" t="s">
        <v>29</v>
      </c>
      <c r="L1237" t="s">
        <v>895</v>
      </c>
      <c r="M1237" t="s">
        <v>4402</v>
      </c>
      <c r="O1237" t="s">
        <v>896</v>
      </c>
      <c r="P1237" t="s">
        <v>33</v>
      </c>
      <c r="Q1237" s="22">
        <v>64549.19</v>
      </c>
      <c r="R1237" t="s">
        <v>35</v>
      </c>
      <c r="S1237" t="s">
        <v>35</v>
      </c>
      <c r="T1237" t="s">
        <v>35</v>
      </c>
      <c r="U1237" t="s">
        <v>35</v>
      </c>
      <c r="V1237" t="s">
        <v>645</v>
      </c>
      <c r="W1237" t="s">
        <v>113</v>
      </c>
    </row>
    <row r="1238" spans="1:23" hidden="1" x14ac:dyDescent="0.25">
      <c r="A1238" s="7" t="str">
        <f>IFERROR(VLOOKUP(H1238,'Contas Orç'!A:B,2,0),"N/A")</f>
        <v>COMBUSTIVEIS</v>
      </c>
      <c r="B1238" s="7" t="str">
        <f t="shared" si="38"/>
        <v>320301001 - COMBUSTIVEIS</v>
      </c>
      <c r="C1238" s="25">
        <f t="shared" si="39"/>
        <v>44805</v>
      </c>
      <c r="D1238" s="27">
        <f>IF(K1238="CREDITO",Q1238,Q1238*-1)</f>
        <v>35255.68</v>
      </c>
      <c r="E1238" t="s">
        <v>894</v>
      </c>
      <c r="F1238" t="s">
        <v>1732</v>
      </c>
      <c r="G1238" s="8">
        <v>44805</v>
      </c>
      <c r="H1238" t="s">
        <v>205</v>
      </c>
      <c r="I1238" t="s">
        <v>125</v>
      </c>
      <c r="J1238" t="s">
        <v>95</v>
      </c>
      <c r="K1238" t="s">
        <v>29</v>
      </c>
      <c r="L1238" t="s">
        <v>895</v>
      </c>
      <c r="M1238" t="s">
        <v>4402</v>
      </c>
      <c r="O1238" t="s">
        <v>896</v>
      </c>
      <c r="P1238" t="s">
        <v>33</v>
      </c>
      <c r="Q1238" s="22">
        <v>35255.68</v>
      </c>
      <c r="R1238" t="s">
        <v>35</v>
      </c>
      <c r="S1238" t="s">
        <v>35</v>
      </c>
      <c r="T1238" t="s">
        <v>35</v>
      </c>
      <c r="U1238" t="s">
        <v>35</v>
      </c>
      <c r="V1238" t="s">
        <v>645</v>
      </c>
      <c r="W1238" t="s">
        <v>113</v>
      </c>
    </row>
    <row r="1239" spans="1:23" hidden="1" x14ac:dyDescent="0.25">
      <c r="A1239" s="7" t="str">
        <f>IFERROR(VLOOKUP(H1239,'Contas Orç'!A:B,2,0),"N/A")</f>
        <v>COMBUSTIVEIS</v>
      </c>
      <c r="B1239" s="7" t="str">
        <f t="shared" si="38"/>
        <v>320301001 - COMBUSTIVEIS</v>
      </c>
      <c r="C1239" s="25">
        <f t="shared" si="39"/>
        <v>44805</v>
      </c>
      <c r="D1239" s="27">
        <f>IF(K1239="CREDITO",Q1239,Q1239*-1)</f>
        <v>5825.62</v>
      </c>
      <c r="E1239" t="s">
        <v>894</v>
      </c>
      <c r="F1239" t="s">
        <v>1733</v>
      </c>
      <c r="G1239" s="8">
        <v>44805</v>
      </c>
      <c r="H1239" t="s">
        <v>205</v>
      </c>
      <c r="I1239" t="s">
        <v>53</v>
      </c>
      <c r="J1239" t="s">
        <v>54</v>
      </c>
      <c r="K1239" t="s">
        <v>29</v>
      </c>
      <c r="L1239" t="s">
        <v>895</v>
      </c>
      <c r="M1239" t="s">
        <v>4402</v>
      </c>
      <c r="O1239" t="s">
        <v>896</v>
      </c>
      <c r="P1239" t="s">
        <v>33</v>
      </c>
      <c r="Q1239" s="22">
        <v>5825.62</v>
      </c>
      <c r="R1239" t="s">
        <v>35</v>
      </c>
      <c r="S1239" t="s">
        <v>35</v>
      </c>
      <c r="T1239" t="s">
        <v>35</v>
      </c>
      <c r="U1239" t="s">
        <v>35</v>
      </c>
      <c r="V1239" t="s">
        <v>645</v>
      </c>
      <c r="W1239" t="s">
        <v>113</v>
      </c>
    </row>
    <row r="1240" spans="1:23" hidden="1" x14ac:dyDescent="0.25">
      <c r="A1240" s="7" t="str">
        <f>IFERROR(VLOOKUP(H1240,'Contas Orç'!A:B,2,0),"N/A")</f>
        <v>COMBUSTIVEIS</v>
      </c>
      <c r="B1240" s="7" t="str">
        <f t="shared" si="38"/>
        <v>320301001 - COMBUSTIVEIS</v>
      </c>
      <c r="C1240" s="25">
        <f t="shared" si="39"/>
        <v>44835</v>
      </c>
      <c r="D1240" s="27">
        <f>IF(K1240="CREDITO",Q1240,Q1240*-1)</f>
        <v>417153.43</v>
      </c>
      <c r="E1240" t="s">
        <v>894</v>
      </c>
      <c r="F1240" t="s">
        <v>1734</v>
      </c>
      <c r="G1240" s="8">
        <v>44835</v>
      </c>
      <c r="H1240" t="s">
        <v>205</v>
      </c>
      <c r="I1240" t="s">
        <v>27</v>
      </c>
      <c r="J1240" t="s">
        <v>28</v>
      </c>
      <c r="K1240" t="s">
        <v>29</v>
      </c>
      <c r="L1240" t="s">
        <v>895</v>
      </c>
      <c r="M1240" t="s">
        <v>4402</v>
      </c>
      <c r="O1240" t="s">
        <v>896</v>
      </c>
      <c r="P1240" t="s">
        <v>33</v>
      </c>
      <c r="Q1240" s="22">
        <v>417153.43</v>
      </c>
      <c r="R1240" t="s">
        <v>35</v>
      </c>
      <c r="S1240" t="s">
        <v>35</v>
      </c>
      <c r="T1240" t="s">
        <v>35</v>
      </c>
      <c r="U1240" t="s">
        <v>35</v>
      </c>
      <c r="V1240" t="s">
        <v>645</v>
      </c>
      <c r="W1240" t="s">
        <v>113</v>
      </c>
    </row>
    <row r="1241" spans="1:23" hidden="1" x14ac:dyDescent="0.25">
      <c r="A1241" s="7" t="str">
        <f>IFERROR(VLOOKUP(H1241,'Contas Orç'!A:B,2,0),"N/A")</f>
        <v>COMBUSTIVEIS</v>
      </c>
      <c r="B1241" s="7" t="str">
        <f t="shared" si="38"/>
        <v>320301001 - COMBUSTIVEIS</v>
      </c>
      <c r="C1241" s="25">
        <f t="shared" si="39"/>
        <v>44835</v>
      </c>
      <c r="D1241" s="27">
        <f>IF(K1241="CREDITO",Q1241,Q1241*-1)</f>
        <v>1615.43</v>
      </c>
      <c r="E1241" t="s">
        <v>894</v>
      </c>
      <c r="F1241" t="s">
        <v>1735</v>
      </c>
      <c r="G1241" s="8">
        <v>44835</v>
      </c>
      <c r="H1241" t="s">
        <v>205</v>
      </c>
      <c r="I1241" t="s">
        <v>106</v>
      </c>
      <c r="J1241" t="s">
        <v>60</v>
      </c>
      <c r="K1241" t="s">
        <v>29</v>
      </c>
      <c r="L1241" t="s">
        <v>895</v>
      </c>
      <c r="M1241" t="s">
        <v>4402</v>
      </c>
      <c r="O1241" t="s">
        <v>896</v>
      </c>
      <c r="P1241" t="s">
        <v>33</v>
      </c>
      <c r="Q1241" s="22">
        <v>1615.43</v>
      </c>
      <c r="R1241" t="s">
        <v>35</v>
      </c>
      <c r="S1241" t="s">
        <v>35</v>
      </c>
      <c r="T1241" t="s">
        <v>35</v>
      </c>
      <c r="U1241" t="s">
        <v>35</v>
      </c>
      <c r="V1241" t="s">
        <v>645</v>
      </c>
      <c r="W1241" t="s">
        <v>113</v>
      </c>
    </row>
    <row r="1242" spans="1:23" hidden="1" x14ac:dyDescent="0.25">
      <c r="A1242" s="7" t="str">
        <f>IFERROR(VLOOKUP(H1242,'Contas Orç'!A:B,2,0),"N/A")</f>
        <v>COMBUSTIVEIS</v>
      </c>
      <c r="B1242" s="7" t="str">
        <f t="shared" si="38"/>
        <v>320301001 - COMBUSTIVEIS</v>
      </c>
      <c r="C1242" s="25">
        <f t="shared" si="39"/>
        <v>44835</v>
      </c>
      <c r="D1242" s="27">
        <f>IF(K1242="CREDITO",Q1242,Q1242*-1)</f>
        <v>364626.8</v>
      </c>
      <c r="E1242" t="s">
        <v>894</v>
      </c>
      <c r="F1242" t="s">
        <v>1736</v>
      </c>
      <c r="G1242" s="8">
        <v>44835</v>
      </c>
      <c r="H1242" t="s">
        <v>205</v>
      </c>
      <c r="I1242" t="s">
        <v>59</v>
      </c>
      <c r="J1242" t="s">
        <v>60</v>
      </c>
      <c r="K1242" t="s">
        <v>29</v>
      </c>
      <c r="L1242" t="s">
        <v>895</v>
      </c>
      <c r="M1242" t="s">
        <v>4402</v>
      </c>
      <c r="O1242" t="s">
        <v>896</v>
      </c>
      <c r="P1242" t="s">
        <v>33</v>
      </c>
      <c r="Q1242" s="22">
        <v>364626.8</v>
      </c>
      <c r="R1242" t="s">
        <v>35</v>
      </c>
      <c r="S1242" t="s">
        <v>35</v>
      </c>
      <c r="T1242" t="s">
        <v>35</v>
      </c>
      <c r="U1242" t="s">
        <v>35</v>
      </c>
      <c r="V1242" t="s">
        <v>645</v>
      </c>
      <c r="W1242" t="s">
        <v>113</v>
      </c>
    </row>
    <row r="1243" spans="1:23" hidden="1" x14ac:dyDescent="0.25">
      <c r="A1243" s="7" t="str">
        <f>IFERROR(VLOOKUP(H1243,'Contas Orç'!A:B,2,0),"N/A")</f>
        <v>COMBUSTIVEIS</v>
      </c>
      <c r="B1243" s="7" t="str">
        <f t="shared" si="38"/>
        <v>320301001 - COMBUSTIVEIS</v>
      </c>
      <c r="C1243" s="25">
        <f t="shared" si="39"/>
        <v>44835</v>
      </c>
      <c r="D1243" s="27">
        <f>IF(K1243="CREDITO",Q1243,Q1243*-1)</f>
        <v>65194.68</v>
      </c>
      <c r="E1243" t="s">
        <v>894</v>
      </c>
      <c r="F1243" t="s">
        <v>1737</v>
      </c>
      <c r="G1243" s="8">
        <v>44835</v>
      </c>
      <c r="H1243" t="s">
        <v>205</v>
      </c>
      <c r="I1243" t="s">
        <v>59</v>
      </c>
      <c r="J1243" t="s">
        <v>107</v>
      </c>
      <c r="K1243" t="s">
        <v>29</v>
      </c>
      <c r="L1243" t="s">
        <v>895</v>
      </c>
      <c r="M1243" t="s">
        <v>4402</v>
      </c>
      <c r="O1243" t="s">
        <v>896</v>
      </c>
      <c r="P1243" t="s">
        <v>33</v>
      </c>
      <c r="Q1243" s="22">
        <v>65194.68</v>
      </c>
      <c r="R1243" t="s">
        <v>35</v>
      </c>
      <c r="S1243" t="s">
        <v>35</v>
      </c>
      <c r="T1243" t="s">
        <v>35</v>
      </c>
      <c r="U1243" t="s">
        <v>35</v>
      </c>
      <c r="V1243" t="s">
        <v>645</v>
      </c>
      <c r="W1243" t="s">
        <v>113</v>
      </c>
    </row>
    <row r="1244" spans="1:23" hidden="1" x14ac:dyDescent="0.25">
      <c r="A1244" s="7" t="str">
        <f>IFERROR(VLOOKUP(H1244,'Contas Orç'!A:B,2,0),"N/A")</f>
        <v>COMBUSTIVEIS</v>
      </c>
      <c r="B1244" s="7" t="str">
        <f t="shared" si="38"/>
        <v>320301001 - COMBUSTIVEIS</v>
      </c>
      <c r="C1244" s="25">
        <f t="shared" si="39"/>
        <v>44835</v>
      </c>
      <c r="D1244" s="27">
        <f>IF(K1244="CREDITO",Q1244,Q1244*-1)</f>
        <v>35608.239999999998</v>
      </c>
      <c r="E1244" t="s">
        <v>894</v>
      </c>
      <c r="F1244" t="s">
        <v>1738</v>
      </c>
      <c r="G1244" s="8">
        <v>44835</v>
      </c>
      <c r="H1244" t="s">
        <v>205</v>
      </c>
      <c r="I1244" t="s">
        <v>125</v>
      </c>
      <c r="J1244" t="s">
        <v>95</v>
      </c>
      <c r="K1244" t="s">
        <v>29</v>
      </c>
      <c r="L1244" t="s">
        <v>895</v>
      </c>
      <c r="M1244" t="s">
        <v>4402</v>
      </c>
      <c r="O1244" t="s">
        <v>896</v>
      </c>
      <c r="P1244" t="s">
        <v>33</v>
      </c>
      <c r="Q1244" s="22">
        <v>35608.239999999998</v>
      </c>
      <c r="R1244" t="s">
        <v>35</v>
      </c>
      <c r="S1244" t="s">
        <v>35</v>
      </c>
      <c r="T1244" t="s">
        <v>35</v>
      </c>
      <c r="U1244" t="s">
        <v>35</v>
      </c>
      <c r="V1244" t="s">
        <v>645</v>
      </c>
      <c r="W1244" t="s">
        <v>113</v>
      </c>
    </row>
    <row r="1245" spans="1:23" hidden="1" x14ac:dyDescent="0.25">
      <c r="A1245" s="7" t="str">
        <f>IFERROR(VLOOKUP(H1245,'Contas Orç'!A:B,2,0),"N/A")</f>
        <v>COMBUSTIVEIS</v>
      </c>
      <c r="B1245" s="7" t="str">
        <f t="shared" si="38"/>
        <v>320301001 - COMBUSTIVEIS</v>
      </c>
      <c r="C1245" s="25">
        <f t="shared" si="39"/>
        <v>44835</v>
      </c>
      <c r="D1245" s="27">
        <f>IF(K1245="CREDITO",Q1245,Q1245*-1)</f>
        <v>5883.88</v>
      </c>
      <c r="E1245" t="s">
        <v>894</v>
      </c>
      <c r="F1245" t="s">
        <v>1739</v>
      </c>
      <c r="G1245" s="8">
        <v>44835</v>
      </c>
      <c r="H1245" t="s">
        <v>205</v>
      </c>
      <c r="I1245" t="s">
        <v>53</v>
      </c>
      <c r="J1245" t="s">
        <v>54</v>
      </c>
      <c r="K1245" t="s">
        <v>29</v>
      </c>
      <c r="L1245" t="s">
        <v>895</v>
      </c>
      <c r="M1245" t="s">
        <v>4402</v>
      </c>
      <c r="O1245" t="s">
        <v>896</v>
      </c>
      <c r="P1245" t="s">
        <v>33</v>
      </c>
      <c r="Q1245" s="22">
        <v>5883.88</v>
      </c>
      <c r="R1245" t="s">
        <v>35</v>
      </c>
      <c r="S1245" t="s">
        <v>35</v>
      </c>
      <c r="T1245" t="s">
        <v>35</v>
      </c>
      <c r="U1245" t="s">
        <v>35</v>
      </c>
      <c r="V1245" t="s">
        <v>645</v>
      </c>
      <c r="W1245" t="s">
        <v>113</v>
      </c>
    </row>
    <row r="1246" spans="1:23" hidden="1" x14ac:dyDescent="0.25">
      <c r="A1246" s="7" t="str">
        <f>IFERROR(VLOOKUP(H1246,'Contas Orç'!A:B,2,0),"N/A")</f>
        <v>COMBUSTIVEIS</v>
      </c>
      <c r="B1246" s="7" t="str">
        <f t="shared" si="38"/>
        <v>320301001 - COMBUSTIVEIS</v>
      </c>
      <c r="C1246" s="25">
        <f t="shared" si="39"/>
        <v>44866</v>
      </c>
      <c r="D1246" s="27">
        <f>IF(K1246="CREDITO",Q1246,Q1246*-1)</f>
        <v>421324.97</v>
      </c>
      <c r="E1246" t="s">
        <v>894</v>
      </c>
      <c r="F1246" t="s">
        <v>1740</v>
      </c>
      <c r="G1246" s="8">
        <v>44866</v>
      </c>
      <c r="H1246" t="s">
        <v>205</v>
      </c>
      <c r="I1246" t="s">
        <v>27</v>
      </c>
      <c r="J1246" t="s">
        <v>28</v>
      </c>
      <c r="K1246" t="s">
        <v>29</v>
      </c>
      <c r="L1246" t="s">
        <v>895</v>
      </c>
      <c r="M1246" t="s">
        <v>4402</v>
      </c>
      <c r="O1246" t="s">
        <v>896</v>
      </c>
      <c r="P1246" t="s">
        <v>33</v>
      </c>
      <c r="Q1246" s="22">
        <v>421324.97</v>
      </c>
      <c r="R1246" t="s">
        <v>35</v>
      </c>
      <c r="S1246" t="s">
        <v>35</v>
      </c>
      <c r="T1246" t="s">
        <v>35</v>
      </c>
      <c r="U1246" t="s">
        <v>35</v>
      </c>
      <c r="V1246" t="s">
        <v>645</v>
      </c>
      <c r="W1246" t="s">
        <v>113</v>
      </c>
    </row>
    <row r="1247" spans="1:23" hidden="1" x14ac:dyDescent="0.25">
      <c r="A1247" s="7" t="str">
        <f>IFERROR(VLOOKUP(H1247,'Contas Orç'!A:B,2,0),"N/A")</f>
        <v>COMBUSTIVEIS</v>
      </c>
      <c r="B1247" s="7" t="str">
        <f t="shared" si="38"/>
        <v>320301001 - COMBUSTIVEIS</v>
      </c>
      <c r="C1247" s="25">
        <f t="shared" si="39"/>
        <v>44866</v>
      </c>
      <c r="D1247" s="27">
        <f>IF(K1247="CREDITO",Q1247,Q1247*-1)</f>
        <v>1631.59</v>
      </c>
      <c r="E1247" t="s">
        <v>894</v>
      </c>
      <c r="F1247" t="s">
        <v>1741</v>
      </c>
      <c r="G1247" s="8">
        <v>44866</v>
      </c>
      <c r="H1247" t="s">
        <v>205</v>
      </c>
      <c r="I1247" t="s">
        <v>106</v>
      </c>
      <c r="J1247" t="s">
        <v>60</v>
      </c>
      <c r="K1247" t="s">
        <v>29</v>
      </c>
      <c r="L1247" t="s">
        <v>895</v>
      </c>
      <c r="M1247" t="s">
        <v>4402</v>
      </c>
      <c r="O1247" t="s">
        <v>896</v>
      </c>
      <c r="P1247" t="s">
        <v>33</v>
      </c>
      <c r="Q1247" s="22">
        <v>1631.59</v>
      </c>
      <c r="R1247" t="s">
        <v>35</v>
      </c>
      <c r="S1247" t="s">
        <v>35</v>
      </c>
      <c r="T1247" t="s">
        <v>35</v>
      </c>
      <c r="U1247" t="s">
        <v>35</v>
      </c>
      <c r="V1247" t="s">
        <v>645</v>
      </c>
      <c r="W1247" t="s">
        <v>113</v>
      </c>
    </row>
    <row r="1248" spans="1:23" hidden="1" x14ac:dyDescent="0.25">
      <c r="A1248" s="7" t="str">
        <f>IFERROR(VLOOKUP(H1248,'Contas Orç'!A:B,2,0),"N/A")</f>
        <v>COMBUSTIVEIS</v>
      </c>
      <c r="B1248" s="7" t="str">
        <f t="shared" si="38"/>
        <v>320301001 - COMBUSTIVEIS</v>
      </c>
      <c r="C1248" s="25">
        <f t="shared" si="39"/>
        <v>44866</v>
      </c>
      <c r="D1248" s="27">
        <f>IF(K1248="CREDITO",Q1248,Q1248*-1)</f>
        <v>368273.06</v>
      </c>
      <c r="E1248" t="s">
        <v>894</v>
      </c>
      <c r="F1248" t="s">
        <v>1742</v>
      </c>
      <c r="G1248" s="8">
        <v>44866</v>
      </c>
      <c r="H1248" t="s">
        <v>205</v>
      </c>
      <c r="I1248" t="s">
        <v>59</v>
      </c>
      <c r="J1248" t="s">
        <v>60</v>
      </c>
      <c r="K1248" t="s">
        <v>29</v>
      </c>
      <c r="L1248" t="s">
        <v>895</v>
      </c>
      <c r="M1248" t="s">
        <v>4402</v>
      </c>
      <c r="O1248" t="s">
        <v>896</v>
      </c>
      <c r="P1248" t="s">
        <v>33</v>
      </c>
      <c r="Q1248" s="22">
        <v>368273.06</v>
      </c>
      <c r="R1248" t="s">
        <v>35</v>
      </c>
      <c r="S1248" t="s">
        <v>35</v>
      </c>
      <c r="T1248" t="s">
        <v>35</v>
      </c>
      <c r="U1248" t="s">
        <v>35</v>
      </c>
      <c r="V1248" t="s">
        <v>645</v>
      </c>
      <c r="W1248" t="s">
        <v>113</v>
      </c>
    </row>
    <row r="1249" spans="1:23" hidden="1" x14ac:dyDescent="0.25">
      <c r="A1249" s="7" t="str">
        <f>IFERROR(VLOOKUP(H1249,'Contas Orç'!A:B,2,0),"N/A")</f>
        <v>COMBUSTIVEIS</v>
      </c>
      <c r="B1249" s="7" t="str">
        <f t="shared" si="38"/>
        <v>320301001 - COMBUSTIVEIS</v>
      </c>
      <c r="C1249" s="25">
        <f t="shared" si="39"/>
        <v>44866</v>
      </c>
      <c r="D1249" s="27">
        <f>IF(K1249="CREDITO",Q1249,Q1249*-1)</f>
        <v>65846.63</v>
      </c>
      <c r="E1249" t="s">
        <v>894</v>
      </c>
      <c r="F1249" t="s">
        <v>1743</v>
      </c>
      <c r="G1249" s="8">
        <v>44866</v>
      </c>
      <c r="H1249" t="s">
        <v>205</v>
      </c>
      <c r="I1249" t="s">
        <v>59</v>
      </c>
      <c r="J1249" t="s">
        <v>107</v>
      </c>
      <c r="K1249" t="s">
        <v>29</v>
      </c>
      <c r="L1249" t="s">
        <v>895</v>
      </c>
      <c r="M1249" t="s">
        <v>4402</v>
      </c>
      <c r="O1249" t="s">
        <v>896</v>
      </c>
      <c r="P1249" t="s">
        <v>33</v>
      </c>
      <c r="Q1249" s="22">
        <v>65846.63</v>
      </c>
      <c r="R1249" t="s">
        <v>35</v>
      </c>
      <c r="S1249" t="s">
        <v>35</v>
      </c>
      <c r="T1249" t="s">
        <v>35</v>
      </c>
      <c r="U1249" t="s">
        <v>35</v>
      </c>
      <c r="V1249" t="s">
        <v>645</v>
      </c>
      <c r="W1249" t="s">
        <v>113</v>
      </c>
    </row>
    <row r="1250" spans="1:23" hidden="1" x14ac:dyDescent="0.25">
      <c r="A1250" s="7" t="str">
        <f>IFERROR(VLOOKUP(H1250,'Contas Orç'!A:B,2,0),"N/A")</f>
        <v>COMBUSTIVEIS</v>
      </c>
      <c r="B1250" s="7" t="str">
        <f t="shared" si="38"/>
        <v>320301001 - COMBUSTIVEIS</v>
      </c>
      <c r="C1250" s="25">
        <f t="shared" si="39"/>
        <v>44866</v>
      </c>
      <c r="D1250" s="27">
        <f>IF(K1250="CREDITO",Q1250,Q1250*-1)</f>
        <v>35964.32</v>
      </c>
      <c r="E1250" t="s">
        <v>894</v>
      </c>
      <c r="F1250" t="s">
        <v>1744</v>
      </c>
      <c r="G1250" s="8">
        <v>44866</v>
      </c>
      <c r="H1250" t="s">
        <v>205</v>
      </c>
      <c r="I1250" t="s">
        <v>125</v>
      </c>
      <c r="J1250" t="s">
        <v>95</v>
      </c>
      <c r="K1250" t="s">
        <v>29</v>
      </c>
      <c r="L1250" t="s">
        <v>895</v>
      </c>
      <c r="M1250" t="s">
        <v>4402</v>
      </c>
      <c r="O1250" t="s">
        <v>896</v>
      </c>
      <c r="P1250" t="s">
        <v>33</v>
      </c>
      <c r="Q1250" s="22">
        <v>35964.32</v>
      </c>
      <c r="R1250" t="s">
        <v>35</v>
      </c>
      <c r="S1250" t="s">
        <v>35</v>
      </c>
      <c r="T1250" t="s">
        <v>35</v>
      </c>
      <c r="U1250" t="s">
        <v>35</v>
      </c>
      <c r="V1250" t="s">
        <v>645</v>
      </c>
      <c r="W1250" t="s">
        <v>113</v>
      </c>
    </row>
    <row r="1251" spans="1:23" hidden="1" x14ac:dyDescent="0.25">
      <c r="A1251" s="7" t="str">
        <f>IFERROR(VLOOKUP(H1251,'Contas Orç'!A:B,2,0),"N/A")</f>
        <v>COMBUSTIVEIS</v>
      </c>
      <c r="B1251" s="7" t="str">
        <f t="shared" si="38"/>
        <v>320301001 - COMBUSTIVEIS</v>
      </c>
      <c r="C1251" s="25">
        <f t="shared" si="39"/>
        <v>44866</v>
      </c>
      <c r="D1251" s="27">
        <f>IF(K1251="CREDITO",Q1251,Q1251*-1)</f>
        <v>5942.71</v>
      </c>
      <c r="E1251" t="s">
        <v>894</v>
      </c>
      <c r="F1251" t="s">
        <v>1745</v>
      </c>
      <c r="G1251" s="8">
        <v>44866</v>
      </c>
      <c r="H1251" t="s">
        <v>205</v>
      </c>
      <c r="I1251" t="s">
        <v>53</v>
      </c>
      <c r="J1251" t="s">
        <v>54</v>
      </c>
      <c r="K1251" t="s">
        <v>29</v>
      </c>
      <c r="L1251" t="s">
        <v>895</v>
      </c>
      <c r="M1251" t="s">
        <v>4402</v>
      </c>
      <c r="O1251" t="s">
        <v>896</v>
      </c>
      <c r="P1251" t="s">
        <v>33</v>
      </c>
      <c r="Q1251" s="22">
        <v>5942.71</v>
      </c>
      <c r="R1251" t="s">
        <v>35</v>
      </c>
      <c r="S1251" t="s">
        <v>35</v>
      </c>
      <c r="T1251" t="s">
        <v>35</v>
      </c>
      <c r="U1251" t="s">
        <v>35</v>
      </c>
      <c r="V1251" t="s">
        <v>645</v>
      </c>
      <c r="W1251" t="s">
        <v>113</v>
      </c>
    </row>
    <row r="1252" spans="1:23" hidden="1" x14ac:dyDescent="0.25">
      <c r="A1252" s="7" t="str">
        <f>IFERROR(VLOOKUP(H1252,'Contas Orç'!A:B,2,0),"N/A")</f>
        <v>COMBUSTIVEIS</v>
      </c>
      <c r="B1252" s="7" t="str">
        <f t="shared" si="38"/>
        <v>320301001 - COMBUSTIVEIS</v>
      </c>
      <c r="C1252" s="25">
        <f t="shared" si="39"/>
        <v>44896</v>
      </c>
      <c r="D1252" s="27">
        <f>IF(K1252="CREDITO",Q1252,Q1252*-1)</f>
        <v>425538.22</v>
      </c>
      <c r="E1252" t="s">
        <v>894</v>
      </c>
      <c r="F1252" t="s">
        <v>1746</v>
      </c>
      <c r="G1252" s="8">
        <v>44896</v>
      </c>
      <c r="H1252" t="s">
        <v>205</v>
      </c>
      <c r="I1252" t="s">
        <v>27</v>
      </c>
      <c r="J1252" t="s">
        <v>28</v>
      </c>
      <c r="K1252" t="s">
        <v>29</v>
      </c>
      <c r="L1252" t="s">
        <v>895</v>
      </c>
      <c r="M1252" t="s">
        <v>4402</v>
      </c>
      <c r="O1252" t="s">
        <v>896</v>
      </c>
      <c r="P1252" t="s">
        <v>33</v>
      </c>
      <c r="Q1252" s="22">
        <v>425538.22</v>
      </c>
      <c r="R1252" t="s">
        <v>35</v>
      </c>
      <c r="S1252" t="s">
        <v>35</v>
      </c>
      <c r="T1252" t="s">
        <v>35</v>
      </c>
      <c r="U1252" t="s">
        <v>35</v>
      </c>
      <c r="V1252" t="s">
        <v>645</v>
      </c>
      <c r="W1252" t="s">
        <v>113</v>
      </c>
    </row>
    <row r="1253" spans="1:23" hidden="1" x14ac:dyDescent="0.25">
      <c r="A1253" s="7" t="str">
        <f>IFERROR(VLOOKUP(H1253,'Contas Orç'!A:B,2,0),"N/A")</f>
        <v>COMBUSTIVEIS</v>
      </c>
      <c r="B1253" s="7" t="str">
        <f t="shared" si="38"/>
        <v>320301001 - COMBUSTIVEIS</v>
      </c>
      <c r="C1253" s="25">
        <f t="shared" si="39"/>
        <v>44896</v>
      </c>
      <c r="D1253" s="27">
        <f>IF(K1253="CREDITO",Q1253,Q1253*-1)</f>
        <v>1647.9</v>
      </c>
      <c r="E1253" t="s">
        <v>894</v>
      </c>
      <c r="F1253" t="s">
        <v>1747</v>
      </c>
      <c r="G1253" s="8">
        <v>44896</v>
      </c>
      <c r="H1253" t="s">
        <v>205</v>
      </c>
      <c r="I1253" t="s">
        <v>106</v>
      </c>
      <c r="J1253" t="s">
        <v>60</v>
      </c>
      <c r="K1253" t="s">
        <v>29</v>
      </c>
      <c r="L1253" t="s">
        <v>895</v>
      </c>
      <c r="M1253" t="s">
        <v>4402</v>
      </c>
      <c r="O1253" t="s">
        <v>896</v>
      </c>
      <c r="P1253" t="s">
        <v>33</v>
      </c>
      <c r="Q1253" s="22">
        <v>1647.9</v>
      </c>
      <c r="R1253" t="s">
        <v>35</v>
      </c>
      <c r="S1253" t="s">
        <v>35</v>
      </c>
      <c r="T1253" t="s">
        <v>35</v>
      </c>
      <c r="U1253" t="s">
        <v>35</v>
      </c>
      <c r="V1253" t="s">
        <v>645</v>
      </c>
      <c r="W1253" t="s">
        <v>113</v>
      </c>
    </row>
    <row r="1254" spans="1:23" hidden="1" x14ac:dyDescent="0.25">
      <c r="A1254" s="7" t="str">
        <f>IFERROR(VLOOKUP(H1254,'Contas Orç'!A:B,2,0),"N/A")</f>
        <v>COMBUSTIVEIS</v>
      </c>
      <c r="B1254" s="7" t="str">
        <f t="shared" si="38"/>
        <v>320301001 - COMBUSTIVEIS</v>
      </c>
      <c r="C1254" s="25">
        <f t="shared" si="39"/>
        <v>44896</v>
      </c>
      <c r="D1254" s="27">
        <f>IF(K1254="CREDITO",Q1254,Q1254*-1)</f>
        <v>371955.79</v>
      </c>
      <c r="E1254" t="s">
        <v>894</v>
      </c>
      <c r="F1254" t="s">
        <v>1748</v>
      </c>
      <c r="G1254" s="8">
        <v>44896</v>
      </c>
      <c r="H1254" t="s">
        <v>205</v>
      </c>
      <c r="I1254" t="s">
        <v>59</v>
      </c>
      <c r="J1254" t="s">
        <v>60</v>
      </c>
      <c r="K1254" t="s">
        <v>29</v>
      </c>
      <c r="L1254" t="s">
        <v>895</v>
      </c>
      <c r="M1254" t="s">
        <v>4402</v>
      </c>
      <c r="O1254" t="s">
        <v>896</v>
      </c>
      <c r="P1254" t="s">
        <v>33</v>
      </c>
      <c r="Q1254" s="22">
        <v>371955.79</v>
      </c>
      <c r="R1254" t="s">
        <v>35</v>
      </c>
      <c r="S1254" t="s">
        <v>35</v>
      </c>
      <c r="T1254" t="s">
        <v>35</v>
      </c>
      <c r="U1254" t="s">
        <v>35</v>
      </c>
      <c r="V1254" t="s">
        <v>645</v>
      </c>
      <c r="W1254" t="s">
        <v>113</v>
      </c>
    </row>
    <row r="1255" spans="1:23" hidden="1" x14ac:dyDescent="0.25">
      <c r="A1255" s="7" t="str">
        <f>IFERROR(VLOOKUP(H1255,'Contas Orç'!A:B,2,0),"N/A")</f>
        <v>COMBUSTIVEIS</v>
      </c>
      <c r="B1255" s="7" t="str">
        <f t="shared" si="38"/>
        <v>320301001 - COMBUSTIVEIS</v>
      </c>
      <c r="C1255" s="25">
        <f t="shared" si="39"/>
        <v>44896</v>
      </c>
      <c r="D1255" s="27">
        <f>IF(K1255="CREDITO",Q1255,Q1255*-1)</f>
        <v>66505.100000000006</v>
      </c>
      <c r="E1255" t="s">
        <v>894</v>
      </c>
      <c r="F1255" t="s">
        <v>1749</v>
      </c>
      <c r="G1255" s="8">
        <v>44896</v>
      </c>
      <c r="H1255" t="s">
        <v>205</v>
      </c>
      <c r="I1255" t="s">
        <v>59</v>
      </c>
      <c r="J1255" t="s">
        <v>107</v>
      </c>
      <c r="K1255" t="s">
        <v>29</v>
      </c>
      <c r="L1255" t="s">
        <v>895</v>
      </c>
      <c r="M1255" t="s">
        <v>4402</v>
      </c>
      <c r="O1255" t="s">
        <v>896</v>
      </c>
      <c r="P1255" t="s">
        <v>33</v>
      </c>
      <c r="Q1255" s="22">
        <v>66505.100000000006</v>
      </c>
      <c r="R1255" t="s">
        <v>35</v>
      </c>
      <c r="S1255" t="s">
        <v>35</v>
      </c>
      <c r="T1255" t="s">
        <v>35</v>
      </c>
      <c r="U1255" t="s">
        <v>35</v>
      </c>
      <c r="V1255" t="s">
        <v>645</v>
      </c>
      <c r="W1255" t="s">
        <v>113</v>
      </c>
    </row>
    <row r="1256" spans="1:23" hidden="1" x14ac:dyDescent="0.25">
      <c r="A1256" s="7" t="str">
        <f>IFERROR(VLOOKUP(H1256,'Contas Orç'!A:B,2,0),"N/A")</f>
        <v>COMBUSTIVEIS</v>
      </c>
      <c r="B1256" s="7" t="str">
        <f t="shared" si="38"/>
        <v>320301001 - COMBUSTIVEIS</v>
      </c>
      <c r="C1256" s="25">
        <f t="shared" si="39"/>
        <v>44896</v>
      </c>
      <c r="D1256" s="27">
        <f>IF(K1256="CREDITO",Q1256,Q1256*-1)</f>
        <v>36323.96</v>
      </c>
      <c r="E1256" t="s">
        <v>894</v>
      </c>
      <c r="F1256" t="s">
        <v>1750</v>
      </c>
      <c r="G1256" s="8">
        <v>44896</v>
      </c>
      <c r="H1256" t="s">
        <v>205</v>
      </c>
      <c r="I1256" t="s">
        <v>125</v>
      </c>
      <c r="J1256" t="s">
        <v>95</v>
      </c>
      <c r="K1256" t="s">
        <v>29</v>
      </c>
      <c r="L1256" t="s">
        <v>895</v>
      </c>
      <c r="M1256" t="s">
        <v>4402</v>
      </c>
      <c r="O1256" t="s">
        <v>896</v>
      </c>
      <c r="P1256" t="s">
        <v>33</v>
      </c>
      <c r="Q1256" s="22">
        <v>36323.96</v>
      </c>
      <c r="R1256" t="s">
        <v>35</v>
      </c>
      <c r="S1256" t="s">
        <v>35</v>
      </c>
      <c r="T1256" t="s">
        <v>35</v>
      </c>
      <c r="U1256" t="s">
        <v>35</v>
      </c>
      <c r="V1256" t="s">
        <v>645</v>
      </c>
      <c r="W1256" t="s">
        <v>113</v>
      </c>
    </row>
    <row r="1257" spans="1:23" hidden="1" x14ac:dyDescent="0.25">
      <c r="A1257" s="7" t="str">
        <f>IFERROR(VLOOKUP(H1257,'Contas Orç'!A:B,2,0),"N/A")</f>
        <v>COMBUSTIVEIS</v>
      </c>
      <c r="B1257" s="7" t="str">
        <f t="shared" si="38"/>
        <v>320301001 - COMBUSTIVEIS</v>
      </c>
      <c r="C1257" s="25">
        <f t="shared" si="39"/>
        <v>44896</v>
      </c>
      <c r="D1257" s="27">
        <f>IF(K1257="CREDITO",Q1257,Q1257*-1)</f>
        <v>6002.14</v>
      </c>
      <c r="E1257" t="s">
        <v>894</v>
      </c>
      <c r="F1257" t="s">
        <v>1751</v>
      </c>
      <c r="G1257" s="8">
        <v>44896</v>
      </c>
      <c r="H1257" t="s">
        <v>205</v>
      </c>
      <c r="I1257" t="s">
        <v>53</v>
      </c>
      <c r="J1257" t="s">
        <v>54</v>
      </c>
      <c r="K1257" t="s">
        <v>29</v>
      </c>
      <c r="L1257" t="s">
        <v>895</v>
      </c>
      <c r="M1257" t="s">
        <v>4402</v>
      </c>
      <c r="O1257" t="s">
        <v>896</v>
      </c>
      <c r="P1257" t="s">
        <v>33</v>
      </c>
      <c r="Q1257" s="22">
        <v>6002.14</v>
      </c>
      <c r="R1257" t="s">
        <v>35</v>
      </c>
      <c r="S1257" t="s">
        <v>35</v>
      </c>
      <c r="T1257" t="s">
        <v>35</v>
      </c>
      <c r="U1257" t="s">
        <v>35</v>
      </c>
      <c r="V1257" t="s">
        <v>645</v>
      </c>
      <c r="W1257" t="s">
        <v>113</v>
      </c>
    </row>
    <row r="1258" spans="1:23" hidden="1" x14ac:dyDescent="0.25">
      <c r="A1258" s="7" t="str">
        <f>IFERROR(VLOOKUP(H1258,'Contas Orç'!A:B,2,0),"N/A")</f>
        <v>LUBRIFICANTES</v>
      </c>
      <c r="B1258" s="7" t="str">
        <f t="shared" si="38"/>
        <v>320301002 - LUBRIFICANTES</v>
      </c>
      <c r="C1258" s="25">
        <f t="shared" si="39"/>
        <v>44562</v>
      </c>
      <c r="D1258" s="27">
        <f>IF(K1258="CREDITO",Q1258,Q1258*-1)</f>
        <v>55.46</v>
      </c>
      <c r="E1258" t="s">
        <v>894</v>
      </c>
      <c r="F1258" t="s">
        <v>1752</v>
      </c>
      <c r="G1258" s="8">
        <v>44562</v>
      </c>
      <c r="H1258" t="s">
        <v>534</v>
      </c>
      <c r="I1258" t="s">
        <v>88</v>
      </c>
      <c r="J1258" t="s">
        <v>28</v>
      </c>
      <c r="K1258" t="s">
        <v>29</v>
      </c>
      <c r="L1258" t="s">
        <v>895</v>
      </c>
      <c r="M1258" t="s">
        <v>4402</v>
      </c>
      <c r="O1258" t="s">
        <v>896</v>
      </c>
      <c r="P1258" t="s">
        <v>33</v>
      </c>
      <c r="Q1258">
        <v>55.46</v>
      </c>
      <c r="R1258" t="s">
        <v>35</v>
      </c>
      <c r="S1258" t="s">
        <v>35</v>
      </c>
      <c r="T1258" t="s">
        <v>35</v>
      </c>
      <c r="U1258" t="s">
        <v>35</v>
      </c>
      <c r="V1258" t="s">
        <v>645</v>
      </c>
      <c r="W1258" t="s">
        <v>113</v>
      </c>
    </row>
    <row r="1259" spans="1:23" hidden="1" x14ac:dyDescent="0.25">
      <c r="A1259" s="7" t="str">
        <f>IFERROR(VLOOKUP(H1259,'Contas Orç'!A:B,2,0),"N/A")</f>
        <v>LUBRIFICANTES</v>
      </c>
      <c r="B1259" s="7" t="str">
        <f t="shared" si="38"/>
        <v>320301002 - LUBRIFICANTES</v>
      </c>
      <c r="C1259" s="25">
        <f t="shared" si="39"/>
        <v>44562</v>
      </c>
      <c r="D1259" s="27">
        <f>IF(K1259="CREDITO",Q1259,Q1259*-1)</f>
        <v>4963.3999999999996</v>
      </c>
      <c r="E1259" t="s">
        <v>894</v>
      </c>
      <c r="F1259" t="s">
        <v>1753</v>
      </c>
      <c r="G1259" s="8">
        <v>44562</v>
      </c>
      <c r="H1259" t="s">
        <v>534</v>
      </c>
      <c r="I1259" t="s">
        <v>27</v>
      </c>
      <c r="J1259" t="s">
        <v>28</v>
      </c>
      <c r="K1259" t="s">
        <v>29</v>
      </c>
      <c r="L1259" t="s">
        <v>895</v>
      </c>
      <c r="M1259" t="s">
        <v>4402</v>
      </c>
      <c r="O1259" t="s">
        <v>896</v>
      </c>
      <c r="P1259" t="s">
        <v>33</v>
      </c>
      <c r="Q1259" s="22">
        <v>4963.3999999999996</v>
      </c>
      <c r="R1259" t="s">
        <v>35</v>
      </c>
      <c r="S1259" t="s">
        <v>35</v>
      </c>
      <c r="T1259" t="s">
        <v>35</v>
      </c>
      <c r="U1259" t="s">
        <v>35</v>
      </c>
      <c r="V1259" t="s">
        <v>645</v>
      </c>
      <c r="W1259" t="s">
        <v>113</v>
      </c>
    </row>
    <row r="1260" spans="1:23" hidden="1" x14ac:dyDescent="0.25">
      <c r="A1260" s="7" t="str">
        <f>IFERROR(VLOOKUP(H1260,'Contas Orç'!A:B,2,0),"N/A")</f>
        <v>LUBRIFICANTES</v>
      </c>
      <c r="B1260" s="7" t="str">
        <f t="shared" si="38"/>
        <v>320301002 - LUBRIFICANTES</v>
      </c>
      <c r="C1260" s="25">
        <f t="shared" si="39"/>
        <v>44562</v>
      </c>
      <c r="D1260" s="27">
        <f>IF(K1260="CREDITO",Q1260,Q1260*-1)</f>
        <v>3074.87</v>
      </c>
      <c r="E1260" t="s">
        <v>894</v>
      </c>
      <c r="F1260" t="s">
        <v>1754</v>
      </c>
      <c r="G1260" s="8">
        <v>44562</v>
      </c>
      <c r="H1260" t="s">
        <v>534</v>
      </c>
      <c r="I1260" t="s">
        <v>106</v>
      </c>
      <c r="J1260" t="s">
        <v>60</v>
      </c>
      <c r="K1260" t="s">
        <v>29</v>
      </c>
      <c r="L1260" t="s">
        <v>895</v>
      </c>
      <c r="M1260" t="s">
        <v>4402</v>
      </c>
      <c r="O1260" t="s">
        <v>896</v>
      </c>
      <c r="P1260" t="s">
        <v>33</v>
      </c>
      <c r="Q1260" s="22">
        <v>3074.87</v>
      </c>
      <c r="R1260" t="s">
        <v>35</v>
      </c>
      <c r="S1260" t="s">
        <v>35</v>
      </c>
      <c r="T1260" t="s">
        <v>35</v>
      </c>
      <c r="U1260" t="s">
        <v>35</v>
      </c>
      <c r="V1260" t="s">
        <v>645</v>
      </c>
      <c r="W1260" t="s">
        <v>113</v>
      </c>
    </row>
    <row r="1261" spans="1:23" hidden="1" x14ac:dyDescent="0.25">
      <c r="A1261" s="7" t="str">
        <f>IFERROR(VLOOKUP(H1261,'Contas Orç'!A:B,2,0),"N/A")</f>
        <v>LUBRIFICANTES</v>
      </c>
      <c r="B1261" s="7" t="str">
        <f t="shared" si="38"/>
        <v>320301002 - LUBRIFICANTES</v>
      </c>
      <c r="C1261" s="25">
        <f t="shared" si="39"/>
        <v>44562</v>
      </c>
      <c r="D1261" s="27">
        <f>IF(K1261="CREDITO",Q1261,Q1261*-1)</f>
        <v>669.44</v>
      </c>
      <c r="E1261" t="s">
        <v>894</v>
      </c>
      <c r="F1261" t="s">
        <v>1755</v>
      </c>
      <c r="G1261" s="8">
        <v>44562</v>
      </c>
      <c r="H1261" t="s">
        <v>534</v>
      </c>
      <c r="I1261" t="s">
        <v>59</v>
      </c>
      <c r="J1261" t="s">
        <v>60</v>
      </c>
      <c r="K1261" t="s">
        <v>29</v>
      </c>
      <c r="L1261" t="s">
        <v>895</v>
      </c>
      <c r="M1261" t="s">
        <v>4402</v>
      </c>
      <c r="O1261" t="s">
        <v>896</v>
      </c>
      <c r="P1261" t="s">
        <v>33</v>
      </c>
      <c r="Q1261">
        <v>669.44</v>
      </c>
      <c r="R1261" t="s">
        <v>35</v>
      </c>
      <c r="S1261" t="s">
        <v>35</v>
      </c>
      <c r="T1261" t="s">
        <v>35</v>
      </c>
      <c r="U1261" t="s">
        <v>35</v>
      </c>
      <c r="V1261" t="s">
        <v>645</v>
      </c>
      <c r="W1261" t="s">
        <v>113</v>
      </c>
    </row>
    <row r="1262" spans="1:23" hidden="1" x14ac:dyDescent="0.25">
      <c r="A1262" s="7" t="str">
        <f>IFERROR(VLOOKUP(H1262,'Contas Orç'!A:B,2,0),"N/A")</f>
        <v>LUBRIFICANTES</v>
      </c>
      <c r="B1262" s="7" t="str">
        <f t="shared" si="38"/>
        <v>320301002 - LUBRIFICANTES</v>
      </c>
      <c r="C1262" s="25">
        <f t="shared" si="39"/>
        <v>44562</v>
      </c>
      <c r="D1262" s="27">
        <f>IF(K1262="CREDITO",Q1262,Q1262*-1)</f>
        <v>73.540000000000006</v>
      </c>
      <c r="E1262" t="s">
        <v>894</v>
      </c>
      <c r="F1262" t="s">
        <v>1756</v>
      </c>
      <c r="G1262" s="8">
        <v>44562</v>
      </c>
      <c r="H1262" t="s">
        <v>534</v>
      </c>
      <c r="I1262" t="s">
        <v>53</v>
      </c>
      <c r="J1262" t="s">
        <v>54</v>
      </c>
      <c r="K1262" t="s">
        <v>29</v>
      </c>
      <c r="L1262" t="s">
        <v>895</v>
      </c>
      <c r="M1262" t="s">
        <v>4402</v>
      </c>
      <c r="O1262" t="s">
        <v>896</v>
      </c>
      <c r="P1262" t="s">
        <v>33</v>
      </c>
      <c r="Q1262">
        <v>73.540000000000006</v>
      </c>
      <c r="R1262" t="s">
        <v>35</v>
      </c>
      <c r="S1262" t="s">
        <v>35</v>
      </c>
      <c r="T1262" t="s">
        <v>35</v>
      </c>
      <c r="U1262" t="s">
        <v>35</v>
      </c>
      <c r="V1262" t="s">
        <v>645</v>
      </c>
      <c r="W1262" t="s">
        <v>113</v>
      </c>
    </row>
    <row r="1263" spans="1:23" hidden="1" x14ac:dyDescent="0.25">
      <c r="A1263" s="7" t="str">
        <f>IFERROR(VLOOKUP(H1263,'Contas Orç'!A:B,2,0),"N/A")</f>
        <v>LUBRIFICANTES</v>
      </c>
      <c r="B1263" s="7" t="str">
        <f t="shared" si="38"/>
        <v>320301002 - LUBRIFICANTES</v>
      </c>
      <c r="C1263" s="25">
        <f t="shared" si="39"/>
        <v>44593</v>
      </c>
      <c r="D1263" s="27">
        <f>IF(K1263="CREDITO",Q1263,Q1263*-1)</f>
        <v>50.3</v>
      </c>
      <c r="E1263" t="s">
        <v>894</v>
      </c>
      <c r="F1263" t="s">
        <v>1757</v>
      </c>
      <c r="G1263" s="8">
        <v>44593</v>
      </c>
      <c r="H1263" t="s">
        <v>534</v>
      </c>
      <c r="I1263" t="s">
        <v>88</v>
      </c>
      <c r="J1263" t="s">
        <v>28</v>
      </c>
      <c r="K1263" t="s">
        <v>29</v>
      </c>
      <c r="L1263" t="s">
        <v>895</v>
      </c>
      <c r="M1263" t="s">
        <v>4402</v>
      </c>
      <c r="O1263" t="s">
        <v>896</v>
      </c>
      <c r="P1263" t="s">
        <v>33</v>
      </c>
      <c r="Q1263">
        <v>50.3</v>
      </c>
      <c r="R1263" t="s">
        <v>35</v>
      </c>
      <c r="S1263" t="s">
        <v>35</v>
      </c>
      <c r="T1263" t="s">
        <v>35</v>
      </c>
      <c r="U1263" t="s">
        <v>35</v>
      </c>
      <c r="V1263" t="s">
        <v>645</v>
      </c>
      <c r="W1263" t="s">
        <v>113</v>
      </c>
    </row>
    <row r="1264" spans="1:23" hidden="1" x14ac:dyDescent="0.25">
      <c r="A1264" s="7" t="str">
        <f>IFERROR(VLOOKUP(H1264,'Contas Orç'!A:B,2,0),"N/A")</f>
        <v>LUBRIFICANTES</v>
      </c>
      <c r="B1264" s="7" t="str">
        <f t="shared" si="38"/>
        <v>320301002 - LUBRIFICANTES</v>
      </c>
      <c r="C1264" s="25">
        <f t="shared" si="39"/>
        <v>44593</v>
      </c>
      <c r="D1264" s="27">
        <f>IF(K1264="CREDITO",Q1264,Q1264*-1)</f>
        <v>5185.8900000000003</v>
      </c>
      <c r="E1264" t="s">
        <v>894</v>
      </c>
      <c r="F1264" t="s">
        <v>1758</v>
      </c>
      <c r="G1264" s="8">
        <v>44593</v>
      </c>
      <c r="H1264" t="s">
        <v>534</v>
      </c>
      <c r="I1264" t="s">
        <v>27</v>
      </c>
      <c r="J1264" t="s">
        <v>28</v>
      </c>
      <c r="K1264" t="s">
        <v>29</v>
      </c>
      <c r="L1264" t="s">
        <v>895</v>
      </c>
      <c r="M1264" t="s">
        <v>4402</v>
      </c>
      <c r="O1264" t="s">
        <v>896</v>
      </c>
      <c r="P1264" t="s">
        <v>33</v>
      </c>
      <c r="Q1264" s="22">
        <v>5185.8900000000003</v>
      </c>
      <c r="R1264" t="s">
        <v>35</v>
      </c>
      <c r="S1264" t="s">
        <v>35</v>
      </c>
      <c r="T1264" t="s">
        <v>35</v>
      </c>
      <c r="U1264" t="s">
        <v>35</v>
      </c>
      <c r="V1264" t="s">
        <v>645</v>
      </c>
      <c r="W1264" t="s">
        <v>113</v>
      </c>
    </row>
    <row r="1265" spans="1:23" hidden="1" x14ac:dyDescent="0.25">
      <c r="A1265" s="7" t="str">
        <f>IFERROR(VLOOKUP(H1265,'Contas Orç'!A:B,2,0),"N/A")</f>
        <v>LUBRIFICANTES</v>
      </c>
      <c r="B1265" s="7" t="str">
        <f t="shared" si="38"/>
        <v>320301002 - LUBRIFICANTES</v>
      </c>
      <c r="C1265" s="25">
        <f t="shared" si="39"/>
        <v>44593</v>
      </c>
      <c r="D1265" s="27">
        <f>IF(K1265="CREDITO",Q1265,Q1265*-1)</f>
        <v>3184.89</v>
      </c>
      <c r="E1265" t="s">
        <v>894</v>
      </c>
      <c r="F1265" t="s">
        <v>1759</v>
      </c>
      <c r="G1265" s="8">
        <v>44593</v>
      </c>
      <c r="H1265" t="s">
        <v>534</v>
      </c>
      <c r="I1265" t="s">
        <v>106</v>
      </c>
      <c r="J1265" t="s">
        <v>60</v>
      </c>
      <c r="K1265" t="s">
        <v>29</v>
      </c>
      <c r="L1265" t="s">
        <v>895</v>
      </c>
      <c r="M1265" t="s">
        <v>4402</v>
      </c>
      <c r="O1265" t="s">
        <v>896</v>
      </c>
      <c r="P1265" t="s">
        <v>33</v>
      </c>
      <c r="Q1265" s="22">
        <v>3184.89</v>
      </c>
      <c r="R1265" t="s">
        <v>35</v>
      </c>
      <c r="S1265" t="s">
        <v>35</v>
      </c>
      <c r="T1265" t="s">
        <v>35</v>
      </c>
      <c r="U1265" t="s">
        <v>35</v>
      </c>
      <c r="V1265" t="s">
        <v>645</v>
      </c>
      <c r="W1265" t="s">
        <v>113</v>
      </c>
    </row>
    <row r="1266" spans="1:23" hidden="1" x14ac:dyDescent="0.25">
      <c r="A1266" s="7" t="str">
        <f>IFERROR(VLOOKUP(H1266,'Contas Orç'!A:B,2,0),"N/A")</f>
        <v>LUBRIFICANTES</v>
      </c>
      <c r="B1266" s="7" t="str">
        <f t="shared" si="38"/>
        <v>320301002 - LUBRIFICANTES</v>
      </c>
      <c r="C1266" s="25">
        <f t="shared" si="39"/>
        <v>44593</v>
      </c>
      <c r="D1266" s="27">
        <f>IF(K1266="CREDITO",Q1266,Q1266*-1)</f>
        <v>111.74</v>
      </c>
      <c r="E1266" t="s">
        <v>894</v>
      </c>
      <c r="F1266" t="s">
        <v>1760</v>
      </c>
      <c r="G1266" s="8">
        <v>44593</v>
      </c>
      <c r="H1266" t="s">
        <v>534</v>
      </c>
      <c r="I1266" t="s">
        <v>59</v>
      </c>
      <c r="J1266" t="s">
        <v>60</v>
      </c>
      <c r="K1266" t="s">
        <v>29</v>
      </c>
      <c r="L1266" t="s">
        <v>895</v>
      </c>
      <c r="M1266" t="s">
        <v>4402</v>
      </c>
      <c r="O1266" t="s">
        <v>896</v>
      </c>
      <c r="P1266" t="s">
        <v>33</v>
      </c>
      <c r="Q1266">
        <v>111.74</v>
      </c>
      <c r="R1266" t="s">
        <v>35</v>
      </c>
      <c r="S1266" t="s">
        <v>35</v>
      </c>
      <c r="T1266" t="s">
        <v>35</v>
      </c>
      <c r="U1266" t="s">
        <v>35</v>
      </c>
      <c r="V1266" t="s">
        <v>645</v>
      </c>
      <c r="W1266" t="s">
        <v>113</v>
      </c>
    </row>
    <row r="1267" spans="1:23" hidden="1" x14ac:dyDescent="0.25">
      <c r="A1267" s="7" t="str">
        <f>IFERROR(VLOOKUP(H1267,'Contas Orç'!A:B,2,0),"N/A")</f>
        <v>LUBRIFICANTES</v>
      </c>
      <c r="B1267" s="7" t="str">
        <f t="shared" si="38"/>
        <v>320301002 - LUBRIFICANTES</v>
      </c>
      <c r="C1267" s="25">
        <f t="shared" si="39"/>
        <v>44593</v>
      </c>
      <c r="D1267" s="27">
        <f>IF(K1267="CREDITO",Q1267,Q1267*-1)</f>
        <v>206.48</v>
      </c>
      <c r="E1267" t="s">
        <v>894</v>
      </c>
      <c r="F1267" t="s">
        <v>1761</v>
      </c>
      <c r="G1267" s="8">
        <v>44593</v>
      </c>
      <c r="H1267" t="s">
        <v>534</v>
      </c>
      <c r="I1267" t="s">
        <v>53</v>
      </c>
      <c r="J1267" t="s">
        <v>54</v>
      </c>
      <c r="K1267" t="s">
        <v>29</v>
      </c>
      <c r="L1267" t="s">
        <v>895</v>
      </c>
      <c r="M1267" t="s">
        <v>4402</v>
      </c>
      <c r="O1267" t="s">
        <v>896</v>
      </c>
      <c r="P1267" t="s">
        <v>33</v>
      </c>
      <c r="Q1267">
        <v>206.48</v>
      </c>
      <c r="R1267" t="s">
        <v>35</v>
      </c>
      <c r="S1267" t="s">
        <v>35</v>
      </c>
      <c r="T1267" t="s">
        <v>35</v>
      </c>
      <c r="U1267" t="s">
        <v>35</v>
      </c>
      <c r="V1267" t="s">
        <v>645</v>
      </c>
      <c r="W1267" t="s">
        <v>113</v>
      </c>
    </row>
    <row r="1268" spans="1:23" hidden="1" x14ac:dyDescent="0.25">
      <c r="A1268" s="7" t="str">
        <f>IFERROR(VLOOKUP(H1268,'Contas Orç'!A:B,2,0),"N/A")</f>
        <v>LUBRIFICANTES</v>
      </c>
      <c r="B1268" s="7" t="str">
        <f t="shared" si="38"/>
        <v>320301002 - LUBRIFICANTES</v>
      </c>
      <c r="C1268" s="25">
        <f t="shared" si="39"/>
        <v>44621</v>
      </c>
      <c r="D1268" s="27">
        <f>IF(K1268="CREDITO",Q1268,Q1268*-1)</f>
        <v>394.3</v>
      </c>
      <c r="E1268" t="s">
        <v>894</v>
      </c>
      <c r="F1268" t="s">
        <v>1762</v>
      </c>
      <c r="G1268" s="8">
        <v>44621</v>
      </c>
      <c r="H1268" t="s">
        <v>534</v>
      </c>
      <c r="I1268" t="s">
        <v>27</v>
      </c>
      <c r="J1268" t="s">
        <v>28</v>
      </c>
      <c r="K1268" t="s">
        <v>29</v>
      </c>
      <c r="L1268" t="s">
        <v>895</v>
      </c>
      <c r="M1268" t="s">
        <v>4402</v>
      </c>
      <c r="O1268" t="s">
        <v>896</v>
      </c>
      <c r="P1268" t="s">
        <v>33</v>
      </c>
      <c r="Q1268">
        <v>394.3</v>
      </c>
      <c r="R1268" t="s">
        <v>35</v>
      </c>
      <c r="S1268" t="s">
        <v>35</v>
      </c>
      <c r="T1268" t="s">
        <v>35</v>
      </c>
      <c r="U1268" t="s">
        <v>35</v>
      </c>
      <c r="V1268" t="s">
        <v>645</v>
      </c>
      <c r="W1268" t="s">
        <v>113</v>
      </c>
    </row>
    <row r="1269" spans="1:23" hidden="1" x14ac:dyDescent="0.25">
      <c r="A1269" s="7" t="str">
        <f>IFERROR(VLOOKUP(H1269,'Contas Orç'!A:B,2,0),"N/A")</f>
        <v>LUBRIFICANTES</v>
      </c>
      <c r="B1269" s="7" t="str">
        <f t="shared" si="38"/>
        <v>320301002 - LUBRIFICANTES</v>
      </c>
      <c r="C1269" s="25">
        <f t="shared" si="39"/>
        <v>44621</v>
      </c>
      <c r="D1269" s="27">
        <f>IF(K1269="CREDITO",Q1269,Q1269*-1)</f>
        <v>1.48</v>
      </c>
      <c r="E1269" t="s">
        <v>894</v>
      </c>
      <c r="F1269" t="s">
        <v>1763</v>
      </c>
      <c r="G1269" s="8">
        <v>44621</v>
      </c>
      <c r="H1269" t="s">
        <v>534</v>
      </c>
      <c r="I1269" t="s">
        <v>59</v>
      </c>
      <c r="J1269" t="s">
        <v>60</v>
      </c>
      <c r="K1269" t="s">
        <v>29</v>
      </c>
      <c r="L1269" t="s">
        <v>895</v>
      </c>
      <c r="M1269" t="s">
        <v>4402</v>
      </c>
      <c r="O1269" t="s">
        <v>896</v>
      </c>
      <c r="P1269" t="s">
        <v>33</v>
      </c>
      <c r="Q1269">
        <v>1.48</v>
      </c>
      <c r="R1269" t="s">
        <v>35</v>
      </c>
      <c r="S1269" t="s">
        <v>35</v>
      </c>
      <c r="T1269" t="s">
        <v>35</v>
      </c>
      <c r="U1269" t="s">
        <v>35</v>
      </c>
      <c r="V1269" t="s">
        <v>645</v>
      </c>
      <c r="W1269" t="s">
        <v>113</v>
      </c>
    </row>
    <row r="1270" spans="1:23" hidden="1" x14ac:dyDescent="0.25">
      <c r="A1270" s="7" t="str">
        <f>IFERROR(VLOOKUP(H1270,'Contas Orç'!A:B,2,0),"N/A")</f>
        <v>LUBRIFICANTES</v>
      </c>
      <c r="B1270" s="7" t="str">
        <f t="shared" si="38"/>
        <v>320301002 - LUBRIFICANTES</v>
      </c>
      <c r="C1270" s="25">
        <f t="shared" si="39"/>
        <v>44621</v>
      </c>
      <c r="D1270" s="27">
        <f>IF(K1270="CREDITO",Q1270,Q1270*-1)</f>
        <v>24</v>
      </c>
      <c r="E1270" t="s">
        <v>894</v>
      </c>
      <c r="F1270" t="s">
        <v>1764</v>
      </c>
      <c r="G1270" s="8">
        <v>44621</v>
      </c>
      <c r="H1270" t="s">
        <v>534</v>
      </c>
      <c r="I1270" t="s">
        <v>53</v>
      </c>
      <c r="J1270" t="s">
        <v>54</v>
      </c>
      <c r="K1270" t="s">
        <v>29</v>
      </c>
      <c r="L1270" t="s">
        <v>895</v>
      </c>
      <c r="M1270" t="s">
        <v>4402</v>
      </c>
      <c r="O1270" t="s">
        <v>896</v>
      </c>
      <c r="P1270" t="s">
        <v>33</v>
      </c>
      <c r="Q1270">
        <v>24</v>
      </c>
      <c r="R1270" t="s">
        <v>35</v>
      </c>
      <c r="S1270" t="s">
        <v>35</v>
      </c>
      <c r="T1270" t="s">
        <v>35</v>
      </c>
      <c r="U1270" t="s">
        <v>35</v>
      </c>
      <c r="V1270" t="s">
        <v>645</v>
      </c>
      <c r="W1270" t="s">
        <v>113</v>
      </c>
    </row>
    <row r="1271" spans="1:23" hidden="1" x14ac:dyDescent="0.25">
      <c r="A1271" s="7" t="str">
        <f>IFERROR(VLOOKUP(H1271,'Contas Orç'!A:B,2,0),"N/A")</f>
        <v>LUBRIFICANTES</v>
      </c>
      <c r="B1271" s="7" t="str">
        <f t="shared" si="38"/>
        <v>320301002 - LUBRIFICANTES</v>
      </c>
      <c r="C1271" s="25">
        <f t="shared" si="39"/>
        <v>44652</v>
      </c>
      <c r="D1271" s="27">
        <f>IF(K1271="CREDITO",Q1271,Q1271*-1)</f>
        <v>13278.78</v>
      </c>
      <c r="E1271" t="s">
        <v>894</v>
      </c>
      <c r="F1271" t="s">
        <v>1765</v>
      </c>
      <c r="G1271" s="8">
        <v>44652</v>
      </c>
      <c r="H1271" t="s">
        <v>534</v>
      </c>
      <c r="I1271" t="s">
        <v>27</v>
      </c>
      <c r="J1271" t="s">
        <v>28</v>
      </c>
      <c r="K1271" t="s">
        <v>29</v>
      </c>
      <c r="L1271" t="s">
        <v>895</v>
      </c>
      <c r="M1271" t="s">
        <v>4402</v>
      </c>
      <c r="O1271" t="s">
        <v>896</v>
      </c>
      <c r="P1271" t="s">
        <v>33</v>
      </c>
      <c r="Q1271" s="22">
        <v>13278.78</v>
      </c>
      <c r="R1271" t="s">
        <v>35</v>
      </c>
      <c r="S1271" t="s">
        <v>35</v>
      </c>
      <c r="T1271" t="s">
        <v>35</v>
      </c>
      <c r="U1271" t="s">
        <v>35</v>
      </c>
      <c r="V1271" t="s">
        <v>645</v>
      </c>
      <c r="W1271" t="s">
        <v>113</v>
      </c>
    </row>
    <row r="1272" spans="1:23" hidden="1" x14ac:dyDescent="0.25">
      <c r="A1272" s="7" t="str">
        <f>IFERROR(VLOOKUP(H1272,'Contas Orç'!A:B,2,0),"N/A")</f>
        <v>LUBRIFICANTES</v>
      </c>
      <c r="B1272" s="7" t="str">
        <f t="shared" si="38"/>
        <v>320301002 - LUBRIFICANTES</v>
      </c>
      <c r="C1272" s="25">
        <f t="shared" si="39"/>
        <v>44652</v>
      </c>
      <c r="D1272" s="27">
        <f>IF(K1272="CREDITO",Q1272,Q1272*-1)</f>
        <v>1691.96</v>
      </c>
      <c r="E1272" t="s">
        <v>894</v>
      </c>
      <c r="F1272" t="s">
        <v>1766</v>
      </c>
      <c r="G1272" s="8">
        <v>44652</v>
      </c>
      <c r="H1272" t="s">
        <v>534</v>
      </c>
      <c r="I1272" t="s">
        <v>106</v>
      </c>
      <c r="J1272" t="s">
        <v>60</v>
      </c>
      <c r="K1272" t="s">
        <v>29</v>
      </c>
      <c r="L1272" t="s">
        <v>895</v>
      </c>
      <c r="M1272" t="s">
        <v>4402</v>
      </c>
      <c r="O1272" t="s">
        <v>896</v>
      </c>
      <c r="P1272" t="s">
        <v>33</v>
      </c>
      <c r="Q1272" s="22">
        <v>1691.96</v>
      </c>
      <c r="R1272" t="s">
        <v>35</v>
      </c>
      <c r="S1272" t="s">
        <v>35</v>
      </c>
      <c r="T1272" t="s">
        <v>35</v>
      </c>
      <c r="U1272" t="s">
        <v>35</v>
      </c>
      <c r="V1272" t="s">
        <v>645</v>
      </c>
      <c r="W1272" t="s">
        <v>113</v>
      </c>
    </row>
    <row r="1273" spans="1:23" hidden="1" x14ac:dyDescent="0.25">
      <c r="A1273" s="7" t="str">
        <f>IFERROR(VLOOKUP(H1273,'Contas Orç'!A:B,2,0),"N/A")</f>
        <v>LUBRIFICANTES</v>
      </c>
      <c r="B1273" s="7" t="str">
        <f t="shared" si="38"/>
        <v>320301002 - LUBRIFICANTES</v>
      </c>
      <c r="C1273" s="25">
        <f t="shared" si="39"/>
        <v>44652</v>
      </c>
      <c r="D1273" s="27">
        <f>IF(K1273="CREDITO",Q1273,Q1273*-1)</f>
        <v>448.82</v>
      </c>
      <c r="E1273" t="s">
        <v>894</v>
      </c>
      <c r="F1273" t="s">
        <v>1767</v>
      </c>
      <c r="G1273" s="8">
        <v>44652</v>
      </c>
      <c r="H1273" t="s">
        <v>534</v>
      </c>
      <c r="I1273" t="s">
        <v>59</v>
      </c>
      <c r="J1273" t="s">
        <v>60</v>
      </c>
      <c r="K1273" t="s">
        <v>29</v>
      </c>
      <c r="L1273" t="s">
        <v>895</v>
      </c>
      <c r="M1273" t="s">
        <v>4402</v>
      </c>
      <c r="O1273" t="s">
        <v>896</v>
      </c>
      <c r="P1273" t="s">
        <v>33</v>
      </c>
      <c r="Q1273">
        <v>448.82</v>
      </c>
      <c r="R1273" t="s">
        <v>35</v>
      </c>
      <c r="S1273" t="s">
        <v>35</v>
      </c>
      <c r="T1273" t="s">
        <v>35</v>
      </c>
      <c r="U1273" t="s">
        <v>35</v>
      </c>
      <c r="V1273" t="s">
        <v>645</v>
      </c>
      <c r="W1273" t="s">
        <v>113</v>
      </c>
    </row>
    <row r="1274" spans="1:23" hidden="1" x14ac:dyDescent="0.25">
      <c r="A1274" s="7" t="str">
        <f>IFERROR(VLOOKUP(H1274,'Contas Orç'!A:B,2,0),"N/A")</f>
        <v>LUBRIFICANTES</v>
      </c>
      <c r="B1274" s="7" t="str">
        <f t="shared" si="38"/>
        <v>320301002 - LUBRIFICANTES</v>
      </c>
      <c r="C1274" s="25">
        <f t="shared" si="39"/>
        <v>44652</v>
      </c>
      <c r="D1274" s="27">
        <f>IF(K1274="CREDITO",Q1274,Q1274*-1)</f>
        <v>44.14</v>
      </c>
      <c r="E1274" t="s">
        <v>894</v>
      </c>
      <c r="F1274" t="s">
        <v>1768</v>
      </c>
      <c r="G1274" s="8">
        <v>44652</v>
      </c>
      <c r="H1274" t="s">
        <v>534</v>
      </c>
      <c r="I1274" t="s">
        <v>59</v>
      </c>
      <c r="J1274" t="s">
        <v>107</v>
      </c>
      <c r="K1274" t="s">
        <v>29</v>
      </c>
      <c r="L1274" t="s">
        <v>895</v>
      </c>
      <c r="M1274" t="s">
        <v>4402</v>
      </c>
      <c r="O1274" t="s">
        <v>896</v>
      </c>
      <c r="P1274" t="s">
        <v>33</v>
      </c>
      <c r="Q1274">
        <v>44.14</v>
      </c>
      <c r="R1274" t="s">
        <v>35</v>
      </c>
      <c r="S1274" t="s">
        <v>35</v>
      </c>
      <c r="T1274" t="s">
        <v>35</v>
      </c>
      <c r="U1274" t="s">
        <v>35</v>
      </c>
      <c r="V1274" t="s">
        <v>645</v>
      </c>
      <c r="W1274" t="s">
        <v>113</v>
      </c>
    </row>
    <row r="1275" spans="1:23" hidden="1" x14ac:dyDescent="0.25">
      <c r="A1275" s="7" t="str">
        <f>IFERROR(VLOOKUP(H1275,'Contas Orç'!A:B,2,0),"N/A")</f>
        <v>LUBRIFICANTES</v>
      </c>
      <c r="B1275" s="7" t="str">
        <f t="shared" si="38"/>
        <v>320301002 - LUBRIFICANTES</v>
      </c>
      <c r="C1275" s="25">
        <f t="shared" si="39"/>
        <v>44652</v>
      </c>
      <c r="D1275" s="27">
        <f>IF(K1275="CREDITO",Q1275,Q1275*-1)</f>
        <v>24</v>
      </c>
      <c r="E1275" t="s">
        <v>894</v>
      </c>
      <c r="F1275" t="s">
        <v>1769</v>
      </c>
      <c r="G1275" s="8">
        <v>44652</v>
      </c>
      <c r="H1275" t="s">
        <v>534</v>
      </c>
      <c r="I1275" t="s">
        <v>53</v>
      </c>
      <c r="J1275" t="s">
        <v>54</v>
      </c>
      <c r="K1275" t="s">
        <v>29</v>
      </c>
      <c r="L1275" t="s">
        <v>895</v>
      </c>
      <c r="M1275" t="s">
        <v>4402</v>
      </c>
      <c r="O1275" t="s">
        <v>896</v>
      </c>
      <c r="P1275" t="s">
        <v>33</v>
      </c>
      <c r="Q1275">
        <v>24</v>
      </c>
      <c r="R1275" t="s">
        <v>35</v>
      </c>
      <c r="S1275" t="s">
        <v>35</v>
      </c>
      <c r="T1275" t="s">
        <v>35</v>
      </c>
      <c r="U1275" t="s">
        <v>35</v>
      </c>
      <c r="V1275" t="s">
        <v>645</v>
      </c>
      <c r="W1275" t="s">
        <v>113</v>
      </c>
    </row>
    <row r="1276" spans="1:23" hidden="1" x14ac:dyDescent="0.25">
      <c r="A1276" s="7" t="str">
        <f>IFERROR(VLOOKUP(H1276,'Contas Orç'!A:B,2,0),"N/A")</f>
        <v>LUBRIFICANTES</v>
      </c>
      <c r="B1276" s="7" t="str">
        <f t="shared" si="38"/>
        <v>320301002 - LUBRIFICANTES</v>
      </c>
      <c r="C1276" s="25">
        <f t="shared" si="39"/>
        <v>44682</v>
      </c>
      <c r="D1276" s="27">
        <f>IF(K1276="CREDITO",Q1276,Q1276*-1)</f>
        <v>8148.94</v>
      </c>
      <c r="E1276" t="s">
        <v>894</v>
      </c>
      <c r="F1276" t="s">
        <v>1770</v>
      </c>
      <c r="G1276" s="8">
        <v>44682</v>
      </c>
      <c r="H1276" t="s">
        <v>534</v>
      </c>
      <c r="I1276" t="s">
        <v>27</v>
      </c>
      <c r="J1276" t="s">
        <v>28</v>
      </c>
      <c r="K1276" t="s">
        <v>29</v>
      </c>
      <c r="L1276" t="s">
        <v>895</v>
      </c>
      <c r="M1276" t="s">
        <v>4402</v>
      </c>
      <c r="O1276" t="s">
        <v>896</v>
      </c>
      <c r="P1276" t="s">
        <v>33</v>
      </c>
      <c r="Q1276" s="22">
        <v>8148.94</v>
      </c>
      <c r="R1276" t="s">
        <v>35</v>
      </c>
      <c r="S1276" t="s">
        <v>35</v>
      </c>
      <c r="T1276" t="s">
        <v>35</v>
      </c>
      <c r="U1276" t="s">
        <v>35</v>
      </c>
      <c r="V1276" t="s">
        <v>645</v>
      </c>
      <c r="W1276" t="s">
        <v>113</v>
      </c>
    </row>
    <row r="1277" spans="1:23" hidden="1" x14ac:dyDescent="0.25">
      <c r="A1277" s="7" t="str">
        <f>IFERROR(VLOOKUP(H1277,'Contas Orç'!A:B,2,0),"N/A")</f>
        <v>LUBRIFICANTES</v>
      </c>
      <c r="B1277" s="7" t="str">
        <f t="shared" si="38"/>
        <v>320301002 - LUBRIFICANTES</v>
      </c>
      <c r="C1277" s="25">
        <f t="shared" si="39"/>
        <v>44682</v>
      </c>
      <c r="D1277" s="27">
        <f>IF(K1277="CREDITO",Q1277,Q1277*-1)</f>
        <v>166.5</v>
      </c>
      <c r="E1277" t="s">
        <v>894</v>
      </c>
      <c r="F1277" t="s">
        <v>1771</v>
      </c>
      <c r="G1277" s="8">
        <v>44682</v>
      </c>
      <c r="H1277" t="s">
        <v>534</v>
      </c>
      <c r="I1277" t="s">
        <v>59</v>
      </c>
      <c r="J1277" t="s">
        <v>60</v>
      </c>
      <c r="K1277" t="s">
        <v>29</v>
      </c>
      <c r="L1277" t="s">
        <v>895</v>
      </c>
      <c r="M1277" t="s">
        <v>4402</v>
      </c>
      <c r="O1277" t="s">
        <v>896</v>
      </c>
      <c r="P1277" t="s">
        <v>33</v>
      </c>
      <c r="Q1277">
        <v>166.5</v>
      </c>
      <c r="R1277" t="s">
        <v>35</v>
      </c>
      <c r="S1277" t="s">
        <v>35</v>
      </c>
      <c r="T1277" t="s">
        <v>35</v>
      </c>
      <c r="U1277" t="s">
        <v>35</v>
      </c>
      <c r="V1277" t="s">
        <v>645</v>
      </c>
      <c r="W1277" t="s">
        <v>113</v>
      </c>
    </row>
    <row r="1278" spans="1:23" hidden="1" x14ac:dyDescent="0.25">
      <c r="A1278" s="7" t="str">
        <f>IFERROR(VLOOKUP(H1278,'Contas Orç'!A:B,2,0),"N/A")</f>
        <v>LUBRIFICANTES</v>
      </c>
      <c r="B1278" s="7" t="str">
        <f t="shared" si="38"/>
        <v>320301002 - LUBRIFICANTES</v>
      </c>
      <c r="C1278" s="25">
        <f t="shared" si="39"/>
        <v>44682</v>
      </c>
      <c r="D1278" s="27">
        <f>IF(K1278="CREDITO",Q1278,Q1278*-1)</f>
        <v>55.01</v>
      </c>
      <c r="E1278" t="s">
        <v>894</v>
      </c>
      <c r="F1278" t="s">
        <v>1772</v>
      </c>
      <c r="G1278" s="8">
        <v>44682</v>
      </c>
      <c r="H1278" t="s">
        <v>534</v>
      </c>
      <c r="I1278" t="s">
        <v>59</v>
      </c>
      <c r="J1278" t="s">
        <v>107</v>
      </c>
      <c r="K1278" t="s">
        <v>29</v>
      </c>
      <c r="L1278" t="s">
        <v>895</v>
      </c>
      <c r="M1278" t="s">
        <v>4402</v>
      </c>
      <c r="O1278" t="s">
        <v>896</v>
      </c>
      <c r="P1278" t="s">
        <v>33</v>
      </c>
      <c r="Q1278">
        <v>55.01</v>
      </c>
      <c r="R1278" t="s">
        <v>35</v>
      </c>
      <c r="S1278" t="s">
        <v>35</v>
      </c>
      <c r="T1278" t="s">
        <v>35</v>
      </c>
      <c r="U1278" t="s">
        <v>35</v>
      </c>
      <c r="V1278" t="s">
        <v>645</v>
      </c>
      <c r="W1278" t="s">
        <v>113</v>
      </c>
    </row>
    <row r="1279" spans="1:23" hidden="1" x14ac:dyDescent="0.25">
      <c r="A1279" s="7" t="str">
        <f>IFERROR(VLOOKUP(H1279,'Contas Orç'!A:B,2,0),"N/A")</f>
        <v>LUBRIFICANTES</v>
      </c>
      <c r="B1279" s="7" t="str">
        <f t="shared" si="38"/>
        <v>320301002 - LUBRIFICANTES</v>
      </c>
      <c r="C1279" s="25">
        <f t="shared" si="39"/>
        <v>44682</v>
      </c>
      <c r="D1279" s="27">
        <f>IF(K1279="CREDITO",Q1279,Q1279*-1)</f>
        <v>39.630000000000003</v>
      </c>
      <c r="E1279" t="s">
        <v>894</v>
      </c>
      <c r="F1279" t="s">
        <v>1773</v>
      </c>
      <c r="G1279" s="8">
        <v>44682</v>
      </c>
      <c r="H1279" t="s">
        <v>534</v>
      </c>
      <c r="I1279" t="s">
        <v>53</v>
      </c>
      <c r="J1279" t="s">
        <v>54</v>
      </c>
      <c r="K1279" t="s">
        <v>29</v>
      </c>
      <c r="L1279" t="s">
        <v>895</v>
      </c>
      <c r="M1279" t="s">
        <v>4402</v>
      </c>
      <c r="O1279" t="s">
        <v>896</v>
      </c>
      <c r="P1279" t="s">
        <v>33</v>
      </c>
      <c r="Q1279">
        <v>39.630000000000003</v>
      </c>
      <c r="R1279" t="s">
        <v>35</v>
      </c>
      <c r="S1279" t="s">
        <v>35</v>
      </c>
      <c r="T1279" t="s">
        <v>35</v>
      </c>
      <c r="U1279" t="s">
        <v>35</v>
      </c>
      <c r="V1279" t="s">
        <v>645</v>
      </c>
      <c r="W1279" t="s">
        <v>113</v>
      </c>
    </row>
    <row r="1280" spans="1:23" hidden="1" x14ac:dyDescent="0.25">
      <c r="A1280" s="7" t="str">
        <f>IFERROR(VLOOKUP(H1280,'Contas Orç'!A:B,2,0),"N/A")</f>
        <v>LUBRIFICANTES</v>
      </c>
      <c r="B1280" s="7" t="str">
        <f t="shared" si="38"/>
        <v>320301002 - LUBRIFICANTES</v>
      </c>
      <c r="C1280" s="25">
        <f t="shared" si="39"/>
        <v>44713</v>
      </c>
      <c r="D1280" s="27">
        <f>IF(K1280="CREDITO",Q1280,Q1280*-1)</f>
        <v>8480.08</v>
      </c>
      <c r="E1280" t="s">
        <v>894</v>
      </c>
      <c r="F1280" t="s">
        <v>1774</v>
      </c>
      <c r="G1280" s="8">
        <v>44713</v>
      </c>
      <c r="H1280" t="s">
        <v>534</v>
      </c>
      <c r="I1280" t="s">
        <v>27</v>
      </c>
      <c r="J1280" t="s">
        <v>28</v>
      </c>
      <c r="K1280" t="s">
        <v>29</v>
      </c>
      <c r="L1280" t="s">
        <v>895</v>
      </c>
      <c r="M1280" t="s">
        <v>4402</v>
      </c>
      <c r="O1280" t="s">
        <v>896</v>
      </c>
      <c r="P1280" t="s">
        <v>33</v>
      </c>
      <c r="Q1280" s="22">
        <v>8480.08</v>
      </c>
      <c r="R1280" t="s">
        <v>35</v>
      </c>
      <c r="S1280" t="s">
        <v>35</v>
      </c>
      <c r="T1280" t="s">
        <v>35</v>
      </c>
      <c r="U1280" t="s">
        <v>35</v>
      </c>
      <c r="V1280" t="s">
        <v>645</v>
      </c>
      <c r="W1280" t="s">
        <v>113</v>
      </c>
    </row>
    <row r="1281" spans="1:23" hidden="1" x14ac:dyDescent="0.25">
      <c r="A1281" s="7" t="str">
        <f>IFERROR(VLOOKUP(H1281,'Contas Orç'!A:B,2,0),"N/A")</f>
        <v>LUBRIFICANTES</v>
      </c>
      <c r="B1281" s="7" t="str">
        <f t="shared" si="38"/>
        <v>320301002 - LUBRIFICANTES</v>
      </c>
      <c r="C1281" s="25">
        <f t="shared" si="39"/>
        <v>44713</v>
      </c>
      <c r="D1281" s="27">
        <f>IF(K1281="CREDITO",Q1281,Q1281*-1)</f>
        <v>128.63999999999999</v>
      </c>
      <c r="E1281" t="s">
        <v>894</v>
      </c>
      <c r="F1281" t="s">
        <v>1775</v>
      </c>
      <c r="G1281" s="8">
        <v>44713</v>
      </c>
      <c r="H1281" t="s">
        <v>534</v>
      </c>
      <c r="I1281" t="s">
        <v>59</v>
      </c>
      <c r="J1281" t="s">
        <v>60</v>
      </c>
      <c r="K1281" t="s">
        <v>29</v>
      </c>
      <c r="L1281" t="s">
        <v>895</v>
      </c>
      <c r="M1281" t="s">
        <v>4402</v>
      </c>
      <c r="O1281" t="s">
        <v>896</v>
      </c>
      <c r="P1281" t="s">
        <v>33</v>
      </c>
      <c r="Q1281">
        <v>128.63999999999999</v>
      </c>
      <c r="R1281" t="s">
        <v>35</v>
      </c>
      <c r="S1281" t="s">
        <v>35</v>
      </c>
      <c r="T1281" t="s">
        <v>35</v>
      </c>
      <c r="U1281" t="s">
        <v>35</v>
      </c>
      <c r="V1281" t="s">
        <v>645</v>
      </c>
      <c r="W1281" t="s">
        <v>113</v>
      </c>
    </row>
    <row r="1282" spans="1:23" hidden="1" x14ac:dyDescent="0.25">
      <c r="A1282" s="7" t="str">
        <f>IFERROR(VLOOKUP(H1282,'Contas Orç'!A:B,2,0),"N/A")</f>
        <v>LUBRIFICANTES</v>
      </c>
      <c r="B1282" s="7" t="str">
        <f t="shared" si="38"/>
        <v>320301002 - LUBRIFICANTES</v>
      </c>
      <c r="C1282" s="25">
        <f t="shared" si="39"/>
        <v>44713</v>
      </c>
      <c r="D1282" s="27">
        <f>IF(K1282="CREDITO",Q1282,Q1282*-1)</f>
        <v>106.92</v>
      </c>
      <c r="E1282" t="s">
        <v>894</v>
      </c>
      <c r="F1282" t="s">
        <v>1776</v>
      </c>
      <c r="G1282" s="8">
        <v>44713</v>
      </c>
      <c r="H1282" t="s">
        <v>534</v>
      </c>
      <c r="I1282" t="s">
        <v>59</v>
      </c>
      <c r="J1282" t="s">
        <v>107</v>
      </c>
      <c r="K1282" t="s">
        <v>29</v>
      </c>
      <c r="L1282" t="s">
        <v>895</v>
      </c>
      <c r="M1282" t="s">
        <v>4402</v>
      </c>
      <c r="O1282" t="s">
        <v>896</v>
      </c>
      <c r="P1282" t="s">
        <v>33</v>
      </c>
      <c r="Q1282">
        <v>106.92</v>
      </c>
      <c r="R1282" t="s">
        <v>35</v>
      </c>
      <c r="S1282" t="s">
        <v>35</v>
      </c>
      <c r="T1282" t="s">
        <v>35</v>
      </c>
      <c r="U1282" t="s">
        <v>35</v>
      </c>
      <c r="V1282" t="s">
        <v>645</v>
      </c>
      <c r="W1282" t="s">
        <v>113</v>
      </c>
    </row>
    <row r="1283" spans="1:23" hidden="1" x14ac:dyDescent="0.25">
      <c r="A1283" s="7" t="str">
        <f>IFERROR(VLOOKUP(H1283,'Contas Orç'!A:B,2,0),"N/A")</f>
        <v>LUBRIFICANTES</v>
      </c>
      <c r="B1283" s="7" t="str">
        <f t="shared" ref="B1283:B1346" si="40">_xlfn.CONCAT(H1283," - ",A1283)</f>
        <v>320301002 - LUBRIFICANTES</v>
      </c>
      <c r="C1283" s="25">
        <f t="shared" ref="C1283:C1346" si="41">DATE(YEAR(G1283),MONTH(G1283),1)</f>
        <v>44713</v>
      </c>
      <c r="D1283" s="27">
        <f>IF(K1283="CREDITO",Q1283,Q1283*-1)</f>
        <v>465.75</v>
      </c>
      <c r="E1283" t="s">
        <v>894</v>
      </c>
      <c r="F1283" t="s">
        <v>1777</v>
      </c>
      <c r="G1283" s="8">
        <v>44713</v>
      </c>
      <c r="H1283" t="s">
        <v>534</v>
      </c>
      <c r="I1283" t="s">
        <v>53</v>
      </c>
      <c r="J1283" t="s">
        <v>54</v>
      </c>
      <c r="K1283" t="s">
        <v>29</v>
      </c>
      <c r="L1283" t="s">
        <v>895</v>
      </c>
      <c r="M1283" t="s">
        <v>4402</v>
      </c>
      <c r="O1283" t="s">
        <v>896</v>
      </c>
      <c r="P1283" t="s">
        <v>33</v>
      </c>
      <c r="Q1283">
        <v>465.75</v>
      </c>
      <c r="R1283" t="s">
        <v>35</v>
      </c>
      <c r="S1283" t="s">
        <v>35</v>
      </c>
      <c r="T1283" t="s">
        <v>35</v>
      </c>
      <c r="U1283" t="s">
        <v>35</v>
      </c>
      <c r="V1283" t="s">
        <v>645</v>
      </c>
      <c r="W1283" t="s">
        <v>113</v>
      </c>
    </row>
    <row r="1284" spans="1:23" hidden="1" x14ac:dyDescent="0.25">
      <c r="A1284" s="7" t="str">
        <f>IFERROR(VLOOKUP(H1284,'Contas Orç'!A:B,2,0),"N/A")</f>
        <v>LUBRIFICANTES</v>
      </c>
      <c r="B1284" s="7" t="str">
        <f t="shared" si="40"/>
        <v>320301002 - LUBRIFICANTES</v>
      </c>
      <c r="C1284" s="25">
        <f t="shared" si="41"/>
        <v>44743</v>
      </c>
      <c r="D1284" s="27">
        <f>IF(K1284="CREDITO",Q1284,Q1284*-1)</f>
        <v>12582.61</v>
      </c>
      <c r="E1284" t="s">
        <v>894</v>
      </c>
      <c r="F1284" t="s">
        <v>1778</v>
      </c>
      <c r="G1284" s="8">
        <v>44743</v>
      </c>
      <c r="H1284" t="s">
        <v>534</v>
      </c>
      <c r="I1284" t="s">
        <v>27</v>
      </c>
      <c r="J1284" t="s">
        <v>28</v>
      </c>
      <c r="K1284" t="s">
        <v>29</v>
      </c>
      <c r="L1284" t="s">
        <v>895</v>
      </c>
      <c r="M1284" t="s">
        <v>4402</v>
      </c>
      <c r="O1284" t="s">
        <v>896</v>
      </c>
      <c r="P1284" t="s">
        <v>33</v>
      </c>
      <c r="Q1284" s="22">
        <v>12582.61</v>
      </c>
      <c r="R1284" t="s">
        <v>35</v>
      </c>
      <c r="S1284" t="s">
        <v>35</v>
      </c>
      <c r="T1284" t="s">
        <v>35</v>
      </c>
      <c r="U1284" t="s">
        <v>35</v>
      </c>
      <c r="V1284" t="s">
        <v>645</v>
      </c>
      <c r="W1284" t="s">
        <v>113</v>
      </c>
    </row>
    <row r="1285" spans="1:23" hidden="1" x14ac:dyDescent="0.25">
      <c r="A1285" s="7" t="str">
        <f>IFERROR(VLOOKUP(H1285,'Contas Orç'!A:B,2,0),"N/A")</f>
        <v>LUBRIFICANTES</v>
      </c>
      <c r="B1285" s="7" t="str">
        <f t="shared" si="40"/>
        <v>320301002 - LUBRIFICANTES</v>
      </c>
      <c r="C1285" s="25">
        <f t="shared" si="41"/>
        <v>44743</v>
      </c>
      <c r="D1285" s="27">
        <f>IF(K1285="CREDITO",Q1285,Q1285*-1)</f>
        <v>755.12</v>
      </c>
      <c r="E1285" t="s">
        <v>894</v>
      </c>
      <c r="F1285" t="s">
        <v>1779</v>
      </c>
      <c r="G1285" s="8">
        <v>44743</v>
      </c>
      <c r="H1285" t="s">
        <v>534</v>
      </c>
      <c r="I1285" t="s">
        <v>59</v>
      </c>
      <c r="J1285" t="s">
        <v>60</v>
      </c>
      <c r="K1285" t="s">
        <v>29</v>
      </c>
      <c r="L1285" t="s">
        <v>895</v>
      </c>
      <c r="M1285" t="s">
        <v>4402</v>
      </c>
      <c r="O1285" t="s">
        <v>896</v>
      </c>
      <c r="P1285" t="s">
        <v>33</v>
      </c>
      <c r="Q1285">
        <v>755.12</v>
      </c>
      <c r="R1285" t="s">
        <v>35</v>
      </c>
      <c r="S1285" t="s">
        <v>35</v>
      </c>
      <c r="T1285" t="s">
        <v>35</v>
      </c>
      <c r="U1285" t="s">
        <v>35</v>
      </c>
      <c r="V1285" t="s">
        <v>645</v>
      </c>
      <c r="W1285" t="s">
        <v>113</v>
      </c>
    </row>
    <row r="1286" spans="1:23" hidden="1" x14ac:dyDescent="0.25">
      <c r="A1286" s="7" t="str">
        <f>IFERROR(VLOOKUP(H1286,'Contas Orç'!A:B,2,0),"N/A")</f>
        <v>LUBRIFICANTES</v>
      </c>
      <c r="B1286" s="7" t="str">
        <f t="shared" si="40"/>
        <v>320301002 - LUBRIFICANTES</v>
      </c>
      <c r="C1286" s="25">
        <f t="shared" si="41"/>
        <v>44743</v>
      </c>
      <c r="D1286" s="27">
        <f>IF(K1286="CREDITO",Q1286,Q1286*-1)</f>
        <v>52.51</v>
      </c>
      <c r="E1286" t="s">
        <v>894</v>
      </c>
      <c r="F1286" t="s">
        <v>1780</v>
      </c>
      <c r="G1286" s="8">
        <v>44743</v>
      </c>
      <c r="H1286" t="s">
        <v>534</v>
      </c>
      <c r="I1286" t="s">
        <v>59</v>
      </c>
      <c r="J1286" t="s">
        <v>107</v>
      </c>
      <c r="K1286" t="s">
        <v>29</v>
      </c>
      <c r="L1286" t="s">
        <v>895</v>
      </c>
      <c r="M1286" t="s">
        <v>4402</v>
      </c>
      <c r="O1286" t="s">
        <v>896</v>
      </c>
      <c r="P1286" t="s">
        <v>33</v>
      </c>
      <c r="Q1286">
        <v>52.51</v>
      </c>
      <c r="R1286" t="s">
        <v>35</v>
      </c>
      <c r="S1286" t="s">
        <v>35</v>
      </c>
      <c r="T1286" t="s">
        <v>35</v>
      </c>
      <c r="U1286" t="s">
        <v>35</v>
      </c>
      <c r="V1286" t="s">
        <v>645</v>
      </c>
      <c r="W1286" t="s">
        <v>113</v>
      </c>
    </row>
    <row r="1287" spans="1:23" hidden="1" x14ac:dyDescent="0.25">
      <c r="A1287" s="7" t="str">
        <f>IFERROR(VLOOKUP(H1287,'Contas Orç'!A:B,2,0),"N/A")</f>
        <v>LUBRIFICANTES</v>
      </c>
      <c r="B1287" s="7" t="str">
        <f t="shared" si="40"/>
        <v>320301002 - LUBRIFICANTES</v>
      </c>
      <c r="C1287" s="25">
        <f t="shared" si="41"/>
        <v>44743</v>
      </c>
      <c r="D1287" s="27">
        <f>IF(K1287="CREDITO",Q1287,Q1287*-1)</f>
        <v>67.2</v>
      </c>
      <c r="E1287" t="s">
        <v>894</v>
      </c>
      <c r="F1287" t="s">
        <v>1781</v>
      </c>
      <c r="G1287" s="8">
        <v>44743</v>
      </c>
      <c r="H1287" t="s">
        <v>534</v>
      </c>
      <c r="I1287" t="s">
        <v>53</v>
      </c>
      <c r="J1287" t="s">
        <v>54</v>
      </c>
      <c r="K1287" t="s">
        <v>29</v>
      </c>
      <c r="L1287" t="s">
        <v>895</v>
      </c>
      <c r="M1287" t="s">
        <v>4402</v>
      </c>
      <c r="O1287" t="s">
        <v>896</v>
      </c>
      <c r="P1287" t="s">
        <v>33</v>
      </c>
      <c r="Q1287">
        <v>67.2</v>
      </c>
      <c r="R1287" t="s">
        <v>35</v>
      </c>
      <c r="S1287" t="s">
        <v>35</v>
      </c>
      <c r="T1287" t="s">
        <v>35</v>
      </c>
      <c r="U1287" t="s">
        <v>35</v>
      </c>
      <c r="V1287" t="s">
        <v>645</v>
      </c>
      <c r="W1287" t="s">
        <v>113</v>
      </c>
    </row>
    <row r="1288" spans="1:23" hidden="1" x14ac:dyDescent="0.25">
      <c r="A1288" s="7" t="str">
        <f>IFERROR(VLOOKUP(H1288,'Contas Orç'!A:B,2,0),"N/A")</f>
        <v>LUBRIFICANTES</v>
      </c>
      <c r="B1288" s="7" t="str">
        <f t="shared" si="40"/>
        <v>320301002 - LUBRIFICANTES</v>
      </c>
      <c r="C1288" s="25">
        <f t="shared" si="41"/>
        <v>44774</v>
      </c>
      <c r="D1288" s="27">
        <f>IF(K1288="CREDITO",Q1288,Q1288*-1)</f>
        <v>10988.8</v>
      </c>
      <c r="E1288" t="s">
        <v>894</v>
      </c>
      <c r="F1288" t="s">
        <v>1782</v>
      </c>
      <c r="G1288" s="8">
        <v>44774</v>
      </c>
      <c r="H1288" t="s">
        <v>534</v>
      </c>
      <c r="I1288" t="s">
        <v>27</v>
      </c>
      <c r="J1288" t="s">
        <v>28</v>
      </c>
      <c r="K1288" t="s">
        <v>29</v>
      </c>
      <c r="L1288" t="s">
        <v>895</v>
      </c>
      <c r="M1288" t="s">
        <v>4402</v>
      </c>
      <c r="O1288" t="s">
        <v>896</v>
      </c>
      <c r="P1288" t="s">
        <v>33</v>
      </c>
      <c r="Q1288" s="22">
        <v>10988.8</v>
      </c>
      <c r="R1288" t="s">
        <v>35</v>
      </c>
      <c r="S1288" t="s">
        <v>35</v>
      </c>
      <c r="T1288" t="s">
        <v>35</v>
      </c>
      <c r="U1288" t="s">
        <v>35</v>
      </c>
      <c r="V1288" t="s">
        <v>645</v>
      </c>
      <c r="W1288" t="s">
        <v>113</v>
      </c>
    </row>
    <row r="1289" spans="1:23" hidden="1" x14ac:dyDescent="0.25">
      <c r="A1289" s="7" t="str">
        <f>IFERROR(VLOOKUP(H1289,'Contas Orç'!A:B,2,0),"N/A")</f>
        <v>LUBRIFICANTES</v>
      </c>
      <c r="B1289" s="7" t="str">
        <f t="shared" si="40"/>
        <v>320301002 - LUBRIFICANTES</v>
      </c>
      <c r="C1289" s="25">
        <f t="shared" si="41"/>
        <v>44774</v>
      </c>
      <c r="D1289" s="27">
        <f>IF(K1289="CREDITO",Q1289,Q1289*-1)</f>
        <v>339.83</v>
      </c>
      <c r="E1289" t="s">
        <v>894</v>
      </c>
      <c r="F1289" t="s">
        <v>1783</v>
      </c>
      <c r="G1289" s="8">
        <v>44774</v>
      </c>
      <c r="H1289" t="s">
        <v>534</v>
      </c>
      <c r="I1289" t="s">
        <v>59</v>
      </c>
      <c r="J1289" t="s">
        <v>60</v>
      </c>
      <c r="K1289" t="s">
        <v>29</v>
      </c>
      <c r="L1289" t="s">
        <v>895</v>
      </c>
      <c r="M1289" t="s">
        <v>4402</v>
      </c>
      <c r="O1289" t="s">
        <v>896</v>
      </c>
      <c r="P1289" t="s">
        <v>33</v>
      </c>
      <c r="Q1289">
        <v>339.83</v>
      </c>
      <c r="R1289" t="s">
        <v>35</v>
      </c>
      <c r="S1289" t="s">
        <v>35</v>
      </c>
      <c r="T1289" t="s">
        <v>35</v>
      </c>
      <c r="U1289" t="s">
        <v>35</v>
      </c>
      <c r="V1289" t="s">
        <v>645</v>
      </c>
      <c r="W1289" t="s">
        <v>113</v>
      </c>
    </row>
    <row r="1290" spans="1:23" hidden="1" x14ac:dyDescent="0.25">
      <c r="A1290" s="7" t="str">
        <f>IFERROR(VLOOKUP(H1290,'Contas Orç'!A:B,2,0),"N/A")</f>
        <v>LUBRIFICANTES</v>
      </c>
      <c r="B1290" s="7" t="str">
        <f t="shared" si="40"/>
        <v>320301002 - LUBRIFICANTES</v>
      </c>
      <c r="C1290" s="25">
        <f t="shared" si="41"/>
        <v>44774</v>
      </c>
      <c r="D1290" s="27">
        <f>IF(K1290="CREDITO",Q1290,Q1290*-1)</f>
        <v>51.94</v>
      </c>
      <c r="E1290" t="s">
        <v>894</v>
      </c>
      <c r="F1290" t="s">
        <v>1784</v>
      </c>
      <c r="G1290" s="8">
        <v>44774</v>
      </c>
      <c r="H1290" t="s">
        <v>534</v>
      </c>
      <c r="I1290" t="s">
        <v>59</v>
      </c>
      <c r="J1290" t="s">
        <v>107</v>
      </c>
      <c r="K1290" t="s">
        <v>29</v>
      </c>
      <c r="L1290" t="s">
        <v>895</v>
      </c>
      <c r="M1290" t="s">
        <v>4402</v>
      </c>
      <c r="O1290" t="s">
        <v>896</v>
      </c>
      <c r="P1290" t="s">
        <v>33</v>
      </c>
      <c r="Q1290">
        <v>51.94</v>
      </c>
      <c r="R1290" t="s">
        <v>35</v>
      </c>
      <c r="S1290" t="s">
        <v>35</v>
      </c>
      <c r="T1290" t="s">
        <v>35</v>
      </c>
      <c r="U1290" t="s">
        <v>35</v>
      </c>
      <c r="V1290" t="s">
        <v>645</v>
      </c>
      <c r="W1290" t="s">
        <v>113</v>
      </c>
    </row>
    <row r="1291" spans="1:23" hidden="1" x14ac:dyDescent="0.25">
      <c r="A1291" s="7" t="str">
        <f>IFERROR(VLOOKUP(H1291,'Contas Orç'!A:B,2,0),"N/A")</f>
        <v>LUBRIFICANTES</v>
      </c>
      <c r="B1291" s="7" t="str">
        <f t="shared" si="40"/>
        <v>320301002 - LUBRIFICANTES</v>
      </c>
      <c r="C1291" s="25">
        <f t="shared" si="41"/>
        <v>44774</v>
      </c>
      <c r="D1291" s="27">
        <f>IF(K1291="CREDITO",Q1291,Q1291*-1)</f>
        <v>24</v>
      </c>
      <c r="E1291" t="s">
        <v>894</v>
      </c>
      <c r="F1291" t="s">
        <v>1785</v>
      </c>
      <c r="G1291" s="8">
        <v>44774</v>
      </c>
      <c r="H1291" t="s">
        <v>534</v>
      </c>
      <c r="I1291" t="s">
        <v>53</v>
      </c>
      <c r="J1291" t="s">
        <v>54</v>
      </c>
      <c r="K1291" t="s">
        <v>29</v>
      </c>
      <c r="L1291" t="s">
        <v>895</v>
      </c>
      <c r="M1291" t="s">
        <v>4402</v>
      </c>
      <c r="O1291" t="s">
        <v>896</v>
      </c>
      <c r="P1291" t="s">
        <v>33</v>
      </c>
      <c r="Q1291">
        <v>24</v>
      </c>
      <c r="R1291" t="s">
        <v>35</v>
      </c>
      <c r="S1291" t="s">
        <v>35</v>
      </c>
      <c r="T1291" t="s">
        <v>35</v>
      </c>
      <c r="U1291" t="s">
        <v>35</v>
      </c>
      <c r="V1291" t="s">
        <v>645</v>
      </c>
      <c r="W1291" t="s">
        <v>113</v>
      </c>
    </row>
    <row r="1292" spans="1:23" hidden="1" x14ac:dyDescent="0.25">
      <c r="A1292" s="7" t="str">
        <f>IFERROR(VLOOKUP(H1292,'Contas Orç'!A:B,2,0),"N/A")</f>
        <v>LUBRIFICANTES</v>
      </c>
      <c r="B1292" s="7" t="str">
        <f t="shared" si="40"/>
        <v>320301002 - LUBRIFICANTES</v>
      </c>
      <c r="C1292" s="25">
        <f t="shared" si="41"/>
        <v>44805</v>
      </c>
      <c r="D1292" s="27">
        <f>IF(K1292="CREDITO",Q1292,Q1292*-1)</f>
        <v>18.87</v>
      </c>
      <c r="E1292" t="s">
        <v>894</v>
      </c>
      <c r="F1292" t="s">
        <v>1786</v>
      </c>
      <c r="G1292" s="8">
        <v>44805</v>
      </c>
      <c r="H1292" t="s">
        <v>534</v>
      </c>
      <c r="I1292" t="s">
        <v>88</v>
      </c>
      <c r="J1292" t="s">
        <v>28</v>
      </c>
      <c r="K1292" t="s">
        <v>29</v>
      </c>
      <c r="L1292" t="s">
        <v>895</v>
      </c>
      <c r="M1292" t="s">
        <v>4402</v>
      </c>
      <c r="O1292" t="s">
        <v>896</v>
      </c>
      <c r="P1292" t="s">
        <v>33</v>
      </c>
      <c r="Q1292">
        <v>18.87</v>
      </c>
      <c r="R1292" t="s">
        <v>35</v>
      </c>
      <c r="S1292" t="s">
        <v>35</v>
      </c>
      <c r="T1292" t="s">
        <v>35</v>
      </c>
      <c r="U1292" t="s">
        <v>35</v>
      </c>
      <c r="V1292" t="s">
        <v>645</v>
      </c>
      <c r="W1292" t="s">
        <v>113</v>
      </c>
    </row>
    <row r="1293" spans="1:23" hidden="1" x14ac:dyDescent="0.25">
      <c r="A1293" s="7" t="str">
        <f>IFERROR(VLOOKUP(H1293,'Contas Orç'!A:B,2,0),"N/A")</f>
        <v>LUBRIFICANTES</v>
      </c>
      <c r="B1293" s="7" t="str">
        <f t="shared" si="40"/>
        <v>320301002 - LUBRIFICANTES</v>
      </c>
      <c r="C1293" s="25">
        <f t="shared" si="41"/>
        <v>44805</v>
      </c>
      <c r="D1293" s="27">
        <f>IF(K1293="CREDITO",Q1293,Q1293*-1)</f>
        <v>10628.91</v>
      </c>
      <c r="E1293" t="s">
        <v>894</v>
      </c>
      <c r="F1293" t="s">
        <v>1787</v>
      </c>
      <c r="G1293" s="8">
        <v>44805</v>
      </c>
      <c r="H1293" t="s">
        <v>534</v>
      </c>
      <c r="I1293" t="s">
        <v>27</v>
      </c>
      <c r="J1293" t="s">
        <v>28</v>
      </c>
      <c r="K1293" t="s">
        <v>29</v>
      </c>
      <c r="L1293" t="s">
        <v>895</v>
      </c>
      <c r="M1293" t="s">
        <v>4402</v>
      </c>
      <c r="O1293" t="s">
        <v>896</v>
      </c>
      <c r="P1293" t="s">
        <v>33</v>
      </c>
      <c r="Q1293" s="22">
        <v>10628.91</v>
      </c>
      <c r="R1293" t="s">
        <v>35</v>
      </c>
      <c r="S1293" t="s">
        <v>35</v>
      </c>
      <c r="T1293" t="s">
        <v>35</v>
      </c>
      <c r="U1293" t="s">
        <v>35</v>
      </c>
      <c r="V1293" t="s">
        <v>645</v>
      </c>
      <c r="W1293" t="s">
        <v>113</v>
      </c>
    </row>
    <row r="1294" spans="1:23" hidden="1" x14ac:dyDescent="0.25">
      <c r="A1294" s="7" t="str">
        <f>IFERROR(VLOOKUP(H1294,'Contas Orç'!A:B,2,0),"N/A")</f>
        <v>LUBRIFICANTES</v>
      </c>
      <c r="B1294" s="7" t="str">
        <f t="shared" si="40"/>
        <v>320301002 - LUBRIFICANTES</v>
      </c>
      <c r="C1294" s="25">
        <f t="shared" si="41"/>
        <v>44805</v>
      </c>
      <c r="D1294" s="27">
        <f>IF(K1294="CREDITO",Q1294,Q1294*-1)</f>
        <v>352.8</v>
      </c>
      <c r="E1294" t="s">
        <v>894</v>
      </c>
      <c r="F1294" t="s">
        <v>1788</v>
      </c>
      <c r="G1294" s="8">
        <v>44805</v>
      </c>
      <c r="H1294" t="s">
        <v>534</v>
      </c>
      <c r="I1294" t="s">
        <v>106</v>
      </c>
      <c r="J1294" t="s">
        <v>60</v>
      </c>
      <c r="K1294" t="s">
        <v>29</v>
      </c>
      <c r="L1294" t="s">
        <v>895</v>
      </c>
      <c r="M1294" t="s">
        <v>4402</v>
      </c>
      <c r="O1294" t="s">
        <v>896</v>
      </c>
      <c r="P1294" t="s">
        <v>33</v>
      </c>
      <c r="Q1294">
        <v>352.8</v>
      </c>
      <c r="R1294" t="s">
        <v>35</v>
      </c>
      <c r="S1294" t="s">
        <v>35</v>
      </c>
      <c r="T1294" t="s">
        <v>35</v>
      </c>
      <c r="U1294" t="s">
        <v>35</v>
      </c>
      <c r="V1294" t="s">
        <v>645</v>
      </c>
      <c r="W1294" t="s">
        <v>113</v>
      </c>
    </row>
    <row r="1295" spans="1:23" hidden="1" x14ac:dyDescent="0.25">
      <c r="A1295" s="7" t="str">
        <f>IFERROR(VLOOKUP(H1295,'Contas Orç'!A:B,2,0),"N/A")</f>
        <v>LUBRIFICANTES</v>
      </c>
      <c r="B1295" s="7" t="str">
        <f t="shared" si="40"/>
        <v>320301002 - LUBRIFICANTES</v>
      </c>
      <c r="C1295" s="25">
        <f t="shared" si="41"/>
        <v>44805</v>
      </c>
      <c r="D1295" s="27">
        <f>IF(K1295="CREDITO",Q1295,Q1295*-1)</f>
        <v>186.3</v>
      </c>
      <c r="E1295" t="s">
        <v>894</v>
      </c>
      <c r="F1295" t="s">
        <v>1789</v>
      </c>
      <c r="G1295" s="8">
        <v>44805</v>
      </c>
      <c r="H1295" t="s">
        <v>534</v>
      </c>
      <c r="I1295" t="s">
        <v>59</v>
      </c>
      <c r="J1295" t="s">
        <v>60</v>
      </c>
      <c r="K1295" t="s">
        <v>29</v>
      </c>
      <c r="L1295" t="s">
        <v>895</v>
      </c>
      <c r="M1295" t="s">
        <v>4402</v>
      </c>
      <c r="O1295" t="s">
        <v>896</v>
      </c>
      <c r="P1295" t="s">
        <v>33</v>
      </c>
      <c r="Q1295">
        <v>186.3</v>
      </c>
      <c r="R1295" t="s">
        <v>35</v>
      </c>
      <c r="S1295" t="s">
        <v>35</v>
      </c>
      <c r="T1295" t="s">
        <v>35</v>
      </c>
      <c r="U1295" t="s">
        <v>35</v>
      </c>
      <c r="V1295" t="s">
        <v>645</v>
      </c>
      <c r="W1295" t="s">
        <v>113</v>
      </c>
    </row>
    <row r="1296" spans="1:23" hidden="1" x14ac:dyDescent="0.25">
      <c r="A1296" s="7" t="str">
        <f>IFERROR(VLOOKUP(H1296,'Contas Orç'!A:B,2,0),"N/A")</f>
        <v>LUBRIFICANTES</v>
      </c>
      <c r="B1296" s="7" t="str">
        <f t="shared" si="40"/>
        <v>320301002 - LUBRIFICANTES</v>
      </c>
      <c r="C1296" s="25">
        <f t="shared" si="41"/>
        <v>44805</v>
      </c>
      <c r="D1296" s="27">
        <f>IF(K1296="CREDITO",Q1296,Q1296*-1)</f>
        <v>807.68</v>
      </c>
      <c r="E1296" t="s">
        <v>894</v>
      </c>
      <c r="F1296" t="s">
        <v>1790</v>
      </c>
      <c r="G1296" s="8">
        <v>44805</v>
      </c>
      <c r="H1296" t="s">
        <v>534</v>
      </c>
      <c r="I1296" t="s">
        <v>88</v>
      </c>
      <c r="J1296" t="s">
        <v>95</v>
      </c>
      <c r="K1296" t="s">
        <v>29</v>
      </c>
      <c r="L1296" t="s">
        <v>895</v>
      </c>
      <c r="M1296" t="s">
        <v>4402</v>
      </c>
      <c r="O1296" t="s">
        <v>896</v>
      </c>
      <c r="P1296" t="s">
        <v>33</v>
      </c>
      <c r="Q1296">
        <v>807.68</v>
      </c>
      <c r="R1296" t="s">
        <v>35</v>
      </c>
      <c r="S1296" t="s">
        <v>35</v>
      </c>
      <c r="T1296" t="s">
        <v>35</v>
      </c>
      <c r="U1296" t="s">
        <v>35</v>
      </c>
      <c r="V1296" t="s">
        <v>645</v>
      </c>
      <c r="W1296" t="s">
        <v>113</v>
      </c>
    </row>
    <row r="1297" spans="1:23" hidden="1" x14ac:dyDescent="0.25">
      <c r="A1297" s="7" t="str">
        <f>IFERROR(VLOOKUP(H1297,'Contas Orç'!A:B,2,0),"N/A")</f>
        <v>LUBRIFICANTES</v>
      </c>
      <c r="B1297" s="7" t="str">
        <f t="shared" si="40"/>
        <v>320301002 - LUBRIFICANTES</v>
      </c>
      <c r="C1297" s="25">
        <f t="shared" si="41"/>
        <v>44805</v>
      </c>
      <c r="D1297" s="27">
        <f>IF(K1297="CREDITO",Q1297,Q1297*-1)</f>
        <v>101.75</v>
      </c>
      <c r="E1297" t="s">
        <v>894</v>
      </c>
      <c r="F1297" t="s">
        <v>1791</v>
      </c>
      <c r="G1297" s="8">
        <v>44805</v>
      </c>
      <c r="H1297" t="s">
        <v>534</v>
      </c>
      <c r="I1297" t="s">
        <v>53</v>
      </c>
      <c r="J1297" t="s">
        <v>54</v>
      </c>
      <c r="K1297" t="s">
        <v>29</v>
      </c>
      <c r="L1297" t="s">
        <v>895</v>
      </c>
      <c r="M1297" t="s">
        <v>4402</v>
      </c>
      <c r="O1297" t="s">
        <v>896</v>
      </c>
      <c r="P1297" t="s">
        <v>33</v>
      </c>
      <c r="Q1297">
        <v>101.75</v>
      </c>
      <c r="R1297" t="s">
        <v>35</v>
      </c>
      <c r="S1297" t="s">
        <v>35</v>
      </c>
      <c r="T1297" t="s">
        <v>35</v>
      </c>
      <c r="U1297" t="s">
        <v>35</v>
      </c>
      <c r="V1297" t="s">
        <v>645</v>
      </c>
      <c r="W1297" t="s">
        <v>113</v>
      </c>
    </row>
    <row r="1298" spans="1:23" hidden="1" x14ac:dyDescent="0.25">
      <c r="A1298" s="7" t="str">
        <f>IFERROR(VLOOKUP(H1298,'Contas Orç'!A:B,2,0),"N/A")</f>
        <v>LUBRIFICANTES</v>
      </c>
      <c r="B1298" s="7" t="str">
        <f t="shared" si="40"/>
        <v>320301002 - LUBRIFICANTES</v>
      </c>
      <c r="C1298" s="25">
        <f t="shared" si="41"/>
        <v>44835</v>
      </c>
      <c r="D1298" s="27">
        <f>IF(K1298="CREDITO",Q1298,Q1298*-1)</f>
        <v>19.059999999999999</v>
      </c>
      <c r="E1298" t="s">
        <v>894</v>
      </c>
      <c r="F1298" t="s">
        <v>1792</v>
      </c>
      <c r="G1298" s="8">
        <v>44835</v>
      </c>
      <c r="H1298" t="s">
        <v>534</v>
      </c>
      <c r="I1298" t="s">
        <v>88</v>
      </c>
      <c r="J1298" t="s">
        <v>28</v>
      </c>
      <c r="K1298" t="s">
        <v>29</v>
      </c>
      <c r="L1298" t="s">
        <v>895</v>
      </c>
      <c r="M1298" t="s">
        <v>4402</v>
      </c>
      <c r="O1298" t="s">
        <v>896</v>
      </c>
      <c r="P1298" t="s">
        <v>33</v>
      </c>
      <c r="Q1298">
        <v>19.059999999999999</v>
      </c>
      <c r="R1298" t="s">
        <v>35</v>
      </c>
      <c r="S1298" t="s">
        <v>35</v>
      </c>
      <c r="T1298" t="s">
        <v>35</v>
      </c>
      <c r="U1298" t="s">
        <v>35</v>
      </c>
      <c r="V1298" t="s">
        <v>645</v>
      </c>
      <c r="W1298" t="s">
        <v>113</v>
      </c>
    </row>
    <row r="1299" spans="1:23" hidden="1" x14ac:dyDescent="0.25">
      <c r="A1299" s="7" t="str">
        <f>IFERROR(VLOOKUP(H1299,'Contas Orç'!A:B,2,0),"N/A")</f>
        <v>LUBRIFICANTES</v>
      </c>
      <c r="B1299" s="7" t="str">
        <f t="shared" si="40"/>
        <v>320301002 - LUBRIFICANTES</v>
      </c>
      <c r="C1299" s="25">
        <f t="shared" si="41"/>
        <v>44835</v>
      </c>
      <c r="D1299" s="27">
        <f>IF(K1299="CREDITO",Q1299,Q1299*-1)</f>
        <v>10735.2</v>
      </c>
      <c r="E1299" t="s">
        <v>894</v>
      </c>
      <c r="F1299" t="s">
        <v>1793</v>
      </c>
      <c r="G1299" s="8">
        <v>44835</v>
      </c>
      <c r="H1299" t="s">
        <v>534</v>
      </c>
      <c r="I1299" t="s">
        <v>27</v>
      </c>
      <c r="J1299" t="s">
        <v>28</v>
      </c>
      <c r="K1299" t="s">
        <v>29</v>
      </c>
      <c r="L1299" t="s">
        <v>895</v>
      </c>
      <c r="M1299" t="s">
        <v>4402</v>
      </c>
      <c r="O1299" t="s">
        <v>896</v>
      </c>
      <c r="P1299" t="s">
        <v>33</v>
      </c>
      <c r="Q1299" s="22">
        <v>10735.2</v>
      </c>
      <c r="R1299" t="s">
        <v>35</v>
      </c>
      <c r="S1299" t="s">
        <v>35</v>
      </c>
      <c r="T1299" t="s">
        <v>35</v>
      </c>
      <c r="U1299" t="s">
        <v>35</v>
      </c>
      <c r="V1299" t="s">
        <v>645</v>
      </c>
      <c r="W1299" t="s">
        <v>113</v>
      </c>
    </row>
    <row r="1300" spans="1:23" hidden="1" x14ac:dyDescent="0.25">
      <c r="A1300" s="7" t="str">
        <f>IFERROR(VLOOKUP(H1300,'Contas Orç'!A:B,2,0),"N/A")</f>
        <v>LUBRIFICANTES</v>
      </c>
      <c r="B1300" s="7" t="str">
        <f t="shared" si="40"/>
        <v>320301002 - LUBRIFICANTES</v>
      </c>
      <c r="C1300" s="25">
        <f t="shared" si="41"/>
        <v>44835</v>
      </c>
      <c r="D1300" s="27">
        <f>IF(K1300="CREDITO",Q1300,Q1300*-1)</f>
        <v>356.33</v>
      </c>
      <c r="E1300" t="s">
        <v>894</v>
      </c>
      <c r="F1300" t="s">
        <v>1794</v>
      </c>
      <c r="G1300" s="8">
        <v>44835</v>
      </c>
      <c r="H1300" t="s">
        <v>534</v>
      </c>
      <c r="I1300" t="s">
        <v>106</v>
      </c>
      <c r="J1300" t="s">
        <v>60</v>
      </c>
      <c r="K1300" t="s">
        <v>29</v>
      </c>
      <c r="L1300" t="s">
        <v>895</v>
      </c>
      <c r="M1300" t="s">
        <v>4402</v>
      </c>
      <c r="O1300" t="s">
        <v>896</v>
      </c>
      <c r="P1300" t="s">
        <v>33</v>
      </c>
      <c r="Q1300">
        <v>356.33</v>
      </c>
      <c r="R1300" t="s">
        <v>35</v>
      </c>
      <c r="S1300" t="s">
        <v>35</v>
      </c>
      <c r="T1300" t="s">
        <v>35</v>
      </c>
      <c r="U1300" t="s">
        <v>35</v>
      </c>
      <c r="V1300" t="s">
        <v>645</v>
      </c>
      <c r="W1300" t="s">
        <v>113</v>
      </c>
    </row>
    <row r="1301" spans="1:23" hidden="1" x14ac:dyDescent="0.25">
      <c r="A1301" s="7" t="str">
        <f>IFERROR(VLOOKUP(H1301,'Contas Orç'!A:B,2,0),"N/A")</f>
        <v>LUBRIFICANTES</v>
      </c>
      <c r="B1301" s="7" t="str">
        <f t="shared" si="40"/>
        <v>320301002 - LUBRIFICANTES</v>
      </c>
      <c r="C1301" s="25">
        <f t="shared" si="41"/>
        <v>44835</v>
      </c>
      <c r="D1301" s="27">
        <f>IF(K1301="CREDITO",Q1301,Q1301*-1)</f>
        <v>188.16</v>
      </c>
      <c r="E1301" t="s">
        <v>894</v>
      </c>
      <c r="F1301" t="s">
        <v>1795</v>
      </c>
      <c r="G1301" s="8">
        <v>44835</v>
      </c>
      <c r="H1301" t="s">
        <v>534</v>
      </c>
      <c r="I1301" t="s">
        <v>59</v>
      </c>
      <c r="J1301" t="s">
        <v>60</v>
      </c>
      <c r="K1301" t="s">
        <v>29</v>
      </c>
      <c r="L1301" t="s">
        <v>895</v>
      </c>
      <c r="M1301" t="s">
        <v>4402</v>
      </c>
      <c r="O1301" t="s">
        <v>896</v>
      </c>
      <c r="P1301" t="s">
        <v>33</v>
      </c>
      <c r="Q1301">
        <v>188.16</v>
      </c>
      <c r="R1301" t="s">
        <v>35</v>
      </c>
      <c r="S1301" t="s">
        <v>35</v>
      </c>
      <c r="T1301" t="s">
        <v>35</v>
      </c>
      <c r="U1301" t="s">
        <v>35</v>
      </c>
      <c r="V1301" t="s">
        <v>645</v>
      </c>
      <c r="W1301" t="s">
        <v>113</v>
      </c>
    </row>
    <row r="1302" spans="1:23" hidden="1" x14ac:dyDescent="0.25">
      <c r="A1302" s="7" t="str">
        <f>IFERROR(VLOOKUP(H1302,'Contas Orç'!A:B,2,0),"N/A")</f>
        <v>LUBRIFICANTES</v>
      </c>
      <c r="B1302" s="7" t="str">
        <f t="shared" si="40"/>
        <v>320301002 - LUBRIFICANTES</v>
      </c>
      <c r="C1302" s="25">
        <f t="shared" si="41"/>
        <v>44835</v>
      </c>
      <c r="D1302" s="27">
        <f>IF(K1302="CREDITO",Q1302,Q1302*-1)</f>
        <v>815.76</v>
      </c>
      <c r="E1302" t="s">
        <v>894</v>
      </c>
      <c r="F1302" t="s">
        <v>1796</v>
      </c>
      <c r="G1302" s="8">
        <v>44835</v>
      </c>
      <c r="H1302" t="s">
        <v>534</v>
      </c>
      <c r="I1302" t="s">
        <v>88</v>
      </c>
      <c r="J1302" t="s">
        <v>95</v>
      </c>
      <c r="K1302" t="s">
        <v>29</v>
      </c>
      <c r="L1302" t="s">
        <v>895</v>
      </c>
      <c r="M1302" t="s">
        <v>4402</v>
      </c>
      <c r="O1302" t="s">
        <v>896</v>
      </c>
      <c r="P1302" t="s">
        <v>33</v>
      </c>
      <c r="Q1302">
        <v>815.76</v>
      </c>
      <c r="R1302" t="s">
        <v>35</v>
      </c>
      <c r="S1302" t="s">
        <v>35</v>
      </c>
      <c r="T1302" t="s">
        <v>35</v>
      </c>
      <c r="U1302" t="s">
        <v>35</v>
      </c>
      <c r="V1302" t="s">
        <v>645</v>
      </c>
      <c r="W1302" t="s">
        <v>113</v>
      </c>
    </row>
    <row r="1303" spans="1:23" hidden="1" x14ac:dyDescent="0.25">
      <c r="A1303" s="7" t="str">
        <f>IFERROR(VLOOKUP(H1303,'Contas Orç'!A:B,2,0),"N/A")</f>
        <v>LUBRIFICANTES</v>
      </c>
      <c r="B1303" s="7" t="str">
        <f t="shared" si="40"/>
        <v>320301002 - LUBRIFICANTES</v>
      </c>
      <c r="C1303" s="25">
        <f t="shared" si="41"/>
        <v>44835</v>
      </c>
      <c r="D1303" s="27">
        <f>IF(K1303="CREDITO",Q1303,Q1303*-1)</f>
        <v>102.77</v>
      </c>
      <c r="E1303" t="s">
        <v>894</v>
      </c>
      <c r="F1303" t="s">
        <v>1797</v>
      </c>
      <c r="G1303" s="8">
        <v>44835</v>
      </c>
      <c r="H1303" t="s">
        <v>534</v>
      </c>
      <c r="I1303" t="s">
        <v>53</v>
      </c>
      <c r="J1303" t="s">
        <v>54</v>
      </c>
      <c r="K1303" t="s">
        <v>29</v>
      </c>
      <c r="L1303" t="s">
        <v>895</v>
      </c>
      <c r="M1303" t="s">
        <v>4402</v>
      </c>
      <c r="O1303" t="s">
        <v>896</v>
      </c>
      <c r="P1303" t="s">
        <v>33</v>
      </c>
      <c r="Q1303">
        <v>102.77</v>
      </c>
      <c r="R1303" t="s">
        <v>35</v>
      </c>
      <c r="S1303" t="s">
        <v>35</v>
      </c>
      <c r="T1303" t="s">
        <v>35</v>
      </c>
      <c r="U1303" t="s">
        <v>35</v>
      </c>
      <c r="V1303" t="s">
        <v>645</v>
      </c>
      <c r="W1303" t="s">
        <v>113</v>
      </c>
    </row>
    <row r="1304" spans="1:23" hidden="1" x14ac:dyDescent="0.25">
      <c r="A1304" s="7" t="str">
        <f>IFERROR(VLOOKUP(H1304,'Contas Orç'!A:B,2,0),"N/A")</f>
        <v>LUBRIFICANTES</v>
      </c>
      <c r="B1304" s="7" t="str">
        <f t="shared" si="40"/>
        <v>320301002 - LUBRIFICANTES</v>
      </c>
      <c r="C1304" s="25">
        <f t="shared" si="41"/>
        <v>44866</v>
      </c>
      <c r="D1304" s="27">
        <f>IF(K1304="CREDITO",Q1304,Q1304*-1)</f>
        <v>19.25</v>
      </c>
      <c r="E1304" t="s">
        <v>894</v>
      </c>
      <c r="F1304" t="s">
        <v>1798</v>
      </c>
      <c r="G1304" s="8">
        <v>44866</v>
      </c>
      <c r="H1304" t="s">
        <v>534</v>
      </c>
      <c r="I1304" t="s">
        <v>88</v>
      </c>
      <c r="J1304" t="s">
        <v>28</v>
      </c>
      <c r="K1304" t="s">
        <v>29</v>
      </c>
      <c r="L1304" t="s">
        <v>895</v>
      </c>
      <c r="M1304" t="s">
        <v>4402</v>
      </c>
      <c r="O1304" t="s">
        <v>896</v>
      </c>
      <c r="P1304" t="s">
        <v>33</v>
      </c>
      <c r="Q1304">
        <v>19.25</v>
      </c>
      <c r="R1304" t="s">
        <v>35</v>
      </c>
      <c r="S1304" t="s">
        <v>35</v>
      </c>
      <c r="T1304" t="s">
        <v>35</v>
      </c>
      <c r="U1304" t="s">
        <v>35</v>
      </c>
      <c r="V1304" t="s">
        <v>645</v>
      </c>
      <c r="W1304" t="s">
        <v>113</v>
      </c>
    </row>
    <row r="1305" spans="1:23" hidden="1" x14ac:dyDescent="0.25">
      <c r="A1305" s="7" t="str">
        <f>IFERROR(VLOOKUP(H1305,'Contas Orç'!A:B,2,0),"N/A")</f>
        <v>LUBRIFICANTES</v>
      </c>
      <c r="B1305" s="7" t="str">
        <f t="shared" si="40"/>
        <v>320301002 - LUBRIFICANTES</v>
      </c>
      <c r="C1305" s="25">
        <f t="shared" si="41"/>
        <v>44866</v>
      </c>
      <c r="D1305" s="27">
        <f>IF(K1305="CREDITO",Q1305,Q1305*-1)</f>
        <v>10842.55</v>
      </c>
      <c r="E1305" t="s">
        <v>894</v>
      </c>
      <c r="F1305" t="s">
        <v>1799</v>
      </c>
      <c r="G1305" s="8">
        <v>44866</v>
      </c>
      <c r="H1305" t="s">
        <v>534</v>
      </c>
      <c r="I1305" t="s">
        <v>27</v>
      </c>
      <c r="J1305" t="s">
        <v>28</v>
      </c>
      <c r="K1305" t="s">
        <v>29</v>
      </c>
      <c r="L1305" t="s">
        <v>895</v>
      </c>
      <c r="M1305" t="s">
        <v>4402</v>
      </c>
      <c r="O1305" t="s">
        <v>896</v>
      </c>
      <c r="P1305" t="s">
        <v>33</v>
      </c>
      <c r="Q1305" s="22">
        <v>10842.55</v>
      </c>
      <c r="R1305" t="s">
        <v>35</v>
      </c>
      <c r="S1305" t="s">
        <v>35</v>
      </c>
      <c r="T1305" t="s">
        <v>35</v>
      </c>
      <c r="U1305" t="s">
        <v>35</v>
      </c>
      <c r="V1305" t="s">
        <v>645</v>
      </c>
      <c r="W1305" t="s">
        <v>113</v>
      </c>
    </row>
    <row r="1306" spans="1:23" hidden="1" x14ac:dyDescent="0.25">
      <c r="A1306" s="7" t="str">
        <f>IFERROR(VLOOKUP(H1306,'Contas Orç'!A:B,2,0),"N/A")</f>
        <v>LUBRIFICANTES</v>
      </c>
      <c r="B1306" s="7" t="str">
        <f t="shared" si="40"/>
        <v>320301002 - LUBRIFICANTES</v>
      </c>
      <c r="C1306" s="25">
        <f t="shared" si="41"/>
        <v>44866</v>
      </c>
      <c r="D1306" s="27">
        <f>IF(K1306="CREDITO",Q1306,Q1306*-1)</f>
        <v>359.89</v>
      </c>
      <c r="E1306" t="s">
        <v>894</v>
      </c>
      <c r="F1306" t="s">
        <v>1800</v>
      </c>
      <c r="G1306" s="8">
        <v>44866</v>
      </c>
      <c r="H1306" t="s">
        <v>534</v>
      </c>
      <c r="I1306" t="s">
        <v>106</v>
      </c>
      <c r="J1306" t="s">
        <v>60</v>
      </c>
      <c r="K1306" t="s">
        <v>29</v>
      </c>
      <c r="L1306" t="s">
        <v>895</v>
      </c>
      <c r="M1306" t="s">
        <v>4402</v>
      </c>
      <c r="O1306" t="s">
        <v>896</v>
      </c>
      <c r="P1306" t="s">
        <v>33</v>
      </c>
      <c r="Q1306">
        <v>359.89</v>
      </c>
      <c r="R1306" t="s">
        <v>35</v>
      </c>
      <c r="S1306" t="s">
        <v>35</v>
      </c>
      <c r="T1306" t="s">
        <v>35</v>
      </c>
      <c r="U1306" t="s">
        <v>35</v>
      </c>
      <c r="V1306" t="s">
        <v>645</v>
      </c>
      <c r="W1306" t="s">
        <v>113</v>
      </c>
    </row>
    <row r="1307" spans="1:23" hidden="1" x14ac:dyDescent="0.25">
      <c r="A1307" s="7" t="str">
        <f>IFERROR(VLOOKUP(H1307,'Contas Orç'!A:B,2,0),"N/A")</f>
        <v>LUBRIFICANTES</v>
      </c>
      <c r="B1307" s="7" t="str">
        <f t="shared" si="40"/>
        <v>320301002 - LUBRIFICANTES</v>
      </c>
      <c r="C1307" s="25">
        <f t="shared" si="41"/>
        <v>44866</v>
      </c>
      <c r="D1307" s="27">
        <f>IF(K1307="CREDITO",Q1307,Q1307*-1)</f>
        <v>190.04</v>
      </c>
      <c r="E1307" t="s">
        <v>894</v>
      </c>
      <c r="F1307" t="s">
        <v>1801</v>
      </c>
      <c r="G1307" s="8">
        <v>44866</v>
      </c>
      <c r="H1307" t="s">
        <v>534</v>
      </c>
      <c r="I1307" t="s">
        <v>59</v>
      </c>
      <c r="J1307" t="s">
        <v>60</v>
      </c>
      <c r="K1307" t="s">
        <v>29</v>
      </c>
      <c r="L1307" t="s">
        <v>895</v>
      </c>
      <c r="M1307" t="s">
        <v>4402</v>
      </c>
      <c r="O1307" t="s">
        <v>896</v>
      </c>
      <c r="P1307" t="s">
        <v>33</v>
      </c>
      <c r="Q1307">
        <v>190.04</v>
      </c>
      <c r="R1307" t="s">
        <v>35</v>
      </c>
      <c r="S1307" t="s">
        <v>35</v>
      </c>
      <c r="T1307" t="s">
        <v>35</v>
      </c>
      <c r="U1307" t="s">
        <v>35</v>
      </c>
      <c r="V1307" t="s">
        <v>645</v>
      </c>
      <c r="W1307" t="s">
        <v>113</v>
      </c>
    </row>
    <row r="1308" spans="1:23" hidden="1" x14ac:dyDescent="0.25">
      <c r="A1308" s="7" t="str">
        <f>IFERROR(VLOOKUP(H1308,'Contas Orç'!A:B,2,0),"N/A")</f>
        <v>LUBRIFICANTES</v>
      </c>
      <c r="B1308" s="7" t="str">
        <f t="shared" si="40"/>
        <v>320301002 - LUBRIFICANTES</v>
      </c>
      <c r="C1308" s="25">
        <f t="shared" si="41"/>
        <v>44866</v>
      </c>
      <c r="D1308" s="27">
        <f>IF(K1308="CREDITO",Q1308,Q1308*-1)</f>
        <v>823.91</v>
      </c>
      <c r="E1308" t="s">
        <v>894</v>
      </c>
      <c r="F1308" t="s">
        <v>1802</v>
      </c>
      <c r="G1308" s="8">
        <v>44866</v>
      </c>
      <c r="H1308" t="s">
        <v>534</v>
      </c>
      <c r="I1308" t="s">
        <v>88</v>
      </c>
      <c r="J1308" t="s">
        <v>95</v>
      </c>
      <c r="K1308" t="s">
        <v>29</v>
      </c>
      <c r="L1308" t="s">
        <v>895</v>
      </c>
      <c r="M1308" t="s">
        <v>4402</v>
      </c>
      <c r="O1308" t="s">
        <v>896</v>
      </c>
      <c r="P1308" t="s">
        <v>33</v>
      </c>
      <c r="Q1308">
        <v>823.91</v>
      </c>
      <c r="R1308" t="s">
        <v>35</v>
      </c>
      <c r="S1308" t="s">
        <v>35</v>
      </c>
      <c r="T1308" t="s">
        <v>35</v>
      </c>
      <c r="U1308" t="s">
        <v>35</v>
      </c>
      <c r="V1308" t="s">
        <v>645</v>
      </c>
      <c r="W1308" t="s">
        <v>113</v>
      </c>
    </row>
    <row r="1309" spans="1:23" hidden="1" x14ac:dyDescent="0.25">
      <c r="A1309" s="7" t="str">
        <f>IFERROR(VLOOKUP(H1309,'Contas Orç'!A:B,2,0),"N/A")</f>
        <v>LUBRIFICANTES</v>
      </c>
      <c r="B1309" s="7" t="str">
        <f t="shared" si="40"/>
        <v>320301002 - LUBRIFICANTES</v>
      </c>
      <c r="C1309" s="25">
        <f t="shared" si="41"/>
        <v>44866</v>
      </c>
      <c r="D1309" s="27">
        <f>IF(K1309="CREDITO",Q1309,Q1309*-1)</f>
        <v>103.8</v>
      </c>
      <c r="E1309" t="s">
        <v>894</v>
      </c>
      <c r="F1309" t="s">
        <v>1803</v>
      </c>
      <c r="G1309" s="8">
        <v>44866</v>
      </c>
      <c r="H1309" t="s">
        <v>534</v>
      </c>
      <c r="I1309" t="s">
        <v>53</v>
      </c>
      <c r="J1309" t="s">
        <v>54</v>
      </c>
      <c r="K1309" t="s">
        <v>29</v>
      </c>
      <c r="L1309" t="s">
        <v>895</v>
      </c>
      <c r="M1309" t="s">
        <v>4402</v>
      </c>
      <c r="O1309" t="s">
        <v>896</v>
      </c>
      <c r="P1309" t="s">
        <v>33</v>
      </c>
      <c r="Q1309">
        <v>103.8</v>
      </c>
      <c r="R1309" t="s">
        <v>35</v>
      </c>
      <c r="S1309" t="s">
        <v>35</v>
      </c>
      <c r="T1309" t="s">
        <v>35</v>
      </c>
      <c r="U1309" t="s">
        <v>35</v>
      </c>
      <c r="V1309" t="s">
        <v>645</v>
      </c>
      <c r="W1309" t="s">
        <v>113</v>
      </c>
    </row>
    <row r="1310" spans="1:23" hidden="1" x14ac:dyDescent="0.25">
      <c r="A1310" s="7" t="str">
        <f>IFERROR(VLOOKUP(H1310,'Contas Orç'!A:B,2,0),"N/A")</f>
        <v>LUBRIFICANTES</v>
      </c>
      <c r="B1310" s="7" t="str">
        <f t="shared" si="40"/>
        <v>320301002 - LUBRIFICANTES</v>
      </c>
      <c r="C1310" s="25">
        <f t="shared" si="41"/>
        <v>44896</v>
      </c>
      <c r="D1310" s="27">
        <f>IF(K1310="CREDITO",Q1310,Q1310*-1)</f>
        <v>19.440000000000001</v>
      </c>
      <c r="E1310" t="s">
        <v>894</v>
      </c>
      <c r="F1310" t="s">
        <v>1804</v>
      </c>
      <c r="G1310" s="8">
        <v>44896</v>
      </c>
      <c r="H1310" t="s">
        <v>534</v>
      </c>
      <c r="I1310" t="s">
        <v>88</v>
      </c>
      <c r="J1310" t="s">
        <v>28</v>
      </c>
      <c r="K1310" t="s">
        <v>29</v>
      </c>
      <c r="L1310" t="s">
        <v>895</v>
      </c>
      <c r="M1310" t="s">
        <v>4402</v>
      </c>
      <c r="O1310" t="s">
        <v>896</v>
      </c>
      <c r="P1310" t="s">
        <v>33</v>
      </c>
      <c r="Q1310">
        <v>19.440000000000001</v>
      </c>
      <c r="R1310" t="s">
        <v>35</v>
      </c>
      <c r="S1310" t="s">
        <v>35</v>
      </c>
      <c r="T1310" t="s">
        <v>35</v>
      </c>
      <c r="U1310" t="s">
        <v>35</v>
      </c>
      <c r="V1310" t="s">
        <v>645</v>
      </c>
      <c r="W1310" t="s">
        <v>113</v>
      </c>
    </row>
    <row r="1311" spans="1:23" hidden="1" x14ac:dyDescent="0.25">
      <c r="A1311" s="7" t="str">
        <f>IFERROR(VLOOKUP(H1311,'Contas Orç'!A:B,2,0),"N/A")</f>
        <v>LUBRIFICANTES</v>
      </c>
      <c r="B1311" s="7" t="str">
        <f t="shared" si="40"/>
        <v>320301002 - LUBRIFICANTES</v>
      </c>
      <c r="C1311" s="25">
        <f t="shared" si="41"/>
        <v>44896</v>
      </c>
      <c r="D1311" s="27">
        <f>IF(K1311="CREDITO",Q1311,Q1311*-1)</f>
        <v>10950.98</v>
      </c>
      <c r="E1311" t="s">
        <v>894</v>
      </c>
      <c r="F1311" t="s">
        <v>1805</v>
      </c>
      <c r="G1311" s="8">
        <v>44896</v>
      </c>
      <c r="H1311" t="s">
        <v>534</v>
      </c>
      <c r="I1311" t="s">
        <v>27</v>
      </c>
      <c r="J1311" t="s">
        <v>28</v>
      </c>
      <c r="K1311" t="s">
        <v>29</v>
      </c>
      <c r="L1311" t="s">
        <v>895</v>
      </c>
      <c r="M1311" t="s">
        <v>4402</v>
      </c>
      <c r="O1311" t="s">
        <v>896</v>
      </c>
      <c r="P1311" t="s">
        <v>33</v>
      </c>
      <c r="Q1311" s="22">
        <v>10950.98</v>
      </c>
      <c r="R1311" t="s">
        <v>35</v>
      </c>
      <c r="S1311" t="s">
        <v>35</v>
      </c>
      <c r="T1311" t="s">
        <v>35</v>
      </c>
      <c r="U1311" t="s">
        <v>35</v>
      </c>
      <c r="V1311" t="s">
        <v>645</v>
      </c>
      <c r="W1311" t="s">
        <v>113</v>
      </c>
    </row>
    <row r="1312" spans="1:23" hidden="1" x14ac:dyDescent="0.25">
      <c r="A1312" s="7" t="str">
        <f>IFERROR(VLOOKUP(H1312,'Contas Orç'!A:B,2,0),"N/A")</f>
        <v>LUBRIFICANTES</v>
      </c>
      <c r="B1312" s="7" t="str">
        <f t="shared" si="40"/>
        <v>320301002 - LUBRIFICANTES</v>
      </c>
      <c r="C1312" s="25">
        <f t="shared" si="41"/>
        <v>44896</v>
      </c>
      <c r="D1312" s="27">
        <f>IF(K1312="CREDITO",Q1312,Q1312*-1)</f>
        <v>363.49</v>
      </c>
      <c r="E1312" t="s">
        <v>894</v>
      </c>
      <c r="F1312" t="s">
        <v>1806</v>
      </c>
      <c r="G1312" s="8">
        <v>44896</v>
      </c>
      <c r="H1312" t="s">
        <v>534</v>
      </c>
      <c r="I1312" t="s">
        <v>106</v>
      </c>
      <c r="J1312" t="s">
        <v>60</v>
      </c>
      <c r="K1312" t="s">
        <v>29</v>
      </c>
      <c r="L1312" t="s">
        <v>895</v>
      </c>
      <c r="M1312" t="s">
        <v>4402</v>
      </c>
      <c r="O1312" t="s">
        <v>896</v>
      </c>
      <c r="P1312" t="s">
        <v>33</v>
      </c>
      <c r="Q1312">
        <v>363.49</v>
      </c>
      <c r="R1312" t="s">
        <v>35</v>
      </c>
      <c r="S1312" t="s">
        <v>35</v>
      </c>
      <c r="T1312" t="s">
        <v>35</v>
      </c>
      <c r="U1312" t="s">
        <v>35</v>
      </c>
      <c r="V1312" t="s">
        <v>645</v>
      </c>
      <c r="W1312" t="s">
        <v>113</v>
      </c>
    </row>
    <row r="1313" spans="1:23" hidden="1" x14ac:dyDescent="0.25">
      <c r="A1313" s="7" t="str">
        <f>IFERROR(VLOOKUP(H1313,'Contas Orç'!A:B,2,0),"N/A")</f>
        <v>LUBRIFICANTES</v>
      </c>
      <c r="B1313" s="7" t="str">
        <f t="shared" si="40"/>
        <v>320301002 - LUBRIFICANTES</v>
      </c>
      <c r="C1313" s="25">
        <f t="shared" si="41"/>
        <v>44896</v>
      </c>
      <c r="D1313" s="27">
        <f>IF(K1313="CREDITO",Q1313,Q1313*-1)</f>
        <v>191.95</v>
      </c>
      <c r="E1313" t="s">
        <v>894</v>
      </c>
      <c r="F1313" t="s">
        <v>1807</v>
      </c>
      <c r="G1313" s="8">
        <v>44896</v>
      </c>
      <c r="H1313" t="s">
        <v>534</v>
      </c>
      <c r="I1313" t="s">
        <v>59</v>
      </c>
      <c r="J1313" t="s">
        <v>60</v>
      </c>
      <c r="K1313" t="s">
        <v>29</v>
      </c>
      <c r="L1313" t="s">
        <v>895</v>
      </c>
      <c r="M1313" t="s">
        <v>4402</v>
      </c>
      <c r="O1313" t="s">
        <v>896</v>
      </c>
      <c r="P1313" t="s">
        <v>33</v>
      </c>
      <c r="Q1313">
        <v>191.95</v>
      </c>
      <c r="R1313" t="s">
        <v>35</v>
      </c>
      <c r="S1313" t="s">
        <v>35</v>
      </c>
      <c r="T1313" t="s">
        <v>35</v>
      </c>
      <c r="U1313" t="s">
        <v>35</v>
      </c>
      <c r="V1313" t="s">
        <v>645</v>
      </c>
      <c r="W1313" t="s">
        <v>113</v>
      </c>
    </row>
    <row r="1314" spans="1:23" hidden="1" x14ac:dyDescent="0.25">
      <c r="A1314" s="7" t="str">
        <f>IFERROR(VLOOKUP(H1314,'Contas Orç'!A:B,2,0),"N/A")</f>
        <v>LUBRIFICANTES</v>
      </c>
      <c r="B1314" s="7" t="str">
        <f t="shared" si="40"/>
        <v>320301002 - LUBRIFICANTES</v>
      </c>
      <c r="C1314" s="25">
        <f t="shared" si="41"/>
        <v>44896</v>
      </c>
      <c r="D1314" s="27">
        <f>IF(K1314="CREDITO",Q1314,Q1314*-1)</f>
        <v>832.15</v>
      </c>
      <c r="E1314" t="s">
        <v>894</v>
      </c>
      <c r="F1314" t="s">
        <v>1808</v>
      </c>
      <c r="G1314" s="8">
        <v>44896</v>
      </c>
      <c r="H1314" t="s">
        <v>534</v>
      </c>
      <c r="I1314" t="s">
        <v>88</v>
      </c>
      <c r="J1314" t="s">
        <v>95</v>
      </c>
      <c r="K1314" t="s">
        <v>29</v>
      </c>
      <c r="L1314" t="s">
        <v>895</v>
      </c>
      <c r="M1314" t="s">
        <v>4402</v>
      </c>
      <c r="O1314" t="s">
        <v>896</v>
      </c>
      <c r="P1314" t="s">
        <v>33</v>
      </c>
      <c r="Q1314">
        <v>832.15</v>
      </c>
      <c r="R1314" t="s">
        <v>35</v>
      </c>
      <c r="S1314" t="s">
        <v>35</v>
      </c>
      <c r="T1314" t="s">
        <v>35</v>
      </c>
      <c r="U1314" t="s">
        <v>35</v>
      </c>
      <c r="V1314" t="s">
        <v>645</v>
      </c>
      <c r="W1314" t="s">
        <v>113</v>
      </c>
    </row>
    <row r="1315" spans="1:23" hidden="1" x14ac:dyDescent="0.25">
      <c r="A1315" s="7" t="str">
        <f>IFERROR(VLOOKUP(H1315,'Contas Orç'!A:B,2,0),"N/A")</f>
        <v>LUBRIFICANTES</v>
      </c>
      <c r="B1315" s="7" t="str">
        <f t="shared" si="40"/>
        <v>320301002 - LUBRIFICANTES</v>
      </c>
      <c r="C1315" s="25">
        <f t="shared" si="41"/>
        <v>44896</v>
      </c>
      <c r="D1315" s="27">
        <f>IF(K1315="CREDITO",Q1315,Q1315*-1)</f>
        <v>104.83</v>
      </c>
      <c r="E1315" t="s">
        <v>894</v>
      </c>
      <c r="F1315" t="s">
        <v>1809</v>
      </c>
      <c r="G1315" s="8">
        <v>44896</v>
      </c>
      <c r="H1315" t="s">
        <v>534</v>
      </c>
      <c r="I1315" t="s">
        <v>53</v>
      </c>
      <c r="J1315" t="s">
        <v>54</v>
      </c>
      <c r="K1315" t="s">
        <v>29</v>
      </c>
      <c r="L1315" t="s">
        <v>895</v>
      </c>
      <c r="M1315" t="s">
        <v>4402</v>
      </c>
      <c r="O1315" t="s">
        <v>896</v>
      </c>
      <c r="P1315" t="s">
        <v>33</v>
      </c>
      <c r="Q1315">
        <v>104.83</v>
      </c>
      <c r="R1315" t="s">
        <v>35</v>
      </c>
      <c r="S1315" t="s">
        <v>35</v>
      </c>
      <c r="T1315" t="s">
        <v>35</v>
      </c>
      <c r="U1315" t="s">
        <v>35</v>
      </c>
      <c r="V1315" t="s">
        <v>645</v>
      </c>
      <c r="W1315" t="s">
        <v>113</v>
      </c>
    </row>
    <row r="1316" spans="1:23" hidden="1" x14ac:dyDescent="0.25">
      <c r="A1316" s="7" t="str">
        <f>IFERROR(VLOOKUP(H1316,'Contas Orç'!A:B,2,0),"N/A")</f>
        <v>PNEUS E RECAPAGENS</v>
      </c>
      <c r="B1316" s="7" t="str">
        <f t="shared" si="40"/>
        <v>320301003 - PNEUS E RECAPAGENS</v>
      </c>
      <c r="C1316" s="25">
        <f t="shared" si="41"/>
        <v>44562</v>
      </c>
      <c r="D1316" s="27">
        <f>IF(K1316="CREDITO",Q1316,Q1316*-1)</f>
        <v>1618.04</v>
      </c>
      <c r="E1316" t="s">
        <v>894</v>
      </c>
      <c r="F1316" t="s">
        <v>1810</v>
      </c>
      <c r="G1316" s="8">
        <v>44562</v>
      </c>
      <c r="H1316" t="s">
        <v>536</v>
      </c>
      <c r="I1316" t="s">
        <v>88</v>
      </c>
      <c r="J1316" t="s">
        <v>28</v>
      </c>
      <c r="K1316" t="s">
        <v>29</v>
      </c>
      <c r="L1316" t="s">
        <v>895</v>
      </c>
      <c r="M1316" t="s">
        <v>4402</v>
      </c>
      <c r="O1316" t="s">
        <v>896</v>
      </c>
      <c r="P1316" t="s">
        <v>33</v>
      </c>
      <c r="Q1316" s="22">
        <v>1618.04</v>
      </c>
      <c r="R1316" t="s">
        <v>35</v>
      </c>
      <c r="S1316" t="s">
        <v>35</v>
      </c>
      <c r="T1316" t="s">
        <v>35</v>
      </c>
      <c r="U1316" t="s">
        <v>35</v>
      </c>
      <c r="V1316" t="s">
        <v>645</v>
      </c>
      <c r="W1316" t="s">
        <v>113</v>
      </c>
    </row>
    <row r="1317" spans="1:23" hidden="1" x14ac:dyDescent="0.25">
      <c r="A1317" s="7" t="str">
        <f>IFERROR(VLOOKUP(H1317,'Contas Orç'!A:B,2,0),"N/A")</f>
        <v>PNEUS E RECAPAGENS</v>
      </c>
      <c r="B1317" s="7" t="str">
        <f t="shared" si="40"/>
        <v>320301003 - PNEUS E RECAPAGENS</v>
      </c>
      <c r="C1317" s="25">
        <f t="shared" si="41"/>
        <v>44562</v>
      </c>
      <c r="D1317" s="27">
        <f>IF(K1317="CREDITO",Q1317,Q1317*-1)</f>
        <v>40687.24</v>
      </c>
      <c r="E1317" t="s">
        <v>894</v>
      </c>
      <c r="F1317" t="s">
        <v>1811</v>
      </c>
      <c r="G1317" s="8">
        <v>44562</v>
      </c>
      <c r="H1317" t="s">
        <v>536</v>
      </c>
      <c r="I1317" t="s">
        <v>27</v>
      </c>
      <c r="J1317" t="s">
        <v>28</v>
      </c>
      <c r="K1317" t="s">
        <v>29</v>
      </c>
      <c r="L1317" t="s">
        <v>895</v>
      </c>
      <c r="M1317" t="s">
        <v>4402</v>
      </c>
      <c r="O1317" t="s">
        <v>896</v>
      </c>
      <c r="P1317" t="s">
        <v>33</v>
      </c>
      <c r="Q1317" s="22">
        <v>40687.24</v>
      </c>
      <c r="R1317" t="s">
        <v>35</v>
      </c>
      <c r="S1317" t="s">
        <v>35</v>
      </c>
      <c r="T1317" t="s">
        <v>35</v>
      </c>
      <c r="U1317" t="s">
        <v>35</v>
      </c>
      <c r="V1317" t="s">
        <v>645</v>
      </c>
      <c r="W1317" t="s">
        <v>113</v>
      </c>
    </row>
    <row r="1318" spans="1:23" hidden="1" x14ac:dyDescent="0.25">
      <c r="A1318" s="7" t="str">
        <f>IFERROR(VLOOKUP(H1318,'Contas Orç'!A:B,2,0),"N/A")</f>
        <v>PNEUS E RECAPAGENS</v>
      </c>
      <c r="B1318" s="7" t="str">
        <f t="shared" si="40"/>
        <v>320301003 - PNEUS E RECAPAGENS</v>
      </c>
      <c r="C1318" s="25">
        <f t="shared" si="41"/>
        <v>44562</v>
      </c>
      <c r="D1318" s="27">
        <f>IF(K1318="CREDITO",Q1318,Q1318*-1)</f>
        <v>92103.02</v>
      </c>
      <c r="E1318" t="s">
        <v>894</v>
      </c>
      <c r="F1318" t="s">
        <v>1812</v>
      </c>
      <c r="G1318" s="8">
        <v>44562</v>
      </c>
      <c r="H1318" t="s">
        <v>536</v>
      </c>
      <c r="I1318" t="s">
        <v>59</v>
      </c>
      <c r="J1318" t="s">
        <v>60</v>
      </c>
      <c r="K1318" t="s">
        <v>29</v>
      </c>
      <c r="L1318" t="s">
        <v>895</v>
      </c>
      <c r="M1318" t="s">
        <v>4402</v>
      </c>
      <c r="O1318" t="s">
        <v>896</v>
      </c>
      <c r="P1318" t="s">
        <v>33</v>
      </c>
      <c r="Q1318" s="22">
        <v>92103.02</v>
      </c>
      <c r="R1318" t="s">
        <v>35</v>
      </c>
      <c r="S1318" t="s">
        <v>35</v>
      </c>
      <c r="T1318" t="s">
        <v>35</v>
      </c>
      <c r="U1318" t="s">
        <v>35</v>
      </c>
      <c r="V1318" t="s">
        <v>645</v>
      </c>
      <c r="W1318" t="s">
        <v>113</v>
      </c>
    </row>
    <row r="1319" spans="1:23" hidden="1" x14ac:dyDescent="0.25">
      <c r="A1319" s="7" t="str">
        <f>IFERROR(VLOOKUP(H1319,'Contas Orç'!A:B,2,0),"N/A")</f>
        <v>PNEUS E RECAPAGENS</v>
      </c>
      <c r="B1319" s="7" t="str">
        <f t="shared" si="40"/>
        <v>320301003 - PNEUS E RECAPAGENS</v>
      </c>
      <c r="C1319" s="25">
        <f t="shared" si="41"/>
        <v>44593</v>
      </c>
      <c r="D1319" s="27">
        <f>IF(K1319="CREDITO",Q1319,Q1319*-1)</f>
        <v>1045.8599999999999</v>
      </c>
      <c r="E1319" t="s">
        <v>894</v>
      </c>
      <c r="F1319" t="s">
        <v>1813</v>
      </c>
      <c r="G1319" s="8">
        <v>44593</v>
      </c>
      <c r="H1319" t="s">
        <v>536</v>
      </c>
      <c r="I1319" t="s">
        <v>88</v>
      </c>
      <c r="J1319" t="s">
        <v>28</v>
      </c>
      <c r="K1319" t="s">
        <v>29</v>
      </c>
      <c r="L1319" t="s">
        <v>895</v>
      </c>
      <c r="M1319" t="s">
        <v>4402</v>
      </c>
      <c r="O1319" t="s">
        <v>896</v>
      </c>
      <c r="P1319" t="s">
        <v>33</v>
      </c>
      <c r="Q1319" s="22">
        <v>1045.8599999999999</v>
      </c>
      <c r="R1319" t="s">
        <v>35</v>
      </c>
      <c r="S1319" t="s">
        <v>35</v>
      </c>
      <c r="T1319" t="s">
        <v>35</v>
      </c>
      <c r="U1319" t="s">
        <v>35</v>
      </c>
      <c r="V1319" t="s">
        <v>645</v>
      </c>
      <c r="W1319" t="s">
        <v>113</v>
      </c>
    </row>
    <row r="1320" spans="1:23" hidden="1" x14ac:dyDescent="0.25">
      <c r="A1320" s="7" t="str">
        <f>IFERROR(VLOOKUP(H1320,'Contas Orç'!A:B,2,0),"N/A")</f>
        <v>PNEUS E RECAPAGENS</v>
      </c>
      <c r="B1320" s="7" t="str">
        <f t="shared" si="40"/>
        <v>320301003 - PNEUS E RECAPAGENS</v>
      </c>
      <c r="C1320" s="25">
        <f t="shared" si="41"/>
        <v>44593</v>
      </c>
      <c r="D1320" s="27">
        <f>IF(K1320="CREDITO",Q1320,Q1320*-1)</f>
        <v>20277.919999999998</v>
      </c>
      <c r="E1320" t="s">
        <v>894</v>
      </c>
      <c r="F1320" t="s">
        <v>1814</v>
      </c>
      <c r="G1320" s="8">
        <v>44593</v>
      </c>
      <c r="H1320" t="s">
        <v>536</v>
      </c>
      <c r="I1320" t="s">
        <v>27</v>
      </c>
      <c r="J1320" t="s">
        <v>28</v>
      </c>
      <c r="K1320" t="s">
        <v>29</v>
      </c>
      <c r="L1320" t="s">
        <v>895</v>
      </c>
      <c r="M1320" t="s">
        <v>4402</v>
      </c>
      <c r="O1320" t="s">
        <v>896</v>
      </c>
      <c r="P1320" t="s">
        <v>33</v>
      </c>
      <c r="Q1320" s="22">
        <v>20277.919999999998</v>
      </c>
      <c r="R1320" t="s">
        <v>35</v>
      </c>
      <c r="S1320" t="s">
        <v>35</v>
      </c>
      <c r="T1320" t="s">
        <v>35</v>
      </c>
      <c r="U1320" t="s">
        <v>35</v>
      </c>
      <c r="V1320" t="s">
        <v>645</v>
      </c>
      <c r="W1320" t="s">
        <v>113</v>
      </c>
    </row>
    <row r="1321" spans="1:23" hidden="1" x14ac:dyDescent="0.25">
      <c r="A1321" s="7" t="str">
        <f>IFERROR(VLOOKUP(H1321,'Contas Orç'!A:B,2,0),"N/A")</f>
        <v>PNEUS E RECAPAGENS</v>
      </c>
      <c r="B1321" s="7" t="str">
        <f t="shared" si="40"/>
        <v>320301003 - PNEUS E RECAPAGENS</v>
      </c>
      <c r="C1321" s="25">
        <f t="shared" si="41"/>
        <v>44593</v>
      </c>
      <c r="D1321" s="27">
        <f>IF(K1321="CREDITO",Q1321,Q1321*-1)</f>
        <v>367.48</v>
      </c>
      <c r="E1321" t="s">
        <v>894</v>
      </c>
      <c r="F1321" t="s">
        <v>1815</v>
      </c>
      <c r="G1321" s="8">
        <v>44593</v>
      </c>
      <c r="H1321" t="s">
        <v>536</v>
      </c>
      <c r="I1321" t="s">
        <v>106</v>
      </c>
      <c r="J1321" t="s">
        <v>60</v>
      </c>
      <c r="K1321" t="s">
        <v>29</v>
      </c>
      <c r="L1321" t="s">
        <v>895</v>
      </c>
      <c r="M1321" t="s">
        <v>4402</v>
      </c>
      <c r="O1321" t="s">
        <v>896</v>
      </c>
      <c r="P1321" t="s">
        <v>33</v>
      </c>
      <c r="Q1321">
        <v>367.48</v>
      </c>
      <c r="R1321" t="s">
        <v>35</v>
      </c>
      <c r="S1321" t="s">
        <v>35</v>
      </c>
      <c r="T1321" t="s">
        <v>35</v>
      </c>
      <c r="U1321" t="s">
        <v>35</v>
      </c>
      <c r="V1321" t="s">
        <v>645</v>
      </c>
      <c r="W1321" t="s">
        <v>113</v>
      </c>
    </row>
    <row r="1322" spans="1:23" hidden="1" x14ac:dyDescent="0.25">
      <c r="A1322" s="7" t="str">
        <f>IFERROR(VLOOKUP(H1322,'Contas Orç'!A:B,2,0),"N/A")</f>
        <v>PNEUS E RECAPAGENS</v>
      </c>
      <c r="B1322" s="7" t="str">
        <f t="shared" si="40"/>
        <v>320301003 - PNEUS E RECAPAGENS</v>
      </c>
      <c r="C1322" s="25">
        <f t="shared" si="41"/>
        <v>44593</v>
      </c>
      <c r="D1322" s="27">
        <f>IF(K1322="CREDITO",Q1322,Q1322*-1)</f>
        <v>37187.47</v>
      </c>
      <c r="E1322" t="s">
        <v>894</v>
      </c>
      <c r="F1322" t="s">
        <v>1816</v>
      </c>
      <c r="G1322" s="8">
        <v>44593</v>
      </c>
      <c r="H1322" t="s">
        <v>536</v>
      </c>
      <c r="I1322" t="s">
        <v>59</v>
      </c>
      <c r="J1322" t="s">
        <v>60</v>
      </c>
      <c r="K1322" t="s">
        <v>29</v>
      </c>
      <c r="L1322" t="s">
        <v>895</v>
      </c>
      <c r="M1322" t="s">
        <v>4402</v>
      </c>
      <c r="O1322" t="s">
        <v>896</v>
      </c>
      <c r="P1322" t="s">
        <v>33</v>
      </c>
      <c r="Q1322" s="22">
        <v>37187.47</v>
      </c>
      <c r="R1322" t="s">
        <v>35</v>
      </c>
      <c r="S1322" t="s">
        <v>35</v>
      </c>
      <c r="T1322" t="s">
        <v>35</v>
      </c>
      <c r="U1322" t="s">
        <v>35</v>
      </c>
      <c r="V1322" t="s">
        <v>645</v>
      </c>
      <c r="W1322" t="s">
        <v>113</v>
      </c>
    </row>
    <row r="1323" spans="1:23" hidden="1" x14ac:dyDescent="0.25">
      <c r="A1323" s="7" t="str">
        <f>IFERROR(VLOOKUP(H1323,'Contas Orç'!A:B,2,0),"N/A")</f>
        <v>PNEUS E RECAPAGENS</v>
      </c>
      <c r="B1323" s="7" t="str">
        <f t="shared" si="40"/>
        <v>320301003 - PNEUS E RECAPAGENS</v>
      </c>
      <c r="C1323" s="25">
        <f t="shared" si="41"/>
        <v>44621</v>
      </c>
      <c r="D1323" s="27">
        <f>IF(K1323="CREDITO",Q1323,Q1323*-1)</f>
        <v>188943.15</v>
      </c>
      <c r="E1323" t="s">
        <v>894</v>
      </c>
      <c r="F1323" t="s">
        <v>1817</v>
      </c>
      <c r="G1323" s="8">
        <v>44621</v>
      </c>
      <c r="H1323" t="s">
        <v>536</v>
      </c>
      <c r="I1323" t="s">
        <v>27</v>
      </c>
      <c r="J1323" t="s">
        <v>28</v>
      </c>
      <c r="K1323" t="s">
        <v>29</v>
      </c>
      <c r="L1323" t="s">
        <v>895</v>
      </c>
      <c r="M1323" t="s">
        <v>4402</v>
      </c>
      <c r="O1323" t="s">
        <v>896</v>
      </c>
      <c r="P1323" t="s">
        <v>33</v>
      </c>
      <c r="Q1323" s="22">
        <v>188943.15</v>
      </c>
      <c r="R1323" t="s">
        <v>35</v>
      </c>
      <c r="S1323" t="s">
        <v>35</v>
      </c>
      <c r="T1323" t="s">
        <v>35</v>
      </c>
      <c r="U1323" t="s">
        <v>35</v>
      </c>
      <c r="V1323" t="s">
        <v>645</v>
      </c>
      <c r="W1323" t="s">
        <v>113</v>
      </c>
    </row>
    <row r="1324" spans="1:23" hidden="1" x14ac:dyDescent="0.25">
      <c r="A1324" s="7" t="str">
        <f>IFERROR(VLOOKUP(H1324,'Contas Orç'!A:B,2,0),"N/A")</f>
        <v>PNEUS E RECAPAGENS</v>
      </c>
      <c r="B1324" s="7" t="str">
        <f t="shared" si="40"/>
        <v>320301003 - PNEUS E RECAPAGENS</v>
      </c>
      <c r="C1324" s="25">
        <f t="shared" si="41"/>
        <v>44621</v>
      </c>
      <c r="D1324" s="27">
        <f>IF(K1324="CREDITO",Q1324,Q1324*-1)</f>
        <v>204.19</v>
      </c>
      <c r="E1324" t="s">
        <v>894</v>
      </c>
      <c r="F1324" t="s">
        <v>1818</v>
      </c>
      <c r="G1324" s="8">
        <v>44621</v>
      </c>
      <c r="H1324" t="s">
        <v>536</v>
      </c>
      <c r="I1324" t="s">
        <v>59</v>
      </c>
      <c r="J1324" t="s">
        <v>60</v>
      </c>
      <c r="K1324" t="s">
        <v>29</v>
      </c>
      <c r="L1324" t="s">
        <v>895</v>
      </c>
      <c r="M1324" t="s">
        <v>4402</v>
      </c>
      <c r="O1324" t="s">
        <v>896</v>
      </c>
      <c r="P1324" t="s">
        <v>33</v>
      </c>
      <c r="Q1324">
        <v>204.19</v>
      </c>
      <c r="R1324" t="s">
        <v>35</v>
      </c>
      <c r="S1324" t="s">
        <v>35</v>
      </c>
      <c r="T1324" t="s">
        <v>35</v>
      </c>
      <c r="U1324" t="s">
        <v>35</v>
      </c>
      <c r="V1324" t="s">
        <v>645</v>
      </c>
      <c r="W1324" t="s">
        <v>113</v>
      </c>
    </row>
    <row r="1325" spans="1:23" hidden="1" x14ac:dyDescent="0.25">
      <c r="A1325" s="7" t="str">
        <f>IFERROR(VLOOKUP(H1325,'Contas Orç'!A:B,2,0),"N/A")</f>
        <v>PNEUS E RECAPAGENS</v>
      </c>
      <c r="B1325" s="7" t="str">
        <f t="shared" si="40"/>
        <v>320301003 - PNEUS E RECAPAGENS</v>
      </c>
      <c r="C1325" s="25">
        <f t="shared" si="41"/>
        <v>44652</v>
      </c>
      <c r="D1325" s="27">
        <f>IF(K1325="CREDITO",Q1325,Q1325*-1)</f>
        <v>252.51</v>
      </c>
      <c r="E1325" t="s">
        <v>894</v>
      </c>
      <c r="F1325" t="s">
        <v>1819</v>
      </c>
      <c r="G1325" s="8">
        <v>44652</v>
      </c>
      <c r="H1325" t="s">
        <v>536</v>
      </c>
      <c r="I1325" t="s">
        <v>88</v>
      </c>
      <c r="J1325" t="s">
        <v>28</v>
      </c>
      <c r="K1325" t="s">
        <v>29</v>
      </c>
      <c r="L1325" t="s">
        <v>895</v>
      </c>
      <c r="M1325" t="s">
        <v>4402</v>
      </c>
      <c r="O1325" t="s">
        <v>896</v>
      </c>
      <c r="P1325" t="s">
        <v>33</v>
      </c>
      <c r="Q1325">
        <v>252.51</v>
      </c>
      <c r="R1325" t="s">
        <v>35</v>
      </c>
      <c r="S1325" t="s">
        <v>35</v>
      </c>
      <c r="T1325" t="s">
        <v>35</v>
      </c>
      <c r="U1325" t="s">
        <v>35</v>
      </c>
      <c r="V1325" t="s">
        <v>645</v>
      </c>
      <c r="W1325" t="s">
        <v>113</v>
      </c>
    </row>
    <row r="1326" spans="1:23" hidden="1" x14ac:dyDescent="0.25">
      <c r="A1326" s="7" t="str">
        <f>IFERROR(VLOOKUP(H1326,'Contas Orç'!A:B,2,0),"N/A")</f>
        <v>PNEUS E RECAPAGENS</v>
      </c>
      <c r="B1326" s="7" t="str">
        <f t="shared" si="40"/>
        <v>320301003 - PNEUS E RECAPAGENS</v>
      </c>
      <c r="C1326" s="25">
        <f t="shared" si="41"/>
        <v>44652</v>
      </c>
      <c r="D1326" s="27">
        <f>IF(K1326="CREDITO",Q1326,Q1326*-1)</f>
        <v>46899.23</v>
      </c>
      <c r="E1326" t="s">
        <v>894</v>
      </c>
      <c r="F1326" t="s">
        <v>1820</v>
      </c>
      <c r="G1326" s="8">
        <v>44652</v>
      </c>
      <c r="H1326" t="s">
        <v>536</v>
      </c>
      <c r="I1326" t="s">
        <v>27</v>
      </c>
      <c r="J1326" t="s">
        <v>28</v>
      </c>
      <c r="K1326" t="s">
        <v>29</v>
      </c>
      <c r="L1326" t="s">
        <v>895</v>
      </c>
      <c r="M1326" t="s">
        <v>4402</v>
      </c>
      <c r="O1326" t="s">
        <v>896</v>
      </c>
      <c r="P1326" t="s">
        <v>33</v>
      </c>
      <c r="Q1326" s="22">
        <v>46899.23</v>
      </c>
      <c r="R1326" t="s">
        <v>35</v>
      </c>
      <c r="S1326" t="s">
        <v>35</v>
      </c>
      <c r="T1326" t="s">
        <v>35</v>
      </c>
      <c r="U1326" t="s">
        <v>35</v>
      </c>
      <c r="V1326" t="s">
        <v>645</v>
      </c>
      <c r="W1326" t="s">
        <v>113</v>
      </c>
    </row>
    <row r="1327" spans="1:23" hidden="1" x14ac:dyDescent="0.25">
      <c r="A1327" s="7" t="str">
        <f>IFERROR(VLOOKUP(H1327,'Contas Orç'!A:B,2,0),"N/A")</f>
        <v>PNEUS E RECAPAGENS</v>
      </c>
      <c r="B1327" s="7" t="str">
        <f t="shared" si="40"/>
        <v>320301003 - PNEUS E RECAPAGENS</v>
      </c>
      <c r="C1327" s="25">
        <f t="shared" si="41"/>
        <v>44652</v>
      </c>
      <c r="D1327" s="27">
        <f>IF(K1327="CREDITO",Q1327,Q1327*-1)</f>
        <v>250.52</v>
      </c>
      <c r="E1327" t="s">
        <v>894</v>
      </c>
      <c r="F1327" t="s">
        <v>1821</v>
      </c>
      <c r="G1327" s="8">
        <v>44652</v>
      </c>
      <c r="H1327" t="s">
        <v>536</v>
      </c>
      <c r="I1327" t="s">
        <v>59</v>
      </c>
      <c r="J1327" t="s">
        <v>28</v>
      </c>
      <c r="K1327" t="s">
        <v>29</v>
      </c>
      <c r="L1327" t="s">
        <v>895</v>
      </c>
      <c r="M1327" t="s">
        <v>4402</v>
      </c>
      <c r="O1327" t="s">
        <v>896</v>
      </c>
      <c r="P1327" t="s">
        <v>33</v>
      </c>
      <c r="Q1327">
        <v>250.52</v>
      </c>
      <c r="R1327" t="s">
        <v>35</v>
      </c>
      <c r="S1327" t="s">
        <v>35</v>
      </c>
      <c r="T1327" t="s">
        <v>35</v>
      </c>
      <c r="U1327" t="s">
        <v>35</v>
      </c>
      <c r="V1327" t="s">
        <v>645</v>
      </c>
      <c r="W1327" t="s">
        <v>113</v>
      </c>
    </row>
    <row r="1328" spans="1:23" hidden="1" x14ac:dyDescent="0.25">
      <c r="A1328" s="7" t="str">
        <f>IFERROR(VLOOKUP(H1328,'Contas Orç'!A:B,2,0),"N/A")</f>
        <v>PNEUS E RECAPAGENS</v>
      </c>
      <c r="B1328" s="7" t="str">
        <f t="shared" si="40"/>
        <v>320301003 - PNEUS E RECAPAGENS</v>
      </c>
      <c r="C1328" s="25">
        <f t="shared" si="41"/>
        <v>44652</v>
      </c>
      <c r="D1328" s="27">
        <f>IF(K1328="CREDITO",Q1328,Q1328*-1)</f>
        <v>1008.82</v>
      </c>
      <c r="E1328" t="s">
        <v>894</v>
      </c>
      <c r="F1328" t="s">
        <v>1822</v>
      </c>
      <c r="G1328" s="8">
        <v>44652</v>
      </c>
      <c r="H1328" t="s">
        <v>536</v>
      </c>
      <c r="I1328" t="s">
        <v>106</v>
      </c>
      <c r="J1328" t="s">
        <v>60</v>
      </c>
      <c r="K1328" t="s">
        <v>29</v>
      </c>
      <c r="L1328" t="s">
        <v>895</v>
      </c>
      <c r="M1328" t="s">
        <v>4402</v>
      </c>
      <c r="O1328" t="s">
        <v>896</v>
      </c>
      <c r="P1328" t="s">
        <v>33</v>
      </c>
      <c r="Q1328" s="22">
        <v>1008.82</v>
      </c>
      <c r="R1328" t="s">
        <v>35</v>
      </c>
      <c r="S1328" t="s">
        <v>35</v>
      </c>
      <c r="T1328" t="s">
        <v>35</v>
      </c>
      <c r="U1328" t="s">
        <v>35</v>
      </c>
      <c r="V1328" t="s">
        <v>645</v>
      </c>
      <c r="W1328" t="s">
        <v>113</v>
      </c>
    </row>
    <row r="1329" spans="1:23" hidden="1" x14ac:dyDescent="0.25">
      <c r="A1329" s="7" t="str">
        <f>IFERROR(VLOOKUP(H1329,'Contas Orç'!A:B,2,0),"N/A")</f>
        <v>PNEUS E RECAPAGENS</v>
      </c>
      <c r="B1329" s="7" t="str">
        <f t="shared" si="40"/>
        <v>320301003 - PNEUS E RECAPAGENS</v>
      </c>
      <c r="C1329" s="25">
        <f t="shared" si="41"/>
        <v>44652</v>
      </c>
      <c r="D1329" s="27">
        <f>IF(K1329="CREDITO",Q1329,Q1329*-1)</f>
        <v>46320.67</v>
      </c>
      <c r="E1329" t="s">
        <v>894</v>
      </c>
      <c r="F1329" t="s">
        <v>1823</v>
      </c>
      <c r="G1329" s="8">
        <v>44652</v>
      </c>
      <c r="H1329" t="s">
        <v>536</v>
      </c>
      <c r="I1329" t="s">
        <v>59</v>
      </c>
      <c r="J1329" t="s">
        <v>60</v>
      </c>
      <c r="K1329" t="s">
        <v>29</v>
      </c>
      <c r="L1329" t="s">
        <v>895</v>
      </c>
      <c r="M1329" t="s">
        <v>4402</v>
      </c>
      <c r="O1329" t="s">
        <v>896</v>
      </c>
      <c r="P1329" t="s">
        <v>33</v>
      </c>
      <c r="Q1329" s="22">
        <v>46320.67</v>
      </c>
      <c r="R1329" t="s">
        <v>35</v>
      </c>
      <c r="S1329" t="s">
        <v>35</v>
      </c>
      <c r="T1329" t="s">
        <v>35</v>
      </c>
      <c r="U1329" t="s">
        <v>35</v>
      </c>
      <c r="V1329" t="s">
        <v>645</v>
      </c>
      <c r="W1329" t="s">
        <v>113</v>
      </c>
    </row>
    <row r="1330" spans="1:23" hidden="1" x14ac:dyDescent="0.25">
      <c r="A1330" s="7" t="str">
        <f>IFERROR(VLOOKUP(H1330,'Contas Orç'!A:B,2,0),"N/A")</f>
        <v>PNEUS E RECAPAGENS</v>
      </c>
      <c r="B1330" s="7" t="str">
        <f t="shared" si="40"/>
        <v>320301003 - PNEUS E RECAPAGENS</v>
      </c>
      <c r="C1330" s="25">
        <f t="shared" si="41"/>
        <v>44682</v>
      </c>
      <c r="D1330" s="27">
        <f>IF(K1330="CREDITO",Q1330,Q1330*-1)</f>
        <v>164.22</v>
      </c>
      <c r="E1330" t="s">
        <v>894</v>
      </c>
      <c r="F1330" t="s">
        <v>1824</v>
      </c>
      <c r="G1330" s="8">
        <v>44682</v>
      </c>
      <c r="H1330" t="s">
        <v>536</v>
      </c>
      <c r="I1330" t="s">
        <v>88</v>
      </c>
      <c r="J1330" t="s">
        <v>28</v>
      </c>
      <c r="K1330" t="s">
        <v>29</v>
      </c>
      <c r="L1330" t="s">
        <v>895</v>
      </c>
      <c r="M1330" t="s">
        <v>4402</v>
      </c>
      <c r="O1330" t="s">
        <v>896</v>
      </c>
      <c r="P1330" t="s">
        <v>33</v>
      </c>
      <c r="Q1330">
        <v>164.22</v>
      </c>
      <c r="R1330" t="s">
        <v>35</v>
      </c>
      <c r="S1330" t="s">
        <v>35</v>
      </c>
      <c r="T1330" t="s">
        <v>35</v>
      </c>
      <c r="U1330" t="s">
        <v>35</v>
      </c>
      <c r="V1330" t="s">
        <v>645</v>
      </c>
      <c r="W1330" t="s">
        <v>113</v>
      </c>
    </row>
    <row r="1331" spans="1:23" hidden="1" x14ac:dyDescent="0.25">
      <c r="A1331" s="7" t="str">
        <f>IFERROR(VLOOKUP(H1331,'Contas Orç'!A:B,2,0),"N/A")</f>
        <v>PNEUS E RECAPAGENS</v>
      </c>
      <c r="B1331" s="7" t="str">
        <f t="shared" si="40"/>
        <v>320301003 - PNEUS E RECAPAGENS</v>
      </c>
      <c r="C1331" s="25">
        <f t="shared" si="41"/>
        <v>44682</v>
      </c>
      <c r="D1331" s="27">
        <f>IF(K1331="CREDITO",Q1331,Q1331*-1)</f>
        <v>261216.53</v>
      </c>
      <c r="E1331" t="s">
        <v>894</v>
      </c>
      <c r="F1331" t="s">
        <v>1825</v>
      </c>
      <c r="G1331" s="8">
        <v>44682</v>
      </c>
      <c r="H1331" t="s">
        <v>536</v>
      </c>
      <c r="I1331" t="s">
        <v>27</v>
      </c>
      <c r="J1331" t="s">
        <v>28</v>
      </c>
      <c r="K1331" t="s">
        <v>29</v>
      </c>
      <c r="L1331" t="s">
        <v>895</v>
      </c>
      <c r="M1331" t="s">
        <v>4402</v>
      </c>
      <c r="O1331" t="s">
        <v>896</v>
      </c>
      <c r="P1331" t="s">
        <v>33</v>
      </c>
      <c r="Q1331" s="22">
        <v>261216.53</v>
      </c>
      <c r="R1331" t="s">
        <v>35</v>
      </c>
      <c r="S1331" t="s">
        <v>35</v>
      </c>
      <c r="T1331" t="s">
        <v>35</v>
      </c>
      <c r="U1331" t="s">
        <v>35</v>
      </c>
      <c r="V1331" t="s">
        <v>645</v>
      </c>
      <c r="W1331" t="s">
        <v>113</v>
      </c>
    </row>
    <row r="1332" spans="1:23" hidden="1" x14ac:dyDescent="0.25">
      <c r="A1332" s="7" t="str">
        <f>IFERROR(VLOOKUP(H1332,'Contas Orç'!A:B,2,0),"N/A")</f>
        <v>PNEUS E RECAPAGENS</v>
      </c>
      <c r="B1332" s="7" t="str">
        <f t="shared" si="40"/>
        <v>320301003 - PNEUS E RECAPAGENS</v>
      </c>
      <c r="C1332" s="25">
        <f t="shared" si="41"/>
        <v>44682</v>
      </c>
      <c r="D1332" s="27">
        <f>IF(K1332="CREDITO",Q1332,Q1332*-1)</f>
        <v>42270.58</v>
      </c>
      <c r="E1332" t="s">
        <v>894</v>
      </c>
      <c r="F1332" t="s">
        <v>1826</v>
      </c>
      <c r="G1332" s="8">
        <v>44682</v>
      </c>
      <c r="H1332" t="s">
        <v>536</v>
      </c>
      <c r="I1332" t="s">
        <v>59</v>
      </c>
      <c r="J1332" t="s">
        <v>28</v>
      </c>
      <c r="K1332" t="s">
        <v>29</v>
      </c>
      <c r="L1332" t="s">
        <v>895</v>
      </c>
      <c r="M1332" t="s">
        <v>4402</v>
      </c>
      <c r="O1332" t="s">
        <v>896</v>
      </c>
      <c r="P1332" t="s">
        <v>33</v>
      </c>
      <c r="Q1332" s="22">
        <v>42270.58</v>
      </c>
      <c r="R1332" t="s">
        <v>35</v>
      </c>
      <c r="S1332" t="s">
        <v>35</v>
      </c>
      <c r="T1332" t="s">
        <v>35</v>
      </c>
      <c r="U1332" t="s">
        <v>35</v>
      </c>
      <c r="V1332" t="s">
        <v>645</v>
      </c>
      <c r="W1332" t="s">
        <v>113</v>
      </c>
    </row>
    <row r="1333" spans="1:23" hidden="1" x14ac:dyDescent="0.25">
      <c r="A1333" s="7" t="str">
        <f>IFERROR(VLOOKUP(H1333,'Contas Orç'!A:B,2,0),"N/A")</f>
        <v>PNEUS E RECAPAGENS</v>
      </c>
      <c r="B1333" s="7" t="str">
        <f t="shared" si="40"/>
        <v>320301003 - PNEUS E RECAPAGENS</v>
      </c>
      <c r="C1333" s="25">
        <f t="shared" si="41"/>
        <v>44682</v>
      </c>
      <c r="D1333" s="27">
        <f>IF(K1333="CREDITO",Q1333,Q1333*-1)</f>
        <v>992.78</v>
      </c>
      <c r="E1333" t="s">
        <v>894</v>
      </c>
      <c r="F1333" t="s">
        <v>1827</v>
      </c>
      <c r="G1333" s="8">
        <v>44682</v>
      </c>
      <c r="H1333" t="s">
        <v>536</v>
      </c>
      <c r="I1333" t="s">
        <v>27</v>
      </c>
      <c r="J1333" t="s">
        <v>60</v>
      </c>
      <c r="K1333" t="s">
        <v>29</v>
      </c>
      <c r="L1333" t="s">
        <v>895</v>
      </c>
      <c r="M1333" t="s">
        <v>4402</v>
      </c>
      <c r="O1333" t="s">
        <v>896</v>
      </c>
      <c r="P1333" t="s">
        <v>33</v>
      </c>
      <c r="Q1333">
        <v>992.78</v>
      </c>
      <c r="R1333" t="s">
        <v>35</v>
      </c>
      <c r="S1333" t="s">
        <v>35</v>
      </c>
      <c r="T1333" t="s">
        <v>35</v>
      </c>
      <c r="U1333" t="s">
        <v>35</v>
      </c>
      <c r="V1333" t="s">
        <v>645</v>
      </c>
      <c r="W1333" t="s">
        <v>113</v>
      </c>
    </row>
    <row r="1334" spans="1:23" hidden="1" x14ac:dyDescent="0.25">
      <c r="A1334" s="7" t="str">
        <f>IFERROR(VLOOKUP(H1334,'Contas Orç'!A:B,2,0),"N/A")</f>
        <v>PNEUS E RECAPAGENS</v>
      </c>
      <c r="B1334" s="7" t="str">
        <f t="shared" si="40"/>
        <v>320301003 - PNEUS E RECAPAGENS</v>
      </c>
      <c r="C1334" s="25">
        <f t="shared" si="41"/>
        <v>44682</v>
      </c>
      <c r="D1334" s="27">
        <f>IF(K1334="CREDITO",Q1334,Q1334*-1)</f>
        <v>94655.58</v>
      </c>
      <c r="E1334" t="s">
        <v>894</v>
      </c>
      <c r="F1334" t="s">
        <v>1828</v>
      </c>
      <c r="G1334" s="8">
        <v>44682</v>
      </c>
      <c r="H1334" t="s">
        <v>536</v>
      </c>
      <c r="I1334" t="s">
        <v>59</v>
      </c>
      <c r="J1334" t="s">
        <v>60</v>
      </c>
      <c r="K1334" t="s">
        <v>29</v>
      </c>
      <c r="L1334" t="s">
        <v>895</v>
      </c>
      <c r="M1334" t="s">
        <v>4402</v>
      </c>
      <c r="O1334" t="s">
        <v>896</v>
      </c>
      <c r="P1334" t="s">
        <v>33</v>
      </c>
      <c r="Q1334" s="22">
        <v>94655.58</v>
      </c>
      <c r="R1334" t="s">
        <v>35</v>
      </c>
      <c r="S1334" t="s">
        <v>35</v>
      </c>
      <c r="T1334" t="s">
        <v>35</v>
      </c>
      <c r="U1334" t="s">
        <v>35</v>
      </c>
      <c r="V1334" t="s">
        <v>645</v>
      </c>
      <c r="W1334" t="s">
        <v>113</v>
      </c>
    </row>
    <row r="1335" spans="1:23" hidden="1" x14ac:dyDescent="0.25">
      <c r="A1335" s="7" t="str">
        <f>IFERROR(VLOOKUP(H1335,'Contas Orç'!A:B,2,0),"N/A")</f>
        <v>PNEUS E RECAPAGENS</v>
      </c>
      <c r="B1335" s="7" t="str">
        <f t="shared" si="40"/>
        <v>320301003 - PNEUS E RECAPAGENS</v>
      </c>
      <c r="C1335" s="25">
        <f t="shared" si="41"/>
        <v>44682</v>
      </c>
      <c r="D1335" s="27">
        <f>IF(K1335="CREDITO",Q1335,Q1335*-1)</f>
        <v>0.01</v>
      </c>
      <c r="E1335" t="s">
        <v>894</v>
      </c>
      <c r="F1335" t="s">
        <v>1829</v>
      </c>
      <c r="G1335" s="8">
        <v>44682</v>
      </c>
      <c r="H1335" t="s">
        <v>536</v>
      </c>
      <c r="I1335" t="s">
        <v>59</v>
      </c>
      <c r="J1335" t="s">
        <v>107</v>
      </c>
      <c r="K1335" t="s">
        <v>29</v>
      </c>
      <c r="L1335" t="s">
        <v>895</v>
      </c>
      <c r="M1335" t="s">
        <v>4402</v>
      </c>
      <c r="O1335" t="s">
        <v>896</v>
      </c>
      <c r="P1335" t="s">
        <v>33</v>
      </c>
      <c r="Q1335">
        <v>0.01</v>
      </c>
      <c r="R1335" t="s">
        <v>35</v>
      </c>
      <c r="S1335" t="s">
        <v>35</v>
      </c>
      <c r="T1335" t="s">
        <v>35</v>
      </c>
      <c r="U1335" t="s">
        <v>35</v>
      </c>
      <c r="V1335" t="s">
        <v>645</v>
      </c>
      <c r="W1335" t="s">
        <v>113</v>
      </c>
    </row>
    <row r="1336" spans="1:23" hidden="1" x14ac:dyDescent="0.25">
      <c r="A1336" s="7" t="str">
        <f>IFERROR(VLOOKUP(H1336,'Contas Orç'!A:B,2,0),"N/A")</f>
        <v>PNEUS E RECAPAGENS</v>
      </c>
      <c r="B1336" s="7" t="str">
        <f t="shared" si="40"/>
        <v>320301003 - PNEUS E RECAPAGENS</v>
      </c>
      <c r="C1336" s="25">
        <f t="shared" si="41"/>
        <v>44713</v>
      </c>
      <c r="D1336" s="27">
        <f>IF(K1336="CREDITO",Q1336,Q1336*-1)</f>
        <v>38138.639999999999</v>
      </c>
      <c r="E1336" t="s">
        <v>894</v>
      </c>
      <c r="F1336" t="s">
        <v>1830</v>
      </c>
      <c r="G1336" s="8">
        <v>44713</v>
      </c>
      <c r="H1336" t="s">
        <v>536</v>
      </c>
      <c r="I1336" t="s">
        <v>88</v>
      </c>
      <c r="J1336" t="s">
        <v>28</v>
      </c>
      <c r="K1336" t="s">
        <v>29</v>
      </c>
      <c r="L1336" t="s">
        <v>895</v>
      </c>
      <c r="M1336" t="s">
        <v>4402</v>
      </c>
      <c r="O1336" t="s">
        <v>896</v>
      </c>
      <c r="P1336" t="s">
        <v>33</v>
      </c>
      <c r="Q1336" s="22">
        <v>38138.639999999999</v>
      </c>
      <c r="R1336" t="s">
        <v>35</v>
      </c>
      <c r="S1336" t="s">
        <v>35</v>
      </c>
      <c r="T1336" t="s">
        <v>35</v>
      </c>
      <c r="U1336" t="s">
        <v>35</v>
      </c>
      <c r="V1336" t="s">
        <v>645</v>
      </c>
      <c r="W1336" t="s">
        <v>113</v>
      </c>
    </row>
    <row r="1337" spans="1:23" hidden="1" x14ac:dyDescent="0.25">
      <c r="A1337" s="7" t="str">
        <f>IFERROR(VLOOKUP(H1337,'Contas Orç'!A:B,2,0),"N/A")</f>
        <v>PNEUS E RECAPAGENS</v>
      </c>
      <c r="B1337" s="7" t="str">
        <f t="shared" si="40"/>
        <v>320301003 - PNEUS E RECAPAGENS</v>
      </c>
      <c r="C1337" s="25">
        <f t="shared" si="41"/>
        <v>44713</v>
      </c>
      <c r="D1337" s="27">
        <f>IF(K1337="CREDITO",Q1337,Q1337*-1)</f>
        <v>87865.64</v>
      </c>
      <c r="E1337" t="s">
        <v>894</v>
      </c>
      <c r="F1337" t="s">
        <v>1831</v>
      </c>
      <c r="G1337" s="8">
        <v>44713</v>
      </c>
      <c r="H1337" t="s">
        <v>536</v>
      </c>
      <c r="I1337" t="s">
        <v>27</v>
      </c>
      <c r="J1337" t="s">
        <v>28</v>
      </c>
      <c r="K1337" t="s">
        <v>29</v>
      </c>
      <c r="L1337" t="s">
        <v>895</v>
      </c>
      <c r="M1337" t="s">
        <v>4402</v>
      </c>
      <c r="O1337" t="s">
        <v>896</v>
      </c>
      <c r="P1337" t="s">
        <v>33</v>
      </c>
      <c r="Q1337" s="22">
        <v>87865.64</v>
      </c>
      <c r="R1337" t="s">
        <v>35</v>
      </c>
      <c r="S1337" t="s">
        <v>35</v>
      </c>
      <c r="T1337" t="s">
        <v>35</v>
      </c>
      <c r="U1337" t="s">
        <v>35</v>
      </c>
      <c r="V1337" t="s">
        <v>645</v>
      </c>
      <c r="W1337" t="s">
        <v>113</v>
      </c>
    </row>
    <row r="1338" spans="1:23" hidden="1" x14ac:dyDescent="0.25">
      <c r="A1338" s="7" t="str">
        <f>IFERROR(VLOOKUP(H1338,'Contas Orç'!A:B,2,0),"N/A")</f>
        <v>PNEUS E RECAPAGENS</v>
      </c>
      <c r="B1338" s="7" t="str">
        <f t="shared" si="40"/>
        <v>320301003 - PNEUS E RECAPAGENS</v>
      </c>
      <c r="C1338" s="25">
        <f t="shared" si="41"/>
        <v>44713</v>
      </c>
      <c r="D1338" s="27">
        <f>IF(K1338="CREDITO",Q1338,Q1338*-1)</f>
        <v>123150.42</v>
      </c>
      <c r="E1338" t="s">
        <v>894</v>
      </c>
      <c r="F1338" t="s">
        <v>1832</v>
      </c>
      <c r="G1338" s="8">
        <v>44713</v>
      </c>
      <c r="H1338" t="s">
        <v>536</v>
      </c>
      <c r="I1338" t="s">
        <v>59</v>
      </c>
      <c r="J1338" t="s">
        <v>28</v>
      </c>
      <c r="K1338" t="s">
        <v>29</v>
      </c>
      <c r="L1338" t="s">
        <v>895</v>
      </c>
      <c r="M1338" t="s">
        <v>4402</v>
      </c>
      <c r="O1338" t="s">
        <v>896</v>
      </c>
      <c r="P1338" t="s">
        <v>33</v>
      </c>
      <c r="Q1338" s="22">
        <v>123150.42</v>
      </c>
      <c r="R1338" t="s">
        <v>35</v>
      </c>
      <c r="S1338" t="s">
        <v>35</v>
      </c>
      <c r="T1338" t="s">
        <v>35</v>
      </c>
      <c r="U1338" t="s">
        <v>35</v>
      </c>
      <c r="V1338" t="s">
        <v>645</v>
      </c>
      <c r="W1338" t="s">
        <v>113</v>
      </c>
    </row>
    <row r="1339" spans="1:23" hidden="1" x14ac:dyDescent="0.25">
      <c r="A1339" s="7" t="str">
        <f>IFERROR(VLOOKUP(H1339,'Contas Orç'!A:B,2,0),"N/A")</f>
        <v>PNEUS E RECAPAGENS</v>
      </c>
      <c r="B1339" s="7" t="str">
        <f t="shared" si="40"/>
        <v>320301003 - PNEUS E RECAPAGENS</v>
      </c>
      <c r="C1339" s="25">
        <f t="shared" si="41"/>
        <v>44713</v>
      </c>
      <c r="D1339" s="27">
        <f>IF(K1339="CREDITO",Q1339,Q1339*-1)</f>
        <v>189848.45</v>
      </c>
      <c r="E1339" t="s">
        <v>894</v>
      </c>
      <c r="F1339" t="s">
        <v>1833</v>
      </c>
      <c r="G1339" s="8">
        <v>44713</v>
      </c>
      <c r="H1339" t="s">
        <v>536</v>
      </c>
      <c r="I1339" t="s">
        <v>59</v>
      </c>
      <c r="J1339" t="s">
        <v>60</v>
      </c>
      <c r="K1339" t="s">
        <v>29</v>
      </c>
      <c r="L1339" t="s">
        <v>895</v>
      </c>
      <c r="M1339" t="s">
        <v>4402</v>
      </c>
      <c r="O1339" t="s">
        <v>896</v>
      </c>
      <c r="P1339" t="s">
        <v>33</v>
      </c>
      <c r="Q1339" s="22">
        <v>189848.45</v>
      </c>
      <c r="R1339" t="s">
        <v>35</v>
      </c>
      <c r="S1339" t="s">
        <v>35</v>
      </c>
      <c r="T1339" t="s">
        <v>35</v>
      </c>
      <c r="U1339" t="s">
        <v>35</v>
      </c>
      <c r="V1339" t="s">
        <v>645</v>
      </c>
      <c r="W1339" t="s">
        <v>113</v>
      </c>
    </row>
    <row r="1340" spans="1:23" hidden="1" x14ac:dyDescent="0.25">
      <c r="A1340" s="7" t="str">
        <f>IFERROR(VLOOKUP(H1340,'Contas Orç'!A:B,2,0),"N/A")</f>
        <v>PNEUS E RECAPAGENS</v>
      </c>
      <c r="B1340" s="7" t="str">
        <f t="shared" si="40"/>
        <v>320301003 - PNEUS E RECAPAGENS</v>
      </c>
      <c r="C1340" s="25">
        <f t="shared" si="41"/>
        <v>44713</v>
      </c>
      <c r="D1340" s="27">
        <f>IF(K1340="CREDITO",Q1340,Q1340*-1)</f>
        <v>1580</v>
      </c>
      <c r="E1340" t="s">
        <v>894</v>
      </c>
      <c r="F1340" t="s">
        <v>1834</v>
      </c>
      <c r="G1340" s="8">
        <v>44713</v>
      </c>
      <c r="H1340" t="s">
        <v>536</v>
      </c>
      <c r="I1340" t="s">
        <v>59</v>
      </c>
      <c r="J1340" t="s">
        <v>107</v>
      </c>
      <c r="K1340" t="s">
        <v>29</v>
      </c>
      <c r="L1340" t="s">
        <v>895</v>
      </c>
      <c r="M1340" t="s">
        <v>4402</v>
      </c>
      <c r="O1340" t="s">
        <v>896</v>
      </c>
      <c r="P1340" t="s">
        <v>33</v>
      </c>
      <c r="Q1340" s="22">
        <v>1580</v>
      </c>
      <c r="R1340" t="s">
        <v>35</v>
      </c>
      <c r="S1340" t="s">
        <v>35</v>
      </c>
      <c r="T1340" t="s">
        <v>35</v>
      </c>
      <c r="U1340" t="s">
        <v>35</v>
      </c>
      <c r="V1340" t="s">
        <v>645</v>
      </c>
      <c r="W1340" t="s">
        <v>113</v>
      </c>
    </row>
    <row r="1341" spans="1:23" hidden="1" x14ac:dyDescent="0.25">
      <c r="A1341" s="7" t="str">
        <f>IFERROR(VLOOKUP(H1341,'Contas Orç'!A:B,2,0),"N/A")</f>
        <v>PNEUS E RECAPAGENS</v>
      </c>
      <c r="B1341" s="7" t="str">
        <f t="shared" si="40"/>
        <v>320301003 - PNEUS E RECAPAGENS</v>
      </c>
      <c r="C1341" s="25">
        <f t="shared" si="41"/>
        <v>44743</v>
      </c>
      <c r="D1341" s="27">
        <f>IF(K1341="CREDITO",Q1341,Q1341*-1)</f>
        <v>3545.4</v>
      </c>
      <c r="E1341" t="s">
        <v>894</v>
      </c>
      <c r="F1341" t="s">
        <v>1835</v>
      </c>
      <c r="G1341" s="8">
        <v>44743</v>
      </c>
      <c r="H1341" t="s">
        <v>536</v>
      </c>
      <c r="I1341" t="s">
        <v>88</v>
      </c>
      <c r="J1341" t="s">
        <v>28</v>
      </c>
      <c r="K1341" t="s">
        <v>29</v>
      </c>
      <c r="L1341" t="s">
        <v>895</v>
      </c>
      <c r="M1341" t="s">
        <v>4402</v>
      </c>
      <c r="O1341" t="s">
        <v>896</v>
      </c>
      <c r="P1341" t="s">
        <v>33</v>
      </c>
      <c r="Q1341" s="22">
        <v>3545.4</v>
      </c>
      <c r="R1341" t="s">
        <v>35</v>
      </c>
      <c r="S1341" t="s">
        <v>35</v>
      </c>
      <c r="T1341" t="s">
        <v>35</v>
      </c>
      <c r="U1341" t="s">
        <v>35</v>
      </c>
      <c r="V1341" t="s">
        <v>645</v>
      </c>
      <c r="W1341" t="s">
        <v>113</v>
      </c>
    </row>
    <row r="1342" spans="1:23" hidden="1" x14ac:dyDescent="0.25">
      <c r="A1342" s="7" t="str">
        <f>IFERROR(VLOOKUP(H1342,'Contas Orç'!A:B,2,0),"N/A")</f>
        <v>PNEUS E RECAPAGENS</v>
      </c>
      <c r="B1342" s="7" t="str">
        <f t="shared" si="40"/>
        <v>320301003 - PNEUS E RECAPAGENS</v>
      </c>
      <c r="C1342" s="25">
        <f t="shared" si="41"/>
        <v>44743</v>
      </c>
      <c r="D1342" s="27">
        <f>IF(K1342="CREDITO",Q1342,Q1342*-1)</f>
        <v>32401.8</v>
      </c>
      <c r="E1342" t="s">
        <v>894</v>
      </c>
      <c r="F1342" t="s">
        <v>1836</v>
      </c>
      <c r="G1342" s="8">
        <v>44743</v>
      </c>
      <c r="H1342" t="s">
        <v>536</v>
      </c>
      <c r="I1342" t="s">
        <v>27</v>
      </c>
      <c r="J1342" t="s">
        <v>28</v>
      </c>
      <c r="K1342" t="s">
        <v>29</v>
      </c>
      <c r="L1342" t="s">
        <v>895</v>
      </c>
      <c r="M1342" t="s">
        <v>4402</v>
      </c>
      <c r="O1342" t="s">
        <v>896</v>
      </c>
      <c r="P1342" t="s">
        <v>33</v>
      </c>
      <c r="Q1342" s="22">
        <v>32401.8</v>
      </c>
      <c r="R1342" t="s">
        <v>35</v>
      </c>
      <c r="S1342" t="s">
        <v>35</v>
      </c>
      <c r="T1342" t="s">
        <v>35</v>
      </c>
      <c r="U1342" t="s">
        <v>35</v>
      </c>
      <c r="V1342" t="s">
        <v>645</v>
      </c>
      <c r="W1342" t="s">
        <v>113</v>
      </c>
    </row>
    <row r="1343" spans="1:23" hidden="1" x14ac:dyDescent="0.25">
      <c r="A1343" s="7" t="str">
        <f>IFERROR(VLOOKUP(H1343,'Contas Orç'!A:B,2,0),"N/A")</f>
        <v>PNEUS E RECAPAGENS</v>
      </c>
      <c r="B1343" s="7" t="str">
        <f t="shared" si="40"/>
        <v>320301003 - PNEUS E RECAPAGENS</v>
      </c>
      <c r="C1343" s="25">
        <f t="shared" si="41"/>
        <v>44743</v>
      </c>
      <c r="D1343" s="27">
        <f>IF(K1343="CREDITO",Q1343,Q1343*-1)</f>
        <v>120602.96</v>
      </c>
      <c r="E1343" t="s">
        <v>894</v>
      </c>
      <c r="F1343" t="s">
        <v>1837</v>
      </c>
      <c r="G1343" s="8">
        <v>44743</v>
      </c>
      <c r="H1343" t="s">
        <v>536</v>
      </c>
      <c r="I1343" t="s">
        <v>59</v>
      </c>
      <c r="J1343" t="s">
        <v>28</v>
      </c>
      <c r="K1343" t="s">
        <v>29</v>
      </c>
      <c r="L1343" t="s">
        <v>895</v>
      </c>
      <c r="M1343" t="s">
        <v>4402</v>
      </c>
      <c r="O1343" t="s">
        <v>896</v>
      </c>
      <c r="P1343" t="s">
        <v>33</v>
      </c>
      <c r="Q1343" s="22">
        <v>120602.96</v>
      </c>
      <c r="R1343" t="s">
        <v>35</v>
      </c>
      <c r="S1343" t="s">
        <v>35</v>
      </c>
      <c r="T1343" t="s">
        <v>35</v>
      </c>
      <c r="U1343" t="s">
        <v>35</v>
      </c>
      <c r="V1343" t="s">
        <v>645</v>
      </c>
      <c r="W1343" t="s">
        <v>113</v>
      </c>
    </row>
    <row r="1344" spans="1:23" hidden="1" x14ac:dyDescent="0.25">
      <c r="A1344" s="7" t="str">
        <f>IFERROR(VLOOKUP(H1344,'Contas Orç'!A:B,2,0),"N/A")</f>
        <v>PNEUS E RECAPAGENS</v>
      </c>
      <c r="B1344" s="7" t="str">
        <f t="shared" si="40"/>
        <v>320301003 - PNEUS E RECAPAGENS</v>
      </c>
      <c r="C1344" s="25">
        <f t="shared" si="41"/>
        <v>44743</v>
      </c>
      <c r="D1344" s="27">
        <f>IF(K1344="CREDITO",Q1344,Q1344*-1)</f>
        <v>191.71</v>
      </c>
      <c r="E1344" t="s">
        <v>894</v>
      </c>
      <c r="F1344" t="s">
        <v>1838</v>
      </c>
      <c r="G1344" s="8">
        <v>44743</v>
      </c>
      <c r="H1344" t="s">
        <v>536</v>
      </c>
      <c r="I1344" t="s">
        <v>106</v>
      </c>
      <c r="J1344" t="s">
        <v>60</v>
      </c>
      <c r="K1344" t="s">
        <v>29</v>
      </c>
      <c r="L1344" t="s">
        <v>895</v>
      </c>
      <c r="M1344" t="s">
        <v>4402</v>
      </c>
      <c r="O1344" t="s">
        <v>896</v>
      </c>
      <c r="P1344" t="s">
        <v>33</v>
      </c>
      <c r="Q1344">
        <v>191.71</v>
      </c>
      <c r="R1344" t="s">
        <v>35</v>
      </c>
      <c r="S1344" t="s">
        <v>35</v>
      </c>
      <c r="T1344" t="s">
        <v>35</v>
      </c>
      <c r="U1344" t="s">
        <v>35</v>
      </c>
      <c r="V1344" t="s">
        <v>645</v>
      </c>
      <c r="W1344" t="s">
        <v>113</v>
      </c>
    </row>
    <row r="1345" spans="1:23" hidden="1" x14ac:dyDescent="0.25">
      <c r="A1345" s="7" t="str">
        <f>IFERROR(VLOOKUP(H1345,'Contas Orç'!A:B,2,0),"N/A")</f>
        <v>PNEUS E RECAPAGENS</v>
      </c>
      <c r="B1345" s="7" t="str">
        <f t="shared" si="40"/>
        <v>320301003 - PNEUS E RECAPAGENS</v>
      </c>
      <c r="C1345" s="25">
        <f t="shared" si="41"/>
        <v>44743</v>
      </c>
      <c r="D1345" s="27">
        <f>IF(K1345="CREDITO",Q1345,Q1345*-1)</f>
        <v>695.85</v>
      </c>
      <c r="E1345" t="s">
        <v>894</v>
      </c>
      <c r="F1345" t="s">
        <v>1839</v>
      </c>
      <c r="G1345" s="8">
        <v>44743</v>
      </c>
      <c r="H1345" t="s">
        <v>536</v>
      </c>
      <c r="I1345" t="s">
        <v>27</v>
      </c>
      <c r="J1345" t="s">
        <v>60</v>
      </c>
      <c r="K1345" t="s">
        <v>29</v>
      </c>
      <c r="L1345" t="s">
        <v>895</v>
      </c>
      <c r="M1345" t="s">
        <v>4402</v>
      </c>
      <c r="O1345" t="s">
        <v>896</v>
      </c>
      <c r="P1345" t="s">
        <v>33</v>
      </c>
      <c r="Q1345">
        <v>695.85</v>
      </c>
      <c r="R1345" t="s">
        <v>35</v>
      </c>
      <c r="S1345" t="s">
        <v>35</v>
      </c>
      <c r="T1345" t="s">
        <v>35</v>
      </c>
      <c r="U1345" t="s">
        <v>35</v>
      </c>
      <c r="V1345" t="s">
        <v>645</v>
      </c>
      <c r="W1345" t="s">
        <v>113</v>
      </c>
    </row>
    <row r="1346" spans="1:23" hidden="1" x14ac:dyDescent="0.25">
      <c r="A1346" s="7" t="str">
        <f>IFERROR(VLOOKUP(H1346,'Contas Orç'!A:B,2,0),"N/A")</f>
        <v>PNEUS E RECAPAGENS</v>
      </c>
      <c r="B1346" s="7" t="str">
        <f t="shared" si="40"/>
        <v>320301003 - PNEUS E RECAPAGENS</v>
      </c>
      <c r="C1346" s="25">
        <f t="shared" si="41"/>
        <v>44743</v>
      </c>
      <c r="D1346" s="27">
        <f>IF(K1346="CREDITO",Q1346,Q1346*-1)</f>
        <v>240658.92</v>
      </c>
      <c r="E1346" t="s">
        <v>894</v>
      </c>
      <c r="F1346" t="s">
        <v>1840</v>
      </c>
      <c r="G1346" s="8">
        <v>44743</v>
      </c>
      <c r="H1346" t="s">
        <v>536</v>
      </c>
      <c r="I1346" t="s">
        <v>59</v>
      </c>
      <c r="J1346" t="s">
        <v>60</v>
      </c>
      <c r="K1346" t="s">
        <v>29</v>
      </c>
      <c r="L1346" t="s">
        <v>895</v>
      </c>
      <c r="M1346" t="s">
        <v>4402</v>
      </c>
      <c r="O1346" t="s">
        <v>896</v>
      </c>
      <c r="P1346" t="s">
        <v>33</v>
      </c>
      <c r="Q1346" s="22">
        <v>240658.92</v>
      </c>
      <c r="R1346" t="s">
        <v>35</v>
      </c>
      <c r="S1346" t="s">
        <v>35</v>
      </c>
      <c r="T1346" t="s">
        <v>35</v>
      </c>
      <c r="U1346" t="s">
        <v>35</v>
      </c>
      <c r="V1346" t="s">
        <v>645</v>
      </c>
      <c r="W1346" t="s">
        <v>113</v>
      </c>
    </row>
    <row r="1347" spans="1:23" hidden="1" x14ac:dyDescent="0.25">
      <c r="A1347" s="7" t="str">
        <f>IFERROR(VLOOKUP(H1347,'Contas Orç'!A:B,2,0),"N/A")</f>
        <v>PNEUS E RECAPAGENS</v>
      </c>
      <c r="B1347" s="7" t="str">
        <f t="shared" ref="B1347:B1410" si="42">_xlfn.CONCAT(H1347," - ",A1347)</f>
        <v>320301003 - PNEUS E RECAPAGENS</v>
      </c>
      <c r="C1347" s="25">
        <f t="shared" ref="C1347:C1410" si="43">DATE(YEAR(G1347),MONTH(G1347),1)</f>
        <v>44743</v>
      </c>
      <c r="D1347" s="27">
        <f>IF(K1347="CREDITO",Q1347,Q1347*-1)</f>
        <v>17523.93</v>
      </c>
      <c r="E1347" t="s">
        <v>894</v>
      </c>
      <c r="F1347" t="s">
        <v>1841</v>
      </c>
      <c r="G1347" s="8">
        <v>44743</v>
      </c>
      <c r="H1347" t="s">
        <v>536</v>
      </c>
      <c r="I1347" t="s">
        <v>59</v>
      </c>
      <c r="J1347" t="s">
        <v>107</v>
      </c>
      <c r="K1347" t="s">
        <v>29</v>
      </c>
      <c r="L1347" t="s">
        <v>895</v>
      </c>
      <c r="M1347" t="s">
        <v>4402</v>
      </c>
      <c r="O1347" t="s">
        <v>896</v>
      </c>
      <c r="P1347" t="s">
        <v>33</v>
      </c>
      <c r="Q1347" s="22">
        <v>17523.93</v>
      </c>
      <c r="R1347" t="s">
        <v>35</v>
      </c>
      <c r="S1347" t="s">
        <v>35</v>
      </c>
      <c r="T1347" t="s">
        <v>35</v>
      </c>
      <c r="U1347" t="s">
        <v>35</v>
      </c>
      <c r="V1347" t="s">
        <v>645</v>
      </c>
      <c r="W1347" t="s">
        <v>113</v>
      </c>
    </row>
    <row r="1348" spans="1:23" hidden="1" x14ac:dyDescent="0.25">
      <c r="A1348" s="7" t="str">
        <f>IFERROR(VLOOKUP(H1348,'Contas Orç'!A:B,2,0),"N/A")</f>
        <v>PNEUS E RECAPAGENS</v>
      </c>
      <c r="B1348" s="7" t="str">
        <f t="shared" si="42"/>
        <v>320301003 - PNEUS E RECAPAGENS</v>
      </c>
      <c r="C1348" s="25">
        <f t="shared" si="43"/>
        <v>44743</v>
      </c>
      <c r="D1348" s="27">
        <f>IF(K1348="CREDITO",Q1348,Q1348*-1)</f>
        <v>7069.42</v>
      </c>
      <c r="E1348" t="s">
        <v>894</v>
      </c>
      <c r="F1348" t="s">
        <v>1842</v>
      </c>
      <c r="G1348" s="8">
        <v>44743</v>
      </c>
      <c r="H1348" t="s">
        <v>536</v>
      </c>
      <c r="I1348" t="s">
        <v>81</v>
      </c>
      <c r="J1348" t="s">
        <v>54</v>
      </c>
      <c r="K1348" t="s">
        <v>29</v>
      </c>
      <c r="L1348" t="s">
        <v>895</v>
      </c>
      <c r="M1348" t="s">
        <v>4402</v>
      </c>
      <c r="O1348" t="s">
        <v>896</v>
      </c>
      <c r="P1348" t="s">
        <v>33</v>
      </c>
      <c r="Q1348" s="22">
        <v>7069.42</v>
      </c>
      <c r="R1348" t="s">
        <v>35</v>
      </c>
      <c r="S1348" t="s">
        <v>35</v>
      </c>
      <c r="T1348" t="s">
        <v>35</v>
      </c>
      <c r="U1348" t="s">
        <v>35</v>
      </c>
      <c r="V1348" t="s">
        <v>645</v>
      </c>
      <c r="W1348" t="s">
        <v>113</v>
      </c>
    </row>
    <row r="1349" spans="1:23" hidden="1" x14ac:dyDescent="0.25">
      <c r="A1349" s="7" t="str">
        <f>IFERROR(VLOOKUP(H1349,'Contas Orç'!A:B,2,0),"N/A")</f>
        <v>PNEUS E RECAPAGENS</v>
      </c>
      <c r="B1349" s="7" t="str">
        <f t="shared" si="42"/>
        <v>320301003 - PNEUS E RECAPAGENS</v>
      </c>
      <c r="C1349" s="25">
        <f t="shared" si="43"/>
        <v>44743</v>
      </c>
      <c r="D1349" s="27">
        <f>IF(K1349="CREDITO",Q1349,Q1349*-1)</f>
        <v>1019.15</v>
      </c>
      <c r="E1349" t="s">
        <v>894</v>
      </c>
      <c r="F1349" t="s">
        <v>1843</v>
      </c>
      <c r="G1349" s="8">
        <v>44743</v>
      </c>
      <c r="H1349" t="s">
        <v>536</v>
      </c>
      <c r="I1349" t="s">
        <v>53</v>
      </c>
      <c r="J1349" t="s">
        <v>54</v>
      </c>
      <c r="K1349" t="s">
        <v>29</v>
      </c>
      <c r="L1349" t="s">
        <v>895</v>
      </c>
      <c r="M1349" t="s">
        <v>4402</v>
      </c>
      <c r="O1349" t="s">
        <v>896</v>
      </c>
      <c r="P1349" t="s">
        <v>33</v>
      </c>
      <c r="Q1349" s="22">
        <v>1019.15</v>
      </c>
      <c r="R1349" t="s">
        <v>35</v>
      </c>
      <c r="S1349" t="s">
        <v>35</v>
      </c>
      <c r="T1349" t="s">
        <v>35</v>
      </c>
      <c r="U1349" t="s">
        <v>35</v>
      </c>
      <c r="V1349" t="s">
        <v>645</v>
      </c>
      <c r="W1349" t="s">
        <v>113</v>
      </c>
    </row>
    <row r="1350" spans="1:23" hidden="1" x14ac:dyDescent="0.25">
      <c r="A1350" s="7" t="str">
        <f>IFERROR(VLOOKUP(H1350,'Contas Orç'!A:B,2,0),"N/A")</f>
        <v>PNEUS E RECAPAGENS</v>
      </c>
      <c r="B1350" s="7" t="str">
        <f t="shared" si="42"/>
        <v>320301003 - PNEUS E RECAPAGENS</v>
      </c>
      <c r="C1350" s="25">
        <f t="shared" si="43"/>
        <v>44774</v>
      </c>
      <c r="D1350" s="27">
        <f>IF(K1350="CREDITO",Q1350,Q1350*-1)</f>
        <v>1310.3699999999999</v>
      </c>
      <c r="E1350" t="s">
        <v>894</v>
      </c>
      <c r="F1350" t="s">
        <v>1844</v>
      </c>
      <c r="G1350" s="8">
        <v>44774</v>
      </c>
      <c r="H1350" t="s">
        <v>536</v>
      </c>
      <c r="I1350" t="s">
        <v>88</v>
      </c>
      <c r="J1350" t="s">
        <v>28</v>
      </c>
      <c r="K1350" t="s">
        <v>29</v>
      </c>
      <c r="L1350" t="s">
        <v>895</v>
      </c>
      <c r="M1350" t="s">
        <v>4402</v>
      </c>
      <c r="O1350" t="s">
        <v>896</v>
      </c>
      <c r="P1350" t="s">
        <v>33</v>
      </c>
      <c r="Q1350" s="22">
        <v>1310.3699999999999</v>
      </c>
      <c r="R1350" t="s">
        <v>35</v>
      </c>
      <c r="S1350" t="s">
        <v>35</v>
      </c>
      <c r="T1350" t="s">
        <v>35</v>
      </c>
      <c r="U1350" t="s">
        <v>35</v>
      </c>
      <c r="V1350" t="s">
        <v>645</v>
      </c>
      <c r="W1350" t="s">
        <v>113</v>
      </c>
    </row>
    <row r="1351" spans="1:23" hidden="1" x14ac:dyDescent="0.25">
      <c r="A1351" s="7" t="str">
        <f>IFERROR(VLOOKUP(H1351,'Contas Orç'!A:B,2,0),"N/A")</f>
        <v>PNEUS E RECAPAGENS</v>
      </c>
      <c r="B1351" s="7" t="str">
        <f t="shared" si="42"/>
        <v>320301003 - PNEUS E RECAPAGENS</v>
      </c>
      <c r="C1351" s="25">
        <f t="shared" si="43"/>
        <v>44774</v>
      </c>
      <c r="D1351" s="27">
        <f>IF(K1351="CREDITO",Q1351,Q1351*-1)</f>
        <v>402423.27</v>
      </c>
      <c r="E1351" t="s">
        <v>894</v>
      </c>
      <c r="F1351" t="s">
        <v>1845</v>
      </c>
      <c r="G1351" s="8">
        <v>44774</v>
      </c>
      <c r="H1351" t="s">
        <v>536</v>
      </c>
      <c r="I1351" t="s">
        <v>27</v>
      </c>
      <c r="J1351" t="s">
        <v>28</v>
      </c>
      <c r="K1351" t="s">
        <v>29</v>
      </c>
      <c r="L1351" t="s">
        <v>895</v>
      </c>
      <c r="M1351" t="s">
        <v>4402</v>
      </c>
      <c r="O1351" t="s">
        <v>896</v>
      </c>
      <c r="P1351" t="s">
        <v>33</v>
      </c>
      <c r="Q1351" s="22">
        <v>402423.27</v>
      </c>
      <c r="R1351" t="s">
        <v>35</v>
      </c>
      <c r="S1351" t="s">
        <v>35</v>
      </c>
      <c r="T1351" t="s">
        <v>35</v>
      </c>
      <c r="U1351" t="s">
        <v>35</v>
      </c>
      <c r="V1351" t="s">
        <v>645</v>
      </c>
      <c r="W1351" t="s">
        <v>113</v>
      </c>
    </row>
    <row r="1352" spans="1:23" hidden="1" x14ac:dyDescent="0.25">
      <c r="A1352" s="7" t="str">
        <f>IFERROR(VLOOKUP(H1352,'Contas Orç'!A:B,2,0),"N/A")</f>
        <v>PNEUS E RECAPAGENS</v>
      </c>
      <c r="B1352" s="7" t="str">
        <f t="shared" si="42"/>
        <v>320301003 - PNEUS E RECAPAGENS</v>
      </c>
      <c r="C1352" s="25">
        <f t="shared" si="43"/>
        <v>44774</v>
      </c>
      <c r="D1352" s="27">
        <f>IF(K1352="CREDITO",Q1352,Q1352*-1)</f>
        <v>50466.33</v>
      </c>
      <c r="E1352" t="s">
        <v>894</v>
      </c>
      <c r="F1352" t="s">
        <v>1846</v>
      </c>
      <c r="G1352" s="8">
        <v>44774</v>
      </c>
      <c r="H1352" t="s">
        <v>536</v>
      </c>
      <c r="I1352" t="s">
        <v>59</v>
      </c>
      <c r="J1352" t="s">
        <v>28</v>
      </c>
      <c r="K1352" t="s">
        <v>29</v>
      </c>
      <c r="L1352" t="s">
        <v>895</v>
      </c>
      <c r="M1352" t="s">
        <v>4402</v>
      </c>
      <c r="O1352" t="s">
        <v>896</v>
      </c>
      <c r="P1352" t="s">
        <v>33</v>
      </c>
      <c r="Q1352" s="22">
        <v>50466.33</v>
      </c>
      <c r="R1352" t="s">
        <v>35</v>
      </c>
      <c r="S1352" t="s">
        <v>35</v>
      </c>
      <c r="T1352" t="s">
        <v>35</v>
      </c>
      <c r="U1352" t="s">
        <v>35</v>
      </c>
      <c r="V1352" t="s">
        <v>645</v>
      </c>
      <c r="W1352" t="s">
        <v>113</v>
      </c>
    </row>
    <row r="1353" spans="1:23" hidden="1" x14ac:dyDescent="0.25">
      <c r="A1353" s="7" t="str">
        <f>IFERROR(VLOOKUP(H1353,'Contas Orç'!A:B,2,0),"N/A")</f>
        <v>PNEUS E RECAPAGENS</v>
      </c>
      <c r="B1353" s="7" t="str">
        <f t="shared" si="42"/>
        <v>320301003 - PNEUS E RECAPAGENS</v>
      </c>
      <c r="C1353" s="25">
        <f t="shared" si="43"/>
        <v>44774</v>
      </c>
      <c r="D1353" s="27">
        <f>IF(K1353="CREDITO",Q1353,Q1353*-1)</f>
        <v>4408.7</v>
      </c>
      <c r="E1353" t="s">
        <v>894</v>
      </c>
      <c r="F1353" t="s">
        <v>1847</v>
      </c>
      <c r="G1353" s="8">
        <v>44774</v>
      </c>
      <c r="H1353" t="s">
        <v>536</v>
      </c>
      <c r="I1353" t="s">
        <v>106</v>
      </c>
      <c r="J1353" t="s">
        <v>60</v>
      </c>
      <c r="K1353" t="s">
        <v>29</v>
      </c>
      <c r="L1353" t="s">
        <v>895</v>
      </c>
      <c r="M1353" t="s">
        <v>4402</v>
      </c>
      <c r="O1353" t="s">
        <v>896</v>
      </c>
      <c r="P1353" t="s">
        <v>33</v>
      </c>
      <c r="Q1353" s="22">
        <v>4408.7</v>
      </c>
      <c r="R1353" t="s">
        <v>35</v>
      </c>
      <c r="S1353" t="s">
        <v>35</v>
      </c>
      <c r="T1353" t="s">
        <v>35</v>
      </c>
      <c r="U1353" t="s">
        <v>35</v>
      </c>
      <c r="V1353" t="s">
        <v>645</v>
      </c>
      <c r="W1353" t="s">
        <v>113</v>
      </c>
    </row>
    <row r="1354" spans="1:23" hidden="1" x14ac:dyDescent="0.25">
      <c r="A1354" s="7" t="str">
        <f>IFERROR(VLOOKUP(H1354,'Contas Orç'!A:B,2,0),"N/A")</f>
        <v>PNEUS E RECAPAGENS</v>
      </c>
      <c r="B1354" s="7" t="str">
        <f t="shared" si="42"/>
        <v>320301003 - PNEUS E RECAPAGENS</v>
      </c>
      <c r="C1354" s="25">
        <f t="shared" si="43"/>
        <v>44774</v>
      </c>
      <c r="D1354" s="27">
        <f>IF(K1354="CREDITO",Q1354,Q1354*-1)</f>
        <v>69698.720000000001</v>
      </c>
      <c r="E1354" t="s">
        <v>894</v>
      </c>
      <c r="F1354" t="s">
        <v>1848</v>
      </c>
      <c r="G1354" s="8">
        <v>44774</v>
      </c>
      <c r="H1354" t="s">
        <v>536</v>
      </c>
      <c r="I1354" t="s">
        <v>59</v>
      </c>
      <c r="J1354" t="s">
        <v>60</v>
      </c>
      <c r="K1354" t="s">
        <v>29</v>
      </c>
      <c r="L1354" t="s">
        <v>895</v>
      </c>
      <c r="M1354" t="s">
        <v>4402</v>
      </c>
      <c r="O1354" t="s">
        <v>896</v>
      </c>
      <c r="P1354" t="s">
        <v>33</v>
      </c>
      <c r="Q1354" s="22">
        <v>69698.720000000001</v>
      </c>
      <c r="R1354" t="s">
        <v>35</v>
      </c>
      <c r="S1354" t="s">
        <v>35</v>
      </c>
      <c r="T1354" t="s">
        <v>35</v>
      </c>
      <c r="U1354" t="s">
        <v>35</v>
      </c>
      <c r="V1354" t="s">
        <v>645</v>
      </c>
      <c r="W1354" t="s">
        <v>113</v>
      </c>
    </row>
    <row r="1355" spans="1:23" hidden="1" x14ac:dyDescent="0.25">
      <c r="A1355" s="7" t="str">
        <f>IFERROR(VLOOKUP(H1355,'Contas Orç'!A:B,2,0),"N/A")</f>
        <v>PNEUS E RECAPAGENS</v>
      </c>
      <c r="B1355" s="7" t="str">
        <f t="shared" si="42"/>
        <v>320301003 - PNEUS E RECAPAGENS</v>
      </c>
      <c r="C1355" s="25">
        <f t="shared" si="43"/>
        <v>44774</v>
      </c>
      <c r="D1355" s="27">
        <f>IF(K1355="CREDITO",Q1355,Q1355*-1)</f>
        <v>1679.54</v>
      </c>
      <c r="E1355" t="s">
        <v>894</v>
      </c>
      <c r="F1355" t="s">
        <v>1849</v>
      </c>
      <c r="G1355" s="8">
        <v>44774</v>
      </c>
      <c r="H1355" t="s">
        <v>536</v>
      </c>
      <c r="I1355" t="s">
        <v>125</v>
      </c>
      <c r="J1355" t="s">
        <v>60</v>
      </c>
      <c r="K1355" t="s">
        <v>29</v>
      </c>
      <c r="L1355" t="s">
        <v>895</v>
      </c>
      <c r="M1355" t="s">
        <v>4402</v>
      </c>
      <c r="O1355" t="s">
        <v>896</v>
      </c>
      <c r="P1355" t="s">
        <v>33</v>
      </c>
      <c r="Q1355" s="22">
        <v>1679.54</v>
      </c>
      <c r="R1355" t="s">
        <v>35</v>
      </c>
      <c r="S1355" t="s">
        <v>35</v>
      </c>
      <c r="T1355" t="s">
        <v>35</v>
      </c>
      <c r="U1355" t="s">
        <v>35</v>
      </c>
      <c r="V1355" t="s">
        <v>645</v>
      </c>
      <c r="W1355" t="s">
        <v>113</v>
      </c>
    </row>
    <row r="1356" spans="1:23" hidden="1" x14ac:dyDescent="0.25">
      <c r="A1356" s="7" t="str">
        <f>IFERROR(VLOOKUP(H1356,'Contas Orç'!A:B,2,0),"N/A")</f>
        <v>PNEUS E RECAPAGENS</v>
      </c>
      <c r="B1356" s="7" t="str">
        <f t="shared" si="42"/>
        <v>320301003 - PNEUS E RECAPAGENS</v>
      </c>
      <c r="C1356" s="25">
        <f t="shared" si="43"/>
        <v>44774</v>
      </c>
      <c r="D1356" s="27">
        <f>IF(K1356="CREDITO",Q1356,Q1356*-1)</f>
        <v>10172.42</v>
      </c>
      <c r="E1356" t="s">
        <v>894</v>
      </c>
      <c r="F1356" t="s">
        <v>1850</v>
      </c>
      <c r="G1356" s="8">
        <v>44774</v>
      </c>
      <c r="H1356" t="s">
        <v>536</v>
      </c>
      <c r="I1356" t="s">
        <v>59</v>
      </c>
      <c r="J1356" t="s">
        <v>107</v>
      </c>
      <c r="K1356" t="s">
        <v>29</v>
      </c>
      <c r="L1356" t="s">
        <v>895</v>
      </c>
      <c r="M1356" t="s">
        <v>4402</v>
      </c>
      <c r="O1356" t="s">
        <v>896</v>
      </c>
      <c r="P1356" t="s">
        <v>33</v>
      </c>
      <c r="Q1356" s="22">
        <v>10172.42</v>
      </c>
      <c r="R1356" t="s">
        <v>35</v>
      </c>
      <c r="S1356" t="s">
        <v>35</v>
      </c>
      <c r="T1356" t="s">
        <v>35</v>
      </c>
      <c r="U1356" t="s">
        <v>35</v>
      </c>
      <c r="V1356" t="s">
        <v>645</v>
      </c>
      <c r="W1356" t="s">
        <v>113</v>
      </c>
    </row>
    <row r="1357" spans="1:23" hidden="1" x14ac:dyDescent="0.25">
      <c r="A1357" s="7" t="str">
        <f>IFERROR(VLOOKUP(H1357,'Contas Orç'!A:B,2,0),"N/A")</f>
        <v>PNEUS E RECAPAGENS</v>
      </c>
      <c r="B1357" s="7" t="str">
        <f t="shared" si="42"/>
        <v>320301003 - PNEUS E RECAPAGENS</v>
      </c>
      <c r="C1357" s="25">
        <f t="shared" si="43"/>
        <v>44805</v>
      </c>
      <c r="D1357" s="27">
        <f>IF(K1357="CREDITO",Q1357,Q1357*-1)</f>
        <v>326055.15999999997</v>
      </c>
      <c r="E1357" t="s">
        <v>894</v>
      </c>
      <c r="F1357" t="s">
        <v>1851</v>
      </c>
      <c r="G1357" s="8">
        <v>44805</v>
      </c>
      <c r="H1357" t="s">
        <v>536</v>
      </c>
      <c r="I1357" t="s">
        <v>27</v>
      </c>
      <c r="J1357" t="s">
        <v>28</v>
      </c>
      <c r="K1357" t="s">
        <v>29</v>
      </c>
      <c r="L1357" t="s">
        <v>895</v>
      </c>
      <c r="M1357" t="s">
        <v>4402</v>
      </c>
      <c r="O1357" t="s">
        <v>896</v>
      </c>
      <c r="P1357" t="s">
        <v>33</v>
      </c>
      <c r="Q1357" s="22">
        <v>326055.15999999997</v>
      </c>
      <c r="R1357" t="s">
        <v>35</v>
      </c>
      <c r="S1357" t="s">
        <v>35</v>
      </c>
      <c r="T1357" t="s">
        <v>35</v>
      </c>
      <c r="U1357" t="s">
        <v>35</v>
      </c>
      <c r="V1357" t="s">
        <v>645</v>
      </c>
      <c r="W1357" t="s">
        <v>113</v>
      </c>
    </row>
    <row r="1358" spans="1:23" hidden="1" x14ac:dyDescent="0.25">
      <c r="A1358" s="7" t="str">
        <f>IFERROR(VLOOKUP(H1358,'Contas Orç'!A:B,2,0),"N/A")</f>
        <v>PNEUS E RECAPAGENS</v>
      </c>
      <c r="B1358" s="7" t="str">
        <f t="shared" si="42"/>
        <v>320301003 - PNEUS E RECAPAGENS</v>
      </c>
      <c r="C1358" s="25">
        <f t="shared" si="43"/>
        <v>44805</v>
      </c>
      <c r="D1358" s="27">
        <f>IF(K1358="CREDITO",Q1358,Q1358*-1)</f>
        <v>72559.91</v>
      </c>
      <c r="E1358" t="s">
        <v>894</v>
      </c>
      <c r="F1358" t="s">
        <v>1852</v>
      </c>
      <c r="G1358" s="8">
        <v>44805</v>
      </c>
      <c r="H1358" t="s">
        <v>536</v>
      </c>
      <c r="I1358" t="s">
        <v>59</v>
      </c>
      <c r="J1358" t="s">
        <v>28</v>
      </c>
      <c r="K1358" t="s">
        <v>29</v>
      </c>
      <c r="L1358" t="s">
        <v>895</v>
      </c>
      <c r="M1358" t="s">
        <v>4402</v>
      </c>
      <c r="O1358" t="s">
        <v>896</v>
      </c>
      <c r="P1358" t="s">
        <v>33</v>
      </c>
      <c r="Q1358" s="22">
        <v>72559.91</v>
      </c>
      <c r="R1358" t="s">
        <v>35</v>
      </c>
      <c r="S1358" t="s">
        <v>35</v>
      </c>
      <c r="T1358" t="s">
        <v>35</v>
      </c>
      <c r="U1358" t="s">
        <v>35</v>
      </c>
      <c r="V1358" t="s">
        <v>645</v>
      </c>
      <c r="W1358" t="s">
        <v>113</v>
      </c>
    </row>
    <row r="1359" spans="1:23" hidden="1" x14ac:dyDescent="0.25">
      <c r="A1359" s="7" t="str">
        <f>IFERROR(VLOOKUP(H1359,'Contas Orç'!A:B,2,0),"N/A")</f>
        <v>PNEUS E RECAPAGENS</v>
      </c>
      <c r="B1359" s="7" t="str">
        <f t="shared" si="42"/>
        <v>320301003 - PNEUS E RECAPAGENS</v>
      </c>
      <c r="C1359" s="25">
        <f t="shared" si="43"/>
        <v>44805</v>
      </c>
      <c r="D1359" s="27">
        <f>IF(K1359="CREDITO",Q1359,Q1359*-1)</f>
        <v>13245.65</v>
      </c>
      <c r="E1359" t="s">
        <v>894</v>
      </c>
      <c r="F1359" t="s">
        <v>1853</v>
      </c>
      <c r="G1359" s="8">
        <v>44805</v>
      </c>
      <c r="H1359" t="s">
        <v>536</v>
      </c>
      <c r="I1359" t="s">
        <v>27</v>
      </c>
      <c r="J1359" t="s">
        <v>60</v>
      </c>
      <c r="K1359" t="s">
        <v>29</v>
      </c>
      <c r="L1359" t="s">
        <v>895</v>
      </c>
      <c r="M1359" t="s">
        <v>4402</v>
      </c>
      <c r="O1359" t="s">
        <v>896</v>
      </c>
      <c r="P1359" t="s">
        <v>33</v>
      </c>
      <c r="Q1359" s="22">
        <v>13245.65</v>
      </c>
      <c r="R1359" t="s">
        <v>35</v>
      </c>
      <c r="S1359" t="s">
        <v>35</v>
      </c>
      <c r="T1359" t="s">
        <v>35</v>
      </c>
      <c r="U1359" t="s">
        <v>35</v>
      </c>
      <c r="V1359" t="s">
        <v>645</v>
      </c>
      <c r="W1359" t="s">
        <v>113</v>
      </c>
    </row>
    <row r="1360" spans="1:23" hidden="1" x14ac:dyDescent="0.25">
      <c r="A1360" s="7" t="str">
        <f>IFERROR(VLOOKUP(H1360,'Contas Orç'!A:B,2,0),"N/A")</f>
        <v>PNEUS E RECAPAGENS</v>
      </c>
      <c r="B1360" s="7" t="str">
        <f t="shared" si="42"/>
        <v>320301003 - PNEUS E RECAPAGENS</v>
      </c>
      <c r="C1360" s="25">
        <f t="shared" si="43"/>
        <v>44805</v>
      </c>
      <c r="D1360" s="27">
        <f>IF(K1360="CREDITO",Q1360,Q1360*-1)</f>
        <v>10686.04</v>
      </c>
      <c r="E1360" t="s">
        <v>894</v>
      </c>
      <c r="F1360" t="s">
        <v>1854</v>
      </c>
      <c r="G1360" s="8">
        <v>44805</v>
      </c>
      <c r="H1360" t="s">
        <v>536</v>
      </c>
      <c r="I1360" t="s">
        <v>59</v>
      </c>
      <c r="J1360" t="s">
        <v>60</v>
      </c>
      <c r="K1360" t="s">
        <v>29</v>
      </c>
      <c r="L1360" t="s">
        <v>895</v>
      </c>
      <c r="M1360" t="s">
        <v>4402</v>
      </c>
      <c r="O1360" t="s">
        <v>896</v>
      </c>
      <c r="P1360" t="s">
        <v>33</v>
      </c>
      <c r="Q1360" s="22">
        <v>10686.04</v>
      </c>
      <c r="R1360" t="s">
        <v>35</v>
      </c>
      <c r="S1360" t="s">
        <v>35</v>
      </c>
      <c r="T1360" t="s">
        <v>35</v>
      </c>
      <c r="U1360" t="s">
        <v>35</v>
      </c>
      <c r="V1360" t="s">
        <v>645</v>
      </c>
      <c r="W1360" t="s">
        <v>113</v>
      </c>
    </row>
    <row r="1361" spans="1:23" hidden="1" x14ac:dyDescent="0.25">
      <c r="A1361" s="7" t="str">
        <f>IFERROR(VLOOKUP(H1361,'Contas Orç'!A:B,2,0),"N/A")</f>
        <v>PNEUS E RECAPAGENS</v>
      </c>
      <c r="B1361" s="7" t="str">
        <f t="shared" si="42"/>
        <v>320301003 - PNEUS E RECAPAGENS</v>
      </c>
      <c r="C1361" s="25">
        <f t="shared" si="43"/>
        <v>44805</v>
      </c>
      <c r="D1361" s="27">
        <f>IF(K1361="CREDITO",Q1361,Q1361*-1)</f>
        <v>74214.31</v>
      </c>
      <c r="E1361" t="s">
        <v>894</v>
      </c>
      <c r="F1361" t="s">
        <v>1855</v>
      </c>
      <c r="G1361" s="8">
        <v>44805</v>
      </c>
      <c r="H1361" t="s">
        <v>536</v>
      </c>
      <c r="I1361" t="s">
        <v>59</v>
      </c>
      <c r="J1361" t="s">
        <v>107</v>
      </c>
      <c r="K1361" t="s">
        <v>29</v>
      </c>
      <c r="L1361" t="s">
        <v>895</v>
      </c>
      <c r="M1361" t="s">
        <v>4402</v>
      </c>
      <c r="O1361" t="s">
        <v>896</v>
      </c>
      <c r="P1361" t="s">
        <v>33</v>
      </c>
      <c r="Q1361" s="22">
        <v>74214.31</v>
      </c>
      <c r="R1361" t="s">
        <v>35</v>
      </c>
      <c r="S1361" t="s">
        <v>35</v>
      </c>
      <c r="T1361" t="s">
        <v>35</v>
      </c>
      <c r="U1361" t="s">
        <v>35</v>
      </c>
      <c r="V1361" t="s">
        <v>645</v>
      </c>
      <c r="W1361" t="s">
        <v>113</v>
      </c>
    </row>
    <row r="1362" spans="1:23" hidden="1" x14ac:dyDescent="0.25">
      <c r="A1362" s="7" t="str">
        <f>IFERROR(VLOOKUP(H1362,'Contas Orç'!A:B,2,0),"N/A")</f>
        <v>PNEUS E RECAPAGENS</v>
      </c>
      <c r="B1362" s="7" t="str">
        <f t="shared" si="42"/>
        <v>320301003 - PNEUS E RECAPAGENS</v>
      </c>
      <c r="C1362" s="25">
        <f t="shared" si="43"/>
        <v>44835</v>
      </c>
      <c r="D1362" s="27">
        <f>IF(K1362="CREDITO",Q1362,Q1362*-1)</f>
        <v>329315.71000000002</v>
      </c>
      <c r="E1362" t="s">
        <v>894</v>
      </c>
      <c r="F1362" t="s">
        <v>1856</v>
      </c>
      <c r="G1362" s="8">
        <v>44835</v>
      </c>
      <c r="H1362" t="s">
        <v>536</v>
      </c>
      <c r="I1362" t="s">
        <v>27</v>
      </c>
      <c r="J1362" t="s">
        <v>28</v>
      </c>
      <c r="K1362" t="s">
        <v>29</v>
      </c>
      <c r="L1362" t="s">
        <v>895</v>
      </c>
      <c r="M1362" t="s">
        <v>4402</v>
      </c>
      <c r="O1362" t="s">
        <v>896</v>
      </c>
      <c r="P1362" t="s">
        <v>33</v>
      </c>
      <c r="Q1362" s="22">
        <v>329315.71000000002</v>
      </c>
      <c r="R1362" t="s">
        <v>35</v>
      </c>
      <c r="S1362" t="s">
        <v>35</v>
      </c>
      <c r="T1362" t="s">
        <v>35</v>
      </c>
      <c r="U1362" t="s">
        <v>35</v>
      </c>
      <c r="V1362" t="s">
        <v>645</v>
      </c>
      <c r="W1362" t="s">
        <v>113</v>
      </c>
    </row>
    <row r="1363" spans="1:23" hidden="1" x14ac:dyDescent="0.25">
      <c r="A1363" s="7" t="str">
        <f>IFERROR(VLOOKUP(H1363,'Contas Orç'!A:B,2,0),"N/A")</f>
        <v>PNEUS E RECAPAGENS</v>
      </c>
      <c r="B1363" s="7" t="str">
        <f t="shared" si="42"/>
        <v>320301003 - PNEUS E RECAPAGENS</v>
      </c>
      <c r="C1363" s="25">
        <f t="shared" si="43"/>
        <v>44835</v>
      </c>
      <c r="D1363" s="27">
        <f>IF(K1363="CREDITO",Q1363,Q1363*-1)</f>
        <v>73285.509999999995</v>
      </c>
      <c r="E1363" t="s">
        <v>894</v>
      </c>
      <c r="F1363" t="s">
        <v>1857</v>
      </c>
      <c r="G1363" s="8">
        <v>44835</v>
      </c>
      <c r="H1363" t="s">
        <v>536</v>
      </c>
      <c r="I1363" t="s">
        <v>59</v>
      </c>
      <c r="J1363" t="s">
        <v>28</v>
      </c>
      <c r="K1363" t="s">
        <v>29</v>
      </c>
      <c r="L1363" t="s">
        <v>895</v>
      </c>
      <c r="M1363" t="s">
        <v>4402</v>
      </c>
      <c r="O1363" t="s">
        <v>896</v>
      </c>
      <c r="P1363" t="s">
        <v>33</v>
      </c>
      <c r="Q1363" s="22">
        <v>73285.509999999995</v>
      </c>
      <c r="R1363" t="s">
        <v>35</v>
      </c>
      <c r="S1363" t="s">
        <v>35</v>
      </c>
      <c r="T1363" t="s">
        <v>35</v>
      </c>
      <c r="U1363" t="s">
        <v>35</v>
      </c>
      <c r="V1363" t="s">
        <v>645</v>
      </c>
      <c r="W1363" t="s">
        <v>113</v>
      </c>
    </row>
    <row r="1364" spans="1:23" hidden="1" x14ac:dyDescent="0.25">
      <c r="A1364" s="7" t="str">
        <f>IFERROR(VLOOKUP(H1364,'Contas Orç'!A:B,2,0),"N/A")</f>
        <v>PNEUS E RECAPAGENS</v>
      </c>
      <c r="B1364" s="7" t="str">
        <f t="shared" si="42"/>
        <v>320301003 - PNEUS E RECAPAGENS</v>
      </c>
      <c r="C1364" s="25">
        <f t="shared" si="43"/>
        <v>44835</v>
      </c>
      <c r="D1364" s="27">
        <f>IF(K1364="CREDITO",Q1364,Q1364*-1)</f>
        <v>13378.11</v>
      </c>
      <c r="E1364" t="s">
        <v>894</v>
      </c>
      <c r="F1364" t="s">
        <v>1858</v>
      </c>
      <c r="G1364" s="8">
        <v>44835</v>
      </c>
      <c r="H1364" t="s">
        <v>536</v>
      </c>
      <c r="I1364" t="s">
        <v>27</v>
      </c>
      <c r="J1364" t="s">
        <v>60</v>
      </c>
      <c r="K1364" t="s">
        <v>29</v>
      </c>
      <c r="L1364" t="s">
        <v>895</v>
      </c>
      <c r="M1364" t="s">
        <v>4402</v>
      </c>
      <c r="O1364" t="s">
        <v>896</v>
      </c>
      <c r="P1364" t="s">
        <v>33</v>
      </c>
      <c r="Q1364" s="22">
        <v>13378.11</v>
      </c>
      <c r="R1364" t="s">
        <v>35</v>
      </c>
      <c r="S1364" t="s">
        <v>35</v>
      </c>
      <c r="T1364" t="s">
        <v>35</v>
      </c>
      <c r="U1364" t="s">
        <v>35</v>
      </c>
      <c r="V1364" t="s">
        <v>645</v>
      </c>
      <c r="W1364" t="s">
        <v>113</v>
      </c>
    </row>
    <row r="1365" spans="1:23" hidden="1" x14ac:dyDescent="0.25">
      <c r="A1365" s="7" t="str">
        <f>IFERROR(VLOOKUP(H1365,'Contas Orç'!A:B,2,0),"N/A")</f>
        <v>PNEUS E RECAPAGENS</v>
      </c>
      <c r="B1365" s="7" t="str">
        <f t="shared" si="42"/>
        <v>320301003 - PNEUS E RECAPAGENS</v>
      </c>
      <c r="C1365" s="25">
        <f t="shared" si="43"/>
        <v>44835</v>
      </c>
      <c r="D1365" s="27">
        <f>IF(K1365="CREDITO",Q1365,Q1365*-1)</f>
        <v>10792.9</v>
      </c>
      <c r="E1365" t="s">
        <v>894</v>
      </c>
      <c r="F1365" t="s">
        <v>1859</v>
      </c>
      <c r="G1365" s="8">
        <v>44835</v>
      </c>
      <c r="H1365" t="s">
        <v>536</v>
      </c>
      <c r="I1365" t="s">
        <v>59</v>
      </c>
      <c r="J1365" t="s">
        <v>60</v>
      </c>
      <c r="K1365" t="s">
        <v>29</v>
      </c>
      <c r="L1365" t="s">
        <v>895</v>
      </c>
      <c r="M1365" t="s">
        <v>4402</v>
      </c>
      <c r="O1365" t="s">
        <v>896</v>
      </c>
      <c r="P1365" t="s">
        <v>33</v>
      </c>
      <c r="Q1365" s="22">
        <v>10792.9</v>
      </c>
      <c r="R1365" t="s">
        <v>35</v>
      </c>
      <c r="S1365" t="s">
        <v>35</v>
      </c>
      <c r="T1365" t="s">
        <v>35</v>
      </c>
      <c r="U1365" t="s">
        <v>35</v>
      </c>
      <c r="V1365" t="s">
        <v>645</v>
      </c>
      <c r="W1365" t="s">
        <v>113</v>
      </c>
    </row>
    <row r="1366" spans="1:23" hidden="1" x14ac:dyDescent="0.25">
      <c r="A1366" s="7" t="str">
        <f>IFERROR(VLOOKUP(H1366,'Contas Orç'!A:B,2,0),"N/A")</f>
        <v>PNEUS E RECAPAGENS</v>
      </c>
      <c r="B1366" s="7" t="str">
        <f t="shared" si="42"/>
        <v>320301003 - PNEUS E RECAPAGENS</v>
      </c>
      <c r="C1366" s="25">
        <f t="shared" si="43"/>
        <v>44835</v>
      </c>
      <c r="D1366" s="27">
        <f>IF(K1366="CREDITO",Q1366,Q1366*-1)</f>
        <v>74956.45</v>
      </c>
      <c r="E1366" t="s">
        <v>894</v>
      </c>
      <c r="F1366" t="s">
        <v>1860</v>
      </c>
      <c r="G1366" s="8">
        <v>44835</v>
      </c>
      <c r="H1366" t="s">
        <v>536</v>
      </c>
      <c r="I1366" t="s">
        <v>59</v>
      </c>
      <c r="J1366" t="s">
        <v>107</v>
      </c>
      <c r="K1366" t="s">
        <v>29</v>
      </c>
      <c r="L1366" t="s">
        <v>895</v>
      </c>
      <c r="M1366" t="s">
        <v>4402</v>
      </c>
      <c r="O1366" t="s">
        <v>896</v>
      </c>
      <c r="P1366" t="s">
        <v>33</v>
      </c>
      <c r="Q1366" s="22">
        <v>74956.45</v>
      </c>
      <c r="R1366" t="s">
        <v>35</v>
      </c>
      <c r="S1366" t="s">
        <v>35</v>
      </c>
      <c r="T1366" t="s">
        <v>35</v>
      </c>
      <c r="U1366" t="s">
        <v>35</v>
      </c>
      <c r="V1366" t="s">
        <v>645</v>
      </c>
      <c r="W1366" t="s">
        <v>113</v>
      </c>
    </row>
    <row r="1367" spans="1:23" hidden="1" x14ac:dyDescent="0.25">
      <c r="A1367" s="7" t="str">
        <f>IFERROR(VLOOKUP(H1367,'Contas Orç'!A:B,2,0),"N/A")</f>
        <v>PNEUS E RECAPAGENS</v>
      </c>
      <c r="B1367" s="7" t="str">
        <f t="shared" si="42"/>
        <v>320301003 - PNEUS E RECAPAGENS</v>
      </c>
      <c r="C1367" s="25">
        <f t="shared" si="43"/>
        <v>44866</v>
      </c>
      <c r="D1367" s="27">
        <f>IF(K1367="CREDITO",Q1367,Q1367*-1)</f>
        <v>332608.87</v>
      </c>
      <c r="E1367" t="s">
        <v>894</v>
      </c>
      <c r="F1367" t="s">
        <v>1861</v>
      </c>
      <c r="G1367" s="8">
        <v>44866</v>
      </c>
      <c r="H1367" t="s">
        <v>536</v>
      </c>
      <c r="I1367" t="s">
        <v>27</v>
      </c>
      <c r="J1367" t="s">
        <v>28</v>
      </c>
      <c r="K1367" t="s">
        <v>29</v>
      </c>
      <c r="L1367" t="s">
        <v>895</v>
      </c>
      <c r="M1367" t="s">
        <v>4402</v>
      </c>
      <c r="O1367" t="s">
        <v>896</v>
      </c>
      <c r="P1367" t="s">
        <v>33</v>
      </c>
      <c r="Q1367" s="22">
        <v>332608.87</v>
      </c>
      <c r="R1367" t="s">
        <v>35</v>
      </c>
      <c r="S1367" t="s">
        <v>35</v>
      </c>
      <c r="T1367" t="s">
        <v>35</v>
      </c>
      <c r="U1367" t="s">
        <v>35</v>
      </c>
      <c r="V1367" t="s">
        <v>645</v>
      </c>
      <c r="W1367" t="s">
        <v>113</v>
      </c>
    </row>
    <row r="1368" spans="1:23" hidden="1" x14ac:dyDescent="0.25">
      <c r="A1368" s="7" t="str">
        <f>IFERROR(VLOOKUP(H1368,'Contas Orç'!A:B,2,0),"N/A")</f>
        <v>PNEUS E RECAPAGENS</v>
      </c>
      <c r="B1368" s="7" t="str">
        <f t="shared" si="42"/>
        <v>320301003 - PNEUS E RECAPAGENS</v>
      </c>
      <c r="C1368" s="25">
        <f t="shared" si="43"/>
        <v>44866</v>
      </c>
      <c r="D1368" s="27">
        <f>IF(K1368="CREDITO",Q1368,Q1368*-1)</f>
        <v>74018.36</v>
      </c>
      <c r="E1368" t="s">
        <v>894</v>
      </c>
      <c r="F1368" t="s">
        <v>1862</v>
      </c>
      <c r="G1368" s="8">
        <v>44866</v>
      </c>
      <c r="H1368" t="s">
        <v>536</v>
      </c>
      <c r="I1368" t="s">
        <v>59</v>
      </c>
      <c r="J1368" t="s">
        <v>28</v>
      </c>
      <c r="K1368" t="s">
        <v>29</v>
      </c>
      <c r="L1368" t="s">
        <v>895</v>
      </c>
      <c r="M1368" t="s">
        <v>4402</v>
      </c>
      <c r="O1368" t="s">
        <v>896</v>
      </c>
      <c r="P1368" t="s">
        <v>33</v>
      </c>
      <c r="Q1368" s="22">
        <v>74018.36</v>
      </c>
      <c r="R1368" t="s">
        <v>35</v>
      </c>
      <c r="S1368" t="s">
        <v>35</v>
      </c>
      <c r="T1368" t="s">
        <v>35</v>
      </c>
      <c r="U1368" t="s">
        <v>35</v>
      </c>
      <c r="V1368" t="s">
        <v>645</v>
      </c>
      <c r="W1368" t="s">
        <v>113</v>
      </c>
    </row>
    <row r="1369" spans="1:23" hidden="1" x14ac:dyDescent="0.25">
      <c r="A1369" s="7" t="str">
        <f>IFERROR(VLOOKUP(H1369,'Contas Orç'!A:B,2,0),"N/A")</f>
        <v>PNEUS E RECAPAGENS</v>
      </c>
      <c r="B1369" s="7" t="str">
        <f t="shared" si="42"/>
        <v>320301003 - PNEUS E RECAPAGENS</v>
      </c>
      <c r="C1369" s="25">
        <f t="shared" si="43"/>
        <v>44866</v>
      </c>
      <c r="D1369" s="27">
        <f>IF(K1369="CREDITO",Q1369,Q1369*-1)</f>
        <v>13511.89</v>
      </c>
      <c r="E1369" t="s">
        <v>894</v>
      </c>
      <c r="F1369" t="s">
        <v>1863</v>
      </c>
      <c r="G1369" s="8">
        <v>44866</v>
      </c>
      <c r="H1369" t="s">
        <v>536</v>
      </c>
      <c r="I1369" t="s">
        <v>27</v>
      </c>
      <c r="J1369" t="s">
        <v>60</v>
      </c>
      <c r="K1369" t="s">
        <v>29</v>
      </c>
      <c r="L1369" t="s">
        <v>895</v>
      </c>
      <c r="M1369" t="s">
        <v>4402</v>
      </c>
      <c r="O1369" t="s">
        <v>896</v>
      </c>
      <c r="P1369" t="s">
        <v>33</v>
      </c>
      <c r="Q1369" s="22">
        <v>13511.89</v>
      </c>
      <c r="R1369" t="s">
        <v>35</v>
      </c>
      <c r="S1369" t="s">
        <v>35</v>
      </c>
      <c r="T1369" t="s">
        <v>35</v>
      </c>
      <c r="U1369" t="s">
        <v>35</v>
      </c>
      <c r="V1369" t="s">
        <v>645</v>
      </c>
      <c r="W1369" t="s">
        <v>113</v>
      </c>
    </row>
    <row r="1370" spans="1:23" hidden="1" x14ac:dyDescent="0.25">
      <c r="A1370" s="7" t="str">
        <f>IFERROR(VLOOKUP(H1370,'Contas Orç'!A:B,2,0),"N/A")</f>
        <v>PNEUS E RECAPAGENS</v>
      </c>
      <c r="B1370" s="7" t="str">
        <f t="shared" si="42"/>
        <v>320301003 - PNEUS E RECAPAGENS</v>
      </c>
      <c r="C1370" s="25">
        <f t="shared" si="43"/>
        <v>44866</v>
      </c>
      <c r="D1370" s="27">
        <f>IF(K1370="CREDITO",Q1370,Q1370*-1)</f>
        <v>10900.83</v>
      </c>
      <c r="E1370" t="s">
        <v>894</v>
      </c>
      <c r="F1370" t="s">
        <v>1864</v>
      </c>
      <c r="G1370" s="8">
        <v>44866</v>
      </c>
      <c r="H1370" t="s">
        <v>536</v>
      </c>
      <c r="I1370" t="s">
        <v>59</v>
      </c>
      <c r="J1370" t="s">
        <v>60</v>
      </c>
      <c r="K1370" t="s">
        <v>29</v>
      </c>
      <c r="L1370" t="s">
        <v>895</v>
      </c>
      <c r="M1370" t="s">
        <v>4402</v>
      </c>
      <c r="O1370" t="s">
        <v>896</v>
      </c>
      <c r="P1370" t="s">
        <v>33</v>
      </c>
      <c r="Q1370" s="22">
        <v>10900.83</v>
      </c>
      <c r="R1370" t="s">
        <v>35</v>
      </c>
      <c r="S1370" t="s">
        <v>35</v>
      </c>
      <c r="T1370" t="s">
        <v>35</v>
      </c>
      <c r="U1370" t="s">
        <v>35</v>
      </c>
      <c r="V1370" t="s">
        <v>645</v>
      </c>
      <c r="W1370" t="s">
        <v>113</v>
      </c>
    </row>
    <row r="1371" spans="1:23" hidden="1" x14ac:dyDescent="0.25">
      <c r="A1371" s="7" t="str">
        <f>IFERROR(VLOOKUP(H1371,'Contas Orç'!A:B,2,0),"N/A")</f>
        <v>PNEUS E RECAPAGENS</v>
      </c>
      <c r="B1371" s="7" t="str">
        <f t="shared" si="42"/>
        <v>320301003 - PNEUS E RECAPAGENS</v>
      </c>
      <c r="C1371" s="25">
        <f t="shared" si="43"/>
        <v>44866</v>
      </c>
      <c r="D1371" s="27">
        <f>IF(K1371="CREDITO",Q1371,Q1371*-1)</f>
        <v>75706.02</v>
      </c>
      <c r="E1371" t="s">
        <v>894</v>
      </c>
      <c r="F1371" t="s">
        <v>1865</v>
      </c>
      <c r="G1371" s="8">
        <v>44866</v>
      </c>
      <c r="H1371" t="s">
        <v>536</v>
      </c>
      <c r="I1371" t="s">
        <v>59</v>
      </c>
      <c r="J1371" t="s">
        <v>107</v>
      </c>
      <c r="K1371" t="s">
        <v>29</v>
      </c>
      <c r="L1371" t="s">
        <v>895</v>
      </c>
      <c r="M1371" t="s">
        <v>4402</v>
      </c>
      <c r="O1371" t="s">
        <v>896</v>
      </c>
      <c r="P1371" t="s">
        <v>33</v>
      </c>
      <c r="Q1371" s="22">
        <v>75706.02</v>
      </c>
      <c r="R1371" t="s">
        <v>35</v>
      </c>
      <c r="S1371" t="s">
        <v>35</v>
      </c>
      <c r="T1371" t="s">
        <v>35</v>
      </c>
      <c r="U1371" t="s">
        <v>35</v>
      </c>
      <c r="V1371" t="s">
        <v>645</v>
      </c>
      <c r="W1371" t="s">
        <v>113</v>
      </c>
    </row>
    <row r="1372" spans="1:23" hidden="1" x14ac:dyDescent="0.25">
      <c r="A1372" s="7" t="str">
        <f>IFERROR(VLOOKUP(H1372,'Contas Orç'!A:B,2,0),"N/A")</f>
        <v>PNEUS E RECAPAGENS</v>
      </c>
      <c r="B1372" s="7" t="str">
        <f t="shared" si="42"/>
        <v>320301003 - PNEUS E RECAPAGENS</v>
      </c>
      <c r="C1372" s="25">
        <f t="shared" si="43"/>
        <v>44896</v>
      </c>
      <c r="D1372" s="27">
        <f>IF(K1372="CREDITO",Q1372,Q1372*-1)</f>
        <v>335934.96</v>
      </c>
      <c r="E1372" t="s">
        <v>894</v>
      </c>
      <c r="F1372" t="s">
        <v>1866</v>
      </c>
      <c r="G1372" s="8">
        <v>44896</v>
      </c>
      <c r="H1372" t="s">
        <v>536</v>
      </c>
      <c r="I1372" t="s">
        <v>27</v>
      </c>
      <c r="J1372" t="s">
        <v>28</v>
      </c>
      <c r="K1372" t="s">
        <v>29</v>
      </c>
      <c r="L1372" t="s">
        <v>895</v>
      </c>
      <c r="M1372" t="s">
        <v>4402</v>
      </c>
      <c r="O1372" t="s">
        <v>896</v>
      </c>
      <c r="P1372" t="s">
        <v>33</v>
      </c>
      <c r="Q1372" s="22">
        <v>335934.96</v>
      </c>
      <c r="R1372" t="s">
        <v>35</v>
      </c>
      <c r="S1372" t="s">
        <v>35</v>
      </c>
      <c r="T1372" t="s">
        <v>35</v>
      </c>
      <c r="U1372" t="s">
        <v>35</v>
      </c>
      <c r="V1372" t="s">
        <v>645</v>
      </c>
      <c r="W1372" t="s">
        <v>113</v>
      </c>
    </row>
    <row r="1373" spans="1:23" hidden="1" x14ac:dyDescent="0.25">
      <c r="A1373" s="7" t="str">
        <f>IFERROR(VLOOKUP(H1373,'Contas Orç'!A:B,2,0),"N/A")</f>
        <v>PNEUS E RECAPAGENS</v>
      </c>
      <c r="B1373" s="7" t="str">
        <f t="shared" si="42"/>
        <v>320301003 - PNEUS E RECAPAGENS</v>
      </c>
      <c r="C1373" s="25">
        <f t="shared" si="43"/>
        <v>44896</v>
      </c>
      <c r="D1373" s="27">
        <f>IF(K1373="CREDITO",Q1373,Q1373*-1)</f>
        <v>74758.55</v>
      </c>
      <c r="E1373" t="s">
        <v>894</v>
      </c>
      <c r="F1373" t="s">
        <v>1867</v>
      </c>
      <c r="G1373" s="8">
        <v>44896</v>
      </c>
      <c r="H1373" t="s">
        <v>536</v>
      </c>
      <c r="I1373" t="s">
        <v>59</v>
      </c>
      <c r="J1373" t="s">
        <v>28</v>
      </c>
      <c r="K1373" t="s">
        <v>29</v>
      </c>
      <c r="L1373" t="s">
        <v>895</v>
      </c>
      <c r="M1373" t="s">
        <v>4402</v>
      </c>
      <c r="O1373" t="s">
        <v>896</v>
      </c>
      <c r="P1373" t="s">
        <v>33</v>
      </c>
      <c r="Q1373" s="22">
        <v>74758.55</v>
      </c>
      <c r="R1373" t="s">
        <v>35</v>
      </c>
      <c r="S1373" t="s">
        <v>35</v>
      </c>
      <c r="T1373" t="s">
        <v>35</v>
      </c>
      <c r="U1373" t="s">
        <v>35</v>
      </c>
      <c r="V1373" t="s">
        <v>645</v>
      </c>
      <c r="W1373" t="s">
        <v>113</v>
      </c>
    </row>
    <row r="1374" spans="1:23" hidden="1" x14ac:dyDescent="0.25">
      <c r="A1374" s="7" t="str">
        <f>IFERROR(VLOOKUP(H1374,'Contas Orç'!A:B,2,0),"N/A")</f>
        <v>PNEUS E RECAPAGENS</v>
      </c>
      <c r="B1374" s="7" t="str">
        <f t="shared" si="42"/>
        <v>320301003 - PNEUS E RECAPAGENS</v>
      </c>
      <c r="C1374" s="25">
        <f t="shared" si="43"/>
        <v>44896</v>
      </c>
      <c r="D1374" s="27">
        <f>IF(K1374="CREDITO",Q1374,Q1374*-1)</f>
        <v>13647.01</v>
      </c>
      <c r="E1374" t="s">
        <v>894</v>
      </c>
      <c r="F1374" t="s">
        <v>1868</v>
      </c>
      <c r="G1374" s="8">
        <v>44896</v>
      </c>
      <c r="H1374" t="s">
        <v>536</v>
      </c>
      <c r="I1374" t="s">
        <v>27</v>
      </c>
      <c r="J1374" t="s">
        <v>60</v>
      </c>
      <c r="K1374" t="s">
        <v>29</v>
      </c>
      <c r="L1374" t="s">
        <v>895</v>
      </c>
      <c r="M1374" t="s">
        <v>4402</v>
      </c>
      <c r="O1374" t="s">
        <v>896</v>
      </c>
      <c r="P1374" t="s">
        <v>33</v>
      </c>
      <c r="Q1374" s="22">
        <v>13647.01</v>
      </c>
      <c r="R1374" t="s">
        <v>35</v>
      </c>
      <c r="S1374" t="s">
        <v>35</v>
      </c>
      <c r="T1374" t="s">
        <v>35</v>
      </c>
      <c r="U1374" t="s">
        <v>35</v>
      </c>
      <c r="V1374" t="s">
        <v>645</v>
      </c>
      <c r="W1374" t="s">
        <v>113</v>
      </c>
    </row>
    <row r="1375" spans="1:23" hidden="1" x14ac:dyDescent="0.25">
      <c r="A1375" s="7" t="str">
        <f>IFERROR(VLOOKUP(H1375,'Contas Orç'!A:B,2,0),"N/A")</f>
        <v>PNEUS E RECAPAGENS</v>
      </c>
      <c r="B1375" s="7" t="str">
        <f t="shared" si="42"/>
        <v>320301003 - PNEUS E RECAPAGENS</v>
      </c>
      <c r="C1375" s="25">
        <f t="shared" si="43"/>
        <v>44896</v>
      </c>
      <c r="D1375" s="27">
        <f>IF(K1375="CREDITO",Q1375,Q1375*-1)</f>
        <v>11009.84</v>
      </c>
      <c r="E1375" t="s">
        <v>894</v>
      </c>
      <c r="F1375" t="s">
        <v>1869</v>
      </c>
      <c r="G1375" s="8">
        <v>44896</v>
      </c>
      <c r="H1375" t="s">
        <v>536</v>
      </c>
      <c r="I1375" t="s">
        <v>59</v>
      </c>
      <c r="J1375" t="s">
        <v>60</v>
      </c>
      <c r="K1375" t="s">
        <v>29</v>
      </c>
      <c r="L1375" t="s">
        <v>895</v>
      </c>
      <c r="M1375" t="s">
        <v>4402</v>
      </c>
      <c r="O1375" t="s">
        <v>896</v>
      </c>
      <c r="P1375" t="s">
        <v>33</v>
      </c>
      <c r="Q1375" s="22">
        <v>11009.84</v>
      </c>
      <c r="R1375" t="s">
        <v>35</v>
      </c>
      <c r="S1375" t="s">
        <v>35</v>
      </c>
      <c r="T1375" t="s">
        <v>35</v>
      </c>
      <c r="U1375" t="s">
        <v>35</v>
      </c>
      <c r="V1375" t="s">
        <v>645</v>
      </c>
      <c r="W1375" t="s">
        <v>113</v>
      </c>
    </row>
    <row r="1376" spans="1:23" hidden="1" x14ac:dyDescent="0.25">
      <c r="A1376" s="7" t="str">
        <f>IFERROR(VLOOKUP(H1376,'Contas Orç'!A:B,2,0),"N/A")</f>
        <v>PNEUS E RECAPAGENS</v>
      </c>
      <c r="B1376" s="7" t="str">
        <f t="shared" si="42"/>
        <v>320301003 - PNEUS E RECAPAGENS</v>
      </c>
      <c r="C1376" s="25">
        <f t="shared" si="43"/>
        <v>44896</v>
      </c>
      <c r="D1376" s="27">
        <f>IF(K1376="CREDITO",Q1376,Q1376*-1)</f>
        <v>76463.08</v>
      </c>
      <c r="E1376" t="s">
        <v>894</v>
      </c>
      <c r="F1376" t="s">
        <v>1870</v>
      </c>
      <c r="G1376" s="8">
        <v>44896</v>
      </c>
      <c r="H1376" t="s">
        <v>536</v>
      </c>
      <c r="I1376" t="s">
        <v>59</v>
      </c>
      <c r="J1376" t="s">
        <v>107</v>
      </c>
      <c r="K1376" t="s">
        <v>29</v>
      </c>
      <c r="L1376" t="s">
        <v>895</v>
      </c>
      <c r="M1376" t="s">
        <v>4402</v>
      </c>
      <c r="O1376" t="s">
        <v>896</v>
      </c>
      <c r="P1376" t="s">
        <v>33</v>
      </c>
      <c r="Q1376" s="22">
        <v>76463.08</v>
      </c>
      <c r="R1376" t="s">
        <v>35</v>
      </c>
      <c r="S1376" t="s">
        <v>35</v>
      </c>
      <c r="T1376" t="s">
        <v>35</v>
      </c>
      <c r="U1376" t="s">
        <v>35</v>
      </c>
      <c r="V1376" t="s">
        <v>645</v>
      </c>
      <c r="W1376" t="s">
        <v>113</v>
      </c>
    </row>
    <row r="1377" spans="1:23" hidden="1" x14ac:dyDescent="0.25">
      <c r="A1377" s="7" t="str">
        <f>IFERROR(VLOOKUP(H1377,'Contas Orç'!A:B,2,0),"N/A")</f>
        <v>PECAS E ACESSORIOS</v>
      </c>
      <c r="B1377" s="7" t="str">
        <f t="shared" si="42"/>
        <v>320301004 - PECAS E ACESSORIOS</v>
      </c>
      <c r="C1377" s="25">
        <f t="shared" si="43"/>
        <v>44562</v>
      </c>
      <c r="D1377" s="27">
        <f>IF(K1377="CREDITO",Q1377,Q1377*-1)</f>
        <v>157</v>
      </c>
      <c r="E1377" t="s">
        <v>894</v>
      </c>
      <c r="F1377" t="s">
        <v>1871</v>
      </c>
      <c r="G1377" s="8">
        <v>44562</v>
      </c>
      <c r="H1377" t="s">
        <v>26</v>
      </c>
      <c r="I1377" t="s">
        <v>88</v>
      </c>
      <c r="J1377" t="s">
        <v>28</v>
      </c>
      <c r="K1377" t="s">
        <v>29</v>
      </c>
      <c r="L1377" t="s">
        <v>895</v>
      </c>
      <c r="M1377" t="s">
        <v>4402</v>
      </c>
      <c r="O1377" t="s">
        <v>896</v>
      </c>
      <c r="P1377" t="s">
        <v>33</v>
      </c>
      <c r="Q1377">
        <v>157</v>
      </c>
      <c r="R1377" t="s">
        <v>35</v>
      </c>
      <c r="S1377" t="s">
        <v>35</v>
      </c>
      <c r="T1377" t="s">
        <v>35</v>
      </c>
      <c r="U1377" t="s">
        <v>35</v>
      </c>
      <c r="V1377" t="s">
        <v>645</v>
      </c>
      <c r="W1377" t="s">
        <v>113</v>
      </c>
    </row>
    <row r="1378" spans="1:23" hidden="1" x14ac:dyDescent="0.25">
      <c r="A1378" s="7" t="str">
        <f>IFERROR(VLOOKUP(H1378,'Contas Orç'!A:B,2,0),"N/A")</f>
        <v>PECAS E ACESSORIOS</v>
      </c>
      <c r="B1378" s="7" t="str">
        <f t="shared" si="42"/>
        <v>320301004 - PECAS E ACESSORIOS</v>
      </c>
      <c r="C1378" s="25">
        <f t="shared" si="43"/>
        <v>44562</v>
      </c>
      <c r="D1378" s="27">
        <f>IF(K1378="CREDITO",Q1378,Q1378*-1)</f>
        <v>32652.7</v>
      </c>
      <c r="E1378" t="s">
        <v>894</v>
      </c>
      <c r="F1378" t="s">
        <v>1872</v>
      </c>
      <c r="G1378" s="8">
        <v>44562</v>
      </c>
      <c r="H1378" t="s">
        <v>26</v>
      </c>
      <c r="I1378" t="s">
        <v>27</v>
      </c>
      <c r="J1378" t="s">
        <v>28</v>
      </c>
      <c r="K1378" t="s">
        <v>29</v>
      </c>
      <c r="L1378" t="s">
        <v>895</v>
      </c>
      <c r="M1378" t="s">
        <v>4402</v>
      </c>
      <c r="O1378" t="s">
        <v>896</v>
      </c>
      <c r="P1378" t="s">
        <v>33</v>
      </c>
      <c r="Q1378" s="22">
        <v>32652.7</v>
      </c>
      <c r="R1378" t="s">
        <v>35</v>
      </c>
      <c r="S1378" t="s">
        <v>35</v>
      </c>
      <c r="T1378" t="s">
        <v>35</v>
      </c>
      <c r="U1378" t="s">
        <v>35</v>
      </c>
      <c r="V1378" t="s">
        <v>645</v>
      </c>
      <c r="W1378" t="s">
        <v>113</v>
      </c>
    </row>
    <row r="1379" spans="1:23" hidden="1" x14ac:dyDescent="0.25">
      <c r="A1379" s="7" t="str">
        <f>IFERROR(VLOOKUP(H1379,'Contas Orç'!A:B,2,0),"N/A")</f>
        <v>PECAS E ACESSORIOS</v>
      </c>
      <c r="B1379" s="7" t="str">
        <f t="shared" si="42"/>
        <v>320301004 - PECAS E ACESSORIOS</v>
      </c>
      <c r="C1379" s="25">
        <f t="shared" si="43"/>
        <v>44562</v>
      </c>
      <c r="D1379" s="27">
        <f>IF(K1379="CREDITO",Q1379,Q1379*-1)</f>
        <v>24.12</v>
      </c>
      <c r="E1379" t="s">
        <v>894</v>
      </c>
      <c r="F1379" t="s">
        <v>1873</v>
      </c>
      <c r="G1379" s="8">
        <v>44562</v>
      </c>
      <c r="H1379" t="s">
        <v>26</v>
      </c>
      <c r="I1379" t="s">
        <v>59</v>
      </c>
      <c r="J1379" t="s">
        <v>28</v>
      </c>
      <c r="K1379" t="s">
        <v>29</v>
      </c>
      <c r="L1379" t="s">
        <v>895</v>
      </c>
      <c r="M1379" t="s">
        <v>4402</v>
      </c>
      <c r="O1379" t="s">
        <v>896</v>
      </c>
      <c r="P1379" t="s">
        <v>33</v>
      </c>
      <c r="Q1379">
        <v>24.12</v>
      </c>
      <c r="R1379" t="s">
        <v>35</v>
      </c>
      <c r="S1379" t="s">
        <v>35</v>
      </c>
      <c r="T1379" t="s">
        <v>35</v>
      </c>
      <c r="U1379" t="s">
        <v>35</v>
      </c>
      <c r="V1379" t="s">
        <v>645</v>
      </c>
      <c r="W1379" t="s">
        <v>113</v>
      </c>
    </row>
    <row r="1380" spans="1:23" hidden="1" x14ac:dyDescent="0.25">
      <c r="A1380" s="7" t="str">
        <f>IFERROR(VLOOKUP(H1380,'Contas Orç'!A:B,2,0),"N/A")</f>
        <v>PECAS E ACESSORIOS</v>
      </c>
      <c r="B1380" s="7" t="str">
        <f t="shared" si="42"/>
        <v>320301004 - PECAS E ACESSORIOS</v>
      </c>
      <c r="C1380" s="25">
        <f t="shared" si="43"/>
        <v>44562</v>
      </c>
      <c r="D1380" s="27">
        <f>IF(K1380="CREDITO",Q1380,Q1380*-1)</f>
        <v>28336.28</v>
      </c>
      <c r="E1380" t="s">
        <v>894</v>
      </c>
      <c r="F1380" t="s">
        <v>1874</v>
      </c>
      <c r="G1380" s="8">
        <v>44562</v>
      </c>
      <c r="H1380" t="s">
        <v>26</v>
      </c>
      <c r="I1380" t="s">
        <v>106</v>
      </c>
      <c r="J1380" t="s">
        <v>60</v>
      </c>
      <c r="K1380" t="s">
        <v>29</v>
      </c>
      <c r="L1380" t="s">
        <v>895</v>
      </c>
      <c r="M1380" t="s">
        <v>4402</v>
      </c>
      <c r="O1380" t="s">
        <v>896</v>
      </c>
      <c r="P1380" t="s">
        <v>33</v>
      </c>
      <c r="Q1380" s="22">
        <v>28336.28</v>
      </c>
      <c r="R1380" t="s">
        <v>35</v>
      </c>
      <c r="S1380" t="s">
        <v>35</v>
      </c>
      <c r="T1380" t="s">
        <v>35</v>
      </c>
      <c r="U1380" t="s">
        <v>35</v>
      </c>
      <c r="V1380" t="s">
        <v>645</v>
      </c>
      <c r="W1380" t="s">
        <v>113</v>
      </c>
    </row>
    <row r="1381" spans="1:23" hidden="1" x14ac:dyDescent="0.25">
      <c r="A1381" s="7" t="str">
        <f>IFERROR(VLOOKUP(H1381,'Contas Orç'!A:B,2,0),"N/A")</f>
        <v>PECAS E ACESSORIOS</v>
      </c>
      <c r="B1381" s="7" t="str">
        <f t="shared" si="42"/>
        <v>320301004 - PECAS E ACESSORIOS</v>
      </c>
      <c r="C1381" s="25">
        <f t="shared" si="43"/>
        <v>44562</v>
      </c>
      <c r="D1381" s="27">
        <f>IF(K1381="CREDITO",Q1381,Q1381*-1)</f>
        <v>8698.82</v>
      </c>
      <c r="E1381" t="s">
        <v>894</v>
      </c>
      <c r="F1381" t="s">
        <v>1875</v>
      </c>
      <c r="G1381" s="8">
        <v>44562</v>
      </c>
      <c r="H1381" t="s">
        <v>26</v>
      </c>
      <c r="I1381" t="s">
        <v>59</v>
      </c>
      <c r="J1381" t="s">
        <v>60</v>
      </c>
      <c r="K1381" t="s">
        <v>29</v>
      </c>
      <c r="L1381" t="s">
        <v>895</v>
      </c>
      <c r="M1381" t="s">
        <v>4402</v>
      </c>
      <c r="O1381" t="s">
        <v>896</v>
      </c>
      <c r="P1381" t="s">
        <v>33</v>
      </c>
      <c r="Q1381" s="22">
        <v>8698.82</v>
      </c>
      <c r="R1381" t="s">
        <v>35</v>
      </c>
      <c r="S1381" t="s">
        <v>35</v>
      </c>
      <c r="T1381" t="s">
        <v>35</v>
      </c>
      <c r="U1381" t="s">
        <v>35</v>
      </c>
      <c r="V1381" t="s">
        <v>645</v>
      </c>
      <c r="W1381" t="s">
        <v>113</v>
      </c>
    </row>
    <row r="1382" spans="1:23" hidden="1" x14ac:dyDescent="0.25">
      <c r="A1382" s="7" t="str">
        <f>IFERROR(VLOOKUP(H1382,'Contas Orç'!A:B,2,0),"N/A")</f>
        <v>PECAS E ACESSORIOS</v>
      </c>
      <c r="B1382" s="7" t="str">
        <f t="shared" si="42"/>
        <v>320301004 - PECAS E ACESSORIOS</v>
      </c>
      <c r="C1382" s="25">
        <f t="shared" si="43"/>
        <v>44562</v>
      </c>
      <c r="D1382" s="27">
        <f>IF(K1382="CREDITO",Q1382,Q1382*-1)</f>
        <v>58263.519999999997</v>
      </c>
      <c r="E1382" t="s">
        <v>894</v>
      </c>
      <c r="F1382" t="s">
        <v>1876</v>
      </c>
      <c r="G1382" s="8">
        <v>44562</v>
      </c>
      <c r="H1382" t="s">
        <v>26</v>
      </c>
      <c r="I1382" t="s">
        <v>59</v>
      </c>
      <c r="J1382" t="s">
        <v>107</v>
      </c>
      <c r="K1382" t="s">
        <v>29</v>
      </c>
      <c r="L1382" t="s">
        <v>895</v>
      </c>
      <c r="M1382" t="s">
        <v>4402</v>
      </c>
      <c r="O1382" t="s">
        <v>896</v>
      </c>
      <c r="P1382" t="s">
        <v>33</v>
      </c>
      <c r="Q1382" s="22">
        <v>58263.519999999997</v>
      </c>
      <c r="R1382" t="s">
        <v>35</v>
      </c>
      <c r="S1382" t="s">
        <v>35</v>
      </c>
      <c r="T1382" t="s">
        <v>35</v>
      </c>
      <c r="U1382" t="s">
        <v>35</v>
      </c>
      <c r="V1382" t="s">
        <v>645</v>
      </c>
      <c r="W1382" t="s">
        <v>113</v>
      </c>
    </row>
    <row r="1383" spans="1:23" hidden="1" x14ac:dyDescent="0.25">
      <c r="A1383" s="7" t="str">
        <f>IFERROR(VLOOKUP(H1383,'Contas Orç'!A:B,2,0),"N/A")</f>
        <v>PECAS E ACESSORIOS</v>
      </c>
      <c r="B1383" s="7" t="str">
        <f t="shared" si="42"/>
        <v>320301004 - PECAS E ACESSORIOS</v>
      </c>
      <c r="C1383" s="25">
        <f t="shared" si="43"/>
        <v>44562</v>
      </c>
      <c r="D1383" s="27">
        <f>IF(K1383="CREDITO",Q1383,Q1383*-1)</f>
        <v>14758.17</v>
      </c>
      <c r="E1383" t="s">
        <v>894</v>
      </c>
      <c r="F1383" t="s">
        <v>1877</v>
      </c>
      <c r="G1383" s="8">
        <v>44562</v>
      </c>
      <c r="H1383" t="s">
        <v>26</v>
      </c>
      <c r="I1383" t="s">
        <v>53</v>
      </c>
      <c r="J1383" t="s">
        <v>54</v>
      </c>
      <c r="K1383" t="s">
        <v>29</v>
      </c>
      <c r="L1383" t="s">
        <v>895</v>
      </c>
      <c r="M1383" t="s">
        <v>4402</v>
      </c>
      <c r="O1383" t="s">
        <v>896</v>
      </c>
      <c r="P1383" t="s">
        <v>33</v>
      </c>
      <c r="Q1383" s="22">
        <v>14758.17</v>
      </c>
      <c r="R1383" t="s">
        <v>35</v>
      </c>
      <c r="S1383" t="s">
        <v>35</v>
      </c>
      <c r="T1383" t="s">
        <v>35</v>
      </c>
      <c r="U1383" t="s">
        <v>35</v>
      </c>
      <c r="V1383" t="s">
        <v>645</v>
      </c>
      <c r="W1383" t="s">
        <v>113</v>
      </c>
    </row>
    <row r="1384" spans="1:23" hidden="1" x14ac:dyDescent="0.25">
      <c r="A1384" s="7" t="str">
        <f>IFERROR(VLOOKUP(H1384,'Contas Orç'!A:B,2,0),"N/A")</f>
        <v>PECAS E ACESSORIOS</v>
      </c>
      <c r="B1384" s="7" t="str">
        <f t="shared" si="42"/>
        <v>320301004 - PECAS E ACESSORIOS</v>
      </c>
      <c r="C1384" s="25">
        <f t="shared" si="43"/>
        <v>44593</v>
      </c>
      <c r="D1384" s="27">
        <f>IF(K1384="CREDITO",Q1384,Q1384*-1)</f>
        <v>455.17</v>
      </c>
      <c r="E1384" t="s">
        <v>894</v>
      </c>
      <c r="F1384" t="s">
        <v>1878</v>
      </c>
      <c r="G1384" s="8">
        <v>44593</v>
      </c>
      <c r="H1384" t="s">
        <v>26</v>
      </c>
      <c r="I1384" t="s">
        <v>88</v>
      </c>
      <c r="J1384" t="s">
        <v>28</v>
      </c>
      <c r="K1384" t="s">
        <v>29</v>
      </c>
      <c r="L1384" t="s">
        <v>895</v>
      </c>
      <c r="M1384" t="s">
        <v>4402</v>
      </c>
      <c r="O1384" t="s">
        <v>896</v>
      </c>
      <c r="P1384" t="s">
        <v>33</v>
      </c>
      <c r="Q1384">
        <v>455.17</v>
      </c>
      <c r="R1384" t="s">
        <v>35</v>
      </c>
      <c r="S1384" t="s">
        <v>35</v>
      </c>
      <c r="T1384" t="s">
        <v>35</v>
      </c>
      <c r="U1384" t="s">
        <v>35</v>
      </c>
      <c r="V1384" t="s">
        <v>645</v>
      </c>
      <c r="W1384" t="s">
        <v>113</v>
      </c>
    </row>
    <row r="1385" spans="1:23" hidden="1" x14ac:dyDescent="0.25">
      <c r="A1385" s="7" t="str">
        <f>IFERROR(VLOOKUP(H1385,'Contas Orç'!A:B,2,0),"N/A")</f>
        <v>PECAS E ACESSORIOS</v>
      </c>
      <c r="B1385" s="7" t="str">
        <f t="shared" si="42"/>
        <v>320301004 - PECAS E ACESSORIOS</v>
      </c>
      <c r="C1385" s="25">
        <f t="shared" si="43"/>
        <v>44593</v>
      </c>
      <c r="D1385" s="27">
        <f>IF(K1385="CREDITO",Q1385,Q1385*-1)</f>
        <v>12668.56</v>
      </c>
      <c r="E1385" t="s">
        <v>894</v>
      </c>
      <c r="F1385" t="s">
        <v>1879</v>
      </c>
      <c r="G1385" s="8">
        <v>44593</v>
      </c>
      <c r="H1385" t="s">
        <v>26</v>
      </c>
      <c r="I1385" t="s">
        <v>27</v>
      </c>
      <c r="J1385" t="s">
        <v>28</v>
      </c>
      <c r="K1385" t="s">
        <v>29</v>
      </c>
      <c r="L1385" t="s">
        <v>895</v>
      </c>
      <c r="M1385" t="s">
        <v>4402</v>
      </c>
      <c r="O1385" t="s">
        <v>896</v>
      </c>
      <c r="P1385" t="s">
        <v>33</v>
      </c>
      <c r="Q1385" s="22">
        <v>12668.56</v>
      </c>
      <c r="R1385" t="s">
        <v>35</v>
      </c>
      <c r="S1385" t="s">
        <v>35</v>
      </c>
      <c r="T1385" t="s">
        <v>35</v>
      </c>
      <c r="U1385" t="s">
        <v>35</v>
      </c>
      <c r="V1385" t="s">
        <v>645</v>
      </c>
      <c r="W1385" t="s">
        <v>113</v>
      </c>
    </row>
    <row r="1386" spans="1:23" hidden="1" x14ac:dyDescent="0.25">
      <c r="A1386" s="7" t="str">
        <f>IFERROR(VLOOKUP(H1386,'Contas Orç'!A:B,2,0),"N/A")</f>
        <v>PECAS E ACESSORIOS</v>
      </c>
      <c r="B1386" s="7" t="str">
        <f t="shared" si="42"/>
        <v>320301004 - PECAS E ACESSORIOS</v>
      </c>
      <c r="C1386" s="25">
        <f t="shared" si="43"/>
        <v>44593</v>
      </c>
      <c r="D1386" s="27">
        <f>IF(K1386="CREDITO",Q1386,Q1386*-1)</f>
        <v>17.46</v>
      </c>
      <c r="E1386" t="s">
        <v>894</v>
      </c>
      <c r="F1386" t="s">
        <v>1880</v>
      </c>
      <c r="G1386" s="8">
        <v>44593</v>
      </c>
      <c r="H1386" t="s">
        <v>26</v>
      </c>
      <c r="I1386" t="s">
        <v>53</v>
      </c>
      <c r="J1386" t="s">
        <v>60</v>
      </c>
      <c r="K1386" t="s">
        <v>29</v>
      </c>
      <c r="L1386" t="s">
        <v>895</v>
      </c>
      <c r="M1386" t="s">
        <v>4402</v>
      </c>
      <c r="O1386" t="s">
        <v>896</v>
      </c>
      <c r="P1386" t="s">
        <v>33</v>
      </c>
      <c r="Q1386">
        <v>17.46</v>
      </c>
      <c r="R1386" t="s">
        <v>35</v>
      </c>
      <c r="S1386" t="s">
        <v>35</v>
      </c>
      <c r="T1386" t="s">
        <v>35</v>
      </c>
      <c r="U1386" t="s">
        <v>35</v>
      </c>
      <c r="V1386" t="s">
        <v>645</v>
      </c>
      <c r="W1386" t="s">
        <v>113</v>
      </c>
    </row>
    <row r="1387" spans="1:23" hidden="1" x14ac:dyDescent="0.25">
      <c r="A1387" s="7" t="str">
        <f>IFERROR(VLOOKUP(H1387,'Contas Orç'!A:B,2,0),"N/A")</f>
        <v>PECAS E ACESSORIOS</v>
      </c>
      <c r="B1387" s="7" t="str">
        <f t="shared" si="42"/>
        <v>320301004 - PECAS E ACESSORIOS</v>
      </c>
      <c r="C1387" s="25">
        <f t="shared" si="43"/>
        <v>44593</v>
      </c>
      <c r="D1387" s="27">
        <f>IF(K1387="CREDITO",Q1387,Q1387*-1)</f>
        <v>52177.06</v>
      </c>
      <c r="E1387" t="s">
        <v>894</v>
      </c>
      <c r="F1387" t="s">
        <v>1881</v>
      </c>
      <c r="G1387" s="8">
        <v>44593</v>
      </c>
      <c r="H1387" t="s">
        <v>26</v>
      </c>
      <c r="I1387" t="s">
        <v>106</v>
      </c>
      <c r="J1387" t="s">
        <v>60</v>
      </c>
      <c r="K1387" t="s">
        <v>29</v>
      </c>
      <c r="L1387" t="s">
        <v>895</v>
      </c>
      <c r="M1387" t="s">
        <v>4402</v>
      </c>
      <c r="O1387" t="s">
        <v>896</v>
      </c>
      <c r="P1387" t="s">
        <v>33</v>
      </c>
      <c r="Q1387" s="22">
        <v>52177.06</v>
      </c>
      <c r="R1387" t="s">
        <v>35</v>
      </c>
      <c r="S1387" t="s">
        <v>35</v>
      </c>
      <c r="T1387" t="s">
        <v>35</v>
      </c>
      <c r="U1387" t="s">
        <v>35</v>
      </c>
      <c r="V1387" t="s">
        <v>645</v>
      </c>
      <c r="W1387" t="s">
        <v>113</v>
      </c>
    </row>
    <row r="1388" spans="1:23" hidden="1" x14ac:dyDescent="0.25">
      <c r="A1388" s="7" t="str">
        <f>IFERROR(VLOOKUP(H1388,'Contas Orç'!A:B,2,0),"N/A")</f>
        <v>PECAS E ACESSORIOS</v>
      </c>
      <c r="B1388" s="7" t="str">
        <f t="shared" si="42"/>
        <v>320301004 - PECAS E ACESSORIOS</v>
      </c>
      <c r="C1388" s="25">
        <f t="shared" si="43"/>
        <v>44593</v>
      </c>
      <c r="D1388" s="27">
        <f>IF(K1388="CREDITO",Q1388,Q1388*-1)</f>
        <v>272900.44</v>
      </c>
      <c r="E1388" t="s">
        <v>894</v>
      </c>
      <c r="F1388" t="s">
        <v>1882</v>
      </c>
      <c r="G1388" s="8">
        <v>44593</v>
      </c>
      <c r="H1388" t="s">
        <v>26</v>
      </c>
      <c r="I1388" t="s">
        <v>59</v>
      </c>
      <c r="J1388" t="s">
        <v>60</v>
      </c>
      <c r="K1388" t="s">
        <v>29</v>
      </c>
      <c r="L1388" t="s">
        <v>895</v>
      </c>
      <c r="M1388" t="s">
        <v>4402</v>
      </c>
      <c r="O1388" t="s">
        <v>896</v>
      </c>
      <c r="P1388" t="s">
        <v>33</v>
      </c>
      <c r="Q1388" s="22">
        <v>272900.44</v>
      </c>
      <c r="R1388" t="s">
        <v>35</v>
      </c>
      <c r="S1388" t="s">
        <v>35</v>
      </c>
      <c r="T1388" t="s">
        <v>35</v>
      </c>
      <c r="U1388" t="s">
        <v>35</v>
      </c>
      <c r="V1388" t="s">
        <v>645</v>
      </c>
      <c r="W1388" t="s">
        <v>113</v>
      </c>
    </row>
    <row r="1389" spans="1:23" hidden="1" x14ac:dyDescent="0.25">
      <c r="A1389" s="7" t="str">
        <f>IFERROR(VLOOKUP(H1389,'Contas Orç'!A:B,2,0),"N/A")</f>
        <v>PECAS E ACESSORIOS</v>
      </c>
      <c r="B1389" s="7" t="str">
        <f t="shared" si="42"/>
        <v>320301004 - PECAS E ACESSORIOS</v>
      </c>
      <c r="C1389" s="25">
        <f t="shared" si="43"/>
        <v>44593</v>
      </c>
      <c r="D1389" s="27">
        <f>IF(K1389="CREDITO",Q1389,Q1389*-1)</f>
        <v>77055</v>
      </c>
      <c r="E1389" t="s">
        <v>894</v>
      </c>
      <c r="F1389" t="s">
        <v>1883</v>
      </c>
      <c r="G1389" s="8">
        <v>44593</v>
      </c>
      <c r="H1389" t="s">
        <v>26</v>
      </c>
      <c r="I1389" t="s">
        <v>59</v>
      </c>
      <c r="J1389" t="s">
        <v>107</v>
      </c>
      <c r="K1389" t="s">
        <v>29</v>
      </c>
      <c r="L1389" t="s">
        <v>895</v>
      </c>
      <c r="M1389" t="s">
        <v>4402</v>
      </c>
      <c r="O1389" t="s">
        <v>896</v>
      </c>
      <c r="P1389" t="s">
        <v>33</v>
      </c>
      <c r="Q1389" s="22">
        <v>77055</v>
      </c>
      <c r="R1389" t="s">
        <v>35</v>
      </c>
      <c r="S1389" t="s">
        <v>35</v>
      </c>
      <c r="T1389" t="s">
        <v>35</v>
      </c>
      <c r="U1389" t="s">
        <v>35</v>
      </c>
      <c r="V1389" t="s">
        <v>645</v>
      </c>
      <c r="W1389" t="s">
        <v>113</v>
      </c>
    </row>
    <row r="1390" spans="1:23" hidden="1" x14ac:dyDescent="0.25">
      <c r="A1390" s="7" t="str">
        <f>IFERROR(VLOOKUP(H1390,'Contas Orç'!A:B,2,0),"N/A")</f>
        <v>PECAS E ACESSORIOS</v>
      </c>
      <c r="B1390" s="7" t="str">
        <f t="shared" si="42"/>
        <v>320301004 - PECAS E ACESSORIOS</v>
      </c>
      <c r="C1390" s="25">
        <f t="shared" si="43"/>
        <v>44593</v>
      </c>
      <c r="D1390" s="27">
        <f>IF(K1390="CREDITO",Q1390,Q1390*-1)</f>
        <v>20275.86</v>
      </c>
      <c r="E1390" t="s">
        <v>894</v>
      </c>
      <c r="F1390" t="s">
        <v>1884</v>
      </c>
      <c r="G1390" s="8">
        <v>44593</v>
      </c>
      <c r="H1390" t="s">
        <v>26</v>
      </c>
      <c r="I1390" t="s">
        <v>53</v>
      </c>
      <c r="J1390" t="s">
        <v>54</v>
      </c>
      <c r="K1390" t="s">
        <v>29</v>
      </c>
      <c r="L1390" t="s">
        <v>895</v>
      </c>
      <c r="M1390" t="s">
        <v>4402</v>
      </c>
      <c r="O1390" t="s">
        <v>896</v>
      </c>
      <c r="P1390" t="s">
        <v>33</v>
      </c>
      <c r="Q1390" s="22">
        <v>20275.86</v>
      </c>
      <c r="R1390" t="s">
        <v>35</v>
      </c>
      <c r="S1390" t="s">
        <v>35</v>
      </c>
      <c r="T1390" t="s">
        <v>35</v>
      </c>
      <c r="U1390" t="s">
        <v>35</v>
      </c>
      <c r="V1390" t="s">
        <v>645</v>
      </c>
      <c r="W1390" t="s">
        <v>113</v>
      </c>
    </row>
    <row r="1391" spans="1:23" hidden="1" x14ac:dyDescent="0.25">
      <c r="A1391" s="7" t="str">
        <f>IFERROR(VLOOKUP(H1391,'Contas Orç'!A:B,2,0),"N/A")</f>
        <v>PECAS E ACESSORIOS</v>
      </c>
      <c r="B1391" s="7" t="str">
        <f t="shared" si="42"/>
        <v>320301004 - PECAS E ACESSORIOS</v>
      </c>
      <c r="C1391" s="25">
        <f t="shared" si="43"/>
        <v>44621</v>
      </c>
      <c r="D1391" s="27">
        <f>IF(K1391="CREDITO",Q1391,Q1391*-1)</f>
        <v>7178.13</v>
      </c>
      <c r="E1391" t="s">
        <v>894</v>
      </c>
      <c r="F1391" t="s">
        <v>1885</v>
      </c>
      <c r="G1391" s="8">
        <v>44621</v>
      </c>
      <c r="H1391" t="s">
        <v>26</v>
      </c>
      <c r="I1391" t="s">
        <v>27</v>
      </c>
      <c r="J1391" t="s">
        <v>28</v>
      </c>
      <c r="K1391" t="s">
        <v>29</v>
      </c>
      <c r="L1391" t="s">
        <v>895</v>
      </c>
      <c r="M1391" t="s">
        <v>4402</v>
      </c>
      <c r="O1391" t="s">
        <v>896</v>
      </c>
      <c r="P1391" t="s">
        <v>33</v>
      </c>
      <c r="Q1391" s="22">
        <v>7178.13</v>
      </c>
      <c r="R1391" t="s">
        <v>35</v>
      </c>
      <c r="S1391" t="s">
        <v>35</v>
      </c>
      <c r="T1391" t="s">
        <v>35</v>
      </c>
      <c r="U1391" t="s">
        <v>35</v>
      </c>
      <c r="V1391" t="s">
        <v>645</v>
      </c>
      <c r="W1391" t="s">
        <v>113</v>
      </c>
    </row>
    <row r="1392" spans="1:23" hidden="1" x14ac:dyDescent="0.25">
      <c r="A1392" s="7" t="str">
        <f>IFERROR(VLOOKUP(H1392,'Contas Orç'!A:B,2,0),"N/A")</f>
        <v>PECAS E ACESSORIOS</v>
      </c>
      <c r="B1392" s="7" t="str">
        <f t="shared" si="42"/>
        <v>320301004 - PECAS E ACESSORIOS</v>
      </c>
      <c r="C1392" s="25">
        <f t="shared" si="43"/>
        <v>44621</v>
      </c>
      <c r="D1392" s="27">
        <f>IF(K1392="CREDITO",Q1392,Q1392*-1)</f>
        <v>415035.22</v>
      </c>
      <c r="E1392" t="s">
        <v>894</v>
      </c>
      <c r="F1392" t="s">
        <v>1886</v>
      </c>
      <c r="G1392" s="8">
        <v>44621</v>
      </c>
      <c r="H1392" t="s">
        <v>26</v>
      </c>
      <c r="I1392" t="s">
        <v>59</v>
      </c>
      <c r="J1392" t="s">
        <v>60</v>
      </c>
      <c r="K1392" t="s">
        <v>29</v>
      </c>
      <c r="L1392" t="s">
        <v>895</v>
      </c>
      <c r="M1392" t="s">
        <v>4402</v>
      </c>
      <c r="O1392" t="s">
        <v>896</v>
      </c>
      <c r="P1392" t="s">
        <v>33</v>
      </c>
      <c r="Q1392" s="22">
        <v>415035.22</v>
      </c>
      <c r="R1392" t="s">
        <v>35</v>
      </c>
      <c r="S1392" t="s">
        <v>35</v>
      </c>
      <c r="T1392" t="s">
        <v>35</v>
      </c>
      <c r="U1392" t="s">
        <v>35</v>
      </c>
      <c r="V1392" t="s">
        <v>645</v>
      </c>
      <c r="W1392" t="s">
        <v>113</v>
      </c>
    </row>
    <row r="1393" spans="1:23" hidden="1" x14ac:dyDescent="0.25">
      <c r="A1393" s="7" t="str">
        <f>IFERROR(VLOOKUP(H1393,'Contas Orç'!A:B,2,0),"N/A")</f>
        <v>PECAS E ACESSORIOS</v>
      </c>
      <c r="B1393" s="7" t="str">
        <f t="shared" si="42"/>
        <v>320301004 - PECAS E ACESSORIOS</v>
      </c>
      <c r="C1393" s="25">
        <f t="shared" si="43"/>
        <v>44621</v>
      </c>
      <c r="D1393" s="27">
        <f>IF(K1393="CREDITO",Q1393,Q1393*-1)</f>
        <v>67.08</v>
      </c>
      <c r="E1393" t="s">
        <v>894</v>
      </c>
      <c r="F1393" t="s">
        <v>1887</v>
      </c>
      <c r="G1393" s="8">
        <v>44621</v>
      </c>
      <c r="H1393" t="s">
        <v>26</v>
      </c>
      <c r="I1393" t="s">
        <v>59</v>
      </c>
      <c r="J1393" t="s">
        <v>107</v>
      </c>
      <c r="K1393" t="s">
        <v>29</v>
      </c>
      <c r="L1393" t="s">
        <v>895</v>
      </c>
      <c r="M1393" t="s">
        <v>4402</v>
      </c>
      <c r="O1393" t="s">
        <v>896</v>
      </c>
      <c r="P1393" t="s">
        <v>33</v>
      </c>
      <c r="Q1393">
        <v>67.08</v>
      </c>
      <c r="R1393" t="s">
        <v>35</v>
      </c>
      <c r="S1393" t="s">
        <v>35</v>
      </c>
      <c r="T1393" t="s">
        <v>35</v>
      </c>
      <c r="U1393" t="s">
        <v>35</v>
      </c>
      <c r="V1393" t="s">
        <v>645</v>
      </c>
      <c r="W1393" t="s">
        <v>113</v>
      </c>
    </row>
    <row r="1394" spans="1:23" hidden="1" x14ac:dyDescent="0.25">
      <c r="A1394" s="7" t="str">
        <f>IFERROR(VLOOKUP(H1394,'Contas Orç'!A:B,2,0),"N/A")</f>
        <v>PECAS E ACESSORIOS</v>
      </c>
      <c r="B1394" s="7" t="str">
        <f t="shared" si="42"/>
        <v>320301004 - PECAS E ACESSORIOS</v>
      </c>
      <c r="C1394" s="25">
        <f t="shared" si="43"/>
        <v>44621</v>
      </c>
      <c r="D1394" s="27">
        <f>IF(K1394="CREDITO",Q1394,Q1394*-1)</f>
        <v>38277.71</v>
      </c>
      <c r="E1394" t="s">
        <v>894</v>
      </c>
      <c r="F1394" t="s">
        <v>1888</v>
      </c>
      <c r="G1394" s="8">
        <v>44621</v>
      </c>
      <c r="H1394" t="s">
        <v>26</v>
      </c>
      <c r="I1394" t="s">
        <v>125</v>
      </c>
      <c r="J1394" t="s">
        <v>95</v>
      </c>
      <c r="K1394" t="s">
        <v>29</v>
      </c>
      <c r="L1394" t="s">
        <v>895</v>
      </c>
      <c r="M1394" t="s">
        <v>4402</v>
      </c>
      <c r="O1394" t="s">
        <v>896</v>
      </c>
      <c r="P1394" t="s">
        <v>33</v>
      </c>
      <c r="Q1394" s="22">
        <v>38277.71</v>
      </c>
      <c r="R1394" t="s">
        <v>35</v>
      </c>
      <c r="S1394" t="s">
        <v>35</v>
      </c>
      <c r="T1394" t="s">
        <v>35</v>
      </c>
      <c r="U1394" t="s">
        <v>35</v>
      </c>
      <c r="V1394" t="s">
        <v>645</v>
      </c>
      <c r="W1394" t="s">
        <v>113</v>
      </c>
    </row>
    <row r="1395" spans="1:23" hidden="1" x14ac:dyDescent="0.25">
      <c r="A1395" s="7" t="str">
        <f>IFERROR(VLOOKUP(H1395,'Contas Orç'!A:B,2,0),"N/A")</f>
        <v>PECAS E ACESSORIOS</v>
      </c>
      <c r="B1395" s="7" t="str">
        <f t="shared" si="42"/>
        <v>320301004 - PECAS E ACESSORIOS</v>
      </c>
      <c r="C1395" s="25">
        <f t="shared" si="43"/>
        <v>44621</v>
      </c>
      <c r="D1395" s="27">
        <f>IF(K1395="CREDITO",Q1395,Q1395*-1)</f>
        <v>17805.75</v>
      </c>
      <c r="E1395" t="s">
        <v>894</v>
      </c>
      <c r="F1395" t="s">
        <v>1889</v>
      </c>
      <c r="G1395" s="8">
        <v>44621</v>
      </c>
      <c r="H1395" t="s">
        <v>26</v>
      </c>
      <c r="I1395" t="s">
        <v>53</v>
      </c>
      <c r="J1395" t="s">
        <v>54</v>
      </c>
      <c r="K1395" t="s">
        <v>29</v>
      </c>
      <c r="L1395" t="s">
        <v>895</v>
      </c>
      <c r="M1395" t="s">
        <v>4402</v>
      </c>
      <c r="O1395" t="s">
        <v>896</v>
      </c>
      <c r="P1395" t="s">
        <v>33</v>
      </c>
      <c r="Q1395" s="22">
        <v>17805.75</v>
      </c>
      <c r="R1395" t="s">
        <v>35</v>
      </c>
      <c r="S1395" t="s">
        <v>35</v>
      </c>
      <c r="T1395" t="s">
        <v>35</v>
      </c>
      <c r="U1395" t="s">
        <v>35</v>
      </c>
      <c r="V1395" t="s">
        <v>645</v>
      </c>
      <c r="W1395" t="s">
        <v>113</v>
      </c>
    </row>
    <row r="1396" spans="1:23" hidden="1" x14ac:dyDescent="0.25">
      <c r="A1396" s="7" t="str">
        <f>IFERROR(VLOOKUP(H1396,'Contas Orç'!A:B,2,0),"N/A")</f>
        <v>PECAS E ACESSORIOS</v>
      </c>
      <c r="B1396" s="7" t="str">
        <f t="shared" si="42"/>
        <v>320301004 - PECAS E ACESSORIOS</v>
      </c>
      <c r="C1396" s="25">
        <f t="shared" si="43"/>
        <v>44652</v>
      </c>
      <c r="D1396" s="27">
        <f>IF(K1396="CREDITO",Q1396,Q1396*-1)</f>
        <v>358.21</v>
      </c>
      <c r="E1396" t="s">
        <v>894</v>
      </c>
      <c r="F1396" t="s">
        <v>1890</v>
      </c>
      <c r="G1396" s="8">
        <v>44652</v>
      </c>
      <c r="H1396" t="s">
        <v>26</v>
      </c>
      <c r="I1396" t="s">
        <v>88</v>
      </c>
      <c r="J1396" t="s">
        <v>28</v>
      </c>
      <c r="K1396" t="s">
        <v>29</v>
      </c>
      <c r="L1396" t="s">
        <v>895</v>
      </c>
      <c r="M1396" t="s">
        <v>4402</v>
      </c>
      <c r="O1396" t="s">
        <v>896</v>
      </c>
      <c r="P1396" t="s">
        <v>33</v>
      </c>
      <c r="Q1396">
        <v>358.21</v>
      </c>
      <c r="R1396" t="s">
        <v>35</v>
      </c>
      <c r="S1396" t="s">
        <v>35</v>
      </c>
      <c r="T1396" t="s">
        <v>35</v>
      </c>
      <c r="U1396" t="s">
        <v>35</v>
      </c>
      <c r="V1396" t="s">
        <v>645</v>
      </c>
      <c r="W1396" t="s">
        <v>113</v>
      </c>
    </row>
    <row r="1397" spans="1:23" hidden="1" x14ac:dyDescent="0.25">
      <c r="A1397" s="7" t="str">
        <f>IFERROR(VLOOKUP(H1397,'Contas Orç'!A:B,2,0),"N/A")</f>
        <v>PECAS E ACESSORIOS</v>
      </c>
      <c r="B1397" s="7" t="str">
        <f t="shared" si="42"/>
        <v>320301004 - PECAS E ACESSORIOS</v>
      </c>
      <c r="C1397" s="25">
        <f t="shared" si="43"/>
        <v>44652</v>
      </c>
      <c r="D1397" s="27">
        <f>IF(K1397="CREDITO",Q1397,Q1397*-1)</f>
        <v>8836.06</v>
      </c>
      <c r="E1397" t="s">
        <v>894</v>
      </c>
      <c r="F1397" t="s">
        <v>1891</v>
      </c>
      <c r="G1397" s="8">
        <v>44652</v>
      </c>
      <c r="H1397" t="s">
        <v>26</v>
      </c>
      <c r="I1397" t="s">
        <v>27</v>
      </c>
      <c r="J1397" t="s">
        <v>28</v>
      </c>
      <c r="K1397" t="s">
        <v>29</v>
      </c>
      <c r="L1397" t="s">
        <v>895</v>
      </c>
      <c r="M1397" t="s">
        <v>4402</v>
      </c>
      <c r="O1397" t="s">
        <v>896</v>
      </c>
      <c r="P1397" t="s">
        <v>33</v>
      </c>
      <c r="Q1397" s="22">
        <v>8836.06</v>
      </c>
      <c r="R1397" t="s">
        <v>35</v>
      </c>
      <c r="S1397" t="s">
        <v>35</v>
      </c>
      <c r="T1397" t="s">
        <v>35</v>
      </c>
      <c r="U1397" t="s">
        <v>35</v>
      </c>
      <c r="V1397" t="s">
        <v>645</v>
      </c>
      <c r="W1397" t="s">
        <v>113</v>
      </c>
    </row>
    <row r="1398" spans="1:23" hidden="1" x14ac:dyDescent="0.25">
      <c r="A1398" s="7" t="str">
        <f>IFERROR(VLOOKUP(H1398,'Contas Orç'!A:B,2,0),"N/A")</f>
        <v>PECAS E ACESSORIOS</v>
      </c>
      <c r="B1398" s="7" t="str">
        <f t="shared" si="42"/>
        <v>320301004 - PECAS E ACESSORIOS</v>
      </c>
      <c r="C1398" s="25">
        <f t="shared" si="43"/>
        <v>44652</v>
      </c>
      <c r="D1398" s="27">
        <f>IF(K1398="CREDITO",Q1398,Q1398*-1)</f>
        <v>28572.7</v>
      </c>
      <c r="E1398" t="s">
        <v>894</v>
      </c>
      <c r="F1398" t="s">
        <v>1892</v>
      </c>
      <c r="G1398" s="8">
        <v>44652</v>
      </c>
      <c r="H1398" t="s">
        <v>26</v>
      </c>
      <c r="I1398" t="s">
        <v>106</v>
      </c>
      <c r="J1398" t="s">
        <v>60</v>
      </c>
      <c r="K1398" t="s">
        <v>29</v>
      </c>
      <c r="L1398" t="s">
        <v>895</v>
      </c>
      <c r="M1398" t="s">
        <v>4402</v>
      </c>
      <c r="O1398" t="s">
        <v>896</v>
      </c>
      <c r="P1398" t="s">
        <v>33</v>
      </c>
      <c r="Q1398" s="22">
        <v>28572.7</v>
      </c>
      <c r="R1398" t="s">
        <v>35</v>
      </c>
      <c r="S1398" t="s">
        <v>35</v>
      </c>
      <c r="T1398" t="s">
        <v>35</v>
      </c>
      <c r="U1398" t="s">
        <v>35</v>
      </c>
      <c r="V1398" t="s">
        <v>645</v>
      </c>
      <c r="W1398" t="s">
        <v>113</v>
      </c>
    </row>
    <row r="1399" spans="1:23" hidden="1" x14ac:dyDescent="0.25">
      <c r="A1399" s="7" t="str">
        <f>IFERROR(VLOOKUP(H1399,'Contas Orç'!A:B,2,0),"N/A")</f>
        <v>PECAS E ACESSORIOS</v>
      </c>
      <c r="B1399" s="7" t="str">
        <f t="shared" si="42"/>
        <v>320301004 - PECAS E ACESSORIOS</v>
      </c>
      <c r="C1399" s="25">
        <f t="shared" si="43"/>
        <v>44652</v>
      </c>
      <c r="D1399" s="27">
        <f>IF(K1399="CREDITO",Q1399,Q1399*-1)</f>
        <v>286584.40000000002</v>
      </c>
      <c r="E1399" t="s">
        <v>894</v>
      </c>
      <c r="F1399" t="s">
        <v>1893</v>
      </c>
      <c r="G1399" s="8">
        <v>44652</v>
      </c>
      <c r="H1399" t="s">
        <v>26</v>
      </c>
      <c r="I1399" t="s">
        <v>59</v>
      </c>
      <c r="J1399" t="s">
        <v>60</v>
      </c>
      <c r="K1399" t="s">
        <v>29</v>
      </c>
      <c r="L1399" t="s">
        <v>895</v>
      </c>
      <c r="M1399" t="s">
        <v>4402</v>
      </c>
      <c r="O1399" t="s">
        <v>896</v>
      </c>
      <c r="P1399" t="s">
        <v>33</v>
      </c>
      <c r="Q1399" s="22">
        <v>286584.40000000002</v>
      </c>
      <c r="R1399" t="s">
        <v>35</v>
      </c>
      <c r="S1399" t="s">
        <v>35</v>
      </c>
      <c r="T1399" t="s">
        <v>35</v>
      </c>
      <c r="U1399" t="s">
        <v>35</v>
      </c>
      <c r="V1399" t="s">
        <v>645</v>
      </c>
      <c r="W1399" t="s">
        <v>113</v>
      </c>
    </row>
    <row r="1400" spans="1:23" hidden="1" x14ac:dyDescent="0.25">
      <c r="A1400" s="7" t="str">
        <f>IFERROR(VLOOKUP(H1400,'Contas Orç'!A:B,2,0),"N/A")</f>
        <v>PECAS E ACESSORIOS</v>
      </c>
      <c r="B1400" s="7" t="str">
        <f t="shared" si="42"/>
        <v>320301004 - PECAS E ACESSORIOS</v>
      </c>
      <c r="C1400" s="25">
        <f t="shared" si="43"/>
        <v>44652</v>
      </c>
      <c r="D1400" s="27">
        <f>IF(K1400="CREDITO",Q1400,Q1400*-1)</f>
        <v>10.78</v>
      </c>
      <c r="E1400" t="s">
        <v>894</v>
      </c>
      <c r="F1400" t="s">
        <v>1894</v>
      </c>
      <c r="G1400" s="8">
        <v>44652</v>
      </c>
      <c r="H1400" t="s">
        <v>26</v>
      </c>
      <c r="I1400" t="s">
        <v>106</v>
      </c>
      <c r="J1400" t="s">
        <v>107</v>
      </c>
      <c r="K1400" t="s">
        <v>29</v>
      </c>
      <c r="L1400" t="s">
        <v>895</v>
      </c>
      <c r="M1400" t="s">
        <v>4402</v>
      </c>
      <c r="O1400" t="s">
        <v>896</v>
      </c>
      <c r="P1400" t="s">
        <v>33</v>
      </c>
      <c r="Q1400">
        <v>10.78</v>
      </c>
      <c r="R1400" t="s">
        <v>35</v>
      </c>
      <c r="S1400" t="s">
        <v>35</v>
      </c>
      <c r="T1400" t="s">
        <v>35</v>
      </c>
      <c r="U1400" t="s">
        <v>35</v>
      </c>
      <c r="V1400" t="s">
        <v>645</v>
      </c>
      <c r="W1400" t="s">
        <v>113</v>
      </c>
    </row>
    <row r="1401" spans="1:23" hidden="1" x14ac:dyDescent="0.25">
      <c r="A1401" s="7" t="str">
        <f>IFERROR(VLOOKUP(H1401,'Contas Orç'!A:B,2,0),"N/A")</f>
        <v>PECAS E ACESSORIOS</v>
      </c>
      <c r="B1401" s="7" t="str">
        <f t="shared" si="42"/>
        <v>320301004 - PECAS E ACESSORIOS</v>
      </c>
      <c r="C1401" s="25">
        <f t="shared" si="43"/>
        <v>44652</v>
      </c>
      <c r="D1401" s="27">
        <f>IF(K1401="CREDITO",Q1401,Q1401*-1)</f>
        <v>218.82</v>
      </c>
      <c r="E1401" t="s">
        <v>894</v>
      </c>
      <c r="F1401" t="s">
        <v>1895</v>
      </c>
      <c r="G1401" s="8">
        <v>44652</v>
      </c>
      <c r="H1401" t="s">
        <v>26</v>
      </c>
      <c r="I1401" t="s">
        <v>59</v>
      </c>
      <c r="J1401" t="s">
        <v>107</v>
      </c>
      <c r="K1401" t="s">
        <v>29</v>
      </c>
      <c r="L1401" t="s">
        <v>895</v>
      </c>
      <c r="M1401" t="s">
        <v>4402</v>
      </c>
      <c r="O1401" t="s">
        <v>896</v>
      </c>
      <c r="P1401" t="s">
        <v>33</v>
      </c>
      <c r="Q1401">
        <v>218.82</v>
      </c>
      <c r="R1401" t="s">
        <v>35</v>
      </c>
      <c r="S1401" t="s">
        <v>35</v>
      </c>
      <c r="T1401" t="s">
        <v>35</v>
      </c>
      <c r="U1401" t="s">
        <v>35</v>
      </c>
      <c r="V1401" t="s">
        <v>645</v>
      </c>
      <c r="W1401" t="s">
        <v>113</v>
      </c>
    </row>
    <row r="1402" spans="1:23" hidden="1" x14ac:dyDescent="0.25">
      <c r="A1402" s="7" t="str">
        <f>IFERROR(VLOOKUP(H1402,'Contas Orç'!A:B,2,0),"N/A")</f>
        <v>PECAS E ACESSORIOS</v>
      </c>
      <c r="B1402" s="7" t="str">
        <f t="shared" si="42"/>
        <v>320301004 - PECAS E ACESSORIOS</v>
      </c>
      <c r="C1402" s="25">
        <f t="shared" si="43"/>
        <v>44652</v>
      </c>
      <c r="D1402" s="27">
        <f>IF(K1402="CREDITO",Q1402,Q1402*-1)</f>
        <v>18824.740000000002</v>
      </c>
      <c r="E1402" t="s">
        <v>894</v>
      </c>
      <c r="F1402" t="s">
        <v>1896</v>
      </c>
      <c r="G1402" s="8">
        <v>44652</v>
      </c>
      <c r="H1402" t="s">
        <v>26</v>
      </c>
      <c r="I1402" t="s">
        <v>53</v>
      </c>
      <c r="J1402" t="s">
        <v>54</v>
      </c>
      <c r="K1402" t="s">
        <v>29</v>
      </c>
      <c r="L1402" t="s">
        <v>895</v>
      </c>
      <c r="M1402" t="s">
        <v>4402</v>
      </c>
      <c r="O1402" t="s">
        <v>896</v>
      </c>
      <c r="P1402" t="s">
        <v>33</v>
      </c>
      <c r="Q1402" s="22">
        <v>18824.740000000002</v>
      </c>
      <c r="R1402" t="s">
        <v>35</v>
      </c>
      <c r="S1402" t="s">
        <v>35</v>
      </c>
      <c r="T1402" t="s">
        <v>35</v>
      </c>
      <c r="U1402" t="s">
        <v>35</v>
      </c>
      <c r="V1402" t="s">
        <v>645</v>
      </c>
      <c r="W1402" t="s">
        <v>113</v>
      </c>
    </row>
    <row r="1403" spans="1:23" hidden="1" x14ac:dyDescent="0.25">
      <c r="A1403" s="7" t="str">
        <f>IFERROR(VLOOKUP(H1403,'Contas Orç'!A:B,2,0),"N/A")</f>
        <v>PECAS E ACESSORIOS</v>
      </c>
      <c r="B1403" s="7" t="str">
        <f t="shared" si="42"/>
        <v>320301004 - PECAS E ACESSORIOS</v>
      </c>
      <c r="C1403" s="25">
        <f t="shared" si="43"/>
        <v>44682</v>
      </c>
      <c r="D1403" s="27">
        <f>IF(K1403="CREDITO",Q1403,Q1403*-1)</f>
        <v>504.11</v>
      </c>
      <c r="E1403" t="s">
        <v>894</v>
      </c>
      <c r="F1403" t="s">
        <v>1897</v>
      </c>
      <c r="G1403" s="8">
        <v>44682</v>
      </c>
      <c r="H1403" t="s">
        <v>26</v>
      </c>
      <c r="I1403" t="s">
        <v>88</v>
      </c>
      <c r="J1403" t="s">
        <v>28</v>
      </c>
      <c r="K1403" t="s">
        <v>29</v>
      </c>
      <c r="L1403" t="s">
        <v>895</v>
      </c>
      <c r="M1403" t="s">
        <v>4402</v>
      </c>
      <c r="O1403" t="s">
        <v>896</v>
      </c>
      <c r="P1403" t="s">
        <v>33</v>
      </c>
      <c r="Q1403">
        <v>504.11</v>
      </c>
      <c r="R1403" t="s">
        <v>35</v>
      </c>
      <c r="S1403" t="s">
        <v>35</v>
      </c>
      <c r="T1403" t="s">
        <v>35</v>
      </c>
      <c r="U1403" t="s">
        <v>35</v>
      </c>
      <c r="V1403" t="s">
        <v>645</v>
      </c>
      <c r="W1403" t="s">
        <v>113</v>
      </c>
    </row>
    <row r="1404" spans="1:23" hidden="1" x14ac:dyDescent="0.25">
      <c r="A1404" s="7" t="str">
        <f>IFERROR(VLOOKUP(H1404,'Contas Orç'!A:B,2,0),"N/A")</f>
        <v>PECAS E ACESSORIOS</v>
      </c>
      <c r="B1404" s="7" t="str">
        <f t="shared" si="42"/>
        <v>320301004 - PECAS E ACESSORIOS</v>
      </c>
      <c r="C1404" s="25">
        <f t="shared" si="43"/>
        <v>44682</v>
      </c>
      <c r="D1404" s="27">
        <f>IF(K1404="CREDITO",Q1404,Q1404*-1)</f>
        <v>11897.54</v>
      </c>
      <c r="E1404" t="s">
        <v>894</v>
      </c>
      <c r="F1404" t="s">
        <v>1898</v>
      </c>
      <c r="G1404" s="8">
        <v>44682</v>
      </c>
      <c r="H1404" t="s">
        <v>26</v>
      </c>
      <c r="I1404" t="s">
        <v>27</v>
      </c>
      <c r="J1404" t="s">
        <v>28</v>
      </c>
      <c r="K1404" t="s">
        <v>29</v>
      </c>
      <c r="L1404" t="s">
        <v>895</v>
      </c>
      <c r="M1404" t="s">
        <v>4402</v>
      </c>
      <c r="O1404" t="s">
        <v>896</v>
      </c>
      <c r="P1404" t="s">
        <v>33</v>
      </c>
      <c r="Q1404" s="22">
        <v>11897.54</v>
      </c>
      <c r="R1404" t="s">
        <v>35</v>
      </c>
      <c r="S1404" t="s">
        <v>35</v>
      </c>
      <c r="T1404" t="s">
        <v>35</v>
      </c>
      <c r="U1404" t="s">
        <v>35</v>
      </c>
      <c r="V1404" t="s">
        <v>645</v>
      </c>
      <c r="W1404" t="s">
        <v>113</v>
      </c>
    </row>
    <row r="1405" spans="1:23" hidden="1" x14ac:dyDescent="0.25">
      <c r="A1405" s="7" t="str">
        <f>IFERROR(VLOOKUP(H1405,'Contas Orç'!A:B,2,0),"N/A")</f>
        <v>PECAS E ACESSORIOS</v>
      </c>
      <c r="B1405" s="7" t="str">
        <f t="shared" si="42"/>
        <v>320301004 - PECAS E ACESSORIOS</v>
      </c>
      <c r="C1405" s="25">
        <f t="shared" si="43"/>
        <v>44682</v>
      </c>
      <c r="D1405" s="27">
        <f>IF(K1405="CREDITO",Q1405,Q1405*-1)</f>
        <v>4871.8900000000003</v>
      </c>
      <c r="E1405" t="s">
        <v>894</v>
      </c>
      <c r="F1405" t="s">
        <v>1899</v>
      </c>
      <c r="G1405" s="8">
        <v>44682</v>
      </c>
      <c r="H1405" t="s">
        <v>26</v>
      </c>
      <c r="I1405" t="s">
        <v>106</v>
      </c>
      <c r="J1405" t="s">
        <v>60</v>
      </c>
      <c r="K1405" t="s">
        <v>29</v>
      </c>
      <c r="L1405" t="s">
        <v>895</v>
      </c>
      <c r="M1405" t="s">
        <v>4402</v>
      </c>
      <c r="O1405" t="s">
        <v>896</v>
      </c>
      <c r="P1405" t="s">
        <v>33</v>
      </c>
      <c r="Q1405" s="22">
        <v>4871.8900000000003</v>
      </c>
      <c r="R1405" t="s">
        <v>35</v>
      </c>
      <c r="S1405" t="s">
        <v>35</v>
      </c>
      <c r="T1405" t="s">
        <v>35</v>
      </c>
      <c r="U1405" t="s">
        <v>35</v>
      </c>
      <c r="V1405" t="s">
        <v>645</v>
      </c>
      <c r="W1405" t="s">
        <v>113</v>
      </c>
    </row>
    <row r="1406" spans="1:23" hidden="1" x14ac:dyDescent="0.25">
      <c r="A1406" s="7" t="str">
        <f>IFERROR(VLOOKUP(H1406,'Contas Orç'!A:B,2,0),"N/A")</f>
        <v>PECAS E ACESSORIOS</v>
      </c>
      <c r="B1406" s="7" t="str">
        <f t="shared" si="42"/>
        <v>320301004 - PECAS E ACESSORIOS</v>
      </c>
      <c r="C1406" s="25">
        <f t="shared" si="43"/>
        <v>44682</v>
      </c>
      <c r="D1406" s="27">
        <f>IF(K1406="CREDITO",Q1406,Q1406*-1)</f>
        <v>189311.53</v>
      </c>
      <c r="E1406" t="s">
        <v>894</v>
      </c>
      <c r="F1406" t="s">
        <v>1900</v>
      </c>
      <c r="G1406" s="8">
        <v>44682</v>
      </c>
      <c r="H1406" t="s">
        <v>26</v>
      </c>
      <c r="I1406" t="s">
        <v>59</v>
      </c>
      <c r="J1406" t="s">
        <v>60</v>
      </c>
      <c r="K1406" t="s">
        <v>29</v>
      </c>
      <c r="L1406" t="s">
        <v>895</v>
      </c>
      <c r="M1406" t="s">
        <v>4402</v>
      </c>
      <c r="O1406" t="s">
        <v>896</v>
      </c>
      <c r="P1406" t="s">
        <v>33</v>
      </c>
      <c r="Q1406" s="22">
        <v>189311.53</v>
      </c>
      <c r="R1406" t="s">
        <v>35</v>
      </c>
      <c r="S1406" t="s">
        <v>35</v>
      </c>
      <c r="T1406" t="s">
        <v>35</v>
      </c>
      <c r="U1406" t="s">
        <v>35</v>
      </c>
      <c r="V1406" t="s">
        <v>645</v>
      </c>
      <c r="W1406" t="s">
        <v>113</v>
      </c>
    </row>
    <row r="1407" spans="1:23" hidden="1" x14ac:dyDescent="0.25">
      <c r="A1407" s="7" t="str">
        <f>IFERROR(VLOOKUP(H1407,'Contas Orç'!A:B,2,0),"N/A")</f>
        <v>PECAS E ACESSORIOS</v>
      </c>
      <c r="B1407" s="7" t="str">
        <f t="shared" si="42"/>
        <v>320301004 - PECAS E ACESSORIOS</v>
      </c>
      <c r="C1407" s="25">
        <f t="shared" si="43"/>
        <v>44682</v>
      </c>
      <c r="D1407" s="27">
        <f>IF(K1407="CREDITO",Q1407,Q1407*-1)</f>
        <v>112353.16</v>
      </c>
      <c r="E1407" t="s">
        <v>894</v>
      </c>
      <c r="F1407" t="s">
        <v>1901</v>
      </c>
      <c r="G1407" s="8">
        <v>44682</v>
      </c>
      <c r="H1407" t="s">
        <v>26</v>
      </c>
      <c r="I1407" t="s">
        <v>59</v>
      </c>
      <c r="J1407" t="s">
        <v>107</v>
      </c>
      <c r="K1407" t="s">
        <v>29</v>
      </c>
      <c r="L1407" t="s">
        <v>895</v>
      </c>
      <c r="M1407" t="s">
        <v>4402</v>
      </c>
      <c r="O1407" t="s">
        <v>896</v>
      </c>
      <c r="P1407" t="s">
        <v>33</v>
      </c>
      <c r="Q1407" s="22">
        <v>112353.16</v>
      </c>
      <c r="R1407" t="s">
        <v>35</v>
      </c>
      <c r="S1407" t="s">
        <v>35</v>
      </c>
      <c r="T1407" t="s">
        <v>35</v>
      </c>
      <c r="U1407" t="s">
        <v>35</v>
      </c>
      <c r="V1407" t="s">
        <v>645</v>
      </c>
      <c r="W1407" t="s">
        <v>113</v>
      </c>
    </row>
    <row r="1408" spans="1:23" hidden="1" x14ac:dyDescent="0.25">
      <c r="A1408" s="7" t="str">
        <f>IFERROR(VLOOKUP(H1408,'Contas Orç'!A:B,2,0),"N/A")</f>
        <v>PECAS E ACESSORIOS</v>
      </c>
      <c r="B1408" s="7" t="str">
        <f t="shared" si="42"/>
        <v>320301004 - PECAS E ACESSORIOS</v>
      </c>
      <c r="C1408" s="25">
        <f t="shared" si="43"/>
        <v>44682</v>
      </c>
      <c r="D1408" s="27">
        <f>IF(K1408="CREDITO",Q1408,Q1408*-1)</f>
        <v>21156.59</v>
      </c>
      <c r="E1408" t="s">
        <v>894</v>
      </c>
      <c r="F1408" t="s">
        <v>1902</v>
      </c>
      <c r="G1408" s="8">
        <v>44682</v>
      </c>
      <c r="H1408" t="s">
        <v>26</v>
      </c>
      <c r="I1408" t="s">
        <v>53</v>
      </c>
      <c r="J1408" t="s">
        <v>54</v>
      </c>
      <c r="K1408" t="s">
        <v>29</v>
      </c>
      <c r="L1408" t="s">
        <v>895</v>
      </c>
      <c r="M1408" t="s">
        <v>4402</v>
      </c>
      <c r="O1408" t="s">
        <v>896</v>
      </c>
      <c r="P1408" t="s">
        <v>33</v>
      </c>
      <c r="Q1408" s="22">
        <v>21156.59</v>
      </c>
      <c r="R1408" t="s">
        <v>35</v>
      </c>
      <c r="S1408" t="s">
        <v>35</v>
      </c>
      <c r="T1408" t="s">
        <v>35</v>
      </c>
      <c r="U1408" t="s">
        <v>35</v>
      </c>
      <c r="V1408" t="s">
        <v>645</v>
      </c>
      <c r="W1408" t="s">
        <v>113</v>
      </c>
    </row>
    <row r="1409" spans="1:23" hidden="1" x14ac:dyDescent="0.25">
      <c r="A1409" s="7" t="str">
        <f>IFERROR(VLOOKUP(H1409,'Contas Orç'!A:B,2,0),"N/A")</f>
        <v>PECAS E ACESSORIOS</v>
      </c>
      <c r="B1409" s="7" t="str">
        <f t="shared" si="42"/>
        <v>320301004 - PECAS E ACESSORIOS</v>
      </c>
      <c r="C1409" s="25">
        <f t="shared" si="43"/>
        <v>44713</v>
      </c>
      <c r="D1409" s="27">
        <f>IF(K1409="CREDITO",Q1409,Q1409*-1)</f>
        <v>2033.51</v>
      </c>
      <c r="E1409" t="s">
        <v>894</v>
      </c>
      <c r="F1409" t="s">
        <v>1903</v>
      </c>
      <c r="G1409" s="8">
        <v>44713</v>
      </c>
      <c r="H1409" t="s">
        <v>26</v>
      </c>
      <c r="I1409" t="s">
        <v>88</v>
      </c>
      <c r="J1409" t="s">
        <v>28</v>
      </c>
      <c r="K1409" t="s">
        <v>29</v>
      </c>
      <c r="L1409" t="s">
        <v>895</v>
      </c>
      <c r="M1409" t="s">
        <v>4402</v>
      </c>
      <c r="O1409" t="s">
        <v>896</v>
      </c>
      <c r="P1409" t="s">
        <v>33</v>
      </c>
      <c r="Q1409" s="22">
        <v>2033.51</v>
      </c>
      <c r="R1409" t="s">
        <v>35</v>
      </c>
      <c r="S1409" t="s">
        <v>35</v>
      </c>
      <c r="T1409" t="s">
        <v>35</v>
      </c>
      <c r="U1409" t="s">
        <v>35</v>
      </c>
      <c r="V1409" t="s">
        <v>645</v>
      </c>
      <c r="W1409" t="s">
        <v>113</v>
      </c>
    </row>
    <row r="1410" spans="1:23" hidden="1" x14ac:dyDescent="0.25">
      <c r="A1410" s="7" t="str">
        <f>IFERROR(VLOOKUP(H1410,'Contas Orç'!A:B,2,0),"N/A")</f>
        <v>PECAS E ACESSORIOS</v>
      </c>
      <c r="B1410" s="7" t="str">
        <f t="shared" si="42"/>
        <v>320301004 - PECAS E ACESSORIOS</v>
      </c>
      <c r="C1410" s="25">
        <f t="shared" si="43"/>
        <v>44713</v>
      </c>
      <c r="D1410" s="27">
        <f>IF(K1410="CREDITO",Q1410,Q1410*-1)</f>
        <v>15535.82</v>
      </c>
      <c r="E1410" t="s">
        <v>894</v>
      </c>
      <c r="F1410" t="s">
        <v>1904</v>
      </c>
      <c r="G1410" s="8">
        <v>44713</v>
      </c>
      <c r="H1410" t="s">
        <v>26</v>
      </c>
      <c r="I1410" t="s">
        <v>27</v>
      </c>
      <c r="J1410" t="s">
        <v>28</v>
      </c>
      <c r="K1410" t="s">
        <v>29</v>
      </c>
      <c r="L1410" t="s">
        <v>895</v>
      </c>
      <c r="M1410" t="s">
        <v>4402</v>
      </c>
      <c r="O1410" t="s">
        <v>896</v>
      </c>
      <c r="P1410" t="s">
        <v>33</v>
      </c>
      <c r="Q1410" s="22">
        <v>15535.82</v>
      </c>
      <c r="R1410" t="s">
        <v>35</v>
      </c>
      <c r="S1410" t="s">
        <v>35</v>
      </c>
      <c r="T1410" t="s">
        <v>35</v>
      </c>
      <c r="U1410" t="s">
        <v>35</v>
      </c>
      <c r="V1410" t="s">
        <v>645</v>
      </c>
      <c r="W1410" t="s">
        <v>113</v>
      </c>
    </row>
    <row r="1411" spans="1:23" hidden="1" x14ac:dyDescent="0.25">
      <c r="A1411" s="7" t="str">
        <f>IFERROR(VLOOKUP(H1411,'Contas Orç'!A:B,2,0),"N/A")</f>
        <v>PECAS E ACESSORIOS</v>
      </c>
      <c r="B1411" s="7" t="str">
        <f t="shared" ref="B1411:B1474" si="44">_xlfn.CONCAT(H1411," - ",A1411)</f>
        <v>320301004 - PECAS E ACESSORIOS</v>
      </c>
      <c r="C1411" s="25">
        <f t="shared" ref="C1411:C1474" si="45">DATE(YEAR(G1411),MONTH(G1411),1)</f>
        <v>44713</v>
      </c>
      <c r="D1411" s="27">
        <f>IF(K1411="CREDITO",Q1411,Q1411*-1)</f>
        <v>51.47</v>
      </c>
      <c r="E1411" t="s">
        <v>894</v>
      </c>
      <c r="F1411" t="s">
        <v>1905</v>
      </c>
      <c r="G1411" s="8">
        <v>44713</v>
      </c>
      <c r="H1411" t="s">
        <v>26</v>
      </c>
      <c r="I1411" t="s">
        <v>59</v>
      </c>
      <c r="J1411" t="s">
        <v>28</v>
      </c>
      <c r="K1411" t="s">
        <v>29</v>
      </c>
      <c r="L1411" t="s">
        <v>895</v>
      </c>
      <c r="M1411" t="s">
        <v>4402</v>
      </c>
      <c r="O1411" t="s">
        <v>896</v>
      </c>
      <c r="P1411" t="s">
        <v>33</v>
      </c>
      <c r="Q1411">
        <v>51.47</v>
      </c>
      <c r="R1411" t="s">
        <v>35</v>
      </c>
      <c r="S1411" t="s">
        <v>35</v>
      </c>
      <c r="T1411" t="s">
        <v>35</v>
      </c>
      <c r="U1411" t="s">
        <v>35</v>
      </c>
      <c r="V1411" t="s">
        <v>645</v>
      </c>
      <c r="W1411" t="s">
        <v>113</v>
      </c>
    </row>
    <row r="1412" spans="1:23" hidden="1" x14ac:dyDescent="0.25">
      <c r="A1412" s="7" t="str">
        <f>IFERROR(VLOOKUP(H1412,'Contas Orç'!A:B,2,0),"N/A")</f>
        <v>PECAS E ACESSORIOS</v>
      </c>
      <c r="B1412" s="7" t="str">
        <f t="shared" si="44"/>
        <v>320301004 - PECAS E ACESSORIOS</v>
      </c>
      <c r="C1412" s="25">
        <f t="shared" si="45"/>
        <v>44713</v>
      </c>
      <c r="D1412" s="27">
        <f>IF(K1412="CREDITO",Q1412,Q1412*-1)</f>
        <v>141.38</v>
      </c>
      <c r="E1412" t="s">
        <v>894</v>
      </c>
      <c r="F1412" t="s">
        <v>1906</v>
      </c>
      <c r="G1412" s="8">
        <v>44713</v>
      </c>
      <c r="H1412" t="s">
        <v>26</v>
      </c>
      <c r="I1412" t="s">
        <v>106</v>
      </c>
      <c r="J1412" t="s">
        <v>60</v>
      </c>
      <c r="K1412" t="s">
        <v>29</v>
      </c>
      <c r="L1412" t="s">
        <v>895</v>
      </c>
      <c r="M1412" t="s">
        <v>4402</v>
      </c>
      <c r="O1412" t="s">
        <v>896</v>
      </c>
      <c r="P1412" t="s">
        <v>33</v>
      </c>
      <c r="Q1412">
        <v>141.38</v>
      </c>
      <c r="R1412" t="s">
        <v>35</v>
      </c>
      <c r="S1412" t="s">
        <v>35</v>
      </c>
      <c r="T1412" t="s">
        <v>35</v>
      </c>
      <c r="U1412" t="s">
        <v>35</v>
      </c>
      <c r="V1412" t="s">
        <v>645</v>
      </c>
      <c r="W1412" t="s">
        <v>113</v>
      </c>
    </row>
    <row r="1413" spans="1:23" hidden="1" x14ac:dyDescent="0.25">
      <c r="A1413" s="7" t="str">
        <f>IFERROR(VLOOKUP(H1413,'Contas Orç'!A:B,2,0),"N/A")</f>
        <v>PECAS E ACESSORIOS</v>
      </c>
      <c r="B1413" s="7" t="str">
        <f t="shared" si="44"/>
        <v>320301004 - PECAS E ACESSORIOS</v>
      </c>
      <c r="C1413" s="25">
        <f t="shared" si="45"/>
        <v>44713</v>
      </c>
      <c r="D1413" s="27">
        <f>IF(K1413="CREDITO",Q1413,Q1413*-1)</f>
        <v>466262.21</v>
      </c>
      <c r="E1413" t="s">
        <v>894</v>
      </c>
      <c r="F1413" t="s">
        <v>1907</v>
      </c>
      <c r="G1413" s="8">
        <v>44713</v>
      </c>
      <c r="H1413" t="s">
        <v>26</v>
      </c>
      <c r="I1413" t="s">
        <v>59</v>
      </c>
      <c r="J1413" t="s">
        <v>60</v>
      </c>
      <c r="K1413" t="s">
        <v>29</v>
      </c>
      <c r="L1413" t="s">
        <v>895</v>
      </c>
      <c r="M1413" t="s">
        <v>4402</v>
      </c>
      <c r="O1413" t="s">
        <v>896</v>
      </c>
      <c r="P1413" t="s">
        <v>33</v>
      </c>
      <c r="Q1413" s="22">
        <v>466262.21</v>
      </c>
      <c r="R1413" t="s">
        <v>35</v>
      </c>
      <c r="S1413" t="s">
        <v>35</v>
      </c>
      <c r="T1413" t="s">
        <v>35</v>
      </c>
      <c r="U1413" t="s">
        <v>35</v>
      </c>
      <c r="V1413" t="s">
        <v>645</v>
      </c>
      <c r="W1413" t="s">
        <v>113</v>
      </c>
    </row>
    <row r="1414" spans="1:23" hidden="1" x14ac:dyDescent="0.25">
      <c r="A1414" s="7" t="str">
        <f>IFERROR(VLOOKUP(H1414,'Contas Orç'!A:B,2,0),"N/A")</f>
        <v>PECAS E ACESSORIOS</v>
      </c>
      <c r="B1414" s="7" t="str">
        <f t="shared" si="44"/>
        <v>320301004 - PECAS E ACESSORIOS</v>
      </c>
      <c r="C1414" s="25">
        <f t="shared" si="45"/>
        <v>44713</v>
      </c>
      <c r="D1414" s="27">
        <f>IF(K1414="CREDITO",Q1414,Q1414*-1)</f>
        <v>73746.100000000006</v>
      </c>
      <c r="E1414" t="s">
        <v>894</v>
      </c>
      <c r="F1414" t="s">
        <v>1908</v>
      </c>
      <c r="G1414" s="8">
        <v>44713</v>
      </c>
      <c r="H1414" t="s">
        <v>26</v>
      </c>
      <c r="I1414" t="s">
        <v>59</v>
      </c>
      <c r="J1414" t="s">
        <v>107</v>
      </c>
      <c r="K1414" t="s">
        <v>29</v>
      </c>
      <c r="L1414" t="s">
        <v>895</v>
      </c>
      <c r="M1414" t="s">
        <v>4402</v>
      </c>
      <c r="O1414" t="s">
        <v>896</v>
      </c>
      <c r="P1414" t="s">
        <v>33</v>
      </c>
      <c r="Q1414" s="22">
        <v>73746.100000000006</v>
      </c>
      <c r="R1414" t="s">
        <v>35</v>
      </c>
      <c r="S1414" t="s">
        <v>35</v>
      </c>
      <c r="T1414" t="s">
        <v>35</v>
      </c>
      <c r="U1414" t="s">
        <v>35</v>
      </c>
      <c r="V1414" t="s">
        <v>645</v>
      </c>
      <c r="W1414" t="s">
        <v>113</v>
      </c>
    </row>
    <row r="1415" spans="1:23" hidden="1" x14ac:dyDescent="0.25">
      <c r="A1415" s="7" t="str">
        <f>IFERROR(VLOOKUP(H1415,'Contas Orç'!A:B,2,0),"N/A")</f>
        <v>PECAS E ACESSORIOS</v>
      </c>
      <c r="B1415" s="7" t="str">
        <f t="shared" si="44"/>
        <v>320301004 - PECAS E ACESSORIOS</v>
      </c>
      <c r="C1415" s="25">
        <f t="shared" si="45"/>
        <v>44713</v>
      </c>
      <c r="D1415" s="27">
        <f>IF(K1415="CREDITO",Q1415,Q1415*-1)</f>
        <v>2348.2600000000002</v>
      </c>
      <c r="E1415" t="s">
        <v>894</v>
      </c>
      <c r="F1415" t="s">
        <v>1909</v>
      </c>
      <c r="G1415" s="8">
        <v>44713</v>
      </c>
      <c r="H1415" t="s">
        <v>26</v>
      </c>
      <c r="I1415" t="s">
        <v>40</v>
      </c>
      <c r="J1415" t="s">
        <v>54</v>
      </c>
      <c r="K1415" t="s">
        <v>29</v>
      </c>
      <c r="L1415" t="s">
        <v>895</v>
      </c>
      <c r="M1415" t="s">
        <v>4402</v>
      </c>
      <c r="O1415" t="s">
        <v>896</v>
      </c>
      <c r="P1415" t="s">
        <v>33</v>
      </c>
      <c r="Q1415" s="22">
        <v>2348.2600000000002</v>
      </c>
      <c r="R1415" t="s">
        <v>35</v>
      </c>
      <c r="S1415" t="s">
        <v>35</v>
      </c>
      <c r="T1415" t="s">
        <v>35</v>
      </c>
      <c r="U1415" t="s">
        <v>35</v>
      </c>
      <c r="V1415" t="s">
        <v>645</v>
      </c>
      <c r="W1415" t="s">
        <v>113</v>
      </c>
    </row>
    <row r="1416" spans="1:23" hidden="1" x14ac:dyDescent="0.25">
      <c r="A1416" s="7" t="str">
        <f>IFERROR(VLOOKUP(H1416,'Contas Orç'!A:B,2,0),"N/A")</f>
        <v>PECAS E ACESSORIOS</v>
      </c>
      <c r="B1416" s="7" t="str">
        <f t="shared" si="44"/>
        <v>320301004 - PECAS E ACESSORIOS</v>
      </c>
      <c r="C1416" s="25">
        <f t="shared" si="45"/>
        <v>44713</v>
      </c>
      <c r="D1416" s="27">
        <f>IF(K1416="CREDITO",Q1416,Q1416*-1)</f>
        <v>21862.87</v>
      </c>
      <c r="E1416" t="s">
        <v>894</v>
      </c>
      <c r="F1416" t="s">
        <v>1910</v>
      </c>
      <c r="G1416" s="8">
        <v>44713</v>
      </c>
      <c r="H1416" t="s">
        <v>26</v>
      </c>
      <c r="I1416" t="s">
        <v>53</v>
      </c>
      <c r="J1416" t="s">
        <v>54</v>
      </c>
      <c r="K1416" t="s">
        <v>29</v>
      </c>
      <c r="L1416" t="s">
        <v>895</v>
      </c>
      <c r="M1416" t="s">
        <v>4402</v>
      </c>
      <c r="O1416" t="s">
        <v>896</v>
      </c>
      <c r="P1416" t="s">
        <v>33</v>
      </c>
      <c r="Q1416" s="22">
        <v>21862.87</v>
      </c>
      <c r="R1416" t="s">
        <v>35</v>
      </c>
      <c r="S1416" t="s">
        <v>35</v>
      </c>
      <c r="T1416" t="s">
        <v>35</v>
      </c>
      <c r="U1416" t="s">
        <v>35</v>
      </c>
      <c r="V1416" t="s">
        <v>645</v>
      </c>
      <c r="W1416" t="s">
        <v>113</v>
      </c>
    </row>
    <row r="1417" spans="1:23" hidden="1" x14ac:dyDescent="0.25">
      <c r="A1417" s="7" t="str">
        <f>IFERROR(VLOOKUP(H1417,'Contas Orç'!A:B,2,0),"N/A")</f>
        <v>PECAS E ACESSORIOS</v>
      </c>
      <c r="B1417" s="7" t="str">
        <f t="shared" si="44"/>
        <v>320301004 - PECAS E ACESSORIOS</v>
      </c>
      <c r="C1417" s="25">
        <f t="shared" si="45"/>
        <v>44713</v>
      </c>
      <c r="D1417" s="27">
        <f>IF(K1417="CREDITO",Q1417,Q1417*-1)</f>
        <v>152.18</v>
      </c>
      <c r="E1417" t="s">
        <v>894</v>
      </c>
      <c r="F1417" t="s">
        <v>1911</v>
      </c>
      <c r="G1417" s="8">
        <v>44713</v>
      </c>
      <c r="H1417" t="s">
        <v>26</v>
      </c>
      <c r="I1417" t="s">
        <v>88</v>
      </c>
      <c r="J1417" t="s">
        <v>54</v>
      </c>
      <c r="K1417" t="s">
        <v>29</v>
      </c>
      <c r="L1417" t="s">
        <v>895</v>
      </c>
      <c r="M1417" t="s">
        <v>4402</v>
      </c>
      <c r="O1417" t="s">
        <v>896</v>
      </c>
      <c r="P1417" t="s">
        <v>33</v>
      </c>
      <c r="Q1417">
        <v>152.18</v>
      </c>
      <c r="R1417" t="s">
        <v>35</v>
      </c>
      <c r="S1417" t="s">
        <v>35</v>
      </c>
      <c r="T1417" t="s">
        <v>35</v>
      </c>
      <c r="U1417" t="s">
        <v>35</v>
      </c>
      <c r="V1417" t="s">
        <v>645</v>
      </c>
      <c r="W1417" t="s">
        <v>113</v>
      </c>
    </row>
    <row r="1418" spans="1:23" hidden="1" x14ac:dyDescent="0.25">
      <c r="A1418" s="7" t="str">
        <f>IFERROR(VLOOKUP(H1418,'Contas Orç'!A:B,2,0),"N/A")</f>
        <v>PECAS E ACESSORIOS</v>
      </c>
      <c r="B1418" s="7" t="str">
        <f t="shared" si="44"/>
        <v>320301004 - PECAS E ACESSORIOS</v>
      </c>
      <c r="C1418" s="25">
        <f t="shared" si="45"/>
        <v>44743</v>
      </c>
      <c r="D1418" s="27">
        <f>IF(K1418="CREDITO",Q1418,Q1418*-1)</f>
        <v>2564.5700000000002</v>
      </c>
      <c r="E1418" t="s">
        <v>894</v>
      </c>
      <c r="F1418" t="s">
        <v>1912</v>
      </c>
      <c r="G1418" s="8">
        <v>44743</v>
      </c>
      <c r="H1418" t="s">
        <v>26</v>
      </c>
      <c r="I1418" t="s">
        <v>88</v>
      </c>
      <c r="J1418" t="s">
        <v>28</v>
      </c>
      <c r="K1418" t="s">
        <v>29</v>
      </c>
      <c r="L1418" t="s">
        <v>895</v>
      </c>
      <c r="M1418" t="s">
        <v>4402</v>
      </c>
      <c r="O1418" t="s">
        <v>896</v>
      </c>
      <c r="P1418" t="s">
        <v>33</v>
      </c>
      <c r="Q1418" s="22">
        <v>2564.5700000000002</v>
      </c>
      <c r="R1418" t="s">
        <v>35</v>
      </c>
      <c r="S1418" t="s">
        <v>35</v>
      </c>
      <c r="T1418" t="s">
        <v>35</v>
      </c>
      <c r="U1418" t="s">
        <v>35</v>
      </c>
      <c r="V1418" t="s">
        <v>645</v>
      </c>
      <c r="W1418" t="s">
        <v>113</v>
      </c>
    </row>
    <row r="1419" spans="1:23" hidden="1" x14ac:dyDescent="0.25">
      <c r="A1419" s="7" t="str">
        <f>IFERROR(VLOOKUP(H1419,'Contas Orç'!A:B,2,0),"N/A")</f>
        <v>PECAS E ACESSORIOS</v>
      </c>
      <c r="B1419" s="7" t="str">
        <f t="shared" si="44"/>
        <v>320301004 - PECAS E ACESSORIOS</v>
      </c>
      <c r="C1419" s="25">
        <f t="shared" si="45"/>
        <v>44743</v>
      </c>
      <c r="D1419" s="27">
        <f>IF(K1419="CREDITO",Q1419,Q1419*-1)</f>
        <v>10736.32</v>
      </c>
      <c r="E1419" t="s">
        <v>894</v>
      </c>
      <c r="F1419" t="s">
        <v>1913</v>
      </c>
      <c r="G1419" s="8">
        <v>44743</v>
      </c>
      <c r="H1419" t="s">
        <v>26</v>
      </c>
      <c r="I1419" t="s">
        <v>27</v>
      </c>
      <c r="J1419" t="s">
        <v>28</v>
      </c>
      <c r="K1419" t="s">
        <v>29</v>
      </c>
      <c r="L1419" t="s">
        <v>895</v>
      </c>
      <c r="M1419" t="s">
        <v>4402</v>
      </c>
      <c r="O1419" t="s">
        <v>896</v>
      </c>
      <c r="P1419" t="s">
        <v>33</v>
      </c>
      <c r="Q1419" s="22">
        <v>10736.32</v>
      </c>
      <c r="R1419" t="s">
        <v>35</v>
      </c>
      <c r="S1419" t="s">
        <v>35</v>
      </c>
      <c r="T1419" t="s">
        <v>35</v>
      </c>
      <c r="U1419" t="s">
        <v>35</v>
      </c>
      <c r="V1419" t="s">
        <v>645</v>
      </c>
      <c r="W1419" t="s">
        <v>113</v>
      </c>
    </row>
    <row r="1420" spans="1:23" hidden="1" x14ac:dyDescent="0.25">
      <c r="A1420" s="7" t="str">
        <f>IFERROR(VLOOKUP(H1420,'Contas Orç'!A:B,2,0),"N/A")</f>
        <v>PECAS E ACESSORIOS</v>
      </c>
      <c r="B1420" s="7" t="str">
        <f t="shared" si="44"/>
        <v>320301004 - PECAS E ACESSORIOS</v>
      </c>
      <c r="C1420" s="25">
        <f t="shared" si="45"/>
        <v>44743</v>
      </c>
      <c r="D1420" s="27">
        <f>IF(K1420="CREDITO",Q1420,Q1420*-1)</f>
        <v>975</v>
      </c>
      <c r="E1420" t="s">
        <v>894</v>
      </c>
      <c r="F1420" t="s">
        <v>1914</v>
      </c>
      <c r="G1420" s="8">
        <v>44743</v>
      </c>
      <c r="H1420" t="s">
        <v>26</v>
      </c>
      <c r="I1420" t="s">
        <v>106</v>
      </c>
      <c r="J1420" t="s">
        <v>60</v>
      </c>
      <c r="K1420" t="s">
        <v>29</v>
      </c>
      <c r="L1420" t="s">
        <v>895</v>
      </c>
      <c r="M1420" t="s">
        <v>4402</v>
      </c>
      <c r="O1420" t="s">
        <v>896</v>
      </c>
      <c r="P1420" t="s">
        <v>33</v>
      </c>
      <c r="Q1420">
        <v>975</v>
      </c>
      <c r="R1420" t="s">
        <v>35</v>
      </c>
      <c r="S1420" t="s">
        <v>35</v>
      </c>
      <c r="T1420" t="s">
        <v>35</v>
      </c>
      <c r="U1420" t="s">
        <v>35</v>
      </c>
      <c r="V1420" t="s">
        <v>645</v>
      </c>
      <c r="W1420" t="s">
        <v>113</v>
      </c>
    </row>
    <row r="1421" spans="1:23" hidden="1" x14ac:dyDescent="0.25">
      <c r="A1421" s="7" t="str">
        <f>IFERROR(VLOOKUP(H1421,'Contas Orç'!A:B,2,0),"N/A")</f>
        <v>PECAS E ACESSORIOS</v>
      </c>
      <c r="B1421" s="7" t="str">
        <f t="shared" si="44"/>
        <v>320301004 - PECAS E ACESSORIOS</v>
      </c>
      <c r="C1421" s="25">
        <f t="shared" si="45"/>
        <v>44743</v>
      </c>
      <c r="D1421" s="27">
        <f>IF(K1421="CREDITO",Q1421,Q1421*-1)</f>
        <v>315.95999999999998</v>
      </c>
      <c r="E1421" t="s">
        <v>894</v>
      </c>
      <c r="F1421" t="s">
        <v>1915</v>
      </c>
      <c r="G1421" s="8">
        <v>44743</v>
      </c>
      <c r="H1421" t="s">
        <v>26</v>
      </c>
      <c r="I1421" t="s">
        <v>27</v>
      </c>
      <c r="J1421" t="s">
        <v>60</v>
      </c>
      <c r="K1421" t="s">
        <v>29</v>
      </c>
      <c r="L1421" t="s">
        <v>895</v>
      </c>
      <c r="M1421" t="s">
        <v>4402</v>
      </c>
      <c r="O1421" t="s">
        <v>896</v>
      </c>
      <c r="P1421" t="s">
        <v>33</v>
      </c>
      <c r="Q1421">
        <v>315.95999999999998</v>
      </c>
      <c r="R1421" t="s">
        <v>35</v>
      </c>
      <c r="S1421" t="s">
        <v>35</v>
      </c>
      <c r="T1421" t="s">
        <v>35</v>
      </c>
      <c r="U1421" t="s">
        <v>35</v>
      </c>
      <c r="V1421" t="s">
        <v>645</v>
      </c>
      <c r="W1421" t="s">
        <v>113</v>
      </c>
    </row>
    <row r="1422" spans="1:23" hidden="1" x14ac:dyDescent="0.25">
      <c r="A1422" s="7" t="str">
        <f>IFERROR(VLOOKUP(H1422,'Contas Orç'!A:B,2,0),"N/A")</f>
        <v>PECAS E ACESSORIOS</v>
      </c>
      <c r="B1422" s="7" t="str">
        <f t="shared" si="44"/>
        <v>320301004 - PECAS E ACESSORIOS</v>
      </c>
      <c r="C1422" s="25">
        <f t="shared" si="45"/>
        <v>44743</v>
      </c>
      <c r="D1422" s="27">
        <f>IF(K1422="CREDITO",Q1422,Q1422*-1)</f>
        <v>118285.43</v>
      </c>
      <c r="E1422" t="s">
        <v>894</v>
      </c>
      <c r="F1422" t="s">
        <v>1916</v>
      </c>
      <c r="G1422" s="8">
        <v>44743</v>
      </c>
      <c r="H1422" t="s">
        <v>26</v>
      </c>
      <c r="I1422" t="s">
        <v>59</v>
      </c>
      <c r="J1422" t="s">
        <v>60</v>
      </c>
      <c r="K1422" t="s">
        <v>29</v>
      </c>
      <c r="L1422" t="s">
        <v>895</v>
      </c>
      <c r="M1422" t="s">
        <v>4402</v>
      </c>
      <c r="O1422" t="s">
        <v>896</v>
      </c>
      <c r="P1422" t="s">
        <v>33</v>
      </c>
      <c r="Q1422" s="22">
        <v>118285.43</v>
      </c>
      <c r="R1422" t="s">
        <v>35</v>
      </c>
      <c r="S1422" t="s">
        <v>35</v>
      </c>
      <c r="T1422" t="s">
        <v>35</v>
      </c>
      <c r="U1422" t="s">
        <v>35</v>
      </c>
      <c r="V1422" t="s">
        <v>645</v>
      </c>
      <c r="W1422" t="s">
        <v>113</v>
      </c>
    </row>
    <row r="1423" spans="1:23" hidden="1" x14ac:dyDescent="0.25">
      <c r="A1423" s="7" t="str">
        <f>IFERROR(VLOOKUP(H1423,'Contas Orç'!A:B,2,0),"N/A")</f>
        <v>PECAS E ACESSORIOS</v>
      </c>
      <c r="B1423" s="7" t="str">
        <f t="shared" si="44"/>
        <v>320301004 - PECAS E ACESSORIOS</v>
      </c>
      <c r="C1423" s="25">
        <f t="shared" si="45"/>
        <v>44743</v>
      </c>
      <c r="D1423" s="27">
        <f>IF(K1423="CREDITO",Q1423,Q1423*-1)</f>
        <v>46422.19</v>
      </c>
      <c r="E1423" t="s">
        <v>894</v>
      </c>
      <c r="F1423" t="s">
        <v>1917</v>
      </c>
      <c r="G1423" s="8">
        <v>44743</v>
      </c>
      <c r="H1423" t="s">
        <v>26</v>
      </c>
      <c r="I1423" t="s">
        <v>59</v>
      </c>
      <c r="J1423" t="s">
        <v>107</v>
      </c>
      <c r="K1423" t="s">
        <v>29</v>
      </c>
      <c r="L1423" t="s">
        <v>895</v>
      </c>
      <c r="M1423" t="s">
        <v>4402</v>
      </c>
      <c r="O1423" t="s">
        <v>896</v>
      </c>
      <c r="P1423" t="s">
        <v>33</v>
      </c>
      <c r="Q1423" s="22">
        <v>46422.19</v>
      </c>
      <c r="R1423" t="s">
        <v>35</v>
      </c>
      <c r="S1423" t="s">
        <v>35</v>
      </c>
      <c r="T1423" t="s">
        <v>35</v>
      </c>
      <c r="U1423" t="s">
        <v>35</v>
      </c>
      <c r="V1423" t="s">
        <v>645</v>
      </c>
      <c r="W1423" t="s">
        <v>113</v>
      </c>
    </row>
    <row r="1424" spans="1:23" hidden="1" x14ac:dyDescent="0.25">
      <c r="A1424" s="7" t="str">
        <f>IFERROR(VLOOKUP(H1424,'Contas Orç'!A:B,2,0),"N/A")</f>
        <v>PECAS E ACESSORIOS</v>
      </c>
      <c r="B1424" s="7" t="str">
        <f t="shared" si="44"/>
        <v>320301004 - PECAS E ACESSORIOS</v>
      </c>
      <c r="C1424" s="25">
        <f t="shared" si="45"/>
        <v>44743</v>
      </c>
      <c r="D1424" s="27">
        <f>IF(K1424="CREDITO",Q1424,Q1424*-1)</f>
        <v>2536.39</v>
      </c>
      <c r="E1424" t="s">
        <v>894</v>
      </c>
      <c r="F1424" t="s">
        <v>1918</v>
      </c>
      <c r="G1424" s="8">
        <v>44743</v>
      </c>
      <c r="H1424" t="s">
        <v>26</v>
      </c>
      <c r="I1424" t="s">
        <v>59</v>
      </c>
      <c r="J1424" t="s">
        <v>95</v>
      </c>
      <c r="K1424" t="s">
        <v>29</v>
      </c>
      <c r="L1424" t="s">
        <v>895</v>
      </c>
      <c r="M1424" t="s">
        <v>4402</v>
      </c>
      <c r="O1424" t="s">
        <v>896</v>
      </c>
      <c r="P1424" t="s">
        <v>33</v>
      </c>
      <c r="Q1424" s="22">
        <v>2536.39</v>
      </c>
      <c r="R1424" t="s">
        <v>35</v>
      </c>
      <c r="S1424" t="s">
        <v>35</v>
      </c>
      <c r="T1424" t="s">
        <v>35</v>
      </c>
      <c r="U1424" t="s">
        <v>35</v>
      </c>
      <c r="V1424" t="s">
        <v>645</v>
      </c>
      <c r="W1424" t="s">
        <v>113</v>
      </c>
    </row>
    <row r="1425" spans="1:23" hidden="1" x14ac:dyDescent="0.25">
      <c r="A1425" s="7" t="str">
        <f>IFERROR(VLOOKUP(H1425,'Contas Orç'!A:B,2,0),"N/A")</f>
        <v>PECAS E ACESSORIOS</v>
      </c>
      <c r="B1425" s="7" t="str">
        <f t="shared" si="44"/>
        <v>320301004 - PECAS E ACESSORIOS</v>
      </c>
      <c r="C1425" s="25">
        <f t="shared" si="45"/>
        <v>44743</v>
      </c>
      <c r="D1425" s="27">
        <f>IF(K1425="CREDITO",Q1425,Q1425*-1)</f>
        <v>9418.0300000000007</v>
      </c>
      <c r="E1425" t="s">
        <v>894</v>
      </c>
      <c r="F1425" t="s">
        <v>1919</v>
      </c>
      <c r="G1425" s="8">
        <v>44743</v>
      </c>
      <c r="H1425" t="s">
        <v>26</v>
      </c>
      <c r="I1425" t="s">
        <v>125</v>
      </c>
      <c r="J1425" t="s">
        <v>95</v>
      </c>
      <c r="K1425" t="s">
        <v>29</v>
      </c>
      <c r="L1425" t="s">
        <v>895</v>
      </c>
      <c r="M1425" t="s">
        <v>4402</v>
      </c>
      <c r="O1425" t="s">
        <v>896</v>
      </c>
      <c r="P1425" t="s">
        <v>33</v>
      </c>
      <c r="Q1425" s="22">
        <v>9418.0300000000007</v>
      </c>
      <c r="R1425" t="s">
        <v>35</v>
      </c>
      <c r="S1425" t="s">
        <v>35</v>
      </c>
      <c r="T1425" t="s">
        <v>35</v>
      </c>
      <c r="U1425" t="s">
        <v>35</v>
      </c>
      <c r="V1425" t="s">
        <v>645</v>
      </c>
      <c r="W1425" t="s">
        <v>113</v>
      </c>
    </row>
    <row r="1426" spans="1:23" hidden="1" x14ac:dyDescent="0.25">
      <c r="A1426" s="7" t="str">
        <f>IFERROR(VLOOKUP(H1426,'Contas Orç'!A:B,2,0),"N/A")</f>
        <v>PECAS E ACESSORIOS</v>
      </c>
      <c r="B1426" s="7" t="str">
        <f t="shared" si="44"/>
        <v>320301004 - PECAS E ACESSORIOS</v>
      </c>
      <c r="C1426" s="25">
        <f t="shared" si="45"/>
        <v>44743</v>
      </c>
      <c r="D1426" s="27">
        <f>IF(K1426="CREDITO",Q1426,Q1426*-1)</f>
        <v>20352.240000000002</v>
      </c>
      <c r="E1426" t="s">
        <v>894</v>
      </c>
      <c r="F1426" t="s">
        <v>1920</v>
      </c>
      <c r="G1426" s="8">
        <v>44743</v>
      </c>
      <c r="H1426" t="s">
        <v>26</v>
      </c>
      <c r="I1426" t="s">
        <v>53</v>
      </c>
      <c r="J1426" t="s">
        <v>54</v>
      </c>
      <c r="K1426" t="s">
        <v>29</v>
      </c>
      <c r="L1426" t="s">
        <v>895</v>
      </c>
      <c r="M1426" t="s">
        <v>4402</v>
      </c>
      <c r="O1426" t="s">
        <v>896</v>
      </c>
      <c r="P1426" t="s">
        <v>33</v>
      </c>
      <c r="Q1426" s="22">
        <v>20352.240000000002</v>
      </c>
      <c r="R1426" t="s">
        <v>35</v>
      </c>
      <c r="S1426" t="s">
        <v>35</v>
      </c>
      <c r="T1426" t="s">
        <v>35</v>
      </c>
      <c r="U1426" t="s">
        <v>35</v>
      </c>
      <c r="V1426" t="s">
        <v>645</v>
      </c>
      <c r="W1426" t="s">
        <v>113</v>
      </c>
    </row>
    <row r="1427" spans="1:23" hidden="1" x14ac:dyDescent="0.25">
      <c r="A1427" s="7" t="str">
        <f>IFERROR(VLOOKUP(H1427,'Contas Orç'!A:B,2,0),"N/A")</f>
        <v>PECAS E ACESSORIOS</v>
      </c>
      <c r="B1427" s="7" t="str">
        <f t="shared" si="44"/>
        <v>320301004 - PECAS E ACESSORIOS</v>
      </c>
      <c r="C1427" s="25">
        <f t="shared" si="45"/>
        <v>44774</v>
      </c>
      <c r="D1427" s="27">
        <f>IF(K1427="CREDITO",Q1427,Q1427*-1)</f>
        <v>1526.8</v>
      </c>
      <c r="E1427" t="s">
        <v>894</v>
      </c>
      <c r="F1427" t="s">
        <v>1921</v>
      </c>
      <c r="G1427" s="8">
        <v>44774</v>
      </c>
      <c r="H1427" t="s">
        <v>26</v>
      </c>
      <c r="I1427" t="s">
        <v>88</v>
      </c>
      <c r="J1427" t="s">
        <v>28</v>
      </c>
      <c r="K1427" t="s">
        <v>29</v>
      </c>
      <c r="L1427" t="s">
        <v>895</v>
      </c>
      <c r="M1427" t="s">
        <v>4402</v>
      </c>
      <c r="O1427" t="s">
        <v>896</v>
      </c>
      <c r="P1427" t="s">
        <v>33</v>
      </c>
      <c r="Q1427" s="22">
        <v>1526.8</v>
      </c>
      <c r="R1427" t="s">
        <v>35</v>
      </c>
      <c r="S1427" t="s">
        <v>35</v>
      </c>
      <c r="T1427" t="s">
        <v>35</v>
      </c>
      <c r="U1427" t="s">
        <v>35</v>
      </c>
      <c r="V1427" t="s">
        <v>645</v>
      </c>
      <c r="W1427" t="s">
        <v>113</v>
      </c>
    </row>
    <row r="1428" spans="1:23" hidden="1" x14ac:dyDescent="0.25">
      <c r="A1428" s="7" t="str">
        <f>IFERROR(VLOOKUP(H1428,'Contas Orç'!A:B,2,0),"N/A")</f>
        <v>PECAS E ACESSORIOS</v>
      </c>
      <c r="B1428" s="7" t="str">
        <f t="shared" si="44"/>
        <v>320301004 - PECAS E ACESSORIOS</v>
      </c>
      <c r="C1428" s="25">
        <f t="shared" si="45"/>
        <v>44774</v>
      </c>
      <c r="D1428" s="27">
        <f>IF(K1428="CREDITO",Q1428,Q1428*-1)</f>
        <v>50650.87</v>
      </c>
      <c r="E1428" t="s">
        <v>894</v>
      </c>
      <c r="F1428" t="s">
        <v>1922</v>
      </c>
      <c r="G1428" s="8">
        <v>44774</v>
      </c>
      <c r="H1428" t="s">
        <v>26</v>
      </c>
      <c r="I1428" t="s">
        <v>27</v>
      </c>
      <c r="J1428" t="s">
        <v>28</v>
      </c>
      <c r="K1428" t="s">
        <v>29</v>
      </c>
      <c r="L1428" t="s">
        <v>895</v>
      </c>
      <c r="M1428" t="s">
        <v>4402</v>
      </c>
      <c r="O1428" t="s">
        <v>896</v>
      </c>
      <c r="P1428" t="s">
        <v>33</v>
      </c>
      <c r="Q1428" s="22">
        <v>50650.87</v>
      </c>
      <c r="R1428" t="s">
        <v>35</v>
      </c>
      <c r="S1428" t="s">
        <v>35</v>
      </c>
      <c r="T1428" t="s">
        <v>35</v>
      </c>
      <c r="U1428" t="s">
        <v>35</v>
      </c>
      <c r="V1428" t="s">
        <v>645</v>
      </c>
      <c r="W1428" t="s">
        <v>113</v>
      </c>
    </row>
    <row r="1429" spans="1:23" hidden="1" x14ac:dyDescent="0.25">
      <c r="A1429" s="7" t="str">
        <f>IFERROR(VLOOKUP(H1429,'Contas Orç'!A:B,2,0),"N/A")</f>
        <v>PECAS E ACESSORIOS</v>
      </c>
      <c r="B1429" s="7" t="str">
        <f t="shared" si="44"/>
        <v>320301004 - PECAS E ACESSORIOS</v>
      </c>
      <c r="C1429" s="25">
        <f t="shared" si="45"/>
        <v>44774</v>
      </c>
      <c r="D1429" s="27">
        <f>IF(K1429="CREDITO",Q1429,Q1429*-1)</f>
        <v>90.75</v>
      </c>
      <c r="E1429" t="s">
        <v>894</v>
      </c>
      <c r="F1429" t="s">
        <v>1923</v>
      </c>
      <c r="G1429" s="8">
        <v>44774</v>
      </c>
      <c r="H1429" t="s">
        <v>26</v>
      </c>
      <c r="I1429" t="s">
        <v>59</v>
      </c>
      <c r="J1429" t="s">
        <v>28</v>
      </c>
      <c r="K1429" t="s">
        <v>29</v>
      </c>
      <c r="L1429" t="s">
        <v>895</v>
      </c>
      <c r="M1429" t="s">
        <v>4402</v>
      </c>
      <c r="O1429" t="s">
        <v>896</v>
      </c>
      <c r="P1429" t="s">
        <v>33</v>
      </c>
      <c r="Q1429">
        <v>90.75</v>
      </c>
      <c r="R1429" t="s">
        <v>35</v>
      </c>
      <c r="S1429" t="s">
        <v>35</v>
      </c>
      <c r="T1429" t="s">
        <v>35</v>
      </c>
      <c r="U1429" t="s">
        <v>35</v>
      </c>
      <c r="V1429" t="s">
        <v>645</v>
      </c>
      <c r="W1429" t="s">
        <v>113</v>
      </c>
    </row>
    <row r="1430" spans="1:23" hidden="1" x14ac:dyDescent="0.25">
      <c r="A1430" s="7" t="str">
        <f>IFERROR(VLOOKUP(H1430,'Contas Orç'!A:B,2,0),"N/A")</f>
        <v>PECAS E ACESSORIOS</v>
      </c>
      <c r="B1430" s="7" t="str">
        <f t="shared" si="44"/>
        <v>320301004 - PECAS E ACESSORIOS</v>
      </c>
      <c r="C1430" s="25">
        <f t="shared" si="45"/>
        <v>44774</v>
      </c>
      <c r="D1430" s="27">
        <f>IF(K1430="CREDITO",Q1430,Q1430*-1)</f>
        <v>237</v>
      </c>
      <c r="E1430" t="s">
        <v>894</v>
      </c>
      <c r="F1430" t="s">
        <v>1924</v>
      </c>
      <c r="G1430" s="8">
        <v>44774</v>
      </c>
      <c r="H1430" t="s">
        <v>26</v>
      </c>
      <c r="I1430" t="s">
        <v>106</v>
      </c>
      <c r="J1430" t="s">
        <v>60</v>
      </c>
      <c r="K1430" t="s">
        <v>29</v>
      </c>
      <c r="L1430" t="s">
        <v>895</v>
      </c>
      <c r="M1430" t="s">
        <v>4402</v>
      </c>
      <c r="O1430" t="s">
        <v>896</v>
      </c>
      <c r="P1430" t="s">
        <v>33</v>
      </c>
      <c r="Q1430">
        <v>237</v>
      </c>
      <c r="R1430" t="s">
        <v>35</v>
      </c>
      <c r="S1430" t="s">
        <v>35</v>
      </c>
      <c r="T1430" t="s">
        <v>35</v>
      </c>
      <c r="U1430" t="s">
        <v>35</v>
      </c>
      <c r="V1430" t="s">
        <v>645</v>
      </c>
      <c r="W1430" t="s">
        <v>113</v>
      </c>
    </row>
    <row r="1431" spans="1:23" hidden="1" x14ac:dyDescent="0.25">
      <c r="A1431" s="7" t="str">
        <f>IFERROR(VLOOKUP(H1431,'Contas Orç'!A:B,2,0),"N/A")</f>
        <v>PECAS E ACESSORIOS</v>
      </c>
      <c r="B1431" s="7" t="str">
        <f t="shared" si="44"/>
        <v>320301004 - PECAS E ACESSORIOS</v>
      </c>
      <c r="C1431" s="25">
        <f t="shared" si="45"/>
        <v>44774</v>
      </c>
      <c r="D1431" s="27">
        <f>IF(K1431="CREDITO",Q1431,Q1431*-1)</f>
        <v>233.35</v>
      </c>
      <c r="E1431" t="s">
        <v>894</v>
      </c>
      <c r="F1431" t="s">
        <v>1925</v>
      </c>
      <c r="G1431" s="8">
        <v>44774</v>
      </c>
      <c r="H1431" t="s">
        <v>26</v>
      </c>
      <c r="I1431" t="s">
        <v>27</v>
      </c>
      <c r="J1431" t="s">
        <v>60</v>
      </c>
      <c r="K1431" t="s">
        <v>29</v>
      </c>
      <c r="L1431" t="s">
        <v>895</v>
      </c>
      <c r="M1431" t="s">
        <v>4402</v>
      </c>
      <c r="O1431" t="s">
        <v>896</v>
      </c>
      <c r="P1431" t="s">
        <v>33</v>
      </c>
      <c r="Q1431">
        <v>233.35</v>
      </c>
      <c r="R1431" t="s">
        <v>35</v>
      </c>
      <c r="S1431" t="s">
        <v>35</v>
      </c>
      <c r="T1431" t="s">
        <v>35</v>
      </c>
      <c r="U1431" t="s">
        <v>35</v>
      </c>
      <c r="V1431" t="s">
        <v>645</v>
      </c>
      <c r="W1431" t="s">
        <v>113</v>
      </c>
    </row>
    <row r="1432" spans="1:23" hidden="1" x14ac:dyDescent="0.25">
      <c r="A1432" s="7" t="str">
        <f>IFERROR(VLOOKUP(H1432,'Contas Orç'!A:B,2,0),"N/A")</f>
        <v>PECAS E ACESSORIOS</v>
      </c>
      <c r="B1432" s="7" t="str">
        <f t="shared" si="44"/>
        <v>320301004 - PECAS E ACESSORIOS</v>
      </c>
      <c r="C1432" s="25">
        <f t="shared" si="45"/>
        <v>44774</v>
      </c>
      <c r="D1432" s="27">
        <f>IF(K1432="CREDITO",Q1432,Q1432*-1)</f>
        <v>36283.25</v>
      </c>
      <c r="E1432" t="s">
        <v>894</v>
      </c>
      <c r="F1432" t="s">
        <v>1926</v>
      </c>
      <c r="G1432" s="8">
        <v>44774</v>
      </c>
      <c r="H1432" t="s">
        <v>26</v>
      </c>
      <c r="I1432" t="s">
        <v>59</v>
      </c>
      <c r="J1432" t="s">
        <v>60</v>
      </c>
      <c r="K1432" t="s">
        <v>29</v>
      </c>
      <c r="L1432" t="s">
        <v>895</v>
      </c>
      <c r="M1432" t="s">
        <v>4402</v>
      </c>
      <c r="O1432" t="s">
        <v>896</v>
      </c>
      <c r="P1432" t="s">
        <v>33</v>
      </c>
      <c r="Q1432" s="22">
        <v>36283.25</v>
      </c>
      <c r="R1432" t="s">
        <v>35</v>
      </c>
      <c r="S1432" t="s">
        <v>35</v>
      </c>
      <c r="T1432" t="s">
        <v>35</v>
      </c>
      <c r="U1432" t="s">
        <v>35</v>
      </c>
      <c r="V1432" t="s">
        <v>645</v>
      </c>
      <c r="W1432" t="s">
        <v>113</v>
      </c>
    </row>
    <row r="1433" spans="1:23" hidden="1" x14ac:dyDescent="0.25">
      <c r="A1433" s="7" t="str">
        <f>IFERROR(VLOOKUP(H1433,'Contas Orç'!A:B,2,0),"N/A")</f>
        <v>PECAS E ACESSORIOS</v>
      </c>
      <c r="B1433" s="7" t="str">
        <f t="shared" si="44"/>
        <v>320301004 - PECAS E ACESSORIOS</v>
      </c>
      <c r="C1433" s="25">
        <f t="shared" si="45"/>
        <v>44774</v>
      </c>
      <c r="D1433" s="27">
        <f>IF(K1433="CREDITO",Q1433,Q1433*-1)</f>
        <v>56399.21</v>
      </c>
      <c r="E1433" t="s">
        <v>894</v>
      </c>
      <c r="F1433" t="s">
        <v>1927</v>
      </c>
      <c r="G1433" s="8">
        <v>44774</v>
      </c>
      <c r="H1433" t="s">
        <v>26</v>
      </c>
      <c r="I1433" t="s">
        <v>59</v>
      </c>
      <c r="J1433" t="s">
        <v>107</v>
      </c>
      <c r="K1433" t="s">
        <v>29</v>
      </c>
      <c r="L1433" t="s">
        <v>895</v>
      </c>
      <c r="M1433" t="s">
        <v>4402</v>
      </c>
      <c r="O1433" t="s">
        <v>896</v>
      </c>
      <c r="P1433" t="s">
        <v>33</v>
      </c>
      <c r="Q1433" s="22">
        <v>56399.21</v>
      </c>
      <c r="R1433" t="s">
        <v>35</v>
      </c>
      <c r="S1433" t="s">
        <v>35</v>
      </c>
      <c r="T1433" t="s">
        <v>35</v>
      </c>
      <c r="U1433" t="s">
        <v>35</v>
      </c>
      <c r="V1433" t="s">
        <v>645</v>
      </c>
      <c r="W1433" t="s">
        <v>113</v>
      </c>
    </row>
    <row r="1434" spans="1:23" hidden="1" x14ac:dyDescent="0.25">
      <c r="A1434" s="7" t="str">
        <f>IFERROR(VLOOKUP(H1434,'Contas Orç'!A:B,2,0),"N/A")</f>
        <v>PECAS E ACESSORIOS</v>
      </c>
      <c r="B1434" s="7" t="str">
        <f t="shared" si="44"/>
        <v>320301004 - PECAS E ACESSORIOS</v>
      </c>
      <c r="C1434" s="25">
        <f t="shared" si="45"/>
        <v>44774</v>
      </c>
      <c r="D1434" s="27">
        <f>IF(K1434="CREDITO",Q1434,Q1434*-1)</f>
        <v>124.33</v>
      </c>
      <c r="E1434" t="s">
        <v>894</v>
      </c>
      <c r="F1434" t="s">
        <v>1928</v>
      </c>
      <c r="G1434" s="8">
        <v>44774</v>
      </c>
      <c r="H1434" t="s">
        <v>26</v>
      </c>
      <c r="I1434" t="s">
        <v>59</v>
      </c>
      <c r="J1434" t="s">
        <v>95</v>
      </c>
      <c r="K1434" t="s">
        <v>29</v>
      </c>
      <c r="L1434" t="s">
        <v>895</v>
      </c>
      <c r="M1434" t="s">
        <v>4402</v>
      </c>
      <c r="O1434" t="s">
        <v>896</v>
      </c>
      <c r="P1434" t="s">
        <v>33</v>
      </c>
      <c r="Q1434">
        <v>124.33</v>
      </c>
      <c r="R1434" t="s">
        <v>35</v>
      </c>
      <c r="S1434" t="s">
        <v>35</v>
      </c>
      <c r="T1434" t="s">
        <v>35</v>
      </c>
      <c r="U1434" t="s">
        <v>35</v>
      </c>
      <c r="V1434" t="s">
        <v>645</v>
      </c>
      <c r="W1434" t="s">
        <v>113</v>
      </c>
    </row>
    <row r="1435" spans="1:23" hidden="1" x14ac:dyDescent="0.25">
      <c r="A1435" s="7" t="str">
        <f>IFERROR(VLOOKUP(H1435,'Contas Orç'!A:B,2,0),"N/A")</f>
        <v>PECAS E ACESSORIOS</v>
      </c>
      <c r="B1435" s="7" t="str">
        <f t="shared" si="44"/>
        <v>320301004 - PECAS E ACESSORIOS</v>
      </c>
      <c r="C1435" s="25">
        <f t="shared" si="45"/>
        <v>44774</v>
      </c>
      <c r="D1435" s="27">
        <f>IF(K1435="CREDITO",Q1435,Q1435*-1)</f>
        <v>2409.81</v>
      </c>
      <c r="E1435" t="s">
        <v>894</v>
      </c>
      <c r="F1435" t="s">
        <v>1929</v>
      </c>
      <c r="G1435" s="8">
        <v>44774</v>
      </c>
      <c r="H1435" t="s">
        <v>26</v>
      </c>
      <c r="I1435" t="s">
        <v>125</v>
      </c>
      <c r="J1435" t="s">
        <v>95</v>
      </c>
      <c r="K1435" t="s">
        <v>29</v>
      </c>
      <c r="L1435" t="s">
        <v>895</v>
      </c>
      <c r="M1435" t="s">
        <v>4402</v>
      </c>
      <c r="O1435" t="s">
        <v>896</v>
      </c>
      <c r="P1435" t="s">
        <v>33</v>
      </c>
      <c r="Q1435" s="22">
        <v>2409.81</v>
      </c>
      <c r="R1435" t="s">
        <v>35</v>
      </c>
      <c r="S1435" t="s">
        <v>35</v>
      </c>
      <c r="T1435" t="s">
        <v>35</v>
      </c>
      <c r="U1435" t="s">
        <v>35</v>
      </c>
      <c r="V1435" t="s">
        <v>645</v>
      </c>
      <c r="W1435" t="s">
        <v>113</v>
      </c>
    </row>
    <row r="1436" spans="1:23" hidden="1" x14ac:dyDescent="0.25">
      <c r="A1436" s="7" t="str">
        <f>IFERROR(VLOOKUP(H1436,'Contas Orç'!A:B,2,0),"N/A")</f>
        <v>PECAS E ACESSORIOS</v>
      </c>
      <c r="B1436" s="7" t="str">
        <f t="shared" si="44"/>
        <v>320301004 - PECAS E ACESSORIOS</v>
      </c>
      <c r="C1436" s="25">
        <f t="shared" si="45"/>
        <v>44774</v>
      </c>
      <c r="D1436" s="27">
        <f>IF(K1436="CREDITO",Q1436,Q1436*-1)</f>
        <v>15422.75</v>
      </c>
      <c r="E1436" t="s">
        <v>894</v>
      </c>
      <c r="F1436" t="s">
        <v>1930</v>
      </c>
      <c r="G1436" s="8">
        <v>44774</v>
      </c>
      <c r="H1436" t="s">
        <v>26</v>
      </c>
      <c r="I1436" t="s">
        <v>53</v>
      </c>
      <c r="J1436" t="s">
        <v>54</v>
      </c>
      <c r="K1436" t="s">
        <v>29</v>
      </c>
      <c r="L1436" t="s">
        <v>895</v>
      </c>
      <c r="M1436" t="s">
        <v>4402</v>
      </c>
      <c r="O1436" t="s">
        <v>896</v>
      </c>
      <c r="P1436" t="s">
        <v>33</v>
      </c>
      <c r="Q1436" s="22">
        <v>15422.75</v>
      </c>
      <c r="R1436" t="s">
        <v>35</v>
      </c>
      <c r="S1436" t="s">
        <v>35</v>
      </c>
      <c r="T1436" t="s">
        <v>35</v>
      </c>
      <c r="U1436" t="s">
        <v>35</v>
      </c>
      <c r="V1436" t="s">
        <v>645</v>
      </c>
      <c r="W1436" t="s">
        <v>113</v>
      </c>
    </row>
    <row r="1437" spans="1:23" hidden="1" x14ac:dyDescent="0.25">
      <c r="A1437" s="7" t="str">
        <f>IFERROR(VLOOKUP(H1437,'Contas Orç'!A:B,2,0),"N/A")</f>
        <v>PECAS E ACESSORIOS</v>
      </c>
      <c r="B1437" s="7" t="str">
        <f t="shared" si="44"/>
        <v>320301004 - PECAS E ACESSORIOS</v>
      </c>
      <c r="C1437" s="25">
        <f t="shared" si="45"/>
        <v>44805</v>
      </c>
      <c r="D1437" s="27">
        <f>IF(K1437="CREDITO",Q1437,Q1437*-1)</f>
        <v>28957.69</v>
      </c>
      <c r="E1437" t="s">
        <v>894</v>
      </c>
      <c r="F1437" t="s">
        <v>1931</v>
      </c>
      <c r="G1437" s="8">
        <v>44805</v>
      </c>
      <c r="H1437" t="s">
        <v>26</v>
      </c>
      <c r="I1437" t="s">
        <v>88</v>
      </c>
      <c r="J1437" t="s">
        <v>28</v>
      </c>
      <c r="K1437" t="s">
        <v>29</v>
      </c>
      <c r="L1437" t="s">
        <v>895</v>
      </c>
      <c r="M1437" t="s">
        <v>4402</v>
      </c>
      <c r="O1437" t="s">
        <v>896</v>
      </c>
      <c r="P1437" t="s">
        <v>33</v>
      </c>
      <c r="Q1437" s="22">
        <v>28957.69</v>
      </c>
      <c r="R1437" t="s">
        <v>35</v>
      </c>
      <c r="S1437" t="s">
        <v>35</v>
      </c>
      <c r="T1437" t="s">
        <v>35</v>
      </c>
      <c r="U1437" t="s">
        <v>35</v>
      </c>
      <c r="V1437" t="s">
        <v>645</v>
      </c>
      <c r="W1437" t="s">
        <v>113</v>
      </c>
    </row>
    <row r="1438" spans="1:23" hidden="1" x14ac:dyDescent="0.25">
      <c r="A1438" s="7" t="str">
        <f>IFERROR(VLOOKUP(H1438,'Contas Orç'!A:B,2,0),"N/A")</f>
        <v>PECAS E ACESSORIOS</v>
      </c>
      <c r="B1438" s="7" t="str">
        <f t="shared" si="44"/>
        <v>320301004 - PECAS E ACESSORIOS</v>
      </c>
      <c r="C1438" s="25">
        <f t="shared" si="45"/>
        <v>44805</v>
      </c>
      <c r="D1438" s="27">
        <f>IF(K1438="CREDITO",Q1438,Q1438*-1)</f>
        <v>55489.93</v>
      </c>
      <c r="E1438" t="s">
        <v>894</v>
      </c>
      <c r="F1438" t="s">
        <v>1932</v>
      </c>
      <c r="G1438" s="8">
        <v>44805</v>
      </c>
      <c r="H1438" t="s">
        <v>26</v>
      </c>
      <c r="I1438" t="s">
        <v>27</v>
      </c>
      <c r="J1438" t="s">
        <v>28</v>
      </c>
      <c r="K1438" t="s">
        <v>29</v>
      </c>
      <c r="L1438" t="s">
        <v>895</v>
      </c>
      <c r="M1438" t="s">
        <v>4402</v>
      </c>
      <c r="O1438" t="s">
        <v>896</v>
      </c>
      <c r="P1438" t="s">
        <v>33</v>
      </c>
      <c r="Q1438" s="22">
        <v>55489.93</v>
      </c>
      <c r="R1438" t="s">
        <v>35</v>
      </c>
      <c r="S1438" t="s">
        <v>35</v>
      </c>
      <c r="T1438" t="s">
        <v>35</v>
      </c>
      <c r="U1438" t="s">
        <v>35</v>
      </c>
      <c r="V1438" t="s">
        <v>645</v>
      </c>
      <c r="W1438" t="s">
        <v>113</v>
      </c>
    </row>
    <row r="1439" spans="1:23" hidden="1" x14ac:dyDescent="0.25">
      <c r="A1439" s="7" t="str">
        <f>IFERROR(VLOOKUP(H1439,'Contas Orç'!A:B,2,0),"N/A")</f>
        <v>PECAS E ACESSORIOS</v>
      </c>
      <c r="B1439" s="7" t="str">
        <f t="shared" si="44"/>
        <v>320301004 - PECAS E ACESSORIOS</v>
      </c>
      <c r="C1439" s="25">
        <f t="shared" si="45"/>
        <v>44805</v>
      </c>
      <c r="D1439" s="27">
        <f>IF(K1439="CREDITO",Q1439,Q1439*-1)</f>
        <v>76.47</v>
      </c>
      <c r="E1439" t="s">
        <v>894</v>
      </c>
      <c r="F1439" t="s">
        <v>1933</v>
      </c>
      <c r="G1439" s="8">
        <v>44805</v>
      </c>
      <c r="H1439" t="s">
        <v>26</v>
      </c>
      <c r="I1439" t="s">
        <v>59</v>
      </c>
      <c r="J1439" t="s">
        <v>28</v>
      </c>
      <c r="K1439" t="s">
        <v>29</v>
      </c>
      <c r="L1439" t="s">
        <v>895</v>
      </c>
      <c r="M1439" t="s">
        <v>4402</v>
      </c>
      <c r="O1439" t="s">
        <v>896</v>
      </c>
      <c r="P1439" t="s">
        <v>33</v>
      </c>
      <c r="Q1439">
        <v>76.47</v>
      </c>
      <c r="R1439" t="s">
        <v>35</v>
      </c>
      <c r="S1439" t="s">
        <v>35</v>
      </c>
      <c r="T1439" t="s">
        <v>35</v>
      </c>
      <c r="U1439" t="s">
        <v>35</v>
      </c>
      <c r="V1439" t="s">
        <v>645</v>
      </c>
      <c r="W1439" t="s">
        <v>113</v>
      </c>
    </row>
    <row r="1440" spans="1:23" hidden="1" x14ac:dyDescent="0.25">
      <c r="A1440" s="7" t="str">
        <f>IFERROR(VLOOKUP(H1440,'Contas Orç'!A:B,2,0),"N/A")</f>
        <v>PECAS E ACESSORIOS</v>
      </c>
      <c r="B1440" s="7" t="str">
        <f t="shared" si="44"/>
        <v>320301004 - PECAS E ACESSORIOS</v>
      </c>
      <c r="C1440" s="25">
        <f t="shared" si="45"/>
        <v>44805</v>
      </c>
      <c r="D1440" s="27">
        <f>IF(K1440="CREDITO",Q1440,Q1440*-1)</f>
        <v>11398.56</v>
      </c>
      <c r="E1440" t="s">
        <v>894</v>
      </c>
      <c r="F1440" t="s">
        <v>1934</v>
      </c>
      <c r="G1440" s="8">
        <v>44805</v>
      </c>
      <c r="H1440" t="s">
        <v>26</v>
      </c>
      <c r="I1440" t="s">
        <v>106</v>
      </c>
      <c r="J1440" t="s">
        <v>60</v>
      </c>
      <c r="K1440" t="s">
        <v>29</v>
      </c>
      <c r="L1440" t="s">
        <v>895</v>
      </c>
      <c r="M1440" t="s">
        <v>4402</v>
      </c>
      <c r="O1440" t="s">
        <v>896</v>
      </c>
      <c r="P1440" t="s">
        <v>33</v>
      </c>
      <c r="Q1440" s="22">
        <v>11398.56</v>
      </c>
      <c r="R1440" t="s">
        <v>35</v>
      </c>
      <c r="S1440" t="s">
        <v>35</v>
      </c>
      <c r="T1440" t="s">
        <v>35</v>
      </c>
      <c r="U1440" t="s">
        <v>35</v>
      </c>
      <c r="V1440" t="s">
        <v>645</v>
      </c>
      <c r="W1440" t="s">
        <v>113</v>
      </c>
    </row>
    <row r="1441" spans="1:23" hidden="1" x14ac:dyDescent="0.25">
      <c r="A1441" s="7" t="str">
        <f>IFERROR(VLOOKUP(H1441,'Contas Orç'!A:B,2,0),"N/A")</f>
        <v>PECAS E ACESSORIOS</v>
      </c>
      <c r="B1441" s="7" t="str">
        <f t="shared" si="44"/>
        <v>320301004 - PECAS E ACESSORIOS</v>
      </c>
      <c r="C1441" s="25">
        <f t="shared" si="45"/>
        <v>44805</v>
      </c>
      <c r="D1441" s="27">
        <f>IF(K1441="CREDITO",Q1441,Q1441*-1)</f>
        <v>363431.11</v>
      </c>
      <c r="E1441" t="s">
        <v>894</v>
      </c>
      <c r="F1441" t="s">
        <v>1935</v>
      </c>
      <c r="G1441" s="8">
        <v>44805</v>
      </c>
      <c r="H1441" t="s">
        <v>26</v>
      </c>
      <c r="I1441" t="s">
        <v>59</v>
      </c>
      <c r="J1441" t="s">
        <v>60</v>
      </c>
      <c r="K1441" t="s">
        <v>29</v>
      </c>
      <c r="L1441" t="s">
        <v>895</v>
      </c>
      <c r="M1441" t="s">
        <v>4402</v>
      </c>
      <c r="O1441" t="s">
        <v>896</v>
      </c>
      <c r="P1441" t="s">
        <v>33</v>
      </c>
      <c r="Q1441" s="22">
        <v>363431.11</v>
      </c>
      <c r="R1441" t="s">
        <v>35</v>
      </c>
      <c r="S1441" t="s">
        <v>35</v>
      </c>
      <c r="T1441" t="s">
        <v>35</v>
      </c>
      <c r="U1441" t="s">
        <v>35</v>
      </c>
      <c r="V1441" t="s">
        <v>645</v>
      </c>
      <c r="W1441" t="s">
        <v>113</v>
      </c>
    </row>
    <row r="1442" spans="1:23" hidden="1" x14ac:dyDescent="0.25">
      <c r="A1442" s="7" t="str">
        <f>IFERROR(VLOOKUP(H1442,'Contas Orç'!A:B,2,0),"N/A")</f>
        <v>PECAS E ACESSORIOS</v>
      </c>
      <c r="B1442" s="7" t="str">
        <f t="shared" si="44"/>
        <v>320301004 - PECAS E ACESSORIOS</v>
      </c>
      <c r="C1442" s="25">
        <f t="shared" si="45"/>
        <v>44805</v>
      </c>
      <c r="D1442" s="27">
        <f>IF(K1442="CREDITO",Q1442,Q1442*-1)</f>
        <v>1861.72</v>
      </c>
      <c r="E1442" t="s">
        <v>894</v>
      </c>
      <c r="F1442" t="s">
        <v>1936</v>
      </c>
      <c r="G1442" s="8">
        <v>44805</v>
      </c>
      <c r="H1442" t="s">
        <v>26</v>
      </c>
      <c r="I1442" t="s">
        <v>27</v>
      </c>
      <c r="J1442" t="s">
        <v>107</v>
      </c>
      <c r="K1442" t="s">
        <v>29</v>
      </c>
      <c r="L1442" t="s">
        <v>895</v>
      </c>
      <c r="M1442" t="s">
        <v>4402</v>
      </c>
      <c r="O1442" t="s">
        <v>896</v>
      </c>
      <c r="P1442" t="s">
        <v>33</v>
      </c>
      <c r="Q1442" s="22">
        <v>1861.72</v>
      </c>
      <c r="R1442" t="s">
        <v>35</v>
      </c>
      <c r="S1442" t="s">
        <v>35</v>
      </c>
      <c r="T1442" t="s">
        <v>35</v>
      </c>
      <c r="U1442" t="s">
        <v>35</v>
      </c>
      <c r="V1442" t="s">
        <v>645</v>
      </c>
      <c r="W1442" t="s">
        <v>113</v>
      </c>
    </row>
    <row r="1443" spans="1:23" hidden="1" x14ac:dyDescent="0.25">
      <c r="A1443" s="7" t="str">
        <f>IFERROR(VLOOKUP(H1443,'Contas Orç'!A:B,2,0),"N/A")</f>
        <v>PECAS E ACESSORIOS</v>
      </c>
      <c r="B1443" s="7" t="str">
        <f t="shared" si="44"/>
        <v>320301004 - PECAS E ACESSORIOS</v>
      </c>
      <c r="C1443" s="25">
        <f t="shared" si="45"/>
        <v>44805</v>
      </c>
      <c r="D1443" s="27">
        <f>IF(K1443="CREDITO",Q1443,Q1443*-1)</f>
        <v>43813.95</v>
      </c>
      <c r="E1443" t="s">
        <v>894</v>
      </c>
      <c r="F1443" t="s">
        <v>1937</v>
      </c>
      <c r="G1443" s="8">
        <v>44805</v>
      </c>
      <c r="H1443" t="s">
        <v>26</v>
      </c>
      <c r="I1443" t="s">
        <v>59</v>
      </c>
      <c r="J1443" t="s">
        <v>107</v>
      </c>
      <c r="K1443" t="s">
        <v>29</v>
      </c>
      <c r="L1443" t="s">
        <v>895</v>
      </c>
      <c r="M1443" t="s">
        <v>4402</v>
      </c>
      <c r="O1443" t="s">
        <v>896</v>
      </c>
      <c r="P1443" t="s">
        <v>33</v>
      </c>
      <c r="Q1443" s="22">
        <v>43813.95</v>
      </c>
      <c r="R1443" t="s">
        <v>35</v>
      </c>
      <c r="S1443" t="s">
        <v>35</v>
      </c>
      <c r="T1443" t="s">
        <v>35</v>
      </c>
      <c r="U1443" t="s">
        <v>35</v>
      </c>
      <c r="V1443" t="s">
        <v>645</v>
      </c>
      <c r="W1443" t="s">
        <v>113</v>
      </c>
    </row>
    <row r="1444" spans="1:23" hidden="1" x14ac:dyDescent="0.25">
      <c r="A1444" s="7" t="str">
        <f>IFERROR(VLOOKUP(H1444,'Contas Orç'!A:B,2,0),"N/A")</f>
        <v>PECAS E ACESSORIOS</v>
      </c>
      <c r="B1444" s="7" t="str">
        <f t="shared" si="44"/>
        <v>320301004 - PECAS E ACESSORIOS</v>
      </c>
      <c r="C1444" s="25">
        <f t="shared" si="45"/>
        <v>44805</v>
      </c>
      <c r="D1444" s="27">
        <f>IF(K1444="CREDITO",Q1444,Q1444*-1)</f>
        <v>798.69</v>
      </c>
      <c r="E1444" t="s">
        <v>894</v>
      </c>
      <c r="F1444" t="s">
        <v>1938</v>
      </c>
      <c r="G1444" s="8">
        <v>44805</v>
      </c>
      <c r="H1444" t="s">
        <v>26</v>
      </c>
      <c r="I1444" t="s">
        <v>88</v>
      </c>
      <c r="J1444" t="s">
        <v>95</v>
      </c>
      <c r="K1444" t="s">
        <v>29</v>
      </c>
      <c r="L1444" t="s">
        <v>895</v>
      </c>
      <c r="M1444" t="s">
        <v>4402</v>
      </c>
      <c r="O1444" t="s">
        <v>896</v>
      </c>
      <c r="P1444" t="s">
        <v>33</v>
      </c>
      <c r="Q1444">
        <v>798.69</v>
      </c>
      <c r="R1444" t="s">
        <v>35</v>
      </c>
      <c r="S1444" t="s">
        <v>35</v>
      </c>
      <c r="T1444" t="s">
        <v>35</v>
      </c>
      <c r="U1444" t="s">
        <v>35</v>
      </c>
      <c r="V1444" t="s">
        <v>645</v>
      </c>
      <c r="W1444" t="s">
        <v>113</v>
      </c>
    </row>
    <row r="1445" spans="1:23" hidden="1" x14ac:dyDescent="0.25">
      <c r="A1445" s="7" t="str">
        <f>IFERROR(VLOOKUP(H1445,'Contas Orç'!A:B,2,0),"N/A")</f>
        <v>PECAS E ACESSORIOS</v>
      </c>
      <c r="B1445" s="7" t="str">
        <f t="shared" si="44"/>
        <v>320301004 - PECAS E ACESSORIOS</v>
      </c>
      <c r="C1445" s="25">
        <f t="shared" si="45"/>
        <v>44805</v>
      </c>
      <c r="D1445" s="27">
        <f>IF(K1445="CREDITO",Q1445,Q1445*-1)</f>
        <v>27.84</v>
      </c>
      <c r="E1445" t="s">
        <v>894</v>
      </c>
      <c r="F1445" t="s">
        <v>1939</v>
      </c>
      <c r="G1445" s="8">
        <v>44805</v>
      </c>
      <c r="H1445" t="s">
        <v>26</v>
      </c>
      <c r="I1445" t="s">
        <v>59</v>
      </c>
      <c r="J1445" t="s">
        <v>95</v>
      </c>
      <c r="K1445" t="s">
        <v>29</v>
      </c>
      <c r="L1445" t="s">
        <v>895</v>
      </c>
      <c r="M1445" t="s">
        <v>4402</v>
      </c>
      <c r="O1445" t="s">
        <v>896</v>
      </c>
      <c r="P1445" t="s">
        <v>33</v>
      </c>
      <c r="Q1445">
        <v>27.84</v>
      </c>
      <c r="R1445" t="s">
        <v>35</v>
      </c>
      <c r="S1445" t="s">
        <v>35</v>
      </c>
      <c r="T1445" t="s">
        <v>35</v>
      </c>
      <c r="U1445" t="s">
        <v>35</v>
      </c>
      <c r="V1445" t="s">
        <v>645</v>
      </c>
      <c r="W1445" t="s">
        <v>113</v>
      </c>
    </row>
    <row r="1446" spans="1:23" hidden="1" x14ac:dyDescent="0.25">
      <c r="A1446" s="7" t="str">
        <f>IFERROR(VLOOKUP(H1446,'Contas Orç'!A:B,2,0),"N/A")</f>
        <v>PECAS E ACESSORIOS</v>
      </c>
      <c r="B1446" s="7" t="str">
        <f t="shared" si="44"/>
        <v>320301004 - PECAS E ACESSORIOS</v>
      </c>
      <c r="C1446" s="25">
        <f t="shared" si="45"/>
        <v>44805</v>
      </c>
      <c r="D1446" s="27">
        <f>IF(K1446="CREDITO",Q1446,Q1446*-1)</f>
        <v>56143.21</v>
      </c>
      <c r="E1446" t="s">
        <v>894</v>
      </c>
      <c r="F1446" t="s">
        <v>1940</v>
      </c>
      <c r="G1446" s="8">
        <v>44805</v>
      </c>
      <c r="H1446" t="s">
        <v>26</v>
      </c>
      <c r="I1446" t="s">
        <v>125</v>
      </c>
      <c r="J1446" t="s">
        <v>95</v>
      </c>
      <c r="K1446" t="s">
        <v>29</v>
      </c>
      <c r="L1446" t="s">
        <v>895</v>
      </c>
      <c r="M1446" t="s">
        <v>4402</v>
      </c>
      <c r="O1446" t="s">
        <v>896</v>
      </c>
      <c r="P1446" t="s">
        <v>33</v>
      </c>
      <c r="Q1446" s="22">
        <v>56143.21</v>
      </c>
      <c r="R1446" t="s">
        <v>35</v>
      </c>
      <c r="S1446" t="s">
        <v>35</v>
      </c>
      <c r="T1446" t="s">
        <v>35</v>
      </c>
      <c r="U1446" t="s">
        <v>35</v>
      </c>
      <c r="V1446" t="s">
        <v>645</v>
      </c>
      <c r="W1446" t="s">
        <v>113</v>
      </c>
    </row>
    <row r="1447" spans="1:23" hidden="1" x14ac:dyDescent="0.25">
      <c r="A1447" s="7" t="str">
        <f>IFERROR(VLOOKUP(H1447,'Contas Orç'!A:B,2,0),"N/A")</f>
        <v>PECAS E ACESSORIOS</v>
      </c>
      <c r="B1447" s="7" t="str">
        <f t="shared" si="44"/>
        <v>320301004 - PECAS E ACESSORIOS</v>
      </c>
      <c r="C1447" s="25">
        <f t="shared" si="45"/>
        <v>44805</v>
      </c>
      <c r="D1447" s="27">
        <f>IF(K1447="CREDITO",Q1447,Q1447*-1)</f>
        <v>15637.27</v>
      </c>
      <c r="E1447" t="s">
        <v>894</v>
      </c>
      <c r="F1447" t="s">
        <v>1941</v>
      </c>
      <c r="G1447" s="8">
        <v>44805</v>
      </c>
      <c r="H1447" t="s">
        <v>26</v>
      </c>
      <c r="I1447" t="s">
        <v>53</v>
      </c>
      <c r="J1447" t="s">
        <v>54</v>
      </c>
      <c r="K1447" t="s">
        <v>29</v>
      </c>
      <c r="L1447" t="s">
        <v>895</v>
      </c>
      <c r="M1447" t="s">
        <v>4402</v>
      </c>
      <c r="O1447" t="s">
        <v>896</v>
      </c>
      <c r="P1447" t="s">
        <v>33</v>
      </c>
      <c r="Q1447" s="22">
        <v>15637.27</v>
      </c>
      <c r="R1447" t="s">
        <v>35</v>
      </c>
      <c r="S1447" t="s">
        <v>35</v>
      </c>
      <c r="T1447" t="s">
        <v>35</v>
      </c>
      <c r="U1447" t="s">
        <v>35</v>
      </c>
      <c r="V1447" t="s">
        <v>645</v>
      </c>
      <c r="W1447" t="s">
        <v>113</v>
      </c>
    </row>
    <row r="1448" spans="1:23" hidden="1" x14ac:dyDescent="0.25">
      <c r="A1448" s="7" t="str">
        <f>IFERROR(VLOOKUP(H1448,'Contas Orç'!A:B,2,0),"N/A")</f>
        <v>PECAS E ACESSORIOS</v>
      </c>
      <c r="B1448" s="7" t="str">
        <f t="shared" si="44"/>
        <v>320301004 - PECAS E ACESSORIOS</v>
      </c>
      <c r="C1448" s="25">
        <f t="shared" si="45"/>
        <v>44835</v>
      </c>
      <c r="D1448" s="27">
        <f>IF(K1448="CREDITO",Q1448,Q1448*-1)</f>
        <v>29247.27</v>
      </c>
      <c r="E1448" t="s">
        <v>894</v>
      </c>
      <c r="F1448" t="s">
        <v>1942</v>
      </c>
      <c r="G1448" s="8">
        <v>44835</v>
      </c>
      <c r="H1448" t="s">
        <v>26</v>
      </c>
      <c r="I1448" t="s">
        <v>88</v>
      </c>
      <c r="J1448" t="s">
        <v>28</v>
      </c>
      <c r="K1448" t="s">
        <v>29</v>
      </c>
      <c r="L1448" t="s">
        <v>895</v>
      </c>
      <c r="M1448" t="s">
        <v>4402</v>
      </c>
      <c r="O1448" t="s">
        <v>896</v>
      </c>
      <c r="P1448" t="s">
        <v>33</v>
      </c>
      <c r="Q1448" s="22">
        <v>29247.27</v>
      </c>
      <c r="R1448" t="s">
        <v>35</v>
      </c>
      <c r="S1448" t="s">
        <v>35</v>
      </c>
      <c r="T1448" t="s">
        <v>35</v>
      </c>
      <c r="U1448" t="s">
        <v>35</v>
      </c>
      <c r="V1448" t="s">
        <v>645</v>
      </c>
      <c r="W1448" t="s">
        <v>113</v>
      </c>
    </row>
    <row r="1449" spans="1:23" hidden="1" x14ac:dyDescent="0.25">
      <c r="A1449" s="7" t="str">
        <f>IFERROR(VLOOKUP(H1449,'Contas Orç'!A:B,2,0),"N/A")</f>
        <v>PECAS E ACESSORIOS</v>
      </c>
      <c r="B1449" s="7" t="str">
        <f t="shared" si="44"/>
        <v>320301004 - PECAS E ACESSORIOS</v>
      </c>
      <c r="C1449" s="25">
        <f t="shared" si="45"/>
        <v>44835</v>
      </c>
      <c r="D1449" s="27">
        <f>IF(K1449="CREDITO",Q1449,Q1449*-1)</f>
        <v>56044.83</v>
      </c>
      <c r="E1449" t="s">
        <v>894</v>
      </c>
      <c r="F1449" t="s">
        <v>1943</v>
      </c>
      <c r="G1449" s="8">
        <v>44835</v>
      </c>
      <c r="H1449" t="s">
        <v>26</v>
      </c>
      <c r="I1449" t="s">
        <v>27</v>
      </c>
      <c r="J1449" t="s">
        <v>28</v>
      </c>
      <c r="K1449" t="s">
        <v>29</v>
      </c>
      <c r="L1449" t="s">
        <v>895</v>
      </c>
      <c r="M1449" t="s">
        <v>4402</v>
      </c>
      <c r="O1449" t="s">
        <v>896</v>
      </c>
      <c r="P1449" t="s">
        <v>33</v>
      </c>
      <c r="Q1449" s="22">
        <v>56044.83</v>
      </c>
      <c r="R1449" t="s">
        <v>35</v>
      </c>
      <c r="S1449" t="s">
        <v>35</v>
      </c>
      <c r="T1449" t="s">
        <v>35</v>
      </c>
      <c r="U1449" t="s">
        <v>35</v>
      </c>
      <c r="V1449" t="s">
        <v>645</v>
      </c>
      <c r="W1449" t="s">
        <v>113</v>
      </c>
    </row>
    <row r="1450" spans="1:23" hidden="1" x14ac:dyDescent="0.25">
      <c r="A1450" s="7" t="str">
        <f>IFERROR(VLOOKUP(H1450,'Contas Orç'!A:B,2,0),"N/A")</f>
        <v>PECAS E ACESSORIOS</v>
      </c>
      <c r="B1450" s="7" t="str">
        <f t="shared" si="44"/>
        <v>320301004 - PECAS E ACESSORIOS</v>
      </c>
      <c r="C1450" s="25">
        <f t="shared" si="45"/>
        <v>44835</v>
      </c>
      <c r="D1450" s="27">
        <f>IF(K1450="CREDITO",Q1450,Q1450*-1)</f>
        <v>77.23</v>
      </c>
      <c r="E1450" t="s">
        <v>894</v>
      </c>
      <c r="F1450" t="s">
        <v>1944</v>
      </c>
      <c r="G1450" s="8">
        <v>44835</v>
      </c>
      <c r="H1450" t="s">
        <v>26</v>
      </c>
      <c r="I1450" t="s">
        <v>59</v>
      </c>
      <c r="J1450" t="s">
        <v>28</v>
      </c>
      <c r="K1450" t="s">
        <v>29</v>
      </c>
      <c r="L1450" t="s">
        <v>895</v>
      </c>
      <c r="M1450" t="s">
        <v>4402</v>
      </c>
      <c r="O1450" t="s">
        <v>896</v>
      </c>
      <c r="P1450" t="s">
        <v>33</v>
      </c>
      <c r="Q1450">
        <v>77.23</v>
      </c>
      <c r="R1450" t="s">
        <v>35</v>
      </c>
      <c r="S1450" t="s">
        <v>35</v>
      </c>
      <c r="T1450" t="s">
        <v>35</v>
      </c>
      <c r="U1450" t="s">
        <v>35</v>
      </c>
      <c r="V1450" t="s">
        <v>645</v>
      </c>
      <c r="W1450" t="s">
        <v>113</v>
      </c>
    </row>
    <row r="1451" spans="1:23" hidden="1" x14ac:dyDescent="0.25">
      <c r="A1451" s="7" t="str">
        <f>IFERROR(VLOOKUP(H1451,'Contas Orç'!A:B,2,0),"N/A")</f>
        <v>PECAS E ACESSORIOS</v>
      </c>
      <c r="B1451" s="7" t="str">
        <f t="shared" si="44"/>
        <v>320301004 - PECAS E ACESSORIOS</v>
      </c>
      <c r="C1451" s="25">
        <f t="shared" si="45"/>
        <v>44835</v>
      </c>
      <c r="D1451" s="27">
        <f>IF(K1451="CREDITO",Q1451,Q1451*-1)</f>
        <v>11512.55</v>
      </c>
      <c r="E1451" t="s">
        <v>894</v>
      </c>
      <c r="F1451" t="s">
        <v>1945</v>
      </c>
      <c r="G1451" s="8">
        <v>44835</v>
      </c>
      <c r="H1451" t="s">
        <v>26</v>
      </c>
      <c r="I1451" t="s">
        <v>106</v>
      </c>
      <c r="J1451" t="s">
        <v>60</v>
      </c>
      <c r="K1451" t="s">
        <v>29</v>
      </c>
      <c r="L1451" t="s">
        <v>895</v>
      </c>
      <c r="M1451" t="s">
        <v>4402</v>
      </c>
      <c r="O1451" t="s">
        <v>896</v>
      </c>
      <c r="P1451" t="s">
        <v>33</v>
      </c>
      <c r="Q1451" s="22">
        <v>11512.55</v>
      </c>
      <c r="R1451" t="s">
        <v>35</v>
      </c>
      <c r="S1451" t="s">
        <v>35</v>
      </c>
      <c r="T1451" t="s">
        <v>35</v>
      </c>
      <c r="U1451" t="s">
        <v>35</v>
      </c>
      <c r="V1451" t="s">
        <v>645</v>
      </c>
      <c r="W1451" t="s">
        <v>113</v>
      </c>
    </row>
    <row r="1452" spans="1:23" hidden="1" x14ac:dyDescent="0.25">
      <c r="A1452" s="7" t="str">
        <f>IFERROR(VLOOKUP(H1452,'Contas Orç'!A:B,2,0),"N/A")</f>
        <v>PECAS E ACESSORIOS</v>
      </c>
      <c r="B1452" s="7" t="str">
        <f t="shared" si="44"/>
        <v>320301004 - PECAS E ACESSORIOS</v>
      </c>
      <c r="C1452" s="25">
        <f t="shared" si="45"/>
        <v>44835</v>
      </c>
      <c r="D1452" s="27">
        <f>IF(K1452="CREDITO",Q1452,Q1452*-1)</f>
        <v>367065.42</v>
      </c>
      <c r="E1452" t="s">
        <v>894</v>
      </c>
      <c r="F1452" t="s">
        <v>1946</v>
      </c>
      <c r="G1452" s="8">
        <v>44835</v>
      </c>
      <c r="H1452" t="s">
        <v>26</v>
      </c>
      <c r="I1452" t="s">
        <v>59</v>
      </c>
      <c r="J1452" t="s">
        <v>60</v>
      </c>
      <c r="K1452" t="s">
        <v>29</v>
      </c>
      <c r="L1452" t="s">
        <v>895</v>
      </c>
      <c r="M1452" t="s">
        <v>4402</v>
      </c>
      <c r="O1452" t="s">
        <v>896</v>
      </c>
      <c r="P1452" t="s">
        <v>33</v>
      </c>
      <c r="Q1452" s="22">
        <v>367065.42</v>
      </c>
      <c r="R1452" t="s">
        <v>35</v>
      </c>
      <c r="S1452" t="s">
        <v>35</v>
      </c>
      <c r="T1452" t="s">
        <v>35</v>
      </c>
      <c r="U1452" t="s">
        <v>35</v>
      </c>
      <c r="V1452" t="s">
        <v>645</v>
      </c>
      <c r="W1452" t="s">
        <v>113</v>
      </c>
    </row>
    <row r="1453" spans="1:23" hidden="1" x14ac:dyDescent="0.25">
      <c r="A1453" s="7" t="str">
        <f>IFERROR(VLOOKUP(H1453,'Contas Orç'!A:B,2,0),"N/A")</f>
        <v>PECAS E ACESSORIOS</v>
      </c>
      <c r="B1453" s="7" t="str">
        <f t="shared" si="44"/>
        <v>320301004 - PECAS E ACESSORIOS</v>
      </c>
      <c r="C1453" s="25">
        <f t="shared" si="45"/>
        <v>44835</v>
      </c>
      <c r="D1453" s="27">
        <f>IF(K1453="CREDITO",Q1453,Q1453*-1)</f>
        <v>1880.34</v>
      </c>
      <c r="E1453" t="s">
        <v>894</v>
      </c>
      <c r="F1453" t="s">
        <v>1947</v>
      </c>
      <c r="G1453" s="8">
        <v>44835</v>
      </c>
      <c r="H1453" t="s">
        <v>26</v>
      </c>
      <c r="I1453" t="s">
        <v>27</v>
      </c>
      <c r="J1453" t="s">
        <v>107</v>
      </c>
      <c r="K1453" t="s">
        <v>29</v>
      </c>
      <c r="L1453" t="s">
        <v>895</v>
      </c>
      <c r="M1453" t="s">
        <v>4402</v>
      </c>
      <c r="O1453" t="s">
        <v>896</v>
      </c>
      <c r="P1453" t="s">
        <v>33</v>
      </c>
      <c r="Q1453" s="22">
        <v>1880.34</v>
      </c>
      <c r="R1453" t="s">
        <v>35</v>
      </c>
      <c r="S1453" t="s">
        <v>35</v>
      </c>
      <c r="T1453" t="s">
        <v>35</v>
      </c>
      <c r="U1453" t="s">
        <v>35</v>
      </c>
      <c r="V1453" t="s">
        <v>645</v>
      </c>
      <c r="W1453" t="s">
        <v>113</v>
      </c>
    </row>
    <row r="1454" spans="1:23" hidden="1" x14ac:dyDescent="0.25">
      <c r="A1454" s="7" t="str">
        <f>IFERROR(VLOOKUP(H1454,'Contas Orç'!A:B,2,0),"N/A")</f>
        <v>PECAS E ACESSORIOS</v>
      </c>
      <c r="B1454" s="7" t="str">
        <f t="shared" si="44"/>
        <v>320301004 - PECAS E ACESSORIOS</v>
      </c>
      <c r="C1454" s="25">
        <f t="shared" si="45"/>
        <v>44835</v>
      </c>
      <c r="D1454" s="27">
        <f>IF(K1454="CREDITO",Q1454,Q1454*-1)</f>
        <v>44252.09</v>
      </c>
      <c r="E1454" t="s">
        <v>894</v>
      </c>
      <c r="F1454" t="s">
        <v>1948</v>
      </c>
      <c r="G1454" s="8">
        <v>44835</v>
      </c>
      <c r="H1454" t="s">
        <v>26</v>
      </c>
      <c r="I1454" t="s">
        <v>59</v>
      </c>
      <c r="J1454" t="s">
        <v>107</v>
      </c>
      <c r="K1454" t="s">
        <v>29</v>
      </c>
      <c r="L1454" t="s">
        <v>895</v>
      </c>
      <c r="M1454" t="s">
        <v>4402</v>
      </c>
      <c r="O1454" t="s">
        <v>896</v>
      </c>
      <c r="P1454" t="s">
        <v>33</v>
      </c>
      <c r="Q1454" s="22">
        <v>44252.09</v>
      </c>
      <c r="R1454" t="s">
        <v>35</v>
      </c>
      <c r="S1454" t="s">
        <v>35</v>
      </c>
      <c r="T1454" t="s">
        <v>35</v>
      </c>
      <c r="U1454" t="s">
        <v>35</v>
      </c>
      <c r="V1454" t="s">
        <v>645</v>
      </c>
      <c r="W1454" t="s">
        <v>113</v>
      </c>
    </row>
    <row r="1455" spans="1:23" hidden="1" x14ac:dyDescent="0.25">
      <c r="A1455" s="7" t="str">
        <f>IFERROR(VLOOKUP(H1455,'Contas Orç'!A:B,2,0),"N/A")</f>
        <v>PECAS E ACESSORIOS</v>
      </c>
      <c r="B1455" s="7" t="str">
        <f t="shared" si="44"/>
        <v>320301004 - PECAS E ACESSORIOS</v>
      </c>
      <c r="C1455" s="25">
        <f t="shared" si="45"/>
        <v>44835</v>
      </c>
      <c r="D1455" s="27">
        <f>IF(K1455="CREDITO",Q1455,Q1455*-1)</f>
        <v>806.68</v>
      </c>
      <c r="E1455" t="s">
        <v>894</v>
      </c>
      <c r="F1455" t="s">
        <v>1949</v>
      </c>
      <c r="G1455" s="8">
        <v>44835</v>
      </c>
      <c r="H1455" t="s">
        <v>26</v>
      </c>
      <c r="I1455" t="s">
        <v>88</v>
      </c>
      <c r="J1455" t="s">
        <v>95</v>
      </c>
      <c r="K1455" t="s">
        <v>29</v>
      </c>
      <c r="L1455" t="s">
        <v>895</v>
      </c>
      <c r="M1455" t="s">
        <v>4402</v>
      </c>
      <c r="O1455" t="s">
        <v>896</v>
      </c>
      <c r="P1455" t="s">
        <v>33</v>
      </c>
      <c r="Q1455">
        <v>806.68</v>
      </c>
      <c r="R1455" t="s">
        <v>35</v>
      </c>
      <c r="S1455" t="s">
        <v>35</v>
      </c>
      <c r="T1455" t="s">
        <v>35</v>
      </c>
      <c r="U1455" t="s">
        <v>35</v>
      </c>
      <c r="V1455" t="s">
        <v>645</v>
      </c>
      <c r="W1455" t="s">
        <v>113</v>
      </c>
    </row>
    <row r="1456" spans="1:23" hidden="1" x14ac:dyDescent="0.25">
      <c r="A1456" s="7" t="str">
        <f>IFERROR(VLOOKUP(H1456,'Contas Orç'!A:B,2,0),"N/A")</f>
        <v>PECAS E ACESSORIOS</v>
      </c>
      <c r="B1456" s="7" t="str">
        <f t="shared" si="44"/>
        <v>320301004 - PECAS E ACESSORIOS</v>
      </c>
      <c r="C1456" s="25">
        <f t="shared" si="45"/>
        <v>44835</v>
      </c>
      <c r="D1456" s="27">
        <f>IF(K1456="CREDITO",Q1456,Q1456*-1)</f>
        <v>28.12</v>
      </c>
      <c r="E1456" t="s">
        <v>894</v>
      </c>
      <c r="F1456" t="s">
        <v>1950</v>
      </c>
      <c r="G1456" s="8">
        <v>44835</v>
      </c>
      <c r="H1456" t="s">
        <v>26</v>
      </c>
      <c r="I1456" t="s">
        <v>59</v>
      </c>
      <c r="J1456" t="s">
        <v>95</v>
      </c>
      <c r="K1456" t="s">
        <v>29</v>
      </c>
      <c r="L1456" t="s">
        <v>895</v>
      </c>
      <c r="M1456" t="s">
        <v>4402</v>
      </c>
      <c r="O1456" t="s">
        <v>896</v>
      </c>
      <c r="P1456" t="s">
        <v>33</v>
      </c>
      <c r="Q1456">
        <v>28.12</v>
      </c>
      <c r="R1456" t="s">
        <v>35</v>
      </c>
      <c r="S1456" t="s">
        <v>35</v>
      </c>
      <c r="T1456" t="s">
        <v>35</v>
      </c>
      <c r="U1456" t="s">
        <v>35</v>
      </c>
      <c r="V1456" t="s">
        <v>645</v>
      </c>
      <c r="W1456" t="s">
        <v>113</v>
      </c>
    </row>
    <row r="1457" spans="1:23" hidden="1" x14ac:dyDescent="0.25">
      <c r="A1457" s="7" t="str">
        <f>IFERROR(VLOOKUP(H1457,'Contas Orç'!A:B,2,0),"N/A")</f>
        <v>PECAS E ACESSORIOS</v>
      </c>
      <c r="B1457" s="7" t="str">
        <f t="shared" si="44"/>
        <v>320301004 - PECAS E ACESSORIOS</v>
      </c>
      <c r="C1457" s="25">
        <f t="shared" si="45"/>
        <v>44835</v>
      </c>
      <c r="D1457" s="27">
        <f>IF(K1457="CREDITO",Q1457,Q1457*-1)</f>
        <v>56704.639999999999</v>
      </c>
      <c r="E1457" t="s">
        <v>894</v>
      </c>
      <c r="F1457" t="s">
        <v>1951</v>
      </c>
      <c r="G1457" s="8">
        <v>44835</v>
      </c>
      <c r="H1457" t="s">
        <v>26</v>
      </c>
      <c r="I1457" t="s">
        <v>125</v>
      </c>
      <c r="J1457" t="s">
        <v>95</v>
      </c>
      <c r="K1457" t="s">
        <v>29</v>
      </c>
      <c r="L1457" t="s">
        <v>895</v>
      </c>
      <c r="M1457" t="s">
        <v>4402</v>
      </c>
      <c r="O1457" t="s">
        <v>896</v>
      </c>
      <c r="P1457" t="s">
        <v>33</v>
      </c>
      <c r="Q1457" s="22">
        <v>56704.639999999999</v>
      </c>
      <c r="R1457" t="s">
        <v>35</v>
      </c>
      <c r="S1457" t="s">
        <v>35</v>
      </c>
      <c r="T1457" t="s">
        <v>35</v>
      </c>
      <c r="U1457" t="s">
        <v>35</v>
      </c>
      <c r="V1457" t="s">
        <v>645</v>
      </c>
      <c r="W1457" t="s">
        <v>113</v>
      </c>
    </row>
    <row r="1458" spans="1:23" hidden="1" x14ac:dyDescent="0.25">
      <c r="A1458" s="7" t="str">
        <f>IFERROR(VLOOKUP(H1458,'Contas Orç'!A:B,2,0),"N/A")</f>
        <v>PECAS E ACESSORIOS</v>
      </c>
      <c r="B1458" s="7" t="str">
        <f t="shared" si="44"/>
        <v>320301004 - PECAS E ACESSORIOS</v>
      </c>
      <c r="C1458" s="25">
        <f t="shared" si="45"/>
        <v>44835</v>
      </c>
      <c r="D1458" s="27">
        <f>IF(K1458="CREDITO",Q1458,Q1458*-1)</f>
        <v>15793.64</v>
      </c>
      <c r="E1458" t="s">
        <v>894</v>
      </c>
      <c r="F1458" t="s">
        <v>1952</v>
      </c>
      <c r="G1458" s="8">
        <v>44835</v>
      </c>
      <c r="H1458" t="s">
        <v>26</v>
      </c>
      <c r="I1458" t="s">
        <v>53</v>
      </c>
      <c r="J1458" t="s">
        <v>54</v>
      </c>
      <c r="K1458" t="s">
        <v>29</v>
      </c>
      <c r="L1458" t="s">
        <v>895</v>
      </c>
      <c r="M1458" t="s">
        <v>4402</v>
      </c>
      <c r="O1458" t="s">
        <v>896</v>
      </c>
      <c r="P1458" t="s">
        <v>33</v>
      </c>
      <c r="Q1458" s="22">
        <v>15793.64</v>
      </c>
      <c r="R1458" t="s">
        <v>35</v>
      </c>
      <c r="S1458" t="s">
        <v>35</v>
      </c>
      <c r="T1458" t="s">
        <v>35</v>
      </c>
      <c r="U1458" t="s">
        <v>35</v>
      </c>
      <c r="V1458" t="s">
        <v>645</v>
      </c>
      <c r="W1458" t="s">
        <v>113</v>
      </c>
    </row>
    <row r="1459" spans="1:23" hidden="1" x14ac:dyDescent="0.25">
      <c r="A1459" s="7" t="str">
        <f>IFERROR(VLOOKUP(H1459,'Contas Orç'!A:B,2,0),"N/A")</f>
        <v>PECAS E ACESSORIOS</v>
      </c>
      <c r="B1459" s="7" t="str">
        <f t="shared" si="44"/>
        <v>320301004 - PECAS E ACESSORIOS</v>
      </c>
      <c r="C1459" s="25">
        <f t="shared" si="45"/>
        <v>44866</v>
      </c>
      <c r="D1459" s="27">
        <f>IF(K1459="CREDITO",Q1459,Q1459*-1)</f>
        <v>29539.74</v>
      </c>
      <c r="E1459" t="s">
        <v>894</v>
      </c>
      <c r="F1459" t="s">
        <v>1953</v>
      </c>
      <c r="G1459" s="8">
        <v>44866</v>
      </c>
      <c r="H1459" t="s">
        <v>26</v>
      </c>
      <c r="I1459" t="s">
        <v>88</v>
      </c>
      <c r="J1459" t="s">
        <v>28</v>
      </c>
      <c r="K1459" t="s">
        <v>29</v>
      </c>
      <c r="L1459" t="s">
        <v>895</v>
      </c>
      <c r="M1459" t="s">
        <v>4402</v>
      </c>
      <c r="O1459" t="s">
        <v>896</v>
      </c>
      <c r="P1459" t="s">
        <v>33</v>
      </c>
      <c r="Q1459" s="22">
        <v>29539.74</v>
      </c>
      <c r="R1459" t="s">
        <v>35</v>
      </c>
      <c r="S1459" t="s">
        <v>35</v>
      </c>
      <c r="T1459" t="s">
        <v>35</v>
      </c>
      <c r="U1459" t="s">
        <v>35</v>
      </c>
      <c r="V1459" t="s">
        <v>645</v>
      </c>
      <c r="W1459" t="s">
        <v>113</v>
      </c>
    </row>
    <row r="1460" spans="1:23" hidden="1" x14ac:dyDescent="0.25">
      <c r="A1460" s="7" t="str">
        <f>IFERROR(VLOOKUP(H1460,'Contas Orç'!A:B,2,0),"N/A")</f>
        <v>PECAS E ACESSORIOS</v>
      </c>
      <c r="B1460" s="7" t="str">
        <f t="shared" si="44"/>
        <v>320301004 - PECAS E ACESSORIOS</v>
      </c>
      <c r="C1460" s="25">
        <f t="shared" si="45"/>
        <v>44866</v>
      </c>
      <c r="D1460" s="27">
        <f>IF(K1460="CREDITO",Q1460,Q1460*-1)</f>
        <v>56605.279999999999</v>
      </c>
      <c r="E1460" t="s">
        <v>894</v>
      </c>
      <c r="F1460" t="s">
        <v>1954</v>
      </c>
      <c r="G1460" s="8">
        <v>44866</v>
      </c>
      <c r="H1460" t="s">
        <v>26</v>
      </c>
      <c r="I1460" t="s">
        <v>27</v>
      </c>
      <c r="J1460" t="s">
        <v>28</v>
      </c>
      <c r="K1460" t="s">
        <v>29</v>
      </c>
      <c r="L1460" t="s">
        <v>895</v>
      </c>
      <c r="M1460" t="s">
        <v>4402</v>
      </c>
      <c r="O1460" t="s">
        <v>896</v>
      </c>
      <c r="P1460" t="s">
        <v>33</v>
      </c>
      <c r="Q1460" s="22">
        <v>56605.279999999999</v>
      </c>
      <c r="R1460" t="s">
        <v>35</v>
      </c>
      <c r="S1460" t="s">
        <v>35</v>
      </c>
      <c r="T1460" t="s">
        <v>35</v>
      </c>
      <c r="U1460" t="s">
        <v>35</v>
      </c>
      <c r="V1460" t="s">
        <v>645</v>
      </c>
      <c r="W1460" t="s">
        <v>113</v>
      </c>
    </row>
    <row r="1461" spans="1:23" hidden="1" x14ac:dyDescent="0.25">
      <c r="A1461" s="7" t="str">
        <f>IFERROR(VLOOKUP(H1461,'Contas Orç'!A:B,2,0),"N/A")</f>
        <v>PECAS E ACESSORIOS</v>
      </c>
      <c r="B1461" s="7" t="str">
        <f t="shared" si="44"/>
        <v>320301004 - PECAS E ACESSORIOS</v>
      </c>
      <c r="C1461" s="25">
        <f t="shared" si="45"/>
        <v>44866</v>
      </c>
      <c r="D1461" s="27">
        <f>IF(K1461="CREDITO",Q1461,Q1461*-1)</f>
        <v>78.010000000000005</v>
      </c>
      <c r="E1461" t="s">
        <v>894</v>
      </c>
      <c r="F1461" t="s">
        <v>1955</v>
      </c>
      <c r="G1461" s="8">
        <v>44866</v>
      </c>
      <c r="H1461" t="s">
        <v>26</v>
      </c>
      <c r="I1461" t="s">
        <v>59</v>
      </c>
      <c r="J1461" t="s">
        <v>28</v>
      </c>
      <c r="K1461" t="s">
        <v>29</v>
      </c>
      <c r="L1461" t="s">
        <v>895</v>
      </c>
      <c r="M1461" t="s">
        <v>4402</v>
      </c>
      <c r="O1461" t="s">
        <v>896</v>
      </c>
      <c r="P1461" t="s">
        <v>33</v>
      </c>
      <c r="Q1461">
        <v>78.010000000000005</v>
      </c>
      <c r="R1461" t="s">
        <v>35</v>
      </c>
      <c r="S1461" t="s">
        <v>35</v>
      </c>
      <c r="T1461" t="s">
        <v>35</v>
      </c>
      <c r="U1461" t="s">
        <v>35</v>
      </c>
      <c r="V1461" t="s">
        <v>645</v>
      </c>
      <c r="W1461" t="s">
        <v>113</v>
      </c>
    </row>
    <row r="1462" spans="1:23" hidden="1" x14ac:dyDescent="0.25">
      <c r="A1462" s="7" t="str">
        <f>IFERROR(VLOOKUP(H1462,'Contas Orç'!A:B,2,0),"N/A")</f>
        <v>PECAS E ACESSORIOS</v>
      </c>
      <c r="B1462" s="7" t="str">
        <f t="shared" si="44"/>
        <v>320301004 - PECAS E ACESSORIOS</v>
      </c>
      <c r="C1462" s="25">
        <f t="shared" si="45"/>
        <v>44866</v>
      </c>
      <c r="D1462" s="27">
        <f>IF(K1462="CREDITO",Q1462,Q1462*-1)</f>
        <v>11627.67</v>
      </c>
      <c r="E1462" t="s">
        <v>894</v>
      </c>
      <c r="F1462" t="s">
        <v>1956</v>
      </c>
      <c r="G1462" s="8">
        <v>44866</v>
      </c>
      <c r="H1462" t="s">
        <v>26</v>
      </c>
      <c r="I1462" t="s">
        <v>106</v>
      </c>
      <c r="J1462" t="s">
        <v>60</v>
      </c>
      <c r="K1462" t="s">
        <v>29</v>
      </c>
      <c r="L1462" t="s">
        <v>895</v>
      </c>
      <c r="M1462" t="s">
        <v>4402</v>
      </c>
      <c r="O1462" t="s">
        <v>896</v>
      </c>
      <c r="P1462" t="s">
        <v>33</v>
      </c>
      <c r="Q1462" s="22">
        <v>11627.67</v>
      </c>
      <c r="R1462" t="s">
        <v>35</v>
      </c>
      <c r="S1462" t="s">
        <v>35</v>
      </c>
      <c r="T1462" t="s">
        <v>35</v>
      </c>
      <c r="U1462" t="s">
        <v>35</v>
      </c>
      <c r="V1462" t="s">
        <v>645</v>
      </c>
      <c r="W1462" t="s">
        <v>113</v>
      </c>
    </row>
    <row r="1463" spans="1:23" hidden="1" x14ac:dyDescent="0.25">
      <c r="A1463" s="7" t="str">
        <f>IFERROR(VLOOKUP(H1463,'Contas Orç'!A:B,2,0),"N/A")</f>
        <v>PECAS E ACESSORIOS</v>
      </c>
      <c r="B1463" s="7" t="str">
        <f t="shared" si="44"/>
        <v>320301004 - PECAS E ACESSORIOS</v>
      </c>
      <c r="C1463" s="25">
        <f t="shared" si="45"/>
        <v>44866</v>
      </c>
      <c r="D1463" s="27">
        <f>IF(K1463="CREDITO",Q1463,Q1463*-1)</f>
        <v>370736.08</v>
      </c>
      <c r="E1463" t="s">
        <v>894</v>
      </c>
      <c r="F1463" t="s">
        <v>1957</v>
      </c>
      <c r="G1463" s="8">
        <v>44866</v>
      </c>
      <c r="H1463" t="s">
        <v>26</v>
      </c>
      <c r="I1463" t="s">
        <v>59</v>
      </c>
      <c r="J1463" t="s">
        <v>60</v>
      </c>
      <c r="K1463" t="s">
        <v>29</v>
      </c>
      <c r="L1463" t="s">
        <v>895</v>
      </c>
      <c r="M1463" t="s">
        <v>4402</v>
      </c>
      <c r="O1463" t="s">
        <v>896</v>
      </c>
      <c r="P1463" t="s">
        <v>33</v>
      </c>
      <c r="Q1463" s="22">
        <v>370736.08</v>
      </c>
      <c r="R1463" t="s">
        <v>35</v>
      </c>
      <c r="S1463" t="s">
        <v>35</v>
      </c>
      <c r="T1463" t="s">
        <v>35</v>
      </c>
      <c r="U1463" t="s">
        <v>35</v>
      </c>
      <c r="V1463" t="s">
        <v>645</v>
      </c>
      <c r="W1463" t="s">
        <v>113</v>
      </c>
    </row>
    <row r="1464" spans="1:23" hidden="1" x14ac:dyDescent="0.25">
      <c r="A1464" s="7" t="str">
        <f>IFERROR(VLOOKUP(H1464,'Contas Orç'!A:B,2,0),"N/A")</f>
        <v>PECAS E ACESSORIOS</v>
      </c>
      <c r="B1464" s="7" t="str">
        <f t="shared" si="44"/>
        <v>320301004 - PECAS E ACESSORIOS</v>
      </c>
      <c r="C1464" s="25">
        <f t="shared" si="45"/>
        <v>44866</v>
      </c>
      <c r="D1464" s="27">
        <f>IF(K1464="CREDITO",Q1464,Q1464*-1)</f>
        <v>1899.14</v>
      </c>
      <c r="E1464" t="s">
        <v>894</v>
      </c>
      <c r="F1464" t="s">
        <v>1958</v>
      </c>
      <c r="G1464" s="8">
        <v>44866</v>
      </c>
      <c r="H1464" t="s">
        <v>26</v>
      </c>
      <c r="I1464" t="s">
        <v>27</v>
      </c>
      <c r="J1464" t="s">
        <v>107</v>
      </c>
      <c r="K1464" t="s">
        <v>29</v>
      </c>
      <c r="L1464" t="s">
        <v>895</v>
      </c>
      <c r="M1464" t="s">
        <v>4402</v>
      </c>
      <c r="O1464" t="s">
        <v>896</v>
      </c>
      <c r="P1464" t="s">
        <v>33</v>
      </c>
      <c r="Q1464" s="22">
        <v>1899.14</v>
      </c>
      <c r="R1464" t="s">
        <v>35</v>
      </c>
      <c r="S1464" t="s">
        <v>35</v>
      </c>
      <c r="T1464" t="s">
        <v>35</v>
      </c>
      <c r="U1464" t="s">
        <v>35</v>
      </c>
      <c r="V1464" t="s">
        <v>645</v>
      </c>
      <c r="W1464" t="s">
        <v>113</v>
      </c>
    </row>
    <row r="1465" spans="1:23" hidden="1" x14ac:dyDescent="0.25">
      <c r="A1465" s="7" t="str">
        <f>IFERROR(VLOOKUP(H1465,'Contas Orç'!A:B,2,0),"N/A")</f>
        <v>PECAS E ACESSORIOS</v>
      </c>
      <c r="B1465" s="7" t="str">
        <f t="shared" si="44"/>
        <v>320301004 - PECAS E ACESSORIOS</v>
      </c>
      <c r="C1465" s="25">
        <f t="shared" si="45"/>
        <v>44866</v>
      </c>
      <c r="D1465" s="27">
        <f>IF(K1465="CREDITO",Q1465,Q1465*-1)</f>
        <v>44694.61</v>
      </c>
      <c r="E1465" t="s">
        <v>894</v>
      </c>
      <c r="F1465" t="s">
        <v>1959</v>
      </c>
      <c r="G1465" s="8">
        <v>44866</v>
      </c>
      <c r="H1465" t="s">
        <v>26</v>
      </c>
      <c r="I1465" t="s">
        <v>59</v>
      </c>
      <c r="J1465" t="s">
        <v>107</v>
      </c>
      <c r="K1465" t="s">
        <v>29</v>
      </c>
      <c r="L1465" t="s">
        <v>895</v>
      </c>
      <c r="M1465" t="s">
        <v>4402</v>
      </c>
      <c r="O1465" t="s">
        <v>896</v>
      </c>
      <c r="P1465" t="s">
        <v>33</v>
      </c>
      <c r="Q1465" s="22">
        <v>44694.61</v>
      </c>
      <c r="R1465" t="s">
        <v>35</v>
      </c>
      <c r="S1465" t="s">
        <v>35</v>
      </c>
      <c r="T1465" t="s">
        <v>35</v>
      </c>
      <c r="U1465" t="s">
        <v>35</v>
      </c>
      <c r="V1465" t="s">
        <v>645</v>
      </c>
      <c r="W1465" t="s">
        <v>113</v>
      </c>
    </row>
    <row r="1466" spans="1:23" hidden="1" x14ac:dyDescent="0.25">
      <c r="A1466" s="7" t="str">
        <f>IFERROR(VLOOKUP(H1466,'Contas Orç'!A:B,2,0),"N/A")</f>
        <v>PECAS E ACESSORIOS</v>
      </c>
      <c r="B1466" s="7" t="str">
        <f t="shared" si="44"/>
        <v>320301004 - PECAS E ACESSORIOS</v>
      </c>
      <c r="C1466" s="25">
        <f t="shared" si="45"/>
        <v>44866</v>
      </c>
      <c r="D1466" s="27">
        <f>IF(K1466="CREDITO",Q1466,Q1466*-1)</f>
        <v>814.74</v>
      </c>
      <c r="E1466" t="s">
        <v>894</v>
      </c>
      <c r="F1466" t="s">
        <v>1960</v>
      </c>
      <c r="G1466" s="8">
        <v>44866</v>
      </c>
      <c r="H1466" t="s">
        <v>26</v>
      </c>
      <c r="I1466" t="s">
        <v>88</v>
      </c>
      <c r="J1466" t="s">
        <v>95</v>
      </c>
      <c r="K1466" t="s">
        <v>29</v>
      </c>
      <c r="L1466" t="s">
        <v>895</v>
      </c>
      <c r="M1466" t="s">
        <v>4402</v>
      </c>
      <c r="O1466" t="s">
        <v>896</v>
      </c>
      <c r="P1466" t="s">
        <v>33</v>
      </c>
      <c r="Q1466">
        <v>814.74</v>
      </c>
      <c r="R1466" t="s">
        <v>35</v>
      </c>
      <c r="S1466" t="s">
        <v>35</v>
      </c>
      <c r="T1466" t="s">
        <v>35</v>
      </c>
      <c r="U1466" t="s">
        <v>35</v>
      </c>
      <c r="V1466" t="s">
        <v>645</v>
      </c>
      <c r="W1466" t="s">
        <v>113</v>
      </c>
    </row>
    <row r="1467" spans="1:23" hidden="1" x14ac:dyDescent="0.25">
      <c r="A1467" s="7" t="str">
        <f>IFERROR(VLOOKUP(H1467,'Contas Orç'!A:B,2,0),"N/A")</f>
        <v>PECAS E ACESSORIOS</v>
      </c>
      <c r="B1467" s="7" t="str">
        <f t="shared" si="44"/>
        <v>320301004 - PECAS E ACESSORIOS</v>
      </c>
      <c r="C1467" s="25">
        <f t="shared" si="45"/>
        <v>44866</v>
      </c>
      <c r="D1467" s="27">
        <f>IF(K1467="CREDITO",Q1467,Q1467*-1)</f>
        <v>28.4</v>
      </c>
      <c r="E1467" t="s">
        <v>894</v>
      </c>
      <c r="F1467" t="s">
        <v>1961</v>
      </c>
      <c r="G1467" s="8">
        <v>44866</v>
      </c>
      <c r="H1467" t="s">
        <v>26</v>
      </c>
      <c r="I1467" t="s">
        <v>59</v>
      </c>
      <c r="J1467" t="s">
        <v>95</v>
      </c>
      <c r="K1467" t="s">
        <v>29</v>
      </c>
      <c r="L1467" t="s">
        <v>895</v>
      </c>
      <c r="M1467" t="s">
        <v>4402</v>
      </c>
      <c r="O1467" t="s">
        <v>896</v>
      </c>
      <c r="P1467" t="s">
        <v>33</v>
      </c>
      <c r="Q1467">
        <v>28.4</v>
      </c>
      <c r="R1467" t="s">
        <v>35</v>
      </c>
      <c r="S1467" t="s">
        <v>35</v>
      </c>
      <c r="T1467" t="s">
        <v>35</v>
      </c>
      <c r="U1467" t="s">
        <v>35</v>
      </c>
      <c r="V1467" t="s">
        <v>645</v>
      </c>
      <c r="W1467" t="s">
        <v>113</v>
      </c>
    </row>
    <row r="1468" spans="1:23" hidden="1" x14ac:dyDescent="0.25">
      <c r="A1468" s="7" t="str">
        <f>IFERROR(VLOOKUP(H1468,'Contas Orç'!A:B,2,0),"N/A")</f>
        <v>PECAS E ACESSORIOS</v>
      </c>
      <c r="B1468" s="7" t="str">
        <f t="shared" si="44"/>
        <v>320301004 - PECAS E ACESSORIOS</v>
      </c>
      <c r="C1468" s="25">
        <f t="shared" si="45"/>
        <v>44866</v>
      </c>
      <c r="D1468" s="27">
        <f>IF(K1468="CREDITO",Q1468,Q1468*-1)</f>
        <v>57271.69</v>
      </c>
      <c r="E1468" t="s">
        <v>894</v>
      </c>
      <c r="F1468" t="s">
        <v>1962</v>
      </c>
      <c r="G1468" s="8">
        <v>44866</v>
      </c>
      <c r="H1468" t="s">
        <v>26</v>
      </c>
      <c r="I1468" t="s">
        <v>125</v>
      </c>
      <c r="J1468" t="s">
        <v>95</v>
      </c>
      <c r="K1468" t="s">
        <v>29</v>
      </c>
      <c r="L1468" t="s">
        <v>895</v>
      </c>
      <c r="M1468" t="s">
        <v>4402</v>
      </c>
      <c r="O1468" t="s">
        <v>896</v>
      </c>
      <c r="P1468" t="s">
        <v>33</v>
      </c>
      <c r="Q1468" s="22">
        <v>57271.69</v>
      </c>
      <c r="R1468" t="s">
        <v>35</v>
      </c>
      <c r="S1468" t="s">
        <v>35</v>
      </c>
      <c r="T1468" t="s">
        <v>35</v>
      </c>
      <c r="U1468" t="s">
        <v>35</v>
      </c>
      <c r="V1468" t="s">
        <v>645</v>
      </c>
      <c r="W1468" t="s">
        <v>113</v>
      </c>
    </row>
    <row r="1469" spans="1:23" hidden="1" x14ac:dyDescent="0.25">
      <c r="A1469" s="7" t="str">
        <f>IFERROR(VLOOKUP(H1469,'Contas Orç'!A:B,2,0),"N/A")</f>
        <v>PECAS E ACESSORIOS</v>
      </c>
      <c r="B1469" s="7" t="str">
        <f t="shared" si="44"/>
        <v>320301004 - PECAS E ACESSORIOS</v>
      </c>
      <c r="C1469" s="25">
        <f t="shared" si="45"/>
        <v>44866</v>
      </c>
      <c r="D1469" s="27">
        <f>IF(K1469="CREDITO",Q1469,Q1469*-1)</f>
        <v>15951.58</v>
      </c>
      <c r="E1469" t="s">
        <v>894</v>
      </c>
      <c r="F1469" t="s">
        <v>1963</v>
      </c>
      <c r="G1469" s="8">
        <v>44866</v>
      </c>
      <c r="H1469" t="s">
        <v>26</v>
      </c>
      <c r="I1469" t="s">
        <v>53</v>
      </c>
      <c r="J1469" t="s">
        <v>54</v>
      </c>
      <c r="K1469" t="s">
        <v>29</v>
      </c>
      <c r="L1469" t="s">
        <v>895</v>
      </c>
      <c r="M1469" t="s">
        <v>4402</v>
      </c>
      <c r="O1469" t="s">
        <v>896</v>
      </c>
      <c r="P1469" t="s">
        <v>33</v>
      </c>
      <c r="Q1469" s="22">
        <v>15951.58</v>
      </c>
      <c r="R1469" t="s">
        <v>35</v>
      </c>
      <c r="S1469" t="s">
        <v>35</v>
      </c>
      <c r="T1469" t="s">
        <v>35</v>
      </c>
      <c r="U1469" t="s">
        <v>35</v>
      </c>
      <c r="V1469" t="s">
        <v>645</v>
      </c>
      <c r="W1469" t="s">
        <v>113</v>
      </c>
    </row>
    <row r="1470" spans="1:23" hidden="1" x14ac:dyDescent="0.25">
      <c r="A1470" s="7" t="str">
        <f>IFERROR(VLOOKUP(H1470,'Contas Orç'!A:B,2,0),"N/A")</f>
        <v>PECAS E ACESSORIOS</v>
      </c>
      <c r="B1470" s="7" t="str">
        <f t="shared" si="44"/>
        <v>320301004 - PECAS E ACESSORIOS</v>
      </c>
      <c r="C1470" s="25">
        <f t="shared" si="45"/>
        <v>44896</v>
      </c>
      <c r="D1470" s="27">
        <f>IF(K1470="CREDITO",Q1470,Q1470*-1)</f>
        <v>29835.14</v>
      </c>
      <c r="E1470" t="s">
        <v>894</v>
      </c>
      <c r="F1470" t="s">
        <v>1964</v>
      </c>
      <c r="G1470" s="8">
        <v>44896</v>
      </c>
      <c r="H1470" t="s">
        <v>26</v>
      </c>
      <c r="I1470" t="s">
        <v>88</v>
      </c>
      <c r="J1470" t="s">
        <v>28</v>
      </c>
      <c r="K1470" t="s">
        <v>29</v>
      </c>
      <c r="L1470" t="s">
        <v>895</v>
      </c>
      <c r="M1470" t="s">
        <v>4402</v>
      </c>
      <c r="O1470" t="s">
        <v>896</v>
      </c>
      <c r="P1470" t="s">
        <v>33</v>
      </c>
      <c r="Q1470" s="22">
        <v>29835.14</v>
      </c>
      <c r="R1470" t="s">
        <v>35</v>
      </c>
      <c r="S1470" t="s">
        <v>35</v>
      </c>
      <c r="T1470" t="s">
        <v>35</v>
      </c>
      <c r="U1470" t="s">
        <v>35</v>
      </c>
      <c r="V1470" t="s">
        <v>645</v>
      </c>
      <c r="W1470" t="s">
        <v>113</v>
      </c>
    </row>
    <row r="1471" spans="1:23" hidden="1" x14ac:dyDescent="0.25">
      <c r="A1471" s="7" t="str">
        <f>IFERROR(VLOOKUP(H1471,'Contas Orç'!A:B,2,0),"N/A")</f>
        <v>PECAS E ACESSORIOS</v>
      </c>
      <c r="B1471" s="7" t="str">
        <f t="shared" si="44"/>
        <v>320301004 - PECAS E ACESSORIOS</v>
      </c>
      <c r="C1471" s="25">
        <f t="shared" si="45"/>
        <v>44896</v>
      </c>
      <c r="D1471" s="27">
        <f>IF(K1471="CREDITO",Q1471,Q1471*-1)</f>
        <v>57171.33</v>
      </c>
      <c r="E1471" t="s">
        <v>894</v>
      </c>
      <c r="F1471" t="s">
        <v>1965</v>
      </c>
      <c r="G1471" s="8">
        <v>44896</v>
      </c>
      <c r="H1471" t="s">
        <v>26</v>
      </c>
      <c r="I1471" t="s">
        <v>27</v>
      </c>
      <c r="J1471" t="s">
        <v>28</v>
      </c>
      <c r="K1471" t="s">
        <v>29</v>
      </c>
      <c r="L1471" t="s">
        <v>895</v>
      </c>
      <c r="M1471" t="s">
        <v>4402</v>
      </c>
      <c r="O1471" t="s">
        <v>896</v>
      </c>
      <c r="P1471" t="s">
        <v>33</v>
      </c>
      <c r="Q1471" s="22">
        <v>57171.33</v>
      </c>
      <c r="R1471" t="s">
        <v>35</v>
      </c>
      <c r="S1471" t="s">
        <v>35</v>
      </c>
      <c r="T1471" t="s">
        <v>35</v>
      </c>
      <c r="U1471" t="s">
        <v>35</v>
      </c>
      <c r="V1471" t="s">
        <v>645</v>
      </c>
      <c r="W1471" t="s">
        <v>113</v>
      </c>
    </row>
    <row r="1472" spans="1:23" hidden="1" x14ac:dyDescent="0.25">
      <c r="A1472" s="7" t="str">
        <f>IFERROR(VLOOKUP(H1472,'Contas Orç'!A:B,2,0),"N/A")</f>
        <v>PECAS E ACESSORIOS</v>
      </c>
      <c r="B1472" s="7" t="str">
        <f t="shared" si="44"/>
        <v>320301004 - PECAS E ACESSORIOS</v>
      </c>
      <c r="C1472" s="25">
        <f t="shared" si="45"/>
        <v>44896</v>
      </c>
      <c r="D1472" s="27">
        <f>IF(K1472="CREDITO",Q1472,Q1472*-1)</f>
        <v>78.790000000000006</v>
      </c>
      <c r="E1472" t="s">
        <v>894</v>
      </c>
      <c r="F1472" t="s">
        <v>1966</v>
      </c>
      <c r="G1472" s="8">
        <v>44896</v>
      </c>
      <c r="H1472" t="s">
        <v>26</v>
      </c>
      <c r="I1472" t="s">
        <v>59</v>
      </c>
      <c r="J1472" t="s">
        <v>28</v>
      </c>
      <c r="K1472" t="s">
        <v>29</v>
      </c>
      <c r="L1472" t="s">
        <v>895</v>
      </c>
      <c r="M1472" t="s">
        <v>4402</v>
      </c>
      <c r="O1472" t="s">
        <v>896</v>
      </c>
      <c r="P1472" t="s">
        <v>33</v>
      </c>
      <c r="Q1472">
        <v>78.790000000000006</v>
      </c>
      <c r="R1472" t="s">
        <v>35</v>
      </c>
      <c r="S1472" t="s">
        <v>35</v>
      </c>
      <c r="T1472" t="s">
        <v>35</v>
      </c>
      <c r="U1472" t="s">
        <v>35</v>
      </c>
      <c r="V1472" t="s">
        <v>645</v>
      </c>
      <c r="W1472" t="s">
        <v>113</v>
      </c>
    </row>
    <row r="1473" spans="1:23" hidden="1" x14ac:dyDescent="0.25">
      <c r="A1473" s="7" t="str">
        <f>IFERROR(VLOOKUP(H1473,'Contas Orç'!A:B,2,0),"N/A")</f>
        <v>PECAS E ACESSORIOS</v>
      </c>
      <c r="B1473" s="7" t="str">
        <f t="shared" si="44"/>
        <v>320301004 - PECAS E ACESSORIOS</v>
      </c>
      <c r="C1473" s="25">
        <f t="shared" si="45"/>
        <v>44896</v>
      </c>
      <c r="D1473" s="27">
        <f>IF(K1473="CREDITO",Q1473,Q1473*-1)</f>
        <v>11743.95</v>
      </c>
      <c r="E1473" t="s">
        <v>894</v>
      </c>
      <c r="F1473" t="s">
        <v>1967</v>
      </c>
      <c r="G1473" s="8">
        <v>44896</v>
      </c>
      <c r="H1473" t="s">
        <v>26</v>
      </c>
      <c r="I1473" t="s">
        <v>106</v>
      </c>
      <c r="J1473" t="s">
        <v>60</v>
      </c>
      <c r="K1473" t="s">
        <v>29</v>
      </c>
      <c r="L1473" t="s">
        <v>895</v>
      </c>
      <c r="M1473" t="s">
        <v>4402</v>
      </c>
      <c r="O1473" t="s">
        <v>896</v>
      </c>
      <c r="P1473" t="s">
        <v>33</v>
      </c>
      <c r="Q1473" s="22">
        <v>11743.95</v>
      </c>
      <c r="R1473" t="s">
        <v>35</v>
      </c>
      <c r="S1473" t="s">
        <v>35</v>
      </c>
      <c r="T1473" t="s">
        <v>35</v>
      </c>
      <c r="U1473" t="s">
        <v>35</v>
      </c>
      <c r="V1473" t="s">
        <v>645</v>
      </c>
      <c r="W1473" t="s">
        <v>113</v>
      </c>
    </row>
    <row r="1474" spans="1:23" hidden="1" x14ac:dyDescent="0.25">
      <c r="A1474" s="7" t="str">
        <f>IFERROR(VLOOKUP(H1474,'Contas Orç'!A:B,2,0),"N/A")</f>
        <v>PECAS E ACESSORIOS</v>
      </c>
      <c r="B1474" s="7" t="str">
        <f t="shared" si="44"/>
        <v>320301004 - PECAS E ACESSORIOS</v>
      </c>
      <c r="C1474" s="25">
        <f t="shared" si="45"/>
        <v>44896</v>
      </c>
      <c r="D1474" s="27">
        <f>IF(K1474="CREDITO",Q1474,Q1474*-1)</f>
        <v>374443.44</v>
      </c>
      <c r="E1474" t="s">
        <v>894</v>
      </c>
      <c r="F1474" t="s">
        <v>1968</v>
      </c>
      <c r="G1474" s="8">
        <v>44896</v>
      </c>
      <c r="H1474" t="s">
        <v>26</v>
      </c>
      <c r="I1474" t="s">
        <v>59</v>
      </c>
      <c r="J1474" t="s">
        <v>60</v>
      </c>
      <c r="K1474" t="s">
        <v>29</v>
      </c>
      <c r="L1474" t="s">
        <v>895</v>
      </c>
      <c r="M1474" t="s">
        <v>4402</v>
      </c>
      <c r="O1474" t="s">
        <v>896</v>
      </c>
      <c r="P1474" t="s">
        <v>33</v>
      </c>
      <c r="Q1474" s="22">
        <v>374443.44</v>
      </c>
      <c r="R1474" t="s">
        <v>35</v>
      </c>
      <c r="S1474" t="s">
        <v>35</v>
      </c>
      <c r="T1474" t="s">
        <v>35</v>
      </c>
      <c r="U1474" t="s">
        <v>35</v>
      </c>
      <c r="V1474" t="s">
        <v>645</v>
      </c>
      <c r="W1474" t="s">
        <v>113</v>
      </c>
    </row>
    <row r="1475" spans="1:23" hidden="1" x14ac:dyDescent="0.25">
      <c r="A1475" s="7" t="str">
        <f>IFERROR(VLOOKUP(H1475,'Contas Orç'!A:B,2,0),"N/A")</f>
        <v>PECAS E ACESSORIOS</v>
      </c>
      <c r="B1475" s="7" t="str">
        <f t="shared" ref="B1475:B1538" si="46">_xlfn.CONCAT(H1475," - ",A1475)</f>
        <v>320301004 - PECAS E ACESSORIOS</v>
      </c>
      <c r="C1475" s="25">
        <f t="shared" ref="C1475:C1538" si="47">DATE(YEAR(G1475),MONTH(G1475),1)</f>
        <v>44896</v>
      </c>
      <c r="D1475" s="27">
        <f>IF(K1475="CREDITO",Q1475,Q1475*-1)</f>
        <v>1918.13</v>
      </c>
      <c r="E1475" t="s">
        <v>894</v>
      </c>
      <c r="F1475" t="s">
        <v>1969</v>
      </c>
      <c r="G1475" s="8">
        <v>44896</v>
      </c>
      <c r="H1475" t="s">
        <v>26</v>
      </c>
      <c r="I1475" t="s">
        <v>27</v>
      </c>
      <c r="J1475" t="s">
        <v>107</v>
      </c>
      <c r="K1475" t="s">
        <v>29</v>
      </c>
      <c r="L1475" t="s">
        <v>895</v>
      </c>
      <c r="M1475" t="s">
        <v>4402</v>
      </c>
      <c r="O1475" t="s">
        <v>896</v>
      </c>
      <c r="P1475" t="s">
        <v>33</v>
      </c>
      <c r="Q1475" s="22">
        <v>1918.13</v>
      </c>
      <c r="R1475" t="s">
        <v>35</v>
      </c>
      <c r="S1475" t="s">
        <v>35</v>
      </c>
      <c r="T1475" t="s">
        <v>35</v>
      </c>
      <c r="U1475" t="s">
        <v>35</v>
      </c>
      <c r="V1475" t="s">
        <v>645</v>
      </c>
      <c r="W1475" t="s">
        <v>113</v>
      </c>
    </row>
    <row r="1476" spans="1:23" hidden="1" x14ac:dyDescent="0.25">
      <c r="A1476" s="7" t="str">
        <f>IFERROR(VLOOKUP(H1476,'Contas Orç'!A:B,2,0),"N/A")</f>
        <v>PECAS E ACESSORIOS</v>
      </c>
      <c r="B1476" s="7" t="str">
        <f t="shared" si="46"/>
        <v>320301004 - PECAS E ACESSORIOS</v>
      </c>
      <c r="C1476" s="25">
        <f t="shared" si="47"/>
        <v>44896</v>
      </c>
      <c r="D1476" s="27">
        <f>IF(K1476="CREDITO",Q1476,Q1476*-1)</f>
        <v>45141.56</v>
      </c>
      <c r="E1476" t="s">
        <v>894</v>
      </c>
      <c r="F1476" t="s">
        <v>1970</v>
      </c>
      <c r="G1476" s="8">
        <v>44896</v>
      </c>
      <c r="H1476" t="s">
        <v>26</v>
      </c>
      <c r="I1476" t="s">
        <v>59</v>
      </c>
      <c r="J1476" t="s">
        <v>107</v>
      </c>
      <c r="K1476" t="s">
        <v>29</v>
      </c>
      <c r="L1476" t="s">
        <v>895</v>
      </c>
      <c r="M1476" t="s">
        <v>4402</v>
      </c>
      <c r="O1476" t="s">
        <v>896</v>
      </c>
      <c r="P1476" t="s">
        <v>33</v>
      </c>
      <c r="Q1476" s="22">
        <v>45141.56</v>
      </c>
      <c r="R1476" t="s">
        <v>35</v>
      </c>
      <c r="S1476" t="s">
        <v>35</v>
      </c>
      <c r="T1476" t="s">
        <v>35</v>
      </c>
      <c r="U1476" t="s">
        <v>35</v>
      </c>
      <c r="V1476" t="s">
        <v>645</v>
      </c>
      <c r="W1476" t="s">
        <v>113</v>
      </c>
    </row>
    <row r="1477" spans="1:23" hidden="1" x14ac:dyDescent="0.25">
      <c r="A1477" s="7" t="str">
        <f>IFERROR(VLOOKUP(H1477,'Contas Orç'!A:B,2,0),"N/A")</f>
        <v>PECAS E ACESSORIOS</v>
      </c>
      <c r="B1477" s="7" t="str">
        <f t="shared" si="46"/>
        <v>320301004 - PECAS E ACESSORIOS</v>
      </c>
      <c r="C1477" s="25">
        <f t="shared" si="47"/>
        <v>44896</v>
      </c>
      <c r="D1477" s="27">
        <f>IF(K1477="CREDITO",Q1477,Q1477*-1)</f>
        <v>822.89</v>
      </c>
      <c r="E1477" t="s">
        <v>894</v>
      </c>
      <c r="F1477" t="s">
        <v>1971</v>
      </c>
      <c r="G1477" s="8">
        <v>44896</v>
      </c>
      <c r="H1477" t="s">
        <v>26</v>
      </c>
      <c r="I1477" t="s">
        <v>88</v>
      </c>
      <c r="J1477" t="s">
        <v>95</v>
      </c>
      <c r="K1477" t="s">
        <v>29</v>
      </c>
      <c r="L1477" t="s">
        <v>895</v>
      </c>
      <c r="M1477" t="s">
        <v>4402</v>
      </c>
      <c r="O1477" t="s">
        <v>896</v>
      </c>
      <c r="P1477" t="s">
        <v>33</v>
      </c>
      <c r="Q1477">
        <v>822.89</v>
      </c>
      <c r="R1477" t="s">
        <v>35</v>
      </c>
      <c r="S1477" t="s">
        <v>35</v>
      </c>
      <c r="T1477" t="s">
        <v>35</v>
      </c>
      <c r="U1477" t="s">
        <v>35</v>
      </c>
      <c r="V1477" t="s">
        <v>645</v>
      </c>
      <c r="W1477" t="s">
        <v>113</v>
      </c>
    </row>
    <row r="1478" spans="1:23" hidden="1" x14ac:dyDescent="0.25">
      <c r="A1478" s="7" t="str">
        <f>IFERROR(VLOOKUP(H1478,'Contas Orç'!A:B,2,0),"N/A")</f>
        <v>PECAS E ACESSORIOS</v>
      </c>
      <c r="B1478" s="7" t="str">
        <f t="shared" si="46"/>
        <v>320301004 - PECAS E ACESSORIOS</v>
      </c>
      <c r="C1478" s="25">
        <f t="shared" si="47"/>
        <v>44896</v>
      </c>
      <c r="D1478" s="27">
        <f>IF(K1478="CREDITO",Q1478,Q1478*-1)</f>
        <v>28.68</v>
      </c>
      <c r="E1478" t="s">
        <v>894</v>
      </c>
      <c r="F1478" t="s">
        <v>1972</v>
      </c>
      <c r="G1478" s="8">
        <v>44896</v>
      </c>
      <c r="H1478" t="s">
        <v>26</v>
      </c>
      <c r="I1478" t="s">
        <v>59</v>
      </c>
      <c r="J1478" t="s">
        <v>95</v>
      </c>
      <c r="K1478" t="s">
        <v>29</v>
      </c>
      <c r="L1478" t="s">
        <v>895</v>
      </c>
      <c r="M1478" t="s">
        <v>4402</v>
      </c>
      <c r="O1478" t="s">
        <v>896</v>
      </c>
      <c r="P1478" t="s">
        <v>33</v>
      </c>
      <c r="Q1478">
        <v>28.68</v>
      </c>
      <c r="R1478" t="s">
        <v>35</v>
      </c>
      <c r="S1478" t="s">
        <v>35</v>
      </c>
      <c r="T1478" t="s">
        <v>35</v>
      </c>
      <c r="U1478" t="s">
        <v>35</v>
      </c>
      <c r="V1478" t="s">
        <v>645</v>
      </c>
      <c r="W1478" t="s">
        <v>113</v>
      </c>
    </row>
    <row r="1479" spans="1:23" hidden="1" x14ac:dyDescent="0.25">
      <c r="A1479" s="7" t="str">
        <f>IFERROR(VLOOKUP(H1479,'Contas Orç'!A:B,2,0),"N/A")</f>
        <v>PECAS E ACESSORIOS</v>
      </c>
      <c r="B1479" s="7" t="str">
        <f t="shared" si="46"/>
        <v>320301004 - PECAS E ACESSORIOS</v>
      </c>
      <c r="C1479" s="25">
        <f t="shared" si="47"/>
        <v>44896</v>
      </c>
      <c r="D1479" s="27">
        <f>IF(K1479="CREDITO",Q1479,Q1479*-1)</f>
        <v>57844.41</v>
      </c>
      <c r="E1479" t="s">
        <v>894</v>
      </c>
      <c r="F1479" t="s">
        <v>1973</v>
      </c>
      <c r="G1479" s="8">
        <v>44896</v>
      </c>
      <c r="H1479" t="s">
        <v>26</v>
      </c>
      <c r="I1479" t="s">
        <v>125</v>
      </c>
      <c r="J1479" t="s">
        <v>95</v>
      </c>
      <c r="K1479" t="s">
        <v>29</v>
      </c>
      <c r="L1479" t="s">
        <v>895</v>
      </c>
      <c r="M1479" t="s">
        <v>4402</v>
      </c>
      <c r="O1479" t="s">
        <v>896</v>
      </c>
      <c r="P1479" t="s">
        <v>33</v>
      </c>
      <c r="Q1479" s="22">
        <v>57844.41</v>
      </c>
      <c r="R1479" t="s">
        <v>35</v>
      </c>
      <c r="S1479" t="s">
        <v>35</v>
      </c>
      <c r="T1479" t="s">
        <v>35</v>
      </c>
      <c r="U1479" t="s">
        <v>35</v>
      </c>
      <c r="V1479" t="s">
        <v>645</v>
      </c>
      <c r="W1479" t="s">
        <v>113</v>
      </c>
    </row>
    <row r="1480" spans="1:23" hidden="1" x14ac:dyDescent="0.25">
      <c r="A1480" s="7" t="str">
        <f>IFERROR(VLOOKUP(H1480,'Contas Orç'!A:B,2,0),"N/A")</f>
        <v>PECAS E ACESSORIOS</v>
      </c>
      <c r="B1480" s="7" t="str">
        <f t="shared" si="46"/>
        <v>320301004 - PECAS E ACESSORIOS</v>
      </c>
      <c r="C1480" s="25">
        <f t="shared" si="47"/>
        <v>44896</v>
      </c>
      <c r="D1480" s="27">
        <f>IF(K1480="CREDITO",Q1480,Q1480*-1)</f>
        <v>16111.09</v>
      </c>
      <c r="E1480" t="s">
        <v>894</v>
      </c>
      <c r="F1480" t="s">
        <v>1974</v>
      </c>
      <c r="G1480" s="8">
        <v>44896</v>
      </c>
      <c r="H1480" t="s">
        <v>26</v>
      </c>
      <c r="I1480" t="s">
        <v>53</v>
      </c>
      <c r="J1480" t="s">
        <v>54</v>
      </c>
      <c r="K1480" t="s">
        <v>29</v>
      </c>
      <c r="L1480" t="s">
        <v>895</v>
      </c>
      <c r="M1480" t="s">
        <v>4402</v>
      </c>
      <c r="O1480" t="s">
        <v>896</v>
      </c>
      <c r="P1480" t="s">
        <v>33</v>
      </c>
      <c r="Q1480" s="22">
        <v>16111.09</v>
      </c>
      <c r="R1480" t="s">
        <v>35</v>
      </c>
      <c r="S1480" t="s">
        <v>35</v>
      </c>
      <c r="T1480" t="s">
        <v>35</v>
      </c>
      <c r="U1480" t="s">
        <v>35</v>
      </c>
      <c r="V1480" t="s">
        <v>645</v>
      </c>
      <c r="W1480" t="s">
        <v>113</v>
      </c>
    </row>
    <row r="1481" spans="1:23" hidden="1" x14ac:dyDescent="0.25">
      <c r="A1481" s="7" t="str">
        <f>IFERROR(VLOOKUP(H1481,'Contas Orç'!A:B,2,0),"N/A")</f>
        <v>FERRAMENTAS</v>
      </c>
      <c r="B1481" s="7" t="str">
        <f t="shared" si="46"/>
        <v>320301005 - FERRAMENTAS</v>
      </c>
      <c r="C1481" s="25">
        <f t="shared" si="47"/>
        <v>44562</v>
      </c>
      <c r="D1481" s="27">
        <f>IF(K1481="CREDITO",Q1481,Q1481*-1)</f>
        <v>766.16</v>
      </c>
      <c r="E1481" t="s">
        <v>894</v>
      </c>
      <c r="F1481" t="s">
        <v>1975</v>
      </c>
      <c r="G1481" s="8">
        <v>44562</v>
      </c>
      <c r="H1481" t="s">
        <v>539</v>
      </c>
      <c r="I1481" t="s">
        <v>27</v>
      </c>
      <c r="J1481" t="s">
        <v>28</v>
      </c>
      <c r="K1481" t="s">
        <v>29</v>
      </c>
      <c r="L1481" t="s">
        <v>895</v>
      </c>
      <c r="M1481" t="s">
        <v>4402</v>
      </c>
      <c r="O1481" t="s">
        <v>896</v>
      </c>
      <c r="P1481" t="s">
        <v>33</v>
      </c>
      <c r="Q1481">
        <v>766.16</v>
      </c>
      <c r="R1481" t="s">
        <v>35</v>
      </c>
      <c r="S1481" t="s">
        <v>35</v>
      </c>
      <c r="T1481" t="s">
        <v>35</v>
      </c>
      <c r="U1481" t="s">
        <v>35</v>
      </c>
      <c r="V1481" t="s">
        <v>645</v>
      </c>
      <c r="W1481" t="s">
        <v>113</v>
      </c>
    </row>
    <row r="1482" spans="1:23" hidden="1" x14ac:dyDescent="0.25">
      <c r="A1482" s="7" t="str">
        <f>IFERROR(VLOOKUP(H1482,'Contas Orç'!A:B,2,0),"N/A")</f>
        <v>FERRAMENTAS</v>
      </c>
      <c r="B1482" s="7" t="str">
        <f t="shared" si="46"/>
        <v>320301005 - FERRAMENTAS</v>
      </c>
      <c r="C1482" s="25">
        <f t="shared" si="47"/>
        <v>44562</v>
      </c>
      <c r="D1482" s="27">
        <f>IF(K1482="CREDITO",Q1482,Q1482*-1)</f>
        <v>924.54</v>
      </c>
      <c r="E1482" t="s">
        <v>894</v>
      </c>
      <c r="F1482" t="s">
        <v>1976</v>
      </c>
      <c r="G1482" s="8">
        <v>44562</v>
      </c>
      <c r="H1482" t="s">
        <v>539</v>
      </c>
      <c r="I1482" t="s">
        <v>106</v>
      </c>
      <c r="J1482" t="s">
        <v>60</v>
      </c>
      <c r="K1482" t="s">
        <v>29</v>
      </c>
      <c r="L1482" t="s">
        <v>895</v>
      </c>
      <c r="M1482" t="s">
        <v>4402</v>
      </c>
      <c r="O1482" t="s">
        <v>896</v>
      </c>
      <c r="P1482" t="s">
        <v>33</v>
      </c>
      <c r="Q1482">
        <v>924.54</v>
      </c>
      <c r="R1482" t="s">
        <v>35</v>
      </c>
      <c r="S1482" t="s">
        <v>35</v>
      </c>
      <c r="T1482" t="s">
        <v>35</v>
      </c>
      <c r="U1482" t="s">
        <v>35</v>
      </c>
      <c r="V1482" t="s">
        <v>645</v>
      </c>
      <c r="W1482" t="s">
        <v>113</v>
      </c>
    </row>
    <row r="1483" spans="1:23" hidden="1" x14ac:dyDescent="0.25">
      <c r="A1483" s="7" t="str">
        <f>IFERROR(VLOOKUP(H1483,'Contas Orç'!A:B,2,0),"N/A")</f>
        <v>FERRAMENTAS</v>
      </c>
      <c r="B1483" s="7" t="str">
        <f t="shared" si="46"/>
        <v>320301005 - FERRAMENTAS</v>
      </c>
      <c r="C1483" s="25">
        <f t="shared" si="47"/>
        <v>44562</v>
      </c>
      <c r="D1483" s="27">
        <f>IF(K1483="CREDITO",Q1483,Q1483*-1)</f>
        <v>102564.82</v>
      </c>
      <c r="E1483" t="s">
        <v>894</v>
      </c>
      <c r="F1483" t="s">
        <v>1977</v>
      </c>
      <c r="G1483" s="8">
        <v>44562</v>
      </c>
      <c r="H1483" t="s">
        <v>539</v>
      </c>
      <c r="I1483" t="s">
        <v>59</v>
      </c>
      <c r="J1483" t="s">
        <v>60</v>
      </c>
      <c r="K1483" t="s">
        <v>29</v>
      </c>
      <c r="L1483" t="s">
        <v>895</v>
      </c>
      <c r="M1483" t="s">
        <v>4402</v>
      </c>
      <c r="O1483" t="s">
        <v>896</v>
      </c>
      <c r="P1483" t="s">
        <v>33</v>
      </c>
      <c r="Q1483" s="22">
        <v>102564.82</v>
      </c>
      <c r="R1483" t="s">
        <v>35</v>
      </c>
      <c r="S1483" t="s">
        <v>35</v>
      </c>
      <c r="T1483" t="s">
        <v>35</v>
      </c>
      <c r="U1483" t="s">
        <v>35</v>
      </c>
      <c r="V1483" t="s">
        <v>645</v>
      </c>
      <c r="W1483" t="s">
        <v>113</v>
      </c>
    </row>
    <row r="1484" spans="1:23" hidden="1" x14ac:dyDescent="0.25">
      <c r="A1484" s="7" t="str">
        <f>IFERROR(VLOOKUP(H1484,'Contas Orç'!A:B,2,0),"N/A")</f>
        <v>FERRAMENTAS</v>
      </c>
      <c r="B1484" s="7" t="str">
        <f t="shared" si="46"/>
        <v>320301005 - FERRAMENTAS</v>
      </c>
      <c r="C1484" s="25">
        <f t="shared" si="47"/>
        <v>44562</v>
      </c>
      <c r="D1484" s="27">
        <f>IF(K1484="CREDITO",Q1484,Q1484*-1)</f>
        <v>110508.79</v>
      </c>
      <c r="E1484" t="s">
        <v>894</v>
      </c>
      <c r="F1484" t="s">
        <v>1978</v>
      </c>
      <c r="G1484" s="8">
        <v>44562</v>
      </c>
      <c r="H1484" t="s">
        <v>539</v>
      </c>
      <c r="I1484" t="s">
        <v>59</v>
      </c>
      <c r="J1484" t="s">
        <v>107</v>
      </c>
      <c r="K1484" t="s">
        <v>29</v>
      </c>
      <c r="L1484" t="s">
        <v>895</v>
      </c>
      <c r="M1484" t="s">
        <v>4402</v>
      </c>
      <c r="O1484" t="s">
        <v>896</v>
      </c>
      <c r="P1484" t="s">
        <v>33</v>
      </c>
      <c r="Q1484" s="22">
        <v>110508.79</v>
      </c>
      <c r="R1484" t="s">
        <v>35</v>
      </c>
      <c r="S1484" t="s">
        <v>35</v>
      </c>
      <c r="T1484" t="s">
        <v>35</v>
      </c>
      <c r="U1484" t="s">
        <v>35</v>
      </c>
      <c r="V1484" t="s">
        <v>645</v>
      </c>
      <c r="W1484" t="s">
        <v>113</v>
      </c>
    </row>
    <row r="1485" spans="1:23" hidden="1" x14ac:dyDescent="0.25">
      <c r="A1485" s="7" t="str">
        <f>IFERROR(VLOOKUP(H1485,'Contas Orç'!A:B,2,0),"N/A")</f>
        <v>FERRAMENTAS</v>
      </c>
      <c r="B1485" s="7" t="str">
        <f t="shared" si="46"/>
        <v>320301005 - FERRAMENTAS</v>
      </c>
      <c r="C1485" s="25">
        <f t="shared" si="47"/>
        <v>44593</v>
      </c>
      <c r="D1485" s="27">
        <f>IF(K1485="CREDITO",Q1485,Q1485*-1)</f>
        <v>1114.43</v>
      </c>
      <c r="E1485" t="s">
        <v>894</v>
      </c>
      <c r="F1485" t="s">
        <v>1979</v>
      </c>
      <c r="G1485" s="8">
        <v>44593</v>
      </c>
      <c r="H1485" t="s">
        <v>539</v>
      </c>
      <c r="I1485" t="s">
        <v>88</v>
      </c>
      <c r="J1485" t="s">
        <v>28</v>
      </c>
      <c r="K1485" t="s">
        <v>29</v>
      </c>
      <c r="L1485" t="s">
        <v>895</v>
      </c>
      <c r="M1485" t="s">
        <v>4402</v>
      </c>
      <c r="O1485" t="s">
        <v>896</v>
      </c>
      <c r="P1485" t="s">
        <v>33</v>
      </c>
      <c r="Q1485" s="22">
        <v>1114.43</v>
      </c>
      <c r="R1485" t="s">
        <v>35</v>
      </c>
      <c r="S1485" t="s">
        <v>35</v>
      </c>
      <c r="T1485" t="s">
        <v>35</v>
      </c>
      <c r="U1485" t="s">
        <v>35</v>
      </c>
      <c r="V1485" t="s">
        <v>645</v>
      </c>
      <c r="W1485" t="s">
        <v>113</v>
      </c>
    </row>
    <row r="1486" spans="1:23" hidden="1" x14ac:dyDescent="0.25">
      <c r="A1486" s="7" t="str">
        <f>IFERROR(VLOOKUP(H1486,'Contas Orç'!A:B,2,0),"N/A")</f>
        <v>FERRAMENTAS</v>
      </c>
      <c r="B1486" s="7" t="str">
        <f t="shared" si="46"/>
        <v>320301005 - FERRAMENTAS</v>
      </c>
      <c r="C1486" s="25">
        <f t="shared" si="47"/>
        <v>44593</v>
      </c>
      <c r="D1486" s="27">
        <f>IF(K1486="CREDITO",Q1486,Q1486*-1)</f>
        <v>733.24</v>
      </c>
      <c r="E1486" t="s">
        <v>894</v>
      </c>
      <c r="F1486" t="s">
        <v>1980</v>
      </c>
      <c r="G1486" s="8">
        <v>44593</v>
      </c>
      <c r="H1486" t="s">
        <v>539</v>
      </c>
      <c r="I1486" t="s">
        <v>27</v>
      </c>
      <c r="J1486" t="s">
        <v>28</v>
      </c>
      <c r="K1486" t="s">
        <v>29</v>
      </c>
      <c r="L1486" t="s">
        <v>895</v>
      </c>
      <c r="M1486" t="s">
        <v>4402</v>
      </c>
      <c r="O1486" t="s">
        <v>896</v>
      </c>
      <c r="P1486" t="s">
        <v>33</v>
      </c>
      <c r="Q1486">
        <v>733.24</v>
      </c>
      <c r="R1486" t="s">
        <v>35</v>
      </c>
      <c r="S1486" t="s">
        <v>35</v>
      </c>
      <c r="T1486" t="s">
        <v>35</v>
      </c>
      <c r="U1486" t="s">
        <v>35</v>
      </c>
      <c r="V1486" t="s">
        <v>645</v>
      </c>
      <c r="W1486" t="s">
        <v>113</v>
      </c>
    </row>
    <row r="1487" spans="1:23" hidden="1" x14ac:dyDescent="0.25">
      <c r="A1487" s="7" t="str">
        <f>IFERROR(VLOOKUP(H1487,'Contas Orç'!A:B,2,0),"N/A")</f>
        <v>FERRAMENTAS</v>
      </c>
      <c r="B1487" s="7" t="str">
        <f t="shared" si="46"/>
        <v>320301005 - FERRAMENTAS</v>
      </c>
      <c r="C1487" s="25">
        <f t="shared" si="47"/>
        <v>44593</v>
      </c>
      <c r="D1487" s="27">
        <f>IF(K1487="CREDITO",Q1487,Q1487*-1)</f>
        <v>2909.33</v>
      </c>
      <c r="E1487" t="s">
        <v>894</v>
      </c>
      <c r="F1487" t="s">
        <v>1981</v>
      </c>
      <c r="G1487" s="8">
        <v>44593</v>
      </c>
      <c r="H1487" t="s">
        <v>539</v>
      </c>
      <c r="I1487" t="s">
        <v>106</v>
      </c>
      <c r="J1487" t="s">
        <v>60</v>
      </c>
      <c r="K1487" t="s">
        <v>29</v>
      </c>
      <c r="L1487" t="s">
        <v>895</v>
      </c>
      <c r="M1487" t="s">
        <v>4402</v>
      </c>
      <c r="O1487" t="s">
        <v>896</v>
      </c>
      <c r="P1487" t="s">
        <v>33</v>
      </c>
      <c r="Q1487" s="22">
        <v>2909.33</v>
      </c>
      <c r="R1487" t="s">
        <v>35</v>
      </c>
      <c r="S1487" t="s">
        <v>35</v>
      </c>
      <c r="T1487" t="s">
        <v>35</v>
      </c>
      <c r="U1487" t="s">
        <v>35</v>
      </c>
      <c r="V1487" t="s">
        <v>645</v>
      </c>
      <c r="W1487" t="s">
        <v>113</v>
      </c>
    </row>
    <row r="1488" spans="1:23" hidden="1" x14ac:dyDescent="0.25">
      <c r="A1488" s="7" t="str">
        <f>IFERROR(VLOOKUP(H1488,'Contas Orç'!A:B,2,0),"N/A")</f>
        <v>FERRAMENTAS</v>
      </c>
      <c r="B1488" s="7" t="str">
        <f t="shared" si="46"/>
        <v>320301005 - FERRAMENTAS</v>
      </c>
      <c r="C1488" s="25">
        <f t="shared" si="47"/>
        <v>44593</v>
      </c>
      <c r="D1488" s="27">
        <f>IF(K1488="CREDITO",Q1488,Q1488*-1)</f>
        <v>97972.85</v>
      </c>
      <c r="E1488" t="s">
        <v>894</v>
      </c>
      <c r="F1488" t="s">
        <v>1982</v>
      </c>
      <c r="G1488" s="8">
        <v>44593</v>
      </c>
      <c r="H1488" t="s">
        <v>539</v>
      </c>
      <c r="I1488" t="s">
        <v>59</v>
      </c>
      <c r="J1488" t="s">
        <v>60</v>
      </c>
      <c r="K1488" t="s">
        <v>29</v>
      </c>
      <c r="L1488" t="s">
        <v>895</v>
      </c>
      <c r="M1488" t="s">
        <v>4402</v>
      </c>
      <c r="O1488" t="s">
        <v>896</v>
      </c>
      <c r="P1488" t="s">
        <v>33</v>
      </c>
      <c r="Q1488" s="22">
        <v>97972.85</v>
      </c>
      <c r="R1488" t="s">
        <v>35</v>
      </c>
      <c r="S1488" t="s">
        <v>35</v>
      </c>
      <c r="T1488" t="s">
        <v>35</v>
      </c>
      <c r="U1488" t="s">
        <v>35</v>
      </c>
      <c r="V1488" t="s">
        <v>645</v>
      </c>
      <c r="W1488" t="s">
        <v>113</v>
      </c>
    </row>
    <row r="1489" spans="1:23" hidden="1" x14ac:dyDescent="0.25">
      <c r="A1489" s="7" t="str">
        <f>IFERROR(VLOOKUP(H1489,'Contas Orç'!A:B,2,0),"N/A")</f>
        <v>FERRAMENTAS</v>
      </c>
      <c r="B1489" s="7" t="str">
        <f t="shared" si="46"/>
        <v>320301005 - FERRAMENTAS</v>
      </c>
      <c r="C1489" s="25">
        <f t="shared" si="47"/>
        <v>44593</v>
      </c>
      <c r="D1489" s="27">
        <f>IF(K1489="CREDITO",Q1489,Q1489*-1)</f>
        <v>9090.42</v>
      </c>
      <c r="E1489" t="s">
        <v>894</v>
      </c>
      <c r="F1489" t="s">
        <v>1983</v>
      </c>
      <c r="G1489" s="8">
        <v>44593</v>
      </c>
      <c r="H1489" t="s">
        <v>539</v>
      </c>
      <c r="I1489" t="s">
        <v>59</v>
      </c>
      <c r="J1489" t="s">
        <v>107</v>
      </c>
      <c r="K1489" t="s">
        <v>29</v>
      </c>
      <c r="L1489" t="s">
        <v>895</v>
      </c>
      <c r="M1489" t="s">
        <v>4402</v>
      </c>
      <c r="O1489" t="s">
        <v>896</v>
      </c>
      <c r="P1489" t="s">
        <v>33</v>
      </c>
      <c r="Q1489" s="22">
        <v>9090.42</v>
      </c>
      <c r="R1489" t="s">
        <v>35</v>
      </c>
      <c r="S1489" t="s">
        <v>35</v>
      </c>
      <c r="T1489" t="s">
        <v>35</v>
      </c>
      <c r="U1489" t="s">
        <v>35</v>
      </c>
      <c r="V1489" t="s">
        <v>645</v>
      </c>
      <c r="W1489" t="s">
        <v>113</v>
      </c>
    </row>
    <row r="1490" spans="1:23" hidden="1" x14ac:dyDescent="0.25">
      <c r="A1490" s="7" t="str">
        <f>IFERROR(VLOOKUP(H1490,'Contas Orç'!A:B,2,0),"N/A")</f>
        <v>FERRAMENTAS</v>
      </c>
      <c r="B1490" s="7" t="str">
        <f t="shared" si="46"/>
        <v>320301005 - FERRAMENTAS</v>
      </c>
      <c r="C1490" s="25">
        <f t="shared" si="47"/>
        <v>44621</v>
      </c>
      <c r="D1490" s="27">
        <f>IF(K1490="CREDITO",Q1490,Q1490*-1)</f>
        <v>151307.56</v>
      </c>
      <c r="E1490" t="s">
        <v>894</v>
      </c>
      <c r="F1490" t="s">
        <v>1984</v>
      </c>
      <c r="G1490" s="8">
        <v>44621</v>
      </c>
      <c r="H1490" t="s">
        <v>539</v>
      </c>
      <c r="I1490" t="s">
        <v>59</v>
      </c>
      <c r="J1490" t="s">
        <v>60</v>
      </c>
      <c r="K1490" t="s">
        <v>29</v>
      </c>
      <c r="L1490" t="s">
        <v>895</v>
      </c>
      <c r="M1490" t="s">
        <v>4402</v>
      </c>
      <c r="O1490" t="s">
        <v>896</v>
      </c>
      <c r="P1490" t="s">
        <v>33</v>
      </c>
      <c r="Q1490" s="22">
        <v>151307.56</v>
      </c>
      <c r="R1490" t="s">
        <v>35</v>
      </c>
      <c r="S1490" t="s">
        <v>35</v>
      </c>
      <c r="T1490" t="s">
        <v>35</v>
      </c>
      <c r="U1490" t="s">
        <v>35</v>
      </c>
      <c r="V1490" t="s">
        <v>645</v>
      </c>
      <c r="W1490" t="s">
        <v>113</v>
      </c>
    </row>
    <row r="1491" spans="1:23" hidden="1" x14ac:dyDescent="0.25">
      <c r="A1491" s="7" t="str">
        <f>IFERROR(VLOOKUP(H1491,'Contas Orç'!A:B,2,0),"N/A")</f>
        <v>FERRAMENTAS</v>
      </c>
      <c r="B1491" s="7" t="str">
        <f t="shared" si="46"/>
        <v>320301005 - FERRAMENTAS</v>
      </c>
      <c r="C1491" s="25">
        <f t="shared" si="47"/>
        <v>44652</v>
      </c>
      <c r="D1491" s="27">
        <f>IF(K1491="CREDITO",Q1491,Q1491*-1)</f>
        <v>5800.91</v>
      </c>
      <c r="E1491" t="s">
        <v>894</v>
      </c>
      <c r="F1491" t="s">
        <v>1985</v>
      </c>
      <c r="G1491" s="8">
        <v>44652</v>
      </c>
      <c r="H1491" t="s">
        <v>539</v>
      </c>
      <c r="I1491" t="s">
        <v>27</v>
      </c>
      <c r="J1491" t="s">
        <v>28</v>
      </c>
      <c r="K1491" t="s">
        <v>29</v>
      </c>
      <c r="L1491" t="s">
        <v>895</v>
      </c>
      <c r="M1491" t="s">
        <v>4402</v>
      </c>
      <c r="O1491" t="s">
        <v>896</v>
      </c>
      <c r="P1491" t="s">
        <v>33</v>
      </c>
      <c r="Q1491" s="22">
        <v>5800.91</v>
      </c>
      <c r="R1491" t="s">
        <v>35</v>
      </c>
      <c r="S1491" t="s">
        <v>35</v>
      </c>
      <c r="T1491" t="s">
        <v>35</v>
      </c>
      <c r="U1491" t="s">
        <v>35</v>
      </c>
      <c r="V1491" t="s">
        <v>645</v>
      </c>
      <c r="W1491" t="s">
        <v>113</v>
      </c>
    </row>
    <row r="1492" spans="1:23" hidden="1" x14ac:dyDescent="0.25">
      <c r="A1492" s="7" t="str">
        <f>IFERROR(VLOOKUP(H1492,'Contas Orç'!A:B,2,0),"N/A")</f>
        <v>FERRAMENTAS</v>
      </c>
      <c r="B1492" s="7" t="str">
        <f t="shared" si="46"/>
        <v>320301005 - FERRAMENTAS</v>
      </c>
      <c r="C1492" s="25">
        <f t="shared" si="47"/>
        <v>44652</v>
      </c>
      <c r="D1492" s="27">
        <f>IF(K1492="CREDITO",Q1492,Q1492*-1)</f>
        <v>2944.55</v>
      </c>
      <c r="E1492" t="s">
        <v>894</v>
      </c>
      <c r="F1492" t="s">
        <v>1986</v>
      </c>
      <c r="G1492" s="8">
        <v>44652</v>
      </c>
      <c r="H1492" t="s">
        <v>539</v>
      </c>
      <c r="I1492" t="s">
        <v>106</v>
      </c>
      <c r="J1492" t="s">
        <v>60</v>
      </c>
      <c r="K1492" t="s">
        <v>29</v>
      </c>
      <c r="L1492" t="s">
        <v>895</v>
      </c>
      <c r="M1492" t="s">
        <v>4402</v>
      </c>
      <c r="O1492" t="s">
        <v>896</v>
      </c>
      <c r="P1492" t="s">
        <v>33</v>
      </c>
      <c r="Q1492" s="22">
        <v>2944.55</v>
      </c>
      <c r="R1492" t="s">
        <v>35</v>
      </c>
      <c r="S1492" t="s">
        <v>35</v>
      </c>
      <c r="T1492" t="s">
        <v>35</v>
      </c>
      <c r="U1492" t="s">
        <v>35</v>
      </c>
      <c r="V1492" t="s">
        <v>645</v>
      </c>
      <c r="W1492" t="s">
        <v>113</v>
      </c>
    </row>
    <row r="1493" spans="1:23" hidden="1" x14ac:dyDescent="0.25">
      <c r="A1493" s="7" t="str">
        <f>IFERROR(VLOOKUP(H1493,'Contas Orç'!A:B,2,0),"N/A")</f>
        <v>FERRAMENTAS</v>
      </c>
      <c r="B1493" s="7" t="str">
        <f t="shared" si="46"/>
        <v>320301005 - FERRAMENTAS</v>
      </c>
      <c r="C1493" s="25">
        <f t="shared" si="47"/>
        <v>44652</v>
      </c>
      <c r="D1493" s="27">
        <f>IF(K1493="CREDITO",Q1493,Q1493*-1)</f>
        <v>4213.3999999999996</v>
      </c>
      <c r="E1493" t="s">
        <v>894</v>
      </c>
      <c r="F1493" t="s">
        <v>1987</v>
      </c>
      <c r="G1493" s="8">
        <v>44652</v>
      </c>
      <c r="H1493" t="s">
        <v>539</v>
      </c>
      <c r="I1493" t="s">
        <v>59</v>
      </c>
      <c r="J1493" t="s">
        <v>60</v>
      </c>
      <c r="K1493" t="s">
        <v>29</v>
      </c>
      <c r="L1493" t="s">
        <v>895</v>
      </c>
      <c r="M1493" t="s">
        <v>4402</v>
      </c>
      <c r="O1493" t="s">
        <v>896</v>
      </c>
      <c r="P1493" t="s">
        <v>33</v>
      </c>
      <c r="Q1493" s="22">
        <v>4213.3999999999996</v>
      </c>
      <c r="R1493" t="s">
        <v>35</v>
      </c>
      <c r="S1493" t="s">
        <v>35</v>
      </c>
      <c r="T1493" t="s">
        <v>35</v>
      </c>
      <c r="U1493" t="s">
        <v>35</v>
      </c>
      <c r="V1493" t="s">
        <v>645</v>
      </c>
      <c r="W1493" t="s">
        <v>113</v>
      </c>
    </row>
    <row r="1494" spans="1:23" hidden="1" x14ac:dyDescent="0.25">
      <c r="A1494" s="7" t="str">
        <f>IFERROR(VLOOKUP(H1494,'Contas Orç'!A:B,2,0),"N/A")</f>
        <v>FERRAMENTAS</v>
      </c>
      <c r="B1494" s="7" t="str">
        <f t="shared" si="46"/>
        <v>320301005 - FERRAMENTAS</v>
      </c>
      <c r="C1494" s="25">
        <f t="shared" si="47"/>
        <v>44652</v>
      </c>
      <c r="D1494" s="27">
        <f>IF(K1494="CREDITO",Q1494,Q1494*-1)</f>
        <v>73560.94</v>
      </c>
      <c r="E1494" t="s">
        <v>894</v>
      </c>
      <c r="F1494" t="s">
        <v>1988</v>
      </c>
      <c r="G1494" s="8">
        <v>44652</v>
      </c>
      <c r="H1494" t="s">
        <v>539</v>
      </c>
      <c r="I1494" t="s">
        <v>59</v>
      </c>
      <c r="J1494" t="s">
        <v>107</v>
      </c>
      <c r="K1494" t="s">
        <v>29</v>
      </c>
      <c r="L1494" t="s">
        <v>895</v>
      </c>
      <c r="M1494" t="s">
        <v>4402</v>
      </c>
      <c r="O1494" t="s">
        <v>896</v>
      </c>
      <c r="P1494" t="s">
        <v>33</v>
      </c>
      <c r="Q1494" s="22">
        <v>73560.94</v>
      </c>
      <c r="R1494" t="s">
        <v>35</v>
      </c>
      <c r="S1494" t="s">
        <v>35</v>
      </c>
      <c r="T1494" t="s">
        <v>35</v>
      </c>
      <c r="U1494" t="s">
        <v>35</v>
      </c>
      <c r="V1494" t="s">
        <v>645</v>
      </c>
      <c r="W1494" t="s">
        <v>113</v>
      </c>
    </row>
    <row r="1495" spans="1:23" hidden="1" x14ac:dyDescent="0.25">
      <c r="A1495" s="7" t="str">
        <f>IFERROR(VLOOKUP(H1495,'Contas Orç'!A:B,2,0),"N/A")</f>
        <v>FERRAMENTAS</v>
      </c>
      <c r="B1495" s="7" t="str">
        <f t="shared" si="46"/>
        <v>320301005 - FERRAMENTAS</v>
      </c>
      <c r="C1495" s="25">
        <f t="shared" si="47"/>
        <v>44652</v>
      </c>
      <c r="D1495" s="27">
        <f>IF(K1495="CREDITO",Q1495,Q1495*-1)</f>
        <v>3042</v>
      </c>
      <c r="E1495" t="s">
        <v>894</v>
      </c>
      <c r="F1495" t="s">
        <v>1989</v>
      </c>
      <c r="G1495" s="8">
        <v>44652</v>
      </c>
      <c r="H1495" t="s">
        <v>539</v>
      </c>
      <c r="I1495" t="s">
        <v>53</v>
      </c>
      <c r="J1495" t="s">
        <v>54</v>
      </c>
      <c r="K1495" t="s">
        <v>29</v>
      </c>
      <c r="L1495" t="s">
        <v>895</v>
      </c>
      <c r="M1495" t="s">
        <v>4402</v>
      </c>
      <c r="O1495" t="s">
        <v>896</v>
      </c>
      <c r="P1495" t="s">
        <v>33</v>
      </c>
      <c r="Q1495" s="22">
        <v>3042</v>
      </c>
      <c r="R1495" t="s">
        <v>35</v>
      </c>
      <c r="S1495" t="s">
        <v>35</v>
      </c>
      <c r="T1495" t="s">
        <v>35</v>
      </c>
      <c r="U1495" t="s">
        <v>35</v>
      </c>
      <c r="V1495" t="s">
        <v>645</v>
      </c>
      <c r="W1495" t="s">
        <v>113</v>
      </c>
    </row>
    <row r="1496" spans="1:23" hidden="1" x14ac:dyDescent="0.25">
      <c r="A1496" s="7" t="str">
        <f>IFERROR(VLOOKUP(H1496,'Contas Orç'!A:B,2,0),"N/A")</f>
        <v>FERRAMENTAS</v>
      </c>
      <c r="B1496" s="7" t="str">
        <f t="shared" si="46"/>
        <v>320301005 - FERRAMENTAS</v>
      </c>
      <c r="C1496" s="25">
        <f t="shared" si="47"/>
        <v>44682</v>
      </c>
      <c r="D1496" s="27">
        <f>IF(K1496="CREDITO",Q1496,Q1496*-1)</f>
        <v>153.71</v>
      </c>
      <c r="E1496" t="s">
        <v>894</v>
      </c>
      <c r="F1496" t="s">
        <v>1990</v>
      </c>
      <c r="G1496" s="8">
        <v>44682</v>
      </c>
      <c r="H1496" t="s">
        <v>539</v>
      </c>
      <c r="I1496" t="s">
        <v>88</v>
      </c>
      <c r="J1496" t="s">
        <v>28</v>
      </c>
      <c r="K1496" t="s">
        <v>29</v>
      </c>
      <c r="L1496" t="s">
        <v>895</v>
      </c>
      <c r="M1496" t="s">
        <v>4402</v>
      </c>
      <c r="O1496" t="s">
        <v>896</v>
      </c>
      <c r="P1496" t="s">
        <v>33</v>
      </c>
      <c r="Q1496">
        <v>153.71</v>
      </c>
      <c r="R1496" t="s">
        <v>35</v>
      </c>
      <c r="S1496" t="s">
        <v>35</v>
      </c>
      <c r="T1496" t="s">
        <v>35</v>
      </c>
      <c r="U1496" t="s">
        <v>35</v>
      </c>
      <c r="V1496" t="s">
        <v>645</v>
      </c>
      <c r="W1496" t="s">
        <v>113</v>
      </c>
    </row>
    <row r="1497" spans="1:23" hidden="1" x14ac:dyDescent="0.25">
      <c r="A1497" s="7" t="str">
        <f>IFERROR(VLOOKUP(H1497,'Contas Orç'!A:B,2,0),"N/A")</f>
        <v>FERRAMENTAS</v>
      </c>
      <c r="B1497" s="7" t="str">
        <f t="shared" si="46"/>
        <v>320301005 - FERRAMENTAS</v>
      </c>
      <c r="C1497" s="25">
        <f t="shared" si="47"/>
        <v>44682</v>
      </c>
      <c r="D1497" s="27">
        <f>IF(K1497="CREDITO",Q1497,Q1497*-1)</f>
        <v>908.57</v>
      </c>
      <c r="E1497" t="s">
        <v>894</v>
      </c>
      <c r="F1497" t="s">
        <v>1991</v>
      </c>
      <c r="G1497" s="8">
        <v>44682</v>
      </c>
      <c r="H1497" t="s">
        <v>539</v>
      </c>
      <c r="I1497" t="s">
        <v>27</v>
      </c>
      <c r="J1497" t="s">
        <v>28</v>
      </c>
      <c r="K1497" t="s">
        <v>29</v>
      </c>
      <c r="L1497" t="s">
        <v>895</v>
      </c>
      <c r="M1497" t="s">
        <v>4402</v>
      </c>
      <c r="O1497" t="s">
        <v>896</v>
      </c>
      <c r="P1497" t="s">
        <v>33</v>
      </c>
      <c r="Q1497">
        <v>908.57</v>
      </c>
      <c r="R1497" t="s">
        <v>35</v>
      </c>
      <c r="S1497" t="s">
        <v>35</v>
      </c>
      <c r="T1497" t="s">
        <v>35</v>
      </c>
      <c r="U1497" t="s">
        <v>35</v>
      </c>
      <c r="V1497" t="s">
        <v>645</v>
      </c>
      <c r="W1497" t="s">
        <v>113</v>
      </c>
    </row>
    <row r="1498" spans="1:23" hidden="1" x14ac:dyDescent="0.25">
      <c r="A1498" s="7" t="str">
        <f>IFERROR(VLOOKUP(H1498,'Contas Orç'!A:B,2,0),"N/A")</f>
        <v>FERRAMENTAS</v>
      </c>
      <c r="B1498" s="7" t="str">
        <f t="shared" si="46"/>
        <v>320301005 - FERRAMENTAS</v>
      </c>
      <c r="C1498" s="25">
        <f t="shared" si="47"/>
        <v>44682</v>
      </c>
      <c r="D1498" s="27">
        <f>IF(K1498="CREDITO",Q1498,Q1498*-1)</f>
        <v>68</v>
      </c>
      <c r="E1498" t="s">
        <v>894</v>
      </c>
      <c r="F1498" t="s">
        <v>1992</v>
      </c>
      <c r="G1498" s="8">
        <v>44682</v>
      </c>
      <c r="H1498" t="s">
        <v>539</v>
      </c>
      <c r="I1498" t="s">
        <v>106</v>
      </c>
      <c r="J1498" t="s">
        <v>60</v>
      </c>
      <c r="K1498" t="s">
        <v>29</v>
      </c>
      <c r="L1498" t="s">
        <v>895</v>
      </c>
      <c r="M1498" t="s">
        <v>4402</v>
      </c>
      <c r="O1498" t="s">
        <v>896</v>
      </c>
      <c r="P1498" t="s">
        <v>33</v>
      </c>
      <c r="Q1498">
        <v>68</v>
      </c>
      <c r="R1498" t="s">
        <v>35</v>
      </c>
      <c r="S1498" t="s">
        <v>35</v>
      </c>
      <c r="T1498" t="s">
        <v>35</v>
      </c>
      <c r="U1498" t="s">
        <v>35</v>
      </c>
      <c r="V1498" t="s">
        <v>645</v>
      </c>
      <c r="W1498" t="s">
        <v>113</v>
      </c>
    </row>
    <row r="1499" spans="1:23" hidden="1" x14ac:dyDescent="0.25">
      <c r="A1499" s="7" t="str">
        <f>IFERROR(VLOOKUP(H1499,'Contas Orç'!A:B,2,0),"N/A")</f>
        <v>FERRAMENTAS</v>
      </c>
      <c r="B1499" s="7" t="str">
        <f t="shared" si="46"/>
        <v>320301005 - FERRAMENTAS</v>
      </c>
      <c r="C1499" s="25">
        <f t="shared" si="47"/>
        <v>44682</v>
      </c>
      <c r="D1499" s="27">
        <f>IF(K1499="CREDITO",Q1499,Q1499*-1)</f>
        <v>102155.18</v>
      </c>
      <c r="E1499" t="s">
        <v>894</v>
      </c>
      <c r="F1499" t="s">
        <v>1993</v>
      </c>
      <c r="G1499" s="8">
        <v>44682</v>
      </c>
      <c r="H1499" t="s">
        <v>539</v>
      </c>
      <c r="I1499" t="s">
        <v>59</v>
      </c>
      <c r="J1499" t="s">
        <v>60</v>
      </c>
      <c r="K1499" t="s">
        <v>29</v>
      </c>
      <c r="L1499" t="s">
        <v>895</v>
      </c>
      <c r="M1499" t="s">
        <v>4402</v>
      </c>
      <c r="O1499" t="s">
        <v>896</v>
      </c>
      <c r="P1499" t="s">
        <v>33</v>
      </c>
      <c r="Q1499" s="22">
        <v>102155.18</v>
      </c>
      <c r="R1499" t="s">
        <v>35</v>
      </c>
      <c r="S1499" t="s">
        <v>35</v>
      </c>
      <c r="T1499" t="s">
        <v>35</v>
      </c>
      <c r="U1499" t="s">
        <v>35</v>
      </c>
      <c r="V1499" t="s">
        <v>645</v>
      </c>
      <c r="W1499" t="s">
        <v>113</v>
      </c>
    </row>
    <row r="1500" spans="1:23" hidden="1" x14ac:dyDescent="0.25">
      <c r="A1500" s="7" t="str">
        <f>IFERROR(VLOOKUP(H1500,'Contas Orç'!A:B,2,0),"N/A")</f>
        <v>FERRAMENTAS</v>
      </c>
      <c r="B1500" s="7" t="str">
        <f t="shared" si="46"/>
        <v>320301005 - FERRAMENTAS</v>
      </c>
      <c r="C1500" s="25">
        <f t="shared" si="47"/>
        <v>44682</v>
      </c>
      <c r="D1500" s="27">
        <f>IF(K1500="CREDITO",Q1500,Q1500*-1)</f>
        <v>50210.86</v>
      </c>
      <c r="E1500" t="s">
        <v>894</v>
      </c>
      <c r="F1500" t="s">
        <v>1994</v>
      </c>
      <c r="G1500" s="8">
        <v>44682</v>
      </c>
      <c r="H1500" t="s">
        <v>539</v>
      </c>
      <c r="I1500" t="s">
        <v>59</v>
      </c>
      <c r="J1500" t="s">
        <v>107</v>
      </c>
      <c r="K1500" t="s">
        <v>29</v>
      </c>
      <c r="L1500" t="s">
        <v>895</v>
      </c>
      <c r="M1500" t="s">
        <v>4402</v>
      </c>
      <c r="O1500" t="s">
        <v>896</v>
      </c>
      <c r="P1500" t="s">
        <v>33</v>
      </c>
      <c r="Q1500" s="22">
        <v>50210.86</v>
      </c>
      <c r="R1500" t="s">
        <v>35</v>
      </c>
      <c r="S1500" t="s">
        <v>35</v>
      </c>
      <c r="T1500" t="s">
        <v>35</v>
      </c>
      <c r="U1500" t="s">
        <v>35</v>
      </c>
      <c r="V1500" t="s">
        <v>645</v>
      </c>
      <c r="W1500" t="s">
        <v>113</v>
      </c>
    </row>
    <row r="1501" spans="1:23" hidden="1" x14ac:dyDescent="0.25">
      <c r="A1501" s="7" t="str">
        <f>IFERROR(VLOOKUP(H1501,'Contas Orç'!A:B,2,0),"N/A")</f>
        <v>FERRAMENTAS</v>
      </c>
      <c r="B1501" s="7" t="str">
        <f t="shared" si="46"/>
        <v>320301005 - FERRAMENTAS</v>
      </c>
      <c r="C1501" s="25">
        <f t="shared" si="47"/>
        <v>44682</v>
      </c>
      <c r="D1501" s="27">
        <f>IF(K1501="CREDITO",Q1501,Q1501*-1)</f>
        <v>297.51</v>
      </c>
      <c r="E1501" t="s">
        <v>894</v>
      </c>
      <c r="F1501" t="s">
        <v>1995</v>
      </c>
      <c r="G1501" s="8">
        <v>44682</v>
      </c>
      <c r="H1501" t="s">
        <v>539</v>
      </c>
      <c r="I1501" t="s">
        <v>53</v>
      </c>
      <c r="J1501" t="s">
        <v>54</v>
      </c>
      <c r="K1501" t="s">
        <v>29</v>
      </c>
      <c r="L1501" t="s">
        <v>895</v>
      </c>
      <c r="M1501" t="s">
        <v>4402</v>
      </c>
      <c r="O1501" t="s">
        <v>896</v>
      </c>
      <c r="P1501" t="s">
        <v>33</v>
      </c>
      <c r="Q1501">
        <v>297.51</v>
      </c>
      <c r="R1501" t="s">
        <v>35</v>
      </c>
      <c r="S1501" t="s">
        <v>35</v>
      </c>
      <c r="T1501" t="s">
        <v>35</v>
      </c>
      <c r="U1501" t="s">
        <v>35</v>
      </c>
      <c r="V1501" t="s">
        <v>645</v>
      </c>
      <c r="W1501" t="s">
        <v>113</v>
      </c>
    </row>
    <row r="1502" spans="1:23" hidden="1" x14ac:dyDescent="0.25">
      <c r="A1502" s="7" t="str">
        <f>IFERROR(VLOOKUP(H1502,'Contas Orç'!A:B,2,0),"N/A")</f>
        <v>FERRAMENTAS</v>
      </c>
      <c r="B1502" s="7" t="str">
        <f t="shared" si="46"/>
        <v>320301005 - FERRAMENTAS</v>
      </c>
      <c r="C1502" s="25">
        <f t="shared" si="47"/>
        <v>44713</v>
      </c>
      <c r="D1502" s="27">
        <f>IF(K1502="CREDITO",Q1502,Q1502*-1)</f>
        <v>2839.54</v>
      </c>
      <c r="E1502" t="s">
        <v>894</v>
      </c>
      <c r="F1502" t="s">
        <v>1996</v>
      </c>
      <c r="G1502" s="8">
        <v>44713</v>
      </c>
      <c r="H1502" t="s">
        <v>539</v>
      </c>
      <c r="I1502" t="s">
        <v>88</v>
      </c>
      <c r="J1502" t="s">
        <v>28</v>
      </c>
      <c r="K1502" t="s">
        <v>29</v>
      </c>
      <c r="L1502" t="s">
        <v>895</v>
      </c>
      <c r="M1502" t="s">
        <v>4402</v>
      </c>
      <c r="O1502" t="s">
        <v>896</v>
      </c>
      <c r="P1502" t="s">
        <v>33</v>
      </c>
      <c r="Q1502" s="22">
        <v>2839.54</v>
      </c>
      <c r="R1502" t="s">
        <v>35</v>
      </c>
      <c r="S1502" t="s">
        <v>35</v>
      </c>
      <c r="T1502" t="s">
        <v>35</v>
      </c>
      <c r="U1502" t="s">
        <v>35</v>
      </c>
      <c r="V1502" t="s">
        <v>645</v>
      </c>
      <c r="W1502" t="s">
        <v>113</v>
      </c>
    </row>
    <row r="1503" spans="1:23" hidden="1" x14ac:dyDescent="0.25">
      <c r="A1503" s="7" t="str">
        <f>IFERROR(VLOOKUP(H1503,'Contas Orç'!A:B,2,0),"N/A")</f>
        <v>FERRAMENTAS</v>
      </c>
      <c r="B1503" s="7" t="str">
        <f t="shared" si="46"/>
        <v>320301005 - FERRAMENTAS</v>
      </c>
      <c r="C1503" s="25">
        <f t="shared" si="47"/>
        <v>44713</v>
      </c>
      <c r="D1503" s="27">
        <f>IF(K1503="CREDITO",Q1503,Q1503*-1)</f>
        <v>2142.4699999999998</v>
      </c>
      <c r="E1503" t="s">
        <v>894</v>
      </c>
      <c r="F1503" t="s">
        <v>1997</v>
      </c>
      <c r="G1503" s="8">
        <v>44713</v>
      </c>
      <c r="H1503" t="s">
        <v>539</v>
      </c>
      <c r="I1503" t="s">
        <v>27</v>
      </c>
      <c r="J1503" t="s">
        <v>28</v>
      </c>
      <c r="K1503" t="s">
        <v>29</v>
      </c>
      <c r="L1503" t="s">
        <v>895</v>
      </c>
      <c r="M1503" t="s">
        <v>4402</v>
      </c>
      <c r="O1503" t="s">
        <v>896</v>
      </c>
      <c r="P1503" t="s">
        <v>33</v>
      </c>
      <c r="Q1503" s="22">
        <v>2142.4699999999998</v>
      </c>
      <c r="R1503" t="s">
        <v>35</v>
      </c>
      <c r="S1503" t="s">
        <v>35</v>
      </c>
      <c r="T1503" t="s">
        <v>35</v>
      </c>
      <c r="U1503" t="s">
        <v>35</v>
      </c>
      <c r="V1503" t="s">
        <v>645</v>
      </c>
      <c r="W1503" t="s">
        <v>113</v>
      </c>
    </row>
    <row r="1504" spans="1:23" hidden="1" x14ac:dyDescent="0.25">
      <c r="A1504" s="7" t="str">
        <f>IFERROR(VLOOKUP(H1504,'Contas Orç'!A:B,2,0),"N/A")</f>
        <v>FERRAMENTAS</v>
      </c>
      <c r="B1504" s="7" t="str">
        <f t="shared" si="46"/>
        <v>320301005 - FERRAMENTAS</v>
      </c>
      <c r="C1504" s="25">
        <f t="shared" si="47"/>
        <v>44713</v>
      </c>
      <c r="D1504" s="27">
        <f>IF(K1504="CREDITO",Q1504,Q1504*-1)</f>
        <v>6610.24</v>
      </c>
      <c r="E1504" t="s">
        <v>894</v>
      </c>
      <c r="F1504" t="s">
        <v>1998</v>
      </c>
      <c r="G1504" s="8">
        <v>44713</v>
      </c>
      <c r="H1504" t="s">
        <v>539</v>
      </c>
      <c r="I1504" t="s">
        <v>106</v>
      </c>
      <c r="J1504" t="s">
        <v>60</v>
      </c>
      <c r="K1504" t="s">
        <v>29</v>
      </c>
      <c r="L1504" t="s">
        <v>895</v>
      </c>
      <c r="M1504" t="s">
        <v>4402</v>
      </c>
      <c r="O1504" t="s">
        <v>896</v>
      </c>
      <c r="P1504" t="s">
        <v>33</v>
      </c>
      <c r="Q1504" s="22">
        <v>6610.24</v>
      </c>
      <c r="R1504" t="s">
        <v>35</v>
      </c>
      <c r="S1504" t="s">
        <v>35</v>
      </c>
      <c r="T1504" t="s">
        <v>35</v>
      </c>
      <c r="U1504" t="s">
        <v>35</v>
      </c>
      <c r="V1504" t="s">
        <v>645</v>
      </c>
      <c r="W1504" t="s">
        <v>113</v>
      </c>
    </row>
    <row r="1505" spans="1:23" hidden="1" x14ac:dyDescent="0.25">
      <c r="A1505" s="7" t="str">
        <f>IFERROR(VLOOKUP(H1505,'Contas Orç'!A:B,2,0),"N/A")</f>
        <v>FERRAMENTAS</v>
      </c>
      <c r="B1505" s="7" t="str">
        <f t="shared" si="46"/>
        <v>320301005 - FERRAMENTAS</v>
      </c>
      <c r="C1505" s="25">
        <f t="shared" si="47"/>
        <v>44713</v>
      </c>
      <c r="D1505" s="27">
        <f>IF(K1505="CREDITO",Q1505,Q1505*-1)</f>
        <v>19642.310000000001</v>
      </c>
      <c r="E1505" t="s">
        <v>894</v>
      </c>
      <c r="F1505" t="s">
        <v>1999</v>
      </c>
      <c r="G1505" s="8">
        <v>44713</v>
      </c>
      <c r="H1505" t="s">
        <v>539</v>
      </c>
      <c r="I1505" t="s">
        <v>59</v>
      </c>
      <c r="J1505" t="s">
        <v>60</v>
      </c>
      <c r="K1505" t="s">
        <v>29</v>
      </c>
      <c r="L1505" t="s">
        <v>895</v>
      </c>
      <c r="M1505" t="s">
        <v>4402</v>
      </c>
      <c r="O1505" t="s">
        <v>896</v>
      </c>
      <c r="P1505" t="s">
        <v>33</v>
      </c>
      <c r="Q1505" s="22">
        <v>19642.310000000001</v>
      </c>
      <c r="R1505" t="s">
        <v>35</v>
      </c>
      <c r="S1505" t="s">
        <v>35</v>
      </c>
      <c r="T1505" t="s">
        <v>35</v>
      </c>
      <c r="U1505" t="s">
        <v>35</v>
      </c>
      <c r="V1505" t="s">
        <v>645</v>
      </c>
      <c r="W1505" t="s">
        <v>113</v>
      </c>
    </row>
    <row r="1506" spans="1:23" hidden="1" x14ac:dyDescent="0.25">
      <c r="A1506" s="7" t="str">
        <f>IFERROR(VLOOKUP(H1506,'Contas Orç'!A:B,2,0),"N/A")</f>
        <v>FERRAMENTAS</v>
      </c>
      <c r="B1506" s="7" t="str">
        <f t="shared" si="46"/>
        <v>320301005 - FERRAMENTAS</v>
      </c>
      <c r="C1506" s="25">
        <f t="shared" si="47"/>
        <v>44713</v>
      </c>
      <c r="D1506" s="27">
        <f>IF(K1506="CREDITO",Q1506,Q1506*-1)</f>
        <v>60129.1</v>
      </c>
      <c r="E1506" t="s">
        <v>894</v>
      </c>
      <c r="F1506" t="s">
        <v>2000</v>
      </c>
      <c r="G1506" s="8">
        <v>44713</v>
      </c>
      <c r="H1506" t="s">
        <v>539</v>
      </c>
      <c r="I1506" t="s">
        <v>59</v>
      </c>
      <c r="J1506" t="s">
        <v>107</v>
      </c>
      <c r="K1506" t="s">
        <v>29</v>
      </c>
      <c r="L1506" t="s">
        <v>895</v>
      </c>
      <c r="M1506" t="s">
        <v>4402</v>
      </c>
      <c r="O1506" t="s">
        <v>896</v>
      </c>
      <c r="P1506" t="s">
        <v>33</v>
      </c>
      <c r="Q1506" s="22">
        <v>60129.1</v>
      </c>
      <c r="R1506" t="s">
        <v>35</v>
      </c>
      <c r="S1506" t="s">
        <v>35</v>
      </c>
      <c r="T1506" t="s">
        <v>35</v>
      </c>
      <c r="U1506" t="s">
        <v>35</v>
      </c>
      <c r="V1506" t="s">
        <v>645</v>
      </c>
      <c r="W1506" t="s">
        <v>113</v>
      </c>
    </row>
    <row r="1507" spans="1:23" hidden="1" x14ac:dyDescent="0.25">
      <c r="A1507" s="7" t="str">
        <f>IFERROR(VLOOKUP(H1507,'Contas Orç'!A:B,2,0),"N/A")</f>
        <v>FERRAMENTAS</v>
      </c>
      <c r="B1507" s="7" t="str">
        <f t="shared" si="46"/>
        <v>320301005 - FERRAMENTAS</v>
      </c>
      <c r="C1507" s="25">
        <f t="shared" si="47"/>
        <v>44743</v>
      </c>
      <c r="D1507" s="27">
        <f>IF(K1507="CREDITO",Q1507,Q1507*-1)</f>
        <v>669.76</v>
      </c>
      <c r="E1507" t="s">
        <v>894</v>
      </c>
      <c r="F1507" t="s">
        <v>2001</v>
      </c>
      <c r="G1507" s="8">
        <v>44743</v>
      </c>
      <c r="H1507" t="s">
        <v>539</v>
      </c>
      <c r="I1507" t="s">
        <v>88</v>
      </c>
      <c r="J1507" t="s">
        <v>28</v>
      </c>
      <c r="K1507" t="s">
        <v>29</v>
      </c>
      <c r="L1507" t="s">
        <v>895</v>
      </c>
      <c r="M1507" t="s">
        <v>4402</v>
      </c>
      <c r="O1507" t="s">
        <v>896</v>
      </c>
      <c r="P1507" t="s">
        <v>33</v>
      </c>
      <c r="Q1507">
        <v>669.76</v>
      </c>
      <c r="R1507" t="s">
        <v>35</v>
      </c>
      <c r="S1507" t="s">
        <v>35</v>
      </c>
      <c r="T1507" t="s">
        <v>35</v>
      </c>
      <c r="U1507" t="s">
        <v>35</v>
      </c>
      <c r="V1507" t="s">
        <v>645</v>
      </c>
      <c r="W1507" t="s">
        <v>113</v>
      </c>
    </row>
    <row r="1508" spans="1:23" hidden="1" x14ac:dyDescent="0.25">
      <c r="A1508" s="7" t="str">
        <f>IFERROR(VLOOKUP(H1508,'Contas Orç'!A:B,2,0),"N/A")</f>
        <v>FERRAMENTAS</v>
      </c>
      <c r="B1508" s="7" t="str">
        <f t="shared" si="46"/>
        <v>320301005 - FERRAMENTAS</v>
      </c>
      <c r="C1508" s="25">
        <f t="shared" si="47"/>
        <v>44743</v>
      </c>
      <c r="D1508" s="27">
        <f>IF(K1508="CREDITO",Q1508,Q1508*-1)</f>
        <v>3409.44</v>
      </c>
      <c r="E1508" t="s">
        <v>894</v>
      </c>
      <c r="F1508" t="s">
        <v>2002</v>
      </c>
      <c r="G1508" s="8">
        <v>44743</v>
      </c>
      <c r="H1508" t="s">
        <v>539</v>
      </c>
      <c r="I1508" t="s">
        <v>27</v>
      </c>
      <c r="J1508" t="s">
        <v>28</v>
      </c>
      <c r="K1508" t="s">
        <v>29</v>
      </c>
      <c r="L1508" t="s">
        <v>895</v>
      </c>
      <c r="M1508" t="s">
        <v>4402</v>
      </c>
      <c r="O1508" t="s">
        <v>896</v>
      </c>
      <c r="P1508" t="s">
        <v>33</v>
      </c>
      <c r="Q1508" s="22">
        <v>3409.44</v>
      </c>
      <c r="R1508" t="s">
        <v>35</v>
      </c>
      <c r="S1508" t="s">
        <v>35</v>
      </c>
      <c r="T1508" t="s">
        <v>35</v>
      </c>
      <c r="U1508" t="s">
        <v>35</v>
      </c>
      <c r="V1508" t="s">
        <v>645</v>
      </c>
      <c r="W1508" t="s">
        <v>113</v>
      </c>
    </row>
    <row r="1509" spans="1:23" hidden="1" x14ac:dyDescent="0.25">
      <c r="A1509" s="7" t="str">
        <f>IFERROR(VLOOKUP(H1509,'Contas Orç'!A:B,2,0),"N/A")</f>
        <v>FERRAMENTAS</v>
      </c>
      <c r="B1509" s="7" t="str">
        <f t="shared" si="46"/>
        <v>320301005 - FERRAMENTAS</v>
      </c>
      <c r="C1509" s="25">
        <f t="shared" si="47"/>
        <v>44743</v>
      </c>
      <c r="D1509" s="27">
        <f>IF(K1509="CREDITO",Q1509,Q1509*-1)</f>
        <v>12308.56</v>
      </c>
      <c r="E1509" t="s">
        <v>894</v>
      </c>
      <c r="F1509" t="s">
        <v>2003</v>
      </c>
      <c r="G1509" s="8">
        <v>44743</v>
      </c>
      <c r="H1509" t="s">
        <v>539</v>
      </c>
      <c r="I1509" t="s">
        <v>106</v>
      </c>
      <c r="J1509" t="s">
        <v>60</v>
      </c>
      <c r="K1509" t="s">
        <v>29</v>
      </c>
      <c r="L1509" t="s">
        <v>895</v>
      </c>
      <c r="M1509" t="s">
        <v>4402</v>
      </c>
      <c r="O1509" t="s">
        <v>896</v>
      </c>
      <c r="P1509" t="s">
        <v>33</v>
      </c>
      <c r="Q1509" s="22">
        <v>12308.56</v>
      </c>
      <c r="R1509" t="s">
        <v>35</v>
      </c>
      <c r="S1509" t="s">
        <v>35</v>
      </c>
      <c r="T1509" t="s">
        <v>35</v>
      </c>
      <c r="U1509" t="s">
        <v>35</v>
      </c>
      <c r="V1509" t="s">
        <v>645</v>
      </c>
      <c r="W1509" t="s">
        <v>113</v>
      </c>
    </row>
    <row r="1510" spans="1:23" hidden="1" x14ac:dyDescent="0.25">
      <c r="A1510" s="7" t="str">
        <f>IFERROR(VLOOKUP(H1510,'Contas Orç'!A:B,2,0),"N/A")</f>
        <v>FERRAMENTAS</v>
      </c>
      <c r="B1510" s="7" t="str">
        <f t="shared" si="46"/>
        <v>320301005 - FERRAMENTAS</v>
      </c>
      <c r="C1510" s="25">
        <f t="shared" si="47"/>
        <v>44743</v>
      </c>
      <c r="D1510" s="27">
        <f>IF(K1510="CREDITO",Q1510,Q1510*-1)</f>
        <v>134048.14000000001</v>
      </c>
      <c r="E1510" t="s">
        <v>894</v>
      </c>
      <c r="F1510" t="s">
        <v>2004</v>
      </c>
      <c r="G1510" s="8">
        <v>44743</v>
      </c>
      <c r="H1510" t="s">
        <v>539</v>
      </c>
      <c r="I1510" t="s">
        <v>59</v>
      </c>
      <c r="J1510" t="s">
        <v>60</v>
      </c>
      <c r="K1510" t="s">
        <v>29</v>
      </c>
      <c r="L1510" t="s">
        <v>895</v>
      </c>
      <c r="M1510" t="s">
        <v>4402</v>
      </c>
      <c r="O1510" t="s">
        <v>896</v>
      </c>
      <c r="P1510" t="s">
        <v>33</v>
      </c>
      <c r="Q1510" s="22">
        <v>134048.14000000001</v>
      </c>
      <c r="R1510" t="s">
        <v>35</v>
      </c>
      <c r="S1510" t="s">
        <v>35</v>
      </c>
      <c r="T1510" t="s">
        <v>35</v>
      </c>
      <c r="U1510" t="s">
        <v>35</v>
      </c>
      <c r="V1510" t="s">
        <v>645</v>
      </c>
      <c r="W1510" t="s">
        <v>113</v>
      </c>
    </row>
    <row r="1511" spans="1:23" hidden="1" x14ac:dyDescent="0.25">
      <c r="A1511" s="7" t="str">
        <f>IFERROR(VLOOKUP(H1511,'Contas Orç'!A:B,2,0),"N/A")</f>
        <v>FERRAMENTAS</v>
      </c>
      <c r="B1511" s="7" t="str">
        <f t="shared" si="46"/>
        <v>320301005 - FERRAMENTAS</v>
      </c>
      <c r="C1511" s="25">
        <f t="shared" si="47"/>
        <v>44743</v>
      </c>
      <c r="D1511" s="27">
        <f>IF(K1511="CREDITO",Q1511,Q1511*-1)</f>
        <v>4020</v>
      </c>
      <c r="E1511" t="s">
        <v>894</v>
      </c>
      <c r="F1511" t="s">
        <v>2005</v>
      </c>
      <c r="G1511" s="8">
        <v>44743</v>
      </c>
      <c r="H1511" t="s">
        <v>539</v>
      </c>
      <c r="I1511" t="s">
        <v>59</v>
      </c>
      <c r="J1511" t="s">
        <v>107</v>
      </c>
      <c r="K1511" t="s">
        <v>29</v>
      </c>
      <c r="L1511" t="s">
        <v>895</v>
      </c>
      <c r="M1511" t="s">
        <v>4402</v>
      </c>
      <c r="O1511" t="s">
        <v>896</v>
      </c>
      <c r="P1511" t="s">
        <v>33</v>
      </c>
      <c r="Q1511" s="22">
        <v>4020</v>
      </c>
      <c r="R1511" t="s">
        <v>35</v>
      </c>
      <c r="S1511" t="s">
        <v>35</v>
      </c>
      <c r="T1511" t="s">
        <v>35</v>
      </c>
      <c r="U1511" t="s">
        <v>35</v>
      </c>
      <c r="V1511" t="s">
        <v>645</v>
      </c>
      <c r="W1511" t="s">
        <v>113</v>
      </c>
    </row>
    <row r="1512" spans="1:23" hidden="1" x14ac:dyDescent="0.25">
      <c r="A1512" s="7" t="str">
        <f>IFERROR(VLOOKUP(H1512,'Contas Orç'!A:B,2,0),"N/A")</f>
        <v>FERRAMENTAS</v>
      </c>
      <c r="B1512" s="7" t="str">
        <f t="shared" si="46"/>
        <v>320301005 - FERRAMENTAS</v>
      </c>
      <c r="C1512" s="25">
        <f t="shared" si="47"/>
        <v>44743</v>
      </c>
      <c r="D1512" s="27">
        <f>IF(K1512="CREDITO",Q1512,Q1512*-1)</f>
        <v>693.9</v>
      </c>
      <c r="E1512" t="s">
        <v>894</v>
      </c>
      <c r="F1512" t="s">
        <v>2006</v>
      </c>
      <c r="G1512" s="8">
        <v>44743</v>
      </c>
      <c r="H1512" t="s">
        <v>539</v>
      </c>
      <c r="I1512" t="s">
        <v>53</v>
      </c>
      <c r="J1512" t="s">
        <v>54</v>
      </c>
      <c r="K1512" t="s">
        <v>29</v>
      </c>
      <c r="L1512" t="s">
        <v>895</v>
      </c>
      <c r="M1512" t="s">
        <v>4402</v>
      </c>
      <c r="O1512" t="s">
        <v>896</v>
      </c>
      <c r="P1512" t="s">
        <v>33</v>
      </c>
      <c r="Q1512">
        <v>693.9</v>
      </c>
      <c r="R1512" t="s">
        <v>35</v>
      </c>
      <c r="S1512" t="s">
        <v>35</v>
      </c>
      <c r="T1512" t="s">
        <v>35</v>
      </c>
      <c r="U1512" t="s">
        <v>35</v>
      </c>
      <c r="V1512" t="s">
        <v>645</v>
      </c>
      <c r="W1512" t="s">
        <v>113</v>
      </c>
    </row>
    <row r="1513" spans="1:23" hidden="1" x14ac:dyDescent="0.25">
      <c r="A1513" s="7" t="str">
        <f>IFERROR(VLOOKUP(H1513,'Contas Orç'!A:B,2,0),"N/A")</f>
        <v>FERRAMENTAS</v>
      </c>
      <c r="B1513" s="7" t="str">
        <f t="shared" si="46"/>
        <v>320301005 - FERRAMENTAS</v>
      </c>
      <c r="C1513" s="25">
        <f t="shared" si="47"/>
        <v>44774</v>
      </c>
      <c r="D1513" s="27">
        <f>IF(K1513="CREDITO",Q1513,Q1513*-1)</f>
        <v>551.30999999999995</v>
      </c>
      <c r="E1513" t="s">
        <v>894</v>
      </c>
      <c r="F1513" t="s">
        <v>2007</v>
      </c>
      <c r="G1513" s="8">
        <v>44774</v>
      </c>
      <c r="H1513" t="s">
        <v>539</v>
      </c>
      <c r="I1513" t="s">
        <v>88</v>
      </c>
      <c r="J1513" t="s">
        <v>28</v>
      </c>
      <c r="K1513" t="s">
        <v>29</v>
      </c>
      <c r="L1513" t="s">
        <v>895</v>
      </c>
      <c r="M1513" t="s">
        <v>4402</v>
      </c>
      <c r="O1513" t="s">
        <v>896</v>
      </c>
      <c r="P1513" t="s">
        <v>33</v>
      </c>
      <c r="Q1513">
        <v>551.30999999999995</v>
      </c>
      <c r="R1513" t="s">
        <v>35</v>
      </c>
      <c r="S1513" t="s">
        <v>35</v>
      </c>
      <c r="T1513" t="s">
        <v>35</v>
      </c>
      <c r="U1513" t="s">
        <v>35</v>
      </c>
      <c r="V1513" t="s">
        <v>645</v>
      </c>
      <c r="W1513" t="s">
        <v>113</v>
      </c>
    </row>
    <row r="1514" spans="1:23" hidden="1" x14ac:dyDescent="0.25">
      <c r="A1514" s="7" t="str">
        <f>IFERROR(VLOOKUP(H1514,'Contas Orç'!A:B,2,0),"N/A")</f>
        <v>FERRAMENTAS</v>
      </c>
      <c r="B1514" s="7" t="str">
        <f t="shared" si="46"/>
        <v>320301005 - FERRAMENTAS</v>
      </c>
      <c r="C1514" s="25">
        <f t="shared" si="47"/>
        <v>44774</v>
      </c>
      <c r="D1514" s="27">
        <f>IF(K1514="CREDITO",Q1514,Q1514*-1)</f>
        <v>4147.12</v>
      </c>
      <c r="E1514" t="s">
        <v>894</v>
      </c>
      <c r="F1514" t="s">
        <v>2008</v>
      </c>
      <c r="G1514" s="8">
        <v>44774</v>
      </c>
      <c r="H1514" t="s">
        <v>539</v>
      </c>
      <c r="I1514" t="s">
        <v>27</v>
      </c>
      <c r="J1514" t="s">
        <v>28</v>
      </c>
      <c r="K1514" t="s">
        <v>29</v>
      </c>
      <c r="L1514" t="s">
        <v>895</v>
      </c>
      <c r="M1514" t="s">
        <v>4402</v>
      </c>
      <c r="O1514" t="s">
        <v>896</v>
      </c>
      <c r="P1514" t="s">
        <v>33</v>
      </c>
      <c r="Q1514" s="22">
        <v>4147.12</v>
      </c>
      <c r="R1514" t="s">
        <v>35</v>
      </c>
      <c r="S1514" t="s">
        <v>35</v>
      </c>
      <c r="T1514" t="s">
        <v>35</v>
      </c>
      <c r="U1514" t="s">
        <v>35</v>
      </c>
      <c r="V1514" t="s">
        <v>645</v>
      </c>
      <c r="W1514" t="s">
        <v>113</v>
      </c>
    </row>
    <row r="1515" spans="1:23" hidden="1" x14ac:dyDescent="0.25">
      <c r="A1515" s="7" t="str">
        <f>IFERROR(VLOOKUP(H1515,'Contas Orç'!A:B,2,0),"N/A")</f>
        <v>FERRAMENTAS</v>
      </c>
      <c r="B1515" s="7" t="str">
        <f t="shared" si="46"/>
        <v>320301005 - FERRAMENTAS</v>
      </c>
      <c r="C1515" s="25">
        <f t="shared" si="47"/>
        <v>44774</v>
      </c>
      <c r="D1515" s="27">
        <f>IF(K1515="CREDITO",Q1515,Q1515*-1)</f>
        <v>3616.2</v>
      </c>
      <c r="E1515" t="s">
        <v>894</v>
      </c>
      <c r="F1515" t="s">
        <v>2009</v>
      </c>
      <c r="G1515" s="8">
        <v>44774</v>
      </c>
      <c r="H1515" t="s">
        <v>539</v>
      </c>
      <c r="I1515" t="s">
        <v>106</v>
      </c>
      <c r="J1515" t="s">
        <v>60</v>
      </c>
      <c r="K1515" t="s">
        <v>29</v>
      </c>
      <c r="L1515" t="s">
        <v>895</v>
      </c>
      <c r="M1515" t="s">
        <v>4402</v>
      </c>
      <c r="O1515" t="s">
        <v>896</v>
      </c>
      <c r="P1515" t="s">
        <v>33</v>
      </c>
      <c r="Q1515" s="22">
        <v>3616.2</v>
      </c>
      <c r="R1515" t="s">
        <v>35</v>
      </c>
      <c r="S1515" t="s">
        <v>35</v>
      </c>
      <c r="T1515" t="s">
        <v>35</v>
      </c>
      <c r="U1515" t="s">
        <v>35</v>
      </c>
      <c r="V1515" t="s">
        <v>645</v>
      </c>
      <c r="W1515" t="s">
        <v>113</v>
      </c>
    </row>
    <row r="1516" spans="1:23" hidden="1" x14ac:dyDescent="0.25">
      <c r="A1516" s="7" t="str">
        <f>IFERROR(VLOOKUP(H1516,'Contas Orç'!A:B,2,0),"N/A")</f>
        <v>FERRAMENTAS</v>
      </c>
      <c r="B1516" s="7" t="str">
        <f t="shared" si="46"/>
        <v>320301005 - FERRAMENTAS</v>
      </c>
      <c r="C1516" s="25">
        <f t="shared" si="47"/>
        <v>44774</v>
      </c>
      <c r="D1516" s="27">
        <f>IF(K1516="CREDITO",Q1516,Q1516*-1)</f>
        <v>108530.62</v>
      </c>
      <c r="E1516" t="s">
        <v>894</v>
      </c>
      <c r="F1516" t="s">
        <v>2010</v>
      </c>
      <c r="G1516" s="8">
        <v>44774</v>
      </c>
      <c r="H1516" t="s">
        <v>539</v>
      </c>
      <c r="I1516" t="s">
        <v>59</v>
      </c>
      <c r="J1516" t="s">
        <v>60</v>
      </c>
      <c r="K1516" t="s">
        <v>29</v>
      </c>
      <c r="L1516" t="s">
        <v>895</v>
      </c>
      <c r="M1516" t="s">
        <v>4402</v>
      </c>
      <c r="O1516" t="s">
        <v>896</v>
      </c>
      <c r="P1516" t="s">
        <v>33</v>
      </c>
      <c r="Q1516" s="22">
        <v>108530.62</v>
      </c>
      <c r="R1516" t="s">
        <v>35</v>
      </c>
      <c r="S1516" t="s">
        <v>35</v>
      </c>
      <c r="T1516" t="s">
        <v>35</v>
      </c>
      <c r="U1516" t="s">
        <v>35</v>
      </c>
      <c r="V1516" t="s">
        <v>645</v>
      </c>
      <c r="W1516" t="s">
        <v>113</v>
      </c>
    </row>
    <row r="1517" spans="1:23" hidden="1" x14ac:dyDescent="0.25">
      <c r="A1517" s="7" t="str">
        <f>IFERROR(VLOOKUP(H1517,'Contas Orç'!A:B,2,0),"N/A")</f>
        <v>FERRAMENTAS</v>
      </c>
      <c r="B1517" s="7" t="str">
        <f t="shared" si="46"/>
        <v>320301005 - FERRAMENTAS</v>
      </c>
      <c r="C1517" s="25">
        <f t="shared" si="47"/>
        <v>44774</v>
      </c>
      <c r="D1517" s="27">
        <f>IF(K1517="CREDITO",Q1517,Q1517*-1)</f>
        <v>11351.31</v>
      </c>
      <c r="E1517" t="s">
        <v>894</v>
      </c>
      <c r="F1517" t="s">
        <v>2011</v>
      </c>
      <c r="G1517" s="8">
        <v>44774</v>
      </c>
      <c r="H1517" t="s">
        <v>539</v>
      </c>
      <c r="I1517" t="s">
        <v>59</v>
      </c>
      <c r="J1517" t="s">
        <v>107</v>
      </c>
      <c r="K1517" t="s">
        <v>29</v>
      </c>
      <c r="L1517" t="s">
        <v>895</v>
      </c>
      <c r="M1517" t="s">
        <v>4402</v>
      </c>
      <c r="O1517" t="s">
        <v>896</v>
      </c>
      <c r="P1517" t="s">
        <v>33</v>
      </c>
      <c r="Q1517" s="22">
        <v>11351.31</v>
      </c>
      <c r="R1517" t="s">
        <v>35</v>
      </c>
      <c r="S1517" t="s">
        <v>35</v>
      </c>
      <c r="T1517" t="s">
        <v>35</v>
      </c>
      <c r="U1517" t="s">
        <v>35</v>
      </c>
      <c r="V1517" t="s">
        <v>645</v>
      </c>
      <c r="W1517" t="s">
        <v>113</v>
      </c>
    </row>
    <row r="1518" spans="1:23" hidden="1" x14ac:dyDescent="0.25">
      <c r="A1518" s="7" t="str">
        <f>IFERROR(VLOOKUP(H1518,'Contas Orç'!A:B,2,0),"N/A")</f>
        <v>FERRAMENTAS</v>
      </c>
      <c r="B1518" s="7" t="str">
        <f t="shared" si="46"/>
        <v>320301005 - FERRAMENTAS</v>
      </c>
      <c r="C1518" s="25">
        <f t="shared" si="47"/>
        <v>44774</v>
      </c>
      <c r="D1518" s="27">
        <f>IF(K1518="CREDITO",Q1518,Q1518*-1)</f>
        <v>391.27</v>
      </c>
      <c r="E1518" t="s">
        <v>894</v>
      </c>
      <c r="F1518" t="s">
        <v>2012</v>
      </c>
      <c r="G1518" s="8">
        <v>44774</v>
      </c>
      <c r="H1518" t="s">
        <v>539</v>
      </c>
      <c r="I1518" t="s">
        <v>53</v>
      </c>
      <c r="J1518" t="s">
        <v>54</v>
      </c>
      <c r="K1518" t="s">
        <v>29</v>
      </c>
      <c r="L1518" t="s">
        <v>895</v>
      </c>
      <c r="M1518" t="s">
        <v>4402</v>
      </c>
      <c r="O1518" t="s">
        <v>896</v>
      </c>
      <c r="P1518" t="s">
        <v>33</v>
      </c>
      <c r="Q1518">
        <v>391.27</v>
      </c>
      <c r="R1518" t="s">
        <v>35</v>
      </c>
      <c r="S1518" t="s">
        <v>35</v>
      </c>
      <c r="T1518" t="s">
        <v>35</v>
      </c>
      <c r="U1518" t="s">
        <v>35</v>
      </c>
      <c r="V1518" t="s">
        <v>645</v>
      </c>
      <c r="W1518" t="s">
        <v>113</v>
      </c>
    </row>
    <row r="1519" spans="1:23" hidden="1" x14ac:dyDescent="0.25">
      <c r="A1519" s="7" t="str">
        <f>IFERROR(VLOOKUP(H1519,'Contas Orç'!A:B,2,0),"N/A")</f>
        <v>FERRAMENTAS</v>
      </c>
      <c r="B1519" s="7" t="str">
        <f t="shared" si="46"/>
        <v>320301005 - FERRAMENTAS</v>
      </c>
      <c r="C1519" s="25">
        <f t="shared" si="47"/>
        <v>44805</v>
      </c>
      <c r="D1519" s="27">
        <f>IF(K1519="CREDITO",Q1519,Q1519*-1)</f>
        <v>1450.72</v>
      </c>
      <c r="E1519" t="s">
        <v>894</v>
      </c>
      <c r="F1519" t="s">
        <v>2013</v>
      </c>
      <c r="G1519" s="8">
        <v>44805</v>
      </c>
      <c r="H1519" t="s">
        <v>539</v>
      </c>
      <c r="I1519" t="s">
        <v>88</v>
      </c>
      <c r="J1519" t="s">
        <v>28</v>
      </c>
      <c r="K1519" t="s">
        <v>29</v>
      </c>
      <c r="L1519" t="s">
        <v>895</v>
      </c>
      <c r="M1519" t="s">
        <v>4402</v>
      </c>
      <c r="O1519" t="s">
        <v>896</v>
      </c>
      <c r="P1519" t="s">
        <v>33</v>
      </c>
      <c r="Q1519" s="22">
        <v>1450.72</v>
      </c>
      <c r="R1519" t="s">
        <v>35</v>
      </c>
      <c r="S1519" t="s">
        <v>35</v>
      </c>
      <c r="T1519" t="s">
        <v>35</v>
      </c>
      <c r="U1519" t="s">
        <v>35</v>
      </c>
      <c r="V1519" t="s">
        <v>645</v>
      </c>
      <c r="W1519" t="s">
        <v>113</v>
      </c>
    </row>
    <row r="1520" spans="1:23" hidden="1" x14ac:dyDescent="0.25">
      <c r="A1520" s="7" t="str">
        <f>IFERROR(VLOOKUP(H1520,'Contas Orç'!A:B,2,0),"N/A")</f>
        <v>FERRAMENTAS</v>
      </c>
      <c r="B1520" s="7" t="str">
        <f t="shared" si="46"/>
        <v>320301005 - FERRAMENTAS</v>
      </c>
      <c r="C1520" s="25">
        <f t="shared" si="47"/>
        <v>44805</v>
      </c>
      <c r="D1520" s="27">
        <f>IF(K1520="CREDITO",Q1520,Q1520*-1)</f>
        <v>3206.52</v>
      </c>
      <c r="E1520" t="s">
        <v>894</v>
      </c>
      <c r="F1520" t="s">
        <v>2014</v>
      </c>
      <c r="G1520" s="8">
        <v>44805</v>
      </c>
      <c r="H1520" t="s">
        <v>539</v>
      </c>
      <c r="I1520" t="s">
        <v>27</v>
      </c>
      <c r="J1520" t="s">
        <v>28</v>
      </c>
      <c r="K1520" t="s">
        <v>29</v>
      </c>
      <c r="L1520" t="s">
        <v>895</v>
      </c>
      <c r="M1520" t="s">
        <v>4402</v>
      </c>
      <c r="O1520" t="s">
        <v>896</v>
      </c>
      <c r="P1520" t="s">
        <v>33</v>
      </c>
      <c r="Q1520" s="22">
        <v>3206.52</v>
      </c>
      <c r="R1520" t="s">
        <v>35</v>
      </c>
      <c r="S1520" t="s">
        <v>35</v>
      </c>
      <c r="T1520" t="s">
        <v>35</v>
      </c>
      <c r="U1520" t="s">
        <v>35</v>
      </c>
      <c r="V1520" t="s">
        <v>645</v>
      </c>
      <c r="W1520" t="s">
        <v>113</v>
      </c>
    </row>
    <row r="1521" spans="1:23" hidden="1" x14ac:dyDescent="0.25">
      <c r="A1521" s="7" t="str">
        <f>IFERROR(VLOOKUP(H1521,'Contas Orç'!A:B,2,0),"N/A")</f>
        <v>FERRAMENTAS</v>
      </c>
      <c r="B1521" s="7" t="str">
        <f t="shared" si="46"/>
        <v>320301005 - FERRAMENTAS</v>
      </c>
      <c r="C1521" s="25">
        <f t="shared" si="47"/>
        <v>44805</v>
      </c>
      <c r="D1521" s="27">
        <f>IF(K1521="CREDITO",Q1521,Q1521*-1)</f>
        <v>1687.42</v>
      </c>
      <c r="E1521" t="s">
        <v>894</v>
      </c>
      <c r="F1521" t="s">
        <v>2015</v>
      </c>
      <c r="G1521" s="8">
        <v>44805</v>
      </c>
      <c r="H1521" t="s">
        <v>539</v>
      </c>
      <c r="I1521" t="s">
        <v>106</v>
      </c>
      <c r="J1521" t="s">
        <v>60</v>
      </c>
      <c r="K1521" t="s">
        <v>29</v>
      </c>
      <c r="L1521" t="s">
        <v>895</v>
      </c>
      <c r="M1521" t="s">
        <v>4402</v>
      </c>
      <c r="O1521" t="s">
        <v>896</v>
      </c>
      <c r="P1521" t="s">
        <v>33</v>
      </c>
      <c r="Q1521" s="22">
        <v>1687.42</v>
      </c>
      <c r="R1521" t="s">
        <v>35</v>
      </c>
      <c r="S1521" t="s">
        <v>35</v>
      </c>
      <c r="T1521" t="s">
        <v>35</v>
      </c>
      <c r="U1521" t="s">
        <v>35</v>
      </c>
      <c r="V1521" t="s">
        <v>645</v>
      </c>
      <c r="W1521" t="s">
        <v>113</v>
      </c>
    </row>
    <row r="1522" spans="1:23" hidden="1" x14ac:dyDescent="0.25">
      <c r="A1522" s="7" t="str">
        <f>IFERROR(VLOOKUP(H1522,'Contas Orç'!A:B,2,0),"N/A")</f>
        <v>FERRAMENTAS</v>
      </c>
      <c r="B1522" s="7" t="str">
        <f t="shared" si="46"/>
        <v>320301005 - FERRAMENTAS</v>
      </c>
      <c r="C1522" s="25">
        <f t="shared" si="47"/>
        <v>44805</v>
      </c>
      <c r="D1522" s="27">
        <f>IF(K1522="CREDITO",Q1522,Q1522*-1)</f>
        <v>75502.73</v>
      </c>
      <c r="E1522" t="s">
        <v>894</v>
      </c>
      <c r="F1522" t="s">
        <v>2016</v>
      </c>
      <c r="G1522" s="8">
        <v>44805</v>
      </c>
      <c r="H1522" t="s">
        <v>539</v>
      </c>
      <c r="I1522" t="s">
        <v>59</v>
      </c>
      <c r="J1522" t="s">
        <v>60</v>
      </c>
      <c r="K1522" t="s">
        <v>29</v>
      </c>
      <c r="L1522" t="s">
        <v>895</v>
      </c>
      <c r="M1522" t="s">
        <v>4402</v>
      </c>
      <c r="O1522" t="s">
        <v>896</v>
      </c>
      <c r="P1522" t="s">
        <v>33</v>
      </c>
      <c r="Q1522" s="22">
        <v>75502.73</v>
      </c>
      <c r="R1522" t="s">
        <v>35</v>
      </c>
      <c r="S1522" t="s">
        <v>35</v>
      </c>
      <c r="T1522" t="s">
        <v>35</v>
      </c>
      <c r="U1522" t="s">
        <v>35</v>
      </c>
      <c r="V1522" t="s">
        <v>645</v>
      </c>
      <c r="W1522" t="s">
        <v>113</v>
      </c>
    </row>
    <row r="1523" spans="1:23" hidden="1" x14ac:dyDescent="0.25">
      <c r="A1523" s="7" t="str">
        <f>IFERROR(VLOOKUP(H1523,'Contas Orç'!A:B,2,0),"N/A")</f>
        <v>FERRAMENTAS</v>
      </c>
      <c r="B1523" s="7" t="str">
        <f t="shared" si="46"/>
        <v>320301005 - FERRAMENTAS</v>
      </c>
      <c r="C1523" s="25">
        <f t="shared" si="47"/>
        <v>44805</v>
      </c>
      <c r="D1523" s="27">
        <f>IF(K1523="CREDITO",Q1523,Q1523*-1)</f>
        <v>114348.11</v>
      </c>
      <c r="E1523" t="s">
        <v>894</v>
      </c>
      <c r="F1523" t="s">
        <v>2017</v>
      </c>
      <c r="G1523" s="8">
        <v>44805</v>
      </c>
      <c r="H1523" t="s">
        <v>539</v>
      </c>
      <c r="I1523" t="s">
        <v>59</v>
      </c>
      <c r="J1523" t="s">
        <v>107</v>
      </c>
      <c r="K1523" t="s">
        <v>29</v>
      </c>
      <c r="L1523" t="s">
        <v>895</v>
      </c>
      <c r="M1523" t="s">
        <v>4402</v>
      </c>
      <c r="O1523" t="s">
        <v>896</v>
      </c>
      <c r="P1523" t="s">
        <v>33</v>
      </c>
      <c r="Q1523" s="22">
        <v>114348.11</v>
      </c>
      <c r="R1523" t="s">
        <v>35</v>
      </c>
      <c r="S1523" t="s">
        <v>35</v>
      </c>
      <c r="T1523" t="s">
        <v>35</v>
      </c>
      <c r="U1523" t="s">
        <v>35</v>
      </c>
      <c r="V1523" t="s">
        <v>645</v>
      </c>
      <c r="W1523" t="s">
        <v>113</v>
      </c>
    </row>
    <row r="1524" spans="1:23" hidden="1" x14ac:dyDescent="0.25">
      <c r="A1524" s="7" t="str">
        <f>IFERROR(VLOOKUP(H1524,'Contas Orç'!A:B,2,0),"N/A")</f>
        <v>FERRAMENTAS</v>
      </c>
      <c r="B1524" s="7" t="str">
        <f t="shared" si="46"/>
        <v>320301005 - FERRAMENTAS</v>
      </c>
      <c r="C1524" s="25">
        <f t="shared" si="47"/>
        <v>44835</v>
      </c>
      <c r="D1524" s="27">
        <f>IF(K1524="CREDITO",Q1524,Q1524*-1)</f>
        <v>1465.23</v>
      </c>
      <c r="E1524" t="s">
        <v>894</v>
      </c>
      <c r="F1524" t="s">
        <v>2018</v>
      </c>
      <c r="G1524" s="8">
        <v>44835</v>
      </c>
      <c r="H1524" t="s">
        <v>539</v>
      </c>
      <c r="I1524" t="s">
        <v>88</v>
      </c>
      <c r="J1524" t="s">
        <v>28</v>
      </c>
      <c r="K1524" t="s">
        <v>29</v>
      </c>
      <c r="L1524" t="s">
        <v>895</v>
      </c>
      <c r="M1524" t="s">
        <v>4402</v>
      </c>
      <c r="O1524" t="s">
        <v>896</v>
      </c>
      <c r="P1524" t="s">
        <v>33</v>
      </c>
      <c r="Q1524" s="22">
        <v>1465.23</v>
      </c>
      <c r="R1524" t="s">
        <v>35</v>
      </c>
      <c r="S1524" t="s">
        <v>35</v>
      </c>
      <c r="T1524" t="s">
        <v>35</v>
      </c>
      <c r="U1524" t="s">
        <v>35</v>
      </c>
      <c r="V1524" t="s">
        <v>645</v>
      </c>
      <c r="W1524" t="s">
        <v>113</v>
      </c>
    </row>
    <row r="1525" spans="1:23" hidden="1" x14ac:dyDescent="0.25">
      <c r="A1525" s="7" t="str">
        <f>IFERROR(VLOOKUP(H1525,'Contas Orç'!A:B,2,0),"N/A")</f>
        <v>FERRAMENTAS</v>
      </c>
      <c r="B1525" s="7" t="str">
        <f t="shared" si="46"/>
        <v>320301005 - FERRAMENTAS</v>
      </c>
      <c r="C1525" s="25">
        <f t="shared" si="47"/>
        <v>44835</v>
      </c>
      <c r="D1525" s="27">
        <f>IF(K1525="CREDITO",Q1525,Q1525*-1)</f>
        <v>3238.59</v>
      </c>
      <c r="E1525" t="s">
        <v>894</v>
      </c>
      <c r="F1525" t="s">
        <v>2019</v>
      </c>
      <c r="G1525" s="8">
        <v>44835</v>
      </c>
      <c r="H1525" t="s">
        <v>539</v>
      </c>
      <c r="I1525" t="s">
        <v>27</v>
      </c>
      <c r="J1525" t="s">
        <v>28</v>
      </c>
      <c r="K1525" t="s">
        <v>29</v>
      </c>
      <c r="L1525" t="s">
        <v>895</v>
      </c>
      <c r="M1525" t="s">
        <v>4402</v>
      </c>
      <c r="O1525" t="s">
        <v>896</v>
      </c>
      <c r="P1525" t="s">
        <v>33</v>
      </c>
      <c r="Q1525" s="22">
        <v>3238.59</v>
      </c>
      <c r="R1525" t="s">
        <v>35</v>
      </c>
      <c r="S1525" t="s">
        <v>35</v>
      </c>
      <c r="T1525" t="s">
        <v>35</v>
      </c>
      <c r="U1525" t="s">
        <v>35</v>
      </c>
      <c r="V1525" t="s">
        <v>645</v>
      </c>
      <c r="W1525" t="s">
        <v>113</v>
      </c>
    </row>
    <row r="1526" spans="1:23" hidden="1" x14ac:dyDescent="0.25">
      <c r="A1526" s="7" t="str">
        <f>IFERROR(VLOOKUP(H1526,'Contas Orç'!A:B,2,0),"N/A")</f>
        <v>FERRAMENTAS</v>
      </c>
      <c r="B1526" s="7" t="str">
        <f t="shared" si="46"/>
        <v>320301005 - FERRAMENTAS</v>
      </c>
      <c r="C1526" s="25">
        <f t="shared" si="47"/>
        <v>44835</v>
      </c>
      <c r="D1526" s="27">
        <f>IF(K1526="CREDITO",Q1526,Q1526*-1)</f>
        <v>1704.29</v>
      </c>
      <c r="E1526" t="s">
        <v>894</v>
      </c>
      <c r="F1526" t="s">
        <v>2020</v>
      </c>
      <c r="G1526" s="8">
        <v>44835</v>
      </c>
      <c r="H1526" t="s">
        <v>539</v>
      </c>
      <c r="I1526" t="s">
        <v>106</v>
      </c>
      <c r="J1526" t="s">
        <v>60</v>
      </c>
      <c r="K1526" t="s">
        <v>29</v>
      </c>
      <c r="L1526" t="s">
        <v>895</v>
      </c>
      <c r="M1526" t="s">
        <v>4402</v>
      </c>
      <c r="O1526" t="s">
        <v>896</v>
      </c>
      <c r="P1526" t="s">
        <v>33</v>
      </c>
      <c r="Q1526" s="22">
        <v>1704.29</v>
      </c>
      <c r="R1526" t="s">
        <v>35</v>
      </c>
      <c r="S1526" t="s">
        <v>35</v>
      </c>
      <c r="T1526" t="s">
        <v>35</v>
      </c>
      <c r="U1526" t="s">
        <v>35</v>
      </c>
      <c r="V1526" t="s">
        <v>645</v>
      </c>
      <c r="W1526" t="s">
        <v>113</v>
      </c>
    </row>
    <row r="1527" spans="1:23" hidden="1" x14ac:dyDescent="0.25">
      <c r="A1527" s="7" t="str">
        <f>IFERROR(VLOOKUP(H1527,'Contas Orç'!A:B,2,0),"N/A")</f>
        <v>FERRAMENTAS</v>
      </c>
      <c r="B1527" s="7" t="str">
        <f t="shared" si="46"/>
        <v>320301005 - FERRAMENTAS</v>
      </c>
      <c r="C1527" s="25">
        <f t="shared" si="47"/>
        <v>44835</v>
      </c>
      <c r="D1527" s="27">
        <f>IF(K1527="CREDITO",Q1527,Q1527*-1)</f>
        <v>76257.759999999995</v>
      </c>
      <c r="E1527" t="s">
        <v>894</v>
      </c>
      <c r="F1527" t="s">
        <v>2021</v>
      </c>
      <c r="G1527" s="8">
        <v>44835</v>
      </c>
      <c r="H1527" t="s">
        <v>539</v>
      </c>
      <c r="I1527" t="s">
        <v>59</v>
      </c>
      <c r="J1527" t="s">
        <v>60</v>
      </c>
      <c r="K1527" t="s">
        <v>29</v>
      </c>
      <c r="L1527" t="s">
        <v>895</v>
      </c>
      <c r="M1527" t="s">
        <v>4402</v>
      </c>
      <c r="O1527" t="s">
        <v>896</v>
      </c>
      <c r="P1527" t="s">
        <v>33</v>
      </c>
      <c r="Q1527" s="22">
        <v>76257.759999999995</v>
      </c>
      <c r="R1527" t="s">
        <v>35</v>
      </c>
      <c r="S1527" t="s">
        <v>35</v>
      </c>
      <c r="T1527" t="s">
        <v>35</v>
      </c>
      <c r="U1527" t="s">
        <v>35</v>
      </c>
      <c r="V1527" t="s">
        <v>645</v>
      </c>
      <c r="W1527" t="s">
        <v>113</v>
      </c>
    </row>
    <row r="1528" spans="1:23" hidden="1" x14ac:dyDescent="0.25">
      <c r="A1528" s="7" t="str">
        <f>IFERROR(VLOOKUP(H1528,'Contas Orç'!A:B,2,0),"N/A")</f>
        <v>FERRAMENTAS</v>
      </c>
      <c r="B1528" s="7" t="str">
        <f t="shared" si="46"/>
        <v>320301005 - FERRAMENTAS</v>
      </c>
      <c r="C1528" s="25">
        <f t="shared" si="47"/>
        <v>44835</v>
      </c>
      <c r="D1528" s="27">
        <f>IF(K1528="CREDITO",Q1528,Q1528*-1)</f>
        <v>115491.59</v>
      </c>
      <c r="E1528" t="s">
        <v>894</v>
      </c>
      <c r="F1528" t="s">
        <v>2022</v>
      </c>
      <c r="G1528" s="8">
        <v>44835</v>
      </c>
      <c r="H1528" t="s">
        <v>539</v>
      </c>
      <c r="I1528" t="s">
        <v>59</v>
      </c>
      <c r="J1528" t="s">
        <v>107</v>
      </c>
      <c r="K1528" t="s">
        <v>29</v>
      </c>
      <c r="L1528" t="s">
        <v>895</v>
      </c>
      <c r="M1528" t="s">
        <v>4402</v>
      </c>
      <c r="O1528" t="s">
        <v>896</v>
      </c>
      <c r="P1528" t="s">
        <v>33</v>
      </c>
      <c r="Q1528" s="22">
        <v>115491.59</v>
      </c>
      <c r="R1528" t="s">
        <v>35</v>
      </c>
      <c r="S1528" t="s">
        <v>35</v>
      </c>
      <c r="T1528" t="s">
        <v>35</v>
      </c>
      <c r="U1528" t="s">
        <v>35</v>
      </c>
      <c r="V1528" t="s">
        <v>645</v>
      </c>
      <c r="W1528" t="s">
        <v>113</v>
      </c>
    </row>
    <row r="1529" spans="1:23" hidden="1" x14ac:dyDescent="0.25">
      <c r="A1529" s="7" t="str">
        <f>IFERROR(VLOOKUP(H1529,'Contas Orç'!A:B,2,0),"N/A")</f>
        <v>FERRAMENTAS</v>
      </c>
      <c r="B1529" s="7" t="str">
        <f t="shared" si="46"/>
        <v>320301005 - FERRAMENTAS</v>
      </c>
      <c r="C1529" s="25">
        <f t="shared" si="47"/>
        <v>44866</v>
      </c>
      <c r="D1529" s="27">
        <f>IF(K1529="CREDITO",Q1529,Q1529*-1)</f>
        <v>1479.88</v>
      </c>
      <c r="E1529" t="s">
        <v>894</v>
      </c>
      <c r="F1529" t="s">
        <v>2023</v>
      </c>
      <c r="G1529" s="8">
        <v>44866</v>
      </c>
      <c r="H1529" t="s">
        <v>539</v>
      </c>
      <c r="I1529" t="s">
        <v>88</v>
      </c>
      <c r="J1529" t="s">
        <v>28</v>
      </c>
      <c r="K1529" t="s">
        <v>29</v>
      </c>
      <c r="L1529" t="s">
        <v>895</v>
      </c>
      <c r="M1529" t="s">
        <v>4402</v>
      </c>
      <c r="O1529" t="s">
        <v>896</v>
      </c>
      <c r="P1529" t="s">
        <v>33</v>
      </c>
      <c r="Q1529" s="22">
        <v>1479.88</v>
      </c>
      <c r="R1529" t="s">
        <v>35</v>
      </c>
      <c r="S1529" t="s">
        <v>35</v>
      </c>
      <c r="T1529" t="s">
        <v>35</v>
      </c>
      <c r="U1529" t="s">
        <v>35</v>
      </c>
      <c r="V1529" t="s">
        <v>645</v>
      </c>
      <c r="W1529" t="s">
        <v>113</v>
      </c>
    </row>
    <row r="1530" spans="1:23" hidden="1" x14ac:dyDescent="0.25">
      <c r="A1530" s="7" t="str">
        <f>IFERROR(VLOOKUP(H1530,'Contas Orç'!A:B,2,0),"N/A")</f>
        <v>FERRAMENTAS</v>
      </c>
      <c r="B1530" s="7" t="str">
        <f t="shared" si="46"/>
        <v>320301005 - FERRAMENTAS</v>
      </c>
      <c r="C1530" s="25">
        <f t="shared" si="47"/>
        <v>44866</v>
      </c>
      <c r="D1530" s="27">
        <f>IF(K1530="CREDITO",Q1530,Q1530*-1)</f>
        <v>3270.97</v>
      </c>
      <c r="E1530" t="s">
        <v>894</v>
      </c>
      <c r="F1530" t="s">
        <v>2024</v>
      </c>
      <c r="G1530" s="8">
        <v>44866</v>
      </c>
      <c r="H1530" t="s">
        <v>539</v>
      </c>
      <c r="I1530" t="s">
        <v>27</v>
      </c>
      <c r="J1530" t="s">
        <v>28</v>
      </c>
      <c r="K1530" t="s">
        <v>29</v>
      </c>
      <c r="L1530" t="s">
        <v>895</v>
      </c>
      <c r="M1530" t="s">
        <v>4402</v>
      </c>
      <c r="O1530" t="s">
        <v>896</v>
      </c>
      <c r="P1530" t="s">
        <v>33</v>
      </c>
      <c r="Q1530" s="22">
        <v>3270.97</v>
      </c>
      <c r="R1530" t="s">
        <v>35</v>
      </c>
      <c r="S1530" t="s">
        <v>35</v>
      </c>
      <c r="T1530" t="s">
        <v>35</v>
      </c>
      <c r="U1530" t="s">
        <v>35</v>
      </c>
      <c r="V1530" t="s">
        <v>645</v>
      </c>
      <c r="W1530" t="s">
        <v>113</v>
      </c>
    </row>
    <row r="1531" spans="1:23" hidden="1" x14ac:dyDescent="0.25">
      <c r="A1531" s="7" t="str">
        <f>IFERROR(VLOOKUP(H1531,'Contas Orç'!A:B,2,0),"N/A")</f>
        <v>FERRAMENTAS</v>
      </c>
      <c r="B1531" s="7" t="str">
        <f t="shared" si="46"/>
        <v>320301005 - FERRAMENTAS</v>
      </c>
      <c r="C1531" s="25">
        <f t="shared" si="47"/>
        <v>44866</v>
      </c>
      <c r="D1531" s="27">
        <f>IF(K1531="CREDITO",Q1531,Q1531*-1)</f>
        <v>1721.34</v>
      </c>
      <c r="E1531" t="s">
        <v>894</v>
      </c>
      <c r="F1531" t="s">
        <v>2025</v>
      </c>
      <c r="G1531" s="8">
        <v>44866</v>
      </c>
      <c r="H1531" t="s">
        <v>539</v>
      </c>
      <c r="I1531" t="s">
        <v>106</v>
      </c>
      <c r="J1531" t="s">
        <v>60</v>
      </c>
      <c r="K1531" t="s">
        <v>29</v>
      </c>
      <c r="L1531" t="s">
        <v>895</v>
      </c>
      <c r="M1531" t="s">
        <v>4402</v>
      </c>
      <c r="O1531" t="s">
        <v>896</v>
      </c>
      <c r="P1531" t="s">
        <v>33</v>
      </c>
      <c r="Q1531" s="22">
        <v>1721.34</v>
      </c>
      <c r="R1531" t="s">
        <v>35</v>
      </c>
      <c r="S1531" t="s">
        <v>35</v>
      </c>
      <c r="T1531" t="s">
        <v>35</v>
      </c>
      <c r="U1531" t="s">
        <v>35</v>
      </c>
      <c r="V1531" t="s">
        <v>645</v>
      </c>
      <c r="W1531" t="s">
        <v>113</v>
      </c>
    </row>
    <row r="1532" spans="1:23" hidden="1" x14ac:dyDescent="0.25">
      <c r="A1532" s="7" t="str">
        <f>IFERROR(VLOOKUP(H1532,'Contas Orç'!A:B,2,0),"N/A")</f>
        <v>FERRAMENTAS</v>
      </c>
      <c r="B1532" s="7" t="str">
        <f t="shared" si="46"/>
        <v>320301005 - FERRAMENTAS</v>
      </c>
      <c r="C1532" s="25">
        <f t="shared" si="47"/>
        <v>44866</v>
      </c>
      <c r="D1532" s="27">
        <f>IF(K1532="CREDITO",Q1532,Q1532*-1)</f>
        <v>77020.33</v>
      </c>
      <c r="E1532" t="s">
        <v>894</v>
      </c>
      <c r="F1532" t="s">
        <v>2026</v>
      </c>
      <c r="G1532" s="8">
        <v>44866</v>
      </c>
      <c r="H1532" t="s">
        <v>539</v>
      </c>
      <c r="I1532" t="s">
        <v>59</v>
      </c>
      <c r="J1532" t="s">
        <v>60</v>
      </c>
      <c r="K1532" t="s">
        <v>29</v>
      </c>
      <c r="L1532" t="s">
        <v>895</v>
      </c>
      <c r="M1532" t="s">
        <v>4402</v>
      </c>
      <c r="O1532" t="s">
        <v>896</v>
      </c>
      <c r="P1532" t="s">
        <v>33</v>
      </c>
      <c r="Q1532" s="22">
        <v>77020.33</v>
      </c>
      <c r="R1532" t="s">
        <v>35</v>
      </c>
      <c r="S1532" t="s">
        <v>35</v>
      </c>
      <c r="T1532" t="s">
        <v>35</v>
      </c>
      <c r="U1532" t="s">
        <v>35</v>
      </c>
      <c r="V1532" t="s">
        <v>645</v>
      </c>
      <c r="W1532" t="s">
        <v>113</v>
      </c>
    </row>
    <row r="1533" spans="1:23" hidden="1" x14ac:dyDescent="0.25">
      <c r="A1533" s="7" t="str">
        <f>IFERROR(VLOOKUP(H1533,'Contas Orç'!A:B,2,0),"N/A")</f>
        <v>FERRAMENTAS</v>
      </c>
      <c r="B1533" s="7" t="str">
        <f t="shared" si="46"/>
        <v>320301005 - FERRAMENTAS</v>
      </c>
      <c r="C1533" s="25">
        <f t="shared" si="47"/>
        <v>44866</v>
      </c>
      <c r="D1533" s="27">
        <f>IF(K1533="CREDITO",Q1533,Q1533*-1)</f>
        <v>116646.51</v>
      </c>
      <c r="E1533" t="s">
        <v>894</v>
      </c>
      <c r="F1533" t="s">
        <v>2027</v>
      </c>
      <c r="G1533" s="8">
        <v>44866</v>
      </c>
      <c r="H1533" t="s">
        <v>539</v>
      </c>
      <c r="I1533" t="s">
        <v>59</v>
      </c>
      <c r="J1533" t="s">
        <v>107</v>
      </c>
      <c r="K1533" t="s">
        <v>29</v>
      </c>
      <c r="L1533" t="s">
        <v>895</v>
      </c>
      <c r="M1533" t="s">
        <v>4402</v>
      </c>
      <c r="O1533" t="s">
        <v>896</v>
      </c>
      <c r="P1533" t="s">
        <v>33</v>
      </c>
      <c r="Q1533" s="22">
        <v>116646.51</v>
      </c>
      <c r="R1533" t="s">
        <v>35</v>
      </c>
      <c r="S1533" t="s">
        <v>35</v>
      </c>
      <c r="T1533" t="s">
        <v>35</v>
      </c>
      <c r="U1533" t="s">
        <v>35</v>
      </c>
      <c r="V1533" t="s">
        <v>645</v>
      </c>
      <c r="W1533" t="s">
        <v>113</v>
      </c>
    </row>
    <row r="1534" spans="1:23" hidden="1" x14ac:dyDescent="0.25">
      <c r="A1534" s="7" t="str">
        <f>IFERROR(VLOOKUP(H1534,'Contas Orç'!A:B,2,0),"N/A")</f>
        <v>FERRAMENTAS</v>
      </c>
      <c r="B1534" s="7" t="str">
        <f t="shared" si="46"/>
        <v>320301005 - FERRAMENTAS</v>
      </c>
      <c r="C1534" s="25">
        <f t="shared" si="47"/>
        <v>44896</v>
      </c>
      <c r="D1534" s="27">
        <f>IF(K1534="CREDITO",Q1534,Q1534*-1)</f>
        <v>1494.68</v>
      </c>
      <c r="E1534" t="s">
        <v>894</v>
      </c>
      <c r="F1534" t="s">
        <v>2028</v>
      </c>
      <c r="G1534" s="8">
        <v>44896</v>
      </c>
      <c r="H1534" t="s">
        <v>539</v>
      </c>
      <c r="I1534" t="s">
        <v>88</v>
      </c>
      <c r="J1534" t="s">
        <v>28</v>
      </c>
      <c r="K1534" t="s">
        <v>29</v>
      </c>
      <c r="L1534" t="s">
        <v>895</v>
      </c>
      <c r="M1534" t="s">
        <v>4402</v>
      </c>
      <c r="O1534" t="s">
        <v>896</v>
      </c>
      <c r="P1534" t="s">
        <v>33</v>
      </c>
      <c r="Q1534" s="22">
        <v>1494.68</v>
      </c>
      <c r="R1534" t="s">
        <v>35</v>
      </c>
      <c r="S1534" t="s">
        <v>35</v>
      </c>
      <c r="T1534" t="s">
        <v>35</v>
      </c>
      <c r="U1534" t="s">
        <v>35</v>
      </c>
      <c r="V1534" t="s">
        <v>645</v>
      </c>
      <c r="W1534" t="s">
        <v>113</v>
      </c>
    </row>
    <row r="1535" spans="1:23" hidden="1" x14ac:dyDescent="0.25">
      <c r="A1535" s="7" t="str">
        <f>IFERROR(VLOOKUP(H1535,'Contas Orç'!A:B,2,0),"N/A")</f>
        <v>FERRAMENTAS</v>
      </c>
      <c r="B1535" s="7" t="str">
        <f t="shared" si="46"/>
        <v>320301005 - FERRAMENTAS</v>
      </c>
      <c r="C1535" s="25">
        <f t="shared" si="47"/>
        <v>44896</v>
      </c>
      <c r="D1535" s="27">
        <f>IF(K1535="CREDITO",Q1535,Q1535*-1)</f>
        <v>3303.68</v>
      </c>
      <c r="E1535" t="s">
        <v>894</v>
      </c>
      <c r="F1535" t="s">
        <v>2029</v>
      </c>
      <c r="G1535" s="8">
        <v>44896</v>
      </c>
      <c r="H1535" t="s">
        <v>539</v>
      </c>
      <c r="I1535" t="s">
        <v>27</v>
      </c>
      <c r="J1535" t="s">
        <v>28</v>
      </c>
      <c r="K1535" t="s">
        <v>29</v>
      </c>
      <c r="L1535" t="s">
        <v>895</v>
      </c>
      <c r="M1535" t="s">
        <v>4402</v>
      </c>
      <c r="O1535" t="s">
        <v>896</v>
      </c>
      <c r="P1535" t="s">
        <v>33</v>
      </c>
      <c r="Q1535" s="22">
        <v>3303.68</v>
      </c>
      <c r="R1535" t="s">
        <v>35</v>
      </c>
      <c r="S1535" t="s">
        <v>35</v>
      </c>
      <c r="T1535" t="s">
        <v>35</v>
      </c>
      <c r="U1535" t="s">
        <v>35</v>
      </c>
      <c r="V1535" t="s">
        <v>645</v>
      </c>
      <c r="W1535" t="s">
        <v>113</v>
      </c>
    </row>
    <row r="1536" spans="1:23" hidden="1" x14ac:dyDescent="0.25">
      <c r="A1536" s="7" t="str">
        <f>IFERROR(VLOOKUP(H1536,'Contas Orç'!A:B,2,0),"N/A")</f>
        <v>FERRAMENTAS</v>
      </c>
      <c r="B1536" s="7" t="str">
        <f t="shared" si="46"/>
        <v>320301005 - FERRAMENTAS</v>
      </c>
      <c r="C1536" s="25">
        <f t="shared" si="47"/>
        <v>44896</v>
      </c>
      <c r="D1536" s="27">
        <f>IF(K1536="CREDITO",Q1536,Q1536*-1)</f>
        <v>1738.55</v>
      </c>
      <c r="E1536" t="s">
        <v>894</v>
      </c>
      <c r="F1536" t="s">
        <v>2030</v>
      </c>
      <c r="G1536" s="8">
        <v>44896</v>
      </c>
      <c r="H1536" t="s">
        <v>539</v>
      </c>
      <c r="I1536" t="s">
        <v>106</v>
      </c>
      <c r="J1536" t="s">
        <v>60</v>
      </c>
      <c r="K1536" t="s">
        <v>29</v>
      </c>
      <c r="L1536" t="s">
        <v>895</v>
      </c>
      <c r="M1536" t="s">
        <v>4402</v>
      </c>
      <c r="O1536" t="s">
        <v>896</v>
      </c>
      <c r="P1536" t="s">
        <v>33</v>
      </c>
      <c r="Q1536" s="22">
        <v>1738.55</v>
      </c>
      <c r="R1536" t="s">
        <v>35</v>
      </c>
      <c r="S1536" t="s">
        <v>35</v>
      </c>
      <c r="T1536" t="s">
        <v>35</v>
      </c>
      <c r="U1536" t="s">
        <v>35</v>
      </c>
      <c r="V1536" t="s">
        <v>645</v>
      </c>
      <c r="W1536" t="s">
        <v>113</v>
      </c>
    </row>
    <row r="1537" spans="1:23" hidden="1" x14ac:dyDescent="0.25">
      <c r="A1537" s="7" t="str">
        <f>IFERROR(VLOOKUP(H1537,'Contas Orç'!A:B,2,0),"N/A")</f>
        <v>FERRAMENTAS</v>
      </c>
      <c r="B1537" s="7" t="str">
        <f t="shared" si="46"/>
        <v>320301005 - FERRAMENTAS</v>
      </c>
      <c r="C1537" s="25">
        <f t="shared" si="47"/>
        <v>44896</v>
      </c>
      <c r="D1537" s="27">
        <f>IF(K1537="CREDITO",Q1537,Q1537*-1)</f>
        <v>77790.539999999994</v>
      </c>
      <c r="E1537" t="s">
        <v>894</v>
      </c>
      <c r="F1537" t="s">
        <v>2031</v>
      </c>
      <c r="G1537" s="8">
        <v>44896</v>
      </c>
      <c r="H1537" t="s">
        <v>539</v>
      </c>
      <c r="I1537" t="s">
        <v>59</v>
      </c>
      <c r="J1537" t="s">
        <v>60</v>
      </c>
      <c r="K1537" t="s">
        <v>29</v>
      </c>
      <c r="L1537" t="s">
        <v>895</v>
      </c>
      <c r="M1537" t="s">
        <v>4402</v>
      </c>
      <c r="O1537" t="s">
        <v>896</v>
      </c>
      <c r="P1537" t="s">
        <v>33</v>
      </c>
      <c r="Q1537" s="22">
        <v>77790.539999999994</v>
      </c>
      <c r="R1537" t="s">
        <v>35</v>
      </c>
      <c r="S1537" t="s">
        <v>35</v>
      </c>
      <c r="T1537" t="s">
        <v>35</v>
      </c>
      <c r="U1537" t="s">
        <v>35</v>
      </c>
      <c r="V1537" t="s">
        <v>645</v>
      </c>
      <c r="W1537" t="s">
        <v>113</v>
      </c>
    </row>
    <row r="1538" spans="1:23" hidden="1" x14ac:dyDescent="0.25">
      <c r="A1538" s="7" t="str">
        <f>IFERROR(VLOOKUP(H1538,'Contas Orç'!A:B,2,0),"N/A")</f>
        <v>FERRAMENTAS</v>
      </c>
      <c r="B1538" s="7" t="str">
        <f t="shared" si="46"/>
        <v>320301005 - FERRAMENTAS</v>
      </c>
      <c r="C1538" s="25">
        <f t="shared" si="47"/>
        <v>44896</v>
      </c>
      <c r="D1538" s="27">
        <f>IF(K1538="CREDITO",Q1538,Q1538*-1)</f>
        <v>117812.97</v>
      </c>
      <c r="E1538" t="s">
        <v>894</v>
      </c>
      <c r="F1538" t="s">
        <v>2032</v>
      </c>
      <c r="G1538" s="8">
        <v>44896</v>
      </c>
      <c r="H1538" t="s">
        <v>539</v>
      </c>
      <c r="I1538" t="s">
        <v>59</v>
      </c>
      <c r="J1538" t="s">
        <v>107</v>
      </c>
      <c r="K1538" t="s">
        <v>29</v>
      </c>
      <c r="L1538" t="s">
        <v>895</v>
      </c>
      <c r="M1538" t="s">
        <v>4402</v>
      </c>
      <c r="O1538" t="s">
        <v>896</v>
      </c>
      <c r="P1538" t="s">
        <v>33</v>
      </c>
      <c r="Q1538" s="22">
        <v>117812.97</v>
      </c>
      <c r="R1538" t="s">
        <v>35</v>
      </c>
      <c r="S1538" t="s">
        <v>35</v>
      </c>
      <c r="T1538" t="s">
        <v>35</v>
      </c>
      <c r="U1538" t="s">
        <v>35</v>
      </c>
      <c r="V1538" t="s">
        <v>645</v>
      </c>
      <c r="W1538" t="s">
        <v>113</v>
      </c>
    </row>
    <row r="1539" spans="1:23" hidden="1" x14ac:dyDescent="0.25">
      <c r="A1539" s="7" t="str">
        <f>IFERROR(VLOOKUP(H1539,'Contas Orç'!A:B,2,0),"N/A")</f>
        <v>SERVICOS E MANUTENCAO DE VEICULOS EQ</v>
      </c>
      <c r="B1539" s="7" t="str">
        <f t="shared" ref="B1539:B1602" si="48">_xlfn.CONCAT(H1539," - ",A1539)</f>
        <v>320301006 - SERVICOS E MANUTENCAO DE VEICULOS EQ</v>
      </c>
      <c r="C1539" s="25">
        <f t="shared" ref="C1539:C1602" si="49">DATE(YEAR(G1539),MONTH(G1539),1)</f>
        <v>44562</v>
      </c>
      <c r="D1539" s="27">
        <f>IF(K1539="CREDITO",Q1539,Q1539*-1)</f>
        <v>16456.509999999998</v>
      </c>
      <c r="E1539" t="s">
        <v>894</v>
      </c>
      <c r="F1539" t="s">
        <v>2033</v>
      </c>
      <c r="G1539" s="8">
        <v>44562</v>
      </c>
      <c r="H1539" t="s">
        <v>215</v>
      </c>
      <c r="I1539" t="s">
        <v>27</v>
      </c>
      <c r="J1539" t="s">
        <v>28</v>
      </c>
      <c r="K1539" t="s">
        <v>29</v>
      </c>
      <c r="L1539" t="s">
        <v>895</v>
      </c>
      <c r="M1539" t="s">
        <v>4402</v>
      </c>
      <c r="O1539" t="s">
        <v>896</v>
      </c>
      <c r="P1539" t="s">
        <v>33</v>
      </c>
      <c r="Q1539" s="22">
        <v>16456.509999999998</v>
      </c>
      <c r="R1539" t="s">
        <v>35</v>
      </c>
      <c r="S1539" t="s">
        <v>35</v>
      </c>
      <c r="T1539" t="s">
        <v>35</v>
      </c>
      <c r="U1539" t="s">
        <v>35</v>
      </c>
      <c r="V1539" t="s">
        <v>645</v>
      </c>
      <c r="W1539" t="s">
        <v>113</v>
      </c>
    </row>
    <row r="1540" spans="1:23" hidden="1" x14ac:dyDescent="0.25">
      <c r="A1540" s="7" t="str">
        <f>IFERROR(VLOOKUP(H1540,'Contas Orç'!A:B,2,0),"N/A")</f>
        <v>SERVICOS E MANUTENCAO DE VEICULOS EQ</v>
      </c>
      <c r="B1540" s="7" t="str">
        <f t="shared" si="48"/>
        <v>320301006 - SERVICOS E MANUTENCAO DE VEICULOS EQ</v>
      </c>
      <c r="C1540" s="25">
        <f t="shared" si="49"/>
        <v>44562</v>
      </c>
      <c r="D1540" s="27">
        <f>IF(K1540="CREDITO",Q1540,Q1540*-1)</f>
        <v>644.32000000000005</v>
      </c>
      <c r="E1540" t="s">
        <v>894</v>
      </c>
      <c r="F1540" t="s">
        <v>2034</v>
      </c>
      <c r="G1540" s="8">
        <v>44562</v>
      </c>
      <c r="H1540" t="s">
        <v>215</v>
      </c>
      <c r="I1540" t="s">
        <v>59</v>
      </c>
      <c r="J1540" t="s">
        <v>28</v>
      </c>
      <c r="K1540" t="s">
        <v>29</v>
      </c>
      <c r="L1540" t="s">
        <v>895</v>
      </c>
      <c r="M1540" t="s">
        <v>4402</v>
      </c>
      <c r="O1540" t="s">
        <v>896</v>
      </c>
      <c r="P1540" t="s">
        <v>33</v>
      </c>
      <c r="Q1540">
        <v>644.32000000000005</v>
      </c>
      <c r="R1540" t="s">
        <v>35</v>
      </c>
      <c r="S1540" t="s">
        <v>35</v>
      </c>
      <c r="T1540" t="s">
        <v>35</v>
      </c>
      <c r="U1540" t="s">
        <v>35</v>
      </c>
      <c r="V1540" t="s">
        <v>645</v>
      </c>
      <c r="W1540" t="s">
        <v>113</v>
      </c>
    </row>
    <row r="1541" spans="1:23" hidden="1" x14ac:dyDescent="0.25">
      <c r="A1541" s="7" t="str">
        <f>IFERROR(VLOOKUP(H1541,'Contas Orç'!A:B,2,0),"N/A")</f>
        <v>SERVICOS E MANUTENCAO DE VEICULOS EQ</v>
      </c>
      <c r="B1541" s="7" t="str">
        <f t="shared" si="48"/>
        <v>320301006 - SERVICOS E MANUTENCAO DE VEICULOS EQ</v>
      </c>
      <c r="C1541" s="25">
        <f t="shared" si="49"/>
        <v>44562</v>
      </c>
      <c r="D1541" s="27">
        <f>IF(K1541="CREDITO",Q1541,Q1541*-1)</f>
        <v>7805.8</v>
      </c>
      <c r="E1541" t="s">
        <v>894</v>
      </c>
      <c r="F1541" t="s">
        <v>2035</v>
      </c>
      <c r="G1541" s="8">
        <v>44562</v>
      </c>
      <c r="H1541" t="s">
        <v>215</v>
      </c>
      <c r="I1541" t="s">
        <v>106</v>
      </c>
      <c r="J1541" t="s">
        <v>60</v>
      </c>
      <c r="K1541" t="s">
        <v>29</v>
      </c>
      <c r="L1541" t="s">
        <v>895</v>
      </c>
      <c r="M1541" t="s">
        <v>4402</v>
      </c>
      <c r="O1541" t="s">
        <v>896</v>
      </c>
      <c r="P1541" t="s">
        <v>33</v>
      </c>
      <c r="Q1541" s="22">
        <v>7805.8</v>
      </c>
      <c r="R1541" t="s">
        <v>35</v>
      </c>
      <c r="S1541" t="s">
        <v>35</v>
      </c>
      <c r="T1541" t="s">
        <v>35</v>
      </c>
      <c r="U1541" t="s">
        <v>35</v>
      </c>
      <c r="V1541" t="s">
        <v>645</v>
      </c>
      <c r="W1541" t="s">
        <v>113</v>
      </c>
    </row>
    <row r="1542" spans="1:23" hidden="1" x14ac:dyDescent="0.25">
      <c r="A1542" s="7" t="str">
        <f>IFERROR(VLOOKUP(H1542,'Contas Orç'!A:B,2,0),"N/A")</f>
        <v>SERVICOS E MANUTENCAO DE VEICULOS EQ</v>
      </c>
      <c r="B1542" s="7" t="str">
        <f t="shared" si="48"/>
        <v>320301006 - SERVICOS E MANUTENCAO DE VEICULOS EQ</v>
      </c>
      <c r="C1542" s="25">
        <f t="shared" si="49"/>
        <v>44562</v>
      </c>
      <c r="D1542" s="27">
        <f>IF(K1542="CREDITO",Q1542,Q1542*-1)</f>
        <v>399.3</v>
      </c>
      <c r="E1542" t="s">
        <v>894</v>
      </c>
      <c r="F1542" t="s">
        <v>2036</v>
      </c>
      <c r="G1542" s="8">
        <v>44562</v>
      </c>
      <c r="H1542" t="s">
        <v>215</v>
      </c>
      <c r="I1542" t="s">
        <v>27</v>
      </c>
      <c r="J1542" t="s">
        <v>60</v>
      </c>
      <c r="K1542" t="s">
        <v>29</v>
      </c>
      <c r="L1542" t="s">
        <v>895</v>
      </c>
      <c r="M1542" t="s">
        <v>4402</v>
      </c>
      <c r="O1542" t="s">
        <v>896</v>
      </c>
      <c r="P1542" t="s">
        <v>33</v>
      </c>
      <c r="Q1542">
        <v>399.3</v>
      </c>
      <c r="R1542" t="s">
        <v>35</v>
      </c>
      <c r="S1542" t="s">
        <v>35</v>
      </c>
      <c r="T1542" t="s">
        <v>35</v>
      </c>
      <c r="U1542" t="s">
        <v>35</v>
      </c>
      <c r="V1542" t="s">
        <v>645</v>
      </c>
      <c r="W1542" t="s">
        <v>113</v>
      </c>
    </row>
    <row r="1543" spans="1:23" hidden="1" x14ac:dyDescent="0.25">
      <c r="A1543" s="7" t="str">
        <f>IFERROR(VLOOKUP(H1543,'Contas Orç'!A:B,2,0),"N/A")</f>
        <v>SERVICOS E MANUTENCAO DE VEICULOS EQ</v>
      </c>
      <c r="B1543" s="7" t="str">
        <f t="shared" si="48"/>
        <v>320301006 - SERVICOS E MANUTENCAO DE VEICULOS EQ</v>
      </c>
      <c r="C1543" s="25">
        <f t="shared" si="49"/>
        <v>44562</v>
      </c>
      <c r="D1543" s="27">
        <f>IF(K1543="CREDITO",Q1543,Q1543*-1)</f>
        <v>53116.59</v>
      </c>
      <c r="E1543" t="s">
        <v>894</v>
      </c>
      <c r="F1543" t="s">
        <v>2037</v>
      </c>
      <c r="G1543" s="8">
        <v>44562</v>
      </c>
      <c r="H1543" t="s">
        <v>215</v>
      </c>
      <c r="I1543" t="s">
        <v>59</v>
      </c>
      <c r="J1543" t="s">
        <v>60</v>
      </c>
      <c r="K1543" t="s">
        <v>29</v>
      </c>
      <c r="L1543" t="s">
        <v>895</v>
      </c>
      <c r="M1543" t="s">
        <v>4402</v>
      </c>
      <c r="O1543" t="s">
        <v>896</v>
      </c>
      <c r="P1543" t="s">
        <v>33</v>
      </c>
      <c r="Q1543" s="22">
        <v>53116.59</v>
      </c>
      <c r="R1543" t="s">
        <v>35</v>
      </c>
      <c r="S1543" t="s">
        <v>35</v>
      </c>
      <c r="T1543" t="s">
        <v>35</v>
      </c>
      <c r="U1543" t="s">
        <v>35</v>
      </c>
      <c r="V1543" t="s">
        <v>645</v>
      </c>
      <c r="W1543" t="s">
        <v>113</v>
      </c>
    </row>
    <row r="1544" spans="1:23" hidden="1" x14ac:dyDescent="0.25">
      <c r="A1544" s="7" t="str">
        <f>IFERROR(VLOOKUP(H1544,'Contas Orç'!A:B,2,0),"N/A")</f>
        <v>SERVICOS E MANUTENCAO DE VEICULOS EQ</v>
      </c>
      <c r="B1544" s="7" t="str">
        <f t="shared" si="48"/>
        <v>320301006 - SERVICOS E MANUTENCAO DE VEICULOS EQ</v>
      </c>
      <c r="C1544" s="25">
        <f t="shared" si="49"/>
        <v>44562</v>
      </c>
      <c r="D1544" s="27">
        <f>IF(K1544="CREDITO",Q1544,Q1544*-1)</f>
        <v>1360</v>
      </c>
      <c r="E1544" t="s">
        <v>894</v>
      </c>
      <c r="F1544" t="s">
        <v>2038</v>
      </c>
      <c r="G1544" s="8">
        <v>44562</v>
      </c>
      <c r="H1544" t="s">
        <v>215</v>
      </c>
      <c r="I1544" t="s">
        <v>40</v>
      </c>
      <c r="J1544" t="s">
        <v>54</v>
      </c>
      <c r="K1544" t="s">
        <v>29</v>
      </c>
      <c r="L1544" t="s">
        <v>895</v>
      </c>
      <c r="M1544" t="s">
        <v>4402</v>
      </c>
      <c r="O1544" t="s">
        <v>896</v>
      </c>
      <c r="P1544" t="s">
        <v>33</v>
      </c>
      <c r="Q1544" s="22">
        <v>1360</v>
      </c>
      <c r="R1544" t="s">
        <v>35</v>
      </c>
      <c r="S1544" t="s">
        <v>35</v>
      </c>
      <c r="T1544" t="s">
        <v>35</v>
      </c>
      <c r="U1544" t="s">
        <v>35</v>
      </c>
      <c r="V1544" t="s">
        <v>645</v>
      </c>
      <c r="W1544" t="s">
        <v>113</v>
      </c>
    </row>
    <row r="1545" spans="1:23" hidden="1" x14ac:dyDescent="0.25">
      <c r="A1545" s="7" t="str">
        <f>IFERROR(VLOOKUP(H1545,'Contas Orç'!A:B,2,0),"N/A")</f>
        <v>SERVICOS E MANUTENCAO DE VEICULOS EQ</v>
      </c>
      <c r="B1545" s="7" t="str">
        <f t="shared" si="48"/>
        <v>320301006 - SERVICOS E MANUTENCAO DE VEICULOS EQ</v>
      </c>
      <c r="C1545" s="25">
        <f t="shared" si="49"/>
        <v>44562</v>
      </c>
      <c r="D1545" s="27">
        <f>IF(K1545="CREDITO",Q1545,Q1545*-1)</f>
        <v>240</v>
      </c>
      <c r="E1545" t="s">
        <v>894</v>
      </c>
      <c r="F1545" t="s">
        <v>2039</v>
      </c>
      <c r="G1545" s="8">
        <v>44562</v>
      </c>
      <c r="H1545" t="s">
        <v>215</v>
      </c>
      <c r="I1545" t="s">
        <v>99</v>
      </c>
      <c r="J1545" t="s">
        <v>54</v>
      </c>
      <c r="K1545" t="s">
        <v>29</v>
      </c>
      <c r="L1545" t="s">
        <v>895</v>
      </c>
      <c r="M1545" t="s">
        <v>4402</v>
      </c>
      <c r="O1545" t="s">
        <v>896</v>
      </c>
      <c r="P1545" t="s">
        <v>33</v>
      </c>
      <c r="Q1545">
        <v>240</v>
      </c>
      <c r="R1545" t="s">
        <v>35</v>
      </c>
      <c r="S1545" t="s">
        <v>35</v>
      </c>
      <c r="T1545" t="s">
        <v>35</v>
      </c>
      <c r="U1545" t="s">
        <v>35</v>
      </c>
      <c r="V1545" t="s">
        <v>645</v>
      </c>
      <c r="W1545" t="s">
        <v>113</v>
      </c>
    </row>
    <row r="1546" spans="1:23" hidden="1" x14ac:dyDescent="0.25">
      <c r="A1546" s="7" t="str">
        <f>IFERROR(VLOOKUP(H1546,'Contas Orç'!A:B,2,0),"N/A")</f>
        <v>SERVICOS E MANUTENCAO DE VEICULOS EQ</v>
      </c>
      <c r="B1546" s="7" t="str">
        <f t="shared" si="48"/>
        <v>320301006 - SERVICOS E MANUTENCAO DE VEICULOS EQ</v>
      </c>
      <c r="C1546" s="25">
        <f t="shared" si="49"/>
        <v>44562</v>
      </c>
      <c r="D1546" s="27">
        <f>IF(K1546="CREDITO",Q1546,Q1546*-1)</f>
        <v>656.43</v>
      </c>
      <c r="E1546" t="s">
        <v>894</v>
      </c>
      <c r="F1546" t="s">
        <v>2040</v>
      </c>
      <c r="G1546" s="8">
        <v>44562</v>
      </c>
      <c r="H1546" t="s">
        <v>215</v>
      </c>
      <c r="I1546" t="s">
        <v>53</v>
      </c>
      <c r="J1546" t="s">
        <v>54</v>
      </c>
      <c r="K1546" t="s">
        <v>29</v>
      </c>
      <c r="L1546" t="s">
        <v>895</v>
      </c>
      <c r="M1546" t="s">
        <v>4402</v>
      </c>
      <c r="O1546" t="s">
        <v>896</v>
      </c>
      <c r="P1546" t="s">
        <v>33</v>
      </c>
      <c r="Q1546">
        <v>656.43</v>
      </c>
      <c r="R1546" t="s">
        <v>35</v>
      </c>
      <c r="S1546" t="s">
        <v>35</v>
      </c>
      <c r="T1546" t="s">
        <v>35</v>
      </c>
      <c r="U1546" t="s">
        <v>35</v>
      </c>
      <c r="V1546" t="s">
        <v>645</v>
      </c>
      <c r="W1546" t="s">
        <v>113</v>
      </c>
    </row>
    <row r="1547" spans="1:23" hidden="1" x14ac:dyDescent="0.25">
      <c r="A1547" s="7" t="str">
        <f>IFERROR(VLOOKUP(H1547,'Contas Orç'!A:B,2,0),"N/A")</f>
        <v>SERVICOS E MANUTENCAO DE VEICULOS EQ</v>
      </c>
      <c r="B1547" s="7" t="str">
        <f t="shared" si="48"/>
        <v>320301006 - SERVICOS E MANUTENCAO DE VEICULOS EQ</v>
      </c>
      <c r="C1547" s="25">
        <f t="shared" si="49"/>
        <v>44593</v>
      </c>
      <c r="D1547" s="27">
        <f>IF(K1547="CREDITO",Q1547,Q1547*-1)</f>
        <v>2646.5</v>
      </c>
      <c r="E1547" t="s">
        <v>894</v>
      </c>
      <c r="F1547" t="s">
        <v>2041</v>
      </c>
      <c r="G1547" s="8">
        <v>44593</v>
      </c>
      <c r="H1547" t="s">
        <v>215</v>
      </c>
      <c r="I1547" t="s">
        <v>88</v>
      </c>
      <c r="J1547" t="s">
        <v>28</v>
      </c>
      <c r="K1547" t="s">
        <v>29</v>
      </c>
      <c r="L1547" t="s">
        <v>895</v>
      </c>
      <c r="M1547" t="s">
        <v>4402</v>
      </c>
      <c r="O1547" t="s">
        <v>896</v>
      </c>
      <c r="P1547" t="s">
        <v>33</v>
      </c>
      <c r="Q1547" s="22">
        <v>2646.5</v>
      </c>
      <c r="R1547" t="s">
        <v>35</v>
      </c>
      <c r="S1547" t="s">
        <v>35</v>
      </c>
      <c r="T1547" t="s">
        <v>35</v>
      </c>
      <c r="U1547" t="s">
        <v>35</v>
      </c>
      <c r="V1547" t="s">
        <v>645</v>
      </c>
      <c r="W1547" t="s">
        <v>113</v>
      </c>
    </row>
    <row r="1548" spans="1:23" hidden="1" x14ac:dyDescent="0.25">
      <c r="A1548" s="7" t="str">
        <f>IFERROR(VLOOKUP(H1548,'Contas Orç'!A:B,2,0),"N/A")</f>
        <v>SERVICOS E MANUTENCAO DE VEICULOS EQ</v>
      </c>
      <c r="B1548" s="7" t="str">
        <f t="shared" si="48"/>
        <v>320301006 - SERVICOS E MANUTENCAO DE VEICULOS EQ</v>
      </c>
      <c r="C1548" s="25">
        <f t="shared" si="49"/>
        <v>44593</v>
      </c>
      <c r="D1548" s="27">
        <f>IF(K1548="CREDITO",Q1548,Q1548*-1)</f>
        <v>38512.949999999997</v>
      </c>
      <c r="E1548" t="s">
        <v>894</v>
      </c>
      <c r="F1548" t="s">
        <v>2042</v>
      </c>
      <c r="G1548" s="8">
        <v>44593</v>
      </c>
      <c r="H1548" t="s">
        <v>215</v>
      </c>
      <c r="I1548" t="s">
        <v>27</v>
      </c>
      <c r="J1548" t="s">
        <v>28</v>
      </c>
      <c r="K1548" t="s">
        <v>29</v>
      </c>
      <c r="L1548" t="s">
        <v>895</v>
      </c>
      <c r="M1548" t="s">
        <v>4402</v>
      </c>
      <c r="O1548" t="s">
        <v>896</v>
      </c>
      <c r="P1548" t="s">
        <v>33</v>
      </c>
      <c r="Q1548" s="22">
        <v>38512.949999999997</v>
      </c>
      <c r="R1548" t="s">
        <v>35</v>
      </c>
      <c r="S1548" t="s">
        <v>35</v>
      </c>
      <c r="T1548" t="s">
        <v>35</v>
      </c>
      <c r="U1548" t="s">
        <v>35</v>
      </c>
      <c r="V1548" t="s">
        <v>645</v>
      </c>
      <c r="W1548" t="s">
        <v>113</v>
      </c>
    </row>
    <row r="1549" spans="1:23" hidden="1" x14ac:dyDescent="0.25">
      <c r="A1549" s="7" t="str">
        <f>IFERROR(VLOOKUP(H1549,'Contas Orç'!A:B,2,0),"N/A")</f>
        <v>SERVICOS E MANUTENCAO DE VEICULOS EQ</v>
      </c>
      <c r="B1549" s="7" t="str">
        <f t="shared" si="48"/>
        <v>320301006 - SERVICOS E MANUTENCAO DE VEICULOS EQ</v>
      </c>
      <c r="C1549" s="25">
        <f t="shared" si="49"/>
        <v>44593</v>
      </c>
      <c r="D1549" s="27">
        <f>IF(K1549="CREDITO",Q1549,Q1549*-1)</f>
        <v>7123.87</v>
      </c>
      <c r="E1549" t="s">
        <v>894</v>
      </c>
      <c r="F1549" t="s">
        <v>2043</v>
      </c>
      <c r="G1549" s="8">
        <v>44593</v>
      </c>
      <c r="H1549" t="s">
        <v>215</v>
      </c>
      <c r="I1549" t="s">
        <v>106</v>
      </c>
      <c r="J1549" t="s">
        <v>60</v>
      </c>
      <c r="K1549" t="s">
        <v>29</v>
      </c>
      <c r="L1549" t="s">
        <v>895</v>
      </c>
      <c r="M1549" t="s">
        <v>4402</v>
      </c>
      <c r="O1549" t="s">
        <v>896</v>
      </c>
      <c r="P1549" t="s">
        <v>33</v>
      </c>
      <c r="Q1549" s="22">
        <v>7123.87</v>
      </c>
      <c r="R1549" t="s">
        <v>35</v>
      </c>
      <c r="S1549" t="s">
        <v>35</v>
      </c>
      <c r="T1549" t="s">
        <v>35</v>
      </c>
      <c r="U1549" t="s">
        <v>35</v>
      </c>
      <c r="V1549" t="s">
        <v>645</v>
      </c>
      <c r="W1549" t="s">
        <v>113</v>
      </c>
    </row>
    <row r="1550" spans="1:23" hidden="1" x14ac:dyDescent="0.25">
      <c r="A1550" s="7" t="str">
        <f>IFERROR(VLOOKUP(H1550,'Contas Orç'!A:B,2,0),"N/A")</f>
        <v>SERVICOS E MANUTENCAO DE VEICULOS EQ</v>
      </c>
      <c r="B1550" s="7" t="str">
        <f t="shared" si="48"/>
        <v>320301006 - SERVICOS E MANUTENCAO DE VEICULOS EQ</v>
      </c>
      <c r="C1550" s="25">
        <f t="shared" si="49"/>
        <v>44593</v>
      </c>
      <c r="D1550" s="27">
        <f>IF(K1550="CREDITO",Q1550,Q1550*-1)</f>
        <v>37457.81</v>
      </c>
      <c r="E1550" t="s">
        <v>894</v>
      </c>
      <c r="F1550" t="s">
        <v>2044</v>
      </c>
      <c r="G1550" s="8">
        <v>44593</v>
      </c>
      <c r="H1550" t="s">
        <v>215</v>
      </c>
      <c r="I1550" t="s">
        <v>59</v>
      </c>
      <c r="J1550" t="s">
        <v>60</v>
      </c>
      <c r="K1550" t="s">
        <v>29</v>
      </c>
      <c r="L1550" t="s">
        <v>895</v>
      </c>
      <c r="M1550" t="s">
        <v>4402</v>
      </c>
      <c r="O1550" t="s">
        <v>896</v>
      </c>
      <c r="P1550" t="s">
        <v>33</v>
      </c>
      <c r="Q1550" s="22">
        <v>37457.81</v>
      </c>
      <c r="R1550" t="s">
        <v>35</v>
      </c>
      <c r="S1550" t="s">
        <v>35</v>
      </c>
      <c r="T1550" t="s">
        <v>35</v>
      </c>
      <c r="U1550" t="s">
        <v>35</v>
      </c>
      <c r="V1550" t="s">
        <v>645</v>
      </c>
      <c r="W1550" t="s">
        <v>113</v>
      </c>
    </row>
    <row r="1551" spans="1:23" hidden="1" x14ac:dyDescent="0.25">
      <c r="A1551" s="7" t="str">
        <f>IFERROR(VLOOKUP(H1551,'Contas Orç'!A:B,2,0),"N/A")</f>
        <v>SERVICOS E MANUTENCAO DE VEICULOS EQ</v>
      </c>
      <c r="B1551" s="7" t="str">
        <f t="shared" si="48"/>
        <v>320301006 - SERVICOS E MANUTENCAO DE VEICULOS EQ</v>
      </c>
      <c r="C1551" s="25">
        <f t="shared" si="49"/>
        <v>44593</v>
      </c>
      <c r="D1551" s="27">
        <f>IF(K1551="CREDITO",Q1551,Q1551*-1)</f>
        <v>5838.79</v>
      </c>
      <c r="E1551" t="s">
        <v>894</v>
      </c>
      <c r="F1551" t="s">
        <v>2045</v>
      </c>
      <c r="G1551" s="8">
        <v>44593</v>
      </c>
      <c r="H1551" t="s">
        <v>215</v>
      </c>
      <c r="I1551" t="s">
        <v>106</v>
      </c>
      <c r="J1551" t="s">
        <v>95</v>
      </c>
      <c r="K1551" t="s">
        <v>29</v>
      </c>
      <c r="L1551" t="s">
        <v>895</v>
      </c>
      <c r="M1551" t="s">
        <v>4402</v>
      </c>
      <c r="O1551" t="s">
        <v>896</v>
      </c>
      <c r="P1551" t="s">
        <v>33</v>
      </c>
      <c r="Q1551" s="22">
        <v>5838.79</v>
      </c>
      <c r="R1551" t="s">
        <v>35</v>
      </c>
      <c r="S1551" t="s">
        <v>35</v>
      </c>
      <c r="T1551" t="s">
        <v>35</v>
      </c>
      <c r="U1551" t="s">
        <v>35</v>
      </c>
      <c r="V1551" t="s">
        <v>645</v>
      </c>
      <c r="W1551" t="s">
        <v>113</v>
      </c>
    </row>
    <row r="1552" spans="1:23" hidden="1" x14ac:dyDescent="0.25">
      <c r="A1552" s="7" t="str">
        <f>IFERROR(VLOOKUP(H1552,'Contas Orç'!A:B,2,0),"N/A")</f>
        <v>SERVICOS E MANUTENCAO DE VEICULOS EQ</v>
      </c>
      <c r="B1552" s="7" t="str">
        <f t="shared" si="48"/>
        <v>320301006 - SERVICOS E MANUTENCAO DE VEICULOS EQ</v>
      </c>
      <c r="C1552" s="25">
        <f t="shared" si="49"/>
        <v>44593</v>
      </c>
      <c r="D1552" s="27">
        <f>IF(K1552="CREDITO",Q1552,Q1552*-1)</f>
        <v>404</v>
      </c>
      <c r="E1552" t="s">
        <v>894</v>
      </c>
      <c r="F1552" t="s">
        <v>2046</v>
      </c>
      <c r="G1552" s="8">
        <v>44593</v>
      </c>
      <c r="H1552" t="s">
        <v>215</v>
      </c>
      <c r="I1552" t="s">
        <v>40</v>
      </c>
      <c r="J1552" t="s">
        <v>54</v>
      </c>
      <c r="K1552" t="s">
        <v>29</v>
      </c>
      <c r="L1552" t="s">
        <v>895</v>
      </c>
      <c r="M1552" t="s">
        <v>4402</v>
      </c>
      <c r="O1552" t="s">
        <v>896</v>
      </c>
      <c r="P1552" t="s">
        <v>33</v>
      </c>
      <c r="Q1552">
        <v>404</v>
      </c>
      <c r="R1552" t="s">
        <v>35</v>
      </c>
      <c r="S1552" t="s">
        <v>35</v>
      </c>
      <c r="T1552" t="s">
        <v>35</v>
      </c>
      <c r="U1552" t="s">
        <v>35</v>
      </c>
      <c r="V1552" t="s">
        <v>645</v>
      </c>
      <c r="W1552" t="s">
        <v>113</v>
      </c>
    </row>
    <row r="1553" spans="1:23" hidden="1" x14ac:dyDescent="0.25">
      <c r="A1553" s="7" t="str">
        <f>IFERROR(VLOOKUP(H1553,'Contas Orç'!A:B,2,0),"N/A")</f>
        <v>SERVICOS E MANUTENCAO DE VEICULOS EQ</v>
      </c>
      <c r="B1553" s="7" t="str">
        <f t="shared" si="48"/>
        <v>320301006 - SERVICOS E MANUTENCAO DE VEICULOS EQ</v>
      </c>
      <c r="C1553" s="25">
        <f t="shared" si="49"/>
        <v>44593</v>
      </c>
      <c r="D1553" s="27">
        <f>IF(K1553="CREDITO",Q1553,Q1553*-1)</f>
        <v>3923.15</v>
      </c>
      <c r="E1553" t="s">
        <v>894</v>
      </c>
      <c r="F1553" t="s">
        <v>2047</v>
      </c>
      <c r="G1553" s="8">
        <v>44593</v>
      </c>
      <c r="H1553" t="s">
        <v>215</v>
      </c>
      <c r="I1553" t="s">
        <v>53</v>
      </c>
      <c r="J1553" t="s">
        <v>54</v>
      </c>
      <c r="K1553" t="s">
        <v>29</v>
      </c>
      <c r="L1553" t="s">
        <v>895</v>
      </c>
      <c r="M1553" t="s">
        <v>4402</v>
      </c>
      <c r="O1553" t="s">
        <v>896</v>
      </c>
      <c r="P1553" t="s">
        <v>33</v>
      </c>
      <c r="Q1553" s="22">
        <v>3923.15</v>
      </c>
      <c r="R1553" t="s">
        <v>35</v>
      </c>
      <c r="S1553" t="s">
        <v>35</v>
      </c>
      <c r="T1553" t="s">
        <v>35</v>
      </c>
      <c r="U1553" t="s">
        <v>35</v>
      </c>
      <c r="V1553" t="s">
        <v>645</v>
      </c>
      <c r="W1553" t="s">
        <v>113</v>
      </c>
    </row>
    <row r="1554" spans="1:23" hidden="1" x14ac:dyDescent="0.25">
      <c r="A1554" s="7" t="str">
        <f>IFERROR(VLOOKUP(H1554,'Contas Orç'!A:B,2,0),"N/A")</f>
        <v>SERVICOS E MANUTENCAO DE VEICULOS EQ</v>
      </c>
      <c r="B1554" s="7" t="str">
        <f t="shared" si="48"/>
        <v>320301006 - SERVICOS E MANUTENCAO DE VEICULOS EQ</v>
      </c>
      <c r="C1554" s="25">
        <f t="shared" si="49"/>
        <v>44621</v>
      </c>
      <c r="D1554" s="27">
        <f>IF(K1554="CREDITO",Q1554,Q1554*-1)</f>
        <v>99.83</v>
      </c>
      <c r="E1554" t="s">
        <v>894</v>
      </c>
      <c r="F1554" t="s">
        <v>2048</v>
      </c>
      <c r="G1554" s="8">
        <v>44621</v>
      </c>
      <c r="H1554" t="s">
        <v>215</v>
      </c>
      <c r="I1554" t="s">
        <v>88</v>
      </c>
      <c r="J1554" t="s">
        <v>28</v>
      </c>
      <c r="K1554" t="s">
        <v>29</v>
      </c>
      <c r="L1554" t="s">
        <v>895</v>
      </c>
      <c r="M1554" t="s">
        <v>4402</v>
      </c>
      <c r="O1554" t="s">
        <v>896</v>
      </c>
      <c r="P1554" t="s">
        <v>33</v>
      </c>
      <c r="Q1554">
        <v>99.83</v>
      </c>
      <c r="R1554" t="s">
        <v>35</v>
      </c>
      <c r="S1554" t="s">
        <v>35</v>
      </c>
      <c r="T1554" t="s">
        <v>35</v>
      </c>
      <c r="U1554" t="s">
        <v>35</v>
      </c>
      <c r="V1554" t="s">
        <v>645</v>
      </c>
      <c r="W1554" t="s">
        <v>113</v>
      </c>
    </row>
    <row r="1555" spans="1:23" hidden="1" x14ac:dyDescent="0.25">
      <c r="A1555" s="7" t="str">
        <f>IFERROR(VLOOKUP(H1555,'Contas Orç'!A:B,2,0),"N/A")</f>
        <v>SERVICOS E MANUTENCAO DE VEICULOS EQ</v>
      </c>
      <c r="B1555" s="7" t="str">
        <f t="shared" si="48"/>
        <v>320301006 - SERVICOS E MANUTENCAO DE VEICULOS EQ</v>
      </c>
      <c r="C1555" s="25">
        <f t="shared" si="49"/>
        <v>44621</v>
      </c>
      <c r="D1555" s="27">
        <f>IF(K1555="CREDITO",Q1555,Q1555*-1)</f>
        <v>20723.060000000001</v>
      </c>
      <c r="E1555" t="s">
        <v>894</v>
      </c>
      <c r="F1555" t="s">
        <v>2049</v>
      </c>
      <c r="G1555" s="8">
        <v>44621</v>
      </c>
      <c r="H1555" t="s">
        <v>215</v>
      </c>
      <c r="I1555" t="s">
        <v>27</v>
      </c>
      <c r="J1555" t="s">
        <v>28</v>
      </c>
      <c r="K1555" t="s">
        <v>29</v>
      </c>
      <c r="L1555" t="s">
        <v>895</v>
      </c>
      <c r="M1555" t="s">
        <v>4402</v>
      </c>
      <c r="O1555" t="s">
        <v>896</v>
      </c>
      <c r="P1555" t="s">
        <v>33</v>
      </c>
      <c r="Q1555" s="22">
        <v>20723.060000000001</v>
      </c>
      <c r="R1555" t="s">
        <v>35</v>
      </c>
      <c r="S1555" t="s">
        <v>35</v>
      </c>
      <c r="T1555" t="s">
        <v>35</v>
      </c>
      <c r="U1555" t="s">
        <v>35</v>
      </c>
      <c r="V1555" t="s">
        <v>645</v>
      </c>
      <c r="W1555" t="s">
        <v>113</v>
      </c>
    </row>
    <row r="1556" spans="1:23" hidden="1" x14ac:dyDescent="0.25">
      <c r="A1556" s="7" t="str">
        <f>IFERROR(VLOOKUP(H1556,'Contas Orç'!A:B,2,0),"N/A")</f>
        <v>SERVICOS E MANUTENCAO DE VEICULOS EQ</v>
      </c>
      <c r="B1556" s="7" t="str">
        <f t="shared" si="48"/>
        <v>320301006 - SERVICOS E MANUTENCAO DE VEICULOS EQ</v>
      </c>
      <c r="C1556" s="25">
        <f t="shared" si="49"/>
        <v>44621</v>
      </c>
      <c r="D1556" s="27">
        <f>IF(K1556="CREDITO",Q1556,Q1556*-1)</f>
        <v>1344.9</v>
      </c>
      <c r="E1556" t="s">
        <v>894</v>
      </c>
      <c r="F1556" t="s">
        <v>2050</v>
      </c>
      <c r="G1556" s="8">
        <v>44621</v>
      </c>
      <c r="H1556" t="s">
        <v>215</v>
      </c>
      <c r="I1556" t="s">
        <v>59</v>
      </c>
      <c r="J1556" t="s">
        <v>28</v>
      </c>
      <c r="K1556" t="s">
        <v>29</v>
      </c>
      <c r="L1556" t="s">
        <v>895</v>
      </c>
      <c r="M1556" t="s">
        <v>4402</v>
      </c>
      <c r="O1556" t="s">
        <v>896</v>
      </c>
      <c r="P1556" t="s">
        <v>33</v>
      </c>
      <c r="Q1556" s="22">
        <v>1344.9</v>
      </c>
      <c r="R1556" t="s">
        <v>35</v>
      </c>
      <c r="S1556" t="s">
        <v>35</v>
      </c>
      <c r="T1556" t="s">
        <v>35</v>
      </c>
      <c r="U1556" t="s">
        <v>35</v>
      </c>
      <c r="V1556" t="s">
        <v>645</v>
      </c>
      <c r="W1556" t="s">
        <v>113</v>
      </c>
    </row>
    <row r="1557" spans="1:23" hidden="1" x14ac:dyDescent="0.25">
      <c r="A1557" s="7" t="str">
        <f>IFERROR(VLOOKUP(H1557,'Contas Orç'!A:B,2,0),"N/A")</f>
        <v>SERVICOS E MANUTENCAO DE VEICULOS EQ</v>
      </c>
      <c r="B1557" s="7" t="str">
        <f t="shared" si="48"/>
        <v>320301006 - SERVICOS E MANUTENCAO DE VEICULOS EQ</v>
      </c>
      <c r="C1557" s="25">
        <f t="shared" si="49"/>
        <v>44621</v>
      </c>
      <c r="D1557" s="27">
        <f>IF(K1557="CREDITO",Q1557,Q1557*-1)</f>
        <v>56287.12</v>
      </c>
      <c r="E1557" t="s">
        <v>894</v>
      </c>
      <c r="F1557" t="s">
        <v>2051</v>
      </c>
      <c r="G1557" s="8">
        <v>44621</v>
      </c>
      <c r="H1557" t="s">
        <v>215</v>
      </c>
      <c r="I1557" t="s">
        <v>106</v>
      </c>
      <c r="J1557" t="s">
        <v>60</v>
      </c>
      <c r="K1557" t="s">
        <v>29</v>
      </c>
      <c r="L1557" t="s">
        <v>895</v>
      </c>
      <c r="M1557" t="s">
        <v>4402</v>
      </c>
      <c r="O1557" t="s">
        <v>896</v>
      </c>
      <c r="P1557" t="s">
        <v>33</v>
      </c>
      <c r="Q1557" s="22">
        <v>56287.12</v>
      </c>
      <c r="R1557" t="s">
        <v>35</v>
      </c>
      <c r="S1557" t="s">
        <v>35</v>
      </c>
      <c r="T1557" t="s">
        <v>35</v>
      </c>
      <c r="U1557" t="s">
        <v>35</v>
      </c>
      <c r="V1557" t="s">
        <v>645</v>
      </c>
      <c r="W1557" t="s">
        <v>113</v>
      </c>
    </row>
    <row r="1558" spans="1:23" hidden="1" x14ac:dyDescent="0.25">
      <c r="A1558" s="7" t="str">
        <f>IFERROR(VLOOKUP(H1558,'Contas Orç'!A:B,2,0),"N/A")</f>
        <v>SERVICOS E MANUTENCAO DE VEICULOS EQ</v>
      </c>
      <c r="B1558" s="7" t="str">
        <f t="shared" si="48"/>
        <v>320301006 - SERVICOS E MANUTENCAO DE VEICULOS EQ</v>
      </c>
      <c r="C1558" s="25">
        <f t="shared" si="49"/>
        <v>44621</v>
      </c>
      <c r="D1558" s="27">
        <f>IF(K1558="CREDITO",Q1558,Q1558*-1)</f>
        <v>32930.79</v>
      </c>
      <c r="E1558" t="s">
        <v>894</v>
      </c>
      <c r="F1558" t="s">
        <v>2052</v>
      </c>
      <c r="G1558" s="8">
        <v>44621</v>
      </c>
      <c r="H1558" t="s">
        <v>215</v>
      </c>
      <c r="I1558" t="s">
        <v>59</v>
      </c>
      <c r="J1558" t="s">
        <v>60</v>
      </c>
      <c r="K1558" t="s">
        <v>29</v>
      </c>
      <c r="L1558" t="s">
        <v>895</v>
      </c>
      <c r="M1558" t="s">
        <v>4402</v>
      </c>
      <c r="O1558" t="s">
        <v>896</v>
      </c>
      <c r="P1558" t="s">
        <v>33</v>
      </c>
      <c r="Q1558" s="22">
        <v>32930.79</v>
      </c>
      <c r="R1558" t="s">
        <v>35</v>
      </c>
      <c r="S1558" t="s">
        <v>35</v>
      </c>
      <c r="T1558" t="s">
        <v>35</v>
      </c>
      <c r="U1558" t="s">
        <v>35</v>
      </c>
      <c r="V1558" t="s">
        <v>645</v>
      </c>
      <c r="W1558" t="s">
        <v>113</v>
      </c>
    </row>
    <row r="1559" spans="1:23" hidden="1" x14ac:dyDescent="0.25">
      <c r="A1559" s="7" t="str">
        <f>IFERROR(VLOOKUP(H1559,'Contas Orç'!A:B,2,0),"N/A")</f>
        <v>SERVICOS E MANUTENCAO DE VEICULOS EQ</v>
      </c>
      <c r="B1559" s="7" t="str">
        <f t="shared" si="48"/>
        <v>320301006 - SERVICOS E MANUTENCAO DE VEICULOS EQ</v>
      </c>
      <c r="C1559" s="25">
        <f t="shared" si="49"/>
        <v>44621</v>
      </c>
      <c r="D1559" s="27">
        <f>IF(K1559="CREDITO",Q1559,Q1559*-1)</f>
        <v>67773.33</v>
      </c>
      <c r="E1559" t="s">
        <v>894</v>
      </c>
      <c r="F1559" t="s">
        <v>2053</v>
      </c>
      <c r="G1559" s="8">
        <v>44621</v>
      </c>
      <c r="H1559" t="s">
        <v>215</v>
      </c>
      <c r="I1559" t="s">
        <v>125</v>
      </c>
      <c r="J1559" t="s">
        <v>95</v>
      </c>
      <c r="K1559" t="s">
        <v>29</v>
      </c>
      <c r="L1559" t="s">
        <v>895</v>
      </c>
      <c r="M1559" t="s">
        <v>4402</v>
      </c>
      <c r="O1559" t="s">
        <v>896</v>
      </c>
      <c r="P1559" t="s">
        <v>33</v>
      </c>
      <c r="Q1559" s="22">
        <v>67773.33</v>
      </c>
      <c r="R1559" t="s">
        <v>35</v>
      </c>
      <c r="S1559" t="s">
        <v>35</v>
      </c>
      <c r="T1559" t="s">
        <v>35</v>
      </c>
      <c r="U1559" t="s">
        <v>35</v>
      </c>
      <c r="V1559" t="s">
        <v>645</v>
      </c>
      <c r="W1559" t="s">
        <v>113</v>
      </c>
    </row>
    <row r="1560" spans="1:23" hidden="1" x14ac:dyDescent="0.25">
      <c r="A1560" s="7" t="str">
        <f>IFERROR(VLOOKUP(H1560,'Contas Orç'!A:B,2,0),"N/A")</f>
        <v>SERVICOS E MANUTENCAO DE VEICULOS EQ</v>
      </c>
      <c r="B1560" s="7" t="str">
        <f t="shared" si="48"/>
        <v>320301006 - SERVICOS E MANUTENCAO DE VEICULOS EQ</v>
      </c>
      <c r="C1560" s="25">
        <f t="shared" si="49"/>
        <v>44621</v>
      </c>
      <c r="D1560" s="27">
        <f>IF(K1560="CREDITO",Q1560,Q1560*-1)</f>
        <v>300</v>
      </c>
      <c r="E1560" t="s">
        <v>894</v>
      </c>
      <c r="F1560" t="s">
        <v>2054</v>
      </c>
      <c r="G1560" s="8">
        <v>44621</v>
      </c>
      <c r="H1560" t="s">
        <v>215</v>
      </c>
      <c r="I1560" t="s">
        <v>40</v>
      </c>
      <c r="J1560" t="s">
        <v>54</v>
      </c>
      <c r="K1560" t="s">
        <v>29</v>
      </c>
      <c r="L1560" t="s">
        <v>895</v>
      </c>
      <c r="M1560" t="s">
        <v>4402</v>
      </c>
      <c r="O1560" t="s">
        <v>896</v>
      </c>
      <c r="P1560" t="s">
        <v>33</v>
      </c>
      <c r="Q1560">
        <v>300</v>
      </c>
      <c r="R1560" t="s">
        <v>35</v>
      </c>
      <c r="S1560" t="s">
        <v>35</v>
      </c>
      <c r="T1560" t="s">
        <v>35</v>
      </c>
      <c r="U1560" t="s">
        <v>35</v>
      </c>
      <c r="V1560" t="s">
        <v>645</v>
      </c>
      <c r="W1560" t="s">
        <v>113</v>
      </c>
    </row>
    <row r="1561" spans="1:23" hidden="1" x14ac:dyDescent="0.25">
      <c r="A1561" s="7" t="str">
        <f>IFERROR(VLOOKUP(H1561,'Contas Orç'!A:B,2,0),"N/A")</f>
        <v>SERVICOS E MANUTENCAO DE VEICULOS EQ</v>
      </c>
      <c r="B1561" s="7" t="str">
        <f t="shared" si="48"/>
        <v>320301006 - SERVICOS E MANUTENCAO DE VEICULOS EQ</v>
      </c>
      <c r="C1561" s="25">
        <f t="shared" si="49"/>
        <v>44621</v>
      </c>
      <c r="D1561" s="27">
        <f>IF(K1561="CREDITO",Q1561,Q1561*-1)</f>
        <v>610</v>
      </c>
      <c r="E1561" t="s">
        <v>894</v>
      </c>
      <c r="F1561" t="s">
        <v>2055</v>
      </c>
      <c r="G1561" s="8">
        <v>44621</v>
      </c>
      <c r="H1561" t="s">
        <v>215</v>
      </c>
      <c r="I1561" t="s">
        <v>53</v>
      </c>
      <c r="J1561" t="s">
        <v>54</v>
      </c>
      <c r="K1561" t="s">
        <v>29</v>
      </c>
      <c r="L1561" t="s">
        <v>895</v>
      </c>
      <c r="M1561" t="s">
        <v>4402</v>
      </c>
      <c r="O1561" t="s">
        <v>896</v>
      </c>
      <c r="P1561" t="s">
        <v>33</v>
      </c>
      <c r="Q1561">
        <v>610</v>
      </c>
      <c r="R1561" t="s">
        <v>35</v>
      </c>
      <c r="S1561" t="s">
        <v>35</v>
      </c>
      <c r="T1561" t="s">
        <v>35</v>
      </c>
      <c r="U1561" t="s">
        <v>35</v>
      </c>
      <c r="V1561" t="s">
        <v>645</v>
      </c>
      <c r="W1561" t="s">
        <v>113</v>
      </c>
    </row>
    <row r="1562" spans="1:23" hidden="1" x14ac:dyDescent="0.25">
      <c r="A1562" s="7" t="str">
        <f>IFERROR(VLOOKUP(H1562,'Contas Orç'!A:B,2,0),"N/A")</f>
        <v>SERVICOS E MANUTENCAO DE VEICULOS EQ</v>
      </c>
      <c r="B1562" s="7" t="str">
        <f t="shared" si="48"/>
        <v>320301006 - SERVICOS E MANUTENCAO DE VEICULOS EQ</v>
      </c>
      <c r="C1562" s="25">
        <f t="shared" si="49"/>
        <v>44652</v>
      </c>
      <c r="D1562" s="27">
        <f>IF(K1562="CREDITO",Q1562,Q1562*-1)</f>
        <v>11996.87</v>
      </c>
      <c r="E1562" t="s">
        <v>894</v>
      </c>
      <c r="F1562" t="s">
        <v>2056</v>
      </c>
      <c r="G1562" s="8">
        <v>44652</v>
      </c>
      <c r="H1562" t="s">
        <v>215</v>
      </c>
      <c r="I1562" t="s">
        <v>27</v>
      </c>
      <c r="J1562" t="s">
        <v>28</v>
      </c>
      <c r="K1562" t="s">
        <v>29</v>
      </c>
      <c r="L1562" t="s">
        <v>895</v>
      </c>
      <c r="M1562" t="s">
        <v>4402</v>
      </c>
      <c r="O1562" t="s">
        <v>896</v>
      </c>
      <c r="P1562" t="s">
        <v>33</v>
      </c>
      <c r="Q1562" s="22">
        <v>11996.87</v>
      </c>
      <c r="R1562" t="s">
        <v>35</v>
      </c>
      <c r="S1562" t="s">
        <v>35</v>
      </c>
      <c r="T1562" t="s">
        <v>35</v>
      </c>
      <c r="U1562" t="s">
        <v>35</v>
      </c>
      <c r="V1562" t="s">
        <v>645</v>
      </c>
      <c r="W1562" t="s">
        <v>113</v>
      </c>
    </row>
    <row r="1563" spans="1:23" hidden="1" x14ac:dyDescent="0.25">
      <c r="A1563" s="7" t="str">
        <f>IFERROR(VLOOKUP(H1563,'Contas Orç'!A:B,2,0),"N/A")</f>
        <v>SERVICOS E MANUTENCAO DE VEICULOS EQ</v>
      </c>
      <c r="B1563" s="7" t="str">
        <f t="shared" si="48"/>
        <v>320301006 - SERVICOS E MANUTENCAO DE VEICULOS EQ</v>
      </c>
      <c r="C1563" s="25">
        <f t="shared" si="49"/>
        <v>44652</v>
      </c>
      <c r="D1563" s="27">
        <f>IF(K1563="CREDITO",Q1563,Q1563*-1)</f>
        <v>2599.09</v>
      </c>
      <c r="E1563" t="s">
        <v>894</v>
      </c>
      <c r="F1563" t="s">
        <v>2057</v>
      </c>
      <c r="G1563" s="8">
        <v>44652</v>
      </c>
      <c r="H1563" t="s">
        <v>215</v>
      </c>
      <c r="I1563" t="s">
        <v>59</v>
      </c>
      <c r="J1563" t="s">
        <v>28</v>
      </c>
      <c r="K1563" t="s">
        <v>29</v>
      </c>
      <c r="L1563" t="s">
        <v>895</v>
      </c>
      <c r="M1563" t="s">
        <v>4402</v>
      </c>
      <c r="O1563" t="s">
        <v>896</v>
      </c>
      <c r="P1563" t="s">
        <v>33</v>
      </c>
      <c r="Q1563" s="22">
        <v>2599.09</v>
      </c>
      <c r="R1563" t="s">
        <v>35</v>
      </c>
      <c r="S1563" t="s">
        <v>35</v>
      </c>
      <c r="T1563" t="s">
        <v>35</v>
      </c>
      <c r="U1563" t="s">
        <v>35</v>
      </c>
      <c r="V1563" t="s">
        <v>645</v>
      </c>
      <c r="W1563" t="s">
        <v>113</v>
      </c>
    </row>
    <row r="1564" spans="1:23" hidden="1" x14ac:dyDescent="0.25">
      <c r="A1564" s="7" t="str">
        <f>IFERROR(VLOOKUP(H1564,'Contas Orç'!A:B,2,0),"N/A")</f>
        <v>SERVICOS E MANUTENCAO DE VEICULOS EQ</v>
      </c>
      <c r="B1564" s="7" t="str">
        <f t="shared" si="48"/>
        <v>320301006 - SERVICOS E MANUTENCAO DE VEICULOS EQ</v>
      </c>
      <c r="C1564" s="25">
        <f t="shared" si="49"/>
        <v>44652</v>
      </c>
      <c r="D1564" s="27">
        <f>IF(K1564="CREDITO",Q1564,Q1564*-1)</f>
        <v>33527.589999999997</v>
      </c>
      <c r="E1564" t="s">
        <v>894</v>
      </c>
      <c r="F1564" t="s">
        <v>2058</v>
      </c>
      <c r="G1564" s="8">
        <v>44652</v>
      </c>
      <c r="H1564" t="s">
        <v>215</v>
      </c>
      <c r="I1564" t="s">
        <v>106</v>
      </c>
      <c r="J1564" t="s">
        <v>60</v>
      </c>
      <c r="K1564" t="s">
        <v>29</v>
      </c>
      <c r="L1564" t="s">
        <v>895</v>
      </c>
      <c r="M1564" t="s">
        <v>4402</v>
      </c>
      <c r="O1564" t="s">
        <v>896</v>
      </c>
      <c r="P1564" t="s">
        <v>33</v>
      </c>
      <c r="Q1564" s="22">
        <v>33527.589999999997</v>
      </c>
      <c r="R1564" t="s">
        <v>35</v>
      </c>
      <c r="S1564" t="s">
        <v>35</v>
      </c>
      <c r="T1564" t="s">
        <v>35</v>
      </c>
      <c r="U1564" t="s">
        <v>35</v>
      </c>
      <c r="V1564" t="s">
        <v>645</v>
      </c>
      <c r="W1564" t="s">
        <v>113</v>
      </c>
    </row>
    <row r="1565" spans="1:23" hidden="1" x14ac:dyDescent="0.25">
      <c r="A1565" s="7" t="str">
        <f>IFERROR(VLOOKUP(H1565,'Contas Orç'!A:B,2,0),"N/A")</f>
        <v>SERVICOS E MANUTENCAO DE VEICULOS EQ</v>
      </c>
      <c r="B1565" s="7" t="str">
        <f t="shared" si="48"/>
        <v>320301006 - SERVICOS E MANUTENCAO DE VEICULOS EQ</v>
      </c>
      <c r="C1565" s="25">
        <f t="shared" si="49"/>
        <v>44652</v>
      </c>
      <c r="D1565" s="27">
        <f>IF(K1565="CREDITO",Q1565,Q1565*-1)</f>
        <v>109613.24</v>
      </c>
      <c r="E1565" t="s">
        <v>894</v>
      </c>
      <c r="F1565" t="s">
        <v>2059</v>
      </c>
      <c r="G1565" s="8">
        <v>44652</v>
      </c>
      <c r="H1565" t="s">
        <v>215</v>
      </c>
      <c r="I1565" t="s">
        <v>59</v>
      </c>
      <c r="J1565" t="s">
        <v>60</v>
      </c>
      <c r="K1565" t="s">
        <v>29</v>
      </c>
      <c r="L1565" t="s">
        <v>895</v>
      </c>
      <c r="M1565" t="s">
        <v>4402</v>
      </c>
      <c r="O1565" t="s">
        <v>896</v>
      </c>
      <c r="P1565" t="s">
        <v>33</v>
      </c>
      <c r="Q1565" s="22">
        <v>109613.24</v>
      </c>
      <c r="R1565" t="s">
        <v>35</v>
      </c>
      <c r="S1565" t="s">
        <v>35</v>
      </c>
      <c r="T1565" t="s">
        <v>35</v>
      </c>
      <c r="U1565" t="s">
        <v>35</v>
      </c>
      <c r="V1565" t="s">
        <v>645</v>
      </c>
      <c r="W1565" t="s">
        <v>113</v>
      </c>
    </row>
    <row r="1566" spans="1:23" hidden="1" x14ac:dyDescent="0.25">
      <c r="A1566" s="7" t="str">
        <f>IFERROR(VLOOKUP(H1566,'Contas Orç'!A:B,2,0),"N/A")</f>
        <v>SERVICOS E MANUTENCAO DE VEICULOS EQ</v>
      </c>
      <c r="B1566" s="7" t="str">
        <f t="shared" si="48"/>
        <v>320301006 - SERVICOS E MANUTENCAO DE VEICULOS EQ</v>
      </c>
      <c r="C1566" s="25">
        <f t="shared" si="49"/>
        <v>44652</v>
      </c>
      <c r="D1566" s="27">
        <f>IF(K1566="CREDITO",Q1566,Q1566*-1)</f>
        <v>3750</v>
      </c>
      <c r="E1566" t="s">
        <v>894</v>
      </c>
      <c r="F1566" t="s">
        <v>2060</v>
      </c>
      <c r="G1566" s="8">
        <v>44652</v>
      </c>
      <c r="H1566" t="s">
        <v>215</v>
      </c>
      <c r="I1566" t="s">
        <v>68</v>
      </c>
      <c r="J1566" t="s">
        <v>69</v>
      </c>
      <c r="K1566" t="s">
        <v>29</v>
      </c>
      <c r="L1566" t="s">
        <v>895</v>
      </c>
      <c r="M1566" t="s">
        <v>4402</v>
      </c>
      <c r="O1566" t="s">
        <v>896</v>
      </c>
      <c r="P1566" t="s">
        <v>33</v>
      </c>
      <c r="Q1566" s="22">
        <v>3750</v>
      </c>
      <c r="R1566" t="s">
        <v>35</v>
      </c>
      <c r="S1566" t="s">
        <v>35</v>
      </c>
      <c r="T1566" t="s">
        <v>35</v>
      </c>
      <c r="U1566" t="s">
        <v>35</v>
      </c>
      <c r="V1566" t="s">
        <v>645</v>
      </c>
      <c r="W1566" t="s">
        <v>113</v>
      </c>
    </row>
    <row r="1567" spans="1:23" hidden="1" x14ac:dyDescent="0.25">
      <c r="A1567" s="7" t="str">
        <f>IFERROR(VLOOKUP(H1567,'Contas Orç'!A:B,2,0),"N/A")</f>
        <v>SERVICOS E MANUTENCAO DE VEICULOS EQ</v>
      </c>
      <c r="B1567" s="7" t="str">
        <f t="shared" si="48"/>
        <v>320301006 - SERVICOS E MANUTENCAO DE VEICULOS EQ</v>
      </c>
      <c r="C1567" s="25">
        <f t="shared" si="49"/>
        <v>44652</v>
      </c>
      <c r="D1567" s="27">
        <f>IF(K1567="CREDITO",Q1567,Q1567*-1)</f>
        <v>360</v>
      </c>
      <c r="E1567" t="s">
        <v>894</v>
      </c>
      <c r="F1567" t="s">
        <v>2061</v>
      </c>
      <c r="G1567" s="8">
        <v>44652</v>
      </c>
      <c r="H1567" t="s">
        <v>215</v>
      </c>
      <c r="I1567" t="s">
        <v>2062</v>
      </c>
      <c r="J1567" t="s">
        <v>54</v>
      </c>
      <c r="K1567" t="s">
        <v>29</v>
      </c>
      <c r="L1567" t="s">
        <v>895</v>
      </c>
      <c r="M1567" t="s">
        <v>4402</v>
      </c>
      <c r="O1567" t="s">
        <v>896</v>
      </c>
      <c r="P1567" t="s">
        <v>33</v>
      </c>
      <c r="Q1567">
        <v>360</v>
      </c>
      <c r="R1567" t="s">
        <v>35</v>
      </c>
      <c r="S1567" t="s">
        <v>35</v>
      </c>
      <c r="T1567" t="s">
        <v>35</v>
      </c>
      <c r="U1567" t="s">
        <v>35</v>
      </c>
      <c r="V1567" t="s">
        <v>645</v>
      </c>
      <c r="W1567" t="s">
        <v>113</v>
      </c>
    </row>
    <row r="1568" spans="1:23" hidden="1" x14ac:dyDescent="0.25">
      <c r="A1568" s="7" t="str">
        <f>IFERROR(VLOOKUP(H1568,'Contas Orç'!A:B,2,0),"N/A")</f>
        <v>SERVICOS E MANUTENCAO DE VEICULOS EQ</v>
      </c>
      <c r="B1568" s="7" t="str">
        <f t="shared" si="48"/>
        <v>320301006 - SERVICOS E MANUTENCAO DE VEICULOS EQ</v>
      </c>
      <c r="C1568" s="25">
        <f t="shared" si="49"/>
        <v>44652</v>
      </c>
      <c r="D1568" s="27">
        <f>IF(K1568="CREDITO",Q1568,Q1568*-1)</f>
        <v>420</v>
      </c>
      <c r="E1568" t="s">
        <v>894</v>
      </c>
      <c r="F1568" t="s">
        <v>2063</v>
      </c>
      <c r="G1568" s="8">
        <v>44652</v>
      </c>
      <c r="H1568" t="s">
        <v>215</v>
      </c>
      <c r="I1568" t="s">
        <v>53</v>
      </c>
      <c r="J1568" t="s">
        <v>54</v>
      </c>
      <c r="K1568" t="s">
        <v>29</v>
      </c>
      <c r="L1568" t="s">
        <v>895</v>
      </c>
      <c r="M1568" t="s">
        <v>4402</v>
      </c>
      <c r="O1568" t="s">
        <v>896</v>
      </c>
      <c r="P1568" t="s">
        <v>33</v>
      </c>
      <c r="Q1568">
        <v>420</v>
      </c>
      <c r="R1568" t="s">
        <v>35</v>
      </c>
      <c r="S1568" t="s">
        <v>35</v>
      </c>
      <c r="T1568" t="s">
        <v>35</v>
      </c>
      <c r="U1568" t="s">
        <v>35</v>
      </c>
      <c r="V1568" t="s">
        <v>645</v>
      </c>
      <c r="W1568" t="s">
        <v>113</v>
      </c>
    </row>
    <row r="1569" spans="1:23" hidden="1" x14ac:dyDescent="0.25">
      <c r="A1569" s="7" t="str">
        <f>IFERROR(VLOOKUP(H1569,'Contas Orç'!A:B,2,0),"N/A")</f>
        <v>SERVICOS E MANUTENCAO DE VEICULOS EQ</v>
      </c>
      <c r="B1569" s="7" t="str">
        <f t="shared" si="48"/>
        <v>320301006 - SERVICOS E MANUTENCAO DE VEICULOS EQ</v>
      </c>
      <c r="C1569" s="25">
        <f t="shared" si="49"/>
        <v>44682</v>
      </c>
      <c r="D1569" s="27">
        <f>IF(K1569="CREDITO",Q1569,Q1569*-1)</f>
        <v>8471.39</v>
      </c>
      <c r="E1569" t="s">
        <v>894</v>
      </c>
      <c r="F1569" t="s">
        <v>809</v>
      </c>
      <c r="G1569" s="8">
        <v>44682</v>
      </c>
      <c r="H1569" t="s">
        <v>215</v>
      </c>
      <c r="I1569" t="s">
        <v>27</v>
      </c>
      <c r="J1569" t="s">
        <v>28</v>
      </c>
      <c r="K1569" t="s">
        <v>29</v>
      </c>
      <c r="L1569" t="s">
        <v>895</v>
      </c>
      <c r="M1569" t="s">
        <v>4402</v>
      </c>
      <c r="O1569" t="s">
        <v>896</v>
      </c>
      <c r="P1569" t="s">
        <v>33</v>
      </c>
      <c r="Q1569" s="22">
        <v>8471.39</v>
      </c>
      <c r="R1569" t="s">
        <v>35</v>
      </c>
      <c r="S1569" t="s">
        <v>35</v>
      </c>
      <c r="T1569" t="s">
        <v>35</v>
      </c>
      <c r="U1569" t="s">
        <v>35</v>
      </c>
      <c r="V1569" t="s">
        <v>645</v>
      </c>
      <c r="W1569" t="s">
        <v>113</v>
      </c>
    </row>
    <row r="1570" spans="1:23" hidden="1" x14ac:dyDescent="0.25">
      <c r="A1570" s="7" t="str">
        <f>IFERROR(VLOOKUP(H1570,'Contas Orç'!A:B,2,0),"N/A")</f>
        <v>SERVICOS E MANUTENCAO DE VEICULOS EQ</v>
      </c>
      <c r="B1570" s="7" t="str">
        <f t="shared" si="48"/>
        <v>320301006 - SERVICOS E MANUTENCAO DE VEICULOS EQ</v>
      </c>
      <c r="C1570" s="25">
        <f t="shared" si="49"/>
        <v>44682</v>
      </c>
      <c r="D1570" s="27">
        <f>IF(K1570="CREDITO",Q1570,Q1570*-1)</f>
        <v>68242.679999999993</v>
      </c>
      <c r="E1570" t="s">
        <v>894</v>
      </c>
      <c r="F1570" t="s">
        <v>2064</v>
      </c>
      <c r="G1570" s="8">
        <v>44682</v>
      </c>
      <c r="H1570" t="s">
        <v>215</v>
      </c>
      <c r="I1570" t="s">
        <v>59</v>
      </c>
      <c r="J1570" t="s">
        <v>60</v>
      </c>
      <c r="K1570" t="s">
        <v>29</v>
      </c>
      <c r="L1570" t="s">
        <v>895</v>
      </c>
      <c r="M1570" t="s">
        <v>4402</v>
      </c>
      <c r="O1570" t="s">
        <v>896</v>
      </c>
      <c r="P1570" t="s">
        <v>33</v>
      </c>
      <c r="Q1570" s="22">
        <v>68242.679999999993</v>
      </c>
      <c r="R1570" t="s">
        <v>35</v>
      </c>
      <c r="S1570" t="s">
        <v>35</v>
      </c>
      <c r="T1570" t="s">
        <v>35</v>
      </c>
      <c r="U1570" t="s">
        <v>35</v>
      </c>
      <c r="V1570" t="s">
        <v>645</v>
      </c>
      <c r="W1570" t="s">
        <v>113</v>
      </c>
    </row>
    <row r="1571" spans="1:23" hidden="1" x14ac:dyDescent="0.25">
      <c r="A1571" s="7" t="str">
        <f>IFERROR(VLOOKUP(H1571,'Contas Orç'!A:B,2,0),"N/A")</f>
        <v>SERVICOS E MANUTENCAO DE VEICULOS EQ</v>
      </c>
      <c r="B1571" s="7" t="str">
        <f t="shared" si="48"/>
        <v>320301006 - SERVICOS E MANUTENCAO DE VEICULOS EQ</v>
      </c>
      <c r="C1571" s="25">
        <f t="shared" si="49"/>
        <v>44682</v>
      </c>
      <c r="D1571" s="27">
        <f>IF(K1571="CREDITO",Q1571,Q1571*-1)</f>
        <v>390.57</v>
      </c>
      <c r="E1571" t="s">
        <v>894</v>
      </c>
      <c r="F1571" t="s">
        <v>2065</v>
      </c>
      <c r="G1571" s="8">
        <v>44682</v>
      </c>
      <c r="H1571" t="s">
        <v>215</v>
      </c>
      <c r="I1571" t="s">
        <v>125</v>
      </c>
      <c r="J1571" t="s">
        <v>95</v>
      </c>
      <c r="K1571" t="s">
        <v>29</v>
      </c>
      <c r="L1571" t="s">
        <v>895</v>
      </c>
      <c r="M1571" t="s">
        <v>4402</v>
      </c>
      <c r="O1571" t="s">
        <v>896</v>
      </c>
      <c r="P1571" t="s">
        <v>33</v>
      </c>
      <c r="Q1571">
        <v>390.57</v>
      </c>
      <c r="R1571" t="s">
        <v>35</v>
      </c>
      <c r="S1571" t="s">
        <v>35</v>
      </c>
      <c r="T1571" t="s">
        <v>35</v>
      </c>
      <c r="U1571" t="s">
        <v>35</v>
      </c>
      <c r="V1571" t="s">
        <v>645</v>
      </c>
      <c r="W1571" t="s">
        <v>113</v>
      </c>
    </row>
    <row r="1572" spans="1:23" hidden="1" x14ac:dyDescent="0.25">
      <c r="A1572" s="7" t="str">
        <f>IFERROR(VLOOKUP(H1572,'Contas Orç'!A:B,2,0),"N/A")</f>
        <v>SERVICOS E MANUTENCAO DE VEICULOS EQ</v>
      </c>
      <c r="B1572" s="7" t="str">
        <f t="shared" si="48"/>
        <v>320301006 - SERVICOS E MANUTENCAO DE VEICULOS EQ</v>
      </c>
      <c r="C1572" s="25">
        <f t="shared" si="49"/>
        <v>44682</v>
      </c>
      <c r="D1572" s="27">
        <f>IF(K1572="CREDITO",Q1572,Q1572*-1)</f>
        <v>546.42999999999995</v>
      </c>
      <c r="E1572" t="s">
        <v>894</v>
      </c>
      <c r="F1572" t="s">
        <v>2066</v>
      </c>
      <c r="G1572" s="8">
        <v>44682</v>
      </c>
      <c r="H1572" t="s">
        <v>215</v>
      </c>
      <c r="I1572" t="s">
        <v>40</v>
      </c>
      <c r="J1572" t="s">
        <v>54</v>
      </c>
      <c r="K1572" t="s">
        <v>29</v>
      </c>
      <c r="L1572" t="s">
        <v>895</v>
      </c>
      <c r="M1572" t="s">
        <v>4402</v>
      </c>
      <c r="O1572" t="s">
        <v>896</v>
      </c>
      <c r="P1572" t="s">
        <v>33</v>
      </c>
      <c r="Q1572">
        <v>546.42999999999995</v>
      </c>
      <c r="R1572" t="s">
        <v>35</v>
      </c>
      <c r="S1572" t="s">
        <v>35</v>
      </c>
      <c r="T1572" t="s">
        <v>35</v>
      </c>
      <c r="U1572" t="s">
        <v>35</v>
      </c>
      <c r="V1572" t="s">
        <v>645</v>
      </c>
      <c r="W1572" t="s">
        <v>113</v>
      </c>
    </row>
    <row r="1573" spans="1:23" hidden="1" x14ac:dyDescent="0.25">
      <c r="A1573" s="7" t="str">
        <f>IFERROR(VLOOKUP(H1573,'Contas Orç'!A:B,2,0),"N/A")</f>
        <v>SERVICOS E MANUTENCAO DE VEICULOS EQ</v>
      </c>
      <c r="B1573" s="7" t="str">
        <f t="shared" si="48"/>
        <v>320301006 - SERVICOS E MANUTENCAO DE VEICULOS EQ</v>
      </c>
      <c r="C1573" s="25">
        <f t="shared" si="49"/>
        <v>44682</v>
      </c>
      <c r="D1573" s="27">
        <f>IF(K1573="CREDITO",Q1573,Q1573*-1)</f>
        <v>2737.93</v>
      </c>
      <c r="E1573" t="s">
        <v>894</v>
      </c>
      <c r="F1573" t="s">
        <v>2067</v>
      </c>
      <c r="G1573" s="8">
        <v>44682</v>
      </c>
      <c r="H1573" t="s">
        <v>215</v>
      </c>
      <c r="I1573" t="s">
        <v>81</v>
      </c>
      <c r="J1573" t="s">
        <v>54</v>
      </c>
      <c r="K1573" t="s">
        <v>29</v>
      </c>
      <c r="L1573" t="s">
        <v>895</v>
      </c>
      <c r="M1573" t="s">
        <v>4402</v>
      </c>
      <c r="O1573" t="s">
        <v>896</v>
      </c>
      <c r="P1573" t="s">
        <v>33</v>
      </c>
      <c r="Q1573" s="22">
        <v>2737.93</v>
      </c>
      <c r="R1573" t="s">
        <v>35</v>
      </c>
      <c r="S1573" t="s">
        <v>35</v>
      </c>
      <c r="T1573" t="s">
        <v>35</v>
      </c>
      <c r="U1573" t="s">
        <v>35</v>
      </c>
      <c r="V1573" t="s">
        <v>645</v>
      </c>
      <c r="W1573" t="s">
        <v>113</v>
      </c>
    </row>
    <row r="1574" spans="1:23" hidden="1" x14ac:dyDescent="0.25">
      <c r="A1574" s="7" t="str">
        <f>IFERROR(VLOOKUP(H1574,'Contas Orç'!A:B,2,0),"N/A")</f>
        <v>SERVICOS E MANUTENCAO DE VEICULOS EQ</v>
      </c>
      <c r="B1574" s="7" t="str">
        <f t="shared" si="48"/>
        <v>320301006 - SERVICOS E MANUTENCAO DE VEICULOS EQ</v>
      </c>
      <c r="C1574" s="25">
        <f t="shared" si="49"/>
        <v>44682</v>
      </c>
      <c r="D1574" s="27">
        <f>IF(K1574="CREDITO",Q1574,Q1574*-1)</f>
        <v>1750</v>
      </c>
      <c r="E1574" t="s">
        <v>894</v>
      </c>
      <c r="F1574" t="s">
        <v>2068</v>
      </c>
      <c r="G1574" s="8">
        <v>44682</v>
      </c>
      <c r="H1574" t="s">
        <v>215</v>
      </c>
      <c r="I1574" t="s">
        <v>53</v>
      </c>
      <c r="J1574" t="s">
        <v>54</v>
      </c>
      <c r="K1574" t="s">
        <v>29</v>
      </c>
      <c r="L1574" t="s">
        <v>895</v>
      </c>
      <c r="M1574" t="s">
        <v>4402</v>
      </c>
      <c r="O1574" t="s">
        <v>896</v>
      </c>
      <c r="P1574" t="s">
        <v>33</v>
      </c>
      <c r="Q1574" s="22">
        <v>1750</v>
      </c>
      <c r="R1574" t="s">
        <v>35</v>
      </c>
      <c r="S1574" t="s">
        <v>35</v>
      </c>
      <c r="T1574" t="s">
        <v>35</v>
      </c>
      <c r="U1574" t="s">
        <v>35</v>
      </c>
      <c r="V1574" t="s">
        <v>645</v>
      </c>
      <c r="W1574" t="s">
        <v>113</v>
      </c>
    </row>
    <row r="1575" spans="1:23" hidden="1" x14ac:dyDescent="0.25">
      <c r="A1575" s="7" t="str">
        <f>IFERROR(VLOOKUP(H1575,'Contas Orç'!A:B,2,0),"N/A")</f>
        <v>SERVICOS E MANUTENCAO DE VEICULOS EQ</v>
      </c>
      <c r="B1575" s="7" t="str">
        <f t="shared" si="48"/>
        <v>320301006 - SERVICOS E MANUTENCAO DE VEICULOS EQ</v>
      </c>
      <c r="C1575" s="25">
        <f t="shared" si="49"/>
        <v>44713</v>
      </c>
      <c r="D1575" s="27">
        <f>IF(K1575="CREDITO",Q1575,Q1575*-1)</f>
        <v>19343.29</v>
      </c>
      <c r="E1575" t="s">
        <v>894</v>
      </c>
      <c r="F1575" t="s">
        <v>2069</v>
      </c>
      <c r="G1575" s="8">
        <v>44713</v>
      </c>
      <c r="H1575" t="s">
        <v>215</v>
      </c>
      <c r="I1575" t="s">
        <v>27</v>
      </c>
      <c r="J1575" t="s">
        <v>28</v>
      </c>
      <c r="K1575" t="s">
        <v>29</v>
      </c>
      <c r="L1575" t="s">
        <v>895</v>
      </c>
      <c r="M1575" t="s">
        <v>4402</v>
      </c>
      <c r="O1575" t="s">
        <v>896</v>
      </c>
      <c r="P1575" t="s">
        <v>33</v>
      </c>
      <c r="Q1575" s="22">
        <v>19343.29</v>
      </c>
      <c r="R1575" t="s">
        <v>35</v>
      </c>
      <c r="S1575" t="s">
        <v>35</v>
      </c>
      <c r="T1575" t="s">
        <v>35</v>
      </c>
      <c r="U1575" t="s">
        <v>35</v>
      </c>
      <c r="V1575" t="s">
        <v>645</v>
      </c>
      <c r="W1575" t="s">
        <v>113</v>
      </c>
    </row>
    <row r="1576" spans="1:23" hidden="1" x14ac:dyDescent="0.25">
      <c r="A1576" s="7" t="str">
        <f>IFERROR(VLOOKUP(H1576,'Contas Orç'!A:B,2,0),"N/A")</f>
        <v>SERVICOS E MANUTENCAO DE VEICULOS EQ</v>
      </c>
      <c r="B1576" s="7" t="str">
        <f t="shared" si="48"/>
        <v>320301006 - SERVICOS E MANUTENCAO DE VEICULOS EQ</v>
      </c>
      <c r="C1576" s="25">
        <f t="shared" si="49"/>
        <v>44713</v>
      </c>
      <c r="D1576" s="27">
        <f>IF(K1576="CREDITO",Q1576,Q1576*-1)</f>
        <v>43740.6</v>
      </c>
      <c r="E1576" t="s">
        <v>894</v>
      </c>
      <c r="F1576" t="s">
        <v>2070</v>
      </c>
      <c r="G1576" s="8">
        <v>44713</v>
      </c>
      <c r="H1576" t="s">
        <v>215</v>
      </c>
      <c r="I1576" t="s">
        <v>59</v>
      </c>
      <c r="J1576" t="s">
        <v>60</v>
      </c>
      <c r="K1576" t="s">
        <v>29</v>
      </c>
      <c r="L1576" t="s">
        <v>895</v>
      </c>
      <c r="M1576" t="s">
        <v>4402</v>
      </c>
      <c r="O1576" t="s">
        <v>896</v>
      </c>
      <c r="P1576" t="s">
        <v>33</v>
      </c>
      <c r="Q1576" s="22">
        <v>43740.6</v>
      </c>
      <c r="R1576" t="s">
        <v>35</v>
      </c>
      <c r="S1576" t="s">
        <v>35</v>
      </c>
      <c r="T1576" t="s">
        <v>35</v>
      </c>
      <c r="U1576" t="s">
        <v>35</v>
      </c>
      <c r="V1576" t="s">
        <v>645</v>
      </c>
      <c r="W1576" t="s">
        <v>113</v>
      </c>
    </row>
    <row r="1577" spans="1:23" hidden="1" x14ac:dyDescent="0.25">
      <c r="A1577" s="7" t="str">
        <f>IFERROR(VLOOKUP(H1577,'Contas Orç'!A:B,2,0),"N/A")</f>
        <v>SERVICOS E MANUTENCAO DE VEICULOS EQ</v>
      </c>
      <c r="B1577" s="7" t="str">
        <f t="shared" si="48"/>
        <v>320301006 - SERVICOS E MANUTENCAO DE VEICULOS EQ</v>
      </c>
      <c r="C1577" s="25">
        <f t="shared" si="49"/>
        <v>44713</v>
      </c>
      <c r="D1577" s="27">
        <f>IF(K1577="CREDITO",Q1577,Q1577*-1)</f>
        <v>977.38</v>
      </c>
      <c r="E1577" t="s">
        <v>894</v>
      </c>
      <c r="F1577" t="s">
        <v>2071</v>
      </c>
      <c r="G1577" s="8">
        <v>44713</v>
      </c>
      <c r="H1577" t="s">
        <v>215</v>
      </c>
      <c r="I1577" t="s">
        <v>125</v>
      </c>
      <c r="J1577" t="s">
        <v>95</v>
      </c>
      <c r="K1577" t="s">
        <v>29</v>
      </c>
      <c r="L1577" t="s">
        <v>895</v>
      </c>
      <c r="M1577" t="s">
        <v>4402</v>
      </c>
      <c r="O1577" t="s">
        <v>896</v>
      </c>
      <c r="P1577" t="s">
        <v>33</v>
      </c>
      <c r="Q1577">
        <v>977.38</v>
      </c>
      <c r="R1577" t="s">
        <v>35</v>
      </c>
      <c r="S1577" t="s">
        <v>35</v>
      </c>
      <c r="T1577" t="s">
        <v>35</v>
      </c>
      <c r="U1577" t="s">
        <v>35</v>
      </c>
      <c r="V1577" t="s">
        <v>645</v>
      </c>
      <c r="W1577" t="s">
        <v>113</v>
      </c>
    </row>
    <row r="1578" spans="1:23" hidden="1" x14ac:dyDescent="0.25">
      <c r="A1578" s="7" t="str">
        <f>IFERROR(VLOOKUP(H1578,'Contas Orç'!A:B,2,0),"N/A")</f>
        <v>SERVICOS E MANUTENCAO DE VEICULOS EQ</v>
      </c>
      <c r="B1578" s="7" t="str">
        <f t="shared" si="48"/>
        <v>320301006 - SERVICOS E MANUTENCAO DE VEICULOS EQ</v>
      </c>
      <c r="C1578" s="25">
        <f t="shared" si="49"/>
        <v>44713</v>
      </c>
      <c r="D1578" s="27">
        <f>IF(K1578="CREDITO",Q1578,Q1578*-1)</f>
        <v>220</v>
      </c>
      <c r="E1578" t="s">
        <v>894</v>
      </c>
      <c r="F1578" t="s">
        <v>2072</v>
      </c>
      <c r="G1578" s="8">
        <v>44713</v>
      </c>
      <c r="H1578" t="s">
        <v>215</v>
      </c>
      <c r="I1578" t="s">
        <v>40</v>
      </c>
      <c r="J1578" t="s">
        <v>54</v>
      </c>
      <c r="K1578" t="s">
        <v>29</v>
      </c>
      <c r="L1578" t="s">
        <v>895</v>
      </c>
      <c r="M1578" t="s">
        <v>4402</v>
      </c>
      <c r="O1578" t="s">
        <v>896</v>
      </c>
      <c r="P1578" t="s">
        <v>33</v>
      </c>
      <c r="Q1578">
        <v>220</v>
      </c>
      <c r="R1578" t="s">
        <v>35</v>
      </c>
      <c r="S1578" t="s">
        <v>35</v>
      </c>
      <c r="T1578" t="s">
        <v>35</v>
      </c>
      <c r="U1578" t="s">
        <v>35</v>
      </c>
      <c r="V1578" t="s">
        <v>645</v>
      </c>
      <c r="W1578" t="s">
        <v>113</v>
      </c>
    </row>
    <row r="1579" spans="1:23" hidden="1" x14ac:dyDescent="0.25">
      <c r="A1579" s="7" t="str">
        <f>IFERROR(VLOOKUP(H1579,'Contas Orç'!A:B,2,0),"N/A")</f>
        <v>SERVICOS E MANUTENCAO DE VEICULOS EQ</v>
      </c>
      <c r="B1579" s="7" t="str">
        <f t="shared" si="48"/>
        <v>320301006 - SERVICOS E MANUTENCAO DE VEICULOS EQ</v>
      </c>
      <c r="C1579" s="25">
        <f t="shared" si="49"/>
        <v>44713</v>
      </c>
      <c r="D1579" s="27">
        <f>IF(K1579="CREDITO",Q1579,Q1579*-1)</f>
        <v>230</v>
      </c>
      <c r="E1579" t="s">
        <v>894</v>
      </c>
      <c r="F1579" t="s">
        <v>2073</v>
      </c>
      <c r="G1579" s="8">
        <v>44713</v>
      </c>
      <c r="H1579" t="s">
        <v>215</v>
      </c>
      <c r="I1579" t="s">
        <v>81</v>
      </c>
      <c r="J1579" t="s">
        <v>54</v>
      </c>
      <c r="K1579" t="s">
        <v>29</v>
      </c>
      <c r="L1579" t="s">
        <v>895</v>
      </c>
      <c r="M1579" t="s">
        <v>4402</v>
      </c>
      <c r="O1579" t="s">
        <v>896</v>
      </c>
      <c r="P1579" t="s">
        <v>33</v>
      </c>
      <c r="Q1579">
        <v>230</v>
      </c>
      <c r="R1579" t="s">
        <v>35</v>
      </c>
      <c r="S1579" t="s">
        <v>35</v>
      </c>
      <c r="T1579" t="s">
        <v>35</v>
      </c>
      <c r="U1579" t="s">
        <v>35</v>
      </c>
      <c r="V1579" t="s">
        <v>645</v>
      </c>
      <c r="W1579" t="s">
        <v>113</v>
      </c>
    </row>
    <row r="1580" spans="1:23" hidden="1" x14ac:dyDescent="0.25">
      <c r="A1580" s="7" t="str">
        <f>IFERROR(VLOOKUP(H1580,'Contas Orç'!A:B,2,0),"N/A")</f>
        <v>SERVICOS E MANUTENCAO DE VEICULOS EQ</v>
      </c>
      <c r="B1580" s="7" t="str">
        <f t="shared" si="48"/>
        <v>320301006 - SERVICOS E MANUTENCAO DE VEICULOS EQ</v>
      </c>
      <c r="C1580" s="25">
        <f t="shared" si="49"/>
        <v>44713</v>
      </c>
      <c r="D1580" s="27">
        <f>IF(K1580="CREDITO",Q1580,Q1580*-1)</f>
        <v>620</v>
      </c>
      <c r="E1580" t="s">
        <v>894</v>
      </c>
      <c r="F1580" t="s">
        <v>2074</v>
      </c>
      <c r="G1580" s="8">
        <v>44713</v>
      </c>
      <c r="H1580" t="s">
        <v>215</v>
      </c>
      <c r="I1580" t="s">
        <v>53</v>
      </c>
      <c r="J1580" t="s">
        <v>54</v>
      </c>
      <c r="K1580" t="s">
        <v>29</v>
      </c>
      <c r="L1580" t="s">
        <v>895</v>
      </c>
      <c r="M1580" t="s">
        <v>4402</v>
      </c>
      <c r="O1580" t="s">
        <v>896</v>
      </c>
      <c r="P1580" t="s">
        <v>33</v>
      </c>
      <c r="Q1580">
        <v>620</v>
      </c>
      <c r="R1580" t="s">
        <v>35</v>
      </c>
      <c r="S1580" t="s">
        <v>35</v>
      </c>
      <c r="T1580" t="s">
        <v>35</v>
      </c>
      <c r="U1580" t="s">
        <v>35</v>
      </c>
      <c r="V1580" t="s">
        <v>645</v>
      </c>
      <c r="W1580" t="s">
        <v>113</v>
      </c>
    </row>
    <row r="1581" spans="1:23" hidden="1" x14ac:dyDescent="0.25">
      <c r="A1581" s="7" t="str">
        <f>IFERROR(VLOOKUP(H1581,'Contas Orç'!A:B,2,0),"N/A")</f>
        <v>SERVICOS E MANUTENCAO DE VEICULOS EQ</v>
      </c>
      <c r="B1581" s="7" t="str">
        <f t="shared" si="48"/>
        <v>320301006 - SERVICOS E MANUTENCAO DE VEICULOS EQ</v>
      </c>
      <c r="C1581" s="25">
        <f t="shared" si="49"/>
        <v>44743</v>
      </c>
      <c r="D1581" s="27">
        <f>IF(K1581="CREDITO",Q1581,Q1581*-1)</f>
        <v>21093.17</v>
      </c>
      <c r="E1581" t="s">
        <v>894</v>
      </c>
      <c r="F1581" t="s">
        <v>2075</v>
      </c>
      <c r="G1581" s="8">
        <v>44743</v>
      </c>
      <c r="H1581" t="s">
        <v>215</v>
      </c>
      <c r="I1581" t="s">
        <v>27</v>
      </c>
      <c r="J1581" t="s">
        <v>28</v>
      </c>
      <c r="K1581" t="s">
        <v>29</v>
      </c>
      <c r="L1581" t="s">
        <v>895</v>
      </c>
      <c r="M1581" t="s">
        <v>4402</v>
      </c>
      <c r="O1581" t="s">
        <v>896</v>
      </c>
      <c r="P1581" t="s">
        <v>33</v>
      </c>
      <c r="Q1581" s="22">
        <v>21093.17</v>
      </c>
      <c r="R1581" t="s">
        <v>35</v>
      </c>
      <c r="S1581" t="s">
        <v>35</v>
      </c>
      <c r="T1581" t="s">
        <v>35</v>
      </c>
      <c r="U1581" t="s">
        <v>35</v>
      </c>
      <c r="V1581" t="s">
        <v>645</v>
      </c>
      <c r="W1581" t="s">
        <v>113</v>
      </c>
    </row>
    <row r="1582" spans="1:23" hidden="1" x14ac:dyDescent="0.25">
      <c r="A1582" s="7" t="str">
        <f>IFERROR(VLOOKUP(H1582,'Contas Orç'!A:B,2,0),"N/A")</f>
        <v>SERVICOS E MANUTENCAO DE VEICULOS EQ</v>
      </c>
      <c r="B1582" s="7" t="str">
        <f t="shared" si="48"/>
        <v>320301006 - SERVICOS E MANUTENCAO DE VEICULOS EQ</v>
      </c>
      <c r="C1582" s="25">
        <f t="shared" si="49"/>
        <v>44743</v>
      </c>
      <c r="D1582" s="27">
        <f>IF(K1582="CREDITO",Q1582,Q1582*-1)</f>
        <v>96342.1</v>
      </c>
      <c r="E1582" t="s">
        <v>894</v>
      </c>
      <c r="F1582" t="s">
        <v>2076</v>
      </c>
      <c r="G1582" s="8">
        <v>44743</v>
      </c>
      <c r="H1582" t="s">
        <v>215</v>
      </c>
      <c r="I1582" t="s">
        <v>59</v>
      </c>
      <c r="J1582" t="s">
        <v>60</v>
      </c>
      <c r="K1582" t="s">
        <v>29</v>
      </c>
      <c r="L1582" t="s">
        <v>895</v>
      </c>
      <c r="M1582" t="s">
        <v>4402</v>
      </c>
      <c r="O1582" t="s">
        <v>896</v>
      </c>
      <c r="P1582" t="s">
        <v>33</v>
      </c>
      <c r="Q1582" s="22">
        <v>96342.1</v>
      </c>
      <c r="R1582" t="s">
        <v>35</v>
      </c>
      <c r="S1582" t="s">
        <v>35</v>
      </c>
      <c r="T1582" t="s">
        <v>35</v>
      </c>
      <c r="U1582" t="s">
        <v>35</v>
      </c>
      <c r="V1582" t="s">
        <v>645</v>
      </c>
      <c r="W1582" t="s">
        <v>113</v>
      </c>
    </row>
    <row r="1583" spans="1:23" hidden="1" x14ac:dyDescent="0.25">
      <c r="A1583" s="7" t="str">
        <f>IFERROR(VLOOKUP(H1583,'Contas Orç'!A:B,2,0),"N/A")</f>
        <v>SERVICOS E MANUTENCAO DE VEICULOS EQ</v>
      </c>
      <c r="B1583" s="7" t="str">
        <f t="shared" si="48"/>
        <v>320301006 - SERVICOS E MANUTENCAO DE VEICULOS EQ</v>
      </c>
      <c r="C1583" s="25">
        <f t="shared" si="49"/>
        <v>44743</v>
      </c>
      <c r="D1583" s="27">
        <f>IF(K1583="CREDITO",Q1583,Q1583*-1)</f>
        <v>72600</v>
      </c>
      <c r="E1583" t="s">
        <v>894</v>
      </c>
      <c r="F1583" t="s">
        <v>2077</v>
      </c>
      <c r="G1583" s="8">
        <v>44743</v>
      </c>
      <c r="H1583" t="s">
        <v>215</v>
      </c>
      <c r="I1583" t="s">
        <v>125</v>
      </c>
      <c r="J1583" t="s">
        <v>95</v>
      </c>
      <c r="K1583" t="s">
        <v>29</v>
      </c>
      <c r="L1583" t="s">
        <v>895</v>
      </c>
      <c r="M1583" t="s">
        <v>4402</v>
      </c>
      <c r="O1583" t="s">
        <v>896</v>
      </c>
      <c r="P1583" t="s">
        <v>33</v>
      </c>
      <c r="Q1583" s="22">
        <v>72600</v>
      </c>
      <c r="R1583" t="s">
        <v>35</v>
      </c>
      <c r="S1583" t="s">
        <v>35</v>
      </c>
      <c r="T1583" t="s">
        <v>35</v>
      </c>
      <c r="U1583" t="s">
        <v>35</v>
      </c>
      <c r="V1583" t="s">
        <v>645</v>
      </c>
      <c r="W1583" t="s">
        <v>113</v>
      </c>
    </row>
    <row r="1584" spans="1:23" hidden="1" x14ac:dyDescent="0.25">
      <c r="A1584" s="7" t="str">
        <f>IFERROR(VLOOKUP(H1584,'Contas Orç'!A:B,2,0),"N/A")</f>
        <v>SERVICOS E MANUTENCAO DE VEICULOS EQ</v>
      </c>
      <c r="B1584" s="7" t="str">
        <f t="shared" si="48"/>
        <v>320301006 - SERVICOS E MANUTENCAO DE VEICULOS EQ</v>
      </c>
      <c r="C1584" s="25">
        <f t="shared" si="49"/>
        <v>44743</v>
      </c>
      <c r="D1584" s="27">
        <f>IF(K1584="CREDITO",Q1584,Q1584*-1)</f>
        <v>1200</v>
      </c>
      <c r="E1584" t="s">
        <v>894</v>
      </c>
      <c r="F1584" t="s">
        <v>2078</v>
      </c>
      <c r="G1584" s="8">
        <v>44743</v>
      </c>
      <c r="H1584" t="s">
        <v>215</v>
      </c>
      <c r="I1584" t="s">
        <v>68</v>
      </c>
      <c r="J1584" t="s">
        <v>69</v>
      </c>
      <c r="K1584" t="s">
        <v>29</v>
      </c>
      <c r="L1584" t="s">
        <v>895</v>
      </c>
      <c r="M1584" t="s">
        <v>4402</v>
      </c>
      <c r="O1584" t="s">
        <v>896</v>
      </c>
      <c r="P1584" t="s">
        <v>33</v>
      </c>
      <c r="Q1584" s="22">
        <v>1200</v>
      </c>
      <c r="R1584" t="s">
        <v>35</v>
      </c>
      <c r="S1584" t="s">
        <v>35</v>
      </c>
      <c r="T1584" t="s">
        <v>35</v>
      </c>
      <c r="U1584" t="s">
        <v>35</v>
      </c>
      <c r="V1584" t="s">
        <v>645</v>
      </c>
      <c r="W1584" t="s">
        <v>113</v>
      </c>
    </row>
    <row r="1585" spans="1:23" hidden="1" x14ac:dyDescent="0.25">
      <c r="A1585" s="7" t="str">
        <f>IFERROR(VLOOKUP(H1585,'Contas Orç'!A:B,2,0),"N/A")</f>
        <v>SERVICOS E MANUTENCAO DE VEICULOS EQ</v>
      </c>
      <c r="B1585" s="7" t="str">
        <f t="shared" si="48"/>
        <v>320301006 - SERVICOS E MANUTENCAO DE VEICULOS EQ</v>
      </c>
      <c r="C1585" s="25">
        <f t="shared" si="49"/>
        <v>44743</v>
      </c>
      <c r="D1585" s="27">
        <f>IF(K1585="CREDITO",Q1585,Q1585*-1)</f>
        <v>548</v>
      </c>
      <c r="E1585" t="s">
        <v>894</v>
      </c>
      <c r="F1585" t="s">
        <v>2079</v>
      </c>
      <c r="G1585" s="8">
        <v>44743</v>
      </c>
      <c r="H1585" t="s">
        <v>215</v>
      </c>
      <c r="I1585" t="s">
        <v>40</v>
      </c>
      <c r="J1585" t="s">
        <v>54</v>
      </c>
      <c r="K1585" t="s">
        <v>29</v>
      </c>
      <c r="L1585" t="s">
        <v>895</v>
      </c>
      <c r="M1585" t="s">
        <v>4402</v>
      </c>
      <c r="O1585" t="s">
        <v>896</v>
      </c>
      <c r="P1585" t="s">
        <v>33</v>
      </c>
      <c r="Q1585">
        <v>548</v>
      </c>
      <c r="R1585" t="s">
        <v>35</v>
      </c>
      <c r="S1585" t="s">
        <v>35</v>
      </c>
      <c r="T1585" t="s">
        <v>35</v>
      </c>
      <c r="U1585" t="s">
        <v>35</v>
      </c>
      <c r="V1585" t="s">
        <v>645</v>
      </c>
      <c r="W1585" t="s">
        <v>113</v>
      </c>
    </row>
    <row r="1586" spans="1:23" hidden="1" x14ac:dyDescent="0.25">
      <c r="A1586" s="7" t="str">
        <f>IFERROR(VLOOKUP(H1586,'Contas Orç'!A:B,2,0),"N/A")</f>
        <v>SERVICOS E MANUTENCAO DE VEICULOS EQ</v>
      </c>
      <c r="B1586" s="7" t="str">
        <f t="shared" si="48"/>
        <v>320301006 - SERVICOS E MANUTENCAO DE VEICULOS EQ</v>
      </c>
      <c r="C1586" s="25">
        <f t="shared" si="49"/>
        <v>44743</v>
      </c>
      <c r="D1586" s="27">
        <f>IF(K1586="CREDITO",Q1586,Q1586*-1)</f>
        <v>270</v>
      </c>
      <c r="E1586" t="s">
        <v>894</v>
      </c>
      <c r="F1586" t="s">
        <v>2080</v>
      </c>
      <c r="G1586" s="8">
        <v>44743</v>
      </c>
      <c r="H1586" t="s">
        <v>215</v>
      </c>
      <c r="I1586" t="s">
        <v>132</v>
      </c>
      <c r="J1586" t="s">
        <v>54</v>
      </c>
      <c r="K1586" t="s">
        <v>29</v>
      </c>
      <c r="L1586" t="s">
        <v>895</v>
      </c>
      <c r="M1586" t="s">
        <v>4402</v>
      </c>
      <c r="O1586" t="s">
        <v>896</v>
      </c>
      <c r="P1586" t="s">
        <v>33</v>
      </c>
      <c r="Q1586">
        <v>270</v>
      </c>
      <c r="R1586" t="s">
        <v>35</v>
      </c>
      <c r="S1586" t="s">
        <v>35</v>
      </c>
      <c r="T1586" t="s">
        <v>35</v>
      </c>
      <c r="U1586" t="s">
        <v>35</v>
      </c>
      <c r="V1586" t="s">
        <v>645</v>
      </c>
      <c r="W1586" t="s">
        <v>113</v>
      </c>
    </row>
    <row r="1587" spans="1:23" hidden="1" x14ac:dyDescent="0.25">
      <c r="A1587" s="7" t="str">
        <f>IFERROR(VLOOKUP(H1587,'Contas Orç'!A:B,2,0),"N/A")</f>
        <v>SERVICOS E MANUTENCAO DE VEICULOS EQ</v>
      </c>
      <c r="B1587" s="7" t="str">
        <f t="shared" si="48"/>
        <v>320301006 - SERVICOS E MANUTENCAO DE VEICULOS EQ</v>
      </c>
      <c r="C1587" s="25">
        <f t="shared" si="49"/>
        <v>44743</v>
      </c>
      <c r="D1587" s="27">
        <f>IF(K1587="CREDITO",Q1587,Q1587*-1)</f>
        <v>480</v>
      </c>
      <c r="E1587" t="s">
        <v>894</v>
      </c>
      <c r="F1587" t="s">
        <v>2081</v>
      </c>
      <c r="G1587" s="8">
        <v>44743</v>
      </c>
      <c r="H1587" t="s">
        <v>215</v>
      </c>
      <c r="I1587" t="s">
        <v>75</v>
      </c>
      <c r="J1587" t="s">
        <v>54</v>
      </c>
      <c r="K1587" t="s">
        <v>29</v>
      </c>
      <c r="L1587" t="s">
        <v>895</v>
      </c>
      <c r="M1587" t="s">
        <v>4402</v>
      </c>
      <c r="O1587" t="s">
        <v>896</v>
      </c>
      <c r="P1587" t="s">
        <v>33</v>
      </c>
      <c r="Q1587">
        <v>480</v>
      </c>
      <c r="R1587" t="s">
        <v>35</v>
      </c>
      <c r="S1587" t="s">
        <v>35</v>
      </c>
      <c r="T1587" t="s">
        <v>35</v>
      </c>
      <c r="U1587" t="s">
        <v>35</v>
      </c>
      <c r="V1587" t="s">
        <v>645</v>
      </c>
      <c r="W1587" t="s">
        <v>113</v>
      </c>
    </row>
    <row r="1588" spans="1:23" hidden="1" x14ac:dyDescent="0.25">
      <c r="A1588" s="7" t="str">
        <f>IFERROR(VLOOKUP(H1588,'Contas Orç'!A:B,2,0),"N/A")</f>
        <v>SERVICOS E MANUTENCAO DE VEICULOS EQ</v>
      </c>
      <c r="B1588" s="7" t="str">
        <f t="shared" si="48"/>
        <v>320301006 - SERVICOS E MANUTENCAO DE VEICULOS EQ</v>
      </c>
      <c r="C1588" s="25">
        <f t="shared" si="49"/>
        <v>44743</v>
      </c>
      <c r="D1588" s="27">
        <f>IF(K1588="CREDITO",Q1588,Q1588*-1)</f>
        <v>14005.96</v>
      </c>
      <c r="E1588" t="s">
        <v>894</v>
      </c>
      <c r="F1588" t="s">
        <v>2082</v>
      </c>
      <c r="G1588" s="8">
        <v>44743</v>
      </c>
      <c r="H1588" t="s">
        <v>215</v>
      </c>
      <c r="I1588" t="s">
        <v>81</v>
      </c>
      <c r="J1588" t="s">
        <v>54</v>
      </c>
      <c r="K1588" t="s">
        <v>29</v>
      </c>
      <c r="L1588" t="s">
        <v>895</v>
      </c>
      <c r="M1588" t="s">
        <v>4402</v>
      </c>
      <c r="O1588" t="s">
        <v>896</v>
      </c>
      <c r="P1588" t="s">
        <v>33</v>
      </c>
      <c r="Q1588" s="22">
        <v>14005.96</v>
      </c>
      <c r="R1588" t="s">
        <v>35</v>
      </c>
      <c r="S1588" t="s">
        <v>35</v>
      </c>
      <c r="T1588" t="s">
        <v>35</v>
      </c>
      <c r="U1588" t="s">
        <v>35</v>
      </c>
      <c r="V1588" t="s">
        <v>645</v>
      </c>
      <c r="W1588" t="s">
        <v>113</v>
      </c>
    </row>
    <row r="1589" spans="1:23" hidden="1" x14ac:dyDescent="0.25">
      <c r="A1589" s="7" t="str">
        <f>IFERROR(VLOOKUP(H1589,'Contas Orç'!A:B,2,0),"N/A")</f>
        <v>SERVICOS E MANUTENCAO DE VEICULOS EQ</v>
      </c>
      <c r="B1589" s="7" t="str">
        <f t="shared" si="48"/>
        <v>320301006 - SERVICOS E MANUTENCAO DE VEICULOS EQ</v>
      </c>
      <c r="C1589" s="25">
        <f t="shared" si="49"/>
        <v>44743</v>
      </c>
      <c r="D1589" s="27">
        <f>IF(K1589="CREDITO",Q1589,Q1589*-1)</f>
        <v>1061.48</v>
      </c>
      <c r="E1589" t="s">
        <v>894</v>
      </c>
      <c r="F1589" t="s">
        <v>2083</v>
      </c>
      <c r="G1589" s="8">
        <v>44743</v>
      </c>
      <c r="H1589" t="s">
        <v>215</v>
      </c>
      <c r="I1589" t="s">
        <v>53</v>
      </c>
      <c r="J1589" t="s">
        <v>54</v>
      </c>
      <c r="K1589" t="s">
        <v>29</v>
      </c>
      <c r="L1589" t="s">
        <v>895</v>
      </c>
      <c r="M1589" t="s">
        <v>4402</v>
      </c>
      <c r="O1589" t="s">
        <v>896</v>
      </c>
      <c r="P1589" t="s">
        <v>33</v>
      </c>
      <c r="Q1589" s="22">
        <v>1061.48</v>
      </c>
      <c r="R1589" t="s">
        <v>35</v>
      </c>
      <c r="S1589" t="s">
        <v>35</v>
      </c>
      <c r="T1589" t="s">
        <v>35</v>
      </c>
      <c r="U1589" t="s">
        <v>35</v>
      </c>
      <c r="V1589" t="s">
        <v>645</v>
      </c>
      <c r="W1589" t="s">
        <v>113</v>
      </c>
    </row>
    <row r="1590" spans="1:23" hidden="1" x14ac:dyDescent="0.25">
      <c r="A1590" s="7" t="str">
        <f>IFERROR(VLOOKUP(H1590,'Contas Orç'!A:B,2,0),"N/A")</f>
        <v>SERVICOS E MANUTENCAO DE VEICULOS EQ</v>
      </c>
      <c r="B1590" s="7" t="str">
        <f t="shared" si="48"/>
        <v>320301006 - SERVICOS E MANUTENCAO DE VEICULOS EQ</v>
      </c>
      <c r="C1590" s="25">
        <f t="shared" si="49"/>
        <v>44774</v>
      </c>
      <c r="D1590" s="27">
        <f>IF(K1590="CREDITO",Q1590,Q1590*-1)</f>
        <v>2181</v>
      </c>
      <c r="E1590" t="s">
        <v>894</v>
      </c>
      <c r="F1590" t="s">
        <v>2084</v>
      </c>
      <c r="G1590" s="8">
        <v>44774</v>
      </c>
      <c r="H1590" t="s">
        <v>215</v>
      </c>
      <c r="I1590" t="s">
        <v>53</v>
      </c>
      <c r="J1590" t="s">
        <v>28</v>
      </c>
      <c r="K1590" t="s">
        <v>29</v>
      </c>
      <c r="L1590" t="s">
        <v>895</v>
      </c>
      <c r="M1590" t="s">
        <v>4402</v>
      </c>
      <c r="O1590" t="s">
        <v>896</v>
      </c>
      <c r="P1590" t="s">
        <v>33</v>
      </c>
      <c r="Q1590" s="22">
        <v>2181</v>
      </c>
      <c r="R1590" t="s">
        <v>35</v>
      </c>
      <c r="S1590" t="s">
        <v>35</v>
      </c>
      <c r="T1590" t="s">
        <v>35</v>
      </c>
      <c r="U1590" t="s">
        <v>35</v>
      </c>
      <c r="V1590" t="s">
        <v>645</v>
      </c>
      <c r="W1590" t="s">
        <v>113</v>
      </c>
    </row>
    <row r="1591" spans="1:23" hidden="1" x14ac:dyDescent="0.25">
      <c r="A1591" s="7" t="str">
        <f>IFERROR(VLOOKUP(H1591,'Contas Orç'!A:B,2,0),"N/A")</f>
        <v>SERVICOS E MANUTENCAO DE VEICULOS EQ</v>
      </c>
      <c r="B1591" s="7" t="str">
        <f t="shared" si="48"/>
        <v>320301006 - SERVICOS E MANUTENCAO DE VEICULOS EQ</v>
      </c>
      <c r="C1591" s="25">
        <f t="shared" si="49"/>
        <v>44774</v>
      </c>
      <c r="D1591" s="27">
        <f>IF(K1591="CREDITO",Q1591,Q1591*-1)</f>
        <v>29144.94</v>
      </c>
      <c r="E1591" t="s">
        <v>894</v>
      </c>
      <c r="F1591" t="s">
        <v>2085</v>
      </c>
      <c r="G1591" s="8">
        <v>44774</v>
      </c>
      <c r="H1591" t="s">
        <v>215</v>
      </c>
      <c r="I1591" t="s">
        <v>27</v>
      </c>
      <c r="J1591" t="s">
        <v>28</v>
      </c>
      <c r="K1591" t="s">
        <v>29</v>
      </c>
      <c r="L1591" t="s">
        <v>895</v>
      </c>
      <c r="M1591" t="s">
        <v>4402</v>
      </c>
      <c r="O1591" t="s">
        <v>896</v>
      </c>
      <c r="P1591" t="s">
        <v>33</v>
      </c>
      <c r="Q1591" s="22">
        <v>29144.94</v>
      </c>
      <c r="R1591" t="s">
        <v>35</v>
      </c>
      <c r="S1591" t="s">
        <v>35</v>
      </c>
      <c r="T1591" t="s">
        <v>35</v>
      </c>
      <c r="U1591" t="s">
        <v>35</v>
      </c>
      <c r="V1591" t="s">
        <v>645</v>
      </c>
      <c r="W1591" t="s">
        <v>113</v>
      </c>
    </row>
    <row r="1592" spans="1:23" hidden="1" x14ac:dyDescent="0.25">
      <c r="A1592" s="7" t="str">
        <f>IFERROR(VLOOKUP(H1592,'Contas Orç'!A:B,2,0),"N/A")</f>
        <v>SERVICOS E MANUTENCAO DE VEICULOS EQ</v>
      </c>
      <c r="B1592" s="7" t="str">
        <f t="shared" si="48"/>
        <v>320301006 - SERVICOS E MANUTENCAO DE VEICULOS EQ</v>
      </c>
      <c r="C1592" s="25">
        <f t="shared" si="49"/>
        <v>44774</v>
      </c>
      <c r="D1592" s="27">
        <f>IF(K1592="CREDITO",Q1592,Q1592*-1)</f>
        <v>41720.370000000003</v>
      </c>
      <c r="E1592" t="s">
        <v>894</v>
      </c>
      <c r="F1592" t="s">
        <v>2086</v>
      </c>
      <c r="G1592" s="8">
        <v>44774</v>
      </c>
      <c r="H1592" t="s">
        <v>215</v>
      </c>
      <c r="I1592" t="s">
        <v>59</v>
      </c>
      <c r="J1592" t="s">
        <v>60</v>
      </c>
      <c r="K1592" t="s">
        <v>29</v>
      </c>
      <c r="L1592" t="s">
        <v>895</v>
      </c>
      <c r="M1592" t="s">
        <v>4402</v>
      </c>
      <c r="O1592" t="s">
        <v>896</v>
      </c>
      <c r="P1592" t="s">
        <v>33</v>
      </c>
      <c r="Q1592" s="22">
        <v>41720.370000000003</v>
      </c>
      <c r="R1592" t="s">
        <v>35</v>
      </c>
      <c r="S1592" t="s">
        <v>35</v>
      </c>
      <c r="T1592" t="s">
        <v>35</v>
      </c>
      <c r="U1592" t="s">
        <v>35</v>
      </c>
      <c r="V1592" t="s">
        <v>645</v>
      </c>
      <c r="W1592" t="s">
        <v>113</v>
      </c>
    </row>
    <row r="1593" spans="1:23" hidden="1" x14ac:dyDescent="0.25">
      <c r="A1593" s="7" t="str">
        <f>IFERROR(VLOOKUP(H1593,'Contas Orç'!A:B,2,0),"N/A")</f>
        <v>SERVICOS E MANUTENCAO DE VEICULOS EQ</v>
      </c>
      <c r="B1593" s="7" t="str">
        <f t="shared" si="48"/>
        <v>320301006 - SERVICOS E MANUTENCAO DE VEICULOS EQ</v>
      </c>
      <c r="C1593" s="25">
        <f t="shared" si="49"/>
        <v>44774</v>
      </c>
      <c r="D1593" s="27">
        <f>IF(K1593="CREDITO",Q1593,Q1593*-1)</f>
        <v>1479.24</v>
      </c>
      <c r="E1593" t="s">
        <v>894</v>
      </c>
      <c r="F1593" t="s">
        <v>2087</v>
      </c>
      <c r="G1593" s="8">
        <v>44774</v>
      </c>
      <c r="H1593" t="s">
        <v>215</v>
      </c>
      <c r="I1593" t="s">
        <v>59</v>
      </c>
      <c r="J1593" t="s">
        <v>107</v>
      </c>
      <c r="K1593" t="s">
        <v>29</v>
      </c>
      <c r="L1593" t="s">
        <v>895</v>
      </c>
      <c r="M1593" t="s">
        <v>4402</v>
      </c>
      <c r="O1593" t="s">
        <v>896</v>
      </c>
      <c r="P1593" t="s">
        <v>33</v>
      </c>
      <c r="Q1593" s="22">
        <v>1479.24</v>
      </c>
      <c r="R1593" t="s">
        <v>35</v>
      </c>
      <c r="S1593" t="s">
        <v>35</v>
      </c>
      <c r="T1593" t="s">
        <v>35</v>
      </c>
      <c r="U1593" t="s">
        <v>35</v>
      </c>
      <c r="V1593" t="s">
        <v>645</v>
      </c>
      <c r="W1593" t="s">
        <v>113</v>
      </c>
    </row>
    <row r="1594" spans="1:23" hidden="1" x14ac:dyDescent="0.25">
      <c r="A1594" s="7" t="str">
        <f>IFERROR(VLOOKUP(H1594,'Contas Orç'!A:B,2,0),"N/A")</f>
        <v>SERVICOS E MANUTENCAO DE VEICULOS EQ</v>
      </c>
      <c r="B1594" s="7" t="str">
        <f t="shared" si="48"/>
        <v>320301006 - SERVICOS E MANUTENCAO DE VEICULOS EQ</v>
      </c>
      <c r="C1594" s="25">
        <f t="shared" si="49"/>
        <v>44774</v>
      </c>
      <c r="D1594" s="27">
        <f>IF(K1594="CREDITO",Q1594,Q1594*-1)</f>
        <v>7888.09</v>
      </c>
      <c r="E1594" t="s">
        <v>894</v>
      </c>
      <c r="F1594" t="s">
        <v>2088</v>
      </c>
      <c r="G1594" s="8">
        <v>44774</v>
      </c>
      <c r="H1594" t="s">
        <v>215</v>
      </c>
      <c r="I1594" t="s">
        <v>125</v>
      </c>
      <c r="J1594" t="s">
        <v>95</v>
      </c>
      <c r="K1594" t="s">
        <v>29</v>
      </c>
      <c r="L1594" t="s">
        <v>895</v>
      </c>
      <c r="M1594" t="s">
        <v>4402</v>
      </c>
      <c r="O1594" t="s">
        <v>896</v>
      </c>
      <c r="P1594" t="s">
        <v>33</v>
      </c>
      <c r="Q1594" s="22">
        <v>7888.09</v>
      </c>
      <c r="R1594" t="s">
        <v>35</v>
      </c>
      <c r="S1594" t="s">
        <v>35</v>
      </c>
      <c r="T1594" t="s">
        <v>35</v>
      </c>
      <c r="U1594" t="s">
        <v>35</v>
      </c>
      <c r="V1594" t="s">
        <v>645</v>
      </c>
      <c r="W1594" t="s">
        <v>113</v>
      </c>
    </row>
    <row r="1595" spans="1:23" hidden="1" x14ac:dyDescent="0.25">
      <c r="A1595" s="7" t="str">
        <f>IFERROR(VLOOKUP(H1595,'Contas Orç'!A:B,2,0),"N/A")</f>
        <v>SERVICOS E MANUTENCAO DE VEICULOS EQ</v>
      </c>
      <c r="B1595" s="7" t="str">
        <f t="shared" si="48"/>
        <v>320301006 - SERVICOS E MANUTENCAO DE VEICULOS EQ</v>
      </c>
      <c r="C1595" s="25">
        <f t="shared" si="49"/>
        <v>44774</v>
      </c>
      <c r="D1595" s="27">
        <f>IF(K1595="CREDITO",Q1595,Q1595*-1)</f>
        <v>320</v>
      </c>
      <c r="E1595" t="s">
        <v>894</v>
      </c>
      <c r="F1595" t="s">
        <v>2089</v>
      </c>
      <c r="G1595" s="8">
        <v>44774</v>
      </c>
      <c r="H1595" t="s">
        <v>215</v>
      </c>
      <c r="I1595" t="s">
        <v>2062</v>
      </c>
      <c r="J1595" t="s">
        <v>54</v>
      </c>
      <c r="K1595" t="s">
        <v>29</v>
      </c>
      <c r="L1595" t="s">
        <v>895</v>
      </c>
      <c r="M1595" t="s">
        <v>4402</v>
      </c>
      <c r="O1595" t="s">
        <v>896</v>
      </c>
      <c r="P1595" t="s">
        <v>33</v>
      </c>
      <c r="Q1595">
        <v>320</v>
      </c>
      <c r="R1595" t="s">
        <v>35</v>
      </c>
      <c r="S1595" t="s">
        <v>35</v>
      </c>
      <c r="T1595" t="s">
        <v>35</v>
      </c>
      <c r="U1595" t="s">
        <v>35</v>
      </c>
      <c r="V1595" t="s">
        <v>645</v>
      </c>
      <c r="W1595" t="s">
        <v>113</v>
      </c>
    </row>
    <row r="1596" spans="1:23" hidden="1" x14ac:dyDescent="0.25">
      <c r="A1596" s="7" t="str">
        <f>IFERROR(VLOOKUP(H1596,'Contas Orç'!A:B,2,0),"N/A")</f>
        <v>SERVICOS E MANUTENCAO DE VEICULOS EQ</v>
      </c>
      <c r="B1596" s="7" t="str">
        <f t="shared" si="48"/>
        <v>320301006 - SERVICOS E MANUTENCAO DE VEICULOS EQ</v>
      </c>
      <c r="C1596" s="25">
        <f t="shared" si="49"/>
        <v>44774</v>
      </c>
      <c r="D1596" s="27">
        <f>IF(K1596="CREDITO",Q1596,Q1596*-1)</f>
        <v>673</v>
      </c>
      <c r="E1596" t="s">
        <v>894</v>
      </c>
      <c r="F1596" t="s">
        <v>2090</v>
      </c>
      <c r="G1596" s="8">
        <v>44774</v>
      </c>
      <c r="H1596" t="s">
        <v>215</v>
      </c>
      <c r="I1596" t="s">
        <v>40</v>
      </c>
      <c r="J1596" t="s">
        <v>54</v>
      </c>
      <c r="K1596" t="s">
        <v>29</v>
      </c>
      <c r="L1596" t="s">
        <v>895</v>
      </c>
      <c r="M1596" t="s">
        <v>4402</v>
      </c>
      <c r="O1596" t="s">
        <v>896</v>
      </c>
      <c r="P1596" t="s">
        <v>33</v>
      </c>
      <c r="Q1596">
        <v>673</v>
      </c>
      <c r="R1596" t="s">
        <v>35</v>
      </c>
      <c r="S1596" t="s">
        <v>35</v>
      </c>
      <c r="T1596" t="s">
        <v>35</v>
      </c>
      <c r="U1596" t="s">
        <v>35</v>
      </c>
      <c r="V1596" t="s">
        <v>645</v>
      </c>
      <c r="W1596" t="s">
        <v>113</v>
      </c>
    </row>
    <row r="1597" spans="1:23" hidden="1" x14ac:dyDescent="0.25">
      <c r="A1597" s="7" t="str">
        <f>IFERROR(VLOOKUP(H1597,'Contas Orç'!A:B,2,0),"N/A")</f>
        <v>SERVICOS E MANUTENCAO DE VEICULOS EQ</v>
      </c>
      <c r="B1597" s="7" t="str">
        <f t="shared" si="48"/>
        <v>320301006 - SERVICOS E MANUTENCAO DE VEICULOS EQ</v>
      </c>
      <c r="C1597" s="25">
        <f t="shared" si="49"/>
        <v>44774</v>
      </c>
      <c r="D1597" s="27">
        <f>IF(K1597="CREDITO",Q1597,Q1597*-1)</f>
        <v>930</v>
      </c>
      <c r="E1597" t="s">
        <v>894</v>
      </c>
      <c r="F1597" t="s">
        <v>2091</v>
      </c>
      <c r="G1597" s="8">
        <v>44774</v>
      </c>
      <c r="H1597" t="s">
        <v>215</v>
      </c>
      <c r="I1597" t="s">
        <v>53</v>
      </c>
      <c r="J1597" t="s">
        <v>54</v>
      </c>
      <c r="K1597" t="s">
        <v>29</v>
      </c>
      <c r="L1597" t="s">
        <v>895</v>
      </c>
      <c r="M1597" t="s">
        <v>4402</v>
      </c>
      <c r="O1597" t="s">
        <v>896</v>
      </c>
      <c r="P1597" t="s">
        <v>33</v>
      </c>
      <c r="Q1597">
        <v>930</v>
      </c>
      <c r="R1597" t="s">
        <v>35</v>
      </c>
      <c r="S1597" t="s">
        <v>35</v>
      </c>
      <c r="T1597" t="s">
        <v>35</v>
      </c>
      <c r="U1597" t="s">
        <v>35</v>
      </c>
      <c r="V1597" t="s">
        <v>645</v>
      </c>
      <c r="W1597" t="s">
        <v>113</v>
      </c>
    </row>
    <row r="1598" spans="1:23" hidden="1" x14ac:dyDescent="0.25">
      <c r="A1598" s="7" t="str">
        <f>IFERROR(VLOOKUP(H1598,'Contas Orç'!A:B,2,0),"N/A")</f>
        <v>SERVICOS E MANUTENCAO DE VEICULOS EQ</v>
      </c>
      <c r="B1598" s="7" t="str">
        <f t="shared" si="48"/>
        <v>320301006 - SERVICOS E MANUTENCAO DE VEICULOS EQ</v>
      </c>
      <c r="C1598" s="25">
        <f t="shared" si="49"/>
        <v>44805</v>
      </c>
      <c r="D1598" s="27">
        <f>IF(K1598="CREDITO",Q1598,Q1598*-1)</f>
        <v>32861.4</v>
      </c>
      <c r="E1598" t="s">
        <v>894</v>
      </c>
      <c r="F1598" t="s">
        <v>2092</v>
      </c>
      <c r="G1598" s="8">
        <v>44805</v>
      </c>
      <c r="H1598" t="s">
        <v>215</v>
      </c>
      <c r="I1598" t="s">
        <v>27</v>
      </c>
      <c r="J1598" t="s">
        <v>28</v>
      </c>
      <c r="K1598" t="s">
        <v>29</v>
      </c>
      <c r="L1598" t="s">
        <v>895</v>
      </c>
      <c r="M1598" t="s">
        <v>4402</v>
      </c>
      <c r="O1598" t="s">
        <v>896</v>
      </c>
      <c r="P1598" t="s">
        <v>33</v>
      </c>
      <c r="Q1598" s="22">
        <v>32861.4</v>
      </c>
      <c r="R1598" t="s">
        <v>35</v>
      </c>
      <c r="S1598" t="s">
        <v>35</v>
      </c>
      <c r="T1598" t="s">
        <v>35</v>
      </c>
      <c r="U1598" t="s">
        <v>35</v>
      </c>
      <c r="V1598" t="s">
        <v>645</v>
      </c>
      <c r="W1598" t="s">
        <v>113</v>
      </c>
    </row>
    <row r="1599" spans="1:23" hidden="1" x14ac:dyDescent="0.25">
      <c r="A1599" s="7" t="str">
        <f>IFERROR(VLOOKUP(H1599,'Contas Orç'!A:B,2,0),"N/A")</f>
        <v>SERVICOS E MANUTENCAO DE VEICULOS EQ</v>
      </c>
      <c r="B1599" s="7" t="str">
        <f t="shared" si="48"/>
        <v>320301006 - SERVICOS E MANUTENCAO DE VEICULOS EQ</v>
      </c>
      <c r="C1599" s="25">
        <f t="shared" si="49"/>
        <v>44805</v>
      </c>
      <c r="D1599" s="27">
        <f>IF(K1599="CREDITO",Q1599,Q1599*-1)</f>
        <v>1687.95</v>
      </c>
      <c r="E1599" t="s">
        <v>894</v>
      </c>
      <c r="F1599" t="s">
        <v>2093</v>
      </c>
      <c r="G1599" s="8">
        <v>44805</v>
      </c>
      <c r="H1599" t="s">
        <v>215</v>
      </c>
      <c r="I1599" t="s">
        <v>59</v>
      </c>
      <c r="J1599" t="s">
        <v>28</v>
      </c>
      <c r="K1599" t="s">
        <v>29</v>
      </c>
      <c r="L1599" t="s">
        <v>895</v>
      </c>
      <c r="M1599" t="s">
        <v>4402</v>
      </c>
      <c r="O1599" t="s">
        <v>896</v>
      </c>
      <c r="P1599" t="s">
        <v>33</v>
      </c>
      <c r="Q1599" s="22">
        <v>1687.95</v>
      </c>
      <c r="R1599" t="s">
        <v>35</v>
      </c>
      <c r="S1599" t="s">
        <v>35</v>
      </c>
      <c r="T1599" t="s">
        <v>35</v>
      </c>
      <c r="U1599" t="s">
        <v>35</v>
      </c>
      <c r="V1599" t="s">
        <v>645</v>
      </c>
      <c r="W1599" t="s">
        <v>113</v>
      </c>
    </row>
    <row r="1600" spans="1:23" hidden="1" x14ac:dyDescent="0.25">
      <c r="A1600" s="7" t="str">
        <f>IFERROR(VLOOKUP(H1600,'Contas Orç'!A:B,2,0),"N/A")</f>
        <v>SERVICOS E MANUTENCAO DE VEICULOS EQ</v>
      </c>
      <c r="B1600" s="7" t="str">
        <f t="shared" si="48"/>
        <v>320301006 - SERVICOS E MANUTENCAO DE VEICULOS EQ</v>
      </c>
      <c r="C1600" s="25">
        <f t="shared" si="49"/>
        <v>44805</v>
      </c>
      <c r="D1600" s="27">
        <f>IF(K1600="CREDITO",Q1600,Q1600*-1)</f>
        <v>2522.85</v>
      </c>
      <c r="E1600" t="s">
        <v>894</v>
      </c>
      <c r="F1600" t="s">
        <v>2094</v>
      </c>
      <c r="G1600" s="8">
        <v>44805</v>
      </c>
      <c r="H1600" t="s">
        <v>215</v>
      </c>
      <c r="I1600" t="s">
        <v>106</v>
      </c>
      <c r="J1600" t="s">
        <v>60</v>
      </c>
      <c r="K1600" t="s">
        <v>29</v>
      </c>
      <c r="L1600" t="s">
        <v>895</v>
      </c>
      <c r="M1600" t="s">
        <v>4402</v>
      </c>
      <c r="O1600" t="s">
        <v>896</v>
      </c>
      <c r="P1600" t="s">
        <v>33</v>
      </c>
      <c r="Q1600" s="22">
        <v>2522.85</v>
      </c>
      <c r="R1600" t="s">
        <v>35</v>
      </c>
      <c r="S1600" t="s">
        <v>35</v>
      </c>
      <c r="T1600" t="s">
        <v>35</v>
      </c>
      <c r="U1600" t="s">
        <v>35</v>
      </c>
      <c r="V1600" t="s">
        <v>645</v>
      </c>
      <c r="W1600" t="s">
        <v>113</v>
      </c>
    </row>
    <row r="1601" spans="1:23" hidden="1" x14ac:dyDescent="0.25">
      <c r="A1601" s="7" t="str">
        <f>IFERROR(VLOOKUP(H1601,'Contas Orç'!A:B,2,0),"N/A")</f>
        <v>SERVICOS E MANUTENCAO DE VEICULOS EQ</v>
      </c>
      <c r="B1601" s="7" t="str">
        <f t="shared" si="48"/>
        <v>320301006 - SERVICOS E MANUTENCAO DE VEICULOS EQ</v>
      </c>
      <c r="C1601" s="25">
        <f t="shared" si="49"/>
        <v>44805</v>
      </c>
      <c r="D1601" s="27">
        <f>IF(K1601="CREDITO",Q1601,Q1601*-1)</f>
        <v>23147.42</v>
      </c>
      <c r="E1601" t="s">
        <v>894</v>
      </c>
      <c r="F1601" t="s">
        <v>2095</v>
      </c>
      <c r="G1601" s="8">
        <v>44805</v>
      </c>
      <c r="H1601" t="s">
        <v>215</v>
      </c>
      <c r="I1601" t="s">
        <v>59</v>
      </c>
      <c r="J1601" t="s">
        <v>60</v>
      </c>
      <c r="K1601" t="s">
        <v>29</v>
      </c>
      <c r="L1601" t="s">
        <v>895</v>
      </c>
      <c r="M1601" t="s">
        <v>4402</v>
      </c>
      <c r="O1601" t="s">
        <v>896</v>
      </c>
      <c r="P1601" t="s">
        <v>33</v>
      </c>
      <c r="Q1601" s="22">
        <v>23147.42</v>
      </c>
      <c r="R1601" t="s">
        <v>35</v>
      </c>
      <c r="S1601" t="s">
        <v>35</v>
      </c>
      <c r="T1601" t="s">
        <v>35</v>
      </c>
      <c r="U1601" t="s">
        <v>35</v>
      </c>
      <c r="V1601" t="s">
        <v>645</v>
      </c>
      <c r="W1601" t="s">
        <v>113</v>
      </c>
    </row>
    <row r="1602" spans="1:23" hidden="1" x14ac:dyDescent="0.25">
      <c r="A1602" s="7" t="str">
        <f>IFERROR(VLOOKUP(H1602,'Contas Orç'!A:B,2,0),"N/A")</f>
        <v>SERVICOS E MANUTENCAO DE VEICULOS EQ</v>
      </c>
      <c r="B1602" s="7" t="str">
        <f t="shared" si="48"/>
        <v>320301006 - SERVICOS E MANUTENCAO DE VEICULOS EQ</v>
      </c>
      <c r="C1602" s="25">
        <f t="shared" si="49"/>
        <v>44805</v>
      </c>
      <c r="D1602" s="27">
        <f>IF(K1602="CREDITO",Q1602,Q1602*-1)</f>
        <v>13657.32</v>
      </c>
      <c r="E1602" t="s">
        <v>894</v>
      </c>
      <c r="F1602" t="s">
        <v>2096</v>
      </c>
      <c r="G1602" s="8">
        <v>44805</v>
      </c>
      <c r="H1602" t="s">
        <v>215</v>
      </c>
      <c r="I1602" t="s">
        <v>125</v>
      </c>
      <c r="J1602" t="s">
        <v>95</v>
      </c>
      <c r="K1602" t="s">
        <v>29</v>
      </c>
      <c r="L1602" t="s">
        <v>895</v>
      </c>
      <c r="M1602" t="s">
        <v>4402</v>
      </c>
      <c r="O1602" t="s">
        <v>896</v>
      </c>
      <c r="P1602" t="s">
        <v>33</v>
      </c>
      <c r="Q1602" s="22">
        <v>13657.32</v>
      </c>
      <c r="R1602" t="s">
        <v>35</v>
      </c>
      <c r="S1602" t="s">
        <v>35</v>
      </c>
      <c r="T1602" t="s">
        <v>35</v>
      </c>
      <c r="U1602" t="s">
        <v>35</v>
      </c>
      <c r="V1602" t="s">
        <v>645</v>
      </c>
      <c r="W1602" t="s">
        <v>113</v>
      </c>
    </row>
    <row r="1603" spans="1:23" hidden="1" x14ac:dyDescent="0.25">
      <c r="A1603" s="7" t="str">
        <f>IFERROR(VLOOKUP(H1603,'Contas Orç'!A:B,2,0),"N/A")</f>
        <v>SERVICOS E MANUTENCAO DE VEICULOS EQ</v>
      </c>
      <c r="B1603" s="7" t="str">
        <f t="shared" ref="B1603:B1666" si="50">_xlfn.CONCAT(H1603," - ",A1603)</f>
        <v>320301006 - SERVICOS E MANUTENCAO DE VEICULOS EQ</v>
      </c>
      <c r="C1603" s="25">
        <f t="shared" ref="C1603:C1666" si="51">DATE(YEAR(G1603),MONTH(G1603),1)</f>
        <v>44805</v>
      </c>
      <c r="D1603" s="27">
        <f>IF(K1603="CREDITO",Q1603,Q1603*-1)</f>
        <v>1198</v>
      </c>
      <c r="E1603" t="s">
        <v>894</v>
      </c>
      <c r="F1603" t="s">
        <v>2097</v>
      </c>
      <c r="G1603" s="8">
        <v>44805</v>
      </c>
      <c r="H1603" t="s">
        <v>215</v>
      </c>
      <c r="I1603" t="s">
        <v>40</v>
      </c>
      <c r="J1603" t="s">
        <v>54</v>
      </c>
      <c r="K1603" t="s">
        <v>29</v>
      </c>
      <c r="L1603" t="s">
        <v>895</v>
      </c>
      <c r="M1603" t="s">
        <v>4402</v>
      </c>
      <c r="O1603" t="s">
        <v>896</v>
      </c>
      <c r="P1603" t="s">
        <v>33</v>
      </c>
      <c r="Q1603" s="22">
        <v>1198</v>
      </c>
      <c r="R1603" t="s">
        <v>35</v>
      </c>
      <c r="S1603" t="s">
        <v>35</v>
      </c>
      <c r="T1603" t="s">
        <v>35</v>
      </c>
      <c r="U1603" t="s">
        <v>35</v>
      </c>
      <c r="V1603" t="s">
        <v>645</v>
      </c>
      <c r="W1603" t="s">
        <v>113</v>
      </c>
    </row>
    <row r="1604" spans="1:23" hidden="1" x14ac:dyDescent="0.25">
      <c r="A1604" s="7" t="str">
        <f>IFERROR(VLOOKUP(H1604,'Contas Orç'!A:B,2,0),"N/A")</f>
        <v>SERVICOS E MANUTENCAO DE VEICULOS EQ</v>
      </c>
      <c r="B1604" s="7" t="str">
        <f t="shared" si="50"/>
        <v>320301006 - SERVICOS E MANUTENCAO DE VEICULOS EQ</v>
      </c>
      <c r="C1604" s="25">
        <f t="shared" si="51"/>
        <v>44805</v>
      </c>
      <c r="D1604" s="27">
        <f>IF(K1604="CREDITO",Q1604,Q1604*-1)</f>
        <v>2020.35</v>
      </c>
      <c r="E1604" t="s">
        <v>894</v>
      </c>
      <c r="F1604" t="s">
        <v>2098</v>
      </c>
      <c r="G1604" s="8">
        <v>44805</v>
      </c>
      <c r="H1604" t="s">
        <v>215</v>
      </c>
      <c r="I1604" t="s">
        <v>53</v>
      </c>
      <c r="J1604" t="s">
        <v>54</v>
      </c>
      <c r="K1604" t="s">
        <v>29</v>
      </c>
      <c r="L1604" t="s">
        <v>895</v>
      </c>
      <c r="M1604" t="s">
        <v>4402</v>
      </c>
      <c r="O1604" t="s">
        <v>896</v>
      </c>
      <c r="P1604" t="s">
        <v>33</v>
      </c>
      <c r="Q1604" s="22">
        <v>2020.35</v>
      </c>
      <c r="R1604" t="s">
        <v>35</v>
      </c>
      <c r="S1604" t="s">
        <v>35</v>
      </c>
      <c r="T1604" t="s">
        <v>35</v>
      </c>
      <c r="U1604" t="s">
        <v>35</v>
      </c>
      <c r="V1604" t="s">
        <v>645</v>
      </c>
      <c r="W1604" t="s">
        <v>113</v>
      </c>
    </row>
    <row r="1605" spans="1:23" hidden="1" x14ac:dyDescent="0.25">
      <c r="A1605" s="7" t="str">
        <f>IFERROR(VLOOKUP(H1605,'Contas Orç'!A:B,2,0),"N/A")</f>
        <v>SERVICOS E MANUTENCAO DE VEICULOS EQ</v>
      </c>
      <c r="B1605" s="7" t="str">
        <f t="shared" si="50"/>
        <v>320301006 - SERVICOS E MANUTENCAO DE VEICULOS EQ</v>
      </c>
      <c r="C1605" s="25">
        <f t="shared" si="51"/>
        <v>44835</v>
      </c>
      <c r="D1605" s="27">
        <f>IF(K1605="CREDITO",Q1605,Q1605*-1)</f>
        <v>33190.01</v>
      </c>
      <c r="E1605" t="s">
        <v>894</v>
      </c>
      <c r="F1605" t="s">
        <v>2099</v>
      </c>
      <c r="G1605" s="8">
        <v>44835</v>
      </c>
      <c r="H1605" t="s">
        <v>215</v>
      </c>
      <c r="I1605" t="s">
        <v>27</v>
      </c>
      <c r="J1605" t="s">
        <v>28</v>
      </c>
      <c r="K1605" t="s">
        <v>29</v>
      </c>
      <c r="L1605" t="s">
        <v>895</v>
      </c>
      <c r="M1605" t="s">
        <v>4402</v>
      </c>
      <c r="O1605" t="s">
        <v>896</v>
      </c>
      <c r="P1605" t="s">
        <v>33</v>
      </c>
      <c r="Q1605" s="22">
        <v>33190.01</v>
      </c>
      <c r="R1605" t="s">
        <v>35</v>
      </c>
      <c r="S1605" t="s">
        <v>35</v>
      </c>
      <c r="T1605" t="s">
        <v>35</v>
      </c>
      <c r="U1605" t="s">
        <v>35</v>
      </c>
      <c r="V1605" t="s">
        <v>645</v>
      </c>
      <c r="W1605" t="s">
        <v>113</v>
      </c>
    </row>
    <row r="1606" spans="1:23" hidden="1" x14ac:dyDescent="0.25">
      <c r="A1606" s="7" t="str">
        <f>IFERROR(VLOOKUP(H1606,'Contas Orç'!A:B,2,0),"N/A")</f>
        <v>SERVICOS E MANUTENCAO DE VEICULOS EQ</v>
      </c>
      <c r="B1606" s="7" t="str">
        <f t="shared" si="50"/>
        <v>320301006 - SERVICOS E MANUTENCAO DE VEICULOS EQ</v>
      </c>
      <c r="C1606" s="25">
        <f t="shared" si="51"/>
        <v>44835</v>
      </c>
      <c r="D1606" s="27">
        <f>IF(K1606="CREDITO",Q1606,Q1606*-1)</f>
        <v>1704.83</v>
      </c>
      <c r="E1606" t="s">
        <v>894</v>
      </c>
      <c r="F1606" t="s">
        <v>2100</v>
      </c>
      <c r="G1606" s="8">
        <v>44835</v>
      </c>
      <c r="H1606" t="s">
        <v>215</v>
      </c>
      <c r="I1606" t="s">
        <v>59</v>
      </c>
      <c r="J1606" t="s">
        <v>28</v>
      </c>
      <c r="K1606" t="s">
        <v>29</v>
      </c>
      <c r="L1606" t="s">
        <v>895</v>
      </c>
      <c r="M1606" t="s">
        <v>4402</v>
      </c>
      <c r="O1606" t="s">
        <v>896</v>
      </c>
      <c r="P1606" t="s">
        <v>33</v>
      </c>
      <c r="Q1606" s="22">
        <v>1704.83</v>
      </c>
      <c r="R1606" t="s">
        <v>35</v>
      </c>
      <c r="S1606" t="s">
        <v>35</v>
      </c>
      <c r="T1606" t="s">
        <v>35</v>
      </c>
      <c r="U1606" t="s">
        <v>35</v>
      </c>
      <c r="V1606" t="s">
        <v>645</v>
      </c>
      <c r="W1606" t="s">
        <v>113</v>
      </c>
    </row>
    <row r="1607" spans="1:23" hidden="1" x14ac:dyDescent="0.25">
      <c r="A1607" s="7" t="str">
        <f>IFERROR(VLOOKUP(H1607,'Contas Orç'!A:B,2,0),"N/A")</f>
        <v>SERVICOS E MANUTENCAO DE VEICULOS EQ</v>
      </c>
      <c r="B1607" s="7" t="str">
        <f t="shared" si="50"/>
        <v>320301006 - SERVICOS E MANUTENCAO DE VEICULOS EQ</v>
      </c>
      <c r="C1607" s="25">
        <f t="shared" si="51"/>
        <v>44835</v>
      </c>
      <c r="D1607" s="27">
        <f>IF(K1607="CREDITO",Q1607,Q1607*-1)</f>
        <v>2548.08</v>
      </c>
      <c r="E1607" t="s">
        <v>894</v>
      </c>
      <c r="F1607" t="s">
        <v>2101</v>
      </c>
      <c r="G1607" s="8">
        <v>44835</v>
      </c>
      <c r="H1607" t="s">
        <v>215</v>
      </c>
      <c r="I1607" t="s">
        <v>106</v>
      </c>
      <c r="J1607" t="s">
        <v>60</v>
      </c>
      <c r="K1607" t="s">
        <v>29</v>
      </c>
      <c r="L1607" t="s">
        <v>895</v>
      </c>
      <c r="M1607" t="s">
        <v>4402</v>
      </c>
      <c r="O1607" t="s">
        <v>896</v>
      </c>
      <c r="P1607" t="s">
        <v>33</v>
      </c>
      <c r="Q1607" s="22">
        <v>2548.08</v>
      </c>
      <c r="R1607" t="s">
        <v>35</v>
      </c>
      <c r="S1607" t="s">
        <v>35</v>
      </c>
      <c r="T1607" t="s">
        <v>35</v>
      </c>
      <c r="U1607" t="s">
        <v>35</v>
      </c>
      <c r="V1607" t="s">
        <v>645</v>
      </c>
      <c r="W1607" t="s">
        <v>113</v>
      </c>
    </row>
    <row r="1608" spans="1:23" hidden="1" x14ac:dyDescent="0.25">
      <c r="A1608" s="7" t="str">
        <f>IFERROR(VLOOKUP(H1608,'Contas Orç'!A:B,2,0),"N/A")</f>
        <v>SERVICOS E MANUTENCAO DE VEICULOS EQ</v>
      </c>
      <c r="B1608" s="7" t="str">
        <f t="shared" si="50"/>
        <v>320301006 - SERVICOS E MANUTENCAO DE VEICULOS EQ</v>
      </c>
      <c r="C1608" s="25">
        <f t="shared" si="51"/>
        <v>44835</v>
      </c>
      <c r="D1608" s="27">
        <f>IF(K1608="CREDITO",Q1608,Q1608*-1)</f>
        <v>23378.89</v>
      </c>
      <c r="E1608" t="s">
        <v>894</v>
      </c>
      <c r="F1608" t="s">
        <v>2102</v>
      </c>
      <c r="G1608" s="8">
        <v>44835</v>
      </c>
      <c r="H1608" t="s">
        <v>215</v>
      </c>
      <c r="I1608" t="s">
        <v>59</v>
      </c>
      <c r="J1608" t="s">
        <v>60</v>
      </c>
      <c r="K1608" t="s">
        <v>29</v>
      </c>
      <c r="L1608" t="s">
        <v>895</v>
      </c>
      <c r="M1608" t="s">
        <v>4402</v>
      </c>
      <c r="O1608" t="s">
        <v>896</v>
      </c>
      <c r="P1608" t="s">
        <v>33</v>
      </c>
      <c r="Q1608" s="22">
        <v>23378.89</v>
      </c>
      <c r="R1608" t="s">
        <v>35</v>
      </c>
      <c r="S1608" t="s">
        <v>35</v>
      </c>
      <c r="T1608" t="s">
        <v>35</v>
      </c>
      <c r="U1608" t="s">
        <v>35</v>
      </c>
      <c r="V1608" t="s">
        <v>645</v>
      </c>
      <c r="W1608" t="s">
        <v>113</v>
      </c>
    </row>
    <row r="1609" spans="1:23" hidden="1" x14ac:dyDescent="0.25">
      <c r="A1609" s="7" t="str">
        <f>IFERROR(VLOOKUP(H1609,'Contas Orç'!A:B,2,0),"N/A")</f>
        <v>SERVICOS E MANUTENCAO DE VEICULOS EQ</v>
      </c>
      <c r="B1609" s="7" t="str">
        <f t="shared" si="50"/>
        <v>320301006 - SERVICOS E MANUTENCAO DE VEICULOS EQ</v>
      </c>
      <c r="C1609" s="25">
        <f t="shared" si="51"/>
        <v>44835</v>
      </c>
      <c r="D1609" s="27">
        <f>IF(K1609="CREDITO",Q1609,Q1609*-1)</f>
        <v>13793.89</v>
      </c>
      <c r="E1609" t="s">
        <v>894</v>
      </c>
      <c r="F1609" t="s">
        <v>2103</v>
      </c>
      <c r="G1609" s="8">
        <v>44835</v>
      </c>
      <c r="H1609" t="s">
        <v>215</v>
      </c>
      <c r="I1609" t="s">
        <v>125</v>
      </c>
      <c r="J1609" t="s">
        <v>95</v>
      </c>
      <c r="K1609" t="s">
        <v>29</v>
      </c>
      <c r="L1609" t="s">
        <v>895</v>
      </c>
      <c r="M1609" t="s">
        <v>4402</v>
      </c>
      <c r="O1609" t="s">
        <v>896</v>
      </c>
      <c r="P1609" t="s">
        <v>33</v>
      </c>
      <c r="Q1609" s="22">
        <v>13793.89</v>
      </c>
      <c r="R1609" t="s">
        <v>35</v>
      </c>
      <c r="S1609" t="s">
        <v>35</v>
      </c>
      <c r="T1609" t="s">
        <v>35</v>
      </c>
      <c r="U1609" t="s">
        <v>35</v>
      </c>
      <c r="V1609" t="s">
        <v>645</v>
      </c>
      <c r="W1609" t="s">
        <v>113</v>
      </c>
    </row>
    <row r="1610" spans="1:23" hidden="1" x14ac:dyDescent="0.25">
      <c r="A1610" s="7" t="str">
        <f>IFERROR(VLOOKUP(H1610,'Contas Orç'!A:B,2,0),"N/A")</f>
        <v>SERVICOS E MANUTENCAO DE VEICULOS EQ</v>
      </c>
      <c r="B1610" s="7" t="str">
        <f t="shared" si="50"/>
        <v>320301006 - SERVICOS E MANUTENCAO DE VEICULOS EQ</v>
      </c>
      <c r="C1610" s="25">
        <f t="shared" si="51"/>
        <v>44835</v>
      </c>
      <c r="D1610" s="27">
        <f>IF(K1610="CREDITO",Q1610,Q1610*-1)</f>
        <v>1209.98</v>
      </c>
      <c r="E1610" t="s">
        <v>894</v>
      </c>
      <c r="F1610" t="s">
        <v>2104</v>
      </c>
      <c r="G1610" s="8">
        <v>44835</v>
      </c>
      <c r="H1610" t="s">
        <v>215</v>
      </c>
      <c r="I1610" t="s">
        <v>40</v>
      </c>
      <c r="J1610" t="s">
        <v>54</v>
      </c>
      <c r="K1610" t="s">
        <v>29</v>
      </c>
      <c r="L1610" t="s">
        <v>895</v>
      </c>
      <c r="M1610" t="s">
        <v>4402</v>
      </c>
      <c r="O1610" t="s">
        <v>896</v>
      </c>
      <c r="P1610" t="s">
        <v>33</v>
      </c>
      <c r="Q1610" s="22">
        <v>1209.98</v>
      </c>
      <c r="R1610" t="s">
        <v>35</v>
      </c>
      <c r="S1610" t="s">
        <v>35</v>
      </c>
      <c r="T1610" t="s">
        <v>35</v>
      </c>
      <c r="U1610" t="s">
        <v>35</v>
      </c>
      <c r="V1610" t="s">
        <v>645</v>
      </c>
      <c r="W1610" t="s">
        <v>113</v>
      </c>
    </row>
    <row r="1611" spans="1:23" hidden="1" x14ac:dyDescent="0.25">
      <c r="A1611" s="7" t="str">
        <f>IFERROR(VLOOKUP(H1611,'Contas Orç'!A:B,2,0),"N/A")</f>
        <v>SERVICOS E MANUTENCAO DE VEICULOS EQ</v>
      </c>
      <c r="B1611" s="7" t="str">
        <f t="shared" si="50"/>
        <v>320301006 - SERVICOS E MANUTENCAO DE VEICULOS EQ</v>
      </c>
      <c r="C1611" s="25">
        <f t="shared" si="51"/>
        <v>44835</v>
      </c>
      <c r="D1611" s="27">
        <f>IF(K1611="CREDITO",Q1611,Q1611*-1)</f>
        <v>2040.55</v>
      </c>
      <c r="E1611" t="s">
        <v>894</v>
      </c>
      <c r="F1611" t="s">
        <v>2105</v>
      </c>
      <c r="G1611" s="8">
        <v>44835</v>
      </c>
      <c r="H1611" t="s">
        <v>215</v>
      </c>
      <c r="I1611" t="s">
        <v>53</v>
      </c>
      <c r="J1611" t="s">
        <v>54</v>
      </c>
      <c r="K1611" t="s">
        <v>29</v>
      </c>
      <c r="L1611" t="s">
        <v>895</v>
      </c>
      <c r="M1611" t="s">
        <v>4402</v>
      </c>
      <c r="O1611" t="s">
        <v>896</v>
      </c>
      <c r="P1611" t="s">
        <v>33</v>
      </c>
      <c r="Q1611" s="22">
        <v>2040.55</v>
      </c>
      <c r="R1611" t="s">
        <v>35</v>
      </c>
      <c r="S1611" t="s">
        <v>35</v>
      </c>
      <c r="T1611" t="s">
        <v>35</v>
      </c>
      <c r="U1611" t="s">
        <v>35</v>
      </c>
      <c r="V1611" t="s">
        <v>645</v>
      </c>
      <c r="W1611" t="s">
        <v>113</v>
      </c>
    </row>
    <row r="1612" spans="1:23" hidden="1" x14ac:dyDescent="0.25">
      <c r="A1612" s="7" t="str">
        <f>IFERROR(VLOOKUP(H1612,'Contas Orç'!A:B,2,0),"N/A")</f>
        <v>SERVICOS E MANUTENCAO DE VEICULOS EQ</v>
      </c>
      <c r="B1612" s="7" t="str">
        <f t="shared" si="50"/>
        <v>320301006 - SERVICOS E MANUTENCAO DE VEICULOS EQ</v>
      </c>
      <c r="C1612" s="25">
        <f t="shared" si="51"/>
        <v>44866</v>
      </c>
      <c r="D1612" s="27">
        <f>IF(K1612="CREDITO",Q1612,Q1612*-1)</f>
        <v>33521.910000000003</v>
      </c>
      <c r="E1612" t="s">
        <v>894</v>
      </c>
      <c r="F1612" t="s">
        <v>2106</v>
      </c>
      <c r="G1612" s="8">
        <v>44866</v>
      </c>
      <c r="H1612" t="s">
        <v>215</v>
      </c>
      <c r="I1612" t="s">
        <v>27</v>
      </c>
      <c r="J1612" t="s">
        <v>28</v>
      </c>
      <c r="K1612" t="s">
        <v>29</v>
      </c>
      <c r="L1612" t="s">
        <v>895</v>
      </c>
      <c r="M1612" t="s">
        <v>4402</v>
      </c>
      <c r="O1612" t="s">
        <v>896</v>
      </c>
      <c r="P1612" t="s">
        <v>33</v>
      </c>
      <c r="Q1612" s="22">
        <v>33521.910000000003</v>
      </c>
      <c r="R1612" t="s">
        <v>35</v>
      </c>
      <c r="S1612" t="s">
        <v>35</v>
      </c>
      <c r="T1612" t="s">
        <v>35</v>
      </c>
      <c r="U1612" t="s">
        <v>35</v>
      </c>
      <c r="V1612" t="s">
        <v>645</v>
      </c>
      <c r="W1612" t="s">
        <v>113</v>
      </c>
    </row>
    <row r="1613" spans="1:23" hidden="1" x14ac:dyDescent="0.25">
      <c r="A1613" s="7" t="str">
        <f>IFERROR(VLOOKUP(H1613,'Contas Orç'!A:B,2,0),"N/A")</f>
        <v>SERVICOS E MANUTENCAO DE VEICULOS EQ</v>
      </c>
      <c r="B1613" s="7" t="str">
        <f t="shared" si="50"/>
        <v>320301006 - SERVICOS E MANUTENCAO DE VEICULOS EQ</v>
      </c>
      <c r="C1613" s="25">
        <f t="shared" si="51"/>
        <v>44866</v>
      </c>
      <c r="D1613" s="27">
        <f>IF(K1613="CREDITO",Q1613,Q1613*-1)</f>
        <v>1721.88</v>
      </c>
      <c r="E1613" t="s">
        <v>894</v>
      </c>
      <c r="F1613" t="s">
        <v>2107</v>
      </c>
      <c r="G1613" s="8">
        <v>44866</v>
      </c>
      <c r="H1613" t="s">
        <v>215</v>
      </c>
      <c r="I1613" t="s">
        <v>59</v>
      </c>
      <c r="J1613" t="s">
        <v>28</v>
      </c>
      <c r="K1613" t="s">
        <v>29</v>
      </c>
      <c r="L1613" t="s">
        <v>895</v>
      </c>
      <c r="M1613" t="s">
        <v>4402</v>
      </c>
      <c r="O1613" t="s">
        <v>896</v>
      </c>
      <c r="P1613" t="s">
        <v>33</v>
      </c>
      <c r="Q1613" s="22">
        <v>1721.88</v>
      </c>
      <c r="R1613" t="s">
        <v>35</v>
      </c>
      <c r="S1613" t="s">
        <v>35</v>
      </c>
      <c r="T1613" t="s">
        <v>35</v>
      </c>
      <c r="U1613" t="s">
        <v>35</v>
      </c>
      <c r="V1613" t="s">
        <v>645</v>
      </c>
      <c r="W1613" t="s">
        <v>113</v>
      </c>
    </row>
    <row r="1614" spans="1:23" hidden="1" x14ac:dyDescent="0.25">
      <c r="A1614" s="7" t="str">
        <f>IFERROR(VLOOKUP(H1614,'Contas Orç'!A:B,2,0),"N/A")</f>
        <v>SERVICOS E MANUTENCAO DE VEICULOS EQ</v>
      </c>
      <c r="B1614" s="7" t="str">
        <f t="shared" si="50"/>
        <v>320301006 - SERVICOS E MANUTENCAO DE VEICULOS EQ</v>
      </c>
      <c r="C1614" s="25">
        <f t="shared" si="51"/>
        <v>44866</v>
      </c>
      <c r="D1614" s="27">
        <f>IF(K1614="CREDITO",Q1614,Q1614*-1)</f>
        <v>2573.56</v>
      </c>
      <c r="E1614" t="s">
        <v>894</v>
      </c>
      <c r="F1614" t="s">
        <v>2108</v>
      </c>
      <c r="G1614" s="8">
        <v>44866</v>
      </c>
      <c r="H1614" t="s">
        <v>215</v>
      </c>
      <c r="I1614" t="s">
        <v>106</v>
      </c>
      <c r="J1614" t="s">
        <v>60</v>
      </c>
      <c r="K1614" t="s">
        <v>29</v>
      </c>
      <c r="L1614" t="s">
        <v>895</v>
      </c>
      <c r="M1614" t="s">
        <v>4402</v>
      </c>
      <c r="O1614" t="s">
        <v>896</v>
      </c>
      <c r="P1614" t="s">
        <v>33</v>
      </c>
      <c r="Q1614" s="22">
        <v>2573.56</v>
      </c>
      <c r="R1614" t="s">
        <v>35</v>
      </c>
      <c r="S1614" t="s">
        <v>35</v>
      </c>
      <c r="T1614" t="s">
        <v>35</v>
      </c>
      <c r="U1614" t="s">
        <v>35</v>
      </c>
      <c r="V1614" t="s">
        <v>645</v>
      </c>
      <c r="W1614" t="s">
        <v>113</v>
      </c>
    </row>
    <row r="1615" spans="1:23" hidden="1" x14ac:dyDescent="0.25">
      <c r="A1615" s="7" t="str">
        <f>IFERROR(VLOOKUP(H1615,'Contas Orç'!A:B,2,0),"N/A")</f>
        <v>SERVICOS E MANUTENCAO DE VEICULOS EQ</v>
      </c>
      <c r="B1615" s="7" t="str">
        <f t="shared" si="50"/>
        <v>320301006 - SERVICOS E MANUTENCAO DE VEICULOS EQ</v>
      </c>
      <c r="C1615" s="25">
        <f t="shared" si="51"/>
        <v>44866</v>
      </c>
      <c r="D1615" s="27">
        <f>IF(K1615="CREDITO",Q1615,Q1615*-1)</f>
        <v>23612.68</v>
      </c>
      <c r="E1615" t="s">
        <v>894</v>
      </c>
      <c r="F1615" t="s">
        <v>2109</v>
      </c>
      <c r="G1615" s="8">
        <v>44866</v>
      </c>
      <c r="H1615" t="s">
        <v>215</v>
      </c>
      <c r="I1615" t="s">
        <v>59</v>
      </c>
      <c r="J1615" t="s">
        <v>60</v>
      </c>
      <c r="K1615" t="s">
        <v>29</v>
      </c>
      <c r="L1615" t="s">
        <v>895</v>
      </c>
      <c r="M1615" t="s">
        <v>4402</v>
      </c>
      <c r="O1615" t="s">
        <v>896</v>
      </c>
      <c r="P1615" t="s">
        <v>33</v>
      </c>
      <c r="Q1615" s="22">
        <v>23612.68</v>
      </c>
      <c r="R1615" t="s">
        <v>35</v>
      </c>
      <c r="S1615" t="s">
        <v>35</v>
      </c>
      <c r="T1615" t="s">
        <v>35</v>
      </c>
      <c r="U1615" t="s">
        <v>35</v>
      </c>
      <c r="V1615" t="s">
        <v>645</v>
      </c>
      <c r="W1615" t="s">
        <v>113</v>
      </c>
    </row>
    <row r="1616" spans="1:23" hidden="1" x14ac:dyDescent="0.25">
      <c r="A1616" s="7" t="str">
        <f>IFERROR(VLOOKUP(H1616,'Contas Orç'!A:B,2,0),"N/A")</f>
        <v>SERVICOS E MANUTENCAO DE VEICULOS EQ</v>
      </c>
      <c r="B1616" s="7" t="str">
        <f t="shared" si="50"/>
        <v>320301006 - SERVICOS E MANUTENCAO DE VEICULOS EQ</v>
      </c>
      <c r="C1616" s="25">
        <f t="shared" si="51"/>
        <v>44866</v>
      </c>
      <c r="D1616" s="27">
        <f>IF(K1616="CREDITO",Q1616,Q1616*-1)</f>
        <v>13931.83</v>
      </c>
      <c r="E1616" t="s">
        <v>894</v>
      </c>
      <c r="F1616" t="s">
        <v>2110</v>
      </c>
      <c r="G1616" s="8">
        <v>44866</v>
      </c>
      <c r="H1616" t="s">
        <v>215</v>
      </c>
      <c r="I1616" t="s">
        <v>125</v>
      </c>
      <c r="J1616" t="s">
        <v>95</v>
      </c>
      <c r="K1616" t="s">
        <v>29</v>
      </c>
      <c r="L1616" t="s">
        <v>895</v>
      </c>
      <c r="M1616" t="s">
        <v>4402</v>
      </c>
      <c r="O1616" t="s">
        <v>896</v>
      </c>
      <c r="P1616" t="s">
        <v>33</v>
      </c>
      <c r="Q1616" s="22">
        <v>13931.83</v>
      </c>
      <c r="R1616" t="s">
        <v>35</v>
      </c>
      <c r="S1616" t="s">
        <v>35</v>
      </c>
      <c r="T1616" t="s">
        <v>35</v>
      </c>
      <c r="U1616" t="s">
        <v>35</v>
      </c>
      <c r="V1616" t="s">
        <v>645</v>
      </c>
      <c r="W1616" t="s">
        <v>113</v>
      </c>
    </row>
    <row r="1617" spans="1:23" hidden="1" x14ac:dyDescent="0.25">
      <c r="A1617" s="7" t="str">
        <f>IFERROR(VLOOKUP(H1617,'Contas Orç'!A:B,2,0),"N/A")</f>
        <v>SERVICOS E MANUTENCAO DE VEICULOS EQ</v>
      </c>
      <c r="B1617" s="7" t="str">
        <f t="shared" si="50"/>
        <v>320301006 - SERVICOS E MANUTENCAO DE VEICULOS EQ</v>
      </c>
      <c r="C1617" s="25">
        <f t="shared" si="51"/>
        <v>44866</v>
      </c>
      <c r="D1617" s="27">
        <f>IF(K1617="CREDITO",Q1617,Q1617*-1)</f>
        <v>1222.08</v>
      </c>
      <c r="E1617" t="s">
        <v>894</v>
      </c>
      <c r="F1617" t="s">
        <v>2111</v>
      </c>
      <c r="G1617" s="8">
        <v>44866</v>
      </c>
      <c r="H1617" t="s">
        <v>215</v>
      </c>
      <c r="I1617" t="s">
        <v>40</v>
      </c>
      <c r="J1617" t="s">
        <v>54</v>
      </c>
      <c r="K1617" t="s">
        <v>29</v>
      </c>
      <c r="L1617" t="s">
        <v>895</v>
      </c>
      <c r="M1617" t="s">
        <v>4402</v>
      </c>
      <c r="O1617" t="s">
        <v>896</v>
      </c>
      <c r="P1617" t="s">
        <v>33</v>
      </c>
      <c r="Q1617" s="22">
        <v>1222.08</v>
      </c>
      <c r="R1617" t="s">
        <v>35</v>
      </c>
      <c r="S1617" t="s">
        <v>35</v>
      </c>
      <c r="T1617" t="s">
        <v>35</v>
      </c>
      <c r="U1617" t="s">
        <v>35</v>
      </c>
      <c r="V1617" t="s">
        <v>645</v>
      </c>
      <c r="W1617" t="s">
        <v>113</v>
      </c>
    </row>
    <row r="1618" spans="1:23" hidden="1" x14ac:dyDescent="0.25">
      <c r="A1618" s="7" t="str">
        <f>IFERROR(VLOOKUP(H1618,'Contas Orç'!A:B,2,0),"N/A")</f>
        <v>SERVICOS E MANUTENCAO DE VEICULOS EQ</v>
      </c>
      <c r="B1618" s="7" t="str">
        <f t="shared" si="50"/>
        <v>320301006 - SERVICOS E MANUTENCAO DE VEICULOS EQ</v>
      </c>
      <c r="C1618" s="25">
        <f t="shared" si="51"/>
        <v>44866</v>
      </c>
      <c r="D1618" s="27">
        <f>IF(K1618="CREDITO",Q1618,Q1618*-1)</f>
        <v>2060.96</v>
      </c>
      <c r="E1618" t="s">
        <v>894</v>
      </c>
      <c r="F1618" t="s">
        <v>2112</v>
      </c>
      <c r="G1618" s="8">
        <v>44866</v>
      </c>
      <c r="H1618" t="s">
        <v>215</v>
      </c>
      <c r="I1618" t="s">
        <v>53</v>
      </c>
      <c r="J1618" t="s">
        <v>54</v>
      </c>
      <c r="K1618" t="s">
        <v>29</v>
      </c>
      <c r="L1618" t="s">
        <v>895</v>
      </c>
      <c r="M1618" t="s">
        <v>4402</v>
      </c>
      <c r="O1618" t="s">
        <v>896</v>
      </c>
      <c r="P1618" t="s">
        <v>33</v>
      </c>
      <c r="Q1618" s="22">
        <v>2060.96</v>
      </c>
      <c r="R1618" t="s">
        <v>35</v>
      </c>
      <c r="S1618" t="s">
        <v>35</v>
      </c>
      <c r="T1618" t="s">
        <v>35</v>
      </c>
      <c r="U1618" t="s">
        <v>35</v>
      </c>
      <c r="V1618" t="s">
        <v>645</v>
      </c>
      <c r="W1618" t="s">
        <v>113</v>
      </c>
    </row>
    <row r="1619" spans="1:23" hidden="1" x14ac:dyDescent="0.25">
      <c r="A1619" s="7" t="str">
        <f>IFERROR(VLOOKUP(H1619,'Contas Orç'!A:B,2,0),"N/A")</f>
        <v>SERVICOS E MANUTENCAO DE VEICULOS EQ</v>
      </c>
      <c r="B1619" s="7" t="str">
        <f t="shared" si="50"/>
        <v>320301006 - SERVICOS E MANUTENCAO DE VEICULOS EQ</v>
      </c>
      <c r="C1619" s="25">
        <f t="shared" si="51"/>
        <v>44896</v>
      </c>
      <c r="D1619" s="27">
        <f>IF(K1619="CREDITO",Q1619,Q1619*-1)</f>
        <v>33857.129999999997</v>
      </c>
      <c r="E1619" t="s">
        <v>894</v>
      </c>
      <c r="F1619" t="s">
        <v>2113</v>
      </c>
      <c r="G1619" s="8">
        <v>44896</v>
      </c>
      <c r="H1619" t="s">
        <v>215</v>
      </c>
      <c r="I1619" t="s">
        <v>27</v>
      </c>
      <c r="J1619" t="s">
        <v>28</v>
      </c>
      <c r="K1619" t="s">
        <v>29</v>
      </c>
      <c r="L1619" t="s">
        <v>895</v>
      </c>
      <c r="M1619" t="s">
        <v>4402</v>
      </c>
      <c r="O1619" t="s">
        <v>896</v>
      </c>
      <c r="P1619" t="s">
        <v>33</v>
      </c>
      <c r="Q1619" s="22">
        <v>33857.129999999997</v>
      </c>
      <c r="R1619" t="s">
        <v>35</v>
      </c>
      <c r="S1619" t="s">
        <v>35</v>
      </c>
      <c r="T1619" t="s">
        <v>35</v>
      </c>
      <c r="U1619" t="s">
        <v>35</v>
      </c>
      <c r="V1619" t="s">
        <v>645</v>
      </c>
      <c r="W1619" t="s">
        <v>113</v>
      </c>
    </row>
    <row r="1620" spans="1:23" hidden="1" x14ac:dyDescent="0.25">
      <c r="A1620" s="7" t="str">
        <f>IFERROR(VLOOKUP(H1620,'Contas Orç'!A:B,2,0),"N/A")</f>
        <v>SERVICOS E MANUTENCAO DE VEICULOS EQ</v>
      </c>
      <c r="B1620" s="7" t="str">
        <f t="shared" si="50"/>
        <v>320301006 - SERVICOS E MANUTENCAO DE VEICULOS EQ</v>
      </c>
      <c r="C1620" s="25">
        <f t="shared" si="51"/>
        <v>44896</v>
      </c>
      <c r="D1620" s="27">
        <f>IF(K1620="CREDITO",Q1620,Q1620*-1)</f>
        <v>1739.1</v>
      </c>
      <c r="E1620" t="s">
        <v>894</v>
      </c>
      <c r="F1620" t="s">
        <v>2114</v>
      </c>
      <c r="G1620" s="8">
        <v>44896</v>
      </c>
      <c r="H1620" t="s">
        <v>215</v>
      </c>
      <c r="I1620" t="s">
        <v>59</v>
      </c>
      <c r="J1620" t="s">
        <v>28</v>
      </c>
      <c r="K1620" t="s">
        <v>29</v>
      </c>
      <c r="L1620" t="s">
        <v>895</v>
      </c>
      <c r="M1620" t="s">
        <v>4402</v>
      </c>
      <c r="O1620" t="s">
        <v>896</v>
      </c>
      <c r="P1620" t="s">
        <v>33</v>
      </c>
      <c r="Q1620" s="22">
        <v>1739.1</v>
      </c>
      <c r="R1620" t="s">
        <v>35</v>
      </c>
      <c r="S1620" t="s">
        <v>35</v>
      </c>
      <c r="T1620" t="s">
        <v>35</v>
      </c>
      <c r="U1620" t="s">
        <v>35</v>
      </c>
      <c r="V1620" t="s">
        <v>645</v>
      </c>
      <c r="W1620" t="s">
        <v>113</v>
      </c>
    </row>
    <row r="1621" spans="1:23" hidden="1" x14ac:dyDescent="0.25">
      <c r="A1621" s="7" t="str">
        <f>IFERROR(VLOOKUP(H1621,'Contas Orç'!A:B,2,0),"N/A")</f>
        <v>SERVICOS E MANUTENCAO DE VEICULOS EQ</v>
      </c>
      <c r="B1621" s="7" t="str">
        <f t="shared" si="50"/>
        <v>320301006 - SERVICOS E MANUTENCAO DE VEICULOS EQ</v>
      </c>
      <c r="C1621" s="25">
        <f t="shared" si="51"/>
        <v>44896</v>
      </c>
      <c r="D1621" s="27">
        <f>IF(K1621="CREDITO",Q1621,Q1621*-1)</f>
        <v>2599.29</v>
      </c>
      <c r="E1621" t="s">
        <v>894</v>
      </c>
      <c r="F1621" t="s">
        <v>2115</v>
      </c>
      <c r="G1621" s="8">
        <v>44896</v>
      </c>
      <c r="H1621" t="s">
        <v>215</v>
      </c>
      <c r="I1621" t="s">
        <v>106</v>
      </c>
      <c r="J1621" t="s">
        <v>60</v>
      </c>
      <c r="K1621" t="s">
        <v>29</v>
      </c>
      <c r="L1621" t="s">
        <v>895</v>
      </c>
      <c r="M1621" t="s">
        <v>4402</v>
      </c>
      <c r="O1621" t="s">
        <v>896</v>
      </c>
      <c r="P1621" t="s">
        <v>33</v>
      </c>
      <c r="Q1621" s="22">
        <v>2599.29</v>
      </c>
      <c r="R1621" t="s">
        <v>35</v>
      </c>
      <c r="S1621" t="s">
        <v>35</v>
      </c>
      <c r="T1621" t="s">
        <v>35</v>
      </c>
      <c r="U1621" t="s">
        <v>35</v>
      </c>
      <c r="V1621" t="s">
        <v>645</v>
      </c>
      <c r="W1621" t="s">
        <v>113</v>
      </c>
    </row>
    <row r="1622" spans="1:23" hidden="1" x14ac:dyDescent="0.25">
      <c r="A1622" s="7" t="str">
        <f>IFERROR(VLOOKUP(H1622,'Contas Orç'!A:B,2,0),"N/A")</f>
        <v>SERVICOS E MANUTENCAO DE VEICULOS EQ</v>
      </c>
      <c r="B1622" s="7" t="str">
        <f t="shared" si="50"/>
        <v>320301006 - SERVICOS E MANUTENCAO DE VEICULOS EQ</v>
      </c>
      <c r="C1622" s="25">
        <f t="shared" si="51"/>
        <v>44896</v>
      </c>
      <c r="D1622" s="27">
        <f>IF(K1622="CREDITO",Q1622,Q1622*-1)</f>
        <v>23848.81</v>
      </c>
      <c r="E1622" t="s">
        <v>894</v>
      </c>
      <c r="F1622" t="s">
        <v>2116</v>
      </c>
      <c r="G1622" s="8">
        <v>44896</v>
      </c>
      <c r="H1622" t="s">
        <v>215</v>
      </c>
      <c r="I1622" t="s">
        <v>59</v>
      </c>
      <c r="J1622" t="s">
        <v>60</v>
      </c>
      <c r="K1622" t="s">
        <v>29</v>
      </c>
      <c r="L1622" t="s">
        <v>895</v>
      </c>
      <c r="M1622" t="s">
        <v>4402</v>
      </c>
      <c r="O1622" t="s">
        <v>896</v>
      </c>
      <c r="P1622" t="s">
        <v>33</v>
      </c>
      <c r="Q1622" s="22">
        <v>23848.81</v>
      </c>
      <c r="R1622" t="s">
        <v>35</v>
      </c>
      <c r="S1622" t="s">
        <v>35</v>
      </c>
      <c r="T1622" t="s">
        <v>35</v>
      </c>
      <c r="U1622" t="s">
        <v>35</v>
      </c>
      <c r="V1622" t="s">
        <v>645</v>
      </c>
      <c r="W1622" t="s">
        <v>113</v>
      </c>
    </row>
    <row r="1623" spans="1:23" hidden="1" x14ac:dyDescent="0.25">
      <c r="A1623" s="7" t="str">
        <f>IFERROR(VLOOKUP(H1623,'Contas Orç'!A:B,2,0),"N/A")</f>
        <v>SERVICOS E MANUTENCAO DE VEICULOS EQ</v>
      </c>
      <c r="B1623" s="7" t="str">
        <f t="shared" si="50"/>
        <v>320301006 - SERVICOS E MANUTENCAO DE VEICULOS EQ</v>
      </c>
      <c r="C1623" s="25">
        <f t="shared" si="51"/>
        <v>44896</v>
      </c>
      <c r="D1623" s="27">
        <f>IF(K1623="CREDITO",Q1623,Q1623*-1)</f>
        <v>14071.15</v>
      </c>
      <c r="E1623" t="s">
        <v>894</v>
      </c>
      <c r="F1623" t="s">
        <v>2117</v>
      </c>
      <c r="G1623" s="8">
        <v>44896</v>
      </c>
      <c r="H1623" t="s">
        <v>215</v>
      </c>
      <c r="I1623" t="s">
        <v>125</v>
      </c>
      <c r="J1623" t="s">
        <v>95</v>
      </c>
      <c r="K1623" t="s">
        <v>29</v>
      </c>
      <c r="L1623" t="s">
        <v>895</v>
      </c>
      <c r="M1623" t="s">
        <v>4402</v>
      </c>
      <c r="O1623" t="s">
        <v>896</v>
      </c>
      <c r="P1623" t="s">
        <v>33</v>
      </c>
      <c r="Q1623" s="22">
        <v>14071.15</v>
      </c>
      <c r="R1623" t="s">
        <v>35</v>
      </c>
      <c r="S1623" t="s">
        <v>35</v>
      </c>
      <c r="T1623" t="s">
        <v>35</v>
      </c>
      <c r="U1623" t="s">
        <v>35</v>
      </c>
      <c r="V1623" t="s">
        <v>645</v>
      </c>
      <c r="W1623" t="s">
        <v>113</v>
      </c>
    </row>
    <row r="1624" spans="1:23" hidden="1" x14ac:dyDescent="0.25">
      <c r="A1624" s="7" t="str">
        <f>IFERROR(VLOOKUP(H1624,'Contas Orç'!A:B,2,0),"N/A")</f>
        <v>SERVICOS E MANUTENCAO DE VEICULOS EQ</v>
      </c>
      <c r="B1624" s="7" t="str">
        <f t="shared" si="50"/>
        <v>320301006 - SERVICOS E MANUTENCAO DE VEICULOS EQ</v>
      </c>
      <c r="C1624" s="25">
        <f t="shared" si="51"/>
        <v>44896</v>
      </c>
      <c r="D1624" s="27">
        <f>IF(K1624="CREDITO",Q1624,Q1624*-1)</f>
        <v>1234.3</v>
      </c>
      <c r="E1624" t="s">
        <v>894</v>
      </c>
      <c r="F1624" t="s">
        <v>2118</v>
      </c>
      <c r="G1624" s="8">
        <v>44896</v>
      </c>
      <c r="H1624" t="s">
        <v>215</v>
      </c>
      <c r="I1624" t="s">
        <v>40</v>
      </c>
      <c r="J1624" t="s">
        <v>54</v>
      </c>
      <c r="K1624" t="s">
        <v>29</v>
      </c>
      <c r="L1624" t="s">
        <v>895</v>
      </c>
      <c r="M1624" t="s">
        <v>4402</v>
      </c>
      <c r="O1624" t="s">
        <v>896</v>
      </c>
      <c r="P1624" t="s">
        <v>33</v>
      </c>
      <c r="Q1624" s="22">
        <v>1234.3</v>
      </c>
      <c r="R1624" t="s">
        <v>35</v>
      </c>
      <c r="S1624" t="s">
        <v>35</v>
      </c>
      <c r="T1624" t="s">
        <v>35</v>
      </c>
      <c r="U1624" t="s">
        <v>35</v>
      </c>
      <c r="V1624" t="s">
        <v>645</v>
      </c>
      <c r="W1624" t="s">
        <v>113</v>
      </c>
    </row>
    <row r="1625" spans="1:23" hidden="1" x14ac:dyDescent="0.25">
      <c r="A1625" s="7" t="str">
        <f>IFERROR(VLOOKUP(H1625,'Contas Orç'!A:B,2,0),"N/A")</f>
        <v>SERVICOS E MANUTENCAO DE VEICULOS EQ</v>
      </c>
      <c r="B1625" s="7" t="str">
        <f t="shared" si="50"/>
        <v>320301006 - SERVICOS E MANUTENCAO DE VEICULOS EQ</v>
      </c>
      <c r="C1625" s="25">
        <f t="shared" si="51"/>
        <v>44896</v>
      </c>
      <c r="D1625" s="27">
        <f>IF(K1625="CREDITO",Q1625,Q1625*-1)</f>
        <v>2081.5700000000002</v>
      </c>
      <c r="E1625" t="s">
        <v>894</v>
      </c>
      <c r="F1625" t="s">
        <v>2119</v>
      </c>
      <c r="G1625" s="8">
        <v>44896</v>
      </c>
      <c r="H1625" t="s">
        <v>215</v>
      </c>
      <c r="I1625" t="s">
        <v>53</v>
      </c>
      <c r="J1625" t="s">
        <v>54</v>
      </c>
      <c r="K1625" t="s">
        <v>29</v>
      </c>
      <c r="L1625" t="s">
        <v>895</v>
      </c>
      <c r="M1625" t="s">
        <v>4402</v>
      </c>
      <c r="O1625" t="s">
        <v>896</v>
      </c>
      <c r="P1625" t="s">
        <v>33</v>
      </c>
      <c r="Q1625" s="22">
        <v>2081.5700000000002</v>
      </c>
      <c r="R1625" t="s">
        <v>35</v>
      </c>
      <c r="S1625" t="s">
        <v>35</v>
      </c>
      <c r="T1625" t="s">
        <v>35</v>
      </c>
      <c r="U1625" t="s">
        <v>35</v>
      </c>
      <c r="V1625" t="s">
        <v>645</v>
      </c>
      <c r="W1625" t="s">
        <v>113</v>
      </c>
    </row>
    <row r="1626" spans="1:23" hidden="1" x14ac:dyDescent="0.25">
      <c r="A1626" s="7" t="str">
        <f>IFERROR(VLOOKUP(H1626,'Contas Orç'!A:B,2,0),"N/A")</f>
        <v>LICENCIAMENTO - IPVA - DPVAT</v>
      </c>
      <c r="B1626" s="7" t="str">
        <f t="shared" si="50"/>
        <v>320301007 - LICENCIAMENTO - IPVA - DPVAT</v>
      </c>
      <c r="C1626" s="25">
        <f t="shared" si="51"/>
        <v>44562</v>
      </c>
      <c r="D1626" s="27">
        <f>IF(K1626="CREDITO",Q1626,Q1626*-1)</f>
        <v>2834.88</v>
      </c>
      <c r="E1626" t="s">
        <v>894</v>
      </c>
      <c r="F1626" t="s">
        <v>2120</v>
      </c>
      <c r="G1626" s="8">
        <v>44562</v>
      </c>
      <c r="H1626" t="s">
        <v>542</v>
      </c>
      <c r="I1626" t="s">
        <v>88</v>
      </c>
      <c r="J1626" t="s">
        <v>28</v>
      </c>
      <c r="K1626" t="s">
        <v>29</v>
      </c>
      <c r="L1626" t="s">
        <v>895</v>
      </c>
      <c r="M1626" t="s">
        <v>4402</v>
      </c>
      <c r="O1626" t="s">
        <v>896</v>
      </c>
      <c r="P1626" t="s">
        <v>33</v>
      </c>
      <c r="Q1626" s="22">
        <v>2834.88</v>
      </c>
      <c r="R1626" t="s">
        <v>35</v>
      </c>
      <c r="S1626" t="s">
        <v>35</v>
      </c>
      <c r="T1626" t="s">
        <v>35</v>
      </c>
      <c r="U1626" t="s">
        <v>35</v>
      </c>
      <c r="V1626" t="s">
        <v>645</v>
      </c>
      <c r="W1626" t="s">
        <v>113</v>
      </c>
    </row>
    <row r="1627" spans="1:23" hidden="1" x14ac:dyDescent="0.25">
      <c r="A1627" s="7" t="str">
        <f>IFERROR(VLOOKUP(H1627,'Contas Orç'!A:B,2,0),"N/A")</f>
        <v>LICENCIAMENTO - IPVA - DPVAT</v>
      </c>
      <c r="B1627" s="7" t="str">
        <f t="shared" si="50"/>
        <v>320301007 - LICENCIAMENTO - IPVA - DPVAT</v>
      </c>
      <c r="C1627" s="25">
        <f t="shared" si="51"/>
        <v>44562</v>
      </c>
      <c r="D1627" s="27">
        <f>IF(K1627="CREDITO",Q1627,Q1627*-1)</f>
        <v>166920.04</v>
      </c>
      <c r="E1627" t="s">
        <v>894</v>
      </c>
      <c r="F1627" t="s">
        <v>2121</v>
      </c>
      <c r="G1627" s="8">
        <v>44562</v>
      </c>
      <c r="H1627" t="s">
        <v>542</v>
      </c>
      <c r="I1627" t="s">
        <v>27</v>
      </c>
      <c r="J1627" t="s">
        <v>28</v>
      </c>
      <c r="K1627" t="s">
        <v>29</v>
      </c>
      <c r="L1627" t="s">
        <v>895</v>
      </c>
      <c r="M1627" t="s">
        <v>4402</v>
      </c>
      <c r="O1627" t="s">
        <v>896</v>
      </c>
      <c r="P1627" t="s">
        <v>33</v>
      </c>
      <c r="Q1627" s="22">
        <v>166920.04</v>
      </c>
      <c r="R1627" t="s">
        <v>35</v>
      </c>
      <c r="S1627" t="s">
        <v>35</v>
      </c>
      <c r="T1627" t="s">
        <v>35</v>
      </c>
      <c r="U1627" t="s">
        <v>35</v>
      </c>
      <c r="V1627" t="s">
        <v>645</v>
      </c>
      <c r="W1627" t="s">
        <v>113</v>
      </c>
    </row>
    <row r="1628" spans="1:23" hidden="1" x14ac:dyDescent="0.25">
      <c r="A1628" s="7" t="str">
        <f>IFERROR(VLOOKUP(H1628,'Contas Orç'!A:B,2,0),"N/A")</f>
        <v>LICENCIAMENTO - IPVA - DPVAT</v>
      </c>
      <c r="B1628" s="7" t="str">
        <f t="shared" si="50"/>
        <v>320301007 - LICENCIAMENTO - IPVA - DPVAT</v>
      </c>
      <c r="C1628" s="25">
        <f t="shared" si="51"/>
        <v>44562</v>
      </c>
      <c r="D1628" s="27">
        <f>IF(K1628="CREDITO",Q1628,Q1628*-1)</f>
        <v>3569.46</v>
      </c>
      <c r="E1628" t="s">
        <v>894</v>
      </c>
      <c r="F1628" t="s">
        <v>2122</v>
      </c>
      <c r="G1628" s="8">
        <v>44562</v>
      </c>
      <c r="H1628" t="s">
        <v>542</v>
      </c>
      <c r="I1628" t="s">
        <v>59</v>
      </c>
      <c r="J1628" t="s">
        <v>28</v>
      </c>
      <c r="K1628" t="s">
        <v>29</v>
      </c>
      <c r="L1628" t="s">
        <v>895</v>
      </c>
      <c r="M1628" t="s">
        <v>4402</v>
      </c>
      <c r="O1628" t="s">
        <v>896</v>
      </c>
      <c r="P1628" t="s">
        <v>33</v>
      </c>
      <c r="Q1628" s="22">
        <v>3569.46</v>
      </c>
      <c r="R1628" t="s">
        <v>35</v>
      </c>
      <c r="S1628" t="s">
        <v>35</v>
      </c>
      <c r="T1628" t="s">
        <v>35</v>
      </c>
      <c r="U1628" t="s">
        <v>35</v>
      </c>
      <c r="V1628" t="s">
        <v>645</v>
      </c>
      <c r="W1628" t="s">
        <v>113</v>
      </c>
    </row>
    <row r="1629" spans="1:23" hidden="1" x14ac:dyDescent="0.25">
      <c r="A1629" s="7" t="str">
        <f>IFERROR(VLOOKUP(H1629,'Contas Orç'!A:B,2,0),"N/A")</f>
        <v>LICENCIAMENTO - IPVA - DPVAT</v>
      </c>
      <c r="B1629" s="7" t="str">
        <f t="shared" si="50"/>
        <v>320301007 - LICENCIAMENTO - IPVA - DPVAT</v>
      </c>
      <c r="C1629" s="25">
        <f t="shared" si="51"/>
        <v>44562</v>
      </c>
      <c r="D1629" s="27">
        <f>IF(K1629="CREDITO",Q1629,Q1629*-1)</f>
        <v>1948.16</v>
      </c>
      <c r="E1629" t="s">
        <v>894</v>
      </c>
      <c r="F1629" t="s">
        <v>2123</v>
      </c>
      <c r="G1629" s="8">
        <v>44562</v>
      </c>
      <c r="H1629" t="s">
        <v>542</v>
      </c>
      <c r="I1629" t="s">
        <v>53</v>
      </c>
      <c r="J1629" t="s">
        <v>60</v>
      </c>
      <c r="K1629" t="s">
        <v>29</v>
      </c>
      <c r="L1629" t="s">
        <v>895</v>
      </c>
      <c r="M1629" t="s">
        <v>4402</v>
      </c>
      <c r="O1629" t="s">
        <v>896</v>
      </c>
      <c r="P1629" t="s">
        <v>33</v>
      </c>
      <c r="Q1629" s="22">
        <v>1948.16</v>
      </c>
      <c r="R1629" t="s">
        <v>35</v>
      </c>
      <c r="S1629" t="s">
        <v>35</v>
      </c>
      <c r="T1629" t="s">
        <v>35</v>
      </c>
      <c r="U1629" t="s">
        <v>35</v>
      </c>
      <c r="V1629" t="s">
        <v>645</v>
      </c>
      <c r="W1629" t="s">
        <v>113</v>
      </c>
    </row>
    <row r="1630" spans="1:23" hidden="1" x14ac:dyDescent="0.25">
      <c r="A1630" s="7" t="str">
        <f>IFERROR(VLOOKUP(H1630,'Contas Orç'!A:B,2,0),"N/A")</f>
        <v>LICENCIAMENTO - IPVA - DPVAT</v>
      </c>
      <c r="B1630" s="7" t="str">
        <f t="shared" si="50"/>
        <v>320301007 - LICENCIAMENTO - IPVA - DPVAT</v>
      </c>
      <c r="C1630" s="25">
        <f t="shared" si="51"/>
        <v>44562</v>
      </c>
      <c r="D1630" s="27">
        <f>IF(K1630="CREDITO",Q1630,Q1630*-1)</f>
        <v>21982.87</v>
      </c>
      <c r="E1630" t="s">
        <v>894</v>
      </c>
      <c r="F1630" t="s">
        <v>2124</v>
      </c>
      <c r="G1630" s="8">
        <v>44562</v>
      </c>
      <c r="H1630" t="s">
        <v>542</v>
      </c>
      <c r="I1630" t="s">
        <v>59</v>
      </c>
      <c r="J1630" t="s">
        <v>60</v>
      </c>
      <c r="K1630" t="s">
        <v>29</v>
      </c>
      <c r="L1630" t="s">
        <v>895</v>
      </c>
      <c r="M1630" t="s">
        <v>4402</v>
      </c>
      <c r="O1630" t="s">
        <v>896</v>
      </c>
      <c r="P1630" t="s">
        <v>33</v>
      </c>
      <c r="Q1630" s="22">
        <v>21982.87</v>
      </c>
      <c r="R1630" t="s">
        <v>35</v>
      </c>
      <c r="S1630" t="s">
        <v>35</v>
      </c>
      <c r="T1630" t="s">
        <v>35</v>
      </c>
      <c r="U1630" t="s">
        <v>35</v>
      </c>
      <c r="V1630" t="s">
        <v>645</v>
      </c>
      <c r="W1630" t="s">
        <v>113</v>
      </c>
    </row>
    <row r="1631" spans="1:23" hidden="1" x14ac:dyDescent="0.25">
      <c r="A1631" s="7" t="str">
        <f>IFERROR(VLOOKUP(H1631,'Contas Orç'!A:B,2,0),"N/A")</f>
        <v>LICENCIAMENTO - IPVA - DPVAT</v>
      </c>
      <c r="B1631" s="7" t="str">
        <f t="shared" si="50"/>
        <v>320301007 - LICENCIAMENTO - IPVA - DPVAT</v>
      </c>
      <c r="C1631" s="25">
        <f t="shared" si="51"/>
        <v>44562</v>
      </c>
      <c r="D1631" s="27">
        <f>IF(K1631="CREDITO",Q1631,Q1631*-1)</f>
        <v>2049.81</v>
      </c>
      <c r="E1631" t="s">
        <v>894</v>
      </c>
      <c r="F1631" t="s">
        <v>2125</v>
      </c>
      <c r="G1631" s="8">
        <v>44562</v>
      </c>
      <c r="H1631" t="s">
        <v>542</v>
      </c>
      <c r="I1631" t="s">
        <v>53</v>
      </c>
      <c r="J1631" t="s">
        <v>54</v>
      </c>
      <c r="K1631" t="s">
        <v>29</v>
      </c>
      <c r="L1631" t="s">
        <v>895</v>
      </c>
      <c r="M1631" t="s">
        <v>4402</v>
      </c>
      <c r="O1631" t="s">
        <v>896</v>
      </c>
      <c r="P1631" t="s">
        <v>33</v>
      </c>
      <c r="Q1631" s="22">
        <v>2049.81</v>
      </c>
      <c r="R1631" t="s">
        <v>35</v>
      </c>
      <c r="S1631" t="s">
        <v>35</v>
      </c>
      <c r="T1631" t="s">
        <v>35</v>
      </c>
      <c r="U1631" t="s">
        <v>35</v>
      </c>
      <c r="V1631" t="s">
        <v>645</v>
      </c>
      <c r="W1631" t="s">
        <v>113</v>
      </c>
    </row>
    <row r="1632" spans="1:23" hidden="1" x14ac:dyDescent="0.25">
      <c r="A1632" s="7" t="str">
        <f>IFERROR(VLOOKUP(H1632,'Contas Orç'!A:B,2,0),"N/A")</f>
        <v>LICENCIAMENTO - IPVA - DPVAT</v>
      </c>
      <c r="B1632" s="7" t="str">
        <f t="shared" si="50"/>
        <v>320301007 - LICENCIAMENTO - IPVA - DPVAT</v>
      </c>
      <c r="C1632" s="25">
        <f t="shared" si="51"/>
        <v>44621</v>
      </c>
      <c r="D1632" s="27">
        <f>IF(K1632="CREDITO",Q1632,Q1632*-1)</f>
        <v>181.52</v>
      </c>
      <c r="E1632" t="s">
        <v>894</v>
      </c>
      <c r="F1632" t="s">
        <v>2126</v>
      </c>
      <c r="G1632" s="8">
        <v>44621</v>
      </c>
      <c r="H1632" t="s">
        <v>542</v>
      </c>
      <c r="I1632" t="s">
        <v>88</v>
      </c>
      <c r="J1632" t="s">
        <v>28</v>
      </c>
      <c r="K1632" t="s">
        <v>29</v>
      </c>
      <c r="L1632" t="s">
        <v>895</v>
      </c>
      <c r="M1632" t="s">
        <v>4402</v>
      </c>
      <c r="O1632" t="s">
        <v>896</v>
      </c>
      <c r="P1632" t="s">
        <v>33</v>
      </c>
      <c r="Q1632">
        <v>181.52</v>
      </c>
      <c r="R1632" t="s">
        <v>35</v>
      </c>
      <c r="S1632" t="s">
        <v>35</v>
      </c>
      <c r="T1632" t="s">
        <v>35</v>
      </c>
      <c r="U1632" t="s">
        <v>35</v>
      </c>
      <c r="V1632" t="s">
        <v>645</v>
      </c>
      <c r="W1632" t="s">
        <v>113</v>
      </c>
    </row>
    <row r="1633" spans="1:23" hidden="1" x14ac:dyDescent="0.25">
      <c r="A1633" s="7" t="str">
        <f>IFERROR(VLOOKUP(H1633,'Contas Orç'!A:B,2,0),"N/A")</f>
        <v>LICENCIAMENTO - IPVA - DPVAT</v>
      </c>
      <c r="B1633" s="7" t="str">
        <f t="shared" si="50"/>
        <v>320301007 - LICENCIAMENTO - IPVA - DPVAT</v>
      </c>
      <c r="C1633" s="25">
        <f t="shared" si="51"/>
        <v>44621</v>
      </c>
      <c r="D1633" s="27">
        <f>IF(K1633="CREDITO",Q1633,Q1633*-1)</f>
        <v>6634.05</v>
      </c>
      <c r="E1633" t="s">
        <v>894</v>
      </c>
      <c r="F1633" t="s">
        <v>2127</v>
      </c>
      <c r="G1633" s="8">
        <v>44621</v>
      </c>
      <c r="H1633" t="s">
        <v>542</v>
      </c>
      <c r="I1633" t="s">
        <v>27</v>
      </c>
      <c r="J1633" t="s">
        <v>28</v>
      </c>
      <c r="K1633" t="s">
        <v>29</v>
      </c>
      <c r="L1633" t="s">
        <v>895</v>
      </c>
      <c r="M1633" t="s">
        <v>4402</v>
      </c>
      <c r="O1633" t="s">
        <v>896</v>
      </c>
      <c r="P1633" t="s">
        <v>33</v>
      </c>
      <c r="Q1633" s="22">
        <v>6634.05</v>
      </c>
      <c r="R1633" t="s">
        <v>35</v>
      </c>
      <c r="S1633" t="s">
        <v>35</v>
      </c>
      <c r="T1633" t="s">
        <v>35</v>
      </c>
      <c r="U1633" t="s">
        <v>35</v>
      </c>
      <c r="V1633" t="s">
        <v>645</v>
      </c>
      <c r="W1633" t="s">
        <v>113</v>
      </c>
    </row>
    <row r="1634" spans="1:23" hidden="1" x14ac:dyDescent="0.25">
      <c r="A1634" s="7" t="str">
        <f>IFERROR(VLOOKUP(H1634,'Contas Orç'!A:B,2,0),"N/A")</f>
        <v>LICENCIAMENTO - IPVA - DPVAT</v>
      </c>
      <c r="B1634" s="7" t="str">
        <f t="shared" si="50"/>
        <v>320301007 - LICENCIAMENTO - IPVA - DPVAT</v>
      </c>
      <c r="C1634" s="25">
        <f t="shared" si="51"/>
        <v>44621</v>
      </c>
      <c r="D1634" s="27">
        <f>IF(K1634="CREDITO",Q1634,Q1634*-1)</f>
        <v>363.04</v>
      </c>
      <c r="E1634" t="s">
        <v>894</v>
      </c>
      <c r="F1634" t="s">
        <v>2128</v>
      </c>
      <c r="G1634" s="8">
        <v>44621</v>
      </c>
      <c r="H1634" t="s">
        <v>542</v>
      </c>
      <c r="I1634" t="s">
        <v>59</v>
      </c>
      <c r="J1634" t="s">
        <v>28</v>
      </c>
      <c r="K1634" t="s">
        <v>29</v>
      </c>
      <c r="L1634" t="s">
        <v>895</v>
      </c>
      <c r="M1634" t="s">
        <v>4402</v>
      </c>
      <c r="O1634" t="s">
        <v>896</v>
      </c>
      <c r="P1634" t="s">
        <v>33</v>
      </c>
      <c r="Q1634">
        <v>363.04</v>
      </c>
      <c r="R1634" t="s">
        <v>35</v>
      </c>
      <c r="S1634" t="s">
        <v>35</v>
      </c>
      <c r="T1634" t="s">
        <v>35</v>
      </c>
      <c r="U1634" t="s">
        <v>35</v>
      </c>
      <c r="V1634" t="s">
        <v>645</v>
      </c>
      <c r="W1634" t="s">
        <v>113</v>
      </c>
    </row>
    <row r="1635" spans="1:23" hidden="1" x14ac:dyDescent="0.25">
      <c r="A1635" s="7" t="str">
        <f>IFERROR(VLOOKUP(H1635,'Contas Orç'!A:B,2,0),"N/A")</f>
        <v>LICENCIAMENTO - IPVA - DPVAT</v>
      </c>
      <c r="B1635" s="7" t="str">
        <f t="shared" si="50"/>
        <v>320301007 - LICENCIAMENTO - IPVA - DPVAT</v>
      </c>
      <c r="C1635" s="25">
        <f t="shared" si="51"/>
        <v>44621</v>
      </c>
      <c r="D1635" s="27">
        <f>IF(K1635="CREDITO",Q1635,Q1635*-1)</f>
        <v>544.55999999999995</v>
      </c>
      <c r="E1635" t="s">
        <v>894</v>
      </c>
      <c r="F1635" t="s">
        <v>2129</v>
      </c>
      <c r="G1635" s="8">
        <v>44621</v>
      </c>
      <c r="H1635" t="s">
        <v>542</v>
      </c>
      <c r="I1635" t="s">
        <v>59</v>
      </c>
      <c r="J1635" t="s">
        <v>60</v>
      </c>
      <c r="K1635" t="s">
        <v>29</v>
      </c>
      <c r="L1635" t="s">
        <v>895</v>
      </c>
      <c r="M1635" t="s">
        <v>4402</v>
      </c>
      <c r="O1635" t="s">
        <v>896</v>
      </c>
      <c r="P1635" t="s">
        <v>33</v>
      </c>
      <c r="Q1635">
        <v>544.55999999999995</v>
      </c>
      <c r="R1635" t="s">
        <v>35</v>
      </c>
      <c r="S1635" t="s">
        <v>35</v>
      </c>
      <c r="T1635" t="s">
        <v>35</v>
      </c>
      <c r="U1635" t="s">
        <v>35</v>
      </c>
      <c r="V1635" t="s">
        <v>645</v>
      </c>
      <c r="W1635" t="s">
        <v>113</v>
      </c>
    </row>
    <row r="1636" spans="1:23" hidden="1" x14ac:dyDescent="0.25">
      <c r="A1636" s="7" t="str">
        <f>IFERROR(VLOOKUP(H1636,'Contas Orç'!A:B,2,0),"N/A")</f>
        <v>LICENCIAMENTO - IPVA - DPVAT</v>
      </c>
      <c r="B1636" s="7" t="str">
        <f t="shared" si="50"/>
        <v>320301007 - LICENCIAMENTO - IPVA - DPVAT</v>
      </c>
      <c r="C1636" s="25">
        <f t="shared" si="51"/>
        <v>44652</v>
      </c>
      <c r="D1636" s="27">
        <f>IF(K1636="CREDITO",Q1636,Q1636*-1)</f>
        <v>1971.38</v>
      </c>
      <c r="E1636" t="s">
        <v>894</v>
      </c>
      <c r="F1636" t="s">
        <v>2130</v>
      </c>
      <c r="G1636" s="8">
        <v>44652</v>
      </c>
      <c r="H1636" t="s">
        <v>542</v>
      </c>
      <c r="I1636" t="s">
        <v>27</v>
      </c>
      <c r="J1636" t="s">
        <v>28</v>
      </c>
      <c r="K1636" t="s">
        <v>29</v>
      </c>
      <c r="L1636" t="s">
        <v>895</v>
      </c>
      <c r="M1636" t="s">
        <v>4402</v>
      </c>
      <c r="O1636" t="s">
        <v>896</v>
      </c>
      <c r="P1636" t="s">
        <v>33</v>
      </c>
      <c r="Q1636" s="22">
        <v>1971.38</v>
      </c>
      <c r="R1636" t="s">
        <v>35</v>
      </c>
      <c r="S1636" t="s">
        <v>35</v>
      </c>
      <c r="T1636" t="s">
        <v>35</v>
      </c>
      <c r="U1636" t="s">
        <v>35</v>
      </c>
      <c r="V1636" t="s">
        <v>645</v>
      </c>
      <c r="W1636" t="s">
        <v>113</v>
      </c>
    </row>
    <row r="1637" spans="1:23" hidden="1" x14ac:dyDescent="0.25">
      <c r="A1637" s="7" t="str">
        <f>IFERROR(VLOOKUP(H1637,'Contas Orç'!A:B,2,0),"N/A")</f>
        <v>LICENCIAMENTO - IPVA - DPVAT</v>
      </c>
      <c r="B1637" s="7" t="str">
        <f t="shared" si="50"/>
        <v>320301007 - LICENCIAMENTO - IPVA - DPVAT</v>
      </c>
      <c r="C1637" s="25">
        <f t="shared" si="51"/>
        <v>44652</v>
      </c>
      <c r="D1637" s="27">
        <f>IF(K1637="CREDITO",Q1637,Q1637*-1)</f>
        <v>318.54000000000002</v>
      </c>
      <c r="E1637" t="s">
        <v>894</v>
      </c>
      <c r="F1637" t="s">
        <v>2131</v>
      </c>
      <c r="G1637" s="8">
        <v>44652</v>
      </c>
      <c r="H1637" t="s">
        <v>542</v>
      </c>
      <c r="I1637" t="s">
        <v>59</v>
      </c>
      <c r="J1637" t="s">
        <v>28</v>
      </c>
      <c r="K1637" t="s">
        <v>29</v>
      </c>
      <c r="L1637" t="s">
        <v>895</v>
      </c>
      <c r="M1637" t="s">
        <v>4402</v>
      </c>
      <c r="O1637" t="s">
        <v>896</v>
      </c>
      <c r="P1637" t="s">
        <v>33</v>
      </c>
      <c r="Q1637">
        <v>318.54000000000002</v>
      </c>
      <c r="R1637" t="s">
        <v>35</v>
      </c>
      <c r="S1637" t="s">
        <v>35</v>
      </c>
      <c r="T1637" t="s">
        <v>35</v>
      </c>
      <c r="U1637" t="s">
        <v>35</v>
      </c>
      <c r="V1637" t="s">
        <v>645</v>
      </c>
      <c r="W1637" t="s">
        <v>113</v>
      </c>
    </row>
    <row r="1638" spans="1:23" hidden="1" x14ac:dyDescent="0.25">
      <c r="A1638" s="7" t="str">
        <f>IFERROR(VLOOKUP(H1638,'Contas Orç'!A:B,2,0),"N/A")</f>
        <v>LICENCIAMENTO - IPVA - DPVAT</v>
      </c>
      <c r="B1638" s="7" t="str">
        <f t="shared" si="50"/>
        <v>320301007 - LICENCIAMENTO - IPVA - DPVAT</v>
      </c>
      <c r="C1638" s="25">
        <f t="shared" si="51"/>
        <v>44652</v>
      </c>
      <c r="D1638" s="27">
        <f>IF(K1638="CREDITO",Q1638,Q1638*-1)</f>
        <v>907.6</v>
      </c>
      <c r="E1638" t="s">
        <v>894</v>
      </c>
      <c r="F1638" t="s">
        <v>2132</v>
      </c>
      <c r="G1638" s="8">
        <v>44652</v>
      </c>
      <c r="H1638" t="s">
        <v>542</v>
      </c>
      <c r="I1638" t="s">
        <v>59</v>
      </c>
      <c r="J1638" t="s">
        <v>60</v>
      </c>
      <c r="K1638" t="s">
        <v>29</v>
      </c>
      <c r="L1638" t="s">
        <v>895</v>
      </c>
      <c r="M1638" t="s">
        <v>4402</v>
      </c>
      <c r="O1638" t="s">
        <v>896</v>
      </c>
      <c r="P1638" t="s">
        <v>33</v>
      </c>
      <c r="Q1638">
        <v>907.6</v>
      </c>
      <c r="R1638" t="s">
        <v>35</v>
      </c>
      <c r="S1638" t="s">
        <v>35</v>
      </c>
      <c r="T1638" t="s">
        <v>35</v>
      </c>
      <c r="U1638" t="s">
        <v>35</v>
      </c>
      <c r="V1638" t="s">
        <v>645</v>
      </c>
      <c r="W1638" t="s">
        <v>113</v>
      </c>
    </row>
    <row r="1639" spans="1:23" hidden="1" x14ac:dyDescent="0.25">
      <c r="A1639" s="7" t="str">
        <f>IFERROR(VLOOKUP(H1639,'Contas Orç'!A:B,2,0),"N/A")</f>
        <v>LICENCIAMENTO - IPVA - DPVAT</v>
      </c>
      <c r="B1639" s="7" t="str">
        <f t="shared" si="50"/>
        <v>320301007 - LICENCIAMENTO - IPVA - DPVAT</v>
      </c>
      <c r="C1639" s="25">
        <f t="shared" si="51"/>
        <v>44652</v>
      </c>
      <c r="D1639" s="27">
        <f>IF(K1639="CREDITO",Q1639,Q1639*-1)</f>
        <v>797.69</v>
      </c>
      <c r="E1639" t="s">
        <v>894</v>
      </c>
      <c r="F1639" t="s">
        <v>2133</v>
      </c>
      <c r="G1639" s="8">
        <v>44652</v>
      </c>
      <c r="H1639" t="s">
        <v>542</v>
      </c>
      <c r="I1639" t="s">
        <v>59</v>
      </c>
      <c r="J1639" t="s">
        <v>107</v>
      </c>
      <c r="K1639" t="s">
        <v>29</v>
      </c>
      <c r="L1639" t="s">
        <v>895</v>
      </c>
      <c r="M1639" t="s">
        <v>4402</v>
      </c>
      <c r="O1639" t="s">
        <v>896</v>
      </c>
      <c r="P1639" t="s">
        <v>33</v>
      </c>
      <c r="Q1639">
        <v>797.69</v>
      </c>
      <c r="R1639" t="s">
        <v>35</v>
      </c>
      <c r="S1639" t="s">
        <v>35</v>
      </c>
      <c r="T1639" t="s">
        <v>35</v>
      </c>
      <c r="U1639" t="s">
        <v>35</v>
      </c>
      <c r="V1639" t="s">
        <v>645</v>
      </c>
      <c r="W1639" t="s">
        <v>113</v>
      </c>
    </row>
    <row r="1640" spans="1:23" hidden="1" x14ac:dyDescent="0.25">
      <c r="A1640" s="7" t="str">
        <f>IFERROR(VLOOKUP(H1640,'Contas Orç'!A:B,2,0),"N/A")</f>
        <v>LICENCIAMENTO - IPVA - DPVAT</v>
      </c>
      <c r="B1640" s="7" t="str">
        <f t="shared" si="50"/>
        <v>320301007 - LICENCIAMENTO - IPVA - DPVAT</v>
      </c>
      <c r="C1640" s="25">
        <f t="shared" si="51"/>
        <v>44652</v>
      </c>
      <c r="D1640" s="27">
        <f>IF(K1640="CREDITO",Q1640,Q1640*-1)</f>
        <v>181.52</v>
      </c>
      <c r="E1640" t="s">
        <v>894</v>
      </c>
      <c r="F1640" t="s">
        <v>2134</v>
      </c>
      <c r="G1640" s="8">
        <v>44652</v>
      </c>
      <c r="H1640" t="s">
        <v>542</v>
      </c>
      <c r="I1640" t="s">
        <v>53</v>
      </c>
      <c r="J1640" t="s">
        <v>54</v>
      </c>
      <c r="K1640" t="s">
        <v>29</v>
      </c>
      <c r="L1640" t="s">
        <v>895</v>
      </c>
      <c r="M1640" t="s">
        <v>4402</v>
      </c>
      <c r="O1640" t="s">
        <v>896</v>
      </c>
      <c r="P1640" t="s">
        <v>33</v>
      </c>
      <c r="Q1640">
        <v>181.52</v>
      </c>
      <c r="R1640" t="s">
        <v>35</v>
      </c>
      <c r="S1640" t="s">
        <v>35</v>
      </c>
      <c r="T1640" t="s">
        <v>35</v>
      </c>
      <c r="U1640" t="s">
        <v>35</v>
      </c>
      <c r="V1640" t="s">
        <v>645</v>
      </c>
      <c r="W1640" t="s">
        <v>113</v>
      </c>
    </row>
    <row r="1641" spans="1:23" hidden="1" x14ac:dyDescent="0.25">
      <c r="A1641" s="7" t="str">
        <f>IFERROR(VLOOKUP(H1641,'Contas Orç'!A:B,2,0),"N/A")</f>
        <v>LICENCIAMENTO - IPVA - DPVAT</v>
      </c>
      <c r="B1641" s="7" t="str">
        <f t="shared" si="50"/>
        <v>320301007 - LICENCIAMENTO - IPVA - DPVAT</v>
      </c>
      <c r="C1641" s="25">
        <f t="shared" si="51"/>
        <v>44682</v>
      </c>
      <c r="D1641" s="27">
        <f>IF(K1641="CREDITO",Q1641,Q1641*-1)</f>
        <v>2571.6999999999998</v>
      </c>
      <c r="E1641" t="s">
        <v>894</v>
      </c>
      <c r="F1641" t="s">
        <v>2135</v>
      </c>
      <c r="G1641" s="8">
        <v>44682</v>
      </c>
      <c r="H1641" t="s">
        <v>542</v>
      </c>
      <c r="I1641" t="s">
        <v>27</v>
      </c>
      <c r="J1641" t="s">
        <v>28</v>
      </c>
      <c r="K1641" t="s">
        <v>29</v>
      </c>
      <c r="L1641" t="s">
        <v>895</v>
      </c>
      <c r="M1641" t="s">
        <v>4402</v>
      </c>
      <c r="O1641" t="s">
        <v>896</v>
      </c>
      <c r="P1641" t="s">
        <v>33</v>
      </c>
      <c r="Q1641" s="22">
        <v>2571.6999999999998</v>
      </c>
      <c r="R1641" t="s">
        <v>35</v>
      </c>
      <c r="S1641" t="s">
        <v>35</v>
      </c>
      <c r="T1641" t="s">
        <v>35</v>
      </c>
      <c r="U1641" t="s">
        <v>35</v>
      </c>
      <c r="V1641" t="s">
        <v>645</v>
      </c>
      <c r="W1641" t="s">
        <v>113</v>
      </c>
    </row>
    <row r="1642" spans="1:23" hidden="1" x14ac:dyDescent="0.25">
      <c r="A1642" s="7" t="str">
        <f>IFERROR(VLOOKUP(H1642,'Contas Orç'!A:B,2,0),"N/A")</f>
        <v>LICENCIAMENTO - IPVA - DPVAT</v>
      </c>
      <c r="B1642" s="7" t="str">
        <f t="shared" si="50"/>
        <v>320301007 - LICENCIAMENTO - IPVA - DPVAT</v>
      </c>
      <c r="C1642" s="25">
        <f t="shared" si="51"/>
        <v>44713</v>
      </c>
      <c r="D1642" s="27">
        <f>IF(K1642="CREDITO",Q1642,Q1642*-1)</f>
        <v>6038.36</v>
      </c>
      <c r="E1642" t="s">
        <v>894</v>
      </c>
      <c r="F1642" t="s">
        <v>2136</v>
      </c>
      <c r="G1642" s="8">
        <v>44713</v>
      </c>
      <c r="H1642" t="s">
        <v>542</v>
      </c>
      <c r="I1642" t="s">
        <v>27</v>
      </c>
      <c r="J1642" t="s">
        <v>28</v>
      </c>
      <c r="K1642" t="s">
        <v>29</v>
      </c>
      <c r="L1642" t="s">
        <v>895</v>
      </c>
      <c r="M1642" t="s">
        <v>4402</v>
      </c>
      <c r="O1642" t="s">
        <v>896</v>
      </c>
      <c r="P1642" t="s">
        <v>33</v>
      </c>
      <c r="Q1642" s="22">
        <v>6038.36</v>
      </c>
      <c r="R1642" t="s">
        <v>35</v>
      </c>
      <c r="S1642" t="s">
        <v>35</v>
      </c>
      <c r="T1642" t="s">
        <v>35</v>
      </c>
      <c r="U1642" t="s">
        <v>35</v>
      </c>
      <c r="V1642" t="s">
        <v>645</v>
      </c>
      <c r="W1642" t="s">
        <v>113</v>
      </c>
    </row>
    <row r="1643" spans="1:23" hidden="1" x14ac:dyDescent="0.25">
      <c r="A1643" s="7" t="str">
        <f>IFERROR(VLOOKUP(H1643,'Contas Orç'!A:B,2,0),"N/A")</f>
        <v>LICENCIAMENTO - IPVA - DPVAT</v>
      </c>
      <c r="B1643" s="7" t="str">
        <f t="shared" si="50"/>
        <v>320301007 - LICENCIAMENTO - IPVA - DPVAT</v>
      </c>
      <c r="C1643" s="25">
        <f t="shared" si="51"/>
        <v>44713</v>
      </c>
      <c r="D1643" s="27">
        <f>IF(K1643="CREDITO",Q1643,Q1643*-1)</f>
        <v>733.65</v>
      </c>
      <c r="E1643" t="s">
        <v>894</v>
      </c>
      <c r="F1643" t="s">
        <v>2137</v>
      </c>
      <c r="G1643" s="8">
        <v>44713</v>
      </c>
      <c r="H1643" t="s">
        <v>542</v>
      </c>
      <c r="I1643" t="s">
        <v>88</v>
      </c>
      <c r="J1643" t="s">
        <v>60</v>
      </c>
      <c r="K1643" t="s">
        <v>29</v>
      </c>
      <c r="L1643" t="s">
        <v>895</v>
      </c>
      <c r="M1643" t="s">
        <v>4402</v>
      </c>
      <c r="O1643" t="s">
        <v>896</v>
      </c>
      <c r="P1643" t="s">
        <v>33</v>
      </c>
      <c r="Q1643">
        <v>733.65</v>
      </c>
      <c r="R1643" t="s">
        <v>35</v>
      </c>
      <c r="S1643" t="s">
        <v>35</v>
      </c>
      <c r="T1643" t="s">
        <v>35</v>
      </c>
      <c r="U1643" t="s">
        <v>35</v>
      </c>
      <c r="V1643" t="s">
        <v>645</v>
      </c>
      <c r="W1643" t="s">
        <v>113</v>
      </c>
    </row>
    <row r="1644" spans="1:23" hidden="1" x14ac:dyDescent="0.25">
      <c r="A1644" s="7" t="str">
        <f>IFERROR(VLOOKUP(H1644,'Contas Orç'!A:B,2,0),"N/A")</f>
        <v>LICENCIAMENTO - IPVA - DPVAT</v>
      </c>
      <c r="B1644" s="7" t="str">
        <f t="shared" si="50"/>
        <v>320301007 - LICENCIAMENTO - IPVA - DPVAT</v>
      </c>
      <c r="C1644" s="25">
        <f t="shared" si="51"/>
        <v>44713</v>
      </c>
      <c r="D1644" s="27">
        <f>IF(K1644="CREDITO",Q1644,Q1644*-1)</f>
        <v>3311.36</v>
      </c>
      <c r="E1644" t="s">
        <v>894</v>
      </c>
      <c r="F1644" t="s">
        <v>2138</v>
      </c>
      <c r="G1644" s="8">
        <v>44713</v>
      </c>
      <c r="H1644" t="s">
        <v>542</v>
      </c>
      <c r="I1644" t="s">
        <v>59</v>
      </c>
      <c r="J1644" t="s">
        <v>60</v>
      </c>
      <c r="K1644" t="s">
        <v>29</v>
      </c>
      <c r="L1644" t="s">
        <v>895</v>
      </c>
      <c r="M1644" t="s">
        <v>4402</v>
      </c>
      <c r="O1644" t="s">
        <v>896</v>
      </c>
      <c r="P1644" t="s">
        <v>33</v>
      </c>
      <c r="Q1644" s="22">
        <v>3311.36</v>
      </c>
      <c r="R1644" t="s">
        <v>35</v>
      </c>
      <c r="S1644" t="s">
        <v>35</v>
      </c>
      <c r="T1644" t="s">
        <v>35</v>
      </c>
      <c r="U1644" t="s">
        <v>35</v>
      </c>
      <c r="V1644" t="s">
        <v>645</v>
      </c>
      <c r="W1644" t="s">
        <v>113</v>
      </c>
    </row>
    <row r="1645" spans="1:23" hidden="1" x14ac:dyDescent="0.25">
      <c r="A1645" s="7" t="str">
        <f>IFERROR(VLOOKUP(H1645,'Contas Orç'!A:B,2,0),"N/A")</f>
        <v>LICENCIAMENTO - IPVA - DPVAT</v>
      </c>
      <c r="B1645" s="7" t="str">
        <f t="shared" si="50"/>
        <v>320301007 - LICENCIAMENTO - IPVA - DPVAT</v>
      </c>
      <c r="C1645" s="25">
        <f t="shared" si="51"/>
        <v>44713</v>
      </c>
      <c r="D1645" s="27">
        <f>IF(K1645="CREDITO",Q1645,Q1645*-1)</f>
        <v>363.04</v>
      </c>
      <c r="E1645" t="s">
        <v>894</v>
      </c>
      <c r="F1645" t="s">
        <v>2139</v>
      </c>
      <c r="G1645" s="8">
        <v>44713</v>
      </c>
      <c r="H1645" t="s">
        <v>542</v>
      </c>
      <c r="I1645" t="s">
        <v>88</v>
      </c>
      <c r="J1645" t="s">
        <v>95</v>
      </c>
      <c r="K1645" t="s">
        <v>29</v>
      </c>
      <c r="L1645" t="s">
        <v>895</v>
      </c>
      <c r="M1645" t="s">
        <v>4402</v>
      </c>
      <c r="O1645" t="s">
        <v>896</v>
      </c>
      <c r="P1645" t="s">
        <v>33</v>
      </c>
      <c r="Q1645">
        <v>363.04</v>
      </c>
      <c r="R1645" t="s">
        <v>35</v>
      </c>
      <c r="S1645" t="s">
        <v>35</v>
      </c>
      <c r="T1645" t="s">
        <v>35</v>
      </c>
      <c r="U1645" t="s">
        <v>35</v>
      </c>
      <c r="V1645" t="s">
        <v>645</v>
      </c>
      <c r="W1645" t="s">
        <v>113</v>
      </c>
    </row>
    <row r="1646" spans="1:23" hidden="1" x14ac:dyDescent="0.25">
      <c r="A1646" s="7" t="str">
        <f>IFERROR(VLOOKUP(H1646,'Contas Orç'!A:B,2,0),"N/A")</f>
        <v>LICENCIAMENTO - IPVA - DPVAT</v>
      </c>
      <c r="B1646" s="7" t="str">
        <f t="shared" si="50"/>
        <v>320301007 - LICENCIAMENTO - IPVA - DPVAT</v>
      </c>
      <c r="C1646" s="25">
        <f t="shared" si="51"/>
        <v>44743</v>
      </c>
      <c r="D1646" s="27">
        <f>IF(K1646="CREDITO",Q1646,Q1646*-1)</f>
        <v>3556.59</v>
      </c>
      <c r="E1646" t="s">
        <v>894</v>
      </c>
      <c r="F1646" t="s">
        <v>2140</v>
      </c>
      <c r="G1646" s="8">
        <v>44743</v>
      </c>
      <c r="H1646" t="s">
        <v>542</v>
      </c>
      <c r="I1646" t="s">
        <v>27</v>
      </c>
      <c r="J1646" t="s">
        <v>28</v>
      </c>
      <c r="K1646" t="s">
        <v>29</v>
      </c>
      <c r="L1646" t="s">
        <v>895</v>
      </c>
      <c r="M1646" t="s">
        <v>4402</v>
      </c>
      <c r="O1646" t="s">
        <v>896</v>
      </c>
      <c r="P1646" t="s">
        <v>33</v>
      </c>
      <c r="Q1646" s="22">
        <v>3556.59</v>
      </c>
      <c r="R1646" t="s">
        <v>35</v>
      </c>
      <c r="S1646" t="s">
        <v>35</v>
      </c>
      <c r="T1646" t="s">
        <v>35</v>
      </c>
      <c r="U1646" t="s">
        <v>35</v>
      </c>
      <c r="V1646" t="s">
        <v>645</v>
      </c>
      <c r="W1646" t="s">
        <v>113</v>
      </c>
    </row>
    <row r="1647" spans="1:23" hidden="1" x14ac:dyDescent="0.25">
      <c r="A1647" s="7" t="str">
        <f>IFERROR(VLOOKUP(H1647,'Contas Orç'!A:B,2,0),"N/A")</f>
        <v>LICENCIAMENTO - IPVA - DPVAT</v>
      </c>
      <c r="B1647" s="7" t="str">
        <f t="shared" si="50"/>
        <v>320301007 - LICENCIAMENTO - IPVA - DPVAT</v>
      </c>
      <c r="C1647" s="25">
        <f t="shared" si="51"/>
        <v>44743</v>
      </c>
      <c r="D1647" s="27">
        <f>IF(K1647="CREDITO",Q1647,Q1647*-1)</f>
        <v>363.04</v>
      </c>
      <c r="E1647" t="s">
        <v>894</v>
      </c>
      <c r="F1647" t="s">
        <v>2141</v>
      </c>
      <c r="G1647" s="8">
        <v>44743</v>
      </c>
      <c r="H1647" t="s">
        <v>542</v>
      </c>
      <c r="I1647" t="s">
        <v>59</v>
      </c>
      <c r="J1647" t="s">
        <v>60</v>
      </c>
      <c r="K1647" t="s">
        <v>29</v>
      </c>
      <c r="L1647" t="s">
        <v>895</v>
      </c>
      <c r="M1647" t="s">
        <v>4402</v>
      </c>
      <c r="O1647" t="s">
        <v>896</v>
      </c>
      <c r="P1647" t="s">
        <v>33</v>
      </c>
      <c r="Q1647">
        <v>363.04</v>
      </c>
      <c r="R1647" t="s">
        <v>35</v>
      </c>
      <c r="S1647" t="s">
        <v>35</v>
      </c>
      <c r="T1647" t="s">
        <v>35</v>
      </c>
      <c r="U1647" t="s">
        <v>35</v>
      </c>
      <c r="V1647" t="s">
        <v>645</v>
      </c>
      <c r="W1647" t="s">
        <v>113</v>
      </c>
    </row>
    <row r="1648" spans="1:23" hidden="1" x14ac:dyDescent="0.25">
      <c r="A1648" s="7" t="str">
        <f>IFERROR(VLOOKUP(H1648,'Contas Orç'!A:B,2,0),"N/A")</f>
        <v>LICENCIAMENTO - IPVA - DPVAT</v>
      </c>
      <c r="B1648" s="7" t="str">
        <f t="shared" si="50"/>
        <v>320301007 - LICENCIAMENTO - IPVA - DPVAT</v>
      </c>
      <c r="C1648" s="25">
        <f t="shared" si="51"/>
        <v>44743</v>
      </c>
      <c r="D1648" s="27">
        <f>IF(K1648="CREDITO",Q1648,Q1648*-1)</f>
        <v>322.86</v>
      </c>
      <c r="E1648" t="s">
        <v>894</v>
      </c>
      <c r="F1648" t="s">
        <v>2142</v>
      </c>
      <c r="G1648" s="8">
        <v>44743</v>
      </c>
      <c r="H1648" t="s">
        <v>542</v>
      </c>
      <c r="I1648" t="s">
        <v>125</v>
      </c>
      <c r="J1648" t="s">
        <v>95</v>
      </c>
      <c r="K1648" t="s">
        <v>29</v>
      </c>
      <c r="L1648" t="s">
        <v>895</v>
      </c>
      <c r="M1648" t="s">
        <v>4402</v>
      </c>
      <c r="O1648" t="s">
        <v>896</v>
      </c>
      <c r="P1648" t="s">
        <v>33</v>
      </c>
      <c r="Q1648">
        <v>322.86</v>
      </c>
      <c r="R1648" t="s">
        <v>35</v>
      </c>
      <c r="S1648" t="s">
        <v>35</v>
      </c>
      <c r="T1648" t="s">
        <v>35</v>
      </c>
      <c r="U1648" t="s">
        <v>35</v>
      </c>
      <c r="V1648" t="s">
        <v>645</v>
      </c>
      <c r="W1648" t="s">
        <v>113</v>
      </c>
    </row>
    <row r="1649" spans="1:23" hidden="1" x14ac:dyDescent="0.25">
      <c r="A1649" s="7" t="str">
        <f>IFERROR(VLOOKUP(H1649,'Contas Orç'!A:B,2,0),"N/A")</f>
        <v>LICENCIAMENTO - IPVA - DPVAT</v>
      </c>
      <c r="B1649" s="7" t="str">
        <f t="shared" si="50"/>
        <v>320301007 - LICENCIAMENTO - IPVA - DPVAT</v>
      </c>
      <c r="C1649" s="25">
        <f t="shared" si="51"/>
        <v>44774</v>
      </c>
      <c r="D1649" s="27">
        <f>IF(K1649="CREDITO",Q1649,Q1649*-1)</f>
        <v>18130.18</v>
      </c>
      <c r="E1649" t="s">
        <v>894</v>
      </c>
      <c r="F1649" t="s">
        <v>2143</v>
      </c>
      <c r="G1649" s="8">
        <v>44774</v>
      </c>
      <c r="H1649" t="s">
        <v>542</v>
      </c>
      <c r="I1649" t="s">
        <v>27</v>
      </c>
      <c r="J1649" t="s">
        <v>28</v>
      </c>
      <c r="K1649" t="s">
        <v>29</v>
      </c>
      <c r="L1649" t="s">
        <v>895</v>
      </c>
      <c r="M1649" t="s">
        <v>4402</v>
      </c>
      <c r="O1649" t="s">
        <v>896</v>
      </c>
      <c r="P1649" t="s">
        <v>33</v>
      </c>
      <c r="Q1649" s="22">
        <v>18130.18</v>
      </c>
      <c r="R1649" t="s">
        <v>35</v>
      </c>
      <c r="S1649" t="s">
        <v>35</v>
      </c>
      <c r="T1649" t="s">
        <v>35</v>
      </c>
      <c r="U1649" t="s">
        <v>35</v>
      </c>
      <c r="V1649" t="s">
        <v>645</v>
      </c>
      <c r="W1649" t="s">
        <v>113</v>
      </c>
    </row>
    <row r="1650" spans="1:23" hidden="1" x14ac:dyDescent="0.25">
      <c r="A1650" s="7" t="str">
        <f>IFERROR(VLOOKUP(H1650,'Contas Orç'!A:B,2,0),"N/A")</f>
        <v>LICENCIAMENTO - IPVA - DPVAT</v>
      </c>
      <c r="B1650" s="7" t="str">
        <f t="shared" si="50"/>
        <v>320301007 - LICENCIAMENTO - IPVA - DPVAT</v>
      </c>
      <c r="C1650" s="25">
        <f t="shared" si="51"/>
        <v>44774</v>
      </c>
      <c r="D1650" s="27">
        <f>IF(K1650="CREDITO",Q1650,Q1650*-1)</f>
        <v>323.63</v>
      </c>
      <c r="E1650" t="s">
        <v>894</v>
      </c>
      <c r="F1650" t="s">
        <v>2144</v>
      </c>
      <c r="G1650" s="8">
        <v>44774</v>
      </c>
      <c r="H1650" t="s">
        <v>542</v>
      </c>
      <c r="I1650" t="s">
        <v>59</v>
      </c>
      <c r="J1650" t="s">
        <v>28</v>
      </c>
      <c r="K1650" t="s">
        <v>29</v>
      </c>
      <c r="L1650" t="s">
        <v>895</v>
      </c>
      <c r="M1650" t="s">
        <v>4402</v>
      </c>
      <c r="O1650" t="s">
        <v>896</v>
      </c>
      <c r="P1650" t="s">
        <v>33</v>
      </c>
      <c r="Q1650">
        <v>323.63</v>
      </c>
      <c r="R1650" t="s">
        <v>35</v>
      </c>
      <c r="S1650" t="s">
        <v>35</v>
      </c>
      <c r="T1650" t="s">
        <v>35</v>
      </c>
      <c r="U1650" t="s">
        <v>35</v>
      </c>
      <c r="V1650" t="s">
        <v>645</v>
      </c>
      <c r="W1650" t="s">
        <v>113</v>
      </c>
    </row>
    <row r="1651" spans="1:23" hidden="1" x14ac:dyDescent="0.25">
      <c r="A1651" s="7" t="str">
        <f>IFERROR(VLOOKUP(H1651,'Contas Orç'!A:B,2,0),"N/A")</f>
        <v>LICENCIAMENTO - IPVA - DPVAT</v>
      </c>
      <c r="B1651" s="7" t="str">
        <f t="shared" si="50"/>
        <v>320301007 - LICENCIAMENTO - IPVA - DPVAT</v>
      </c>
      <c r="C1651" s="25">
        <f t="shared" si="51"/>
        <v>44774</v>
      </c>
      <c r="D1651" s="27">
        <f>IF(K1651="CREDITO",Q1651,Q1651*-1)</f>
        <v>5182.7299999999996</v>
      </c>
      <c r="E1651" t="s">
        <v>894</v>
      </c>
      <c r="F1651" t="s">
        <v>2145</v>
      </c>
      <c r="G1651" s="8">
        <v>44774</v>
      </c>
      <c r="H1651" t="s">
        <v>542</v>
      </c>
      <c r="I1651" t="s">
        <v>59</v>
      </c>
      <c r="J1651" t="s">
        <v>60</v>
      </c>
      <c r="K1651" t="s">
        <v>29</v>
      </c>
      <c r="L1651" t="s">
        <v>895</v>
      </c>
      <c r="M1651" t="s">
        <v>4402</v>
      </c>
      <c r="O1651" t="s">
        <v>896</v>
      </c>
      <c r="P1651" t="s">
        <v>33</v>
      </c>
      <c r="Q1651" s="22">
        <v>5182.7299999999996</v>
      </c>
      <c r="R1651" t="s">
        <v>35</v>
      </c>
      <c r="S1651" t="s">
        <v>35</v>
      </c>
      <c r="T1651" t="s">
        <v>35</v>
      </c>
      <c r="U1651" t="s">
        <v>35</v>
      </c>
      <c r="V1651" t="s">
        <v>645</v>
      </c>
      <c r="W1651" t="s">
        <v>113</v>
      </c>
    </row>
    <row r="1652" spans="1:23" hidden="1" x14ac:dyDescent="0.25">
      <c r="A1652" s="7" t="str">
        <f>IFERROR(VLOOKUP(H1652,'Contas Orç'!A:B,2,0),"N/A")</f>
        <v>LICENCIAMENTO - IPVA - DPVAT</v>
      </c>
      <c r="B1652" s="7" t="str">
        <f t="shared" si="50"/>
        <v>320301007 - LICENCIAMENTO - IPVA - DPVAT</v>
      </c>
      <c r="C1652" s="25">
        <f t="shared" si="51"/>
        <v>44805</v>
      </c>
      <c r="D1652" s="27">
        <f>IF(K1652="CREDITO",Q1652,Q1652*-1)</f>
        <v>9379.81</v>
      </c>
      <c r="E1652" t="s">
        <v>894</v>
      </c>
      <c r="F1652" t="s">
        <v>2146</v>
      </c>
      <c r="G1652" s="8">
        <v>44805</v>
      </c>
      <c r="H1652" t="s">
        <v>542</v>
      </c>
      <c r="I1652" t="s">
        <v>27</v>
      </c>
      <c r="J1652" t="s">
        <v>28</v>
      </c>
      <c r="K1652" t="s">
        <v>29</v>
      </c>
      <c r="L1652" t="s">
        <v>895</v>
      </c>
      <c r="M1652" t="s">
        <v>4402</v>
      </c>
      <c r="O1652" t="s">
        <v>896</v>
      </c>
      <c r="P1652" t="s">
        <v>33</v>
      </c>
      <c r="Q1652" s="22">
        <v>9379.81</v>
      </c>
      <c r="R1652" t="s">
        <v>35</v>
      </c>
      <c r="S1652" t="s">
        <v>35</v>
      </c>
      <c r="T1652" t="s">
        <v>35</v>
      </c>
      <c r="U1652" t="s">
        <v>35</v>
      </c>
      <c r="V1652" t="s">
        <v>645</v>
      </c>
      <c r="W1652" t="s">
        <v>113</v>
      </c>
    </row>
    <row r="1653" spans="1:23" hidden="1" x14ac:dyDescent="0.25">
      <c r="A1653" s="7" t="str">
        <f>IFERROR(VLOOKUP(H1653,'Contas Orç'!A:B,2,0),"N/A")</f>
        <v>LICENCIAMENTO - IPVA - DPVAT</v>
      </c>
      <c r="B1653" s="7" t="str">
        <f t="shared" si="50"/>
        <v>320301007 - LICENCIAMENTO - IPVA - DPVAT</v>
      </c>
      <c r="C1653" s="25">
        <f t="shared" si="51"/>
        <v>44805</v>
      </c>
      <c r="D1653" s="27">
        <f>IF(K1653="CREDITO",Q1653,Q1653*-1)</f>
        <v>181.52</v>
      </c>
      <c r="E1653" t="s">
        <v>894</v>
      </c>
      <c r="F1653" t="s">
        <v>2147</v>
      </c>
      <c r="G1653" s="8">
        <v>44805</v>
      </c>
      <c r="H1653" t="s">
        <v>542</v>
      </c>
      <c r="I1653" t="s">
        <v>59</v>
      </c>
      <c r="J1653" t="s">
        <v>28</v>
      </c>
      <c r="K1653" t="s">
        <v>29</v>
      </c>
      <c r="L1653" t="s">
        <v>895</v>
      </c>
      <c r="M1653" t="s">
        <v>4402</v>
      </c>
      <c r="O1653" t="s">
        <v>896</v>
      </c>
      <c r="P1653" t="s">
        <v>33</v>
      </c>
      <c r="Q1653">
        <v>181.52</v>
      </c>
      <c r="R1653" t="s">
        <v>35</v>
      </c>
      <c r="S1653" t="s">
        <v>35</v>
      </c>
      <c r="T1653" t="s">
        <v>35</v>
      </c>
      <c r="U1653" t="s">
        <v>35</v>
      </c>
      <c r="V1653" t="s">
        <v>645</v>
      </c>
      <c r="W1653" t="s">
        <v>113</v>
      </c>
    </row>
    <row r="1654" spans="1:23" hidden="1" x14ac:dyDescent="0.25">
      <c r="A1654" s="7" t="str">
        <f>IFERROR(VLOOKUP(H1654,'Contas Orç'!A:B,2,0),"N/A")</f>
        <v>LICENCIAMENTO - IPVA - DPVAT</v>
      </c>
      <c r="B1654" s="7" t="str">
        <f t="shared" si="50"/>
        <v>320301007 - LICENCIAMENTO - IPVA - DPVAT</v>
      </c>
      <c r="C1654" s="25">
        <f t="shared" si="51"/>
        <v>44805</v>
      </c>
      <c r="D1654" s="27">
        <f>IF(K1654="CREDITO",Q1654,Q1654*-1)</f>
        <v>384.99</v>
      </c>
      <c r="E1654" t="s">
        <v>894</v>
      </c>
      <c r="F1654" t="s">
        <v>2148</v>
      </c>
      <c r="G1654" s="8">
        <v>44805</v>
      </c>
      <c r="H1654" t="s">
        <v>542</v>
      </c>
      <c r="I1654" t="s">
        <v>27</v>
      </c>
      <c r="J1654" t="s">
        <v>60</v>
      </c>
      <c r="K1654" t="s">
        <v>29</v>
      </c>
      <c r="L1654" t="s">
        <v>895</v>
      </c>
      <c r="M1654" t="s">
        <v>4402</v>
      </c>
      <c r="O1654" t="s">
        <v>896</v>
      </c>
      <c r="P1654" t="s">
        <v>33</v>
      </c>
      <c r="Q1654">
        <v>384.99</v>
      </c>
      <c r="R1654" t="s">
        <v>35</v>
      </c>
      <c r="S1654" t="s">
        <v>35</v>
      </c>
      <c r="T1654" t="s">
        <v>35</v>
      </c>
      <c r="U1654" t="s">
        <v>35</v>
      </c>
      <c r="V1654" t="s">
        <v>645</v>
      </c>
      <c r="W1654" t="s">
        <v>113</v>
      </c>
    </row>
    <row r="1655" spans="1:23" hidden="1" x14ac:dyDescent="0.25">
      <c r="A1655" s="7" t="str">
        <f>IFERROR(VLOOKUP(H1655,'Contas Orç'!A:B,2,0),"N/A")</f>
        <v>LICENCIAMENTO - IPVA - DPVAT</v>
      </c>
      <c r="B1655" s="7" t="str">
        <f t="shared" si="50"/>
        <v>320301007 - LICENCIAMENTO - IPVA - DPVAT</v>
      </c>
      <c r="C1655" s="25">
        <f t="shared" si="51"/>
        <v>44805</v>
      </c>
      <c r="D1655" s="27">
        <f>IF(K1655="CREDITO",Q1655,Q1655*-1)</f>
        <v>502.32</v>
      </c>
      <c r="E1655" t="s">
        <v>894</v>
      </c>
      <c r="F1655" t="s">
        <v>2149</v>
      </c>
      <c r="G1655" s="8">
        <v>44805</v>
      </c>
      <c r="H1655" t="s">
        <v>542</v>
      </c>
      <c r="I1655" t="s">
        <v>59</v>
      </c>
      <c r="J1655" t="s">
        <v>60</v>
      </c>
      <c r="K1655" t="s">
        <v>29</v>
      </c>
      <c r="L1655" t="s">
        <v>895</v>
      </c>
      <c r="M1655" t="s">
        <v>4402</v>
      </c>
      <c r="O1655" t="s">
        <v>896</v>
      </c>
      <c r="P1655" t="s">
        <v>33</v>
      </c>
      <c r="Q1655">
        <v>502.32</v>
      </c>
      <c r="R1655" t="s">
        <v>35</v>
      </c>
      <c r="S1655" t="s">
        <v>35</v>
      </c>
      <c r="T1655" t="s">
        <v>35</v>
      </c>
      <c r="U1655" t="s">
        <v>35</v>
      </c>
      <c r="V1655" t="s">
        <v>645</v>
      </c>
      <c r="W1655" t="s">
        <v>113</v>
      </c>
    </row>
    <row r="1656" spans="1:23" hidden="1" x14ac:dyDescent="0.25">
      <c r="A1656" s="7" t="str">
        <f>IFERROR(VLOOKUP(H1656,'Contas Orç'!A:B,2,0),"N/A")</f>
        <v>LICENCIAMENTO - IPVA - DPVAT</v>
      </c>
      <c r="B1656" s="7" t="str">
        <f t="shared" si="50"/>
        <v>320301007 - LICENCIAMENTO - IPVA - DPVAT</v>
      </c>
      <c r="C1656" s="25">
        <f t="shared" si="51"/>
        <v>44805</v>
      </c>
      <c r="D1656" s="27">
        <f>IF(K1656="CREDITO",Q1656,Q1656*-1)</f>
        <v>944.44</v>
      </c>
      <c r="E1656" t="s">
        <v>894</v>
      </c>
      <c r="F1656" t="s">
        <v>2150</v>
      </c>
      <c r="G1656" s="8">
        <v>44805</v>
      </c>
      <c r="H1656" t="s">
        <v>542</v>
      </c>
      <c r="I1656" t="s">
        <v>27</v>
      </c>
      <c r="J1656" t="s">
        <v>107</v>
      </c>
      <c r="K1656" t="s">
        <v>29</v>
      </c>
      <c r="L1656" t="s">
        <v>895</v>
      </c>
      <c r="M1656" t="s">
        <v>4402</v>
      </c>
      <c r="O1656" t="s">
        <v>896</v>
      </c>
      <c r="P1656" t="s">
        <v>33</v>
      </c>
      <c r="Q1656">
        <v>944.44</v>
      </c>
      <c r="R1656" t="s">
        <v>35</v>
      </c>
      <c r="S1656" t="s">
        <v>35</v>
      </c>
      <c r="T1656" t="s">
        <v>35</v>
      </c>
      <c r="U1656" t="s">
        <v>35</v>
      </c>
      <c r="V1656" t="s">
        <v>645</v>
      </c>
      <c r="W1656" t="s">
        <v>113</v>
      </c>
    </row>
    <row r="1657" spans="1:23" hidden="1" x14ac:dyDescent="0.25">
      <c r="A1657" s="7" t="str">
        <f>IFERROR(VLOOKUP(H1657,'Contas Orç'!A:B,2,0),"N/A")</f>
        <v>LICENCIAMENTO - IPVA - DPVAT</v>
      </c>
      <c r="B1657" s="7" t="str">
        <f t="shared" si="50"/>
        <v>320301007 - LICENCIAMENTO - IPVA - DPVAT</v>
      </c>
      <c r="C1657" s="25">
        <f t="shared" si="51"/>
        <v>44805</v>
      </c>
      <c r="D1657" s="27">
        <f>IF(K1657="CREDITO",Q1657,Q1657*-1)</f>
        <v>1495.38</v>
      </c>
      <c r="E1657" t="s">
        <v>894</v>
      </c>
      <c r="F1657" t="s">
        <v>2151</v>
      </c>
      <c r="G1657" s="8">
        <v>44805</v>
      </c>
      <c r="H1657" t="s">
        <v>542</v>
      </c>
      <c r="I1657" t="s">
        <v>59</v>
      </c>
      <c r="J1657" t="s">
        <v>107</v>
      </c>
      <c r="K1657" t="s">
        <v>29</v>
      </c>
      <c r="L1657" t="s">
        <v>895</v>
      </c>
      <c r="M1657" t="s">
        <v>4402</v>
      </c>
      <c r="O1657" t="s">
        <v>896</v>
      </c>
      <c r="P1657" t="s">
        <v>33</v>
      </c>
      <c r="Q1657" s="22">
        <v>1495.38</v>
      </c>
      <c r="R1657" t="s">
        <v>35</v>
      </c>
      <c r="S1657" t="s">
        <v>35</v>
      </c>
      <c r="T1657" t="s">
        <v>35</v>
      </c>
      <c r="U1657" t="s">
        <v>35</v>
      </c>
      <c r="V1657" t="s">
        <v>645</v>
      </c>
      <c r="W1657" t="s">
        <v>113</v>
      </c>
    </row>
    <row r="1658" spans="1:23" hidden="1" x14ac:dyDescent="0.25">
      <c r="A1658" s="7" t="str">
        <f>IFERROR(VLOOKUP(H1658,'Contas Orç'!A:B,2,0),"N/A")</f>
        <v>LICENCIAMENTO - IPVA - DPVAT</v>
      </c>
      <c r="B1658" s="7" t="str">
        <f t="shared" si="50"/>
        <v>320301007 - LICENCIAMENTO - IPVA - DPVAT</v>
      </c>
      <c r="C1658" s="25">
        <f t="shared" si="51"/>
        <v>44835</v>
      </c>
      <c r="D1658" s="27">
        <f>IF(K1658="CREDITO",Q1658,Q1658*-1)</f>
        <v>9473.61</v>
      </c>
      <c r="E1658" t="s">
        <v>894</v>
      </c>
      <c r="F1658" t="s">
        <v>2152</v>
      </c>
      <c r="G1658" s="8">
        <v>44835</v>
      </c>
      <c r="H1658" t="s">
        <v>542</v>
      </c>
      <c r="I1658" t="s">
        <v>27</v>
      </c>
      <c r="J1658" t="s">
        <v>28</v>
      </c>
      <c r="K1658" t="s">
        <v>29</v>
      </c>
      <c r="L1658" t="s">
        <v>895</v>
      </c>
      <c r="M1658" t="s">
        <v>4402</v>
      </c>
      <c r="O1658" t="s">
        <v>896</v>
      </c>
      <c r="P1658" t="s">
        <v>33</v>
      </c>
      <c r="Q1658" s="22">
        <v>9473.61</v>
      </c>
      <c r="R1658" t="s">
        <v>35</v>
      </c>
      <c r="S1658" t="s">
        <v>35</v>
      </c>
      <c r="T1658" t="s">
        <v>35</v>
      </c>
      <c r="U1658" t="s">
        <v>35</v>
      </c>
      <c r="V1658" t="s">
        <v>645</v>
      </c>
      <c r="W1658" t="s">
        <v>113</v>
      </c>
    </row>
    <row r="1659" spans="1:23" hidden="1" x14ac:dyDescent="0.25">
      <c r="A1659" s="7" t="str">
        <f>IFERROR(VLOOKUP(H1659,'Contas Orç'!A:B,2,0),"N/A")</f>
        <v>LICENCIAMENTO - IPVA - DPVAT</v>
      </c>
      <c r="B1659" s="7" t="str">
        <f t="shared" si="50"/>
        <v>320301007 - LICENCIAMENTO - IPVA - DPVAT</v>
      </c>
      <c r="C1659" s="25">
        <f t="shared" si="51"/>
        <v>44835</v>
      </c>
      <c r="D1659" s="27">
        <f>IF(K1659="CREDITO",Q1659,Q1659*-1)</f>
        <v>183.34</v>
      </c>
      <c r="E1659" t="s">
        <v>894</v>
      </c>
      <c r="F1659" t="s">
        <v>2153</v>
      </c>
      <c r="G1659" s="8">
        <v>44835</v>
      </c>
      <c r="H1659" t="s">
        <v>542</v>
      </c>
      <c r="I1659" t="s">
        <v>59</v>
      </c>
      <c r="J1659" t="s">
        <v>28</v>
      </c>
      <c r="K1659" t="s">
        <v>29</v>
      </c>
      <c r="L1659" t="s">
        <v>895</v>
      </c>
      <c r="M1659" t="s">
        <v>4402</v>
      </c>
      <c r="O1659" t="s">
        <v>896</v>
      </c>
      <c r="P1659" t="s">
        <v>33</v>
      </c>
      <c r="Q1659">
        <v>183.34</v>
      </c>
      <c r="R1659" t="s">
        <v>35</v>
      </c>
      <c r="S1659" t="s">
        <v>35</v>
      </c>
      <c r="T1659" t="s">
        <v>35</v>
      </c>
      <c r="U1659" t="s">
        <v>35</v>
      </c>
      <c r="V1659" t="s">
        <v>645</v>
      </c>
      <c r="W1659" t="s">
        <v>113</v>
      </c>
    </row>
    <row r="1660" spans="1:23" hidden="1" x14ac:dyDescent="0.25">
      <c r="A1660" s="7" t="str">
        <f>IFERROR(VLOOKUP(H1660,'Contas Orç'!A:B,2,0),"N/A")</f>
        <v>LICENCIAMENTO - IPVA - DPVAT</v>
      </c>
      <c r="B1660" s="7" t="str">
        <f t="shared" si="50"/>
        <v>320301007 - LICENCIAMENTO - IPVA - DPVAT</v>
      </c>
      <c r="C1660" s="25">
        <f t="shared" si="51"/>
        <v>44835</v>
      </c>
      <c r="D1660" s="27">
        <f>IF(K1660="CREDITO",Q1660,Q1660*-1)</f>
        <v>388.84</v>
      </c>
      <c r="E1660" t="s">
        <v>894</v>
      </c>
      <c r="F1660" t="s">
        <v>2154</v>
      </c>
      <c r="G1660" s="8">
        <v>44835</v>
      </c>
      <c r="H1660" t="s">
        <v>542</v>
      </c>
      <c r="I1660" t="s">
        <v>27</v>
      </c>
      <c r="J1660" t="s">
        <v>60</v>
      </c>
      <c r="K1660" t="s">
        <v>29</v>
      </c>
      <c r="L1660" t="s">
        <v>895</v>
      </c>
      <c r="M1660" t="s">
        <v>4402</v>
      </c>
      <c r="O1660" t="s">
        <v>896</v>
      </c>
      <c r="P1660" t="s">
        <v>33</v>
      </c>
      <c r="Q1660">
        <v>388.84</v>
      </c>
      <c r="R1660" t="s">
        <v>35</v>
      </c>
      <c r="S1660" t="s">
        <v>35</v>
      </c>
      <c r="T1660" t="s">
        <v>35</v>
      </c>
      <c r="U1660" t="s">
        <v>35</v>
      </c>
      <c r="V1660" t="s">
        <v>645</v>
      </c>
      <c r="W1660" t="s">
        <v>113</v>
      </c>
    </row>
    <row r="1661" spans="1:23" hidden="1" x14ac:dyDescent="0.25">
      <c r="A1661" s="7" t="str">
        <f>IFERROR(VLOOKUP(H1661,'Contas Orç'!A:B,2,0),"N/A")</f>
        <v>LICENCIAMENTO - IPVA - DPVAT</v>
      </c>
      <c r="B1661" s="7" t="str">
        <f t="shared" si="50"/>
        <v>320301007 - LICENCIAMENTO - IPVA - DPVAT</v>
      </c>
      <c r="C1661" s="25">
        <f t="shared" si="51"/>
        <v>44835</v>
      </c>
      <c r="D1661" s="27">
        <f>IF(K1661="CREDITO",Q1661,Q1661*-1)</f>
        <v>507.34</v>
      </c>
      <c r="E1661" t="s">
        <v>894</v>
      </c>
      <c r="F1661" t="s">
        <v>2155</v>
      </c>
      <c r="G1661" s="8">
        <v>44835</v>
      </c>
      <c r="H1661" t="s">
        <v>542</v>
      </c>
      <c r="I1661" t="s">
        <v>59</v>
      </c>
      <c r="J1661" t="s">
        <v>60</v>
      </c>
      <c r="K1661" t="s">
        <v>29</v>
      </c>
      <c r="L1661" t="s">
        <v>895</v>
      </c>
      <c r="M1661" t="s">
        <v>4402</v>
      </c>
      <c r="O1661" t="s">
        <v>896</v>
      </c>
      <c r="P1661" t="s">
        <v>33</v>
      </c>
      <c r="Q1661">
        <v>507.34</v>
      </c>
      <c r="R1661" t="s">
        <v>35</v>
      </c>
      <c r="S1661" t="s">
        <v>35</v>
      </c>
      <c r="T1661" t="s">
        <v>35</v>
      </c>
      <c r="U1661" t="s">
        <v>35</v>
      </c>
      <c r="V1661" t="s">
        <v>645</v>
      </c>
      <c r="W1661" t="s">
        <v>113</v>
      </c>
    </row>
    <row r="1662" spans="1:23" hidden="1" x14ac:dyDescent="0.25">
      <c r="A1662" s="7" t="str">
        <f>IFERROR(VLOOKUP(H1662,'Contas Orç'!A:B,2,0),"N/A")</f>
        <v>LICENCIAMENTO - IPVA - DPVAT</v>
      </c>
      <c r="B1662" s="7" t="str">
        <f t="shared" si="50"/>
        <v>320301007 - LICENCIAMENTO - IPVA - DPVAT</v>
      </c>
      <c r="C1662" s="25">
        <f t="shared" si="51"/>
        <v>44835</v>
      </c>
      <c r="D1662" s="27">
        <f>IF(K1662="CREDITO",Q1662,Q1662*-1)</f>
        <v>953.88</v>
      </c>
      <c r="E1662" t="s">
        <v>894</v>
      </c>
      <c r="F1662" t="s">
        <v>2156</v>
      </c>
      <c r="G1662" s="8">
        <v>44835</v>
      </c>
      <c r="H1662" t="s">
        <v>542</v>
      </c>
      <c r="I1662" t="s">
        <v>27</v>
      </c>
      <c r="J1662" t="s">
        <v>107</v>
      </c>
      <c r="K1662" t="s">
        <v>29</v>
      </c>
      <c r="L1662" t="s">
        <v>895</v>
      </c>
      <c r="M1662" t="s">
        <v>4402</v>
      </c>
      <c r="O1662" t="s">
        <v>896</v>
      </c>
      <c r="P1662" t="s">
        <v>33</v>
      </c>
      <c r="Q1662">
        <v>953.88</v>
      </c>
      <c r="R1662" t="s">
        <v>35</v>
      </c>
      <c r="S1662" t="s">
        <v>35</v>
      </c>
      <c r="T1662" t="s">
        <v>35</v>
      </c>
      <c r="U1662" t="s">
        <v>35</v>
      </c>
      <c r="V1662" t="s">
        <v>645</v>
      </c>
      <c r="W1662" t="s">
        <v>113</v>
      </c>
    </row>
    <row r="1663" spans="1:23" hidden="1" x14ac:dyDescent="0.25">
      <c r="A1663" s="7" t="str">
        <f>IFERROR(VLOOKUP(H1663,'Contas Orç'!A:B,2,0),"N/A")</f>
        <v>LICENCIAMENTO - IPVA - DPVAT</v>
      </c>
      <c r="B1663" s="7" t="str">
        <f t="shared" si="50"/>
        <v>320301007 - LICENCIAMENTO - IPVA - DPVAT</v>
      </c>
      <c r="C1663" s="25">
        <f t="shared" si="51"/>
        <v>44835</v>
      </c>
      <c r="D1663" s="27">
        <f>IF(K1663="CREDITO",Q1663,Q1663*-1)</f>
        <v>1510.33</v>
      </c>
      <c r="E1663" t="s">
        <v>894</v>
      </c>
      <c r="F1663" t="s">
        <v>2157</v>
      </c>
      <c r="G1663" s="8">
        <v>44835</v>
      </c>
      <c r="H1663" t="s">
        <v>542</v>
      </c>
      <c r="I1663" t="s">
        <v>59</v>
      </c>
      <c r="J1663" t="s">
        <v>107</v>
      </c>
      <c r="K1663" t="s">
        <v>29</v>
      </c>
      <c r="L1663" t="s">
        <v>895</v>
      </c>
      <c r="M1663" t="s">
        <v>4402</v>
      </c>
      <c r="O1663" t="s">
        <v>896</v>
      </c>
      <c r="P1663" t="s">
        <v>33</v>
      </c>
      <c r="Q1663" s="22">
        <v>1510.33</v>
      </c>
      <c r="R1663" t="s">
        <v>35</v>
      </c>
      <c r="S1663" t="s">
        <v>35</v>
      </c>
      <c r="T1663" t="s">
        <v>35</v>
      </c>
      <c r="U1663" t="s">
        <v>35</v>
      </c>
      <c r="V1663" t="s">
        <v>645</v>
      </c>
      <c r="W1663" t="s">
        <v>113</v>
      </c>
    </row>
    <row r="1664" spans="1:23" hidden="1" x14ac:dyDescent="0.25">
      <c r="A1664" s="7" t="str">
        <f>IFERROR(VLOOKUP(H1664,'Contas Orç'!A:B,2,0),"N/A")</f>
        <v>LICENCIAMENTO - IPVA - DPVAT</v>
      </c>
      <c r="B1664" s="7" t="str">
        <f t="shared" si="50"/>
        <v>320301007 - LICENCIAMENTO - IPVA - DPVAT</v>
      </c>
      <c r="C1664" s="25">
        <f t="shared" si="51"/>
        <v>44866</v>
      </c>
      <c r="D1664" s="27">
        <f>IF(K1664="CREDITO",Q1664,Q1664*-1)</f>
        <v>9568.34</v>
      </c>
      <c r="E1664" t="s">
        <v>894</v>
      </c>
      <c r="F1664" t="s">
        <v>2158</v>
      </c>
      <c r="G1664" s="8">
        <v>44866</v>
      </c>
      <c r="H1664" t="s">
        <v>542</v>
      </c>
      <c r="I1664" t="s">
        <v>27</v>
      </c>
      <c r="J1664" t="s">
        <v>28</v>
      </c>
      <c r="K1664" t="s">
        <v>29</v>
      </c>
      <c r="L1664" t="s">
        <v>895</v>
      </c>
      <c r="M1664" t="s">
        <v>4402</v>
      </c>
      <c r="O1664" t="s">
        <v>896</v>
      </c>
      <c r="P1664" t="s">
        <v>33</v>
      </c>
      <c r="Q1664" s="22">
        <v>9568.34</v>
      </c>
      <c r="R1664" t="s">
        <v>35</v>
      </c>
      <c r="S1664" t="s">
        <v>35</v>
      </c>
      <c r="T1664" t="s">
        <v>35</v>
      </c>
      <c r="U1664" t="s">
        <v>35</v>
      </c>
      <c r="V1664" t="s">
        <v>645</v>
      </c>
      <c r="W1664" t="s">
        <v>113</v>
      </c>
    </row>
    <row r="1665" spans="1:23" hidden="1" x14ac:dyDescent="0.25">
      <c r="A1665" s="7" t="str">
        <f>IFERROR(VLOOKUP(H1665,'Contas Orç'!A:B,2,0),"N/A")</f>
        <v>LICENCIAMENTO - IPVA - DPVAT</v>
      </c>
      <c r="B1665" s="7" t="str">
        <f t="shared" si="50"/>
        <v>320301007 - LICENCIAMENTO - IPVA - DPVAT</v>
      </c>
      <c r="C1665" s="25">
        <f t="shared" si="51"/>
        <v>44866</v>
      </c>
      <c r="D1665" s="27">
        <f>IF(K1665="CREDITO",Q1665,Q1665*-1)</f>
        <v>185.17</v>
      </c>
      <c r="E1665" t="s">
        <v>894</v>
      </c>
      <c r="F1665" t="s">
        <v>2159</v>
      </c>
      <c r="G1665" s="8">
        <v>44866</v>
      </c>
      <c r="H1665" t="s">
        <v>542</v>
      </c>
      <c r="I1665" t="s">
        <v>59</v>
      </c>
      <c r="J1665" t="s">
        <v>28</v>
      </c>
      <c r="K1665" t="s">
        <v>29</v>
      </c>
      <c r="L1665" t="s">
        <v>895</v>
      </c>
      <c r="M1665" t="s">
        <v>4402</v>
      </c>
      <c r="O1665" t="s">
        <v>896</v>
      </c>
      <c r="P1665" t="s">
        <v>33</v>
      </c>
      <c r="Q1665">
        <v>185.17</v>
      </c>
      <c r="R1665" t="s">
        <v>35</v>
      </c>
      <c r="S1665" t="s">
        <v>35</v>
      </c>
      <c r="T1665" t="s">
        <v>35</v>
      </c>
      <c r="U1665" t="s">
        <v>35</v>
      </c>
      <c r="V1665" t="s">
        <v>645</v>
      </c>
      <c r="W1665" t="s">
        <v>113</v>
      </c>
    </row>
    <row r="1666" spans="1:23" hidden="1" x14ac:dyDescent="0.25">
      <c r="A1666" s="7" t="str">
        <f>IFERROR(VLOOKUP(H1666,'Contas Orç'!A:B,2,0),"N/A")</f>
        <v>LICENCIAMENTO - IPVA - DPVAT</v>
      </c>
      <c r="B1666" s="7" t="str">
        <f t="shared" si="50"/>
        <v>320301007 - LICENCIAMENTO - IPVA - DPVAT</v>
      </c>
      <c r="C1666" s="25">
        <f t="shared" si="51"/>
        <v>44866</v>
      </c>
      <c r="D1666" s="27">
        <f>IF(K1666="CREDITO",Q1666,Q1666*-1)</f>
        <v>392.73</v>
      </c>
      <c r="E1666" t="s">
        <v>894</v>
      </c>
      <c r="F1666" t="s">
        <v>2160</v>
      </c>
      <c r="G1666" s="8">
        <v>44866</v>
      </c>
      <c r="H1666" t="s">
        <v>542</v>
      </c>
      <c r="I1666" t="s">
        <v>27</v>
      </c>
      <c r="J1666" t="s">
        <v>60</v>
      </c>
      <c r="K1666" t="s">
        <v>29</v>
      </c>
      <c r="L1666" t="s">
        <v>895</v>
      </c>
      <c r="M1666" t="s">
        <v>4402</v>
      </c>
      <c r="O1666" t="s">
        <v>896</v>
      </c>
      <c r="P1666" t="s">
        <v>33</v>
      </c>
      <c r="Q1666">
        <v>392.73</v>
      </c>
      <c r="R1666" t="s">
        <v>35</v>
      </c>
      <c r="S1666" t="s">
        <v>35</v>
      </c>
      <c r="T1666" t="s">
        <v>35</v>
      </c>
      <c r="U1666" t="s">
        <v>35</v>
      </c>
      <c r="V1666" t="s">
        <v>645</v>
      </c>
      <c r="W1666" t="s">
        <v>113</v>
      </c>
    </row>
    <row r="1667" spans="1:23" hidden="1" x14ac:dyDescent="0.25">
      <c r="A1667" s="7" t="str">
        <f>IFERROR(VLOOKUP(H1667,'Contas Orç'!A:B,2,0),"N/A")</f>
        <v>LICENCIAMENTO - IPVA - DPVAT</v>
      </c>
      <c r="B1667" s="7" t="str">
        <f t="shared" ref="B1667:B1730" si="52">_xlfn.CONCAT(H1667," - ",A1667)</f>
        <v>320301007 - LICENCIAMENTO - IPVA - DPVAT</v>
      </c>
      <c r="C1667" s="25">
        <f t="shared" ref="C1667:C1730" si="53">DATE(YEAR(G1667),MONTH(G1667),1)</f>
        <v>44866</v>
      </c>
      <c r="D1667" s="27">
        <f>IF(K1667="CREDITO",Q1667,Q1667*-1)</f>
        <v>512.41999999999996</v>
      </c>
      <c r="E1667" t="s">
        <v>894</v>
      </c>
      <c r="F1667" t="s">
        <v>2161</v>
      </c>
      <c r="G1667" s="8">
        <v>44866</v>
      </c>
      <c r="H1667" t="s">
        <v>542</v>
      </c>
      <c r="I1667" t="s">
        <v>59</v>
      </c>
      <c r="J1667" t="s">
        <v>60</v>
      </c>
      <c r="K1667" t="s">
        <v>29</v>
      </c>
      <c r="L1667" t="s">
        <v>895</v>
      </c>
      <c r="M1667" t="s">
        <v>4402</v>
      </c>
      <c r="O1667" t="s">
        <v>896</v>
      </c>
      <c r="P1667" t="s">
        <v>33</v>
      </c>
      <c r="Q1667">
        <v>512.41999999999996</v>
      </c>
      <c r="R1667" t="s">
        <v>35</v>
      </c>
      <c r="S1667" t="s">
        <v>35</v>
      </c>
      <c r="T1667" t="s">
        <v>35</v>
      </c>
      <c r="U1667" t="s">
        <v>35</v>
      </c>
      <c r="V1667" t="s">
        <v>645</v>
      </c>
      <c r="W1667" t="s">
        <v>113</v>
      </c>
    </row>
    <row r="1668" spans="1:23" hidden="1" x14ac:dyDescent="0.25">
      <c r="A1668" s="7" t="str">
        <f>IFERROR(VLOOKUP(H1668,'Contas Orç'!A:B,2,0),"N/A")</f>
        <v>LICENCIAMENTO - IPVA - DPVAT</v>
      </c>
      <c r="B1668" s="7" t="str">
        <f t="shared" si="52"/>
        <v>320301007 - LICENCIAMENTO - IPVA - DPVAT</v>
      </c>
      <c r="C1668" s="25">
        <f t="shared" si="53"/>
        <v>44866</v>
      </c>
      <c r="D1668" s="27">
        <f>IF(K1668="CREDITO",Q1668,Q1668*-1)</f>
        <v>963.42</v>
      </c>
      <c r="E1668" t="s">
        <v>894</v>
      </c>
      <c r="F1668" t="s">
        <v>2162</v>
      </c>
      <c r="G1668" s="8">
        <v>44866</v>
      </c>
      <c r="H1668" t="s">
        <v>542</v>
      </c>
      <c r="I1668" t="s">
        <v>27</v>
      </c>
      <c r="J1668" t="s">
        <v>107</v>
      </c>
      <c r="K1668" t="s">
        <v>29</v>
      </c>
      <c r="L1668" t="s">
        <v>895</v>
      </c>
      <c r="M1668" t="s">
        <v>4402</v>
      </c>
      <c r="O1668" t="s">
        <v>896</v>
      </c>
      <c r="P1668" t="s">
        <v>33</v>
      </c>
      <c r="Q1668">
        <v>963.42</v>
      </c>
      <c r="R1668" t="s">
        <v>35</v>
      </c>
      <c r="S1668" t="s">
        <v>35</v>
      </c>
      <c r="T1668" t="s">
        <v>35</v>
      </c>
      <c r="U1668" t="s">
        <v>35</v>
      </c>
      <c r="V1668" t="s">
        <v>645</v>
      </c>
      <c r="W1668" t="s">
        <v>113</v>
      </c>
    </row>
    <row r="1669" spans="1:23" hidden="1" x14ac:dyDescent="0.25">
      <c r="A1669" s="7" t="str">
        <f>IFERROR(VLOOKUP(H1669,'Contas Orç'!A:B,2,0),"N/A")</f>
        <v>LICENCIAMENTO - IPVA - DPVAT</v>
      </c>
      <c r="B1669" s="7" t="str">
        <f t="shared" si="52"/>
        <v>320301007 - LICENCIAMENTO - IPVA - DPVAT</v>
      </c>
      <c r="C1669" s="25">
        <f t="shared" si="53"/>
        <v>44866</v>
      </c>
      <c r="D1669" s="27">
        <f>IF(K1669="CREDITO",Q1669,Q1669*-1)</f>
        <v>1525.44</v>
      </c>
      <c r="E1669" t="s">
        <v>894</v>
      </c>
      <c r="F1669" t="s">
        <v>2163</v>
      </c>
      <c r="G1669" s="8">
        <v>44866</v>
      </c>
      <c r="H1669" t="s">
        <v>542</v>
      </c>
      <c r="I1669" t="s">
        <v>59</v>
      </c>
      <c r="J1669" t="s">
        <v>107</v>
      </c>
      <c r="K1669" t="s">
        <v>29</v>
      </c>
      <c r="L1669" t="s">
        <v>895</v>
      </c>
      <c r="M1669" t="s">
        <v>4402</v>
      </c>
      <c r="O1669" t="s">
        <v>896</v>
      </c>
      <c r="P1669" t="s">
        <v>33</v>
      </c>
      <c r="Q1669" s="22">
        <v>1525.44</v>
      </c>
      <c r="R1669" t="s">
        <v>35</v>
      </c>
      <c r="S1669" t="s">
        <v>35</v>
      </c>
      <c r="T1669" t="s">
        <v>35</v>
      </c>
      <c r="U1669" t="s">
        <v>35</v>
      </c>
      <c r="V1669" t="s">
        <v>645</v>
      </c>
      <c r="W1669" t="s">
        <v>113</v>
      </c>
    </row>
    <row r="1670" spans="1:23" hidden="1" x14ac:dyDescent="0.25">
      <c r="A1670" s="7" t="str">
        <f>IFERROR(VLOOKUP(H1670,'Contas Orç'!A:B,2,0),"N/A")</f>
        <v>LICENCIAMENTO - IPVA - DPVAT</v>
      </c>
      <c r="B1670" s="7" t="str">
        <f t="shared" si="52"/>
        <v>320301007 - LICENCIAMENTO - IPVA - DPVAT</v>
      </c>
      <c r="C1670" s="25">
        <f t="shared" si="53"/>
        <v>44896</v>
      </c>
      <c r="D1670" s="27">
        <f>IF(K1670="CREDITO",Q1670,Q1670*-1)</f>
        <v>9664.0300000000007</v>
      </c>
      <c r="E1670" t="s">
        <v>894</v>
      </c>
      <c r="F1670" t="s">
        <v>2164</v>
      </c>
      <c r="G1670" s="8">
        <v>44896</v>
      </c>
      <c r="H1670" t="s">
        <v>542</v>
      </c>
      <c r="I1670" t="s">
        <v>27</v>
      </c>
      <c r="J1670" t="s">
        <v>28</v>
      </c>
      <c r="K1670" t="s">
        <v>29</v>
      </c>
      <c r="L1670" t="s">
        <v>895</v>
      </c>
      <c r="M1670" t="s">
        <v>4402</v>
      </c>
      <c r="O1670" t="s">
        <v>896</v>
      </c>
      <c r="P1670" t="s">
        <v>33</v>
      </c>
      <c r="Q1670" s="22">
        <v>9664.0300000000007</v>
      </c>
      <c r="R1670" t="s">
        <v>35</v>
      </c>
      <c r="S1670" t="s">
        <v>35</v>
      </c>
      <c r="T1670" t="s">
        <v>35</v>
      </c>
      <c r="U1670" t="s">
        <v>35</v>
      </c>
      <c r="V1670" t="s">
        <v>645</v>
      </c>
      <c r="W1670" t="s">
        <v>113</v>
      </c>
    </row>
    <row r="1671" spans="1:23" hidden="1" x14ac:dyDescent="0.25">
      <c r="A1671" s="7" t="str">
        <f>IFERROR(VLOOKUP(H1671,'Contas Orç'!A:B,2,0),"N/A")</f>
        <v>LICENCIAMENTO - IPVA - DPVAT</v>
      </c>
      <c r="B1671" s="7" t="str">
        <f t="shared" si="52"/>
        <v>320301007 - LICENCIAMENTO - IPVA - DPVAT</v>
      </c>
      <c r="C1671" s="25">
        <f t="shared" si="53"/>
        <v>44896</v>
      </c>
      <c r="D1671" s="27">
        <f>IF(K1671="CREDITO",Q1671,Q1671*-1)</f>
        <v>187.02</v>
      </c>
      <c r="E1671" t="s">
        <v>894</v>
      </c>
      <c r="F1671" t="s">
        <v>2165</v>
      </c>
      <c r="G1671" s="8">
        <v>44896</v>
      </c>
      <c r="H1671" t="s">
        <v>542</v>
      </c>
      <c r="I1671" t="s">
        <v>59</v>
      </c>
      <c r="J1671" t="s">
        <v>28</v>
      </c>
      <c r="K1671" t="s">
        <v>29</v>
      </c>
      <c r="L1671" t="s">
        <v>895</v>
      </c>
      <c r="M1671" t="s">
        <v>4402</v>
      </c>
      <c r="O1671" t="s">
        <v>896</v>
      </c>
      <c r="P1671" t="s">
        <v>33</v>
      </c>
      <c r="Q1671">
        <v>187.02</v>
      </c>
      <c r="R1671" t="s">
        <v>35</v>
      </c>
      <c r="S1671" t="s">
        <v>35</v>
      </c>
      <c r="T1671" t="s">
        <v>35</v>
      </c>
      <c r="U1671" t="s">
        <v>35</v>
      </c>
      <c r="V1671" t="s">
        <v>645</v>
      </c>
      <c r="W1671" t="s">
        <v>113</v>
      </c>
    </row>
    <row r="1672" spans="1:23" hidden="1" x14ac:dyDescent="0.25">
      <c r="A1672" s="7" t="str">
        <f>IFERROR(VLOOKUP(H1672,'Contas Orç'!A:B,2,0),"N/A")</f>
        <v>LICENCIAMENTO - IPVA - DPVAT</v>
      </c>
      <c r="B1672" s="7" t="str">
        <f t="shared" si="52"/>
        <v>320301007 - LICENCIAMENTO - IPVA - DPVAT</v>
      </c>
      <c r="C1672" s="25">
        <f t="shared" si="53"/>
        <v>44896</v>
      </c>
      <c r="D1672" s="27">
        <f>IF(K1672="CREDITO",Q1672,Q1672*-1)</f>
        <v>396.66</v>
      </c>
      <c r="E1672" t="s">
        <v>894</v>
      </c>
      <c r="F1672" t="s">
        <v>2166</v>
      </c>
      <c r="G1672" s="8">
        <v>44896</v>
      </c>
      <c r="H1672" t="s">
        <v>542</v>
      </c>
      <c r="I1672" t="s">
        <v>27</v>
      </c>
      <c r="J1672" t="s">
        <v>60</v>
      </c>
      <c r="K1672" t="s">
        <v>29</v>
      </c>
      <c r="L1672" t="s">
        <v>895</v>
      </c>
      <c r="M1672" t="s">
        <v>4402</v>
      </c>
      <c r="O1672" t="s">
        <v>896</v>
      </c>
      <c r="P1672" t="s">
        <v>33</v>
      </c>
      <c r="Q1672">
        <v>396.66</v>
      </c>
      <c r="R1672" t="s">
        <v>35</v>
      </c>
      <c r="S1672" t="s">
        <v>35</v>
      </c>
      <c r="T1672" t="s">
        <v>35</v>
      </c>
      <c r="U1672" t="s">
        <v>35</v>
      </c>
      <c r="V1672" t="s">
        <v>645</v>
      </c>
      <c r="W1672" t="s">
        <v>113</v>
      </c>
    </row>
    <row r="1673" spans="1:23" hidden="1" x14ac:dyDescent="0.25">
      <c r="A1673" s="7" t="str">
        <f>IFERROR(VLOOKUP(H1673,'Contas Orç'!A:B,2,0),"N/A")</f>
        <v>LICENCIAMENTO - IPVA - DPVAT</v>
      </c>
      <c r="B1673" s="7" t="str">
        <f t="shared" si="52"/>
        <v>320301007 - LICENCIAMENTO - IPVA - DPVAT</v>
      </c>
      <c r="C1673" s="25">
        <f t="shared" si="53"/>
        <v>44896</v>
      </c>
      <c r="D1673" s="27">
        <f>IF(K1673="CREDITO",Q1673,Q1673*-1)</f>
        <v>517.54</v>
      </c>
      <c r="E1673" t="s">
        <v>894</v>
      </c>
      <c r="F1673" t="s">
        <v>2167</v>
      </c>
      <c r="G1673" s="8">
        <v>44896</v>
      </c>
      <c r="H1673" t="s">
        <v>542</v>
      </c>
      <c r="I1673" t="s">
        <v>59</v>
      </c>
      <c r="J1673" t="s">
        <v>60</v>
      </c>
      <c r="K1673" t="s">
        <v>29</v>
      </c>
      <c r="L1673" t="s">
        <v>895</v>
      </c>
      <c r="M1673" t="s">
        <v>4402</v>
      </c>
      <c r="O1673" t="s">
        <v>896</v>
      </c>
      <c r="P1673" t="s">
        <v>33</v>
      </c>
      <c r="Q1673">
        <v>517.54</v>
      </c>
      <c r="R1673" t="s">
        <v>35</v>
      </c>
      <c r="S1673" t="s">
        <v>35</v>
      </c>
      <c r="T1673" t="s">
        <v>35</v>
      </c>
      <c r="U1673" t="s">
        <v>35</v>
      </c>
      <c r="V1673" t="s">
        <v>645</v>
      </c>
      <c r="W1673" t="s">
        <v>113</v>
      </c>
    </row>
    <row r="1674" spans="1:23" hidden="1" x14ac:dyDescent="0.25">
      <c r="A1674" s="7" t="str">
        <f>IFERROR(VLOOKUP(H1674,'Contas Orç'!A:B,2,0),"N/A")</f>
        <v>LICENCIAMENTO - IPVA - DPVAT</v>
      </c>
      <c r="B1674" s="7" t="str">
        <f t="shared" si="52"/>
        <v>320301007 - LICENCIAMENTO - IPVA - DPVAT</v>
      </c>
      <c r="C1674" s="25">
        <f t="shared" si="53"/>
        <v>44896</v>
      </c>
      <c r="D1674" s="27">
        <f>IF(K1674="CREDITO",Q1674,Q1674*-1)</f>
        <v>973.06</v>
      </c>
      <c r="E1674" t="s">
        <v>894</v>
      </c>
      <c r="F1674" t="s">
        <v>2168</v>
      </c>
      <c r="G1674" s="8">
        <v>44896</v>
      </c>
      <c r="H1674" t="s">
        <v>542</v>
      </c>
      <c r="I1674" t="s">
        <v>27</v>
      </c>
      <c r="J1674" t="s">
        <v>107</v>
      </c>
      <c r="K1674" t="s">
        <v>29</v>
      </c>
      <c r="L1674" t="s">
        <v>895</v>
      </c>
      <c r="M1674" t="s">
        <v>4402</v>
      </c>
      <c r="O1674" t="s">
        <v>896</v>
      </c>
      <c r="P1674" t="s">
        <v>33</v>
      </c>
      <c r="Q1674">
        <v>973.06</v>
      </c>
      <c r="R1674" t="s">
        <v>35</v>
      </c>
      <c r="S1674" t="s">
        <v>35</v>
      </c>
      <c r="T1674" t="s">
        <v>35</v>
      </c>
      <c r="U1674" t="s">
        <v>35</v>
      </c>
      <c r="V1674" t="s">
        <v>645</v>
      </c>
      <c r="W1674" t="s">
        <v>113</v>
      </c>
    </row>
    <row r="1675" spans="1:23" hidden="1" x14ac:dyDescent="0.25">
      <c r="A1675" s="7" t="str">
        <f>IFERROR(VLOOKUP(H1675,'Contas Orç'!A:B,2,0),"N/A")</f>
        <v>LICENCIAMENTO - IPVA - DPVAT</v>
      </c>
      <c r="B1675" s="7" t="str">
        <f t="shared" si="52"/>
        <v>320301007 - LICENCIAMENTO - IPVA - DPVAT</v>
      </c>
      <c r="C1675" s="25">
        <f t="shared" si="53"/>
        <v>44896</v>
      </c>
      <c r="D1675" s="27">
        <f>IF(K1675="CREDITO",Q1675,Q1675*-1)</f>
        <v>1540.69</v>
      </c>
      <c r="E1675" t="s">
        <v>894</v>
      </c>
      <c r="F1675" t="s">
        <v>2169</v>
      </c>
      <c r="G1675" s="8">
        <v>44896</v>
      </c>
      <c r="H1675" t="s">
        <v>542</v>
      </c>
      <c r="I1675" t="s">
        <v>59</v>
      </c>
      <c r="J1675" t="s">
        <v>107</v>
      </c>
      <c r="K1675" t="s">
        <v>29</v>
      </c>
      <c r="L1675" t="s">
        <v>895</v>
      </c>
      <c r="M1675" t="s">
        <v>4402</v>
      </c>
      <c r="O1675" t="s">
        <v>896</v>
      </c>
      <c r="P1675" t="s">
        <v>33</v>
      </c>
      <c r="Q1675" s="22">
        <v>1540.69</v>
      </c>
      <c r="R1675" t="s">
        <v>35</v>
      </c>
      <c r="S1675" t="s">
        <v>35</v>
      </c>
      <c r="T1675" t="s">
        <v>35</v>
      </c>
      <c r="U1675" t="s">
        <v>35</v>
      </c>
      <c r="V1675" t="s">
        <v>645</v>
      </c>
      <c r="W1675" t="s">
        <v>113</v>
      </c>
    </row>
    <row r="1676" spans="1:23" hidden="1" x14ac:dyDescent="0.25">
      <c r="A1676" s="7" t="str">
        <f>IFERROR(VLOOKUP(H1676,'Contas Orç'!A:B,2,0),"N/A")</f>
        <v>MULTAS DE TRANSITO</v>
      </c>
      <c r="B1676" s="7" t="str">
        <f t="shared" si="52"/>
        <v>320301008 - MULTAS DE TRANSITO</v>
      </c>
      <c r="C1676" s="25">
        <f t="shared" si="53"/>
        <v>44562</v>
      </c>
      <c r="D1676" s="27">
        <f>IF(K1676="CREDITO",Q1676,Q1676*-1)</f>
        <v>156.19</v>
      </c>
      <c r="E1676" t="s">
        <v>894</v>
      </c>
      <c r="F1676" t="s">
        <v>2170</v>
      </c>
      <c r="G1676" s="8">
        <v>44562</v>
      </c>
      <c r="H1676" t="s">
        <v>544</v>
      </c>
      <c r="I1676" t="s">
        <v>27</v>
      </c>
      <c r="J1676" t="s">
        <v>28</v>
      </c>
      <c r="K1676" t="s">
        <v>29</v>
      </c>
      <c r="L1676" t="s">
        <v>895</v>
      </c>
      <c r="M1676" t="s">
        <v>4402</v>
      </c>
      <c r="O1676" t="s">
        <v>896</v>
      </c>
      <c r="P1676" t="s">
        <v>33</v>
      </c>
      <c r="Q1676">
        <v>156.19</v>
      </c>
      <c r="R1676" t="s">
        <v>35</v>
      </c>
      <c r="S1676" t="s">
        <v>35</v>
      </c>
      <c r="T1676" t="s">
        <v>35</v>
      </c>
      <c r="U1676" t="s">
        <v>35</v>
      </c>
      <c r="V1676" t="s">
        <v>645</v>
      </c>
      <c r="W1676" t="s">
        <v>113</v>
      </c>
    </row>
    <row r="1677" spans="1:23" hidden="1" x14ac:dyDescent="0.25">
      <c r="A1677" s="7" t="str">
        <f>IFERROR(VLOOKUP(H1677,'Contas Orç'!A:B,2,0),"N/A")</f>
        <v>MULTAS DE TRANSITO</v>
      </c>
      <c r="B1677" s="7" t="str">
        <f t="shared" si="52"/>
        <v>320301008 - MULTAS DE TRANSITO</v>
      </c>
      <c r="C1677" s="25">
        <f t="shared" si="53"/>
        <v>44593</v>
      </c>
      <c r="D1677" s="27">
        <f>IF(K1677="CREDITO",Q1677,Q1677*-1)</f>
        <v>528.69000000000005</v>
      </c>
      <c r="E1677" t="s">
        <v>894</v>
      </c>
      <c r="F1677" t="s">
        <v>2171</v>
      </c>
      <c r="G1677" s="8">
        <v>44593</v>
      </c>
      <c r="H1677" t="s">
        <v>544</v>
      </c>
      <c r="I1677" t="s">
        <v>27</v>
      </c>
      <c r="J1677" t="s">
        <v>28</v>
      </c>
      <c r="K1677" t="s">
        <v>29</v>
      </c>
      <c r="L1677" t="s">
        <v>895</v>
      </c>
      <c r="M1677" t="s">
        <v>4402</v>
      </c>
      <c r="O1677" t="s">
        <v>896</v>
      </c>
      <c r="P1677" t="s">
        <v>33</v>
      </c>
      <c r="Q1677">
        <v>528.69000000000005</v>
      </c>
      <c r="R1677" t="s">
        <v>35</v>
      </c>
      <c r="S1677" t="s">
        <v>35</v>
      </c>
      <c r="T1677" t="s">
        <v>35</v>
      </c>
      <c r="U1677" t="s">
        <v>35</v>
      </c>
      <c r="V1677" t="s">
        <v>645</v>
      </c>
      <c r="W1677" t="s">
        <v>113</v>
      </c>
    </row>
    <row r="1678" spans="1:23" hidden="1" x14ac:dyDescent="0.25">
      <c r="A1678" s="7" t="str">
        <f>IFERROR(VLOOKUP(H1678,'Contas Orç'!A:B,2,0),"N/A")</f>
        <v>MULTAS DE TRANSITO</v>
      </c>
      <c r="B1678" s="7" t="str">
        <f t="shared" si="52"/>
        <v>320301008 - MULTAS DE TRANSITO</v>
      </c>
      <c r="C1678" s="25">
        <f t="shared" si="53"/>
        <v>44593</v>
      </c>
      <c r="D1678" s="27">
        <f>IF(K1678="CREDITO",Q1678,Q1678*-1)</f>
        <v>374.88</v>
      </c>
      <c r="E1678" t="s">
        <v>894</v>
      </c>
      <c r="F1678" t="s">
        <v>2172</v>
      </c>
      <c r="G1678" s="8">
        <v>44593</v>
      </c>
      <c r="H1678" t="s">
        <v>544</v>
      </c>
      <c r="I1678" t="s">
        <v>53</v>
      </c>
      <c r="J1678" t="s">
        <v>54</v>
      </c>
      <c r="K1678" t="s">
        <v>29</v>
      </c>
      <c r="L1678" t="s">
        <v>895</v>
      </c>
      <c r="M1678" t="s">
        <v>4402</v>
      </c>
      <c r="O1678" t="s">
        <v>896</v>
      </c>
      <c r="P1678" t="s">
        <v>33</v>
      </c>
      <c r="Q1678">
        <v>374.88</v>
      </c>
      <c r="R1678" t="s">
        <v>35</v>
      </c>
      <c r="S1678" t="s">
        <v>35</v>
      </c>
      <c r="T1678" t="s">
        <v>35</v>
      </c>
      <c r="U1678" t="s">
        <v>35</v>
      </c>
      <c r="V1678" t="s">
        <v>645</v>
      </c>
      <c r="W1678" t="s">
        <v>113</v>
      </c>
    </row>
    <row r="1679" spans="1:23" hidden="1" x14ac:dyDescent="0.25">
      <c r="A1679" s="7" t="str">
        <f>IFERROR(VLOOKUP(H1679,'Contas Orç'!A:B,2,0),"N/A")</f>
        <v>MULTAS DE TRANSITO</v>
      </c>
      <c r="B1679" s="7" t="str">
        <f t="shared" si="52"/>
        <v>320301008 - MULTAS DE TRANSITO</v>
      </c>
      <c r="C1679" s="25">
        <f t="shared" si="53"/>
        <v>44621</v>
      </c>
      <c r="D1679" s="27">
        <f>IF(K1679="CREDITO",Q1679,Q1679*-1)</f>
        <v>136.38</v>
      </c>
      <c r="E1679" t="s">
        <v>894</v>
      </c>
      <c r="F1679" t="s">
        <v>2173</v>
      </c>
      <c r="G1679" s="8">
        <v>44621</v>
      </c>
      <c r="H1679" t="s">
        <v>544</v>
      </c>
      <c r="I1679" t="s">
        <v>27</v>
      </c>
      <c r="J1679" t="s">
        <v>28</v>
      </c>
      <c r="K1679" t="s">
        <v>29</v>
      </c>
      <c r="L1679" t="s">
        <v>895</v>
      </c>
      <c r="M1679" t="s">
        <v>4402</v>
      </c>
      <c r="O1679" t="s">
        <v>896</v>
      </c>
      <c r="P1679" t="s">
        <v>33</v>
      </c>
      <c r="Q1679">
        <v>136.38</v>
      </c>
      <c r="R1679" t="s">
        <v>35</v>
      </c>
      <c r="S1679" t="s">
        <v>35</v>
      </c>
      <c r="T1679" t="s">
        <v>35</v>
      </c>
      <c r="U1679" t="s">
        <v>35</v>
      </c>
      <c r="V1679" t="s">
        <v>645</v>
      </c>
      <c r="W1679" t="s">
        <v>113</v>
      </c>
    </row>
    <row r="1680" spans="1:23" hidden="1" x14ac:dyDescent="0.25">
      <c r="A1680" s="7" t="str">
        <f>IFERROR(VLOOKUP(H1680,'Contas Orç'!A:B,2,0),"N/A")</f>
        <v>MULTAS DE TRANSITO</v>
      </c>
      <c r="B1680" s="7" t="str">
        <f t="shared" si="52"/>
        <v>320301008 - MULTAS DE TRANSITO</v>
      </c>
      <c r="C1680" s="25">
        <f t="shared" si="53"/>
        <v>44621</v>
      </c>
      <c r="D1680" s="27">
        <f>IF(K1680="CREDITO",Q1680,Q1680*-1)</f>
        <v>196.46</v>
      </c>
      <c r="E1680" t="s">
        <v>894</v>
      </c>
      <c r="F1680" t="s">
        <v>2174</v>
      </c>
      <c r="G1680" s="8">
        <v>44621</v>
      </c>
      <c r="H1680" t="s">
        <v>544</v>
      </c>
      <c r="I1680" t="s">
        <v>40</v>
      </c>
      <c r="J1680" t="s">
        <v>54</v>
      </c>
      <c r="K1680" t="s">
        <v>29</v>
      </c>
      <c r="L1680" t="s">
        <v>895</v>
      </c>
      <c r="M1680" t="s">
        <v>4402</v>
      </c>
      <c r="O1680" t="s">
        <v>896</v>
      </c>
      <c r="P1680" t="s">
        <v>33</v>
      </c>
      <c r="Q1680">
        <v>196.46</v>
      </c>
      <c r="R1680" t="s">
        <v>35</v>
      </c>
      <c r="S1680" t="s">
        <v>35</v>
      </c>
      <c r="T1680" t="s">
        <v>35</v>
      </c>
      <c r="U1680" t="s">
        <v>35</v>
      </c>
      <c r="V1680" t="s">
        <v>645</v>
      </c>
      <c r="W1680" t="s">
        <v>113</v>
      </c>
    </row>
    <row r="1681" spans="1:23" hidden="1" x14ac:dyDescent="0.25">
      <c r="A1681" s="7" t="str">
        <f>IFERROR(VLOOKUP(H1681,'Contas Orç'!A:B,2,0),"N/A")</f>
        <v>MULTAS DE TRANSITO</v>
      </c>
      <c r="B1681" s="7" t="str">
        <f t="shared" si="52"/>
        <v>320301008 - MULTAS DE TRANSITO</v>
      </c>
      <c r="C1681" s="25">
        <f t="shared" si="53"/>
        <v>44621</v>
      </c>
      <c r="D1681" s="27">
        <f>IF(K1681="CREDITO",Q1681,Q1681*-1)</f>
        <v>249.92</v>
      </c>
      <c r="E1681" t="s">
        <v>894</v>
      </c>
      <c r="F1681" t="s">
        <v>2175</v>
      </c>
      <c r="G1681" s="8">
        <v>44621</v>
      </c>
      <c r="H1681" t="s">
        <v>544</v>
      </c>
      <c r="I1681" t="s">
        <v>53</v>
      </c>
      <c r="J1681" t="s">
        <v>54</v>
      </c>
      <c r="K1681" t="s">
        <v>29</v>
      </c>
      <c r="L1681" t="s">
        <v>895</v>
      </c>
      <c r="M1681" t="s">
        <v>4402</v>
      </c>
      <c r="O1681" t="s">
        <v>896</v>
      </c>
      <c r="P1681" t="s">
        <v>33</v>
      </c>
      <c r="Q1681">
        <v>249.92</v>
      </c>
      <c r="R1681" t="s">
        <v>35</v>
      </c>
      <c r="S1681" t="s">
        <v>35</v>
      </c>
      <c r="T1681" t="s">
        <v>35</v>
      </c>
      <c r="U1681" t="s">
        <v>35</v>
      </c>
      <c r="V1681" t="s">
        <v>645</v>
      </c>
      <c r="W1681" t="s">
        <v>113</v>
      </c>
    </row>
    <row r="1682" spans="1:23" hidden="1" x14ac:dyDescent="0.25">
      <c r="A1682" s="7" t="str">
        <f>IFERROR(VLOOKUP(H1682,'Contas Orç'!A:B,2,0),"N/A")</f>
        <v>MULTAS DE TRANSITO</v>
      </c>
      <c r="B1682" s="7" t="str">
        <f t="shared" si="52"/>
        <v>320301008 - MULTAS DE TRANSITO</v>
      </c>
      <c r="C1682" s="25">
        <f t="shared" si="53"/>
        <v>44652</v>
      </c>
      <c r="D1682" s="27">
        <f>IF(K1682="CREDITO",Q1682,Q1682*-1)</f>
        <v>263.64999999999998</v>
      </c>
      <c r="E1682" t="s">
        <v>894</v>
      </c>
      <c r="F1682" t="s">
        <v>2176</v>
      </c>
      <c r="G1682" s="8">
        <v>44652</v>
      </c>
      <c r="H1682" t="s">
        <v>544</v>
      </c>
      <c r="I1682" t="s">
        <v>27</v>
      </c>
      <c r="J1682" t="s">
        <v>28</v>
      </c>
      <c r="K1682" t="s">
        <v>29</v>
      </c>
      <c r="L1682" t="s">
        <v>895</v>
      </c>
      <c r="M1682" t="s">
        <v>4402</v>
      </c>
      <c r="O1682" t="s">
        <v>896</v>
      </c>
      <c r="P1682" t="s">
        <v>33</v>
      </c>
      <c r="Q1682">
        <v>263.64999999999998</v>
      </c>
      <c r="R1682" t="s">
        <v>35</v>
      </c>
      <c r="S1682" t="s">
        <v>35</v>
      </c>
      <c r="T1682" t="s">
        <v>35</v>
      </c>
      <c r="U1682" t="s">
        <v>35</v>
      </c>
      <c r="V1682" t="s">
        <v>645</v>
      </c>
      <c r="W1682" t="s">
        <v>113</v>
      </c>
    </row>
    <row r="1683" spans="1:23" hidden="1" x14ac:dyDescent="0.25">
      <c r="A1683" s="7" t="str">
        <f>IFERROR(VLOOKUP(H1683,'Contas Orç'!A:B,2,0),"N/A")</f>
        <v>MULTAS DE TRANSITO</v>
      </c>
      <c r="B1683" s="7" t="str">
        <f t="shared" si="52"/>
        <v>320301008 - MULTAS DE TRANSITO</v>
      </c>
      <c r="C1683" s="25">
        <f t="shared" si="53"/>
        <v>44652</v>
      </c>
      <c r="D1683" s="27">
        <f>IF(K1683="CREDITO",Q1683,Q1683*-1)</f>
        <v>159.69999999999999</v>
      </c>
      <c r="E1683" t="s">
        <v>894</v>
      </c>
      <c r="F1683" t="s">
        <v>2177</v>
      </c>
      <c r="G1683" s="8">
        <v>44652</v>
      </c>
      <c r="H1683" t="s">
        <v>544</v>
      </c>
      <c r="I1683" t="s">
        <v>53</v>
      </c>
      <c r="J1683" t="s">
        <v>54</v>
      </c>
      <c r="K1683" t="s">
        <v>29</v>
      </c>
      <c r="L1683" t="s">
        <v>895</v>
      </c>
      <c r="M1683" t="s">
        <v>4402</v>
      </c>
      <c r="O1683" t="s">
        <v>896</v>
      </c>
      <c r="P1683" t="s">
        <v>33</v>
      </c>
      <c r="Q1683">
        <v>159.69999999999999</v>
      </c>
      <c r="R1683" t="s">
        <v>35</v>
      </c>
      <c r="S1683" t="s">
        <v>35</v>
      </c>
      <c r="T1683" t="s">
        <v>35</v>
      </c>
      <c r="U1683" t="s">
        <v>35</v>
      </c>
      <c r="V1683" t="s">
        <v>645</v>
      </c>
      <c r="W1683" t="s">
        <v>113</v>
      </c>
    </row>
    <row r="1684" spans="1:23" hidden="1" x14ac:dyDescent="0.25">
      <c r="A1684" s="7" t="str">
        <f>IFERROR(VLOOKUP(H1684,'Contas Orç'!A:B,2,0),"N/A")</f>
        <v>MULTAS DE TRANSITO</v>
      </c>
      <c r="B1684" s="7" t="str">
        <f t="shared" si="52"/>
        <v>320301008 - MULTAS DE TRANSITO</v>
      </c>
      <c r="C1684" s="25">
        <f t="shared" si="53"/>
        <v>44682</v>
      </c>
      <c r="D1684" s="27">
        <f>IF(K1684="CREDITO",Q1684,Q1684*-1)</f>
        <v>130.18</v>
      </c>
      <c r="E1684" t="s">
        <v>894</v>
      </c>
      <c r="F1684" t="s">
        <v>2178</v>
      </c>
      <c r="G1684" s="8">
        <v>44682</v>
      </c>
      <c r="H1684" t="s">
        <v>544</v>
      </c>
      <c r="I1684" t="s">
        <v>53</v>
      </c>
      <c r="J1684" t="s">
        <v>28</v>
      </c>
      <c r="K1684" t="s">
        <v>29</v>
      </c>
      <c r="L1684" t="s">
        <v>895</v>
      </c>
      <c r="M1684" t="s">
        <v>4402</v>
      </c>
      <c r="O1684" t="s">
        <v>896</v>
      </c>
      <c r="P1684" t="s">
        <v>33</v>
      </c>
      <c r="Q1684">
        <v>130.18</v>
      </c>
      <c r="R1684" t="s">
        <v>35</v>
      </c>
      <c r="S1684" t="s">
        <v>35</v>
      </c>
      <c r="T1684" t="s">
        <v>35</v>
      </c>
      <c r="U1684" t="s">
        <v>35</v>
      </c>
      <c r="V1684" t="s">
        <v>645</v>
      </c>
      <c r="W1684" t="s">
        <v>113</v>
      </c>
    </row>
    <row r="1685" spans="1:23" hidden="1" x14ac:dyDescent="0.25">
      <c r="A1685" s="7" t="str">
        <f>IFERROR(VLOOKUP(H1685,'Contas Orç'!A:B,2,0),"N/A")</f>
        <v>MULTAS DE TRANSITO</v>
      </c>
      <c r="B1685" s="7" t="str">
        <f t="shared" si="52"/>
        <v>320301008 - MULTAS DE TRANSITO</v>
      </c>
      <c r="C1685" s="25">
        <f t="shared" si="53"/>
        <v>44682</v>
      </c>
      <c r="D1685" s="27">
        <f>IF(K1685="CREDITO",Q1685,Q1685*-1)</f>
        <v>139.56</v>
      </c>
      <c r="E1685" t="s">
        <v>894</v>
      </c>
      <c r="F1685" t="s">
        <v>2179</v>
      </c>
      <c r="G1685" s="8">
        <v>44682</v>
      </c>
      <c r="H1685" t="s">
        <v>544</v>
      </c>
      <c r="I1685" t="s">
        <v>27</v>
      </c>
      <c r="J1685" t="s">
        <v>28</v>
      </c>
      <c r="K1685" t="s">
        <v>29</v>
      </c>
      <c r="L1685" t="s">
        <v>895</v>
      </c>
      <c r="M1685" t="s">
        <v>4402</v>
      </c>
      <c r="O1685" t="s">
        <v>896</v>
      </c>
      <c r="P1685" t="s">
        <v>33</v>
      </c>
      <c r="Q1685">
        <v>139.56</v>
      </c>
      <c r="R1685" t="s">
        <v>35</v>
      </c>
      <c r="S1685" t="s">
        <v>35</v>
      </c>
      <c r="T1685" t="s">
        <v>35</v>
      </c>
      <c r="U1685" t="s">
        <v>35</v>
      </c>
      <c r="V1685" t="s">
        <v>645</v>
      </c>
      <c r="W1685" t="s">
        <v>113</v>
      </c>
    </row>
    <row r="1686" spans="1:23" hidden="1" x14ac:dyDescent="0.25">
      <c r="A1686" s="7" t="str">
        <f>IFERROR(VLOOKUP(H1686,'Contas Orç'!A:B,2,0),"N/A")</f>
        <v>MULTAS DE TRANSITO</v>
      </c>
      <c r="B1686" s="7" t="str">
        <f t="shared" si="52"/>
        <v>320301008 - MULTAS DE TRANSITO</v>
      </c>
      <c r="C1686" s="25">
        <f t="shared" si="53"/>
        <v>44682</v>
      </c>
      <c r="D1686" s="27">
        <f>IF(K1686="CREDITO",Q1686,Q1686*-1)</f>
        <v>913.74</v>
      </c>
      <c r="E1686" t="s">
        <v>894</v>
      </c>
      <c r="F1686" t="s">
        <v>2180</v>
      </c>
      <c r="G1686" s="8">
        <v>44682</v>
      </c>
      <c r="H1686" t="s">
        <v>544</v>
      </c>
      <c r="I1686" t="s">
        <v>53</v>
      </c>
      <c r="J1686" t="s">
        <v>54</v>
      </c>
      <c r="K1686" t="s">
        <v>29</v>
      </c>
      <c r="L1686" t="s">
        <v>895</v>
      </c>
      <c r="M1686" t="s">
        <v>4402</v>
      </c>
      <c r="O1686" t="s">
        <v>896</v>
      </c>
      <c r="P1686" t="s">
        <v>33</v>
      </c>
      <c r="Q1686">
        <v>913.74</v>
      </c>
      <c r="R1686" t="s">
        <v>35</v>
      </c>
      <c r="S1686" t="s">
        <v>35</v>
      </c>
      <c r="T1686" t="s">
        <v>35</v>
      </c>
      <c r="U1686" t="s">
        <v>35</v>
      </c>
      <c r="V1686" t="s">
        <v>645</v>
      </c>
      <c r="W1686" t="s">
        <v>113</v>
      </c>
    </row>
    <row r="1687" spans="1:23" hidden="1" x14ac:dyDescent="0.25">
      <c r="A1687" s="7" t="str">
        <f>IFERROR(VLOOKUP(H1687,'Contas Orç'!A:B,2,0),"N/A")</f>
        <v>MULTAS DE TRANSITO</v>
      </c>
      <c r="B1687" s="7" t="str">
        <f t="shared" si="52"/>
        <v>320301008 - MULTAS DE TRANSITO</v>
      </c>
      <c r="C1687" s="25">
        <f t="shared" si="53"/>
        <v>44713</v>
      </c>
      <c r="D1687" s="27">
        <f>IF(K1687="CREDITO",Q1687,Q1687*-1)</f>
        <v>3890.18</v>
      </c>
      <c r="E1687" t="s">
        <v>894</v>
      </c>
      <c r="F1687" t="s">
        <v>2181</v>
      </c>
      <c r="G1687" s="8">
        <v>44713</v>
      </c>
      <c r="H1687" t="s">
        <v>544</v>
      </c>
      <c r="I1687" t="s">
        <v>27</v>
      </c>
      <c r="J1687" t="s">
        <v>28</v>
      </c>
      <c r="K1687" t="s">
        <v>29</v>
      </c>
      <c r="L1687" t="s">
        <v>895</v>
      </c>
      <c r="M1687" t="s">
        <v>4402</v>
      </c>
      <c r="O1687" t="s">
        <v>896</v>
      </c>
      <c r="P1687" t="s">
        <v>33</v>
      </c>
      <c r="Q1687" s="22">
        <v>3890.18</v>
      </c>
      <c r="R1687" t="s">
        <v>35</v>
      </c>
      <c r="S1687" t="s">
        <v>35</v>
      </c>
      <c r="T1687" t="s">
        <v>35</v>
      </c>
      <c r="U1687" t="s">
        <v>35</v>
      </c>
      <c r="V1687" t="s">
        <v>645</v>
      </c>
      <c r="W1687" t="s">
        <v>113</v>
      </c>
    </row>
    <row r="1688" spans="1:23" hidden="1" x14ac:dyDescent="0.25">
      <c r="A1688" s="7" t="str">
        <f>IFERROR(VLOOKUP(H1688,'Contas Orç'!A:B,2,0),"N/A")</f>
        <v>MULTAS DE TRANSITO</v>
      </c>
      <c r="B1688" s="7" t="str">
        <f t="shared" si="52"/>
        <v>320301008 - MULTAS DE TRANSITO</v>
      </c>
      <c r="C1688" s="25">
        <f t="shared" si="53"/>
        <v>44713</v>
      </c>
      <c r="D1688" s="27">
        <f>IF(K1688="CREDITO",Q1688,Q1688*-1)</f>
        <v>505.72</v>
      </c>
      <c r="E1688" t="s">
        <v>894</v>
      </c>
      <c r="F1688" t="s">
        <v>2182</v>
      </c>
      <c r="G1688" s="8">
        <v>44713</v>
      </c>
      <c r="H1688" t="s">
        <v>544</v>
      </c>
      <c r="I1688" t="s">
        <v>53</v>
      </c>
      <c r="J1688" t="s">
        <v>60</v>
      </c>
      <c r="K1688" t="s">
        <v>29</v>
      </c>
      <c r="L1688" t="s">
        <v>895</v>
      </c>
      <c r="M1688" t="s">
        <v>4402</v>
      </c>
      <c r="O1688" t="s">
        <v>896</v>
      </c>
      <c r="P1688" t="s">
        <v>33</v>
      </c>
      <c r="Q1688">
        <v>505.72</v>
      </c>
      <c r="R1688" t="s">
        <v>35</v>
      </c>
      <c r="S1688" t="s">
        <v>35</v>
      </c>
      <c r="T1688" t="s">
        <v>35</v>
      </c>
      <c r="U1688" t="s">
        <v>35</v>
      </c>
      <c r="V1688" t="s">
        <v>645</v>
      </c>
      <c r="W1688" t="s">
        <v>113</v>
      </c>
    </row>
    <row r="1689" spans="1:23" hidden="1" x14ac:dyDescent="0.25">
      <c r="A1689" s="7" t="str">
        <f>IFERROR(VLOOKUP(H1689,'Contas Orç'!A:B,2,0),"N/A")</f>
        <v>MULTAS DE TRANSITO</v>
      </c>
      <c r="B1689" s="7" t="str">
        <f t="shared" si="52"/>
        <v>320301008 - MULTAS DE TRANSITO</v>
      </c>
      <c r="C1689" s="25">
        <f t="shared" si="53"/>
        <v>44713</v>
      </c>
      <c r="D1689" s="27">
        <f>IF(K1689="CREDITO",Q1689,Q1689*-1)</f>
        <v>853.89</v>
      </c>
      <c r="E1689" t="s">
        <v>894</v>
      </c>
      <c r="F1689" t="s">
        <v>2183</v>
      </c>
      <c r="G1689" s="8">
        <v>44713</v>
      </c>
      <c r="H1689" t="s">
        <v>544</v>
      </c>
      <c r="I1689" t="s">
        <v>106</v>
      </c>
      <c r="J1689" t="s">
        <v>60</v>
      </c>
      <c r="K1689" t="s">
        <v>29</v>
      </c>
      <c r="L1689" t="s">
        <v>895</v>
      </c>
      <c r="M1689" t="s">
        <v>4402</v>
      </c>
      <c r="O1689" t="s">
        <v>896</v>
      </c>
      <c r="P1689" t="s">
        <v>33</v>
      </c>
      <c r="Q1689">
        <v>853.89</v>
      </c>
      <c r="R1689" t="s">
        <v>35</v>
      </c>
      <c r="S1689" t="s">
        <v>35</v>
      </c>
      <c r="T1689" t="s">
        <v>35</v>
      </c>
      <c r="U1689" t="s">
        <v>35</v>
      </c>
      <c r="V1689" t="s">
        <v>645</v>
      </c>
      <c r="W1689" t="s">
        <v>113</v>
      </c>
    </row>
    <row r="1690" spans="1:23" hidden="1" x14ac:dyDescent="0.25">
      <c r="A1690" s="7" t="str">
        <f>IFERROR(VLOOKUP(H1690,'Contas Orç'!A:B,2,0),"N/A")</f>
        <v>MULTAS DE TRANSITO</v>
      </c>
      <c r="B1690" s="7" t="str">
        <f t="shared" si="52"/>
        <v>320301008 - MULTAS DE TRANSITO</v>
      </c>
      <c r="C1690" s="25">
        <f t="shared" si="53"/>
        <v>44713</v>
      </c>
      <c r="D1690" s="27">
        <f>IF(K1690="CREDITO",Q1690,Q1690*-1)</f>
        <v>165.75</v>
      </c>
      <c r="E1690" t="s">
        <v>894</v>
      </c>
      <c r="F1690" t="s">
        <v>2184</v>
      </c>
      <c r="G1690" s="8">
        <v>44713</v>
      </c>
      <c r="H1690" t="s">
        <v>544</v>
      </c>
      <c r="I1690" t="s">
        <v>53</v>
      </c>
      <c r="J1690" t="s">
        <v>54</v>
      </c>
      <c r="K1690" t="s">
        <v>29</v>
      </c>
      <c r="L1690" t="s">
        <v>895</v>
      </c>
      <c r="M1690" t="s">
        <v>4402</v>
      </c>
      <c r="O1690" t="s">
        <v>896</v>
      </c>
      <c r="P1690" t="s">
        <v>33</v>
      </c>
      <c r="Q1690">
        <v>165.75</v>
      </c>
      <c r="R1690" t="s">
        <v>35</v>
      </c>
      <c r="S1690" t="s">
        <v>35</v>
      </c>
      <c r="T1690" t="s">
        <v>35</v>
      </c>
      <c r="U1690" t="s">
        <v>35</v>
      </c>
      <c r="V1690" t="s">
        <v>645</v>
      </c>
      <c r="W1690" t="s">
        <v>113</v>
      </c>
    </row>
    <row r="1691" spans="1:23" hidden="1" x14ac:dyDescent="0.25">
      <c r="A1691" s="7" t="str">
        <f>IFERROR(VLOOKUP(H1691,'Contas Orç'!A:B,2,0),"N/A")</f>
        <v>MULTAS DE TRANSITO</v>
      </c>
      <c r="B1691" s="7" t="str">
        <f t="shared" si="52"/>
        <v>320301008 - MULTAS DE TRANSITO</v>
      </c>
      <c r="C1691" s="25">
        <f t="shared" si="53"/>
        <v>44743</v>
      </c>
      <c r="D1691" s="27">
        <f>IF(K1691="CREDITO",Q1691,Q1691*-1)</f>
        <v>43.83</v>
      </c>
      <c r="E1691" t="s">
        <v>894</v>
      </c>
      <c r="F1691" t="s">
        <v>2185</v>
      </c>
      <c r="G1691" s="8">
        <v>44743</v>
      </c>
      <c r="H1691" t="s">
        <v>544</v>
      </c>
      <c r="I1691" t="s">
        <v>27</v>
      </c>
      <c r="J1691" t="s">
        <v>28</v>
      </c>
      <c r="K1691" t="s">
        <v>29</v>
      </c>
      <c r="L1691" t="s">
        <v>895</v>
      </c>
      <c r="M1691" t="s">
        <v>4402</v>
      </c>
      <c r="O1691" t="s">
        <v>896</v>
      </c>
      <c r="P1691" t="s">
        <v>33</v>
      </c>
      <c r="Q1691">
        <v>43.83</v>
      </c>
      <c r="R1691" t="s">
        <v>35</v>
      </c>
      <c r="S1691" t="s">
        <v>35</v>
      </c>
      <c r="T1691" t="s">
        <v>35</v>
      </c>
      <c r="U1691" t="s">
        <v>35</v>
      </c>
      <c r="V1691" t="s">
        <v>645</v>
      </c>
      <c r="W1691" t="s">
        <v>113</v>
      </c>
    </row>
    <row r="1692" spans="1:23" hidden="1" x14ac:dyDescent="0.25">
      <c r="A1692" s="7" t="str">
        <f>IFERROR(VLOOKUP(H1692,'Contas Orç'!A:B,2,0),"N/A")</f>
        <v>MULTAS DE TRANSITO</v>
      </c>
      <c r="B1692" s="7" t="str">
        <f t="shared" si="52"/>
        <v>320301008 - MULTAS DE TRANSITO</v>
      </c>
      <c r="C1692" s="25">
        <f t="shared" si="53"/>
        <v>44743</v>
      </c>
      <c r="D1692" s="27">
        <f>IF(K1692="CREDITO",Q1692,Q1692*-1)</f>
        <v>371.84</v>
      </c>
      <c r="E1692" t="s">
        <v>894</v>
      </c>
      <c r="F1692" t="s">
        <v>2186</v>
      </c>
      <c r="G1692" s="8">
        <v>44743</v>
      </c>
      <c r="H1692" t="s">
        <v>544</v>
      </c>
      <c r="I1692" t="s">
        <v>53</v>
      </c>
      <c r="J1692" t="s">
        <v>60</v>
      </c>
      <c r="K1692" t="s">
        <v>29</v>
      </c>
      <c r="L1692" t="s">
        <v>895</v>
      </c>
      <c r="M1692" t="s">
        <v>4402</v>
      </c>
      <c r="O1692" t="s">
        <v>896</v>
      </c>
      <c r="P1692" t="s">
        <v>33</v>
      </c>
      <c r="Q1692">
        <v>371.84</v>
      </c>
      <c r="R1692" t="s">
        <v>35</v>
      </c>
      <c r="S1692" t="s">
        <v>35</v>
      </c>
      <c r="T1692" t="s">
        <v>35</v>
      </c>
      <c r="U1692" t="s">
        <v>35</v>
      </c>
      <c r="V1692" t="s">
        <v>645</v>
      </c>
      <c r="W1692" t="s">
        <v>113</v>
      </c>
    </row>
    <row r="1693" spans="1:23" hidden="1" x14ac:dyDescent="0.25">
      <c r="A1693" s="7" t="str">
        <f>IFERROR(VLOOKUP(H1693,'Contas Orç'!A:B,2,0),"N/A")</f>
        <v>MULTAS DE TRANSITO</v>
      </c>
      <c r="B1693" s="7" t="str">
        <f t="shared" si="52"/>
        <v>320301008 - MULTAS DE TRANSITO</v>
      </c>
      <c r="C1693" s="25">
        <f t="shared" si="53"/>
        <v>44743</v>
      </c>
      <c r="D1693" s="27">
        <f>IF(K1693="CREDITO",Q1693,Q1693*-1)</f>
        <v>415.67</v>
      </c>
      <c r="E1693" t="s">
        <v>894</v>
      </c>
      <c r="F1693" t="s">
        <v>2187</v>
      </c>
      <c r="G1693" s="8">
        <v>44743</v>
      </c>
      <c r="H1693" t="s">
        <v>544</v>
      </c>
      <c r="I1693" t="s">
        <v>53</v>
      </c>
      <c r="J1693" t="s">
        <v>54</v>
      </c>
      <c r="K1693" t="s">
        <v>29</v>
      </c>
      <c r="L1693" t="s">
        <v>895</v>
      </c>
      <c r="M1693" t="s">
        <v>4402</v>
      </c>
      <c r="O1693" t="s">
        <v>896</v>
      </c>
      <c r="P1693" t="s">
        <v>33</v>
      </c>
      <c r="Q1693">
        <v>415.67</v>
      </c>
      <c r="R1693" t="s">
        <v>35</v>
      </c>
      <c r="S1693" t="s">
        <v>35</v>
      </c>
      <c r="T1693" t="s">
        <v>35</v>
      </c>
      <c r="U1693" t="s">
        <v>35</v>
      </c>
      <c r="V1693" t="s">
        <v>645</v>
      </c>
      <c r="W1693" t="s">
        <v>113</v>
      </c>
    </row>
    <row r="1694" spans="1:23" hidden="1" x14ac:dyDescent="0.25">
      <c r="A1694" s="7" t="str">
        <f>IFERROR(VLOOKUP(H1694,'Contas Orç'!A:B,2,0),"N/A")</f>
        <v>MULTAS DE TRANSITO</v>
      </c>
      <c r="B1694" s="7" t="str">
        <f t="shared" si="52"/>
        <v>320301008 - MULTAS DE TRANSITO</v>
      </c>
      <c r="C1694" s="25">
        <f t="shared" si="53"/>
        <v>44774</v>
      </c>
      <c r="D1694" s="27">
        <f>IF(K1694="CREDITO",Q1694,Q1694*-1)</f>
        <v>590.55999999999995</v>
      </c>
      <c r="E1694" t="s">
        <v>894</v>
      </c>
      <c r="F1694" t="s">
        <v>2188</v>
      </c>
      <c r="G1694" s="8">
        <v>44774</v>
      </c>
      <c r="H1694" t="s">
        <v>544</v>
      </c>
      <c r="I1694" t="s">
        <v>27</v>
      </c>
      <c r="J1694" t="s">
        <v>28</v>
      </c>
      <c r="K1694" t="s">
        <v>29</v>
      </c>
      <c r="L1694" t="s">
        <v>895</v>
      </c>
      <c r="M1694" t="s">
        <v>4402</v>
      </c>
      <c r="O1694" t="s">
        <v>896</v>
      </c>
      <c r="P1694" t="s">
        <v>33</v>
      </c>
      <c r="Q1694">
        <v>590.55999999999995</v>
      </c>
      <c r="R1694" t="s">
        <v>35</v>
      </c>
      <c r="S1694" t="s">
        <v>35</v>
      </c>
      <c r="T1694" t="s">
        <v>35</v>
      </c>
      <c r="U1694" t="s">
        <v>35</v>
      </c>
      <c r="V1694" t="s">
        <v>645</v>
      </c>
      <c r="W1694" t="s">
        <v>113</v>
      </c>
    </row>
    <row r="1695" spans="1:23" hidden="1" x14ac:dyDescent="0.25">
      <c r="A1695" s="7" t="str">
        <f>IFERROR(VLOOKUP(H1695,'Contas Orç'!A:B,2,0),"N/A")</f>
        <v>MULTAS DE TRANSITO</v>
      </c>
      <c r="B1695" s="7" t="str">
        <f t="shared" si="52"/>
        <v>320301008 - MULTAS DE TRANSITO</v>
      </c>
      <c r="C1695" s="25">
        <f t="shared" si="53"/>
        <v>44774</v>
      </c>
      <c r="D1695" s="27">
        <f>IF(K1695="CREDITO",Q1695,Q1695*-1)</f>
        <v>371.84</v>
      </c>
      <c r="E1695" t="s">
        <v>894</v>
      </c>
      <c r="F1695" t="s">
        <v>2189</v>
      </c>
      <c r="G1695" s="8">
        <v>44774</v>
      </c>
      <c r="H1695" t="s">
        <v>544</v>
      </c>
      <c r="I1695" t="s">
        <v>53</v>
      </c>
      <c r="J1695" t="s">
        <v>60</v>
      </c>
      <c r="K1695" t="s">
        <v>29</v>
      </c>
      <c r="L1695" t="s">
        <v>895</v>
      </c>
      <c r="M1695" t="s">
        <v>4402</v>
      </c>
      <c r="O1695" t="s">
        <v>896</v>
      </c>
      <c r="P1695" t="s">
        <v>33</v>
      </c>
      <c r="Q1695">
        <v>371.84</v>
      </c>
      <c r="R1695" t="s">
        <v>35</v>
      </c>
      <c r="S1695" t="s">
        <v>35</v>
      </c>
      <c r="T1695" t="s">
        <v>35</v>
      </c>
      <c r="U1695" t="s">
        <v>35</v>
      </c>
      <c r="V1695" t="s">
        <v>645</v>
      </c>
      <c r="W1695" t="s">
        <v>113</v>
      </c>
    </row>
    <row r="1696" spans="1:23" hidden="1" x14ac:dyDescent="0.25">
      <c r="A1696" s="7" t="str">
        <f>IFERROR(VLOOKUP(H1696,'Contas Orç'!A:B,2,0),"N/A")</f>
        <v>MULTAS DE TRANSITO</v>
      </c>
      <c r="B1696" s="7" t="str">
        <f t="shared" si="52"/>
        <v>320301008 - MULTAS DE TRANSITO</v>
      </c>
      <c r="C1696" s="25">
        <f t="shared" si="53"/>
        <v>44774</v>
      </c>
      <c r="D1696" s="27">
        <f>IF(K1696="CREDITO",Q1696,Q1696*-1)</f>
        <v>550.15</v>
      </c>
      <c r="E1696" t="s">
        <v>894</v>
      </c>
      <c r="F1696" t="s">
        <v>2190</v>
      </c>
      <c r="G1696" s="8">
        <v>44774</v>
      </c>
      <c r="H1696" t="s">
        <v>544</v>
      </c>
      <c r="I1696" t="s">
        <v>40</v>
      </c>
      <c r="J1696" t="s">
        <v>54</v>
      </c>
      <c r="K1696" t="s">
        <v>29</v>
      </c>
      <c r="L1696" t="s">
        <v>895</v>
      </c>
      <c r="M1696" t="s">
        <v>4402</v>
      </c>
      <c r="O1696" t="s">
        <v>896</v>
      </c>
      <c r="P1696" t="s">
        <v>33</v>
      </c>
      <c r="Q1696">
        <v>550.15</v>
      </c>
      <c r="R1696" t="s">
        <v>35</v>
      </c>
      <c r="S1696" t="s">
        <v>35</v>
      </c>
      <c r="T1696" t="s">
        <v>35</v>
      </c>
      <c r="U1696" t="s">
        <v>35</v>
      </c>
      <c r="V1696" t="s">
        <v>645</v>
      </c>
      <c r="W1696" t="s">
        <v>113</v>
      </c>
    </row>
    <row r="1697" spans="1:23" hidden="1" x14ac:dyDescent="0.25">
      <c r="A1697" s="7" t="str">
        <f>IFERROR(VLOOKUP(H1697,'Contas Orç'!A:B,2,0),"N/A")</f>
        <v>MULTAS DE TRANSITO</v>
      </c>
      <c r="B1697" s="7" t="str">
        <f t="shared" si="52"/>
        <v>320301008 - MULTAS DE TRANSITO</v>
      </c>
      <c r="C1697" s="25">
        <f t="shared" si="53"/>
        <v>44774</v>
      </c>
      <c r="D1697" s="27">
        <f>IF(K1697="CREDITO",Q1697,Q1697*-1)</f>
        <v>656.62</v>
      </c>
      <c r="E1697" t="s">
        <v>894</v>
      </c>
      <c r="F1697" t="s">
        <v>2191</v>
      </c>
      <c r="G1697" s="8">
        <v>44774</v>
      </c>
      <c r="H1697" t="s">
        <v>544</v>
      </c>
      <c r="I1697" t="s">
        <v>53</v>
      </c>
      <c r="J1697" t="s">
        <v>54</v>
      </c>
      <c r="K1697" t="s">
        <v>29</v>
      </c>
      <c r="L1697" t="s">
        <v>895</v>
      </c>
      <c r="M1697" t="s">
        <v>4402</v>
      </c>
      <c r="O1697" t="s">
        <v>896</v>
      </c>
      <c r="P1697" t="s">
        <v>33</v>
      </c>
      <c r="Q1697">
        <v>656.62</v>
      </c>
      <c r="R1697" t="s">
        <v>35</v>
      </c>
      <c r="S1697" t="s">
        <v>35</v>
      </c>
      <c r="T1697" t="s">
        <v>35</v>
      </c>
      <c r="U1697" t="s">
        <v>35</v>
      </c>
      <c r="V1697" t="s">
        <v>645</v>
      </c>
      <c r="W1697" t="s">
        <v>113</v>
      </c>
    </row>
    <row r="1698" spans="1:23" hidden="1" x14ac:dyDescent="0.25">
      <c r="A1698" s="7" t="str">
        <f>IFERROR(VLOOKUP(H1698,'Contas Orç'!A:B,2,0),"N/A")</f>
        <v>MULTAS DE TRANSITO</v>
      </c>
      <c r="B1698" s="7" t="str">
        <f t="shared" si="52"/>
        <v>320301008 - MULTAS DE TRANSITO</v>
      </c>
      <c r="C1698" s="25">
        <f t="shared" si="53"/>
        <v>44805</v>
      </c>
      <c r="D1698" s="27">
        <f>IF(K1698="CREDITO",Q1698,Q1698*-1)</f>
        <v>748.52</v>
      </c>
      <c r="E1698" t="s">
        <v>894</v>
      </c>
      <c r="F1698" t="s">
        <v>2192</v>
      </c>
      <c r="G1698" s="8">
        <v>44805</v>
      </c>
      <c r="H1698" t="s">
        <v>544</v>
      </c>
      <c r="I1698" t="s">
        <v>27</v>
      </c>
      <c r="J1698" t="s">
        <v>28</v>
      </c>
      <c r="K1698" t="s">
        <v>29</v>
      </c>
      <c r="L1698" t="s">
        <v>895</v>
      </c>
      <c r="M1698" t="s">
        <v>4402</v>
      </c>
      <c r="O1698" t="s">
        <v>896</v>
      </c>
      <c r="P1698" t="s">
        <v>33</v>
      </c>
      <c r="Q1698">
        <v>748.52</v>
      </c>
      <c r="R1698" t="s">
        <v>35</v>
      </c>
      <c r="S1698" t="s">
        <v>35</v>
      </c>
      <c r="T1698" t="s">
        <v>35</v>
      </c>
      <c r="U1698" t="s">
        <v>35</v>
      </c>
      <c r="V1698" t="s">
        <v>645</v>
      </c>
      <c r="W1698" t="s">
        <v>113</v>
      </c>
    </row>
    <row r="1699" spans="1:23" hidden="1" x14ac:dyDescent="0.25">
      <c r="A1699" s="7" t="str">
        <f>IFERROR(VLOOKUP(H1699,'Contas Orç'!A:B,2,0),"N/A")</f>
        <v>MULTAS DE TRANSITO</v>
      </c>
      <c r="B1699" s="7" t="str">
        <f t="shared" si="52"/>
        <v>320301008 - MULTAS DE TRANSITO</v>
      </c>
      <c r="C1699" s="25">
        <f t="shared" si="53"/>
        <v>44805</v>
      </c>
      <c r="D1699" s="27">
        <f>IF(K1699="CREDITO",Q1699,Q1699*-1)</f>
        <v>371.84</v>
      </c>
      <c r="E1699" t="s">
        <v>894</v>
      </c>
      <c r="F1699" t="s">
        <v>2193</v>
      </c>
      <c r="G1699" s="8">
        <v>44805</v>
      </c>
      <c r="H1699" t="s">
        <v>544</v>
      </c>
      <c r="I1699" t="s">
        <v>53</v>
      </c>
      <c r="J1699" t="s">
        <v>60</v>
      </c>
      <c r="K1699" t="s">
        <v>29</v>
      </c>
      <c r="L1699" t="s">
        <v>895</v>
      </c>
      <c r="M1699" t="s">
        <v>4402</v>
      </c>
      <c r="O1699" t="s">
        <v>896</v>
      </c>
      <c r="P1699" t="s">
        <v>33</v>
      </c>
      <c r="Q1699">
        <v>371.84</v>
      </c>
      <c r="R1699" t="s">
        <v>35</v>
      </c>
      <c r="S1699" t="s">
        <v>35</v>
      </c>
      <c r="T1699" t="s">
        <v>35</v>
      </c>
      <c r="U1699" t="s">
        <v>35</v>
      </c>
      <c r="V1699" t="s">
        <v>645</v>
      </c>
      <c r="W1699" t="s">
        <v>113</v>
      </c>
    </row>
    <row r="1700" spans="1:23" hidden="1" x14ac:dyDescent="0.25">
      <c r="A1700" s="7" t="str">
        <f>IFERROR(VLOOKUP(H1700,'Contas Orç'!A:B,2,0),"N/A")</f>
        <v>MULTAS DE TRANSITO</v>
      </c>
      <c r="B1700" s="7" t="str">
        <f t="shared" si="52"/>
        <v>320301008 - MULTAS DE TRANSITO</v>
      </c>
      <c r="C1700" s="25">
        <f t="shared" si="53"/>
        <v>44805</v>
      </c>
      <c r="D1700" s="27">
        <f>IF(K1700="CREDITO",Q1700,Q1700*-1)</f>
        <v>1702.52</v>
      </c>
      <c r="E1700" t="s">
        <v>894</v>
      </c>
      <c r="F1700" t="s">
        <v>2194</v>
      </c>
      <c r="G1700" s="8">
        <v>44805</v>
      </c>
      <c r="H1700" t="s">
        <v>544</v>
      </c>
      <c r="I1700" t="s">
        <v>53</v>
      </c>
      <c r="J1700" t="s">
        <v>54</v>
      </c>
      <c r="K1700" t="s">
        <v>29</v>
      </c>
      <c r="L1700" t="s">
        <v>895</v>
      </c>
      <c r="M1700" t="s">
        <v>4402</v>
      </c>
      <c r="O1700" t="s">
        <v>896</v>
      </c>
      <c r="P1700" t="s">
        <v>33</v>
      </c>
      <c r="Q1700" s="22">
        <v>1702.52</v>
      </c>
      <c r="R1700" t="s">
        <v>35</v>
      </c>
      <c r="S1700" t="s">
        <v>35</v>
      </c>
      <c r="T1700" t="s">
        <v>35</v>
      </c>
      <c r="U1700" t="s">
        <v>35</v>
      </c>
      <c r="V1700" t="s">
        <v>645</v>
      </c>
      <c r="W1700" t="s">
        <v>113</v>
      </c>
    </row>
    <row r="1701" spans="1:23" hidden="1" x14ac:dyDescent="0.25">
      <c r="A1701" s="7" t="str">
        <f>IFERROR(VLOOKUP(H1701,'Contas Orç'!A:B,2,0),"N/A")</f>
        <v>MULTAS DE TRANSITO</v>
      </c>
      <c r="B1701" s="7" t="str">
        <f t="shared" si="52"/>
        <v>320301008 - MULTAS DE TRANSITO</v>
      </c>
      <c r="C1701" s="25">
        <f t="shared" si="53"/>
        <v>44805</v>
      </c>
      <c r="D1701" s="27">
        <f>IF(K1701="CREDITO",Q1701,Q1701*-1)</f>
        <v>195.23</v>
      </c>
      <c r="E1701" t="s">
        <v>894</v>
      </c>
      <c r="F1701" t="s">
        <v>2195</v>
      </c>
      <c r="G1701" s="8">
        <v>44805</v>
      </c>
      <c r="H1701" t="s">
        <v>544</v>
      </c>
      <c r="I1701" t="s">
        <v>27</v>
      </c>
      <c r="J1701" t="s">
        <v>54</v>
      </c>
      <c r="K1701" t="s">
        <v>29</v>
      </c>
      <c r="L1701" t="s">
        <v>895</v>
      </c>
      <c r="M1701" t="s">
        <v>4402</v>
      </c>
      <c r="O1701" t="s">
        <v>896</v>
      </c>
      <c r="P1701" t="s">
        <v>33</v>
      </c>
      <c r="Q1701">
        <v>195.23</v>
      </c>
      <c r="R1701" t="s">
        <v>35</v>
      </c>
      <c r="S1701" t="s">
        <v>35</v>
      </c>
      <c r="T1701" t="s">
        <v>35</v>
      </c>
      <c r="U1701" t="s">
        <v>35</v>
      </c>
      <c r="V1701" t="s">
        <v>645</v>
      </c>
      <c r="W1701" t="s">
        <v>113</v>
      </c>
    </row>
    <row r="1702" spans="1:23" hidden="1" x14ac:dyDescent="0.25">
      <c r="A1702" s="7" t="str">
        <f>IFERROR(VLOOKUP(H1702,'Contas Orç'!A:B,2,0),"N/A")</f>
        <v>MULTAS DE TRANSITO</v>
      </c>
      <c r="B1702" s="7" t="str">
        <f t="shared" si="52"/>
        <v>320301008 - MULTAS DE TRANSITO</v>
      </c>
      <c r="C1702" s="25">
        <f t="shared" si="53"/>
        <v>44835</v>
      </c>
      <c r="D1702" s="27">
        <f>IF(K1702="CREDITO",Q1702,Q1702*-1)</f>
        <v>756.01</v>
      </c>
      <c r="E1702" t="s">
        <v>894</v>
      </c>
      <c r="F1702" t="s">
        <v>2196</v>
      </c>
      <c r="G1702" s="8">
        <v>44835</v>
      </c>
      <c r="H1702" t="s">
        <v>544</v>
      </c>
      <c r="I1702" t="s">
        <v>27</v>
      </c>
      <c r="J1702" t="s">
        <v>28</v>
      </c>
      <c r="K1702" t="s">
        <v>29</v>
      </c>
      <c r="L1702" t="s">
        <v>895</v>
      </c>
      <c r="M1702" t="s">
        <v>4402</v>
      </c>
      <c r="O1702" t="s">
        <v>896</v>
      </c>
      <c r="P1702" t="s">
        <v>33</v>
      </c>
      <c r="Q1702">
        <v>756.01</v>
      </c>
      <c r="R1702" t="s">
        <v>35</v>
      </c>
      <c r="S1702" t="s">
        <v>35</v>
      </c>
      <c r="T1702" t="s">
        <v>35</v>
      </c>
      <c r="U1702" t="s">
        <v>35</v>
      </c>
      <c r="V1702" t="s">
        <v>645</v>
      </c>
      <c r="W1702" t="s">
        <v>113</v>
      </c>
    </row>
    <row r="1703" spans="1:23" hidden="1" x14ac:dyDescent="0.25">
      <c r="A1703" s="7" t="str">
        <f>IFERROR(VLOOKUP(H1703,'Contas Orç'!A:B,2,0),"N/A")</f>
        <v>MULTAS DE TRANSITO</v>
      </c>
      <c r="B1703" s="7" t="str">
        <f t="shared" si="52"/>
        <v>320301008 - MULTAS DE TRANSITO</v>
      </c>
      <c r="C1703" s="25">
        <f t="shared" si="53"/>
        <v>44835</v>
      </c>
      <c r="D1703" s="27">
        <f>IF(K1703="CREDITO",Q1703,Q1703*-1)</f>
        <v>375.56</v>
      </c>
      <c r="E1703" t="s">
        <v>894</v>
      </c>
      <c r="F1703" t="s">
        <v>2197</v>
      </c>
      <c r="G1703" s="8">
        <v>44835</v>
      </c>
      <c r="H1703" t="s">
        <v>544</v>
      </c>
      <c r="I1703" t="s">
        <v>53</v>
      </c>
      <c r="J1703" t="s">
        <v>60</v>
      </c>
      <c r="K1703" t="s">
        <v>29</v>
      </c>
      <c r="L1703" t="s">
        <v>895</v>
      </c>
      <c r="M1703" t="s">
        <v>4402</v>
      </c>
      <c r="O1703" t="s">
        <v>896</v>
      </c>
      <c r="P1703" t="s">
        <v>33</v>
      </c>
      <c r="Q1703">
        <v>375.56</v>
      </c>
      <c r="R1703" t="s">
        <v>35</v>
      </c>
      <c r="S1703" t="s">
        <v>35</v>
      </c>
      <c r="T1703" t="s">
        <v>35</v>
      </c>
      <c r="U1703" t="s">
        <v>35</v>
      </c>
      <c r="V1703" t="s">
        <v>645</v>
      </c>
      <c r="W1703" t="s">
        <v>113</v>
      </c>
    </row>
    <row r="1704" spans="1:23" hidden="1" x14ac:dyDescent="0.25">
      <c r="A1704" s="7" t="str">
        <f>IFERROR(VLOOKUP(H1704,'Contas Orç'!A:B,2,0),"N/A")</f>
        <v>MULTAS DE TRANSITO</v>
      </c>
      <c r="B1704" s="7" t="str">
        <f t="shared" si="52"/>
        <v>320301008 - MULTAS DE TRANSITO</v>
      </c>
      <c r="C1704" s="25">
        <f t="shared" si="53"/>
        <v>44835</v>
      </c>
      <c r="D1704" s="27">
        <f>IF(K1704="CREDITO",Q1704,Q1704*-1)</f>
        <v>1719.55</v>
      </c>
      <c r="E1704" t="s">
        <v>894</v>
      </c>
      <c r="F1704" t="s">
        <v>2198</v>
      </c>
      <c r="G1704" s="8">
        <v>44835</v>
      </c>
      <c r="H1704" t="s">
        <v>544</v>
      </c>
      <c r="I1704" t="s">
        <v>53</v>
      </c>
      <c r="J1704" t="s">
        <v>54</v>
      </c>
      <c r="K1704" t="s">
        <v>29</v>
      </c>
      <c r="L1704" t="s">
        <v>895</v>
      </c>
      <c r="M1704" t="s">
        <v>4402</v>
      </c>
      <c r="O1704" t="s">
        <v>896</v>
      </c>
      <c r="P1704" t="s">
        <v>33</v>
      </c>
      <c r="Q1704" s="22">
        <v>1719.55</v>
      </c>
      <c r="R1704" t="s">
        <v>35</v>
      </c>
      <c r="S1704" t="s">
        <v>35</v>
      </c>
      <c r="T1704" t="s">
        <v>35</v>
      </c>
      <c r="U1704" t="s">
        <v>35</v>
      </c>
      <c r="V1704" t="s">
        <v>645</v>
      </c>
      <c r="W1704" t="s">
        <v>113</v>
      </c>
    </row>
    <row r="1705" spans="1:23" hidden="1" x14ac:dyDescent="0.25">
      <c r="A1705" s="7" t="str">
        <f>IFERROR(VLOOKUP(H1705,'Contas Orç'!A:B,2,0),"N/A")</f>
        <v>MULTAS DE TRANSITO</v>
      </c>
      <c r="B1705" s="7" t="str">
        <f t="shared" si="52"/>
        <v>320301008 - MULTAS DE TRANSITO</v>
      </c>
      <c r="C1705" s="25">
        <f t="shared" si="53"/>
        <v>44835</v>
      </c>
      <c r="D1705" s="27">
        <f>IF(K1705="CREDITO",Q1705,Q1705*-1)</f>
        <v>197.18</v>
      </c>
      <c r="E1705" t="s">
        <v>894</v>
      </c>
      <c r="F1705" t="s">
        <v>2199</v>
      </c>
      <c r="G1705" s="8">
        <v>44835</v>
      </c>
      <c r="H1705" t="s">
        <v>544</v>
      </c>
      <c r="I1705" t="s">
        <v>27</v>
      </c>
      <c r="J1705" t="s">
        <v>54</v>
      </c>
      <c r="K1705" t="s">
        <v>29</v>
      </c>
      <c r="L1705" t="s">
        <v>895</v>
      </c>
      <c r="M1705" t="s">
        <v>4402</v>
      </c>
      <c r="O1705" t="s">
        <v>896</v>
      </c>
      <c r="P1705" t="s">
        <v>33</v>
      </c>
      <c r="Q1705">
        <v>197.18</v>
      </c>
      <c r="R1705" t="s">
        <v>35</v>
      </c>
      <c r="S1705" t="s">
        <v>35</v>
      </c>
      <c r="T1705" t="s">
        <v>35</v>
      </c>
      <c r="U1705" t="s">
        <v>35</v>
      </c>
      <c r="V1705" t="s">
        <v>645</v>
      </c>
      <c r="W1705" t="s">
        <v>113</v>
      </c>
    </row>
    <row r="1706" spans="1:23" hidden="1" x14ac:dyDescent="0.25">
      <c r="A1706" s="7" t="str">
        <f>IFERROR(VLOOKUP(H1706,'Contas Orç'!A:B,2,0),"N/A")</f>
        <v>MULTAS DE TRANSITO</v>
      </c>
      <c r="B1706" s="7" t="str">
        <f t="shared" si="52"/>
        <v>320301008 - MULTAS DE TRANSITO</v>
      </c>
      <c r="C1706" s="25">
        <f t="shared" si="53"/>
        <v>44866</v>
      </c>
      <c r="D1706" s="27">
        <f>IF(K1706="CREDITO",Q1706,Q1706*-1)</f>
        <v>763.57</v>
      </c>
      <c r="E1706" t="s">
        <v>894</v>
      </c>
      <c r="F1706" t="s">
        <v>2200</v>
      </c>
      <c r="G1706" s="8">
        <v>44866</v>
      </c>
      <c r="H1706" t="s">
        <v>544</v>
      </c>
      <c r="I1706" t="s">
        <v>27</v>
      </c>
      <c r="J1706" t="s">
        <v>28</v>
      </c>
      <c r="K1706" t="s">
        <v>29</v>
      </c>
      <c r="L1706" t="s">
        <v>895</v>
      </c>
      <c r="M1706" t="s">
        <v>4402</v>
      </c>
      <c r="O1706" t="s">
        <v>896</v>
      </c>
      <c r="P1706" t="s">
        <v>33</v>
      </c>
      <c r="Q1706">
        <v>763.57</v>
      </c>
      <c r="R1706" t="s">
        <v>35</v>
      </c>
      <c r="S1706" t="s">
        <v>35</v>
      </c>
      <c r="T1706" t="s">
        <v>35</v>
      </c>
      <c r="U1706" t="s">
        <v>35</v>
      </c>
      <c r="V1706" t="s">
        <v>645</v>
      </c>
      <c r="W1706" t="s">
        <v>113</v>
      </c>
    </row>
    <row r="1707" spans="1:23" hidden="1" x14ac:dyDescent="0.25">
      <c r="A1707" s="7" t="str">
        <f>IFERROR(VLOOKUP(H1707,'Contas Orç'!A:B,2,0),"N/A")</f>
        <v>MULTAS DE TRANSITO</v>
      </c>
      <c r="B1707" s="7" t="str">
        <f t="shared" si="52"/>
        <v>320301008 - MULTAS DE TRANSITO</v>
      </c>
      <c r="C1707" s="25">
        <f t="shared" si="53"/>
        <v>44866</v>
      </c>
      <c r="D1707" s="27">
        <f>IF(K1707="CREDITO",Q1707,Q1707*-1)</f>
        <v>379.31</v>
      </c>
      <c r="E1707" t="s">
        <v>894</v>
      </c>
      <c r="F1707" t="s">
        <v>2201</v>
      </c>
      <c r="G1707" s="8">
        <v>44866</v>
      </c>
      <c r="H1707" t="s">
        <v>544</v>
      </c>
      <c r="I1707" t="s">
        <v>53</v>
      </c>
      <c r="J1707" t="s">
        <v>60</v>
      </c>
      <c r="K1707" t="s">
        <v>29</v>
      </c>
      <c r="L1707" t="s">
        <v>895</v>
      </c>
      <c r="M1707" t="s">
        <v>4402</v>
      </c>
      <c r="O1707" t="s">
        <v>896</v>
      </c>
      <c r="P1707" t="s">
        <v>33</v>
      </c>
      <c r="Q1707">
        <v>379.31</v>
      </c>
      <c r="R1707" t="s">
        <v>35</v>
      </c>
      <c r="S1707" t="s">
        <v>35</v>
      </c>
      <c r="T1707" t="s">
        <v>35</v>
      </c>
      <c r="U1707" t="s">
        <v>35</v>
      </c>
      <c r="V1707" t="s">
        <v>645</v>
      </c>
      <c r="W1707" t="s">
        <v>113</v>
      </c>
    </row>
    <row r="1708" spans="1:23" hidden="1" x14ac:dyDescent="0.25">
      <c r="A1708" s="7" t="str">
        <f>IFERROR(VLOOKUP(H1708,'Contas Orç'!A:B,2,0),"N/A")</f>
        <v>MULTAS DE TRANSITO</v>
      </c>
      <c r="B1708" s="7" t="str">
        <f t="shared" si="52"/>
        <v>320301008 - MULTAS DE TRANSITO</v>
      </c>
      <c r="C1708" s="25">
        <f t="shared" si="53"/>
        <v>44866</v>
      </c>
      <c r="D1708" s="27">
        <f>IF(K1708="CREDITO",Q1708,Q1708*-1)</f>
        <v>1736.74</v>
      </c>
      <c r="E1708" t="s">
        <v>894</v>
      </c>
      <c r="F1708" t="s">
        <v>2202</v>
      </c>
      <c r="G1708" s="8">
        <v>44866</v>
      </c>
      <c r="H1708" t="s">
        <v>544</v>
      </c>
      <c r="I1708" t="s">
        <v>53</v>
      </c>
      <c r="J1708" t="s">
        <v>54</v>
      </c>
      <c r="K1708" t="s">
        <v>29</v>
      </c>
      <c r="L1708" t="s">
        <v>895</v>
      </c>
      <c r="M1708" t="s">
        <v>4402</v>
      </c>
      <c r="O1708" t="s">
        <v>896</v>
      </c>
      <c r="P1708" t="s">
        <v>33</v>
      </c>
      <c r="Q1708" s="22">
        <v>1736.74</v>
      </c>
      <c r="R1708" t="s">
        <v>35</v>
      </c>
      <c r="S1708" t="s">
        <v>35</v>
      </c>
      <c r="T1708" t="s">
        <v>35</v>
      </c>
      <c r="U1708" t="s">
        <v>35</v>
      </c>
      <c r="V1708" t="s">
        <v>645</v>
      </c>
      <c r="W1708" t="s">
        <v>113</v>
      </c>
    </row>
    <row r="1709" spans="1:23" hidden="1" x14ac:dyDescent="0.25">
      <c r="A1709" s="7" t="str">
        <f>IFERROR(VLOOKUP(H1709,'Contas Orç'!A:B,2,0),"N/A")</f>
        <v>MULTAS DE TRANSITO</v>
      </c>
      <c r="B1709" s="7" t="str">
        <f t="shared" si="52"/>
        <v>320301008 - MULTAS DE TRANSITO</v>
      </c>
      <c r="C1709" s="25">
        <f t="shared" si="53"/>
        <v>44866</v>
      </c>
      <c r="D1709" s="27">
        <f>IF(K1709="CREDITO",Q1709,Q1709*-1)</f>
        <v>199.15</v>
      </c>
      <c r="E1709" t="s">
        <v>894</v>
      </c>
      <c r="F1709" t="s">
        <v>2203</v>
      </c>
      <c r="G1709" s="8">
        <v>44866</v>
      </c>
      <c r="H1709" t="s">
        <v>544</v>
      </c>
      <c r="I1709" t="s">
        <v>27</v>
      </c>
      <c r="J1709" t="s">
        <v>54</v>
      </c>
      <c r="K1709" t="s">
        <v>29</v>
      </c>
      <c r="L1709" t="s">
        <v>895</v>
      </c>
      <c r="M1709" t="s">
        <v>4402</v>
      </c>
      <c r="O1709" t="s">
        <v>896</v>
      </c>
      <c r="P1709" t="s">
        <v>33</v>
      </c>
      <c r="Q1709">
        <v>199.15</v>
      </c>
      <c r="R1709" t="s">
        <v>35</v>
      </c>
      <c r="S1709" t="s">
        <v>35</v>
      </c>
      <c r="T1709" t="s">
        <v>35</v>
      </c>
      <c r="U1709" t="s">
        <v>35</v>
      </c>
      <c r="V1709" t="s">
        <v>645</v>
      </c>
      <c r="W1709" t="s">
        <v>113</v>
      </c>
    </row>
    <row r="1710" spans="1:23" hidden="1" x14ac:dyDescent="0.25">
      <c r="A1710" s="7" t="str">
        <f>IFERROR(VLOOKUP(H1710,'Contas Orç'!A:B,2,0),"N/A")</f>
        <v>MULTAS DE TRANSITO</v>
      </c>
      <c r="B1710" s="7" t="str">
        <f t="shared" si="52"/>
        <v>320301008 - MULTAS DE TRANSITO</v>
      </c>
      <c r="C1710" s="25">
        <f t="shared" si="53"/>
        <v>44896</v>
      </c>
      <c r="D1710" s="27">
        <f>IF(K1710="CREDITO",Q1710,Q1710*-1)</f>
        <v>771.2</v>
      </c>
      <c r="E1710" t="s">
        <v>894</v>
      </c>
      <c r="F1710" t="s">
        <v>2204</v>
      </c>
      <c r="G1710" s="8">
        <v>44896</v>
      </c>
      <c r="H1710" t="s">
        <v>544</v>
      </c>
      <c r="I1710" t="s">
        <v>27</v>
      </c>
      <c r="J1710" t="s">
        <v>28</v>
      </c>
      <c r="K1710" t="s">
        <v>29</v>
      </c>
      <c r="L1710" t="s">
        <v>895</v>
      </c>
      <c r="M1710" t="s">
        <v>4402</v>
      </c>
      <c r="O1710" t="s">
        <v>896</v>
      </c>
      <c r="P1710" t="s">
        <v>33</v>
      </c>
      <c r="Q1710">
        <v>771.2</v>
      </c>
      <c r="R1710" t="s">
        <v>35</v>
      </c>
      <c r="S1710" t="s">
        <v>35</v>
      </c>
      <c r="T1710" t="s">
        <v>35</v>
      </c>
      <c r="U1710" t="s">
        <v>35</v>
      </c>
      <c r="V1710" t="s">
        <v>645</v>
      </c>
      <c r="W1710" t="s">
        <v>113</v>
      </c>
    </row>
    <row r="1711" spans="1:23" hidden="1" x14ac:dyDescent="0.25">
      <c r="A1711" s="7" t="str">
        <f>IFERROR(VLOOKUP(H1711,'Contas Orç'!A:B,2,0),"N/A")</f>
        <v>MULTAS DE TRANSITO</v>
      </c>
      <c r="B1711" s="7" t="str">
        <f t="shared" si="52"/>
        <v>320301008 - MULTAS DE TRANSITO</v>
      </c>
      <c r="C1711" s="25">
        <f t="shared" si="53"/>
        <v>44896</v>
      </c>
      <c r="D1711" s="27">
        <f>IF(K1711="CREDITO",Q1711,Q1711*-1)</f>
        <v>383.11</v>
      </c>
      <c r="E1711" t="s">
        <v>894</v>
      </c>
      <c r="F1711" t="s">
        <v>2205</v>
      </c>
      <c r="G1711" s="8">
        <v>44896</v>
      </c>
      <c r="H1711" t="s">
        <v>544</v>
      </c>
      <c r="I1711" t="s">
        <v>53</v>
      </c>
      <c r="J1711" t="s">
        <v>60</v>
      </c>
      <c r="K1711" t="s">
        <v>29</v>
      </c>
      <c r="L1711" t="s">
        <v>895</v>
      </c>
      <c r="M1711" t="s">
        <v>4402</v>
      </c>
      <c r="O1711" t="s">
        <v>896</v>
      </c>
      <c r="P1711" t="s">
        <v>33</v>
      </c>
      <c r="Q1711">
        <v>383.11</v>
      </c>
      <c r="R1711" t="s">
        <v>35</v>
      </c>
      <c r="S1711" t="s">
        <v>35</v>
      </c>
      <c r="T1711" t="s">
        <v>35</v>
      </c>
      <c r="U1711" t="s">
        <v>35</v>
      </c>
      <c r="V1711" t="s">
        <v>645</v>
      </c>
      <c r="W1711" t="s">
        <v>113</v>
      </c>
    </row>
    <row r="1712" spans="1:23" hidden="1" x14ac:dyDescent="0.25">
      <c r="A1712" s="7" t="str">
        <f>IFERROR(VLOOKUP(H1712,'Contas Orç'!A:B,2,0),"N/A")</f>
        <v>MULTAS DE TRANSITO</v>
      </c>
      <c r="B1712" s="7" t="str">
        <f t="shared" si="52"/>
        <v>320301008 - MULTAS DE TRANSITO</v>
      </c>
      <c r="C1712" s="25">
        <f t="shared" si="53"/>
        <v>44896</v>
      </c>
      <c r="D1712" s="27">
        <f>IF(K1712="CREDITO",Q1712,Q1712*-1)</f>
        <v>1754.11</v>
      </c>
      <c r="E1712" t="s">
        <v>894</v>
      </c>
      <c r="F1712" t="s">
        <v>2206</v>
      </c>
      <c r="G1712" s="8">
        <v>44896</v>
      </c>
      <c r="H1712" t="s">
        <v>544</v>
      </c>
      <c r="I1712" t="s">
        <v>53</v>
      </c>
      <c r="J1712" t="s">
        <v>54</v>
      </c>
      <c r="K1712" t="s">
        <v>29</v>
      </c>
      <c r="L1712" t="s">
        <v>895</v>
      </c>
      <c r="M1712" t="s">
        <v>4402</v>
      </c>
      <c r="O1712" t="s">
        <v>896</v>
      </c>
      <c r="P1712" t="s">
        <v>33</v>
      </c>
      <c r="Q1712" s="22">
        <v>1754.11</v>
      </c>
      <c r="R1712" t="s">
        <v>35</v>
      </c>
      <c r="S1712" t="s">
        <v>35</v>
      </c>
      <c r="T1712" t="s">
        <v>35</v>
      </c>
      <c r="U1712" t="s">
        <v>35</v>
      </c>
      <c r="V1712" t="s">
        <v>645</v>
      </c>
      <c r="W1712" t="s">
        <v>113</v>
      </c>
    </row>
    <row r="1713" spans="1:23" hidden="1" x14ac:dyDescent="0.25">
      <c r="A1713" s="7" t="str">
        <f>IFERROR(VLOOKUP(H1713,'Contas Orç'!A:B,2,0),"N/A")</f>
        <v>MULTAS DE TRANSITO</v>
      </c>
      <c r="B1713" s="7" t="str">
        <f t="shared" si="52"/>
        <v>320301008 - MULTAS DE TRANSITO</v>
      </c>
      <c r="C1713" s="25">
        <f t="shared" si="53"/>
        <v>44896</v>
      </c>
      <c r="D1713" s="27">
        <f>IF(K1713="CREDITO",Q1713,Q1713*-1)</f>
        <v>201.15</v>
      </c>
      <c r="E1713" t="s">
        <v>894</v>
      </c>
      <c r="F1713" t="s">
        <v>2207</v>
      </c>
      <c r="G1713" s="8">
        <v>44896</v>
      </c>
      <c r="H1713" t="s">
        <v>544</v>
      </c>
      <c r="I1713" t="s">
        <v>27</v>
      </c>
      <c r="J1713" t="s">
        <v>54</v>
      </c>
      <c r="K1713" t="s">
        <v>29</v>
      </c>
      <c r="L1713" t="s">
        <v>895</v>
      </c>
      <c r="M1713" t="s">
        <v>4402</v>
      </c>
      <c r="O1713" t="s">
        <v>896</v>
      </c>
      <c r="P1713" t="s">
        <v>33</v>
      </c>
      <c r="Q1713">
        <v>201.15</v>
      </c>
      <c r="R1713" t="s">
        <v>35</v>
      </c>
      <c r="S1713" t="s">
        <v>35</v>
      </c>
      <c r="T1713" t="s">
        <v>35</v>
      </c>
      <c r="U1713" t="s">
        <v>35</v>
      </c>
      <c r="V1713" t="s">
        <v>645</v>
      </c>
      <c r="W1713" t="s">
        <v>113</v>
      </c>
    </row>
    <row r="1714" spans="1:23" hidden="1" x14ac:dyDescent="0.25">
      <c r="A1714" s="7" t="str">
        <f>IFERROR(VLOOKUP(H1714,'Contas Orç'!A:B,2,0),"N/A")</f>
        <v>GERENCIAMENTO DE RISCO</v>
      </c>
      <c r="B1714" s="7" t="str">
        <f t="shared" si="52"/>
        <v>320301011 - GERENCIAMENTO DE RISCO</v>
      </c>
      <c r="C1714" s="25">
        <f t="shared" si="53"/>
        <v>44562</v>
      </c>
      <c r="D1714" s="27">
        <f>IF(K1714="CREDITO",Q1714,Q1714*-1)</f>
        <v>3804.98</v>
      </c>
      <c r="E1714" t="s">
        <v>894</v>
      </c>
      <c r="F1714" t="s">
        <v>2208</v>
      </c>
      <c r="G1714" s="8">
        <v>44562</v>
      </c>
      <c r="H1714" t="s">
        <v>550</v>
      </c>
      <c r="I1714" t="s">
        <v>27</v>
      </c>
      <c r="J1714" t="s">
        <v>28</v>
      </c>
      <c r="K1714" t="s">
        <v>29</v>
      </c>
      <c r="L1714" t="s">
        <v>895</v>
      </c>
      <c r="M1714" t="s">
        <v>4402</v>
      </c>
      <c r="O1714" t="s">
        <v>896</v>
      </c>
      <c r="P1714" t="s">
        <v>33</v>
      </c>
      <c r="Q1714" s="22">
        <v>3804.98</v>
      </c>
      <c r="R1714" t="s">
        <v>35</v>
      </c>
      <c r="S1714" t="s">
        <v>35</v>
      </c>
      <c r="T1714" t="s">
        <v>35</v>
      </c>
      <c r="U1714" t="s">
        <v>35</v>
      </c>
      <c r="V1714" t="s">
        <v>645</v>
      </c>
      <c r="W1714" t="s">
        <v>113</v>
      </c>
    </row>
    <row r="1715" spans="1:23" hidden="1" x14ac:dyDescent="0.25">
      <c r="A1715" s="7" t="str">
        <f>IFERROR(VLOOKUP(H1715,'Contas Orç'!A:B,2,0),"N/A")</f>
        <v>GERENCIAMENTO DE RISCO</v>
      </c>
      <c r="B1715" s="7" t="str">
        <f t="shared" si="52"/>
        <v>320301011 - GERENCIAMENTO DE RISCO</v>
      </c>
      <c r="C1715" s="25">
        <f t="shared" si="53"/>
        <v>44562</v>
      </c>
      <c r="D1715" s="27">
        <f>IF(K1715="CREDITO",Q1715,Q1715*-1)</f>
        <v>5445</v>
      </c>
      <c r="E1715" t="s">
        <v>894</v>
      </c>
      <c r="F1715" t="s">
        <v>2209</v>
      </c>
      <c r="G1715" s="8">
        <v>44562</v>
      </c>
      <c r="H1715" t="s">
        <v>550</v>
      </c>
      <c r="I1715" t="s">
        <v>59</v>
      </c>
      <c r="J1715" t="s">
        <v>60</v>
      </c>
      <c r="K1715" t="s">
        <v>29</v>
      </c>
      <c r="L1715" t="s">
        <v>895</v>
      </c>
      <c r="M1715" t="s">
        <v>4402</v>
      </c>
      <c r="O1715" t="s">
        <v>896</v>
      </c>
      <c r="P1715" t="s">
        <v>33</v>
      </c>
      <c r="Q1715" s="22">
        <v>5445</v>
      </c>
      <c r="R1715" t="s">
        <v>35</v>
      </c>
      <c r="S1715" t="s">
        <v>35</v>
      </c>
      <c r="T1715" t="s">
        <v>35</v>
      </c>
      <c r="U1715" t="s">
        <v>35</v>
      </c>
      <c r="V1715" t="s">
        <v>645</v>
      </c>
      <c r="W1715" t="s">
        <v>113</v>
      </c>
    </row>
    <row r="1716" spans="1:23" hidden="1" x14ac:dyDescent="0.25">
      <c r="A1716" s="7" t="str">
        <f>IFERROR(VLOOKUP(H1716,'Contas Orç'!A:B,2,0),"N/A")</f>
        <v>GERENCIAMENTO DE RISCO</v>
      </c>
      <c r="B1716" s="7" t="str">
        <f t="shared" si="52"/>
        <v>320301011 - GERENCIAMENTO DE RISCO</v>
      </c>
      <c r="C1716" s="25">
        <f t="shared" si="53"/>
        <v>44562</v>
      </c>
      <c r="D1716" s="27">
        <f>IF(K1716="CREDITO",Q1716,Q1716*-1)</f>
        <v>54.45</v>
      </c>
      <c r="E1716" t="s">
        <v>894</v>
      </c>
      <c r="F1716" t="s">
        <v>2210</v>
      </c>
      <c r="G1716" s="8">
        <v>44562</v>
      </c>
      <c r="H1716" t="s">
        <v>550</v>
      </c>
      <c r="I1716" t="s">
        <v>125</v>
      </c>
      <c r="J1716" t="s">
        <v>95</v>
      </c>
      <c r="K1716" t="s">
        <v>29</v>
      </c>
      <c r="L1716" t="s">
        <v>895</v>
      </c>
      <c r="M1716" t="s">
        <v>4402</v>
      </c>
      <c r="O1716" t="s">
        <v>896</v>
      </c>
      <c r="P1716" t="s">
        <v>33</v>
      </c>
      <c r="Q1716">
        <v>54.45</v>
      </c>
      <c r="R1716" t="s">
        <v>35</v>
      </c>
      <c r="S1716" t="s">
        <v>35</v>
      </c>
      <c r="T1716" t="s">
        <v>35</v>
      </c>
      <c r="U1716" t="s">
        <v>35</v>
      </c>
      <c r="V1716" t="s">
        <v>645</v>
      </c>
      <c r="W1716" t="s">
        <v>113</v>
      </c>
    </row>
    <row r="1717" spans="1:23" hidden="1" x14ac:dyDescent="0.25">
      <c r="A1717" s="7" t="str">
        <f>IFERROR(VLOOKUP(H1717,'Contas Orç'!A:B,2,0),"N/A")</f>
        <v>GERENCIAMENTO DE RISCO</v>
      </c>
      <c r="B1717" s="7" t="str">
        <f t="shared" si="52"/>
        <v>320301011 - GERENCIAMENTO DE RISCO</v>
      </c>
      <c r="C1717" s="25">
        <f t="shared" si="53"/>
        <v>44562</v>
      </c>
      <c r="D1717" s="27">
        <f>IF(K1717="CREDITO",Q1717,Q1717*-1)</f>
        <v>272.25</v>
      </c>
      <c r="E1717" t="s">
        <v>894</v>
      </c>
      <c r="F1717" t="s">
        <v>2211</v>
      </c>
      <c r="G1717" s="8">
        <v>44562</v>
      </c>
      <c r="H1717" t="s">
        <v>550</v>
      </c>
      <c r="I1717" t="s">
        <v>53</v>
      </c>
      <c r="J1717" t="s">
        <v>54</v>
      </c>
      <c r="K1717" t="s">
        <v>29</v>
      </c>
      <c r="L1717" t="s">
        <v>895</v>
      </c>
      <c r="M1717" t="s">
        <v>4402</v>
      </c>
      <c r="O1717" t="s">
        <v>896</v>
      </c>
      <c r="P1717" t="s">
        <v>33</v>
      </c>
      <c r="Q1717">
        <v>272.25</v>
      </c>
      <c r="R1717" t="s">
        <v>35</v>
      </c>
      <c r="S1717" t="s">
        <v>35</v>
      </c>
      <c r="T1717" t="s">
        <v>35</v>
      </c>
      <c r="U1717" t="s">
        <v>35</v>
      </c>
      <c r="V1717" t="s">
        <v>645</v>
      </c>
      <c r="W1717" t="s">
        <v>113</v>
      </c>
    </row>
    <row r="1718" spans="1:23" hidden="1" x14ac:dyDescent="0.25">
      <c r="A1718" s="7" t="str">
        <f>IFERROR(VLOOKUP(H1718,'Contas Orç'!A:B,2,0),"N/A")</f>
        <v>GERENCIAMENTO DE RISCO</v>
      </c>
      <c r="B1718" s="7" t="str">
        <f t="shared" si="52"/>
        <v>320301011 - GERENCIAMENTO DE RISCO</v>
      </c>
      <c r="C1718" s="25">
        <f t="shared" si="53"/>
        <v>44593</v>
      </c>
      <c r="D1718" s="27">
        <f>IF(K1718="CREDITO",Q1718,Q1718*-1)</f>
        <v>3503.43</v>
      </c>
      <c r="E1718" t="s">
        <v>894</v>
      </c>
      <c r="F1718" t="s">
        <v>2212</v>
      </c>
      <c r="G1718" s="8">
        <v>44593</v>
      </c>
      <c r="H1718" t="s">
        <v>550</v>
      </c>
      <c r="I1718" t="s">
        <v>27</v>
      </c>
      <c r="J1718" t="s">
        <v>28</v>
      </c>
      <c r="K1718" t="s">
        <v>29</v>
      </c>
      <c r="L1718" t="s">
        <v>895</v>
      </c>
      <c r="M1718" t="s">
        <v>4402</v>
      </c>
      <c r="O1718" t="s">
        <v>896</v>
      </c>
      <c r="P1718" t="s">
        <v>33</v>
      </c>
      <c r="Q1718" s="22">
        <v>3503.43</v>
      </c>
      <c r="R1718" t="s">
        <v>35</v>
      </c>
      <c r="S1718" t="s">
        <v>35</v>
      </c>
      <c r="T1718" t="s">
        <v>35</v>
      </c>
      <c r="U1718" t="s">
        <v>35</v>
      </c>
      <c r="V1718" t="s">
        <v>645</v>
      </c>
      <c r="W1718" t="s">
        <v>113</v>
      </c>
    </row>
    <row r="1719" spans="1:23" hidden="1" x14ac:dyDescent="0.25">
      <c r="A1719" s="7" t="str">
        <f>IFERROR(VLOOKUP(H1719,'Contas Orç'!A:B,2,0),"N/A")</f>
        <v>GERENCIAMENTO DE RISCO</v>
      </c>
      <c r="B1719" s="7" t="str">
        <f t="shared" si="52"/>
        <v>320301011 - GERENCIAMENTO DE RISCO</v>
      </c>
      <c r="C1719" s="25">
        <f t="shared" si="53"/>
        <v>44593</v>
      </c>
      <c r="D1719" s="27">
        <f>IF(K1719="CREDITO",Q1719,Q1719*-1)</f>
        <v>6365.65</v>
      </c>
      <c r="E1719" t="s">
        <v>894</v>
      </c>
      <c r="F1719" t="s">
        <v>2213</v>
      </c>
      <c r="G1719" s="8">
        <v>44593</v>
      </c>
      <c r="H1719" t="s">
        <v>550</v>
      </c>
      <c r="I1719" t="s">
        <v>59</v>
      </c>
      <c r="J1719" t="s">
        <v>60</v>
      </c>
      <c r="K1719" t="s">
        <v>29</v>
      </c>
      <c r="L1719" t="s">
        <v>895</v>
      </c>
      <c r="M1719" t="s">
        <v>4402</v>
      </c>
      <c r="O1719" t="s">
        <v>896</v>
      </c>
      <c r="P1719" t="s">
        <v>33</v>
      </c>
      <c r="Q1719" s="22">
        <v>6365.65</v>
      </c>
      <c r="R1719" t="s">
        <v>35</v>
      </c>
      <c r="S1719" t="s">
        <v>35</v>
      </c>
      <c r="T1719" t="s">
        <v>35</v>
      </c>
      <c r="U1719" t="s">
        <v>35</v>
      </c>
      <c r="V1719" t="s">
        <v>645</v>
      </c>
      <c r="W1719" t="s">
        <v>113</v>
      </c>
    </row>
    <row r="1720" spans="1:23" hidden="1" x14ac:dyDescent="0.25">
      <c r="A1720" s="7" t="str">
        <f>IFERROR(VLOOKUP(H1720,'Contas Orç'!A:B,2,0),"N/A")</f>
        <v>GERENCIAMENTO DE RISCO</v>
      </c>
      <c r="B1720" s="7" t="str">
        <f t="shared" si="52"/>
        <v>320301011 - GERENCIAMENTO DE RISCO</v>
      </c>
      <c r="C1720" s="25">
        <f t="shared" si="53"/>
        <v>44593</v>
      </c>
      <c r="D1720" s="27">
        <f>IF(K1720="CREDITO",Q1720,Q1720*-1)</f>
        <v>54.45</v>
      </c>
      <c r="E1720" t="s">
        <v>894</v>
      </c>
      <c r="F1720" t="s">
        <v>2214</v>
      </c>
      <c r="G1720" s="8">
        <v>44593</v>
      </c>
      <c r="H1720" t="s">
        <v>550</v>
      </c>
      <c r="I1720" t="s">
        <v>125</v>
      </c>
      <c r="J1720" t="s">
        <v>95</v>
      </c>
      <c r="K1720" t="s">
        <v>29</v>
      </c>
      <c r="L1720" t="s">
        <v>895</v>
      </c>
      <c r="M1720" t="s">
        <v>4402</v>
      </c>
      <c r="O1720" t="s">
        <v>896</v>
      </c>
      <c r="P1720" t="s">
        <v>33</v>
      </c>
      <c r="Q1720">
        <v>54.45</v>
      </c>
      <c r="R1720" t="s">
        <v>35</v>
      </c>
      <c r="S1720" t="s">
        <v>35</v>
      </c>
      <c r="T1720" t="s">
        <v>35</v>
      </c>
      <c r="U1720" t="s">
        <v>35</v>
      </c>
      <c r="V1720" t="s">
        <v>645</v>
      </c>
      <c r="W1720" t="s">
        <v>113</v>
      </c>
    </row>
    <row r="1721" spans="1:23" hidden="1" x14ac:dyDescent="0.25">
      <c r="A1721" s="7" t="str">
        <f>IFERROR(VLOOKUP(H1721,'Contas Orç'!A:B,2,0),"N/A")</f>
        <v>GERENCIAMENTO DE RISCO</v>
      </c>
      <c r="B1721" s="7" t="str">
        <f t="shared" si="52"/>
        <v>320301011 - GERENCIAMENTO DE RISCO</v>
      </c>
      <c r="C1721" s="25">
        <f t="shared" si="53"/>
        <v>44593</v>
      </c>
      <c r="D1721" s="27">
        <f>IF(K1721="CREDITO",Q1721,Q1721*-1)</f>
        <v>272.25</v>
      </c>
      <c r="E1721" t="s">
        <v>894</v>
      </c>
      <c r="F1721" t="s">
        <v>2215</v>
      </c>
      <c r="G1721" s="8">
        <v>44593</v>
      </c>
      <c r="H1721" t="s">
        <v>550</v>
      </c>
      <c r="I1721" t="s">
        <v>53</v>
      </c>
      <c r="J1721" t="s">
        <v>54</v>
      </c>
      <c r="K1721" t="s">
        <v>29</v>
      </c>
      <c r="L1721" t="s">
        <v>895</v>
      </c>
      <c r="M1721" t="s">
        <v>4402</v>
      </c>
      <c r="O1721" t="s">
        <v>896</v>
      </c>
      <c r="P1721" t="s">
        <v>33</v>
      </c>
      <c r="Q1721">
        <v>272.25</v>
      </c>
      <c r="R1721" t="s">
        <v>35</v>
      </c>
      <c r="S1721" t="s">
        <v>35</v>
      </c>
      <c r="T1721" t="s">
        <v>35</v>
      </c>
      <c r="U1721" t="s">
        <v>35</v>
      </c>
      <c r="V1721" t="s">
        <v>645</v>
      </c>
      <c r="W1721" t="s">
        <v>113</v>
      </c>
    </row>
    <row r="1722" spans="1:23" hidden="1" x14ac:dyDescent="0.25">
      <c r="A1722" s="7" t="str">
        <f>IFERROR(VLOOKUP(H1722,'Contas Orç'!A:B,2,0),"N/A")</f>
        <v>GERENCIAMENTO DE RISCO</v>
      </c>
      <c r="B1722" s="7" t="str">
        <f t="shared" si="52"/>
        <v>320301011 - GERENCIAMENTO DE RISCO</v>
      </c>
      <c r="C1722" s="25">
        <f t="shared" si="53"/>
        <v>44621</v>
      </c>
      <c r="D1722" s="27">
        <f>IF(K1722="CREDITO",Q1722,Q1722*-1)</f>
        <v>3647.32</v>
      </c>
      <c r="E1722" t="s">
        <v>894</v>
      </c>
      <c r="F1722" t="s">
        <v>2216</v>
      </c>
      <c r="G1722" s="8">
        <v>44621</v>
      </c>
      <c r="H1722" t="s">
        <v>550</v>
      </c>
      <c r="I1722" t="s">
        <v>27</v>
      </c>
      <c r="J1722" t="s">
        <v>28</v>
      </c>
      <c r="K1722" t="s">
        <v>29</v>
      </c>
      <c r="L1722" t="s">
        <v>895</v>
      </c>
      <c r="M1722" t="s">
        <v>4402</v>
      </c>
      <c r="O1722" t="s">
        <v>896</v>
      </c>
      <c r="P1722" t="s">
        <v>33</v>
      </c>
      <c r="Q1722" s="22">
        <v>3647.32</v>
      </c>
      <c r="R1722" t="s">
        <v>35</v>
      </c>
      <c r="S1722" t="s">
        <v>35</v>
      </c>
      <c r="T1722" t="s">
        <v>35</v>
      </c>
      <c r="U1722" t="s">
        <v>35</v>
      </c>
      <c r="V1722" t="s">
        <v>645</v>
      </c>
      <c r="W1722" t="s">
        <v>113</v>
      </c>
    </row>
    <row r="1723" spans="1:23" hidden="1" x14ac:dyDescent="0.25">
      <c r="A1723" s="7" t="str">
        <f>IFERROR(VLOOKUP(H1723,'Contas Orç'!A:B,2,0),"N/A")</f>
        <v>GERENCIAMENTO DE RISCO</v>
      </c>
      <c r="B1723" s="7" t="str">
        <f t="shared" si="52"/>
        <v>320301011 - GERENCIAMENTO DE RISCO</v>
      </c>
      <c r="C1723" s="25">
        <f t="shared" si="53"/>
        <v>44621</v>
      </c>
      <c r="D1723" s="27">
        <f>IF(K1723="CREDITO",Q1723,Q1723*-1)</f>
        <v>6365.65</v>
      </c>
      <c r="E1723" t="s">
        <v>894</v>
      </c>
      <c r="F1723" t="s">
        <v>2217</v>
      </c>
      <c r="G1723" s="8">
        <v>44621</v>
      </c>
      <c r="H1723" t="s">
        <v>550</v>
      </c>
      <c r="I1723" t="s">
        <v>59</v>
      </c>
      <c r="J1723" t="s">
        <v>60</v>
      </c>
      <c r="K1723" t="s">
        <v>29</v>
      </c>
      <c r="L1723" t="s">
        <v>895</v>
      </c>
      <c r="M1723" t="s">
        <v>4402</v>
      </c>
      <c r="O1723" t="s">
        <v>896</v>
      </c>
      <c r="P1723" t="s">
        <v>33</v>
      </c>
      <c r="Q1723" s="22">
        <v>6365.65</v>
      </c>
      <c r="R1723" t="s">
        <v>35</v>
      </c>
      <c r="S1723" t="s">
        <v>35</v>
      </c>
      <c r="T1723" t="s">
        <v>35</v>
      </c>
      <c r="U1723" t="s">
        <v>35</v>
      </c>
      <c r="V1723" t="s">
        <v>645</v>
      </c>
      <c r="W1723" t="s">
        <v>113</v>
      </c>
    </row>
    <row r="1724" spans="1:23" hidden="1" x14ac:dyDescent="0.25">
      <c r="A1724" s="7" t="str">
        <f>IFERROR(VLOOKUP(H1724,'Contas Orç'!A:B,2,0),"N/A")</f>
        <v>GERENCIAMENTO DE RISCO</v>
      </c>
      <c r="B1724" s="7" t="str">
        <f t="shared" si="52"/>
        <v>320301011 - GERENCIAMENTO DE RISCO</v>
      </c>
      <c r="C1724" s="25">
        <f t="shared" si="53"/>
        <v>44621</v>
      </c>
      <c r="D1724" s="27">
        <f>IF(K1724="CREDITO",Q1724,Q1724*-1)</f>
        <v>54.45</v>
      </c>
      <c r="E1724" t="s">
        <v>894</v>
      </c>
      <c r="F1724" t="s">
        <v>2218</v>
      </c>
      <c r="G1724" s="8">
        <v>44621</v>
      </c>
      <c r="H1724" t="s">
        <v>550</v>
      </c>
      <c r="I1724" t="s">
        <v>125</v>
      </c>
      <c r="J1724" t="s">
        <v>95</v>
      </c>
      <c r="K1724" t="s">
        <v>29</v>
      </c>
      <c r="L1724" t="s">
        <v>895</v>
      </c>
      <c r="M1724" t="s">
        <v>4402</v>
      </c>
      <c r="O1724" t="s">
        <v>896</v>
      </c>
      <c r="P1724" t="s">
        <v>33</v>
      </c>
      <c r="Q1724">
        <v>54.45</v>
      </c>
      <c r="R1724" t="s">
        <v>35</v>
      </c>
      <c r="S1724" t="s">
        <v>35</v>
      </c>
      <c r="T1724" t="s">
        <v>35</v>
      </c>
      <c r="U1724" t="s">
        <v>35</v>
      </c>
      <c r="V1724" t="s">
        <v>645</v>
      </c>
      <c r="W1724" t="s">
        <v>113</v>
      </c>
    </row>
    <row r="1725" spans="1:23" hidden="1" x14ac:dyDescent="0.25">
      <c r="A1725" s="7" t="str">
        <f>IFERROR(VLOOKUP(H1725,'Contas Orç'!A:B,2,0),"N/A")</f>
        <v>GERENCIAMENTO DE RISCO</v>
      </c>
      <c r="B1725" s="7" t="str">
        <f t="shared" si="52"/>
        <v>320301011 - GERENCIAMENTO DE RISCO</v>
      </c>
      <c r="C1725" s="25">
        <f t="shared" si="53"/>
        <v>44621</v>
      </c>
      <c r="D1725" s="27">
        <f>IF(K1725="CREDITO",Q1725,Q1725*-1)</f>
        <v>272.25</v>
      </c>
      <c r="E1725" t="s">
        <v>894</v>
      </c>
      <c r="F1725" t="s">
        <v>2219</v>
      </c>
      <c r="G1725" s="8">
        <v>44621</v>
      </c>
      <c r="H1725" t="s">
        <v>550</v>
      </c>
      <c r="I1725" t="s">
        <v>53</v>
      </c>
      <c r="J1725" t="s">
        <v>54</v>
      </c>
      <c r="K1725" t="s">
        <v>29</v>
      </c>
      <c r="L1725" t="s">
        <v>895</v>
      </c>
      <c r="M1725" t="s">
        <v>4402</v>
      </c>
      <c r="O1725" t="s">
        <v>896</v>
      </c>
      <c r="P1725" t="s">
        <v>33</v>
      </c>
      <c r="Q1725">
        <v>272.25</v>
      </c>
      <c r="R1725" t="s">
        <v>35</v>
      </c>
      <c r="S1725" t="s">
        <v>35</v>
      </c>
      <c r="T1725" t="s">
        <v>35</v>
      </c>
      <c r="U1725" t="s">
        <v>35</v>
      </c>
      <c r="V1725" t="s">
        <v>645</v>
      </c>
      <c r="W1725" t="s">
        <v>113</v>
      </c>
    </row>
    <row r="1726" spans="1:23" hidden="1" x14ac:dyDescent="0.25">
      <c r="A1726" s="7" t="str">
        <f>IFERROR(VLOOKUP(H1726,'Contas Orç'!A:B,2,0),"N/A")</f>
        <v>GERENCIAMENTO DE RISCO</v>
      </c>
      <c r="B1726" s="7" t="str">
        <f t="shared" si="52"/>
        <v>320301011 - GERENCIAMENTO DE RISCO</v>
      </c>
      <c r="C1726" s="25">
        <f t="shared" si="53"/>
        <v>44652</v>
      </c>
      <c r="D1726" s="27">
        <f>IF(K1726="CREDITO",Q1726,Q1726*-1)</f>
        <v>3828.74</v>
      </c>
      <c r="E1726" t="s">
        <v>894</v>
      </c>
      <c r="F1726" t="s">
        <v>2220</v>
      </c>
      <c r="G1726" s="8">
        <v>44652</v>
      </c>
      <c r="H1726" t="s">
        <v>550</v>
      </c>
      <c r="I1726" t="s">
        <v>27</v>
      </c>
      <c r="J1726" t="s">
        <v>28</v>
      </c>
      <c r="K1726" t="s">
        <v>29</v>
      </c>
      <c r="L1726" t="s">
        <v>895</v>
      </c>
      <c r="M1726" t="s">
        <v>4402</v>
      </c>
      <c r="O1726" t="s">
        <v>896</v>
      </c>
      <c r="P1726" t="s">
        <v>33</v>
      </c>
      <c r="Q1726" s="22">
        <v>3828.74</v>
      </c>
      <c r="R1726" t="s">
        <v>35</v>
      </c>
      <c r="S1726" t="s">
        <v>35</v>
      </c>
      <c r="T1726" t="s">
        <v>35</v>
      </c>
      <c r="U1726" t="s">
        <v>35</v>
      </c>
      <c r="V1726" t="s">
        <v>645</v>
      </c>
      <c r="W1726" t="s">
        <v>113</v>
      </c>
    </row>
    <row r="1727" spans="1:23" hidden="1" x14ac:dyDescent="0.25">
      <c r="A1727" s="7" t="str">
        <f>IFERROR(VLOOKUP(H1727,'Contas Orç'!A:B,2,0),"N/A")</f>
        <v>GERENCIAMENTO DE RISCO</v>
      </c>
      <c r="B1727" s="7" t="str">
        <f t="shared" si="52"/>
        <v>320301011 - GERENCIAMENTO DE RISCO</v>
      </c>
      <c r="C1727" s="25">
        <f t="shared" si="53"/>
        <v>44652</v>
      </c>
      <c r="D1727" s="27">
        <f>IF(K1727="CREDITO",Q1727,Q1727*-1)</f>
        <v>6365.65</v>
      </c>
      <c r="E1727" t="s">
        <v>894</v>
      </c>
      <c r="F1727" t="s">
        <v>2221</v>
      </c>
      <c r="G1727" s="8">
        <v>44652</v>
      </c>
      <c r="H1727" t="s">
        <v>550</v>
      </c>
      <c r="I1727" t="s">
        <v>59</v>
      </c>
      <c r="J1727" t="s">
        <v>60</v>
      </c>
      <c r="K1727" t="s">
        <v>29</v>
      </c>
      <c r="L1727" t="s">
        <v>895</v>
      </c>
      <c r="M1727" t="s">
        <v>4402</v>
      </c>
      <c r="O1727" t="s">
        <v>896</v>
      </c>
      <c r="P1727" t="s">
        <v>33</v>
      </c>
      <c r="Q1727" s="22">
        <v>6365.65</v>
      </c>
      <c r="R1727" t="s">
        <v>35</v>
      </c>
      <c r="S1727" t="s">
        <v>35</v>
      </c>
      <c r="T1727" t="s">
        <v>35</v>
      </c>
      <c r="U1727" t="s">
        <v>35</v>
      </c>
      <c r="V1727" t="s">
        <v>645</v>
      </c>
      <c r="W1727" t="s">
        <v>113</v>
      </c>
    </row>
    <row r="1728" spans="1:23" hidden="1" x14ac:dyDescent="0.25">
      <c r="A1728" s="7" t="str">
        <f>IFERROR(VLOOKUP(H1728,'Contas Orç'!A:B,2,0),"N/A")</f>
        <v>GERENCIAMENTO DE RISCO</v>
      </c>
      <c r="B1728" s="7" t="str">
        <f t="shared" si="52"/>
        <v>320301011 - GERENCIAMENTO DE RISCO</v>
      </c>
      <c r="C1728" s="25">
        <f t="shared" si="53"/>
        <v>44652</v>
      </c>
      <c r="D1728" s="27">
        <f>IF(K1728="CREDITO",Q1728,Q1728*-1)</f>
        <v>54.45</v>
      </c>
      <c r="E1728" t="s">
        <v>894</v>
      </c>
      <c r="F1728" t="s">
        <v>2222</v>
      </c>
      <c r="G1728" s="8">
        <v>44652</v>
      </c>
      <c r="H1728" t="s">
        <v>550</v>
      </c>
      <c r="I1728" t="s">
        <v>125</v>
      </c>
      <c r="J1728" t="s">
        <v>95</v>
      </c>
      <c r="K1728" t="s">
        <v>29</v>
      </c>
      <c r="L1728" t="s">
        <v>895</v>
      </c>
      <c r="M1728" t="s">
        <v>4402</v>
      </c>
      <c r="O1728" t="s">
        <v>896</v>
      </c>
      <c r="P1728" t="s">
        <v>33</v>
      </c>
      <c r="Q1728">
        <v>54.45</v>
      </c>
      <c r="R1728" t="s">
        <v>35</v>
      </c>
      <c r="S1728" t="s">
        <v>35</v>
      </c>
      <c r="T1728" t="s">
        <v>35</v>
      </c>
      <c r="U1728" t="s">
        <v>35</v>
      </c>
      <c r="V1728" t="s">
        <v>645</v>
      </c>
      <c r="W1728" t="s">
        <v>113</v>
      </c>
    </row>
    <row r="1729" spans="1:23" hidden="1" x14ac:dyDescent="0.25">
      <c r="A1729" s="7" t="str">
        <f>IFERROR(VLOOKUP(H1729,'Contas Orç'!A:B,2,0),"N/A")</f>
        <v>GERENCIAMENTO DE RISCO</v>
      </c>
      <c r="B1729" s="7" t="str">
        <f t="shared" si="52"/>
        <v>320301011 - GERENCIAMENTO DE RISCO</v>
      </c>
      <c r="C1729" s="25">
        <f t="shared" si="53"/>
        <v>44652</v>
      </c>
      <c r="D1729" s="27">
        <f>IF(K1729="CREDITO",Q1729,Q1729*-1)</f>
        <v>272.25</v>
      </c>
      <c r="E1729" t="s">
        <v>894</v>
      </c>
      <c r="F1729" t="s">
        <v>2223</v>
      </c>
      <c r="G1729" s="8">
        <v>44652</v>
      </c>
      <c r="H1729" t="s">
        <v>550</v>
      </c>
      <c r="I1729" t="s">
        <v>53</v>
      </c>
      <c r="J1729" t="s">
        <v>54</v>
      </c>
      <c r="K1729" t="s">
        <v>29</v>
      </c>
      <c r="L1729" t="s">
        <v>895</v>
      </c>
      <c r="M1729" t="s">
        <v>4402</v>
      </c>
      <c r="O1729" t="s">
        <v>896</v>
      </c>
      <c r="P1729" t="s">
        <v>33</v>
      </c>
      <c r="Q1729">
        <v>272.25</v>
      </c>
      <c r="R1729" t="s">
        <v>35</v>
      </c>
      <c r="S1729" t="s">
        <v>35</v>
      </c>
      <c r="T1729" t="s">
        <v>35</v>
      </c>
      <c r="U1729" t="s">
        <v>35</v>
      </c>
      <c r="V1729" t="s">
        <v>645</v>
      </c>
      <c r="W1729" t="s">
        <v>113</v>
      </c>
    </row>
    <row r="1730" spans="1:23" hidden="1" x14ac:dyDescent="0.25">
      <c r="A1730" s="7" t="str">
        <f>IFERROR(VLOOKUP(H1730,'Contas Orç'!A:B,2,0),"N/A")</f>
        <v>GERENCIAMENTO DE RISCO</v>
      </c>
      <c r="B1730" s="7" t="str">
        <f t="shared" si="52"/>
        <v>320301011 - GERENCIAMENTO DE RISCO</v>
      </c>
      <c r="C1730" s="25">
        <f t="shared" si="53"/>
        <v>44682</v>
      </c>
      <c r="D1730" s="27">
        <f>IF(K1730="CREDITO",Q1730,Q1730*-1)</f>
        <v>3790.81</v>
      </c>
      <c r="E1730" t="s">
        <v>894</v>
      </c>
      <c r="F1730" t="s">
        <v>2224</v>
      </c>
      <c r="G1730" s="8">
        <v>44682</v>
      </c>
      <c r="H1730" t="s">
        <v>550</v>
      </c>
      <c r="I1730" t="s">
        <v>27</v>
      </c>
      <c r="J1730" t="s">
        <v>28</v>
      </c>
      <c r="K1730" t="s">
        <v>29</v>
      </c>
      <c r="L1730" t="s">
        <v>895</v>
      </c>
      <c r="M1730" t="s">
        <v>4402</v>
      </c>
      <c r="O1730" t="s">
        <v>896</v>
      </c>
      <c r="P1730" t="s">
        <v>33</v>
      </c>
      <c r="Q1730" s="22">
        <v>3790.81</v>
      </c>
      <c r="R1730" t="s">
        <v>35</v>
      </c>
      <c r="S1730" t="s">
        <v>35</v>
      </c>
      <c r="T1730" t="s">
        <v>35</v>
      </c>
      <c r="U1730" t="s">
        <v>35</v>
      </c>
      <c r="V1730" t="s">
        <v>645</v>
      </c>
      <c r="W1730" t="s">
        <v>113</v>
      </c>
    </row>
    <row r="1731" spans="1:23" hidden="1" x14ac:dyDescent="0.25">
      <c r="A1731" s="7" t="str">
        <f>IFERROR(VLOOKUP(H1731,'Contas Orç'!A:B,2,0),"N/A")</f>
        <v>GERENCIAMENTO DE RISCO</v>
      </c>
      <c r="B1731" s="7" t="str">
        <f t="shared" ref="B1731:B1794" si="54">_xlfn.CONCAT(H1731," - ",A1731)</f>
        <v>320301011 - GERENCIAMENTO DE RISCO</v>
      </c>
      <c r="C1731" s="25">
        <f t="shared" ref="C1731:C1794" si="55">DATE(YEAR(G1731),MONTH(G1731),1)</f>
        <v>44682</v>
      </c>
      <c r="D1731" s="27">
        <f>IF(K1731="CREDITO",Q1731,Q1731*-1)</f>
        <v>6365.65</v>
      </c>
      <c r="E1731" t="s">
        <v>894</v>
      </c>
      <c r="F1731" t="s">
        <v>2225</v>
      </c>
      <c r="G1731" s="8">
        <v>44682</v>
      </c>
      <c r="H1731" t="s">
        <v>550</v>
      </c>
      <c r="I1731" t="s">
        <v>59</v>
      </c>
      <c r="J1731" t="s">
        <v>60</v>
      </c>
      <c r="K1731" t="s">
        <v>29</v>
      </c>
      <c r="L1731" t="s">
        <v>895</v>
      </c>
      <c r="M1731" t="s">
        <v>4402</v>
      </c>
      <c r="O1731" t="s">
        <v>896</v>
      </c>
      <c r="P1731" t="s">
        <v>33</v>
      </c>
      <c r="Q1731" s="22">
        <v>6365.65</v>
      </c>
      <c r="R1731" t="s">
        <v>35</v>
      </c>
      <c r="S1731" t="s">
        <v>35</v>
      </c>
      <c r="T1731" t="s">
        <v>35</v>
      </c>
      <c r="U1731" t="s">
        <v>35</v>
      </c>
      <c r="V1731" t="s">
        <v>645</v>
      </c>
      <c r="W1731" t="s">
        <v>113</v>
      </c>
    </row>
    <row r="1732" spans="1:23" hidden="1" x14ac:dyDescent="0.25">
      <c r="A1732" s="7" t="str">
        <f>IFERROR(VLOOKUP(H1732,'Contas Orç'!A:B,2,0),"N/A")</f>
        <v>GERENCIAMENTO DE RISCO</v>
      </c>
      <c r="B1732" s="7" t="str">
        <f t="shared" si="54"/>
        <v>320301011 - GERENCIAMENTO DE RISCO</v>
      </c>
      <c r="C1732" s="25">
        <f t="shared" si="55"/>
        <v>44682</v>
      </c>
      <c r="D1732" s="27">
        <f>IF(K1732="CREDITO",Q1732,Q1732*-1)</f>
        <v>54.45</v>
      </c>
      <c r="E1732" t="s">
        <v>894</v>
      </c>
      <c r="F1732" t="s">
        <v>2226</v>
      </c>
      <c r="G1732" s="8">
        <v>44682</v>
      </c>
      <c r="H1732" t="s">
        <v>550</v>
      </c>
      <c r="I1732" t="s">
        <v>125</v>
      </c>
      <c r="J1732" t="s">
        <v>95</v>
      </c>
      <c r="K1732" t="s">
        <v>29</v>
      </c>
      <c r="L1732" t="s">
        <v>895</v>
      </c>
      <c r="M1732" t="s">
        <v>4402</v>
      </c>
      <c r="O1732" t="s">
        <v>896</v>
      </c>
      <c r="P1732" t="s">
        <v>33</v>
      </c>
      <c r="Q1732">
        <v>54.45</v>
      </c>
      <c r="R1732" t="s">
        <v>35</v>
      </c>
      <c r="S1732" t="s">
        <v>35</v>
      </c>
      <c r="T1732" t="s">
        <v>35</v>
      </c>
      <c r="U1732" t="s">
        <v>35</v>
      </c>
      <c r="V1732" t="s">
        <v>645</v>
      </c>
      <c r="W1732" t="s">
        <v>113</v>
      </c>
    </row>
    <row r="1733" spans="1:23" hidden="1" x14ac:dyDescent="0.25">
      <c r="A1733" s="7" t="str">
        <f>IFERROR(VLOOKUP(H1733,'Contas Orç'!A:B,2,0),"N/A")</f>
        <v>GERENCIAMENTO DE RISCO</v>
      </c>
      <c r="B1733" s="7" t="str">
        <f t="shared" si="54"/>
        <v>320301011 - GERENCIAMENTO DE RISCO</v>
      </c>
      <c r="C1733" s="25">
        <f t="shared" si="55"/>
        <v>44682</v>
      </c>
      <c r="D1733" s="27">
        <f>IF(K1733="CREDITO",Q1733,Q1733*-1)</f>
        <v>272.25</v>
      </c>
      <c r="E1733" t="s">
        <v>894</v>
      </c>
      <c r="F1733" t="s">
        <v>2227</v>
      </c>
      <c r="G1733" s="8">
        <v>44682</v>
      </c>
      <c r="H1733" t="s">
        <v>550</v>
      </c>
      <c r="I1733" t="s">
        <v>53</v>
      </c>
      <c r="J1733" t="s">
        <v>54</v>
      </c>
      <c r="K1733" t="s">
        <v>29</v>
      </c>
      <c r="L1733" t="s">
        <v>895</v>
      </c>
      <c r="M1733" t="s">
        <v>4402</v>
      </c>
      <c r="O1733" t="s">
        <v>896</v>
      </c>
      <c r="P1733" t="s">
        <v>33</v>
      </c>
      <c r="Q1733">
        <v>272.25</v>
      </c>
      <c r="R1733" t="s">
        <v>35</v>
      </c>
      <c r="S1733" t="s">
        <v>35</v>
      </c>
      <c r="T1733" t="s">
        <v>35</v>
      </c>
      <c r="U1733" t="s">
        <v>35</v>
      </c>
      <c r="V1733" t="s">
        <v>645</v>
      </c>
      <c r="W1733" t="s">
        <v>113</v>
      </c>
    </row>
    <row r="1734" spans="1:23" hidden="1" x14ac:dyDescent="0.25">
      <c r="A1734" s="7" t="str">
        <f>IFERROR(VLOOKUP(H1734,'Contas Orç'!A:B,2,0),"N/A")</f>
        <v>GERENCIAMENTO DE RISCO</v>
      </c>
      <c r="B1734" s="7" t="str">
        <f t="shared" si="54"/>
        <v>320301011 - GERENCIAMENTO DE RISCO</v>
      </c>
      <c r="C1734" s="25">
        <f t="shared" si="55"/>
        <v>44713</v>
      </c>
      <c r="D1734" s="27">
        <f>IF(K1734="CREDITO",Q1734,Q1734*-1)</f>
        <v>5231.92</v>
      </c>
      <c r="E1734" t="s">
        <v>894</v>
      </c>
      <c r="F1734" t="s">
        <v>2228</v>
      </c>
      <c r="G1734" s="8">
        <v>44713</v>
      </c>
      <c r="H1734" t="s">
        <v>550</v>
      </c>
      <c r="I1734" t="s">
        <v>27</v>
      </c>
      <c r="J1734" t="s">
        <v>28</v>
      </c>
      <c r="K1734" t="s">
        <v>29</v>
      </c>
      <c r="L1734" t="s">
        <v>895</v>
      </c>
      <c r="M1734" t="s">
        <v>4402</v>
      </c>
      <c r="O1734" t="s">
        <v>896</v>
      </c>
      <c r="P1734" t="s">
        <v>33</v>
      </c>
      <c r="Q1734" s="22">
        <v>5231.92</v>
      </c>
      <c r="R1734" t="s">
        <v>35</v>
      </c>
      <c r="S1734" t="s">
        <v>35</v>
      </c>
      <c r="T1734" t="s">
        <v>35</v>
      </c>
      <c r="U1734" t="s">
        <v>35</v>
      </c>
      <c r="V1734" t="s">
        <v>645</v>
      </c>
      <c r="W1734" t="s">
        <v>113</v>
      </c>
    </row>
    <row r="1735" spans="1:23" hidden="1" x14ac:dyDescent="0.25">
      <c r="A1735" s="7" t="str">
        <f>IFERROR(VLOOKUP(H1735,'Contas Orç'!A:B,2,0),"N/A")</f>
        <v>GERENCIAMENTO DE RISCO</v>
      </c>
      <c r="B1735" s="7" t="str">
        <f t="shared" si="54"/>
        <v>320301011 - GERENCIAMENTO DE RISCO</v>
      </c>
      <c r="C1735" s="25">
        <f t="shared" si="55"/>
        <v>44713</v>
      </c>
      <c r="D1735" s="27">
        <f>IF(K1735="CREDITO",Q1735,Q1735*-1)</f>
        <v>6365.65</v>
      </c>
      <c r="E1735" t="s">
        <v>894</v>
      </c>
      <c r="F1735" t="s">
        <v>2229</v>
      </c>
      <c r="G1735" s="8">
        <v>44713</v>
      </c>
      <c r="H1735" t="s">
        <v>550</v>
      </c>
      <c r="I1735" t="s">
        <v>59</v>
      </c>
      <c r="J1735" t="s">
        <v>60</v>
      </c>
      <c r="K1735" t="s">
        <v>29</v>
      </c>
      <c r="L1735" t="s">
        <v>895</v>
      </c>
      <c r="M1735" t="s">
        <v>4402</v>
      </c>
      <c r="O1735" t="s">
        <v>896</v>
      </c>
      <c r="P1735" t="s">
        <v>33</v>
      </c>
      <c r="Q1735" s="22">
        <v>6365.65</v>
      </c>
      <c r="R1735" t="s">
        <v>35</v>
      </c>
      <c r="S1735" t="s">
        <v>35</v>
      </c>
      <c r="T1735" t="s">
        <v>35</v>
      </c>
      <c r="U1735" t="s">
        <v>35</v>
      </c>
      <c r="V1735" t="s">
        <v>645</v>
      </c>
      <c r="W1735" t="s">
        <v>113</v>
      </c>
    </row>
    <row r="1736" spans="1:23" hidden="1" x14ac:dyDescent="0.25">
      <c r="A1736" s="7" t="str">
        <f>IFERROR(VLOOKUP(H1736,'Contas Orç'!A:B,2,0),"N/A")</f>
        <v>GERENCIAMENTO DE RISCO</v>
      </c>
      <c r="B1736" s="7" t="str">
        <f t="shared" si="54"/>
        <v>320301011 - GERENCIAMENTO DE RISCO</v>
      </c>
      <c r="C1736" s="25">
        <f t="shared" si="55"/>
        <v>44713</v>
      </c>
      <c r="D1736" s="27">
        <f>IF(K1736="CREDITO",Q1736,Q1736*-1)</f>
        <v>54.45</v>
      </c>
      <c r="E1736" t="s">
        <v>894</v>
      </c>
      <c r="F1736" t="s">
        <v>2230</v>
      </c>
      <c r="G1736" s="8">
        <v>44713</v>
      </c>
      <c r="H1736" t="s">
        <v>550</v>
      </c>
      <c r="I1736" t="s">
        <v>125</v>
      </c>
      <c r="J1736" t="s">
        <v>95</v>
      </c>
      <c r="K1736" t="s">
        <v>29</v>
      </c>
      <c r="L1736" t="s">
        <v>895</v>
      </c>
      <c r="M1736" t="s">
        <v>4402</v>
      </c>
      <c r="O1736" t="s">
        <v>896</v>
      </c>
      <c r="P1736" t="s">
        <v>33</v>
      </c>
      <c r="Q1736">
        <v>54.45</v>
      </c>
      <c r="R1736" t="s">
        <v>35</v>
      </c>
      <c r="S1736" t="s">
        <v>35</v>
      </c>
      <c r="T1736" t="s">
        <v>35</v>
      </c>
      <c r="U1736" t="s">
        <v>35</v>
      </c>
      <c r="V1736" t="s">
        <v>645</v>
      </c>
      <c r="W1736" t="s">
        <v>113</v>
      </c>
    </row>
    <row r="1737" spans="1:23" hidden="1" x14ac:dyDescent="0.25">
      <c r="A1737" s="7" t="str">
        <f>IFERROR(VLOOKUP(H1737,'Contas Orç'!A:B,2,0),"N/A")</f>
        <v>GERENCIAMENTO DE RISCO</v>
      </c>
      <c r="B1737" s="7" t="str">
        <f t="shared" si="54"/>
        <v>320301011 - GERENCIAMENTO DE RISCO</v>
      </c>
      <c r="C1737" s="25">
        <f t="shared" si="55"/>
        <v>44713</v>
      </c>
      <c r="D1737" s="27">
        <f>IF(K1737="CREDITO",Q1737,Q1737*-1)</f>
        <v>272.25</v>
      </c>
      <c r="E1737" t="s">
        <v>894</v>
      </c>
      <c r="F1737" t="s">
        <v>2231</v>
      </c>
      <c r="G1737" s="8">
        <v>44713</v>
      </c>
      <c r="H1737" t="s">
        <v>550</v>
      </c>
      <c r="I1737" t="s">
        <v>53</v>
      </c>
      <c r="J1737" t="s">
        <v>54</v>
      </c>
      <c r="K1737" t="s">
        <v>29</v>
      </c>
      <c r="L1737" t="s">
        <v>895</v>
      </c>
      <c r="M1737" t="s">
        <v>4402</v>
      </c>
      <c r="O1737" t="s">
        <v>896</v>
      </c>
      <c r="P1737" t="s">
        <v>33</v>
      </c>
      <c r="Q1737">
        <v>272.25</v>
      </c>
      <c r="R1737" t="s">
        <v>35</v>
      </c>
      <c r="S1737" t="s">
        <v>35</v>
      </c>
      <c r="T1737" t="s">
        <v>35</v>
      </c>
      <c r="U1737" t="s">
        <v>35</v>
      </c>
      <c r="V1737" t="s">
        <v>645</v>
      </c>
      <c r="W1737" t="s">
        <v>113</v>
      </c>
    </row>
    <row r="1738" spans="1:23" hidden="1" x14ac:dyDescent="0.25">
      <c r="A1738" s="7" t="str">
        <f>IFERROR(VLOOKUP(H1738,'Contas Orç'!A:B,2,0),"N/A")</f>
        <v>GERENCIAMENTO DE RISCO</v>
      </c>
      <c r="B1738" s="7" t="str">
        <f t="shared" si="54"/>
        <v>320301011 - GERENCIAMENTO DE RISCO</v>
      </c>
      <c r="C1738" s="25">
        <f t="shared" si="55"/>
        <v>44743</v>
      </c>
      <c r="D1738" s="27">
        <f>IF(K1738="CREDITO",Q1738,Q1738*-1)</f>
        <v>33008.21</v>
      </c>
      <c r="E1738" t="s">
        <v>894</v>
      </c>
      <c r="F1738" t="s">
        <v>2232</v>
      </c>
      <c r="G1738" s="8">
        <v>44743</v>
      </c>
      <c r="H1738" t="s">
        <v>550</v>
      </c>
      <c r="I1738" t="s">
        <v>27</v>
      </c>
      <c r="J1738" t="s">
        <v>28</v>
      </c>
      <c r="K1738" t="s">
        <v>29</v>
      </c>
      <c r="L1738" t="s">
        <v>895</v>
      </c>
      <c r="M1738" t="s">
        <v>4402</v>
      </c>
      <c r="O1738" t="s">
        <v>896</v>
      </c>
      <c r="P1738" t="s">
        <v>33</v>
      </c>
      <c r="Q1738" s="22">
        <v>33008.21</v>
      </c>
      <c r="R1738" t="s">
        <v>35</v>
      </c>
      <c r="S1738" t="s">
        <v>35</v>
      </c>
      <c r="T1738" t="s">
        <v>35</v>
      </c>
      <c r="U1738" t="s">
        <v>35</v>
      </c>
      <c r="V1738" t="s">
        <v>645</v>
      </c>
      <c r="W1738" t="s">
        <v>113</v>
      </c>
    </row>
    <row r="1739" spans="1:23" hidden="1" x14ac:dyDescent="0.25">
      <c r="A1739" s="7" t="str">
        <f>IFERROR(VLOOKUP(H1739,'Contas Orç'!A:B,2,0),"N/A")</f>
        <v>GERENCIAMENTO DE RISCO</v>
      </c>
      <c r="B1739" s="7" t="str">
        <f t="shared" si="54"/>
        <v>320301011 - GERENCIAMENTO DE RISCO</v>
      </c>
      <c r="C1739" s="25">
        <f t="shared" si="55"/>
        <v>44743</v>
      </c>
      <c r="D1739" s="27">
        <f>IF(K1739="CREDITO",Q1739,Q1739*-1)</f>
        <v>6365.65</v>
      </c>
      <c r="E1739" t="s">
        <v>894</v>
      </c>
      <c r="F1739" t="s">
        <v>2233</v>
      </c>
      <c r="G1739" s="8">
        <v>44743</v>
      </c>
      <c r="H1739" t="s">
        <v>550</v>
      </c>
      <c r="I1739" t="s">
        <v>59</v>
      </c>
      <c r="J1739" t="s">
        <v>60</v>
      </c>
      <c r="K1739" t="s">
        <v>29</v>
      </c>
      <c r="L1739" t="s">
        <v>895</v>
      </c>
      <c r="M1739" t="s">
        <v>4402</v>
      </c>
      <c r="O1739" t="s">
        <v>896</v>
      </c>
      <c r="P1739" t="s">
        <v>33</v>
      </c>
      <c r="Q1739" s="22">
        <v>6365.65</v>
      </c>
      <c r="R1739" t="s">
        <v>35</v>
      </c>
      <c r="S1739" t="s">
        <v>35</v>
      </c>
      <c r="T1739" t="s">
        <v>35</v>
      </c>
      <c r="U1739" t="s">
        <v>35</v>
      </c>
      <c r="V1739" t="s">
        <v>645</v>
      </c>
      <c r="W1739" t="s">
        <v>113</v>
      </c>
    </row>
    <row r="1740" spans="1:23" hidden="1" x14ac:dyDescent="0.25">
      <c r="A1740" s="7" t="str">
        <f>IFERROR(VLOOKUP(H1740,'Contas Orç'!A:B,2,0),"N/A")</f>
        <v>GERENCIAMENTO DE RISCO</v>
      </c>
      <c r="B1740" s="7" t="str">
        <f t="shared" si="54"/>
        <v>320301011 - GERENCIAMENTO DE RISCO</v>
      </c>
      <c r="C1740" s="25">
        <f t="shared" si="55"/>
        <v>44743</v>
      </c>
      <c r="D1740" s="27">
        <f>IF(K1740="CREDITO",Q1740,Q1740*-1)</f>
        <v>54.45</v>
      </c>
      <c r="E1740" t="s">
        <v>894</v>
      </c>
      <c r="F1740" t="s">
        <v>2234</v>
      </c>
      <c r="G1740" s="8">
        <v>44743</v>
      </c>
      <c r="H1740" t="s">
        <v>550</v>
      </c>
      <c r="I1740" t="s">
        <v>125</v>
      </c>
      <c r="J1740" t="s">
        <v>95</v>
      </c>
      <c r="K1740" t="s">
        <v>29</v>
      </c>
      <c r="L1740" t="s">
        <v>895</v>
      </c>
      <c r="M1740" t="s">
        <v>4402</v>
      </c>
      <c r="O1740" t="s">
        <v>896</v>
      </c>
      <c r="P1740" t="s">
        <v>33</v>
      </c>
      <c r="Q1740">
        <v>54.45</v>
      </c>
      <c r="R1740" t="s">
        <v>35</v>
      </c>
      <c r="S1740" t="s">
        <v>35</v>
      </c>
      <c r="T1740" t="s">
        <v>35</v>
      </c>
      <c r="U1740" t="s">
        <v>35</v>
      </c>
      <c r="V1740" t="s">
        <v>645</v>
      </c>
      <c r="W1740" t="s">
        <v>113</v>
      </c>
    </row>
    <row r="1741" spans="1:23" hidden="1" x14ac:dyDescent="0.25">
      <c r="A1741" s="7" t="str">
        <f>IFERROR(VLOOKUP(H1741,'Contas Orç'!A:B,2,0),"N/A")</f>
        <v>GERENCIAMENTO DE RISCO</v>
      </c>
      <c r="B1741" s="7" t="str">
        <f t="shared" si="54"/>
        <v>320301011 - GERENCIAMENTO DE RISCO</v>
      </c>
      <c r="C1741" s="25">
        <f t="shared" si="55"/>
        <v>44743</v>
      </c>
      <c r="D1741" s="27">
        <f>IF(K1741="CREDITO",Q1741,Q1741*-1)</f>
        <v>272.25</v>
      </c>
      <c r="E1741" t="s">
        <v>894</v>
      </c>
      <c r="F1741" t="s">
        <v>2235</v>
      </c>
      <c r="G1741" s="8">
        <v>44743</v>
      </c>
      <c r="H1741" t="s">
        <v>550</v>
      </c>
      <c r="I1741" t="s">
        <v>53</v>
      </c>
      <c r="J1741" t="s">
        <v>54</v>
      </c>
      <c r="K1741" t="s">
        <v>29</v>
      </c>
      <c r="L1741" t="s">
        <v>895</v>
      </c>
      <c r="M1741" t="s">
        <v>4402</v>
      </c>
      <c r="O1741" t="s">
        <v>896</v>
      </c>
      <c r="P1741" t="s">
        <v>33</v>
      </c>
      <c r="Q1741">
        <v>272.25</v>
      </c>
      <c r="R1741" t="s">
        <v>35</v>
      </c>
      <c r="S1741" t="s">
        <v>35</v>
      </c>
      <c r="T1741" t="s">
        <v>35</v>
      </c>
      <c r="U1741" t="s">
        <v>35</v>
      </c>
      <c r="V1741" t="s">
        <v>645</v>
      </c>
      <c r="W1741" t="s">
        <v>113</v>
      </c>
    </row>
    <row r="1742" spans="1:23" hidden="1" x14ac:dyDescent="0.25">
      <c r="A1742" s="7" t="str">
        <f>IFERROR(VLOOKUP(H1742,'Contas Orç'!A:B,2,0),"N/A")</f>
        <v>GERENCIAMENTO DE RISCO</v>
      </c>
      <c r="B1742" s="7" t="str">
        <f t="shared" si="54"/>
        <v>320301011 - GERENCIAMENTO DE RISCO</v>
      </c>
      <c r="C1742" s="25">
        <f t="shared" si="55"/>
        <v>44774</v>
      </c>
      <c r="D1742" s="27">
        <f>IF(K1742="CREDITO",Q1742,Q1742*-1)</f>
        <v>30659.45</v>
      </c>
      <c r="E1742" t="s">
        <v>894</v>
      </c>
      <c r="F1742" t="s">
        <v>2236</v>
      </c>
      <c r="G1742" s="8">
        <v>44774</v>
      </c>
      <c r="H1742" t="s">
        <v>550</v>
      </c>
      <c r="I1742" t="s">
        <v>27</v>
      </c>
      <c r="J1742" t="s">
        <v>28</v>
      </c>
      <c r="K1742" t="s">
        <v>29</v>
      </c>
      <c r="L1742" t="s">
        <v>895</v>
      </c>
      <c r="M1742" t="s">
        <v>4402</v>
      </c>
      <c r="O1742" t="s">
        <v>896</v>
      </c>
      <c r="P1742" t="s">
        <v>33</v>
      </c>
      <c r="Q1742" s="22">
        <v>30659.45</v>
      </c>
      <c r="R1742" t="s">
        <v>35</v>
      </c>
      <c r="S1742" t="s">
        <v>35</v>
      </c>
      <c r="T1742" t="s">
        <v>35</v>
      </c>
      <c r="U1742" t="s">
        <v>35</v>
      </c>
      <c r="V1742" t="s">
        <v>645</v>
      </c>
      <c r="W1742" t="s">
        <v>113</v>
      </c>
    </row>
    <row r="1743" spans="1:23" hidden="1" x14ac:dyDescent="0.25">
      <c r="A1743" s="7" t="str">
        <f>IFERROR(VLOOKUP(H1743,'Contas Orç'!A:B,2,0),"N/A")</f>
        <v>GERENCIAMENTO DE RISCO</v>
      </c>
      <c r="B1743" s="7" t="str">
        <f t="shared" si="54"/>
        <v>320301011 - GERENCIAMENTO DE RISCO</v>
      </c>
      <c r="C1743" s="25">
        <f t="shared" si="55"/>
        <v>44774</v>
      </c>
      <c r="D1743" s="27">
        <f>IF(K1743="CREDITO",Q1743,Q1743*-1)</f>
        <v>8700.74</v>
      </c>
      <c r="E1743" t="s">
        <v>894</v>
      </c>
      <c r="F1743" t="s">
        <v>2237</v>
      </c>
      <c r="G1743" s="8">
        <v>44774</v>
      </c>
      <c r="H1743" t="s">
        <v>550</v>
      </c>
      <c r="I1743" t="s">
        <v>59</v>
      </c>
      <c r="J1743" t="s">
        <v>60</v>
      </c>
      <c r="K1743" t="s">
        <v>29</v>
      </c>
      <c r="L1743" t="s">
        <v>895</v>
      </c>
      <c r="M1743" t="s">
        <v>4402</v>
      </c>
      <c r="O1743" t="s">
        <v>896</v>
      </c>
      <c r="P1743" t="s">
        <v>33</v>
      </c>
      <c r="Q1743" s="22">
        <v>8700.74</v>
      </c>
      <c r="R1743" t="s">
        <v>35</v>
      </c>
      <c r="S1743" t="s">
        <v>35</v>
      </c>
      <c r="T1743" t="s">
        <v>35</v>
      </c>
      <c r="U1743" t="s">
        <v>35</v>
      </c>
      <c r="V1743" t="s">
        <v>645</v>
      </c>
      <c r="W1743" t="s">
        <v>113</v>
      </c>
    </row>
    <row r="1744" spans="1:23" hidden="1" x14ac:dyDescent="0.25">
      <c r="A1744" s="7" t="str">
        <f>IFERROR(VLOOKUP(H1744,'Contas Orç'!A:B,2,0),"N/A")</f>
        <v>GERENCIAMENTO DE RISCO</v>
      </c>
      <c r="B1744" s="7" t="str">
        <f t="shared" si="54"/>
        <v>320301011 - GERENCIAMENTO DE RISCO</v>
      </c>
      <c r="C1744" s="25">
        <f t="shared" si="55"/>
        <v>44774</v>
      </c>
      <c r="D1744" s="27">
        <f>IF(K1744="CREDITO",Q1744,Q1744*-1)</f>
        <v>54.45</v>
      </c>
      <c r="E1744" t="s">
        <v>894</v>
      </c>
      <c r="F1744" t="s">
        <v>2238</v>
      </c>
      <c r="G1744" s="8">
        <v>44774</v>
      </c>
      <c r="H1744" t="s">
        <v>550</v>
      </c>
      <c r="I1744" t="s">
        <v>125</v>
      </c>
      <c r="J1744" t="s">
        <v>95</v>
      </c>
      <c r="K1744" t="s">
        <v>29</v>
      </c>
      <c r="L1744" t="s">
        <v>895</v>
      </c>
      <c r="M1744" t="s">
        <v>4402</v>
      </c>
      <c r="O1744" t="s">
        <v>896</v>
      </c>
      <c r="P1744" t="s">
        <v>33</v>
      </c>
      <c r="Q1744">
        <v>54.45</v>
      </c>
      <c r="R1744" t="s">
        <v>35</v>
      </c>
      <c r="S1744" t="s">
        <v>35</v>
      </c>
      <c r="T1744" t="s">
        <v>35</v>
      </c>
      <c r="U1744" t="s">
        <v>35</v>
      </c>
      <c r="V1744" t="s">
        <v>645</v>
      </c>
      <c r="W1744" t="s">
        <v>113</v>
      </c>
    </row>
    <row r="1745" spans="1:23" hidden="1" x14ac:dyDescent="0.25">
      <c r="A1745" s="7" t="str">
        <f>IFERROR(VLOOKUP(H1745,'Contas Orç'!A:B,2,0),"N/A")</f>
        <v>GERENCIAMENTO DE RISCO</v>
      </c>
      <c r="B1745" s="7" t="str">
        <f t="shared" si="54"/>
        <v>320301011 - GERENCIAMENTO DE RISCO</v>
      </c>
      <c r="C1745" s="25">
        <f t="shared" si="55"/>
        <v>44774</v>
      </c>
      <c r="D1745" s="27">
        <f>IF(K1745="CREDITO",Q1745,Q1745*-1)</f>
        <v>272.25</v>
      </c>
      <c r="E1745" t="s">
        <v>894</v>
      </c>
      <c r="F1745" t="s">
        <v>2239</v>
      </c>
      <c r="G1745" s="8">
        <v>44774</v>
      </c>
      <c r="H1745" t="s">
        <v>550</v>
      </c>
      <c r="I1745" t="s">
        <v>53</v>
      </c>
      <c r="J1745" t="s">
        <v>54</v>
      </c>
      <c r="K1745" t="s">
        <v>29</v>
      </c>
      <c r="L1745" t="s">
        <v>895</v>
      </c>
      <c r="M1745" t="s">
        <v>4402</v>
      </c>
      <c r="O1745" t="s">
        <v>896</v>
      </c>
      <c r="P1745" t="s">
        <v>33</v>
      </c>
      <c r="Q1745">
        <v>272.25</v>
      </c>
      <c r="R1745" t="s">
        <v>35</v>
      </c>
      <c r="S1745" t="s">
        <v>35</v>
      </c>
      <c r="T1745" t="s">
        <v>35</v>
      </c>
      <c r="U1745" t="s">
        <v>35</v>
      </c>
      <c r="V1745" t="s">
        <v>645</v>
      </c>
      <c r="W1745" t="s">
        <v>113</v>
      </c>
    </row>
    <row r="1746" spans="1:23" hidden="1" x14ac:dyDescent="0.25">
      <c r="A1746" s="7" t="str">
        <f>IFERROR(VLOOKUP(H1746,'Contas Orç'!A:B,2,0),"N/A")</f>
        <v>GERENCIAMENTO DE RISCO</v>
      </c>
      <c r="B1746" s="7" t="str">
        <f t="shared" si="54"/>
        <v>320301011 - GERENCIAMENTO DE RISCO</v>
      </c>
      <c r="C1746" s="25">
        <f t="shared" si="55"/>
        <v>44805</v>
      </c>
      <c r="D1746" s="27">
        <f>IF(K1746="CREDITO",Q1746,Q1746*-1)</f>
        <v>30882.81</v>
      </c>
      <c r="E1746" t="s">
        <v>894</v>
      </c>
      <c r="F1746" t="s">
        <v>2240</v>
      </c>
      <c r="G1746" s="8">
        <v>44805</v>
      </c>
      <c r="H1746" t="s">
        <v>550</v>
      </c>
      <c r="I1746" t="s">
        <v>27</v>
      </c>
      <c r="J1746" t="s">
        <v>28</v>
      </c>
      <c r="K1746" t="s">
        <v>29</v>
      </c>
      <c r="L1746" t="s">
        <v>895</v>
      </c>
      <c r="M1746" t="s">
        <v>4402</v>
      </c>
      <c r="O1746" t="s">
        <v>896</v>
      </c>
      <c r="P1746" t="s">
        <v>33</v>
      </c>
      <c r="Q1746" s="22">
        <v>30882.81</v>
      </c>
      <c r="R1746" t="s">
        <v>35</v>
      </c>
      <c r="S1746" t="s">
        <v>35</v>
      </c>
      <c r="T1746" t="s">
        <v>35</v>
      </c>
      <c r="U1746" t="s">
        <v>35</v>
      </c>
      <c r="V1746" t="s">
        <v>645</v>
      </c>
      <c r="W1746" t="s">
        <v>113</v>
      </c>
    </row>
    <row r="1747" spans="1:23" hidden="1" x14ac:dyDescent="0.25">
      <c r="A1747" s="7" t="str">
        <f>IFERROR(VLOOKUP(H1747,'Contas Orç'!A:B,2,0),"N/A")</f>
        <v>GERENCIAMENTO DE RISCO</v>
      </c>
      <c r="B1747" s="7" t="str">
        <f t="shared" si="54"/>
        <v>320301011 - GERENCIAMENTO DE RISCO</v>
      </c>
      <c r="C1747" s="25">
        <f t="shared" si="55"/>
        <v>44805</v>
      </c>
      <c r="D1747" s="27">
        <f>IF(K1747="CREDITO",Q1747,Q1747*-1)</f>
        <v>6365.65</v>
      </c>
      <c r="E1747" t="s">
        <v>894</v>
      </c>
      <c r="F1747" t="s">
        <v>2241</v>
      </c>
      <c r="G1747" s="8">
        <v>44805</v>
      </c>
      <c r="H1747" t="s">
        <v>550</v>
      </c>
      <c r="I1747" t="s">
        <v>59</v>
      </c>
      <c r="J1747" t="s">
        <v>60</v>
      </c>
      <c r="K1747" t="s">
        <v>29</v>
      </c>
      <c r="L1747" t="s">
        <v>895</v>
      </c>
      <c r="M1747" t="s">
        <v>4402</v>
      </c>
      <c r="O1747" t="s">
        <v>896</v>
      </c>
      <c r="P1747" t="s">
        <v>33</v>
      </c>
      <c r="Q1747" s="22">
        <v>6365.65</v>
      </c>
      <c r="R1747" t="s">
        <v>35</v>
      </c>
      <c r="S1747" t="s">
        <v>35</v>
      </c>
      <c r="T1747" t="s">
        <v>35</v>
      </c>
      <c r="U1747" t="s">
        <v>35</v>
      </c>
      <c r="V1747" t="s">
        <v>645</v>
      </c>
      <c r="W1747" t="s">
        <v>113</v>
      </c>
    </row>
    <row r="1748" spans="1:23" hidden="1" x14ac:dyDescent="0.25">
      <c r="A1748" s="7" t="str">
        <f>IFERROR(VLOOKUP(H1748,'Contas Orç'!A:B,2,0),"N/A")</f>
        <v>GERENCIAMENTO DE RISCO</v>
      </c>
      <c r="B1748" s="7" t="str">
        <f t="shared" si="54"/>
        <v>320301011 - GERENCIAMENTO DE RISCO</v>
      </c>
      <c r="C1748" s="25">
        <f t="shared" si="55"/>
        <v>44805</v>
      </c>
      <c r="D1748" s="27">
        <f>IF(K1748="CREDITO",Q1748,Q1748*-1)</f>
        <v>54.45</v>
      </c>
      <c r="E1748" t="s">
        <v>894</v>
      </c>
      <c r="F1748" t="s">
        <v>2242</v>
      </c>
      <c r="G1748" s="8">
        <v>44805</v>
      </c>
      <c r="H1748" t="s">
        <v>550</v>
      </c>
      <c r="I1748" t="s">
        <v>125</v>
      </c>
      <c r="J1748" t="s">
        <v>95</v>
      </c>
      <c r="K1748" t="s">
        <v>29</v>
      </c>
      <c r="L1748" t="s">
        <v>895</v>
      </c>
      <c r="M1748" t="s">
        <v>4402</v>
      </c>
      <c r="O1748" t="s">
        <v>896</v>
      </c>
      <c r="P1748" t="s">
        <v>33</v>
      </c>
      <c r="Q1748">
        <v>54.45</v>
      </c>
      <c r="R1748" t="s">
        <v>35</v>
      </c>
      <c r="S1748" t="s">
        <v>35</v>
      </c>
      <c r="T1748" t="s">
        <v>35</v>
      </c>
      <c r="U1748" t="s">
        <v>35</v>
      </c>
      <c r="V1748" t="s">
        <v>645</v>
      </c>
      <c r="W1748" t="s">
        <v>113</v>
      </c>
    </row>
    <row r="1749" spans="1:23" hidden="1" x14ac:dyDescent="0.25">
      <c r="A1749" s="7" t="str">
        <f>IFERROR(VLOOKUP(H1749,'Contas Orç'!A:B,2,0),"N/A")</f>
        <v>GERENCIAMENTO DE RISCO</v>
      </c>
      <c r="B1749" s="7" t="str">
        <f t="shared" si="54"/>
        <v>320301011 - GERENCIAMENTO DE RISCO</v>
      </c>
      <c r="C1749" s="25">
        <f t="shared" si="55"/>
        <v>44805</v>
      </c>
      <c r="D1749" s="27">
        <f>IF(K1749="CREDITO",Q1749,Q1749*-1)</f>
        <v>272.25</v>
      </c>
      <c r="E1749" t="s">
        <v>894</v>
      </c>
      <c r="F1749" t="s">
        <v>2243</v>
      </c>
      <c r="G1749" s="8">
        <v>44805</v>
      </c>
      <c r="H1749" t="s">
        <v>550</v>
      </c>
      <c r="I1749" t="s">
        <v>53</v>
      </c>
      <c r="J1749" t="s">
        <v>54</v>
      </c>
      <c r="K1749" t="s">
        <v>29</v>
      </c>
      <c r="L1749" t="s">
        <v>895</v>
      </c>
      <c r="M1749" t="s">
        <v>4402</v>
      </c>
      <c r="O1749" t="s">
        <v>896</v>
      </c>
      <c r="P1749" t="s">
        <v>33</v>
      </c>
      <c r="Q1749">
        <v>272.25</v>
      </c>
      <c r="R1749" t="s">
        <v>35</v>
      </c>
      <c r="S1749" t="s">
        <v>35</v>
      </c>
      <c r="T1749" t="s">
        <v>35</v>
      </c>
      <c r="U1749" t="s">
        <v>35</v>
      </c>
      <c r="V1749" t="s">
        <v>645</v>
      </c>
      <c r="W1749" t="s">
        <v>113</v>
      </c>
    </row>
    <row r="1750" spans="1:23" hidden="1" x14ac:dyDescent="0.25">
      <c r="A1750" s="7" t="str">
        <f>IFERROR(VLOOKUP(H1750,'Contas Orç'!A:B,2,0),"N/A")</f>
        <v>GERENCIAMENTO DE RISCO</v>
      </c>
      <c r="B1750" s="7" t="str">
        <f t="shared" si="54"/>
        <v>320301011 - GERENCIAMENTO DE RISCO</v>
      </c>
      <c r="C1750" s="25">
        <f t="shared" si="55"/>
        <v>44835</v>
      </c>
      <c r="D1750" s="27">
        <f>IF(K1750="CREDITO",Q1750,Q1750*-1)</f>
        <v>31191.64</v>
      </c>
      <c r="E1750" t="s">
        <v>894</v>
      </c>
      <c r="F1750" t="s">
        <v>2244</v>
      </c>
      <c r="G1750" s="8">
        <v>44835</v>
      </c>
      <c r="H1750" t="s">
        <v>550</v>
      </c>
      <c r="I1750" t="s">
        <v>27</v>
      </c>
      <c r="J1750" t="s">
        <v>28</v>
      </c>
      <c r="K1750" t="s">
        <v>29</v>
      </c>
      <c r="L1750" t="s">
        <v>895</v>
      </c>
      <c r="M1750" t="s">
        <v>4402</v>
      </c>
      <c r="O1750" t="s">
        <v>896</v>
      </c>
      <c r="P1750" t="s">
        <v>33</v>
      </c>
      <c r="Q1750" s="22">
        <v>31191.64</v>
      </c>
      <c r="R1750" t="s">
        <v>35</v>
      </c>
      <c r="S1750" t="s">
        <v>35</v>
      </c>
      <c r="T1750" t="s">
        <v>35</v>
      </c>
      <c r="U1750" t="s">
        <v>35</v>
      </c>
      <c r="V1750" t="s">
        <v>645</v>
      </c>
      <c r="W1750" t="s">
        <v>113</v>
      </c>
    </row>
    <row r="1751" spans="1:23" hidden="1" x14ac:dyDescent="0.25">
      <c r="A1751" s="7" t="str">
        <f>IFERROR(VLOOKUP(H1751,'Contas Orç'!A:B,2,0),"N/A")</f>
        <v>GERENCIAMENTO DE RISCO</v>
      </c>
      <c r="B1751" s="7" t="str">
        <f t="shared" si="54"/>
        <v>320301011 - GERENCIAMENTO DE RISCO</v>
      </c>
      <c r="C1751" s="25">
        <f t="shared" si="55"/>
        <v>44835</v>
      </c>
      <c r="D1751" s="27">
        <f>IF(K1751="CREDITO",Q1751,Q1751*-1)</f>
        <v>6429.31</v>
      </c>
      <c r="E1751" t="s">
        <v>894</v>
      </c>
      <c r="F1751" t="s">
        <v>2245</v>
      </c>
      <c r="G1751" s="8">
        <v>44835</v>
      </c>
      <c r="H1751" t="s">
        <v>550</v>
      </c>
      <c r="I1751" t="s">
        <v>59</v>
      </c>
      <c r="J1751" t="s">
        <v>60</v>
      </c>
      <c r="K1751" t="s">
        <v>29</v>
      </c>
      <c r="L1751" t="s">
        <v>895</v>
      </c>
      <c r="M1751" t="s">
        <v>4402</v>
      </c>
      <c r="O1751" t="s">
        <v>896</v>
      </c>
      <c r="P1751" t="s">
        <v>33</v>
      </c>
      <c r="Q1751" s="22">
        <v>6429.31</v>
      </c>
      <c r="R1751" t="s">
        <v>35</v>
      </c>
      <c r="S1751" t="s">
        <v>35</v>
      </c>
      <c r="T1751" t="s">
        <v>35</v>
      </c>
      <c r="U1751" t="s">
        <v>35</v>
      </c>
      <c r="V1751" t="s">
        <v>645</v>
      </c>
      <c r="W1751" t="s">
        <v>113</v>
      </c>
    </row>
    <row r="1752" spans="1:23" hidden="1" x14ac:dyDescent="0.25">
      <c r="A1752" s="7" t="str">
        <f>IFERROR(VLOOKUP(H1752,'Contas Orç'!A:B,2,0),"N/A")</f>
        <v>GERENCIAMENTO DE RISCO</v>
      </c>
      <c r="B1752" s="7" t="str">
        <f t="shared" si="54"/>
        <v>320301011 - GERENCIAMENTO DE RISCO</v>
      </c>
      <c r="C1752" s="25">
        <f t="shared" si="55"/>
        <v>44835</v>
      </c>
      <c r="D1752" s="27">
        <f>IF(K1752="CREDITO",Q1752,Q1752*-1)</f>
        <v>54.99</v>
      </c>
      <c r="E1752" t="s">
        <v>894</v>
      </c>
      <c r="F1752" t="s">
        <v>2246</v>
      </c>
      <c r="G1752" s="8">
        <v>44835</v>
      </c>
      <c r="H1752" t="s">
        <v>550</v>
      </c>
      <c r="I1752" t="s">
        <v>125</v>
      </c>
      <c r="J1752" t="s">
        <v>95</v>
      </c>
      <c r="K1752" t="s">
        <v>29</v>
      </c>
      <c r="L1752" t="s">
        <v>895</v>
      </c>
      <c r="M1752" t="s">
        <v>4402</v>
      </c>
      <c r="O1752" t="s">
        <v>896</v>
      </c>
      <c r="P1752" t="s">
        <v>33</v>
      </c>
      <c r="Q1752">
        <v>54.99</v>
      </c>
      <c r="R1752" t="s">
        <v>35</v>
      </c>
      <c r="S1752" t="s">
        <v>35</v>
      </c>
      <c r="T1752" t="s">
        <v>35</v>
      </c>
      <c r="U1752" t="s">
        <v>35</v>
      </c>
      <c r="V1752" t="s">
        <v>645</v>
      </c>
      <c r="W1752" t="s">
        <v>113</v>
      </c>
    </row>
    <row r="1753" spans="1:23" hidden="1" x14ac:dyDescent="0.25">
      <c r="A1753" s="7" t="str">
        <f>IFERROR(VLOOKUP(H1753,'Contas Orç'!A:B,2,0),"N/A")</f>
        <v>GERENCIAMENTO DE RISCO</v>
      </c>
      <c r="B1753" s="7" t="str">
        <f t="shared" si="54"/>
        <v>320301011 - GERENCIAMENTO DE RISCO</v>
      </c>
      <c r="C1753" s="25">
        <f t="shared" si="55"/>
        <v>44835</v>
      </c>
      <c r="D1753" s="27">
        <f>IF(K1753="CREDITO",Q1753,Q1753*-1)</f>
        <v>274.97000000000003</v>
      </c>
      <c r="E1753" t="s">
        <v>894</v>
      </c>
      <c r="F1753" t="s">
        <v>2247</v>
      </c>
      <c r="G1753" s="8">
        <v>44835</v>
      </c>
      <c r="H1753" t="s">
        <v>550</v>
      </c>
      <c r="I1753" t="s">
        <v>53</v>
      </c>
      <c r="J1753" t="s">
        <v>54</v>
      </c>
      <c r="K1753" t="s">
        <v>29</v>
      </c>
      <c r="L1753" t="s">
        <v>895</v>
      </c>
      <c r="M1753" t="s">
        <v>4402</v>
      </c>
      <c r="O1753" t="s">
        <v>896</v>
      </c>
      <c r="P1753" t="s">
        <v>33</v>
      </c>
      <c r="Q1753">
        <v>274.97000000000003</v>
      </c>
      <c r="R1753" t="s">
        <v>35</v>
      </c>
      <c r="S1753" t="s">
        <v>35</v>
      </c>
      <c r="T1753" t="s">
        <v>35</v>
      </c>
      <c r="U1753" t="s">
        <v>35</v>
      </c>
      <c r="V1753" t="s">
        <v>645</v>
      </c>
      <c r="W1753" t="s">
        <v>113</v>
      </c>
    </row>
    <row r="1754" spans="1:23" hidden="1" x14ac:dyDescent="0.25">
      <c r="A1754" s="7" t="str">
        <f>IFERROR(VLOOKUP(H1754,'Contas Orç'!A:B,2,0),"N/A")</f>
        <v>GERENCIAMENTO DE RISCO</v>
      </c>
      <c r="B1754" s="7" t="str">
        <f t="shared" si="54"/>
        <v>320301011 - GERENCIAMENTO DE RISCO</v>
      </c>
      <c r="C1754" s="25">
        <f t="shared" si="55"/>
        <v>44866</v>
      </c>
      <c r="D1754" s="27">
        <f>IF(K1754="CREDITO",Q1754,Q1754*-1)</f>
        <v>31503.55</v>
      </c>
      <c r="E1754" t="s">
        <v>894</v>
      </c>
      <c r="F1754" t="s">
        <v>2248</v>
      </c>
      <c r="G1754" s="8">
        <v>44866</v>
      </c>
      <c r="H1754" t="s">
        <v>550</v>
      </c>
      <c r="I1754" t="s">
        <v>27</v>
      </c>
      <c r="J1754" t="s">
        <v>28</v>
      </c>
      <c r="K1754" t="s">
        <v>29</v>
      </c>
      <c r="L1754" t="s">
        <v>895</v>
      </c>
      <c r="M1754" t="s">
        <v>4402</v>
      </c>
      <c r="O1754" t="s">
        <v>896</v>
      </c>
      <c r="P1754" t="s">
        <v>33</v>
      </c>
      <c r="Q1754" s="22">
        <v>31503.55</v>
      </c>
      <c r="R1754" t="s">
        <v>35</v>
      </c>
      <c r="S1754" t="s">
        <v>35</v>
      </c>
      <c r="T1754" t="s">
        <v>35</v>
      </c>
      <c r="U1754" t="s">
        <v>35</v>
      </c>
      <c r="V1754" t="s">
        <v>645</v>
      </c>
      <c r="W1754" t="s">
        <v>113</v>
      </c>
    </row>
    <row r="1755" spans="1:23" hidden="1" x14ac:dyDescent="0.25">
      <c r="A1755" s="7" t="str">
        <f>IFERROR(VLOOKUP(H1755,'Contas Orç'!A:B,2,0),"N/A")</f>
        <v>GERENCIAMENTO DE RISCO</v>
      </c>
      <c r="B1755" s="7" t="str">
        <f t="shared" si="54"/>
        <v>320301011 - GERENCIAMENTO DE RISCO</v>
      </c>
      <c r="C1755" s="25">
        <f t="shared" si="55"/>
        <v>44866</v>
      </c>
      <c r="D1755" s="27">
        <f>IF(K1755="CREDITO",Q1755,Q1755*-1)</f>
        <v>6493.6</v>
      </c>
      <c r="E1755" t="s">
        <v>894</v>
      </c>
      <c r="F1755" t="s">
        <v>2249</v>
      </c>
      <c r="G1755" s="8">
        <v>44866</v>
      </c>
      <c r="H1755" t="s">
        <v>550</v>
      </c>
      <c r="I1755" t="s">
        <v>59</v>
      </c>
      <c r="J1755" t="s">
        <v>60</v>
      </c>
      <c r="K1755" t="s">
        <v>29</v>
      </c>
      <c r="L1755" t="s">
        <v>895</v>
      </c>
      <c r="M1755" t="s">
        <v>4402</v>
      </c>
      <c r="O1755" t="s">
        <v>896</v>
      </c>
      <c r="P1755" t="s">
        <v>33</v>
      </c>
      <c r="Q1755" s="22">
        <v>6493.6</v>
      </c>
      <c r="R1755" t="s">
        <v>35</v>
      </c>
      <c r="S1755" t="s">
        <v>35</v>
      </c>
      <c r="T1755" t="s">
        <v>35</v>
      </c>
      <c r="U1755" t="s">
        <v>35</v>
      </c>
      <c r="V1755" t="s">
        <v>645</v>
      </c>
      <c r="W1755" t="s">
        <v>113</v>
      </c>
    </row>
    <row r="1756" spans="1:23" hidden="1" x14ac:dyDescent="0.25">
      <c r="A1756" s="7" t="str">
        <f>IFERROR(VLOOKUP(H1756,'Contas Orç'!A:B,2,0),"N/A")</f>
        <v>GERENCIAMENTO DE RISCO</v>
      </c>
      <c r="B1756" s="7" t="str">
        <f t="shared" si="54"/>
        <v>320301011 - GERENCIAMENTO DE RISCO</v>
      </c>
      <c r="C1756" s="25">
        <f t="shared" si="55"/>
        <v>44866</v>
      </c>
      <c r="D1756" s="27">
        <f>IF(K1756="CREDITO",Q1756,Q1756*-1)</f>
        <v>55.54</v>
      </c>
      <c r="E1756" t="s">
        <v>894</v>
      </c>
      <c r="F1756" t="s">
        <v>2250</v>
      </c>
      <c r="G1756" s="8">
        <v>44866</v>
      </c>
      <c r="H1756" t="s">
        <v>550</v>
      </c>
      <c r="I1756" t="s">
        <v>125</v>
      </c>
      <c r="J1756" t="s">
        <v>95</v>
      </c>
      <c r="K1756" t="s">
        <v>29</v>
      </c>
      <c r="L1756" t="s">
        <v>895</v>
      </c>
      <c r="M1756" t="s">
        <v>4402</v>
      </c>
      <c r="O1756" t="s">
        <v>896</v>
      </c>
      <c r="P1756" t="s">
        <v>33</v>
      </c>
      <c r="Q1756">
        <v>55.54</v>
      </c>
      <c r="R1756" t="s">
        <v>35</v>
      </c>
      <c r="S1756" t="s">
        <v>35</v>
      </c>
      <c r="T1756" t="s">
        <v>35</v>
      </c>
      <c r="U1756" t="s">
        <v>35</v>
      </c>
      <c r="V1756" t="s">
        <v>645</v>
      </c>
      <c r="W1756" t="s">
        <v>113</v>
      </c>
    </row>
    <row r="1757" spans="1:23" hidden="1" x14ac:dyDescent="0.25">
      <c r="A1757" s="7" t="str">
        <f>IFERROR(VLOOKUP(H1757,'Contas Orç'!A:B,2,0),"N/A")</f>
        <v>GERENCIAMENTO DE RISCO</v>
      </c>
      <c r="B1757" s="7" t="str">
        <f t="shared" si="54"/>
        <v>320301011 - GERENCIAMENTO DE RISCO</v>
      </c>
      <c r="C1757" s="25">
        <f t="shared" si="55"/>
        <v>44866</v>
      </c>
      <c r="D1757" s="27">
        <f>IF(K1757="CREDITO",Q1757,Q1757*-1)</f>
        <v>277.72000000000003</v>
      </c>
      <c r="E1757" t="s">
        <v>894</v>
      </c>
      <c r="F1757" t="s">
        <v>2251</v>
      </c>
      <c r="G1757" s="8">
        <v>44866</v>
      </c>
      <c r="H1757" t="s">
        <v>550</v>
      </c>
      <c r="I1757" t="s">
        <v>53</v>
      </c>
      <c r="J1757" t="s">
        <v>54</v>
      </c>
      <c r="K1757" t="s">
        <v>29</v>
      </c>
      <c r="L1757" t="s">
        <v>895</v>
      </c>
      <c r="M1757" t="s">
        <v>4402</v>
      </c>
      <c r="O1757" t="s">
        <v>896</v>
      </c>
      <c r="P1757" t="s">
        <v>33</v>
      </c>
      <c r="Q1757">
        <v>277.72000000000003</v>
      </c>
      <c r="R1757" t="s">
        <v>35</v>
      </c>
      <c r="S1757" t="s">
        <v>35</v>
      </c>
      <c r="T1757" t="s">
        <v>35</v>
      </c>
      <c r="U1757" t="s">
        <v>35</v>
      </c>
      <c r="V1757" t="s">
        <v>645</v>
      </c>
      <c r="W1757" t="s">
        <v>113</v>
      </c>
    </row>
    <row r="1758" spans="1:23" hidden="1" x14ac:dyDescent="0.25">
      <c r="A1758" s="7" t="str">
        <f>IFERROR(VLOOKUP(H1758,'Contas Orç'!A:B,2,0),"N/A")</f>
        <v>GERENCIAMENTO DE RISCO</v>
      </c>
      <c r="B1758" s="7" t="str">
        <f t="shared" si="54"/>
        <v>320301011 - GERENCIAMENTO DE RISCO</v>
      </c>
      <c r="C1758" s="25">
        <f t="shared" si="55"/>
        <v>44896</v>
      </c>
      <c r="D1758" s="27">
        <f>IF(K1758="CREDITO",Q1758,Q1758*-1)</f>
        <v>31818.59</v>
      </c>
      <c r="E1758" t="s">
        <v>894</v>
      </c>
      <c r="F1758" t="s">
        <v>2252</v>
      </c>
      <c r="G1758" s="8">
        <v>44896</v>
      </c>
      <c r="H1758" t="s">
        <v>550</v>
      </c>
      <c r="I1758" t="s">
        <v>27</v>
      </c>
      <c r="J1758" t="s">
        <v>28</v>
      </c>
      <c r="K1758" t="s">
        <v>29</v>
      </c>
      <c r="L1758" t="s">
        <v>895</v>
      </c>
      <c r="M1758" t="s">
        <v>4402</v>
      </c>
      <c r="O1758" t="s">
        <v>896</v>
      </c>
      <c r="P1758" t="s">
        <v>33</v>
      </c>
      <c r="Q1758" s="22">
        <v>31818.59</v>
      </c>
      <c r="R1758" t="s">
        <v>35</v>
      </c>
      <c r="S1758" t="s">
        <v>35</v>
      </c>
      <c r="T1758" t="s">
        <v>35</v>
      </c>
      <c r="U1758" t="s">
        <v>35</v>
      </c>
      <c r="V1758" t="s">
        <v>645</v>
      </c>
      <c r="W1758" t="s">
        <v>113</v>
      </c>
    </row>
    <row r="1759" spans="1:23" hidden="1" x14ac:dyDescent="0.25">
      <c r="A1759" s="7" t="str">
        <f>IFERROR(VLOOKUP(H1759,'Contas Orç'!A:B,2,0),"N/A")</f>
        <v>GERENCIAMENTO DE RISCO</v>
      </c>
      <c r="B1759" s="7" t="str">
        <f t="shared" si="54"/>
        <v>320301011 - GERENCIAMENTO DE RISCO</v>
      </c>
      <c r="C1759" s="25">
        <f t="shared" si="55"/>
        <v>44896</v>
      </c>
      <c r="D1759" s="27">
        <f>IF(K1759="CREDITO",Q1759,Q1759*-1)</f>
        <v>6558.54</v>
      </c>
      <c r="E1759" t="s">
        <v>894</v>
      </c>
      <c r="F1759" t="s">
        <v>2253</v>
      </c>
      <c r="G1759" s="8">
        <v>44896</v>
      </c>
      <c r="H1759" t="s">
        <v>550</v>
      </c>
      <c r="I1759" t="s">
        <v>59</v>
      </c>
      <c r="J1759" t="s">
        <v>60</v>
      </c>
      <c r="K1759" t="s">
        <v>29</v>
      </c>
      <c r="L1759" t="s">
        <v>895</v>
      </c>
      <c r="M1759" t="s">
        <v>4402</v>
      </c>
      <c r="O1759" t="s">
        <v>896</v>
      </c>
      <c r="P1759" t="s">
        <v>33</v>
      </c>
      <c r="Q1759" s="22">
        <v>6558.54</v>
      </c>
      <c r="R1759" t="s">
        <v>35</v>
      </c>
      <c r="S1759" t="s">
        <v>35</v>
      </c>
      <c r="T1759" t="s">
        <v>35</v>
      </c>
      <c r="U1759" t="s">
        <v>35</v>
      </c>
      <c r="V1759" t="s">
        <v>645</v>
      </c>
      <c r="W1759" t="s">
        <v>113</v>
      </c>
    </row>
    <row r="1760" spans="1:23" hidden="1" x14ac:dyDescent="0.25">
      <c r="A1760" s="7" t="str">
        <f>IFERROR(VLOOKUP(H1760,'Contas Orç'!A:B,2,0),"N/A")</f>
        <v>GERENCIAMENTO DE RISCO</v>
      </c>
      <c r="B1760" s="7" t="str">
        <f t="shared" si="54"/>
        <v>320301011 - GERENCIAMENTO DE RISCO</v>
      </c>
      <c r="C1760" s="25">
        <f t="shared" si="55"/>
        <v>44896</v>
      </c>
      <c r="D1760" s="27">
        <f>IF(K1760="CREDITO",Q1760,Q1760*-1)</f>
        <v>56.1</v>
      </c>
      <c r="E1760" t="s">
        <v>894</v>
      </c>
      <c r="F1760" t="s">
        <v>2254</v>
      </c>
      <c r="G1760" s="8">
        <v>44896</v>
      </c>
      <c r="H1760" t="s">
        <v>550</v>
      </c>
      <c r="I1760" t="s">
        <v>125</v>
      </c>
      <c r="J1760" t="s">
        <v>95</v>
      </c>
      <c r="K1760" t="s">
        <v>29</v>
      </c>
      <c r="L1760" t="s">
        <v>895</v>
      </c>
      <c r="M1760" t="s">
        <v>4402</v>
      </c>
      <c r="O1760" t="s">
        <v>896</v>
      </c>
      <c r="P1760" t="s">
        <v>33</v>
      </c>
      <c r="Q1760">
        <v>56.1</v>
      </c>
      <c r="R1760" t="s">
        <v>35</v>
      </c>
      <c r="S1760" t="s">
        <v>35</v>
      </c>
      <c r="T1760" t="s">
        <v>35</v>
      </c>
      <c r="U1760" t="s">
        <v>35</v>
      </c>
      <c r="V1760" t="s">
        <v>645</v>
      </c>
      <c r="W1760" t="s">
        <v>113</v>
      </c>
    </row>
    <row r="1761" spans="1:23" hidden="1" x14ac:dyDescent="0.25">
      <c r="A1761" s="7" t="str">
        <f>IFERROR(VLOOKUP(H1761,'Contas Orç'!A:B,2,0),"N/A")</f>
        <v>GERENCIAMENTO DE RISCO</v>
      </c>
      <c r="B1761" s="7" t="str">
        <f t="shared" si="54"/>
        <v>320301011 - GERENCIAMENTO DE RISCO</v>
      </c>
      <c r="C1761" s="25">
        <f t="shared" si="55"/>
        <v>44896</v>
      </c>
      <c r="D1761" s="27">
        <f>IF(K1761="CREDITO",Q1761,Q1761*-1)</f>
        <v>280.5</v>
      </c>
      <c r="E1761" t="s">
        <v>894</v>
      </c>
      <c r="F1761" t="s">
        <v>2255</v>
      </c>
      <c r="G1761" s="8">
        <v>44896</v>
      </c>
      <c r="H1761" t="s">
        <v>550</v>
      </c>
      <c r="I1761" t="s">
        <v>53</v>
      </c>
      <c r="J1761" t="s">
        <v>54</v>
      </c>
      <c r="K1761" t="s">
        <v>29</v>
      </c>
      <c r="L1761" t="s">
        <v>895</v>
      </c>
      <c r="M1761" t="s">
        <v>4402</v>
      </c>
      <c r="O1761" t="s">
        <v>896</v>
      </c>
      <c r="P1761" t="s">
        <v>33</v>
      </c>
      <c r="Q1761">
        <v>280.5</v>
      </c>
      <c r="R1761" t="s">
        <v>35</v>
      </c>
      <c r="S1761" t="s">
        <v>35</v>
      </c>
      <c r="T1761" t="s">
        <v>35</v>
      </c>
      <c r="U1761" t="s">
        <v>35</v>
      </c>
      <c r="V1761" t="s">
        <v>645</v>
      </c>
      <c r="W1761" t="s">
        <v>113</v>
      </c>
    </row>
    <row r="1762" spans="1:23" hidden="1" x14ac:dyDescent="0.25">
      <c r="A1762" s="7" t="str">
        <f>IFERROR(VLOOKUP(H1762,'Contas Orç'!A:B,2,0),"N/A")</f>
        <v>ALUGUEIS, ARREND. E CONDOMINIOS</v>
      </c>
      <c r="B1762" s="7" t="str">
        <f t="shared" si="54"/>
        <v>320401 - ALUGUEIS, ARREND. E CONDOMINIOS</v>
      </c>
      <c r="C1762" s="25">
        <f t="shared" si="55"/>
        <v>44562</v>
      </c>
      <c r="D1762" s="27">
        <f>IF(K1762="CREDITO",Q1762,Q1762*-1)</f>
        <v>26836.23</v>
      </c>
      <c r="E1762" t="s">
        <v>894</v>
      </c>
      <c r="F1762" t="s">
        <v>2256</v>
      </c>
      <c r="G1762" s="8">
        <v>44562</v>
      </c>
      <c r="H1762" t="s">
        <v>552</v>
      </c>
      <c r="I1762" t="s">
        <v>53</v>
      </c>
      <c r="J1762" t="s">
        <v>28</v>
      </c>
      <c r="K1762" t="s">
        <v>29</v>
      </c>
      <c r="L1762" t="s">
        <v>895</v>
      </c>
      <c r="M1762" t="s">
        <v>4402</v>
      </c>
      <c r="O1762" t="s">
        <v>896</v>
      </c>
      <c r="P1762" t="s">
        <v>33</v>
      </c>
      <c r="Q1762" s="22">
        <v>26836.23</v>
      </c>
      <c r="R1762" t="s">
        <v>35</v>
      </c>
      <c r="S1762" t="s">
        <v>35</v>
      </c>
      <c r="T1762" t="s">
        <v>35</v>
      </c>
      <c r="U1762" t="s">
        <v>35</v>
      </c>
      <c r="V1762" t="s">
        <v>645</v>
      </c>
      <c r="W1762" t="s">
        <v>113</v>
      </c>
    </row>
    <row r="1763" spans="1:23" hidden="1" x14ac:dyDescent="0.25">
      <c r="A1763" s="7" t="str">
        <f>IFERROR(VLOOKUP(H1763,'Contas Orç'!A:B,2,0),"N/A")</f>
        <v>ALUGUEIS, ARREND. E CONDOMINIOS</v>
      </c>
      <c r="B1763" s="7" t="str">
        <f t="shared" si="54"/>
        <v>320401 - ALUGUEIS, ARREND. E CONDOMINIOS</v>
      </c>
      <c r="C1763" s="25">
        <f t="shared" si="55"/>
        <v>44562</v>
      </c>
      <c r="D1763" s="27">
        <f>IF(K1763="CREDITO",Q1763,Q1763*-1)</f>
        <v>2513.83</v>
      </c>
      <c r="E1763" t="s">
        <v>894</v>
      </c>
      <c r="F1763" t="s">
        <v>2257</v>
      </c>
      <c r="G1763" s="8">
        <v>44562</v>
      </c>
      <c r="H1763" t="s">
        <v>552</v>
      </c>
      <c r="I1763" t="s">
        <v>59</v>
      </c>
      <c r="J1763" t="s">
        <v>702</v>
      </c>
      <c r="K1763" t="s">
        <v>29</v>
      </c>
      <c r="L1763" t="s">
        <v>895</v>
      </c>
      <c r="M1763" t="s">
        <v>4402</v>
      </c>
      <c r="O1763" t="s">
        <v>896</v>
      </c>
      <c r="P1763" t="s">
        <v>33</v>
      </c>
      <c r="Q1763" s="22">
        <v>2513.83</v>
      </c>
      <c r="R1763" t="s">
        <v>35</v>
      </c>
      <c r="S1763" t="s">
        <v>35</v>
      </c>
      <c r="T1763" t="s">
        <v>35</v>
      </c>
      <c r="U1763" t="s">
        <v>35</v>
      </c>
      <c r="V1763" t="s">
        <v>645</v>
      </c>
      <c r="W1763" t="s">
        <v>113</v>
      </c>
    </row>
    <row r="1764" spans="1:23" hidden="1" x14ac:dyDescent="0.25">
      <c r="A1764" s="7" t="str">
        <f>IFERROR(VLOOKUP(H1764,'Contas Orç'!A:B,2,0),"N/A")</f>
        <v>ALUGUEIS, ARREND. E CONDOMINIOS</v>
      </c>
      <c r="B1764" s="7" t="str">
        <f t="shared" si="54"/>
        <v>320401 - ALUGUEIS, ARREND. E CONDOMINIOS</v>
      </c>
      <c r="C1764" s="25">
        <f t="shared" si="55"/>
        <v>44562</v>
      </c>
      <c r="D1764" s="27">
        <f>IF(K1764="CREDITO",Q1764,Q1764*-1)</f>
        <v>416.16</v>
      </c>
      <c r="E1764" t="s">
        <v>894</v>
      </c>
      <c r="F1764" t="s">
        <v>2258</v>
      </c>
      <c r="G1764" s="8">
        <v>44562</v>
      </c>
      <c r="H1764" t="s">
        <v>552</v>
      </c>
      <c r="I1764" t="s">
        <v>59</v>
      </c>
      <c r="J1764" t="s">
        <v>661</v>
      </c>
      <c r="K1764" t="s">
        <v>29</v>
      </c>
      <c r="L1764" t="s">
        <v>895</v>
      </c>
      <c r="M1764" t="s">
        <v>4402</v>
      </c>
      <c r="O1764" t="s">
        <v>896</v>
      </c>
      <c r="P1764" t="s">
        <v>33</v>
      </c>
      <c r="Q1764">
        <v>416.16</v>
      </c>
      <c r="R1764" t="s">
        <v>35</v>
      </c>
      <c r="S1764" t="s">
        <v>35</v>
      </c>
      <c r="T1764" t="s">
        <v>35</v>
      </c>
      <c r="U1764" t="s">
        <v>35</v>
      </c>
      <c r="V1764" t="s">
        <v>645</v>
      </c>
      <c r="W1764" t="s">
        <v>113</v>
      </c>
    </row>
    <row r="1765" spans="1:23" hidden="1" x14ac:dyDescent="0.25">
      <c r="A1765" s="7" t="str">
        <f>IFERROR(VLOOKUP(H1765,'Contas Orç'!A:B,2,0),"N/A")</f>
        <v>ALUGUEIS, ARREND. E CONDOMINIOS</v>
      </c>
      <c r="B1765" s="7" t="str">
        <f t="shared" si="54"/>
        <v>320401 - ALUGUEIS, ARREND. E CONDOMINIOS</v>
      </c>
      <c r="C1765" s="25">
        <f t="shared" si="55"/>
        <v>44562</v>
      </c>
      <c r="D1765" s="27">
        <f>IF(K1765="CREDITO",Q1765,Q1765*-1)</f>
        <v>829.93</v>
      </c>
      <c r="E1765" t="s">
        <v>894</v>
      </c>
      <c r="F1765" t="s">
        <v>2259</v>
      </c>
      <c r="G1765" s="8">
        <v>44562</v>
      </c>
      <c r="H1765" t="s">
        <v>552</v>
      </c>
      <c r="I1765" t="s">
        <v>40</v>
      </c>
      <c r="J1765" t="s">
        <v>54</v>
      </c>
      <c r="K1765" t="s">
        <v>29</v>
      </c>
      <c r="L1765" t="s">
        <v>895</v>
      </c>
      <c r="M1765" t="s">
        <v>4402</v>
      </c>
      <c r="O1765" t="s">
        <v>896</v>
      </c>
      <c r="P1765" t="s">
        <v>33</v>
      </c>
      <c r="Q1765">
        <v>829.93</v>
      </c>
      <c r="R1765" t="s">
        <v>35</v>
      </c>
      <c r="S1765" t="s">
        <v>35</v>
      </c>
      <c r="T1765" t="s">
        <v>35</v>
      </c>
      <c r="U1765" t="s">
        <v>35</v>
      </c>
      <c r="V1765" t="s">
        <v>645</v>
      </c>
      <c r="W1765" t="s">
        <v>113</v>
      </c>
    </row>
    <row r="1766" spans="1:23" hidden="1" x14ac:dyDescent="0.25">
      <c r="A1766" s="7" t="str">
        <f>IFERROR(VLOOKUP(H1766,'Contas Orç'!A:B,2,0),"N/A")</f>
        <v>ALUGUEIS, ARREND. E CONDOMINIOS</v>
      </c>
      <c r="B1766" s="7" t="str">
        <f t="shared" si="54"/>
        <v>320401 - ALUGUEIS, ARREND. E CONDOMINIOS</v>
      </c>
      <c r="C1766" s="25">
        <f t="shared" si="55"/>
        <v>44562</v>
      </c>
      <c r="D1766" s="27">
        <f>IF(K1766="CREDITO",Q1766,Q1766*-1)</f>
        <v>15496.18</v>
      </c>
      <c r="E1766" t="s">
        <v>894</v>
      </c>
      <c r="F1766" t="s">
        <v>2260</v>
      </c>
      <c r="G1766" s="8">
        <v>44562</v>
      </c>
      <c r="H1766" t="s">
        <v>552</v>
      </c>
      <c r="I1766" t="s">
        <v>53</v>
      </c>
      <c r="J1766" t="s">
        <v>54</v>
      </c>
      <c r="K1766" t="s">
        <v>29</v>
      </c>
      <c r="L1766" t="s">
        <v>895</v>
      </c>
      <c r="M1766" t="s">
        <v>4402</v>
      </c>
      <c r="O1766" t="s">
        <v>896</v>
      </c>
      <c r="P1766" t="s">
        <v>33</v>
      </c>
      <c r="Q1766" s="22">
        <v>15496.18</v>
      </c>
      <c r="R1766" t="s">
        <v>35</v>
      </c>
      <c r="S1766" t="s">
        <v>35</v>
      </c>
      <c r="T1766" t="s">
        <v>35</v>
      </c>
      <c r="U1766" t="s">
        <v>35</v>
      </c>
      <c r="V1766" t="s">
        <v>645</v>
      </c>
      <c r="W1766" t="s">
        <v>113</v>
      </c>
    </row>
    <row r="1767" spans="1:23" hidden="1" x14ac:dyDescent="0.25">
      <c r="A1767" s="7" t="str">
        <f>IFERROR(VLOOKUP(H1767,'Contas Orç'!A:B,2,0),"N/A")</f>
        <v>ALUGUEIS, ARREND. E CONDOMINIOS</v>
      </c>
      <c r="B1767" s="7" t="str">
        <f t="shared" si="54"/>
        <v>320401 - ALUGUEIS, ARREND. E CONDOMINIOS</v>
      </c>
      <c r="C1767" s="25">
        <f t="shared" si="55"/>
        <v>44562</v>
      </c>
      <c r="D1767" s="27">
        <f>IF(K1767="CREDITO",Q1767,Q1767*-1)</f>
        <v>1808.02</v>
      </c>
      <c r="E1767" t="s">
        <v>894</v>
      </c>
      <c r="F1767" t="s">
        <v>2261</v>
      </c>
      <c r="G1767" s="8">
        <v>44562</v>
      </c>
      <c r="H1767" t="s">
        <v>552</v>
      </c>
      <c r="I1767" t="s">
        <v>106</v>
      </c>
      <c r="J1767" t="s">
        <v>54</v>
      </c>
      <c r="K1767" t="s">
        <v>29</v>
      </c>
      <c r="L1767" t="s">
        <v>895</v>
      </c>
      <c r="M1767" t="s">
        <v>4402</v>
      </c>
      <c r="O1767" t="s">
        <v>896</v>
      </c>
      <c r="P1767" t="s">
        <v>33</v>
      </c>
      <c r="Q1767" s="22">
        <v>1808.02</v>
      </c>
      <c r="R1767" t="s">
        <v>35</v>
      </c>
      <c r="S1767" t="s">
        <v>35</v>
      </c>
      <c r="T1767" t="s">
        <v>35</v>
      </c>
      <c r="U1767" t="s">
        <v>35</v>
      </c>
      <c r="V1767" t="s">
        <v>645</v>
      </c>
      <c r="W1767" t="s">
        <v>113</v>
      </c>
    </row>
    <row r="1768" spans="1:23" hidden="1" x14ac:dyDescent="0.25">
      <c r="A1768" s="7" t="str">
        <f>IFERROR(VLOOKUP(H1768,'Contas Orç'!A:B,2,0),"N/A")</f>
        <v>ALUGUEIS, ARREND. E CONDOMINIOS</v>
      </c>
      <c r="B1768" s="7" t="str">
        <f t="shared" si="54"/>
        <v>320401 - ALUGUEIS, ARREND. E CONDOMINIOS</v>
      </c>
      <c r="C1768" s="25">
        <f t="shared" si="55"/>
        <v>44593</v>
      </c>
      <c r="D1768" s="27">
        <f>IF(K1768="CREDITO",Q1768,Q1768*-1)</f>
        <v>26836.23</v>
      </c>
      <c r="E1768" t="s">
        <v>894</v>
      </c>
      <c r="F1768" t="s">
        <v>2262</v>
      </c>
      <c r="G1768" s="8">
        <v>44593</v>
      </c>
      <c r="H1768" t="s">
        <v>552</v>
      </c>
      <c r="I1768" t="s">
        <v>53</v>
      </c>
      <c r="J1768" t="s">
        <v>28</v>
      </c>
      <c r="K1768" t="s">
        <v>29</v>
      </c>
      <c r="L1768" t="s">
        <v>895</v>
      </c>
      <c r="M1768" t="s">
        <v>4402</v>
      </c>
      <c r="O1768" t="s">
        <v>896</v>
      </c>
      <c r="P1768" t="s">
        <v>33</v>
      </c>
      <c r="Q1768" s="22">
        <v>26836.23</v>
      </c>
      <c r="R1768" t="s">
        <v>35</v>
      </c>
      <c r="S1768" t="s">
        <v>35</v>
      </c>
      <c r="T1768" t="s">
        <v>35</v>
      </c>
      <c r="U1768" t="s">
        <v>35</v>
      </c>
      <c r="V1768" t="s">
        <v>645</v>
      </c>
      <c r="W1768" t="s">
        <v>113</v>
      </c>
    </row>
    <row r="1769" spans="1:23" hidden="1" x14ac:dyDescent="0.25">
      <c r="A1769" s="7" t="str">
        <f>IFERROR(VLOOKUP(H1769,'Contas Orç'!A:B,2,0),"N/A")</f>
        <v>ALUGUEIS, ARREND. E CONDOMINIOS</v>
      </c>
      <c r="B1769" s="7" t="str">
        <f t="shared" si="54"/>
        <v>320401 - ALUGUEIS, ARREND. E CONDOMINIOS</v>
      </c>
      <c r="C1769" s="25">
        <f t="shared" si="55"/>
        <v>44593</v>
      </c>
      <c r="D1769" s="27">
        <f>IF(K1769="CREDITO",Q1769,Q1769*-1)</f>
        <v>209.8</v>
      </c>
      <c r="E1769" t="s">
        <v>894</v>
      </c>
      <c r="F1769" t="s">
        <v>2263</v>
      </c>
      <c r="G1769" s="8">
        <v>44593</v>
      </c>
      <c r="H1769" t="s">
        <v>552</v>
      </c>
      <c r="I1769" t="s">
        <v>59</v>
      </c>
      <c r="J1769" t="s">
        <v>107</v>
      </c>
      <c r="K1769" t="s">
        <v>29</v>
      </c>
      <c r="L1769" t="s">
        <v>895</v>
      </c>
      <c r="M1769" t="s">
        <v>4402</v>
      </c>
      <c r="O1769" t="s">
        <v>896</v>
      </c>
      <c r="P1769" t="s">
        <v>33</v>
      </c>
      <c r="Q1769">
        <v>209.8</v>
      </c>
      <c r="R1769" t="s">
        <v>35</v>
      </c>
      <c r="S1769" t="s">
        <v>35</v>
      </c>
      <c r="T1769" t="s">
        <v>35</v>
      </c>
      <c r="U1769" t="s">
        <v>35</v>
      </c>
      <c r="V1769" t="s">
        <v>645</v>
      </c>
      <c r="W1769" t="s">
        <v>113</v>
      </c>
    </row>
    <row r="1770" spans="1:23" hidden="1" x14ac:dyDescent="0.25">
      <c r="A1770" s="7" t="str">
        <f>IFERROR(VLOOKUP(H1770,'Contas Orç'!A:B,2,0),"N/A")</f>
        <v>ALUGUEIS, ARREND. E CONDOMINIOS</v>
      </c>
      <c r="B1770" s="7" t="str">
        <f t="shared" si="54"/>
        <v>320401 - ALUGUEIS, ARREND. E CONDOMINIOS</v>
      </c>
      <c r="C1770" s="25">
        <f t="shared" si="55"/>
        <v>44593</v>
      </c>
      <c r="D1770" s="27">
        <f>IF(K1770="CREDITO",Q1770,Q1770*-1)</f>
        <v>10140.530000000001</v>
      </c>
      <c r="E1770" t="s">
        <v>894</v>
      </c>
      <c r="F1770" t="s">
        <v>2264</v>
      </c>
      <c r="G1770" s="8">
        <v>44593</v>
      </c>
      <c r="H1770" t="s">
        <v>552</v>
      </c>
      <c r="I1770" t="s">
        <v>59</v>
      </c>
      <c r="J1770" t="s">
        <v>702</v>
      </c>
      <c r="K1770" t="s">
        <v>29</v>
      </c>
      <c r="L1770" t="s">
        <v>895</v>
      </c>
      <c r="M1770" t="s">
        <v>4402</v>
      </c>
      <c r="O1770" t="s">
        <v>896</v>
      </c>
      <c r="P1770" t="s">
        <v>33</v>
      </c>
      <c r="Q1770" s="22">
        <v>10140.530000000001</v>
      </c>
      <c r="R1770" t="s">
        <v>35</v>
      </c>
      <c r="S1770" t="s">
        <v>35</v>
      </c>
      <c r="T1770" t="s">
        <v>35</v>
      </c>
      <c r="U1770" t="s">
        <v>35</v>
      </c>
      <c r="V1770" t="s">
        <v>645</v>
      </c>
      <c r="W1770" t="s">
        <v>113</v>
      </c>
    </row>
    <row r="1771" spans="1:23" hidden="1" x14ac:dyDescent="0.25">
      <c r="A1771" s="7" t="str">
        <f>IFERROR(VLOOKUP(H1771,'Contas Orç'!A:B,2,0),"N/A")</f>
        <v>ALUGUEIS, ARREND. E CONDOMINIOS</v>
      </c>
      <c r="B1771" s="7" t="str">
        <f t="shared" si="54"/>
        <v>320401 - ALUGUEIS, ARREND. E CONDOMINIOS</v>
      </c>
      <c r="C1771" s="25">
        <f t="shared" si="55"/>
        <v>44593</v>
      </c>
      <c r="D1771" s="27">
        <f>IF(K1771="CREDITO",Q1771,Q1771*-1)</f>
        <v>419.34</v>
      </c>
      <c r="E1771" t="s">
        <v>894</v>
      </c>
      <c r="F1771" t="s">
        <v>2265</v>
      </c>
      <c r="G1771" s="8">
        <v>44593</v>
      </c>
      <c r="H1771" t="s">
        <v>552</v>
      </c>
      <c r="I1771" t="s">
        <v>59</v>
      </c>
      <c r="J1771" t="s">
        <v>661</v>
      </c>
      <c r="K1771" t="s">
        <v>29</v>
      </c>
      <c r="L1771" t="s">
        <v>895</v>
      </c>
      <c r="M1771" t="s">
        <v>4402</v>
      </c>
      <c r="O1771" t="s">
        <v>896</v>
      </c>
      <c r="P1771" t="s">
        <v>33</v>
      </c>
      <c r="Q1771">
        <v>419.34</v>
      </c>
      <c r="R1771" t="s">
        <v>35</v>
      </c>
      <c r="S1771" t="s">
        <v>35</v>
      </c>
      <c r="T1771" t="s">
        <v>35</v>
      </c>
      <c r="U1771" t="s">
        <v>35</v>
      </c>
      <c r="V1771" t="s">
        <v>645</v>
      </c>
      <c r="W1771" t="s">
        <v>113</v>
      </c>
    </row>
    <row r="1772" spans="1:23" hidden="1" x14ac:dyDescent="0.25">
      <c r="A1772" s="7" t="str">
        <f>IFERROR(VLOOKUP(H1772,'Contas Orç'!A:B,2,0),"N/A")</f>
        <v>ALUGUEIS, ARREND. E CONDOMINIOS</v>
      </c>
      <c r="B1772" s="7" t="str">
        <f t="shared" si="54"/>
        <v>320401 - ALUGUEIS, ARREND. E CONDOMINIOS</v>
      </c>
      <c r="C1772" s="25">
        <f t="shared" si="55"/>
        <v>44593</v>
      </c>
      <c r="D1772" s="27">
        <f>IF(K1772="CREDITO",Q1772,Q1772*-1)</f>
        <v>829.93</v>
      </c>
      <c r="E1772" t="s">
        <v>894</v>
      </c>
      <c r="F1772" t="s">
        <v>2266</v>
      </c>
      <c r="G1772" s="8">
        <v>44593</v>
      </c>
      <c r="H1772" t="s">
        <v>552</v>
      </c>
      <c r="I1772" t="s">
        <v>40</v>
      </c>
      <c r="J1772" t="s">
        <v>54</v>
      </c>
      <c r="K1772" t="s">
        <v>29</v>
      </c>
      <c r="L1772" t="s">
        <v>895</v>
      </c>
      <c r="M1772" t="s">
        <v>4402</v>
      </c>
      <c r="O1772" t="s">
        <v>896</v>
      </c>
      <c r="P1772" t="s">
        <v>33</v>
      </c>
      <c r="Q1772">
        <v>829.93</v>
      </c>
      <c r="R1772" t="s">
        <v>35</v>
      </c>
      <c r="S1772" t="s">
        <v>35</v>
      </c>
      <c r="T1772" t="s">
        <v>35</v>
      </c>
      <c r="U1772" t="s">
        <v>35</v>
      </c>
      <c r="V1772" t="s">
        <v>645</v>
      </c>
      <c r="W1772" t="s">
        <v>113</v>
      </c>
    </row>
    <row r="1773" spans="1:23" hidden="1" x14ac:dyDescent="0.25">
      <c r="A1773" s="7" t="str">
        <f>IFERROR(VLOOKUP(H1773,'Contas Orç'!A:B,2,0),"N/A")</f>
        <v>ALUGUEIS, ARREND. E CONDOMINIOS</v>
      </c>
      <c r="B1773" s="7" t="str">
        <f t="shared" si="54"/>
        <v>320401 - ALUGUEIS, ARREND. E CONDOMINIOS</v>
      </c>
      <c r="C1773" s="25">
        <f t="shared" si="55"/>
        <v>44593</v>
      </c>
      <c r="D1773" s="27">
        <f>IF(K1773="CREDITO",Q1773,Q1773*-1)</f>
        <v>5314.87</v>
      </c>
      <c r="E1773" t="s">
        <v>894</v>
      </c>
      <c r="F1773" t="s">
        <v>2267</v>
      </c>
      <c r="G1773" s="8">
        <v>44593</v>
      </c>
      <c r="H1773" t="s">
        <v>552</v>
      </c>
      <c r="I1773" t="s">
        <v>53</v>
      </c>
      <c r="J1773" t="s">
        <v>54</v>
      </c>
      <c r="K1773" t="s">
        <v>29</v>
      </c>
      <c r="L1773" t="s">
        <v>895</v>
      </c>
      <c r="M1773" t="s">
        <v>4402</v>
      </c>
      <c r="O1773" t="s">
        <v>896</v>
      </c>
      <c r="P1773" t="s">
        <v>33</v>
      </c>
      <c r="Q1773" s="22">
        <v>5314.87</v>
      </c>
      <c r="R1773" t="s">
        <v>35</v>
      </c>
      <c r="S1773" t="s">
        <v>35</v>
      </c>
      <c r="T1773" t="s">
        <v>35</v>
      </c>
      <c r="U1773" t="s">
        <v>35</v>
      </c>
      <c r="V1773" t="s">
        <v>645</v>
      </c>
      <c r="W1773" t="s">
        <v>113</v>
      </c>
    </row>
    <row r="1774" spans="1:23" hidden="1" x14ac:dyDescent="0.25">
      <c r="A1774" s="7" t="str">
        <f>IFERROR(VLOOKUP(H1774,'Contas Orç'!A:B,2,0),"N/A")</f>
        <v>ALUGUEIS, ARREND. E CONDOMINIOS</v>
      </c>
      <c r="B1774" s="7" t="str">
        <f t="shared" si="54"/>
        <v>320401 - ALUGUEIS, ARREND. E CONDOMINIOS</v>
      </c>
      <c r="C1774" s="25">
        <f t="shared" si="55"/>
        <v>44621</v>
      </c>
      <c r="D1774" s="27">
        <f>IF(K1774="CREDITO",Q1774,Q1774*-1)</f>
        <v>26836.23</v>
      </c>
      <c r="E1774" t="s">
        <v>894</v>
      </c>
      <c r="F1774" t="s">
        <v>2268</v>
      </c>
      <c r="G1774" s="8">
        <v>44621</v>
      </c>
      <c r="H1774" t="s">
        <v>552</v>
      </c>
      <c r="I1774" t="s">
        <v>53</v>
      </c>
      <c r="J1774" t="s">
        <v>28</v>
      </c>
      <c r="K1774" t="s">
        <v>29</v>
      </c>
      <c r="L1774" t="s">
        <v>895</v>
      </c>
      <c r="M1774" t="s">
        <v>4402</v>
      </c>
      <c r="O1774" t="s">
        <v>896</v>
      </c>
      <c r="P1774" t="s">
        <v>33</v>
      </c>
      <c r="Q1774" s="22">
        <v>26836.23</v>
      </c>
      <c r="R1774" t="s">
        <v>35</v>
      </c>
      <c r="S1774" t="s">
        <v>35</v>
      </c>
      <c r="T1774" t="s">
        <v>35</v>
      </c>
      <c r="U1774" t="s">
        <v>35</v>
      </c>
      <c r="V1774" t="s">
        <v>645</v>
      </c>
      <c r="W1774" t="s">
        <v>113</v>
      </c>
    </row>
    <row r="1775" spans="1:23" hidden="1" x14ac:dyDescent="0.25">
      <c r="A1775" s="7" t="str">
        <f>IFERROR(VLOOKUP(H1775,'Contas Orç'!A:B,2,0),"N/A")</f>
        <v>ALUGUEIS, ARREND. E CONDOMINIOS</v>
      </c>
      <c r="B1775" s="7" t="str">
        <f t="shared" si="54"/>
        <v>320401 - ALUGUEIS, ARREND. E CONDOMINIOS</v>
      </c>
      <c r="C1775" s="25">
        <f t="shared" si="55"/>
        <v>44621</v>
      </c>
      <c r="D1775" s="27">
        <f>IF(K1775="CREDITO",Q1775,Q1775*-1)</f>
        <v>424.2</v>
      </c>
      <c r="E1775" t="s">
        <v>894</v>
      </c>
      <c r="F1775" t="s">
        <v>2269</v>
      </c>
      <c r="G1775" s="8">
        <v>44621</v>
      </c>
      <c r="H1775" t="s">
        <v>552</v>
      </c>
      <c r="I1775" t="s">
        <v>53</v>
      </c>
      <c r="J1775" t="s">
        <v>661</v>
      </c>
      <c r="K1775" t="s">
        <v>29</v>
      </c>
      <c r="L1775" t="s">
        <v>895</v>
      </c>
      <c r="M1775" t="s">
        <v>4402</v>
      </c>
      <c r="O1775" t="s">
        <v>896</v>
      </c>
      <c r="P1775" t="s">
        <v>33</v>
      </c>
      <c r="Q1775">
        <v>424.2</v>
      </c>
      <c r="R1775" t="s">
        <v>35</v>
      </c>
      <c r="S1775" t="s">
        <v>35</v>
      </c>
      <c r="T1775" t="s">
        <v>35</v>
      </c>
      <c r="U1775" t="s">
        <v>35</v>
      </c>
      <c r="V1775" t="s">
        <v>645</v>
      </c>
      <c r="W1775" t="s">
        <v>113</v>
      </c>
    </row>
    <row r="1776" spans="1:23" hidden="1" x14ac:dyDescent="0.25">
      <c r="A1776" s="7" t="str">
        <f>IFERROR(VLOOKUP(H1776,'Contas Orç'!A:B,2,0),"N/A")</f>
        <v>ALUGUEIS, ARREND. E CONDOMINIOS</v>
      </c>
      <c r="B1776" s="7" t="str">
        <f t="shared" si="54"/>
        <v>320401 - ALUGUEIS, ARREND. E CONDOMINIOS</v>
      </c>
      <c r="C1776" s="25">
        <f t="shared" si="55"/>
        <v>44621</v>
      </c>
      <c r="D1776" s="27">
        <f>IF(K1776="CREDITO",Q1776,Q1776*-1)</f>
        <v>829.93</v>
      </c>
      <c r="E1776" t="s">
        <v>894</v>
      </c>
      <c r="F1776" t="s">
        <v>2270</v>
      </c>
      <c r="G1776" s="8">
        <v>44621</v>
      </c>
      <c r="H1776" t="s">
        <v>552</v>
      </c>
      <c r="I1776" t="s">
        <v>40</v>
      </c>
      <c r="J1776" t="s">
        <v>54</v>
      </c>
      <c r="K1776" t="s">
        <v>29</v>
      </c>
      <c r="L1776" t="s">
        <v>895</v>
      </c>
      <c r="M1776" t="s">
        <v>4402</v>
      </c>
      <c r="O1776" t="s">
        <v>896</v>
      </c>
      <c r="P1776" t="s">
        <v>33</v>
      </c>
      <c r="Q1776">
        <v>829.93</v>
      </c>
      <c r="R1776" t="s">
        <v>35</v>
      </c>
      <c r="S1776" t="s">
        <v>35</v>
      </c>
      <c r="T1776" t="s">
        <v>35</v>
      </c>
      <c r="U1776" t="s">
        <v>35</v>
      </c>
      <c r="V1776" t="s">
        <v>645</v>
      </c>
      <c r="W1776" t="s">
        <v>113</v>
      </c>
    </row>
    <row r="1777" spans="1:23" hidden="1" x14ac:dyDescent="0.25">
      <c r="A1777" s="7" t="str">
        <f>IFERROR(VLOOKUP(H1777,'Contas Orç'!A:B,2,0),"N/A")</f>
        <v>ALUGUEIS, ARREND. E CONDOMINIOS</v>
      </c>
      <c r="B1777" s="7" t="str">
        <f t="shared" si="54"/>
        <v>320401 - ALUGUEIS, ARREND. E CONDOMINIOS</v>
      </c>
      <c r="C1777" s="25">
        <f t="shared" si="55"/>
        <v>44621</v>
      </c>
      <c r="D1777" s="27">
        <f>IF(K1777="CREDITO",Q1777,Q1777*-1)</f>
        <v>33234.11</v>
      </c>
      <c r="E1777" t="s">
        <v>894</v>
      </c>
      <c r="F1777" t="s">
        <v>2271</v>
      </c>
      <c r="G1777" s="8">
        <v>44621</v>
      </c>
      <c r="H1777" t="s">
        <v>552</v>
      </c>
      <c r="I1777" t="s">
        <v>53</v>
      </c>
      <c r="J1777" t="s">
        <v>54</v>
      </c>
      <c r="K1777" t="s">
        <v>29</v>
      </c>
      <c r="L1777" t="s">
        <v>895</v>
      </c>
      <c r="M1777" t="s">
        <v>4402</v>
      </c>
      <c r="O1777" t="s">
        <v>896</v>
      </c>
      <c r="P1777" t="s">
        <v>33</v>
      </c>
      <c r="Q1777" s="22">
        <v>33234.11</v>
      </c>
      <c r="R1777" t="s">
        <v>35</v>
      </c>
      <c r="S1777" t="s">
        <v>35</v>
      </c>
      <c r="T1777" t="s">
        <v>35</v>
      </c>
      <c r="U1777" t="s">
        <v>35</v>
      </c>
      <c r="V1777" t="s">
        <v>645</v>
      </c>
      <c r="W1777" t="s">
        <v>113</v>
      </c>
    </row>
    <row r="1778" spans="1:23" hidden="1" x14ac:dyDescent="0.25">
      <c r="A1778" s="7" t="str">
        <f>IFERROR(VLOOKUP(H1778,'Contas Orç'!A:B,2,0),"N/A")</f>
        <v>ALUGUEIS, ARREND. E CONDOMINIOS</v>
      </c>
      <c r="B1778" s="7" t="str">
        <f t="shared" si="54"/>
        <v>320401 - ALUGUEIS, ARREND. E CONDOMINIOS</v>
      </c>
      <c r="C1778" s="25">
        <f t="shared" si="55"/>
        <v>44652</v>
      </c>
      <c r="D1778" s="27">
        <f>IF(K1778="CREDITO",Q1778,Q1778*-1)</f>
        <v>26836.23</v>
      </c>
      <c r="E1778" t="s">
        <v>894</v>
      </c>
      <c r="F1778" t="s">
        <v>2272</v>
      </c>
      <c r="G1778" s="8">
        <v>44652</v>
      </c>
      <c r="H1778" t="s">
        <v>552</v>
      </c>
      <c r="I1778" t="s">
        <v>53</v>
      </c>
      <c r="J1778" t="s">
        <v>28</v>
      </c>
      <c r="K1778" t="s">
        <v>29</v>
      </c>
      <c r="L1778" t="s">
        <v>895</v>
      </c>
      <c r="M1778" t="s">
        <v>4402</v>
      </c>
      <c r="O1778" t="s">
        <v>896</v>
      </c>
      <c r="P1778" t="s">
        <v>33</v>
      </c>
      <c r="Q1778" s="22">
        <v>26836.23</v>
      </c>
      <c r="R1778" t="s">
        <v>35</v>
      </c>
      <c r="S1778" t="s">
        <v>35</v>
      </c>
      <c r="T1778" t="s">
        <v>35</v>
      </c>
      <c r="U1778" t="s">
        <v>35</v>
      </c>
      <c r="V1778" t="s">
        <v>645</v>
      </c>
      <c r="W1778" t="s">
        <v>113</v>
      </c>
    </row>
    <row r="1779" spans="1:23" hidden="1" x14ac:dyDescent="0.25">
      <c r="A1779" s="7" t="str">
        <f>IFERROR(VLOOKUP(H1779,'Contas Orç'!A:B,2,0),"N/A")</f>
        <v>ALUGUEIS, ARREND. E CONDOMINIOS</v>
      </c>
      <c r="B1779" s="7" t="str">
        <f t="shared" si="54"/>
        <v>320401 - ALUGUEIS, ARREND. E CONDOMINIOS</v>
      </c>
      <c r="C1779" s="25">
        <f t="shared" si="55"/>
        <v>44652</v>
      </c>
      <c r="D1779" s="27">
        <f>IF(K1779="CREDITO",Q1779,Q1779*-1)</f>
        <v>5210.8599999999997</v>
      </c>
      <c r="E1779" t="s">
        <v>894</v>
      </c>
      <c r="F1779" t="s">
        <v>2273</v>
      </c>
      <c r="G1779" s="8">
        <v>44652</v>
      </c>
      <c r="H1779" t="s">
        <v>552</v>
      </c>
      <c r="I1779" t="s">
        <v>59</v>
      </c>
      <c r="J1779" t="s">
        <v>60</v>
      </c>
      <c r="K1779" t="s">
        <v>29</v>
      </c>
      <c r="L1779" t="s">
        <v>895</v>
      </c>
      <c r="M1779" t="s">
        <v>4402</v>
      </c>
      <c r="O1779" t="s">
        <v>896</v>
      </c>
      <c r="P1779" t="s">
        <v>33</v>
      </c>
      <c r="Q1779" s="22">
        <v>5210.8599999999997</v>
      </c>
      <c r="R1779" t="s">
        <v>35</v>
      </c>
      <c r="S1779" t="s">
        <v>35</v>
      </c>
      <c r="T1779" t="s">
        <v>35</v>
      </c>
      <c r="U1779" t="s">
        <v>35</v>
      </c>
      <c r="V1779" t="s">
        <v>645</v>
      </c>
      <c r="W1779" t="s">
        <v>113</v>
      </c>
    </row>
    <row r="1780" spans="1:23" hidden="1" x14ac:dyDescent="0.25">
      <c r="A1780" s="7" t="str">
        <f>IFERROR(VLOOKUP(H1780,'Contas Orç'!A:B,2,0),"N/A")</f>
        <v>ALUGUEIS, ARREND. E CONDOMINIOS</v>
      </c>
      <c r="B1780" s="7" t="str">
        <f t="shared" si="54"/>
        <v>320401 - ALUGUEIS, ARREND. E CONDOMINIOS</v>
      </c>
      <c r="C1780" s="25">
        <f t="shared" si="55"/>
        <v>44652</v>
      </c>
      <c r="D1780" s="27">
        <f>IF(K1780="CREDITO",Q1780,Q1780*-1)</f>
        <v>10483.42</v>
      </c>
      <c r="E1780" t="s">
        <v>894</v>
      </c>
      <c r="F1780" t="s">
        <v>2274</v>
      </c>
      <c r="G1780" s="8">
        <v>44652</v>
      </c>
      <c r="H1780" t="s">
        <v>552</v>
      </c>
      <c r="I1780" t="s">
        <v>59</v>
      </c>
      <c r="J1780" t="s">
        <v>702</v>
      </c>
      <c r="K1780" t="s">
        <v>29</v>
      </c>
      <c r="L1780" t="s">
        <v>895</v>
      </c>
      <c r="M1780" t="s">
        <v>4402</v>
      </c>
      <c r="O1780" t="s">
        <v>896</v>
      </c>
      <c r="P1780" t="s">
        <v>33</v>
      </c>
      <c r="Q1780" s="22">
        <v>10483.42</v>
      </c>
      <c r="R1780" t="s">
        <v>35</v>
      </c>
      <c r="S1780" t="s">
        <v>35</v>
      </c>
      <c r="T1780" t="s">
        <v>35</v>
      </c>
      <c r="U1780" t="s">
        <v>35</v>
      </c>
      <c r="V1780" t="s">
        <v>645</v>
      </c>
      <c r="W1780" t="s">
        <v>113</v>
      </c>
    </row>
    <row r="1781" spans="1:23" hidden="1" x14ac:dyDescent="0.25">
      <c r="A1781" s="7" t="str">
        <f>IFERROR(VLOOKUP(H1781,'Contas Orç'!A:B,2,0),"N/A")</f>
        <v>ALUGUEIS, ARREND. E CONDOMINIOS</v>
      </c>
      <c r="B1781" s="7" t="str">
        <f t="shared" si="54"/>
        <v>320401 - ALUGUEIS, ARREND. E CONDOMINIOS</v>
      </c>
      <c r="C1781" s="25">
        <f t="shared" si="55"/>
        <v>44652</v>
      </c>
      <c r="D1781" s="27">
        <f>IF(K1781="CREDITO",Q1781,Q1781*-1)</f>
        <v>829.93</v>
      </c>
      <c r="E1781" t="s">
        <v>894</v>
      </c>
      <c r="F1781" t="s">
        <v>2275</v>
      </c>
      <c r="G1781" s="8">
        <v>44652</v>
      </c>
      <c r="H1781" t="s">
        <v>552</v>
      </c>
      <c r="I1781" t="s">
        <v>40</v>
      </c>
      <c r="J1781" t="s">
        <v>54</v>
      </c>
      <c r="K1781" t="s">
        <v>29</v>
      </c>
      <c r="L1781" t="s">
        <v>895</v>
      </c>
      <c r="M1781" t="s">
        <v>4402</v>
      </c>
      <c r="O1781" t="s">
        <v>896</v>
      </c>
      <c r="P1781" t="s">
        <v>33</v>
      </c>
      <c r="Q1781">
        <v>829.93</v>
      </c>
      <c r="R1781" t="s">
        <v>35</v>
      </c>
      <c r="S1781" t="s">
        <v>35</v>
      </c>
      <c r="T1781" t="s">
        <v>35</v>
      </c>
      <c r="U1781" t="s">
        <v>35</v>
      </c>
      <c r="V1781" t="s">
        <v>645</v>
      </c>
      <c r="W1781" t="s">
        <v>113</v>
      </c>
    </row>
    <row r="1782" spans="1:23" hidden="1" x14ac:dyDescent="0.25">
      <c r="A1782" s="7" t="str">
        <f>IFERROR(VLOOKUP(H1782,'Contas Orç'!A:B,2,0),"N/A")</f>
        <v>ALUGUEIS, ARREND. E CONDOMINIOS</v>
      </c>
      <c r="B1782" s="7" t="str">
        <f t="shared" si="54"/>
        <v>320401 - ALUGUEIS, ARREND. E CONDOMINIOS</v>
      </c>
      <c r="C1782" s="25">
        <f t="shared" si="55"/>
        <v>44652</v>
      </c>
      <c r="D1782" s="27">
        <f>IF(K1782="CREDITO",Q1782,Q1782*-1)</f>
        <v>16990.189999999999</v>
      </c>
      <c r="E1782" t="s">
        <v>894</v>
      </c>
      <c r="F1782" t="s">
        <v>2276</v>
      </c>
      <c r="G1782" s="8">
        <v>44652</v>
      </c>
      <c r="H1782" t="s">
        <v>552</v>
      </c>
      <c r="I1782" t="s">
        <v>53</v>
      </c>
      <c r="J1782" t="s">
        <v>54</v>
      </c>
      <c r="K1782" t="s">
        <v>29</v>
      </c>
      <c r="L1782" t="s">
        <v>895</v>
      </c>
      <c r="M1782" t="s">
        <v>4402</v>
      </c>
      <c r="O1782" t="s">
        <v>896</v>
      </c>
      <c r="P1782" t="s">
        <v>33</v>
      </c>
      <c r="Q1782" s="22">
        <v>16990.189999999999</v>
      </c>
      <c r="R1782" t="s">
        <v>35</v>
      </c>
      <c r="S1782" t="s">
        <v>35</v>
      </c>
      <c r="T1782" t="s">
        <v>35</v>
      </c>
      <c r="U1782" t="s">
        <v>35</v>
      </c>
      <c r="V1782" t="s">
        <v>645</v>
      </c>
      <c r="W1782" t="s">
        <v>113</v>
      </c>
    </row>
    <row r="1783" spans="1:23" hidden="1" x14ac:dyDescent="0.25">
      <c r="A1783" s="7" t="str">
        <f>IFERROR(VLOOKUP(H1783,'Contas Orç'!A:B,2,0),"N/A")</f>
        <v>ALUGUEIS, ARREND. E CONDOMINIOS</v>
      </c>
      <c r="B1783" s="7" t="str">
        <f t="shared" si="54"/>
        <v>320401 - ALUGUEIS, ARREND. E CONDOMINIOS</v>
      </c>
      <c r="C1783" s="25">
        <f t="shared" si="55"/>
        <v>44682</v>
      </c>
      <c r="D1783" s="27">
        <f>IF(K1783="CREDITO",Q1783,Q1783*-1)</f>
        <v>26836.23</v>
      </c>
      <c r="E1783" t="s">
        <v>894</v>
      </c>
      <c r="F1783" t="s">
        <v>2277</v>
      </c>
      <c r="G1783" s="8">
        <v>44682</v>
      </c>
      <c r="H1783" t="s">
        <v>552</v>
      </c>
      <c r="I1783" t="s">
        <v>53</v>
      </c>
      <c r="J1783" t="s">
        <v>28</v>
      </c>
      <c r="K1783" t="s">
        <v>29</v>
      </c>
      <c r="L1783" t="s">
        <v>895</v>
      </c>
      <c r="M1783" t="s">
        <v>4402</v>
      </c>
      <c r="O1783" t="s">
        <v>896</v>
      </c>
      <c r="P1783" t="s">
        <v>33</v>
      </c>
      <c r="Q1783" s="22">
        <v>26836.23</v>
      </c>
      <c r="R1783" t="s">
        <v>35</v>
      </c>
      <c r="S1783" t="s">
        <v>35</v>
      </c>
      <c r="T1783" t="s">
        <v>35</v>
      </c>
      <c r="U1783" t="s">
        <v>35</v>
      </c>
      <c r="V1783" t="s">
        <v>645</v>
      </c>
      <c r="W1783" t="s">
        <v>113</v>
      </c>
    </row>
    <row r="1784" spans="1:23" hidden="1" x14ac:dyDescent="0.25">
      <c r="A1784" s="7" t="str">
        <f>IFERROR(VLOOKUP(H1784,'Contas Orç'!A:B,2,0),"N/A")</f>
        <v>ALUGUEIS, ARREND. E CONDOMINIOS</v>
      </c>
      <c r="B1784" s="7" t="str">
        <f t="shared" si="54"/>
        <v>320401 - ALUGUEIS, ARREND. E CONDOMINIOS</v>
      </c>
      <c r="C1784" s="25">
        <f t="shared" si="55"/>
        <v>44682</v>
      </c>
      <c r="D1784" s="27">
        <f>IF(K1784="CREDITO",Q1784,Q1784*-1)</f>
        <v>13791.82</v>
      </c>
      <c r="E1784" t="s">
        <v>894</v>
      </c>
      <c r="F1784" t="s">
        <v>2278</v>
      </c>
      <c r="G1784" s="8">
        <v>44682</v>
      </c>
      <c r="H1784" t="s">
        <v>552</v>
      </c>
      <c r="I1784" t="s">
        <v>59</v>
      </c>
      <c r="J1784" t="s">
        <v>60</v>
      </c>
      <c r="K1784" t="s">
        <v>29</v>
      </c>
      <c r="L1784" t="s">
        <v>895</v>
      </c>
      <c r="M1784" t="s">
        <v>4402</v>
      </c>
      <c r="O1784" t="s">
        <v>896</v>
      </c>
      <c r="P1784" t="s">
        <v>33</v>
      </c>
      <c r="Q1784" s="22">
        <v>13791.82</v>
      </c>
      <c r="R1784" t="s">
        <v>35</v>
      </c>
      <c r="S1784" t="s">
        <v>35</v>
      </c>
      <c r="T1784" t="s">
        <v>35</v>
      </c>
      <c r="U1784" t="s">
        <v>35</v>
      </c>
      <c r="V1784" t="s">
        <v>645</v>
      </c>
      <c r="W1784" t="s">
        <v>113</v>
      </c>
    </row>
    <row r="1785" spans="1:23" hidden="1" x14ac:dyDescent="0.25">
      <c r="A1785" s="7" t="str">
        <f>IFERROR(VLOOKUP(H1785,'Contas Orç'!A:B,2,0),"N/A")</f>
        <v>ALUGUEIS, ARREND. E CONDOMINIOS</v>
      </c>
      <c r="B1785" s="7" t="str">
        <f t="shared" si="54"/>
        <v>320401 - ALUGUEIS, ARREND. E CONDOMINIOS</v>
      </c>
      <c r="C1785" s="25">
        <f t="shared" si="55"/>
        <v>44682</v>
      </c>
      <c r="D1785" s="27">
        <f>IF(K1785="CREDITO",Q1785,Q1785*-1)</f>
        <v>2856.72</v>
      </c>
      <c r="E1785" t="s">
        <v>894</v>
      </c>
      <c r="F1785" t="s">
        <v>2279</v>
      </c>
      <c r="G1785" s="8">
        <v>44682</v>
      </c>
      <c r="H1785" t="s">
        <v>552</v>
      </c>
      <c r="I1785" t="s">
        <v>59</v>
      </c>
      <c r="J1785" t="s">
        <v>702</v>
      </c>
      <c r="K1785" t="s">
        <v>29</v>
      </c>
      <c r="L1785" t="s">
        <v>895</v>
      </c>
      <c r="M1785" t="s">
        <v>4402</v>
      </c>
      <c r="O1785" t="s">
        <v>896</v>
      </c>
      <c r="P1785" t="s">
        <v>33</v>
      </c>
      <c r="Q1785" s="22">
        <v>2856.72</v>
      </c>
      <c r="R1785" t="s">
        <v>35</v>
      </c>
      <c r="S1785" t="s">
        <v>35</v>
      </c>
      <c r="T1785" t="s">
        <v>35</v>
      </c>
      <c r="U1785" t="s">
        <v>35</v>
      </c>
      <c r="V1785" t="s">
        <v>645</v>
      </c>
      <c r="W1785" t="s">
        <v>113</v>
      </c>
    </row>
    <row r="1786" spans="1:23" hidden="1" x14ac:dyDescent="0.25">
      <c r="A1786" s="7" t="str">
        <f>IFERROR(VLOOKUP(H1786,'Contas Orç'!A:B,2,0),"N/A")</f>
        <v>ALUGUEIS, ARREND. E CONDOMINIOS</v>
      </c>
      <c r="B1786" s="7" t="str">
        <f t="shared" si="54"/>
        <v>320401 - ALUGUEIS, ARREND. E CONDOMINIOS</v>
      </c>
      <c r="C1786" s="25">
        <f t="shared" si="55"/>
        <v>44682</v>
      </c>
      <c r="D1786" s="27">
        <f>IF(K1786="CREDITO",Q1786,Q1786*-1)</f>
        <v>829.93</v>
      </c>
      <c r="E1786" t="s">
        <v>894</v>
      </c>
      <c r="F1786" t="s">
        <v>2280</v>
      </c>
      <c r="G1786" s="8">
        <v>44682</v>
      </c>
      <c r="H1786" t="s">
        <v>552</v>
      </c>
      <c r="I1786" t="s">
        <v>40</v>
      </c>
      <c r="J1786" t="s">
        <v>54</v>
      </c>
      <c r="K1786" t="s">
        <v>29</v>
      </c>
      <c r="L1786" t="s">
        <v>895</v>
      </c>
      <c r="M1786" t="s">
        <v>4402</v>
      </c>
      <c r="O1786" t="s">
        <v>896</v>
      </c>
      <c r="P1786" t="s">
        <v>33</v>
      </c>
      <c r="Q1786">
        <v>829.93</v>
      </c>
      <c r="R1786" t="s">
        <v>35</v>
      </c>
      <c r="S1786" t="s">
        <v>35</v>
      </c>
      <c r="T1786" t="s">
        <v>35</v>
      </c>
      <c r="U1786" t="s">
        <v>35</v>
      </c>
      <c r="V1786" t="s">
        <v>645</v>
      </c>
      <c r="W1786" t="s">
        <v>113</v>
      </c>
    </row>
    <row r="1787" spans="1:23" hidden="1" x14ac:dyDescent="0.25">
      <c r="A1787" s="7" t="str">
        <f>IFERROR(VLOOKUP(H1787,'Contas Orç'!A:B,2,0),"N/A")</f>
        <v>ALUGUEIS, ARREND. E CONDOMINIOS</v>
      </c>
      <c r="B1787" s="7" t="str">
        <f t="shared" si="54"/>
        <v>320401 - ALUGUEIS, ARREND. E CONDOMINIOS</v>
      </c>
      <c r="C1787" s="25">
        <f t="shared" si="55"/>
        <v>44682</v>
      </c>
      <c r="D1787" s="27">
        <f>IF(K1787="CREDITO",Q1787,Q1787*-1)</f>
        <v>19133.07</v>
      </c>
      <c r="E1787" t="s">
        <v>894</v>
      </c>
      <c r="F1787" t="s">
        <v>2281</v>
      </c>
      <c r="G1787" s="8">
        <v>44682</v>
      </c>
      <c r="H1787" t="s">
        <v>552</v>
      </c>
      <c r="I1787" t="s">
        <v>53</v>
      </c>
      <c r="J1787" t="s">
        <v>54</v>
      </c>
      <c r="K1787" t="s">
        <v>29</v>
      </c>
      <c r="L1787" t="s">
        <v>895</v>
      </c>
      <c r="M1787" t="s">
        <v>4402</v>
      </c>
      <c r="O1787" t="s">
        <v>896</v>
      </c>
      <c r="P1787" t="s">
        <v>33</v>
      </c>
      <c r="Q1787" s="22">
        <v>19133.07</v>
      </c>
      <c r="R1787" t="s">
        <v>35</v>
      </c>
      <c r="S1787" t="s">
        <v>35</v>
      </c>
      <c r="T1787" t="s">
        <v>35</v>
      </c>
      <c r="U1787" t="s">
        <v>35</v>
      </c>
      <c r="V1787" t="s">
        <v>645</v>
      </c>
      <c r="W1787" t="s">
        <v>113</v>
      </c>
    </row>
    <row r="1788" spans="1:23" hidden="1" x14ac:dyDescent="0.25">
      <c r="A1788" s="7" t="str">
        <f>IFERROR(VLOOKUP(H1788,'Contas Orç'!A:B,2,0),"N/A")</f>
        <v>ALUGUEIS, ARREND. E CONDOMINIOS</v>
      </c>
      <c r="B1788" s="7" t="str">
        <f t="shared" si="54"/>
        <v>320401 - ALUGUEIS, ARREND. E CONDOMINIOS</v>
      </c>
      <c r="C1788" s="25">
        <f t="shared" si="55"/>
        <v>44713</v>
      </c>
      <c r="D1788" s="27">
        <f>IF(K1788="CREDITO",Q1788,Q1788*-1)</f>
        <v>26836.23</v>
      </c>
      <c r="E1788" t="s">
        <v>894</v>
      </c>
      <c r="F1788" t="s">
        <v>2282</v>
      </c>
      <c r="G1788" s="8">
        <v>44713</v>
      </c>
      <c r="H1788" t="s">
        <v>552</v>
      </c>
      <c r="I1788" t="s">
        <v>53</v>
      </c>
      <c r="J1788" t="s">
        <v>28</v>
      </c>
      <c r="K1788" t="s">
        <v>29</v>
      </c>
      <c r="L1788" t="s">
        <v>895</v>
      </c>
      <c r="M1788" t="s">
        <v>4402</v>
      </c>
      <c r="O1788" t="s">
        <v>896</v>
      </c>
      <c r="P1788" t="s">
        <v>33</v>
      </c>
      <c r="Q1788" s="22">
        <v>26836.23</v>
      </c>
      <c r="R1788" t="s">
        <v>35</v>
      </c>
      <c r="S1788" t="s">
        <v>35</v>
      </c>
      <c r="T1788" t="s">
        <v>35</v>
      </c>
      <c r="U1788" t="s">
        <v>35</v>
      </c>
      <c r="V1788" t="s">
        <v>645</v>
      </c>
      <c r="W1788" t="s">
        <v>113</v>
      </c>
    </row>
    <row r="1789" spans="1:23" hidden="1" x14ac:dyDescent="0.25">
      <c r="A1789" s="7" t="str">
        <f>IFERROR(VLOOKUP(H1789,'Contas Orç'!A:B,2,0),"N/A")</f>
        <v>ALUGUEIS, ARREND. E CONDOMINIOS</v>
      </c>
      <c r="B1789" s="7" t="str">
        <f t="shared" si="54"/>
        <v>320401 - ALUGUEIS, ARREND. E CONDOMINIOS</v>
      </c>
      <c r="C1789" s="25">
        <f t="shared" si="55"/>
        <v>44713</v>
      </c>
      <c r="D1789" s="27">
        <f>IF(K1789="CREDITO",Q1789,Q1789*-1)</f>
        <v>13908.55</v>
      </c>
      <c r="E1789" t="s">
        <v>894</v>
      </c>
      <c r="F1789" t="s">
        <v>2283</v>
      </c>
      <c r="G1789" s="8">
        <v>44713</v>
      </c>
      <c r="H1789" t="s">
        <v>552</v>
      </c>
      <c r="I1789" t="s">
        <v>59</v>
      </c>
      <c r="J1789" t="s">
        <v>60</v>
      </c>
      <c r="K1789" t="s">
        <v>29</v>
      </c>
      <c r="L1789" t="s">
        <v>895</v>
      </c>
      <c r="M1789" t="s">
        <v>4402</v>
      </c>
      <c r="O1789" t="s">
        <v>896</v>
      </c>
      <c r="P1789" t="s">
        <v>33</v>
      </c>
      <c r="Q1789" s="22">
        <v>13908.55</v>
      </c>
      <c r="R1789" t="s">
        <v>35</v>
      </c>
      <c r="S1789" t="s">
        <v>35</v>
      </c>
      <c r="T1789" t="s">
        <v>35</v>
      </c>
      <c r="U1789" t="s">
        <v>35</v>
      </c>
      <c r="V1789" t="s">
        <v>645</v>
      </c>
      <c r="W1789" t="s">
        <v>113</v>
      </c>
    </row>
    <row r="1790" spans="1:23" hidden="1" x14ac:dyDescent="0.25">
      <c r="A1790" s="7" t="str">
        <f>IFERROR(VLOOKUP(H1790,'Contas Orç'!A:B,2,0),"N/A")</f>
        <v>ALUGUEIS, ARREND. E CONDOMINIOS</v>
      </c>
      <c r="B1790" s="7" t="str">
        <f t="shared" si="54"/>
        <v>320401 - ALUGUEIS, ARREND. E CONDOMINIOS</v>
      </c>
      <c r="C1790" s="25">
        <f t="shared" si="55"/>
        <v>44713</v>
      </c>
      <c r="D1790" s="27">
        <f>IF(K1790="CREDITO",Q1790,Q1790*-1)</f>
        <v>430.07</v>
      </c>
      <c r="E1790" t="s">
        <v>894</v>
      </c>
      <c r="F1790" t="s">
        <v>2284</v>
      </c>
      <c r="G1790" s="8">
        <v>44713</v>
      </c>
      <c r="H1790" t="s">
        <v>552</v>
      </c>
      <c r="I1790" t="s">
        <v>59</v>
      </c>
      <c r="J1790" t="s">
        <v>661</v>
      </c>
      <c r="K1790" t="s">
        <v>29</v>
      </c>
      <c r="L1790" t="s">
        <v>895</v>
      </c>
      <c r="M1790" t="s">
        <v>4402</v>
      </c>
      <c r="O1790" t="s">
        <v>896</v>
      </c>
      <c r="P1790" t="s">
        <v>33</v>
      </c>
      <c r="Q1790">
        <v>430.07</v>
      </c>
      <c r="R1790" t="s">
        <v>35</v>
      </c>
      <c r="S1790" t="s">
        <v>35</v>
      </c>
      <c r="T1790" t="s">
        <v>35</v>
      </c>
      <c r="U1790" t="s">
        <v>35</v>
      </c>
      <c r="V1790" t="s">
        <v>645</v>
      </c>
      <c r="W1790" t="s">
        <v>113</v>
      </c>
    </row>
    <row r="1791" spans="1:23" hidden="1" x14ac:dyDescent="0.25">
      <c r="A1791" s="7" t="str">
        <f>IFERROR(VLOOKUP(H1791,'Contas Orç'!A:B,2,0),"N/A")</f>
        <v>ALUGUEIS, ARREND. E CONDOMINIOS</v>
      </c>
      <c r="B1791" s="7" t="str">
        <f t="shared" si="54"/>
        <v>320401 - ALUGUEIS, ARREND. E CONDOMINIOS</v>
      </c>
      <c r="C1791" s="25">
        <f t="shared" si="55"/>
        <v>44713</v>
      </c>
      <c r="D1791" s="27">
        <f>IF(K1791="CREDITO",Q1791,Q1791*-1)</f>
        <v>26836.23</v>
      </c>
      <c r="E1791" t="s">
        <v>894</v>
      </c>
      <c r="F1791" t="s">
        <v>2285</v>
      </c>
      <c r="G1791" s="8">
        <v>44713</v>
      </c>
      <c r="H1791" t="s">
        <v>552</v>
      </c>
      <c r="I1791" t="s">
        <v>40</v>
      </c>
      <c r="J1791" t="s">
        <v>54</v>
      </c>
      <c r="K1791" t="s">
        <v>29</v>
      </c>
      <c r="L1791" t="s">
        <v>895</v>
      </c>
      <c r="M1791" t="s">
        <v>4402</v>
      </c>
      <c r="O1791" t="s">
        <v>896</v>
      </c>
      <c r="P1791" t="s">
        <v>33</v>
      </c>
      <c r="Q1791" s="22">
        <v>26836.23</v>
      </c>
      <c r="R1791" t="s">
        <v>35</v>
      </c>
      <c r="S1791" t="s">
        <v>35</v>
      </c>
      <c r="T1791" t="s">
        <v>35</v>
      </c>
      <c r="U1791" t="s">
        <v>35</v>
      </c>
      <c r="V1791" t="s">
        <v>645</v>
      </c>
      <c r="W1791" t="s">
        <v>113</v>
      </c>
    </row>
    <row r="1792" spans="1:23" hidden="1" x14ac:dyDescent="0.25">
      <c r="A1792" s="7" t="str">
        <f>IFERROR(VLOOKUP(H1792,'Contas Orç'!A:B,2,0),"N/A")</f>
        <v>ALUGUEIS, ARREND. E CONDOMINIOS</v>
      </c>
      <c r="B1792" s="7" t="str">
        <f t="shared" si="54"/>
        <v>320401 - ALUGUEIS, ARREND. E CONDOMINIOS</v>
      </c>
      <c r="C1792" s="25">
        <f t="shared" si="55"/>
        <v>44713</v>
      </c>
      <c r="D1792" s="27">
        <f>IF(K1792="CREDITO",Q1792,Q1792*-1)</f>
        <v>16990.189999999999</v>
      </c>
      <c r="E1792" t="s">
        <v>894</v>
      </c>
      <c r="F1792" t="s">
        <v>2286</v>
      </c>
      <c r="G1792" s="8">
        <v>44713</v>
      </c>
      <c r="H1792" t="s">
        <v>552</v>
      </c>
      <c r="I1792" t="s">
        <v>53</v>
      </c>
      <c r="J1792" t="s">
        <v>54</v>
      </c>
      <c r="K1792" t="s">
        <v>29</v>
      </c>
      <c r="L1792" t="s">
        <v>895</v>
      </c>
      <c r="M1792" t="s">
        <v>4402</v>
      </c>
      <c r="O1792" t="s">
        <v>896</v>
      </c>
      <c r="P1792" t="s">
        <v>33</v>
      </c>
      <c r="Q1792" s="22">
        <v>16990.189999999999</v>
      </c>
      <c r="R1792" t="s">
        <v>35</v>
      </c>
      <c r="S1792" t="s">
        <v>35</v>
      </c>
      <c r="T1792" t="s">
        <v>35</v>
      </c>
      <c r="U1792" t="s">
        <v>35</v>
      </c>
      <c r="V1792" t="s">
        <v>645</v>
      </c>
      <c r="W1792" t="s">
        <v>113</v>
      </c>
    </row>
    <row r="1793" spans="1:23" hidden="1" x14ac:dyDescent="0.25">
      <c r="A1793" s="7" t="str">
        <f>IFERROR(VLOOKUP(H1793,'Contas Orç'!A:B,2,0),"N/A")</f>
        <v>ALUGUEIS, ARREND. E CONDOMINIOS</v>
      </c>
      <c r="B1793" s="7" t="str">
        <f t="shared" si="54"/>
        <v>320401 - ALUGUEIS, ARREND. E CONDOMINIOS</v>
      </c>
      <c r="C1793" s="25">
        <f t="shared" si="55"/>
        <v>44743</v>
      </c>
      <c r="D1793" s="27">
        <f>IF(K1793="CREDITO",Q1793,Q1793*-1)</f>
        <v>26836.23</v>
      </c>
      <c r="E1793" t="s">
        <v>894</v>
      </c>
      <c r="F1793" t="s">
        <v>2287</v>
      </c>
      <c r="G1793" s="8">
        <v>44743</v>
      </c>
      <c r="H1793" t="s">
        <v>552</v>
      </c>
      <c r="I1793" t="s">
        <v>53</v>
      </c>
      <c r="J1793" t="s">
        <v>28</v>
      </c>
      <c r="K1793" t="s">
        <v>29</v>
      </c>
      <c r="L1793" t="s">
        <v>895</v>
      </c>
      <c r="M1793" t="s">
        <v>4402</v>
      </c>
      <c r="O1793" t="s">
        <v>896</v>
      </c>
      <c r="P1793" t="s">
        <v>33</v>
      </c>
      <c r="Q1793" s="22">
        <v>26836.23</v>
      </c>
      <c r="R1793" t="s">
        <v>35</v>
      </c>
      <c r="S1793" t="s">
        <v>35</v>
      </c>
      <c r="T1793" t="s">
        <v>35</v>
      </c>
      <c r="U1793" t="s">
        <v>35</v>
      </c>
      <c r="V1793" t="s">
        <v>645</v>
      </c>
      <c r="W1793" t="s">
        <v>113</v>
      </c>
    </row>
    <row r="1794" spans="1:23" hidden="1" x14ac:dyDescent="0.25">
      <c r="A1794" s="7" t="str">
        <f>IFERROR(VLOOKUP(H1794,'Contas Orç'!A:B,2,0),"N/A")</f>
        <v>ALUGUEIS, ARREND. E CONDOMINIOS</v>
      </c>
      <c r="B1794" s="7" t="str">
        <f t="shared" si="54"/>
        <v>320401 - ALUGUEIS, ARREND. E CONDOMINIOS</v>
      </c>
      <c r="C1794" s="25">
        <f t="shared" si="55"/>
        <v>44743</v>
      </c>
      <c r="D1794" s="27">
        <f>IF(K1794="CREDITO",Q1794,Q1794*-1)</f>
        <v>24725.49</v>
      </c>
      <c r="E1794" t="s">
        <v>894</v>
      </c>
      <c r="F1794" t="s">
        <v>2288</v>
      </c>
      <c r="G1794" s="8">
        <v>44743</v>
      </c>
      <c r="H1794" t="s">
        <v>552</v>
      </c>
      <c r="I1794" t="s">
        <v>27</v>
      </c>
      <c r="J1794" t="s">
        <v>28</v>
      </c>
      <c r="K1794" t="s">
        <v>29</v>
      </c>
      <c r="L1794" t="s">
        <v>895</v>
      </c>
      <c r="M1794" t="s">
        <v>4402</v>
      </c>
      <c r="O1794" t="s">
        <v>896</v>
      </c>
      <c r="P1794" t="s">
        <v>33</v>
      </c>
      <c r="Q1794" s="22">
        <v>24725.49</v>
      </c>
      <c r="R1794" t="s">
        <v>35</v>
      </c>
      <c r="S1794" t="s">
        <v>35</v>
      </c>
      <c r="T1794" t="s">
        <v>35</v>
      </c>
      <c r="U1794" t="s">
        <v>35</v>
      </c>
      <c r="V1794" t="s">
        <v>645</v>
      </c>
      <c r="W1794" t="s">
        <v>113</v>
      </c>
    </row>
    <row r="1795" spans="1:23" hidden="1" x14ac:dyDescent="0.25">
      <c r="A1795" s="7" t="str">
        <f>IFERROR(VLOOKUP(H1795,'Contas Orç'!A:B,2,0),"N/A")</f>
        <v>ALUGUEIS, ARREND. E CONDOMINIOS</v>
      </c>
      <c r="B1795" s="7" t="str">
        <f t="shared" ref="B1795:B1858" si="56">_xlfn.CONCAT(H1795," - ",A1795)</f>
        <v>320401 - ALUGUEIS, ARREND. E CONDOMINIOS</v>
      </c>
      <c r="C1795" s="25">
        <f t="shared" ref="C1795:C1858" si="57">DATE(YEAR(G1795),MONTH(G1795),1)</f>
        <v>44743</v>
      </c>
      <c r="D1795" s="27">
        <f>IF(K1795="CREDITO",Q1795,Q1795*-1)</f>
        <v>18815.46</v>
      </c>
      <c r="E1795" t="s">
        <v>894</v>
      </c>
      <c r="F1795" t="s">
        <v>2289</v>
      </c>
      <c r="G1795" s="8">
        <v>44743</v>
      </c>
      <c r="H1795" t="s">
        <v>552</v>
      </c>
      <c r="I1795" t="s">
        <v>53</v>
      </c>
      <c r="J1795" t="s">
        <v>60</v>
      </c>
      <c r="K1795" t="s">
        <v>29</v>
      </c>
      <c r="L1795" t="s">
        <v>895</v>
      </c>
      <c r="M1795" t="s">
        <v>4402</v>
      </c>
      <c r="O1795" t="s">
        <v>896</v>
      </c>
      <c r="P1795" t="s">
        <v>33</v>
      </c>
      <c r="Q1795" s="22">
        <v>18815.46</v>
      </c>
      <c r="R1795" t="s">
        <v>35</v>
      </c>
      <c r="S1795" t="s">
        <v>35</v>
      </c>
      <c r="T1795" t="s">
        <v>35</v>
      </c>
      <c r="U1795" t="s">
        <v>35</v>
      </c>
      <c r="V1795" t="s">
        <v>645</v>
      </c>
      <c r="W1795" t="s">
        <v>113</v>
      </c>
    </row>
    <row r="1796" spans="1:23" hidden="1" x14ac:dyDescent="0.25">
      <c r="A1796" s="7" t="str">
        <f>IFERROR(VLOOKUP(H1796,'Contas Orç'!A:B,2,0),"N/A")</f>
        <v>ALUGUEIS, ARREND. E CONDOMINIOS</v>
      </c>
      <c r="B1796" s="7" t="str">
        <f t="shared" si="56"/>
        <v>320401 - ALUGUEIS, ARREND. E CONDOMINIOS</v>
      </c>
      <c r="C1796" s="25">
        <f t="shared" si="57"/>
        <v>44743</v>
      </c>
      <c r="D1796" s="27">
        <f>IF(K1796="CREDITO",Q1796,Q1796*-1)</f>
        <v>440.44</v>
      </c>
      <c r="E1796" t="s">
        <v>894</v>
      </c>
      <c r="F1796" t="s">
        <v>2290</v>
      </c>
      <c r="G1796" s="8">
        <v>44743</v>
      </c>
      <c r="H1796" t="s">
        <v>552</v>
      </c>
      <c r="I1796" t="s">
        <v>59</v>
      </c>
      <c r="J1796" t="s">
        <v>702</v>
      </c>
      <c r="K1796" t="s">
        <v>29</v>
      </c>
      <c r="L1796" t="s">
        <v>895</v>
      </c>
      <c r="M1796" t="s">
        <v>4402</v>
      </c>
      <c r="O1796" t="s">
        <v>896</v>
      </c>
      <c r="P1796" t="s">
        <v>33</v>
      </c>
      <c r="Q1796">
        <v>440.44</v>
      </c>
      <c r="R1796" t="s">
        <v>35</v>
      </c>
      <c r="S1796" t="s">
        <v>35</v>
      </c>
      <c r="T1796" t="s">
        <v>35</v>
      </c>
      <c r="U1796" t="s">
        <v>35</v>
      </c>
      <c r="V1796" t="s">
        <v>645</v>
      </c>
      <c r="W1796" t="s">
        <v>113</v>
      </c>
    </row>
    <row r="1797" spans="1:23" hidden="1" x14ac:dyDescent="0.25">
      <c r="A1797" s="7" t="str">
        <f>IFERROR(VLOOKUP(H1797,'Contas Orç'!A:B,2,0),"N/A")</f>
        <v>ALUGUEIS, ARREND. E CONDOMINIOS</v>
      </c>
      <c r="B1797" s="7" t="str">
        <f t="shared" si="56"/>
        <v>320401 - ALUGUEIS, ARREND. E CONDOMINIOS</v>
      </c>
      <c r="C1797" s="25">
        <f t="shared" si="57"/>
        <v>44743</v>
      </c>
      <c r="D1797" s="27">
        <f>IF(K1797="CREDITO",Q1797,Q1797*-1)</f>
        <v>26836.23</v>
      </c>
      <c r="E1797" t="s">
        <v>894</v>
      </c>
      <c r="F1797" t="s">
        <v>2291</v>
      </c>
      <c r="G1797" s="8">
        <v>44743</v>
      </c>
      <c r="H1797" t="s">
        <v>552</v>
      </c>
      <c r="I1797" t="s">
        <v>40</v>
      </c>
      <c r="J1797" t="s">
        <v>54</v>
      </c>
      <c r="K1797" t="s">
        <v>29</v>
      </c>
      <c r="L1797" t="s">
        <v>895</v>
      </c>
      <c r="M1797" t="s">
        <v>4402</v>
      </c>
      <c r="O1797" t="s">
        <v>896</v>
      </c>
      <c r="P1797" t="s">
        <v>33</v>
      </c>
      <c r="Q1797" s="22">
        <v>26836.23</v>
      </c>
      <c r="R1797" t="s">
        <v>35</v>
      </c>
      <c r="S1797" t="s">
        <v>35</v>
      </c>
      <c r="T1797" t="s">
        <v>35</v>
      </c>
      <c r="U1797" t="s">
        <v>35</v>
      </c>
      <c r="V1797" t="s">
        <v>645</v>
      </c>
      <c r="W1797" t="s">
        <v>113</v>
      </c>
    </row>
    <row r="1798" spans="1:23" hidden="1" x14ac:dyDescent="0.25">
      <c r="A1798" s="7" t="str">
        <f>IFERROR(VLOOKUP(H1798,'Contas Orç'!A:B,2,0),"N/A")</f>
        <v>ALUGUEIS, ARREND. E CONDOMINIOS</v>
      </c>
      <c r="B1798" s="7" t="str">
        <f t="shared" si="56"/>
        <v>320401 - ALUGUEIS, ARREND. E CONDOMINIOS</v>
      </c>
      <c r="C1798" s="25">
        <f t="shared" si="57"/>
        <v>44743</v>
      </c>
      <c r="D1798" s="27">
        <f>IF(K1798="CREDITO",Q1798,Q1798*-1)</f>
        <v>16990.189999999999</v>
      </c>
      <c r="E1798" t="s">
        <v>894</v>
      </c>
      <c r="F1798" t="s">
        <v>2292</v>
      </c>
      <c r="G1798" s="8">
        <v>44743</v>
      </c>
      <c r="H1798" t="s">
        <v>552</v>
      </c>
      <c r="I1798" t="s">
        <v>53</v>
      </c>
      <c r="J1798" t="s">
        <v>54</v>
      </c>
      <c r="K1798" t="s">
        <v>29</v>
      </c>
      <c r="L1798" t="s">
        <v>895</v>
      </c>
      <c r="M1798" t="s">
        <v>4402</v>
      </c>
      <c r="O1798" t="s">
        <v>896</v>
      </c>
      <c r="P1798" t="s">
        <v>33</v>
      </c>
      <c r="Q1798" s="22">
        <v>16990.189999999999</v>
      </c>
      <c r="R1798" t="s">
        <v>35</v>
      </c>
      <c r="S1798" t="s">
        <v>35</v>
      </c>
      <c r="T1798" t="s">
        <v>35</v>
      </c>
      <c r="U1798" t="s">
        <v>35</v>
      </c>
      <c r="V1798" t="s">
        <v>645</v>
      </c>
      <c r="W1798" t="s">
        <v>113</v>
      </c>
    </row>
    <row r="1799" spans="1:23" hidden="1" x14ac:dyDescent="0.25">
      <c r="A1799" s="7" t="str">
        <f>IFERROR(VLOOKUP(H1799,'Contas Orç'!A:B,2,0),"N/A")</f>
        <v>ALUGUEIS, ARREND. E CONDOMINIOS</v>
      </c>
      <c r="B1799" s="7" t="str">
        <f t="shared" si="56"/>
        <v>320401 - ALUGUEIS, ARREND. E CONDOMINIOS</v>
      </c>
      <c r="C1799" s="25">
        <f t="shared" si="57"/>
        <v>44774</v>
      </c>
      <c r="D1799" s="27">
        <f>IF(K1799="CREDITO",Q1799,Q1799*-1)</f>
        <v>26836.23</v>
      </c>
      <c r="E1799" t="s">
        <v>894</v>
      </c>
      <c r="F1799" t="s">
        <v>2293</v>
      </c>
      <c r="G1799" s="8">
        <v>44774</v>
      </c>
      <c r="H1799" t="s">
        <v>552</v>
      </c>
      <c r="I1799" t="s">
        <v>53</v>
      </c>
      <c r="J1799" t="s">
        <v>28</v>
      </c>
      <c r="K1799" t="s">
        <v>29</v>
      </c>
      <c r="L1799" t="s">
        <v>895</v>
      </c>
      <c r="M1799" t="s">
        <v>4402</v>
      </c>
      <c r="O1799" t="s">
        <v>896</v>
      </c>
      <c r="P1799" t="s">
        <v>33</v>
      </c>
      <c r="Q1799" s="22">
        <v>26836.23</v>
      </c>
      <c r="R1799" t="s">
        <v>35</v>
      </c>
      <c r="S1799" t="s">
        <v>35</v>
      </c>
      <c r="T1799" t="s">
        <v>35</v>
      </c>
      <c r="U1799" t="s">
        <v>35</v>
      </c>
      <c r="V1799" t="s">
        <v>645</v>
      </c>
      <c r="W1799" t="s">
        <v>113</v>
      </c>
    </row>
    <row r="1800" spans="1:23" hidden="1" x14ac:dyDescent="0.25">
      <c r="A1800" s="7" t="str">
        <f>IFERROR(VLOOKUP(H1800,'Contas Orç'!A:B,2,0),"N/A")</f>
        <v>ALUGUEIS, ARREND. E CONDOMINIOS</v>
      </c>
      <c r="B1800" s="7" t="str">
        <f t="shared" si="56"/>
        <v>320401 - ALUGUEIS, ARREND. E CONDOMINIOS</v>
      </c>
      <c r="C1800" s="25">
        <f t="shared" si="57"/>
        <v>44774</v>
      </c>
      <c r="D1800" s="27">
        <f>IF(K1800="CREDITO",Q1800,Q1800*-1)</f>
        <v>21743.56</v>
      </c>
      <c r="E1800" t="s">
        <v>894</v>
      </c>
      <c r="F1800" t="s">
        <v>2294</v>
      </c>
      <c r="G1800" s="8">
        <v>44774</v>
      </c>
      <c r="H1800" t="s">
        <v>552</v>
      </c>
      <c r="I1800" t="s">
        <v>59</v>
      </c>
      <c r="J1800" t="s">
        <v>60</v>
      </c>
      <c r="K1800" t="s">
        <v>29</v>
      </c>
      <c r="L1800" t="s">
        <v>895</v>
      </c>
      <c r="M1800" t="s">
        <v>4402</v>
      </c>
      <c r="O1800" t="s">
        <v>896</v>
      </c>
      <c r="P1800" t="s">
        <v>33</v>
      </c>
      <c r="Q1800" s="22">
        <v>21743.56</v>
      </c>
      <c r="R1800" t="s">
        <v>35</v>
      </c>
      <c r="S1800" t="s">
        <v>35</v>
      </c>
      <c r="T1800" t="s">
        <v>35</v>
      </c>
      <c r="U1800" t="s">
        <v>35</v>
      </c>
      <c r="V1800" t="s">
        <v>645</v>
      </c>
      <c r="W1800" t="s">
        <v>113</v>
      </c>
    </row>
    <row r="1801" spans="1:23" hidden="1" x14ac:dyDescent="0.25">
      <c r="A1801" s="7" t="str">
        <f>IFERROR(VLOOKUP(H1801,'Contas Orç'!A:B,2,0),"N/A")</f>
        <v>ALUGUEIS, ARREND. E CONDOMINIOS</v>
      </c>
      <c r="B1801" s="7" t="str">
        <f t="shared" si="56"/>
        <v>320401 - ALUGUEIS, ARREND. E CONDOMINIOS</v>
      </c>
      <c r="C1801" s="25">
        <f t="shared" si="57"/>
        <v>44774</v>
      </c>
      <c r="D1801" s="27">
        <f>IF(K1801="CREDITO",Q1801,Q1801*-1)</f>
        <v>10483.42</v>
      </c>
      <c r="E1801" t="s">
        <v>894</v>
      </c>
      <c r="F1801" t="s">
        <v>2295</v>
      </c>
      <c r="G1801" s="8">
        <v>44774</v>
      </c>
      <c r="H1801" t="s">
        <v>552</v>
      </c>
      <c r="I1801" t="s">
        <v>59</v>
      </c>
      <c r="J1801" t="s">
        <v>702</v>
      </c>
      <c r="K1801" t="s">
        <v>29</v>
      </c>
      <c r="L1801" t="s">
        <v>895</v>
      </c>
      <c r="M1801" t="s">
        <v>4402</v>
      </c>
      <c r="O1801" t="s">
        <v>896</v>
      </c>
      <c r="P1801" t="s">
        <v>33</v>
      </c>
      <c r="Q1801" s="22">
        <v>10483.42</v>
      </c>
      <c r="R1801" t="s">
        <v>35</v>
      </c>
      <c r="S1801" t="s">
        <v>35</v>
      </c>
      <c r="T1801" t="s">
        <v>35</v>
      </c>
      <c r="U1801" t="s">
        <v>35</v>
      </c>
      <c r="V1801" t="s">
        <v>645</v>
      </c>
      <c r="W1801" t="s">
        <v>113</v>
      </c>
    </row>
    <row r="1802" spans="1:23" hidden="1" x14ac:dyDescent="0.25">
      <c r="A1802" s="7" t="str">
        <f>IFERROR(VLOOKUP(H1802,'Contas Orç'!A:B,2,0),"N/A")</f>
        <v>ALUGUEIS, ARREND. E CONDOMINIOS</v>
      </c>
      <c r="B1802" s="7" t="str">
        <f t="shared" si="56"/>
        <v>320401 - ALUGUEIS, ARREND. E CONDOMINIOS</v>
      </c>
      <c r="C1802" s="25">
        <f t="shared" si="57"/>
        <v>44774</v>
      </c>
      <c r="D1802" s="27">
        <f>IF(K1802="CREDITO",Q1802,Q1802*-1)</f>
        <v>1626.93</v>
      </c>
      <c r="E1802" t="s">
        <v>894</v>
      </c>
      <c r="F1802" t="s">
        <v>2296</v>
      </c>
      <c r="G1802" s="8">
        <v>44774</v>
      </c>
      <c r="H1802" t="s">
        <v>552</v>
      </c>
      <c r="I1802" t="s">
        <v>53</v>
      </c>
      <c r="J1802" t="s">
        <v>661</v>
      </c>
      <c r="K1802" t="s">
        <v>29</v>
      </c>
      <c r="L1802" t="s">
        <v>895</v>
      </c>
      <c r="M1802" t="s">
        <v>4402</v>
      </c>
      <c r="O1802" t="s">
        <v>896</v>
      </c>
      <c r="P1802" t="s">
        <v>33</v>
      </c>
      <c r="Q1802" s="22">
        <v>1626.93</v>
      </c>
      <c r="R1802" t="s">
        <v>35</v>
      </c>
      <c r="S1802" t="s">
        <v>35</v>
      </c>
      <c r="T1802" t="s">
        <v>35</v>
      </c>
      <c r="U1802" t="s">
        <v>35</v>
      </c>
      <c r="V1802" t="s">
        <v>645</v>
      </c>
      <c r="W1802" t="s">
        <v>113</v>
      </c>
    </row>
    <row r="1803" spans="1:23" hidden="1" x14ac:dyDescent="0.25">
      <c r="A1803" s="7" t="str">
        <f>IFERROR(VLOOKUP(H1803,'Contas Orç'!A:B,2,0),"N/A")</f>
        <v>ALUGUEIS, ARREND. E CONDOMINIOS</v>
      </c>
      <c r="B1803" s="7" t="str">
        <f t="shared" si="56"/>
        <v>320401 - ALUGUEIS, ARREND. E CONDOMINIOS</v>
      </c>
      <c r="C1803" s="25">
        <f t="shared" si="57"/>
        <v>44774</v>
      </c>
      <c r="D1803" s="27">
        <f>IF(K1803="CREDITO",Q1803,Q1803*-1)</f>
        <v>403.42</v>
      </c>
      <c r="E1803" t="s">
        <v>894</v>
      </c>
      <c r="F1803" t="s">
        <v>2297</v>
      </c>
      <c r="G1803" s="8">
        <v>44774</v>
      </c>
      <c r="H1803" t="s">
        <v>552</v>
      </c>
      <c r="I1803" t="s">
        <v>59</v>
      </c>
      <c r="J1803" t="s">
        <v>661</v>
      </c>
      <c r="K1803" t="s">
        <v>29</v>
      </c>
      <c r="L1803" t="s">
        <v>895</v>
      </c>
      <c r="M1803" t="s">
        <v>4402</v>
      </c>
      <c r="O1803" t="s">
        <v>896</v>
      </c>
      <c r="P1803" t="s">
        <v>33</v>
      </c>
      <c r="Q1803">
        <v>403.42</v>
      </c>
      <c r="R1803" t="s">
        <v>35</v>
      </c>
      <c r="S1803" t="s">
        <v>35</v>
      </c>
      <c r="T1803" t="s">
        <v>35</v>
      </c>
      <c r="U1803" t="s">
        <v>35</v>
      </c>
      <c r="V1803" t="s">
        <v>645</v>
      </c>
      <c r="W1803" t="s">
        <v>113</v>
      </c>
    </row>
    <row r="1804" spans="1:23" hidden="1" x14ac:dyDescent="0.25">
      <c r="A1804" s="7" t="str">
        <f>IFERROR(VLOOKUP(H1804,'Contas Orç'!A:B,2,0),"N/A")</f>
        <v>ALUGUEIS, ARREND. E CONDOMINIOS</v>
      </c>
      <c r="B1804" s="7" t="str">
        <f t="shared" si="56"/>
        <v>320401 - ALUGUEIS, ARREND. E CONDOMINIOS</v>
      </c>
      <c r="C1804" s="25">
        <f t="shared" si="57"/>
        <v>44774</v>
      </c>
      <c r="D1804" s="27">
        <f>IF(K1804="CREDITO",Q1804,Q1804*-1)</f>
        <v>46836.23</v>
      </c>
      <c r="E1804" t="s">
        <v>894</v>
      </c>
      <c r="F1804" t="s">
        <v>2298</v>
      </c>
      <c r="G1804" s="8">
        <v>44774</v>
      </c>
      <c r="H1804" t="s">
        <v>552</v>
      </c>
      <c r="I1804" t="s">
        <v>40</v>
      </c>
      <c r="J1804" t="s">
        <v>54</v>
      </c>
      <c r="K1804" t="s">
        <v>29</v>
      </c>
      <c r="L1804" t="s">
        <v>895</v>
      </c>
      <c r="M1804" t="s">
        <v>4402</v>
      </c>
      <c r="O1804" t="s">
        <v>896</v>
      </c>
      <c r="P1804" t="s">
        <v>33</v>
      </c>
      <c r="Q1804" s="22">
        <v>46836.23</v>
      </c>
      <c r="R1804" t="s">
        <v>35</v>
      </c>
      <c r="S1804" t="s">
        <v>35</v>
      </c>
      <c r="T1804" t="s">
        <v>35</v>
      </c>
      <c r="U1804" t="s">
        <v>35</v>
      </c>
      <c r="V1804" t="s">
        <v>645</v>
      </c>
      <c r="W1804" t="s">
        <v>113</v>
      </c>
    </row>
    <row r="1805" spans="1:23" hidden="1" x14ac:dyDescent="0.25">
      <c r="A1805" s="7" t="str">
        <f>IFERROR(VLOOKUP(H1805,'Contas Orç'!A:B,2,0),"N/A")</f>
        <v>ALUGUEIS, ARREND. E CONDOMINIOS</v>
      </c>
      <c r="B1805" s="7" t="str">
        <f t="shared" si="56"/>
        <v>320401 - ALUGUEIS, ARREND. E CONDOMINIOS</v>
      </c>
      <c r="C1805" s="25">
        <f t="shared" si="57"/>
        <v>44774</v>
      </c>
      <c r="D1805" s="27">
        <f>IF(K1805="CREDITO",Q1805,Q1805*-1)</f>
        <v>16990.189999999999</v>
      </c>
      <c r="E1805" t="s">
        <v>894</v>
      </c>
      <c r="F1805" t="s">
        <v>2299</v>
      </c>
      <c r="G1805" s="8">
        <v>44774</v>
      </c>
      <c r="H1805" t="s">
        <v>552</v>
      </c>
      <c r="I1805" t="s">
        <v>53</v>
      </c>
      <c r="J1805" t="s">
        <v>54</v>
      </c>
      <c r="K1805" t="s">
        <v>29</v>
      </c>
      <c r="L1805" t="s">
        <v>895</v>
      </c>
      <c r="M1805" t="s">
        <v>4402</v>
      </c>
      <c r="O1805" t="s">
        <v>896</v>
      </c>
      <c r="P1805" t="s">
        <v>33</v>
      </c>
      <c r="Q1805" s="22">
        <v>16990.189999999999</v>
      </c>
      <c r="R1805" t="s">
        <v>35</v>
      </c>
      <c r="S1805" t="s">
        <v>35</v>
      </c>
      <c r="T1805" t="s">
        <v>35</v>
      </c>
      <c r="U1805" t="s">
        <v>35</v>
      </c>
      <c r="V1805" t="s">
        <v>645</v>
      </c>
      <c r="W1805" t="s">
        <v>113</v>
      </c>
    </row>
    <row r="1806" spans="1:23" hidden="1" x14ac:dyDescent="0.25">
      <c r="A1806" s="7" t="str">
        <f>IFERROR(VLOOKUP(H1806,'Contas Orç'!A:B,2,0),"N/A")</f>
        <v>ALUGUEIS, ARREND. E CONDOMINIOS</v>
      </c>
      <c r="B1806" s="7" t="str">
        <f t="shared" si="56"/>
        <v>320401 - ALUGUEIS, ARREND. E CONDOMINIOS</v>
      </c>
      <c r="C1806" s="25">
        <f t="shared" si="57"/>
        <v>44805</v>
      </c>
      <c r="D1806" s="27">
        <f>IF(K1806="CREDITO",Q1806,Q1806*-1)</f>
        <v>26836.23</v>
      </c>
      <c r="E1806" t="s">
        <v>894</v>
      </c>
      <c r="F1806" t="s">
        <v>2300</v>
      </c>
      <c r="G1806" s="8">
        <v>44805</v>
      </c>
      <c r="H1806" t="s">
        <v>552</v>
      </c>
      <c r="I1806" t="s">
        <v>53</v>
      </c>
      <c r="J1806" t="s">
        <v>28</v>
      </c>
      <c r="K1806" t="s">
        <v>29</v>
      </c>
      <c r="L1806" t="s">
        <v>895</v>
      </c>
      <c r="M1806" t="s">
        <v>4402</v>
      </c>
      <c r="O1806" t="s">
        <v>896</v>
      </c>
      <c r="P1806" t="s">
        <v>33</v>
      </c>
      <c r="Q1806" s="22">
        <v>26836.23</v>
      </c>
      <c r="R1806" t="s">
        <v>35</v>
      </c>
      <c r="S1806" t="s">
        <v>35</v>
      </c>
      <c r="T1806" t="s">
        <v>35</v>
      </c>
      <c r="U1806" t="s">
        <v>35</v>
      </c>
      <c r="V1806" t="s">
        <v>645</v>
      </c>
      <c r="W1806" t="s">
        <v>113</v>
      </c>
    </row>
    <row r="1807" spans="1:23" hidden="1" x14ac:dyDescent="0.25">
      <c r="A1807" s="7" t="str">
        <f>IFERROR(VLOOKUP(H1807,'Contas Orç'!A:B,2,0),"N/A")</f>
        <v>ALUGUEIS, ARREND. E CONDOMINIOS</v>
      </c>
      <c r="B1807" s="7" t="str">
        <f t="shared" si="56"/>
        <v>320401 - ALUGUEIS, ARREND. E CONDOMINIOS</v>
      </c>
      <c r="C1807" s="25">
        <f t="shared" si="57"/>
        <v>44805</v>
      </c>
      <c r="D1807" s="27">
        <f>IF(K1807="CREDITO",Q1807,Q1807*-1)</f>
        <v>6887.39</v>
      </c>
      <c r="E1807" t="s">
        <v>894</v>
      </c>
      <c r="F1807" t="s">
        <v>2301</v>
      </c>
      <c r="G1807" s="8">
        <v>44805</v>
      </c>
      <c r="H1807" t="s">
        <v>552</v>
      </c>
      <c r="I1807" t="s">
        <v>27</v>
      </c>
      <c r="J1807" t="s">
        <v>28</v>
      </c>
      <c r="K1807" t="s">
        <v>29</v>
      </c>
      <c r="L1807" t="s">
        <v>895</v>
      </c>
      <c r="M1807" t="s">
        <v>4402</v>
      </c>
      <c r="O1807" t="s">
        <v>896</v>
      </c>
      <c r="P1807" t="s">
        <v>33</v>
      </c>
      <c r="Q1807" s="22">
        <v>6887.39</v>
      </c>
      <c r="R1807" t="s">
        <v>35</v>
      </c>
      <c r="S1807" t="s">
        <v>35</v>
      </c>
      <c r="T1807" t="s">
        <v>35</v>
      </c>
      <c r="U1807" t="s">
        <v>35</v>
      </c>
      <c r="V1807" t="s">
        <v>645</v>
      </c>
      <c r="W1807" t="s">
        <v>113</v>
      </c>
    </row>
    <row r="1808" spans="1:23" hidden="1" x14ac:dyDescent="0.25">
      <c r="A1808" s="7" t="str">
        <f>IFERROR(VLOOKUP(H1808,'Contas Orç'!A:B,2,0),"N/A")</f>
        <v>ALUGUEIS, ARREND. E CONDOMINIOS</v>
      </c>
      <c r="B1808" s="7" t="str">
        <f t="shared" si="56"/>
        <v>320401 - ALUGUEIS, ARREND. E CONDOMINIOS</v>
      </c>
      <c r="C1808" s="25">
        <f t="shared" si="57"/>
        <v>44805</v>
      </c>
      <c r="D1808" s="27">
        <f>IF(K1808="CREDITO",Q1808,Q1808*-1)</f>
        <v>28199.48</v>
      </c>
      <c r="E1808" t="s">
        <v>894</v>
      </c>
      <c r="F1808" t="s">
        <v>2302</v>
      </c>
      <c r="G1808" s="8">
        <v>44805</v>
      </c>
      <c r="H1808" t="s">
        <v>552</v>
      </c>
      <c r="I1808" t="s">
        <v>59</v>
      </c>
      <c r="J1808" t="s">
        <v>60</v>
      </c>
      <c r="K1808" t="s">
        <v>29</v>
      </c>
      <c r="L1808" t="s">
        <v>895</v>
      </c>
      <c r="M1808" t="s">
        <v>4402</v>
      </c>
      <c r="O1808" t="s">
        <v>896</v>
      </c>
      <c r="P1808" t="s">
        <v>33</v>
      </c>
      <c r="Q1808" s="22">
        <v>28199.48</v>
      </c>
      <c r="R1808" t="s">
        <v>35</v>
      </c>
      <c r="S1808" t="s">
        <v>35</v>
      </c>
      <c r="T1808" t="s">
        <v>35</v>
      </c>
      <c r="U1808" t="s">
        <v>35</v>
      </c>
      <c r="V1808" t="s">
        <v>645</v>
      </c>
      <c r="W1808" t="s">
        <v>113</v>
      </c>
    </row>
    <row r="1809" spans="1:23" hidden="1" x14ac:dyDescent="0.25">
      <c r="A1809" s="7" t="str">
        <f>IFERROR(VLOOKUP(H1809,'Contas Orç'!A:B,2,0),"N/A")</f>
        <v>ALUGUEIS, ARREND. E CONDOMINIOS</v>
      </c>
      <c r="B1809" s="7" t="str">
        <f t="shared" si="56"/>
        <v>320401 - ALUGUEIS, ARREND. E CONDOMINIOS</v>
      </c>
      <c r="C1809" s="25">
        <f t="shared" si="57"/>
        <v>44805</v>
      </c>
      <c r="D1809" s="27">
        <f>IF(K1809="CREDITO",Q1809,Q1809*-1)</f>
        <v>2856.72</v>
      </c>
      <c r="E1809" t="s">
        <v>894</v>
      </c>
      <c r="F1809" t="s">
        <v>2303</v>
      </c>
      <c r="G1809" s="8">
        <v>44805</v>
      </c>
      <c r="H1809" t="s">
        <v>552</v>
      </c>
      <c r="I1809" t="s">
        <v>59</v>
      </c>
      <c r="J1809" t="s">
        <v>702</v>
      </c>
      <c r="K1809" t="s">
        <v>29</v>
      </c>
      <c r="L1809" t="s">
        <v>895</v>
      </c>
      <c r="M1809" t="s">
        <v>4402</v>
      </c>
      <c r="O1809" t="s">
        <v>896</v>
      </c>
      <c r="P1809" t="s">
        <v>33</v>
      </c>
      <c r="Q1809" s="22">
        <v>2856.72</v>
      </c>
      <c r="R1809" t="s">
        <v>35</v>
      </c>
      <c r="S1809" t="s">
        <v>35</v>
      </c>
      <c r="T1809" t="s">
        <v>35</v>
      </c>
      <c r="U1809" t="s">
        <v>35</v>
      </c>
      <c r="V1809" t="s">
        <v>645</v>
      </c>
      <c r="W1809" t="s">
        <v>113</v>
      </c>
    </row>
    <row r="1810" spans="1:23" hidden="1" x14ac:dyDescent="0.25">
      <c r="A1810" s="7" t="str">
        <f>IFERROR(VLOOKUP(H1810,'Contas Orç'!A:B,2,0),"N/A")</f>
        <v>ALUGUEIS, ARREND. E CONDOMINIOS</v>
      </c>
      <c r="B1810" s="7" t="str">
        <f t="shared" si="56"/>
        <v>320401 - ALUGUEIS, ARREND. E CONDOMINIOS</v>
      </c>
      <c r="C1810" s="25">
        <f t="shared" si="57"/>
        <v>44805</v>
      </c>
      <c r="D1810" s="27">
        <f>IF(K1810="CREDITO",Q1810,Q1810*-1)</f>
        <v>1626.93</v>
      </c>
      <c r="E1810" t="s">
        <v>894</v>
      </c>
      <c r="F1810" t="s">
        <v>2304</v>
      </c>
      <c r="G1810" s="8">
        <v>44805</v>
      </c>
      <c r="H1810" t="s">
        <v>552</v>
      </c>
      <c r="I1810" t="s">
        <v>53</v>
      </c>
      <c r="J1810" t="s">
        <v>661</v>
      </c>
      <c r="K1810" t="s">
        <v>29</v>
      </c>
      <c r="L1810" t="s">
        <v>895</v>
      </c>
      <c r="M1810" t="s">
        <v>4402</v>
      </c>
      <c r="O1810" t="s">
        <v>896</v>
      </c>
      <c r="P1810" t="s">
        <v>33</v>
      </c>
      <c r="Q1810" s="22">
        <v>1626.93</v>
      </c>
      <c r="R1810" t="s">
        <v>35</v>
      </c>
      <c r="S1810" t="s">
        <v>35</v>
      </c>
      <c r="T1810" t="s">
        <v>35</v>
      </c>
      <c r="U1810" t="s">
        <v>35</v>
      </c>
      <c r="V1810" t="s">
        <v>645</v>
      </c>
      <c r="W1810" t="s">
        <v>113</v>
      </c>
    </row>
    <row r="1811" spans="1:23" hidden="1" x14ac:dyDescent="0.25">
      <c r="A1811" s="7" t="str">
        <f>IFERROR(VLOOKUP(H1811,'Contas Orç'!A:B,2,0),"N/A")</f>
        <v>ALUGUEIS, ARREND. E CONDOMINIOS</v>
      </c>
      <c r="B1811" s="7" t="str">
        <f t="shared" si="56"/>
        <v>320401 - ALUGUEIS, ARREND. E CONDOMINIOS</v>
      </c>
      <c r="C1811" s="25">
        <f t="shared" si="57"/>
        <v>44805</v>
      </c>
      <c r="D1811" s="27">
        <f>IF(K1811="CREDITO",Q1811,Q1811*-1)</f>
        <v>13027.48</v>
      </c>
      <c r="E1811" t="s">
        <v>894</v>
      </c>
      <c r="F1811" t="s">
        <v>2305</v>
      </c>
      <c r="G1811" s="8">
        <v>44805</v>
      </c>
      <c r="H1811" t="s">
        <v>552</v>
      </c>
      <c r="I1811" t="s">
        <v>40</v>
      </c>
      <c r="J1811" t="s">
        <v>54</v>
      </c>
      <c r="K1811" t="s">
        <v>29</v>
      </c>
      <c r="L1811" t="s">
        <v>895</v>
      </c>
      <c r="M1811" t="s">
        <v>4402</v>
      </c>
      <c r="O1811" t="s">
        <v>896</v>
      </c>
      <c r="P1811" t="s">
        <v>33</v>
      </c>
      <c r="Q1811" s="22">
        <v>13027.48</v>
      </c>
      <c r="R1811" t="s">
        <v>35</v>
      </c>
      <c r="S1811" t="s">
        <v>35</v>
      </c>
      <c r="T1811" t="s">
        <v>35</v>
      </c>
      <c r="U1811" t="s">
        <v>35</v>
      </c>
      <c r="V1811" t="s">
        <v>645</v>
      </c>
      <c r="W1811" t="s">
        <v>113</v>
      </c>
    </row>
    <row r="1812" spans="1:23" hidden="1" x14ac:dyDescent="0.25">
      <c r="A1812" s="7" t="str">
        <f>IFERROR(VLOOKUP(H1812,'Contas Orç'!A:B,2,0),"N/A")</f>
        <v>ALUGUEIS, ARREND. E CONDOMINIOS</v>
      </c>
      <c r="B1812" s="7" t="str">
        <f t="shared" si="56"/>
        <v>320401 - ALUGUEIS, ARREND. E CONDOMINIOS</v>
      </c>
      <c r="C1812" s="25">
        <f t="shared" si="57"/>
        <v>44805</v>
      </c>
      <c r="D1812" s="27">
        <f>IF(K1812="CREDITO",Q1812,Q1812*-1)</f>
        <v>19532.7</v>
      </c>
      <c r="E1812" t="s">
        <v>894</v>
      </c>
      <c r="F1812" t="s">
        <v>2306</v>
      </c>
      <c r="G1812" s="8">
        <v>44805</v>
      </c>
      <c r="H1812" t="s">
        <v>552</v>
      </c>
      <c r="I1812" t="s">
        <v>53</v>
      </c>
      <c r="J1812" t="s">
        <v>54</v>
      </c>
      <c r="K1812" t="s">
        <v>29</v>
      </c>
      <c r="L1812" t="s">
        <v>895</v>
      </c>
      <c r="M1812" t="s">
        <v>4402</v>
      </c>
      <c r="O1812" t="s">
        <v>896</v>
      </c>
      <c r="P1812" t="s">
        <v>33</v>
      </c>
      <c r="Q1812" s="22">
        <v>19532.7</v>
      </c>
      <c r="R1812" t="s">
        <v>35</v>
      </c>
      <c r="S1812" t="s">
        <v>35</v>
      </c>
      <c r="T1812" t="s">
        <v>35</v>
      </c>
      <c r="U1812" t="s">
        <v>35</v>
      </c>
      <c r="V1812" t="s">
        <v>645</v>
      </c>
      <c r="W1812" t="s">
        <v>113</v>
      </c>
    </row>
    <row r="1813" spans="1:23" hidden="1" x14ac:dyDescent="0.25">
      <c r="A1813" s="7" t="str">
        <f>IFERROR(VLOOKUP(H1813,'Contas Orç'!A:B,2,0),"N/A")</f>
        <v>ALUGUEIS, ARREND. E CONDOMINIOS</v>
      </c>
      <c r="B1813" s="7" t="str">
        <f t="shared" si="56"/>
        <v>320401 - ALUGUEIS, ARREND. E CONDOMINIOS</v>
      </c>
      <c r="C1813" s="25">
        <f t="shared" si="57"/>
        <v>44835</v>
      </c>
      <c r="D1813" s="27">
        <f>IF(K1813="CREDITO",Q1813,Q1813*-1)</f>
        <v>27104.59</v>
      </c>
      <c r="E1813" t="s">
        <v>894</v>
      </c>
      <c r="F1813" t="s">
        <v>2307</v>
      </c>
      <c r="G1813" s="8">
        <v>44835</v>
      </c>
      <c r="H1813" t="s">
        <v>552</v>
      </c>
      <c r="I1813" t="s">
        <v>53</v>
      </c>
      <c r="J1813" t="s">
        <v>28</v>
      </c>
      <c r="K1813" t="s">
        <v>29</v>
      </c>
      <c r="L1813" t="s">
        <v>895</v>
      </c>
      <c r="M1813" t="s">
        <v>4402</v>
      </c>
      <c r="O1813" t="s">
        <v>896</v>
      </c>
      <c r="P1813" t="s">
        <v>33</v>
      </c>
      <c r="Q1813" s="22">
        <v>27104.59</v>
      </c>
      <c r="R1813" t="s">
        <v>35</v>
      </c>
      <c r="S1813" t="s">
        <v>35</v>
      </c>
      <c r="T1813" t="s">
        <v>35</v>
      </c>
      <c r="U1813" t="s">
        <v>35</v>
      </c>
      <c r="V1813" t="s">
        <v>645</v>
      </c>
      <c r="W1813" t="s">
        <v>113</v>
      </c>
    </row>
    <row r="1814" spans="1:23" hidden="1" x14ac:dyDescent="0.25">
      <c r="A1814" s="7" t="str">
        <f>IFERROR(VLOOKUP(H1814,'Contas Orç'!A:B,2,0),"N/A")</f>
        <v>ALUGUEIS, ARREND. E CONDOMINIOS</v>
      </c>
      <c r="B1814" s="7" t="str">
        <f t="shared" si="56"/>
        <v>320401 - ALUGUEIS, ARREND. E CONDOMINIOS</v>
      </c>
      <c r="C1814" s="25">
        <f t="shared" si="57"/>
        <v>44835</v>
      </c>
      <c r="D1814" s="27">
        <f>IF(K1814="CREDITO",Q1814,Q1814*-1)</f>
        <v>6956.26</v>
      </c>
      <c r="E1814" t="s">
        <v>894</v>
      </c>
      <c r="F1814" t="s">
        <v>2308</v>
      </c>
      <c r="G1814" s="8">
        <v>44835</v>
      </c>
      <c r="H1814" t="s">
        <v>552</v>
      </c>
      <c r="I1814" t="s">
        <v>27</v>
      </c>
      <c r="J1814" t="s">
        <v>28</v>
      </c>
      <c r="K1814" t="s">
        <v>29</v>
      </c>
      <c r="L1814" t="s">
        <v>895</v>
      </c>
      <c r="M1814" t="s">
        <v>4402</v>
      </c>
      <c r="O1814" t="s">
        <v>896</v>
      </c>
      <c r="P1814" t="s">
        <v>33</v>
      </c>
      <c r="Q1814" s="22">
        <v>6956.26</v>
      </c>
      <c r="R1814" t="s">
        <v>35</v>
      </c>
      <c r="S1814" t="s">
        <v>35</v>
      </c>
      <c r="T1814" t="s">
        <v>35</v>
      </c>
      <c r="U1814" t="s">
        <v>35</v>
      </c>
      <c r="V1814" t="s">
        <v>645</v>
      </c>
      <c r="W1814" t="s">
        <v>113</v>
      </c>
    </row>
    <row r="1815" spans="1:23" hidden="1" x14ac:dyDescent="0.25">
      <c r="A1815" s="7" t="str">
        <f>IFERROR(VLOOKUP(H1815,'Contas Orç'!A:B,2,0),"N/A")</f>
        <v>ALUGUEIS, ARREND. E CONDOMINIOS</v>
      </c>
      <c r="B1815" s="7" t="str">
        <f t="shared" si="56"/>
        <v>320401 - ALUGUEIS, ARREND. E CONDOMINIOS</v>
      </c>
      <c r="C1815" s="25">
        <f t="shared" si="57"/>
        <v>44835</v>
      </c>
      <c r="D1815" s="27">
        <f>IF(K1815="CREDITO",Q1815,Q1815*-1)</f>
        <v>28481.47</v>
      </c>
      <c r="E1815" t="s">
        <v>894</v>
      </c>
      <c r="F1815" t="s">
        <v>2309</v>
      </c>
      <c r="G1815" s="8">
        <v>44835</v>
      </c>
      <c r="H1815" t="s">
        <v>552</v>
      </c>
      <c r="I1815" t="s">
        <v>59</v>
      </c>
      <c r="J1815" t="s">
        <v>60</v>
      </c>
      <c r="K1815" t="s">
        <v>29</v>
      </c>
      <c r="L1815" t="s">
        <v>895</v>
      </c>
      <c r="M1815" t="s">
        <v>4402</v>
      </c>
      <c r="O1815" t="s">
        <v>896</v>
      </c>
      <c r="P1815" t="s">
        <v>33</v>
      </c>
      <c r="Q1815" s="22">
        <v>28481.47</v>
      </c>
      <c r="R1815" t="s">
        <v>35</v>
      </c>
      <c r="S1815" t="s">
        <v>35</v>
      </c>
      <c r="T1815" t="s">
        <v>35</v>
      </c>
      <c r="U1815" t="s">
        <v>35</v>
      </c>
      <c r="V1815" t="s">
        <v>645</v>
      </c>
      <c r="W1815" t="s">
        <v>113</v>
      </c>
    </row>
    <row r="1816" spans="1:23" hidden="1" x14ac:dyDescent="0.25">
      <c r="A1816" s="7" t="str">
        <f>IFERROR(VLOOKUP(H1816,'Contas Orç'!A:B,2,0),"N/A")</f>
        <v>ALUGUEIS, ARREND. E CONDOMINIOS</v>
      </c>
      <c r="B1816" s="7" t="str">
        <f t="shared" si="56"/>
        <v>320401 - ALUGUEIS, ARREND. E CONDOMINIOS</v>
      </c>
      <c r="C1816" s="25">
        <f t="shared" si="57"/>
        <v>44835</v>
      </c>
      <c r="D1816" s="27">
        <f>IF(K1816="CREDITO",Q1816,Q1816*-1)</f>
        <v>2885.29</v>
      </c>
      <c r="E1816" t="s">
        <v>894</v>
      </c>
      <c r="F1816" t="s">
        <v>2310</v>
      </c>
      <c r="G1816" s="8">
        <v>44835</v>
      </c>
      <c r="H1816" t="s">
        <v>552</v>
      </c>
      <c r="I1816" t="s">
        <v>59</v>
      </c>
      <c r="J1816" t="s">
        <v>702</v>
      </c>
      <c r="K1816" t="s">
        <v>29</v>
      </c>
      <c r="L1816" t="s">
        <v>895</v>
      </c>
      <c r="M1816" t="s">
        <v>4402</v>
      </c>
      <c r="O1816" t="s">
        <v>896</v>
      </c>
      <c r="P1816" t="s">
        <v>33</v>
      </c>
      <c r="Q1816" s="22">
        <v>2885.29</v>
      </c>
      <c r="R1816" t="s">
        <v>35</v>
      </c>
      <c r="S1816" t="s">
        <v>35</v>
      </c>
      <c r="T1816" t="s">
        <v>35</v>
      </c>
      <c r="U1816" t="s">
        <v>35</v>
      </c>
      <c r="V1816" t="s">
        <v>645</v>
      </c>
      <c r="W1816" t="s">
        <v>113</v>
      </c>
    </row>
    <row r="1817" spans="1:23" hidden="1" x14ac:dyDescent="0.25">
      <c r="A1817" s="7" t="str">
        <f>IFERROR(VLOOKUP(H1817,'Contas Orç'!A:B,2,0),"N/A")</f>
        <v>ALUGUEIS, ARREND. E CONDOMINIOS</v>
      </c>
      <c r="B1817" s="7" t="str">
        <f t="shared" si="56"/>
        <v>320401 - ALUGUEIS, ARREND. E CONDOMINIOS</v>
      </c>
      <c r="C1817" s="25">
        <f t="shared" si="57"/>
        <v>44835</v>
      </c>
      <c r="D1817" s="27">
        <f>IF(K1817="CREDITO",Q1817,Q1817*-1)</f>
        <v>1643.2</v>
      </c>
      <c r="E1817" t="s">
        <v>894</v>
      </c>
      <c r="F1817" t="s">
        <v>2311</v>
      </c>
      <c r="G1817" s="8">
        <v>44835</v>
      </c>
      <c r="H1817" t="s">
        <v>552</v>
      </c>
      <c r="I1817" t="s">
        <v>53</v>
      </c>
      <c r="J1817" t="s">
        <v>661</v>
      </c>
      <c r="K1817" t="s">
        <v>29</v>
      </c>
      <c r="L1817" t="s">
        <v>895</v>
      </c>
      <c r="M1817" t="s">
        <v>4402</v>
      </c>
      <c r="O1817" t="s">
        <v>896</v>
      </c>
      <c r="P1817" t="s">
        <v>33</v>
      </c>
      <c r="Q1817" s="22">
        <v>1643.2</v>
      </c>
      <c r="R1817" t="s">
        <v>35</v>
      </c>
      <c r="S1817" t="s">
        <v>35</v>
      </c>
      <c r="T1817" t="s">
        <v>35</v>
      </c>
      <c r="U1817" t="s">
        <v>35</v>
      </c>
      <c r="V1817" t="s">
        <v>645</v>
      </c>
      <c r="W1817" t="s">
        <v>113</v>
      </c>
    </row>
    <row r="1818" spans="1:23" hidden="1" x14ac:dyDescent="0.25">
      <c r="A1818" s="7" t="str">
        <f>IFERROR(VLOOKUP(H1818,'Contas Orç'!A:B,2,0),"N/A")</f>
        <v>ALUGUEIS, ARREND. E CONDOMINIOS</v>
      </c>
      <c r="B1818" s="7" t="str">
        <f t="shared" si="56"/>
        <v>320401 - ALUGUEIS, ARREND. E CONDOMINIOS</v>
      </c>
      <c r="C1818" s="25">
        <f t="shared" si="57"/>
        <v>44835</v>
      </c>
      <c r="D1818" s="27">
        <f>IF(K1818="CREDITO",Q1818,Q1818*-1)</f>
        <v>13157.75</v>
      </c>
      <c r="E1818" t="s">
        <v>894</v>
      </c>
      <c r="F1818" t="s">
        <v>2312</v>
      </c>
      <c r="G1818" s="8">
        <v>44835</v>
      </c>
      <c r="H1818" t="s">
        <v>552</v>
      </c>
      <c r="I1818" t="s">
        <v>40</v>
      </c>
      <c r="J1818" t="s">
        <v>54</v>
      </c>
      <c r="K1818" t="s">
        <v>29</v>
      </c>
      <c r="L1818" t="s">
        <v>895</v>
      </c>
      <c r="M1818" t="s">
        <v>4402</v>
      </c>
      <c r="O1818" t="s">
        <v>896</v>
      </c>
      <c r="P1818" t="s">
        <v>33</v>
      </c>
      <c r="Q1818" s="22">
        <v>13157.75</v>
      </c>
      <c r="R1818" t="s">
        <v>35</v>
      </c>
      <c r="S1818" t="s">
        <v>35</v>
      </c>
      <c r="T1818" t="s">
        <v>35</v>
      </c>
      <c r="U1818" t="s">
        <v>35</v>
      </c>
      <c r="V1818" t="s">
        <v>645</v>
      </c>
      <c r="W1818" t="s">
        <v>113</v>
      </c>
    </row>
    <row r="1819" spans="1:23" hidden="1" x14ac:dyDescent="0.25">
      <c r="A1819" s="7" t="str">
        <f>IFERROR(VLOOKUP(H1819,'Contas Orç'!A:B,2,0),"N/A")</f>
        <v>ALUGUEIS, ARREND. E CONDOMINIOS</v>
      </c>
      <c r="B1819" s="7" t="str">
        <f t="shared" si="56"/>
        <v>320401 - ALUGUEIS, ARREND. E CONDOMINIOS</v>
      </c>
      <c r="C1819" s="25">
        <f t="shared" si="57"/>
        <v>44835</v>
      </c>
      <c r="D1819" s="27">
        <f>IF(K1819="CREDITO",Q1819,Q1819*-1)</f>
        <v>19728.03</v>
      </c>
      <c r="E1819" t="s">
        <v>894</v>
      </c>
      <c r="F1819" t="s">
        <v>2313</v>
      </c>
      <c r="G1819" s="8">
        <v>44835</v>
      </c>
      <c r="H1819" t="s">
        <v>552</v>
      </c>
      <c r="I1819" t="s">
        <v>53</v>
      </c>
      <c r="J1819" t="s">
        <v>54</v>
      </c>
      <c r="K1819" t="s">
        <v>29</v>
      </c>
      <c r="L1819" t="s">
        <v>895</v>
      </c>
      <c r="M1819" t="s">
        <v>4402</v>
      </c>
      <c r="O1819" t="s">
        <v>896</v>
      </c>
      <c r="P1819" t="s">
        <v>33</v>
      </c>
      <c r="Q1819" s="22">
        <v>19728.03</v>
      </c>
      <c r="R1819" t="s">
        <v>35</v>
      </c>
      <c r="S1819" t="s">
        <v>35</v>
      </c>
      <c r="T1819" t="s">
        <v>35</v>
      </c>
      <c r="U1819" t="s">
        <v>35</v>
      </c>
      <c r="V1819" t="s">
        <v>645</v>
      </c>
      <c r="W1819" t="s">
        <v>113</v>
      </c>
    </row>
    <row r="1820" spans="1:23" hidden="1" x14ac:dyDescent="0.25">
      <c r="A1820" s="7" t="str">
        <f>IFERROR(VLOOKUP(H1820,'Contas Orç'!A:B,2,0),"N/A")</f>
        <v>ALUGUEIS, ARREND. E CONDOMINIOS</v>
      </c>
      <c r="B1820" s="7" t="str">
        <f t="shared" si="56"/>
        <v>320401 - ALUGUEIS, ARREND. E CONDOMINIOS</v>
      </c>
      <c r="C1820" s="25">
        <f t="shared" si="57"/>
        <v>44866</v>
      </c>
      <c r="D1820" s="27">
        <f>IF(K1820="CREDITO",Q1820,Q1820*-1)</f>
        <v>27375.64</v>
      </c>
      <c r="E1820" t="s">
        <v>894</v>
      </c>
      <c r="F1820" t="s">
        <v>2314</v>
      </c>
      <c r="G1820" s="8">
        <v>44866</v>
      </c>
      <c r="H1820" t="s">
        <v>552</v>
      </c>
      <c r="I1820" t="s">
        <v>53</v>
      </c>
      <c r="J1820" t="s">
        <v>28</v>
      </c>
      <c r="K1820" t="s">
        <v>29</v>
      </c>
      <c r="L1820" t="s">
        <v>895</v>
      </c>
      <c r="M1820" t="s">
        <v>4402</v>
      </c>
      <c r="O1820" t="s">
        <v>896</v>
      </c>
      <c r="P1820" t="s">
        <v>33</v>
      </c>
      <c r="Q1820" s="22">
        <v>27375.64</v>
      </c>
      <c r="R1820" t="s">
        <v>35</v>
      </c>
      <c r="S1820" t="s">
        <v>35</v>
      </c>
      <c r="T1820" t="s">
        <v>35</v>
      </c>
      <c r="U1820" t="s">
        <v>35</v>
      </c>
      <c r="V1820" t="s">
        <v>645</v>
      </c>
      <c r="W1820" t="s">
        <v>113</v>
      </c>
    </row>
    <row r="1821" spans="1:23" hidden="1" x14ac:dyDescent="0.25">
      <c r="A1821" s="7" t="str">
        <f>IFERROR(VLOOKUP(H1821,'Contas Orç'!A:B,2,0),"N/A")</f>
        <v>ALUGUEIS, ARREND. E CONDOMINIOS</v>
      </c>
      <c r="B1821" s="7" t="str">
        <f t="shared" si="56"/>
        <v>320401 - ALUGUEIS, ARREND. E CONDOMINIOS</v>
      </c>
      <c r="C1821" s="25">
        <f t="shared" si="57"/>
        <v>44866</v>
      </c>
      <c r="D1821" s="27">
        <f>IF(K1821="CREDITO",Q1821,Q1821*-1)</f>
        <v>7025.83</v>
      </c>
      <c r="E1821" t="s">
        <v>894</v>
      </c>
      <c r="F1821" t="s">
        <v>2315</v>
      </c>
      <c r="G1821" s="8">
        <v>44866</v>
      </c>
      <c r="H1821" t="s">
        <v>552</v>
      </c>
      <c r="I1821" t="s">
        <v>27</v>
      </c>
      <c r="J1821" t="s">
        <v>28</v>
      </c>
      <c r="K1821" t="s">
        <v>29</v>
      </c>
      <c r="L1821" t="s">
        <v>895</v>
      </c>
      <c r="M1821" t="s">
        <v>4402</v>
      </c>
      <c r="O1821" t="s">
        <v>896</v>
      </c>
      <c r="P1821" t="s">
        <v>33</v>
      </c>
      <c r="Q1821" s="22">
        <v>7025.83</v>
      </c>
      <c r="R1821" t="s">
        <v>35</v>
      </c>
      <c r="S1821" t="s">
        <v>35</v>
      </c>
      <c r="T1821" t="s">
        <v>35</v>
      </c>
      <c r="U1821" t="s">
        <v>35</v>
      </c>
      <c r="V1821" t="s">
        <v>645</v>
      </c>
      <c r="W1821" t="s">
        <v>113</v>
      </c>
    </row>
    <row r="1822" spans="1:23" hidden="1" x14ac:dyDescent="0.25">
      <c r="A1822" s="7" t="str">
        <f>IFERROR(VLOOKUP(H1822,'Contas Orç'!A:B,2,0),"N/A")</f>
        <v>ALUGUEIS, ARREND. E CONDOMINIOS</v>
      </c>
      <c r="B1822" s="7" t="str">
        <f t="shared" si="56"/>
        <v>320401 - ALUGUEIS, ARREND. E CONDOMINIOS</v>
      </c>
      <c r="C1822" s="25">
        <f t="shared" si="57"/>
        <v>44866</v>
      </c>
      <c r="D1822" s="27">
        <f>IF(K1822="CREDITO",Q1822,Q1822*-1)</f>
        <v>28766.29</v>
      </c>
      <c r="E1822" t="s">
        <v>894</v>
      </c>
      <c r="F1822" t="s">
        <v>2316</v>
      </c>
      <c r="G1822" s="8">
        <v>44866</v>
      </c>
      <c r="H1822" t="s">
        <v>552</v>
      </c>
      <c r="I1822" t="s">
        <v>59</v>
      </c>
      <c r="J1822" t="s">
        <v>60</v>
      </c>
      <c r="K1822" t="s">
        <v>29</v>
      </c>
      <c r="L1822" t="s">
        <v>895</v>
      </c>
      <c r="M1822" t="s">
        <v>4402</v>
      </c>
      <c r="O1822" t="s">
        <v>896</v>
      </c>
      <c r="P1822" t="s">
        <v>33</v>
      </c>
      <c r="Q1822" s="22">
        <v>28766.29</v>
      </c>
      <c r="R1822" t="s">
        <v>35</v>
      </c>
      <c r="S1822" t="s">
        <v>35</v>
      </c>
      <c r="T1822" t="s">
        <v>35</v>
      </c>
      <c r="U1822" t="s">
        <v>35</v>
      </c>
      <c r="V1822" t="s">
        <v>645</v>
      </c>
      <c r="W1822" t="s">
        <v>113</v>
      </c>
    </row>
    <row r="1823" spans="1:23" hidden="1" x14ac:dyDescent="0.25">
      <c r="A1823" s="7" t="str">
        <f>IFERROR(VLOOKUP(H1823,'Contas Orç'!A:B,2,0),"N/A")</f>
        <v>ALUGUEIS, ARREND. E CONDOMINIOS</v>
      </c>
      <c r="B1823" s="7" t="str">
        <f t="shared" si="56"/>
        <v>320401 - ALUGUEIS, ARREND. E CONDOMINIOS</v>
      </c>
      <c r="C1823" s="25">
        <f t="shared" si="57"/>
        <v>44866</v>
      </c>
      <c r="D1823" s="27">
        <f>IF(K1823="CREDITO",Q1823,Q1823*-1)</f>
        <v>2914.14</v>
      </c>
      <c r="E1823" t="s">
        <v>894</v>
      </c>
      <c r="F1823" t="s">
        <v>2317</v>
      </c>
      <c r="G1823" s="8">
        <v>44866</v>
      </c>
      <c r="H1823" t="s">
        <v>552</v>
      </c>
      <c r="I1823" t="s">
        <v>59</v>
      </c>
      <c r="J1823" t="s">
        <v>702</v>
      </c>
      <c r="K1823" t="s">
        <v>29</v>
      </c>
      <c r="L1823" t="s">
        <v>895</v>
      </c>
      <c r="M1823" t="s">
        <v>4402</v>
      </c>
      <c r="O1823" t="s">
        <v>896</v>
      </c>
      <c r="P1823" t="s">
        <v>33</v>
      </c>
      <c r="Q1823" s="22">
        <v>2914.14</v>
      </c>
      <c r="R1823" t="s">
        <v>35</v>
      </c>
      <c r="S1823" t="s">
        <v>35</v>
      </c>
      <c r="T1823" t="s">
        <v>35</v>
      </c>
      <c r="U1823" t="s">
        <v>35</v>
      </c>
      <c r="V1823" t="s">
        <v>645</v>
      </c>
      <c r="W1823" t="s">
        <v>113</v>
      </c>
    </row>
    <row r="1824" spans="1:23" hidden="1" x14ac:dyDescent="0.25">
      <c r="A1824" s="7" t="str">
        <f>IFERROR(VLOOKUP(H1824,'Contas Orç'!A:B,2,0),"N/A")</f>
        <v>ALUGUEIS, ARREND. E CONDOMINIOS</v>
      </c>
      <c r="B1824" s="7" t="str">
        <f t="shared" si="56"/>
        <v>320401 - ALUGUEIS, ARREND. E CONDOMINIOS</v>
      </c>
      <c r="C1824" s="25">
        <f t="shared" si="57"/>
        <v>44866</v>
      </c>
      <c r="D1824" s="27">
        <f>IF(K1824="CREDITO",Q1824,Q1824*-1)</f>
        <v>1659.63</v>
      </c>
      <c r="E1824" t="s">
        <v>894</v>
      </c>
      <c r="F1824" t="s">
        <v>2318</v>
      </c>
      <c r="G1824" s="8">
        <v>44866</v>
      </c>
      <c r="H1824" t="s">
        <v>552</v>
      </c>
      <c r="I1824" t="s">
        <v>53</v>
      </c>
      <c r="J1824" t="s">
        <v>661</v>
      </c>
      <c r="K1824" t="s">
        <v>29</v>
      </c>
      <c r="L1824" t="s">
        <v>895</v>
      </c>
      <c r="M1824" t="s">
        <v>4402</v>
      </c>
      <c r="O1824" t="s">
        <v>896</v>
      </c>
      <c r="P1824" t="s">
        <v>33</v>
      </c>
      <c r="Q1824" s="22">
        <v>1659.63</v>
      </c>
      <c r="R1824" t="s">
        <v>35</v>
      </c>
      <c r="S1824" t="s">
        <v>35</v>
      </c>
      <c r="T1824" t="s">
        <v>35</v>
      </c>
      <c r="U1824" t="s">
        <v>35</v>
      </c>
      <c r="V1824" t="s">
        <v>645</v>
      </c>
      <c r="W1824" t="s">
        <v>113</v>
      </c>
    </row>
    <row r="1825" spans="1:23" hidden="1" x14ac:dyDescent="0.25">
      <c r="A1825" s="7" t="str">
        <f>IFERROR(VLOOKUP(H1825,'Contas Orç'!A:B,2,0),"N/A")</f>
        <v>ALUGUEIS, ARREND. E CONDOMINIOS</v>
      </c>
      <c r="B1825" s="7" t="str">
        <f t="shared" si="56"/>
        <v>320401 - ALUGUEIS, ARREND. E CONDOMINIOS</v>
      </c>
      <c r="C1825" s="25">
        <f t="shared" si="57"/>
        <v>44866</v>
      </c>
      <c r="D1825" s="27">
        <f>IF(K1825="CREDITO",Q1825,Q1825*-1)</f>
        <v>13289.33</v>
      </c>
      <c r="E1825" t="s">
        <v>894</v>
      </c>
      <c r="F1825" t="s">
        <v>2319</v>
      </c>
      <c r="G1825" s="8">
        <v>44866</v>
      </c>
      <c r="H1825" t="s">
        <v>552</v>
      </c>
      <c r="I1825" t="s">
        <v>40</v>
      </c>
      <c r="J1825" t="s">
        <v>54</v>
      </c>
      <c r="K1825" t="s">
        <v>29</v>
      </c>
      <c r="L1825" t="s">
        <v>895</v>
      </c>
      <c r="M1825" t="s">
        <v>4402</v>
      </c>
      <c r="O1825" t="s">
        <v>896</v>
      </c>
      <c r="P1825" t="s">
        <v>33</v>
      </c>
      <c r="Q1825" s="22">
        <v>13289.33</v>
      </c>
      <c r="R1825" t="s">
        <v>35</v>
      </c>
      <c r="S1825" t="s">
        <v>35</v>
      </c>
      <c r="T1825" t="s">
        <v>35</v>
      </c>
      <c r="U1825" t="s">
        <v>35</v>
      </c>
      <c r="V1825" t="s">
        <v>645</v>
      </c>
      <c r="W1825" t="s">
        <v>113</v>
      </c>
    </row>
    <row r="1826" spans="1:23" hidden="1" x14ac:dyDescent="0.25">
      <c r="A1826" s="7" t="str">
        <f>IFERROR(VLOOKUP(H1826,'Contas Orç'!A:B,2,0),"N/A")</f>
        <v>ALUGUEIS, ARREND. E CONDOMINIOS</v>
      </c>
      <c r="B1826" s="7" t="str">
        <f t="shared" si="56"/>
        <v>320401 - ALUGUEIS, ARREND. E CONDOMINIOS</v>
      </c>
      <c r="C1826" s="25">
        <f t="shared" si="57"/>
        <v>44866</v>
      </c>
      <c r="D1826" s="27">
        <f>IF(K1826="CREDITO",Q1826,Q1826*-1)</f>
        <v>19925.310000000001</v>
      </c>
      <c r="E1826" t="s">
        <v>894</v>
      </c>
      <c r="F1826" t="s">
        <v>2320</v>
      </c>
      <c r="G1826" s="8">
        <v>44866</v>
      </c>
      <c r="H1826" t="s">
        <v>552</v>
      </c>
      <c r="I1826" t="s">
        <v>53</v>
      </c>
      <c r="J1826" t="s">
        <v>54</v>
      </c>
      <c r="K1826" t="s">
        <v>29</v>
      </c>
      <c r="L1826" t="s">
        <v>895</v>
      </c>
      <c r="M1826" t="s">
        <v>4402</v>
      </c>
      <c r="O1826" t="s">
        <v>896</v>
      </c>
      <c r="P1826" t="s">
        <v>33</v>
      </c>
      <c r="Q1826" s="22">
        <v>19925.310000000001</v>
      </c>
      <c r="R1826" t="s">
        <v>35</v>
      </c>
      <c r="S1826" t="s">
        <v>35</v>
      </c>
      <c r="T1826" t="s">
        <v>35</v>
      </c>
      <c r="U1826" t="s">
        <v>35</v>
      </c>
      <c r="V1826" t="s">
        <v>645</v>
      </c>
      <c r="W1826" t="s">
        <v>113</v>
      </c>
    </row>
    <row r="1827" spans="1:23" hidden="1" x14ac:dyDescent="0.25">
      <c r="A1827" s="7" t="str">
        <f>IFERROR(VLOOKUP(H1827,'Contas Orç'!A:B,2,0),"N/A")</f>
        <v>ALUGUEIS, ARREND. E CONDOMINIOS</v>
      </c>
      <c r="B1827" s="7" t="str">
        <f t="shared" si="56"/>
        <v>320401 - ALUGUEIS, ARREND. E CONDOMINIOS</v>
      </c>
      <c r="C1827" s="25">
        <f t="shared" si="57"/>
        <v>44896</v>
      </c>
      <c r="D1827" s="27">
        <f>IF(K1827="CREDITO",Q1827,Q1827*-1)</f>
        <v>27649.39</v>
      </c>
      <c r="E1827" t="s">
        <v>894</v>
      </c>
      <c r="F1827" t="s">
        <v>2321</v>
      </c>
      <c r="G1827" s="8">
        <v>44896</v>
      </c>
      <c r="H1827" t="s">
        <v>552</v>
      </c>
      <c r="I1827" t="s">
        <v>53</v>
      </c>
      <c r="J1827" t="s">
        <v>28</v>
      </c>
      <c r="K1827" t="s">
        <v>29</v>
      </c>
      <c r="L1827" t="s">
        <v>895</v>
      </c>
      <c r="M1827" t="s">
        <v>4402</v>
      </c>
      <c r="O1827" t="s">
        <v>896</v>
      </c>
      <c r="P1827" t="s">
        <v>33</v>
      </c>
      <c r="Q1827" s="22">
        <v>27649.39</v>
      </c>
      <c r="R1827" t="s">
        <v>35</v>
      </c>
      <c r="S1827" t="s">
        <v>35</v>
      </c>
      <c r="T1827" t="s">
        <v>35</v>
      </c>
      <c r="U1827" t="s">
        <v>35</v>
      </c>
      <c r="V1827" t="s">
        <v>645</v>
      </c>
      <c r="W1827" t="s">
        <v>113</v>
      </c>
    </row>
    <row r="1828" spans="1:23" hidden="1" x14ac:dyDescent="0.25">
      <c r="A1828" s="7" t="str">
        <f>IFERROR(VLOOKUP(H1828,'Contas Orç'!A:B,2,0),"N/A")</f>
        <v>ALUGUEIS, ARREND. E CONDOMINIOS</v>
      </c>
      <c r="B1828" s="7" t="str">
        <f t="shared" si="56"/>
        <v>320401 - ALUGUEIS, ARREND. E CONDOMINIOS</v>
      </c>
      <c r="C1828" s="25">
        <f t="shared" si="57"/>
        <v>44896</v>
      </c>
      <c r="D1828" s="27">
        <f>IF(K1828="CREDITO",Q1828,Q1828*-1)</f>
        <v>7096.08</v>
      </c>
      <c r="E1828" t="s">
        <v>894</v>
      </c>
      <c r="F1828" t="s">
        <v>2322</v>
      </c>
      <c r="G1828" s="8">
        <v>44896</v>
      </c>
      <c r="H1828" t="s">
        <v>552</v>
      </c>
      <c r="I1828" t="s">
        <v>27</v>
      </c>
      <c r="J1828" t="s">
        <v>28</v>
      </c>
      <c r="K1828" t="s">
        <v>29</v>
      </c>
      <c r="L1828" t="s">
        <v>895</v>
      </c>
      <c r="M1828" t="s">
        <v>4402</v>
      </c>
      <c r="O1828" t="s">
        <v>896</v>
      </c>
      <c r="P1828" t="s">
        <v>33</v>
      </c>
      <c r="Q1828" s="22">
        <v>7096.08</v>
      </c>
      <c r="R1828" t="s">
        <v>35</v>
      </c>
      <c r="S1828" t="s">
        <v>35</v>
      </c>
      <c r="T1828" t="s">
        <v>35</v>
      </c>
      <c r="U1828" t="s">
        <v>35</v>
      </c>
      <c r="V1828" t="s">
        <v>645</v>
      </c>
      <c r="W1828" t="s">
        <v>113</v>
      </c>
    </row>
    <row r="1829" spans="1:23" hidden="1" x14ac:dyDescent="0.25">
      <c r="A1829" s="7" t="str">
        <f>IFERROR(VLOOKUP(H1829,'Contas Orç'!A:B,2,0),"N/A")</f>
        <v>ALUGUEIS, ARREND. E CONDOMINIOS</v>
      </c>
      <c r="B1829" s="7" t="str">
        <f t="shared" si="56"/>
        <v>320401 - ALUGUEIS, ARREND. E CONDOMINIOS</v>
      </c>
      <c r="C1829" s="25">
        <f t="shared" si="57"/>
        <v>44896</v>
      </c>
      <c r="D1829" s="27">
        <f>IF(K1829="CREDITO",Q1829,Q1829*-1)</f>
        <v>29053.95</v>
      </c>
      <c r="E1829" t="s">
        <v>894</v>
      </c>
      <c r="F1829" t="s">
        <v>2323</v>
      </c>
      <c r="G1829" s="8">
        <v>44896</v>
      </c>
      <c r="H1829" t="s">
        <v>552</v>
      </c>
      <c r="I1829" t="s">
        <v>59</v>
      </c>
      <c r="J1829" t="s">
        <v>60</v>
      </c>
      <c r="K1829" t="s">
        <v>29</v>
      </c>
      <c r="L1829" t="s">
        <v>895</v>
      </c>
      <c r="M1829" t="s">
        <v>4402</v>
      </c>
      <c r="O1829" t="s">
        <v>896</v>
      </c>
      <c r="P1829" t="s">
        <v>33</v>
      </c>
      <c r="Q1829" s="22">
        <v>29053.95</v>
      </c>
      <c r="R1829" t="s">
        <v>35</v>
      </c>
      <c r="S1829" t="s">
        <v>35</v>
      </c>
      <c r="T1829" t="s">
        <v>35</v>
      </c>
      <c r="U1829" t="s">
        <v>35</v>
      </c>
      <c r="V1829" t="s">
        <v>645</v>
      </c>
      <c r="W1829" t="s">
        <v>113</v>
      </c>
    </row>
    <row r="1830" spans="1:23" hidden="1" x14ac:dyDescent="0.25">
      <c r="A1830" s="7" t="str">
        <f>IFERROR(VLOOKUP(H1830,'Contas Orç'!A:B,2,0),"N/A")</f>
        <v>ALUGUEIS, ARREND. E CONDOMINIOS</v>
      </c>
      <c r="B1830" s="7" t="str">
        <f t="shared" si="56"/>
        <v>320401 - ALUGUEIS, ARREND. E CONDOMINIOS</v>
      </c>
      <c r="C1830" s="25">
        <f t="shared" si="57"/>
        <v>44896</v>
      </c>
      <c r="D1830" s="27">
        <f>IF(K1830="CREDITO",Q1830,Q1830*-1)</f>
        <v>2943.28</v>
      </c>
      <c r="E1830" t="s">
        <v>894</v>
      </c>
      <c r="F1830" t="s">
        <v>2324</v>
      </c>
      <c r="G1830" s="8">
        <v>44896</v>
      </c>
      <c r="H1830" t="s">
        <v>552</v>
      </c>
      <c r="I1830" t="s">
        <v>59</v>
      </c>
      <c r="J1830" t="s">
        <v>702</v>
      </c>
      <c r="K1830" t="s">
        <v>29</v>
      </c>
      <c r="L1830" t="s">
        <v>895</v>
      </c>
      <c r="M1830" t="s">
        <v>4402</v>
      </c>
      <c r="O1830" t="s">
        <v>896</v>
      </c>
      <c r="P1830" t="s">
        <v>33</v>
      </c>
      <c r="Q1830" s="22">
        <v>2943.28</v>
      </c>
      <c r="R1830" t="s">
        <v>35</v>
      </c>
      <c r="S1830" t="s">
        <v>35</v>
      </c>
      <c r="T1830" t="s">
        <v>35</v>
      </c>
      <c r="U1830" t="s">
        <v>35</v>
      </c>
      <c r="V1830" t="s">
        <v>645</v>
      </c>
      <c r="W1830" t="s">
        <v>113</v>
      </c>
    </row>
    <row r="1831" spans="1:23" hidden="1" x14ac:dyDescent="0.25">
      <c r="A1831" s="7" t="str">
        <f>IFERROR(VLOOKUP(H1831,'Contas Orç'!A:B,2,0),"N/A")</f>
        <v>ALUGUEIS, ARREND. E CONDOMINIOS</v>
      </c>
      <c r="B1831" s="7" t="str">
        <f t="shared" si="56"/>
        <v>320401 - ALUGUEIS, ARREND. E CONDOMINIOS</v>
      </c>
      <c r="C1831" s="25">
        <f t="shared" si="57"/>
        <v>44896</v>
      </c>
      <c r="D1831" s="27">
        <f>IF(K1831="CREDITO",Q1831,Q1831*-1)</f>
        <v>1676.23</v>
      </c>
      <c r="E1831" t="s">
        <v>894</v>
      </c>
      <c r="F1831" t="s">
        <v>2325</v>
      </c>
      <c r="G1831" s="8">
        <v>44896</v>
      </c>
      <c r="H1831" t="s">
        <v>552</v>
      </c>
      <c r="I1831" t="s">
        <v>53</v>
      </c>
      <c r="J1831" t="s">
        <v>661</v>
      </c>
      <c r="K1831" t="s">
        <v>29</v>
      </c>
      <c r="L1831" t="s">
        <v>895</v>
      </c>
      <c r="M1831" t="s">
        <v>4402</v>
      </c>
      <c r="O1831" t="s">
        <v>896</v>
      </c>
      <c r="P1831" t="s">
        <v>33</v>
      </c>
      <c r="Q1831" s="22">
        <v>1676.23</v>
      </c>
      <c r="R1831" t="s">
        <v>35</v>
      </c>
      <c r="S1831" t="s">
        <v>35</v>
      </c>
      <c r="T1831" t="s">
        <v>35</v>
      </c>
      <c r="U1831" t="s">
        <v>35</v>
      </c>
      <c r="V1831" t="s">
        <v>645</v>
      </c>
      <c r="W1831" t="s">
        <v>113</v>
      </c>
    </row>
    <row r="1832" spans="1:23" hidden="1" x14ac:dyDescent="0.25">
      <c r="A1832" s="7" t="str">
        <f>IFERROR(VLOOKUP(H1832,'Contas Orç'!A:B,2,0),"N/A")</f>
        <v>ALUGUEIS, ARREND. E CONDOMINIOS</v>
      </c>
      <c r="B1832" s="7" t="str">
        <f t="shared" si="56"/>
        <v>320401 - ALUGUEIS, ARREND. E CONDOMINIOS</v>
      </c>
      <c r="C1832" s="25">
        <f t="shared" si="57"/>
        <v>44896</v>
      </c>
      <c r="D1832" s="27">
        <f>IF(K1832="CREDITO",Q1832,Q1832*-1)</f>
        <v>13422.23</v>
      </c>
      <c r="E1832" t="s">
        <v>894</v>
      </c>
      <c r="F1832" t="s">
        <v>2326</v>
      </c>
      <c r="G1832" s="8">
        <v>44896</v>
      </c>
      <c r="H1832" t="s">
        <v>552</v>
      </c>
      <c r="I1832" t="s">
        <v>40</v>
      </c>
      <c r="J1832" t="s">
        <v>54</v>
      </c>
      <c r="K1832" t="s">
        <v>29</v>
      </c>
      <c r="L1832" t="s">
        <v>895</v>
      </c>
      <c r="M1832" t="s">
        <v>4402</v>
      </c>
      <c r="O1832" t="s">
        <v>896</v>
      </c>
      <c r="P1832" t="s">
        <v>33</v>
      </c>
      <c r="Q1832" s="22">
        <v>13422.23</v>
      </c>
      <c r="R1832" t="s">
        <v>35</v>
      </c>
      <c r="S1832" t="s">
        <v>35</v>
      </c>
      <c r="T1832" t="s">
        <v>35</v>
      </c>
      <c r="U1832" t="s">
        <v>35</v>
      </c>
      <c r="V1832" t="s">
        <v>645</v>
      </c>
      <c r="W1832" t="s">
        <v>113</v>
      </c>
    </row>
    <row r="1833" spans="1:23" hidden="1" x14ac:dyDescent="0.25">
      <c r="A1833" s="7" t="str">
        <f>IFERROR(VLOOKUP(H1833,'Contas Orç'!A:B,2,0),"N/A")</f>
        <v>ALUGUEIS, ARREND. E CONDOMINIOS</v>
      </c>
      <c r="B1833" s="7" t="str">
        <f t="shared" si="56"/>
        <v>320401 - ALUGUEIS, ARREND. E CONDOMINIOS</v>
      </c>
      <c r="C1833" s="25">
        <f t="shared" si="57"/>
        <v>44896</v>
      </c>
      <c r="D1833" s="27">
        <f>IF(K1833="CREDITO",Q1833,Q1833*-1)</f>
        <v>20124.560000000001</v>
      </c>
      <c r="E1833" t="s">
        <v>894</v>
      </c>
      <c r="F1833" t="s">
        <v>2327</v>
      </c>
      <c r="G1833" s="8">
        <v>44896</v>
      </c>
      <c r="H1833" t="s">
        <v>552</v>
      </c>
      <c r="I1833" t="s">
        <v>53</v>
      </c>
      <c r="J1833" t="s">
        <v>54</v>
      </c>
      <c r="K1833" t="s">
        <v>29</v>
      </c>
      <c r="L1833" t="s">
        <v>895</v>
      </c>
      <c r="M1833" t="s">
        <v>4402</v>
      </c>
      <c r="O1833" t="s">
        <v>896</v>
      </c>
      <c r="P1833" t="s">
        <v>33</v>
      </c>
      <c r="Q1833" s="22">
        <v>20124.560000000001</v>
      </c>
      <c r="R1833" t="s">
        <v>35</v>
      </c>
      <c r="S1833" t="s">
        <v>35</v>
      </c>
      <c r="T1833" t="s">
        <v>35</v>
      </c>
      <c r="U1833" t="s">
        <v>35</v>
      </c>
      <c r="V1833" t="s">
        <v>645</v>
      </c>
      <c r="W1833" t="s">
        <v>113</v>
      </c>
    </row>
    <row r="1834" spans="1:23" hidden="1" x14ac:dyDescent="0.25">
      <c r="A1834" s="7" t="str">
        <f>IFERROR(VLOOKUP(H1834,'Contas Orç'!A:B,2,0),"N/A")</f>
        <v>UTILIDADES</v>
      </c>
      <c r="B1834" s="7" t="str">
        <f t="shared" si="56"/>
        <v>320402 - UTILIDADES</v>
      </c>
      <c r="C1834" s="25">
        <f t="shared" si="57"/>
        <v>44562</v>
      </c>
      <c r="D1834" s="27">
        <f>IF(K1834="CREDITO",Q1834,Q1834*-1)</f>
        <v>12392.89</v>
      </c>
      <c r="E1834" t="s">
        <v>894</v>
      </c>
      <c r="F1834" t="s">
        <v>2328</v>
      </c>
      <c r="G1834" s="8">
        <v>44562</v>
      </c>
      <c r="H1834" t="s">
        <v>554</v>
      </c>
      <c r="I1834" t="s">
        <v>53</v>
      </c>
      <c r="J1834" t="s">
        <v>54</v>
      </c>
      <c r="K1834" t="s">
        <v>29</v>
      </c>
      <c r="L1834" t="s">
        <v>895</v>
      </c>
      <c r="M1834" t="s">
        <v>4402</v>
      </c>
      <c r="O1834" t="s">
        <v>896</v>
      </c>
      <c r="P1834" t="s">
        <v>33</v>
      </c>
      <c r="Q1834" s="22">
        <v>12392.89</v>
      </c>
      <c r="R1834" t="s">
        <v>35</v>
      </c>
      <c r="S1834" t="s">
        <v>35</v>
      </c>
      <c r="T1834" t="s">
        <v>35</v>
      </c>
      <c r="U1834" t="s">
        <v>35</v>
      </c>
      <c r="V1834" t="s">
        <v>645</v>
      </c>
      <c r="W1834" t="s">
        <v>113</v>
      </c>
    </row>
    <row r="1835" spans="1:23" hidden="1" x14ac:dyDescent="0.25">
      <c r="A1835" s="7" t="str">
        <f>IFERROR(VLOOKUP(H1835,'Contas Orç'!A:B,2,0),"N/A")</f>
        <v>UTILIDADES</v>
      </c>
      <c r="B1835" s="7" t="str">
        <f t="shared" si="56"/>
        <v>320402 - UTILIDADES</v>
      </c>
      <c r="C1835" s="25">
        <f t="shared" si="57"/>
        <v>44593</v>
      </c>
      <c r="D1835" s="27">
        <f>IF(K1835="CREDITO",Q1835,Q1835*-1)</f>
        <v>11800.26</v>
      </c>
      <c r="E1835" t="s">
        <v>894</v>
      </c>
      <c r="F1835" t="s">
        <v>2329</v>
      </c>
      <c r="G1835" s="8">
        <v>44593</v>
      </c>
      <c r="H1835" t="s">
        <v>554</v>
      </c>
      <c r="I1835" t="s">
        <v>53</v>
      </c>
      <c r="J1835" t="s">
        <v>54</v>
      </c>
      <c r="K1835" t="s">
        <v>29</v>
      </c>
      <c r="L1835" t="s">
        <v>895</v>
      </c>
      <c r="M1835" t="s">
        <v>4402</v>
      </c>
      <c r="O1835" t="s">
        <v>896</v>
      </c>
      <c r="P1835" t="s">
        <v>33</v>
      </c>
      <c r="Q1835" s="22">
        <v>11800.26</v>
      </c>
      <c r="R1835" t="s">
        <v>35</v>
      </c>
      <c r="S1835" t="s">
        <v>35</v>
      </c>
      <c r="T1835" t="s">
        <v>35</v>
      </c>
      <c r="U1835" t="s">
        <v>35</v>
      </c>
      <c r="V1835" t="s">
        <v>645</v>
      </c>
      <c r="W1835" t="s">
        <v>113</v>
      </c>
    </row>
    <row r="1836" spans="1:23" hidden="1" x14ac:dyDescent="0.25">
      <c r="A1836" s="7" t="str">
        <f>IFERROR(VLOOKUP(H1836,'Contas Orç'!A:B,2,0),"N/A")</f>
        <v>UTILIDADES</v>
      </c>
      <c r="B1836" s="7" t="str">
        <f t="shared" si="56"/>
        <v>320402 - UTILIDADES</v>
      </c>
      <c r="C1836" s="25">
        <f t="shared" si="57"/>
        <v>44621</v>
      </c>
      <c r="D1836" s="27">
        <f>IF(K1836="CREDITO",Q1836,Q1836*-1)</f>
        <v>9088.2900000000009</v>
      </c>
      <c r="E1836" t="s">
        <v>894</v>
      </c>
      <c r="F1836" t="s">
        <v>2330</v>
      </c>
      <c r="G1836" s="8">
        <v>44621</v>
      </c>
      <c r="H1836" t="s">
        <v>554</v>
      </c>
      <c r="I1836" t="s">
        <v>53</v>
      </c>
      <c r="J1836" t="s">
        <v>54</v>
      </c>
      <c r="K1836" t="s">
        <v>29</v>
      </c>
      <c r="L1836" t="s">
        <v>895</v>
      </c>
      <c r="M1836" t="s">
        <v>4402</v>
      </c>
      <c r="O1836" t="s">
        <v>896</v>
      </c>
      <c r="P1836" t="s">
        <v>33</v>
      </c>
      <c r="Q1836" s="22">
        <v>9088.2900000000009</v>
      </c>
      <c r="R1836" t="s">
        <v>35</v>
      </c>
      <c r="S1836" t="s">
        <v>35</v>
      </c>
      <c r="T1836" t="s">
        <v>35</v>
      </c>
      <c r="U1836" t="s">
        <v>35</v>
      </c>
      <c r="V1836" t="s">
        <v>645</v>
      </c>
      <c r="W1836" t="s">
        <v>113</v>
      </c>
    </row>
    <row r="1837" spans="1:23" hidden="1" x14ac:dyDescent="0.25">
      <c r="A1837" s="7" t="str">
        <f>IFERROR(VLOOKUP(H1837,'Contas Orç'!A:B,2,0),"N/A")</f>
        <v>UTILIDADES</v>
      </c>
      <c r="B1837" s="7" t="str">
        <f t="shared" si="56"/>
        <v>320402 - UTILIDADES</v>
      </c>
      <c r="C1837" s="25">
        <f t="shared" si="57"/>
        <v>44652</v>
      </c>
      <c r="D1837" s="27">
        <f>IF(K1837="CREDITO",Q1837,Q1837*-1)</f>
        <v>11594.4</v>
      </c>
      <c r="E1837" t="s">
        <v>894</v>
      </c>
      <c r="F1837" t="s">
        <v>2331</v>
      </c>
      <c r="G1837" s="8">
        <v>44652</v>
      </c>
      <c r="H1837" t="s">
        <v>554</v>
      </c>
      <c r="I1837" t="s">
        <v>53</v>
      </c>
      <c r="J1837" t="s">
        <v>54</v>
      </c>
      <c r="K1837" t="s">
        <v>29</v>
      </c>
      <c r="L1837" t="s">
        <v>895</v>
      </c>
      <c r="M1837" t="s">
        <v>4402</v>
      </c>
      <c r="O1837" t="s">
        <v>896</v>
      </c>
      <c r="P1837" t="s">
        <v>33</v>
      </c>
      <c r="Q1837" s="22">
        <v>11594.4</v>
      </c>
      <c r="R1837" t="s">
        <v>35</v>
      </c>
      <c r="S1837" t="s">
        <v>35</v>
      </c>
      <c r="T1837" t="s">
        <v>35</v>
      </c>
      <c r="U1837" t="s">
        <v>35</v>
      </c>
      <c r="V1837" t="s">
        <v>645</v>
      </c>
      <c r="W1837" t="s">
        <v>113</v>
      </c>
    </row>
    <row r="1838" spans="1:23" hidden="1" x14ac:dyDescent="0.25">
      <c r="A1838" s="7" t="str">
        <f>IFERROR(VLOOKUP(H1838,'Contas Orç'!A:B,2,0),"N/A")</f>
        <v>UTILIDADES</v>
      </c>
      <c r="B1838" s="7" t="str">
        <f t="shared" si="56"/>
        <v>320402 - UTILIDADES</v>
      </c>
      <c r="C1838" s="25">
        <f t="shared" si="57"/>
        <v>44682</v>
      </c>
      <c r="D1838" s="27">
        <f>IF(K1838="CREDITO",Q1838,Q1838*-1)</f>
        <v>11343.23</v>
      </c>
      <c r="E1838" t="s">
        <v>894</v>
      </c>
      <c r="F1838" t="s">
        <v>2332</v>
      </c>
      <c r="G1838" s="8">
        <v>44682</v>
      </c>
      <c r="H1838" t="s">
        <v>554</v>
      </c>
      <c r="I1838" t="s">
        <v>53</v>
      </c>
      <c r="J1838" t="s">
        <v>54</v>
      </c>
      <c r="K1838" t="s">
        <v>29</v>
      </c>
      <c r="L1838" t="s">
        <v>895</v>
      </c>
      <c r="M1838" t="s">
        <v>4402</v>
      </c>
      <c r="O1838" t="s">
        <v>896</v>
      </c>
      <c r="P1838" t="s">
        <v>33</v>
      </c>
      <c r="Q1838" s="22">
        <v>11343.23</v>
      </c>
      <c r="R1838" t="s">
        <v>35</v>
      </c>
      <c r="S1838" t="s">
        <v>35</v>
      </c>
      <c r="T1838" t="s">
        <v>35</v>
      </c>
      <c r="U1838" t="s">
        <v>35</v>
      </c>
      <c r="V1838" t="s">
        <v>645</v>
      </c>
      <c r="W1838" t="s">
        <v>113</v>
      </c>
    </row>
    <row r="1839" spans="1:23" hidden="1" x14ac:dyDescent="0.25">
      <c r="A1839" s="7" t="str">
        <f>IFERROR(VLOOKUP(H1839,'Contas Orç'!A:B,2,0),"N/A")</f>
        <v>UTILIDADES</v>
      </c>
      <c r="B1839" s="7" t="str">
        <f t="shared" si="56"/>
        <v>320402 - UTILIDADES</v>
      </c>
      <c r="C1839" s="25">
        <f t="shared" si="57"/>
        <v>44713</v>
      </c>
      <c r="D1839" s="27">
        <f>IF(K1839="CREDITO",Q1839,Q1839*-1)</f>
        <v>11816.69</v>
      </c>
      <c r="E1839" t="s">
        <v>894</v>
      </c>
      <c r="F1839" t="s">
        <v>2333</v>
      </c>
      <c r="G1839" s="8">
        <v>44713</v>
      </c>
      <c r="H1839" t="s">
        <v>554</v>
      </c>
      <c r="I1839" t="s">
        <v>53</v>
      </c>
      <c r="J1839" t="s">
        <v>54</v>
      </c>
      <c r="K1839" t="s">
        <v>29</v>
      </c>
      <c r="L1839" t="s">
        <v>895</v>
      </c>
      <c r="M1839" t="s">
        <v>4402</v>
      </c>
      <c r="O1839" t="s">
        <v>896</v>
      </c>
      <c r="P1839" t="s">
        <v>33</v>
      </c>
      <c r="Q1839" s="22">
        <v>11816.69</v>
      </c>
      <c r="R1839" t="s">
        <v>35</v>
      </c>
      <c r="S1839" t="s">
        <v>35</v>
      </c>
      <c r="T1839" t="s">
        <v>35</v>
      </c>
      <c r="U1839" t="s">
        <v>35</v>
      </c>
      <c r="V1839" t="s">
        <v>645</v>
      </c>
      <c r="W1839" t="s">
        <v>113</v>
      </c>
    </row>
    <row r="1840" spans="1:23" hidden="1" x14ac:dyDescent="0.25">
      <c r="A1840" s="7" t="str">
        <f>IFERROR(VLOOKUP(H1840,'Contas Orç'!A:B,2,0),"N/A")</f>
        <v>UTILIDADES</v>
      </c>
      <c r="B1840" s="7" t="str">
        <f t="shared" si="56"/>
        <v>320402 - UTILIDADES</v>
      </c>
      <c r="C1840" s="25">
        <f t="shared" si="57"/>
        <v>44743</v>
      </c>
      <c r="D1840" s="27">
        <f>IF(K1840="CREDITO",Q1840,Q1840*-1)</f>
        <v>12982.14</v>
      </c>
      <c r="E1840" t="s">
        <v>894</v>
      </c>
      <c r="F1840" t="s">
        <v>2334</v>
      </c>
      <c r="G1840" s="8">
        <v>44743</v>
      </c>
      <c r="H1840" t="s">
        <v>554</v>
      </c>
      <c r="I1840" t="s">
        <v>53</v>
      </c>
      <c r="J1840" t="s">
        <v>54</v>
      </c>
      <c r="K1840" t="s">
        <v>29</v>
      </c>
      <c r="L1840" t="s">
        <v>895</v>
      </c>
      <c r="M1840" t="s">
        <v>4402</v>
      </c>
      <c r="O1840" t="s">
        <v>896</v>
      </c>
      <c r="P1840" t="s">
        <v>33</v>
      </c>
      <c r="Q1840" s="22">
        <v>12982.14</v>
      </c>
      <c r="R1840" t="s">
        <v>35</v>
      </c>
      <c r="S1840" t="s">
        <v>35</v>
      </c>
      <c r="T1840" t="s">
        <v>35</v>
      </c>
      <c r="U1840" t="s">
        <v>35</v>
      </c>
      <c r="V1840" t="s">
        <v>645</v>
      </c>
      <c r="W1840" t="s">
        <v>113</v>
      </c>
    </row>
    <row r="1841" spans="1:23" hidden="1" x14ac:dyDescent="0.25">
      <c r="A1841" s="7" t="str">
        <f>IFERROR(VLOOKUP(H1841,'Contas Orç'!A:B,2,0),"N/A")</f>
        <v>UTILIDADES</v>
      </c>
      <c r="B1841" s="7" t="str">
        <f t="shared" si="56"/>
        <v>320402 - UTILIDADES</v>
      </c>
      <c r="C1841" s="25">
        <f t="shared" si="57"/>
        <v>44774</v>
      </c>
      <c r="D1841" s="27">
        <f>IF(K1841="CREDITO",Q1841,Q1841*-1)</f>
        <v>1957.88</v>
      </c>
      <c r="E1841" t="s">
        <v>894</v>
      </c>
      <c r="F1841" t="s">
        <v>2335</v>
      </c>
      <c r="G1841" s="8">
        <v>44774</v>
      </c>
      <c r="H1841" t="s">
        <v>554</v>
      </c>
      <c r="I1841" t="s">
        <v>40</v>
      </c>
      <c r="J1841" t="s">
        <v>54</v>
      </c>
      <c r="K1841" t="s">
        <v>29</v>
      </c>
      <c r="L1841" t="s">
        <v>895</v>
      </c>
      <c r="M1841" t="s">
        <v>4402</v>
      </c>
      <c r="O1841" t="s">
        <v>896</v>
      </c>
      <c r="P1841" t="s">
        <v>33</v>
      </c>
      <c r="Q1841" s="22">
        <v>1957.88</v>
      </c>
      <c r="R1841" t="s">
        <v>35</v>
      </c>
      <c r="S1841" t="s">
        <v>35</v>
      </c>
      <c r="T1841" t="s">
        <v>35</v>
      </c>
      <c r="U1841" t="s">
        <v>35</v>
      </c>
      <c r="V1841" t="s">
        <v>645</v>
      </c>
      <c r="W1841" t="s">
        <v>113</v>
      </c>
    </row>
    <row r="1842" spans="1:23" hidden="1" x14ac:dyDescent="0.25">
      <c r="A1842" s="7" t="str">
        <f>IFERROR(VLOOKUP(H1842,'Contas Orç'!A:B,2,0),"N/A")</f>
        <v>UTILIDADES</v>
      </c>
      <c r="B1842" s="7" t="str">
        <f t="shared" si="56"/>
        <v>320402 - UTILIDADES</v>
      </c>
      <c r="C1842" s="25">
        <f t="shared" si="57"/>
        <v>44774</v>
      </c>
      <c r="D1842" s="27">
        <f>IF(K1842="CREDITO",Q1842,Q1842*-1)</f>
        <v>10909.63</v>
      </c>
      <c r="E1842" t="s">
        <v>894</v>
      </c>
      <c r="F1842" t="s">
        <v>2336</v>
      </c>
      <c r="G1842" s="8">
        <v>44774</v>
      </c>
      <c r="H1842" t="s">
        <v>554</v>
      </c>
      <c r="I1842" t="s">
        <v>53</v>
      </c>
      <c r="J1842" t="s">
        <v>54</v>
      </c>
      <c r="K1842" t="s">
        <v>29</v>
      </c>
      <c r="L1842" t="s">
        <v>895</v>
      </c>
      <c r="M1842" t="s">
        <v>4402</v>
      </c>
      <c r="O1842" t="s">
        <v>896</v>
      </c>
      <c r="P1842" t="s">
        <v>33</v>
      </c>
      <c r="Q1842" s="22">
        <v>10909.63</v>
      </c>
      <c r="R1842" t="s">
        <v>35</v>
      </c>
      <c r="S1842" t="s">
        <v>35</v>
      </c>
      <c r="T1842" t="s">
        <v>35</v>
      </c>
      <c r="U1842" t="s">
        <v>35</v>
      </c>
      <c r="V1842" t="s">
        <v>645</v>
      </c>
      <c r="W1842" t="s">
        <v>113</v>
      </c>
    </row>
    <row r="1843" spans="1:23" hidden="1" x14ac:dyDescent="0.25">
      <c r="A1843" s="7" t="str">
        <f>IFERROR(VLOOKUP(H1843,'Contas Orç'!A:B,2,0),"N/A")</f>
        <v>UTILIDADES</v>
      </c>
      <c r="B1843" s="7" t="str">
        <f t="shared" si="56"/>
        <v>320402 - UTILIDADES</v>
      </c>
      <c r="C1843" s="25">
        <f t="shared" si="57"/>
        <v>44805</v>
      </c>
      <c r="D1843" s="27">
        <f>IF(K1843="CREDITO",Q1843,Q1843*-1)</f>
        <v>1957.88</v>
      </c>
      <c r="E1843" t="s">
        <v>894</v>
      </c>
      <c r="F1843" t="s">
        <v>2337</v>
      </c>
      <c r="G1843" s="8">
        <v>44805</v>
      </c>
      <c r="H1843" t="s">
        <v>554</v>
      </c>
      <c r="I1843" t="s">
        <v>40</v>
      </c>
      <c r="J1843" t="s">
        <v>54</v>
      </c>
      <c r="K1843" t="s">
        <v>29</v>
      </c>
      <c r="L1843" t="s">
        <v>895</v>
      </c>
      <c r="M1843" t="s">
        <v>4402</v>
      </c>
      <c r="O1843" t="s">
        <v>896</v>
      </c>
      <c r="P1843" t="s">
        <v>33</v>
      </c>
      <c r="Q1843" s="22">
        <v>1957.88</v>
      </c>
      <c r="R1843" t="s">
        <v>35</v>
      </c>
      <c r="S1843" t="s">
        <v>35</v>
      </c>
      <c r="T1843" t="s">
        <v>35</v>
      </c>
      <c r="U1843" t="s">
        <v>35</v>
      </c>
      <c r="V1843" t="s">
        <v>645</v>
      </c>
      <c r="W1843" t="s">
        <v>113</v>
      </c>
    </row>
    <row r="1844" spans="1:23" hidden="1" x14ac:dyDescent="0.25">
      <c r="A1844" s="7" t="str">
        <f>IFERROR(VLOOKUP(H1844,'Contas Orç'!A:B,2,0),"N/A")</f>
        <v>UTILIDADES</v>
      </c>
      <c r="B1844" s="7" t="str">
        <f t="shared" si="56"/>
        <v>320402 - UTILIDADES</v>
      </c>
      <c r="C1844" s="25">
        <f t="shared" si="57"/>
        <v>44805</v>
      </c>
      <c r="D1844" s="27">
        <f>IF(K1844="CREDITO",Q1844,Q1844*-1)</f>
        <v>14714.06</v>
      </c>
      <c r="E1844" t="s">
        <v>894</v>
      </c>
      <c r="F1844" t="s">
        <v>2338</v>
      </c>
      <c r="G1844" s="8">
        <v>44805</v>
      </c>
      <c r="H1844" t="s">
        <v>554</v>
      </c>
      <c r="I1844" t="s">
        <v>53</v>
      </c>
      <c r="J1844" t="s">
        <v>54</v>
      </c>
      <c r="K1844" t="s">
        <v>29</v>
      </c>
      <c r="L1844" t="s">
        <v>895</v>
      </c>
      <c r="M1844" t="s">
        <v>4402</v>
      </c>
      <c r="O1844" t="s">
        <v>896</v>
      </c>
      <c r="P1844" t="s">
        <v>33</v>
      </c>
      <c r="Q1844" s="22">
        <v>14714.06</v>
      </c>
      <c r="R1844" t="s">
        <v>35</v>
      </c>
      <c r="S1844" t="s">
        <v>35</v>
      </c>
      <c r="T1844" t="s">
        <v>35</v>
      </c>
      <c r="U1844" t="s">
        <v>35</v>
      </c>
      <c r="V1844" t="s">
        <v>645</v>
      </c>
      <c r="W1844" t="s">
        <v>113</v>
      </c>
    </row>
    <row r="1845" spans="1:23" hidden="1" x14ac:dyDescent="0.25">
      <c r="A1845" s="7" t="str">
        <f>IFERROR(VLOOKUP(H1845,'Contas Orç'!A:B,2,0),"N/A")</f>
        <v>UTILIDADES</v>
      </c>
      <c r="B1845" s="7" t="str">
        <f t="shared" si="56"/>
        <v>320402 - UTILIDADES</v>
      </c>
      <c r="C1845" s="25">
        <f t="shared" si="57"/>
        <v>44805</v>
      </c>
      <c r="D1845" s="27">
        <f>IF(K1845="CREDITO",Q1845,Q1845*-1)</f>
        <v>10728.99</v>
      </c>
      <c r="E1845" t="s">
        <v>894</v>
      </c>
      <c r="F1845" t="s">
        <v>2339</v>
      </c>
      <c r="G1845" s="8">
        <v>44805</v>
      </c>
      <c r="H1845" t="s">
        <v>554</v>
      </c>
      <c r="I1845" t="s">
        <v>88</v>
      </c>
      <c r="J1845" t="s">
        <v>54</v>
      </c>
      <c r="K1845" t="s">
        <v>29</v>
      </c>
      <c r="L1845" t="s">
        <v>895</v>
      </c>
      <c r="M1845" t="s">
        <v>4402</v>
      </c>
      <c r="O1845" t="s">
        <v>896</v>
      </c>
      <c r="P1845" t="s">
        <v>33</v>
      </c>
      <c r="Q1845" s="22">
        <v>10728.99</v>
      </c>
      <c r="R1845" t="s">
        <v>35</v>
      </c>
      <c r="S1845" t="s">
        <v>35</v>
      </c>
      <c r="T1845" t="s">
        <v>35</v>
      </c>
      <c r="U1845" t="s">
        <v>35</v>
      </c>
      <c r="V1845" t="s">
        <v>645</v>
      </c>
      <c r="W1845" t="s">
        <v>113</v>
      </c>
    </row>
    <row r="1846" spans="1:23" hidden="1" x14ac:dyDescent="0.25">
      <c r="A1846" s="7" t="str">
        <f>IFERROR(VLOOKUP(H1846,'Contas Orç'!A:B,2,0),"N/A")</f>
        <v>UTILIDADES</v>
      </c>
      <c r="B1846" s="7" t="str">
        <f t="shared" si="56"/>
        <v>320402 - UTILIDADES</v>
      </c>
      <c r="C1846" s="25">
        <f t="shared" si="57"/>
        <v>44835</v>
      </c>
      <c r="D1846" s="27">
        <f>IF(K1846="CREDITO",Q1846,Q1846*-1)</f>
        <v>1977.46</v>
      </c>
      <c r="E1846" t="s">
        <v>894</v>
      </c>
      <c r="F1846" t="s">
        <v>2340</v>
      </c>
      <c r="G1846" s="8">
        <v>44835</v>
      </c>
      <c r="H1846" t="s">
        <v>554</v>
      </c>
      <c r="I1846" t="s">
        <v>40</v>
      </c>
      <c r="J1846" t="s">
        <v>54</v>
      </c>
      <c r="K1846" t="s">
        <v>29</v>
      </c>
      <c r="L1846" t="s">
        <v>895</v>
      </c>
      <c r="M1846" t="s">
        <v>4402</v>
      </c>
      <c r="O1846" t="s">
        <v>896</v>
      </c>
      <c r="P1846" t="s">
        <v>33</v>
      </c>
      <c r="Q1846" s="22">
        <v>1977.46</v>
      </c>
      <c r="R1846" t="s">
        <v>35</v>
      </c>
      <c r="S1846" t="s">
        <v>35</v>
      </c>
      <c r="T1846" t="s">
        <v>35</v>
      </c>
      <c r="U1846" t="s">
        <v>35</v>
      </c>
      <c r="V1846" t="s">
        <v>645</v>
      </c>
      <c r="W1846" t="s">
        <v>113</v>
      </c>
    </row>
    <row r="1847" spans="1:23" hidden="1" x14ac:dyDescent="0.25">
      <c r="A1847" s="7" t="str">
        <f>IFERROR(VLOOKUP(H1847,'Contas Orç'!A:B,2,0),"N/A")</f>
        <v>UTILIDADES</v>
      </c>
      <c r="B1847" s="7" t="str">
        <f t="shared" si="56"/>
        <v>320402 - UTILIDADES</v>
      </c>
      <c r="C1847" s="25">
        <f t="shared" si="57"/>
        <v>44835</v>
      </c>
      <c r="D1847" s="27">
        <f>IF(K1847="CREDITO",Q1847,Q1847*-1)</f>
        <v>14861.2</v>
      </c>
      <c r="E1847" t="s">
        <v>894</v>
      </c>
      <c r="F1847" t="s">
        <v>2341</v>
      </c>
      <c r="G1847" s="8">
        <v>44835</v>
      </c>
      <c r="H1847" t="s">
        <v>554</v>
      </c>
      <c r="I1847" t="s">
        <v>53</v>
      </c>
      <c r="J1847" t="s">
        <v>54</v>
      </c>
      <c r="K1847" t="s">
        <v>29</v>
      </c>
      <c r="L1847" t="s">
        <v>895</v>
      </c>
      <c r="M1847" t="s">
        <v>4402</v>
      </c>
      <c r="O1847" t="s">
        <v>896</v>
      </c>
      <c r="P1847" t="s">
        <v>33</v>
      </c>
      <c r="Q1847" s="22">
        <v>14861.2</v>
      </c>
      <c r="R1847" t="s">
        <v>35</v>
      </c>
      <c r="S1847" t="s">
        <v>35</v>
      </c>
      <c r="T1847" t="s">
        <v>35</v>
      </c>
      <c r="U1847" t="s">
        <v>35</v>
      </c>
      <c r="V1847" t="s">
        <v>645</v>
      </c>
      <c r="W1847" t="s">
        <v>113</v>
      </c>
    </row>
    <row r="1848" spans="1:23" hidden="1" x14ac:dyDescent="0.25">
      <c r="A1848" s="7" t="str">
        <f>IFERROR(VLOOKUP(H1848,'Contas Orç'!A:B,2,0),"N/A")</f>
        <v>UTILIDADES</v>
      </c>
      <c r="B1848" s="7" t="str">
        <f t="shared" si="56"/>
        <v>320402 - UTILIDADES</v>
      </c>
      <c r="C1848" s="25">
        <f t="shared" si="57"/>
        <v>44835</v>
      </c>
      <c r="D1848" s="27">
        <f>IF(K1848="CREDITO",Q1848,Q1848*-1)</f>
        <v>10836.28</v>
      </c>
      <c r="E1848" t="s">
        <v>894</v>
      </c>
      <c r="F1848" t="s">
        <v>2342</v>
      </c>
      <c r="G1848" s="8">
        <v>44835</v>
      </c>
      <c r="H1848" t="s">
        <v>554</v>
      </c>
      <c r="I1848" t="s">
        <v>88</v>
      </c>
      <c r="J1848" t="s">
        <v>54</v>
      </c>
      <c r="K1848" t="s">
        <v>29</v>
      </c>
      <c r="L1848" t="s">
        <v>895</v>
      </c>
      <c r="M1848" t="s">
        <v>4402</v>
      </c>
      <c r="O1848" t="s">
        <v>896</v>
      </c>
      <c r="P1848" t="s">
        <v>33</v>
      </c>
      <c r="Q1848" s="22">
        <v>10836.28</v>
      </c>
      <c r="R1848" t="s">
        <v>35</v>
      </c>
      <c r="S1848" t="s">
        <v>35</v>
      </c>
      <c r="T1848" t="s">
        <v>35</v>
      </c>
      <c r="U1848" t="s">
        <v>35</v>
      </c>
      <c r="V1848" t="s">
        <v>645</v>
      </c>
      <c r="W1848" t="s">
        <v>113</v>
      </c>
    </row>
    <row r="1849" spans="1:23" hidden="1" x14ac:dyDescent="0.25">
      <c r="A1849" s="7" t="str">
        <f>IFERROR(VLOOKUP(H1849,'Contas Orç'!A:B,2,0),"N/A")</f>
        <v>UTILIDADES</v>
      </c>
      <c r="B1849" s="7" t="str">
        <f t="shared" si="56"/>
        <v>320402 - UTILIDADES</v>
      </c>
      <c r="C1849" s="25">
        <f t="shared" si="57"/>
        <v>44866</v>
      </c>
      <c r="D1849" s="27">
        <f>IF(K1849="CREDITO",Q1849,Q1849*-1)</f>
        <v>1997.23</v>
      </c>
      <c r="E1849" t="s">
        <v>894</v>
      </c>
      <c r="F1849" t="s">
        <v>2343</v>
      </c>
      <c r="G1849" s="8">
        <v>44866</v>
      </c>
      <c r="H1849" t="s">
        <v>554</v>
      </c>
      <c r="I1849" t="s">
        <v>40</v>
      </c>
      <c r="J1849" t="s">
        <v>54</v>
      </c>
      <c r="K1849" t="s">
        <v>29</v>
      </c>
      <c r="L1849" t="s">
        <v>895</v>
      </c>
      <c r="M1849" t="s">
        <v>4402</v>
      </c>
      <c r="O1849" t="s">
        <v>896</v>
      </c>
      <c r="P1849" t="s">
        <v>33</v>
      </c>
      <c r="Q1849" s="22">
        <v>1997.23</v>
      </c>
      <c r="R1849" t="s">
        <v>35</v>
      </c>
      <c r="S1849" t="s">
        <v>35</v>
      </c>
      <c r="T1849" t="s">
        <v>35</v>
      </c>
      <c r="U1849" t="s">
        <v>35</v>
      </c>
      <c r="V1849" t="s">
        <v>645</v>
      </c>
      <c r="W1849" t="s">
        <v>113</v>
      </c>
    </row>
    <row r="1850" spans="1:23" hidden="1" x14ac:dyDescent="0.25">
      <c r="A1850" s="7" t="str">
        <f>IFERROR(VLOOKUP(H1850,'Contas Orç'!A:B,2,0),"N/A")</f>
        <v>UTILIDADES</v>
      </c>
      <c r="B1850" s="7" t="str">
        <f t="shared" si="56"/>
        <v>320402 - UTILIDADES</v>
      </c>
      <c r="C1850" s="25">
        <f t="shared" si="57"/>
        <v>44866</v>
      </c>
      <c r="D1850" s="27">
        <f>IF(K1850="CREDITO",Q1850,Q1850*-1)</f>
        <v>15009.81</v>
      </c>
      <c r="E1850" t="s">
        <v>894</v>
      </c>
      <c r="F1850" t="s">
        <v>2344</v>
      </c>
      <c r="G1850" s="8">
        <v>44866</v>
      </c>
      <c r="H1850" t="s">
        <v>554</v>
      </c>
      <c r="I1850" t="s">
        <v>53</v>
      </c>
      <c r="J1850" t="s">
        <v>54</v>
      </c>
      <c r="K1850" t="s">
        <v>29</v>
      </c>
      <c r="L1850" t="s">
        <v>895</v>
      </c>
      <c r="M1850" t="s">
        <v>4402</v>
      </c>
      <c r="O1850" t="s">
        <v>896</v>
      </c>
      <c r="P1850" t="s">
        <v>33</v>
      </c>
      <c r="Q1850" s="22">
        <v>15009.81</v>
      </c>
      <c r="R1850" t="s">
        <v>35</v>
      </c>
      <c r="S1850" t="s">
        <v>35</v>
      </c>
      <c r="T1850" t="s">
        <v>35</v>
      </c>
      <c r="U1850" t="s">
        <v>35</v>
      </c>
      <c r="V1850" t="s">
        <v>645</v>
      </c>
      <c r="W1850" t="s">
        <v>113</v>
      </c>
    </row>
    <row r="1851" spans="1:23" hidden="1" x14ac:dyDescent="0.25">
      <c r="A1851" s="7" t="str">
        <f>IFERROR(VLOOKUP(H1851,'Contas Orç'!A:B,2,0),"N/A")</f>
        <v>UTILIDADES</v>
      </c>
      <c r="B1851" s="7" t="str">
        <f t="shared" si="56"/>
        <v>320402 - UTILIDADES</v>
      </c>
      <c r="C1851" s="25">
        <f t="shared" si="57"/>
        <v>44866</v>
      </c>
      <c r="D1851" s="27">
        <f>IF(K1851="CREDITO",Q1851,Q1851*-1)</f>
        <v>10944.64</v>
      </c>
      <c r="E1851" t="s">
        <v>894</v>
      </c>
      <c r="F1851" t="s">
        <v>2345</v>
      </c>
      <c r="G1851" s="8">
        <v>44866</v>
      </c>
      <c r="H1851" t="s">
        <v>554</v>
      </c>
      <c r="I1851" t="s">
        <v>88</v>
      </c>
      <c r="J1851" t="s">
        <v>54</v>
      </c>
      <c r="K1851" t="s">
        <v>29</v>
      </c>
      <c r="L1851" t="s">
        <v>895</v>
      </c>
      <c r="M1851" t="s">
        <v>4402</v>
      </c>
      <c r="O1851" t="s">
        <v>896</v>
      </c>
      <c r="P1851" t="s">
        <v>33</v>
      </c>
      <c r="Q1851" s="22">
        <v>10944.64</v>
      </c>
      <c r="R1851" t="s">
        <v>35</v>
      </c>
      <c r="S1851" t="s">
        <v>35</v>
      </c>
      <c r="T1851" t="s">
        <v>35</v>
      </c>
      <c r="U1851" t="s">
        <v>35</v>
      </c>
      <c r="V1851" t="s">
        <v>645</v>
      </c>
      <c r="W1851" t="s">
        <v>113</v>
      </c>
    </row>
    <row r="1852" spans="1:23" hidden="1" x14ac:dyDescent="0.25">
      <c r="A1852" s="7" t="str">
        <f>IFERROR(VLOOKUP(H1852,'Contas Orç'!A:B,2,0),"N/A")</f>
        <v>UTILIDADES</v>
      </c>
      <c r="B1852" s="7" t="str">
        <f t="shared" si="56"/>
        <v>320402 - UTILIDADES</v>
      </c>
      <c r="C1852" s="25">
        <f t="shared" si="57"/>
        <v>44896</v>
      </c>
      <c r="D1852" s="27">
        <f>IF(K1852="CREDITO",Q1852,Q1852*-1)</f>
        <v>2017.21</v>
      </c>
      <c r="E1852" t="s">
        <v>894</v>
      </c>
      <c r="F1852" t="s">
        <v>2346</v>
      </c>
      <c r="G1852" s="8">
        <v>44896</v>
      </c>
      <c r="H1852" t="s">
        <v>554</v>
      </c>
      <c r="I1852" t="s">
        <v>40</v>
      </c>
      <c r="J1852" t="s">
        <v>54</v>
      </c>
      <c r="K1852" t="s">
        <v>29</v>
      </c>
      <c r="L1852" t="s">
        <v>895</v>
      </c>
      <c r="M1852" t="s">
        <v>4402</v>
      </c>
      <c r="O1852" t="s">
        <v>896</v>
      </c>
      <c r="P1852" t="s">
        <v>33</v>
      </c>
      <c r="Q1852" s="22">
        <v>2017.21</v>
      </c>
      <c r="R1852" t="s">
        <v>35</v>
      </c>
      <c r="S1852" t="s">
        <v>35</v>
      </c>
      <c r="T1852" t="s">
        <v>35</v>
      </c>
      <c r="U1852" t="s">
        <v>35</v>
      </c>
      <c r="V1852" t="s">
        <v>645</v>
      </c>
      <c r="W1852" t="s">
        <v>113</v>
      </c>
    </row>
    <row r="1853" spans="1:23" hidden="1" x14ac:dyDescent="0.25">
      <c r="A1853" s="7" t="str">
        <f>IFERROR(VLOOKUP(H1853,'Contas Orç'!A:B,2,0),"N/A")</f>
        <v>UTILIDADES</v>
      </c>
      <c r="B1853" s="7" t="str">
        <f t="shared" si="56"/>
        <v>320402 - UTILIDADES</v>
      </c>
      <c r="C1853" s="25">
        <f t="shared" si="57"/>
        <v>44896</v>
      </c>
      <c r="D1853" s="27">
        <f>IF(K1853="CREDITO",Q1853,Q1853*-1)</f>
        <v>15159.91</v>
      </c>
      <c r="E1853" t="s">
        <v>894</v>
      </c>
      <c r="F1853" t="s">
        <v>2347</v>
      </c>
      <c r="G1853" s="8">
        <v>44896</v>
      </c>
      <c r="H1853" t="s">
        <v>554</v>
      </c>
      <c r="I1853" t="s">
        <v>53</v>
      </c>
      <c r="J1853" t="s">
        <v>54</v>
      </c>
      <c r="K1853" t="s">
        <v>29</v>
      </c>
      <c r="L1853" t="s">
        <v>895</v>
      </c>
      <c r="M1853" t="s">
        <v>4402</v>
      </c>
      <c r="O1853" t="s">
        <v>896</v>
      </c>
      <c r="P1853" t="s">
        <v>33</v>
      </c>
      <c r="Q1853" s="22">
        <v>15159.91</v>
      </c>
      <c r="R1853" t="s">
        <v>35</v>
      </c>
      <c r="S1853" t="s">
        <v>35</v>
      </c>
      <c r="T1853" t="s">
        <v>35</v>
      </c>
      <c r="U1853" t="s">
        <v>35</v>
      </c>
      <c r="V1853" t="s">
        <v>645</v>
      </c>
      <c r="W1853" t="s">
        <v>113</v>
      </c>
    </row>
    <row r="1854" spans="1:23" hidden="1" x14ac:dyDescent="0.25">
      <c r="A1854" s="7" t="str">
        <f>IFERROR(VLOOKUP(H1854,'Contas Orç'!A:B,2,0),"N/A")</f>
        <v>UTILIDADES</v>
      </c>
      <c r="B1854" s="7" t="str">
        <f t="shared" si="56"/>
        <v>320402 - UTILIDADES</v>
      </c>
      <c r="C1854" s="25">
        <f t="shared" si="57"/>
        <v>44896</v>
      </c>
      <c r="D1854" s="27">
        <f>IF(K1854="CREDITO",Q1854,Q1854*-1)</f>
        <v>11054.09</v>
      </c>
      <c r="E1854" t="s">
        <v>894</v>
      </c>
      <c r="F1854" t="s">
        <v>2348</v>
      </c>
      <c r="G1854" s="8">
        <v>44896</v>
      </c>
      <c r="H1854" t="s">
        <v>554</v>
      </c>
      <c r="I1854" t="s">
        <v>88</v>
      </c>
      <c r="J1854" t="s">
        <v>54</v>
      </c>
      <c r="K1854" t="s">
        <v>29</v>
      </c>
      <c r="L1854" t="s">
        <v>895</v>
      </c>
      <c r="M1854" t="s">
        <v>4402</v>
      </c>
      <c r="O1854" t="s">
        <v>896</v>
      </c>
      <c r="P1854" t="s">
        <v>33</v>
      </c>
      <c r="Q1854" s="22">
        <v>11054.09</v>
      </c>
      <c r="R1854" t="s">
        <v>35</v>
      </c>
      <c r="S1854" t="s">
        <v>35</v>
      </c>
      <c r="T1854" t="s">
        <v>35</v>
      </c>
      <c r="U1854" t="s">
        <v>35</v>
      </c>
      <c r="V1854" t="s">
        <v>645</v>
      </c>
      <c r="W1854" t="s">
        <v>113</v>
      </c>
    </row>
    <row r="1855" spans="1:23" hidden="1" x14ac:dyDescent="0.25">
      <c r="A1855" s="7" t="str">
        <f>IFERROR(VLOOKUP(H1855,'Contas Orç'!A:B,2,0),"N/A")</f>
        <v>COMUNICACAO</v>
      </c>
      <c r="B1855" s="7" t="str">
        <f t="shared" si="56"/>
        <v>320403 - COMUNICACAO</v>
      </c>
      <c r="C1855" s="25">
        <f t="shared" si="57"/>
        <v>44562</v>
      </c>
      <c r="D1855" s="27">
        <f>IF(K1855="CREDITO",Q1855,Q1855*-1)</f>
        <v>1700</v>
      </c>
      <c r="E1855" t="s">
        <v>894</v>
      </c>
      <c r="F1855" t="s">
        <v>2349</v>
      </c>
      <c r="G1855" s="8">
        <v>44562</v>
      </c>
      <c r="H1855" t="s">
        <v>556</v>
      </c>
      <c r="I1855" t="s">
        <v>40</v>
      </c>
      <c r="J1855" t="s">
        <v>54</v>
      </c>
      <c r="K1855" t="s">
        <v>29</v>
      </c>
      <c r="L1855" t="s">
        <v>895</v>
      </c>
      <c r="M1855" t="s">
        <v>4402</v>
      </c>
      <c r="O1855" t="s">
        <v>896</v>
      </c>
      <c r="P1855" t="s">
        <v>33</v>
      </c>
      <c r="Q1855" s="22">
        <v>1700</v>
      </c>
      <c r="R1855" t="s">
        <v>35</v>
      </c>
      <c r="S1855" t="s">
        <v>35</v>
      </c>
      <c r="T1855" t="s">
        <v>35</v>
      </c>
      <c r="U1855" t="s">
        <v>35</v>
      </c>
      <c r="V1855" t="s">
        <v>645</v>
      </c>
      <c r="W1855" t="s">
        <v>113</v>
      </c>
    </row>
    <row r="1856" spans="1:23" hidden="1" x14ac:dyDescent="0.25">
      <c r="A1856" s="7" t="str">
        <f>IFERROR(VLOOKUP(H1856,'Contas Orç'!A:B,2,0),"N/A")</f>
        <v>COMUNICACAO</v>
      </c>
      <c r="B1856" s="7" t="str">
        <f t="shared" si="56"/>
        <v>320403 - COMUNICACAO</v>
      </c>
      <c r="C1856" s="25">
        <f t="shared" si="57"/>
        <v>44593</v>
      </c>
      <c r="D1856" s="27">
        <f>IF(K1856="CREDITO",Q1856,Q1856*-1)</f>
        <v>596.86</v>
      </c>
      <c r="E1856" t="s">
        <v>894</v>
      </c>
      <c r="F1856" t="s">
        <v>2350</v>
      </c>
      <c r="G1856" s="8">
        <v>44593</v>
      </c>
      <c r="H1856" t="s">
        <v>556</v>
      </c>
      <c r="I1856" t="s">
        <v>53</v>
      </c>
      <c r="J1856" t="s">
        <v>54</v>
      </c>
      <c r="K1856" t="s">
        <v>29</v>
      </c>
      <c r="L1856" t="s">
        <v>895</v>
      </c>
      <c r="M1856" t="s">
        <v>4402</v>
      </c>
      <c r="O1856" t="s">
        <v>896</v>
      </c>
      <c r="P1856" t="s">
        <v>33</v>
      </c>
      <c r="Q1856">
        <v>596.86</v>
      </c>
      <c r="R1856" t="s">
        <v>35</v>
      </c>
      <c r="S1856" t="s">
        <v>35</v>
      </c>
      <c r="T1856" t="s">
        <v>35</v>
      </c>
      <c r="U1856" t="s">
        <v>35</v>
      </c>
      <c r="V1856" t="s">
        <v>645</v>
      </c>
      <c r="W1856" t="s">
        <v>113</v>
      </c>
    </row>
    <row r="1857" spans="1:23" hidden="1" x14ac:dyDescent="0.25">
      <c r="A1857" s="7" t="str">
        <f>IFERROR(VLOOKUP(H1857,'Contas Orç'!A:B,2,0),"N/A")</f>
        <v>COMUNICACAO</v>
      </c>
      <c r="B1857" s="7" t="str">
        <f t="shared" si="56"/>
        <v>320403 - COMUNICACAO</v>
      </c>
      <c r="C1857" s="25">
        <f t="shared" si="57"/>
        <v>44621</v>
      </c>
      <c r="D1857" s="27">
        <f>IF(K1857="CREDITO",Q1857,Q1857*-1)</f>
        <v>520.70000000000005</v>
      </c>
      <c r="E1857" t="s">
        <v>894</v>
      </c>
      <c r="F1857" t="s">
        <v>2351</v>
      </c>
      <c r="G1857" s="8">
        <v>44621</v>
      </c>
      <c r="H1857" t="s">
        <v>556</v>
      </c>
      <c r="I1857" t="s">
        <v>27</v>
      </c>
      <c r="J1857" t="s">
        <v>28</v>
      </c>
      <c r="K1857" t="s">
        <v>29</v>
      </c>
      <c r="L1857" t="s">
        <v>895</v>
      </c>
      <c r="M1857" t="s">
        <v>4402</v>
      </c>
      <c r="O1857" t="s">
        <v>896</v>
      </c>
      <c r="P1857" t="s">
        <v>33</v>
      </c>
      <c r="Q1857">
        <v>520.70000000000005</v>
      </c>
      <c r="R1857" t="s">
        <v>35</v>
      </c>
      <c r="S1857" t="s">
        <v>35</v>
      </c>
      <c r="T1857" t="s">
        <v>35</v>
      </c>
      <c r="U1857" t="s">
        <v>35</v>
      </c>
      <c r="V1857" t="s">
        <v>645</v>
      </c>
      <c r="W1857" t="s">
        <v>113</v>
      </c>
    </row>
    <row r="1858" spans="1:23" hidden="1" x14ac:dyDescent="0.25">
      <c r="A1858" s="7" t="str">
        <f>IFERROR(VLOOKUP(H1858,'Contas Orç'!A:B,2,0),"N/A")</f>
        <v>COMUNICACAO</v>
      </c>
      <c r="B1858" s="7" t="str">
        <f t="shared" si="56"/>
        <v>320403 - COMUNICACAO</v>
      </c>
      <c r="C1858" s="25">
        <f t="shared" si="57"/>
        <v>44621</v>
      </c>
      <c r="D1858" s="27">
        <f>IF(K1858="CREDITO",Q1858,Q1858*-1)</f>
        <v>1185.69</v>
      </c>
      <c r="E1858" t="s">
        <v>894</v>
      </c>
      <c r="F1858" t="s">
        <v>2352</v>
      </c>
      <c r="G1858" s="8">
        <v>44621</v>
      </c>
      <c r="H1858" t="s">
        <v>556</v>
      </c>
      <c r="I1858" t="s">
        <v>53</v>
      </c>
      <c r="J1858" t="s">
        <v>54</v>
      </c>
      <c r="K1858" t="s">
        <v>29</v>
      </c>
      <c r="L1858" t="s">
        <v>895</v>
      </c>
      <c r="M1858" t="s">
        <v>4402</v>
      </c>
      <c r="O1858" t="s">
        <v>896</v>
      </c>
      <c r="P1858" t="s">
        <v>33</v>
      </c>
      <c r="Q1858" s="22">
        <v>1185.69</v>
      </c>
      <c r="R1858" t="s">
        <v>35</v>
      </c>
      <c r="S1858" t="s">
        <v>35</v>
      </c>
      <c r="T1858" t="s">
        <v>35</v>
      </c>
      <c r="U1858" t="s">
        <v>35</v>
      </c>
      <c r="V1858" t="s">
        <v>645</v>
      </c>
      <c r="W1858" t="s">
        <v>113</v>
      </c>
    </row>
    <row r="1859" spans="1:23" hidden="1" x14ac:dyDescent="0.25">
      <c r="A1859" s="7" t="str">
        <f>IFERROR(VLOOKUP(H1859,'Contas Orç'!A:B,2,0),"N/A")</f>
        <v>COMUNICACAO</v>
      </c>
      <c r="B1859" s="7" t="str">
        <f t="shared" ref="B1859:B1922" si="58">_xlfn.CONCAT(H1859," - ",A1859)</f>
        <v>320403 - COMUNICACAO</v>
      </c>
      <c r="C1859" s="25">
        <f t="shared" ref="C1859:C1922" si="59">DATE(YEAR(G1859),MONTH(G1859),1)</f>
        <v>44652</v>
      </c>
      <c r="D1859" s="27">
        <f>IF(K1859="CREDITO",Q1859,Q1859*-1)</f>
        <v>1499.34</v>
      </c>
      <c r="E1859" t="s">
        <v>894</v>
      </c>
      <c r="F1859" t="s">
        <v>2353</v>
      </c>
      <c r="G1859" s="8">
        <v>44652</v>
      </c>
      <c r="H1859" t="s">
        <v>556</v>
      </c>
      <c r="I1859" t="s">
        <v>53</v>
      </c>
      <c r="J1859" t="s">
        <v>54</v>
      </c>
      <c r="K1859" t="s">
        <v>29</v>
      </c>
      <c r="L1859" t="s">
        <v>895</v>
      </c>
      <c r="M1859" t="s">
        <v>4402</v>
      </c>
      <c r="O1859" t="s">
        <v>896</v>
      </c>
      <c r="P1859" t="s">
        <v>33</v>
      </c>
      <c r="Q1859" s="22">
        <v>1499.34</v>
      </c>
      <c r="R1859" t="s">
        <v>35</v>
      </c>
      <c r="S1859" t="s">
        <v>35</v>
      </c>
      <c r="T1859" t="s">
        <v>35</v>
      </c>
      <c r="U1859" t="s">
        <v>35</v>
      </c>
      <c r="V1859" t="s">
        <v>645</v>
      </c>
      <c r="W1859" t="s">
        <v>113</v>
      </c>
    </row>
    <row r="1860" spans="1:23" hidden="1" x14ac:dyDescent="0.25">
      <c r="A1860" s="7" t="str">
        <f>IFERROR(VLOOKUP(H1860,'Contas Orç'!A:B,2,0),"N/A")</f>
        <v>COMUNICACAO</v>
      </c>
      <c r="B1860" s="7" t="str">
        <f t="shared" si="58"/>
        <v>320403 - COMUNICACAO</v>
      </c>
      <c r="C1860" s="25">
        <f t="shared" si="59"/>
        <v>44682</v>
      </c>
      <c r="D1860" s="27">
        <f>IF(K1860="CREDITO",Q1860,Q1860*-1)</f>
        <v>209.12</v>
      </c>
      <c r="E1860" t="s">
        <v>894</v>
      </c>
      <c r="F1860" t="s">
        <v>2354</v>
      </c>
      <c r="G1860" s="8">
        <v>44682</v>
      </c>
      <c r="H1860" t="s">
        <v>556</v>
      </c>
      <c r="I1860" t="s">
        <v>40</v>
      </c>
      <c r="J1860" t="s">
        <v>54</v>
      </c>
      <c r="K1860" t="s">
        <v>29</v>
      </c>
      <c r="L1860" t="s">
        <v>895</v>
      </c>
      <c r="M1860" t="s">
        <v>4402</v>
      </c>
      <c r="O1860" t="s">
        <v>896</v>
      </c>
      <c r="P1860" t="s">
        <v>33</v>
      </c>
      <c r="Q1860">
        <v>209.12</v>
      </c>
      <c r="R1860" t="s">
        <v>35</v>
      </c>
      <c r="S1860" t="s">
        <v>35</v>
      </c>
      <c r="T1860" t="s">
        <v>35</v>
      </c>
      <c r="U1860" t="s">
        <v>35</v>
      </c>
      <c r="V1860" t="s">
        <v>645</v>
      </c>
      <c r="W1860" t="s">
        <v>113</v>
      </c>
    </row>
    <row r="1861" spans="1:23" hidden="1" x14ac:dyDescent="0.25">
      <c r="A1861" s="7" t="str">
        <f>IFERROR(VLOOKUP(H1861,'Contas Orç'!A:B,2,0),"N/A")</f>
        <v>COMUNICACAO</v>
      </c>
      <c r="B1861" s="7" t="str">
        <f t="shared" si="58"/>
        <v>320403 - COMUNICACAO</v>
      </c>
      <c r="C1861" s="25">
        <f t="shared" si="59"/>
        <v>44682</v>
      </c>
      <c r="D1861" s="27">
        <f>IF(K1861="CREDITO",Q1861,Q1861*-1)</f>
        <v>9102.16</v>
      </c>
      <c r="E1861" t="s">
        <v>894</v>
      </c>
      <c r="F1861" t="s">
        <v>2355</v>
      </c>
      <c r="G1861" s="8">
        <v>44682</v>
      </c>
      <c r="H1861" t="s">
        <v>556</v>
      </c>
      <c r="I1861" t="s">
        <v>53</v>
      </c>
      <c r="J1861" t="s">
        <v>54</v>
      </c>
      <c r="K1861" t="s">
        <v>29</v>
      </c>
      <c r="L1861" t="s">
        <v>895</v>
      </c>
      <c r="M1861" t="s">
        <v>4402</v>
      </c>
      <c r="O1861" t="s">
        <v>896</v>
      </c>
      <c r="P1861" t="s">
        <v>33</v>
      </c>
      <c r="Q1861" s="22">
        <v>9102.16</v>
      </c>
      <c r="R1861" t="s">
        <v>35</v>
      </c>
      <c r="S1861" t="s">
        <v>35</v>
      </c>
      <c r="T1861" t="s">
        <v>35</v>
      </c>
      <c r="U1861" t="s">
        <v>35</v>
      </c>
      <c r="V1861" t="s">
        <v>645</v>
      </c>
      <c r="W1861" t="s">
        <v>113</v>
      </c>
    </row>
    <row r="1862" spans="1:23" hidden="1" x14ac:dyDescent="0.25">
      <c r="A1862" s="7" t="str">
        <f>IFERROR(VLOOKUP(H1862,'Contas Orç'!A:B,2,0),"N/A")</f>
        <v>COMUNICACAO</v>
      </c>
      <c r="B1862" s="7" t="str">
        <f t="shared" si="58"/>
        <v>320403 - COMUNICACAO</v>
      </c>
      <c r="C1862" s="25">
        <f t="shared" si="59"/>
        <v>44713</v>
      </c>
      <c r="D1862" s="27">
        <f>IF(K1862="CREDITO",Q1862,Q1862*-1)</f>
        <v>2040.66</v>
      </c>
      <c r="E1862" t="s">
        <v>894</v>
      </c>
      <c r="F1862" t="s">
        <v>2356</v>
      </c>
      <c r="G1862" s="8">
        <v>44713</v>
      </c>
      <c r="H1862" t="s">
        <v>556</v>
      </c>
      <c r="I1862" t="s">
        <v>53</v>
      </c>
      <c r="J1862" t="s">
        <v>54</v>
      </c>
      <c r="K1862" t="s">
        <v>29</v>
      </c>
      <c r="L1862" t="s">
        <v>895</v>
      </c>
      <c r="M1862" t="s">
        <v>4402</v>
      </c>
      <c r="O1862" t="s">
        <v>896</v>
      </c>
      <c r="P1862" t="s">
        <v>33</v>
      </c>
      <c r="Q1862" s="22">
        <v>2040.66</v>
      </c>
      <c r="R1862" t="s">
        <v>35</v>
      </c>
      <c r="S1862" t="s">
        <v>35</v>
      </c>
      <c r="T1862" t="s">
        <v>35</v>
      </c>
      <c r="U1862" t="s">
        <v>35</v>
      </c>
      <c r="V1862" t="s">
        <v>645</v>
      </c>
      <c r="W1862" t="s">
        <v>113</v>
      </c>
    </row>
    <row r="1863" spans="1:23" hidden="1" x14ac:dyDescent="0.25">
      <c r="A1863" s="7" t="str">
        <f>IFERROR(VLOOKUP(H1863,'Contas Orç'!A:B,2,0),"N/A")</f>
        <v>COMUNICACAO</v>
      </c>
      <c r="B1863" s="7" t="str">
        <f t="shared" si="58"/>
        <v>320403 - COMUNICACAO</v>
      </c>
      <c r="C1863" s="25">
        <f t="shared" si="59"/>
        <v>44743</v>
      </c>
      <c r="D1863" s="27">
        <f>IF(K1863="CREDITO",Q1863,Q1863*-1)</f>
        <v>4869.88</v>
      </c>
      <c r="E1863" t="s">
        <v>894</v>
      </c>
      <c r="F1863" t="s">
        <v>2357</v>
      </c>
      <c r="G1863" s="8">
        <v>44743</v>
      </c>
      <c r="H1863" t="s">
        <v>556</v>
      </c>
      <c r="I1863" t="s">
        <v>53</v>
      </c>
      <c r="J1863" t="s">
        <v>54</v>
      </c>
      <c r="K1863" t="s">
        <v>29</v>
      </c>
      <c r="L1863" t="s">
        <v>895</v>
      </c>
      <c r="M1863" t="s">
        <v>4402</v>
      </c>
      <c r="O1863" t="s">
        <v>896</v>
      </c>
      <c r="P1863" t="s">
        <v>33</v>
      </c>
      <c r="Q1863" s="22">
        <v>4869.88</v>
      </c>
      <c r="R1863" t="s">
        <v>35</v>
      </c>
      <c r="S1863" t="s">
        <v>35</v>
      </c>
      <c r="T1863" t="s">
        <v>35</v>
      </c>
      <c r="U1863" t="s">
        <v>35</v>
      </c>
      <c r="V1863" t="s">
        <v>645</v>
      </c>
      <c r="W1863" t="s">
        <v>113</v>
      </c>
    </row>
    <row r="1864" spans="1:23" hidden="1" x14ac:dyDescent="0.25">
      <c r="A1864" s="7" t="str">
        <f>IFERROR(VLOOKUP(H1864,'Contas Orç'!A:B,2,0),"N/A")</f>
        <v>COMUNICACAO</v>
      </c>
      <c r="B1864" s="7" t="str">
        <f t="shared" si="58"/>
        <v>320403 - COMUNICACAO</v>
      </c>
      <c r="C1864" s="25">
        <f t="shared" si="59"/>
        <v>44774</v>
      </c>
      <c r="D1864" s="27">
        <f>IF(K1864="CREDITO",Q1864,Q1864*-1)</f>
        <v>560</v>
      </c>
      <c r="E1864" t="s">
        <v>894</v>
      </c>
      <c r="F1864" t="s">
        <v>2358</v>
      </c>
      <c r="G1864" s="8">
        <v>44774</v>
      </c>
      <c r="H1864" t="s">
        <v>556</v>
      </c>
      <c r="I1864" t="s">
        <v>53</v>
      </c>
      <c r="J1864" t="s">
        <v>28</v>
      </c>
      <c r="K1864" t="s">
        <v>29</v>
      </c>
      <c r="L1864" t="s">
        <v>895</v>
      </c>
      <c r="M1864" t="s">
        <v>4402</v>
      </c>
      <c r="O1864" t="s">
        <v>896</v>
      </c>
      <c r="P1864" t="s">
        <v>33</v>
      </c>
      <c r="Q1864">
        <v>560</v>
      </c>
      <c r="R1864" t="s">
        <v>35</v>
      </c>
      <c r="S1864" t="s">
        <v>35</v>
      </c>
      <c r="T1864" t="s">
        <v>35</v>
      </c>
      <c r="U1864" t="s">
        <v>35</v>
      </c>
      <c r="V1864" t="s">
        <v>645</v>
      </c>
      <c r="W1864" t="s">
        <v>113</v>
      </c>
    </row>
    <row r="1865" spans="1:23" hidden="1" x14ac:dyDescent="0.25">
      <c r="A1865" s="7" t="str">
        <f>IFERROR(VLOOKUP(H1865,'Contas Orç'!A:B,2,0),"N/A")</f>
        <v>COMUNICACAO</v>
      </c>
      <c r="B1865" s="7" t="str">
        <f t="shared" si="58"/>
        <v>320403 - COMUNICACAO</v>
      </c>
      <c r="C1865" s="25">
        <f t="shared" si="59"/>
        <v>44774</v>
      </c>
      <c r="D1865" s="27">
        <f>IF(K1865="CREDITO",Q1865,Q1865*-1)</f>
        <v>158.15</v>
      </c>
      <c r="E1865" t="s">
        <v>894</v>
      </c>
      <c r="F1865" t="s">
        <v>2359</v>
      </c>
      <c r="G1865" s="8">
        <v>44774</v>
      </c>
      <c r="H1865" t="s">
        <v>556</v>
      </c>
      <c r="I1865" t="s">
        <v>40</v>
      </c>
      <c r="J1865" t="s">
        <v>54</v>
      </c>
      <c r="K1865" t="s">
        <v>29</v>
      </c>
      <c r="L1865" t="s">
        <v>895</v>
      </c>
      <c r="M1865" t="s">
        <v>4402</v>
      </c>
      <c r="O1865" t="s">
        <v>896</v>
      </c>
      <c r="P1865" t="s">
        <v>33</v>
      </c>
      <c r="Q1865">
        <v>158.15</v>
      </c>
      <c r="R1865" t="s">
        <v>35</v>
      </c>
      <c r="S1865" t="s">
        <v>35</v>
      </c>
      <c r="T1865" t="s">
        <v>35</v>
      </c>
      <c r="U1865" t="s">
        <v>35</v>
      </c>
      <c r="V1865" t="s">
        <v>645</v>
      </c>
      <c r="W1865" t="s">
        <v>113</v>
      </c>
    </row>
    <row r="1866" spans="1:23" hidden="1" x14ac:dyDescent="0.25">
      <c r="A1866" s="7" t="str">
        <f>IFERROR(VLOOKUP(H1866,'Contas Orç'!A:B,2,0),"N/A")</f>
        <v>COMUNICACAO</v>
      </c>
      <c r="B1866" s="7" t="str">
        <f t="shared" si="58"/>
        <v>320403 - COMUNICACAO</v>
      </c>
      <c r="C1866" s="25">
        <f t="shared" si="59"/>
        <v>44774</v>
      </c>
      <c r="D1866" s="27">
        <f>IF(K1866="CREDITO",Q1866,Q1866*-1)</f>
        <v>2632</v>
      </c>
      <c r="E1866" t="s">
        <v>894</v>
      </c>
      <c r="F1866" t="s">
        <v>2360</v>
      </c>
      <c r="G1866" s="8">
        <v>44774</v>
      </c>
      <c r="H1866" t="s">
        <v>556</v>
      </c>
      <c r="I1866" t="s">
        <v>53</v>
      </c>
      <c r="J1866" t="s">
        <v>54</v>
      </c>
      <c r="K1866" t="s">
        <v>29</v>
      </c>
      <c r="L1866" t="s">
        <v>895</v>
      </c>
      <c r="M1866" t="s">
        <v>4402</v>
      </c>
      <c r="O1866" t="s">
        <v>896</v>
      </c>
      <c r="P1866" t="s">
        <v>33</v>
      </c>
      <c r="Q1866" s="22">
        <v>2632</v>
      </c>
      <c r="R1866" t="s">
        <v>35</v>
      </c>
      <c r="S1866" t="s">
        <v>35</v>
      </c>
      <c r="T1866" t="s">
        <v>35</v>
      </c>
      <c r="U1866" t="s">
        <v>35</v>
      </c>
      <c r="V1866" t="s">
        <v>645</v>
      </c>
      <c r="W1866" t="s">
        <v>113</v>
      </c>
    </row>
    <row r="1867" spans="1:23" hidden="1" x14ac:dyDescent="0.25">
      <c r="A1867" s="7" t="str">
        <f>IFERROR(VLOOKUP(H1867,'Contas Orç'!A:B,2,0),"N/A")</f>
        <v>COMUNICACAO</v>
      </c>
      <c r="B1867" s="7" t="str">
        <f t="shared" si="58"/>
        <v>320403 - COMUNICACAO</v>
      </c>
      <c r="C1867" s="25">
        <f t="shared" si="59"/>
        <v>44805</v>
      </c>
      <c r="D1867" s="27">
        <f>IF(K1867="CREDITO",Q1867,Q1867*-1)</f>
        <v>893.83</v>
      </c>
      <c r="E1867" t="s">
        <v>894</v>
      </c>
      <c r="F1867" t="s">
        <v>2361</v>
      </c>
      <c r="G1867" s="8">
        <v>44805</v>
      </c>
      <c r="H1867" t="s">
        <v>556</v>
      </c>
      <c r="I1867" t="s">
        <v>40</v>
      </c>
      <c r="J1867" t="s">
        <v>54</v>
      </c>
      <c r="K1867" t="s">
        <v>29</v>
      </c>
      <c r="L1867" t="s">
        <v>895</v>
      </c>
      <c r="M1867" t="s">
        <v>4402</v>
      </c>
      <c r="O1867" t="s">
        <v>896</v>
      </c>
      <c r="P1867" t="s">
        <v>33</v>
      </c>
      <c r="Q1867">
        <v>893.83</v>
      </c>
      <c r="R1867" t="s">
        <v>35</v>
      </c>
      <c r="S1867" t="s">
        <v>35</v>
      </c>
      <c r="T1867" t="s">
        <v>35</v>
      </c>
      <c r="U1867" t="s">
        <v>35</v>
      </c>
      <c r="V1867" t="s">
        <v>645</v>
      </c>
      <c r="W1867" t="s">
        <v>113</v>
      </c>
    </row>
    <row r="1868" spans="1:23" hidden="1" x14ac:dyDescent="0.25">
      <c r="A1868" s="7" t="str">
        <f>IFERROR(VLOOKUP(H1868,'Contas Orç'!A:B,2,0),"N/A")</f>
        <v>COMUNICACAO</v>
      </c>
      <c r="B1868" s="7" t="str">
        <f t="shared" si="58"/>
        <v>320403 - COMUNICACAO</v>
      </c>
      <c r="C1868" s="25">
        <f t="shared" si="59"/>
        <v>44805</v>
      </c>
      <c r="D1868" s="27">
        <f>IF(K1868="CREDITO",Q1868,Q1868*-1)</f>
        <v>741.03</v>
      </c>
      <c r="E1868" t="s">
        <v>894</v>
      </c>
      <c r="F1868" t="s">
        <v>2362</v>
      </c>
      <c r="G1868" s="8">
        <v>44805</v>
      </c>
      <c r="H1868" t="s">
        <v>556</v>
      </c>
      <c r="I1868" t="s">
        <v>53</v>
      </c>
      <c r="J1868" t="s">
        <v>54</v>
      </c>
      <c r="K1868" t="s">
        <v>29</v>
      </c>
      <c r="L1868" t="s">
        <v>895</v>
      </c>
      <c r="M1868" t="s">
        <v>4402</v>
      </c>
      <c r="O1868" t="s">
        <v>896</v>
      </c>
      <c r="P1868" t="s">
        <v>33</v>
      </c>
      <c r="Q1868">
        <v>741.03</v>
      </c>
      <c r="R1868" t="s">
        <v>35</v>
      </c>
      <c r="S1868" t="s">
        <v>35</v>
      </c>
      <c r="T1868" t="s">
        <v>35</v>
      </c>
      <c r="U1868" t="s">
        <v>35</v>
      </c>
      <c r="V1868" t="s">
        <v>645</v>
      </c>
      <c r="W1868" t="s">
        <v>113</v>
      </c>
    </row>
    <row r="1869" spans="1:23" hidden="1" x14ac:dyDescent="0.25">
      <c r="A1869" s="7" t="str">
        <f>IFERROR(VLOOKUP(H1869,'Contas Orç'!A:B,2,0),"N/A")</f>
        <v>COMUNICACAO</v>
      </c>
      <c r="B1869" s="7" t="str">
        <f t="shared" si="58"/>
        <v>320403 - COMUNICACAO</v>
      </c>
      <c r="C1869" s="25">
        <f t="shared" si="59"/>
        <v>44835</v>
      </c>
      <c r="D1869" s="27">
        <f>IF(K1869="CREDITO",Q1869,Q1869*-1)</f>
        <v>902.77</v>
      </c>
      <c r="E1869" t="s">
        <v>894</v>
      </c>
      <c r="F1869" t="s">
        <v>2363</v>
      </c>
      <c r="G1869" s="8">
        <v>44835</v>
      </c>
      <c r="H1869" t="s">
        <v>556</v>
      </c>
      <c r="I1869" t="s">
        <v>40</v>
      </c>
      <c r="J1869" t="s">
        <v>54</v>
      </c>
      <c r="K1869" t="s">
        <v>29</v>
      </c>
      <c r="L1869" t="s">
        <v>895</v>
      </c>
      <c r="M1869" t="s">
        <v>4402</v>
      </c>
      <c r="O1869" t="s">
        <v>896</v>
      </c>
      <c r="P1869" t="s">
        <v>33</v>
      </c>
      <c r="Q1869">
        <v>902.77</v>
      </c>
      <c r="R1869" t="s">
        <v>35</v>
      </c>
      <c r="S1869" t="s">
        <v>35</v>
      </c>
      <c r="T1869" t="s">
        <v>35</v>
      </c>
      <c r="U1869" t="s">
        <v>35</v>
      </c>
      <c r="V1869" t="s">
        <v>645</v>
      </c>
      <c r="W1869" t="s">
        <v>113</v>
      </c>
    </row>
    <row r="1870" spans="1:23" hidden="1" x14ac:dyDescent="0.25">
      <c r="A1870" s="7" t="str">
        <f>IFERROR(VLOOKUP(H1870,'Contas Orç'!A:B,2,0),"N/A")</f>
        <v>COMUNICACAO</v>
      </c>
      <c r="B1870" s="7" t="str">
        <f t="shared" si="58"/>
        <v>320403 - COMUNICACAO</v>
      </c>
      <c r="C1870" s="25">
        <f t="shared" si="59"/>
        <v>44835</v>
      </c>
      <c r="D1870" s="27">
        <f>IF(K1870="CREDITO",Q1870,Q1870*-1)</f>
        <v>748.44</v>
      </c>
      <c r="E1870" t="s">
        <v>894</v>
      </c>
      <c r="F1870" t="s">
        <v>2364</v>
      </c>
      <c r="G1870" s="8">
        <v>44835</v>
      </c>
      <c r="H1870" t="s">
        <v>556</v>
      </c>
      <c r="I1870" t="s">
        <v>53</v>
      </c>
      <c r="J1870" t="s">
        <v>54</v>
      </c>
      <c r="K1870" t="s">
        <v>29</v>
      </c>
      <c r="L1870" t="s">
        <v>895</v>
      </c>
      <c r="M1870" t="s">
        <v>4402</v>
      </c>
      <c r="O1870" t="s">
        <v>896</v>
      </c>
      <c r="P1870" t="s">
        <v>33</v>
      </c>
      <c r="Q1870">
        <v>748.44</v>
      </c>
      <c r="R1870" t="s">
        <v>35</v>
      </c>
      <c r="S1870" t="s">
        <v>35</v>
      </c>
      <c r="T1870" t="s">
        <v>35</v>
      </c>
      <c r="U1870" t="s">
        <v>35</v>
      </c>
      <c r="V1870" t="s">
        <v>645</v>
      </c>
      <c r="W1870" t="s">
        <v>113</v>
      </c>
    </row>
    <row r="1871" spans="1:23" hidden="1" x14ac:dyDescent="0.25">
      <c r="A1871" s="7" t="str">
        <f>IFERROR(VLOOKUP(H1871,'Contas Orç'!A:B,2,0),"N/A")</f>
        <v>COMUNICACAO</v>
      </c>
      <c r="B1871" s="7" t="str">
        <f t="shared" si="58"/>
        <v>320403 - COMUNICACAO</v>
      </c>
      <c r="C1871" s="25">
        <f t="shared" si="59"/>
        <v>44866</v>
      </c>
      <c r="D1871" s="27">
        <f>IF(K1871="CREDITO",Q1871,Q1871*-1)</f>
        <v>911.8</v>
      </c>
      <c r="E1871" t="s">
        <v>894</v>
      </c>
      <c r="F1871" t="s">
        <v>2365</v>
      </c>
      <c r="G1871" s="8">
        <v>44866</v>
      </c>
      <c r="H1871" t="s">
        <v>556</v>
      </c>
      <c r="I1871" t="s">
        <v>40</v>
      </c>
      <c r="J1871" t="s">
        <v>54</v>
      </c>
      <c r="K1871" t="s">
        <v>29</v>
      </c>
      <c r="L1871" t="s">
        <v>895</v>
      </c>
      <c r="M1871" t="s">
        <v>4402</v>
      </c>
      <c r="O1871" t="s">
        <v>896</v>
      </c>
      <c r="P1871" t="s">
        <v>33</v>
      </c>
      <c r="Q1871">
        <v>911.8</v>
      </c>
      <c r="R1871" t="s">
        <v>35</v>
      </c>
      <c r="S1871" t="s">
        <v>35</v>
      </c>
      <c r="T1871" t="s">
        <v>35</v>
      </c>
      <c r="U1871" t="s">
        <v>35</v>
      </c>
      <c r="V1871" t="s">
        <v>645</v>
      </c>
      <c r="W1871" t="s">
        <v>113</v>
      </c>
    </row>
    <row r="1872" spans="1:23" hidden="1" x14ac:dyDescent="0.25">
      <c r="A1872" s="7" t="str">
        <f>IFERROR(VLOOKUP(H1872,'Contas Orç'!A:B,2,0),"N/A")</f>
        <v>COMUNICACAO</v>
      </c>
      <c r="B1872" s="7" t="str">
        <f t="shared" si="58"/>
        <v>320403 - COMUNICACAO</v>
      </c>
      <c r="C1872" s="25">
        <f t="shared" si="59"/>
        <v>44866</v>
      </c>
      <c r="D1872" s="27">
        <f>IF(K1872="CREDITO",Q1872,Q1872*-1)</f>
        <v>755.92</v>
      </c>
      <c r="E1872" t="s">
        <v>894</v>
      </c>
      <c r="F1872" t="s">
        <v>2366</v>
      </c>
      <c r="G1872" s="8">
        <v>44866</v>
      </c>
      <c r="H1872" t="s">
        <v>556</v>
      </c>
      <c r="I1872" t="s">
        <v>53</v>
      </c>
      <c r="J1872" t="s">
        <v>54</v>
      </c>
      <c r="K1872" t="s">
        <v>29</v>
      </c>
      <c r="L1872" t="s">
        <v>895</v>
      </c>
      <c r="M1872" t="s">
        <v>4402</v>
      </c>
      <c r="O1872" t="s">
        <v>896</v>
      </c>
      <c r="P1872" t="s">
        <v>33</v>
      </c>
      <c r="Q1872">
        <v>755.92</v>
      </c>
      <c r="R1872" t="s">
        <v>35</v>
      </c>
      <c r="S1872" t="s">
        <v>35</v>
      </c>
      <c r="T1872" t="s">
        <v>35</v>
      </c>
      <c r="U1872" t="s">
        <v>35</v>
      </c>
      <c r="V1872" t="s">
        <v>645</v>
      </c>
      <c r="W1872" t="s">
        <v>113</v>
      </c>
    </row>
    <row r="1873" spans="1:23" hidden="1" x14ac:dyDescent="0.25">
      <c r="A1873" s="7" t="str">
        <f>IFERROR(VLOOKUP(H1873,'Contas Orç'!A:B,2,0),"N/A")</f>
        <v>COMUNICACAO</v>
      </c>
      <c r="B1873" s="7" t="str">
        <f t="shared" si="58"/>
        <v>320403 - COMUNICACAO</v>
      </c>
      <c r="C1873" s="25">
        <f t="shared" si="59"/>
        <v>44896</v>
      </c>
      <c r="D1873" s="27">
        <f>IF(K1873="CREDITO",Q1873,Q1873*-1)</f>
        <v>920.91</v>
      </c>
      <c r="E1873" t="s">
        <v>894</v>
      </c>
      <c r="F1873" t="s">
        <v>2367</v>
      </c>
      <c r="G1873" s="8">
        <v>44896</v>
      </c>
      <c r="H1873" t="s">
        <v>556</v>
      </c>
      <c r="I1873" t="s">
        <v>40</v>
      </c>
      <c r="J1873" t="s">
        <v>54</v>
      </c>
      <c r="K1873" t="s">
        <v>29</v>
      </c>
      <c r="L1873" t="s">
        <v>895</v>
      </c>
      <c r="M1873" t="s">
        <v>4402</v>
      </c>
      <c r="O1873" t="s">
        <v>896</v>
      </c>
      <c r="P1873" t="s">
        <v>33</v>
      </c>
      <c r="Q1873">
        <v>920.91</v>
      </c>
      <c r="R1873" t="s">
        <v>35</v>
      </c>
      <c r="S1873" t="s">
        <v>35</v>
      </c>
      <c r="T1873" t="s">
        <v>35</v>
      </c>
      <c r="U1873" t="s">
        <v>35</v>
      </c>
      <c r="V1873" t="s">
        <v>645</v>
      </c>
      <c r="W1873" t="s">
        <v>113</v>
      </c>
    </row>
    <row r="1874" spans="1:23" hidden="1" x14ac:dyDescent="0.25">
      <c r="A1874" s="7" t="str">
        <f>IFERROR(VLOOKUP(H1874,'Contas Orç'!A:B,2,0),"N/A")</f>
        <v>COMUNICACAO</v>
      </c>
      <c r="B1874" s="7" t="str">
        <f t="shared" si="58"/>
        <v>320403 - COMUNICACAO</v>
      </c>
      <c r="C1874" s="25">
        <f t="shared" si="59"/>
        <v>44896</v>
      </c>
      <c r="D1874" s="27">
        <f>IF(K1874="CREDITO",Q1874,Q1874*-1)</f>
        <v>763.48</v>
      </c>
      <c r="E1874" t="s">
        <v>894</v>
      </c>
      <c r="F1874" t="s">
        <v>2368</v>
      </c>
      <c r="G1874" s="8">
        <v>44896</v>
      </c>
      <c r="H1874" t="s">
        <v>556</v>
      </c>
      <c r="I1874" t="s">
        <v>53</v>
      </c>
      <c r="J1874" t="s">
        <v>54</v>
      </c>
      <c r="K1874" t="s">
        <v>29</v>
      </c>
      <c r="L1874" t="s">
        <v>895</v>
      </c>
      <c r="M1874" t="s">
        <v>4402</v>
      </c>
      <c r="O1874" t="s">
        <v>896</v>
      </c>
      <c r="P1874" t="s">
        <v>33</v>
      </c>
      <c r="Q1874">
        <v>763.48</v>
      </c>
      <c r="R1874" t="s">
        <v>35</v>
      </c>
      <c r="S1874" t="s">
        <v>35</v>
      </c>
      <c r="T1874" t="s">
        <v>35</v>
      </c>
      <c r="U1874" t="s">
        <v>35</v>
      </c>
      <c r="V1874" t="s">
        <v>645</v>
      </c>
      <c r="W1874" t="s">
        <v>113</v>
      </c>
    </row>
    <row r="1875" spans="1:23" hidden="1" x14ac:dyDescent="0.25">
      <c r="A1875" s="7" t="str">
        <f>IFERROR(VLOOKUP(H1875,'Contas Orç'!A:B,2,0),"N/A")</f>
        <v>INFORMATICA</v>
      </c>
      <c r="B1875" s="7" t="str">
        <f t="shared" si="58"/>
        <v>320404 - INFORMATICA</v>
      </c>
      <c r="C1875" s="25">
        <f t="shared" si="59"/>
        <v>44562</v>
      </c>
      <c r="D1875" s="27">
        <f>IF(K1875="CREDITO",Q1875,Q1875*-1)</f>
        <v>480.21</v>
      </c>
      <c r="E1875" t="s">
        <v>894</v>
      </c>
      <c r="F1875" t="s">
        <v>2369</v>
      </c>
      <c r="G1875" s="8">
        <v>44562</v>
      </c>
      <c r="H1875" t="s">
        <v>558</v>
      </c>
      <c r="I1875" t="s">
        <v>53</v>
      </c>
      <c r="J1875" t="s">
        <v>54</v>
      </c>
      <c r="K1875" t="s">
        <v>29</v>
      </c>
      <c r="L1875" t="s">
        <v>895</v>
      </c>
      <c r="M1875" t="s">
        <v>4402</v>
      </c>
      <c r="O1875" t="s">
        <v>896</v>
      </c>
      <c r="P1875" t="s">
        <v>33</v>
      </c>
      <c r="Q1875">
        <v>480.21</v>
      </c>
      <c r="R1875" t="s">
        <v>35</v>
      </c>
      <c r="S1875" t="s">
        <v>35</v>
      </c>
      <c r="T1875" t="s">
        <v>35</v>
      </c>
      <c r="U1875" t="s">
        <v>35</v>
      </c>
      <c r="V1875" t="s">
        <v>645</v>
      </c>
      <c r="W1875" t="s">
        <v>113</v>
      </c>
    </row>
    <row r="1876" spans="1:23" hidden="1" x14ac:dyDescent="0.25">
      <c r="A1876" s="7" t="str">
        <f>IFERROR(VLOOKUP(H1876,'Contas Orç'!A:B,2,0),"N/A")</f>
        <v>INFORMATICA</v>
      </c>
      <c r="B1876" s="7" t="str">
        <f t="shared" si="58"/>
        <v>320404 - INFORMATICA</v>
      </c>
      <c r="C1876" s="25">
        <f t="shared" si="59"/>
        <v>44593</v>
      </c>
      <c r="D1876" s="27">
        <f>IF(K1876="CREDITO",Q1876,Q1876*-1)</f>
        <v>193</v>
      </c>
      <c r="E1876" t="s">
        <v>894</v>
      </c>
      <c r="F1876" t="s">
        <v>2370</v>
      </c>
      <c r="G1876" s="8">
        <v>44593</v>
      </c>
      <c r="H1876" t="s">
        <v>558</v>
      </c>
      <c r="I1876" t="s">
        <v>27</v>
      </c>
      <c r="J1876" t="s">
        <v>28</v>
      </c>
      <c r="K1876" t="s">
        <v>29</v>
      </c>
      <c r="L1876" t="s">
        <v>895</v>
      </c>
      <c r="M1876" t="s">
        <v>4402</v>
      </c>
      <c r="O1876" t="s">
        <v>896</v>
      </c>
      <c r="P1876" t="s">
        <v>33</v>
      </c>
      <c r="Q1876">
        <v>193</v>
      </c>
      <c r="R1876" t="s">
        <v>35</v>
      </c>
      <c r="S1876" t="s">
        <v>35</v>
      </c>
      <c r="T1876" t="s">
        <v>35</v>
      </c>
      <c r="U1876" t="s">
        <v>35</v>
      </c>
      <c r="V1876" t="s">
        <v>645</v>
      </c>
      <c r="W1876" t="s">
        <v>113</v>
      </c>
    </row>
    <row r="1877" spans="1:23" hidden="1" x14ac:dyDescent="0.25">
      <c r="A1877" s="7" t="str">
        <f>IFERROR(VLOOKUP(H1877,'Contas Orç'!A:B,2,0),"N/A")</f>
        <v>INFORMATICA</v>
      </c>
      <c r="B1877" s="7" t="str">
        <f t="shared" si="58"/>
        <v>320404 - INFORMATICA</v>
      </c>
      <c r="C1877" s="25">
        <f t="shared" si="59"/>
        <v>44593</v>
      </c>
      <c r="D1877" s="27">
        <f>IF(K1877="CREDITO",Q1877,Q1877*-1)</f>
        <v>10.5</v>
      </c>
      <c r="E1877" t="s">
        <v>894</v>
      </c>
      <c r="F1877" t="s">
        <v>2371</v>
      </c>
      <c r="G1877" s="8">
        <v>44593</v>
      </c>
      <c r="H1877" t="s">
        <v>558</v>
      </c>
      <c r="I1877" t="s">
        <v>59</v>
      </c>
      <c r="J1877" t="s">
        <v>661</v>
      </c>
      <c r="K1877" t="s">
        <v>29</v>
      </c>
      <c r="L1877" t="s">
        <v>895</v>
      </c>
      <c r="M1877" t="s">
        <v>4402</v>
      </c>
      <c r="O1877" t="s">
        <v>896</v>
      </c>
      <c r="P1877" t="s">
        <v>33</v>
      </c>
      <c r="Q1877">
        <v>10.5</v>
      </c>
      <c r="R1877" t="s">
        <v>35</v>
      </c>
      <c r="S1877" t="s">
        <v>35</v>
      </c>
      <c r="T1877" t="s">
        <v>35</v>
      </c>
      <c r="U1877" t="s">
        <v>35</v>
      </c>
      <c r="V1877" t="s">
        <v>645</v>
      </c>
      <c r="W1877" t="s">
        <v>113</v>
      </c>
    </row>
    <row r="1878" spans="1:23" hidden="1" x14ac:dyDescent="0.25">
      <c r="A1878" s="7" t="str">
        <f>IFERROR(VLOOKUP(H1878,'Contas Orç'!A:B,2,0),"N/A")</f>
        <v>INFORMATICA</v>
      </c>
      <c r="B1878" s="7" t="str">
        <f t="shared" si="58"/>
        <v>320404 - INFORMATICA</v>
      </c>
      <c r="C1878" s="25">
        <f t="shared" si="59"/>
        <v>44593</v>
      </c>
      <c r="D1878" s="27">
        <f>IF(K1878="CREDITO",Q1878,Q1878*-1)</f>
        <v>1037.5</v>
      </c>
      <c r="E1878" t="s">
        <v>894</v>
      </c>
      <c r="F1878" t="s">
        <v>2372</v>
      </c>
      <c r="G1878" s="8">
        <v>44593</v>
      </c>
      <c r="H1878" t="s">
        <v>558</v>
      </c>
      <c r="I1878" t="s">
        <v>53</v>
      </c>
      <c r="J1878" t="s">
        <v>54</v>
      </c>
      <c r="K1878" t="s">
        <v>29</v>
      </c>
      <c r="L1878" t="s">
        <v>895</v>
      </c>
      <c r="M1878" t="s">
        <v>4402</v>
      </c>
      <c r="O1878" t="s">
        <v>896</v>
      </c>
      <c r="P1878" t="s">
        <v>33</v>
      </c>
      <c r="Q1878" s="22">
        <v>1037.5</v>
      </c>
      <c r="R1878" t="s">
        <v>35</v>
      </c>
      <c r="S1878" t="s">
        <v>35</v>
      </c>
      <c r="T1878" t="s">
        <v>35</v>
      </c>
      <c r="U1878" t="s">
        <v>35</v>
      </c>
      <c r="V1878" t="s">
        <v>645</v>
      </c>
      <c r="W1878" t="s">
        <v>113</v>
      </c>
    </row>
    <row r="1879" spans="1:23" hidden="1" x14ac:dyDescent="0.25">
      <c r="A1879" s="7" t="str">
        <f>IFERROR(VLOOKUP(H1879,'Contas Orç'!A:B,2,0),"N/A")</f>
        <v>INFORMATICA</v>
      </c>
      <c r="B1879" s="7" t="str">
        <f t="shared" si="58"/>
        <v>320404 - INFORMATICA</v>
      </c>
      <c r="C1879" s="25">
        <f t="shared" si="59"/>
        <v>44621</v>
      </c>
      <c r="D1879" s="27">
        <f>IF(K1879="CREDITO",Q1879,Q1879*-1)</f>
        <v>178.41</v>
      </c>
      <c r="E1879" t="s">
        <v>894</v>
      </c>
      <c r="F1879" t="s">
        <v>2373</v>
      </c>
      <c r="G1879" s="8">
        <v>44621</v>
      </c>
      <c r="H1879" t="s">
        <v>558</v>
      </c>
      <c r="I1879" t="s">
        <v>53</v>
      </c>
      <c r="J1879" t="s">
        <v>54</v>
      </c>
      <c r="K1879" t="s">
        <v>29</v>
      </c>
      <c r="L1879" t="s">
        <v>895</v>
      </c>
      <c r="M1879" t="s">
        <v>4402</v>
      </c>
      <c r="O1879" t="s">
        <v>896</v>
      </c>
      <c r="P1879" t="s">
        <v>33</v>
      </c>
      <c r="Q1879">
        <v>178.41</v>
      </c>
      <c r="R1879" t="s">
        <v>35</v>
      </c>
      <c r="S1879" t="s">
        <v>35</v>
      </c>
      <c r="T1879" t="s">
        <v>35</v>
      </c>
      <c r="U1879" t="s">
        <v>35</v>
      </c>
      <c r="V1879" t="s">
        <v>645</v>
      </c>
      <c r="W1879" t="s">
        <v>113</v>
      </c>
    </row>
    <row r="1880" spans="1:23" hidden="1" x14ac:dyDescent="0.25">
      <c r="A1880" s="7" t="str">
        <f>IFERROR(VLOOKUP(H1880,'Contas Orç'!A:B,2,0),"N/A")</f>
        <v>INFORMATICA</v>
      </c>
      <c r="B1880" s="7" t="str">
        <f t="shared" si="58"/>
        <v>320404 - INFORMATICA</v>
      </c>
      <c r="C1880" s="25">
        <f t="shared" si="59"/>
        <v>44713</v>
      </c>
      <c r="D1880" s="27">
        <f>IF(K1880="CREDITO",Q1880,Q1880*-1)</f>
        <v>65</v>
      </c>
      <c r="E1880" t="s">
        <v>894</v>
      </c>
      <c r="F1880" t="s">
        <v>2374</v>
      </c>
      <c r="G1880" s="8">
        <v>44713</v>
      </c>
      <c r="H1880" t="s">
        <v>558</v>
      </c>
      <c r="I1880" t="s">
        <v>53</v>
      </c>
      <c r="J1880" t="s">
        <v>54</v>
      </c>
      <c r="K1880" t="s">
        <v>29</v>
      </c>
      <c r="L1880" t="s">
        <v>895</v>
      </c>
      <c r="M1880" t="s">
        <v>4402</v>
      </c>
      <c r="O1880" t="s">
        <v>896</v>
      </c>
      <c r="P1880" t="s">
        <v>33</v>
      </c>
      <c r="Q1880">
        <v>65</v>
      </c>
      <c r="R1880" t="s">
        <v>35</v>
      </c>
      <c r="S1880" t="s">
        <v>35</v>
      </c>
      <c r="T1880" t="s">
        <v>35</v>
      </c>
      <c r="U1880" t="s">
        <v>35</v>
      </c>
      <c r="V1880" t="s">
        <v>645</v>
      </c>
      <c r="W1880" t="s">
        <v>113</v>
      </c>
    </row>
    <row r="1881" spans="1:23" hidden="1" x14ac:dyDescent="0.25">
      <c r="A1881" s="7" t="str">
        <f>IFERROR(VLOOKUP(H1881,'Contas Orç'!A:B,2,0),"N/A")</f>
        <v>INFORMATICA</v>
      </c>
      <c r="B1881" s="7" t="str">
        <f t="shared" si="58"/>
        <v>320404 - INFORMATICA</v>
      </c>
      <c r="C1881" s="25">
        <f t="shared" si="59"/>
        <v>44774</v>
      </c>
      <c r="D1881" s="27">
        <f>IF(K1881="CREDITO",Q1881,Q1881*-1)</f>
        <v>227.56</v>
      </c>
      <c r="E1881" t="s">
        <v>894</v>
      </c>
      <c r="F1881" t="s">
        <v>2375</v>
      </c>
      <c r="G1881" s="8">
        <v>44774</v>
      </c>
      <c r="H1881" t="s">
        <v>558</v>
      </c>
      <c r="I1881" t="s">
        <v>53</v>
      </c>
      <c r="J1881" t="s">
        <v>54</v>
      </c>
      <c r="K1881" t="s">
        <v>29</v>
      </c>
      <c r="L1881" t="s">
        <v>895</v>
      </c>
      <c r="M1881" t="s">
        <v>4402</v>
      </c>
      <c r="O1881" t="s">
        <v>896</v>
      </c>
      <c r="P1881" t="s">
        <v>33</v>
      </c>
      <c r="Q1881">
        <v>227.56</v>
      </c>
      <c r="R1881" t="s">
        <v>35</v>
      </c>
      <c r="S1881" t="s">
        <v>35</v>
      </c>
      <c r="T1881" t="s">
        <v>35</v>
      </c>
      <c r="U1881" t="s">
        <v>35</v>
      </c>
      <c r="V1881" t="s">
        <v>645</v>
      </c>
      <c r="W1881" t="s">
        <v>113</v>
      </c>
    </row>
    <row r="1882" spans="1:23" hidden="1" x14ac:dyDescent="0.25">
      <c r="A1882" s="7" t="str">
        <f>IFERROR(VLOOKUP(H1882,'Contas Orç'!A:B,2,0),"N/A")</f>
        <v>INFORMATICA</v>
      </c>
      <c r="B1882" s="7" t="str">
        <f t="shared" si="58"/>
        <v>320404 - INFORMATICA</v>
      </c>
      <c r="C1882" s="25">
        <f t="shared" si="59"/>
        <v>44805</v>
      </c>
      <c r="D1882" s="27">
        <f>IF(K1882="CREDITO",Q1882,Q1882*-1)</f>
        <v>580</v>
      </c>
      <c r="E1882" t="s">
        <v>894</v>
      </c>
      <c r="F1882" t="s">
        <v>2376</v>
      </c>
      <c r="G1882" s="8">
        <v>44805</v>
      </c>
      <c r="H1882" t="s">
        <v>558</v>
      </c>
      <c r="I1882" t="s">
        <v>53</v>
      </c>
      <c r="J1882" t="s">
        <v>54</v>
      </c>
      <c r="K1882" t="s">
        <v>29</v>
      </c>
      <c r="L1882" t="s">
        <v>895</v>
      </c>
      <c r="M1882" t="s">
        <v>4402</v>
      </c>
      <c r="O1882" t="s">
        <v>896</v>
      </c>
      <c r="P1882" t="s">
        <v>33</v>
      </c>
      <c r="Q1882">
        <v>580</v>
      </c>
      <c r="R1882" t="s">
        <v>35</v>
      </c>
      <c r="S1882" t="s">
        <v>35</v>
      </c>
      <c r="T1882" t="s">
        <v>35</v>
      </c>
      <c r="U1882" t="s">
        <v>35</v>
      </c>
      <c r="V1882" t="s">
        <v>645</v>
      </c>
      <c r="W1882" t="s">
        <v>113</v>
      </c>
    </row>
    <row r="1883" spans="1:23" hidden="1" x14ac:dyDescent="0.25">
      <c r="A1883" s="7" t="str">
        <f>IFERROR(VLOOKUP(H1883,'Contas Orç'!A:B,2,0),"N/A")</f>
        <v>INFORMATICA</v>
      </c>
      <c r="B1883" s="7" t="str">
        <f t="shared" si="58"/>
        <v>320404 - INFORMATICA</v>
      </c>
      <c r="C1883" s="25">
        <f t="shared" si="59"/>
        <v>44835</v>
      </c>
      <c r="D1883" s="27">
        <f>IF(K1883="CREDITO",Q1883,Q1883*-1)</f>
        <v>585.79999999999995</v>
      </c>
      <c r="E1883" t="s">
        <v>894</v>
      </c>
      <c r="F1883" t="s">
        <v>2377</v>
      </c>
      <c r="G1883" s="8">
        <v>44835</v>
      </c>
      <c r="H1883" t="s">
        <v>558</v>
      </c>
      <c r="I1883" t="s">
        <v>53</v>
      </c>
      <c r="J1883" t="s">
        <v>54</v>
      </c>
      <c r="K1883" t="s">
        <v>29</v>
      </c>
      <c r="L1883" t="s">
        <v>895</v>
      </c>
      <c r="M1883" t="s">
        <v>4402</v>
      </c>
      <c r="O1883" t="s">
        <v>896</v>
      </c>
      <c r="P1883" t="s">
        <v>33</v>
      </c>
      <c r="Q1883">
        <v>585.79999999999995</v>
      </c>
      <c r="R1883" t="s">
        <v>35</v>
      </c>
      <c r="S1883" t="s">
        <v>35</v>
      </c>
      <c r="T1883" t="s">
        <v>35</v>
      </c>
      <c r="U1883" t="s">
        <v>35</v>
      </c>
      <c r="V1883" t="s">
        <v>645</v>
      </c>
      <c r="W1883" t="s">
        <v>113</v>
      </c>
    </row>
    <row r="1884" spans="1:23" hidden="1" x14ac:dyDescent="0.25">
      <c r="A1884" s="7" t="str">
        <f>IFERROR(VLOOKUP(H1884,'Contas Orç'!A:B,2,0),"N/A")</f>
        <v>INFORMATICA</v>
      </c>
      <c r="B1884" s="7" t="str">
        <f t="shared" si="58"/>
        <v>320404 - INFORMATICA</v>
      </c>
      <c r="C1884" s="25">
        <f t="shared" si="59"/>
        <v>44866</v>
      </c>
      <c r="D1884" s="27">
        <f>IF(K1884="CREDITO",Q1884,Q1884*-1)</f>
        <v>591.66</v>
      </c>
      <c r="E1884" t="s">
        <v>894</v>
      </c>
      <c r="F1884" t="s">
        <v>2378</v>
      </c>
      <c r="G1884" s="8">
        <v>44866</v>
      </c>
      <c r="H1884" t="s">
        <v>558</v>
      </c>
      <c r="I1884" t="s">
        <v>53</v>
      </c>
      <c r="J1884" t="s">
        <v>54</v>
      </c>
      <c r="K1884" t="s">
        <v>29</v>
      </c>
      <c r="L1884" t="s">
        <v>895</v>
      </c>
      <c r="M1884" t="s">
        <v>4402</v>
      </c>
      <c r="O1884" t="s">
        <v>896</v>
      </c>
      <c r="P1884" t="s">
        <v>33</v>
      </c>
      <c r="Q1884">
        <v>591.66</v>
      </c>
      <c r="R1884" t="s">
        <v>35</v>
      </c>
      <c r="S1884" t="s">
        <v>35</v>
      </c>
      <c r="T1884" t="s">
        <v>35</v>
      </c>
      <c r="U1884" t="s">
        <v>35</v>
      </c>
      <c r="V1884" t="s">
        <v>645</v>
      </c>
      <c r="W1884" t="s">
        <v>113</v>
      </c>
    </row>
    <row r="1885" spans="1:23" hidden="1" x14ac:dyDescent="0.25">
      <c r="A1885" s="7" t="str">
        <f>IFERROR(VLOOKUP(H1885,'Contas Orç'!A:B,2,0),"N/A")</f>
        <v>INFORMATICA</v>
      </c>
      <c r="B1885" s="7" t="str">
        <f t="shared" si="58"/>
        <v>320404 - INFORMATICA</v>
      </c>
      <c r="C1885" s="25">
        <f t="shared" si="59"/>
        <v>44896</v>
      </c>
      <c r="D1885" s="27">
        <f>IF(K1885="CREDITO",Q1885,Q1885*-1)</f>
        <v>597.57000000000005</v>
      </c>
      <c r="E1885" t="s">
        <v>894</v>
      </c>
      <c r="F1885" t="s">
        <v>2379</v>
      </c>
      <c r="G1885" s="8">
        <v>44896</v>
      </c>
      <c r="H1885" t="s">
        <v>558</v>
      </c>
      <c r="I1885" t="s">
        <v>53</v>
      </c>
      <c r="J1885" t="s">
        <v>54</v>
      </c>
      <c r="K1885" t="s">
        <v>29</v>
      </c>
      <c r="L1885" t="s">
        <v>895</v>
      </c>
      <c r="M1885" t="s">
        <v>4402</v>
      </c>
      <c r="O1885" t="s">
        <v>896</v>
      </c>
      <c r="P1885" t="s">
        <v>33</v>
      </c>
      <c r="Q1885">
        <v>597.57000000000005</v>
      </c>
      <c r="R1885" t="s">
        <v>35</v>
      </c>
      <c r="S1885" t="s">
        <v>35</v>
      </c>
      <c r="T1885" t="s">
        <v>35</v>
      </c>
      <c r="U1885" t="s">
        <v>35</v>
      </c>
      <c r="V1885" t="s">
        <v>645</v>
      </c>
      <c r="W1885" t="s">
        <v>113</v>
      </c>
    </row>
    <row r="1886" spans="1:23" hidden="1" x14ac:dyDescent="0.25">
      <c r="A1886" s="7" t="str">
        <f>IFERROR(VLOOKUP(H1886,'Contas Orç'!A:B,2,0),"N/A")</f>
        <v>PREMIO DE SEGUROS</v>
      </c>
      <c r="B1886" s="7" t="str">
        <f t="shared" si="58"/>
        <v>320405 - PREMIO DE SEGUROS</v>
      </c>
      <c r="C1886" s="25">
        <f t="shared" si="59"/>
        <v>44562</v>
      </c>
      <c r="D1886" s="27">
        <f>IF(K1886="CREDITO",Q1886,Q1886*-1)</f>
        <v>20829.080000000002</v>
      </c>
      <c r="E1886" t="s">
        <v>894</v>
      </c>
      <c r="F1886" t="s">
        <v>2380</v>
      </c>
      <c r="G1886" s="8">
        <v>44562</v>
      </c>
      <c r="H1886" t="s">
        <v>560</v>
      </c>
      <c r="I1886" t="s">
        <v>53</v>
      </c>
      <c r="J1886" t="s">
        <v>28</v>
      </c>
      <c r="K1886" t="s">
        <v>29</v>
      </c>
      <c r="L1886" t="s">
        <v>895</v>
      </c>
      <c r="M1886" t="s">
        <v>4402</v>
      </c>
      <c r="O1886" t="s">
        <v>896</v>
      </c>
      <c r="P1886" t="s">
        <v>33</v>
      </c>
      <c r="Q1886" s="22">
        <v>20829.080000000002</v>
      </c>
      <c r="R1886" t="s">
        <v>35</v>
      </c>
      <c r="S1886" t="s">
        <v>35</v>
      </c>
      <c r="T1886" t="s">
        <v>35</v>
      </c>
      <c r="U1886" t="s">
        <v>35</v>
      </c>
      <c r="V1886" t="s">
        <v>645</v>
      </c>
      <c r="W1886" t="s">
        <v>113</v>
      </c>
    </row>
    <row r="1887" spans="1:23" hidden="1" x14ac:dyDescent="0.25">
      <c r="A1887" s="7" t="str">
        <f>IFERROR(VLOOKUP(H1887,'Contas Orç'!A:B,2,0),"N/A")</f>
        <v>PREMIO DE SEGUROS</v>
      </c>
      <c r="B1887" s="7" t="str">
        <f t="shared" si="58"/>
        <v>320405 - PREMIO DE SEGUROS</v>
      </c>
      <c r="C1887" s="25">
        <f t="shared" si="59"/>
        <v>44562</v>
      </c>
      <c r="D1887" s="27">
        <f>IF(K1887="CREDITO",Q1887,Q1887*-1)</f>
        <v>22370.83</v>
      </c>
      <c r="E1887" t="s">
        <v>894</v>
      </c>
      <c r="F1887" t="s">
        <v>2381</v>
      </c>
      <c r="G1887" s="8">
        <v>44562</v>
      </c>
      <c r="H1887" t="s">
        <v>560</v>
      </c>
      <c r="I1887" t="s">
        <v>40</v>
      </c>
      <c r="J1887" t="s">
        <v>54</v>
      </c>
      <c r="K1887" t="s">
        <v>29</v>
      </c>
      <c r="L1887" t="s">
        <v>895</v>
      </c>
      <c r="M1887" t="s">
        <v>4402</v>
      </c>
      <c r="O1887" t="s">
        <v>896</v>
      </c>
      <c r="P1887" t="s">
        <v>33</v>
      </c>
      <c r="Q1887" s="22">
        <v>22370.83</v>
      </c>
      <c r="R1887" t="s">
        <v>35</v>
      </c>
      <c r="S1887" t="s">
        <v>35</v>
      </c>
      <c r="T1887" t="s">
        <v>35</v>
      </c>
      <c r="U1887" t="s">
        <v>35</v>
      </c>
      <c r="V1887" t="s">
        <v>645</v>
      </c>
      <c r="W1887" t="s">
        <v>113</v>
      </c>
    </row>
    <row r="1888" spans="1:23" hidden="1" x14ac:dyDescent="0.25">
      <c r="A1888" s="7" t="str">
        <f>IFERROR(VLOOKUP(H1888,'Contas Orç'!A:B,2,0),"N/A")</f>
        <v>PREMIO DE SEGUROS</v>
      </c>
      <c r="B1888" s="7" t="str">
        <f t="shared" si="58"/>
        <v>320405 - PREMIO DE SEGUROS</v>
      </c>
      <c r="C1888" s="25">
        <f t="shared" si="59"/>
        <v>44593</v>
      </c>
      <c r="D1888" s="27">
        <f>IF(K1888="CREDITO",Q1888,Q1888*-1)</f>
        <v>20829.080000000002</v>
      </c>
      <c r="E1888" t="s">
        <v>894</v>
      </c>
      <c r="F1888" t="s">
        <v>2382</v>
      </c>
      <c r="G1888" s="8">
        <v>44593</v>
      </c>
      <c r="H1888" t="s">
        <v>560</v>
      </c>
      <c r="I1888" t="s">
        <v>53</v>
      </c>
      <c r="J1888" t="s">
        <v>28</v>
      </c>
      <c r="K1888" t="s">
        <v>29</v>
      </c>
      <c r="L1888" t="s">
        <v>895</v>
      </c>
      <c r="M1888" t="s">
        <v>4402</v>
      </c>
      <c r="O1888" t="s">
        <v>896</v>
      </c>
      <c r="P1888" t="s">
        <v>33</v>
      </c>
      <c r="Q1888" s="22">
        <v>20829.080000000002</v>
      </c>
      <c r="R1888" t="s">
        <v>35</v>
      </c>
      <c r="S1888" t="s">
        <v>35</v>
      </c>
      <c r="T1888" t="s">
        <v>35</v>
      </c>
      <c r="U1888" t="s">
        <v>35</v>
      </c>
      <c r="V1888" t="s">
        <v>645</v>
      </c>
      <c r="W1888" t="s">
        <v>113</v>
      </c>
    </row>
    <row r="1889" spans="1:23" hidden="1" x14ac:dyDescent="0.25">
      <c r="A1889" s="7" t="str">
        <f>IFERROR(VLOOKUP(H1889,'Contas Orç'!A:B,2,0),"N/A")</f>
        <v>PREMIO DE SEGUROS</v>
      </c>
      <c r="B1889" s="7" t="str">
        <f t="shared" si="58"/>
        <v>320405 - PREMIO DE SEGUROS</v>
      </c>
      <c r="C1889" s="25">
        <f t="shared" si="59"/>
        <v>44593</v>
      </c>
      <c r="D1889" s="27">
        <f>IF(K1889="CREDITO",Q1889,Q1889*-1)</f>
        <v>22370.83</v>
      </c>
      <c r="E1889" t="s">
        <v>894</v>
      </c>
      <c r="F1889" t="s">
        <v>2383</v>
      </c>
      <c r="G1889" s="8">
        <v>44593</v>
      </c>
      <c r="H1889" t="s">
        <v>560</v>
      </c>
      <c r="I1889" t="s">
        <v>53</v>
      </c>
      <c r="J1889" t="s">
        <v>60</v>
      </c>
      <c r="K1889" t="s">
        <v>29</v>
      </c>
      <c r="L1889" t="s">
        <v>895</v>
      </c>
      <c r="M1889" t="s">
        <v>4402</v>
      </c>
      <c r="O1889" t="s">
        <v>896</v>
      </c>
      <c r="P1889" t="s">
        <v>33</v>
      </c>
      <c r="Q1889" s="22">
        <v>22370.83</v>
      </c>
      <c r="R1889" t="s">
        <v>35</v>
      </c>
      <c r="S1889" t="s">
        <v>35</v>
      </c>
      <c r="T1889" t="s">
        <v>35</v>
      </c>
      <c r="U1889" t="s">
        <v>35</v>
      </c>
      <c r="V1889" t="s">
        <v>645</v>
      </c>
      <c r="W1889" t="s">
        <v>113</v>
      </c>
    </row>
    <row r="1890" spans="1:23" hidden="1" x14ac:dyDescent="0.25">
      <c r="A1890" s="7" t="str">
        <f>IFERROR(VLOOKUP(H1890,'Contas Orç'!A:B,2,0),"N/A")</f>
        <v>PREMIO DE SEGUROS</v>
      </c>
      <c r="B1890" s="7" t="str">
        <f t="shared" si="58"/>
        <v>320405 - PREMIO DE SEGUROS</v>
      </c>
      <c r="C1890" s="25">
        <f t="shared" si="59"/>
        <v>44621</v>
      </c>
      <c r="D1890" s="27">
        <f>IF(K1890="CREDITO",Q1890,Q1890*-1)</f>
        <v>20829.080000000002</v>
      </c>
      <c r="E1890" t="s">
        <v>894</v>
      </c>
      <c r="F1890" t="s">
        <v>2384</v>
      </c>
      <c r="G1890" s="8">
        <v>44621</v>
      </c>
      <c r="H1890" t="s">
        <v>560</v>
      </c>
      <c r="I1890" t="s">
        <v>53</v>
      </c>
      <c r="J1890" t="s">
        <v>28</v>
      </c>
      <c r="K1890" t="s">
        <v>29</v>
      </c>
      <c r="L1890" t="s">
        <v>895</v>
      </c>
      <c r="M1890" t="s">
        <v>4402</v>
      </c>
      <c r="O1890" t="s">
        <v>896</v>
      </c>
      <c r="P1890" t="s">
        <v>33</v>
      </c>
      <c r="Q1890" s="22">
        <v>20829.080000000002</v>
      </c>
      <c r="R1890" t="s">
        <v>35</v>
      </c>
      <c r="S1890" t="s">
        <v>35</v>
      </c>
      <c r="T1890" t="s">
        <v>35</v>
      </c>
      <c r="U1890" t="s">
        <v>35</v>
      </c>
      <c r="V1890" t="s">
        <v>645</v>
      </c>
      <c r="W1890" t="s">
        <v>113</v>
      </c>
    </row>
    <row r="1891" spans="1:23" hidden="1" x14ac:dyDescent="0.25">
      <c r="A1891" s="7" t="str">
        <f>IFERROR(VLOOKUP(H1891,'Contas Orç'!A:B,2,0),"N/A")</f>
        <v>PREMIO DE SEGUROS</v>
      </c>
      <c r="B1891" s="7" t="str">
        <f t="shared" si="58"/>
        <v>320405 - PREMIO DE SEGUROS</v>
      </c>
      <c r="C1891" s="25">
        <f t="shared" si="59"/>
        <v>44621</v>
      </c>
      <c r="D1891" s="27">
        <f>IF(K1891="CREDITO",Q1891,Q1891*-1)</f>
        <v>22370.83</v>
      </c>
      <c r="E1891" t="s">
        <v>894</v>
      </c>
      <c r="F1891" t="s">
        <v>2385</v>
      </c>
      <c r="G1891" s="8">
        <v>44621</v>
      </c>
      <c r="H1891" t="s">
        <v>560</v>
      </c>
      <c r="I1891" t="s">
        <v>59</v>
      </c>
      <c r="J1891" t="s">
        <v>60</v>
      </c>
      <c r="K1891" t="s">
        <v>29</v>
      </c>
      <c r="L1891" t="s">
        <v>895</v>
      </c>
      <c r="M1891" t="s">
        <v>4402</v>
      </c>
      <c r="O1891" t="s">
        <v>896</v>
      </c>
      <c r="P1891" t="s">
        <v>33</v>
      </c>
      <c r="Q1891" s="22">
        <v>22370.83</v>
      </c>
      <c r="R1891" t="s">
        <v>35</v>
      </c>
      <c r="S1891" t="s">
        <v>35</v>
      </c>
      <c r="T1891" t="s">
        <v>35</v>
      </c>
      <c r="U1891" t="s">
        <v>35</v>
      </c>
      <c r="V1891" t="s">
        <v>645</v>
      </c>
      <c r="W1891" t="s">
        <v>113</v>
      </c>
    </row>
    <row r="1892" spans="1:23" hidden="1" x14ac:dyDescent="0.25">
      <c r="A1892" s="7" t="str">
        <f>IFERROR(VLOOKUP(H1892,'Contas Orç'!A:B,2,0),"N/A")</f>
        <v>PREMIO DE SEGUROS</v>
      </c>
      <c r="B1892" s="7" t="str">
        <f t="shared" si="58"/>
        <v>320405 - PREMIO DE SEGUROS</v>
      </c>
      <c r="C1892" s="25">
        <f t="shared" si="59"/>
        <v>44652</v>
      </c>
      <c r="D1892" s="27">
        <f>IF(K1892="CREDITO",Q1892,Q1892*-1)</f>
        <v>20829.080000000002</v>
      </c>
      <c r="E1892" t="s">
        <v>894</v>
      </c>
      <c r="F1892" t="s">
        <v>2386</v>
      </c>
      <c r="G1892" s="8">
        <v>44652</v>
      </c>
      <c r="H1892" t="s">
        <v>560</v>
      </c>
      <c r="I1892" t="s">
        <v>27</v>
      </c>
      <c r="J1892" t="s">
        <v>28</v>
      </c>
      <c r="K1892" t="s">
        <v>29</v>
      </c>
      <c r="L1892" t="s">
        <v>895</v>
      </c>
      <c r="M1892" t="s">
        <v>4402</v>
      </c>
      <c r="O1892" t="s">
        <v>896</v>
      </c>
      <c r="P1892" t="s">
        <v>33</v>
      </c>
      <c r="Q1892" s="22">
        <v>20829.080000000002</v>
      </c>
      <c r="R1892" t="s">
        <v>35</v>
      </c>
      <c r="S1892" t="s">
        <v>35</v>
      </c>
      <c r="T1892" t="s">
        <v>35</v>
      </c>
      <c r="U1892" t="s">
        <v>35</v>
      </c>
      <c r="V1892" t="s">
        <v>645</v>
      </c>
      <c r="W1892" t="s">
        <v>113</v>
      </c>
    </row>
    <row r="1893" spans="1:23" hidden="1" x14ac:dyDescent="0.25">
      <c r="A1893" s="7" t="str">
        <f>IFERROR(VLOOKUP(H1893,'Contas Orç'!A:B,2,0),"N/A")</f>
        <v>PREMIO DE SEGUROS</v>
      </c>
      <c r="B1893" s="7" t="str">
        <f t="shared" si="58"/>
        <v>320405 - PREMIO DE SEGUROS</v>
      </c>
      <c r="C1893" s="25">
        <f t="shared" si="59"/>
        <v>44652</v>
      </c>
      <c r="D1893" s="27">
        <f>IF(K1893="CREDITO",Q1893,Q1893*-1)</f>
        <v>22370.83</v>
      </c>
      <c r="E1893" t="s">
        <v>894</v>
      </c>
      <c r="F1893" t="s">
        <v>2387</v>
      </c>
      <c r="G1893" s="8">
        <v>44652</v>
      </c>
      <c r="H1893" t="s">
        <v>560</v>
      </c>
      <c r="I1893" t="s">
        <v>59</v>
      </c>
      <c r="J1893" t="s">
        <v>54</v>
      </c>
      <c r="K1893" t="s">
        <v>29</v>
      </c>
      <c r="L1893" t="s">
        <v>895</v>
      </c>
      <c r="M1893" t="s">
        <v>4402</v>
      </c>
      <c r="O1893" t="s">
        <v>896</v>
      </c>
      <c r="P1893" t="s">
        <v>33</v>
      </c>
      <c r="Q1893" s="22">
        <v>22370.83</v>
      </c>
      <c r="R1893" t="s">
        <v>35</v>
      </c>
      <c r="S1893" t="s">
        <v>35</v>
      </c>
      <c r="T1893" t="s">
        <v>35</v>
      </c>
      <c r="U1893" t="s">
        <v>35</v>
      </c>
      <c r="V1893" t="s">
        <v>645</v>
      </c>
      <c r="W1893" t="s">
        <v>113</v>
      </c>
    </row>
    <row r="1894" spans="1:23" hidden="1" x14ac:dyDescent="0.25">
      <c r="A1894" s="7" t="str">
        <f>IFERROR(VLOOKUP(H1894,'Contas Orç'!A:B,2,0),"N/A")</f>
        <v>PREMIO DE SEGUROS</v>
      </c>
      <c r="B1894" s="7" t="str">
        <f t="shared" si="58"/>
        <v>320405 - PREMIO DE SEGUROS</v>
      </c>
      <c r="C1894" s="25">
        <f t="shared" si="59"/>
        <v>44682</v>
      </c>
      <c r="D1894" s="27">
        <f>IF(K1894="CREDITO",Q1894,Q1894*-1)</f>
        <v>20829.080000000002</v>
      </c>
      <c r="E1894" t="s">
        <v>894</v>
      </c>
      <c r="F1894" t="s">
        <v>2388</v>
      </c>
      <c r="G1894" s="8">
        <v>44682</v>
      </c>
      <c r="H1894" t="s">
        <v>560</v>
      </c>
      <c r="I1894" t="s">
        <v>53</v>
      </c>
      <c r="J1894" t="s">
        <v>28</v>
      </c>
      <c r="K1894" t="s">
        <v>29</v>
      </c>
      <c r="L1894" t="s">
        <v>895</v>
      </c>
      <c r="M1894" t="s">
        <v>4402</v>
      </c>
      <c r="O1894" t="s">
        <v>896</v>
      </c>
      <c r="P1894" t="s">
        <v>33</v>
      </c>
      <c r="Q1894" s="22">
        <v>20829.080000000002</v>
      </c>
      <c r="R1894" t="s">
        <v>35</v>
      </c>
      <c r="S1894" t="s">
        <v>35</v>
      </c>
      <c r="T1894" t="s">
        <v>35</v>
      </c>
      <c r="U1894" t="s">
        <v>35</v>
      </c>
      <c r="V1894" t="s">
        <v>645</v>
      </c>
      <c r="W1894" t="s">
        <v>113</v>
      </c>
    </row>
    <row r="1895" spans="1:23" hidden="1" x14ac:dyDescent="0.25">
      <c r="A1895" s="7" t="str">
        <f>IFERROR(VLOOKUP(H1895,'Contas Orç'!A:B,2,0),"N/A")</f>
        <v>PREMIO DE SEGUROS</v>
      </c>
      <c r="B1895" s="7" t="str">
        <f t="shared" si="58"/>
        <v>320405 - PREMIO DE SEGUROS</v>
      </c>
      <c r="C1895" s="25">
        <f t="shared" si="59"/>
        <v>44682</v>
      </c>
      <c r="D1895" s="27">
        <f>IF(K1895="CREDITO",Q1895,Q1895*-1)</f>
        <v>29393.41</v>
      </c>
      <c r="E1895" t="s">
        <v>894</v>
      </c>
      <c r="F1895" t="s">
        <v>2389</v>
      </c>
      <c r="G1895" s="8">
        <v>44682</v>
      </c>
      <c r="H1895" t="s">
        <v>560</v>
      </c>
      <c r="I1895" t="s">
        <v>53</v>
      </c>
      <c r="J1895" t="s">
        <v>54</v>
      </c>
      <c r="K1895" t="s">
        <v>29</v>
      </c>
      <c r="L1895" t="s">
        <v>895</v>
      </c>
      <c r="M1895" t="s">
        <v>4402</v>
      </c>
      <c r="O1895" t="s">
        <v>896</v>
      </c>
      <c r="P1895" t="s">
        <v>33</v>
      </c>
      <c r="Q1895" s="22">
        <v>29393.41</v>
      </c>
      <c r="R1895" t="s">
        <v>35</v>
      </c>
      <c r="S1895" t="s">
        <v>35</v>
      </c>
      <c r="T1895" t="s">
        <v>35</v>
      </c>
      <c r="U1895" t="s">
        <v>35</v>
      </c>
      <c r="V1895" t="s">
        <v>645</v>
      </c>
      <c r="W1895" t="s">
        <v>113</v>
      </c>
    </row>
    <row r="1896" spans="1:23" hidden="1" x14ac:dyDescent="0.25">
      <c r="A1896" s="7" t="str">
        <f>IFERROR(VLOOKUP(H1896,'Contas Orç'!A:B,2,0),"N/A")</f>
        <v>PREMIO DE SEGUROS</v>
      </c>
      <c r="B1896" s="7" t="str">
        <f t="shared" si="58"/>
        <v>320405 - PREMIO DE SEGUROS</v>
      </c>
      <c r="C1896" s="25">
        <f t="shared" si="59"/>
        <v>44713</v>
      </c>
      <c r="D1896" s="27">
        <f>IF(K1896="CREDITO",Q1896,Q1896*-1)</f>
        <v>30000.65</v>
      </c>
      <c r="E1896" t="s">
        <v>894</v>
      </c>
      <c r="F1896" t="s">
        <v>2390</v>
      </c>
      <c r="G1896" s="8">
        <v>44713</v>
      </c>
      <c r="H1896" t="s">
        <v>560</v>
      </c>
      <c r="I1896" t="s">
        <v>27</v>
      </c>
      <c r="J1896" t="s">
        <v>28</v>
      </c>
      <c r="K1896" t="s">
        <v>29</v>
      </c>
      <c r="L1896" t="s">
        <v>895</v>
      </c>
      <c r="M1896" t="s">
        <v>4402</v>
      </c>
      <c r="O1896" t="s">
        <v>896</v>
      </c>
      <c r="P1896" t="s">
        <v>33</v>
      </c>
      <c r="Q1896" s="22">
        <v>30000.65</v>
      </c>
      <c r="R1896" t="s">
        <v>35</v>
      </c>
      <c r="S1896" t="s">
        <v>35</v>
      </c>
      <c r="T1896" t="s">
        <v>35</v>
      </c>
      <c r="U1896" t="s">
        <v>35</v>
      </c>
      <c r="V1896" t="s">
        <v>645</v>
      </c>
      <c r="W1896" t="s">
        <v>113</v>
      </c>
    </row>
    <row r="1897" spans="1:23" hidden="1" x14ac:dyDescent="0.25">
      <c r="A1897" s="7" t="str">
        <f>IFERROR(VLOOKUP(H1897,'Contas Orç'!A:B,2,0),"N/A")</f>
        <v>PREMIO DE SEGUROS</v>
      </c>
      <c r="B1897" s="7" t="str">
        <f t="shared" si="58"/>
        <v>320405 - PREMIO DE SEGUROS</v>
      </c>
      <c r="C1897" s="25">
        <f t="shared" si="59"/>
        <v>44713</v>
      </c>
      <c r="D1897" s="27">
        <f>IF(K1897="CREDITO",Q1897,Q1897*-1)</f>
        <v>29393.41</v>
      </c>
      <c r="E1897" t="s">
        <v>894</v>
      </c>
      <c r="F1897" t="s">
        <v>2391</v>
      </c>
      <c r="G1897" s="8">
        <v>44713</v>
      </c>
      <c r="H1897" t="s">
        <v>560</v>
      </c>
      <c r="I1897" t="s">
        <v>59</v>
      </c>
      <c r="J1897" t="s">
        <v>60</v>
      </c>
      <c r="K1897" t="s">
        <v>29</v>
      </c>
      <c r="L1897" t="s">
        <v>895</v>
      </c>
      <c r="M1897" t="s">
        <v>4402</v>
      </c>
      <c r="O1897" t="s">
        <v>896</v>
      </c>
      <c r="P1897" t="s">
        <v>33</v>
      </c>
      <c r="Q1897" s="22">
        <v>29393.41</v>
      </c>
      <c r="R1897" t="s">
        <v>35</v>
      </c>
      <c r="S1897" t="s">
        <v>35</v>
      </c>
      <c r="T1897" t="s">
        <v>35</v>
      </c>
      <c r="U1897" t="s">
        <v>35</v>
      </c>
      <c r="V1897" t="s">
        <v>645</v>
      </c>
      <c r="W1897" t="s">
        <v>113</v>
      </c>
    </row>
    <row r="1898" spans="1:23" hidden="1" x14ac:dyDescent="0.25">
      <c r="A1898" s="7" t="str">
        <f>IFERROR(VLOOKUP(H1898,'Contas Orç'!A:B,2,0),"N/A")</f>
        <v>PREMIO DE SEGUROS</v>
      </c>
      <c r="B1898" s="7" t="str">
        <f t="shared" si="58"/>
        <v>320405 - PREMIO DE SEGUROS</v>
      </c>
      <c r="C1898" s="25">
        <f t="shared" si="59"/>
        <v>44743</v>
      </c>
      <c r="D1898" s="27">
        <f>IF(K1898="CREDITO",Q1898,Q1898*-1)</f>
        <v>31307.14</v>
      </c>
      <c r="E1898" t="s">
        <v>894</v>
      </c>
      <c r="F1898" t="s">
        <v>2392</v>
      </c>
      <c r="G1898" s="8">
        <v>44743</v>
      </c>
      <c r="H1898" t="s">
        <v>560</v>
      </c>
      <c r="I1898" t="s">
        <v>27</v>
      </c>
      <c r="J1898" t="s">
        <v>28</v>
      </c>
      <c r="K1898" t="s">
        <v>29</v>
      </c>
      <c r="L1898" t="s">
        <v>895</v>
      </c>
      <c r="M1898" t="s">
        <v>4402</v>
      </c>
      <c r="O1898" t="s">
        <v>896</v>
      </c>
      <c r="P1898" t="s">
        <v>33</v>
      </c>
      <c r="Q1898" s="22">
        <v>31307.14</v>
      </c>
      <c r="R1898" t="s">
        <v>35</v>
      </c>
      <c r="S1898" t="s">
        <v>35</v>
      </c>
      <c r="T1898" t="s">
        <v>35</v>
      </c>
      <c r="U1898" t="s">
        <v>35</v>
      </c>
      <c r="V1898" t="s">
        <v>645</v>
      </c>
      <c r="W1898" t="s">
        <v>113</v>
      </c>
    </row>
    <row r="1899" spans="1:23" hidden="1" x14ac:dyDescent="0.25">
      <c r="A1899" s="7" t="str">
        <f>IFERROR(VLOOKUP(H1899,'Contas Orç'!A:B,2,0),"N/A")</f>
        <v>PREMIO DE SEGUROS</v>
      </c>
      <c r="B1899" s="7" t="str">
        <f t="shared" si="58"/>
        <v>320405 - PREMIO DE SEGUROS</v>
      </c>
      <c r="C1899" s="25">
        <f t="shared" si="59"/>
        <v>44743</v>
      </c>
      <c r="D1899" s="27">
        <f>IF(K1899="CREDITO",Q1899,Q1899*-1)</f>
        <v>29393.41</v>
      </c>
      <c r="E1899" t="s">
        <v>894</v>
      </c>
      <c r="F1899" t="s">
        <v>2393</v>
      </c>
      <c r="G1899" s="8">
        <v>44743</v>
      </c>
      <c r="H1899" t="s">
        <v>560</v>
      </c>
      <c r="I1899" t="s">
        <v>59</v>
      </c>
      <c r="J1899" t="s">
        <v>60</v>
      </c>
      <c r="K1899" t="s">
        <v>29</v>
      </c>
      <c r="L1899" t="s">
        <v>895</v>
      </c>
      <c r="M1899" t="s">
        <v>4402</v>
      </c>
      <c r="O1899" t="s">
        <v>896</v>
      </c>
      <c r="P1899" t="s">
        <v>33</v>
      </c>
      <c r="Q1899" s="22">
        <v>29393.41</v>
      </c>
      <c r="R1899" t="s">
        <v>35</v>
      </c>
      <c r="S1899" t="s">
        <v>35</v>
      </c>
      <c r="T1899" t="s">
        <v>35</v>
      </c>
      <c r="U1899" t="s">
        <v>35</v>
      </c>
      <c r="V1899" t="s">
        <v>645</v>
      </c>
      <c r="W1899" t="s">
        <v>113</v>
      </c>
    </row>
    <row r="1900" spans="1:23" hidden="1" x14ac:dyDescent="0.25">
      <c r="A1900" s="7" t="str">
        <f>IFERROR(VLOOKUP(H1900,'Contas Orç'!A:B,2,0),"N/A")</f>
        <v>PREMIO DE SEGUROS</v>
      </c>
      <c r="B1900" s="7" t="str">
        <f t="shared" si="58"/>
        <v>320405 - PREMIO DE SEGUROS</v>
      </c>
      <c r="C1900" s="25">
        <f t="shared" si="59"/>
        <v>44743</v>
      </c>
      <c r="D1900" s="27">
        <f>IF(K1900="CREDITO",Q1900,Q1900*-1)</f>
        <v>5493.93</v>
      </c>
      <c r="E1900" t="s">
        <v>894</v>
      </c>
      <c r="F1900" t="s">
        <v>2394</v>
      </c>
      <c r="G1900" s="8">
        <v>44743</v>
      </c>
      <c r="H1900" t="s">
        <v>560</v>
      </c>
      <c r="I1900" t="s">
        <v>40</v>
      </c>
      <c r="J1900" t="s">
        <v>54</v>
      </c>
      <c r="K1900" t="s">
        <v>29</v>
      </c>
      <c r="L1900" t="s">
        <v>895</v>
      </c>
      <c r="M1900" t="s">
        <v>4402</v>
      </c>
      <c r="O1900" t="s">
        <v>896</v>
      </c>
      <c r="P1900" t="s">
        <v>33</v>
      </c>
      <c r="Q1900" s="22">
        <v>5493.93</v>
      </c>
      <c r="R1900" t="s">
        <v>35</v>
      </c>
      <c r="S1900" t="s">
        <v>35</v>
      </c>
      <c r="T1900" t="s">
        <v>35</v>
      </c>
      <c r="U1900" t="s">
        <v>35</v>
      </c>
      <c r="V1900" t="s">
        <v>645</v>
      </c>
      <c r="W1900" t="s">
        <v>113</v>
      </c>
    </row>
    <row r="1901" spans="1:23" hidden="1" x14ac:dyDescent="0.25">
      <c r="A1901" s="7" t="str">
        <f>IFERROR(VLOOKUP(H1901,'Contas Orç'!A:B,2,0),"N/A")</f>
        <v>PREMIO DE SEGUROS</v>
      </c>
      <c r="B1901" s="7" t="str">
        <f t="shared" si="58"/>
        <v>320405 - PREMIO DE SEGUROS</v>
      </c>
      <c r="C1901" s="25">
        <f t="shared" si="59"/>
        <v>44774</v>
      </c>
      <c r="D1901" s="27">
        <f>IF(K1901="CREDITO",Q1901,Q1901*-1)</f>
        <v>2775.05</v>
      </c>
      <c r="E1901" t="s">
        <v>894</v>
      </c>
      <c r="F1901" t="s">
        <v>2395</v>
      </c>
      <c r="G1901" s="8">
        <v>44774</v>
      </c>
      <c r="H1901" t="s">
        <v>560</v>
      </c>
      <c r="I1901" t="s">
        <v>53</v>
      </c>
      <c r="J1901" t="s">
        <v>28</v>
      </c>
      <c r="K1901" t="s">
        <v>29</v>
      </c>
      <c r="L1901" t="s">
        <v>895</v>
      </c>
      <c r="M1901" t="s">
        <v>4402</v>
      </c>
      <c r="O1901" t="s">
        <v>896</v>
      </c>
      <c r="P1901" t="s">
        <v>33</v>
      </c>
      <c r="Q1901" s="22">
        <v>2775.05</v>
      </c>
      <c r="R1901" t="s">
        <v>35</v>
      </c>
      <c r="S1901" t="s">
        <v>35</v>
      </c>
      <c r="T1901" t="s">
        <v>35</v>
      </c>
      <c r="U1901" t="s">
        <v>35</v>
      </c>
      <c r="V1901" t="s">
        <v>645</v>
      </c>
      <c r="W1901" t="s">
        <v>113</v>
      </c>
    </row>
    <row r="1902" spans="1:23" hidden="1" x14ac:dyDescent="0.25">
      <c r="A1902" s="7" t="str">
        <f>IFERROR(VLOOKUP(H1902,'Contas Orç'!A:B,2,0),"N/A")</f>
        <v>PREMIO DE SEGUROS</v>
      </c>
      <c r="B1902" s="7" t="str">
        <f t="shared" si="58"/>
        <v>320405 - PREMIO DE SEGUROS</v>
      </c>
      <c r="C1902" s="25">
        <f t="shared" si="59"/>
        <v>44774</v>
      </c>
      <c r="D1902" s="27">
        <f>IF(K1902="CREDITO",Q1902,Q1902*-1)</f>
        <v>30000.65</v>
      </c>
      <c r="E1902" t="s">
        <v>894</v>
      </c>
      <c r="F1902" t="s">
        <v>2396</v>
      </c>
      <c r="G1902" s="8">
        <v>44774</v>
      </c>
      <c r="H1902" t="s">
        <v>560</v>
      </c>
      <c r="I1902" t="s">
        <v>27</v>
      </c>
      <c r="J1902" t="s">
        <v>28</v>
      </c>
      <c r="K1902" t="s">
        <v>29</v>
      </c>
      <c r="L1902" t="s">
        <v>895</v>
      </c>
      <c r="M1902" t="s">
        <v>4402</v>
      </c>
      <c r="O1902" t="s">
        <v>896</v>
      </c>
      <c r="P1902" t="s">
        <v>33</v>
      </c>
      <c r="Q1902" s="22">
        <v>30000.65</v>
      </c>
      <c r="R1902" t="s">
        <v>35</v>
      </c>
      <c r="S1902" t="s">
        <v>35</v>
      </c>
      <c r="T1902" t="s">
        <v>35</v>
      </c>
      <c r="U1902" t="s">
        <v>35</v>
      </c>
      <c r="V1902" t="s">
        <v>645</v>
      </c>
      <c r="W1902" t="s">
        <v>113</v>
      </c>
    </row>
    <row r="1903" spans="1:23" hidden="1" x14ac:dyDescent="0.25">
      <c r="A1903" s="7" t="str">
        <f>IFERROR(VLOOKUP(H1903,'Contas Orç'!A:B,2,0),"N/A")</f>
        <v>PREMIO DE SEGUROS</v>
      </c>
      <c r="B1903" s="7" t="str">
        <f t="shared" si="58"/>
        <v>320405 - PREMIO DE SEGUROS</v>
      </c>
      <c r="C1903" s="25">
        <f t="shared" si="59"/>
        <v>44774</v>
      </c>
      <c r="D1903" s="27">
        <f>IF(K1903="CREDITO",Q1903,Q1903*-1)</f>
        <v>26674.53</v>
      </c>
      <c r="E1903" t="s">
        <v>894</v>
      </c>
      <c r="F1903" t="s">
        <v>2397</v>
      </c>
      <c r="G1903" s="8">
        <v>44774</v>
      </c>
      <c r="H1903" t="s">
        <v>560</v>
      </c>
      <c r="I1903" t="s">
        <v>59</v>
      </c>
      <c r="J1903" t="s">
        <v>60</v>
      </c>
      <c r="K1903" t="s">
        <v>29</v>
      </c>
      <c r="L1903" t="s">
        <v>895</v>
      </c>
      <c r="M1903" t="s">
        <v>4402</v>
      </c>
      <c r="O1903" t="s">
        <v>896</v>
      </c>
      <c r="P1903" t="s">
        <v>33</v>
      </c>
      <c r="Q1903" s="22">
        <v>26674.53</v>
      </c>
      <c r="R1903" t="s">
        <v>35</v>
      </c>
      <c r="S1903" t="s">
        <v>35</v>
      </c>
      <c r="T1903" t="s">
        <v>35</v>
      </c>
      <c r="U1903" t="s">
        <v>35</v>
      </c>
      <c r="V1903" t="s">
        <v>645</v>
      </c>
      <c r="W1903" t="s">
        <v>113</v>
      </c>
    </row>
    <row r="1904" spans="1:23" hidden="1" x14ac:dyDescent="0.25">
      <c r="A1904" s="7" t="str">
        <f>IFERROR(VLOOKUP(H1904,'Contas Orç'!A:B,2,0),"N/A")</f>
        <v>PREMIO DE SEGUROS</v>
      </c>
      <c r="B1904" s="7" t="str">
        <f t="shared" si="58"/>
        <v>320405 - PREMIO DE SEGUROS</v>
      </c>
      <c r="C1904" s="25">
        <f t="shared" si="59"/>
        <v>44805</v>
      </c>
      <c r="D1904" s="27">
        <f>IF(K1904="CREDITO",Q1904,Q1904*-1)</f>
        <v>27225.599999999999</v>
      </c>
      <c r="E1904" t="s">
        <v>894</v>
      </c>
      <c r="F1904" t="s">
        <v>2398</v>
      </c>
      <c r="G1904" s="8">
        <v>44805</v>
      </c>
      <c r="H1904" t="s">
        <v>560</v>
      </c>
      <c r="I1904" t="s">
        <v>27</v>
      </c>
      <c r="J1904" t="s">
        <v>28</v>
      </c>
      <c r="K1904" t="s">
        <v>29</v>
      </c>
      <c r="L1904" t="s">
        <v>895</v>
      </c>
      <c r="M1904" t="s">
        <v>4402</v>
      </c>
      <c r="O1904" t="s">
        <v>896</v>
      </c>
      <c r="P1904" t="s">
        <v>33</v>
      </c>
      <c r="Q1904" s="22">
        <v>27225.599999999999</v>
      </c>
      <c r="R1904" t="s">
        <v>35</v>
      </c>
      <c r="S1904" t="s">
        <v>35</v>
      </c>
      <c r="T1904" t="s">
        <v>35</v>
      </c>
      <c r="U1904" t="s">
        <v>35</v>
      </c>
      <c r="V1904" t="s">
        <v>645</v>
      </c>
      <c r="W1904" t="s">
        <v>113</v>
      </c>
    </row>
    <row r="1905" spans="1:23" hidden="1" x14ac:dyDescent="0.25">
      <c r="A1905" s="7" t="str">
        <f>IFERROR(VLOOKUP(H1905,'Contas Orç'!A:B,2,0),"N/A")</f>
        <v>PREMIO DE SEGUROS</v>
      </c>
      <c r="B1905" s="7" t="str">
        <f t="shared" si="58"/>
        <v>320405 - PREMIO DE SEGUROS</v>
      </c>
      <c r="C1905" s="25">
        <f t="shared" si="59"/>
        <v>44805</v>
      </c>
      <c r="D1905" s="27">
        <f>IF(K1905="CREDITO",Q1905,Q1905*-1)</f>
        <v>26674.53</v>
      </c>
      <c r="E1905" t="s">
        <v>894</v>
      </c>
      <c r="F1905" t="s">
        <v>2399</v>
      </c>
      <c r="G1905" s="8">
        <v>44805</v>
      </c>
      <c r="H1905" t="s">
        <v>560</v>
      </c>
      <c r="I1905" t="s">
        <v>59</v>
      </c>
      <c r="J1905" t="s">
        <v>60</v>
      </c>
      <c r="K1905" t="s">
        <v>29</v>
      </c>
      <c r="L1905" t="s">
        <v>895</v>
      </c>
      <c r="M1905" t="s">
        <v>4402</v>
      </c>
      <c r="O1905" t="s">
        <v>896</v>
      </c>
      <c r="P1905" t="s">
        <v>33</v>
      </c>
      <c r="Q1905" s="22">
        <v>26674.53</v>
      </c>
      <c r="R1905" t="s">
        <v>35</v>
      </c>
      <c r="S1905" t="s">
        <v>35</v>
      </c>
      <c r="T1905" t="s">
        <v>35</v>
      </c>
      <c r="U1905" t="s">
        <v>35</v>
      </c>
      <c r="V1905" t="s">
        <v>645</v>
      </c>
      <c r="W1905" t="s">
        <v>113</v>
      </c>
    </row>
    <row r="1906" spans="1:23" hidden="1" x14ac:dyDescent="0.25">
      <c r="A1906" s="7" t="str">
        <f>IFERROR(VLOOKUP(H1906,'Contas Orç'!A:B,2,0),"N/A")</f>
        <v>PREMIO DE SEGUROS</v>
      </c>
      <c r="B1906" s="7" t="str">
        <f t="shared" si="58"/>
        <v>320405 - PREMIO DE SEGUROS</v>
      </c>
      <c r="C1906" s="25">
        <f t="shared" si="59"/>
        <v>44835</v>
      </c>
      <c r="D1906" s="27">
        <f>IF(K1906="CREDITO",Q1906,Q1906*-1)</f>
        <v>27497.86</v>
      </c>
      <c r="E1906" t="s">
        <v>894</v>
      </c>
      <c r="F1906" t="s">
        <v>2400</v>
      </c>
      <c r="G1906" s="8">
        <v>44835</v>
      </c>
      <c r="H1906" t="s">
        <v>560</v>
      </c>
      <c r="I1906" t="s">
        <v>27</v>
      </c>
      <c r="J1906" t="s">
        <v>28</v>
      </c>
      <c r="K1906" t="s">
        <v>29</v>
      </c>
      <c r="L1906" t="s">
        <v>895</v>
      </c>
      <c r="M1906" t="s">
        <v>4402</v>
      </c>
      <c r="O1906" t="s">
        <v>896</v>
      </c>
      <c r="P1906" t="s">
        <v>33</v>
      </c>
      <c r="Q1906" s="22">
        <v>27497.86</v>
      </c>
      <c r="R1906" t="s">
        <v>35</v>
      </c>
      <c r="S1906" t="s">
        <v>35</v>
      </c>
      <c r="T1906" t="s">
        <v>35</v>
      </c>
      <c r="U1906" t="s">
        <v>35</v>
      </c>
      <c r="V1906" t="s">
        <v>645</v>
      </c>
      <c r="W1906" t="s">
        <v>113</v>
      </c>
    </row>
    <row r="1907" spans="1:23" hidden="1" x14ac:dyDescent="0.25">
      <c r="A1907" s="7" t="str">
        <f>IFERROR(VLOOKUP(H1907,'Contas Orç'!A:B,2,0),"N/A")</f>
        <v>PREMIO DE SEGUROS</v>
      </c>
      <c r="B1907" s="7" t="str">
        <f t="shared" si="58"/>
        <v>320405 - PREMIO DE SEGUROS</v>
      </c>
      <c r="C1907" s="25">
        <f t="shared" si="59"/>
        <v>44835</v>
      </c>
      <c r="D1907" s="27">
        <f>IF(K1907="CREDITO",Q1907,Q1907*-1)</f>
        <v>26941.279999999999</v>
      </c>
      <c r="E1907" t="s">
        <v>894</v>
      </c>
      <c r="F1907" t="s">
        <v>2401</v>
      </c>
      <c r="G1907" s="8">
        <v>44835</v>
      </c>
      <c r="H1907" t="s">
        <v>560</v>
      </c>
      <c r="I1907" t="s">
        <v>59</v>
      </c>
      <c r="J1907" t="s">
        <v>60</v>
      </c>
      <c r="K1907" t="s">
        <v>29</v>
      </c>
      <c r="L1907" t="s">
        <v>895</v>
      </c>
      <c r="M1907" t="s">
        <v>4402</v>
      </c>
      <c r="O1907" t="s">
        <v>896</v>
      </c>
      <c r="P1907" t="s">
        <v>33</v>
      </c>
      <c r="Q1907" s="22">
        <v>26941.279999999999</v>
      </c>
      <c r="R1907" t="s">
        <v>35</v>
      </c>
      <c r="S1907" t="s">
        <v>35</v>
      </c>
      <c r="T1907" t="s">
        <v>35</v>
      </c>
      <c r="U1907" t="s">
        <v>35</v>
      </c>
      <c r="V1907" t="s">
        <v>645</v>
      </c>
      <c r="W1907" t="s">
        <v>113</v>
      </c>
    </row>
    <row r="1908" spans="1:23" hidden="1" x14ac:dyDescent="0.25">
      <c r="A1908" s="7" t="str">
        <f>IFERROR(VLOOKUP(H1908,'Contas Orç'!A:B,2,0),"N/A")</f>
        <v>PREMIO DE SEGUROS</v>
      </c>
      <c r="B1908" s="7" t="str">
        <f t="shared" si="58"/>
        <v>320405 - PREMIO DE SEGUROS</v>
      </c>
      <c r="C1908" s="25">
        <f t="shared" si="59"/>
        <v>44866</v>
      </c>
      <c r="D1908" s="27">
        <f>IF(K1908="CREDITO",Q1908,Q1908*-1)</f>
        <v>27772.83</v>
      </c>
      <c r="E1908" t="s">
        <v>894</v>
      </c>
      <c r="F1908" t="s">
        <v>2402</v>
      </c>
      <c r="G1908" s="8">
        <v>44866</v>
      </c>
      <c r="H1908" t="s">
        <v>560</v>
      </c>
      <c r="I1908" t="s">
        <v>27</v>
      </c>
      <c r="J1908" t="s">
        <v>28</v>
      </c>
      <c r="K1908" t="s">
        <v>29</v>
      </c>
      <c r="L1908" t="s">
        <v>895</v>
      </c>
      <c r="M1908" t="s">
        <v>4402</v>
      </c>
      <c r="O1908" t="s">
        <v>896</v>
      </c>
      <c r="P1908" t="s">
        <v>33</v>
      </c>
      <c r="Q1908" s="22">
        <v>27772.83</v>
      </c>
      <c r="R1908" t="s">
        <v>35</v>
      </c>
      <c r="S1908" t="s">
        <v>35</v>
      </c>
      <c r="T1908" t="s">
        <v>35</v>
      </c>
      <c r="U1908" t="s">
        <v>35</v>
      </c>
      <c r="V1908" t="s">
        <v>645</v>
      </c>
      <c r="W1908" t="s">
        <v>113</v>
      </c>
    </row>
    <row r="1909" spans="1:23" hidden="1" x14ac:dyDescent="0.25">
      <c r="A1909" s="7" t="str">
        <f>IFERROR(VLOOKUP(H1909,'Contas Orç'!A:B,2,0),"N/A")</f>
        <v>PREMIO DE SEGUROS</v>
      </c>
      <c r="B1909" s="7" t="str">
        <f t="shared" si="58"/>
        <v>320405 - PREMIO DE SEGUROS</v>
      </c>
      <c r="C1909" s="25">
        <f t="shared" si="59"/>
        <v>44866</v>
      </c>
      <c r="D1909" s="27">
        <f>IF(K1909="CREDITO",Q1909,Q1909*-1)</f>
        <v>27210.69</v>
      </c>
      <c r="E1909" t="s">
        <v>894</v>
      </c>
      <c r="F1909" t="s">
        <v>2403</v>
      </c>
      <c r="G1909" s="8">
        <v>44866</v>
      </c>
      <c r="H1909" t="s">
        <v>560</v>
      </c>
      <c r="I1909" t="s">
        <v>59</v>
      </c>
      <c r="J1909" t="s">
        <v>60</v>
      </c>
      <c r="K1909" t="s">
        <v>29</v>
      </c>
      <c r="L1909" t="s">
        <v>895</v>
      </c>
      <c r="M1909" t="s">
        <v>4402</v>
      </c>
      <c r="O1909" t="s">
        <v>896</v>
      </c>
      <c r="P1909" t="s">
        <v>33</v>
      </c>
      <c r="Q1909" s="22">
        <v>27210.69</v>
      </c>
      <c r="R1909" t="s">
        <v>35</v>
      </c>
      <c r="S1909" t="s">
        <v>35</v>
      </c>
      <c r="T1909" t="s">
        <v>35</v>
      </c>
      <c r="U1909" t="s">
        <v>35</v>
      </c>
      <c r="V1909" t="s">
        <v>645</v>
      </c>
      <c r="W1909" t="s">
        <v>113</v>
      </c>
    </row>
    <row r="1910" spans="1:23" hidden="1" x14ac:dyDescent="0.25">
      <c r="A1910" s="7" t="str">
        <f>IFERROR(VLOOKUP(H1910,'Contas Orç'!A:B,2,0),"N/A")</f>
        <v>PREMIO DE SEGUROS</v>
      </c>
      <c r="B1910" s="7" t="str">
        <f t="shared" si="58"/>
        <v>320405 - PREMIO DE SEGUROS</v>
      </c>
      <c r="C1910" s="25">
        <f t="shared" si="59"/>
        <v>44896</v>
      </c>
      <c r="D1910" s="27">
        <f>IF(K1910="CREDITO",Q1910,Q1910*-1)</f>
        <v>28050.560000000001</v>
      </c>
      <c r="E1910" t="s">
        <v>894</v>
      </c>
      <c r="F1910" t="s">
        <v>2404</v>
      </c>
      <c r="G1910" s="8">
        <v>44896</v>
      </c>
      <c r="H1910" t="s">
        <v>560</v>
      </c>
      <c r="I1910" t="s">
        <v>27</v>
      </c>
      <c r="J1910" t="s">
        <v>28</v>
      </c>
      <c r="K1910" t="s">
        <v>29</v>
      </c>
      <c r="L1910" t="s">
        <v>895</v>
      </c>
      <c r="M1910" t="s">
        <v>4402</v>
      </c>
      <c r="O1910" t="s">
        <v>896</v>
      </c>
      <c r="P1910" t="s">
        <v>33</v>
      </c>
      <c r="Q1910" s="22">
        <v>28050.560000000001</v>
      </c>
      <c r="R1910" t="s">
        <v>35</v>
      </c>
      <c r="S1910" t="s">
        <v>35</v>
      </c>
      <c r="T1910" t="s">
        <v>35</v>
      </c>
      <c r="U1910" t="s">
        <v>35</v>
      </c>
      <c r="V1910" t="s">
        <v>645</v>
      </c>
      <c r="W1910" t="s">
        <v>113</v>
      </c>
    </row>
    <row r="1911" spans="1:23" hidden="1" x14ac:dyDescent="0.25">
      <c r="A1911" s="7" t="str">
        <f>IFERROR(VLOOKUP(H1911,'Contas Orç'!A:B,2,0),"N/A")</f>
        <v>PREMIO DE SEGUROS</v>
      </c>
      <c r="B1911" s="7" t="str">
        <f t="shared" si="58"/>
        <v>320405 - PREMIO DE SEGUROS</v>
      </c>
      <c r="C1911" s="25">
        <f t="shared" si="59"/>
        <v>44896</v>
      </c>
      <c r="D1911" s="27">
        <f>IF(K1911="CREDITO",Q1911,Q1911*-1)</f>
        <v>27482.79</v>
      </c>
      <c r="E1911" t="s">
        <v>894</v>
      </c>
      <c r="F1911" t="s">
        <v>2405</v>
      </c>
      <c r="G1911" s="8">
        <v>44896</v>
      </c>
      <c r="H1911" t="s">
        <v>560</v>
      </c>
      <c r="I1911" t="s">
        <v>59</v>
      </c>
      <c r="J1911" t="s">
        <v>60</v>
      </c>
      <c r="K1911" t="s">
        <v>29</v>
      </c>
      <c r="L1911" t="s">
        <v>895</v>
      </c>
      <c r="M1911" t="s">
        <v>4402</v>
      </c>
      <c r="O1911" t="s">
        <v>896</v>
      </c>
      <c r="P1911" t="s">
        <v>33</v>
      </c>
      <c r="Q1911" s="22">
        <v>27482.79</v>
      </c>
      <c r="R1911" t="s">
        <v>35</v>
      </c>
      <c r="S1911" t="s">
        <v>35</v>
      </c>
      <c r="T1911" t="s">
        <v>35</v>
      </c>
      <c r="U1911" t="s">
        <v>35</v>
      </c>
      <c r="V1911" t="s">
        <v>645</v>
      </c>
      <c r="W1911" t="s">
        <v>113</v>
      </c>
    </row>
    <row r="1912" spans="1:23" hidden="1" x14ac:dyDescent="0.25">
      <c r="A1912" s="7" t="str">
        <f>IFERROR(VLOOKUP(H1912,'Contas Orç'!A:B,2,0),"N/A")</f>
        <v>MANUTENCAO E CONSERVACAO</v>
      </c>
      <c r="B1912" s="7" t="str">
        <f t="shared" si="58"/>
        <v>320406 - MANUTENCAO E CONSERVACAO</v>
      </c>
      <c r="C1912" s="25">
        <f t="shared" si="59"/>
        <v>44562</v>
      </c>
      <c r="D1912" s="27">
        <f>IF(K1912="CREDITO",Q1912,Q1912*-1)</f>
        <v>103.62</v>
      </c>
      <c r="E1912" t="s">
        <v>894</v>
      </c>
      <c r="F1912" t="s">
        <v>2406</v>
      </c>
      <c r="G1912" s="8">
        <v>44562</v>
      </c>
      <c r="H1912" t="s">
        <v>562</v>
      </c>
      <c r="I1912" t="s">
        <v>88</v>
      </c>
      <c r="J1912" t="s">
        <v>28</v>
      </c>
      <c r="K1912" t="s">
        <v>29</v>
      </c>
      <c r="L1912" t="s">
        <v>895</v>
      </c>
      <c r="M1912" t="s">
        <v>4402</v>
      </c>
      <c r="O1912" t="s">
        <v>896</v>
      </c>
      <c r="P1912" t="s">
        <v>33</v>
      </c>
      <c r="Q1912">
        <v>103.62</v>
      </c>
      <c r="R1912" t="s">
        <v>35</v>
      </c>
      <c r="S1912" t="s">
        <v>35</v>
      </c>
      <c r="T1912" t="s">
        <v>35</v>
      </c>
      <c r="U1912" t="s">
        <v>35</v>
      </c>
      <c r="V1912" t="s">
        <v>645</v>
      </c>
      <c r="W1912" t="s">
        <v>113</v>
      </c>
    </row>
    <row r="1913" spans="1:23" hidden="1" x14ac:dyDescent="0.25">
      <c r="A1913" s="7" t="str">
        <f>IFERROR(VLOOKUP(H1913,'Contas Orç'!A:B,2,0),"N/A")</f>
        <v>MANUTENCAO E CONSERVACAO</v>
      </c>
      <c r="B1913" s="7" t="str">
        <f t="shared" si="58"/>
        <v>320406 - MANUTENCAO E CONSERVACAO</v>
      </c>
      <c r="C1913" s="25">
        <f t="shared" si="59"/>
        <v>44562</v>
      </c>
      <c r="D1913" s="27">
        <f>IF(K1913="CREDITO",Q1913,Q1913*-1)</f>
        <v>3339.4</v>
      </c>
      <c r="E1913" t="s">
        <v>894</v>
      </c>
      <c r="F1913" t="s">
        <v>2407</v>
      </c>
      <c r="G1913" s="8">
        <v>44562</v>
      </c>
      <c r="H1913" t="s">
        <v>562</v>
      </c>
      <c r="I1913" t="s">
        <v>27</v>
      </c>
      <c r="J1913" t="s">
        <v>28</v>
      </c>
      <c r="K1913" t="s">
        <v>29</v>
      </c>
      <c r="L1913" t="s">
        <v>895</v>
      </c>
      <c r="M1913" t="s">
        <v>4402</v>
      </c>
      <c r="O1913" t="s">
        <v>896</v>
      </c>
      <c r="P1913" t="s">
        <v>33</v>
      </c>
      <c r="Q1913" s="22">
        <v>3339.4</v>
      </c>
      <c r="R1913" t="s">
        <v>35</v>
      </c>
      <c r="S1913" t="s">
        <v>35</v>
      </c>
      <c r="T1913" t="s">
        <v>35</v>
      </c>
      <c r="U1913" t="s">
        <v>35</v>
      </c>
      <c r="V1913" t="s">
        <v>645</v>
      </c>
      <c r="W1913" t="s">
        <v>113</v>
      </c>
    </row>
    <row r="1914" spans="1:23" hidden="1" x14ac:dyDescent="0.25">
      <c r="A1914" s="7" t="str">
        <f>IFERROR(VLOOKUP(H1914,'Contas Orç'!A:B,2,0),"N/A")</f>
        <v>MANUTENCAO E CONSERVACAO</v>
      </c>
      <c r="B1914" s="7" t="str">
        <f t="shared" si="58"/>
        <v>320406 - MANUTENCAO E CONSERVACAO</v>
      </c>
      <c r="C1914" s="25">
        <f t="shared" si="59"/>
        <v>44562</v>
      </c>
      <c r="D1914" s="27">
        <f>IF(K1914="CREDITO",Q1914,Q1914*-1)</f>
        <v>513.71</v>
      </c>
      <c r="E1914" t="s">
        <v>894</v>
      </c>
      <c r="F1914" t="s">
        <v>2408</v>
      </c>
      <c r="G1914" s="8">
        <v>44562</v>
      </c>
      <c r="H1914" t="s">
        <v>562</v>
      </c>
      <c r="I1914" t="s">
        <v>106</v>
      </c>
      <c r="J1914" t="s">
        <v>60</v>
      </c>
      <c r="K1914" t="s">
        <v>29</v>
      </c>
      <c r="L1914" t="s">
        <v>895</v>
      </c>
      <c r="M1914" t="s">
        <v>4402</v>
      </c>
      <c r="O1914" t="s">
        <v>896</v>
      </c>
      <c r="P1914" t="s">
        <v>33</v>
      </c>
      <c r="Q1914">
        <v>513.71</v>
      </c>
      <c r="R1914" t="s">
        <v>35</v>
      </c>
      <c r="S1914" t="s">
        <v>35</v>
      </c>
      <c r="T1914" t="s">
        <v>35</v>
      </c>
      <c r="U1914" t="s">
        <v>35</v>
      </c>
      <c r="V1914" t="s">
        <v>645</v>
      </c>
      <c r="W1914" t="s">
        <v>113</v>
      </c>
    </row>
    <row r="1915" spans="1:23" hidden="1" x14ac:dyDescent="0.25">
      <c r="A1915" s="7" t="str">
        <f>IFERROR(VLOOKUP(H1915,'Contas Orç'!A:B,2,0),"N/A")</f>
        <v>MANUTENCAO E CONSERVACAO</v>
      </c>
      <c r="B1915" s="7" t="str">
        <f t="shared" si="58"/>
        <v>320406 - MANUTENCAO E CONSERVACAO</v>
      </c>
      <c r="C1915" s="25">
        <f t="shared" si="59"/>
        <v>44562</v>
      </c>
      <c r="D1915" s="27">
        <f>IF(K1915="CREDITO",Q1915,Q1915*-1)</f>
        <v>808.12</v>
      </c>
      <c r="E1915" t="s">
        <v>894</v>
      </c>
      <c r="F1915" t="s">
        <v>2409</v>
      </c>
      <c r="G1915" s="8">
        <v>44562</v>
      </c>
      <c r="H1915" t="s">
        <v>562</v>
      </c>
      <c r="I1915" t="s">
        <v>53</v>
      </c>
      <c r="J1915" t="s">
        <v>54</v>
      </c>
      <c r="K1915" t="s">
        <v>29</v>
      </c>
      <c r="L1915" t="s">
        <v>895</v>
      </c>
      <c r="M1915" t="s">
        <v>4402</v>
      </c>
      <c r="O1915" t="s">
        <v>896</v>
      </c>
      <c r="P1915" t="s">
        <v>33</v>
      </c>
      <c r="Q1915">
        <v>808.12</v>
      </c>
      <c r="R1915" t="s">
        <v>35</v>
      </c>
      <c r="S1915" t="s">
        <v>35</v>
      </c>
      <c r="T1915" t="s">
        <v>35</v>
      </c>
      <c r="U1915" t="s">
        <v>35</v>
      </c>
      <c r="V1915" t="s">
        <v>645</v>
      </c>
      <c r="W1915" t="s">
        <v>113</v>
      </c>
    </row>
    <row r="1916" spans="1:23" hidden="1" x14ac:dyDescent="0.25">
      <c r="A1916" s="7" t="str">
        <f>IFERROR(VLOOKUP(H1916,'Contas Orç'!A:B,2,0),"N/A")</f>
        <v>MANUTENCAO E CONSERVACAO</v>
      </c>
      <c r="B1916" s="7" t="str">
        <f t="shared" si="58"/>
        <v>320406 - MANUTENCAO E CONSERVACAO</v>
      </c>
      <c r="C1916" s="25">
        <f t="shared" si="59"/>
        <v>44593</v>
      </c>
      <c r="D1916" s="27">
        <f>IF(K1916="CREDITO",Q1916,Q1916*-1)</f>
        <v>721.47</v>
      </c>
      <c r="E1916" t="s">
        <v>894</v>
      </c>
      <c r="F1916" t="s">
        <v>2410</v>
      </c>
      <c r="G1916" s="8">
        <v>44593</v>
      </c>
      <c r="H1916" t="s">
        <v>562</v>
      </c>
      <c r="I1916" t="s">
        <v>27</v>
      </c>
      <c r="J1916" t="s">
        <v>28</v>
      </c>
      <c r="K1916" t="s">
        <v>29</v>
      </c>
      <c r="L1916" t="s">
        <v>895</v>
      </c>
      <c r="M1916" t="s">
        <v>4402</v>
      </c>
      <c r="O1916" t="s">
        <v>896</v>
      </c>
      <c r="P1916" t="s">
        <v>33</v>
      </c>
      <c r="Q1916">
        <v>721.47</v>
      </c>
      <c r="R1916" t="s">
        <v>35</v>
      </c>
      <c r="S1916" t="s">
        <v>35</v>
      </c>
      <c r="T1916" t="s">
        <v>35</v>
      </c>
      <c r="U1916" t="s">
        <v>35</v>
      </c>
      <c r="V1916" t="s">
        <v>645</v>
      </c>
      <c r="W1916" t="s">
        <v>113</v>
      </c>
    </row>
    <row r="1917" spans="1:23" hidden="1" x14ac:dyDescent="0.25">
      <c r="A1917" s="7" t="str">
        <f>IFERROR(VLOOKUP(H1917,'Contas Orç'!A:B,2,0),"N/A")</f>
        <v>MANUTENCAO E CONSERVACAO</v>
      </c>
      <c r="B1917" s="7" t="str">
        <f t="shared" si="58"/>
        <v>320406 - MANUTENCAO E CONSERVACAO</v>
      </c>
      <c r="C1917" s="25">
        <f t="shared" si="59"/>
        <v>44593</v>
      </c>
      <c r="D1917" s="27">
        <f>IF(K1917="CREDITO",Q1917,Q1917*-1)</f>
        <v>247.19</v>
      </c>
      <c r="E1917" t="s">
        <v>894</v>
      </c>
      <c r="F1917" t="s">
        <v>2411</v>
      </c>
      <c r="G1917" s="8">
        <v>44593</v>
      </c>
      <c r="H1917" t="s">
        <v>562</v>
      </c>
      <c r="I1917" t="s">
        <v>106</v>
      </c>
      <c r="J1917" t="s">
        <v>60</v>
      </c>
      <c r="K1917" t="s">
        <v>29</v>
      </c>
      <c r="L1917" t="s">
        <v>895</v>
      </c>
      <c r="M1917" t="s">
        <v>4402</v>
      </c>
      <c r="O1917" t="s">
        <v>896</v>
      </c>
      <c r="P1917" t="s">
        <v>33</v>
      </c>
      <c r="Q1917">
        <v>247.19</v>
      </c>
      <c r="R1917" t="s">
        <v>35</v>
      </c>
      <c r="S1917" t="s">
        <v>35</v>
      </c>
      <c r="T1917" t="s">
        <v>35</v>
      </c>
      <c r="U1917" t="s">
        <v>35</v>
      </c>
      <c r="V1917" t="s">
        <v>645</v>
      </c>
      <c r="W1917" t="s">
        <v>113</v>
      </c>
    </row>
    <row r="1918" spans="1:23" hidden="1" x14ac:dyDescent="0.25">
      <c r="A1918" s="7" t="str">
        <f>IFERROR(VLOOKUP(H1918,'Contas Orç'!A:B,2,0),"N/A")</f>
        <v>MANUTENCAO E CONSERVACAO</v>
      </c>
      <c r="B1918" s="7" t="str">
        <f t="shared" si="58"/>
        <v>320406 - MANUTENCAO E CONSERVACAO</v>
      </c>
      <c r="C1918" s="25">
        <f t="shared" si="59"/>
        <v>44593</v>
      </c>
      <c r="D1918" s="27">
        <f>IF(K1918="CREDITO",Q1918,Q1918*-1)</f>
        <v>211</v>
      </c>
      <c r="E1918" t="s">
        <v>894</v>
      </c>
      <c r="F1918" t="s">
        <v>2412</v>
      </c>
      <c r="G1918" s="8">
        <v>44593</v>
      </c>
      <c r="H1918" t="s">
        <v>562</v>
      </c>
      <c r="I1918" t="s">
        <v>53</v>
      </c>
      <c r="J1918" t="s">
        <v>54</v>
      </c>
      <c r="K1918" t="s">
        <v>29</v>
      </c>
      <c r="L1918" t="s">
        <v>895</v>
      </c>
      <c r="M1918" t="s">
        <v>4402</v>
      </c>
      <c r="O1918" t="s">
        <v>896</v>
      </c>
      <c r="P1918" t="s">
        <v>33</v>
      </c>
      <c r="Q1918">
        <v>211</v>
      </c>
      <c r="R1918" t="s">
        <v>35</v>
      </c>
      <c r="S1918" t="s">
        <v>35</v>
      </c>
      <c r="T1918" t="s">
        <v>35</v>
      </c>
      <c r="U1918" t="s">
        <v>35</v>
      </c>
      <c r="V1918" t="s">
        <v>645</v>
      </c>
      <c r="W1918" t="s">
        <v>113</v>
      </c>
    </row>
    <row r="1919" spans="1:23" hidden="1" x14ac:dyDescent="0.25">
      <c r="A1919" s="7" t="str">
        <f>IFERROR(VLOOKUP(H1919,'Contas Orç'!A:B,2,0),"N/A")</f>
        <v>MANUTENCAO E CONSERVACAO</v>
      </c>
      <c r="B1919" s="7" t="str">
        <f t="shared" si="58"/>
        <v>320406 - MANUTENCAO E CONSERVACAO</v>
      </c>
      <c r="C1919" s="25">
        <f t="shared" si="59"/>
        <v>44652</v>
      </c>
      <c r="D1919" s="27">
        <f>IF(K1919="CREDITO",Q1919,Q1919*-1)</f>
        <v>559.35</v>
      </c>
      <c r="E1919" t="s">
        <v>894</v>
      </c>
      <c r="F1919" t="s">
        <v>2413</v>
      </c>
      <c r="G1919" s="8">
        <v>44652</v>
      </c>
      <c r="H1919" t="s">
        <v>562</v>
      </c>
      <c r="I1919" t="s">
        <v>88</v>
      </c>
      <c r="J1919" t="s">
        <v>28</v>
      </c>
      <c r="K1919" t="s">
        <v>29</v>
      </c>
      <c r="L1919" t="s">
        <v>895</v>
      </c>
      <c r="M1919" t="s">
        <v>4402</v>
      </c>
      <c r="O1919" t="s">
        <v>896</v>
      </c>
      <c r="P1919" t="s">
        <v>33</v>
      </c>
      <c r="Q1919">
        <v>559.35</v>
      </c>
      <c r="R1919" t="s">
        <v>35</v>
      </c>
      <c r="S1919" t="s">
        <v>35</v>
      </c>
      <c r="T1919" t="s">
        <v>35</v>
      </c>
      <c r="U1919" t="s">
        <v>35</v>
      </c>
      <c r="V1919" t="s">
        <v>645</v>
      </c>
      <c r="W1919" t="s">
        <v>113</v>
      </c>
    </row>
    <row r="1920" spans="1:23" hidden="1" x14ac:dyDescent="0.25">
      <c r="A1920" s="7" t="str">
        <f>IFERROR(VLOOKUP(H1920,'Contas Orç'!A:B,2,0),"N/A")</f>
        <v>MANUTENCAO E CONSERVACAO</v>
      </c>
      <c r="B1920" s="7" t="str">
        <f t="shared" si="58"/>
        <v>320406 - MANUTENCAO E CONSERVACAO</v>
      </c>
      <c r="C1920" s="25">
        <f t="shared" si="59"/>
        <v>44652</v>
      </c>
      <c r="D1920" s="27">
        <f>IF(K1920="CREDITO",Q1920,Q1920*-1)</f>
        <v>25.32</v>
      </c>
      <c r="E1920" t="s">
        <v>894</v>
      </c>
      <c r="F1920" t="s">
        <v>2414</v>
      </c>
      <c r="G1920" s="8">
        <v>44652</v>
      </c>
      <c r="H1920" t="s">
        <v>562</v>
      </c>
      <c r="I1920" t="s">
        <v>27</v>
      </c>
      <c r="J1920" t="s">
        <v>28</v>
      </c>
      <c r="K1920" t="s">
        <v>29</v>
      </c>
      <c r="L1920" t="s">
        <v>895</v>
      </c>
      <c r="M1920" t="s">
        <v>4402</v>
      </c>
      <c r="O1920" t="s">
        <v>896</v>
      </c>
      <c r="P1920" t="s">
        <v>33</v>
      </c>
      <c r="Q1920">
        <v>25.32</v>
      </c>
      <c r="R1920" t="s">
        <v>35</v>
      </c>
      <c r="S1920" t="s">
        <v>35</v>
      </c>
      <c r="T1920" t="s">
        <v>35</v>
      </c>
      <c r="U1920" t="s">
        <v>35</v>
      </c>
      <c r="V1920" t="s">
        <v>645</v>
      </c>
      <c r="W1920" t="s">
        <v>113</v>
      </c>
    </row>
    <row r="1921" spans="1:23" hidden="1" x14ac:dyDescent="0.25">
      <c r="A1921" s="7" t="str">
        <f>IFERROR(VLOOKUP(H1921,'Contas Orç'!A:B,2,0),"N/A")</f>
        <v>MANUTENCAO E CONSERVACAO</v>
      </c>
      <c r="B1921" s="7" t="str">
        <f t="shared" si="58"/>
        <v>320406 - MANUTENCAO E CONSERVACAO</v>
      </c>
      <c r="C1921" s="25">
        <f t="shared" si="59"/>
        <v>44652</v>
      </c>
      <c r="D1921" s="27">
        <f>IF(K1921="CREDITO",Q1921,Q1921*-1)</f>
        <v>53.26</v>
      </c>
      <c r="E1921" t="s">
        <v>894</v>
      </c>
      <c r="F1921" t="s">
        <v>2415</v>
      </c>
      <c r="G1921" s="8">
        <v>44652</v>
      </c>
      <c r="H1921" t="s">
        <v>562</v>
      </c>
      <c r="I1921" t="s">
        <v>53</v>
      </c>
      <c r="J1921" t="s">
        <v>54</v>
      </c>
      <c r="K1921" t="s">
        <v>29</v>
      </c>
      <c r="L1921" t="s">
        <v>895</v>
      </c>
      <c r="M1921" t="s">
        <v>4402</v>
      </c>
      <c r="O1921" t="s">
        <v>896</v>
      </c>
      <c r="P1921" t="s">
        <v>33</v>
      </c>
      <c r="Q1921">
        <v>53.26</v>
      </c>
      <c r="R1921" t="s">
        <v>35</v>
      </c>
      <c r="S1921" t="s">
        <v>35</v>
      </c>
      <c r="T1921" t="s">
        <v>35</v>
      </c>
      <c r="U1921" t="s">
        <v>35</v>
      </c>
      <c r="V1921" t="s">
        <v>645</v>
      </c>
      <c r="W1921" t="s">
        <v>113</v>
      </c>
    </row>
    <row r="1922" spans="1:23" hidden="1" x14ac:dyDescent="0.25">
      <c r="A1922" s="7" t="str">
        <f>IFERROR(VLOOKUP(H1922,'Contas Orç'!A:B,2,0),"N/A")</f>
        <v>MANUTENCAO E CONSERVACAO</v>
      </c>
      <c r="B1922" s="7" t="str">
        <f t="shared" si="58"/>
        <v>320406 - MANUTENCAO E CONSERVACAO</v>
      </c>
      <c r="C1922" s="25">
        <f t="shared" si="59"/>
        <v>44652</v>
      </c>
      <c r="D1922" s="27">
        <f>IF(K1922="CREDITO",Q1922,Q1922*-1)</f>
        <v>488.05</v>
      </c>
      <c r="E1922" t="s">
        <v>894</v>
      </c>
      <c r="F1922" t="s">
        <v>2416</v>
      </c>
      <c r="G1922" s="8">
        <v>44652</v>
      </c>
      <c r="H1922" t="s">
        <v>562</v>
      </c>
      <c r="I1922" t="s">
        <v>88</v>
      </c>
      <c r="J1922" t="s">
        <v>54</v>
      </c>
      <c r="K1922" t="s">
        <v>29</v>
      </c>
      <c r="L1922" t="s">
        <v>895</v>
      </c>
      <c r="M1922" t="s">
        <v>4402</v>
      </c>
      <c r="O1922" t="s">
        <v>896</v>
      </c>
      <c r="P1922" t="s">
        <v>33</v>
      </c>
      <c r="Q1922">
        <v>488.05</v>
      </c>
      <c r="R1922" t="s">
        <v>35</v>
      </c>
      <c r="S1922" t="s">
        <v>35</v>
      </c>
      <c r="T1922" t="s">
        <v>35</v>
      </c>
      <c r="U1922" t="s">
        <v>35</v>
      </c>
      <c r="V1922" t="s">
        <v>645</v>
      </c>
      <c r="W1922" t="s">
        <v>113</v>
      </c>
    </row>
    <row r="1923" spans="1:23" hidden="1" x14ac:dyDescent="0.25">
      <c r="A1923" s="7" t="str">
        <f>IFERROR(VLOOKUP(H1923,'Contas Orç'!A:B,2,0),"N/A")</f>
        <v>MANUTENCAO E CONSERVACAO</v>
      </c>
      <c r="B1923" s="7" t="str">
        <f t="shared" ref="B1923:B1986" si="60">_xlfn.CONCAT(H1923," - ",A1923)</f>
        <v>320406 - MANUTENCAO E CONSERVACAO</v>
      </c>
      <c r="C1923" s="25">
        <f t="shared" ref="C1923:C1986" si="61">DATE(YEAR(G1923),MONTH(G1923),1)</f>
        <v>44682</v>
      </c>
      <c r="D1923" s="27">
        <f>IF(K1923="CREDITO",Q1923,Q1923*-1)</f>
        <v>150</v>
      </c>
      <c r="E1923" t="s">
        <v>894</v>
      </c>
      <c r="F1923" t="s">
        <v>2417</v>
      </c>
      <c r="G1923" s="8">
        <v>44682</v>
      </c>
      <c r="H1923" t="s">
        <v>562</v>
      </c>
      <c r="I1923" t="s">
        <v>88</v>
      </c>
      <c r="J1923" t="s">
        <v>28</v>
      </c>
      <c r="K1923" t="s">
        <v>29</v>
      </c>
      <c r="L1923" t="s">
        <v>895</v>
      </c>
      <c r="M1923" t="s">
        <v>4402</v>
      </c>
      <c r="O1923" t="s">
        <v>896</v>
      </c>
      <c r="P1923" t="s">
        <v>33</v>
      </c>
      <c r="Q1923">
        <v>150</v>
      </c>
      <c r="R1923" t="s">
        <v>35</v>
      </c>
      <c r="S1923" t="s">
        <v>35</v>
      </c>
      <c r="T1923" t="s">
        <v>35</v>
      </c>
      <c r="U1923" t="s">
        <v>35</v>
      </c>
      <c r="V1923" t="s">
        <v>645</v>
      </c>
      <c r="W1923" t="s">
        <v>113</v>
      </c>
    </row>
    <row r="1924" spans="1:23" hidden="1" x14ac:dyDescent="0.25">
      <c r="A1924" s="7" t="str">
        <f>IFERROR(VLOOKUP(H1924,'Contas Orç'!A:B,2,0),"N/A")</f>
        <v>MANUTENCAO E CONSERVACAO</v>
      </c>
      <c r="B1924" s="7" t="str">
        <f t="shared" si="60"/>
        <v>320406 - MANUTENCAO E CONSERVACAO</v>
      </c>
      <c r="C1924" s="25">
        <f t="shared" si="61"/>
        <v>44682</v>
      </c>
      <c r="D1924" s="27">
        <f>IF(K1924="CREDITO",Q1924,Q1924*-1)</f>
        <v>17.54</v>
      </c>
      <c r="E1924" t="s">
        <v>894</v>
      </c>
      <c r="F1924" t="s">
        <v>2418</v>
      </c>
      <c r="G1924" s="8">
        <v>44682</v>
      </c>
      <c r="H1924" t="s">
        <v>562</v>
      </c>
      <c r="I1924" t="s">
        <v>27</v>
      </c>
      <c r="J1924" t="s">
        <v>28</v>
      </c>
      <c r="K1924" t="s">
        <v>29</v>
      </c>
      <c r="L1924" t="s">
        <v>895</v>
      </c>
      <c r="M1924" t="s">
        <v>4402</v>
      </c>
      <c r="O1924" t="s">
        <v>896</v>
      </c>
      <c r="P1924" t="s">
        <v>33</v>
      </c>
      <c r="Q1924">
        <v>17.54</v>
      </c>
      <c r="R1924" t="s">
        <v>35</v>
      </c>
      <c r="S1924" t="s">
        <v>35</v>
      </c>
      <c r="T1924" t="s">
        <v>35</v>
      </c>
      <c r="U1924" t="s">
        <v>35</v>
      </c>
      <c r="V1924" t="s">
        <v>645</v>
      </c>
      <c r="W1924" t="s">
        <v>113</v>
      </c>
    </row>
    <row r="1925" spans="1:23" hidden="1" x14ac:dyDescent="0.25">
      <c r="A1925" s="7" t="str">
        <f>IFERROR(VLOOKUP(H1925,'Contas Orç'!A:B,2,0),"N/A")</f>
        <v>MANUTENCAO E CONSERVACAO</v>
      </c>
      <c r="B1925" s="7" t="str">
        <f t="shared" si="60"/>
        <v>320406 - MANUTENCAO E CONSERVACAO</v>
      </c>
      <c r="C1925" s="25">
        <f t="shared" si="61"/>
        <v>44682</v>
      </c>
      <c r="D1925" s="27">
        <f>IF(K1925="CREDITO",Q1925,Q1925*-1)</f>
        <v>7.25</v>
      </c>
      <c r="E1925" t="s">
        <v>894</v>
      </c>
      <c r="F1925" t="s">
        <v>2419</v>
      </c>
      <c r="G1925" s="8">
        <v>44682</v>
      </c>
      <c r="H1925" t="s">
        <v>562</v>
      </c>
      <c r="I1925" t="s">
        <v>53</v>
      </c>
      <c r="J1925" t="s">
        <v>54</v>
      </c>
      <c r="K1925" t="s">
        <v>29</v>
      </c>
      <c r="L1925" t="s">
        <v>895</v>
      </c>
      <c r="M1925" t="s">
        <v>4402</v>
      </c>
      <c r="O1925" t="s">
        <v>896</v>
      </c>
      <c r="P1925" t="s">
        <v>33</v>
      </c>
      <c r="Q1925">
        <v>7.25</v>
      </c>
      <c r="R1925" t="s">
        <v>35</v>
      </c>
      <c r="S1925" t="s">
        <v>35</v>
      </c>
      <c r="T1925" t="s">
        <v>35</v>
      </c>
      <c r="U1925" t="s">
        <v>35</v>
      </c>
      <c r="V1925" t="s">
        <v>645</v>
      </c>
      <c r="W1925" t="s">
        <v>113</v>
      </c>
    </row>
    <row r="1926" spans="1:23" hidden="1" x14ac:dyDescent="0.25">
      <c r="A1926" s="7" t="str">
        <f>IFERROR(VLOOKUP(H1926,'Contas Orç'!A:B,2,0),"N/A")</f>
        <v>MANUTENCAO E CONSERVACAO</v>
      </c>
      <c r="B1926" s="7" t="str">
        <f t="shared" si="60"/>
        <v>320406 - MANUTENCAO E CONSERVACAO</v>
      </c>
      <c r="C1926" s="25">
        <f t="shared" si="61"/>
        <v>44713</v>
      </c>
      <c r="D1926" s="27">
        <f>IF(K1926="CREDITO",Q1926,Q1926*-1)</f>
        <v>1744.93</v>
      </c>
      <c r="E1926" t="s">
        <v>894</v>
      </c>
      <c r="F1926" t="s">
        <v>2420</v>
      </c>
      <c r="G1926" s="8">
        <v>44713</v>
      </c>
      <c r="H1926" t="s">
        <v>562</v>
      </c>
      <c r="I1926" t="s">
        <v>27</v>
      </c>
      <c r="J1926" t="s">
        <v>28</v>
      </c>
      <c r="K1926" t="s">
        <v>29</v>
      </c>
      <c r="L1926" t="s">
        <v>895</v>
      </c>
      <c r="M1926" t="s">
        <v>4402</v>
      </c>
      <c r="O1926" t="s">
        <v>896</v>
      </c>
      <c r="P1926" t="s">
        <v>33</v>
      </c>
      <c r="Q1926" s="22">
        <v>1744.93</v>
      </c>
      <c r="R1926" t="s">
        <v>35</v>
      </c>
      <c r="S1926" t="s">
        <v>35</v>
      </c>
      <c r="T1926" t="s">
        <v>35</v>
      </c>
      <c r="U1926" t="s">
        <v>35</v>
      </c>
      <c r="V1926" t="s">
        <v>645</v>
      </c>
      <c r="W1926" t="s">
        <v>113</v>
      </c>
    </row>
    <row r="1927" spans="1:23" hidden="1" x14ac:dyDescent="0.25">
      <c r="A1927" s="7" t="str">
        <f>IFERROR(VLOOKUP(H1927,'Contas Orç'!A:B,2,0),"N/A")</f>
        <v>MANUTENCAO E CONSERVACAO</v>
      </c>
      <c r="B1927" s="7" t="str">
        <f t="shared" si="60"/>
        <v>320406 - MANUTENCAO E CONSERVACAO</v>
      </c>
      <c r="C1927" s="25">
        <f t="shared" si="61"/>
        <v>44713</v>
      </c>
      <c r="D1927" s="27">
        <f>IF(K1927="CREDITO",Q1927,Q1927*-1)</f>
        <v>65.78</v>
      </c>
      <c r="E1927" t="s">
        <v>894</v>
      </c>
      <c r="F1927" t="s">
        <v>2421</v>
      </c>
      <c r="G1927" s="8">
        <v>44713</v>
      </c>
      <c r="H1927" t="s">
        <v>562</v>
      </c>
      <c r="I1927" t="s">
        <v>106</v>
      </c>
      <c r="J1927" t="s">
        <v>60</v>
      </c>
      <c r="K1927" t="s">
        <v>29</v>
      </c>
      <c r="L1927" t="s">
        <v>895</v>
      </c>
      <c r="M1927" t="s">
        <v>4402</v>
      </c>
      <c r="O1927" t="s">
        <v>896</v>
      </c>
      <c r="P1927" t="s">
        <v>33</v>
      </c>
      <c r="Q1927">
        <v>65.78</v>
      </c>
      <c r="R1927" t="s">
        <v>35</v>
      </c>
      <c r="S1927" t="s">
        <v>35</v>
      </c>
      <c r="T1927" t="s">
        <v>35</v>
      </c>
      <c r="U1927" t="s">
        <v>35</v>
      </c>
      <c r="V1927" t="s">
        <v>645</v>
      </c>
      <c r="W1927" t="s">
        <v>113</v>
      </c>
    </row>
    <row r="1928" spans="1:23" hidden="1" x14ac:dyDescent="0.25">
      <c r="A1928" s="7" t="str">
        <f>IFERROR(VLOOKUP(H1928,'Contas Orç'!A:B,2,0),"N/A")</f>
        <v>MANUTENCAO E CONSERVACAO</v>
      </c>
      <c r="B1928" s="7" t="str">
        <f t="shared" si="60"/>
        <v>320406 - MANUTENCAO E CONSERVACAO</v>
      </c>
      <c r="C1928" s="25">
        <f t="shared" si="61"/>
        <v>44713</v>
      </c>
      <c r="D1928" s="27">
        <f>IF(K1928="CREDITO",Q1928,Q1928*-1)</f>
        <v>411.39</v>
      </c>
      <c r="E1928" t="s">
        <v>894</v>
      </c>
      <c r="F1928" t="s">
        <v>2422</v>
      </c>
      <c r="G1928" s="8">
        <v>44713</v>
      </c>
      <c r="H1928" t="s">
        <v>562</v>
      </c>
      <c r="I1928" t="s">
        <v>88</v>
      </c>
      <c r="J1928" t="s">
        <v>54</v>
      </c>
      <c r="K1928" t="s">
        <v>29</v>
      </c>
      <c r="L1928" t="s">
        <v>895</v>
      </c>
      <c r="M1928" t="s">
        <v>4402</v>
      </c>
      <c r="O1928" t="s">
        <v>896</v>
      </c>
      <c r="P1928" t="s">
        <v>33</v>
      </c>
      <c r="Q1928">
        <v>411.39</v>
      </c>
      <c r="R1928" t="s">
        <v>35</v>
      </c>
      <c r="S1928" t="s">
        <v>35</v>
      </c>
      <c r="T1928" t="s">
        <v>35</v>
      </c>
      <c r="U1928" t="s">
        <v>35</v>
      </c>
      <c r="V1928" t="s">
        <v>645</v>
      </c>
      <c r="W1928" t="s">
        <v>113</v>
      </c>
    </row>
    <row r="1929" spans="1:23" hidden="1" x14ac:dyDescent="0.25">
      <c r="A1929" s="7" t="str">
        <f>IFERROR(VLOOKUP(H1929,'Contas Orç'!A:B,2,0),"N/A")</f>
        <v>MANUTENCAO E CONSERVACAO</v>
      </c>
      <c r="B1929" s="7" t="str">
        <f t="shared" si="60"/>
        <v>320406 - MANUTENCAO E CONSERVACAO</v>
      </c>
      <c r="C1929" s="25">
        <f t="shared" si="61"/>
        <v>44743</v>
      </c>
      <c r="D1929" s="27">
        <f>IF(K1929="CREDITO",Q1929,Q1929*-1)</f>
        <v>2761.44</v>
      </c>
      <c r="E1929" t="s">
        <v>894</v>
      </c>
      <c r="F1929" t="s">
        <v>2423</v>
      </c>
      <c r="G1929" s="8">
        <v>44743</v>
      </c>
      <c r="H1929" t="s">
        <v>562</v>
      </c>
      <c r="I1929" t="s">
        <v>88</v>
      </c>
      <c r="J1929" t="s">
        <v>28</v>
      </c>
      <c r="K1929" t="s">
        <v>29</v>
      </c>
      <c r="L1929" t="s">
        <v>895</v>
      </c>
      <c r="M1929" t="s">
        <v>4402</v>
      </c>
      <c r="O1929" t="s">
        <v>896</v>
      </c>
      <c r="P1929" t="s">
        <v>33</v>
      </c>
      <c r="Q1929" s="22">
        <v>2761.44</v>
      </c>
      <c r="R1929" t="s">
        <v>35</v>
      </c>
      <c r="S1929" t="s">
        <v>35</v>
      </c>
      <c r="T1929" t="s">
        <v>35</v>
      </c>
      <c r="U1929" t="s">
        <v>35</v>
      </c>
      <c r="V1929" t="s">
        <v>645</v>
      </c>
      <c r="W1929" t="s">
        <v>113</v>
      </c>
    </row>
    <row r="1930" spans="1:23" hidden="1" x14ac:dyDescent="0.25">
      <c r="A1930" s="7" t="str">
        <f>IFERROR(VLOOKUP(H1930,'Contas Orç'!A:B,2,0),"N/A")</f>
        <v>MANUTENCAO E CONSERVACAO</v>
      </c>
      <c r="B1930" s="7" t="str">
        <f t="shared" si="60"/>
        <v>320406 - MANUTENCAO E CONSERVACAO</v>
      </c>
      <c r="C1930" s="25">
        <f t="shared" si="61"/>
        <v>44743</v>
      </c>
      <c r="D1930" s="27">
        <f>IF(K1930="CREDITO",Q1930,Q1930*-1)</f>
        <v>3735.13</v>
      </c>
      <c r="E1930" t="s">
        <v>894</v>
      </c>
      <c r="F1930" t="s">
        <v>2424</v>
      </c>
      <c r="G1930" s="8">
        <v>44743</v>
      </c>
      <c r="H1930" t="s">
        <v>562</v>
      </c>
      <c r="I1930" t="s">
        <v>27</v>
      </c>
      <c r="J1930" t="s">
        <v>28</v>
      </c>
      <c r="K1930" t="s">
        <v>29</v>
      </c>
      <c r="L1930" t="s">
        <v>895</v>
      </c>
      <c r="M1930" t="s">
        <v>4402</v>
      </c>
      <c r="O1930" t="s">
        <v>896</v>
      </c>
      <c r="P1930" t="s">
        <v>33</v>
      </c>
      <c r="Q1930" s="22">
        <v>3735.13</v>
      </c>
      <c r="R1930" t="s">
        <v>35</v>
      </c>
      <c r="S1930" t="s">
        <v>35</v>
      </c>
      <c r="T1930" t="s">
        <v>35</v>
      </c>
      <c r="U1930" t="s">
        <v>35</v>
      </c>
      <c r="V1930" t="s">
        <v>645</v>
      </c>
      <c r="W1930" t="s">
        <v>113</v>
      </c>
    </row>
    <row r="1931" spans="1:23" hidden="1" x14ac:dyDescent="0.25">
      <c r="A1931" s="7" t="str">
        <f>IFERROR(VLOOKUP(H1931,'Contas Orç'!A:B,2,0),"N/A")</f>
        <v>MANUTENCAO E CONSERVACAO</v>
      </c>
      <c r="B1931" s="7" t="str">
        <f t="shared" si="60"/>
        <v>320406 - MANUTENCAO E CONSERVACAO</v>
      </c>
      <c r="C1931" s="25">
        <f t="shared" si="61"/>
        <v>44743</v>
      </c>
      <c r="D1931" s="27">
        <f>IF(K1931="CREDITO",Q1931,Q1931*-1)</f>
        <v>1358.2</v>
      </c>
      <c r="E1931" t="s">
        <v>894</v>
      </c>
      <c r="F1931" t="s">
        <v>2425</v>
      </c>
      <c r="G1931" s="8">
        <v>44743</v>
      </c>
      <c r="H1931" t="s">
        <v>562</v>
      </c>
      <c r="I1931" t="s">
        <v>53</v>
      </c>
      <c r="J1931" t="s">
        <v>54</v>
      </c>
      <c r="K1931" t="s">
        <v>29</v>
      </c>
      <c r="L1931" t="s">
        <v>895</v>
      </c>
      <c r="M1931" t="s">
        <v>4402</v>
      </c>
      <c r="O1931" t="s">
        <v>896</v>
      </c>
      <c r="P1931" t="s">
        <v>33</v>
      </c>
      <c r="Q1931" s="22">
        <v>1358.2</v>
      </c>
      <c r="R1931" t="s">
        <v>35</v>
      </c>
      <c r="S1931" t="s">
        <v>35</v>
      </c>
      <c r="T1931" t="s">
        <v>35</v>
      </c>
      <c r="U1931" t="s">
        <v>35</v>
      </c>
      <c r="V1931" t="s">
        <v>645</v>
      </c>
      <c r="W1931" t="s">
        <v>113</v>
      </c>
    </row>
    <row r="1932" spans="1:23" hidden="1" x14ac:dyDescent="0.25">
      <c r="A1932" s="7" t="str">
        <f>IFERROR(VLOOKUP(H1932,'Contas Orç'!A:B,2,0),"N/A")</f>
        <v>MANUTENCAO E CONSERVACAO</v>
      </c>
      <c r="B1932" s="7" t="str">
        <f t="shared" si="60"/>
        <v>320406 - MANUTENCAO E CONSERVACAO</v>
      </c>
      <c r="C1932" s="25">
        <f t="shared" si="61"/>
        <v>44774</v>
      </c>
      <c r="D1932" s="27">
        <f>IF(K1932="CREDITO",Q1932,Q1932*-1)</f>
        <v>641.23</v>
      </c>
      <c r="E1932" t="s">
        <v>894</v>
      </c>
      <c r="F1932" t="s">
        <v>2426</v>
      </c>
      <c r="G1932" s="8">
        <v>44774</v>
      </c>
      <c r="H1932" t="s">
        <v>562</v>
      </c>
      <c r="I1932" t="s">
        <v>88</v>
      </c>
      <c r="J1932" t="s">
        <v>28</v>
      </c>
      <c r="K1932" t="s">
        <v>29</v>
      </c>
      <c r="L1932" t="s">
        <v>895</v>
      </c>
      <c r="M1932" t="s">
        <v>4402</v>
      </c>
      <c r="O1932" t="s">
        <v>896</v>
      </c>
      <c r="P1932" t="s">
        <v>33</v>
      </c>
      <c r="Q1932">
        <v>641.23</v>
      </c>
      <c r="R1932" t="s">
        <v>35</v>
      </c>
      <c r="S1932" t="s">
        <v>35</v>
      </c>
      <c r="T1932" t="s">
        <v>35</v>
      </c>
      <c r="U1932" t="s">
        <v>35</v>
      </c>
      <c r="V1932" t="s">
        <v>645</v>
      </c>
      <c r="W1932" t="s">
        <v>113</v>
      </c>
    </row>
    <row r="1933" spans="1:23" hidden="1" x14ac:dyDescent="0.25">
      <c r="A1933" s="7" t="str">
        <f>IFERROR(VLOOKUP(H1933,'Contas Orç'!A:B,2,0),"N/A")</f>
        <v>MANUTENCAO E CONSERVACAO</v>
      </c>
      <c r="B1933" s="7" t="str">
        <f t="shared" si="60"/>
        <v>320406 - MANUTENCAO E CONSERVACAO</v>
      </c>
      <c r="C1933" s="25">
        <f t="shared" si="61"/>
        <v>44774</v>
      </c>
      <c r="D1933" s="27">
        <f>IF(K1933="CREDITO",Q1933,Q1933*-1)</f>
        <v>2245.12</v>
      </c>
      <c r="E1933" t="s">
        <v>894</v>
      </c>
      <c r="F1933" t="s">
        <v>2427</v>
      </c>
      <c r="G1933" s="8">
        <v>44774</v>
      </c>
      <c r="H1933" t="s">
        <v>562</v>
      </c>
      <c r="I1933" t="s">
        <v>27</v>
      </c>
      <c r="J1933" t="s">
        <v>28</v>
      </c>
      <c r="K1933" t="s">
        <v>29</v>
      </c>
      <c r="L1933" t="s">
        <v>895</v>
      </c>
      <c r="M1933" t="s">
        <v>4402</v>
      </c>
      <c r="O1933" t="s">
        <v>896</v>
      </c>
      <c r="P1933" t="s">
        <v>33</v>
      </c>
      <c r="Q1933" s="22">
        <v>2245.12</v>
      </c>
      <c r="R1933" t="s">
        <v>35</v>
      </c>
      <c r="S1933" t="s">
        <v>35</v>
      </c>
      <c r="T1933" t="s">
        <v>35</v>
      </c>
      <c r="U1933" t="s">
        <v>35</v>
      </c>
      <c r="V1933" t="s">
        <v>645</v>
      </c>
      <c r="W1933" t="s">
        <v>113</v>
      </c>
    </row>
    <row r="1934" spans="1:23" hidden="1" x14ac:dyDescent="0.25">
      <c r="A1934" s="7" t="str">
        <f>IFERROR(VLOOKUP(H1934,'Contas Orç'!A:B,2,0),"N/A")</f>
        <v>MANUTENCAO E CONSERVACAO</v>
      </c>
      <c r="B1934" s="7" t="str">
        <f t="shared" si="60"/>
        <v>320406 - MANUTENCAO E CONSERVACAO</v>
      </c>
      <c r="C1934" s="25">
        <f t="shared" si="61"/>
        <v>44774</v>
      </c>
      <c r="D1934" s="27">
        <f>IF(K1934="CREDITO",Q1934,Q1934*-1)</f>
        <v>412.42</v>
      </c>
      <c r="E1934" t="s">
        <v>894</v>
      </c>
      <c r="F1934" t="s">
        <v>2428</v>
      </c>
      <c r="G1934" s="8">
        <v>44774</v>
      </c>
      <c r="H1934" t="s">
        <v>562</v>
      </c>
      <c r="I1934" t="s">
        <v>27</v>
      </c>
      <c r="J1934" t="s">
        <v>60</v>
      </c>
      <c r="K1934" t="s">
        <v>29</v>
      </c>
      <c r="L1934" t="s">
        <v>895</v>
      </c>
      <c r="M1934" t="s">
        <v>4402</v>
      </c>
      <c r="O1934" t="s">
        <v>896</v>
      </c>
      <c r="P1934" t="s">
        <v>33</v>
      </c>
      <c r="Q1934">
        <v>412.42</v>
      </c>
      <c r="R1934" t="s">
        <v>35</v>
      </c>
      <c r="S1934" t="s">
        <v>35</v>
      </c>
      <c r="T1934" t="s">
        <v>35</v>
      </c>
      <c r="U1934" t="s">
        <v>35</v>
      </c>
      <c r="V1934" t="s">
        <v>645</v>
      </c>
      <c r="W1934" t="s">
        <v>113</v>
      </c>
    </row>
    <row r="1935" spans="1:23" hidden="1" x14ac:dyDescent="0.25">
      <c r="A1935" s="7" t="str">
        <f>IFERROR(VLOOKUP(H1935,'Contas Orç'!A:B,2,0),"N/A")</f>
        <v>MANUTENCAO E CONSERVACAO</v>
      </c>
      <c r="B1935" s="7" t="str">
        <f t="shared" si="60"/>
        <v>320406 - MANUTENCAO E CONSERVACAO</v>
      </c>
      <c r="C1935" s="25">
        <f t="shared" si="61"/>
        <v>44774</v>
      </c>
      <c r="D1935" s="27">
        <f>IF(K1935="CREDITO",Q1935,Q1935*-1)</f>
        <v>167.8</v>
      </c>
      <c r="E1935" t="s">
        <v>894</v>
      </c>
      <c r="F1935" t="s">
        <v>2429</v>
      </c>
      <c r="G1935" s="8">
        <v>44774</v>
      </c>
      <c r="H1935" t="s">
        <v>562</v>
      </c>
      <c r="I1935" t="s">
        <v>59</v>
      </c>
      <c r="J1935" t="s">
        <v>60</v>
      </c>
      <c r="K1935" t="s">
        <v>29</v>
      </c>
      <c r="L1935" t="s">
        <v>895</v>
      </c>
      <c r="M1935" t="s">
        <v>4402</v>
      </c>
      <c r="O1935" t="s">
        <v>896</v>
      </c>
      <c r="P1935" t="s">
        <v>33</v>
      </c>
      <c r="Q1935">
        <v>167.8</v>
      </c>
      <c r="R1935" t="s">
        <v>35</v>
      </c>
      <c r="S1935" t="s">
        <v>35</v>
      </c>
      <c r="T1935" t="s">
        <v>35</v>
      </c>
      <c r="U1935" t="s">
        <v>35</v>
      </c>
      <c r="V1935" t="s">
        <v>645</v>
      </c>
      <c r="W1935" t="s">
        <v>113</v>
      </c>
    </row>
    <row r="1936" spans="1:23" hidden="1" x14ac:dyDescent="0.25">
      <c r="A1936" s="7" t="str">
        <f>IFERROR(VLOOKUP(H1936,'Contas Orç'!A:B,2,0),"N/A")</f>
        <v>MANUTENCAO E CONSERVACAO</v>
      </c>
      <c r="B1936" s="7" t="str">
        <f t="shared" si="60"/>
        <v>320406 - MANUTENCAO E CONSERVACAO</v>
      </c>
      <c r="C1936" s="25">
        <f t="shared" si="61"/>
        <v>44774</v>
      </c>
      <c r="D1936" s="27">
        <f>IF(K1936="CREDITO",Q1936,Q1936*-1)</f>
        <v>167.04</v>
      </c>
      <c r="E1936" t="s">
        <v>894</v>
      </c>
      <c r="F1936" t="s">
        <v>2430</v>
      </c>
      <c r="G1936" s="8">
        <v>44774</v>
      </c>
      <c r="H1936" t="s">
        <v>562</v>
      </c>
      <c r="I1936" t="s">
        <v>59</v>
      </c>
      <c r="J1936" t="s">
        <v>107</v>
      </c>
      <c r="K1936" t="s">
        <v>29</v>
      </c>
      <c r="L1936" t="s">
        <v>895</v>
      </c>
      <c r="M1936" t="s">
        <v>4402</v>
      </c>
      <c r="O1936" t="s">
        <v>896</v>
      </c>
      <c r="P1936" t="s">
        <v>33</v>
      </c>
      <c r="Q1936">
        <v>167.04</v>
      </c>
      <c r="R1936" t="s">
        <v>35</v>
      </c>
      <c r="S1936" t="s">
        <v>35</v>
      </c>
      <c r="T1936" t="s">
        <v>35</v>
      </c>
      <c r="U1936" t="s">
        <v>35</v>
      </c>
      <c r="V1936" t="s">
        <v>645</v>
      </c>
      <c r="W1936" t="s">
        <v>113</v>
      </c>
    </row>
    <row r="1937" spans="1:23" hidden="1" x14ac:dyDescent="0.25">
      <c r="A1937" s="7" t="str">
        <f>IFERROR(VLOOKUP(H1937,'Contas Orç'!A:B,2,0),"N/A")</f>
        <v>MANUTENCAO E CONSERVACAO</v>
      </c>
      <c r="B1937" s="7" t="str">
        <f t="shared" si="60"/>
        <v>320406 - MANUTENCAO E CONSERVACAO</v>
      </c>
      <c r="C1937" s="25">
        <f t="shared" si="61"/>
        <v>44805</v>
      </c>
      <c r="D1937" s="27">
        <f>IF(K1937="CREDITO",Q1937,Q1937*-1)</f>
        <v>695.43</v>
      </c>
      <c r="E1937" t="s">
        <v>894</v>
      </c>
      <c r="F1937" t="s">
        <v>2431</v>
      </c>
      <c r="G1937" s="8">
        <v>44805</v>
      </c>
      <c r="H1937" t="s">
        <v>562</v>
      </c>
      <c r="I1937" t="s">
        <v>88</v>
      </c>
      <c r="J1937" t="s">
        <v>28</v>
      </c>
      <c r="K1937" t="s">
        <v>29</v>
      </c>
      <c r="L1937" t="s">
        <v>895</v>
      </c>
      <c r="M1937" t="s">
        <v>4402</v>
      </c>
      <c r="O1937" t="s">
        <v>896</v>
      </c>
      <c r="P1937" t="s">
        <v>33</v>
      </c>
      <c r="Q1937">
        <v>695.43</v>
      </c>
      <c r="R1937" t="s">
        <v>35</v>
      </c>
      <c r="S1937" t="s">
        <v>35</v>
      </c>
      <c r="T1937" t="s">
        <v>35</v>
      </c>
      <c r="U1937" t="s">
        <v>35</v>
      </c>
      <c r="V1937" t="s">
        <v>645</v>
      </c>
      <c r="W1937" t="s">
        <v>113</v>
      </c>
    </row>
    <row r="1938" spans="1:23" hidden="1" x14ac:dyDescent="0.25">
      <c r="A1938" s="7" t="str">
        <f>IFERROR(VLOOKUP(H1938,'Contas Orç'!A:B,2,0),"N/A")</f>
        <v>MANUTENCAO E CONSERVACAO</v>
      </c>
      <c r="B1938" s="7" t="str">
        <f t="shared" si="60"/>
        <v>320406 - MANUTENCAO E CONSERVACAO</v>
      </c>
      <c r="C1938" s="25">
        <f t="shared" si="61"/>
        <v>44805</v>
      </c>
      <c r="D1938" s="27">
        <f>IF(K1938="CREDITO",Q1938,Q1938*-1)</f>
        <v>295.86</v>
      </c>
      <c r="E1938" t="s">
        <v>894</v>
      </c>
      <c r="F1938" t="s">
        <v>2432</v>
      </c>
      <c r="G1938" s="8">
        <v>44805</v>
      </c>
      <c r="H1938" t="s">
        <v>562</v>
      </c>
      <c r="I1938" t="s">
        <v>27</v>
      </c>
      <c r="J1938" t="s">
        <v>28</v>
      </c>
      <c r="K1938" t="s">
        <v>29</v>
      </c>
      <c r="L1938" t="s">
        <v>895</v>
      </c>
      <c r="M1938" t="s">
        <v>4402</v>
      </c>
      <c r="O1938" t="s">
        <v>896</v>
      </c>
      <c r="P1938" t="s">
        <v>33</v>
      </c>
      <c r="Q1938">
        <v>295.86</v>
      </c>
      <c r="R1938" t="s">
        <v>35</v>
      </c>
      <c r="S1938" t="s">
        <v>35</v>
      </c>
      <c r="T1938" t="s">
        <v>35</v>
      </c>
      <c r="U1938" t="s">
        <v>35</v>
      </c>
      <c r="V1938" t="s">
        <v>645</v>
      </c>
      <c r="W1938" t="s">
        <v>113</v>
      </c>
    </row>
    <row r="1939" spans="1:23" hidden="1" x14ac:dyDescent="0.25">
      <c r="A1939" s="7" t="str">
        <f>IFERROR(VLOOKUP(H1939,'Contas Orç'!A:B,2,0),"N/A")</f>
        <v>MANUTENCAO E CONSERVACAO</v>
      </c>
      <c r="B1939" s="7" t="str">
        <f t="shared" si="60"/>
        <v>320406 - MANUTENCAO E CONSERVACAO</v>
      </c>
      <c r="C1939" s="25">
        <f t="shared" si="61"/>
        <v>44805</v>
      </c>
      <c r="D1939" s="27">
        <f>IF(K1939="CREDITO",Q1939,Q1939*-1)</f>
        <v>401.24</v>
      </c>
      <c r="E1939" t="s">
        <v>894</v>
      </c>
      <c r="F1939" t="s">
        <v>2433</v>
      </c>
      <c r="G1939" s="8">
        <v>44805</v>
      </c>
      <c r="H1939" t="s">
        <v>562</v>
      </c>
      <c r="I1939" t="s">
        <v>53</v>
      </c>
      <c r="J1939" t="s">
        <v>54</v>
      </c>
      <c r="K1939" t="s">
        <v>29</v>
      </c>
      <c r="L1939" t="s">
        <v>895</v>
      </c>
      <c r="M1939" t="s">
        <v>4402</v>
      </c>
      <c r="O1939" t="s">
        <v>896</v>
      </c>
      <c r="P1939" t="s">
        <v>33</v>
      </c>
      <c r="Q1939">
        <v>401.24</v>
      </c>
      <c r="R1939" t="s">
        <v>35</v>
      </c>
      <c r="S1939" t="s">
        <v>35</v>
      </c>
      <c r="T1939" t="s">
        <v>35</v>
      </c>
      <c r="U1939" t="s">
        <v>35</v>
      </c>
      <c r="V1939" t="s">
        <v>645</v>
      </c>
      <c r="W1939" t="s">
        <v>113</v>
      </c>
    </row>
    <row r="1940" spans="1:23" hidden="1" x14ac:dyDescent="0.25">
      <c r="A1940" s="7" t="str">
        <f>IFERROR(VLOOKUP(H1940,'Contas Orç'!A:B,2,0),"N/A")</f>
        <v>MANUTENCAO E CONSERVACAO</v>
      </c>
      <c r="B1940" s="7" t="str">
        <f t="shared" si="60"/>
        <v>320406 - MANUTENCAO E CONSERVACAO</v>
      </c>
      <c r="C1940" s="25">
        <f t="shared" si="61"/>
        <v>44835</v>
      </c>
      <c r="D1940" s="27">
        <f>IF(K1940="CREDITO",Q1940,Q1940*-1)</f>
        <v>702.38</v>
      </c>
      <c r="E1940" t="s">
        <v>894</v>
      </c>
      <c r="F1940" t="s">
        <v>2434</v>
      </c>
      <c r="G1940" s="8">
        <v>44835</v>
      </c>
      <c r="H1940" t="s">
        <v>562</v>
      </c>
      <c r="I1940" t="s">
        <v>88</v>
      </c>
      <c r="J1940" t="s">
        <v>28</v>
      </c>
      <c r="K1940" t="s">
        <v>29</v>
      </c>
      <c r="L1940" t="s">
        <v>895</v>
      </c>
      <c r="M1940" t="s">
        <v>4402</v>
      </c>
      <c r="O1940" t="s">
        <v>896</v>
      </c>
      <c r="P1940" t="s">
        <v>33</v>
      </c>
      <c r="Q1940">
        <v>702.38</v>
      </c>
      <c r="R1940" t="s">
        <v>35</v>
      </c>
      <c r="S1940" t="s">
        <v>35</v>
      </c>
      <c r="T1940" t="s">
        <v>35</v>
      </c>
      <c r="U1940" t="s">
        <v>35</v>
      </c>
      <c r="V1940" t="s">
        <v>645</v>
      </c>
      <c r="W1940" t="s">
        <v>113</v>
      </c>
    </row>
    <row r="1941" spans="1:23" hidden="1" x14ac:dyDescent="0.25">
      <c r="A1941" s="7" t="str">
        <f>IFERROR(VLOOKUP(H1941,'Contas Orç'!A:B,2,0),"N/A")</f>
        <v>MANUTENCAO E CONSERVACAO</v>
      </c>
      <c r="B1941" s="7" t="str">
        <f t="shared" si="60"/>
        <v>320406 - MANUTENCAO E CONSERVACAO</v>
      </c>
      <c r="C1941" s="25">
        <f t="shared" si="61"/>
        <v>44835</v>
      </c>
      <c r="D1941" s="27">
        <f>IF(K1941="CREDITO",Q1941,Q1941*-1)</f>
        <v>298.82</v>
      </c>
      <c r="E1941" t="s">
        <v>894</v>
      </c>
      <c r="F1941" t="s">
        <v>2435</v>
      </c>
      <c r="G1941" s="8">
        <v>44835</v>
      </c>
      <c r="H1941" t="s">
        <v>562</v>
      </c>
      <c r="I1941" t="s">
        <v>27</v>
      </c>
      <c r="J1941" t="s">
        <v>28</v>
      </c>
      <c r="K1941" t="s">
        <v>29</v>
      </c>
      <c r="L1941" t="s">
        <v>895</v>
      </c>
      <c r="M1941" t="s">
        <v>4402</v>
      </c>
      <c r="O1941" t="s">
        <v>896</v>
      </c>
      <c r="P1941" t="s">
        <v>33</v>
      </c>
      <c r="Q1941">
        <v>298.82</v>
      </c>
      <c r="R1941" t="s">
        <v>35</v>
      </c>
      <c r="S1941" t="s">
        <v>35</v>
      </c>
      <c r="T1941" t="s">
        <v>35</v>
      </c>
      <c r="U1941" t="s">
        <v>35</v>
      </c>
      <c r="V1941" t="s">
        <v>645</v>
      </c>
      <c r="W1941" t="s">
        <v>113</v>
      </c>
    </row>
    <row r="1942" spans="1:23" hidden="1" x14ac:dyDescent="0.25">
      <c r="A1942" s="7" t="str">
        <f>IFERROR(VLOOKUP(H1942,'Contas Orç'!A:B,2,0),"N/A")</f>
        <v>MANUTENCAO E CONSERVACAO</v>
      </c>
      <c r="B1942" s="7" t="str">
        <f t="shared" si="60"/>
        <v>320406 - MANUTENCAO E CONSERVACAO</v>
      </c>
      <c r="C1942" s="25">
        <f t="shared" si="61"/>
        <v>44835</v>
      </c>
      <c r="D1942" s="27">
        <f>IF(K1942="CREDITO",Q1942,Q1942*-1)</f>
        <v>405.25</v>
      </c>
      <c r="E1942" t="s">
        <v>894</v>
      </c>
      <c r="F1942" t="s">
        <v>2436</v>
      </c>
      <c r="G1942" s="8">
        <v>44835</v>
      </c>
      <c r="H1942" t="s">
        <v>562</v>
      </c>
      <c r="I1942" t="s">
        <v>53</v>
      </c>
      <c r="J1942" t="s">
        <v>54</v>
      </c>
      <c r="K1942" t="s">
        <v>29</v>
      </c>
      <c r="L1942" t="s">
        <v>895</v>
      </c>
      <c r="M1942" t="s">
        <v>4402</v>
      </c>
      <c r="O1942" t="s">
        <v>896</v>
      </c>
      <c r="P1942" t="s">
        <v>33</v>
      </c>
      <c r="Q1942">
        <v>405.25</v>
      </c>
      <c r="R1942" t="s">
        <v>35</v>
      </c>
      <c r="S1942" t="s">
        <v>35</v>
      </c>
      <c r="T1942" t="s">
        <v>35</v>
      </c>
      <c r="U1942" t="s">
        <v>35</v>
      </c>
      <c r="V1942" t="s">
        <v>645</v>
      </c>
      <c r="W1942" t="s">
        <v>113</v>
      </c>
    </row>
    <row r="1943" spans="1:23" hidden="1" x14ac:dyDescent="0.25">
      <c r="A1943" s="7" t="str">
        <f>IFERROR(VLOOKUP(H1943,'Contas Orç'!A:B,2,0),"N/A")</f>
        <v>MANUTENCAO E CONSERVACAO</v>
      </c>
      <c r="B1943" s="7" t="str">
        <f t="shared" si="60"/>
        <v>320406 - MANUTENCAO E CONSERVACAO</v>
      </c>
      <c r="C1943" s="25">
        <f t="shared" si="61"/>
        <v>44866</v>
      </c>
      <c r="D1943" s="27">
        <f>IF(K1943="CREDITO",Q1943,Q1943*-1)</f>
        <v>709.41</v>
      </c>
      <c r="E1943" t="s">
        <v>894</v>
      </c>
      <c r="F1943" t="s">
        <v>2437</v>
      </c>
      <c r="G1943" s="8">
        <v>44866</v>
      </c>
      <c r="H1943" t="s">
        <v>562</v>
      </c>
      <c r="I1943" t="s">
        <v>88</v>
      </c>
      <c r="J1943" t="s">
        <v>28</v>
      </c>
      <c r="K1943" t="s">
        <v>29</v>
      </c>
      <c r="L1943" t="s">
        <v>895</v>
      </c>
      <c r="M1943" t="s">
        <v>4402</v>
      </c>
      <c r="O1943" t="s">
        <v>896</v>
      </c>
      <c r="P1943" t="s">
        <v>33</v>
      </c>
      <c r="Q1943">
        <v>709.41</v>
      </c>
      <c r="R1943" t="s">
        <v>35</v>
      </c>
      <c r="S1943" t="s">
        <v>35</v>
      </c>
      <c r="T1943" t="s">
        <v>35</v>
      </c>
      <c r="U1943" t="s">
        <v>35</v>
      </c>
      <c r="V1943" t="s">
        <v>645</v>
      </c>
      <c r="W1943" t="s">
        <v>113</v>
      </c>
    </row>
    <row r="1944" spans="1:23" hidden="1" x14ac:dyDescent="0.25">
      <c r="A1944" s="7" t="str">
        <f>IFERROR(VLOOKUP(H1944,'Contas Orç'!A:B,2,0),"N/A")</f>
        <v>MANUTENCAO E CONSERVACAO</v>
      </c>
      <c r="B1944" s="7" t="str">
        <f t="shared" si="60"/>
        <v>320406 - MANUTENCAO E CONSERVACAO</v>
      </c>
      <c r="C1944" s="25">
        <f t="shared" si="61"/>
        <v>44866</v>
      </c>
      <c r="D1944" s="27">
        <f>IF(K1944="CREDITO",Q1944,Q1944*-1)</f>
        <v>301.81</v>
      </c>
      <c r="E1944" t="s">
        <v>894</v>
      </c>
      <c r="F1944" t="s">
        <v>2438</v>
      </c>
      <c r="G1944" s="8">
        <v>44866</v>
      </c>
      <c r="H1944" t="s">
        <v>562</v>
      </c>
      <c r="I1944" t="s">
        <v>27</v>
      </c>
      <c r="J1944" t="s">
        <v>28</v>
      </c>
      <c r="K1944" t="s">
        <v>29</v>
      </c>
      <c r="L1944" t="s">
        <v>895</v>
      </c>
      <c r="M1944" t="s">
        <v>4402</v>
      </c>
      <c r="O1944" t="s">
        <v>896</v>
      </c>
      <c r="P1944" t="s">
        <v>33</v>
      </c>
      <c r="Q1944">
        <v>301.81</v>
      </c>
      <c r="R1944" t="s">
        <v>35</v>
      </c>
      <c r="S1944" t="s">
        <v>35</v>
      </c>
      <c r="T1944" t="s">
        <v>35</v>
      </c>
      <c r="U1944" t="s">
        <v>35</v>
      </c>
      <c r="V1944" t="s">
        <v>645</v>
      </c>
      <c r="W1944" t="s">
        <v>113</v>
      </c>
    </row>
    <row r="1945" spans="1:23" hidden="1" x14ac:dyDescent="0.25">
      <c r="A1945" s="7" t="str">
        <f>IFERROR(VLOOKUP(H1945,'Contas Orç'!A:B,2,0),"N/A")</f>
        <v>MANUTENCAO E CONSERVACAO</v>
      </c>
      <c r="B1945" s="7" t="str">
        <f t="shared" si="60"/>
        <v>320406 - MANUTENCAO E CONSERVACAO</v>
      </c>
      <c r="C1945" s="25">
        <f t="shared" si="61"/>
        <v>44866</v>
      </c>
      <c r="D1945" s="27">
        <f>IF(K1945="CREDITO",Q1945,Q1945*-1)</f>
        <v>409.3</v>
      </c>
      <c r="E1945" t="s">
        <v>894</v>
      </c>
      <c r="F1945" t="s">
        <v>2439</v>
      </c>
      <c r="G1945" s="8">
        <v>44866</v>
      </c>
      <c r="H1945" t="s">
        <v>562</v>
      </c>
      <c r="I1945" t="s">
        <v>53</v>
      </c>
      <c r="J1945" t="s">
        <v>54</v>
      </c>
      <c r="K1945" t="s">
        <v>29</v>
      </c>
      <c r="L1945" t="s">
        <v>895</v>
      </c>
      <c r="M1945" t="s">
        <v>4402</v>
      </c>
      <c r="O1945" t="s">
        <v>896</v>
      </c>
      <c r="P1945" t="s">
        <v>33</v>
      </c>
      <c r="Q1945">
        <v>409.3</v>
      </c>
      <c r="R1945" t="s">
        <v>35</v>
      </c>
      <c r="S1945" t="s">
        <v>35</v>
      </c>
      <c r="T1945" t="s">
        <v>35</v>
      </c>
      <c r="U1945" t="s">
        <v>35</v>
      </c>
      <c r="V1945" t="s">
        <v>645</v>
      </c>
      <c r="W1945" t="s">
        <v>113</v>
      </c>
    </row>
    <row r="1946" spans="1:23" hidden="1" x14ac:dyDescent="0.25">
      <c r="A1946" s="7" t="str">
        <f>IFERROR(VLOOKUP(H1946,'Contas Orç'!A:B,2,0),"N/A")</f>
        <v>MANUTENCAO E CONSERVACAO</v>
      </c>
      <c r="B1946" s="7" t="str">
        <f t="shared" si="60"/>
        <v>320406 - MANUTENCAO E CONSERVACAO</v>
      </c>
      <c r="C1946" s="25">
        <f t="shared" si="61"/>
        <v>44896</v>
      </c>
      <c r="D1946" s="27">
        <f>IF(K1946="CREDITO",Q1946,Q1946*-1)</f>
        <v>716.5</v>
      </c>
      <c r="E1946" t="s">
        <v>894</v>
      </c>
      <c r="F1946" t="s">
        <v>2440</v>
      </c>
      <c r="G1946" s="8">
        <v>44896</v>
      </c>
      <c r="H1946" t="s">
        <v>562</v>
      </c>
      <c r="I1946" t="s">
        <v>88</v>
      </c>
      <c r="J1946" t="s">
        <v>28</v>
      </c>
      <c r="K1946" t="s">
        <v>29</v>
      </c>
      <c r="L1946" t="s">
        <v>895</v>
      </c>
      <c r="M1946" t="s">
        <v>4402</v>
      </c>
      <c r="O1946" t="s">
        <v>896</v>
      </c>
      <c r="P1946" t="s">
        <v>33</v>
      </c>
      <c r="Q1946">
        <v>716.5</v>
      </c>
      <c r="R1946" t="s">
        <v>35</v>
      </c>
      <c r="S1946" t="s">
        <v>35</v>
      </c>
      <c r="T1946" t="s">
        <v>35</v>
      </c>
      <c r="U1946" t="s">
        <v>35</v>
      </c>
      <c r="V1946" t="s">
        <v>645</v>
      </c>
      <c r="W1946" t="s">
        <v>113</v>
      </c>
    </row>
    <row r="1947" spans="1:23" hidden="1" x14ac:dyDescent="0.25">
      <c r="A1947" s="7" t="str">
        <f>IFERROR(VLOOKUP(H1947,'Contas Orç'!A:B,2,0),"N/A")</f>
        <v>MANUTENCAO E CONSERVACAO</v>
      </c>
      <c r="B1947" s="7" t="str">
        <f t="shared" si="60"/>
        <v>320406 - MANUTENCAO E CONSERVACAO</v>
      </c>
      <c r="C1947" s="25">
        <f t="shared" si="61"/>
        <v>44896</v>
      </c>
      <c r="D1947" s="27">
        <f>IF(K1947="CREDITO",Q1947,Q1947*-1)</f>
        <v>304.82</v>
      </c>
      <c r="E1947" t="s">
        <v>894</v>
      </c>
      <c r="F1947" t="s">
        <v>2441</v>
      </c>
      <c r="G1947" s="8">
        <v>44896</v>
      </c>
      <c r="H1947" t="s">
        <v>562</v>
      </c>
      <c r="I1947" t="s">
        <v>27</v>
      </c>
      <c r="J1947" t="s">
        <v>28</v>
      </c>
      <c r="K1947" t="s">
        <v>29</v>
      </c>
      <c r="L1947" t="s">
        <v>895</v>
      </c>
      <c r="M1947" t="s">
        <v>4402</v>
      </c>
      <c r="O1947" t="s">
        <v>896</v>
      </c>
      <c r="P1947" t="s">
        <v>33</v>
      </c>
      <c r="Q1947">
        <v>304.82</v>
      </c>
      <c r="R1947" t="s">
        <v>35</v>
      </c>
      <c r="S1947" t="s">
        <v>35</v>
      </c>
      <c r="T1947" t="s">
        <v>35</v>
      </c>
      <c r="U1947" t="s">
        <v>35</v>
      </c>
      <c r="V1947" t="s">
        <v>645</v>
      </c>
      <c r="W1947" t="s">
        <v>113</v>
      </c>
    </row>
    <row r="1948" spans="1:23" hidden="1" x14ac:dyDescent="0.25">
      <c r="A1948" s="7" t="str">
        <f>IFERROR(VLOOKUP(H1948,'Contas Orç'!A:B,2,0),"N/A")</f>
        <v>MANUTENCAO E CONSERVACAO</v>
      </c>
      <c r="B1948" s="7" t="str">
        <f t="shared" si="60"/>
        <v>320406 - MANUTENCAO E CONSERVACAO</v>
      </c>
      <c r="C1948" s="25">
        <f t="shared" si="61"/>
        <v>44896</v>
      </c>
      <c r="D1948" s="27">
        <f>IF(K1948="CREDITO",Q1948,Q1948*-1)</f>
        <v>413.4</v>
      </c>
      <c r="E1948" t="s">
        <v>894</v>
      </c>
      <c r="F1948" t="s">
        <v>2442</v>
      </c>
      <c r="G1948" s="8">
        <v>44896</v>
      </c>
      <c r="H1948" t="s">
        <v>562</v>
      </c>
      <c r="I1948" t="s">
        <v>53</v>
      </c>
      <c r="J1948" t="s">
        <v>54</v>
      </c>
      <c r="K1948" t="s">
        <v>29</v>
      </c>
      <c r="L1948" t="s">
        <v>895</v>
      </c>
      <c r="M1948" t="s">
        <v>4402</v>
      </c>
      <c r="O1948" t="s">
        <v>896</v>
      </c>
      <c r="P1948" t="s">
        <v>33</v>
      </c>
      <c r="Q1948">
        <v>413.4</v>
      </c>
      <c r="R1948" t="s">
        <v>35</v>
      </c>
      <c r="S1948" t="s">
        <v>35</v>
      </c>
      <c r="T1948" t="s">
        <v>35</v>
      </c>
      <c r="U1948" t="s">
        <v>35</v>
      </c>
      <c r="V1948" t="s">
        <v>645</v>
      </c>
      <c r="W1948" t="s">
        <v>113</v>
      </c>
    </row>
    <row r="1949" spans="1:23" hidden="1" x14ac:dyDescent="0.25">
      <c r="A1949" s="7" t="str">
        <f>IFERROR(VLOOKUP(H1949,'Contas Orç'!A:B,2,0),"N/A")</f>
        <v>IMPOSTOS, MULTAS E TAXAS DIVERSAS</v>
      </c>
      <c r="B1949" s="7" t="str">
        <f t="shared" si="60"/>
        <v>320408 - IMPOSTOS, MULTAS E TAXAS DIVERSAS</v>
      </c>
      <c r="C1949" s="25">
        <f t="shared" si="61"/>
        <v>44562</v>
      </c>
      <c r="D1949" s="27">
        <f>IF(K1949="CREDITO",Q1949,Q1949*-1)</f>
        <v>38650.839999999997</v>
      </c>
      <c r="E1949" t="s">
        <v>894</v>
      </c>
      <c r="F1949" t="s">
        <v>2443</v>
      </c>
      <c r="G1949" s="8">
        <v>44562</v>
      </c>
      <c r="H1949" t="s">
        <v>566</v>
      </c>
      <c r="I1949" t="s">
        <v>53</v>
      </c>
      <c r="J1949" t="s">
        <v>54</v>
      </c>
      <c r="K1949" t="s">
        <v>29</v>
      </c>
      <c r="L1949" t="s">
        <v>895</v>
      </c>
      <c r="M1949" t="s">
        <v>4402</v>
      </c>
      <c r="O1949" t="s">
        <v>896</v>
      </c>
      <c r="P1949" t="s">
        <v>33</v>
      </c>
      <c r="Q1949" s="22">
        <v>38650.839999999997</v>
      </c>
      <c r="R1949" t="s">
        <v>35</v>
      </c>
      <c r="S1949" t="s">
        <v>35</v>
      </c>
      <c r="T1949" t="s">
        <v>35</v>
      </c>
      <c r="U1949" t="s">
        <v>35</v>
      </c>
      <c r="V1949" t="s">
        <v>645</v>
      </c>
      <c r="W1949" t="s">
        <v>113</v>
      </c>
    </row>
    <row r="1950" spans="1:23" hidden="1" x14ac:dyDescent="0.25">
      <c r="A1950" s="7" t="str">
        <f>IFERROR(VLOOKUP(H1950,'Contas Orç'!A:B,2,0),"N/A")</f>
        <v>DESPESAS GERAIS</v>
      </c>
      <c r="B1950" s="7" t="str">
        <f t="shared" si="60"/>
        <v>320409 - DESPESAS GERAIS</v>
      </c>
      <c r="C1950" s="25">
        <f t="shared" si="61"/>
        <v>44562</v>
      </c>
      <c r="D1950" s="27">
        <f>IF(K1950="CREDITO",Q1950,Q1950*-1)</f>
        <v>2197.29</v>
      </c>
      <c r="E1950" t="s">
        <v>894</v>
      </c>
      <c r="F1950" t="s">
        <v>2444</v>
      </c>
      <c r="G1950" s="8">
        <v>44562</v>
      </c>
      <c r="H1950" t="s">
        <v>568</v>
      </c>
      <c r="I1950" t="s">
        <v>88</v>
      </c>
      <c r="J1950" t="s">
        <v>28</v>
      </c>
      <c r="K1950" t="s">
        <v>29</v>
      </c>
      <c r="L1950" t="s">
        <v>895</v>
      </c>
      <c r="M1950" t="s">
        <v>4402</v>
      </c>
      <c r="O1950" t="s">
        <v>896</v>
      </c>
      <c r="P1950" t="s">
        <v>33</v>
      </c>
      <c r="Q1950" s="22">
        <v>2197.29</v>
      </c>
      <c r="R1950" t="s">
        <v>35</v>
      </c>
      <c r="S1950" t="s">
        <v>35</v>
      </c>
      <c r="T1950" t="s">
        <v>35</v>
      </c>
      <c r="U1950" t="s">
        <v>35</v>
      </c>
      <c r="V1950" t="s">
        <v>645</v>
      </c>
      <c r="W1950" t="s">
        <v>113</v>
      </c>
    </row>
    <row r="1951" spans="1:23" hidden="1" x14ac:dyDescent="0.25">
      <c r="A1951" s="7" t="str">
        <f>IFERROR(VLOOKUP(H1951,'Contas Orç'!A:B,2,0),"N/A")</f>
        <v>DESPESAS GERAIS</v>
      </c>
      <c r="B1951" s="7" t="str">
        <f t="shared" si="60"/>
        <v>320409 - DESPESAS GERAIS</v>
      </c>
      <c r="C1951" s="25">
        <f t="shared" si="61"/>
        <v>44562</v>
      </c>
      <c r="D1951" s="27">
        <f>IF(K1951="CREDITO",Q1951,Q1951*-1)</f>
        <v>2853.96</v>
      </c>
      <c r="E1951" t="s">
        <v>894</v>
      </c>
      <c r="F1951" t="s">
        <v>2445</v>
      </c>
      <c r="G1951" s="8">
        <v>44562</v>
      </c>
      <c r="H1951" t="s">
        <v>568</v>
      </c>
      <c r="I1951" t="s">
        <v>27</v>
      </c>
      <c r="J1951" t="s">
        <v>28</v>
      </c>
      <c r="K1951" t="s">
        <v>29</v>
      </c>
      <c r="L1951" t="s">
        <v>895</v>
      </c>
      <c r="M1951" t="s">
        <v>4402</v>
      </c>
      <c r="O1951" t="s">
        <v>896</v>
      </c>
      <c r="P1951" t="s">
        <v>33</v>
      </c>
      <c r="Q1951" s="22">
        <v>2853.96</v>
      </c>
      <c r="R1951" t="s">
        <v>35</v>
      </c>
      <c r="S1951" t="s">
        <v>35</v>
      </c>
      <c r="T1951" t="s">
        <v>35</v>
      </c>
      <c r="U1951" t="s">
        <v>35</v>
      </c>
      <c r="V1951" t="s">
        <v>645</v>
      </c>
      <c r="W1951" t="s">
        <v>113</v>
      </c>
    </row>
    <row r="1952" spans="1:23" hidden="1" x14ac:dyDescent="0.25">
      <c r="A1952" s="7" t="str">
        <f>IFERROR(VLOOKUP(H1952,'Contas Orç'!A:B,2,0),"N/A")</f>
        <v>DESPESAS GERAIS</v>
      </c>
      <c r="B1952" s="7" t="str">
        <f t="shared" si="60"/>
        <v>320409 - DESPESAS GERAIS</v>
      </c>
      <c r="C1952" s="25">
        <f t="shared" si="61"/>
        <v>44562</v>
      </c>
      <c r="D1952" s="27">
        <f>IF(K1952="CREDITO",Q1952,Q1952*-1)</f>
        <v>470.57</v>
      </c>
      <c r="E1952" t="s">
        <v>894</v>
      </c>
      <c r="F1952" t="s">
        <v>2446</v>
      </c>
      <c r="G1952" s="8">
        <v>44562</v>
      </c>
      <c r="H1952" t="s">
        <v>568</v>
      </c>
      <c r="I1952" t="s">
        <v>106</v>
      </c>
      <c r="J1952" t="s">
        <v>60</v>
      </c>
      <c r="K1952" t="s">
        <v>29</v>
      </c>
      <c r="L1952" t="s">
        <v>895</v>
      </c>
      <c r="M1952" t="s">
        <v>4402</v>
      </c>
      <c r="O1952" t="s">
        <v>896</v>
      </c>
      <c r="P1952" t="s">
        <v>33</v>
      </c>
      <c r="Q1952">
        <v>470.57</v>
      </c>
      <c r="R1952" t="s">
        <v>35</v>
      </c>
      <c r="S1952" t="s">
        <v>35</v>
      </c>
      <c r="T1952" t="s">
        <v>35</v>
      </c>
      <c r="U1952" t="s">
        <v>35</v>
      </c>
      <c r="V1952" t="s">
        <v>645</v>
      </c>
      <c r="W1952" t="s">
        <v>113</v>
      </c>
    </row>
    <row r="1953" spans="1:23" hidden="1" x14ac:dyDescent="0.25">
      <c r="A1953" s="7" t="str">
        <f>IFERROR(VLOOKUP(H1953,'Contas Orç'!A:B,2,0),"N/A")</f>
        <v>DESPESAS GERAIS</v>
      </c>
      <c r="B1953" s="7" t="str">
        <f t="shared" si="60"/>
        <v>320409 - DESPESAS GERAIS</v>
      </c>
      <c r="C1953" s="25">
        <f t="shared" si="61"/>
        <v>44562</v>
      </c>
      <c r="D1953" s="27">
        <f>IF(K1953="CREDITO",Q1953,Q1953*-1)</f>
        <v>1426.74</v>
      </c>
      <c r="E1953" t="s">
        <v>894</v>
      </c>
      <c r="F1953" t="s">
        <v>2447</v>
      </c>
      <c r="G1953" s="8">
        <v>44562</v>
      </c>
      <c r="H1953" t="s">
        <v>568</v>
      </c>
      <c r="I1953" t="s">
        <v>59</v>
      </c>
      <c r="J1953" t="s">
        <v>60</v>
      </c>
      <c r="K1953" t="s">
        <v>29</v>
      </c>
      <c r="L1953" t="s">
        <v>895</v>
      </c>
      <c r="M1953" t="s">
        <v>4402</v>
      </c>
      <c r="O1953" t="s">
        <v>896</v>
      </c>
      <c r="P1953" t="s">
        <v>33</v>
      </c>
      <c r="Q1953" s="22">
        <v>1426.74</v>
      </c>
      <c r="R1953" t="s">
        <v>35</v>
      </c>
      <c r="S1953" t="s">
        <v>35</v>
      </c>
      <c r="T1953" t="s">
        <v>35</v>
      </c>
      <c r="U1953" t="s">
        <v>35</v>
      </c>
      <c r="V1953" t="s">
        <v>645</v>
      </c>
      <c r="W1953" t="s">
        <v>113</v>
      </c>
    </row>
    <row r="1954" spans="1:23" hidden="1" x14ac:dyDescent="0.25">
      <c r="A1954" s="7" t="str">
        <f>IFERROR(VLOOKUP(H1954,'Contas Orç'!A:B,2,0),"N/A")</f>
        <v>DESPESAS GERAIS</v>
      </c>
      <c r="B1954" s="7" t="str">
        <f t="shared" si="60"/>
        <v>320409 - DESPESAS GERAIS</v>
      </c>
      <c r="C1954" s="25">
        <f t="shared" si="61"/>
        <v>44562</v>
      </c>
      <c r="D1954" s="27">
        <f>IF(K1954="CREDITO",Q1954,Q1954*-1)</f>
        <v>630.17999999999995</v>
      </c>
      <c r="E1954" t="s">
        <v>894</v>
      </c>
      <c r="F1954" t="s">
        <v>2448</v>
      </c>
      <c r="G1954" s="8">
        <v>44562</v>
      </c>
      <c r="H1954" t="s">
        <v>568</v>
      </c>
      <c r="I1954" t="s">
        <v>59</v>
      </c>
      <c r="J1954" t="s">
        <v>107</v>
      </c>
      <c r="K1954" t="s">
        <v>29</v>
      </c>
      <c r="L1954" t="s">
        <v>895</v>
      </c>
      <c r="M1954" t="s">
        <v>4402</v>
      </c>
      <c r="O1954" t="s">
        <v>896</v>
      </c>
      <c r="P1954" t="s">
        <v>33</v>
      </c>
      <c r="Q1954">
        <v>630.17999999999995</v>
      </c>
      <c r="R1954" t="s">
        <v>35</v>
      </c>
      <c r="S1954" t="s">
        <v>35</v>
      </c>
      <c r="T1954" t="s">
        <v>35</v>
      </c>
      <c r="U1954" t="s">
        <v>35</v>
      </c>
      <c r="V1954" t="s">
        <v>645</v>
      </c>
      <c r="W1954" t="s">
        <v>113</v>
      </c>
    </row>
    <row r="1955" spans="1:23" hidden="1" x14ac:dyDescent="0.25">
      <c r="A1955" s="7" t="str">
        <f>IFERROR(VLOOKUP(H1955,'Contas Orç'!A:B,2,0),"N/A")</f>
        <v>DESPESAS GERAIS</v>
      </c>
      <c r="B1955" s="7" t="str">
        <f t="shared" si="60"/>
        <v>320409 - DESPESAS GERAIS</v>
      </c>
      <c r="C1955" s="25">
        <f t="shared" si="61"/>
        <v>44562</v>
      </c>
      <c r="D1955" s="27">
        <f>IF(K1955="CREDITO",Q1955,Q1955*-1)</f>
        <v>71.09</v>
      </c>
      <c r="E1955" t="s">
        <v>894</v>
      </c>
      <c r="F1955" t="s">
        <v>2449</v>
      </c>
      <c r="G1955" s="8">
        <v>44562</v>
      </c>
      <c r="H1955" t="s">
        <v>568</v>
      </c>
      <c r="I1955" t="s">
        <v>59</v>
      </c>
      <c r="J1955" t="s">
        <v>661</v>
      </c>
      <c r="K1955" t="s">
        <v>29</v>
      </c>
      <c r="L1955" t="s">
        <v>895</v>
      </c>
      <c r="M1955" t="s">
        <v>4402</v>
      </c>
      <c r="O1955" t="s">
        <v>896</v>
      </c>
      <c r="P1955" t="s">
        <v>33</v>
      </c>
      <c r="Q1955">
        <v>71.09</v>
      </c>
      <c r="R1955" t="s">
        <v>35</v>
      </c>
      <c r="S1955" t="s">
        <v>35</v>
      </c>
      <c r="T1955" t="s">
        <v>35</v>
      </c>
      <c r="U1955" t="s">
        <v>35</v>
      </c>
      <c r="V1955" t="s">
        <v>645</v>
      </c>
      <c r="W1955" t="s">
        <v>113</v>
      </c>
    </row>
    <row r="1956" spans="1:23" hidden="1" x14ac:dyDescent="0.25">
      <c r="A1956" s="7" t="str">
        <f>IFERROR(VLOOKUP(H1956,'Contas Orç'!A:B,2,0),"N/A")</f>
        <v>DESPESAS GERAIS</v>
      </c>
      <c r="B1956" s="7" t="str">
        <f t="shared" si="60"/>
        <v>320409 - DESPESAS GERAIS</v>
      </c>
      <c r="C1956" s="25">
        <f t="shared" si="61"/>
        <v>44562</v>
      </c>
      <c r="D1956" s="27">
        <f>IF(K1956="CREDITO",Q1956,Q1956*-1)</f>
        <v>7092.44</v>
      </c>
      <c r="E1956" t="s">
        <v>894</v>
      </c>
      <c r="F1956" t="s">
        <v>2450</v>
      </c>
      <c r="G1956" s="8">
        <v>44562</v>
      </c>
      <c r="H1956" t="s">
        <v>568</v>
      </c>
      <c r="I1956" t="s">
        <v>53</v>
      </c>
      <c r="J1956" t="s">
        <v>54</v>
      </c>
      <c r="K1956" t="s">
        <v>29</v>
      </c>
      <c r="L1956" t="s">
        <v>895</v>
      </c>
      <c r="M1956" t="s">
        <v>4402</v>
      </c>
      <c r="O1956" t="s">
        <v>896</v>
      </c>
      <c r="P1956" t="s">
        <v>33</v>
      </c>
      <c r="Q1956" s="22">
        <v>7092.44</v>
      </c>
      <c r="R1956" t="s">
        <v>35</v>
      </c>
      <c r="S1956" t="s">
        <v>35</v>
      </c>
      <c r="T1956" t="s">
        <v>35</v>
      </c>
      <c r="U1956" t="s">
        <v>35</v>
      </c>
      <c r="V1956" t="s">
        <v>645</v>
      </c>
      <c r="W1956" t="s">
        <v>113</v>
      </c>
    </row>
    <row r="1957" spans="1:23" hidden="1" x14ac:dyDescent="0.25">
      <c r="A1957" s="7" t="str">
        <f>IFERROR(VLOOKUP(H1957,'Contas Orç'!A:B,2,0),"N/A")</f>
        <v>DESPESAS GERAIS</v>
      </c>
      <c r="B1957" s="7" t="str">
        <f t="shared" si="60"/>
        <v>320409 - DESPESAS GERAIS</v>
      </c>
      <c r="C1957" s="25">
        <f t="shared" si="61"/>
        <v>44593</v>
      </c>
      <c r="D1957" s="27">
        <f>IF(K1957="CREDITO",Q1957,Q1957*-1)</f>
        <v>7533.93</v>
      </c>
      <c r="E1957" t="s">
        <v>894</v>
      </c>
      <c r="F1957" t="s">
        <v>2451</v>
      </c>
      <c r="G1957" s="8">
        <v>44593</v>
      </c>
      <c r="H1957" t="s">
        <v>568</v>
      </c>
      <c r="I1957" t="s">
        <v>88</v>
      </c>
      <c r="J1957" t="s">
        <v>28</v>
      </c>
      <c r="K1957" t="s">
        <v>29</v>
      </c>
      <c r="L1957" t="s">
        <v>895</v>
      </c>
      <c r="M1957" t="s">
        <v>4402</v>
      </c>
      <c r="O1957" t="s">
        <v>896</v>
      </c>
      <c r="P1957" t="s">
        <v>33</v>
      </c>
      <c r="Q1957" s="22">
        <v>7533.93</v>
      </c>
      <c r="R1957" t="s">
        <v>35</v>
      </c>
      <c r="S1957" t="s">
        <v>35</v>
      </c>
      <c r="T1957" t="s">
        <v>35</v>
      </c>
      <c r="U1957" t="s">
        <v>35</v>
      </c>
      <c r="V1957" t="s">
        <v>645</v>
      </c>
      <c r="W1957" t="s">
        <v>113</v>
      </c>
    </row>
    <row r="1958" spans="1:23" hidden="1" x14ac:dyDescent="0.25">
      <c r="A1958" s="7" t="str">
        <f>IFERROR(VLOOKUP(H1958,'Contas Orç'!A:B,2,0),"N/A")</f>
        <v>DESPESAS GERAIS</v>
      </c>
      <c r="B1958" s="7" t="str">
        <f t="shared" si="60"/>
        <v>320409 - DESPESAS GERAIS</v>
      </c>
      <c r="C1958" s="25">
        <f t="shared" si="61"/>
        <v>44593</v>
      </c>
      <c r="D1958" s="27">
        <f>IF(K1958="CREDITO",Q1958,Q1958*-1)</f>
        <v>2794.62</v>
      </c>
      <c r="E1958" t="s">
        <v>894</v>
      </c>
      <c r="F1958" t="s">
        <v>2452</v>
      </c>
      <c r="G1958" s="8">
        <v>44593</v>
      </c>
      <c r="H1958" t="s">
        <v>568</v>
      </c>
      <c r="I1958" t="s">
        <v>27</v>
      </c>
      <c r="J1958" t="s">
        <v>28</v>
      </c>
      <c r="K1958" t="s">
        <v>29</v>
      </c>
      <c r="L1958" t="s">
        <v>895</v>
      </c>
      <c r="M1958" t="s">
        <v>4402</v>
      </c>
      <c r="O1958" t="s">
        <v>896</v>
      </c>
      <c r="P1958" t="s">
        <v>33</v>
      </c>
      <c r="Q1958" s="22">
        <v>2794.62</v>
      </c>
      <c r="R1958" t="s">
        <v>35</v>
      </c>
      <c r="S1958" t="s">
        <v>35</v>
      </c>
      <c r="T1958" t="s">
        <v>35</v>
      </c>
      <c r="U1958" t="s">
        <v>35</v>
      </c>
      <c r="V1958" t="s">
        <v>645</v>
      </c>
      <c r="W1958" t="s">
        <v>113</v>
      </c>
    </row>
    <row r="1959" spans="1:23" hidden="1" x14ac:dyDescent="0.25">
      <c r="A1959" s="7" t="str">
        <f>IFERROR(VLOOKUP(H1959,'Contas Orç'!A:B,2,0),"N/A")</f>
        <v>DESPESAS GERAIS</v>
      </c>
      <c r="B1959" s="7" t="str">
        <f t="shared" si="60"/>
        <v>320409 - DESPESAS GERAIS</v>
      </c>
      <c r="C1959" s="25">
        <f t="shared" si="61"/>
        <v>44593</v>
      </c>
      <c r="D1959" s="27">
        <f>IF(K1959="CREDITO",Q1959,Q1959*-1)</f>
        <v>598.53</v>
      </c>
      <c r="E1959" t="s">
        <v>894</v>
      </c>
      <c r="F1959" t="s">
        <v>2453</v>
      </c>
      <c r="G1959" s="8">
        <v>44593</v>
      </c>
      <c r="H1959" t="s">
        <v>568</v>
      </c>
      <c r="I1959" t="s">
        <v>106</v>
      </c>
      <c r="J1959" t="s">
        <v>60</v>
      </c>
      <c r="K1959" t="s">
        <v>29</v>
      </c>
      <c r="L1959" t="s">
        <v>895</v>
      </c>
      <c r="M1959" t="s">
        <v>4402</v>
      </c>
      <c r="O1959" t="s">
        <v>896</v>
      </c>
      <c r="P1959" t="s">
        <v>33</v>
      </c>
      <c r="Q1959">
        <v>598.53</v>
      </c>
      <c r="R1959" t="s">
        <v>35</v>
      </c>
      <c r="S1959" t="s">
        <v>35</v>
      </c>
      <c r="T1959" t="s">
        <v>35</v>
      </c>
      <c r="U1959" t="s">
        <v>35</v>
      </c>
      <c r="V1959" t="s">
        <v>645</v>
      </c>
      <c r="W1959" t="s">
        <v>113</v>
      </c>
    </row>
    <row r="1960" spans="1:23" hidden="1" x14ac:dyDescent="0.25">
      <c r="A1960" s="7" t="str">
        <f>IFERROR(VLOOKUP(H1960,'Contas Orç'!A:B,2,0),"N/A")</f>
        <v>DESPESAS GERAIS</v>
      </c>
      <c r="B1960" s="7" t="str">
        <f t="shared" si="60"/>
        <v>320409 - DESPESAS GERAIS</v>
      </c>
      <c r="C1960" s="25">
        <f t="shared" si="61"/>
        <v>44593</v>
      </c>
      <c r="D1960" s="27">
        <f>IF(K1960="CREDITO",Q1960,Q1960*-1)</f>
        <v>4570.68</v>
      </c>
      <c r="E1960" t="s">
        <v>894</v>
      </c>
      <c r="F1960" t="s">
        <v>2454</v>
      </c>
      <c r="G1960" s="8">
        <v>44593</v>
      </c>
      <c r="H1960" t="s">
        <v>568</v>
      </c>
      <c r="I1960" t="s">
        <v>59</v>
      </c>
      <c r="J1960" t="s">
        <v>60</v>
      </c>
      <c r="K1960" t="s">
        <v>29</v>
      </c>
      <c r="L1960" t="s">
        <v>895</v>
      </c>
      <c r="M1960" t="s">
        <v>4402</v>
      </c>
      <c r="O1960" t="s">
        <v>896</v>
      </c>
      <c r="P1960" t="s">
        <v>33</v>
      </c>
      <c r="Q1960" s="22">
        <v>4570.68</v>
      </c>
      <c r="R1960" t="s">
        <v>35</v>
      </c>
      <c r="S1960" t="s">
        <v>35</v>
      </c>
      <c r="T1960" t="s">
        <v>35</v>
      </c>
      <c r="U1960" t="s">
        <v>35</v>
      </c>
      <c r="V1960" t="s">
        <v>645</v>
      </c>
      <c r="W1960" t="s">
        <v>113</v>
      </c>
    </row>
    <row r="1961" spans="1:23" hidden="1" x14ac:dyDescent="0.25">
      <c r="A1961" s="7" t="str">
        <f>IFERROR(VLOOKUP(H1961,'Contas Orç'!A:B,2,0),"N/A")</f>
        <v>DESPESAS GERAIS</v>
      </c>
      <c r="B1961" s="7" t="str">
        <f t="shared" si="60"/>
        <v>320409 - DESPESAS GERAIS</v>
      </c>
      <c r="C1961" s="25">
        <f t="shared" si="61"/>
        <v>44593</v>
      </c>
      <c r="D1961" s="27">
        <f>IF(K1961="CREDITO",Q1961,Q1961*-1)</f>
        <v>14.5</v>
      </c>
      <c r="E1961" t="s">
        <v>894</v>
      </c>
      <c r="F1961" t="s">
        <v>2455</v>
      </c>
      <c r="G1961" s="8">
        <v>44593</v>
      </c>
      <c r="H1961" t="s">
        <v>568</v>
      </c>
      <c r="I1961" t="s">
        <v>106</v>
      </c>
      <c r="J1961" t="s">
        <v>107</v>
      </c>
      <c r="K1961" t="s">
        <v>29</v>
      </c>
      <c r="L1961" t="s">
        <v>895</v>
      </c>
      <c r="M1961" t="s">
        <v>4402</v>
      </c>
      <c r="O1961" t="s">
        <v>896</v>
      </c>
      <c r="P1961" t="s">
        <v>33</v>
      </c>
      <c r="Q1961">
        <v>14.5</v>
      </c>
      <c r="R1961" t="s">
        <v>35</v>
      </c>
      <c r="S1961" t="s">
        <v>35</v>
      </c>
      <c r="T1961" t="s">
        <v>35</v>
      </c>
      <c r="U1961" t="s">
        <v>35</v>
      </c>
      <c r="V1961" t="s">
        <v>645</v>
      </c>
      <c r="W1961" t="s">
        <v>113</v>
      </c>
    </row>
    <row r="1962" spans="1:23" hidden="1" x14ac:dyDescent="0.25">
      <c r="A1962" s="7" t="str">
        <f>IFERROR(VLOOKUP(H1962,'Contas Orç'!A:B,2,0),"N/A")</f>
        <v>DESPESAS GERAIS</v>
      </c>
      <c r="B1962" s="7" t="str">
        <f t="shared" si="60"/>
        <v>320409 - DESPESAS GERAIS</v>
      </c>
      <c r="C1962" s="25">
        <f t="shared" si="61"/>
        <v>44593</v>
      </c>
      <c r="D1962" s="27">
        <f>IF(K1962="CREDITO",Q1962,Q1962*-1)</f>
        <v>781.79</v>
      </c>
      <c r="E1962" t="s">
        <v>894</v>
      </c>
      <c r="F1962" t="s">
        <v>2456</v>
      </c>
      <c r="G1962" s="8">
        <v>44593</v>
      </c>
      <c r="H1962" t="s">
        <v>568</v>
      </c>
      <c r="I1962" t="s">
        <v>59</v>
      </c>
      <c r="J1962" t="s">
        <v>107</v>
      </c>
      <c r="K1962" t="s">
        <v>29</v>
      </c>
      <c r="L1962" t="s">
        <v>895</v>
      </c>
      <c r="M1962" t="s">
        <v>4402</v>
      </c>
      <c r="O1962" t="s">
        <v>896</v>
      </c>
      <c r="P1962" t="s">
        <v>33</v>
      </c>
      <c r="Q1962">
        <v>781.79</v>
      </c>
      <c r="R1962" t="s">
        <v>35</v>
      </c>
      <c r="S1962" t="s">
        <v>35</v>
      </c>
      <c r="T1962" t="s">
        <v>35</v>
      </c>
      <c r="U1962" t="s">
        <v>35</v>
      </c>
      <c r="V1962" t="s">
        <v>645</v>
      </c>
      <c r="W1962" t="s">
        <v>113</v>
      </c>
    </row>
    <row r="1963" spans="1:23" hidden="1" x14ac:dyDescent="0.25">
      <c r="A1963" s="7" t="str">
        <f>IFERROR(VLOOKUP(H1963,'Contas Orç'!A:B,2,0),"N/A")</f>
        <v>DESPESAS GERAIS</v>
      </c>
      <c r="B1963" s="7" t="str">
        <f t="shared" si="60"/>
        <v>320409 - DESPESAS GERAIS</v>
      </c>
      <c r="C1963" s="25">
        <f t="shared" si="61"/>
        <v>44593</v>
      </c>
      <c r="D1963" s="27">
        <f>IF(K1963="CREDITO",Q1963,Q1963*-1)</f>
        <v>9.48</v>
      </c>
      <c r="E1963" t="s">
        <v>894</v>
      </c>
      <c r="F1963" t="s">
        <v>2457</v>
      </c>
      <c r="G1963" s="8">
        <v>44593</v>
      </c>
      <c r="H1963" t="s">
        <v>568</v>
      </c>
      <c r="I1963" t="s">
        <v>59</v>
      </c>
      <c r="J1963" t="s">
        <v>661</v>
      </c>
      <c r="K1963" t="s">
        <v>29</v>
      </c>
      <c r="L1963" t="s">
        <v>895</v>
      </c>
      <c r="M1963" t="s">
        <v>4402</v>
      </c>
      <c r="O1963" t="s">
        <v>896</v>
      </c>
      <c r="P1963" t="s">
        <v>33</v>
      </c>
      <c r="Q1963">
        <v>9.48</v>
      </c>
      <c r="R1963" t="s">
        <v>35</v>
      </c>
      <c r="S1963" t="s">
        <v>35</v>
      </c>
      <c r="T1963" t="s">
        <v>35</v>
      </c>
      <c r="U1963" t="s">
        <v>35</v>
      </c>
      <c r="V1963" t="s">
        <v>645</v>
      </c>
      <c r="W1963" t="s">
        <v>113</v>
      </c>
    </row>
    <row r="1964" spans="1:23" hidden="1" x14ac:dyDescent="0.25">
      <c r="A1964" s="7" t="str">
        <f>IFERROR(VLOOKUP(H1964,'Contas Orç'!A:B,2,0),"N/A")</f>
        <v>DESPESAS GERAIS</v>
      </c>
      <c r="B1964" s="7" t="str">
        <f t="shared" si="60"/>
        <v>320409 - DESPESAS GERAIS</v>
      </c>
      <c r="C1964" s="25">
        <f t="shared" si="61"/>
        <v>44593</v>
      </c>
      <c r="D1964" s="27">
        <f>IF(K1964="CREDITO",Q1964,Q1964*-1)</f>
        <v>6426.23</v>
      </c>
      <c r="E1964" t="s">
        <v>894</v>
      </c>
      <c r="F1964" t="s">
        <v>2458</v>
      </c>
      <c r="G1964" s="8">
        <v>44593</v>
      </c>
      <c r="H1964" t="s">
        <v>568</v>
      </c>
      <c r="I1964" t="s">
        <v>53</v>
      </c>
      <c r="J1964" t="s">
        <v>54</v>
      </c>
      <c r="K1964" t="s">
        <v>29</v>
      </c>
      <c r="L1964" t="s">
        <v>895</v>
      </c>
      <c r="M1964" t="s">
        <v>4402</v>
      </c>
      <c r="O1964" t="s">
        <v>896</v>
      </c>
      <c r="P1964" t="s">
        <v>33</v>
      </c>
      <c r="Q1964" s="22">
        <v>6426.23</v>
      </c>
      <c r="R1964" t="s">
        <v>35</v>
      </c>
      <c r="S1964" t="s">
        <v>35</v>
      </c>
      <c r="T1964" t="s">
        <v>35</v>
      </c>
      <c r="U1964" t="s">
        <v>35</v>
      </c>
      <c r="V1964" t="s">
        <v>645</v>
      </c>
      <c r="W1964" t="s">
        <v>113</v>
      </c>
    </row>
    <row r="1965" spans="1:23" hidden="1" x14ac:dyDescent="0.25">
      <c r="A1965" s="7" t="str">
        <f>IFERROR(VLOOKUP(H1965,'Contas Orç'!A:B,2,0),"N/A")</f>
        <v>DESPESAS GERAIS</v>
      </c>
      <c r="B1965" s="7" t="str">
        <f t="shared" si="60"/>
        <v>320409 - DESPESAS GERAIS</v>
      </c>
      <c r="C1965" s="25">
        <f t="shared" si="61"/>
        <v>44621</v>
      </c>
      <c r="D1965" s="27">
        <f>IF(K1965="CREDITO",Q1965,Q1965*-1)</f>
        <v>555.22</v>
      </c>
      <c r="E1965" t="s">
        <v>894</v>
      </c>
      <c r="F1965" t="s">
        <v>2459</v>
      </c>
      <c r="G1965" s="8">
        <v>44621</v>
      </c>
      <c r="H1965" t="s">
        <v>568</v>
      </c>
      <c r="I1965" t="s">
        <v>106</v>
      </c>
      <c r="J1965" t="s">
        <v>60</v>
      </c>
      <c r="K1965" t="s">
        <v>29</v>
      </c>
      <c r="L1965" t="s">
        <v>895</v>
      </c>
      <c r="M1965" t="s">
        <v>4402</v>
      </c>
      <c r="O1965" t="s">
        <v>896</v>
      </c>
      <c r="P1965" t="s">
        <v>33</v>
      </c>
      <c r="Q1965">
        <v>555.22</v>
      </c>
      <c r="R1965" t="s">
        <v>35</v>
      </c>
      <c r="S1965" t="s">
        <v>35</v>
      </c>
      <c r="T1965" t="s">
        <v>35</v>
      </c>
      <c r="U1965" t="s">
        <v>35</v>
      </c>
      <c r="V1965" t="s">
        <v>645</v>
      </c>
      <c r="W1965" t="s">
        <v>113</v>
      </c>
    </row>
    <row r="1966" spans="1:23" hidden="1" x14ac:dyDescent="0.25">
      <c r="A1966" s="7" t="str">
        <f>IFERROR(VLOOKUP(H1966,'Contas Orç'!A:B,2,0),"N/A")</f>
        <v>DESPESAS GERAIS</v>
      </c>
      <c r="B1966" s="7" t="str">
        <f t="shared" si="60"/>
        <v>320409 - DESPESAS GERAIS</v>
      </c>
      <c r="C1966" s="25">
        <f t="shared" si="61"/>
        <v>44621</v>
      </c>
      <c r="D1966" s="27">
        <f>IF(K1966="CREDITO",Q1966,Q1966*-1)</f>
        <v>247.4</v>
      </c>
      <c r="E1966" t="s">
        <v>894</v>
      </c>
      <c r="F1966" t="s">
        <v>2460</v>
      </c>
      <c r="G1966" s="8">
        <v>44621</v>
      </c>
      <c r="H1966" t="s">
        <v>568</v>
      </c>
      <c r="I1966" t="s">
        <v>59</v>
      </c>
      <c r="J1966" t="s">
        <v>107</v>
      </c>
      <c r="K1966" t="s">
        <v>29</v>
      </c>
      <c r="L1966" t="s">
        <v>895</v>
      </c>
      <c r="M1966" t="s">
        <v>4402</v>
      </c>
      <c r="O1966" t="s">
        <v>896</v>
      </c>
      <c r="P1966" t="s">
        <v>33</v>
      </c>
      <c r="Q1966">
        <v>247.4</v>
      </c>
      <c r="R1966" t="s">
        <v>35</v>
      </c>
      <c r="S1966" t="s">
        <v>35</v>
      </c>
      <c r="T1966" t="s">
        <v>35</v>
      </c>
      <c r="U1966" t="s">
        <v>35</v>
      </c>
      <c r="V1966" t="s">
        <v>645</v>
      </c>
      <c r="W1966" t="s">
        <v>113</v>
      </c>
    </row>
    <row r="1967" spans="1:23" hidden="1" x14ac:dyDescent="0.25">
      <c r="A1967" s="7" t="str">
        <f>IFERROR(VLOOKUP(H1967,'Contas Orç'!A:B,2,0),"N/A")</f>
        <v>DESPESAS GERAIS</v>
      </c>
      <c r="B1967" s="7" t="str">
        <f t="shared" si="60"/>
        <v>320409 - DESPESAS GERAIS</v>
      </c>
      <c r="C1967" s="25">
        <f t="shared" si="61"/>
        <v>44621</v>
      </c>
      <c r="D1967" s="27">
        <f>IF(K1967="CREDITO",Q1967,Q1967*-1)</f>
        <v>91.57</v>
      </c>
      <c r="E1967" t="s">
        <v>894</v>
      </c>
      <c r="F1967" t="s">
        <v>2461</v>
      </c>
      <c r="G1967" s="8">
        <v>44621</v>
      </c>
      <c r="H1967" t="s">
        <v>568</v>
      </c>
      <c r="I1967" t="s">
        <v>125</v>
      </c>
      <c r="J1967" t="s">
        <v>95</v>
      </c>
      <c r="K1967" t="s">
        <v>29</v>
      </c>
      <c r="L1967" t="s">
        <v>895</v>
      </c>
      <c r="M1967" t="s">
        <v>4402</v>
      </c>
      <c r="O1967" t="s">
        <v>896</v>
      </c>
      <c r="P1967" t="s">
        <v>33</v>
      </c>
      <c r="Q1967">
        <v>91.57</v>
      </c>
      <c r="R1967" t="s">
        <v>35</v>
      </c>
      <c r="S1967" t="s">
        <v>35</v>
      </c>
      <c r="T1967" t="s">
        <v>35</v>
      </c>
      <c r="U1967" t="s">
        <v>35</v>
      </c>
      <c r="V1967" t="s">
        <v>645</v>
      </c>
      <c r="W1967" t="s">
        <v>113</v>
      </c>
    </row>
    <row r="1968" spans="1:23" hidden="1" x14ac:dyDescent="0.25">
      <c r="A1968" s="7" t="str">
        <f>IFERROR(VLOOKUP(H1968,'Contas Orç'!A:B,2,0),"N/A")</f>
        <v>DESPESAS GERAIS</v>
      </c>
      <c r="B1968" s="7" t="str">
        <f t="shared" si="60"/>
        <v>320409 - DESPESAS GERAIS</v>
      </c>
      <c r="C1968" s="25">
        <f t="shared" si="61"/>
        <v>44621</v>
      </c>
      <c r="D1968" s="27">
        <f>IF(K1968="CREDITO",Q1968,Q1968*-1)</f>
        <v>111.66</v>
      </c>
      <c r="E1968" t="s">
        <v>894</v>
      </c>
      <c r="F1968" t="s">
        <v>2462</v>
      </c>
      <c r="G1968" s="8">
        <v>44621</v>
      </c>
      <c r="H1968" t="s">
        <v>568</v>
      </c>
      <c r="I1968" t="s">
        <v>40</v>
      </c>
      <c r="J1968" t="s">
        <v>54</v>
      </c>
      <c r="K1968" t="s">
        <v>29</v>
      </c>
      <c r="L1968" t="s">
        <v>895</v>
      </c>
      <c r="M1968" t="s">
        <v>4402</v>
      </c>
      <c r="O1968" t="s">
        <v>896</v>
      </c>
      <c r="P1968" t="s">
        <v>33</v>
      </c>
      <c r="Q1968">
        <v>111.66</v>
      </c>
      <c r="R1968" t="s">
        <v>35</v>
      </c>
      <c r="S1968" t="s">
        <v>35</v>
      </c>
      <c r="T1968" t="s">
        <v>35</v>
      </c>
      <c r="U1968" t="s">
        <v>35</v>
      </c>
      <c r="V1968" t="s">
        <v>645</v>
      </c>
      <c r="W1968" t="s">
        <v>113</v>
      </c>
    </row>
    <row r="1969" spans="1:23" hidden="1" x14ac:dyDescent="0.25">
      <c r="A1969" s="7" t="str">
        <f>IFERROR(VLOOKUP(H1969,'Contas Orç'!A:B,2,0),"N/A")</f>
        <v>DESPESAS GERAIS</v>
      </c>
      <c r="B1969" s="7" t="str">
        <f t="shared" si="60"/>
        <v>320409 - DESPESAS GERAIS</v>
      </c>
      <c r="C1969" s="25">
        <f t="shared" si="61"/>
        <v>44621</v>
      </c>
      <c r="D1969" s="27">
        <f>IF(K1969="CREDITO",Q1969,Q1969*-1)</f>
        <v>101.96</v>
      </c>
      <c r="E1969" t="s">
        <v>894</v>
      </c>
      <c r="F1969" t="s">
        <v>2463</v>
      </c>
      <c r="G1969" s="8">
        <v>44621</v>
      </c>
      <c r="H1969" t="s">
        <v>568</v>
      </c>
      <c r="I1969" t="s">
        <v>53</v>
      </c>
      <c r="J1969" t="s">
        <v>54</v>
      </c>
      <c r="K1969" t="s">
        <v>29</v>
      </c>
      <c r="L1969" t="s">
        <v>895</v>
      </c>
      <c r="M1969" t="s">
        <v>4402</v>
      </c>
      <c r="O1969" t="s">
        <v>896</v>
      </c>
      <c r="P1969" t="s">
        <v>33</v>
      </c>
      <c r="Q1969">
        <v>101.96</v>
      </c>
      <c r="R1969" t="s">
        <v>35</v>
      </c>
      <c r="S1969" t="s">
        <v>35</v>
      </c>
      <c r="T1969" t="s">
        <v>35</v>
      </c>
      <c r="U1969" t="s">
        <v>35</v>
      </c>
      <c r="V1969" t="s">
        <v>645</v>
      </c>
      <c r="W1969" t="s">
        <v>113</v>
      </c>
    </row>
    <row r="1970" spans="1:23" hidden="1" x14ac:dyDescent="0.25">
      <c r="A1970" s="7" t="str">
        <f>IFERROR(VLOOKUP(H1970,'Contas Orç'!A:B,2,0),"N/A")</f>
        <v>DESPESAS GERAIS</v>
      </c>
      <c r="B1970" s="7" t="str">
        <f t="shared" si="60"/>
        <v>320409 - DESPESAS GERAIS</v>
      </c>
      <c r="C1970" s="25">
        <f t="shared" si="61"/>
        <v>44652</v>
      </c>
      <c r="D1970" s="27">
        <f>IF(K1970="CREDITO",Q1970,Q1970*-1)</f>
        <v>898.96</v>
      </c>
      <c r="E1970" t="s">
        <v>894</v>
      </c>
      <c r="F1970" t="s">
        <v>2464</v>
      </c>
      <c r="G1970" s="8">
        <v>44652</v>
      </c>
      <c r="H1970" t="s">
        <v>568</v>
      </c>
      <c r="I1970" t="s">
        <v>88</v>
      </c>
      <c r="J1970" t="s">
        <v>28</v>
      </c>
      <c r="K1970" t="s">
        <v>29</v>
      </c>
      <c r="L1970" t="s">
        <v>895</v>
      </c>
      <c r="M1970" t="s">
        <v>4402</v>
      </c>
      <c r="O1970" t="s">
        <v>896</v>
      </c>
      <c r="P1970" t="s">
        <v>33</v>
      </c>
      <c r="Q1970">
        <v>898.96</v>
      </c>
      <c r="R1970" t="s">
        <v>35</v>
      </c>
      <c r="S1970" t="s">
        <v>35</v>
      </c>
      <c r="T1970" t="s">
        <v>35</v>
      </c>
      <c r="U1970" t="s">
        <v>35</v>
      </c>
      <c r="V1970" t="s">
        <v>645</v>
      </c>
      <c r="W1970" t="s">
        <v>113</v>
      </c>
    </row>
    <row r="1971" spans="1:23" hidden="1" x14ac:dyDescent="0.25">
      <c r="A1971" s="7" t="str">
        <f>IFERROR(VLOOKUP(H1971,'Contas Orç'!A:B,2,0),"N/A")</f>
        <v>DESPESAS GERAIS</v>
      </c>
      <c r="B1971" s="7" t="str">
        <f t="shared" si="60"/>
        <v>320409 - DESPESAS GERAIS</v>
      </c>
      <c r="C1971" s="25">
        <f t="shared" si="61"/>
        <v>44652</v>
      </c>
      <c r="D1971" s="27">
        <f>IF(K1971="CREDITO",Q1971,Q1971*-1)</f>
        <v>432.9</v>
      </c>
      <c r="E1971" t="s">
        <v>894</v>
      </c>
      <c r="F1971" t="s">
        <v>2465</v>
      </c>
      <c r="G1971" s="8">
        <v>44652</v>
      </c>
      <c r="H1971" t="s">
        <v>568</v>
      </c>
      <c r="I1971" t="s">
        <v>27</v>
      </c>
      <c r="J1971" t="s">
        <v>28</v>
      </c>
      <c r="K1971" t="s">
        <v>29</v>
      </c>
      <c r="L1971" t="s">
        <v>895</v>
      </c>
      <c r="M1971" t="s">
        <v>4402</v>
      </c>
      <c r="O1971" t="s">
        <v>896</v>
      </c>
      <c r="P1971" t="s">
        <v>33</v>
      </c>
      <c r="Q1971">
        <v>432.9</v>
      </c>
      <c r="R1971" t="s">
        <v>35</v>
      </c>
      <c r="S1971" t="s">
        <v>35</v>
      </c>
      <c r="T1971" t="s">
        <v>35</v>
      </c>
      <c r="U1971" t="s">
        <v>35</v>
      </c>
      <c r="V1971" t="s">
        <v>645</v>
      </c>
      <c r="W1971" t="s">
        <v>113</v>
      </c>
    </row>
    <row r="1972" spans="1:23" hidden="1" x14ac:dyDescent="0.25">
      <c r="A1972" s="7" t="str">
        <f>IFERROR(VLOOKUP(H1972,'Contas Orç'!A:B,2,0),"N/A")</f>
        <v>DESPESAS GERAIS</v>
      </c>
      <c r="B1972" s="7" t="str">
        <f t="shared" si="60"/>
        <v>320409 - DESPESAS GERAIS</v>
      </c>
      <c r="C1972" s="25">
        <f t="shared" si="61"/>
        <v>44652</v>
      </c>
      <c r="D1972" s="27">
        <f>IF(K1972="CREDITO",Q1972,Q1972*-1)</f>
        <v>500.23</v>
      </c>
      <c r="E1972" t="s">
        <v>894</v>
      </c>
      <c r="F1972" t="s">
        <v>2466</v>
      </c>
      <c r="G1972" s="8">
        <v>44652</v>
      </c>
      <c r="H1972" t="s">
        <v>568</v>
      </c>
      <c r="I1972" t="s">
        <v>106</v>
      </c>
      <c r="J1972" t="s">
        <v>60</v>
      </c>
      <c r="K1972" t="s">
        <v>29</v>
      </c>
      <c r="L1972" t="s">
        <v>895</v>
      </c>
      <c r="M1972" t="s">
        <v>4402</v>
      </c>
      <c r="O1972" t="s">
        <v>896</v>
      </c>
      <c r="P1972" t="s">
        <v>33</v>
      </c>
      <c r="Q1972">
        <v>500.23</v>
      </c>
      <c r="R1972" t="s">
        <v>35</v>
      </c>
      <c r="S1972" t="s">
        <v>35</v>
      </c>
      <c r="T1972" t="s">
        <v>35</v>
      </c>
      <c r="U1972" t="s">
        <v>35</v>
      </c>
      <c r="V1972" t="s">
        <v>645</v>
      </c>
      <c r="W1972" t="s">
        <v>113</v>
      </c>
    </row>
    <row r="1973" spans="1:23" hidden="1" x14ac:dyDescent="0.25">
      <c r="A1973" s="7" t="str">
        <f>IFERROR(VLOOKUP(H1973,'Contas Orç'!A:B,2,0),"N/A")</f>
        <v>DESPESAS GERAIS</v>
      </c>
      <c r="B1973" s="7" t="str">
        <f t="shared" si="60"/>
        <v>320409 - DESPESAS GERAIS</v>
      </c>
      <c r="C1973" s="25">
        <f t="shared" si="61"/>
        <v>44652</v>
      </c>
      <c r="D1973" s="27">
        <f>IF(K1973="CREDITO",Q1973,Q1973*-1)</f>
        <v>5071.76</v>
      </c>
      <c r="E1973" t="s">
        <v>894</v>
      </c>
      <c r="F1973" t="s">
        <v>2467</v>
      </c>
      <c r="G1973" s="8">
        <v>44652</v>
      </c>
      <c r="H1973" t="s">
        <v>568</v>
      </c>
      <c r="I1973" t="s">
        <v>59</v>
      </c>
      <c r="J1973" t="s">
        <v>60</v>
      </c>
      <c r="K1973" t="s">
        <v>29</v>
      </c>
      <c r="L1973" t="s">
        <v>895</v>
      </c>
      <c r="M1973" t="s">
        <v>4402</v>
      </c>
      <c r="O1973" t="s">
        <v>896</v>
      </c>
      <c r="P1973" t="s">
        <v>33</v>
      </c>
      <c r="Q1973" s="22">
        <v>5071.76</v>
      </c>
      <c r="R1973" t="s">
        <v>35</v>
      </c>
      <c r="S1973" t="s">
        <v>35</v>
      </c>
      <c r="T1973" t="s">
        <v>35</v>
      </c>
      <c r="U1973" t="s">
        <v>35</v>
      </c>
      <c r="V1973" t="s">
        <v>645</v>
      </c>
      <c r="W1973" t="s">
        <v>113</v>
      </c>
    </row>
    <row r="1974" spans="1:23" hidden="1" x14ac:dyDescent="0.25">
      <c r="A1974" s="7" t="str">
        <f>IFERROR(VLOOKUP(H1974,'Contas Orç'!A:B,2,0),"N/A")</f>
        <v>DESPESAS GERAIS</v>
      </c>
      <c r="B1974" s="7" t="str">
        <f t="shared" si="60"/>
        <v>320409 - DESPESAS GERAIS</v>
      </c>
      <c r="C1974" s="25">
        <f t="shared" si="61"/>
        <v>44652</v>
      </c>
      <c r="D1974" s="27">
        <f>IF(K1974="CREDITO",Q1974,Q1974*-1)</f>
        <v>107.41</v>
      </c>
      <c r="E1974" t="s">
        <v>894</v>
      </c>
      <c r="F1974" t="s">
        <v>2468</v>
      </c>
      <c r="G1974" s="8">
        <v>44652</v>
      </c>
      <c r="H1974" t="s">
        <v>568</v>
      </c>
      <c r="I1974" t="s">
        <v>59</v>
      </c>
      <c r="J1974" t="s">
        <v>107</v>
      </c>
      <c r="K1974" t="s">
        <v>29</v>
      </c>
      <c r="L1974" t="s">
        <v>895</v>
      </c>
      <c r="M1974" t="s">
        <v>4402</v>
      </c>
      <c r="O1974" t="s">
        <v>896</v>
      </c>
      <c r="P1974" t="s">
        <v>33</v>
      </c>
      <c r="Q1974">
        <v>107.41</v>
      </c>
      <c r="R1974" t="s">
        <v>35</v>
      </c>
      <c r="S1974" t="s">
        <v>35</v>
      </c>
      <c r="T1974" t="s">
        <v>35</v>
      </c>
      <c r="U1974" t="s">
        <v>35</v>
      </c>
      <c r="V1974" t="s">
        <v>645</v>
      </c>
      <c r="W1974" t="s">
        <v>113</v>
      </c>
    </row>
    <row r="1975" spans="1:23" hidden="1" x14ac:dyDescent="0.25">
      <c r="A1975" s="7" t="str">
        <f>IFERROR(VLOOKUP(H1975,'Contas Orç'!A:B,2,0),"N/A")</f>
        <v>DESPESAS GERAIS</v>
      </c>
      <c r="B1975" s="7" t="str">
        <f t="shared" si="60"/>
        <v>320409 - DESPESAS GERAIS</v>
      </c>
      <c r="C1975" s="25">
        <f t="shared" si="61"/>
        <v>44652</v>
      </c>
      <c r="D1975" s="27">
        <f>IF(K1975="CREDITO",Q1975,Q1975*-1)</f>
        <v>3992.78</v>
      </c>
      <c r="E1975" t="s">
        <v>894</v>
      </c>
      <c r="F1975" t="s">
        <v>2469</v>
      </c>
      <c r="G1975" s="8">
        <v>44652</v>
      </c>
      <c r="H1975" t="s">
        <v>568</v>
      </c>
      <c r="I1975" t="s">
        <v>53</v>
      </c>
      <c r="J1975" t="s">
        <v>54</v>
      </c>
      <c r="K1975" t="s">
        <v>29</v>
      </c>
      <c r="L1975" t="s">
        <v>895</v>
      </c>
      <c r="M1975" t="s">
        <v>4402</v>
      </c>
      <c r="O1975" t="s">
        <v>896</v>
      </c>
      <c r="P1975" t="s">
        <v>33</v>
      </c>
      <c r="Q1975" s="22">
        <v>3992.78</v>
      </c>
      <c r="R1975" t="s">
        <v>35</v>
      </c>
      <c r="S1975" t="s">
        <v>35</v>
      </c>
      <c r="T1975" t="s">
        <v>35</v>
      </c>
      <c r="U1975" t="s">
        <v>35</v>
      </c>
      <c r="V1975" t="s">
        <v>645</v>
      </c>
      <c r="W1975" t="s">
        <v>113</v>
      </c>
    </row>
    <row r="1976" spans="1:23" hidden="1" x14ac:dyDescent="0.25">
      <c r="A1976" s="7" t="str">
        <f>IFERROR(VLOOKUP(H1976,'Contas Orç'!A:B,2,0),"N/A")</f>
        <v>DESPESAS GERAIS</v>
      </c>
      <c r="B1976" s="7" t="str">
        <f t="shared" si="60"/>
        <v>320409 - DESPESAS GERAIS</v>
      </c>
      <c r="C1976" s="25">
        <f t="shared" si="61"/>
        <v>44652</v>
      </c>
      <c r="D1976" s="27">
        <f>IF(K1976="CREDITO",Q1976,Q1976*-1)</f>
        <v>70.819999999999993</v>
      </c>
      <c r="E1976" t="s">
        <v>894</v>
      </c>
      <c r="F1976" t="s">
        <v>2470</v>
      </c>
      <c r="G1976" s="8">
        <v>44652</v>
      </c>
      <c r="H1976" t="s">
        <v>568</v>
      </c>
      <c r="I1976" t="s">
        <v>27</v>
      </c>
      <c r="J1976" t="s">
        <v>54</v>
      </c>
      <c r="K1976" t="s">
        <v>29</v>
      </c>
      <c r="L1976" t="s">
        <v>895</v>
      </c>
      <c r="M1976" t="s">
        <v>4402</v>
      </c>
      <c r="O1976" t="s">
        <v>896</v>
      </c>
      <c r="P1976" t="s">
        <v>33</v>
      </c>
      <c r="Q1976">
        <v>70.819999999999993</v>
      </c>
      <c r="R1976" t="s">
        <v>35</v>
      </c>
      <c r="S1976" t="s">
        <v>35</v>
      </c>
      <c r="T1976" t="s">
        <v>35</v>
      </c>
      <c r="U1976" t="s">
        <v>35</v>
      </c>
      <c r="V1976" t="s">
        <v>645</v>
      </c>
      <c r="W1976" t="s">
        <v>113</v>
      </c>
    </row>
    <row r="1977" spans="1:23" hidden="1" x14ac:dyDescent="0.25">
      <c r="A1977" s="7" t="str">
        <f>IFERROR(VLOOKUP(H1977,'Contas Orç'!A:B,2,0),"N/A")</f>
        <v>DESPESAS GERAIS</v>
      </c>
      <c r="B1977" s="7" t="str">
        <f t="shared" si="60"/>
        <v>320409 - DESPESAS GERAIS</v>
      </c>
      <c r="C1977" s="25">
        <f t="shared" si="61"/>
        <v>44682</v>
      </c>
      <c r="D1977" s="27">
        <f>IF(K1977="CREDITO",Q1977,Q1977*-1)</f>
        <v>90.69</v>
      </c>
      <c r="E1977" t="s">
        <v>894</v>
      </c>
      <c r="F1977" t="s">
        <v>2471</v>
      </c>
      <c r="G1977" s="8">
        <v>44682</v>
      </c>
      <c r="H1977" t="s">
        <v>568</v>
      </c>
      <c r="I1977" t="s">
        <v>88</v>
      </c>
      <c r="J1977" t="s">
        <v>28</v>
      </c>
      <c r="K1977" t="s">
        <v>29</v>
      </c>
      <c r="L1977" t="s">
        <v>895</v>
      </c>
      <c r="M1977" t="s">
        <v>4402</v>
      </c>
      <c r="O1977" t="s">
        <v>896</v>
      </c>
      <c r="P1977" t="s">
        <v>33</v>
      </c>
      <c r="Q1977">
        <v>90.69</v>
      </c>
      <c r="R1977" t="s">
        <v>35</v>
      </c>
      <c r="S1977" t="s">
        <v>35</v>
      </c>
      <c r="T1977" t="s">
        <v>35</v>
      </c>
      <c r="U1977" t="s">
        <v>35</v>
      </c>
      <c r="V1977" t="s">
        <v>645</v>
      </c>
      <c r="W1977" t="s">
        <v>113</v>
      </c>
    </row>
    <row r="1978" spans="1:23" hidden="1" x14ac:dyDescent="0.25">
      <c r="A1978" s="7" t="str">
        <f>IFERROR(VLOOKUP(H1978,'Contas Orç'!A:B,2,0),"N/A")</f>
        <v>DESPESAS GERAIS</v>
      </c>
      <c r="B1978" s="7" t="str">
        <f t="shared" si="60"/>
        <v>320409 - DESPESAS GERAIS</v>
      </c>
      <c r="C1978" s="25">
        <f t="shared" si="61"/>
        <v>44682</v>
      </c>
      <c r="D1978" s="27">
        <f>IF(K1978="CREDITO",Q1978,Q1978*-1)</f>
        <v>973.46</v>
      </c>
      <c r="E1978" t="s">
        <v>894</v>
      </c>
      <c r="F1978" t="s">
        <v>2472</v>
      </c>
      <c r="G1978" s="8">
        <v>44682</v>
      </c>
      <c r="H1978" t="s">
        <v>568</v>
      </c>
      <c r="I1978" t="s">
        <v>27</v>
      </c>
      <c r="J1978" t="s">
        <v>28</v>
      </c>
      <c r="K1978" t="s">
        <v>29</v>
      </c>
      <c r="L1978" t="s">
        <v>895</v>
      </c>
      <c r="M1978" t="s">
        <v>4402</v>
      </c>
      <c r="O1978" t="s">
        <v>896</v>
      </c>
      <c r="P1978" t="s">
        <v>33</v>
      </c>
      <c r="Q1978">
        <v>973.46</v>
      </c>
      <c r="R1978" t="s">
        <v>35</v>
      </c>
      <c r="S1978" t="s">
        <v>35</v>
      </c>
      <c r="T1978" t="s">
        <v>35</v>
      </c>
      <c r="U1978" t="s">
        <v>35</v>
      </c>
      <c r="V1978" t="s">
        <v>645</v>
      </c>
      <c r="W1978" t="s">
        <v>113</v>
      </c>
    </row>
    <row r="1979" spans="1:23" hidden="1" x14ac:dyDescent="0.25">
      <c r="A1979" s="7" t="str">
        <f>IFERROR(VLOOKUP(H1979,'Contas Orç'!A:B,2,0),"N/A")</f>
        <v>DESPESAS GERAIS</v>
      </c>
      <c r="B1979" s="7" t="str">
        <f t="shared" si="60"/>
        <v>320409 - DESPESAS GERAIS</v>
      </c>
      <c r="C1979" s="25">
        <f t="shared" si="61"/>
        <v>44682</v>
      </c>
      <c r="D1979" s="27">
        <f>IF(K1979="CREDITO",Q1979,Q1979*-1)</f>
        <v>465.9</v>
      </c>
      <c r="E1979" t="s">
        <v>894</v>
      </c>
      <c r="F1979" t="s">
        <v>2473</v>
      </c>
      <c r="G1979" s="8">
        <v>44682</v>
      </c>
      <c r="H1979" t="s">
        <v>568</v>
      </c>
      <c r="I1979" t="s">
        <v>106</v>
      </c>
      <c r="J1979" t="s">
        <v>60</v>
      </c>
      <c r="K1979" t="s">
        <v>29</v>
      </c>
      <c r="L1979" t="s">
        <v>895</v>
      </c>
      <c r="M1979" t="s">
        <v>4402</v>
      </c>
      <c r="O1979" t="s">
        <v>896</v>
      </c>
      <c r="P1979" t="s">
        <v>33</v>
      </c>
      <c r="Q1979">
        <v>465.9</v>
      </c>
      <c r="R1979" t="s">
        <v>35</v>
      </c>
      <c r="S1979" t="s">
        <v>35</v>
      </c>
      <c r="T1979" t="s">
        <v>35</v>
      </c>
      <c r="U1979" t="s">
        <v>35</v>
      </c>
      <c r="V1979" t="s">
        <v>645</v>
      </c>
      <c r="W1979" t="s">
        <v>113</v>
      </c>
    </row>
    <row r="1980" spans="1:23" hidden="1" x14ac:dyDescent="0.25">
      <c r="A1980" s="7" t="str">
        <f>IFERROR(VLOOKUP(H1980,'Contas Orç'!A:B,2,0),"N/A")</f>
        <v>DESPESAS GERAIS</v>
      </c>
      <c r="B1980" s="7" t="str">
        <f t="shared" si="60"/>
        <v>320409 - DESPESAS GERAIS</v>
      </c>
      <c r="C1980" s="25">
        <f t="shared" si="61"/>
        <v>44682</v>
      </c>
      <c r="D1980" s="27">
        <f>IF(K1980="CREDITO",Q1980,Q1980*-1)</f>
        <v>823.81</v>
      </c>
      <c r="E1980" t="s">
        <v>894</v>
      </c>
      <c r="F1980" t="s">
        <v>2474</v>
      </c>
      <c r="G1980" s="8">
        <v>44682</v>
      </c>
      <c r="H1980" t="s">
        <v>568</v>
      </c>
      <c r="I1980" t="s">
        <v>59</v>
      </c>
      <c r="J1980" t="s">
        <v>60</v>
      </c>
      <c r="K1980" t="s">
        <v>29</v>
      </c>
      <c r="L1980" t="s">
        <v>895</v>
      </c>
      <c r="M1980" t="s">
        <v>4402</v>
      </c>
      <c r="O1980" t="s">
        <v>896</v>
      </c>
      <c r="P1980" t="s">
        <v>33</v>
      </c>
      <c r="Q1980">
        <v>823.81</v>
      </c>
      <c r="R1980" t="s">
        <v>35</v>
      </c>
      <c r="S1980" t="s">
        <v>35</v>
      </c>
      <c r="T1980" t="s">
        <v>35</v>
      </c>
      <c r="U1980" t="s">
        <v>35</v>
      </c>
      <c r="V1980" t="s">
        <v>645</v>
      </c>
      <c r="W1980" t="s">
        <v>113</v>
      </c>
    </row>
    <row r="1981" spans="1:23" hidden="1" x14ac:dyDescent="0.25">
      <c r="A1981" s="7" t="str">
        <f>IFERROR(VLOOKUP(H1981,'Contas Orç'!A:B,2,0),"N/A")</f>
        <v>DESPESAS GERAIS</v>
      </c>
      <c r="B1981" s="7" t="str">
        <f t="shared" si="60"/>
        <v>320409 - DESPESAS GERAIS</v>
      </c>
      <c r="C1981" s="25">
        <f t="shared" si="61"/>
        <v>44682</v>
      </c>
      <c r="D1981" s="27">
        <f>IF(K1981="CREDITO",Q1981,Q1981*-1)</f>
        <v>1961.76</v>
      </c>
      <c r="E1981" t="s">
        <v>894</v>
      </c>
      <c r="F1981" t="s">
        <v>2475</v>
      </c>
      <c r="G1981" s="8">
        <v>44682</v>
      </c>
      <c r="H1981" t="s">
        <v>568</v>
      </c>
      <c r="I1981" t="s">
        <v>59</v>
      </c>
      <c r="J1981" t="s">
        <v>107</v>
      </c>
      <c r="K1981" t="s">
        <v>29</v>
      </c>
      <c r="L1981" t="s">
        <v>895</v>
      </c>
      <c r="M1981" t="s">
        <v>4402</v>
      </c>
      <c r="O1981" t="s">
        <v>896</v>
      </c>
      <c r="P1981" t="s">
        <v>33</v>
      </c>
      <c r="Q1981" s="22">
        <v>1961.76</v>
      </c>
      <c r="R1981" t="s">
        <v>35</v>
      </c>
      <c r="S1981" t="s">
        <v>35</v>
      </c>
      <c r="T1981" t="s">
        <v>35</v>
      </c>
      <c r="U1981" t="s">
        <v>35</v>
      </c>
      <c r="V1981" t="s">
        <v>645</v>
      </c>
      <c r="W1981" t="s">
        <v>113</v>
      </c>
    </row>
    <row r="1982" spans="1:23" hidden="1" x14ac:dyDescent="0.25">
      <c r="A1982" s="7" t="str">
        <f>IFERROR(VLOOKUP(H1982,'Contas Orç'!A:B,2,0),"N/A")</f>
        <v>DESPESAS GERAIS</v>
      </c>
      <c r="B1982" s="7" t="str">
        <f t="shared" si="60"/>
        <v>320409 - DESPESAS GERAIS</v>
      </c>
      <c r="C1982" s="25">
        <f t="shared" si="61"/>
        <v>44682</v>
      </c>
      <c r="D1982" s="27">
        <f>IF(K1982="CREDITO",Q1982,Q1982*-1)</f>
        <v>34.200000000000003</v>
      </c>
      <c r="E1982" t="s">
        <v>894</v>
      </c>
      <c r="F1982" t="s">
        <v>2476</v>
      </c>
      <c r="G1982" s="8">
        <v>44682</v>
      </c>
      <c r="H1982" t="s">
        <v>568</v>
      </c>
      <c r="I1982" t="s">
        <v>59</v>
      </c>
      <c r="J1982" t="s">
        <v>661</v>
      </c>
      <c r="K1982" t="s">
        <v>29</v>
      </c>
      <c r="L1982" t="s">
        <v>895</v>
      </c>
      <c r="M1982" t="s">
        <v>4402</v>
      </c>
      <c r="O1982" t="s">
        <v>896</v>
      </c>
      <c r="P1982" t="s">
        <v>33</v>
      </c>
      <c r="Q1982">
        <v>34.200000000000003</v>
      </c>
      <c r="R1982" t="s">
        <v>35</v>
      </c>
      <c r="S1982" t="s">
        <v>35</v>
      </c>
      <c r="T1982" t="s">
        <v>35</v>
      </c>
      <c r="U1982" t="s">
        <v>35</v>
      </c>
      <c r="V1982" t="s">
        <v>645</v>
      </c>
      <c r="W1982" t="s">
        <v>113</v>
      </c>
    </row>
    <row r="1983" spans="1:23" hidden="1" x14ac:dyDescent="0.25">
      <c r="A1983" s="7" t="str">
        <f>IFERROR(VLOOKUP(H1983,'Contas Orç'!A:B,2,0),"N/A")</f>
        <v>DESPESAS GERAIS</v>
      </c>
      <c r="B1983" s="7" t="str">
        <f t="shared" si="60"/>
        <v>320409 - DESPESAS GERAIS</v>
      </c>
      <c r="C1983" s="25">
        <f t="shared" si="61"/>
        <v>44682</v>
      </c>
      <c r="D1983" s="27">
        <f>IF(K1983="CREDITO",Q1983,Q1983*-1)</f>
        <v>11064.04</v>
      </c>
      <c r="E1983" t="s">
        <v>894</v>
      </c>
      <c r="F1983" t="s">
        <v>2477</v>
      </c>
      <c r="G1983" s="8">
        <v>44682</v>
      </c>
      <c r="H1983" t="s">
        <v>568</v>
      </c>
      <c r="I1983" t="s">
        <v>53</v>
      </c>
      <c r="J1983" t="s">
        <v>54</v>
      </c>
      <c r="K1983" t="s">
        <v>29</v>
      </c>
      <c r="L1983" t="s">
        <v>895</v>
      </c>
      <c r="M1983" t="s">
        <v>4402</v>
      </c>
      <c r="O1983" t="s">
        <v>896</v>
      </c>
      <c r="P1983" t="s">
        <v>33</v>
      </c>
      <c r="Q1983" s="22">
        <v>11064.04</v>
      </c>
      <c r="R1983" t="s">
        <v>35</v>
      </c>
      <c r="S1983" t="s">
        <v>35</v>
      </c>
      <c r="T1983" t="s">
        <v>35</v>
      </c>
      <c r="U1983" t="s">
        <v>35</v>
      </c>
      <c r="V1983" t="s">
        <v>645</v>
      </c>
      <c r="W1983" t="s">
        <v>113</v>
      </c>
    </row>
    <row r="1984" spans="1:23" hidden="1" x14ac:dyDescent="0.25">
      <c r="A1984" s="7" t="str">
        <f>IFERROR(VLOOKUP(H1984,'Contas Orç'!A:B,2,0),"N/A")</f>
        <v>DESPESAS GERAIS</v>
      </c>
      <c r="B1984" s="7" t="str">
        <f t="shared" si="60"/>
        <v>320409 - DESPESAS GERAIS</v>
      </c>
      <c r="C1984" s="25">
        <f t="shared" si="61"/>
        <v>44682</v>
      </c>
      <c r="D1984" s="27">
        <f>IF(K1984="CREDITO",Q1984,Q1984*-1)</f>
        <v>214.99</v>
      </c>
      <c r="E1984" t="s">
        <v>894</v>
      </c>
      <c r="F1984" t="s">
        <v>2478</v>
      </c>
      <c r="G1984" s="8">
        <v>44682</v>
      </c>
      <c r="H1984" t="s">
        <v>568</v>
      </c>
      <c r="I1984" t="s">
        <v>88</v>
      </c>
      <c r="J1984" t="s">
        <v>54</v>
      </c>
      <c r="K1984" t="s">
        <v>29</v>
      </c>
      <c r="L1984" t="s">
        <v>895</v>
      </c>
      <c r="M1984" t="s">
        <v>4402</v>
      </c>
      <c r="O1984" t="s">
        <v>896</v>
      </c>
      <c r="P1984" t="s">
        <v>33</v>
      </c>
      <c r="Q1984">
        <v>214.99</v>
      </c>
      <c r="R1984" t="s">
        <v>35</v>
      </c>
      <c r="S1984" t="s">
        <v>35</v>
      </c>
      <c r="T1984" t="s">
        <v>35</v>
      </c>
      <c r="U1984" t="s">
        <v>35</v>
      </c>
      <c r="V1984" t="s">
        <v>645</v>
      </c>
      <c r="W1984" t="s">
        <v>113</v>
      </c>
    </row>
    <row r="1985" spans="1:23" hidden="1" x14ac:dyDescent="0.25">
      <c r="A1985" s="7" t="str">
        <f>IFERROR(VLOOKUP(H1985,'Contas Orç'!A:B,2,0),"N/A")</f>
        <v>DESPESAS GERAIS</v>
      </c>
      <c r="B1985" s="7" t="str">
        <f t="shared" si="60"/>
        <v>320409 - DESPESAS GERAIS</v>
      </c>
      <c r="C1985" s="25">
        <f t="shared" si="61"/>
        <v>44713</v>
      </c>
      <c r="D1985" s="27">
        <f>IF(K1985="CREDITO",Q1985,Q1985*-1)</f>
        <v>2.23</v>
      </c>
      <c r="E1985" t="s">
        <v>894</v>
      </c>
      <c r="F1985" t="s">
        <v>2479</v>
      </c>
      <c r="G1985" s="8">
        <v>44713</v>
      </c>
      <c r="H1985" t="s">
        <v>568</v>
      </c>
      <c r="I1985" t="s">
        <v>53</v>
      </c>
      <c r="J1985" t="s">
        <v>28</v>
      </c>
      <c r="K1985" t="s">
        <v>29</v>
      </c>
      <c r="L1985" t="s">
        <v>895</v>
      </c>
      <c r="M1985" t="s">
        <v>4402</v>
      </c>
      <c r="O1985" t="s">
        <v>896</v>
      </c>
      <c r="P1985" t="s">
        <v>33</v>
      </c>
      <c r="Q1985">
        <v>2.23</v>
      </c>
      <c r="R1985" t="s">
        <v>35</v>
      </c>
      <c r="S1985" t="s">
        <v>35</v>
      </c>
      <c r="T1985" t="s">
        <v>35</v>
      </c>
      <c r="U1985" t="s">
        <v>35</v>
      </c>
      <c r="V1985" t="s">
        <v>645</v>
      </c>
      <c r="W1985" t="s">
        <v>113</v>
      </c>
    </row>
    <row r="1986" spans="1:23" hidden="1" x14ac:dyDescent="0.25">
      <c r="A1986" s="7" t="str">
        <f>IFERROR(VLOOKUP(H1986,'Contas Orç'!A:B,2,0),"N/A")</f>
        <v>DESPESAS GERAIS</v>
      </c>
      <c r="B1986" s="7" t="str">
        <f t="shared" si="60"/>
        <v>320409 - DESPESAS GERAIS</v>
      </c>
      <c r="C1986" s="25">
        <f t="shared" si="61"/>
        <v>44713</v>
      </c>
      <c r="D1986" s="27">
        <f>IF(K1986="CREDITO",Q1986,Q1986*-1)</f>
        <v>6583.21</v>
      </c>
      <c r="E1986" t="s">
        <v>894</v>
      </c>
      <c r="F1986" t="s">
        <v>2480</v>
      </c>
      <c r="G1986" s="8">
        <v>44713</v>
      </c>
      <c r="H1986" t="s">
        <v>568</v>
      </c>
      <c r="I1986" t="s">
        <v>88</v>
      </c>
      <c r="J1986" t="s">
        <v>28</v>
      </c>
      <c r="K1986" t="s">
        <v>29</v>
      </c>
      <c r="L1986" t="s">
        <v>895</v>
      </c>
      <c r="M1986" t="s">
        <v>4402</v>
      </c>
      <c r="O1986" t="s">
        <v>896</v>
      </c>
      <c r="P1986" t="s">
        <v>33</v>
      </c>
      <c r="Q1986" s="22">
        <v>6583.21</v>
      </c>
      <c r="R1986" t="s">
        <v>35</v>
      </c>
      <c r="S1986" t="s">
        <v>35</v>
      </c>
      <c r="T1986" t="s">
        <v>35</v>
      </c>
      <c r="U1986" t="s">
        <v>35</v>
      </c>
      <c r="V1986" t="s">
        <v>645</v>
      </c>
      <c r="W1986" t="s">
        <v>113</v>
      </c>
    </row>
    <row r="1987" spans="1:23" hidden="1" x14ac:dyDescent="0.25">
      <c r="A1987" s="7" t="str">
        <f>IFERROR(VLOOKUP(H1987,'Contas Orç'!A:B,2,0),"N/A")</f>
        <v>DESPESAS GERAIS</v>
      </c>
      <c r="B1987" s="7" t="str">
        <f t="shared" ref="B1987:B2050" si="62">_xlfn.CONCAT(H1987," - ",A1987)</f>
        <v>320409 - DESPESAS GERAIS</v>
      </c>
      <c r="C1987" s="25">
        <f t="shared" ref="C1987:C2050" si="63">DATE(YEAR(G1987),MONTH(G1987),1)</f>
        <v>44713</v>
      </c>
      <c r="D1987" s="27">
        <f>IF(K1987="CREDITO",Q1987,Q1987*-1)</f>
        <v>2988.08</v>
      </c>
      <c r="E1987" t="s">
        <v>894</v>
      </c>
      <c r="F1987" t="s">
        <v>2481</v>
      </c>
      <c r="G1987" s="8">
        <v>44713</v>
      </c>
      <c r="H1987" t="s">
        <v>568</v>
      </c>
      <c r="I1987" t="s">
        <v>27</v>
      </c>
      <c r="J1987" t="s">
        <v>28</v>
      </c>
      <c r="K1987" t="s">
        <v>29</v>
      </c>
      <c r="L1987" t="s">
        <v>895</v>
      </c>
      <c r="M1987" t="s">
        <v>4402</v>
      </c>
      <c r="O1987" t="s">
        <v>896</v>
      </c>
      <c r="P1987" t="s">
        <v>33</v>
      </c>
      <c r="Q1987" s="22">
        <v>2988.08</v>
      </c>
      <c r="R1987" t="s">
        <v>35</v>
      </c>
      <c r="S1987" t="s">
        <v>35</v>
      </c>
      <c r="T1987" t="s">
        <v>35</v>
      </c>
      <c r="U1987" t="s">
        <v>35</v>
      </c>
      <c r="V1987" t="s">
        <v>645</v>
      </c>
      <c r="W1987" t="s">
        <v>113</v>
      </c>
    </row>
    <row r="1988" spans="1:23" hidden="1" x14ac:dyDescent="0.25">
      <c r="A1988" s="7" t="str">
        <f>IFERROR(VLOOKUP(H1988,'Contas Orç'!A:B,2,0),"N/A")</f>
        <v>DESPESAS GERAIS</v>
      </c>
      <c r="B1988" s="7" t="str">
        <f t="shared" si="62"/>
        <v>320409 - DESPESAS GERAIS</v>
      </c>
      <c r="C1988" s="25">
        <f t="shared" si="63"/>
        <v>44713</v>
      </c>
      <c r="D1988" s="27">
        <f>IF(K1988="CREDITO",Q1988,Q1988*-1)</f>
        <v>83.26</v>
      </c>
      <c r="E1988" t="s">
        <v>894</v>
      </c>
      <c r="F1988" t="s">
        <v>2482</v>
      </c>
      <c r="G1988" s="8">
        <v>44713</v>
      </c>
      <c r="H1988" t="s">
        <v>568</v>
      </c>
      <c r="I1988" t="s">
        <v>106</v>
      </c>
      <c r="J1988" t="s">
        <v>60</v>
      </c>
      <c r="K1988" t="s">
        <v>29</v>
      </c>
      <c r="L1988" t="s">
        <v>895</v>
      </c>
      <c r="M1988" t="s">
        <v>4402</v>
      </c>
      <c r="O1988" t="s">
        <v>896</v>
      </c>
      <c r="P1988" t="s">
        <v>33</v>
      </c>
      <c r="Q1988">
        <v>83.26</v>
      </c>
      <c r="R1988" t="s">
        <v>35</v>
      </c>
      <c r="S1988" t="s">
        <v>35</v>
      </c>
      <c r="T1988" t="s">
        <v>35</v>
      </c>
      <c r="U1988" t="s">
        <v>35</v>
      </c>
      <c r="V1988" t="s">
        <v>645</v>
      </c>
      <c r="W1988" t="s">
        <v>113</v>
      </c>
    </row>
    <row r="1989" spans="1:23" hidden="1" x14ac:dyDescent="0.25">
      <c r="A1989" s="7" t="str">
        <f>IFERROR(VLOOKUP(H1989,'Contas Orç'!A:B,2,0),"N/A")</f>
        <v>DESPESAS GERAIS</v>
      </c>
      <c r="B1989" s="7" t="str">
        <f t="shared" si="62"/>
        <v>320409 - DESPESAS GERAIS</v>
      </c>
      <c r="C1989" s="25">
        <f t="shared" si="63"/>
        <v>44713</v>
      </c>
      <c r="D1989" s="27">
        <f>IF(K1989="CREDITO",Q1989,Q1989*-1)</f>
        <v>26.76</v>
      </c>
      <c r="E1989" t="s">
        <v>894</v>
      </c>
      <c r="F1989" t="s">
        <v>2483</v>
      </c>
      <c r="G1989" s="8">
        <v>44713</v>
      </c>
      <c r="H1989" t="s">
        <v>568</v>
      </c>
      <c r="I1989" t="s">
        <v>27</v>
      </c>
      <c r="J1989" t="s">
        <v>60</v>
      </c>
      <c r="K1989" t="s">
        <v>29</v>
      </c>
      <c r="L1989" t="s">
        <v>895</v>
      </c>
      <c r="M1989" t="s">
        <v>4402</v>
      </c>
      <c r="O1989" t="s">
        <v>896</v>
      </c>
      <c r="P1989" t="s">
        <v>33</v>
      </c>
      <c r="Q1989">
        <v>26.76</v>
      </c>
      <c r="R1989" t="s">
        <v>35</v>
      </c>
      <c r="S1989" t="s">
        <v>35</v>
      </c>
      <c r="T1989" t="s">
        <v>35</v>
      </c>
      <c r="U1989" t="s">
        <v>35</v>
      </c>
      <c r="V1989" t="s">
        <v>645</v>
      </c>
      <c r="W1989" t="s">
        <v>113</v>
      </c>
    </row>
    <row r="1990" spans="1:23" hidden="1" x14ac:dyDescent="0.25">
      <c r="A1990" s="7" t="str">
        <f>IFERROR(VLOOKUP(H1990,'Contas Orç'!A:B,2,0),"N/A")</f>
        <v>DESPESAS GERAIS</v>
      </c>
      <c r="B1990" s="7" t="str">
        <f t="shared" si="62"/>
        <v>320409 - DESPESAS GERAIS</v>
      </c>
      <c r="C1990" s="25">
        <f t="shared" si="63"/>
        <v>44713</v>
      </c>
      <c r="D1990" s="27">
        <f>IF(K1990="CREDITO",Q1990,Q1990*-1)</f>
        <v>2233.37</v>
      </c>
      <c r="E1990" t="s">
        <v>894</v>
      </c>
      <c r="F1990" t="s">
        <v>2484</v>
      </c>
      <c r="G1990" s="8">
        <v>44713</v>
      </c>
      <c r="H1990" t="s">
        <v>568</v>
      </c>
      <c r="I1990" t="s">
        <v>59</v>
      </c>
      <c r="J1990" t="s">
        <v>60</v>
      </c>
      <c r="K1990" t="s">
        <v>29</v>
      </c>
      <c r="L1990" t="s">
        <v>895</v>
      </c>
      <c r="M1990" t="s">
        <v>4402</v>
      </c>
      <c r="O1990" t="s">
        <v>896</v>
      </c>
      <c r="P1990" t="s">
        <v>33</v>
      </c>
      <c r="Q1990" s="22">
        <v>2233.37</v>
      </c>
      <c r="R1990" t="s">
        <v>35</v>
      </c>
      <c r="S1990" t="s">
        <v>35</v>
      </c>
      <c r="T1990" t="s">
        <v>35</v>
      </c>
      <c r="U1990" t="s">
        <v>35</v>
      </c>
      <c r="V1990" t="s">
        <v>645</v>
      </c>
      <c r="W1990" t="s">
        <v>113</v>
      </c>
    </row>
    <row r="1991" spans="1:23" hidden="1" x14ac:dyDescent="0.25">
      <c r="A1991" s="7" t="str">
        <f>IFERROR(VLOOKUP(H1991,'Contas Orç'!A:B,2,0),"N/A")</f>
        <v>DESPESAS GERAIS</v>
      </c>
      <c r="B1991" s="7" t="str">
        <f t="shared" si="62"/>
        <v>320409 - DESPESAS GERAIS</v>
      </c>
      <c r="C1991" s="25">
        <f t="shared" si="63"/>
        <v>44713</v>
      </c>
      <c r="D1991" s="27">
        <f>IF(K1991="CREDITO",Q1991,Q1991*-1)</f>
        <v>1103.1099999999999</v>
      </c>
      <c r="E1991" t="s">
        <v>894</v>
      </c>
      <c r="F1991" t="s">
        <v>2485</v>
      </c>
      <c r="G1991" s="8">
        <v>44713</v>
      </c>
      <c r="H1991" t="s">
        <v>568</v>
      </c>
      <c r="I1991" t="s">
        <v>59</v>
      </c>
      <c r="J1991" t="s">
        <v>107</v>
      </c>
      <c r="K1991" t="s">
        <v>29</v>
      </c>
      <c r="L1991" t="s">
        <v>895</v>
      </c>
      <c r="M1991" t="s">
        <v>4402</v>
      </c>
      <c r="O1991" t="s">
        <v>896</v>
      </c>
      <c r="P1991" t="s">
        <v>33</v>
      </c>
      <c r="Q1991" s="22">
        <v>1103.1099999999999</v>
      </c>
      <c r="R1991" t="s">
        <v>35</v>
      </c>
      <c r="S1991" t="s">
        <v>35</v>
      </c>
      <c r="T1991" t="s">
        <v>35</v>
      </c>
      <c r="U1991" t="s">
        <v>35</v>
      </c>
      <c r="V1991" t="s">
        <v>645</v>
      </c>
      <c r="W1991" t="s">
        <v>113</v>
      </c>
    </row>
    <row r="1992" spans="1:23" hidden="1" x14ac:dyDescent="0.25">
      <c r="A1992" s="7" t="str">
        <f>IFERROR(VLOOKUP(H1992,'Contas Orç'!A:B,2,0),"N/A")</f>
        <v>DESPESAS GERAIS</v>
      </c>
      <c r="B1992" s="7" t="str">
        <f t="shared" si="62"/>
        <v>320409 - DESPESAS GERAIS</v>
      </c>
      <c r="C1992" s="25">
        <f t="shared" si="63"/>
        <v>44713</v>
      </c>
      <c r="D1992" s="27">
        <f>IF(K1992="CREDITO",Q1992,Q1992*-1)</f>
        <v>6521.24</v>
      </c>
      <c r="E1992" t="s">
        <v>894</v>
      </c>
      <c r="F1992" t="s">
        <v>2486</v>
      </c>
      <c r="G1992" s="8">
        <v>44713</v>
      </c>
      <c r="H1992" t="s">
        <v>568</v>
      </c>
      <c r="I1992" t="s">
        <v>53</v>
      </c>
      <c r="J1992" t="s">
        <v>54</v>
      </c>
      <c r="K1992" t="s">
        <v>29</v>
      </c>
      <c r="L1992" t="s">
        <v>895</v>
      </c>
      <c r="M1992" t="s">
        <v>4402</v>
      </c>
      <c r="O1992" t="s">
        <v>896</v>
      </c>
      <c r="P1992" t="s">
        <v>33</v>
      </c>
      <c r="Q1992" s="22">
        <v>6521.24</v>
      </c>
      <c r="R1992" t="s">
        <v>35</v>
      </c>
      <c r="S1992" t="s">
        <v>35</v>
      </c>
      <c r="T1992" t="s">
        <v>35</v>
      </c>
      <c r="U1992" t="s">
        <v>35</v>
      </c>
      <c r="V1992" t="s">
        <v>645</v>
      </c>
      <c r="W1992" t="s">
        <v>113</v>
      </c>
    </row>
    <row r="1993" spans="1:23" hidden="1" x14ac:dyDescent="0.25">
      <c r="A1993" s="7" t="str">
        <f>IFERROR(VLOOKUP(H1993,'Contas Orç'!A:B,2,0),"N/A")</f>
        <v>DESPESAS GERAIS</v>
      </c>
      <c r="B1993" s="7" t="str">
        <f t="shared" si="62"/>
        <v>320409 - DESPESAS GERAIS</v>
      </c>
      <c r="C1993" s="25">
        <f t="shared" si="63"/>
        <v>44743</v>
      </c>
      <c r="D1993" s="27">
        <f>IF(K1993="CREDITO",Q1993,Q1993*-1)</f>
        <v>2918.21</v>
      </c>
      <c r="E1993" t="s">
        <v>894</v>
      </c>
      <c r="F1993" t="s">
        <v>2487</v>
      </c>
      <c r="G1993" s="8">
        <v>44743</v>
      </c>
      <c r="H1993" t="s">
        <v>568</v>
      </c>
      <c r="I1993" t="s">
        <v>88</v>
      </c>
      <c r="J1993" t="s">
        <v>28</v>
      </c>
      <c r="K1993" t="s">
        <v>29</v>
      </c>
      <c r="L1993" t="s">
        <v>895</v>
      </c>
      <c r="M1993" t="s">
        <v>4402</v>
      </c>
      <c r="O1993" t="s">
        <v>896</v>
      </c>
      <c r="P1993" t="s">
        <v>33</v>
      </c>
      <c r="Q1993" s="22">
        <v>2918.21</v>
      </c>
      <c r="R1993" t="s">
        <v>35</v>
      </c>
      <c r="S1993" t="s">
        <v>35</v>
      </c>
      <c r="T1993" t="s">
        <v>35</v>
      </c>
      <c r="U1993" t="s">
        <v>35</v>
      </c>
      <c r="V1993" t="s">
        <v>645</v>
      </c>
      <c r="W1993" t="s">
        <v>113</v>
      </c>
    </row>
    <row r="1994" spans="1:23" hidden="1" x14ac:dyDescent="0.25">
      <c r="A1994" s="7" t="str">
        <f>IFERROR(VLOOKUP(H1994,'Contas Orç'!A:B,2,0),"N/A")</f>
        <v>DESPESAS GERAIS</v>
      </c>
      <c r="B1994" s="7" t="str">
        <f t="shared" si="62"/>
        <v>320409 - DESPESAS GERAIS</v>
      </c>
      <c r="C1994" s="25">
        <f t="shared" si="63"/>
        <v>44743</v>
      </c>
      <c r="D1994" s="27">
        <f>IF(K1994="CREDITO",Q1994,Q1994*-1)</f>
        <v>324.18</v>
      </c>
      <c r="E1994" t="s">
        <v>894</v>
      </c>
      <c r="F1994" t="s">
        <v>2488</v>
      </c>
      <c r="G1994" s="8">
        <v>44743</v>
      </c>
      <c r="H1994" t="s">
        <v>568</v>
      </c>
      <c r="I1994" t="s">
        <v>27</v>
      </c>
      <c r="J1994" t="s">
        <v>28</v>
      </c>
      <c r="K1994" t="s">
        <v>29</v>
      </c>
      <c r="L1994" t="s">
        <v>895</v>
      </c>
      <c r="M1994" t="s">
        <v>4402</v>
      </c>
      <c r="O1994" t="s">
        <v>896</v>
      </c>
      <c r="P1994" t="s">
        <v>33</v>
      </c>
      <c r="Q1994">
        <v>324.18</v>
      </c>
      <c r="R1994" t="s">
        <v>35</v>
      </c>
      <c r="S1994" t="s">
        <v>35</v>
      </c>
      <c r="T1994" t="s">
        <v>35</v>
      </c>
      <c r="U1994" t="s">
        <v>35</v>
      </c>
      <c r="V1994" t="s">
        <v>645</v>
      </c>
      <c r="W1994" t="s">
        <v>113</v>
      </c>
    </row>
    <row r="1995" spans="1:23" hidden="1" x14ac:dyDescent="0.25">
      <c r="A1995" s="7" t="str">
        <f>IFERROR(VLOOKUP(H1995,'Contas Orç'!A:B,2,0),"N/A")</f>
        <v>DESPESAS GERAIS</v>
      </c>
      <c r="B1995" s="7" t="str">
        <f t="shared" si="62"/>
        <v>320409 - DESPESAS GERAIS</v>
      </c>
      <c r="C1995" s="25">
        <f t="shared" si="63"/>
        <v>44743</v>
      </c>
      <c r="D1995" s="27">
        <f>IF(K1995="CREDITO",Q1995,Q1995*-1)</f>
        <v>167.43</v>
      </c>
      <c r="E1995" t="s">
        <v>894</v>
      </c>
      <c r="F1995" t="s">
        <v>2489</v>
      </c>
      <c r="G1995" s="8">
        <v>44743</v>
      </c>
      <c r="H1995" t="s">
        <v>568</v>
      </c>
      <c r="I1995" t="s">
        <v>106</v>
      </c>
      <c r="J1995" t="s">
        <v>60</v>
      </c>
      <c r="K1995" t="s">
        <v>29</v>
      </c>
      <c r="L1995" t="s">
        <v>895</v>
      </c>
      <c r="M1995" t="s">
        <v>4402</v>
      </c>
      <c r="O1995" t="s">
        <v>896</v>
      </c>
      <c r="P1995" t="s">
        <v>33</v>
      </c>
      <c r="Q1995">
        <v>167.43</v>
      </c>
      <c r="R1995" t="s">
        <v>35</v>
      </c>
      <c r="S1995" t="s">
        <v>35</v>
      </c>
      <c r="T1995" t="s">
        <v>35</v>
      </c>
      <c r="U1995" t="s">
        <v>35</v>
      </c>
      <c r="V1995" t="s">
        <v>645</v>
      </c>
      <c r="W1995" t="s">
        <v>113</v>
      </c>
    </row>
    <row r="1996" spans="1:23" hidden="1" x14ac:dyDescent="0.25">
      <c r="A1996" s="7" t="str">
        <f>IFERROR(VLOOKUP(H1996,'Contas Orç'!A:B,2,0),"N/A")</f>
        <v>DESPESAS GERAIS</v>
      </c>
      <c r="B1996" s="7" t="str">
        <f t="shared" si="62"/>
        <v>320409 - DESPESAS GERAIS</v>
      </c>
      <c r="C1996" s="25">
        <f t="shared" si="63"/>
        <v>44743</v>
      </c>
      <c r="D1996" s="27">
        <f>IF(K1996="CREDITO",Q1996,Q1996*-1)</f>
        <v>3390.13</v>
      </c>
      <c r="E1996" t="s">
        <v>894</v>
      </c>
      <c r="F1996" t="s">
        <v>2490</v>
      </c>
      <c r="G1996" s="8">
        <v>44743</v>
      </c>
      <c r="H1996" t="s">
        <v>568</v>
      </c>
      <c r="I1996" t="s">
        <v>59</v>
      </c>
      <c r="J1996" t="s">
        <v>60</v>
      </c>
      <c r="K1996" t="s">
        <v>29</v>
      </c>
      <c r="L1996" t="s">
        <v>895</v>
      </c>
      <c r="M1996" t="s">
        <v>4402</v>
      </c>
      <c r="O1996" t="s">
        <v>896</v>
      </c>
      <c r="P1996" t="s">
        <v>33</v>
      </c>
      <c r="Q1996" s="22">
        <v>3390.13</v>
      </c>
      <c r="R1996" t="s">
        <v>35</v>
      </c>
      <c r="S1996" t="s">
        <v>35</v>
      </c>
      <c r="T1996" t="s">
        <v>35</v>
      </c>
      <c r="U1996" t="s">
        <v>35</v>
      </c>
      <c r="V1996" t="s">
        <v>645</v>
      </c>
      <c r="W1996" t="s">
        <v>113</v>
      </c>
    </row>
    <row r="1997" spans="1:23" hidden="1" x14ac:dyDescent="0.25">
      <c r="A1997" s="7" t="str">
        <f>IFERROR(VLOOKUP(H1997,'Contas Orç'!A:B,2,0),"N/A")</f>
        <v>DESPESAS GERAIS</v>
      </c>
      <c r="B1997" s="7" t="str">
        <f t="shared" si="62"/>
        <v>320409 - DESPESAS GERAIS</v>
      </c>
      <c r="C1997" s="25">
        <f t="shared" si="63"/>
        <v>44743</v>
      </c>
      <c r="D1997" s="27">
        <f>IF(K1997="CREDITO",Q1997,Q1997*-1)</f>
        <v>1223.76</v>
      </c>
      <c r="E1997" t="s">
        <v>894</v>
      </c>
      <c r="F1997" t="s">
        <v>2491</v>
      </c>
      <c r="G1997" s="8">
        <v>44743</v>
      </c>
      <c r="H1997" t="s">
        <v>568</v>
      </c>
      <c r="I1997" t="s">
        <v>59</v>
      </c>
      <c r="J1997" t="s">
        <v>107</v>
      </c>
      <c r="K1997" t="s">
        <v>29</v>
      </c>
      <c r="L1997" t="s">
        <v>895</v>
      </c>
      <c r="M1997" t="s">
        <v>4402</v>
      </c>
      <c r="O1997" t="s">
        <v>896</v>
      </c>
      <c r="P1997" t="s">
        <v>33</v>
      </c>
      <c r="Q1997" s="22">
        <v>1223.76</v>
      </c>
      <c r="R1997" t="s">
        <v>35</v>
      </c>
      <c r="S1997" t="s">
        <v>35</v>
      </c>
      <c r="T1997" t="s">
        <v>35</v>
      </c>
      <c r="U1997" t="s">
        <v>35</v>
      </c>
      <c r="V1997" t="s">
        <v>645</v>
      </c>
      <c r="W1997" t="s">
        <v>113</v>
      </c>
    </row>
    <row r="1998" spans="1:23" hidden="1" x14ac:dyDescent="0.25">
      <c r="A1998" s="7" t="str">
        <f>IFERROR(VLOOKUP(H1998,'Contas Orç'!A:B,2,0),"N/A")</f>
        <v>DESPESAS GERAIS</v>
      </c>
      <c r="B1998" s="7" t="str">
        <f t="shared" si="62"/>
        <v>320409 - DESPESAS GERAIS</v>
      </c>
      <c r="C1998" s="25">
        <f t="shared" si="63"/>
        <v>44743</v>
      </c>
      <c r="D1998" s="27">
        <f>IF(K1998="CREDITO",Q1998,Q1998*-1)</f>
        <v>5.48</v>
      </c>
      <c r="E1998" t="s">
        <v>894</v>
      </c>
      <c r="F1998" t="s">
        <v>2492</v>
      </c>
      <c r="G1998" s="8">
        <v>44743</v>
      </c>
      <c r="H1998" t="s">
        <v>568</v>
      </c>
      <c r="I1998" t="s">
        <v>106</v>
      </c>
      <c r="J1998" t="s">
        <v>95</v>
      </c>
      <c r="K1998" t="s">
        <v>29</v>
      </c>
      <c r="L1998" t="s">
        <v>895</v>
      </c>
      <c r="M1998" t="s">
        <v>4402</v>
      </c>
      <c r="O1998" t="s">
        <v>896</v>
      </c>
      <c r="P1998" t="s">
        <v>33</v>
      </c>
      <c r="Q1998">
        <v>5.48</v>
      </c>
      <c r="R1998" t="s">
        <v>35</v>
      </c>
      <c r="S1998" t="s">
        <v>35</v>
      </c>
      <c r="T1998" t="s">
        <v>35</v>
      </c>
      <c r="U1998" t="s">
        <v>35</v>
      </c>
      <c r="V1998" t="s">
        <v>645</v>
      </c>
      <c r="W1998" t="s">
        <v>113</v>
      </c>
    </row>
    <row r="1999" spans="1:23" hidden="1" x14ac:dyDescent="0.25">
      <c r="A1999" s="7" t="str">
        <f>IFERROR(VLOOKUP(H1999,'Contas Orç'!A:B,2,0),"N/A")</f>
        <v>DESPESAS GERAIS</v>
      </c>
      <c r="B1999" s="7" t="str">
        <f t="shared" si="62"/>
        <v>320409 - DESPESAS GERAIS</v>
      </c>
      <c r="C1999" s="25">
        <f t="shared" si="63"/>
        <v>44743</v>
      </c>
      <c r="D1999" s="27">
        <f>IF(K1999="CREDITO",Q1999,Q1999*-1)</f>
        <v>8533.58</v>
      </c>
      <c r="E1999" t="s">
        <v>894</v>
      </c>
      <c r="F1999" t="s">
        <v>2493</v>
      </c>
      <c r="G1999" s="8">
        <v>44743</v>
      </c>
      <c r="H1999" t="s">
        <v>568</v>
      </c>
      <c r="I1999" t="s">
        <v>59</v>
      </c>
      <c r="J1999" t="s">
        <v>1624</v>
      </c>
      <c r="K1999" t="s">
        <v>29</v>
      </c>
      <c r="L1999" t="s">
        <v>895</v>
      </c>
      <c r="M1999" t="s">
        <v>4402</v>
      </c>
      <c r="O1999" t="s">
        <v>896</v>
      </c>
      <c r="P1999" t="s">
        <v>33</v>
      </c>
      <c r="Q1999" s="22">
        <v>8533.58</v>
      </c>
      <c r="R1999" t="s">
        <v>35</v>
      </c>
      <c r="S1999" t="s">
        <v>35</v>
      </c>
      <c r="T1999" t="s">
        <v>35</v>
      </c>
      <c r="U1999" t="s">
        <v>35</v>
      </c>
      <c r="V1999" t="s">
        <v>645</v>
      </c>
      <c r="W1999" t="s">
        <v>113</v>
      </c>
    </row>
    <row r="2000" spans="1:23" hidden="1" x14ac:dyDescent="0.25">
      <c r="A2000" s="7" t="str">
        <f>IFERROR(VLOOKUP(H2000,'Contas Orç'!A:B,2,0),"N/A")</f>
        <v>DESPESAS GERAIS</v>
      </c>
      <c r="B2000" s="7" t="str">
        <f t="shared" si="62"/>
        <v>320409 - DESPESAS GERAIS</v>
      </c>
      <c r="C2000" s="25">
        <f t="shared" si="63"/>
        <v>44743</v>
      </c>
      <c r="D2000" s="27">
        <f>IF(K2000="CREDITO",Q2000,Q2000*-1)</f>
        <v>6892.92</v>
      </c>
      <c r="E2000" t="s">
        <v>894</v>
      </c>
      <c r="F2000" t="s">
        <v>2494</v>
      </c>
      <c r="G2000" s="8">
        <v>44743</v>
      </c>
      <c r="H2000" t="s">
        <v>568</v>
      </c>
      <c r="I2000" t="s">
        <v>53</v>
      </c>
      <c r="J2000" t="s">
        <v>54</v>
      </c>
      <c r="K2000" t="s">
        <v>29</v>
      </c>
      <c r="L2000" t="s">
        <v>895</v>
      </c>
      <c r="M2000" t="s">
        <v>4402</v>
      </c>
      <c r="O2000" t="s">
        <v>896</v>
      </c>
      <c r="P2000" t="s">
        <v>33</v>
      </c>
      <c r="Q2000" s="22">
        <v>6892.92</v>
      </c>
      <c r="R2000" t="s">
        <v>35</v>
      </c>
      <c r="S2000" t="s">
        <v>35</v>
      </c>
      <c r="T2000" t="s">
        <v>35</v>
      </c>
      <c r="U2000" t="s">
        <v>35</v>
      </c>
      <c r="V2000" t="s">
        <v>645</v>
      </c>
      <c r="W2000" t="s">
        <v>113</v>
      </c>
    </row>
    <row r="2001" spans="1:23" hidden="1" x14ac:dyDescent="0.25">
      <c r="A2001" s="7" t="str">
        <f>IFERROR(VLOOKUP(H2001,'Contas Orç'!A:B,2,0),"N/A")</f>
        <v>DESPESAS GERAIS</v>
      </c>
      <c r="B2001" s="7" t="str">
        <f t="shared" si="62"/>
        <v>320409 - DESPESAS GERAIS</v>
      </c>
      <c r="C2001" s="25">
        <f t="shared" si="63"/>
        <v>44774</v>
      </c>
      <c r="D2001" s="27">
        <f>IF(K2001="CREDITO",Q2001,Q2001*-1)</f>
        <v>8</v>
      </c>
      <c r="E2001" t="s">
        <v>894</v>
      </c>
      <c r="F2001" t="s">
        <v>2495</v>
      </c>
      <c r="G2001" s="8">
        <v>44774</v>
      </c>
      <c r="H2001" t="s">
        <v>568</v>
      </c>
      <c r="I2001" t="s">
        <v>53</v>
      </c>
      <c r="J2001" t="s">
        <v>28</v>
      </c>
      <c r="K2001" t="s">
        <v>29</v>
      </c>
      <c r="L2001" t="s">
        <v>895</v>
      </c>
      <c r="M2001" t="s">
        <v>4402</v>
      </c>
      <c r="O2001" t="s">
        <v>896</v>
      </c>
      <c r="P2001" t="s">
        <v>33</v>
      </c>
      <c r="Q2001">
        <v>8</v>
      </c>
      <c r="R2001" t="s">
        <v>35</v>
      </c>
      <c r="S2001" t="s">
        <v>35</v>
      </c>
      <c r="T2001" t="s">
        <v>35</v>
      </c>
      <c r="U2001" t="s">
        <v>35</v>
      </c>
      <c r="V2001" t="s">
        <v>645</v>
      </c>
      <c r="W2001" t="s">
        <v>113</v>
      </c>
    </row>
    <row r="2002" spans="1:23" hidden="1" x14ac:dyDescent="0.25">
      <c r="A2002" s="7" t="str">
        <f>IFERROR(VLOOKUP(H2002,'Contas Orç'!A:B,2,0),"N/A")</f>
        <v>DESPESAS GERAIS</v>
      </c>
      <c r="B2002" s="7" t="str">
        <f t="shared" si="62"/>
        <v>320409 - DESPESAS GERAIS</v>
      </c>
      <c r="C2002" s="25">
        <f t="shared" si="63"/>
        <v>44774</v>
      </c>
      <c r="D2002" s="27">
        <f>IF(K2002="CREDITO",Q2002,Q2002*-1)</f>
        <v>613.86</v>
      </c>
      <c r="E2002" t="s">
        <v>894</v>
      </c>
      <c r="F2002" t="s">
        <v>2496</v>
      </c>
      <c r="G2002" s="8">
        <v>44774</v>
      </c>
      <c r="H2002" t="s">
        <v>568</v>
      </c>
      <c r="I2002" t="s">
        <v>88</v>
      </c>
      <c r="J2002" t="s">
        <v>28</v>
      </c>
      <c r="K2002" t="s">
        <v>29</v>
      </c>
      <c r="L2002" t="s">
        <v>895</v>
      </c>
      <c r="M2002" t="s">
        <v>4402</v>
      </c>
      <c r="O2002" t="s">
        <v>896</v>
      </c>
      <c r="P2002" t="s">
        <v>33</v>
      </c>
      <c r="Q2002">
        <v>613.86</v>
      </c>
      <c r="R2002" t="s">
        <v>35</v>
      </c>
      <c r="S2002" t="s">
        <v>35</v>
      </c>
      <c r="T2002" t="s">
        <v>35</v>
      </c>
      <c r="U2002" t="s">
        <v>35</v>
      </c>
      <c r="V2002" t="s">
        <v>645</v>
      </c>
      <c r="W2002" t="s">
        <v>113</v>
      </c>
    </row>
    <row r="2003" spans="1:23" hidden="1" x14ac:dyDescent="0.25">
      <c r="A2003" s="7" t="str">
        <f>IFERROR(VLOOKUP(H2003,'Contas Orç'!A:B,2,0),"N/A")</f>
        <v>DESPESAS GERAIS</v>
      </c>
      <c r="B2003" s="7" t="str">
        <f t="shared" si="62"/>
        <v>320409 - DESPESAS GERAIS</v>
      </c>
      <c r="C2003" s="25">
        <f t="shared" si="63"/>
        <v>44774</v>
      </c>
      <c r="D2003" s="27">
        <f>IF(K2003="CREDITO",Q2003,Q2003*-1)</f>
        <v>1455.65</v>
      </c>
      <c r="E2003" t="s">
        <v>894</v>
      </c>
      <c r="F2003" t="s">
        <v>2497</v>
      </c>
      <c r="G2003" s="8">
        <v>44774</v>
      </c>
      <c r="H2003" t="s">
        <v>568</v>
      </c>
      <c r="I2003" t="s">
        <v>27</v>
      </c>
      <c r="J2003" t="s">
        <v>28</v>
      </c>
      <c r="K2003" t="s">
        <v>29</v>
      </c>
      <c r="L2003" t="s">
        <v>895</v>
      </c>
      <c r="M2003" t="s">
        <v>4402</v>
      </c>
      <c r="O2003" t="s">
        <v>896</v>
      </c>
      <c r="P2003" t="s">
        <v>33</v>
      </c>
      <c r="Q2003" s="22">
        <v>1455.65</v>
      </c>
      <c r="R2003" t="s">
        <v>35</v>
      </c>
      <c r="S2003" t="s">
        <v>35</v>
      </c>
      <c r="T2003" t="s">
        <v>35</v>
      </c>
      <c r="U2003" t="s">
        <v>35</v>
      </c>
      <c r="V2003" t="s">
        <v>645</v>
      </c>
      <c r="W2003" t="s">
        <v>113</v>
      </c>
    </row>
    <row r="2004" spans="1:23" hidden="1" x14ac:dyDescent="0.25">
      <c r="A2004" s="7" t="str">
        <f>IFERROR(VLOOKUP(H2004,'Contas Orç'!A:B,2,0),"N/A")</f>
        <v>DESPESAS GERAIS</v>
      </c>
      <c r="B2004" s="7" t="str">
        <f t="shared" si="62"/>
        <v>320409 - DESPESAS GERAIS</v>
      </c>
      <c r="C2004" s="25">
        <f t="shared" si="63"/>
        <v>44774</v>
      </c>
      <c r="D2004" s="27">
        <f>IF(K2004="CREDITO",Q2004,Q2004*-1)</f>
        <v>26.25</v>
      </c>
      <c r="E2004" t="s">
        <v>894</v>
      </c>
      <c r="F2004" t="s">
        <v>2498</v>
      </c>
      <c r="G2004" s="8">
        <v>44774</v>
      </c>
      <c r="H2004" t="s">
        <v>568</v>
      </c>
      <c r="I2004" t="s">
        <v>106</v>
      </c>
      <c r="J2004" t="s">
        <v>60</v>
      </c>
      <c r="K2004" t="s">
        <v>29</v>
      </c>
      <c r="L2004" t="s">
        <v>895</v>
      </c>
      <c r="M2004" t="s">
        <v>4402</v>
      </c>
      <c r="O2004" t="s">
        <v>896</v>
      </c>
      <c r="P2004" t="s">
        <v>33</v>
      </c>
      <c r="Q2004">
        <v>26.25</v>
      </c>
      <c r="R2004" t="s">
        <v>35</v>
      </c>
      <c r="S2004" t="s">
        <v>35</v>
      </c>
      <c r="T2004" t="s">
        <v>35</v>
      </c>
      <c r="U2004" t="s">
        <v>35</v>
      </c>
      <c r="V2004" t="s">
        <v>645</v>
      </c>
      <c r="W2004" t="s">
        <v>113</v>
      </c>
    </row>
    <row r="2005" spans="1:23" hidden="1" x14ac:dyDescent="0.25">
      <c r="A2005" s="7" t="str">
        <f>IFERROR(VLOOKUP(H2005,'Contas Orç'!A:B,2,0),"N/A")</f>
        <v>DESPESAS GERAIS</v>
      </c>
      <c r="B2005" s="7" t="str">
        <f t="shared" si="62"/>
        <v>320409 - DESPESAS GERAIS</v>
      </c>
      <c r="C2005" s="25">
        <f t="shared" si="63"/>
        <v>44774</v>
      </c>
      <c r="D2005" s="27">
        <f>IF(K2005="CREDITO",Q2005,Q2005*-1)</f>
        <v>7243.47</v>
      </c>
      <c r="E2005" t="s">
        <v>894</v>
      </c>
      <c r="F2005" t="s">
        <v>2499</v>
      </c>
      <c r="G2005" s="8">
        <v>44774</v>
      </c>
      <c r="H2005" t="s">
        <v>568</v>
      </c>
      <c r="I2005" t="s">
        <v>59</v>
      </c>
      <c r="J2005" t="s">
        <v>60</v>
      </c>
      <c r="K2005" t="s">
        <v>29</v>
      </c>
      <c r="L2005" t="s">
        <v>895</v>
      </c>
      <c r="M2005" t="s">
        <v>4402</v>
      </c>
      <c r="O2005" t="s">
        <v>896</v>
      </c>
      <c r="P2005" t="s">
        <v>33</v>
      </c>
      <c r="Q2005" s="22">
        <v>7243.47</v>
      </c>
      <c r="R2005" t="s">
        <v>35</v>
      </c>
      <c r="S2005" t="s">
        <v>35</v>
      </c>
      <c r="T2005" t="s">
        <v>35</v>
      </c>
      <c r="U2005" t="s">
        <v>35</v>
      </c>
      <c r="V2005" t="s">
        <v>645</v>
      </c>
      <c r="W2005" t="s">
        <v>113</v>
      </c>
    </row>
    <row r="2006" spans="1:23" hidden="1" x14ac:dyDescent="0.25">
      <c r="A2006" s="7" t="str">
        <f>IFERROR(VLOOKUP(H2006,'Contas Orç'!A:B,2,0),"N/A")</f>
        <v>DESPESAS GERAIS</v>
      </c>
      <c r="B2006" s="7" t="str">
        <f t="shared" si="62"/>
        <v>320409 - DESPESAS GERAIS</v>
      </c>
      <c r="C2006" s="25">
        <f t="shared" si="63"/>
        <v>44774</v>
      </c>
      <c r="D2006" s="27">
        <f>IF(K2006="CREDITO",Q2006,Q2006*-1)</f>
        <v>474.46</v>
      </c>
      <c r="E2006" t="s">
        <v>894</v>
      </c>
      <c r="F2006" t="s">
        <v>2500</v>
      </c>
      <c r="G2006" s="8">
        <v>44774</v>
      </c>
      <c r="H2006" t="s">
        <v>568</v>
      </c>
      <c r="I2006" t="s">
        <v>59</v>
      </c>
      <c r="J2006" t="s">
        <v>107</v>
      </c>
      <c r="K2006" t="s">
        <v>29</v>
      </c>
      <c r="L2006" t="s">
        <v>895</v>
      </c>
      <c r="M2006" t="s">
        <v>4402</v>
      </c>
      <c r="O2006" t="s">
        <v>896</v>
      </c>
      <c r="P2006" t="s">
        <v>33</v>
      </c>
      <c r="Q2006">
        <v>474.46</v>
      </c>
      <c r="R2006" t="s">
        <v>35</v>
      </c>
      <c r="S2006" t="s">
        <v>35</v>
      </c>
      <c r="T2006" t="s">
        <v>35</v>
      </c>
      <c r="U2006" t="s">
        <v>35</v>
      </c>
      <c r="V2006" t="s">
        <v>645</v>
      </c>
      <c r="W2006" t="s">
        <v>113</v>
      </c>
    </row>
    <row r="2007" spans="1:23" hidden="1" x14ac:dyDescent="0.25">
      <c r="A2007" s="7" t="str">
        <f>IFERROR(VLOOKUP(H2007,'Contas Orç'!A:B,2,0),"N/A")</f>
        <v>DESPESAS GERAIS</v>
      </c>
      <c r="B2007" s="7" t="str">
        <f t="shared" si="62"/>
        <v>320409 - DESPESAS GERAIS</v>
      </c>
      <c r="C2007" s="25">
        <f t="shared" si="63"/>
        <v>44774</v>
      </c>
      <c r="D2007" s="27">
        <f>IF(K2007="CREDITO",Q2007,Q2007*-1)</f>
        <v>17.82</v>
      </c>
      <c r="E2007" t="s">
        <v>894</v>
      </c>
      <c r="F2007" t="s">
        <v>2501</v>
      </c>
      <c r="G2007" s="8">
        <v>44774</v>
      </c>
      <c r="H2007" t="s">
        <v>568</v>
      </c>
      <c r="I2007" t="s">
        <v>59</v>
      </c>
      <c r="J2007" t="s">
        <v>661</v>
      </c>
      <c r="K2007" t="s">
        <v>29</v>
      </c>
      <c r="L2007" t="s">
        <v>895</v>
      </c>
      <c r="M2007" t="s">
        <v>4402</v>
      </c>
      <c r="O2007" t="s">
        <v>896</v>
      </c>
      <c r="P2007" t="s">
        <v>33</v>
      </c>
      <c r="Q2007">
        <v>17.82</v>
      </c>
      <c r="R2007" t="s">
        <v>35</v>
      </c>
      <c r="S2007" t="s">
        <v>35</v>
      </c>
      <c r="T2007" t="s">
        <v>35</v>
      </c>
      <c r="U2007" t="s">
        <v>35</v>
      </c>
      <c r="V2007" t="s">
        <v>645</v>
      </c>
      <c r="W2007" t="s">
        <v>113</v>
      </c>
    </row>
    <row r="2008" spans="1:23" hidden="1" x14ac:dyDescent="0.25">
      <c r="A2008" s="7" t="str">
        <f>IFERROR(VLOOKUP(H2008,'Contas Orç'!A:B,2,0),"N/A")</f>
        <v>DESPESAS GERAIS</v>
      </c>
      <c r="B2008" s="7" t="str">
        <f t="shared" si="62"/>
        <v>320409 - DESPESAS GERAIS</v>
      </c>
      <c r="C2008" s="25">
        <f t="shared" si="63"/>
        <v>44774</v>
      </c>
      <c r="D2008" s="27">
        <f>IF(K2008="CREDITO",Q2008,Q2008*-1)</f>
        <v>7259.98</v>
      </c>
      <c r="E2008" t="s">
        <v>894</v>
      </c>
      <c r="F2008" t="s">
        <v>2502</v>
      </c>
      <c r="G2008" s="8">
        <v>44774</v>
      </c>
      <c r="H2008" t="s">
        <v>568</v>
      </c>
      <c r="I2008" t="s">
        <v>53</v>
      </c>
      <c r="J2008" t="s">
        <v>54</v>
      </c>
      <c r="K2008" t="s">
        <v>29</v>
      </c>
      <c r="L2008" t="s">
        <v>895</v>
      </c>
      <c r="M2008" t="s">
        <v>4402</v>
      </c>
      <c r="O2008" t="s">
        <v>896</v>
      </c>
      <c r="P2008" t="s">
        <v>33</v>
      </c>
      <c r="Q2008" s="22">
        <v>7259.98</v>
      </c>
      <c r="R2008" t="s">
        <v>35</v>
      </c>
      <c r="S2008" t="s">
        <v>35</v>
      </c>
      <c r="T2008" t="s">
        <v>35</v>
      </c>
      <c r="U2008" t="s">
        <v>35</v>
      </c>
      <c r="V2008" t="s">
        <v>645</v>
      </c>
      <c r="W2008" t="s">
        <v>113</v>
      </c>
    </row>
    <row r="2009" spans="1:23" hidden="1" x14ac:dyDescent="0.25">
      <c r="A2009" s="7" t="str">
        <f>IFERROR(VLOOKUP(H2009,'Contas Orç'!A:B,2,0),"N/A")</f>
        <v>DESPESAS GERAIS</v>
      </c>
      <c r="B2009" s="7" t="str">
        <f t="shared" si="62"/>
        <v>320409 - DESPESAS GERAIS</v>
      </c>
      <c r="C2009" s="25">
        <f t="shared" si="63"/>
        <v>44805</v>
      </c>
      <c r="D2009" s="27">
        <f>IF(K2009="CREDITO",Q2009,Q2009*-1)</f>
        <v>1218.45</v>
      </c>
      <c r="E2009" t="s">
        <v>894</v>
      </c>
      <c r="F2009" t="s">
        <v>2503</v>
      </c>
      <c r="G2009" s="8">
        <v>44805</v>
      </c>
      <c r="H2009" t="s">
        <v>568</v>
      </c>
      <c r="I2009" t="s">
        <v>88</v>
      </c>
      <c r="J2009" t="s">
        <v>28</v>
      </c>
      <c r="K2009" t="s">
        <v>29</v>
      </c>
      <c r="L2009" t="s">
        <v>895</v>
      </c>
      <c r="M2009" t="s">
        <v>4402</v>
      </c>
      <c r="O2009" t="s">
        <v>896</v>
      </c>
      <c r="P2009" t="s">
        <v>33</v>
      </c>
      <c r="Q2009" s="22">
        <v>1218.45</v>
      </c>
      <c r="R2009" t="s">
        <v>35</v>
      </c>
      <c r="S2009" t="s">
        <v>35</v>
      </c>
      <c r="T2009" t="s">
        <v>35</v>
      </c>
      <c r="U2009" t="s">
        <v>35</v>
      </c>
      <c r="V2009" t="s">
        <v>645</v>
      </c>
      <c r="W2009" t="s">
        <v>113</v>
      </c>
    </row>
    <row r="2010" spans="1:23" hidden="1" x14ac:dyDescent="0.25">
      <c r="A2010" s="7" t="str">
        <f>IFERROR(VLOOKUP(H2010,'Contas Orç'!A:B,2,0),"N/A")</f>
        <v>DESPESAS GERAIS</v>
      </c>
      <c r="B2010" s="7" t="str">
        <f t="shared" si="62"/>
        <v>320409 - DESPESAS GERAIS</v>
      </c>
      <c r="C2010" s="25">
        <f t="shared" si="63"/>
        <v>44805</v>
      </c>
      <c r="D2010" s="27">
        <f>IF(K2010="CREDITO",Q2010,Q2010*-1)</f>
        <v>180.73</v>
      </c>
      <c r="E2010" t="s">
        <v>894</v>
      </c>
      <c r="F2010" t="s">
        <v>2504</v>
      </c>
      <c r="G2010" s="8">
        <v>44805</v>
      </c>
      <c r="H2010" t="s">
        <v>568</v>
      </c>
      <c r="I2010" t="s">
        <v>27</v>
      </c>
      <c r="J2010" t="s">
        <v>28</v>
      </c>
      <c r="K2010" t="s">
        <v>29</v>
      </c>
      <c r="L2010" t="s">
        <v>895</v>
      </c>
      <c r="M2010" t="s">
        <v>4402</v>
      </c>
      <c r="O2010" t="s">
        <v>896</v>
      </c>
      <c r="P2010" t="s">
        <v>33</v>
      </c>
      <c r="Q2010">
        <v>180.73</v>
      </c>
      <c r="R2010" t="s">
        <v>35</v>
      </c>
      <c r="S2010" t="s">
        <v>35</v>
      </c>
      <c r="T2010" t="s">
        <v>35</v>
      </c>
      <c r="U2010" t="s">
        <v>35</v>
      </c>
      <c r="V2010" t="s">
        <v>645</v>
      </c>
      <c r="W2010" t="s">
        <v>113</v>
      </c>
    </row>
    <row r="2011" spans="1:23" hidden="1" x14ac:dyDescent="0.25">
      <c r="A2011" s="7" t="str">
        <f>IFERROR(VLOOKUP(H2011,'Contas Orç'!A:B,2,0),"N/A")</f>
        <v>DESPESAS GERAIS</v>
      </c>
      <c r="B2011" s="7" t="str">
        <f t="shared" si="62"/>
        <v>320409 - DESPESAS GERAIS</v>
      </c>
      <c r="C2011" s="25">
        <f t="shared" si="63"/>
        <v>44805</v>
      </c>
      <c r="D2011" s="27">
        <f>IF(K2011="CREDITO",Q2011,Q2011*-1)</f>
        <v>33.83</v>
      </c>
      <c r="E2011" t="s">
        <v>894</v>
      </c>
      <c r="F2011" t="s">
        <v>2505</v>
      </c>
      <c r="G2011" s="8">
        <v>44805</v>
      </c>
      <c r="H2011" t="s">
        <v>568</v>
      </c>
      <c r="I2011" t="s">
        <v>106</v>
      </c>
      <c r="J2011" t="s">
        <v>60</v>
      </c>
      <c r="K2011" t="s">
        <v>29</v>
      </c>
      <c r="L2011" t="s">
        <v>895</v>
      </c>
      <c r="M2011" t="s">
        <v>4402</v>
      </c>
      <c r="O2011" t="s">
        <v>896</v>
      </c>
      <c r="P2011" t="s">
        <v>33</v>
      </c>
      <c r="Q2011">
        <v>33.83</v>
      </c>
      <c r="R2011" t="s">
        <v>35</v>
      </c>
      <c r="S2011" t="s">
        <v>35</v>
      </c>
      <c r="T2011" t="s">
        <v>35</v>
      </c>
      <c r="U2011" t="s">
        <v>35</v>
      </c>
      <c r="V2011" t="s">
        <v>645</v>
      </c>
      <c r="W2011" t="s">
        <v>113</v>
      </c>
    </row>
    <row r="2012" spans="1:23" hidden="1" x14ac:dyDescent="0.25">
      <c r="A2012" s="7" t="str">
        <f>IFERROR(VLOOKUP(H2012,'Contas Orç'!A:B,2,0),"N/A")</f>
        <v>DESPESAS GERAIS</v>
      </c>
      <c r="B2012" s="7" t="str">
        <f t="shared" si="62"/>
        <v>320409 - DESPESAS GERAIS</v>
      </c>
      <c r="C2012" s="25">
        <f t="shared" si="63"/>
        <v>44805</v>
      </c>
      <c r="D2012" s="27">
        <f>IF(K2012="CREDITO",Q2012,Q2012*-1)</f>
        <v>1984.83</v>
      </c>
      <c r="E2012" t="s">
        <v>894</v>
      </c>
      <c r="F2012" t="s">
        <v>2506</v>
      </c>
      <c r="G2012" s="8">
        <v>44805</v>
      </c>
      <c r="H2012" t="s">
        <v>568</v>
      </c>
      <c r="I2012" t="s">
        <v>59</v>
      </c>
      <c r="J2012" t="s">
        <v>60</v>
      </c>
      <c r="K2012" t="s">
        <v>29</v>
      </c>
      <c r="L2012" t="s">
        <v>895</v>
      </c>
      <c r="M2012" t="s">
        <v>4402</v>
      </c>
      <c r="O2012" t="s">
        <v>896</v>
      </c>
      <c r="P2012" t="s">
        <v>33</v>
      </c>
      <c r="Q2012" s="22">
        <v>1984.83</v>
      </c>
      <c r="R2012" t="s">
        <v>35</v>
      </c>
      <c r="S2012" t="s">
        <v>35</v>
      </c>
      <c r="T2012" t="s">
        <v>35</v>
      </c>
      <c r="U2012" t="s">
        <v>35</v>
      </c>
      <c r="V2012" t="s">
        <v>645</v>
      </c>
      <c r="W2012" t="s">
        <v>113</v>
      </c>
    </row>
    <row r="2013" spans="1:23" hidden="1" x14ac:dyDescent="0.25">
      <c r="A2013" s="7" t="str">
        <f>IFERROR(VLOOKUP(H2013,'Contas Orç'!A:B,2,0),"N/A")</f>
        <v>DESPESAS GERAIS</v>
      </c>
      <c r="B2013" s="7" t="str">
        <f t="shared" si="62"/>
        <v>320409 - DESPESAS GERAIS</v>
      </c>
      <c r="C2013" s="25">
        <f t="shared" si="63"/>
        <v>44805</v>
      </c>
      <c r="D2013" s="27">
        <f>IF(K2013="CREDITO",Q2013,Q2013*-1)</f>
        <v>868.96</v>
      </c>
      <c r="E2013" t="s">
        <v>894</v>
      </c>
      <c r="F2013" t="s">
        <v>2507</v>
      </c>
      <c r="G2013" s="8">
        <v>44805</v>
      </c>
      <c r="H2013" t="s">
        <v>568</v>
      </c>
      <c r="I2013" t="s">
        <v>59</v>
      </c>
      <c r="J2013" t="s">
        <v>107</v>
      </c>
      <c r="K2013" t="s">
        <v>29</v>
      </c>
      <c r="L2013" t="s">
        <v>895</v>
      </c>
      <c r="M2013" t="s">
        <v>4402</v>
      </c>
      <c r="O2013" t="s">
        <v>896</v>
      </c>
      <c r="P2013" t="s">
        <v>33</v>
      </c>
      <c r="Q2013">
        <v>868.96</v>
      </c>
      <c r="R2013" t="s">
        <v>35</v>
      </c>
      <c r="S2013" t="s">
        <v>35</v>
      </c>
      <c r="T2013" t="s">
        <v>35</v>
      </c>
      <c r="U2013" t="s">
        <v>35</v>
      </c>
      <c r="V2013" t="s">
        <v>645</v>
      </c>
      <c r="W2013" t="s">
        <v>113</v>
      </c>
    </row>
    <row r="2014" spans="1:23" hidden="1" x14ac:dyDescent="0.25">
      <c r="A2014" s="7" t="str">
        <f>IFERROR(VLOOKUP(H2014,'Contas Orç'!A:B,2,0),"N/A")</f>
        <v>DESPESAS GERAIS</v>
      </c>
      <c r="B2014" s="7" t="str">
        <f t="shared" si="62"/>
        <v>320409 - DESPESAS GERAIS</v>
      </c>
      <c r="C2014" s="25">
        <f t="shared" si="63"/>
        <v>44805</v>
      </c>
      <c r="D2014" s="27">
        <f>IF(K2014="CREDITO",Q2014,Q2014*-1)</f>
        <v>12238.49</v>
      </c>
      <c r="E2014" t="s">
        <v>894</v>
      </c>
      <c r="F2014" t="s">
        <v>2508</v>
      </c>
      <c r="G2014" s="8">
        <v>44805</v>
      </c>
      <c r="H2014" t="s">
        <v>568</v>
      </c>
      <c r="I2014" t="s">
        <v>53</v>
      </c>
      <c r="J2014" t="s">
        <v>54</v>
      </c>
      <c r="K2014" t="s">
        <v>29</v>
      </c>
      <c r="L2014" t="s">
        <v>895</v>
      </c>
      <c r="M2014" t="s">
        <v>4402</v>
      </c>
      <c r="O2014" t="s">
        <v>896</v>
      </c>
      <c r="P2014" t="s">
        <v>33</v>
      </c>
      <c r="Q2014" s="22">
        <v>12238.49</v>
      </c>
      <c r="R2014" t="s">
        <v>35</v>
      </c>
      <c r="S2014" t="s">
        <v>35</v>
      </c>
      <c r="T2014" t="s">
        <v>35</v>
      </c>
      <c r="U2014" t="s">
        <v>35</v>
      </c>
      <c r="V2014" t="s">
        <v>645</v>
      </c>
      <c r="W2014" t="s">
        <v>113</v>
      </c>
    </row>
    <row r="2015" spans="1:23" hidden="1" x14ac:dyDescent="0.25">
      <c r="A2015" s="7" t="str">
        <f>IFERROR(VLOOKUP(H2015,'Contas Orç'!A:B,2,0),"N/A")</f>
        <v>DESPESAS GERAIS</v>
      </c>
      <c r="B2015" s="7" t="str">
        <f t="shared" si="62"/>
        <v>320409 - DESPESAS GERAIS</v>
      </c>
      <c r="C2015" s="25">
        <f t="shared" si="63"/>
        <v>44835</v>
      </c>
      <c r="D2015" s="27">
        <f>IF(K2015="CREDITO",Q2015,Q2015*-1)</f>
        <v>1230.6300000000001</v>
      </c>
      <c r="E2015" t="s">
        <v>894</v>
      </c>
      <c r="F2015" t="s">
        <v>2509</v>
      </c>
      <c r="G2015" s="8">
        <v>44835</v>
      </c>
      <c r="H2015" t="s">
        <v>568</v>
      </c>
      <c r="I2015" t="s">
        <v>88</v>
      </c>
      <c r="J2015" t="s">
        <v>28</v>
      </c>
      <c r="K2015" t="s">
        <v>29</v>
      </c>
      <c r="L2015" t="s">
        <v>895</v>
      </c>
      <c r="M2015" t="s">
        <v>4402</v>
      </c>
      <c r="O2015" t="s">
        <v>896</v>
      </c>
      <c r="P2015" t="s">
        <v>33</v>
      </c>
      <c r="Q2015" s="22">
        <v>1230.6300000000001</v>
      </c>
      <c r="R2015" t="s">
        <v>35</v>
      </c>
      <c r="S2015" t="s">
        <v>35</v>
      </c>
      <c r="T2015" t="s">
        <v>35</v>
      </c>
      <c r="U2015" t="s">
        <v>35</v>
      </c>
      <c r="V2015" t="s">
        <v>645</v>
      </c>
      <c r="W2015" t="s">
        <v>113</v>
      </c>
    </row>
    <row r="2016" spans="1:23" hidden="1" x14ac:dyDescent="0.25">
      <c r="A2016" s="7" t="str">
        <f>IFERROR(VLOOKUP(H2016,'Contas Orç'!A:B,2,0),"N/A")</f>
        <v>DESPESAS GERAIS</v>
      </c>
      <c r="B2016" s="7" t="str">
        <f t="shared" si="62"/>
        <v>320409 - DESPESAS GERAIS</v>
      </c>
      <c r="C2016" s="25">
        <f t="shared" si="63"/>
        <v>44835</v>
      </c>
      <c r="D2016" s="27">
        <f>IF(K2016="CREDITO",Q2016,Q2016*-1)</f>
        <v>182.54</v>
      </c>
      <c r="E2016" t="s">
        <v>894</v>
      </c>
      <c r="F2016" t="s">
        <v>2510</v>
      </c>
      <c r="G2016" s="8">
        <v>44835</v>
      </c>
      <c r="H2016" t="s">
        <v>568</v>
      </c>
      <c r="I2016" t="s">
        <v>27</v>
      </c>
      <c r="J2016" t="s">
        <v>28</v>
      </c>
      <c r="K2016" t="s">
        <v>29</v>
      </c>
      <c r="L2016" t="s">
        <v>895</v>
      </c>
      <c r="M2016" t="s">
        <v>4402</v>
      </c>
      <c r="O2016" t="s">
        <v>896</v>
      </c>
      <c r="P2016" t="s">
        <v>33</v>
      </c>
      <c r="Q2016">
        <v>182.54</v>
      </c>
      <c r="R2016" t="s">
        <v>35</v>
      </c>
      <c r="S2016" t="s">
        <v>35</v>
      </c>
      <c r="T2016" t="s">
        <v>35</v>
      </c>
      <c r="U2016" t="s">
        <v>35</v>
      </c>
      <c r="V2016" t="s">
        <v>645</v>
      </c>
      <c r="W2016" t="s">
        <v>113</v>
      </c>
    </row>
    <row r="2017" spans="1:23" hidden="1" x14ac:dyDescent="0.25">
      <c r="A2017" s="7" t="str">
        <f>IFERROR(VLOOKUP(H2017,'Contas Orç'!A:B,2,0),"N/A")</f>
        <v>DESPESAS GERAIS</v>
      </c>
      <c r="B2017" s="7" t="str">
        <f t="shared" si="62"/>
        <v>320409 - DESPESAS GERAIS</v>
      </c>
      <c r="C2017" s="25">
        <f t="shared" si="63"/>
        <v>44835</v>
      </c>
      <c r="D2017" s="27">
        <f>IF(K2017="CREDITO",Q2017,Q2017*-1)</f>
        <v>34.17</v>
      </c>
      <c r="E2017" t="s">
        <v>894</v>
      </c>
      <c r="F2017" t="s">
        <v>2511</v>
      </c>
      <c r="G2017" s="8">
        <v>44835</v>
      </c>
      <c r="H2017" t="s">
        <v>568</v>
      </c>
      <c r="I2017" t="s">
        <v>106</v>
      </c>
      <c r="J2017" t="s">
        <v>60</v>
      </c>
      <c r="K2017" t="s">
        <v>29</v>
      </c>
      <c r="L2017" t="s">
        <v>895</v>
      </c>
      <c r="M2017" t="s">
        <v>4402</v>
      </c>
      <c r="O2017" t="s">
        <v>896</v>
      </c>
      <c r="P2017" t="s">
        <v>33</v>
      </c>
      <c r="Q2017">
        <v>34.17</v>
      </c>
      <c r="R2017" t="s">
        <v>35</v>
      </c>
      <c r="S2017" t="s">
        <v>35</v>
      </c>
      <c r="T2017" t="s">
        <v>35</v>
      </c>
      <c r="U2017" t="s">
        <v>35</v>
      </c>
      <c r="V2017" t="s">
        <v>645</v>
      </c>
      <c r="W2017" t="s">
        <v>113</v>
      </c>
    </row>
    <row r="2018" spans="1:23" hidden="1" x14ac:dyDescent="0.25">
      <c r="A2018" s="7" t="str">
        <f>IFERROR(VLOOKUP(H2018,'Contas Orç'!A:B,2,0),"N/A")</f>
        <v>DESPESAS GERAIS</v>
      </c>
      <c r="B2018" s="7" t="str">
        <f t="shared" si="62"/>
        <v>320409 - DESPESAS GERAIS</v>
      </c>
      <c r="C2018" s="25">
        <f t="shared" si="63"/>
        <v>44835</v>
      </c>
      <c r="D2018" s="27">
        <f>IF(K2018="CREDITO",Q2018,Q2018*-1)</f>
        <v>2004.68</v>
      </c>
      <c r="E2018" t="s">
        <v>894</v>
      </c>
      <c r="F2018" t="s">
        <v>2512</v>
      </c>
      <c r="G2018" s="8">
        <v>44835</v>
      </c>
      <c r="H2018" t="s">
        <v>568</v>
      </c>
      <c r="I2018" t="s">
        <v>59</v>
      </c>
      <c r="J2018" t="s">
        <v>60</v>
      </c>
      <c r="K2018" t="s">
        <v>29</v>
      </c>
      <c r="L2018" t="s">
        <v>895</v>
      </c>
      <c r="M2018" t="s">
        <v>4402</v>
      </c>
      <c r="O2018" t="s">
        <v>896</v>
      </c>
      <c r="P2018" t="s">
        <v>33</v>
      </c>
      <c r="Q2018" s="22">
        <v>2004.68</v>
      </c>
      <c r="R2018" t="s">
        <v>35</v>
      </c>
      <c r="S2018" t="s">
        <v>35</v>
      </c>
      <c r="T2018" t="s">
        <v>35</v>
      </c>
      <c r="U2018" t="s">
        <v>35</v>
      </c>
      <c r="V2018" t="s">
        <v>645</v>
      </c>
      <c r="W2018" t="s">
        <v>113</v>
      </c>
    </row>
    <row r="2019" spans="1:23" hidden="1" x14ac:dyDescent="0.25">
      <c r="A2019" s="7" t="str">
        <f>IFERROR(VLOOKUP(H2019,'Contas Orç'!A:B,2,0),"N/A")</f>
        <v>DESPESAS GERAIS</v>
      </c>
      <c r="B2019" s="7" t="str">
        <f t="shared" si="62"/>
        <v>320409 - DESPESAS GERAIS</v>
      </c>
      <c r="C2019" s="25">
        <f t="shared" si="63"/>
        <v>44835</v>
      </c>
      <c r="D2019" s="27">
        <f>IF(K2019="CREDITO",Q2019,Q2019*-1)</f>
        <v>877.65</v>
      </c>
      <c r="E2019" t="s">
        <v>894</v>
      </c>
      <c r="F2019" t="s">
        <v>2513</v>
      </c>
      <c r="G2019" s="8">
        <v>44835</v>
      </c>
      <c r="H2019" t="s">
        <v>568</v>
      </c>
      <c r="I2019" t="s">
        <v>59</v>
      </c>
      <c r="J2019" t="s">
        <v>107</v>
      </c>
      <c r="K2019" t="s">
        <v>29</v>
      </c>
      <c r="L2019" t="s">
        <v>895</v>
      </c>
      <c r="M2019" t="s">
        <v>4402</v>
      </c>
      <c r="O2019" t="s">
        <v>896</v>
      </c>
      <c r="P2019" t="s">
        <v>33</v>
      </c>
      <c r="Q2019">
        <v>877.65</v>
      </c>
      <c r="R2019" t="s">
        <v>35</v>
      </c>
      <c r="S2019" t="s">
        <v>35</v>
      </c>
      <c r="T2019" t="s">
        <v>35</v>
      </c>
      <c r="U2019" t="s">
        <v>35</v>
      </c>
      <c r="V2019" t="s">
        <v>645</v>
      </c>
      <c r="W2019" t="s">
        <v>113</v>
      </c>
    </row>
    <row r="2020" spans="1:23" hidden="1" x14ac:dyDescent="0.25">
      <c r="A2020" s="7" t="str">
        <f>IFERROR(VLOOKUP(H2020,'Contas Orç'!A:B,2,0),"N/A")</f>
        <v>DESPESAS GERAIS</v>
      </c>
      <c r="B2020" s="7" t="str">
        <f t="shared" si="62"/>
        <v>320409 - DESPESAS GERAIS</v>
      </c>
      <c r="C2020" s="25">
        <f t="shared" si="63"/>
        <v>44835</v>
      </c>
      <c r="D2020" s="27">
        <f>IF(K2020="CREDITO",Q2020,Q2020*-1)</f>
        <v>12360.87</v>
      </c>
      <c r="E2020" t="s">
        <v>894</v>
      </c>
      <c r="F2020" t="s">
        <v>2514</v>
      </c>
      <c r="G2020" s="8">
        <v>44835</v>
      </c>
      <c r="H2020" t="s">
        <v>568</v>
      </c>
      <c r="I2020" t="s">
        <v>53</v>
      </c>
      <c r="J2020" t="s">
        <v>54</v>
      </c>
      <c r="K2020" t="s">
        <v>29</v>
      </c>
      <c r="L2020" t="s">
        <v>895</v>
      </c>
      <c r="M2020" t="s">
        <v>4402</v>
      </c>
      <c r="O2020" t="s">
        <v>896</v>
      </c>
      <c r="P2020" t="s">
        <v>33</v>
      </c>
      <c r="Q2020" s="22">
        <v>12360.87</v>
      </c>
      <c r="R2020" t="s">
        <v>35</v>
      </c>
      <c r="S2020" t="s">
        <v>35</v>
      </c>
      <c r="T2020" t="s">
        <v>35</v>
      </c>
      <c r="U2020" t="s">
        <v>35</v>
      </c>
      <c r="V2020" t="s">
        <v>645</v>
      </c>
      <c r="W2020" t="s">
        <v>113</v>
      </c>
    </row>
    <row r="2021" spans="1:23" hidden="1" x14ac:dyDescent="0.25">
      <c r="A2021" s="7" t="str">
        <f>IFERROR(VLOOKUP(H2021,'Contas Orç'!A:B,2,0),"N/A")</f>
        <v>DESPESAS GERAIS</v>
      </c>
      <c r="B2021" s="7" t="str">
        <f t="shared" si="62"/>
        <v>320409 - DESPESAS GERAIS</v>
      </c>
      <c r="C2021" s="25">
        <f t="shared" si="63"/>
        <v>44866</v>
      </c>
      <c r="D2021" s="27">
        <f>IF(K2021="CREDITO",Q2021,Q2021*-1)</f>
        <v>1242.94</v>
      </c>
      <c r="E2021" t="s">
        <v>894</v>
      </c>
      <c r="F2021" t="s">
        <v>2515</v>
      </c>
      <c r="G2021" s="8">
        <v>44866</v>
      </c>
      <c r="H2021" t="s">
        <v>568</v>
      </c>
      <c r="I2021" t="s">
        <v>88</v>
      </c>
      <c r="J2021" t="s">
        <v>28</v>
      </c>
      <c r="K2021" t="s">
        <v>29</v>
      </c>
      <c r="L2021" t="s">
        <v>895</v>
      </c>
      <c r="M2021" t="s">
        <v>4402</v>
      </c>
      <c r="O2021" t="s">
        <v>896</v>
      </c>
      <c r="P2021" t="s">
        <v>33</v>
      </c>
      <c r="Q2021" s="22">
        <v>1242.94</v>
      </c>
      <c r="R2021" t="s">
        <v>35</v>
      </c>
      <c r="S2021" t="s">
        <v>35</v>
      </c>
      <c r="T2021" t="s">
        <v>35</v>
      </c>
      <c r="U2021" t="s">
        <v>35</v>
      </c>
      <c r="V2021" t="s">
        <v>645</v>
      </c>
      <c r="W2021" t="s">
        <v>113</v>
      </c>
    </row>
    <row r="2022" spans="1:23" hidden="1" x14ac:dyDescent="0.25">
      <c r="A2022" s="7" t="str">
        <f>IFERROR(VLOOKUP(H2022,'Contas Orç'!A:B,2,0),"N/A")</f>
        <v>DESPESAS GERAIS</v>
      </c>
      <c r="B2022" s="7" t="str">
        <f t="shared" si="62"/>
        <v>320409 - DESPESAS GERAIS</v>
      </c>
      <c r="C2022" s="25">
        <f t="shared" si="63"/>
        <v>44866</v>
      </c>
      <c r="D2022" s="27">
        <f>IF(K2022="CREDITO",Q2022,Q2022*-1)</f>
        <v>184.36</v>
      </c>
      <c r="E2022" t="s">
        <v>894</v>
      </c>
      <c r="F2022" t="s">
        <v>2516</v>
      </c>
      <c r="G2022" s="8">
        <v>44866</v>
      </c>
      <c r="H2022" t="s">
        <v>568</v>
      </c>
      <c r="I2022" t="s">
        <v>27</v>
      </c>
      <c r="J2022" t="s">
        <v>28</v>
      </c>
      <c r="K2022" t="s">
        <v>29</v>
      </c>
      <c r="L2022" t="s">
        <v>895</v>
      </c>
      <c r="M2022" t="s">
        <v>4402</v>
      </c>
      <c r="O2022" t="s">
        <v>896</v>
      </c>
      <c r="P2022" t="s">
        <v>33</v>
      </c>
      <c r="Q2022">
        <v>184.36</v>
      </c>
      <c r="R2022" t="s">
        <v>35</v>
      </c>
      <c r="S2022" t="s">
        <v>35</v>
      </c>
      <c r="T2022" t="s">
        <v>35</v>
      </c>
      <c r="U2022" t="s">
        <v>35</v>
      </c>
      <c r="V2022" t="s">
        <v>645</v>
      </c>
      <c r="W2022" t="s">
        <v>113</v>
      </c>
    </row>
    <row r="2023" spans="1:23" hidden="1" x14ac:dyDescent="0.25">
      <c r="A2023" s="7" t="str">
        <f>IFERROR(VLOOKUP(H2023,'Contas Orç'!A:B,2,0),"N/A")</f>
        <v>DESPESAS GERAIS</v>
      </c>
      <c r="B2023" s="7" t="str">
        <f t="shared" si="62"/>
        <v>320409 - DESPESAS GERAIS</v>
      </c>
      <c r="C2023" s="25">
        <f t="shared" si="63"/>
        <v>44866</v>
      </c>
      <c r="D2023" s="27">
        <f>IF(K2023="CREDITO",Q2023,Q2023*-1)</f>
        <v>34.51</v>
      </c>
      <c r="E2023" t="s">
        <v>894</v>
      </c>
      <c r="F2023" t="s">
        <v>2517</v>
      </c>
      <c r="G2023" s="8">
        <v>44866</v>
      </c>
      <c r="H2023" t="s">
        <v>568</v>
      </c>
      <c r="I2023" t="s">
        <v>106</v>
      </c>
      <c r="J2023" t="s">
        <v>60</v>
      </c>
      <c r="K2023" t="s">
        <v>29</v>
      </c>
      <c r="L2023" t="s">
        <v>895</v>
      </c>
      <c r="M2023" t="s">
        <v>4402</v>
      </c>
      <c r="O2023" t="s">
        <v>896</v>
      </c>
      <c r="P2023" t="s">
        <v>33</v>
      </c>
      <c r="Q2023">
        <v>34.51</v>
      </c>
      <c r="R2023" t="s">
        <v>35</v>
      </c>
      <c r="S2023" t="s">
        <v>35</v>
      </c>
      <c r="T2023" t="s">
        <v>35</v>
      </c>
      <c r="U2023" t="s">
        <v>35</v>
      </c>
      <c r="V2023" t="s">
        <v>645</v>
      </c>
      <c r="W2023" t="s">
        <v>113</v>
      </c>
    </row>
    <row r="2024" spans="1:23" hidden="1" x14ac:dyDescent="0.25">
      <c r="A2024" s="7" t="str">
        <f>IFERROR(VLOOKUP(H2024,'Contas Orç'!A:B,2,0),"N/A")</f>
        <v>DESPESAS GERAIS</v>
      </c>
      <c r="B2024" s="7" t="str">
        <f t="shared" si="62"/>
        <v>320409 - DESPESAS GERAIS</v>
      </c>
      <c r="C2024" s="25">
        <f t="shared" si="63"/>
        <v>44866</v>
      </c>
      <c r="D2024" s="27">
        <f>IF(K2024="CREDITO",Q2024,Q2024*-1)</f>
        <v>2024.73</v>
      </c>
      <c r="E2024" t="s">
        <v>894</v>
      </c>
      <c r="F2024" t="s">
        <v>2518</v>
      </c>
      <c r="G2024" s="8">
        <v>44866</v>
      </c>
      <c r="H2024" t="s">
        <v>568</v>
      </c>
      <c r="I2024" t="s">
        <v>59</v>
      </c>
      <c r="J2024" t="s">
        <v>60</v>
      </c>
      <c r="K2024" t="s">
        <v>29</v>
      </c>
      <c r="L2024" t="s">
        <v>895</v>
      </c>
      <c r="M2024" t="s">
        <v>4402</v>
      </c>
      <c r="O2024" t="s">
        <v>896</v>
      </c>
      <c r="P2024" t="s">
        <v>33</v>
      </c>
      <c r="Q2024" s="22">
        <v>2024.73</v>
      </c>
      <c r="R2024" t="s">
        <v>35</v>
      </c>
      <c r="S2024" t="s">
        <v>35</v>
      </c>
      <c r="T2024" t="s">
        <v>35</v>
      </c>
      <c r="U2024" t="s">
        <v>35</v>
      </c>
      <c r="V2024" t="s">
        <v>645</v>
      </c>
      <c r="W2024" t="s">
        <v>113</v>
      </c>
    </row>
    <row r="2025" spans="1:23" hidden="1" x14ac:dyDescent="0.25">
      <c r="A2025" s="7" t="str">
        <f>IFERROR(VLOOKUP(H2025,'Contas Orç'!A:B,2,0),"N/A")</f>
        <v>DESPESAS GERAIS</v>
      </c>
      <c r="B2025" s="7" t="str">
        <f t="shared" si="62"/>
        <v>320409 - DESPESAS GERAIS</v>
      </c>
      <c r="C2025" s="25">
        <f t="shared" si="63"/>
        <v>44866</v>
      </c>
      <c r="D2025" s="27">
        <f>IF(K2025="CREDITO",Q2025,Q2025*-1)</f>
        <v>886.43</v>
      </c>
      <c r="E2025" t="s">
        <v>894</v>
      </c>
      <c r="F2025" t="s">
        <v>2519</v>
      </c>
      <c r="G2025" s="8">
        <v>44866</v>
      </c>
      <c r="H2025" t="s">
        <v>568</v>
      </c>
      <c r="I2025" t="s">
        <v>59</v>
      </c>
      <c r="J2025" t="s">
        <v>107</v>
      </c>
      <c r="K2025" t="s">
        <v>29</v>
      </c>
      <c r="L2025" t="s">
        <v>895</v>
      </c>
      <c r="M2025" t="s">
        <v>4402</v>
      </c>
      <c r="O2025" t="s">
        <v>896</v>
      </c>
      <c r="P2025" t="s">
        <v>33</v>
      </c>
      <c r="Q2025">
        <v>886.43</v>
      </c>
      <c r="R2025" t="s">
        <v>35</v>
      </c>
      <c r="S2025" t="s">
        <v>35</v>
      </c>
      <c r="T2025" t="s">
        <v>35</v>
      </c>
      <c r="U2025" t="s">
        <v>35</v>
      </c>
      <c r="V2025" t="s">
        <v>645</v>
      </c>
      <c r="W2025" t="s">
        <v>113</v>
      </c>
    </row>
    <row r="2026" spans="1:23" hidden="1" x14ac:dyDescent="0.25">
      <c r="A2026" s="7" t="str">
        <f>IFERROR(VLOOKUP(H2026,'Contas Orç'!A:B,2,0),"N/A")</f>
        <v>DESPESAS GERAIS</v>
      </c>
      <c r="B2026" s="7" t="str">
        <f t="shared" si="62"/>
        <v>320409 - DESPESAS GERAIS</v>
      </c>
      <c r="C2026" s="25">
        <f t="shared" si="63"/>
        <v>44866</v>
      </c>
      <c r="D2026" s="27">
        <f>IF(K2026="CREDITO",Q2026,Q2026*-1)</f>
        <v>12484.48</v>
      </c>
      <c r="E2026" t="s">
        <v>894</v>
      </c>
      <c r="F2026" t="s">
        <v>2520</v>
      </c>
      <c r="G2026" s="8">
        <v>44866</v>
      </c>
      <c r="H2026" t="s">
        <v>568</v>
      </c>
      <c r="I2026" t="s">
        <v>53</v>
      </c>
      <c r="J2026" t="s">
        <v>54</v>
      </c>
      <c r="K2026" t="s">
        <v>29</v>
      </c>
      <c r="L2026" t="s">
        <v>895</v>
      </c>
      <c r="M2026" t="s">
        <v>4402</v>
      </c>
      <c r="O2026" t="s">
        <v>896</v>
      </c>
      <c r="P2026" t="s">
        <v>33</v>
      </c>
      <c r="Q2026" s="22">
        <v>12484.48</v>
      </c>
      <c r="R2026" t="s">
        <v>35</v>
      </c>
      <c r="S2026" t="s">
        <v>35</v>
      </c>
      <c r="T2026" t="s">
        <v>35</v>
      </c>
      <c r="U2026" t="s">
        <v>35</v>
      </c>
      <c r="V2026" t="s">
        <v>645</v>
      </c>
      <c r="W2026" t="s">
        <v>113</v>
      </c>
    </row>
    <row r="2027" spans="1:23" hidden="1" x14ac:dyDescent="0.25">
      <c r="A2027" s="7" t="str">
        <f>IFERROR(VLOOKUP(H2027,'Contas Orç'!A:B,2,0),"N/A")</f>
        <v>DESPESAS GERAIS</v>
      </c>
      <c r="B2027" s="7" t="str">
        <f t="shared" si="62"/>
        <v>320409 - DESPESAS GERAIS</v>
      </c>
      <c r="C2027" s="25">
        <f t="shared" si="63"/>
        <v>44896</v>
      </c>
      <c r="D2027" s="27">
        <f>IF(K2027="CREDITO",Q2027,Q2027*-1)</f>
        <v>1255.3699999999999</v>
      </c>
      <c r="E2027" t="s">
        <v>894</v>
      </c>
      <c r="F2027" t="s">
        <v>2521</v>
      </c>
      <c r="G2027" s="8">
        <v>44896</v>
      </c>
      <c r="H2027" t="s">
        <v>568</v>
      </c>
      <c r="I2027" t="s">
        <v>88</v>
      </c>
      <c r="J2027" t="s">
        <v>28</v>
      </c>
      <c r="K2027" t="s">
        <v>29</v>
      </c>
      <c r="L2027" t="s">
        <v>895</v>
      </c>
      <c r="M2027" t="s">
        <v>4402</v>
      </c>
      <c r="O2027" t="s">
        <v>896</v>
      </c>
      <c r="P2027" t="s">
        <v>33</v>
      </c>
      <c r="Q2027" s="22">
        <v>1255.3699999999999</v>
      </c>
      <c r="R2027" t="s">
        <v>35</v>
      </c>
      <c r="S2027" t="s">
        <v>35</v>
      </c>
      <c r="T2027" t="s">
        <v>35</v>
      </c>
      <c r="U2027" t="s">
        <v>35</v>
      </c>
      <c r="V2027" t="s">
        <v>645</v>
      </c>
      <c r="W2027" t="s">
        <v>113</v>
      </c>
    </row>
    <row r="2028" spans="1:23" hidden="1" x14ac:dyDescent="0.25">
      <c r="A2028" s="7" t="str">
        <f>IFERROR(VLOOKUP(H2028,'Contas Orç'!A:B,2,0),"N/A")</f>
        <v>DESPESAS GERAIS</v>
      </c>
      <c r="B2028" s="7" t="str">
        <f t="shared" si="62"/>
        <v>320409 - DESPESAS GERAIS</v>
      </c>
      <c r="C2028" s="25">
        <f t="shared" si="63"/>
        <v>44896</v>
      </c>
      <c r="D2028" s="27">
        <f>IF(K2028="CREDITO",Q2028,Q2028*-1)</f>
        <v>186.21</v>
      </c>
      <c r="E2028" t="s">
        <v>894</v>
      </c>
      <c r="F2028" t="s">
        <v>2522</v>
      </c>
      <c r="G2028" s="8">
        <v>44896</v>
      </c>
      <c r="H2028" t="s">
        <v>568</v>
      </c>
      <c r="I2028" t="s">
        <v>27</v>
      </c>
      <c r="J2028" t="s">
        <v>28</v>
      </c>
      <c r="K2028" t="s">
        <v>29</v>
      </c>
      <c r="L2028" t="s">
        <v>895</v>
      </c>
      <c r="M2028" t="s">
        <v>4402</v>
      </c>
      <c r="O2028" t="s">
        <v>896</v>
      </c>
      <c r="P2028" t="s">
        <v>33</v>
      </c>
      <c r="Q2028">
        <v>186.21</v>
      </c>
      <c r="R2028" t="s">
        <v>35</v>
      </c>
      <c r="S2028" t="s">
        <v>35</v>
      </c>
      <c r="T2028" t="s">
        <v>35</v>
      </c>
      <c r="U2028" t="s">
        <v>35</v>
      </c>
      <c r="V2028" t="s">
        <v>645</v>
      </c>
      <c r="W2028" t="s">
        <v>113</v>
      </c>
    </row>
    <row r="2029" spans="1:23" hidden="1" x14ac:dyDescent="0.25">
      <c r="A2029" s="7" t="str">
        <f>IFERROR(VLOOKUP(H2029,'Contas Orç'!A:B,2,0),"N/A")</f>
        <v>DESPESAS GERAIS</v>
      </c>
      <c r="B2029" s="7" t="str">
        <f t="shared" si="62"/>
        <v>320409 - DESPESAS GERAIS</v>
      </c>
      <c r="C2029" s="25">
        <f t="shared" si="63"/>
        <v>44896</v>
      </c>
      <c r="D2029" s="27">
        <f>IF(K2029="CREDITO",Q2029,Q2029*-1)</f>
        <v>34.86</v>
      </c>
      <c r="E2029" t="s">
        <v>894</v>
      </c>
      <c r="F2029" t="s">
        <v>2523</v>
      </c>
      <c r="G2029" s="8">
        <v>44896</v>
      </c>
      <c r="H2029" t="s">
        <v>568</v>
      </c>
      <c r="I2029" t="s">
        <v>106</v>
      </c>
      <c r="J2029" t="s">
        <v>60</v>
      </c>
      <c r="K2029" t="s">
        <v>29</v>
      </c>
      <c r="L2029" t="s">
        <v>895</v>
      </c>
      <c r="M2029" t="s">
        <v>4402</v>
      </c>
      <c r="O2029" t="s">
        <v>896</v>
      </c>
      <c r="P2029" t="s">
        <v>33</v>
      </c>
      <c r="Q2029">
        <v>34.86</v>
      </c>
      <c r="R2029" t="s">
        <v>35</v>
      </c>
      <c r="S2029" t="s">
        <v>35</v>
      </c>
      <c r="T2029" t="s">
        <v>35</v>
      </c>
      <c r="U2029" t="s">
        <v>35</v>
      </c>
      <c r="V2029" t="s">
        <v>645</v>
      </c>
      <c r="W2029" t="s">
        <v>113</v>
      </c>
    </row>
    <row r="2030" spans="1:23" hidden="1" x14ac:dyDescent="0.25">
      <c r="A2030" s="7" t="str">
        <f>IFERROR(VLOOKUP(H2030,'Contas Orç'!A:B,2,0),"N/A")</f>
        <v>DESPESAS GERAIS</v>
      </c>
      <c r="B2030" s="7" t="str">
        <f t="shared" si="62"/>
        <v>320409 - DESPESAS GERAIS</v>
      </c>
      <c r="C2030" s="25">
        <f t="shared" si="63"/>
        <v>44896</v>
      </c>
      <c r="D2030" s="27">
        <f>IF(K2030="CREDITO",Q2030,Q2030*-1)</f>
        <v>2044.97</v>
      </c>
      <c r="E2030" t="s">
        <v>894</v>
      </c>
      <c r="F2030" t="s">
        <v>2524</v>
      </c>
      <c r="G2030" s="8">
        <v>44896</v>
      </c>
      <c r="H2030" t="s">
        <v>568</v>
      </c>
      <c r="I2030" t="s">
        <v>59</v>
      </c>
      <c r="J2030" t="s">
        <v>60</v>
      </c>
      <c r="K2030" t="s">
        <v>29</v>
      </c>
      <c r="L2030" t="s">
        <v>895</v>
      </c>
      <c r="M2030" t="s">
        <v>4402</v>
      </c>
      <c r="O2030" t="s">
        <v>896</v>
      </c>
      <c r="P2030" t="s">
        <v>33</v>
      </c>
      <c r="Q2030" s="22">
        <v>2044.97</v>
      </c>
      <c r="R2030" t="s">
        <v>35</v>
      </c>
      <c r="S2030" t="s">
        <v>35</v>
      </c>
      <c r="T2030" t="s">
        <v>35</v>
      </c>
      <c r="U2030" t="s">
        <v>35</v>
      </c>
      <c r="V2030" t="s">
        <v>645</v>
      </c>
      <c r="W2030" t="s">
        <v>113</v>
      </c>
    </row>
    <row r="2031" spans="1:23" hidden="1" x14ac:dyDescent="0.25">
      <c r="A2031" s="7" t="str">
        <f>IFERROR(VLOOKUP(H2031,'Contas Orç'!A:B,2,0),"N/A")</f>
        <v>DESPESAS GERAIS</v>
      </c>
      <c r="B2031" s="7" t="str">
        <f t="shared" si="62"/>
        <v>320409 - DESPESAS GERAIS</v>
      </c>
      <c r="C2031" s="25">
        <f t="shared" si="63"/>
        <v>44896</v>
      </c>
      <c r="D2031" s="27">
        <f>IF(K2031="CREDITO",Q2031,Q2031*-1)</f>
        <v>895.29</v>
      </c>
      <c r="E2031" t="s">
        <v>894</v>
      </c>
      <c r="F2031" t="s">
        <v>2525</v>
      </c>
      <c r="G2031" s="8">
        <v>44896</v>
      </c>
      <c r="H2031" t="s">
        <v>568</v>
      </c>
      <c r="I2031" t="s">
        <v>59</v>
      </c>
      <c r="J2031" t="s">
        <v>107</v>
      </c>
      <c r="K2031" t="s">
        <v>29</v>
      </c>
      <c r="L2031" t="s">
        <v>895</v>
      </c>
      <c r="M2031" t="s">
        <v>4402</v>
      </c>
      <c r="O2031" t="s">
        <v>896</v>
      </c>
      <c r="P2031" t="s">
        <v>33</v>
      </c>
      <c r="Q2031">
        <v>895.29</v>
      </c>
      <c r="R2031" t="s">
        <v>35</v>
      </c>
      <c r="S2031" t="s">
        <v>35</v>
      </c>
      <c r="T2031" t="s">
        <v>35</v>
      </c>
      <c r="U2031" t="s">
        <v>35</v>
      </c>
      <c r="V2031" t="s">
        <v>645</v>
      </c>
      <c r="W2031" t="s">
        <v>113</v>
      </c>
    </row>
    <row r="2032" spans="1:23" hidden="1" x14ac:dyDescent="0.25">
      <c r="A2032" s="7" t="str">
        <f>IFERROR(VLOOKUP(H2032,'Contas Orç'!A:B,2,0),"N/A")</f>
        <v>DESPESAS GERAIS</v>
      </c>
      <c r="B2032" s="7" t="str">
        <f t="shared" si="62"/>
        <v>320409 - DESPESAS GERAIS</v>
      </c>
      <c r="C2032" s="25">
        <f t="shared" si="63"/>
        <v>44896</v>
      </c>
      <c r="D2032" s="27">
        <f>IF(K2032="CREDITO",Q2032,Q2032*-1)</f>
        <v>12609.33</v>
      </c>
      <c r="E2032" t="s">
        <v>894</v>
      </c>
      <c r="F2032" t="s">
        <v>2526</v>
      </c>
      <c r="G2032" s="8">
        <v>44896</v>
      </c>
      <c r="H2032" t="s">
        <v>568</v>
      </c>
      <c r="I2032" t="s">
        <v>53</v>
      </c>
      <c r="J2032" t="s">
        <v>54</v>
      </c>
      <c r="K2032" t="s">
        <v>29</v>
      </c>
      <c r="L2032" t="s">
        <v>895</v>
      </c>
      <c r="M2032" t="s">
        <v>4402</v>
      </c>
      <c r="O2032" t="s">
        <v>896</v>
      </c>
      <c r="P2032" t="s">
        <v>33</v>
      </c>
      <c r="Q2032" s="22">
        <v>12609.33</v>
      </c>
      <c r="R2032" t="s">
        <v>35</v>
      </c>
      <c r="S2032" t="s">
        <v>35</v>
      </c>
      <c r="T2032" t="s">
        <v>35</v>
      </c>
      <c r="U2032" t="s">
        <v>35</v>
      </c>
      <c r="V2032" t="s">
        <v>645</v>
      </c>
      <c r="W2032" t="s">
        <v>113</v>
      </c>
    </row>
    <row r="2033" spans="1:23" hidden="1" x14ac:dyDescent="0.25">
      <c r="A2033" s="7" t="str">
        <f>IFERROR(VLOOKUP(H2033,'Contas Orç'!A:B,2,0),"N/A")</f>
        <v>DEPRECIACOES E AMORTIZACOES</v>
      </c>
      <c r="B2033" s="7" t="str">
        <f t="shared" si="62"/>
        <v>320501 - DEPRECIACOES E AMORTIZACOES</v>
      </c>
      <c r="C2033" s="25">
        <f t="shared" si="63"/>
        <v>44562</v>
      </c>
      <c r="D2033" s="27">
        <f>IF(K2033="CREDITO",Q2033,Q2033*-1)</f>
        <v>8592.98</v>
      </c>
      <c r="E2033" t="s">
        <v>894</v>
      </c>
      <c r="F2033" t="s">
        <v>2527</v>
      </c>
      <c r="G2033" s="8">
        <v>44562</v>
      </c>
      <c r="H2033" t="s">
        <v>570</v>
      </c>
      <c r="I2033" t="s">
        <v>88</v>
      </c>
      <c r="J2033" t="s">
        <v>28</v>
      </c>
      <c r="K2033" t="s">
        <v>29</v>
      </c>
      <c r="L2033" t="s">
        <v>895</v>
      </c>
      <c r="M2033" t="s">
        <v>4402</v>
      </c>
      <c r="O2033" t="s">
        <v>896</v>
      </c>
      <c r="P2033" t="s">
        <v>33</v>
      </c>
      <c r="Q2033" s="22">
        <v>8592.98</v>
      </c>
      <c r="R2033" t="s">
        <v>35</v>
      </c>
      <c r="S2033" t="s">
        <v>35</v>
      </c>
      <c r="T2033" t="s">
        <v>35</v>
      </c>
      <c r="U2033" t="s">
        <v>35</v>
      </c>
      <c r="V2033" t="s">
        <v>645</v>
      </c>
      <c r="W2033" t="s">
        <v>113</v>
      </c>
    </row>
    <row r="2034" spans="1:23" hidden="1" x14ac:dyDescent="0.25">
      <c r="A2034" s="7" t="str">
        <f>IFERROR(VLOOKUP(H2034,'Contas Orç'!A:B,2,0),"N/A")</f>
        <v>DEPRECIACOES E AMORTIZACOES</v>
      </c>
      <c r="B2034" s="7" t="str">
        <f t="shared" si="62"/>
        <v>320501 - DEPRECIACOES E AMORTIZACOES</v>
      </c>
      <c r="C2034" s="25">
        <f t="shared" si="63"/>
        <v>44562</v>
      </c>
      <c r="D2034" s="27">
        <f>IF(K2034="CREDITO",Q2034,Q2034*-1)</f>
        <v>233717.83</v>
      </c>
      <c r="E2034" t="s">
        <v>894</v>
      </c>
      <c r="F2034" t="s">
        <v>2528</v>
      </c>
      <c r="G2034" s="8">
        <v>44562</v>
      </c>
      <c r="H2034" t="s">
        <v>570</v>
      </c>
      <c r="I2034" t="s">
        <v>27</v>
      </c>
      <c r="J2034" t="s">
        <v>28</v>
      </c>
      <c r="K2034" t="s">
        <v>29</v>
      </c>
      <c r="L2034" t="s">
        <v>895</v>
      </c>
      <c r="M2034" t="s">
        <v>4402</v>
      </c>
      <c r="O2034" t="s">
        <v>896</v>
      </c>
      <c r="P2034" t="s">
        <v>33</v>
      </c>
      <c r="Q2034" s="22">
        <v>233717.83</v>
      </c>
      <c r="R2034" t="s">
        <v>35</v>
      </c>
      <c r="S2034" t="s">
        <v>35</v>
      </c>
      <c r="T2034" t="s">
        <v>35</v>
      </c>
      <c r="U2034" t="s">
        <v>35</v>
      </c>
      <c r="V2034" t="s">
        <v>645</v>
      </c>
      <c r="W2034" t="s">
        <v>113</v>
      </c>
    </row>
    <row r="2035" spans="1:23" hidden="1" x14ac:dyDescent="0.25">
      <c r="A2035" s="7" t="str">
        <f>IFERROR(VLOOKUP(H2035,'Contas Orç'!A:B,2,0),"N/A")</f>
        <v>DEPRECIACOES E AMORTIZACOES</v>
      </c>
      <c r="B2035" s="7" t="str">
        <f t="shared" si="62"/>
        <v>320501 - DEPRECIACOES E AMORTIZACOES</v>
      </c>
      <c r="C2035" s="25">
        <f t="shared" si="63"/>
        <v>44562</v>
      </c>
      <c r="D2035" s="27">
        <f>IF(K2035="CREDITO",Q2035,Q2035*-1)</f>
        <v>260701.35</v>
      </c>
      <c r="E2035" t="s">
        <v>894</v>
      </c>
      <c r="F2035" t="s">
        <v>2529</v>
      </c>
      <c r="G2035" s="8">
        <v>44562</v>
      </c>
      <c r="H2035" t="s">
        <v>570</v>
      </c>
      <c r="I2035" t="s">
        <v>59</v>
      </c>
      <c r="J2035" t="s">
        <v>60</v>
      </c>
      <c r="K2035" t="s">
        <v>29</v>
      </c>
      <c r="L2035" t="s">
        <v>895</v>
      </c>
      <c r="M2035" t="s">
        <v>4402</v>
      </c>
      <c r="O2035" t="s">
        <v>896</v>
      </c>
      <c r="P2035" t="s">
        <v>33</v>
      </c>
      <c r="Q2035" s="22">
        <v>260701.35</v>
      </c>
      <c r="R2035" t="s">
        <v>35</v>
      </c>
      <c r="S2035" t="s">
        <v>35</v>
      </c>
      <c r="T2035" t="s">
        <v>35</v>
      </c>
      <c r="U2035" t="s">
        <v>35</v>
      </c>
      <c r="V2035" t="s">
        <v>645</v>
      </c>
      <c r="W2035" t="s">
        <v>113</v>
      </c>
    </row>
    <row r="2036" spans="1:23" hidden="1" x14ac:dyDescent="0.25">
      <c r="A2036" s="7" t="str">
        <f>IFERROR(VLOOKUP(H2036,'Contas Orç'!A:B,2,0),"N/A")</f>
        <v>DEPRECIACOES E AMORTIZACOES</v>
      </c>
      <c r="B2036" s="7" t="str">
        <f t="shared" si="62"/>
        <v>320501 - DEPRECIACOES E AMORTIZACOES</v>
      </c>
      <c r="C2036" s="25">
        <f t="shared" si="63"/>
        <v>44562</v>
      </c>
      <c r="D2036" s="27">
        <f>IF(K2036="CREDITO",Q2036,Q2036*-1)</f>
        <v>1891.67</v>
      </c>
      <c r="E2036" t="s">
        <v>894</v>
      </c>
      <c r="F2036" t="s">
        <v>2530</v>
      </c>
      <c r="G2036" s="8">
        <v>44562</v>
      </c>
      <c r="H2036" t="s">
        <v>570</v>
      </c>
      <c r="I2036" t="s">
        <v>59</v>
      </c>
      <c r="J2036" t="s">
        <v>107</v>
      </c>
      <c r="K2036" t="s">
        <v>29</v>
      </c>
      <c r="L2036" t="s">
        <v>895</v>
      </c>
      <c r="M2036" t="s">
        <v>4402</v>
      </c>
      <c r="O2036" t="s">
        <v>896</v>
      </c>
      <c r="P2036" t="s">
        <v>33</v>
      </c>
      <c r="Q2036" s="22">
        <v>1891.67</v>
      </c>
      <c r="R2036" t="s">
        <v>35</v>
      </c>
      <c r="S2036" t="s">
        <v>35</v>
      </c>
      <c r="T2036" t="s">
        <v>35</v>
      </c>
      <c r="U2036" t="s">
        <v>35</v>
      </c>
      <c r="V2036" t="s">
        <v>645</v>
      </c>
      <c r="W2036" t="s">
        <v>113</v>
      </c>
    </row>
    <row r="2037" spans="1:23" hidden="1" x14ac:dyDescent="0.25">
      <c r="A2037" s="7" t="str">
        <f>IFERROR(VLOOKUP(H2037,'Contas Orç'!A:B,2,0),"N/A")</f>
        <v>DEPRECIACOES E AMORTIZACOES</v>
      </c>
      <c r="B2037" s="7" t="str">
        <f t="shared" si="62"/>
        <v>320501 - DEPRECIACOES E AMORTIZACOES</v>
      </c>
      <c r="C2037" s="25">
        <f t="shared" si="63"/>
        <v>44562</v>
      </c>
      <c r="D2037" s="27">
        <f>IF(K2037="CREDITO",Q2037,Q2037*-1)</f>
        <v>14.51</v>
      </c>
      <c r="E2037" t="s">
        <v>894</v>
      </c>
      <c r="F2037" t="s">
        <v>2531</v>
      </c>
      <c r="G2037" s="8">
        <v>44562</v>
      </c>
      <c r="H2037" t="s">
        <v>570</v>
      </c>
      <c r="I2037" t="s">
        <v>125</v>
      </c>
      <c r="J2037" t="s">
        <v>95</v>
      </c>
      <c r="K2037" t="s">
        <v>29</v>
      </c>
      <c r="L2037" t="s">
        <v>895</v>
      </c>
      <c r="M2037" t="s">
        <v>4402</v>
      </c>
      <c r="O2037" t="s">
        <v>896</v>
      </c>
      <c r="P2037" t="s">
        <v>33</v>
      </c>
      <c r="Q2037">
        <v>14.51</v>
      </c>
      <c r="R2037" t="s">
        <v>35</v>
      </c>
      <c r="S2037" t="s">
        <v>35</v>
      </c>
      <c r="T2037" t="s">
        <v>35</v>
      </c>
      <c r="U2037" t="s">
        <v>35</v>
      </c>
      <c r="V2037" t="s">
        <v>645</v>
      </c>
      <c r="W2037" t="s">
        <v>113</v>
      </c>
    </row>
    <row r="2038" spans="1:23" hidden="1" x14ac:dyDescent="0.25">
      <c r="A2038" s="7" t="str">
        <f>IFERROR(VLOOKUP(H2038,'Contas Orç'!A:B,2,0),"N/A")</f>
        <v>DEPRECIACOES E AMORTIZACOES</v>
      </c>
      <c r="B2038" s="7" t="str">
        <f t="shared" si="62"/>
        <v>320501 - DEPRECIACOES E AMORTIZACOES</v>
      </c>
      <c r="C2038" s="25">
        <f t="shared" si="63"/>
        <v>44562</v>
      </c>
      <c r="D2038" s="27">
        <f>IF(K2038="CREDITO",Q2038,Q2038*-1)</f>
        <v>84.69</v>
      </c>
      <c r="E2038" t="s">
        <v>894</v>
      </c>
      <c r="F2038" t="s">
        <v>2532</v>
      </c>
      <c r="G2038" s="8">
        <v>44562</v>
      </c>
      <c r="H2038" t="s">
        <v>570</v>
      </c>
      <c r="I2038" t="s">
        <v>2062</v>
      </c>
      <c r="J2038" t="s">
        <v>54</v>
      </c>
      <c r="K2038" t="s">
        <v>29</v>
      </c>
      <c r="L2038" t="s">
        <v>895</v>
      </c>
      <c r="M2038" t="s">
        <v>4402</v>
      </c>
      <c r="O2038" t="s">
        <v>896</v>
      </c>
      <c r="P2038" t="s">
        <v>33</v>
      </c>
      <c r="Q2038">
        <v>84.69</v>
      </c>
      <c r="R2038" t="s">
        <v>35</v>
      </c>
      <c r="S2038" t="s">
        <v>35</v>
      </c>
      <c r="T2038" t="s">
        <v>35</v>
      </c>
      <c r="U2038" t="s">
        <v>35</v>
      </c>
      <c r="V2038" t="s">
        <v>645</v>
      </c>
      <c r="W2038" t="s">
        <v>113</v>
      </c>
    </row>
    <row r="2039" spans="1:23" hidden="1" x14ac:dyDescent="0.25">
      <c r="A2039" s="7" t="str">
        <f>IFERROR(VLOOKUP(H2039,'Contas Orç'!A:B,2,0),"N/A")</f>
        <v>DEPRECIACOES E AMORTIZACOES</v>
      </c>
      <c r="B2039" s="7" t="str">
        <f t="shared" si="62"/>
        <v>320501 - DEPRECIACOES E AMORTIZACOES</v>
      </c>
      <c r="C2039" s="25">
        <f t="shared" si="63"/>
        <v>44562</v>
      </c>
      <c r="D2039" s="27">
        <f>IF(K2039="CREDITO",Q2039,Q2039*-1)</f>
        <v>123.93</v>
      </c>
      <c r="E2039" t="s">
        <v>894</v>
      </c>
      <c r="F2039" t="s">
        <v>2533</v>
      </c>
      <c r="G2039" s="8">
        <v>44562</v>
      </c>
      <c r="H2039" t="s">
        <v>570</v>
      </c>
      <c r="I2039" t="s">
        <v>121</v>
      </c>
      <c r="J2039" t="s">
        <v>54</v>
      </c>
      <c r="K2039" t="s">
        <v>29</v>
      </c>
      <c r="L2039" t="s">
        <v>895</v>
      </c>
      <c r="M2039" t="s">
        <v>4402</v>
      </c>
      <c r="O2039" t="s">
        <v>896</v>
      </c>
      <c r="P2039" t="s">
        <v>33</v>
      </c>
      <c r="Q2039">
        <v>123.93</v>
      </c>
      <c r="R2039" t="s">
        <v>35</v>
      </c>
      <c r="S2039" t="s">
        <v>35</v>
      </c>
      <c r="T2039" t="s">
        <v>35</v>
      </c>
      <c r="U2039" t="s">
        <v>35</v>
      </c>
      <c r="V2039" t="s">
        <v>645</v>
      </c>
      <c r="W2039" t="s">
        <v>113</v>
      </c>
    </row>
    <row r="2040" spans="1:23" hidden="1" x14ac:dyDescent="0.25">
      <c r="A2040" s="7" t="str">
        <f>IFERROR(VLOOKUP(H2040,'Contas Orç'!A:B,2,0),"N/A")</f>
        <v>DEPRECIACOES E AMORTIZACOES</v>
      </c>
      <c r="B2040" s="7" t="str">
        <f t="shared" si="62"/>
        <v>320501 - DEPRECIACOES E AMORTIZACOES</v>
      </c>
      <c r="C2040" s="25">
        <f t="shared" si="63"/>
        <v>44562</v>
      </c>
      <c r="D2040" s="27">
        <f>IF(K2040="CREDITO",Q2040,Q2040*-1)</f>
        <v>28.68</v>
      </c>
      <c r="E2040" t="s">
        <v>894</v>
      </c>
      <c r="F2040" t="s">
        <v>2534</v>
      </c>
      <c r="G2040" s="8">
        <v>44562</v>
      </c>
      <c r="H2040" t="s">
        <v>570</v>
      </c>
      <c r="I2040" t="s">
        <v>132</v>
      </c>
      <c r="J2040" t="s">
        <v>54</v>
      </c>
      <c r="K2040" t="s">
        <v>29</v>
      </c>
      <c r="L2040" t="s">
        <v>895</v>
      </c>
      <c r="M2040" t="s">
        <v>4402</v>
      </c>
      <c r="O2040" t="s">
        <v>896</v>
      </c>
      <c r="P2040" t="s">
        <v>33</v>
      </c>
      <c r="Q2040">
        <v>28.68</v>
      </c>
      <c r="R2040" t="s">
        <v>35</v>
      </c>
      <c r="S2040" t="s">
        <v>35</v>
      </c>
      <c r="T2040" t="s">
        <v>35</v>
      </c>
      <c r="U2040" t="s">
        <v>35</v>
      </c>
      <c r="V2040" t="s">
        <v>645</v>
      </c>
      <c r="W2040" t="s">
        <v>113</v>
      </c>
    </row>
    <row r="2041" spans="1:23" hidden="1" x14ac:dyDescent="0.25">
      <c r="A2041" s="7" t="str">
        <f>IFERROR(VLOOKUP(H2041,'Contas Orç'!A:B,2,0),"N/A")</f>
        <v>DEPRECIACOES E AMORTIZACOES</v>
      </c>
      <c r="B2041" s="7" t="str">
        <f t="shared" si="62"/>
        <v>320501 - DEPRECIACOES E AMORTIZACOES</v>
      </c>
      <c r="C2041" s="25">
        <f t="shared" si="63"/>
        <v>44562</v>
      </c>
      <c r="D2041" s="27">
        <f>IF(K2041="CREDITO",Q2041,Q2041*-1)</f>
        <v>47.45</v>
      </c>
      <c r="E2041" t="s">
        <v>894</v>
      </c>
      <c r="F2041" t="s">
        <v>2535</v>
      </c>
      <c r="G2041" s="8">
        <v>44562</v>
      </c>
      <c r="H2041" t="s">
        <v>570</v>
      </c>
      <c r="I2041" t="s">
        <v>78</v>
      </c>
      <c r="J2041" t="s">
        <v>54</v>
      </c>
      <c r="K2041" t="s">
        <v>29</v>
      </c>
      <c r="L2041" t="s">
        <v>895</v>
      </c>
      <c r="M2041" t="s">
        <v>4402</v>
      </c>
      <c r="O2041" t="s">
        <v>896</v>
      </c>
      <c r="P2041" t="s">
        <v>33</v>
      </c>
      <c r="Q2041">
        <v>47.45</v>
      </c>
      <c r="R2041" t="s">
        <v>35</v>
      </c>
      <c r="S2041" t="s">
        <v>35</v>
      </c>
      <c r="T2041" t="s">
        <v>35</v>
      </c>
      <c r="U2041" t="s">
        <v>35</v>
      </c>
      <c r="V2041" t="s">
        <v>645</v>
      </c>
      <c r="W2041" t="s">
        <v>113</v>
      </c>
    </row>
    <row r="2042" spans="1:23" hidden="1" x14ac:dyDescent="0.25">
      <c r="A2042" s="7" t="str">
        <f>IFERROR(VLOOKUP(H2042,'Contas Orç'!A:B,2,0),"N/A")</f>
        <v>DEPRECIACOES E AMORTIZACOES</v>
      </c>
      <c r="B2042" s="7" t="str">
        <f t="shared" si="62"/>
        <v>320501 - DEPRECIACOES E AMORTIZACOES</v>
      </c>
      <c r="C2042" s="25">
        <f t="shared" si="63"/>
        <v>44562</v>
      </c>
      <c r="D2042" s="27">
        <f>IF(K2042="CREDITO",Q2042,Q2042*-1)</f>
        <v>237.06</v>
      </c>
      <c r="E2042" t="s">
        <v>894</v>
      </c>
      <c r="F2042" t="s">
        <v>2536</v>
      </c>
      <c r="G2042" s="8">
        <v>44562</v>
      </c>
      <c r="H2042" t="s">
        <v>570</v>
      </c>
      <c r="I2042" t="s">
        <v>81</v>
      </c>
      <c r="J2042" t="s">
        <v>54</v>
      </c>
      <c r="K2042" t="s">
        <v>29</v>
      </c>
      <c r="L2042" t="s">
        <v>895</v>
      </c>
      <c r="M2042" t="s">
        <v>4402</v>
      </c>
      <c r="O2042" t="s">
        <v>896</v>
      </c>
      <c r="P2042" t="s">
        <v>33</v>
      </c>
      <c r="Q2042">
        <v>237.06</v>
      </c>
      <c r="R2042" t="s">
        <v>35</v>
      </c>
      <c r="S2042" t="s">
        <v>35</v>
      </c>
      <c r="T2042" t="s">
        <v>35</v>
      </c>
      <c r="U2042" t="s">
        <v>35</v>
      </c>
      <c r="V2042" t="s">
        <v>645</v>
      </c>
      <c r="W2042" t="s">
        <v>113</v>
      </c>
    </row>
    <row r="2043" spans="1:23" hidden="1" x14ac:dyDescent="0.25">
      <c r="A2043" s="7" t="str">
        <f>IFERROR(VLOOKUP(H2043,'Contas Orç'!A:B,2,0),"N/A")</f>
        <v>DEPRECIACOES E AMORTIZACOES</v>
      </c>
      <c r="B2043" s="7" t="str">
        <f t="shared" si="62"/>
        <v>320501 - DEPRECIACOES E AMORTIZACOES</v>
      </c>
      <c r="C2043" s="25">
        <f t="shared" si="63"/>
        <v>44562</v>
      </c>
      <c r="D2043" s="27">
        <f>IF(K2043="CREDITO",Q2043,Q2043*-1)</f>
        <v>1623.01</v>
      </c>
      <c r="E2043" t="s">
        <v>894</v>
      </c>
      <c r="F2043" t="s">
        <v>2537</v>
      </c>
      <c r="G2043" s="8">
        <v>44562</v>
      </c>
      <c r="H2043" t="s">
        <v>570</v>
      </c>
      <c r="I2043" t="s">
        <v>53</v>
      </c>
      <c r="J2043" t="s">
        <v>54</v>
      </c>
      <c r="K2043" t="s">
        <v>29</v>
      </c>
      <c r="L2043" t="s">
        <v>895</v>
      </c>
      <c r="M2043" t="s">
        <v>4402</v>
      </c>
      <c r="O2043" t="s">
        <v>896</v>
      </c>
      <c r="P2043" t="s">
        <v>33</v>
      </c>
      <c r="Q2043" s="22">
        <v>1623.01</v>
      </c>
      <c r="R2043" t="s">
        <v>35</v>
      </c>
      <c r="S2043" t="s">
        <v>35</v>
      </c>
      <c r="T2043" t="s">
        <v>35</v>
      </c>
      <c r="U2043" t="s">
        <v>35</v>
      </c>
      <c r="V2043" t="s">
        <v>645</v>
      </c>
      <c r="W2043" t="s">
        <v>113</v>
      </c>
    </row>
    <row r="2044" spans="1:23" hidden="1" x14ac:dyDescent="0.25">
      <c r="A2044" s="7" t="str">
        <f>IFERROR(VLOOKUP(H2044,'Contas Orç'!A:B,2,0),"N/A")</f>
        <v>DEPRECIACOES E AMORTIZACOES</v>
      </c>
      <c r="B2044" s="7" t="str">
        <f t="shared" si="62"/>
        <v>320501 - DEPRECIACOES E AMORTIZACOES</v>
      </c>
      <c r="C2044" s="25">
        <f t="shared" si="63"/>
        <v>44593</v>
      </c>
      <c r="D2044" s="27">
        <f>IF(K2044="CREDITO",Q2044,Q2044*-1)</f>
        <v>8585.48</v>
      </c>
      <c r="E2044" t="s">
        <v>894</v>
      </c>
      <c r="F2044" t="s">
        <v>2538</v>
      </c>
      <c r="G2044" s="8">
        <v>44593</v>
      </c>
      <c r="H2044" t="s">
        <v>570</v>
      </c>
      <c r="I2044" t="s">
        <v>88</v>
      </c>
      <c r="J2044" t="s">
        <v>28</v>
      </c>
      <c r="K2044" t="s">
        <v>29</v>
      </c>
      <c r="L2044" t="s">
        <v>895</v>
      </c>
      <c r="M2044" t="s">
        <v>4402</v>
      </c>
      <c r="O2044" t="s">
        <v>896</v>
      </c>
      <c r="P2044" t="s">
        <v>33</v>
      </c>
      <c r="Q2044" s="22">
        <v>8585.48</v>
      </c>
      <c r="R2044" t="s">
        <v>35</v>
      </c>
      <c r="S2044" t="s">
        <v>35</v>
      </c>
      <c r="T2044" t="s">
        <v>35</v>
      </c>
      <c r="U2044" t="s">
        <v>35</v>
      </c>
      <c r="V2044" t="s">
        <v>645</v>
      </c>
      <c r="W2044" t="s">
        <v>113</v>
      </c>
    </row>
    <row r="2045" spans="1:23" hidden="1" x14ac:dyDescent="0.25">
      <c r="A2045" s="7" t="str">
        <f>IFERROR(VLOOKUP(H2045,'Contas Orç'!A:B,2,0),"N/A")</f>
        <v>DEPRECIACOES E AMORTIZACOES</v>
      </c>
      <c r="B2045" s="7" t="str">
        <f t="shared" si="62"/>
        <v>320501 - DEPRECIACOES E AMORTIZACOES</v>
      </c>
      <c r="C2045" s="25">
        <f t="shared" si="63"/>
        <v>44593</v>
      </c>
      <c r="D2045" s="27">
        <f>IF(K2045="CREDITO",Q2045,Q2045*-1)</f>
        <v>233717.83</v>
      </c>
      <c r="E2045" t="s">
        <v>894</v>
      </c>
      <c r="F2045" t="s">
        <v>2539</v>
      </c>
      <c r="G2045" s="8">
        <v>44593</v>
      </c>
      <c r="H2045" t="s">
        <v>570</v>
      </c>
      <c r="I2045" t="s">
        <v>27</v>
      </c>
      <c r="J2045" t="s">
        <v>28</v>
      </c>
      <c r="K2045" t="s">
        <v>29</v>
      </c>
      <c r="L2045" t="s">
        <v>895</v>
      </c>
      <c r="M2045" t="s">
        <v>4402</v>
      </c>
      <c r="O2045" t="s">
        <v>896</v>
      </c>
      <c r="P2045" t="s">
        <v>33</v>
      </c>
      <c r="Q2045" s="22">
        <v>233717.83</v>
      </c>
      <c r="R2045" t="s">
        <v>35</v>
      </c>
      <c r="S2045" t="s">
        <v>35</v>
      </c>
      <c r="T2045" t="s">
        <v>35</v>
      </c>
      <c r="U2045" t="s">
        <v>35</v>
      </c>
      <c r="V2045" t="s">
        <v>645</v>
      </c>
      <c r="W2045" t="s">
        <v>113</v>
      </c>
    </row>
    <row r="2046" spans="1:23" hidden="1" x14ac:dyDescent="0.25">
      <c r="A2046" s="7" t="str">
        <f>IFERROR(VLOOKUP(H2046,'Contas Orç'!A:B,2,0),"N/A")</f>
        <v>DEPRECIACOES E AMORTIZACOES</v>
      </c>
      <c r="B2046" s="7" t="str">
        <f t="shared" si="62"/>
        <v>320501 - DEPRECIACOES E AMORTIZACOES</v>
      </c>
      <c r="C2046" s="25">
        <f t="shared" si="63"/>
        <v>44593</v>
      </c>
      <c r="D2046" s="27">
        <f>IF(K2046="CREDITO",Q2046,Q2046*-1)</f>
        <v>12500</v>
      </c>
      <c r="E2046" t="s">
        <v>894</v>
      </c>
      <c r="F2046" t="s">
        <v>2540</v>
      </c>
      <c r="G2046" s="8">
        <v>44593</v>
      </c>
      <c r="H2046" t="s">
        <v>570</v>
      </c>
      <c r="I2046" t="s">
        <v>59</v>
      </c>
      <c r="J2046" t="s">
        <v>28</v>
      </c>
      <c r="K2046" t="s">
        <v>29</v>
      </c>
      <c r="L2046" t="s">
        <v>895</v>
      </c>
      <c r="M2046" t="s">
        <v>4402</v>
      </c>
      <c r="O2046" t="s">
        <v>896</v>
      </c>
      <c r="P2046" t="s">
        <v>33</v>
      </c>
      <c r="Q2046" s="22">
        <v>12500</v>
      </c>
      <c r="R2046" t="s">
        <v>35</v>
      </c>
      <c r="S2046" t="s">
        <v>35</v>
      </c>
      <c r="T2046" t="s">
        <v>35</v>
      </c>
      <c r="U2046" t="s">
        <v>35</v>
      </c>
      <c r="V2046" t="s">
        <v>645</v>
      </c>
      <c r="W2046" t="s">
        <v>113</v>
      </c>
    </row>
    <row r="2047" spans="1:23" hidden="1" x14ac:dyDescent="0.25">
      <c r="A2047" s="7" t="str">
        <f>IFERROR(VLOOKUP(H2047,'Contas Orç'!A:B,2,0),"N/A")</f>
        <v>DEPRECIACOES E AMORTIZACOES</v>
      </c>
      <c r="B2047" s="7" t="str">
        <f t="shared" si="62"/>
        <v>320501 - DEPRECIACOES E AMORTIZACOES</v>
      </c>
      <c r="C2047" s="25">
        <f t="shared" si="63"/>
        <v>44593</v>
      </c>
      <c r="D2047" s="27">
        <f>IF(K2047="CREDITO",Q2047,Q2047*-1)</f>
        <v>31665.85</v>
      </c>
      <c r="E2047" t="s">
        <v>894</v>
      </c>
      <c r="F2047" t="s">
        <v>2541</v>
      </c>
      <c r="G2047" s="8">
        <v>44593</v>
      </c>
      <c r="H2047" t="s">
        <v>570</v>
      </c>
      <c r="I2047" t="s">
        <v>106</v>
      </c>
      <c r="J2047" t="s">
        <v>60</v>
      </c>
      <c r="K2047" t="s">
        <v>29</v>
      </c>
      <c r="L2047" t="s">
        <v>895</v>
      </c>
      <c r="M2047" t="s">
        <v>4402</v>
      </c>
      <c r="O2047" t="s">
        <v>896</v>
      </c>
      <c r="P2047" t="s">
        <v>33</v>
      </c>
      <c r="Q2047" s="22">
        <v>31665.85</v>
      </c>
      <c r="R2047" t="s">
        <v>35</v>
      </c>
      <c r="S2047" t="s">
        <v>35</v>
      </c>
      <c r="T2047" t="s">
        <v>35</v>
      </c>
      <c r="U2047" t="s">
        <v>35</v>
      </c>
      <c r="V2047" t="s">
        <v>645</v>
      </c>
      <c r="W2047" t="s">
        <v>113</v>
      </c>
    </row>
    <row r="2048" spans="1:23" hidden="1" x14ac:dyDescent="0.25">
      <c r="A2048" s="7" t="str">
        <f>IFERROR(VLOOKUP(H2048,'Contas Orç'!A:B,2,0),"N/A")</f>
        <v>DEPRECIACOES E AMORTIZACOES</v>
      </c>
      <c r="B2048" s="7" t="str">
        <f t="shared" si="62"/>
        <v>320501 - DEPRECIACOES E AMORTIZACOES</v>
      </c>
      <c r="C2048" s="25">
        <f t="shared" si="63"/>
        <v>44593</v>
      </c>
      <c r="D2048" s="27">
        <f>IF(K2048="CREDITO",Q2048,Q2048*-1)</f>
        <v>218085.17</v>
      </c>
      <c r="E2048" t="s">
        <v>894</v>
      </c>
      <c r="F2048" t="s">
        <v>2542</v>
      </c>
      <c r="G2048" s="8">
        <v>44593</v>
      </c>
      <c r="H2048" t="s">
        <v>570</v>
      </c>
      <c r="I2048" t="s">
        <v>59</v>
      </c>
      <c r="J2048" t="s">
        <v>60</v>
      </c>
      <c r="K2048" t="s">
        <v>29</v>
      </c>
      <c r="L2048" t="s">
        <v>895</v>
      </c>
      <c r="M2048" t="s">
        <v>4402</v>
      </c>
      <c r="O2048" t="s">
        <v>896</v>
      </c>
      <c r="P2048" t="s">
        <v>33</v>
      </c>
      <c r="Q2048" s="22">
        <v>218085.17</v>
      </c>
      <c r="R2048" t="s">
        <v>35</v>
      </c>
      <c r="S2048" t="s">
        <v>35</v>
      </c>
      <c r="T2048" t="s">
        <v>35</v>
      </c>
      <c r="U2048" t="s">
        <v>35</v>
      </c>
      <c r="V2048" t="s">
        <v>645</v>
      </c>
      <c r="W2048" t="s">
        <v>113</v>
      </c>
    </row>
    <row r="2049" spans="1:23" hidden="1" x14ac:dyDescent="0.25">
      <c r="A2049" s="7" t="str">
        <f>IFERROR(VLOOKUP(H2049,'Contas Orç'!A:B,2,0),"N/A")</f>
        <v>DEPRECIACOES E AMORTIZACOES</v>
      </c>
      <c r="B2049" s="7" t="str">
        <f t="shared" si="62"/>
        <v>320501 - DEPRECIACOES E AMORTIZACOES</v>
      </c>
      <c r="C2049" s="25">
        <f t="shared" si="63"/>
        <v>44593</v>
      </c>
      <c r="D2049" s="27">
        <f>IF(K2049="CREDITO",Q2049,Q2049*-1)</f>
        <v>1891.67</v>
      </c>
      <c r="E2049" t="s">
        <v>894</v>
      </c>
      <c r="F2049" t="s">
        <v>2543</v>
      </c>
      <c r="G2049" s="8">
        <v>44593</v>
      </c>
      <c r="H2049" t="s">
        <v>570</v>
      </c>
      <c r="I2049" t="s">
        <v>59</v>
      </c>
      <c r="J2049" t="s">
        <v>107</v>
      </c>
      <c r="K2049" t="s">
        <v>29</v>
      </c>
      <c r="L2049" t="s">
        <v>895</v>
      </c>
      <c r="M2049" t="s">
        <v>4402</v>
      </c>
      <c r="O2049" t="s">
        <v>896</v>
      </c>
      <c r="P2049" t="s">
        <v>33</v>
      </c>
      <c r="Q2049" s="22">
        <v>1891.67</v>
      </c>
      <c r="R2049" t="s">
        <v>35</v>
      </c>
      <c r="S2049" t="s">
        <v>35</v>
      </c>
      <c r="T2049" t="s">
        <v>35</v>
      </c>
      <c r="U2049" t="s">
        <v>35</v>
      </c>
      <c r="V2049" t="s">
        <v>645</v>
      </c>
      <c r="W2049" t="s">
        <v>113</v>
      </c>
    </row>
    <row r="2050" spans="1:23" hidden="1" x14ac:dyDescent="0.25">
      <c r="A2050" s="7" t="str">
        <f>IFERROR(VLOOKUP(H2050,'Contas Orç'!A:B,2,0),"N/A")</f>
        <v>DEPRECIACOES E AMORTIZACOES</v>
      </c>
      <c r="B2050" s="7" t="str">
        <f t="shared" si="62"/>
        <v>320501 - DEPRECIACOES E AMORTIZACOES</v>
      </c>
      <c r="C2050" s="25">
        <f t="shared" si="63"/>
        <v>44593</v>
      </c>
      <c r="D2050" s="27">
        <f>IF(K2050="CREDITO",Q2050,Q2050*-1)</f>
        <v>14.51</v>
      </c>
      <c r="E2050" t="s">
        <v>894</v>
      </c>
      <c r="F2050" t="s">
        <v>2544</v>
      </c>
      <c r="G2050" s="8">
        <v>44593</v>
      </c>
      <c r="H2050" t="s">
        <v>570</v>
      </c>
      <c r="I2050" t="s">
        <v>125</v>
      </c>
      <c r="J2050" t="s">
        <v>95</v>
      </c>
      <c r="K2050" t="s">
        <v>29</v>
      </c>
      <c r="L2050" t="s">
        <v>895</v>
      </c>
      <c r="M2050" t="s">
        <v>4402</v>
      </c>
      <c r="O2050" t="s">
        <v>896</v>
      </c>
      <c r="P2050" t="s">
        <v>33</v>
      </c>
      <c r="Q2050">
        <v>14.51</v>
      </c>
      <c r="R2050" t="s">
        <v>35</v>
      </c>
      <c r="S2050" t="s">
        <v>35</v>
      </c>
      <c r="T2050" t="s">
        <v>35</v>
      </c>
      <c r="U2050" t="s">
        <v>35</v>
      </c>
      <c r="V2050" t="s">
        <v>645</v>
      </c>
      <c r="W2050" t="s">
        <v>113</v>
      </c>
    </row>
    <row r="2051" spans="1:23" hidden="1" x14ac:dyDescent="0.25">
      <c r="A2051" s="7" t="str">
        <f>IFERROR(VLOOKUP(H2051,'Contas Orç'!A:B,2,0),"N/A")</f>
        <v>DEPRECIACOES E AMORTIZACOES</v>
      </c>
      <c r="B2051" s="7" t="str">
        <f t="shared" ref="B2051:B2114" si="64">_xlfn.CONCAT(H2051," - ",A2051)</f>
        <v>320501 - DEPRECIACOES E AMORTIZACOES</v>
      </c>
      <c r="C2051" s="25">
        <f t="shared" ref="C2051:C2114" si="65">DATE(YEAR(G2051),MONTH(G2051),1)</f>
        <v>44593</v>
      </c>
      <c r="D2051" s="27">
        <f>IF(K2051="CREDITO",Q2051,Q2051*-1)</f>
        <v>38.869999999999997</v>
      </c>
      <c r="E2051" t="s">
        <v>894</v>
      </c>
      <c r="F2051" t="s">
        <v>2545</v>
      </c>
      <c r="G2051" s="8">
        <v>44593</v>
      </c>
      <c r="H2051" t="s">
        <v>570</v>
      </c>
      <c r="I2051" t="s">
        <v>59</v>
      </c>
      <c r="J2051" t="s">
        <v>661</v>
      </c>
      <c r="K2051" t="s">
        <v>29</v>
      </c>
      <c r="L2051" t="s">
        <v>895</v>
      </c>
      <c r="M2051" t="s">
        <v>4402</v>
      </c>
      <c r="O2051" t="s">
        <v>896</v>
      </c>
      <c r="P2051" t="s">
        <v>33</v>
      </c>
      <c r="Q2051">
        <v>38.869999999999997</v>
      </c>
      <c r="R2051" t="s">
        <v>35</v>
      </c>
      <c r="S2051" t="s">
        <v>35</v>
      </c>
      <c r="T2051" t="s">
        <v>35</v>
      </c>
      <c r="U2051" t="s">
        <v>35</v>
      </c>
      <c r="V2051" t="s">
        <v>645</v>
      </c>
      <c r="W2051" t="s">
        <v>113</v>
      </c>
    </row>
    <row r="2052" spans="1:23" hidden="1" x14ac:dyDescent="0.25">
      <c r="A2052" s="7" t="str">
        <f>IFERROR(VLOOKUP(H2052,'Contas Orç'!A:B,2,0),"N/A")</f>
        <v>DEPRECIACOES E AMORTIZACOES</v>
      </c>
      <c r="B2052" s="7" t="str">
        <f t="shared" si="64"/>
        <v>320501 - DEPRECIACOES E AMORTIZACOES</v>
      </c>
      <c r="C2052" s="25">
        <f t="shared" si="65"/>
        <v>44593</v>
      </c>
      <c r="D2052" s="27">
        <f>IF(K2052="CREDITO",Q2052,Q2052*-1)</f>
        <v>2625.47</v>
      </c>
      <c r="E2052" t="s">
        <v>894</v>
      </c>
      <c r="F2052" t="s">
        <v>2546</v>
      </c>
      <c r="G2052" s="8">
        <v>44593</v>
      </c>
      <c r="H2052" t="s">
        <v>570</v>
      </c>
      <c r="I2052" t="s">
        <v>2062</v>
      </c>
      <c r="J2052" t="s">
        <v>54</v>
      </c>
      <c r="K2052" t="s">
        <v>29</v>
      </c>
      <c r="L2052" t="s">
        <v>895</v>
      </c>
      <c r="M2052" t="s">
        <v>4402</v>
      </c>
      <c r="O2052" t="s">
        <v>896</v>
      </c>
      <c r="P2052" t="s">
        <v>33</v>
      </c>
      <c r="Q2052" s="22">
        <v>2625.47</v>
      </c>
      <c r="R2052" t="s">
        <v>35</v>
      </c>
      <c r="S2052" t="s">
        <v>35</v>
      </c>
      <c r="T2052" t="s">
        <v>35</v>
      </c>
      <c r="U2052" t="s">
        <v>35</v>
      </c>
      <c r="V2052" t="s">
        <v>645</v>
      </c>
      <c r="W2052" t="s">
        <v>113</v>
      </c>
    </row>
    <row r="2053" spans="1:23" hidden="1" x14ac:dyDescent="0.25">
      <c r="A2053" s="7" t="str">
        <f>IFERROR(VLOOKUP(H2053,'Contas Orç'!A:B,2,0),"N/A")</f>
        <v>DEPRECIACOES E AMORTIZACOES</v>
      </c>
      <c r="B2053" s="7" t="str">
        <f t="shared" si="64"/>
        <v>320501 - DEPRECIACOES E AMORTIZACOES</v>
      </c>
      <c r="C2053" s="25">
        <f t="shared" si="65"/>
        <v>44593</v>
      </c>
      <c r="D2053" s="27">
        <f>IF(K2053="CREDITO",Q2053,Q2053*-1)</f>
        <v>123.93</v>
      </c>
      <c r="E2053" t="s">
        <v>894</v>
      </c>
      <c r="F2053" t="s">
        <v>2547</v>
      </c>
      <c r="G2053" s="8">
        <v>44593</v>
      </c>
      <c r="H2053" t="s">
        <v>570</v>
      </c>
      <c r="I2053" t="s">
        <v>121</v>
      </c>
      <c r="J2053" t="s">
        <v>54</v>
      </c>
      <c r="K2053" t="s">
        <v>29</v>
      </c>
      <c r="L2053" t="s">
        <v>895</v>
      </c>
      <c r="M2053" t="s">
        <v>4402</v>
      </c>
      <c r="O2053" t="s">
        <v>896</v>
      </c>
      <c r="P2053" t="s">
        <v>33</v>
      </c>
      <c r="Q2053">
        <v>123.93</v>
      </c>
      <c r="R2053" t="s">
        <v>35</v>
      </c>
      <c r="S2053" t="s">
        <v>35</v>
      </c>
      <c r="T2053" t="s">
        <v>35</v>
      </c>
      <c r="U2053" t="s">
        <v>35</v>
      </c>
      <c r="V2053" t="s">
        <v>645</v>
      </c>
      <c r="W2053" t="s">
        <v>113</v>
      </c>
    </row>
    <row r="2054" spans="1:23" hidden="1" x14ac:dyDescent="0.25">
      <c r="A2054" s="7" t="str">
        <f>IFERROR(VLOOKUP(H2054,'Contas Orç'!A:B,2,0),"N/A")</f>
        <v>DEPRECIACOES E AMORTIZACOES</v>
      </c>
      <c r="B2054" s="7" t="str">
        <f t="shared" si="64"/>
        <v>320501 - DEPRECIACOES E AMORTIZACOES</v>
      </c>
      <c r="C2054" s="25">
        <f t="shared" si="65"/>
        <v>44593</v>
      </c>
      <c r="D2054" s="27">
        <f>IF(K2054="CREDITO",Q2054,Q2054*-1)</f>
        <v>28.68</v>
      </c>
      <c r="E2054" t="s">
        <v>894</v>
      </c>
      <c r="F2054" t="s">
        <v>2548</v>
      </c>
      <c r="G2054" s="8">
        <v>44593</v>
      </c>
      <c r="H2054" t="s">
        <v>570</v>
      </c>
      <c r="I2054" t="s">
        <v>132</v>
      </c>
      <c r="J2054" t="s">
        <v>54</v>
      </c>
      <c r="K2054" t="s">
        <v>29</v>
      </c>
      <c r="L2054" t="s">
        <v>895</v>
      </c>
      <c r="M2054" t="s">
        <v>4402</v>
      </c>
      <c r="O2054" t="s">
        <v>896</v>
      </c>
      <c r="P2054" t="s">
        <v>33</v>
      </c>
      <c r="Q2054">
        <v>28.68</v>
      </c>
      <c r="R2054" t="s">
        <v>35</v>
      </c>
      <c r="S2054" t="s">
        <v>35</v>
      </c>
      <c r="T2054" t="s">
        <v>35</v>
      </c>
      <c r="U2054" t="s">
        <v>35</v>
      </c>
      <c r="V2054" t="s">
        <v>645</v>
      </c>
      <c r="W2054" t="s">
        <v>113</v>
      </c>
    </row>
    <row r="2055" spans="1:23" hidden="1" x14ac:dyDescent="0.25">
      <c r="A2055" s="7" t="str">
        <f>IFERROR(VLOOKUP(H2055,'Contas Orç'!A:B,2,0),"N/A")</f>
        <v>DEPRECIACOES E AMORTIZACOES</v>
      </c>
      <c r="B2055" s="7" t="str">
        <f t="shared" si="64"/>
        <v>320501 - DEPRECIACOES E AMORTIZACOES</v>
      </c>
      <c r="C2055" s="25">
        <f t="shared" si="65"/>
        <v>44593</v>
      </c>
      <c r="D2055" s="27">
        <f>IF(K2055="CREDITO",Q2055,Q2055*-1)</f>
        <v>116.48</v>
      </c>
      <c r="E2055" t="s">
        <v>894</v>
      </c>
      <c r="F2055" t="s">
        <v>2549</v>
      </c>
      <c r="G2055" s="8">
        <v>44593</v>
      </c>
      <c r="H2055" t="s">
        <v>570</v>
      </c>
      <c r="I2055" t="s">
        <v>78</v>
      </c>
      <c r="J2055" t="s">
        <v>54</v>
      </c>
      <c r="K2055" t="s">
        <v>29</v>
      </c>
      <c r="L2055" t="s">
        <v>895</v>
      </c>
      <c r="M2055" t="s">
        <v>4402</v>
      </c>
      <c r="O2055" t="s">
        <v>896</v>
      </c>
      <c r="P2055" t="s">
        <v>33</v>
      </c>
      <c r="Q2055">
        <v>116.48</v>
      </c>
      <c r="R2055" t="s">
        <v>35</v>
      </c>
      <c r="S2055" t="s">
        <v>35</v>
      </c>
      <c r="T2055" t="s">
        <v>35</v>
      </c>
      <c r="U2055" t="s">
        <v>35</v>
      </c>
      <c r="V2055" t="s">
        <v>645</v>
      </c>
      <c r="W2055" t="s">
        <v>113</v>
      </c>
    </row>
    <row r="2056" spans="1:23" hidden="1" x14ac:dyDescent="0.25">
      <c r="A2056" s="7" t="str">
        <f>IFERROR(VLOOKUP(H2056,'Contas Orç'!A:B,2,0),"N/A")</f>
        <v>DEPRECIACOES E AMORTIZACOES</v>
      </c>
      <c r="B2056" s="7" t="str">
        <f t="shared" si="64"/>
        <v>320501 - DEPRECIACOES E AMORTIZACOES</v>
      </c>
      <c r="C2056" s="25">
        <f t="shared" si="65"/>
        <v>44593</v>
      </c>
      <c r="D2056" s="27">
        <f>IF(K2056="CREDITO",Q2056,Q2056*-1)</f>
        <v>244.08</v>
      </c>
      <c r="E2056" t="s">
        <v>894</v>
      </c>
      <c r="F2056" t="s">
        <v>2550</v>
      </c>
      <c r="G2056" s="8">
        <v>44593</v>
      </c>
      <c r="H2056" t="s">
        <v>570</v>
      </c>
      <c r="I2056" t="s">
        <v>81</v>
      </c>
      <c r="J2056" t="s">
        <v>54</v>
      </c>
      <c r="K2056" t="s">
        <v>29</v>
      </c>
      <c r="L2056" t="s">
        <v>895</v>
      </c>
      <c r="M2056" t="s">
        <v>4402</v>
      </c>
      <c r="O2056" t="s">
        <v>896</v>
      </c>
      <c r="P2056" t="s">
        <v>33</v>
      </c>
      <c r="Q2056">
        <v>244.08</v>
      </c>
      <c r="R2056" t="s">
        <v>35</v>
      </c>
      <c r="S2056" t="s">
        <v>35</v>
      </c>
      <c r="T2056" t="s">
        <v>35</v>
      </c>
      <c r="U2056" t="s">
        <v>35</v>
      </c>
      <c r="V2056" t="s">
        <v>645</v>
      </c>
      <c r="W2056" t="s">
        <v>113</v>
      </c>
    </row>
    <row r="2057" spans="1:23" hidden="1" x14ac:dyDescent="0.25">
      <c r="A2057" s="7" t="str">
        <f>IFERROR(VLOOKUP(H2057,'Contas Orç'!A:B,2,0),"N/A")</f>
        <v>DEPRECIACOES E AMORTIZACOES</v>
      </c>
      <c r="B2057" s="7" t="str">
        <f t="shared" si="64"/>
        <v>320501 - DEPRECIACOES E AMORTIZACOES</v>
      </c>
      <c r="C2057" s="25">
        <f t="shared" si="65"/>
        <v>44593</v>
      </c>
      <c r="D2057" s="27">
        <f>IF(K2057="CREDITO",Q2057,Q2057*-1)</f>
        <v>1677.58</v>
      </c>
      <c r="E2057" t="s">
        <v>894</v>
      </c>
      <c r="F2057" t="s">
        <v>2551</v>
      </c>
      <c r="G2057" s="8">
        <v>44593</v>
      </c>
      <c r="H2057" t="s">
        <v>570</v>
      </c>
      <c r="I2057" t="s">
        <v>53</v>
      </c>
      <c r="J2057" t="s">
        <v>54</v>
      </c>
      <c r="K2057" t="s">
        <v>29</v>
      </c>
      <c r="L2057" t="s">
        <v>895</v>
      </c>
      <c r="M2057" t="s">
        <v>4402</v>
      </c>
      <c r="O2057" t="s">
        <v>896</v>
      </c>
      <c r="P2057" t="s">
        <v>33</v>
      </c>
      <c r="Q2057" s="22">
        <v>1677.58</v>
      </c>
      <c r="R2057" t="s">
        <v>35</v>
      </c>
      <c r="S2057" t="s">
        <v>35</v>
      </c>
      <c r="T2057" t="s">
        <v>35</v>
      </c>
      <c r="U2057" t="s">
        <v>35</v>
      </c>
      <c r="V2057" t="s">
        <v>645</v>
      </c>
      <c r="W2057" t="s">
        <v>113</v>
      </c>
    </row>
    <row r="2058" spans="1:23" hidden="1" x14ac:dyDescent="0.25">
      <c r="A2058" s="7" t="str">
        <f>IFERROR(VLOOKUP(H2058,'Contas Orç'!A:B,2,0),"N/A")</f>
        <v>DEPRECIACOES E AMORTIZACOES</v>
      </c>
      <c r="B2058" s="7" t="str">
        <f t="shared" si="64"/>
        <v>320501 - DEPRECIACOES E AMORTIZACOES</v>
      </c>
      <c r="C2058" s="25">
        <f t="shared" si="65"/>
        <v>44593</v>
      </c>
      <c r="D2058" s="27">
        <f>IF(K2058="CREDITO",Q2058,Q2058*-1)</f>
        <v>7.5</v>
      </c>
      <c r="E2058" t="s">
        <v>894</v>
      </c>
      <c r="F2058" t="s">
        <v>2552</v>
      </c>
      <c r="G2058" s="8">
        <v>44593</v>
      </c>
      <c r="H2058" t="s">
        <v>570</v>
      </c>
      <c r="I2058" t="s">
        <v>88</v>
      </c>
      <c r="J2058" t="s">
        <v>54</v>
      </c>
      <c r="K2058" t="s">
        <v>29</v>
      </c>
      <c r="L2058" t="s">
        <v>895</v>
      </c>
      <c r="M2058" t="s">
        <v>4402</v>
      </c>
      <c r="O2058" t="s">
        <v>896</v>
      </c>
      <c r="P2058" t="s">
        <v>33</v>
      </c>
      <c r="Q2058">
        <v>7.5</v>
      </c>
      <c r="R2058" t="s">
        <v>35</v>
      </c>
      <c r="S2058" t="s">
        <v>35</v>
      </c>
      <c r="T2058" t="s">
        <v>35</v>
      </c>
      <c r="U2058" t="s">
        <v>35</v>
      </c>
      <c r="V2058" t="s">
        <v>645</v>
      </c>
      <c r="W2058" t="s">
        <v>113</v>
      </c>
    </row>
    <row r="2059" spans="1:23" hidden="1" x14ac:dyDescent="0.25">
      <c r="A2059" s="7" t="str">
        <f>IFERROR(VLOOKUP(H2059,'Contas Orç'!A:B,2,0),"N/A")</f>
        <v>DEPRECIACOES E AMORTIZACOES</v>
      </c>
      <c r="B2059" s="7" t="str">
        <f t="shared" si="64"/>
        <v>320501 - DEPRECIACOES E AMORTIZACOES</v>
      </c>
      <c r="C2059" s="25">
        <f t="shared" si="65"/>
        <v>44621</v>
      </c>
      <c r="D2059" s="27">
        <f>IF(K2059="CREDITO",Q2059,Q2059*-1)</f>
        <v>54.23</v>
      </c>
      <c r="E2059" t="s">
        <v>894</v>
      </c>
      <c r="F2059" t="s">
        <v>2553</v>
      </c>
      <c r="G2059" s="8">
        <v>44621</v>
      </c>
      <c r="H2059" t="s">
        <v>570</v>
      </c>
      <c r="I2059" t="s">
        <v>88</v>
      </c>
      <c r="J2059" t="s">
        <v>28</v>
      </c>
      <c r="K2059" t="s">
        <v>29</v>
      </c>
      <c r="L2059" t="s">
        <v>895</v>
      </c>
      <c r="M2059" t="s">
        <v>4402</v>
      </c>
      <c r="O2059" t="s">
        <v>896</v>
      </c>
      <c r="P2059" t="s">
        <v>33</v>
      </c>
      <c r="Q2059">
        <v>54.23</v>
      </c>
      <c r="R2059" t="s">
        <v>35</v>
      </c>
      <c r="S2059" t="s">
        <v>35</v>
      </c>
      <c r="T2059" t="s">
        <v>35</v>
      </c>
      <c r="U2059" t="s">
        <v>35</v>
      </c>
      <c r="V2059" t="s">
        <v>645</v>
      </c>
      <c r="W2059" t="s">
        <v>113</v>
      </c>
    </row>
    <row r="2060" spans="1:23" hidden="1" x14ac:dyDescent="0.25">
      <c r="A2060" s="7" t="str">
        <f>IFERROR(VLOOKUP(H2060,'Contas Orç'!A:B,2,0),"N/A")</f>
        <v>DEPRECIACOES E AMORTIZACOES</v>
      </c>
      <c r="B2060" s="7" t="str">
        <f t="shared" si="64"/>
        <v>320501 - DEPRECIACOES E AMORTIZACOES</v>
      </c>
      <c r="C2060" s="25">
        <f t="shared" si="65"/>
        <v>44621</v>
      </c>
      <c r="D2060" s="27">
        <f>IF(K2060="CREDITO",Q2060,Q2060*-1)</f>
        <v>242249.08</v>
      </c>
      <c r="E2060" t="s">
        <v>894</v>
      </c>
      <c r="F2060" t="s">
        <v>2554</v>
      </c>
      <c r="G2060" s="8">
        <v>44621</v>
      </c>
      <c r="H2060" t="s">
        <v>570</v>
      </c>
      <c r="I2060" t="s">
        <v>27</v>
      </c>
      <c r="J2060" t="s">
        <v>28</v>
      </c>
      <c r="K2060" t="s">
        <v>29</v>
      </c>
      <c r="L2060" t="s">
        <v>895</v>
      </c>
      <c r="M2060" t="s">
        <v>4402</v>
      </c>
      <c r="O2060" t="s">
        <v>896</v>
      </c>
      <c r="P2060" t="s">
        <v>33</v>
      </c>
      <c r="Q2060" s="22">
        <v>242249.08</v>
      </c>
      <c r="R2060" t="s">
        <v>35</v>
      </c>
      <c r="S2060" t="s">
        <v>35</v>
      </c>
      <c r="T2060" t="s">
        <v>35</v>
      </c>
      <c r="U2060" t="s">
        <v>35</v>
      </c>
      <c r="V2060" t="s">
        <v>645</v>
      </c>
      <c r="W2060" t="s">
        <v>113</v>
      </c>
    </row>
    <row r="2061" spans="1:23" hidden="1" x14ac:dyDescent="0.25">
      <c r="A2061" s="7" t="str">
        <f>IFERROR(VLOOKUP(H2061,'Contas Orç'!A:B,2,0),"N/A")</f>
        <v>DEPRECIACOES E AMORTIZACOES</v>
      </c>
      <c r="B2061" s="7" t="str">
        <f t="shared" si="64"/>
        <v>320501 - DEPRECIACOES E AMORTIZACOES</v>
      </c>
      <c r="C2061" s="25">
        <f t="shared" si="65"/>
        <v>44621</v>
      </c>
      <c r="D2061" s="27">
        <f>IF(K2061="CREDITO",Q2061,Q2061*-1)</f>
        <v>12500</v>
      </c>
      <c r="E2061" t="s">
        <v>894</v>
      </c>
      <c r="F2061" t="s">
        <v>2555</v>
      </c>
      <c r="G2061" s="8">
        <v>44621</v>
      </c>
      <c r="H2061" t="s">
        <v>570</v>
      </c>
      <c r="I2061" t="s">
        <v>59</v>
      </c>
      <c r="J2061" t="s">
        <v>28</v>
      </c>
      <c r="K2061" t="s">
        <v>29</v>
      </c>
      <c r="L2061" t="s">
        <v>895</v>
      </c>
      <c r="M2061" t="s">
        <v>4402</v>
      </c>
      <c r="O2061" t="s">
        <v>896</v>
      </c>
      <c r="P2061" t="s">
        <v>33</v>
      </c>
      <c r="Q2061" s="22">
        <v>12500</v>
      </c>
      <c r="R2061" t="s">
        <v>35</v>
      </c>
      <c r="S2061" t="s">
        <v>35</v>
      </c>
      <c r="T2061" t="s">
        <v>35</v>
      </c>
      <c r="U2061" t="s">
        <v>35</v>
      </c>
      <c r="V2061" t="s">
        <v>645</v>
      </c>
      <c r="W2061" t="s">
        <v>113</v>
      </c>
    </row>
    <row r="2062" spans="1:23" hidden="1" x14ac:dyDescent="0.25">
      <c r="A2062" s="7" t="str">
        <f>IFERROR(VLOOKUP(H2062,'Contas Orç'!A:B,2,0),"N/A")</f>
        <v>DEPRECIACOES E AMORTIZACOES</v>
      </c>
      <c r="B2062" s="7" t="str">
        <f t="shared" si="64"/>
        <v>320501 - DEPRECIACOES E AMORTIZACOES</v>
      </c>
      <c r="C2062" s="25">
        <f t="shared" si="65"/>
        <v>44621</v>
      </c>
      <c r="D2062" s="27">
        <f>IF(K2062="CREDITO",Q2062,Q2062*-1)</f>
        <v>689.6</v>
      </c>
      <c r="E2062" t="s">
        <v>894</v>
      </c>
      <c r="F2062" t="s">
        <v>2556</v>
      </c>
      <c r="G2062" s="8">
        <v>44621</v>
      </c>
      <c r="H2062" t="s">
        <v>570</v>
      </c>
      <c r="I2062" t="s">
        <v>106</v>
      </c>
      <c r="J2062" t="s">
        <v>60</v>
      </c>
      <c r="K2062" t="s">
        <v>29</v>
      </c>
      <c r="L2062" t="s">
        <v>895</v>
      </c>
      <c r="M2062" t="s">
        <v>4402</v>
      </c>
      <c r="O2062" t="s">
        <v>896</v>
      </c>
      <c r="P2062" t="s">
        <v>33</v>
      </c>
      <c r="Q2062">
        <v>689.6</v>
      </c>
      <c r="R2062" t="s">
        <v>35</v>
      </c>
      <c r="S2062" t="s">
        <v>35</v>
      </c>
      <c r="T2062" t="s">
        <v>35</v>
      </c>
      <c r="U2062" t="s">
        <v>35</v>
      </c>
      <c r="V2062" t="s">
        <v>645</v>
      </c>
      <c r="W2062" t="s">
        <v>113</v>
      </c>
    </row>
    <row r="2063" spans="1:23" hidden="1" x14ac:dyDescent="0.25">
      <c r="A2063" s="7" t="str">
        <f>IFERROR(VLOOKUP(H2063,'Contas Orç'!A:B,2,0),"N/A")</f>
        <v>DEPRECIACOES E AMORTIZACOES</v>
      </c>
      <c r="B2063" s="7" t="str">
        <f t="shared" si="64"/>
        <v>320501 - DEPRECIACOES E AMORTIZACOES</v>
      </c>
      <c r="C2063" s="25">
        <f t="shared" si="65"/>
        <v>44621</v>
      </c>
      <c r="D2063" s="27">
        <f>IF(K2063="CREDITO",Q2063,Q2063*-1)</f>
        <v>249061.42</v>
      </c>
      <c r="E2063" t="s">
        <v>894</v>
      </c>
      <c r="F2063" t="s">
        <v>2557</v>
      </c>
      <c r="G2063" s="8">
        <v>44621</v>
      </c>
      <c r="H2063" t="s">
        <v>570</v>
      </c>
      <c r="I2063" t="s">
        <v>59</v>
      </c>
      <c r="J2063" t="s">
        <v>60</v>
      </c>
      <c r="K2063" t="s">
        <v>29</v>
      </c>
      <c r="L2063" t="s">
        <v>895</v>
      </c>
      <c r="M2063" t="s">
        <v>4402</v>
      </c>
      <c r="O2063" t="s">
        <v>896</v>
      </c>
      <c r="P2063" t="s">
        <v>33</v>
      </c>
      <c r="Q2063" s="22">
        <v>249061.42</v>
      </c>
      <c r="R2063" t="s">
        <v>35</v>
      </c>
      <c r="S2063" t="s">
        <v>35</v>
      </c>
      <c r="T2063" t="s">
        <v>35</v>
      </c>
      <c r="U2063" t="s">
        <v>35</v>
      </c>
      <c r="V2063" t="s">
        <v>645</v>
      </c>
      <c r="W2063" t="s">
        <v>113</v>
      </c>
    </row>
    <row r="2064" spans="1:23" hidden="1" x14ac:dyDescent="0.25">
      <c r="A2064" s="7" t="str">
        <f>IFERROR(VLOOKUP(H2064,'Contas Orç'!A:B,2,0),"N/A")</f>
        <v>DEPRECIACOES E AMORTIZACOES</v>
      </c>
      <c r="B2064" s="7" t="str">
        <f t="shared" si="64"/>
        <v>320501 - DEPRECIACOES E AMORTIZACOES</v>
      </c>
      <c r="C2064" s="25">
        <f t="shared" si="65"/>
        <v>44621</v>
      </c>
      <c r="D2064" s="27">
        <f>IF(K2064="CREDITO",Q2064,Q2064*-1)</f>
        <v>1891.67</v>
      </c>
      <c r="E2064" t="s">
        <v>894</v>
      </c>
      <c r="F2064" t="s">
        <v>2558</v>
      </c>
      <c r="G2064" s="8">
        <v>44621</v>
      </c>
      <c r="H2064" t="s">
        <v>570</v>
      </c>
      <c r="I2064" t="s">
        <v>59</v>
      </c>
      <c r="J2064" t="s">
        <v>107</v>
      </c>
      <c r="K2064" t="s">
        <v>29</v>
      </c>
      <c r="L2064" t="s">
        <v>895</v>
      </c>
      <c r="M2064" t="s">
        <v>4402</v>
      </c>
      <c r="O2064" t="s">
        <v>896</v>
      </c>
      <c r="P2064" t="s">
        <v>33</v>
      </c>
      <c r="Q2064" s="22">
        <v>1891.67</v>
      </c>
      <c r="R2064" t="s">
        <v>35</v>
      </c>
      <c r="S2064" t="s">
        <v>35</v>
      </c>
      <c r="T2064" t="s">
        <v>35</v>
      </c>
      <c r="U2064" t="s">
        <v>35</v>
      </c>
      <c r="V2064" t="s">
        <v>645</v>
      </c>
      <c r="W2064" t="s">
        <v>113</v>
      </c>
    </row>
    <row r="2065" spans="1:23" hidden="1" x14ac:dyDescent="0.25">
      <c r="A2065" s="7" t="str">
        <f>IFERROR(VLOOKUP(H2065,'Contas Orç'!A:B,2,0),"N/A")</f>
        <v>DEPRECIACOES E AMORTIZACOES</v>
      </c>
      <c r="B2065" s="7" t="str">
        <f t="shared" si="64"/>
        <v>320501 - DEPRECIACOES E AMORTIZACOES</v>
      </c>
      <c r="C2065" s="25">
        <f t="shared" si="65"/>
        <v>44621</v>
      </c>
      <c r="D2065" s="27">
        <f>IF(K2065="CREDITO",Q2065,Q2065*-1)</f>
        <v>14.51</v>
      </c>
      <c r="E2065" t="s">
        <v>894</v>
      </c>
      <c r="F2065" t="s">
        <v>2559</v>
      </c>
      <c r="G2065" s="8">
        <v>44621</v>
      </c>
      <c r="H2065" t="s">
        <v>570</v>
      </c>
      <c r="I2065" t="s">
        <v>125</v>
      </c>
      <c r="J2065" t="s">
        <v>95</v>
      </c>
      <c r="K2065" t="s">
        <v>29</v>
      </c>
      <c r="L2065" t="s">
        <v>895</v>
      </c>
      <c r="M2065" t="s">
        <v>4402</v>
      </c>
      <c r="O2065" t="s">
        <v>896</v>
      </c>
      <c r="P2065" t="s">
        <v>33</v>
      </c>
      <c r="Q2065">
        <v>14.51</v>
      </c>
      <c r="R2065" t="s">
        <v>35</v>
      </c>
      <c r="S2065" t="s">
        <v>35</v>
      </c>
      <c r="T2065" t="s">
        <v>35</v>
      </c>
      <c r="U2065" t="s">
        <v>35</v>
      </c>
      <c r="V2065" t="s">
        <v>645</v>
      </c>
      <c r="W2065" t="s">
        <v>113</v>
      </c>
    </row>
    <row r="2066" spans="1:23" hidden="1" x14ac:dyDescent="0.25">
      <c r="A2066" s="7" t="str">
        <f>IFERROR(VLOOKUP(H2066,'Contas Orç'!A:B,2,0),"N/A")</f>
        <v>DEPRECIACOES E AMORTIZACOES</v>
      </c>
      <c r="B2066" s="7" t="str">
        <f t="shared" si="64"/>
        <v>320501 - DEPRECIACOES E AMORTIZACOES</v>
      </c>
      <c r="C2066" s="25">
        <f t="shared" si="65"/>
        <v>44621</v>
      </c>
      <c r="D2066" s="27">
        <f>IF(K2066="CREDITO",Q2066,Q2066*-1)</f>
        <v>38.869999999999997</v>
      </c>
      <c r="E2066" t="s">
        <v>894</v>
      </c>
      <c r="F2066" t="s">
        <v>2560</v>
      </c>
      <c r="G2066" s="8">
        <v>44621</v>
      </c>
      <c r="H2066" t="s">
        <v>570</v>
      </c>
      <c r="I2066" t="s">
        <v>59</v>
      </c>
      <c r="J2066" t="s">
        <v>661</v>
      </c>
      <c r="K2066" t="s">
        <v>29</v>
      </c>
      <c r="L2066" t="s">
        <v>895</v>
      </c>
      <c r="M2066" t="s">
        <v>4402</v>
      </c>
      <c r="O2066" t="s">
        <v>896</v>
      </c>
      <c r="P2066" t="s">
        <v>33</v>
      </c>
      <c r="Q2066">
        <v>38.869999999999997</v>
      </c>
      <c r="R2066" t="s">
        <v>35</v>
      </c>
      <c r="S2066" t="s">
        <v>35</v>
      </c>
      <c r="T2066" t="s">
        <v>35</v>
      </c>
      <c r="U2066" t="s">
        <v>35</v>
      </c>
      <c r="V2066" t="s">
        <v>645</v>
      </c>
      <c r="W2066" t="s">
        <v>113</v>
      </c>
    </row>
    <row r="2067" spans="1:23" hidden="1" x14ac:dyDescent="0.25">
      <c r="A2067" s="7" t="str">
        <f>IFERROR(VLOOKUP(H2067,'Contas Orç'!A:B,2,0),"N/A")</f>
        <v>DEPRECIACOES E AMORTIZACOES</v>
      </c>
      <c r="B2067" s="7" t="str">
        <f t="shared" si="64"/>
        <v>320501 - DEPRECIACOES E AMORTIZACOES</v>
      </c>
      <c r="C2067" s="25">
        <f t="shared" si="65"/>
        <v>44621</v>
      </c>
      <c r="D2067" s="27">
        <f>IF(K2067="CREDITO",Q2067,Q2067*-1)</f>
        <v>2631.11</v>
      </c>
      <c r="E2067" t="s">
        <v>894</v>
      </c>
      <c r="F2067" t="s">
        <v>2561</v>
      </c>
      <c r="G2067" s="8">
        <v>44621</v>
      </c>
      <c r="H2067" t="s">
        <v>570</v>
      </c>
      <c r="I2067" t="s">
        <v>2062</v>
      </c>
      <c r="J2067" t="s">
        <v>54</v>
      </c>
      <c r="K2067" t="s">
        <v>29</v>
      </c>
      <c r="L2067" t="s">
        <v>895</v>
      </c>
      <c r="M2067" t="s">
        <v>4402</v>
      </c>
      <c r="O2067" t="s">
        <v>896</v>
      </c>
      <c r="P2067" t="s">
        <v>33</v>
      </c>
      <c r="Q2067" s="22">
        <v>2631.11</v>
      </c>
      <c r="R2067" t="s">
        <v>35</v>
      </c>
      <c r="S2067" t="s">
        <v>35</v>
      </c>
      <c r="T2067" t="s">
        <v>35</v>
      </c>
      <c r="U2067" t="s">
        <v>35</v>
      </c>
      <c r="V2067" t="s">
        <v>645</v>
      </c>
      <c r="W2067" t="s">
        <v>113</v>
      </c>
    </row>
    <row r="2068" spans="1:23" hidden="1" x14ac:dyDescent="0.25">
      <c r="A2068" s="7" t="str">
        <f>IFERROR(VLOOKUP(H2068,'Contas Orç'!A:B,2,0),"N/A")</f>
        <v>DEPRECIACOES E AMORTIZACOES</v>
      </c>
      <c r="B2068" s="7" t="str">
        <f t="shared" si="64"/>
        <v>320501 - DEPRECIACOES E AMORTIZACOES</v>
      </c>
      <c r="C2068" s="25">
        <f t="shared" si="65"/>
        <v>44621</v>
      </c>
      <c r="D2068" s="27">
        <f>IF(K2068="CREDITO",Q2068,Q2068*-1)</f>
        <v>123.93</v>
      </c>
      <c r="E2068" t="s">
        <v>894</v>
      </c>
      <c r="F2068" t="s">
        <v>2562</v>
      </c>
      <c r="G2068" s="8">
        <v>44621</v>
      </c>
      <c r="H2068" t="s">
        <v>570</v>
      </c>
      <c r="I2068" t="s">
        <v>121</v>
      </c>
      <c r="J2068" t="s">
        <v>54</v>
      </c>
      <c r="K2068" t="s">
        <v>29</v>
      </c>
      <c r="L2068" t="s">
        <v>895</v>
      </c>
      <c r="M2068" t="s">
        <v>4402</v>
      </c>
      <c r="O2068" t="s">
        <v>896</v>
      </c>
      <c r="P2068" t="s">
        <v>33</v>
      </c>
      <c r="Q2068">
        <v>123.93</v>
      </c>
      <c r="R2068" t="s">
        <v>35</v>
      </c>
      <c r="S2068" t="s">
        <v>35</v>
      </c>
      <c r="T2068" t="s">
        <v>35</v>
      </c>
      <c r="U2068" t="s">
        <v>35</v>
      </c>
      <c r="V2068" t="s">
        <v>645</v>
      </c>
      <c r="W2068" t="s">
        <v>113</v>
      </c>
    </row>
    <row r="2069" spans="1:23" hidden="1" x14ac:dyDescent="0.25">
      <c r="A2069" s="7" t="str">
        <f>IFERROR(VLOOKUP(H2069,'Contas Orç'!A:B,2,0),"N/A")</f>
        <v>DEPRECIACOES E AMORTIZACOES</v>
      </c>
      <c r="B2069" s="7" t="str">
        <f t="shared" si="64"/>
        <v>320501 - DEPRECIACOES E AMORTIZACOES</v>
      </c>
      <c r="C2069" s="25">
        <f t="shared" si="65"/>
        <v>44621</v>
      </c>
      <c r="D2069" s="27">
        <f>IF(K2069="CREDITO",Q2069,Q2069*-1)</f>
        <v>28.68</v>
      </c>
      <c r="E2069" t="s">
        <v>894</v>
      </c>
      <c r="F2069" t="s">
        <v>2563</v>
      </c>
      <c r="G2069" s="8">
        <v>44621</v>
      </c>
      <c r="H2069" t="s">
        <v>570</v>
      </c>
      <c r="I2069" t="s">
        <v>132</v>
      </c>
      <c r="J2069" t="s">
        <v>54</v>
      </c>
      <c r="K2069" t="s">
        <v>29</v>
      </c>
      <c r="L2069" t="s">
        <v>895</v>
      </c>
      <c r="M2069" t="s">
        <v>4402</v>
      </c>
      <c r="O2069" t="s">
        <v>896</v>
      </c>
      <c r="P2069" t="s">
        <v>33</v>
      </c>
      <c r="Q2069">
        <v>28.68</v>
      </c>
      <c r="R2069" t="s">
        <v>35</v>
      </c>
      <c r="S2069" t="s">
        <v>35</v>
      </c>
      <c r="T2069" t="s">
        <v>35</v>
      </c>
      <c r="U2069" t="s">
        <v>35</v>
      </c>
      <c r="V2069" t="s">
        <v>645</v>
      </c>
      <c r="W2069" t="s">
        <v>113</v>
      </c>
    </row>
    <row r="2070" spans="1:23" hidden="1" x14ac:dyDescent="0.25">
      <c r="A2070" s="7" t="str">
        <f>IFERROR(VLOOKUP(H2070,'Contas Orç'!A:B,2,0),"N/A")</f>
        <v>DEPRECIACOES E AMORTIZACOES</v>
      </c>
      <c r="B2070" s="7" t="str">
        <f t="shared" si="64"/>
        <v>320501 - DEPRECIACOES E AMORTIZACOES</v>
      </c>
      <c r="C2070" s="25">
        <f t="shared" si="65"/>
        <v>44621</v>
      </c>
      <c r="D2070" s="27">
        <f>IF(K2070="CREDITO",Q2070,Q2070*-1)</f>
        <v>116.48</v>
      </c>
      <c r="E2070" t="s">
        <v>894</v>
      </c>
      <c r="F2070" t="s">
        <v>2564</v>
      </c>
      <c r="G2070" s="8">
        <v>44621</v>
      </c>
      <c r="H2070" t="s">
        <v>570</v>
      </c>
      <c r="I2070" t="s">
        <v>78</v>
      </c>
      <c r="J2070" t="s">
        <v>54</v>
      </c>
      <c r="K2070" t="s">
        <v>29</v>
      </c>
      <c r="L2070" t="s">
        <v>895</v>
      </c>
      <c r="M2070" t="s">
        <v>4402</v>
      </c>
      <c r="O2070" t="s">
        <v>896</v>
      </c>
      <c r="P2070" t="s">
        <v>33</v>
      </c>
      <c r="Q2070">
        <v>116.48</v>
      </c>
      <c r="R2070" t="s">
        <v>35</v>
      </c>
      <c r="S2070" t="s">
        <v>35</v>
      </c>
      <c r="T2070" t="s">
        <v>35</v>
      </c>
      <c r="U2070" t="s">
        <v>35</v>
      </c>
      <c r="V2070" t="s">
        <v>645</v>
      </c>
      <c r="W2070" t="s">
        <v>113</v>
      </c>
    </row>
    <row r="2071" spans="1:23" hidden="1" x14ac:dyDescent="0.25">
      <c r="A2071" s="7" t="str">
        <f>IFERROR(VLOOKUP(H2071,'Contas Orç'!A:B,2,0),"N/A")</f>
        <v>DEPRECIACOES E AMORTIZACOES</v>
      </c>
      <c r="B2071" s="7" t="str">
        <f t="shared" si="64"/>
        <v>320501 - DEPRECIACOES E AMORTIZACOES</v>
      </c>
      <c r="C2071" s="25">
        <f t="shared" si="65"/>
        <v>44621</v>
      </c>
      <c r="D2071" s="27">
        <f>IF(K2071="CREDITO",Q2071,Q2071*-1)</f>
        <v>244.08</v>
      </c>
      <c r="E2071" t="s">
        <v>894</v>
      </c>
      <c r="F2071" t="s">
        <v>2565</v>
      </c>
      <c r="G2071" s="8">
        <v>44621</v>
      </c>
      <c r="H2071" t="s">
        <v>570</v>
      </c>
      <c r="I2071" t="s">
        <v>81</v>
      </c>
      <c r="J2071" t="s">
        <v>54</v>
      </c>
      <c r="K2071" t="s">
        <v>29</v>
      </c>
      <c r="L2071" t="s">
        <v>895</v>
      </c>
      <c r="M2071" t="s">
        <v>4402</v>
      </c>
      <c r="O2071" t="s">
        <v>896</v>
      </c>
      <c r="P2071" t="s">
        <v>33</v>
      </c>
      <c r="Q2071">
        <v>244.08</v>
      </c>
      <c r="R2071" t="s">
        <v>35</v>
      </c>
      <c r="S2071" t="s">
        <v>35</v>
      </c>
      <c r="T2071" t="s">
        <v>35</v>
      </c>
      <c r="U2071" t="s">
        <v>35</v>
      </c>
      <c r="V2071" t="s">
        <v>645</v>
      </c>
      <c r="W2071" t="s">
        <v>113</v>
      </c>
    </row>
    <row r="2072" spans="1:23" hidden="1" x14ac:dyDescent="0.25">
      <c r="A2072" s="7" t="str">
        <f>IFERROR(VLOOKUP(H2072,'Contas Orç'!A:B,2,0),"N/A")</f>
        <v>DEPRECIACOES E AMORTIZACOES</v>
      </c>
      <c r="B2072" s="7" t="str">
        <f t="shared" si="64"/>
        <v>320501 - DEPRECIACOES E AMORTIZACOES</v>
      </c>
      <c r="C2072" s="25">
        <f t="shared" si="65"/>
        <v>44621</v>
      </c>
      <c r="D2072" s="27">
        <f>IF(K2072="CREDITO",Q2072,Q2072*-1)</f>
        <v>1766.22</v>
      </c>
      <c r="E2072" t="s">
        <v>894</v>
      </c>
      <c r="F2072" t="s">
        <v>2566</v>
      </c>
      <c r="G2072" s="8">
        <v>44621</v>
      </c>
      <c r="H2072" t="s">
        <v>570</v>
      </c>
      <c r="I2072" t="s">
        <v>53</v>
      </c>
      <c r="J2072" t="s">
        <v>54</v>
      </c>
      <c r="K2072" t="s">
        <v>29</v>
      </c>
      <c r="L2072" t="s">
        <v>895</v>
      </c>
      <c r="M2072" t="s">
        <v>4402</v>
      </c>
      <c r="O2072" t="s">
        <v>896</v>
      </c>
      <c r="P2072" t="s">
        <v>33</v>
      </c>
      <c r="Q2072" s="22">
        <v>1766.22</v>
      </c>
      <c r="R2072" t="s">
        <v>35</v>
      </c>
      <c r="S2072" t="s">
        <v>35</v>
      </c>
      <c r="T2072" t="s">
        <v>35</v>
      </c>
      <c r="U2072" t="s">
        <v>35</v>
      </c>
      <c r="V2072" t="s">
        <v>645</v>
      </c>
      <c r="W2072" t="s">
        <v>113</v>
      </c>
    </row>
    <row r="2073" spans="1:23" hidden="1" x14ac:dyDescent="0.25">
      <c r="A2073" s="7" t="str">
        <f>IFERROR(VLOOKUP(H2073,'Contas Orç'!A:B,2,0),"N/A")</f>
        <v>DEPRECIACOES E AMORTIZACOES</v>
      </c>
      <c r="B2073" s="7" t="str">
        <f t="shared" si="64"/>
        <v>320501 - DEPRECIACOES E AMORTIZACOES</v>
      </c>
      <c r="C2073" s="25">
        <f t="shared" si="65"/>
        <v>44621</v>
      </c>
      <c r="D2073" s="27">
        <f>IF(K2073="CREDITO",Q2073,Q2073*-1)</f>
        <v>7.5</v>
      </c>
      <c r="E2073" t="s">
        <v>894</v>
      </c>
      <c r="F2073" t="s">
        <v>2567</v>
      </c>
      <c r="G2073" s="8">
        <v>44621</v>
      </c>
      <c r="H2073" t="s">
        <v>570</v>
      </c>
      <c r="I2073" t="s">
        <v>88</v>
      </c>
      <c r="J2073" t="s">
        <v>54</v>
      </c>
      <c r="K2073" t="s">
        <v>29</v>
      </c>
      <c r="L2073" t="s">
        <v>895</v>
      </c>
      <c r="M2073" t="s">
        <v>4402</v>
      </c>
      <c r="O2073" t="s">
        <v>896</v>
      </c>
      <c r="P2073" t="s">
        <v>33</v>
      </c>
      <c r="Q2073">
        <v>7.5</v>
      </c>
      <c r="R2073" t="s">
        <v>35</v>
      </c>
      <c r="S2073" t="s">
        <v>35</v>
      </c>
      <c r="T2073" t="s">
        <v>35</v>
      </c>
      <c r="U2073" t="s">
        <v>35</v>
      </c>
      <c r="V2073" t="s">
        <v>645</v>
      </c>
      <c r="W2073" t="s">
        <v>113</v>
      </c>
    </row>
    <row r="2074" spans="1:23" hidden="1" x14ac:dyDescent="0.25">
      <c r="A2074" s="7" t="str">
        <f>IFERROR(VLOOKUP(H2074,'Contas Orç'!A:B,2,0),"N/A")</f>
        <v>DEPRECIACOES E AMORTIZACOES</v>
      </c>
      <c r="B2074" s="7" t="str">
        <f t="shared" si="64"/>
        <v>320501 - DEPRECIACOES E AMORTIZACOES</v>
      </c>
      <c r="C2074" s="25">
        <f t="shared" si="65"/>
        <v>44652</v>
      </c>
      <c r="D2074" s="27">
        <f>IF(K2074="CREDITO",Q2074,Q2074*-1)</f>
        <v>54.23</v>
      </c>
      <c r="E2074" t="s">
        <v>894</v>
      </c>
      <c r="F2074" t="s">
        <v>2568</v>
      </c>
      <c r="G2074" s="8">
        <v>44652</v>
      </c>
      <c r="H2074" t="s">
        <v>570</v>
      </c>
      <c r="I2074" t="s">
        <v>88</v>
      </c>
      <c r="J2074" t="s">
        <v>28</v>
      </c>
      <c r="K2074" t="s">
        <v>29</v>
      </c>
      <c r="L2074" t="s">
        <v>895</v>
      </c>
      <c r="M2074" t="s">
        <v>4402</v>
      </c>
      <c r="O2074" t="s">
        <v>896</v>
      </c>
      <c r="P2074" t="s">
        <v>33</v>
      </c>
      <c r="Q2074">
        <v>54.23</v>
      </c>
      <c r="R2074" t="s">
        <v>35</v>
      </c>
      <c r="S2074" t="s">
        <v>35</v>
      </c>
      <c r="T2074" t="s">
        <v>35</v>
      </c>
      <c r="U2074" t="s">
        <v>35</v>
      </c>
      <c r="V2074" t="s">
        <v>645</v>
      </c>
      <c r="W2074" t="s">
        <v>113</v>
      </c>
    </row>
    <row r="2075" spans="1:23" hidden="1" x14ac:dyDescent="0.25">
      <c r="A2075" s="7" t="str">
        <f>IFERROR(VLOOKUP(H2075,'Contas Orç'!A:B,2,0),"N/A")</f>
        <v>DEPRECIACOES E AMORTIZACOES</v>
      </c>
      <c r="B2075" s="7" t="str">
        <f t="shared" si="64"/>
        <v>320501 - DEPRECIACOES E AMORTIZACOES</v>
      </c>
      <c r="C2075" s="25">
        <f t="shared" si="65"/>
        <v>44652</v>
      </c>
      <c r="D2075" s="27">
        <f>IF(K2075="CREDITO",Q2075,Q2075*-1)</f>
        <v>242249.08</v>
      </c>
      <c r="E2075" t="s">
        <v>894</v>
      </c>
      <c r="F2075" t="s">
        <v>2569</v>
      </c>
      <c r="G2075" s="8">
        <v>44652</v>
      </c>
      <c r="H2075" t="s">
        <v>570</v>
      </c>
      <c r="I2075" t="s">
        <v>27</v>
      </c>
      <c r="J2075" t="s">
        <v>28</v>
      </c>
      <c r="K2075" t="s">
        <v>29</v>
      </c>
      <c r="L2075" t="s">
        <v>895</v>
      </c>
      <c r="M2075" t="s">
        <v>4402</v>
      </c>
      <c r="O2075" t="s">
        <v>896</v>
      </c>
      <c r="P2075" t="s">
        <v>33</v>
      </c>
      <c r="Q2075" s="22">
        <v>242249.08</v>
      </c>
      <c r="R2075" t="s">
        <v>35</v>
      </c>
      <c r="S2075" t="s">
        <v>35</v>
      </c>
      <c r="T2075" t="s">
        <v>35</v>
      </c>
      <c r="U2075" t="s">
        <v>35</v>
      </c>
      <c r="V2075" t="s">
        <v>645</v>
      </c>
      <c r="W2075" t="s">
        <v>113</v>
      </c>
    </row>
    <row r="2076" spans="1:23" hidden="1" x14ac:dyDescent="0.25">
      <c r="A2076" s="7" t="str">
        <f>IFERROR(VLOOKUP(H2076,'Contas Orç'!A:B,2,0),"N/A")</f>
        <v>DEPRECIACOES E AMORTIZACOES</v>
      </c>
      <c r="B2076" s="7" t="str">
        <f t="shared" si="64"/>
        <v>320501 - DEPRECIACOES E AMORTIZACOES</v>
      </c>
      <c r="C2076" s="25">
        <f t="shared" si="65"/>
        <v>44652</v>
      </c>
      <c r="D2076" s="27">
        <f>IF(K2076="CREDITO",Q2076,Q2076*-1)</f>
        <v>12500</v>
      </c>
      <c r="E2076" t="s">
        <v>894</v>
      </c>
      <c r="F2076" t="s">
        <v>2570</v>
      </c>
      <c r="G2076" s="8">
        <v>44652</v>
      </c>
      <c r="H2076" t="s">
        <v>570</v>
      </c>
      <c r="I2076" t="s">
        <v>59</v>
      </c>
      <c r="J2076" t="s">
        <v>28</v>
      </c>
      <c r="K2076" t="s">
        <v>29</v>
      </c>
      <c r="L2076" t="s">
        <v>895</v>
      </c>
      <c r="M2076" t="s">
        <v>4402</v>
      </c>
      <c r="O2076" t="s">
        <v>896</v>
      </c>
      <c r="P2076" t="s">
        <v>33</v>
      </c>
      <c r="Q2076" s="22">
        <v>12500</v>
      </c>
      <c r="R2076" t="s">
        <v>35</v>
      </c>
      <c r="S2076" t="s">
        <v>35</v>
      </c>
      <c r="T2076" t="s">
        <v>35</v>
      </c>
      <c r="U2076" t="s">
        <v>35</v>
      </c>
      <c r="V2076" t="s">
        <v>645</v>
      </c>
      <c r="W2076" t="s">
        <v>113</v>
      </c>
    </row>
    <row r="2077" spans="1:23" hidden="1" x14ac:dyDescent="0.25">
      <c r="A2077" s="7" t="str">
        <f>IFERROR(VLOOKUP(H2077,'Contas Orç'!A:B,2,0),"N/A")</f>
        <v>DEPRECIACOES E AMORTIZACOES</v>
      </c>
      <c r="B2077" s="7" t="str">
        <f t="shared" si="64"/>
        <v>320501 - DEPRECIACOES E AMORTIZACOES</v>
      </c>
      <c r="C2077" s="25">
        <f t="shared" si="65"/>
        <v>44652</v>
      </c>
      <c r="D2077" s="27">
        <f>IF(K2077="CREDITO",Q2077,Q2077*-1)</f>
        <v>689.6</v>
      </c>
      <c r="E2077" t="s">
        <v>894</v>
      </c>
      <c r="F2077" t="s">
        <v>2571</v>
      </c>
      <c r="G2077" s="8">
        <v>44652</v>
      </c>
      <c r="H2077" t="s">
        <v>570</v>
      </c>
      <c r="I2077" t="s">
        <v>106</v>
      </c>
      <c r="J2077" t="s">
        <v>60</v>
      </c>
      <c r="K2077" t="s">
        <v>29</v>
      </c>
      <c r="L2077" t="s">
        <v>895</v>
      </c>
      <c r="M2077" t="s">
        <v>4402</v>
      </c>
      <c r="O2077" t="s">
        <v>896</v>
      </c>
      <c r="P2077" t="s">
        <v>33</v>
      </c>
      <c r="Q2077">
        <v>689.6</v>
      </c>
      <c r="R2077" t="s">
        <v>35</v>
      </c>
      <c r="S2077" t="s">
        <v>35</v>
      </c>
      <c r="T2077" t="s">
        <v>35</v>
      </c>
      <c r="U2077" t="s">
        <v>35</v>
      </c>
      <c r="V2077" t="s">
        <v>645</v>
      </c>
      <c r="W2077" t="s">
        <v>113</v>
      </c>
    </row>
    <row r="2078" spans="1:23" hidden="1" x14ac:dyDescent="0.25">
      <c r="A2078" s="7" t="str">
        <f>IFERROR(VLOOKUP(H2078,'Contas Orç'!A:B,2,0),"N/A")</f>
        <v>DEPRECIACOES E AMORTIZACOES</v>
      </c>
      <c r="B2078" s="7" t="str">
        <f t="shared" si="64"/>
        <v>320501 - DEPRECIACOES E AMORTIZACOES</v>
      </c>
      <c r="C2078" s="25">
        <f t="shared" si="65"/>
        <v>44652</v>
      </c>
      <c r="D2078" s="27">
        <f>IF(K2078="CREDITO",Q2078,Q2078*-1)</f>
        <v>249061.42</v>
      </c>
      <c r="E2078" t="s">
        <v>894</v>
      </c>
      <c r="F2078" t="s">
        <v>2572</v>
      </c>
      <c r="G2078" s="8">
        <v>44652</v>
      </c>
      <c r="H2078" t="s">
        <v>570</v>
      </c>
      <c r="I2078" t="s">
        <v>59</v>
      </c>
      <c r="J2078" t="s">
        <v>60</v>
      </c>
      <c r="K2078" t="s">
        <v>29</v>
      </c>
      <c r="L2078" t="s">
        <v>895</v>
      </c>
      <c r="M2078" t="s">
        <v>4402</v>
      </c>
      <c r="O2078" t="s">
        <v>896</v>
      </c>
      <c r="P2078" t="s">
        <v>33</v>
      </c>
      <c r="Q2078" s="22">
        <v>249061.42</v>
      </c>
      <c r="R2078" t="s">
        <v>35</v>
      </c>
      <c r="S2078" t="s">
        <v>35</v>
      </c>
      <c r="T2078" t="s">
        <v>35</v>
      </c>
      <c r="U2078" t="s">
        <v>35</v>
      </c>
      <c r="V2078" t="s">
        <v>645</v>
      </c>
      <c r="W2078" t="s">
        <v>113</v>
      </c>
    </row>
    <row r="2079" spans="1:23" hidden="1" x14ac:dyDescent="0.25">
      <c r="A2079" s="7" t="str">
        <f>IFERROR(VLOOKUP(H2079,'Contas Orç'!A:B,2,0),"N/A")</f>
        <v>DEPRECIACOES E AMORTIZACOES</v>
      </c>
      <c r="B2079" s="7" t="str">
        <f t="shared" si="64"/>
        <v>320501 - DEPRECIACOES E AMORTIZACOES</v>
      </c>
      <c r="C2079" s="25">
        <f t="shared" si="65"/>
        <v>44652</v>
      </c>
      <c r="D2079" s="27">
        <f>IF(K2079="CREDITO",Q2079,Q2079*-1)</f>
        <v>1891.67</v>
      </c>
      <c r="E2079" t="s">
        <v>894</v>
      </c>
      <c r="F2079" t="s">
        <v>2573</v>
      </c>
      <c r="G2079" s="8">
        <v>44652</v>
      </c>
      <c r="H2079" t="s">
        <v>570</v>
      </c>
      <c r="I2079" t="s">
        <v>59</v>
      </c>
      <c r="J2079" t="s">
        <v>107</v>
      </c>
      <c r="K2079" t="s">
        <v>29</v>
      </c>
      <c r="L2079" t="s">
        <v>895</v>
      </c>
      <c r="M2079" t="s">
        <v>4402</v>
      </c>
      <c r="O2079" t="s">
        <v>896</v>
      </c>
      <c r="P2079" t="s">
        <v>33</v>
      </c>
      <c r="Q2079" s="22">
        <v>1891.67</v>
      </c>
      <c r="R2079" t="s">
        <v>35</v>
      </c>
      <c r="S2079" t="s">
        <v>35</v>
      </c>
      <c r="T2079" t="s">
        <v>35</v>
      </c>
      <c r="U2079" t="s">
        <v>35</v>
      </c>
      <c r="V2079" t="s">
        <v>645</v>
      </c>
      <c r="W2079" t="s">
        <v>113</v>
      </c>
    </row>
    <row r="2080" spans="1:23" hidden="1" x14ac:dyDescent="0.25">
      <c r="A2080" s="7" t="str">
        <f>IFERROR(VLOOKUP(H2080,'Contas Orç'!A:B,2,0),"N/A")</f>
        <v>DEPRECIACOES E AMORTIZACOES</v>
      </c>
      <c r="B2080" s="7" t="str">
        <f t="shared" si="64"/>
        <v>320501 - DEPRECIACOES E AMORTIZACOES</v>
      </c>
      <c r="C2080" s="25">
        <f t="shared" si="65"/>
        <v>44652</v>
      </c>
      <c r="D2080" s="27">
        <f>IF(K2080="CREDITO",Q2080,Q2080*-1)</f>
        <v>14.51</v>
      </c>
      <c r="E2080" t="s">
        <v>894</v>
      </c>
      <c r="F2080" t="s">
        <v>2574</v>
      </c>
      <c r="G2080" s="8">
        <v>44652</v>
      </c>
      <c r="H2080" t="s">
        <v>570</v>
      </c>
      <c r="I2080" t="s">
        <v>125</v>
      </c>
      <c r="J2080" t="s">
        <v>95</v>
      </c>
      <c r="K2080" t="s">
        <v>29</v>
      </c>
      <c r="L2080" t="s">
        <v>895</v>
      </c>
      <c r="M2080" t="s">
        <v>4402</v>
      </c>
      <c r="O2080" t="s">
        <v>896</v>
      </c>
      <c r="P2080" t="s">
        <v>33</v>
      </c>
      <c r="Q2080">
        <v>14.51</v>
      </c>
      <c r="R2080" t="s">
        <v>35</v>
      </c>
      <c r="S2080" t="s">
        <v>35</v>
      </c>
      <c r="T2080" t="s">
        <v>35</v>
      </c>
      <c r="U2080" t="s">
        <v>35</v>
      </c>
      <c r="V2080" t="s">
        <v>645</v>
      </c>
      <c r="W2080" t="s">
        <v>113</v>
      </c>
    </row>
    <row r="2081" spans="1:23" hidden="1" x14ac:dyDescent="0.25">
      <c r="A2081" s="7" t="str">
        <f>IFERROR(VLOOKUP(H2081,'Contas Orç'!A:B,2,0),"N/A")</f>
        <v>DEPRECIACOES E AMORTIZACOES</v>
      </c>
      <c r="B2081" s="7" t="str">
        <f t="shared" si="64"/>
        <v>320501 - DEPRECIACOES E AMORTIZACOES</v>
      </c>
      <c r="C2081" s="25">
        <f t="shared" si="65"/>
        <v>44652</v>
      </c>
      <c r="D2081" s="27">
        <f>IF(K2081="CREDITO",Q2081,Q2081*-1)</f>
        <v>38.869999999999997</v>
      </c>
      <c r="E2081" t="s">
        <v>894</v>
      </c>
      <c r="F2081" t="s">
        <v>2575</v>
      </c>
      <c r="G2081" s="8">
        <v>44652</v>
      </c>
      <c r="H2081" t="s">
        <v>570</v>
      </c>
      <c r="I2081" t="s">
        <v>59</v>
      </c>
      <c r="J2081" t="s">
        <v>661</v>
      </c>
      <c r="K2081" t="s">
        <v>29</v>
      </c>
      <c r="L2081" t="s">
        <v>895</v>
      </c>
      <c r="M2081" t="s">
        <v>4402</v>
      </c>
      <c r="O2081" t="s">
        <v>896</v>
      </c>
      <c r="P2081" t="s">
        <v>33</v>
      </c>
      <c r="Q2081">
        <v>38.869999999999997</v>
      </c>
      <c r="R2081" t="s">
        <v>35</v>
      </c>
      <c r="S2081" t="s">
        <v>35</v>
      </c>
      <c r="T2081" t="s">
        <v>35</v>
      </c>
      <c r="U2081" t="s">
        <v>35</v>
      </c>
      <c r="V2081" t="s">
        <v>645</v>
      </c>
      <c r="W2081" t="s">
        <v>113</v>
      </c>
    </row>
    <row r="2082" spans="1:23" hidden="1" x14ac:dyDescent="0.25">
      <c r="A2082" s="7" t="str">
        <f>IFERROR(VLOOKUP(H2082,'Contas Orç'!A:B,2,0),"N/A")</f>
        <v>DEPRECIACOES E AMORTIZACOES</v>
      </c>
      <c r="B2082" s="7" t="str">
        <f t="shared" si="64"/>
        <v>320501 - DEPRECIACOES E AMORTIZACOES</v>
      </c>
      <c r="C2082" s="25">
        <f t="shared" si="65"/>
        <v>44652</v>
      </c>
      <c r="D2082" s="27">
        <f>IF(K2082="CREDITO",Q2082,Q2082*-1)</f>
        <v>2800.3</v>
      </c>
      <c r="E2082" t="s">
        <v>894</v>
      </c>
      <c r="F2082" t="s">
        <v>2576</v>
      </c>
      <c r="G2082" s="8">
        <v>44652</v>
      </c>
      <c r="H2082" t="s">
        <v>570</v>
      </c>
      <c r="I2082" t="s">
        <v>2062</v>
      </c>
      <c r="J2082" t="s">
        <v>54</v>
      </c>
      <c r="K2082" t="s">
        <v>29</v>
      </c>
      <c r="L2082" t="s">
        <v>895</v>
      </c>
      <c r="M2082" t="s">
        <v>4402</v>
      </c>
      <c r="O2082" t="s">
        <v>896</v>
      </c>
      <c r="P2082" t="s">
        <v>33</v>
      </c>
      <c r="Q2082" s="22">
        <v>2800.3</v>
      </c>
      <c r="R2082" t="s">
        <v>35</v>
      </c>
      <c r="S2082" t="s">
        <v>35</v>
      </c>
      <c r="T2082" t="s">
        <v>35</v>
      </c>
      <c r="U2082" t="s">
        <v>35</v>
      </c>
      <c r="V2082" t="s">
        <v>645</v>
      </c>
      <c r="W2082" t="s">
        <v>113</v>
      </c>
    </row>
    <row r="2083" spans="1:23" hidden="1" x14ac:dyDescent="0.25">
      <c r="A2083" s="7" t="str">
        <f>IFERROR(VLOOKUP(H2083,'Contas Orç'!A:B,2,0),"N/A")</f>
        <v>DEPRECIACOES E AMORTIZACOES</v>
      </c>
      <c r="B2083" s="7" t="str">
        <f t="shared" si="64"/>
        <v>320501 - DEPRECIACOES E AMORTIZACOES</v>
      </c>
      <c r="C2083" s="25">
        <f t="shared" si="65"/>
        <v>44652</v>
      </c>
      <c r="D2083" s="27">
        <f>IF(K2083="CREDITO",Q2083,Q2083*-1)</f>
        <v>123.93</v>
      </c>
      <c r="E2083" t="s">
        <v>894</v>
      </c>
      <c r="F2083" t="s">
        <v>2577</v>
      </c>
      <c r="G2083" s="8">
        <v>44652</v>
      </c>
      <c r="H2083" t="s">
        <v>570</v>
      </c>
      <c r="I2083" t="s">
        <v>121</v>
      </c>
      <c r="J2083" t="s">
        <v>54</v>
      </c>
      <c r="K2083" t="s">
        <v>29</v>
      </c>
      <c r="L2083" t="s">
        <v>895</v>
      </c>
      <c r="M2083" t="s">
        <v>4402</v>
      </c>
      <c r="O2083" t="s">
        <v>896</v>
      </c>
      <c r="P2083" t="s">
        <v>33</v>
      </c>
      <c r="Q2083">
        <v>123.93</v>
      </c>
      <c r="R2083" t="s">
        <v>35</v>
      </c>
      <c r="S2083" t="s">
        <v>35</v>
      </c>
      <c r="T2083" t="s">
        <v>35</v>
      </c>
      <c r="U2083" t="s">
        <v>35</v>
      </c>
      <c r="V2083" t="s">
        <v>645</v>
      </c>
      <c r="W2083" t="s">
        <v>113</v>
      </c>
    </row>
    <row r="2084" spans="1:23" hidden="1" x14ac:dyDescent="0.25">
      <c r="A2084" s="7" t="str">
        <f>IFERROR(VLOOKUP(H2084,'Contas Orç'!A:B,2,0),"N/A")</f>
        <v>DEPRECIACOES E AMORTIZACOES</v>
      </c>
      <c r="B2084" s="7" t="str">
        <f t="shared" si="64"/>
        <v>320501 - DEPRECIACOES E AMORTIZACOES</v>
      </c>
      <c r="C2084" s="25">
        <f t="shared" si="65"/>
        <v>44652</v>
      </c>
      <c r="D2084" s="27">
        <f>IF(K2084="CREDITO",Q2084,Q2084*-1)</f>
        <v>28.68</v>
      </c>
      <c r="E2084" t="s">
        <v>894</v>
      </c>
      <c r="F2084" t="s">
        <v>2578</v>
      </c>
      <c r="G2084" s="8">
        <v>44652</v>
      </c>
      <c r="H2084" t="s">
        <v>570</v>
      </c>
      <c r="I2084" t="s">
        <v>132</v>
      </c>
      <c r="J2084" t="s">
        <v>54</v>
      </c>
      <c r="K2084" t="s">
        <v>29</v>
      </c>
      <c r="L2084" t="s">
        <v>895</v>
      </c>
      <c r="M2084" t="s">
        <v>4402</v>
      </c>
      <c r="O2084" t="s">
        <v>896</v>
      </c>
      <c r="P2084" t="s">
        <v>33</v>
      </c>
      <c r="Q2084">
        <v>28.68</v>
      </c>
      <c r="R2084" t="s">
        <v>35</v>
      </c>
      <c r="S2084" t="s">
        <v>35</v>
      </c>
      <c r="T2084" t="s">
        <v>35</v>
      </c>
      <c r="U2084" t="s">
        <v>35</v>
      </c>
      <c r="V2084" t="s">
        <v>645</v>
      </c>
      <c r="W2084" t="s">
        <v>113</v>
      </c>
    </row>
    <row r="2085" spans="1:23" hidden="1" x14ac:dyDescent="0.25">
      <c r="A2085" s="7" t="str">
        <f>IFERROR(VLOOKUP(H2085,'Contas Orç'!A:B,2,0),"N/A")</f>
        <v>DEPRECIACOES E AMORTIZACOES</v>
      </c>
      <c r="B2085" s="7" t="str">
        <f t="shared" si="64"/>
        <v>320501 - DEPRECIACOES E AMORTIZACOES</v>
      </c>
      <c r="C2085" s="25">
        <f t="shared" si="65"/>
        <v>44652</v>
      </c>
      <c r="D2085" s="27">
        <f>IF(K2085="CREDITO",Q2085,Q2085*-1)</f>
        <v>116.48</v>
      </c>
      <c r="E2085" t="s">
        <v>894</v>
      </c>
      <c r="F2085" t="s">
        <v>2579</v>
      </c>
      <c r="G2085" s="8">
        <v>44652</v>
      </c>
      <c r="H2085" t="s">
        <v>570</v>
      </c>
      <c r="I2085" t="s">
        <v>78</v>
      </c>
      <c r="J2085" t="s">
        <v>54</v>
      </c>
      <c r="K2085" t="s">
        <v>29</v>
      </c>
      <c r="L2085" t="s">
        <v>895</v>
      </c>
      <c r="M2085" t="s">
        <v>4402</v>
      </c>
      <c r="O2085" t="s">
        <v>896</v>
      </c>
      <c r="P2085" t="s">
        <v>33</v>
      </c>
      <c r="Q2085">
        <v>116.48</v>
      </c>
      <c r="R2085" t="s">
        <v>35</v>
      </c>
      <c r="S2085" t="s">
        <v>35</v>
      </c>
      <c r="T2085" t="s">
        <v>35</v>
      </c>
      <c r="U2085" t="s">
        <v>35</v>
      </c>
      <c r="V2085" t="s">
        <v>645</v>
      </c>
      <c r="W2085" t="s">
        <v>113</v>
      </c>
    </row>
    <row r="2086" spans="1:23" hidden="1" x14ac:dyDescent="0.25">
      <c r="A2086" s="7" t="str">
        <f>IFERROR(VLOOKUP(H2086,'Contas Orç'!A:B,2,0),"N/A")</f>
        <v>DEPRECIACOES E AMORTIZACOES</v>
      </c>
      <c r="B2086" s="7" t="str">
        <f t="shared" si="64"/>
        <v>320501 - DEPRECIACOES E AMORTIZACOES</v>
      </c>
      <c r="C2086" s="25">
        <f t="shared" si="65"/>
        <v>44652</v>
      </c>
      <c r="D2086" s="27">
        <f>IF(K2086="CREDITO",Q2086,Q2086*-1)</f>
        <v>417.41</v>
      </c>
      <c r="E2086" t="s">
        <v>894</v>
      </c>
      <c r="F2086" t="s">
        <v>2580</v>
      </c>
      <c r="G2086" s="8">
        <v>44652</v>
      </c>
      <c r="H2086" t="s">
        <v>570</v>
      </c>
      <c r="I2086" t="s">
        <v>81</v>
      </c>
      <c r="J2086" t="s">
        <v>54</v>
      </c>
      <c r="K2086" t="s">
        <v>29</v>
      </c>
      <c r="L2086" t="s">
        <v>895</v>
      </c>
      <c r="M2086" t="s">
        <v>4402</v>
      </c>
      <c r="O2086" t="s">
        <v>896</v>
      </c>
      <c r="P2086" t="s">
        <v>33</v>
      </c>
      <c r="Q2086">
        <v>417.41</v>
      </c>
      <c r="R2086" t="s">
        <v>35</v>
      </c>
      <c r="S2086" t="s">
        <v>35</v>
      </c>
      <c r="T2086" t="s">
        <v>35</v>
      </c>
      <c r="U2086" t="s">
        <v>35</v>
      </c>
      <c r="V2086" t="s">
        <v>645</v>
      </c>
      <c r="W2086" t="s">
        <v>113</v>
      </c>
    </row>
    <row r="2087" spans="1:23" hidden="1" x14ac:dyDescent="0.25">
      <c r="A2087" s="7" t="str">
        <f>IFERROR(VLOOKUP(H2087,'Contas Orç'!A:B,2,0),"N/A")</f>
        <v>DEPRECIACOES E AMORTIZACOES</v>
      </c>
      <c r="B2087" s="7" t="str">
        <f t="shared" si="64"/>
        <v>320501 - DEPRECIACOES E AMORTIZACOES</v>
      </c>
      <c r="C2087" s="25">
        <f t="shared" si="65"/>
        <v>44652</v>
      </c>
      <c r="D2087" s="27">
        <f>IF(K2087="CREDITO",Q2087,Q2087*-1)</f>
        <v>1850.82</v>
      </c>
      <c r="E2087" t="s">
        <v>894</v>
      </c>
      <c r="F2087" t="s">
        <v>2581</v>
      </c>
      <c r="G2087" s="8">
        <v>44652</v>
      </c>
      <c r="H2087" t="s">
        <v>570</v>
      </c>
      <c r="I2087" t="s">
        <v>53</v>
      </c>
      <c r="J2087" t="s">
        <v>54</v>
      </c>
      <c r="K2087" t="s">
        <v>29</v>
      </c>
      <c r="L2087" t="s">
        <v>895</v>
      </c>
      <c r="M2087" t="s">
        <v>4402</v>
      </c>
      <c r="O2087" t="s">
        <v>896</v>
      </c>
      <c r="P2087" t="s">
        <v>33</v>
      </c>
      <c r="Q2087" s="22">
        <v>1850.82</v>
      </c>
      <c r="R2087" t="s">
        <v>35</v>
      </c>
      <c r="S2087" t="s">
        <v>35</v>
      </c>
      <c r="T2087" t="s">
        <v>35</v>
      </c>
      <c r="U2087" t="s">
        <v>35</v>
      </c>
      <c r="V2087" t="s">
        <v>645</v>
      </c>
      <c r="W2087" t="s">
        <v>113</v>
      </c>
    </row>
    <row r="2088" spans="1:23" hidden="1" x14ac:dyDescent="0.25">
      <c r="A2088" s="7" t="str">
        <f>IFERROR(VLOOKUP(H2088,'Contas Orç'!A:B,2,0),"N/A")</f>
        <v>DEPRECIACOES E AMORTIZACOES</v>
      </c>
      <c r="B2088" s="7" t="str">
        <f t="shared" si="64"/>
        <v>320501 - DEPRECIACOES E AMORTIZACOES</v>
      </c>
      <c r="C2088" s="25">
        <f t="shared" si="65"/>
        <v>44652</v>
      </c>
      <c r="D2088" s="27">
        <f>IF(K2088="CREDITO",Q2088,Q2088*-1)</f>
        <v>7.5</v>
      </c>
      <c r="E2088" t="s">
        <v>894</v>
      </c>
      <c r="F2088" t="s">
        <v>2582</v>
      </c>
      <c r="G2088" s="8">
        <v>44652</v>
      </c>
      <c r="H2088" t="s">
        <v>570</v>
      </c>
      <c r="I2088" t="s">
        <v>88</v>
      </c>
      <c r="J2088" t="s">
        <v>54</v>
      </c>
      <c r="K2088" t="s">
        <v>29</v>
      </c>
      <c r="L2088" t="s">
        <v>895</v>
      </c>
      <c r="M2088" t="s">
        <v>4402</v>
      </c>
      <c r="O2088" t="s">
        <v>896</v>
      </c>
      <c r="P2088" t="s">
        <v>33</v>
      </c>
      <c r="Q2088">
        <v>7.5</v>
      </c>
      <c r="R2088" t="s">
        <v>35</v>
      </c>
      <c r="S2088" t="s">
        <v>35</v>
      </c>
      <c r="T2088" t="s">
        <v>35</v>
      </c>
      <c r="U2088" t="s">
        <v>35</v>
      </c>
      <c r="V2088" t="s">
        <v>645</v>
      </c>
      <c r="W2088" t="s">
        <v>113</v>
      </c>
    </row>
    <row r="2089" spans="1:23" hidden="1" x14ac:dyDescent="0.25">
      <c r="A2089" s="7" t="str">
        <f>IFERROR(VLOOKUP(H2089,'Contas Orç'!A:B,2,0),"N/A")</f>
        <v>DEPRECIACOES E AMORTIZACOES</v>
      </c>
      <c r="B2089" s="7" t="str">
        <f t="shared" si="64"/>
        <v>320501 - DEPRECIACOES E AMORTIZACOES</v>
      </c>
      <c r="C2089" s="25">
        <f t="shared" si="65"/>
        <v>44682</v>
      </c>
      <c r="D2089" s="27">
        <f>IF(K2089="CREDITO",Q2089,Q2089*-1)</f>
        <v>54.23</v>
      </c>
      <c r="E2089" t="s">
        <v>894</v>
      </c>
      <c r="F2089" t="s">
        <v>2583</v>
      </c>
      <c r="G2089" s="8">
        <v>44682</v>
      </c>
      <c r="H2089" t="s">
        <v>570</v>
      </c>
      <c r="I2089" t="s">
        <v>88</v>
      </c>
      <c r="J2089" t="s">
        <v>28</v>
      </c>
      <c r="K2089" t="s">
        <v>29</v>
      </c>
      <c r="L2089" t="s">
        <v>895</v>
      </c>
      <c r="M2089" t="s">
        <v>4402</v>
      </c>
      <c r="O2089" t="s">
        <v>896</v>
      </c>
      <c r="P2089" t="s">
        <v>33</v>
      </c>
      <c r="Q2089">
        <v>54.23</v>
      </c>
      <c r="R2089" t="s">
        <v>35</v>
      </c>
      <c r="S2089" t="s">
        <v>35</v>
      </c>
      <c r="T2089" t="s">
        <v>35</v>
      </c>
      <c r="U2089" t="s">
        <v>35</v>
      </c>
      <c r="V2089" t="s">
        <v>645</v>
      </c>
      <c r="W2089" t="s">
        <v>113</v>
      </c>
    </row>
    <row r="2090" spans="1:23" hidden="1" x14ac:dyDescent="0.25">
      <c r="A2090" s="7" t="str">
        <f>IFERROR(VLOOKUP(H2090,'Contas Orç'!A:B,2,0),"N/A")</f>
        <v>DEPRECIACOES E AMORTIZACOES</v>
      </c>
      <c r="B2090" s="7" t="str">
        <f t="shared" si="64"/>
        <v>320501 - DEPRECIACOES E AMORTIZACOES</v>
      </c>
      <c r="C2090" s="25">
        <f t="shared" si="65"/>
        <v>44682</v>
      </c>
      <c r="D2090" s="27">
        <f>IF(K2090="CREDITO",Q2090,Q2090*-1)</f>
        <v>242249.08</v>
      </c>
      <c r="E2090" t="s">
        <v>894</v>
      </c>
      <c r="F2090" t="s">
        <v>2584</v>
      </c>
      <c r="G2090" s="8">
        <v>44682</v>
      </c>
      <c r="H2090" t="s">
        <v>570</v>
      </c>
      <c r="I2090" t="s">
        <v>27</v>
      </c>
      <c r="J2090" t="s">
        <v>28</v>
      </c>
      <c r="K2090" t="s">
        <v>29</v>
      </c>
      <c r="L2090" t="s">
        <v>895</v>
      </c>
      <c r="M2090" t="s">
        <v>4402</v>
      </c>
      <c r="O2090" t="s">
        <v>896</v>
      </c>
      <c r="P2090" t="s">
        <v>33</v>
      </c>
      <c r="Q2090" s="22">
        <v>242249.08</v>
      </c>
      <c r="R2090" t="s">
        <v>35</v>
      </c>
      <c r="S2090" t="s">
        <v>35</v>
      </c>
      <c r="T2090" t="s">
        <v>35</v>
      </c>
      <c r="U2090" t="s">
        <v>35</v>
      </c>
      <c r="V2090" t="s">
        <v>645</v>
      </c>
      <c r="W2090" t="s">
        <v>113</v>
      </c>
    </row>
    <row r="2091" spans="1:23" hidden="1" x14ac:dyDescent="0.25">
      <c r="A2091" s="7" t="str">
        <f>IFERROR(VLOOKUP(H2091,'Contas Orç'!A:B,2,0),"N/A")</f>
        <v>DEPRECIACOES E AMORTIZACOES</v>
      </c>
      <c r="B2091" s="7" t="str">
        <f t="shared" si="64"/>
        <v>320501 - DEPRECIACOES E AMORTIZACOES</v>
      </c>
      <c r="C2091" s="25">
        <f t="shared" si="65"/>
        <v>44682</v>
      </c>
      <c r="D2091" s="27">
        <f>IF(K2091="CREDITO",Q2091,Q2091*-1)</f>
        <v>12500</v>
      </c>
      <c r="E2091" t="s">
        <v>894</v>
      </c>
      <c r="F2091" t="s">
        <v>2585</v>
      </c>
      <c r="G2091" s="8">
        <v>44682</v>
      </c>
      <c r="H2091" t="s">
        <v>570</v>
      </c>
      <c r="I2091" t="s">
        <v>59</v>
      </c>
      <c r="J2091" t="s">
        <v>28</v>
      </c>
      <c r="K2091" t="s">
        <v>29</v>
      </c>
      <c r="L2091" t="s">
        <v>895</v>
      </c>
      <c r="M2091" t="s">
        <v>4402</v>
      </c>
      <c r="O2091" t="s">
        <v>896</v>
      </c>
      <c r="P2091" t="s">
        <v>33</v>
      </c>
      <c r="Q2091" s="22">
        <v>12500</v>
      </c>
      <c r="R2091" t="s">
        <v>35</v>
      </c>
      <c r="S2091" t="s">
        <v>35</v>
      </c>
      <c r="T2091" t="s">
        <v>35</v>
      </c>
      <c r="U2091" t="s">
        <v>35</v>
      </c>
      <c r="V2091" t="s">
        <v>645</v>
      </c>
      <c r="W2091" t="s">
        <v>113</v>
      </c>
    </row>
    <row r="2092" spans="1:23" hidden="1" x14ac:dyDescent="0.25">
      <c r="A2092" s="7" t="str">
        <f>IFERROR(VLOOKUP(H2092,'Contas Orç'!A:B,2,0),"N/A")</f>
        <v>DEPRECIACOES E AMORTIZACOES</v>
      </c>
      <c r="B2092" s="7" t="str">
        <f t="shared" si="64"/>
        <v>320501 - DEPRECIACOES E AMORTIZACOES</v>
      </c>
      <c r="C2092" s="25">
        <f t="shared" si="65"/>
        <v>44682</v>
      </c>
      <c r="D2092" s="27">
        <f>IF(K2092="CREDITO",Q2092,Q2092*-1)</f>
        <v>689.6</v>
      </c>
      <c r="E2092" t="s">
        <v>894</v>
      </c>
      <c r="F2092" t="s">
        <v>2586</v>
      </c>
      <c r="G2092" s="8">
        <v>44682</v>
      </c>
      <c r="H2092" t="s">
        <v>570</v>
      </c>
      <c r="I2092" t="s">
        <v>106</v>
      </c>
      <c r="J2092" t="s">
        <v>60</v>
      </c>
      <c r="K2092" t="s">
        <v>29</v>
      </c>
      <c r="L2092" t="s">
        <v>895</v>
      </c>
      <c r="M2092" t="s">
        <v>4402</v>
      </c>
      <c r="O2092" t="s">
        <v>896</v>
      </c>
      <c r="P2092" t="s">
        <v>33</v>
      </c>
      <c r="Q2092">
        <v>689.6</v>
      </c>
      <c r="R2092" t="s">
        <v>35</v>
      </c>
      <c r="S2092" t="s">
        <v>35</v>
      </c>
      <c r="T2092" t="s">
        <v>35</v>
      </c>
      <c r="U2092" t="s">
        <v>35</v>
      </c>
      <c r="V2092" t="s">
        <v>645</v>
      </c>
      <c r="W2092" t="s">
        <v>113</v>
      </c>
    </row>
    <row r="2093" spans="1:23" hidden="1" x14ac:dyDescent="0.25">
      <c r="A2093" s="7" t="str">
        <f>IFERROR(VLOOKUP(H2093,'Contas Orç'!A:B,2,0),"N/A")</f>
        <v>DEPRECIACOES E AMORTIZACOES</v>
      </c>
      <c r="B2093" s="7" t="str">
        <f t="shared" si="64"/>
        <v>320501 - DEPRECIACOES E AMORTIZACOES</v>
      </c>
      <c r="C2093" s="25">
        <f t="shared" si="65"/>
        <v>44682</v>
      </c>
      <c r="D2093" s="27">
        <f>IF(K2093="CREDITO",Q2093,Q2093*-1)</f>
        <v>249061.42</v>
      </c>
      <c r="E2093" t="s">
        <v>894</v>
      </c>
      <c r="F2093" t="s">
        <v>2587</v>
      </c>
      <c r="G2093" s="8">
        <v>44682</v>
      </c>
      <c r="H2093" t="s">
        <v>570</v>
      </c>
      <c r="I2093" t="s">
        <v>59</v>
      </c>
      <c r="J2093" t="s">
        <v>60</v>
      </c>
      <c r="K2093" t="s">
        <v>29</v>
      </c>
      <c r="L2093" t="s">
        <v>895</v>
      </c>
      <c r="M2093" t="s">
        <v>4402</v>
      </c>
      <c r="O2093" t="s">
        <v>896</v>
      </c>
      <c r="P2093" t="s">
        <v>33</v>
      </c>
      <c r="Q2093" s="22">
        <v>249061.42</v>
      </c>
      <c r="R2093" t="s">
        <v>35</v>
      </c>
      <c r="S2093" t="s">
        <v>35</v>
      </c>
      <c r="T2093" t="s">
        <v>35</v>
      </c>
      <c r="U2093" t="s">
        <v>35</v>
      </c>
      <c r="V2093" t="s">
        <v>645</v>
      </c>
      <c r="W2093" t="s">
        <v>113</v>
      </c>
    </row>
    <row r="2094" spans="1:23" hidden="1" x14ac:dyDescent="0.25">
      <c r="A2094" s="7" t="str">
        <f>IFERROR(VLOOKUP(H2094,'Contas Orç'!A:B,2,0),"N/A")</f>
        <v>DEPRECIACOES E AMORTIZACOES</v>
      </c>
      <c r="B2094" s="7" t="str">
        <f t="shared" si="64"/>
        <v>320501 - DEPRECIACOES E AMORTIZACOES</v>
      </c>
      <c r="C2094" s="25">
        <f t="shared" si="65"/>
        <v>44682</v>
      </c>
      <c r="D2094" s="27">
        <f>IF(K2094="CREDITO",Q2094,Q2094*-1)</f>
        <v>1891.67</v>
      </c>
      <c r="E2094" t="s">
        <v>894</v>
      </c>
      <c r="F2094" t="s">
        <v>2588</v>
      </c>
      <c r="G2094" s="8">
        <v>44682</v>
      </c>
      <c r="H2094" t="s">
        <v>570</v>
      </c>
      <c r="I2094" t="s">
        <v>59</v>
      </c>
      <c r="J2094" t="s">
        <v>107</v>
      </c>
      <c r="K2094" t="s">
        <v>29</v>
      </c>
      <c r="L2094" t="s">
        <v>895</v>
      </c>
      <c r="M2094" t="s">
        <v>4402</v>
      </c>
      <c r="O2094" t="s">
        <v>896</v>
      </c>
      <c r="P2094" t="s">
        <v>33</v>
      </c>
      <c r="Q2094" s="22">
        <v>1891.67</v>
      </c>
      <c r="R2094" t="s">
        <v>35</v>
      </c>
      <c r="S2094" t="s">
        <v>35</v>
      </c>
      <c r="T2094" t="s">
        <v>35</v>
      </c>
      <c r="U2094" t="s">
        <v>35</v>
      </c>
      <c r="V2094" t="s">
        <v>645</v>
      </c>
      <c r="W2094" t="s">
        <v>113</v>
      </c>
    </row>
    <row r="2095" spans="1:23" hidden="1" x14ac:dyDescent="0.25">
      <c r="A2095" s="7" t="str">
        <f>IFERROR(VLOOKUP(H2095,'Contas Orç'!A:B,2,0),"N/A")</f>
        <v>DEPRECIACOES E AMORTIZACOES</v>
      </c>
      <c r="B2095" s="7" t="str">
        <f t="shared" si="64"/>
        <v>320501 - DEPRECIACOES E AMORTIZACOES</v>
      </c>
      <c r="C2095" s="25">
        <f t="shared" si="65"/>
        <v>44682</v>
      </c>
      <c r="D2095" s="27">
        <f>IF(K2095="CREDITO",Q2095,Q2095*-1)</f>
        <v>14.51</v>
      </c>
      <c r="E2095" t="s">
        <v>894</v>
      </c>
      <c r="F2095" t="s">
        <v>2589</v>
      </c>
      <c r="G2095" s="8">
        <v>44682</v>
      </c>
      <c r="H2095" t="s">
        <v>570</v>
      </c>
      <c r="I2095" t="s">
        <v>125</v>
      </c>
      <c r="J2095" t="s">
        <v>95</v>
      </c>
      <c r="K2095" t="s">
        <v>29</v>
      </c>
      <c r="L2095" t="s">
        <v>895</v>
      </c>
      <c r="M2095" t="s">
        <v>4402</v>
      </c>
      <c r="O2095" t="s">
        <v>896</v>
      </c>
      <c r="P2095" t="s">
        <v>33</v>
      </c>
      <c r="Q2095">
        <v>14.51</v>
      </c>
      <c r="R2095" t="s">
        <v>35</v>
      </c>
      <c r="S2095" t="s">
        <v>35</v>
      </c>
      <c r="T2095" t="s">
        <v>35</v>
      </c>
      <c r="U2095" t="s">
        <v>35</v>
      </c>
      <c r="V2095" t="s">
        <v>645</v>
      </c>
      <c r="W2095" t="s">
        <v>113</v>
      </c>
    </row>
    <row r="2096" spans="1:23" hidden="1" x14ac:dyDescent="0.25">
      <c r="A2096" s="7" t="str">
        <f>IFERROR(VLOOKUP(H2096,'Contas Orç'!A:B,2,0),"N/A")</f>
        <v>DEPRECIACOES E AMORTIZACOES</v>
      </c>
      <c r="B2096" s="7" t="str">
        <f t="shared" si="64"/>
        <v>320501 - DEPRECIACOES E AMORTIZACOES</v>
      </c>
      <c r="C2096" s="25">
        <f t="shared" si="65"/>
        <v>44682</v>
      </c>
      <c r="D2096" s="27">
        <f>IF(K2096="CREDITO",Q2096,Q2096*-1)</f>
        <v>38.869999999999997</v>
      </c>
      <c r="E2096" t="s">
        <v>894</v>
      </c>
      <c r="F2096" t="s">
        <v>2590</v>
      </c>
      <c r="G2096" s="8">
        <v>44682</v>
      </c>
      <c r="H2096" t="s">
        <v>570</v>
      </c>
      <c r="I2096" t="s">
        <v>59</v>
      </c>
      <c r="J2096" t="s">
        <v>661</v>
      </c>
      <c r="K2096" t="s">
        <v>29</v>
      </c>
      <c r="L2096" t="s">
        <v>895</v>
      </c>
      <c r="M2096" t="s">
        <v>4402</v>
      </c>
      <c r="O2096" t="s">
        <v>896</v>
      </c>
      <c r="P2096" t="s">
        <v>33</v>
      </c>
      <c r="Q2096">
        <v>38.869999999999997</v>
      </c>
      <c r="R2096" t="s">
        <v>35</v>
      </c>
      <c r="S2096" t="s">
        <v>35</v>
      </c>
      <c r="T2096" t="s">
        <v>35</v>
      </c>
      <c r="U2096" t="s">
        <v>35</v>
      </c>
      <c r="V2096" t="s">
        <v>645</v>
      </c>
      <c r="W2096" t="s">
        <v>113</v>
      </c>
    </row>
    <row r="2097" spans="1:23" hidden="1" x14ac:dyDescent="0.25">
      <c r="A2097" s="7" t="str">
        <f>IFERROR(VLOOKUP(H2097,'Contas Orç'!A:B,2,0),"N/A")</f>
        <v>DEPRECIACOES E AMORTIZACOES</v>
      </c>
      <c r="B2097" s="7" t="str">
        <f t="shared" si="64"/>
        <v>320501 - DEPRECIACOES E AMORTIZACOES</v>
      </c>
      <c r="C2097" s="25">
        <f t="shared" si="65"/>
        <v>44682</v>
      </c>
      <c r="D2097" s="27">
        <f>IF(K2097="CREDITO",Q2097,Q2097*-1)</f>
        <v>2800.3</v>
      </c>
      <c r="E2097" t="s">
        <v>894</v>
      </c>
      <c r="F2097" t="s">
        <v>2591</v>
      </c>
      <c r="G2097" s="8">
        <v>44682</v>
      </c>
      <c r="H2097" t="s">
        <v>570</v>
      </c>
      <c r="I2097" t="s">
        <v>2062</v>
      </c>
      <c r="J2097" t="s">
        <v>54</v>
      </c>
      <c r="K2097" t="s">
        <v>29</v>
      </c>
      <c r="L2097" t="s">
        <v>895</v>
      </c>
      <c r="M2097" t="s">
        <v>4402</v>
      </c>
      <c r="O2097" t="s">
        <v>896</v>
      </c>
      <c r="P2097" t="s">
        <v>33</v>
      </c>
      <c r="Q2097" s="22">
        <v>2800.3</v>
      </c>
      <c r="R2097" t="s">
        <v>35</v>
      </c>
      <c r="S2097" t="s">
        <v>35</v>
      </c>
      <c r="T2097" t="s">
        <v>35</v>
      </c>
      <c r="U2097" t="s">
        <v>35</v>
      </c>
      <c r="V2097" t="s">
        <v>645</v>
      </c>
      <c r="W2097" t="s">
        <v>113</v>
      </c>
    </row>
    <row r="2098" spans="1:23" hidden="1" x14ac:dyDescent="0.25">
      <c r="A2098" s="7" t="str">
        <f>IFERROR(VLOOKUP(H2098,'Contas Orç'!A:B,2,0),"N/A")</f>
        <v>DEPRECIACOES E AMORTIZACOES</v>
      </c>
      <c r="B2098" s="7" t="str">
        <f t="shared" si="64"/>
        <v>320501 - DEPRECIACOES E AMORTIZACOES</v>
      </c>
      <c r="C2098" s="25">
        <f t="shared" si="65"/>
        <v>44682</v>
      </c>
      <c r="D2098" s="27">
        <f>IF(K2098="CREDITO",Q2098,Q2098*-1)</f>
        <v>123.93</v>
      </c>
      <c r="E2098" t="s">
        <v>894</v>
      </c>
      <c r="F2098" t="s">
        <v>2592</v>
      </c>
      <c r="G2098" s="8">
        <v>44682</v>
      </c>
      <c r="H2098" t="s">
        <v>570</v>
      </c>
      <c r="I2098" t="s">
        <v>121</v>
      </c>
      <c r="J2098" t="s">
        <v>54</v>
      </c>
      <c r="K2098" t="s">
        <v>29</v>
      </c>
      <c r="L2098" t="s">
        <v>895</v>
      </c>
      <c r="M2098" t="s">
        <v>4402</v>
      </c>
      <c r="O2098" t="s">
        <v>896</v>
      </c>
      <c r="P2098" t="s">
        <v>33</v>
      </c>
      <c r="Q2098">
        <v>123.93</v>
      </c>
      <c r="R2098" t="s">
        <v>35</v>
      </c>
      <c r="S2098" t="s">
        <v>35</v>
      </c>
      <c r="T2098" t="s">
        <v>35</v>
      </c>
      <c r="U2098" t="s">
        <v>35</v>
      </c>
      <c r="V2098" t="s">
        <v>645</v>
      </c>
      <c r="W2098" t="s">
        <v>113</v>
      </c>
    </row>
    <row r="2099" spans="1:23" hidden="1" x14ac:dyDescent="0.25">
      <c r="A2099" s="7" t="str">
        <f>IFERROR(VLOOKUP(H2099,'Contas Orç'!A:B,2,0),"N/A")</f>
        <v>DEPRECIACOES E AMORTIZACOES</v>
      </c>
      <c r="B2099" s="7" t="str">
        <f t="shared" si="64"/>
        <v>320501 - DEPRECIACOES E AMORTIZACOES</v>
      </c>
      <c r="C2099" s="25">
        <f t="shared" si="65"/>
        <v>44682</v>
      </c>
      <c r="D2099" s="27">
        <f>IF(K2099="CREDITO",Q2099,Q2099*-1)</f>
        <v>28.68</v>
      </c>
      <c r="E2099" t="s">
        <v>894</v>
      </c>
      <c r="F2099" t="s">
        <v>2593</v>
      </c>
      <c r="G2099" s="8">
        <v>44682</v>
      </c>
      <c r="H2099" t="s">
        <v>570</v>
      </c>
      <c r="I2099" t="s">
        <v>132</v>
      </c>
      <c r="J2099" t="s">
        <v>54</v>
      </c>
      <c r="K2099" t="s">
        <v>29</v>
      </c>
      <c r="L2099" t="s">
        <v>895</v>
      </c>
      <c r="M2099" t="s">
        <v>4402</v>
      </c>
      <c r="O2099" t="s">
        <v>896</v>
      </c>
      <c r="P2099" t="s">
        <v>33</v>
      </c>
      <c r="Q2099">
        <v>28.68</v>
      </c>
      <c r="R2099" t="s">
        <v>35</v>
      </c>
      <c r="S2099" t="s">
        <v>35</v>
      </c>
      <c r="T2099" t="s">
        <v>35</v>
      </c>
      <c r="U2099" t="s">
        <v>35</v>
      </c>
      <c r="V2099" t="s">
        <v>645</v>
      </c>
      <c r="W2099" t="s">
        <v>113</v>
      </c>
    </row>
    <row r="2100" spans="1:23" hidden="1" x14ac:dyDescent="0.25">
      <c r="A2100" s="7" t="str">
        <f>IFERROR(VLOOKUP(H2100,'Contas Orç'!A:B,2,0),"N/A")</f>
        <v>DEPRECIACOES E AMORTIZACOES</v>
      </c>
      <c r="B2100" s="7" t="str">
        <f t="shared" si="64"/>
        <v>320501 - DEPRECIACOES E AMORTIZACOES</v>
      </c>
      <c r="C2100" s="25">
        <f t="shared" si="65"/>
        <v>44682</v>
      </c>
      <c r="D2100" s="27">
        <f>IF(K2100="CREDITO",Q2100,Q2100*-1)</f>
        <v>4.92</v>
      </c>
      <c r="E2100" t="s">
        <v>894</v>
      </c>
      <c r="F2100" t="s">
        <v>2594</v>
      </c>
      <c r="G2100" s="8">
        <v>44682</v>
      </c>
      <c r="H2100" t="s">
        <v>570</v>
      </c>
      <c r="I2100" t="s">
        <v>75</v>
      </c>
      <c r="J2100" t="s">
        <v>54</v>
      </c>
      <c r="K2100" t="s">
        <v>29</v>
      </c>
      <c r="L2100" t="s">
        <v>895</v>
      </c>
      <c r="M2100" t="s">
        <v>4402</v>
      </c>
      <c r="O2100" t="s">
        <v>896</v>
      </c>
      <c r="P2100" t="s">
        <v>33</v>
      </c>
      <c r="Q2100">
        <v>4.92</v>
      </c>
      <c r="R2100" t="s">
        <v>35</v>
      </c>
      <c r="S2100" t="s">
        <v>35</v>
      </c>
      <c r="T2100" t="s">
        <v>35</v>
      </c>
      <c r="U2100" t="s">
        <v>35</v>
      </c>
      <c r="V2100" t="s">
        <v>645</v>
      </c>
      <c r="W2100" t="s">
        <v>113</v>
      </c>
    </row>
    <row r="2101" spans="1:23" hidden="1" x14ac:dyDescent="0.25">
      <c r="A2101" s="7" t="str">
        <f>IFERROR(VLOOKUP(H2101,'Contas Orç'!A:B,2,0),"N/A")</f>
        <v>DEPRECIACOES E AMORTIZACOES</v>
      </c>
      <c r="B2101" s="7" t="str">
        <f t="shared" si="64"/>
        <v>320501 - DEPRECIACOES E AMORTIZACOES</v>
      </c>
      <c r="C2101" s="25">
        <f t="shared" si="65"/>
        <v>44682</v>
      </c>
      <c r="D2101" s="27">
        <f>IF(K2101="CREDITO",Q2101,Q2101*-1)</f>
        <v>149.29</v>
      </c>
      <c r="E2101" t="s">
        <v>894</v>
      </c>
      <c r="F2101" t="s">
        <v>2595</v>
      </c>
      <c r="G2101" s="8">
        <v>44682</v>
      </c>
      <c r="H2101" t="s">
        <v>570</v>
      </c>
      <c r="I2101" t="s">
        <v>78</v>
      </c>
      <c r="J2101" t="s">
        <v>54</v>
      </c>
      <c r="K2101" t="s">
        <v>29</v>
      </c>
      <c r="L2101" t="s">
        <v>895</v>
      </c>
      <c r="M2101" t="s">
        <v>4402</v>
      </c>
      <c r="O2101" t="s">
        <v>896</v>
      </c>
      <c r="P2101" t="s">
        <v>33</v>
      </c>
      <c r="Q2101">
        <v>149.29</v>
      </c>
      <c r="R2101" t="s">
        <v>35</v>
      </c>
      <c r="S2101" t="s">
        <v>35</v>
      </c>
      <c r="T2101" t="s">
        <v>35</v>
      </c>
      <c r="U2101" t="s">
        <v>35</v>
      </c>
      <c r="V2101" t="s">
        <v>645</v>
      </c>
      <c r="W2101" t="s">
        <v>113</v>
      </c>
    </row>
    <row r="2102" spans="1:23" hidden="1" x14ac:dyDescent="0.25">
      <c r="A2102" s="7" t="str">
        <f>IFERROR(VLOOKUP(H2102,'Contas Orç'!A:B,2,0),"N/A")</f>
        <v>DEPRECIACOES E AMORTIZACOES</v>
      </c>
      <c r="B2102" s="7" t="str">
        <f t="shared" si="64"/>
        <v>320501 - DEPRECIACOES E AMORTIZACOES</v>
      </c>
      <c r="C2102" s="25">
        <f t="shared" si="65"/>
        <v>44682</v>
      </c>
      <c r="D2102" s="27">
        <f>IF(K2102="CREDITO",Q2102,Q2102*-1)</f>
        <v>677.41</v>
      </c>
      <c r="E2102" t="s">
        <v>894</v>
      </c>
      <c r="F2102" t="s">
        <v>2596</v>
      </c>
      <c r="G2102" s="8">
        <v>44682</v>
      </c>
      <c r="H2102" t="s">
        <v>570</v>
      </c>
      <c r="I2102" t="s">
        <v>81</v>
      </c>
      <c r="J2102" t="s">
        <v>54</v>
      </c>
      <c r="K2102" t="s">
        <v>29</v>
      </c>
      <c r="L2102" t="s">
        <v>895</v>
      </c>
      <c r="M2102" t="s">
        <v>4402</v>
      </c>
      <c r="O2102" t="s">
        <v>896</v>
      </c>
      <c r="P2102" t="s">
        <v>33</v>
      </c>
      <c r="Q2102">
        <v>677.41</v>
      </c>
      <c r="R2102" t="s">
        <v>35</v>
      </c>
      <c r="S2102" t="s">
        <v>35</v>
      </c>
      <c r="T2102" t="s">
        <v>35</v>
      </c>
      <c r="U2102" t="s">
        <v>35</v>
      </c>
      <c r="V2102" t="s">
        <v>645</v>
      </c>
      <c r="W2102" t="s">
        <v>113</v>
      </c>
    </row>
    <row r="2103" spans="1:23" hidden="1" x14ac:dyDescent="0.25">
      <c r="A2103" s="7" t="str">
        <f>IFERROR(VLOOKUP(H2103,'Contas Orç'!A:B,2,0),"N/A")</f>
        <v>DEPRECIACOES E AMORTIZACOES</v>
      </c>
      <c r="B2103" s="7" t="str">
        <f t="shared" si="64"/>
        <v>320501 - DEPRECIACOES E AMORTIZACOES</v>
      </c>
      <c r="C2103" s="25">
        <f t="shared" si="65"/>
        <v>44682</v>
      </c>
      <c r="D2103" s="27">
        <f>IF(K2103="CREDITO",Q2103,Q2103*-1)</f>
        <v>6.52</v>
      </c>
      <c r="E2103" t="s">
        <v>894</v>
      </c>
      <c r="F2103" t="s">
        <v>2597</v>
      </c>
      <c r="G2103" s="8">
        <v>44682</v>
      </c>
      <c r="H2103" t="s">
        <v>570</v>
      </c>
      <c r="I2103" t="s">
        <v>136</v>
      </c>
      <c r="J2103" t="s">
        <v>54</v>
      </c>
      <c r="K2103" t="s">
        <v>29</v>
      </c>
      <c r="L2103" t="s">
        <v>895</v>
      </c>
      <c r="M2103" t="s">
        <v>4402</v>
      </c>
      <c r="O2103" t="s">
        <v>896</v>
      </c>
      <c r="P2103" t="s">
        <v>33</v>
      </c>
      <c r="Q2103">
        <v>6.52</v>
      </c>
      <c r="R2103" t="s">
        <v>35</v>
      </c>
      <c r="S2103" t="s">
        <v>35</v>
      </c>
      <c r="T2103" t="s">
        <v>35</v>
      </c>
      <c r="U2103" t="s">
        <v>35</v>
      </c>
      <c r="V2103" t="s">
        <v>645</v>
      </c>
      <c r="W2103" t="s">
        <v>113</v>
      </c>
    </row>
    <row r="2104" spans="1:23" hidden="1" x14ac:dyDescent="0.25">
      <c r="A2104" s="7" t="str">
        <f>IFERROR(VLOOKUP(H2104,'Contas Orç'!A:B,2,0),"N/A")</f>
        <v>DEPRECIACOES E AMORTIZACOES</v>
      </c>
      <c r="B2104" s="7" t="str">
        <f t="shared" si="64"/>
        <v>320501 - DEPRECIACOES E AMORTIZACOES</v>
      </c>
      <c r="C2104" s="25">
        <f t="shared" si="65"/>
        <v>44682</v>
      </c>
      <c r="D2104" s="27">
        <f>IF(K2104="CREDITO",Q2104,Q2104*-1)</f>
        <v>1902.88</v>
      </c>
      <c r="E2104" t="s">
        <v>894</v>
      </c>
      <c r="F2104" t="s">
        <v>2598</v>
      </c>
      <c r="G2104" s="8">
        <v>44682</v>
      </c>
      <c r="H2104" t="s">
        <v>570</v>
      </c>
      <c r="I2104" t="s">
        <v>53</v>
      </c>
      <c r="J2104" t="s">
        <v>54</v>
      </c>
      <c r="K2104" t="s">
        <v>29</v>
      </c>
      <c r="L2104" t="s">
        <v>895</v>
      </c>
      <c r="M2104" t="s">
        <v>4402</v>
      </c>
      <c r="O2104" t="s">
        <v>896</v>
      </c>
      <c r="P2104" t="s">
        <v>33</v>
      </c>
      <c r="Q2104" s="22">
        <v>1902.88</v>
      </c>
      <c r="R2104" t="s">
        <v>35</v>
      </c>
      <c r="S2104" t="s">
        <v>35</v>
      </c>
      <c r="T2104" t="s">
        <v>35</v>
      </c>
      <c r="U2104" t="s">
        <v>35</v>
      </c>
      <c r="V2104" t="s">
        <v>645</v>
      </c>
      <c r="W2104" t="s">
        <v>113</v>
      </c>
    </row>
    <row r="2105" spans="1:23" hidden="1" x14ac:dyDescent="0.25">
      <c r="A2105" s="7" t="str">
        <f>IFERROR(VLOOKUP(H2105,'Contas Orç'!A:B,2,0),"N/A")</f>
        <v>DEPRECIACOES E AMORTIZACOES</v>
      </c>
      <c r="B2105" s="7" t="str">
        <f t="shared" si="64"/>
        <v>320501 - DEPRECIACOES E AMORTIZACOES</v>
      </c>
      <c r="C2105" s="25">
        <f t="shared" si="65"/>
        <v>44682</v>
      </c>
      <c r="D2105" s="27">
        <f>IF(K2105="CREDITO",Q2105,Q2105*-1)</f>
        <v>7.5</v>
      </c>
      <c r="E2105" t="s">
        <v>894</v>
      </c>
      <c r="F2105" t="s">
        <v>2599</v>
      </c>
      <c r="G2105" s="8">
        <v>44682</v>
      </c>
      <c r="H2105" t="s">
        <v>570</v>
      </c>
      <c r="I2105" t="s">
        <v>88</v>
      </c>
      <c r="J2105" t="s">
        <v>54</v>
      </c>
      <c r="K2105" t="s">
        <v>29</v>
      </c>
      <c r="L2105" t="s">
        <v>895</v>
      </c>
      <c r="M2105" t="s">
        <v>4402</v>
      </c>
      <c r="O2105" t="s">
        <v>896</v>
      </c>
      <c r="P2105" t="s">
        <v>33</v>
      </c>
      <c r="Q2105">
        <v>7.5</v>
      </c>
      <c r="R2105" t="s">
        <v>35</v>
      </c>
      <c r="S2105" t="s">
        <v>35</v>
      </c>
      <c r="T2105" t="s">
        <v>35</v>
      </c>
      <c r="U2105" t="s">
        <v>35</v>
      </c>
      <c r="V2105" t="s">
        <v>645</v>
      </c>
      <c r="W2105" t="s">
        <v>113</v>
      </c>
    </row>
    <row r="2106" spans="1:23" hidden="1" x14ac:dyDescent="0.25">
      <c r="A2106" s="7" t="str">
        <f>IFERROR(VLOOKUP(H2106,'Contas Orç'!A:B,2,0),"N/A")</f>
        <v>DEPRECIACOES E AMORTIZACOES</v>
      </c>
      <c r="B2106" s="7" t="str">
        <f t="shared" si="64"/>
        <v>320501 - DEPRECIACOES E AMORTIZACOES</v>
      </c>
      <c r="C2106" s="25">
        <f t="shared" si="65"/>
        <v>44713</v>
      </c>
      <c r="D2106" s="27">
        <f>IF(K2106="CREDITO",Q2106,Q2106*-1)</f>
        <v>54.23</v>
      </c>
      <c r="E2106" t="s">
        <v>894</v>
      </c>
      <c r="F2106" t="s">
        <v>2600</v>
      </c>
      <c r="G2106" s="8">
        <v>44713</v>
      </c>
      <c r="H2106" t="s">
        <v>570</v>
      </c>
      <c r="I2106" t="s">
        <v>88</v>
      </c>
      <c r="J2106" t="s">
        <v>28</v>
      </c>
      <c r="K2106" t="s">
        <v>29</v>
      </c>
      <c r="L2106" t="s">
        <v>895</v>
      </c>
      <c r="M2106" t="s">
        <v>4402</v>
      </c>
      <c r="O2106" t="s">
        <v>896</v>
      </c>
      <c r="P2106" t="s">
        <v>33</v>
      </c>
      <c r="Q2106">
        <v>54.23</v>
      </c>
      <c r="R2106" t="s">
        <v>35</v>
      </c>
      <c r="S2106" t="s">
        <v>35</v>
      </c>
      <c r="T2106" t="s">
        <v>35</v>
      </c>
      <c r="U2106" t="s">
        <v>35</v>
      </c>
      <c r="V2106" t="s">
        <v>645</v>
      </c>
      <c r="W2106" t="s">
        <v>113</v>
      </c>
    </row>
    <row r="2107" spans="1:23" hidden="1" x14ac:dyDescent="0.25">
      <c r="A2107" s="7" t="str">
        <f>IFERROR(VLOOKUP(H2107,'Contas Orç'!A:B,2,0),"N/A")</f>
        <v>DEPRECIACOES E AMORTIZACOES</v>
      </c>
      <c r="B2107" s="7" t="str">
        <f t="shared" si="64"/>
        <v>320501 - DEPRECIACOES E AMORTIZACOES</v>
      </c>
      <c r="C2107" s="25">
        <f t="shared" si="65"/>
        <v>44713</v>
      </c>
      <c r="D2107" s="27">
        <f>IF(K2107="CREDITO",Q2107,Q2107*-1)</f>
        <v>242249.08</v>
      </c>
      <c r="E2107" t="s">
        <v>894</v>
      </c>
      <c r="F2107" t="s">
        <v>2601</v>
      </c>
      <c r="G2107" s="8">
        <v>44713</v>
      </c>
      <c r="H2107" t="s">
        <v>570</v>
      </c>
      <c r="I2107" t="s">
        <v>27</v>
      </c>
      <c r="J2107" t="s">
        <v>28</v>
      </c>
      <c r="K2107" t="s">
        <v>29</v>
      </c>
      <c r="L2107" t="s">
        <v>895</v>
      </c>
      <c r="M2107" t="s">
        <v>4402</v>
      </c>
      <c r="O2107" t="s">
        <v>896</v>
      </c>
      <c r="P2107" t="s">
        <v>33</v>
      </c>
      <c r="Q2107" s="22">
        <v>242249.08</v>
      </c>
      <c r="R2107" t="s">
        <v>35</v>
      </c>
      <c r="S2107" t="s">
        <v>35</v>
      </c>
      <c r="T2107" t="s">
        <v>35</v>
      </c>
      <c r="U2107" t="s">
        <v>35</v>
      </c>
      <c r="V2107" t="s">
        <v>645</v>
      </c>
      <c r="W2107" t="s">
        <v>113</v>
      </c>
    </row>
    <row r="2108" spans="1:23" hidden="1" x14ac:dyDescent="0.25">
      <c r="A2108" s="7" t="str">
        <f>IFERROR(VLOOKUP(H2108,'Contas Orç'!A:B,2,0),"N/A")</f>
        <v>DEPRECIACOES E AMORTIZACOES</v>
      </c>
      <c r="B2108" s="7" t="str">
        <f t="shared" si="64"/>
        <v>320501 - DEPRECIACOES E AMORTIZACOES</v>
      </c>
      <c r="C2108" s="25">
        <f t="shared" si="65"/>
        <v>44713</v>
      </c>
      <c r="D2108" s="27">
        <f>IF(K2108="CREDITO",Q2108,Q2108*-1)</f>
        <v>12500</v>
      </c>
      <c r="E2108" t="s">
        <v>894</v>
      </c>
      <c r="F2108" t="s">
        <v>2602</v>
      </c>
      <c r="G2108" s="8">
        <v>44713</v>
      </c>
      <c r="H2108" t="s">
        <v>570</v>
      </c>
      <c r="I2108" t="s">
        <v>59</v>
      </c>
      <c r="J2108" t="s">
        <v>28</v>
      </c>
      <c r="K2108" t="s">
        <v>29</v>
      </c>
      <c r="L2108" t="s">
        <v>895</v>
      </c>
      <c r="M2108" t="s">
        <v>4402</v>
      </c>
      <c r="O2108" t="s">
        <v>896</v>
      </c>
      <c r="P2108" t="s">
        <v>33</v>
      </c>
      <c r="Q2108" s="22">
        <v>12500</v>
      </c>
      <c r="R2108" t="s">
        <v>35</v>
      </c>
      <c r="S2108" t="s">
        <v>35</v>
      </c>
      <c r="T2108" t="s">
        <v>35</v>
      </c>
      <c r="U2108" t="s">
        <v>35</v>
      </c>
      <c r="V2108" t="s">
        <v>645</v>
      </c>
      <c r="W2108" t="s">
        <v>113</v>
      </c>
    </row>
    <row r="2109" spans="1:23" hidden="1" x14ac:dyDescent="0.25">
      <c r="A2109" s="7" t="str">
        <f>IFERROR(VLOOKUP(H2109,'Contas Orç'!A:B,2,0),"N/A")</f>
        <v>DEPRECIACOES E AMORTIZACOES</v>
      </c>
      <c r="B2109" s="7" t="str">
        <f t="shared" si="64"/>
        <v>320501 - DEPRECIACOES E AMORTIZACOES</v>
      </c>
      <c r="C2109" s="25">
        <f t="shared" si="65"/>
        <v>44713</v>
      </c>
      <c r="D2109" s="27">
        <f>IF(K2109="CREDITO",Q2109,Q2109*-1)</f>
        <v>689.6</v>
      </c>
      <c r="E2109" t="s">
        <v>894</v>
      </c>
      <c r="F2109" t="s">
        <v>2603</v>
      </c>
      <c r="G2109" s="8">
        <v>44713</v>
      </c>
      <c r="H2109" t="s">
        <v>570</v>
      </c>
      <c r="I2109" t="s">
        <v>106</v>
      </c>
      <c r="J2109" t="s">
        <v>60</v>
      </c>
      <c r="K2109" t="s">
        <v>29</v>
      </c>
      <c r="L2109" t="s">
        <v>895</v>
      </c>
      <c r="M2109" t="s">
        <v>4402</v>
      </c>
      <c r="O2109" t="s">
        <v>896</v>
      </c>
      <c r="P2109" t="s">
        <v>33</v>
      </c>
      <c r="Q2109">
        <v>689.6</v>
      </c>
      <c r="R2109" t="s">
        <v>35</v>
      </c>
      <c r="S2109" t="s">
        <v>35</v>
      </c>
      <c r="T2109" t="s">
        <v>35</v>
      </c>
      <c r="U2109" t="s">
        <v>35</v>
      </c>
      <c r="V2109" t="s">
        <v>645</v>
      </c>
      <c r="W2109" t="s">
        <v>113</v>
      </c>
    </row>
    <row r="2110" spans="1:23" hidden="1" x14ac:dyDescent="0.25">
      <c r="A2110" s="7" t="str">
        <f>IFERROR(VLOOKUP(H2110,'Contas Orç'!A:B,2,0),"N/A")</f>
        <v>DEPRECIACOES E AMORTIZACOES</v>
      </c>
      <c r="B2110" s="7" t="str">
        <f t="shared" si="64"/>
        <v>320501 - DEPRECIACOES E AMORTIZACOES</v>
      </c>
      <c r="C2110" s="25">
        <f t="shared" si="65"/>
        <v>44713</v>
      </c>
      <c r="D2110" s="27">
        <f>IF(K2110="CREDITO",Q2110,Q2110*-1)</f>
        <v>251292.59</v>
      </c>
      <c r="E2110" t="s">
        <v>894</v>
      </c>
      <c r="F2110" t="s">
        <v>2604</v>
      </c>
      <c r="G2110" s="8">
        <v>44713</v>
      </c>
      <c r="H2110" t="s">
        <v>570</v>
      </c>
      <c r="I2110" t="s">
        <v>59</v>
      </c>
      <c r="J2110" t="s">
        <v>60</v>
      </c>
      <c r="K2110" t="s">
        <v>29</v>
      </c>
      <c r="L2110" t="s">
        <v>895</v>
      </c>
      <c r="M2110" t="s">
        <v>4402</v>
      </c>
      <c r="O2110" t="s">
        <v>896</v>
      </c>
      <c r="P2110" t="s">
        <v>33</v>
      </c>
      <c r="Q2110" s="22">
        <v>251292.59</v>
      </c>
      <c r="R2110" t="s">
        <v>35</v>
      </c>
      <c r="S2110" t="s">
        <v>35</v>
      </c>
      <c r="T2110" t="s">
        <v>35</v>
      </c>
      <c r="U2110" t="s">
        <v>35</v>
      </c>
      <c r="V2110" t="s">
        <v>645</v>
      </c>
      <c r="W2110" t="s">
        <v>113</v>
      </c>
    </row>
    <row r="2111" spans="1:23" hidden="1" x14ac:dyDescent="0.25">
      <c r="A2111" s="7" t="str">
        <f>IFERROR(VLOOKUP(H2111,'Contas Orç'!A:B,2,0),"N/A")</f>
        <v>DEPRECIACOES E AMORTIZACOES</v>
      </c>
      <c r="B2111" s="7" t="str">
        <f t="shared" si="64"/>
        <v>320501 - DEPRECIACOES E AMORTIZACOES</v>
      </c>
      <c r="C2111" s="25">
        <f t="shared" si="65"/>
        <v>44713</v>
      </c>
      <c r="D2111" s="27">
        <f>IF(K2111="CREDITO",Q2111,Q2111*-1)</f>
        <v>1891.67</v>
      </c>
      <c r="E2111" t="s">
        <v>894</v>
      </c>
      <c r="F2111" t="s">
        <v>2605</v>
      </c>
      <c r="G2111" s="8">
        <v>44713</v>
      </c>
      <c r="H2111" t="s">
        <v>570</v>
      </c>
      <c r="I2111" t="s">
        <v>59</v>
      </c>
      <c r="J2111" t="s">
        <v>107</v>
      </c>
      <c r="K2111" t="s">
        <v>29</v>
      </c>
      <c r="L2111" t="s">
        <v>895</v>
      </c>
      <c r="M2111" t="s">
        <v>4402</v>
      </c>
      <c r="O2111" t="s">
        <v>896</v>
      </c>
      <c r="P2111" t="s">
        <v>33</v>
      </c>
      <c r="Q2111" s="22">
        <v>1891.67</v>
      </c>
      <c r="R2111" t="s">
        <v>35</v>
      </c>
      <c r="S2111" t="s">
        <v>35</v>
      </c>
      <c r="T2111" t="s">
        <v>35</v>
      </c>
      <c r="U2111" t="s">
        <v>35</v>
      </c>
      <c r="V2111" t="s">
        <v>645</v>
      </c>
      <c r="W2111" t="s">
        <v>113</v>
      </c>
    </row>
    <row r="2112" spans="1:23" hidden="1" x14ac:dyDescent="0.25">
      <c r="A2112" s="7" t="str">
        <f>IFERROR(VLOOKUP(H2112,'Contas Orç'!A:B,2,0),"N/A")</f>
        <v>DEPRECIACOES E AMORTIZACOES</v>
      </c>
      <c r="B2112" s="7" t="str">
        <f t="shared" si="64"/>
        <v>320501 - DEPRECIACOES E AMORTIZACOES</v>
      </c>
      <c r="C2112" s="25">
        <f t="shared" si="65"/>
        <v>44713</v>
      </c>
      <c r="D2112" s="27">
        <f>IF(K2112="CREDITO",Q2112,Q2112*-1)</f>
        <v>14.51</v>
      </c>
      <c r="E2112" t="s">
        <v>894</v>
      </c>
      <c r="F2112" t="s">
        <v>2606</v>
      </c>
      <c r="G2112" s="8">
        <v>44713</v>
      </c>
      <c r="H2112" t="s">
        <v>570</v>
      </c>
      <c r="I2112" t="s">
        <v>125</v>
      </c>
      <c r="J2112" t="s">
        <v>95</v>
      </c>
      <c r="K2112" t="s">
        <v>29</v>
      </c>
      <c r="L2112" t="s">
        <v>895</v>
      </c>
      <c r="M2112" t="s">
        <v>4402</v>
      </c>
      <c r="O2112" t="s">
        <v>896</v>
      </c>
      <c r="P2112" t="s">
        <v>33</v>
      </c>
      <c r="Q2112">
        <v>14.51</v>
      </c>
      <c r="R2112" t="s">
        <v>35</v>
      </c>
      <c r="S2112" t="s">
        <v>35</v>
      </c>
      <c r="T2112" t="s">
        <v>35</v>
      </c>
      <c r="U2112" t="s">
        <v>35</v>
      </c>
      <c r="V2112" t="s">
        <v>645</v>
      </c>
      <c r="W2112" t="s">
        <v>113</v>
      </c>
    </row>
    <row r="2113" spans="1:23" hidden="1" x14ac:dyDescent="0.25">
      <c r="A2113" s="7" t="str">
        <f>IFERROR(VLOOKUP(H2113,'Contas Orç'!A:B,2,0),"N/A")</f>
        <v>DEPRECIACOES E AMORTIZACOES</v>
      </c>
      <c r="B2113" s="7" t="str">
        <f t="shared" si="64"/>
        <v>320501 - DEPRECIACOES E AMORTIZACOES</v>
      </c>
      <c r="C2113" s="25">
        <f t="shared" si="65"/>
        <v>44713</v>
      </c>
      <c r="D2113" s="27">
        <f>IF(K2113="CREDITO",Q2113,Q2113*-1)</f>
        <v>38.869999999999997</v>
      </c>
      <c r="E2113" t="s">
        <v>894</v>
      </c>
      <c r="F2113" t="s">
        <v>2607</v>
      </c>
      <c r="G2113" s="8">
        <v>44713</v>
      </c>
      <c r="H2113" t="s">
        <v>570</v>
      </c>
      <c r="I2113" t="s">
        <v>59</v>
      </c>
      <c r="J2113" t="s">
        <v>661</v>
      </c>
      <c r="K2113" t="s">
        <v>29</v>
      </c>
      <c r="L2113" t="s">
        <v>895</v>
      </c>
      <c r="M2113" t="s">
        <v>4402</v>
      </c>
      <c r="O2113" t="s">
        <v>896</v>
      </c>
      <c r="P2113" t="s">
        <v>33</v>
      </c>
      <c r="Q2113">
        <v>38.869999999999997</v>
      </c>
      <c r="R2113" t="s">
        <v>35</v>
      </c>
      <c r="S2113" t="s">
        <v>35</v>
      </c>
      <c r="T2113" t="s">
        <v>35</v>
      </c>
      <c r="U2113" t="s">
        <v>35</v>
      </c>
      <c r="V2113" t="s">
        <v>645</v>
      </c>
      <c r="W2113" t="s">
        <v>113</v>
      </c>
    </row>
    <row r="2114" spans="1:23" hidden="1" x14ac:dyDescent="0.25">
      <c r="A2114" s="7" t="str">
        <f>IFERROR(VLOOKUP(H2114,'Contas Orç'!A:B,2,0),"N/A")</f>
        <v>DEPRECIACOES E AMORTIZACOES</v>
      </c>
      <c r="B2114" s="7" t="str">
        <f t="shared" si="64"/>
        <v>320501 - DEPRECIACOES E AMORTIZACOES</v>
      </c>
      <c r="C2114" s="25">
        <f t="shared" si="65"/>
        <v>44713</v>
      </c>
      <c r="D2114" s="27">
        <f>IF(K2114="CREDITO",Q2114,Q2114*-1)</f>
        <v>2800.3</v>
      </c>
      <c r="E2114" t="s">
        <v>894</v>
      </c>
      <c r="F2114" t="s">
        <v>2608</v>
      </c>
      <c r="G2114" s="8">
        <v>44713</v>
      </c>
      <c r="H2114" t="s">
        <v>570</v>
      </c>
      <c r="I2114" t="s">
        <v>2062</v>
      </c>
      <c r="J2114" t="s">
        <v>54</v>
      </c>
      <c r="K2114" t="s">
        <v>29</v>
      </c>
      <c r="L2114" t="s">
        <v>895</v>
      </c>
      <c r="M2114" t="s">
        <v>4402</v>
      </c>
      <c r="O2114" t="s">
        <v>896</v>
      </c>
      <c r="P2114" t="s">
        <v>33</v>
      </c>
      <c r="Q2114" s="22">
        <v>2800.3</v>
      </c>
      <c r="R2114" t="s">
        <v>35</v>
      </c>
      <c r="S2114" t="s">
        <v>35</v>
      </c>
      <c r="T2114" t="s">
        <v>35</v>
      </c>
      <c r="U2114" t="s">
        <v>35</v>
      </c>
      <c r="V2114" t="s">
        <v>645</v>
      </c>
      <c r="W2114" t="s">
        <v>113</v>
      </c>
    </row>
    <row r="2115" spans="1:23" hidden="1" x14ac:dyDescent="0.25">
      <c r="A2115" s="7" t="str">
        <f>IFERROR(VLOOKUP(H2115,'Contas Orç'!A:B,2,0),"N/A")</f>
        <v>DEPRECIACOES E AMORTIZACOES</v>
      </c>
      <c r="B2115" s="7" t="str">
        <f t="shared" ref="B2115:B2178" si="66">_xlfn.CONCAT(H2115," - ",A2115)</f>
        <v>320501 - DEPRECIACOES E AMORTIZACOES</v>
      </c>
      <c r="C2115" s="25">
        <f t="shared" ref="C2115:C2178" si="67">DATE(YEAR(G2115),MONTH(G2115),1)</f>
        <v>44713</v>
      </c>
      <c r="D2115" s="27">
        <f>IF(K2115="CREDITO",Q2115,Q2115*-1)</f>
        <v>123.93</v>
      </c>
      <c r="E2115" t="s">
        <v>894</v>
      </c>
      <c r="F2115" t="s">
        <v>2609</v>
      </c>
      <c r="G2115" s="8">
        <v>44713</v>
      </c>
      <c r="H2115" t="s">
        <v>570</v>
      </c>
      <c r="I2115" t="s">
        <v>121</v>
      </c>
      <c r="J2115" t="s">
        <v>54</v>
      </c>
      <c r="K2115" t="s">
        <v>29</v>
      </c>
      <c r="L2115" t="s">
        <v>895</v>
      </c>
      <c r="M2115" t="s">
        <v>4402</v>
      </c>
      <c r="O2115" t="s">
        <v>896</v>
      </c>
      <c r="P2115" t="s">
        <v>33</v>
      </c>
      <c r="Q2115">
        <v>123.93</v>
      </c>
      <c r="R2115" t="s">
        <v>35</v>
      </c>
      <c r="S2115" t="s">
        <v>35</v>
      </c>
      <c r="T2115" t="s">
        <v>35</v>
      </c>
      <c r="U2115" t="s">
        <v>35</v>
      </c>
      <c r="V2115" t="s">
        <v>645</v>
      </c>
      <c r="W2115" t="s">
        <v>113</v>
      </c>
    </row>
    <row r="2116" spans="1:23" hidden="1" x14ac:dyDescent="0.25">
      <c r="A2116" s="7" t="str">
        <f>IFERROR(VLOOKUP(H2116,'Contas Orç'!A:B,2,0),"N/A")</f>
        <v>DEPRECIACOES E AMORTIZACOES</v>
      </c>
      <c r="B2116" s="7" t="str">
        <f t="shared" si="66"/>
        <v>320501 - DEPRECIACOES E AMORTIZACOES</v>
      </c>
      <c r="C2116" s="25">
        <f t="shared" si="67"/>
        <v>44713</v>
      </c>
      <c r="D2116" s="27">
        <f>IF(K2116="CREDITO",Q2116,Q2116*-1)</f>
        <v>28.68</v>
      </c>
      <c r="E2116" t="s">
        <v>894</v>
      </c>
      <c r="F2116" t="s">
        <v>2610</v>
      </c>
      <c r="G2116" s="8">
        <v>44713</v>
      </c>
      <c r="H2116" t="s">
        <v>570</v>
      </c>
      <c r="I2116" t="s">
        <v>132</v>
      </c>
      <c r="J2116" t="s">
        <v>54</v>
      </c>
      <c r="K2116" t="s">
        <v>29</v>
      </c>
      <c r="L2116" t="s">
        <v>895</v>
      </c>
      <c r="M2116" t="s">
        <v>4402</v>
      </c>
      <c r="O2116" t="s">
        <v>896</v>
      </c>
      <c r="P2116" t="s">
        <v>33</v>
      </c>
      <c r="Q2116">
        <v>28.68</v>
      </c>
      <c r="R2116" t="s">
        <v>35</v>
      </c>
      <c r="S2116" t="s">
        <v>35</v>
      </c>
      <c r="T2116" t="s">
        <v>35</v>
      </c>
      <c r="U2116" t="s">
        <v>35</v>
      </c>
      <c r="V2116" t="s">
        <v>645</v>
      </c>
      <c r="W2116" t="s">
        <v>113</v>
      </c>
    </row>
    <row r="2117" spans="1:23" hidden="1" x14ac:dyDescent="0.25">
      <c r="A2117" s="7" t="str">
        <f>IFERROR(VLOOKUP(H2117,'Contas Orç'!A:B,2,0),"N/A")</f>
        <v>DEPRECIACOES E AMORTIZACOES</v>
      </c>
      <c r="B2117" s="7" t="str">
        <f t="shared" si="66"/>
        <v>320501 - DEPRECIACOES E AMORTIZACOES</v>
      </c>
      <c r="C2117" s="25">
        <f t="shared" si="67"/>
        <v>44713</v>
      </c>
      <c r="D2117" s="27">
        <f>IF(K2117="CREDITO",Q2117,Q2117*-1)</f>
        <v>25.42</v>
      </c>
      <c r="E2117" t="s">
        <v>894</v>
      </c>
      <c r="F2117" t="s">
        <v>2611</v>
      </c>
      <c r="G2117" s="8">
        <v>44713</v>
      </c>
      <c r="H2117" t="s">
        <v>570</v>
      </c>
      <c r="I2117" t="s">
        <v>75</v>
      </c>
      <c r="J2117" t="s">
        <v>54</v>
      </c>
      <c r="K2117" t="s">
        <v>29</v>
      </c>
      <c r="L2117" t="s">
        <v>895</v>
      </c>
      <c r="M2117" t="s">
        <v>4402</v>
      </c>
      <c r="O2117" t="s">
        <v>896</v>
      </c>
      <c r="P2117" t="s">
        <v>33</v>
      </c>
      <c r="Q2117">
        <v>25.42</v>
      </c>
      <c r="R2117" t="s">
        <v>35</v>
      </c>
      <c r="S2117" t="s">
        <v>35</v>
      </c>
      <c r="T2117" t="s">
        <v>35</v>
      </c>
      <c r="U2117" t="s">
        <v>35</v>
      </c>
      <c r="V2117" t="s">
        <v>645</v>
      </c>
      <c r="W2117" t="s">
        <v>113</v>
      </c>
    </row>
    <row r="2118" spans="1:23" hidden="1" x14ac:dyDescent="0.25">
      <c r="A2118" s="7" t="str">
        <f>IFERROR(VLOOKUP(H2118,'Contas Orç'!A:B,2,0),"N/A")</f>
        <v>DEPRECIACOES E AMORTIZACOES</v>
      </c>
      <c r="B2118" s="7" t="str">
        <f t="shared" si="66"/>
        <v>320501 - DEPRECIACOES E AMORTIZACOES</v>
      </c>
      <c r="C2118" s="25">
        <f t="shared" si="67"/>
        <v>44713</v>
      </c>
      <c r="D2118" s="27">
        <f>IF(K2118="CREDITO",Q2118,Q2118*-1)</f>
        <v>285.98</v>
      </c>
      <c r="E2118" t="s">
        <v>894</v>
      </c>
      <c r="F2118" t="s">
        <v>2612</v>
      </c>
      <c r="G2118" s="8">
        <v>44713</v>
      </c>
      <c r="H2118" t="s">
        <v>570</v>
      </c>
      <c r="I2118" t="s">
        <v>78</v>
      </c>
      <c r="J2118" t="s">
        <v>54</v>
      </c>
      <c r="K2118" t="s">
        <v>29</v>
      </c>
      <c r="L2118" t="s">
        <v>895</v>
      </c>
      <c r="M2118" t="s">
        <v>4402</v>
      </c>
      <c r="O2118" t="s">
        <v>896</v>
      </c>
      <c r="P2118" t="s">
        <v>33</v>
      </c>
      <c r="Q2118">
        <v>285.98</v>
      </c>
      <c r="R2118" t="s">
        <v>35</v>
      </c>
      <c r="S2118" t="s">
        <v>35</v>
      </c>
      <c r="T2118" t="s">
        <v>35</v>
      </c>
      <c r="U2118" t="s">
        <v>35</v>
      </c>
      <c r="V2118" t="s">
        <v>645</v>
      </c>
      <c r="W2118" t="s">
        <v>113</v>
      </c>
    </row>
    <row r="2119" spans="1:23" hidden="1" x14ac:dyDescent="0.25">
      <c r="A2119" s="7" t="str">
        <f>IFERROR(VLOOKUP(H2119,'Contas Orç'!A:B,2,0),"N/A")</f>
        <v>DEPRECIACOES E AMORTIZACOES</v>
      </c>
      <c r="B2119" s="7" t="str">
        <f t="shared" si="66"/>
        <v>320501 - DEPRECIACOES E AMORTIZACOES</v>
      </c>
      <c r="C2119" s="25">
        <f t="shared" si="67"/>
        <v>44713</v>
      </c>
      <c r="D2119" s="27">
        <f>IF(K2119="CREDITO",Q2119,Q2119*-1)</f>
        <v>677.41</v>
      </c>
      <c r="E2119" t="s">
        <v>894</v>
      </c>
      <c r="F2119" t="s">
        <v>2613</v>
      </c>
      <c r="G2119" s="8">
        <v>44713</v>
      </c>
      <c r="H2119" t="s">
        <v>570</v>
      </c>
      <c r="I2119" t="s">
        <v>81</v>
      </c>
      <c r="J2119" t="s">
        <v>54</v>
      </c>
      <c r="K2119" t="s">
        <v>29</v>
      </c>
      <c r="L2119" t="s">
        <v>895</v>
      </c>
      <c r="M2119" t="s">
        <v>4402</v>
      </c>
      <c r="O2119" t="s">
        <v>896</v>
      </c>
      <c r="P2119" t="s">
        <v>33</v>
      </c>
      <c r="Q2119">
        <v>677.41</v>
      </c>
      <c r="R2119" t="s">
        <v>35</v>
      </c>
      <c r="S2119" t="s">
        <v>35</v>
      </c>
      <c r="T2119" t="s">
        <v>35</v>
      </c>
      <c r="U2119" t="s">
        <v>35</v>
      </c>
      <c r="V2119" t="s">
        <v>645</v>
      </c>
      <c r="W2119" t="s">
        <v>113</v>
      </c>
    </row>
    <row r="2120" spans="1:23" hidden="1" x14ac:dyDescent="0.25">
      <c r="A2120" s="7" t="str">
        <f>IFERROR(VLOOKUP(H2120,'Contas Orç'!A:B,2,0),"N/A")</f>
        <v>DEPRECIACOES E AMORTIZACOES</v>
      </c>
      <c r="B2120" s="7" t="str">
        <f t="shared" si="66"/>
        <v>320501 - DEPRECIACOES E AMORTIZACOES</v>
      </c>
      <c r="C2120" s="25">
        <f t="shared" si="67"/>
        <v>44713</v>
      </c>
      <c r="D2120" s="27">
        <f>IF(K2120="CREDITO",Q2120,Q2120*-1)</f>
        <v>33.67</v>
      </c>
      <c r="E2120" t="s">
        <v>894</v>
      </c>
      <c r="F2120" t="s">
        <v>2614</v>
      </c>
      <c r="G2120" s="8">
        <v>44713</v>
      </c>
      <c r="H2120" t="s">
        <v>570</v>
      </c>
      <c r="I2120" t="s">
        <v>136</v>
      </c>
      <c r="J2120" t="s">
        <v>54</v>
      </c>
      <c r="K2120" t="s">
        <v>29</v>
      </c>
      <c r="L2120" t="s">
        <v>895</v>
      </c>
      <c r="M2120" t="s">
        <v>4402</v>
      </c>
      <c r="O2120" t="s">
        <v>896</v>
      </c>
      <c r="P2120" t="s">
        <v>33</v>
      </c>
      <c r="Q2120">
        <v>33.67</v>
      </c>
      <c r="R2120" t="s">
        <v>35</v>
      </c>
      <c r="S2120" t="s">
        <v>35</v>
      </c>
      <c r="T2120" t="s">
        <v>35</v>
      </c>
      <c r="U2120" t="s">
        <v>35</v>
      </c>
      <c r="V2120" t="s">
        <v>645</v>
      </c>
      <c r="W2120" t="s">
        <v>113</v>
      </c>
    </row>
    <row r="2121" spans="1:23" hidden="1" x14ac:dyDescent="0.25">
      <c r="A2121" s="7" t="str">
        <f>IFERROR(VLOOKUP(H2121,'Contas Orç'!A:B,2,0),"N/A")</f>
        <v>DEPRECIACOES E AMORTIZACOES</v>
      </c>
      <c r="B2121" s="7" t="str">
        <f t="shared" si="66"/>
        <v>320501 - DEPRECIACOES E AMORTIZACOES</v>
      </c>
      <c r="C2121" s="25">
        <f t="shared" si="67"/>
        <v>44713</v>
      </c>
      <c r="D2121" s="27">
        <f>IF(K2121="CREDITO",Q2121,Q2121*-1)</f>
        <v>1987.97</v>
      </c>
      <c r="E2121" t="s">
        <v>894</v>
      </c>
      <c r="F2121" t="s">
        <v>2615</v>
      </c>
      <c r="G2121" s="8">
        <v>44713</v>
      </c>
      <c r="H2121" t="s">
        <v>570</v>
      </c>
      <c r="I2121" t="s">
        <v>53</v>
      </c>
      <c r="J2121" t="s">
        <v>54</v>
      </c>
      <c r="K2121" t="s">
        <v>29</v>
      </c>
      <c r="L2121" t="s">
        <v>895</v>
      </c>
      <c r="M2121" t="s">
        <v>4402</v>
      </c>
      <c r="O2121" t="s">
        <v>896</v>
      </c>
      <c r="P2121" t="s">
        <v>33</v>
      </c>
      <c r="Q2121" s="22">
        <v>1987.97</v>
      </c>
      <c r="R2121" t="s">
        <v>35</v>
      </c>
      <c r="S2121" t="s">
        <v>35</v>
      </c>
      <c r="T2121" t="s">
        <v>35</v>
      </c>
      <c r="U2121" t="s">
        <v>35</v>
      </c>
      <c r="V2121" t="s">
        <v>645</v>
      </c>
      <c r="W2121" t="s">
        <v>113</v>
      </c>
    </row>
    <row r="2122" spans="1:23" hidden="1" x14ac:dyDescent="0.25">
      <c r="A2122" s="7" t="str">
        <f>IFERROR(VLOOKUP(H2122,'Contas Orç'!A:B,2,0),"N/A")</f>
        <v>DEPRECIACOES E AMORTIZACOES</v>
      </c>
      <c r="B2122" s="7" t="str">
        <f t="shared" si="66"/>
        <v>320501 - DEPRECIACOES E AMORTIZACOES</v>
      </c>
      <c r="C2122" s="25">
        <f t="shared" si="67"/>
        <v>44713</v>
      </c>
      <c r="D2122" s="27">
        <f>IF(K2122="CREDITO",Q2122,Q2122*-1)</f>
        <v>7.5</v>
      </c>
      <c r="E2122" t="s">
        <v>894</v>
      </c>
      <c r="F2122" t="s">
        <v>2616</v>
      </c>
      <c r="G2122" s="8">
        <v>44713</v>
      </c>
      <c r="H2122" t="s">
        <v>570</v>
      </c>
      <c r="I2122" t="s">
        <v>88</v>
      </c>
      <c r="J2122" t="s">
        <v>54</v>
      </c>
      <c r="K2122" t="s">
        <v>29</v>
      </c>
      <c r="L2122" t="s">
        <v>895</v>
      </c>
      <c r="M2122" t="s">
        <v>4402</v>
      </c>
      <c r="O2122" t="s">
        <v>896</v>
      </c>
      <c r="P2122" t="s">
        <v>33</v>
      </c>
      <c r="Q2122">
        <v>7.5</v>
      </c>
      <c r="R2122" t="s">
        <v>35</v>
      </c>
      <c r="S2122" t="s">
        <v>35</v>
      </c>
      <c r="T2122" t="s">
        <v>35</v>
      </c>
      <c r="U2122" t="s">
        <v>35</v>
      </c>
      <c r="V2122" t="s">
        <v>645</v>
      </c>
      <c r="W2122" t="s">
        <v>113</v>
      </c>
    </row>
    <row r="2123" spans="1:23" hidden="1" x14ac:dyDescent="0.25">
      <c r="A2123" s="7" t="str">
        <f>IFERROR(VLOOKUP(H2123,'Contas Orç'!A:B,2,0),"N/A")</f>
        <v>DEPRECIACOES E AMORTIZACOES</v>
      </c>
      <c r="B2123" s="7" t="str">
        <f t="shared" si="66"/>
        <v>320501 - DEPRECIACOES E AMORTIZACOES</v>
      </c>
      <c r="C2123" s="25">
        <f t="shared" si="67"/>
        <v>44743</v>
      </c>
      <c r="D2123" s="27">
        <f>IF(K2123="CREDITO",Q2123,Q2123*-1)</f>
        <v>54.23</v>
      </c>
      <c r="E2123" t="s">
        <v>894</v>
      </c>
      <c r="F2123" t="s">
        <v>2617</v>
      </c>
      <c r="G2123" s="8">
        <v>44743</v>
      </c>
      <c r="H2123" t="s">
        <v>570</v>
      </c>
      <c r="I2123" t="s">
        <v>88</v>
      </c>
      <c r="J2123" t="s">
        <v>28</v>
      </c>
      <c r="K2123" t="s">
        <v>29</v>
      </c>
      <c r="L2123" t="s">
        <v>895</v>
      </c>
      <c r="M2123" t="s">
        <v>4402</v>
      </c>
      <c r="O2123" t="s">
        <v>896</v>
      </c>
      <c r="P2123" t="s">
        <v>33</v>
      </c>
      <c r="Q2123">
        <v>54.23</v>
      </c>
      <c r="R2123" t="s">
        <v>35</v>
      </c>
      <c r="S2123" t="s">
        <v>35</v>
      </c>
      <c r="T2123" t="s">
        <v>35</v>
      </c>
      <c r="U2123" t="s">
        <v>35</v>
      </c>
      <c r="V2123" t="s">
        <v>645</v>
      </c>
      <c r="W2123" t="s">
        <v>113</v>
      </c>
    </row>
    <row r="2124" spans="1:23" hidden="1" x14ac:dyDescent="0.25">
      <c r="A2124" s="7" t="str">
        <f>IFERROR(VLOOKUP(H2124,'Contas Orç'!A:B,2,0),"N/A")</f>
        <v>DEPRECIACOES E AMORTIZACOES</v>
      </c>
      <c r="B2124" s="7" t="str">
        <f t="shared" si="66"/>
        <v>320501 - DEPRECIACOES E AMORTIZACOES</v>
      </c>
      <c r="C2124" s="25">
        <f t="shared" si="67"/>
        <v>44743</v>
      </c>
      <c r="D2124" s="27">
        <f>IF(K2124="CREDITO",Q2124,Q2124*-1)</f>
        <v>238447.28</v>
      </c>
      <c r="E2124" t="s">
        <v>894</v>
      </c>
      <c r="F2124" t="s">
        <v>2618</v>
      </c>
      <c r="G2124" s="8">
        <v>44743</v>
      </c>
      <c r="H2124" t="s">
        <v>570</v>
      </c>
      <c r="I2124" t="s">
        <v>27</v>
      </c>
      <c r="J2124" t="s">
        <v>28</v>
      </c>
      <c r="K2124" t="s">
        <v>29</v>
      </c>
      <c r="L2124" t="s">
        <v>895</v>
      </c>
      <c r="M2124" t="s">
        <v>4402</v>
      </c>
      <c r="O2124" t="s">
        <v>896</v>
      </c>
      <c r="P2124" t="s">
        <v>33</v>
      </c>
      <c r="Q2124" s="22">
        <v>238447.28</v>
      </c>
      <c r="R2124" t="s">
        <v>35</v>
      </c>
      <c r="S2124" t="s">
        <v>35</v>
      </c>
      <c r="T2124" t="s">
        <v>35</v>
      </c>
      <c r="U2124" t="s">
        <v>35</v>
      </c>
      <c r="V2124" t="s">
        <v>645</v>
      </c>
      <c r="W2124" t="s">
        <v>113</v>
      </c>
    </row>
    <row r="2125" spans="1:23" hidden="1" x14ac:dyDescent="0.25">
      <c r="A2125" s="7" t="str">
        <f>IFERROR(VLOOKUP(H2125,'Contas Orç'!A:B,2,0),"N/A")</f>
        <v>DEPRECIACOES E AMORTIZACOES</v>
      </c>
      <c r="B2125" s="7" t="str">
        <f t="shared" si="66"/>
        <v>320501 - DEPRECIACOES E AMORTIZACOES</v>
      </c>
      <c r="C2125" s="25">
        <f t="shared" si="67"/>
        <v>44743</v>
      </c>
      <c r="D2125" s="27">
        <f>IF(K2125="CREDITO",Q2125,Q2125*-1)</f>
        <v>12500</v>
      </c>
      <c r="E2125" t="s">
        <v>894</v>
      </c>
      <c r="F2125" t="s">
        <v>2619</v>
      </c>
      <c r="G2125" s="8">
        <v>44743</v>
      </c>
      <c r="H2125" t="s">
        <v>570</v>
      </c>
      <c r="I2125" t="s">
        <v>59</v>
      </c>
      <c r="J2125" t="s">
        <v>28</v>
      </c>
      <c r="K2125" t="s">
        <v>29</v>
      </c>
      <c r="L2125" t="s">
        <v>895</v>
      </c>
      <c r="M2125" t="s">
        <v>4402</v>
      </c>
      <c r="O2125" t="s">
        <v>896</v>
      </c>
      <c r="P2125" t="s">
        <v>33</v>
      </c>
      <c r="Q2125" s="22">
        <v>12500</v>
      </c>
      <c r="R2125" t="s">
        <v>35</v>
      </c>
      <c r="S2125" t="s">
        <v>35</v>
      </c>
      <c r="T2125" t="s">
        <v>35</v>
      </c>
      <c r="U2125" t="s">
        <v>35</v>
      </c>
      <c r="V2125" t="s">
        <v>645</v>
      </c>
      <c r="W2125" t="s">
        <v>113</v>
      </c>
    </row>
    <row r="2126" spans="1:23" hidden="1" x14ac:dyDescent="0.25">
      <c r="A2126" s="7" t="str">
        <f>IFERROR(VLOOKUP(H2126,'Contas Orç'!A:B,2,0),"N/A")</f>
        <v>DEPRECIACOES E AMORTIZACOES</v>
      </c>
      <c r="B2126" s="7" t="str">
        <f t="shared" si="66"/>
        <v>320501 - DEPRECIACOES E AMORTIZACOES</v>
      </c>
      <c r="C2126" s="25">
        <f t="shared" si="67"/>
        <v>44743</v>
      </c>
      <c r="D2126" s="27">
        <f>IF(K2126="CREDITO",Q2126,Q2126*-1)</f>
        <v>689.6</v>
      </c>
      <c r="E2126" t="s">
        <v>894</v>
      </c>
      <c r="F2126" t="s">
        <v>2620</v>
      </c>
      <c r="G2126" s="8">
        <v>44743</v>
      </c>
      <c r="H2126" t="s">
        <v>570</v>
      </c>
      <c r="I2126" t="s">
        <v>106</v>
      </c>
      <c r="J2126" t="s">
        <v>60</v>
      </c>
      <c r="K2126" t="s">
        <v>29</v>
      </c>
      <c r="L2126" t="s">
        <v>895</v>
      </c>
      <c r="M2126" t="s">
        <v>4402</v>
      </c>
      <c r="O2126" t="s">
        <v>896</v>
      </c>
      <c r="P2126" t="s">
        <v>33</v>
      </c>
      <c r="Q2126">
        <v>689.6</v>
      </c>
      <c r="R2126" t="s">
        <v>35</v>
      </c>
      <c r="S2126" t="s">
        <v>35</v>
      </c>
      <c r="T2126" t="s">
        <v>35</v>
      </c>
      <c r="U2126" t="s">
        <v>35</v>
      </c>
      <c r="V2126" t="s">
        <v>645</v>
      </c>
      <c r="W2126" t="s">
        <v>113</v>
      </c>
    </row>
    <row r="2127" spans="1:23" hidden="1" x14ac:dyDescent="0.25">
      <c r="A2127" s="7" t="str">
        <f>IFERROR(VLOOKUP(H2127,'Contas Orç'!A:B,2,0),"N/A")</f>
        <v>DEPRECIACOES E AMORTIZACOES</v>
      </c>
      <c r="B2127" s="7" t="str">
        <f t="shared" si="66"/>
        <v>320501 - DEPRECIACOES E AMORTIZACOES</v>
      </c>
      <c r="C2127" s="25">
        <f t="shared" si="67"/>
        <v>44743</v>
      </c>
      <c r="D2127" s="27">
        <f>IF(K2127="CREDITO",Q2127,Q2127*-1)</f>
        <v>253259.22</v>
      </c>
      <c r="E2127" t="s">
        <v>894</v>
      </c>
      <c r="F2127" t="s">
        <v>2621</v>
      </c>
      <c r="G2127" s="8">
        <v>44743</v>
      </c>
      <c r="H2127" t="s">
        <v>570</v>
      </c>
      <c r="I2127" t="s">
        <v>59</v>
      </c>
      <c r="J2127" t="s">
        <v>60</v>
      </c>
      <c r="K2127" t="s">
        <v>29</v>
      </c>
      <c r="L2127" t="s">
        <v>895</v>
      </c>
      <c r="M2127" t="s">
        <v>4402</v>
      </c>
      <c r="O2127" t="s">
        <v>896</v>
      </c>
      <c r="P2127" t="s">
        <v>33</v>
      </c>
      <c r="Q2127" s="22">
        <v>253259.22</v>
      </c>
      <c r="R2127" t="s">
        <v>35</v>
      </c>
      <c r="S2127" t="s">
        <v>35</v>
      </c>
      <c r="T2127" t="s">
        <v>35</v>
      </c>
      <c r="U2127" t="s">
        <v>35</v>
      </c>
      <c r="V2127" t="s">
        <v>645</v>
      </c>
      <c r="W2127" t="s">
        <v>113</v>
      </c>
    </row>
    <row r="2128" spans="1:23" hidden="1" x14ac:dyDescent="0.25">
      <c r="A2128" s="7" t="str">
        <f>IFERROR(VLOOKUP(H2128,'Contas Orç'!A:B,2,0),"N/A")</f>
        <v>DEPRECIACOES E AMORTIZACOES</v>
      </c>
      <c r="B2128" s="7" t="str">
        <f t="shared" si="66"/>
        <v>320501 - DEPRECIACOES E AMORTIZACOES</v>
      </c>
      <c r="C2128" s="25">
        <f t="shared" si="67"/>
        <v>44743</v>
      </c>
      <c r="D2128" s="27">
        <f>IF(K2128="CREDITO",Q2128,Q2128*-1)</f>
        <v>1891.67</v>
      </c>
      <c r="E2128" t="s">
        <v>894</v>
      </c>
      <c r="F2128" t="s">
        <v>2622</v>
      </c>
      <c r="G2128" s="8">
        <v>44743</v>
      </c>
      <c r="H2128" t="s">
        <v>570</v>
      </c>
      <c r="I2128" t="s">
        <v>59</v>
      </c>
      <c r="J2128" t="s">
        <v>107</v>
      </c>
      <c r="K2128" t="s">
        <v>29</v>
      </c>
      <c r="L2128" t="s">
        <v>895</v>
      </c>
      <c r="M2128" t="s">
        <v>4402</v>
      </c>
      <c r="O2128" t="s">
        <v>896</v>
      </c>
      <c r="P2128" t="s">
        <v>33</v>
      </c>
      <c r="Q2128" s="22">
        <v>1891.67</v>
      </c>
      <c r="R2128" t="s">
        <v>35</v>
      </c>
      <c r="S2128" t="s">
        <v>35</v>
      </c>
      <c r="T2128" t="s">
        <v>35</v>
      </c>
      <c r="U2128" t="s">
        <v>35</v>
      </c>
      <c r="V2128" t="s">
        <v>645</v>
      </c>
      <c r="W2128" t="s">
        <v>113</v>
      </c>
    </row>
    <row r="2129" spans="1:23" hidden="1" x14ac:dyDescent="0.25">
      <c r="A2129" s="7" t="str">
        <f>IFERROR(VLOOKUP(H2129,'Contas Orç'!A:B,2,0),"N/A")</f>
        <v>DEPRECIACOES E AMORTIZACOES</v>
      </c>
      <c r="B2129" s="7" t="str">
        <f t="shared" si="66"/>
        <v>320501 - DEPRECIACOES E AMORTIZACOES</v>
      </c>
      <c r="C2129" s="25">
        <f t="shared" si="67"/>
        <v>44743</v>
      </c>
      <c r="D2129" s="27">
        <f>IF(K2129="CREDITO",Q2129,Q2129*-1)</f>
        <v>14.51</v>
      </c>
      <c r="E2129" t="s">
        <v>894</v>
      </c>
      <c r="F2129" t="s">
        <v>2623</v>
      </c>
      <c r="G2129" s="8">
        <v>44743</v>
      </c>
      <c r="H2129" t="s">
        <v>570</v>
      </c>
      <c r="I2129" t="s">
        <v>125</v>
      </c>
      <c r="J2129" t="s">
        <v>95</v>
      </c>
      <c r="K2129" t="s">
        <v>29</v>
      </c>
      <c r="L2129" t="s">
        <v>895</v>
      </c>
      <c r="M2129" t="s">
        <v>4402</v>
      </c>
      <c r="O2129" t="s">
        <v>896</v>
      </c>
      <c r="P2129" t="s">
        <v>33</v>
      </c>
      <c r="Q2129">
        <v>14.51</v>
      </c>
      <c r="R2129" t="s">
        <v>35</v>
      </c>
      <c r="S2129" t="s">
        <v>35</v>
      </c>
      <c r="T2129" t="s">
        <v>35</v>
      </c>
      <c r="U2129" t="s">
        <v>35</v>
      </c>
      <c r="V2129" t="s">
        <v>645</v>
      </c>
      <c r="W2129" t="s">
        <v>113</v>
      </c>
    </row>
    <row r="2130" spans="1:23" hidden="1" x14ac:dyDescent="0.25">
      <c r="A2130" s="7" t="str">
        <f>IFERROR(VLOOKUP(H2130,'Contas Orç'!A:B,2,0),"N/A")</f>
        <v>DEPRECIACOES E AMORTIZACOES</v>
      </c>
      <c r="B2130" s="7" t="str">
        <f t="shared" si="66"/>
        <v>320501 - DEPRECIACOES E AMORTIZACOES</v>
      </c>
      <c r="C2130" s="25">
        <f t="shared" si="67"/>
        <v>44743</v>
      </c>
      <c r="D2130" s="27">
        <f>IF(K2130="CREDITO",Q2130,Q2130*-1)</f>
        <v>38.869999999999997</v>
      </c>
      <c r="E2130" t="s">
        <v>894</v>
      </c>
      <c r="F2130" t="s">
        <v>2624</v>
      </c>
      <c r="G2130" s="8">
        <v>44743</v>
      </c>
      <c r="H2130" t="s">
        <v>570</v>
      </c>
      <c r="I2130" t="s">
        <v>59</v>
      </c>
      <c r="J2130" t="s">
        <v>661</v>
      </c>
      <c r="K2130" t="s">
        <v>29</v>
      </c>
      <c r="L2130" t="s">
        <v>895</v>
      </c>
      <c r="M2130" t="s">
        <v>4402</v>
      </c>
      <c r="O2130" t="s">
        <v>896</v>
      </c>
      <c r="P2130" t="s">
        <v>33</v>
      </c>
      <c r="Q2130">
        <v>38.869999999999997</v>
      </c>
      <c r="R2130" t="s">
        <v>35</v>
      </c>
      <c r="S2130" t="s">
        <v>35</v>
      </c>
      <c r="T2130" t="s">
        <v>35</v>
      </c>
      <c r="U2130" t="s">
        <v>35</v>
      </c>
      <c r="V2130" t="s">
        <v>645</v>
      </c>
      <c r="W2130" t="s">
        <v>113</v>
      </c>
    </row>
    <row r="2131" spans="1:23" hidden="1" x14ac:dyDescent="0.25">
      <c r="A2131" s="7" t="str">
        <f>IFERROR(VLOOKUP(H2131,'Contas Orç'!A:B,2,0),"N/A")</f>
        <v>DEPRECIACOES E AMORTIZACOES</v>
      </c>
      <c r="B2131" s="7" t="str">
        <f t="shared" si="66"/>
        <v>320501 - DEPRECIACOES E AMORTIZACOES</v>
      </c>
      <c r="C2131" s="25">
        <f t="shared" si="67"/>
        <v>44743</v>
      </c>
      <c r="D2131" s="27">
        <f>IF(K2131="CREDITO",Q2131,Q2131*-1)</f>
        <v>2800.3</v>
      </c>
      <c r="E2131" t="s">
        <v>894</v>
      </c>
      <c r="F2131" t="s">
        <v>2625</v>
      </c>
      <c r="G2131" s="8">
        <v>44743</v>
      </c>
      <c r="H2131" t="s">
        <v>570</v>
      </c>
      <c r="I2131" t="s">
        <v>2062</v>
      </c>
      <c r="J2131" t="s">
        <v>54</v>
      </c>
      <c r="K2131" t="s">
        <v>29</v>
      </c>
      <c r="L2131" t="s">
        <v>895</v>
      </c>
      <c r="M2131" t="s">
        <v>4402</v>
      </c>
      <c r="O2131" t="s">
        <v>896</v>
      </c>
      <c r="P2131" t="s">
        <v>33</v>
      </c>
      <c r="Q2131" s="22">
        <v>2800.3</v>
      </c>
      <c r="R2131" t="s">
        <v>35</v>
      </c>
      <c r="S2131" t="s">
        <v>35</v>
      </c>
      <c r="T2131" t="s">
        <v>35</v>
      </c>
      <c r="U2131" t="s">
        <v>35</v>
      </c>
      <c r="V2131" t="s">
        <v>645</v>
      </c>
      <c r="W2131" t="s">
        <v>113</v>
      </c>
    </row>
    <row r="2132" spans="1:23" hidden="1" x14ac:dyDescent="0.25">
      <c r="A2132" s="7" t="str">
        <f>IFERROR(VLOOKUP(H2132,'Contas Orç'!A:B,2,0),"N/A")</f>
        <v>DEPRECIACOES E AMORTIZACOES</v>
      </c>
      <c r="B2132" s="7" t="str">
        <f t="shared" si="66"/>
        <v>320501 - DEPRECIACOES E AMORTIZACOES</v>
      </c>
      <c r="C2132" s="25">
        <f t="shared" si="67"/>
        <v>44743</v>
      </c>
      <c r="D2132" s="27">
        <f>IF(K2132="CREDITO",Q2132,Q2132*-1)</f>
        <v>47590.61</v>
      </c>
      <c r="E2132" t="s">
        <v>894</v>
      </c>
      <c r="F2132" t="s">
        <v>2626</v>
      </c>
      <c r="G2132" s="8">
        <v>44743</v>
      </c>
      <c r="H2132" t="s">
        <v>570</v>
      </c>
      <c r="I2132" t="s">
        <v>40</v>
      </c>
      <c r="J2132" t="s">
        <v>54</v>
      </c>
      <c r="K2132" t="s">
        <v>29</v>
      </c>
      <c r="L2132" t="s">
        <v>895</v>
      </c>
      <c r="M2132" t="s">
        <v>4402</v>
      </c>
      <c r="O2132" t="s">
        <v>896</v>
      </c>
      <c r="P2132" t="s">
        <v>33</v>
      </c>
      <c r="Q2132" s="22">
        <v>47590.61</v>
      </c>
      <c r="R2132" t="s">
        <v>35</v>
      </c>
      <c r="S2132" t="s">
        <v>35</v>
      </c>
      <c r="T2132" t="s">
        <v>35</v>
      </c>
      <c r="U2132" t="s">
        <v>35</v>
      </c>
      <c r="V2132" t="s">
        <v>645</v>
      </c>
      <c r="W2132" t="s">
        <v>113</v>
      </c>
    </row>
    <row r="2133" spans="1:23" hidden="1" x14ac:dyDescent="0.25">
      <c r="A2133" s="7" t="str">
        <f>IFERROR(VLOOKUP(H2133,'Contas Orç'!A:B,2,0),"N/A")</f>
        <v>DEPRECIACOES E AMORTIZACOES</v>
      </c>
      <c r="B2133" s="7" t="str">
        <f t="shared" si="66"/>
        <v>320501 - DEPRECIACOES E AMORTIZACOES</v>
      </c>
      <c r="C2133" s="25">
        <f t="shared" si="67"/>
        <v>44743</v>
      </c>
      <c r="D2133" s="27">
        <f>IF(K2133="CREDITO",Q2133,Q2133*-1)</f>
        <v>123.93</v>
      </c>
      <c r="E2133" t="s">
        <v>894</v>
      </c>
      <c r="F2133" t="s">
        <v>2627</v>
      </c>
      <c r="G2133" s="8">
        <v>44743</v>
      </c>
      <c r="H2133" t="s">
        <v>570</v>
      </c>
      <c r="I2133" t="s">
        <v>121</v>
      </c>
      <c r="J2133" t="s">
        <v>54</v>
      </c>
      <c r="K2133" t="s">
        <v>29</v>
      </c>
      <c r="L2133" t="s">
        <v>895</v>
      </c>
      <c r="M2133" t="s">
        <v>4402</v>
      </c>
      <c r="O2133" t="s">
        <v>896</v>
      </c>
      <c r="P2133" t="s">
        <v>33</v>
      </c>
      <c r="Q2133">
        <v>123.93</v>
      </c>
      <c r="R2133" t="s">
        <v>35</v>
      </c>
      <c r="S2133" t="s">
        <v>35</v>
      </c>
      <c r="T2133" t="s">
        <v>35</v>
      </c>
      <c r="U2133" t="s">
        <v>35</v>
      </c>
      <c r="V2133" t="s">
        <v>645</v>
      </c>
      <c r="W2133" t="s">
        <v>113</v>
      </c>
    </row>
    <row r="2134" spans="1:23" hidden="1" x14ac:dyDescent="0.25">
      <c r="A2134" s="7" t="str">
        <f>IFERROR(VLOOKUP(H2134,'Contas Orç'!A:B,2,0),"N/A")</f>
        <v>DEPRECIACOES E AMORTIZACOES</v>
      </c>
      <c r="B2134" s="7" t="str">
        <f t="shared" si="66"/>
        <v>320501 - DEPRECIACOES E AMORTIZACOES</v>
      </c>
      <c r="C2134" s="25">
        <f t="shared" si="67"/>
        <v>44743</v>
      </c>
      <c r="D2134" s="27">
        <f>IF(K2134="CREDITO",Q2134,Q2134*-1)</f>
        <v>28.68</v>
      </c>
      <c r="E2134" t="s">
        <v>894</v>
      </c>
      <c r="F2134" t="s">
        <v>2628</v>
      </c>
      <c r="G2134" s="8">
        <v>44743</v>
      </c>
      <c r="H2134" t="s">
        <v>570</v>
      </c>
      <c r="I2134" t="s">
        <v>132</v>
      </c>
      <c r="J2134" t="s">
        <v>54</v>
      </c>
      <c r="K2134" t="s">
        <v>29</v>
      </c>
      <c r="L2134" t="s">
        <v>895</v>
      </c>
      <c r="M2134" t="s">
        <v>4402</v>
      </c>
      <c r="O2134" t="s">
        <v>896</v>
      </c>
      <c r="P2134" t="s">
        <v>33</v>
      </c>
      <c r="Q2134">
        <v>28.68</v>
      </c>
      <c r="R2134" t="s">
        <v>35</v>
      </c>
      <c r="S2134" t="s">
        <v>35</v>
      </c>
      <c r="T2134" t="s">
        <v>35</v>
      </c>
      <c r="U2134" t="s">
        <v>35</v>
      </c>
      <c r="V2134" t="s">
        <v>645</v>
      </c>
      <c r="W2134" t="s">
        <v>113</v>
      </c>
    </row>
    <row r="2135" spans="1:23" hidden="1" x14ac:dyDescent="0.25">
      <c r="A2135" s="7" t="str">
        <f>IFERROR(VLOOKUP(H2135,'Contas Orç'!A:B,2,0),"N/A")</f>
        <v>DEPRECIACOES E AMORTIZACOES</v>
      </c>
      <c r="B2135" s="7" t="str">
        <f t="shared" si="66"/>
        <v>320501 - DEPRECIACOES E AMORTIZACOES</v>
      </c>
      <c r="C2135" s="25">
        <f t="shared" si="67"/>
        <v>44743</v>
      </c>
      <c r="D2135" s="27">
        <f>IF(K2135="CREDITO",Q2135,Q2135*-1)</f>
        <v>25.42</v>
      </c>
      <c r="E2135" t="s">
        <v>894</v>
      </c>
      <c r="F2135" t="s">
        <v>2629</v>
      </c>
      <c r="G2135" s="8">
        <v>44743</v>
      </c>
      <c r="H2135" t="s">
        <v>570</v>
      </c>
      <c r="I2135" t="s">
        <v>75</v>
      </c>
      <c r="J2135" t="s">
        <v>54</v>
      </c>
      <c r="K2135" t="s">
        <v>29</v>
      </c>
      <c r="L2135" t="s">
        <v>895</v>
      </c>
      <c r="M2135" t="s">
        <v>4402</v>
      </c>
      <c r="O2135" t="s">
        <v>896</v>
      </c>
      <c r="P2135" t="s">
        <v>33</v>
      </c>
      <c r="Q2135">
        <v>25.42</v>
      </c>
      <c r="R2135" t="s">
        <v>35</v>
      </c>
      <c r="S2135" t="s">
        <v>35</v>
      </c>
      <c r="T2135" t="s">
        <v>35</v>
      </c>
      <c r="U2135" t="s">
        <v>35</v>
      </c>
      <c r="V2135" t="s">
        <v>645</v>
      </c>
      <c r="W2135" t="s">
        <v>113</v>
      </c>
    </row>
    <row r="2136" spans="1:23" hidden="1" x14ac:dyDescent="0.25">
      <c r="A2136" s="7" t="str">
        <f>IFERROR(VLOOKUP(H2136,'Contas Orç'!A:B,2,0),"N/A")</f>
        <v>DEPRECIACOES E AMORTIZACOES</v>
      </c>
      <c r="B2136" s="7" t="str">
        <f t="shared" si="66"/>
        <v>320501 - DEPRECIACOES E AMORTIZACOES</v>
      </c>
      <c r="C2136" s="25">
        <f t="shared" si="67"/>
        <v>44743</v>
      </c>
      <c r="D2136" s="27">
        <f>IF(K2136="CREDITO",Q2136,Q2136*-1)</f>
        <v>285.98</v>
      </c>
      <c r="E2136" t="s">
        <v>894</v>
      </c>
      <c r="F2136" t="s">
        <v>2630</v>
      </c>
      <c r="G2136" s="8">
        <v>44743</v>
      </c>
      <c r="H2136" t="s">
        <v>570</v>
      </c>
      <c r="I2136" t="s">
        <v>78</v>
      </c>
      <c r="J2136" t="s">
        <v>54</v>
      </c>
      <c r="K2136" t="s">
        <v>29</v>
      </c>
      <c r="L2136" t="s">
        <v>895</v>
      </c>
      <c r="M2136" t="s">
        <v>4402</v>
      </c>
      <c r="O2136" t="s">
        <v>896</v>
      </c>
      <c r="P2136" t="s">
        <v>33</v>
      </c>
      <c r="Q2136">
        <v>285.98</v>
      </c>
      <c r="R2136" t="s">
        <v>35</v>
      </c>
      <c r="S2136" t="s">
        <v>35</v>
      </c>
      <c r="T2136" t="s">
        <v>35</v>
      </c>
      <c r="U2136" t="s">
        <v>35</v>
      </c>
      <c r="V2136" t="s">
        <v>645</v>
      </c>
      <c r="W2136" t="s">
        <v>113</v>
      </c>
    </row>
    <row r="2137" spans="1:23" hidden="1" x14ac:dyDescent="0.25">
      <c r="A2137" s="7" t="str">
        <f>IFERROR(VLOOKUP(H2137,'Contas Orç'!A:B,2,0),"N/A")</f>
        <v>DEPRECIACOES E AMORTIZACOES</v>
      </c>
      <c r="B2137" s="7" t="str">
        <f t="shared" si="66"/>
        <v>320501 - DEPRECIACOES E AMORTIZACOES</v>
      </c>
      <c r="C2137" s="25">
        <f t="shared" si="67"/>
        <v>44743</v>
      </c>
      <c r="D2137" s="27">
        <f>IF(K2137="CREDITO",Q2137,Q2137*-1)</f>
        <v>678.07</v>
      </c>
      <c r="E2137" t="s">
        <v>894</v>
      </c>
      <c r="F2137" t="s">
        <v>2631</v>
      </c>
      <c r="G2137" s="8">
        <v>44743</v>
      </c>
      <c r="H2137" t="s">
        <v>570</v>
      </c>
      <c r="I2137" t="s">
        <v>81</v>
      </c>
      <c r="J2137" t="s">
        <v>54</v>
      </c>
      <c r="K2137" t="s">
        <v>29</v>
      </c>
      <c r="L2137" t="s">
        <v>895</v>
      </c>
      <c r="M2137" t="s">
        <v>4402</v>
      </c>
      <c r="O2137" t="s">
        <v>896</v>
      </c>
      <c r="P2137" t="s">
        <v>33</v>
      </c>
      <c r="Q2137">
        <v>678.07</v>
      </c>
      <c r="R2137" t="s">
        <v>35</v>
      </c>
      <c r="S2137" t="s">
        <v>35</v>
      </c>
      <c r="T2137" t="s">
        <v>35</v>
      </c>
      <c r="U2137" t="s">
        <v>35</v>
      </c>
      <c r="V2137" t="s">
        <v>645</v>
      </c>
      <c r="W2137" t="s">
        <v>113</v>
      </c>
    </row>
    <row r="2138" spans="1:23" hidden="1" x14ac:dyDescent="0.25">
      <c r="A2138" s="7" t="str">
        <f>IFERROR(VLOOKUP(H2138,'Contas Orç'!A:B,2,0),"N/A")</f>
        <v>DEPRECIACOES E AMORTIZACOES</v>
      </c>
      <c r="B2138" s="7" t="str">
        <f t="shared" si="66"/>
        <v>320501 - DEPRECIACOES E AMORTIZACOES</v>
      </c>
      <c r="C2138" s="25">
        <f t="shared" si="67"/>
        <v>44743</v>
      </c>
      <c r="D2138" s="27">
        <f>IF(K2138="CREDITO",Q2138,Q2138*-1)</f>
        <v>33.67</v>
      </c>
      <c r="E2138" t="s">
        <v>894</v>
      </c>
      <c r="F2138" t="s">
        <v>2632</v>
      </c>
      <c r="G2138" s="8">
        <v>44743</v>
      </c>
      <c r="H2138" t="s">
        <v>570</v>
      </c>
      <c r="I2138" t="s">
        <v>136</v>
      </c>
      <c r="J2138" t="s">
        <v>54</v>
      </c>
      <c r="K2138" t="s">
        <v>29</v>
      </c>
      <c r="L2138" t="s">
        <v>895</v>
      </c>
      <c r="M2138" t="s">
        <v>4402</v>
      </c>
      <c r="O2138" t="s">
        <v>896</v>
      </c>
      <c r="P2138" t="s">
        <v>33</v>
      </c>
      <c r="Q2138">
        <v>33.67</v>
      </c>
      <c r="R2138" t="s">
        <v>35</v>
      </c>
      <c r="S2138" t="s">
        <v>35</v>
      </c>
      <c r="T2138" t="s">
        <v>35</v>
      </c>
      <c r="U2138" t="s">
        <v>35</v>
      </c>
      <c r="V2138" t="s">
        <v>645</v>
      </c>
      <c r="W2138" t="s">
        <v>113</v>
      </c>
    </row>
    <row r="2139" spans="1:23" hidden="1" x14ac:dyDescent="0.25">
      <c r="A2139" s="7" t="str">
        <f>IFERROR(VLOOKUP(H2139,'Contas Orç'!A:B,2,0),"N/A")</f>
        <v>DEPRECIACOES E AMORTIZACOES</v>
      </c>
      <c r="B2139" s="7" t="str">
        <f t="shared" si="66"/>
        <v>320501 - DEPRECIACOES E AMORTIZACOES</v>
      </c>
      <c r="C2139" s="25">
        <f t="shared" si="67"/>
        <v>44743</v>
      </c>
      <c r="D2139" s="27">
        <f>IF(K2139="CREDITO",Q2139,Q2139*-1)</f>
        <v>1994.96</v>
      </c>
      <c r="E2139" t="s">
        <v>894</v>
      </c>
      <c r="F2139" t="s">
        <v>2633</v>
      </c>
      <c r="G2139" s="8">
        <v>44743</v>
      </c>
      <c r="H2139" t="s">
        <v>570</v>
      </c>
      <c r="I2139" t="s">
        <v>53</v>
      </c>
      <c r="J2139" t="s">
        <v>54</v>
      </c>
      <c r="K2139" t="s">
        <v>29</v>
      </c>
      <c r="L2139" t="s">
        <v>895</v>
      </c>
      <c r="M2139" t="s">
        <v>4402</v>
      </c>
      <c r="O2139" t="s">
        <v>896</v>
      </c>
      <c r="P2139" t="s">
        <v>33</v>
      </c>
      <c r="Q2139" s="22">
        <v>1994.96</v>
      </c>
      <c r="R2139" t="s">
        <v>35</v>
      </c>
      <c r="S2139" t="s">
        <v>35</v>
      </c>
      <c r="T2139" t="s">
        <v>35</v>
      </c>
      <c r="U2139" t="s">
        <v>35</v>
      </c>
      <c r="V2139" t="s">
        <v>645</v>
      </c>
      <c r="W2139" t="s">
        <v>113</v>
      </c>
    </row>
    <row r="2140" spans="1:23" hidden="1" x14ac:dyDescent="0.25">
      <c r="A2140" s="7" t="str">
        <f>IFERROR(VLOOKUP(H2140,'Contas Orç'!A:B,2,0),"N/A")</f>
        <v>DEPRECIACOES E AMORTIZACOES</v>
      </c>
      <c r="B2140" s="7" t="str">
        <f t="shared" si="66"/>
        <v>320501 - DEPRECIACOES E AMORTIZACOES</v>
      </c>
      <c r="C2140" s="25">
        <f t="shared" si="67"/>
        <v>44743</v>
      </c>
      <c r="D2140" s="27">
        <f>IF(K2140="CREDITO",Q2140,Q2140*-1)</f>
        <v>7.5</v>
      </c>
      <c r="E2140" t="s">
        <v>894</v>
      </c>
      <c r="F2140" t="s">
        <v>2634</v>
      </c>
      <c r="G2140" s="8">
        <v>44743</v>
      </c>
      <c r="H2140" t="s">
        <v>570</v>
      </c>
      <c r="I2140" t="s">
        <v>88</v>
      </c>
      <c r="J2140" t="s">
        <v>54</v>
      </c>
      <c r="K2140" t="s">
        <v>29</v>
      </c>
      <c r="L2140" t="s">
        <v>895</v>
      </c>
      <c r="M2140" t="s">
        <v>4402</v>
      </c>
      <c r="O2140" t="s">
        <v>896</v>
      </c>
      <c r="P2140" t="s">
        <v>33</v>
      </c>
      <c r="Q2140">
        <v>7.5</v>
      </c>
      <c r="R2140" t="s">
        <v>35</v>
      </c>
      <c r="S2140" t="s">
        <v>35</v>
      </c>
      <c r="T2140" t="s">
        <v>35</v>
      </c>
      <c r="U2140" t="s">
        <v>35</v>
      </c>
      <c r="V2140" t="s">
        <v>645</v>
      </c>
      <c r="W2140" t="s">
        <v>113</v>
      </c>
    </row>
    <row r="2141" spans="1:23" hidden="1" x14ac:dyDescent="0.25">
      <c r="A2141" s="7" t="str">
        <f>IFERROR(VLOOKUP(H2141,'Contas Orç'!A:B,2,0),"N/A")</f>
        <v>DEPRECIACOES E AMORTIZACOES</v>
      </c>
      <c r="B2141" s="7" t="str">
        <f t="shared" si="66"/>
        <v>320501 - DEPRECIACOES E AMORTIZACOES</v>
      </c>
      <c r="C2141" s="25">
        <f t="shared" si="67"/>
        <v>44774</v>
      </c>
      <c r="D2141" s="27">
        <f>IF(K2141="CREDITO",Q2141,Q2141*-1)</f>
        <v>24112.71</v>
      </c>
      <c r="E2141" t="s">
        <v>894</v>
      </c>
      <c r="F2141" t="s">
        <v>2635</v>
      </c>
      <c r="G2141" s="8">
        <v>44774</v>
      </c>
      <c r="H2141" t="s">
        <v>570</v>
      </c>
      <c r="I2141" t="s">
        <v>53</v>
      </c>
      <c r="J2141" t="s">
        <v>28</v>
      </c>
      <c r="K2141" t="s">
        <v>29</v>
      </c>
      <c r="L2141" t="s">
        <v>895</v>
      </c>
      <c r="M2141" t="s">
        <v>4402</v>
      </c>
      <c r="O2141" t="s">
        <v>896</v>
      </c>
      <c r="P2141" t="s">
        <v>33</v>
      </c>
      <c r="Q2141" s="22">
        <v>24112.71</v>
      </c>
      <c r="R2141" t="s">
        <v>35</v>
      </c>
      <c r="S2141" t="s">
        <v>35</v>
      </c>
      <c r="T2141" t="s">
        <v>35</v>
      </c>
      <c r="U2141" t="s">
        <v>35</v>
      </c>
      <c r="V2141" t="s">
        <v>645</v>
      </c>
      <c r="W2141" t="s">
        <v>113</v>
      </c>
    </row>
    <row r="2142" spans="1:23" hidden="1" x14ac:dyDescent="0.25">
      <c r="A2142" s="7" t="str">
        <f>IFERROR(VLOOKUP(H2142,'Contas Orç'!A:B,2,0),"N/A")</f>
        <v>DEPRECIACOES E AMORTIZACOES</v>
      </c>
      <c r="B2142" s="7" t="str">
        <f t="shared" si="66"/>
        <v>320501 - DEPRECIACOES E AMORTIZACOES</v>
      </c>
      <c r="C2142" s="25">
        <f t="shared" si="67"/>
        <v>44774</v>
      </c>
      <c r="D2142" s="27">
        <f>IF(K2142="CREDITO",Q2142,Q2142*-1)</f>
        <v>54.23</v>
      </c>
      <c r="E2142" t="s">
        <v>894</v>
      </c>
      <c r="F2142" t="s">
        <v>2636</v>
      </c>
      <c r="G2142" s="8">
        <v>44774</v>
      </c>
      <c r="H2142" t="s">
        <v>570</v>
      </c>
      <c r="I2142" t="s">
        <v>88</v>
      </c>
      <c r="J2142" t="s">
        <v>28</v>
      </c>
      <c r="K2142" t="s">
        <v>29</v>
      </c>
      <c r="L2142" t="s">
        <v>895</v>
      </c>
      <c r="M2142" t="s">
        <v>4402</v>
      </c>
      <c r="O2142" t="s">
        <v>896</v>
      </c>
      <c r="P2142" t="s">
        <v>33</v>
      </c>
      <c r="Q2142">
        <v>54.23</v>
      </c>
      <c r="R2142" t="s">
        <v>35</v>
      </c>
      <c r="S2142" t="s">
        <v>35</v>
      </c>
      <c r="T2142" t="s">
        <v>35</v>
      </c>
      <c r="U2142" t="s">
        <v>35</v>
      </c>
      <c r="V2142" t="s">
        <v>645</v>
      </c>
      <c r="W2142" t="s">
        <v>113</v>
      </c>
    </row>
    <row r="2143" spans="1:23" hidden="1" x14ac:dyDescent="0.25">
      <c r="A2143" s="7" t="str">
        <f>IFERROR(VLOOKUP(H2143,'Contas Orç'!A:B,2,0),"N/A")</f>
        <v>DEPRECIACOES E AMORTIZACOES</v>
      </c>
      <c r="B2143" s="7" t="str">
        <f t="shared" si="66"/>
        <v>320501 - DEPRECIACOES E AMORTIZACOES</v>
      </c>
      <c r="C2143" s="25">
        <f t="shared" si="67"/>
        <v>44774</v>
      </c>
      <c r="D2143" s="27">
        <f>IF(K2143="CREDITO",Q2143,Q2143*-1)</f>
        <v>243936.58</v>
      </c>
      <c r="E2143" t="s">
        <v>894</v>
      </c>
      <c r="F2143" t="s">
        <v>2637</v>
      </c>
      <c r="G2143" s="8">
        <v>44774</v>
      </c>
      <c r="H2143" t="s">
        <v>570</v>
      </c>
      <c r="I2143" t="s">
        <v>27</v>
      </c>
      <c r="J2143" t="s">
        <v>28</v>
      </c>
      <c r="K2143" t="s">
        <v>29</v>
      </c>
      <c r="L2143" t="s">
        <v>895</v>
      </c>
      <c r="M2143" t="s">
        <v>4402</v>
      </c>
      <c r="O2143" t="s">
        <v>896</v>
      </c>
      <c r="P2143" t="s">
        <v>33</v>
      </c>
      <c r="Q2143" s="22">
        <v>243936.58</v>
      </c>
      <c r="R2143" t="s">
        <v>35</v>
      </c>
      <c r="S2143" t="s">
        <v>35</v>
      </c>
      <c r="T2143" t="s">
        <v>35</v>
      </c>
      <c r="U2143" t="s">
        <v>35</v>
      </c>
      <c r="V2143" t="s">
        <v>645</v>
      </c>
      <c r="W2143" t="s">
        <v>113</v>
      </c>
    </row>
    <row r="2144" spans="1:23" hidden="1" x14ac:dyDescent="0.25">
      <c r="A2144" s="7" t="str">
        <f>IFERROR(VLOOKUP(H2144,'Contas Orç'!A:B,2,0),"N/A")</f>
        <v>DEPRECIACOES E AMORTIZACOES</v>
      </c>
      <c r="B2144" s="7" t="str">
        <f t="shared" si="66"/>
        <v>320501 - DEPRECIACOES E AMORTIZACOES</v>
      </c>
      <c r="C2144" s="25">
        <f t="shared" si="67"/>
        <v>44774</v>
      </c>
      <c r="D2144" s="27">
        <f>IF(K2144="CREDITO",Q2144,Q2144*-1)</f>
        <v>12500</v>
      </c>
      <c r="E2144" t="s">
        <v>894</v>
      </c>
      <c r="F2144" t="s">
        <v>2638</v>
      </c>
      <c r="G2144" s="8">
        <v>44774</v>
      </c>
      <c r="H2144" t="s">
        <v>570</v>
      </c>
      <c r="I2144" t="s">
        <v>59</v>
      </c>
      <c r="J2144" t="s">
        <v>28</v>
      </c>
      <c r="K2144" t="s">
        <v>29</v>
      </c>
      <c r="L2144" t="s">
        <v>895</v>
      </c>
      <c r="M2144" t="s">
        <v>4402</v>
      </c>
      <c r="O2144" t="s">
        <v>896</v>
      </c>
      <c r="P2144" t="s">
        <v>33</v>
      </c>
      <c r="Q2144" s="22">
        <v>12500</v>
      </c>
      <c r="R2144" t="s">
        <v>35</v>
      </c>
      <c r="S2144" t="s">
        <v>35</v>
      </c>
      <c r="T2144" t="s">
        <v>35</v>
      </c>
      <c r="U2144" t="s">
        <v>35</v>
      </c>
      <c r="V2144" t="s">
        <v>645</v>
      </c>
      <c r="W2144" t="s">
        <v>113</v>
      </c>
    </row>
    <row r="2145" spans="1:23" hidden="1" x14ac:dyDescent="0.25">
      <c r="A2145" s="7" t="str">
        <f>IFERROR(VLOOKUP(H2145,'Contas Orç'!A:B,2,0),"N/A")</f>
        <v>DEPRECIACOES E AMORTIZACOES</v>
      </c>
      <c r="B2145" s="7" t="str">
        <f t="shared" si="66"/>
        <v>320501 - DEPRECIACOES E AMORTIZACOES</v>
      </c>
      <c r="C2145" s="25">
        <f t="shared" si="67"/>
        <v>44774</v>
      </c>
      <c r="D2145" s="27">
        <f>IF(K2145="CREDITO",Q2145,Q2145*-1)</f>
        <v>689.6</v>
      </c>
      <c r="E2145" t="s">
        <v>894</v>
      </c>
      <c r="F2145" t="s">
        <v>2639</v>
      </c>
      <c r="G2145" s="8">
        <v>44774</v>
      </c>
      <c r="H2145" t="s">
        <v>570</v>
      </c>
      <c r="I2145" t="s">
        <v>106</v>
      </c>
      <c r="J2145" t="s">
        <v>60</v>
      </c>
      <c r="K2145" t="s">
        <v>29</v>
      </c>
      <c r="L2145" t="s">
        <v>895</v>
      </c>
      <c r="M2145" t="s">
        <v>4402</v>
      </c>
      <c r="O2145" t="s">
        <v>896</v>
      </c>
      <c r="P2145" t="s">
        <v>33</v>
      </c>
      <c r="Q2145">
        <v>689.6</v>
      </c>
      <c r="R2145" t="s">
        <v>35</v>
      </c>
      <c r="S2145" t="s">
        <v>35</v>
      </c>
      <c r="T2145" t="s">
        <v>35</v>
      </c>
      <c r="U2145" t="s">
        <v>35</v>
      </c>
      <c r="V2145" t="s">
        <v>645</v>
      </c>
      <c r="W2145" t="s">
        <v>113</v>
      </c>
    </row>
    <row r="2146" spans="1:23" hidden="1" x14ac:dyDescent="0.25">
      <c r="A2146" s="7" t="str">
        <f>IFERROR(VLOOKUP(H2146,'Contas Orç'!A:B,2,0),"N/A")</f>
        <v>DEPRECIACOES E AMORTIZACOES</v>
      </c>
      <c r="B2146" s="7" t="str">
        <f t="shared" si="66"/>
        <v>320501 - DEPRECIACOES E AMORTIZACOES</v>
      </c>
      <c r="C2146" s="25">
        <f t="shared" si="67"/>
        <v>44774</v>
      </c>
      <c r="D2146" s="27">
        <f>IF(K2146="CREDITO",Q2146,Q2146*-1)</f>
        <v>283166.40000000002</v>
      </c>
      <c r="E2146" t="s">
        <v>894</v>
      </c>
      <c r="F2146" t="s">
        <v>2640</v>
      </c>
      <c r="G2146" s="8">
        <v>44774</v>
      </c>
      <c r="H2146" t="s">
        <v>570</v>
      </c>
      <c r="I2146" t="s">
        <v>59</v>
      </c>
      <c r="J2146" t="s">
        <v>60</v>
      </c>
      <c r="K2146" t="s">
        <v>29</v>
      </c>
      <c r="L2146" t="s">
        <v>895</v>
      </c>
      <c r="M2146" t="s">
        <v>4402</v>
      </c>
      <c r="O2146" t="s">
        <v>896</v>
      </c>
      <c r="P2146" t="s">
        <v>33</v>
      </c>
      <c r="Q2146" s="22">
        <v>283166.40000000002</v>
      </c>
      <c r="R2146" t="s">
        <v>35</v>
      </c>
      <c r="S2146" t="s">
        <v>35</v>
      </c>
      <c r="T2146" t="s">
        <v>35</v>
      </c>
      <c r="U2146" t="s">
        <v>35</v>
      </c>
      <c r="V2146" t="s">
        <v>645</v>
      </c>
      <c r="W2146" t="s">
        <v>113</v>
      </c>
    </row>
    <row r="2147" spans="1:23" hidden="1" x14ac:dyDescent="0.25">
      <c r="A2147" s="7" t="str">
        <f>IFERROR(VLOOKUP(H2147,'Contas Orç'!A:B,2,0),"N/A")</f>
        <v>DEPRECIACOES E AMORTIZACOES</v>
      </c>
      <c r="B2147" s="7" t="str">
        <f t="shared" si="66"/>
        <v>320501 - DEPRECIACOES E AMORTIZACOES</v>
      </c>
      <c r="C2147" s="25">
        <f t="shared" si="67"/>
        <v>44774</v>
      </c>
      <c r="D2147" s="27">
        <f>IF(K2147="CREDITO",Q2147,Q2147*-1)</f>
        <v>1891.67</v>
      </c>
      <c r="E2147" t="s">
        <v>894</v>
      </c>
      <c r="F2147" t="s">
        <v>2641</v>
      </c>
      <c r="G2147" s="8">
        <v>44774</v>
      </c>
      <c r="H2147" t="s">
        <v>570</v>
      </c>
      <c r="I2147" t="s">
        <v>59</v>
      </c>
      <c r="J2147" t="s">
        <v>107</v>
      </c>
      <c r="K2147" t="s">
        <v>29</v>
      </c>
      <c r="L2147" t="s">
        <v>895</v>
      </c>
      <c r="M2147" t="s">
        <v>4402</v>
      </c>
      <c r="O2147" t="s">
        <v>896</v>
      </c>
      <c r="P2147" t="s">
        <v>33</v>
      </c>
      <c r="Q2147" s="22">
        <v>1891.67</v>
      </c>
      <c r="R2147" t="s">
        <v>35</v>
      </c>
      <c r="S2147" t="s">
        <v>35</v>
      </c>
      <c r="T2147" t="s">
        <v>35</v>
      </c>
      <c r="U2147" t="s">
        <v>35</v>
      </c>
      <c r="V2147" t="s">
        <v>645</v>
      </c>
      <c r="W2147" t="s">
        <v>113</v>
      </c>
    </row>
    <row r="2148" spans="1:23" hidden="1" x14ac:dyDescent="0.25">
      <c r="A2148" s="7" t="str">
        <f>IFERROR(VLOOKUP(H2148,'Contas Orç'!A:B,2,0),"N/A")</f>
        <v>DEPRECIACOES E AMORTIZACOES</v>
      </c>
      <c r="B2148" s="7" t="str">
        <f t="shared" si="66"/>
        <v>320501 - DEPRECIACOES E AMORTIZACOES</v>
      </c>
      <c r="C2148" s="25">
        <f t="shared" si="67"/>
        <v>44774</v>
      </c>
      <c r="D2148" s="27">
        <f>IF(K2148="CREDITO",Q2148,Q2148*-1)</f>
        <v>14.51</v>
      </c>
      <c r="E2148" t="s">
        <v>894</v>
      </c>
      <c r="F2148" t="s">
        <v>2642</v>
      </c>
      <c r="G2148" s="8">
        <v>44774</v>
      </c>
      <c r="H2148" t="s">
        <v>570</v>
      </c>
      <c r="I2148" t="s">
        <v>125</v>
      </c>
      <c r="J2148" t="s">
        <v>95</v>
      </c>
      <c r="K2148" t="s">
        <v>29</v>
      </c>
      <c r="L2148" t="s">
        <v>895</v>
      </c>
      <c r="M2148" t="s">
        <v>4402</v>
      </c>
      <c r="O2148" t="s">
        <v>896</v>
      </c>
      <c r="P2148" t="s">
        <v>33</v>
      </c>
      <c r="Q2148">
        <v>14.51</v>
      </c>
      <c r="R2148" t="s">
        <v>35</v>
      </c>
      <c r="S2148" t="s">
        <v>35</v>
      </c>
      <c r="T2148" t="s">
        <v>35</v>
      </c>
      <c r="U2148" t="s">
        <v>35</v>
      </c>
      <c r="V2148" t="s">
        <v>645</v>
      </c>
      <c r="W2148" t="s">
        <v>113</v>
      </c>
    </row>
    <row r="2149" spans="1:23" hidden="1" x14ac:dyDescent="0.25">
      <c r="A2149" s="7" t="str">
        <f>IFERROR(VLOOKUP(H2149,'Contas Orç'!A:B,2,0),"N/A")</f>
        <v>DEPRECIACOES E AMORTIZACOES</v>
      </c>
      <c r="B2149" s="7" t="str">
        <f t="shared" si="66"/>
        <v>320501 - DEPRECIACOES E AMORTIZACOES</v>
      </c>
      <c r="C2149" s="25">
        <f t="shared" si="67"/>
        <v>44774</v>
      </c>
      <c r="D2149" s="27">
        <f>IF(K2149="CREDITO",Q2149,Q2149*-1)</f>
        <v>38.869999999999997</v>
      </c>
      <c r="E2149" t="s">
        <v>894</v>
      </c>
      <c r="F2149" t="s">
        <v>2643</v>
      </c>
      <c r="G2149" s="8">
        <v>44774</v>
      </c>
      <c r="H2149" t="s">
        <v>570</v>
      </c>
      <c r="I2149" t="s">
        <v>59</v>
      </c>
      <c r="J2149" t="s">
        <v>661</v>
      </c>
      <c r="K2149" t="s">
        <v>29</v>
      </c>
      <c r="L2149" t="s">
        <v>895</v>
      </c>
      <c r="M2149" t="s">
        <v>4402</v>
      </c>
      <c r="O2149" t="s">
        <v>896</v>
      </c>
      <c r="P2149" t="s">
        <v>33</v>
      </c>
      <c r="Q2149">
        <v>38.869999999999997</v>
      </c>
      <c r="R2149" t="s">
        <v>35</v>
      </c>
      <c r="S2149" t="s">
        <v>35</v>
      </c>
      <c r="T2149" t="s">
        <v>35</v>
      </c>
      <c r="U2149" t="s">
        <v>35</v>
      </c>
      <c r="V2149" t="s">
        <v>645</v>
      </c>
      <c r="W2149" t="s">
        <v>113</v>
      </c>
    </row>
    <row r="2150" spans="1:23" hidden="1" x14ac:dyDescent="0.25">
      <c r="A2150" s="7" t="str">
        <f>IFERROR(VLOOKUP(H2150,'Contas Orç'!A:B,2,0),"N/A")</f>
        <v>DEPRECIACOES E AMORTIZACOES</v>
      </c>
      <c r="B2150" s="7" t="str">
        <f t="shared" si="66"/>
        <v>320501 - DEPRECIACOES E AMORTIZACOES</v>
      </c>
      <c r="C2150" s="25">
        <f t="shared" si="67"/>
        <v>44774</v>
      </c>
      <c r="D2150" s="27">
        <f>IF(K2150="CREDITO",Q2150,Q2150*-1)</f>
        <v>2800.3</v>
      </c>
      <c r="E2150" t="s">
        <v>894</v>
      </c>
      <c r="F2150" t="s">
        <v>2644</v>
      </c>
      <c r="G2150" s="8">
        <v>44774</v>
      </c>
      <c r="H2150" t="s">
        <v>570</v>
      </c>
      <c r="I2150" t="s">
        <v>2062</v>
      </c>
      <c r="J2150" t="s">
        <v>54</v>
      </c>
      <c r="K2150" t="s">
        <v>29</v>
      </c>
      <c r="L2150" t="s">
        <v>895</v>
      </c>
      <c r="M2150" t="s">
        <v>4402</v>
      </c>
      <c r="O2150" t="s">
        <v>896</v>
      </c>
      <c r="P2150" t="s">
        <v>33</v>
      </c>
      <c r="Q2150" s="22">
        <v>2800.3</v>
      </c>
      <c r="R2150" t="s">
        <v>35</v>
      </c>
      <c r="S2150" t="s">
        <v>35</v>
      </c>
      <c r="T2150" t="s">
        <v>35</v>
      </c>
      <c r="U2150" t="s">
        <v>35</v>
      </c>
      <c r="V2150" t="s">
        <v>645</v>
      </c>
      <c r="W2150" t="s">
        <v>113</v>
      </c>
    </row>
    <row r="2151" spans="1:23" hidden="1" x14ac:dyDescent="0.25">
      <c r="A2151" s="7" t="str">
        <f>IFERROR(VLOOKUP(H2151,'Contas Orç'!A:B,2,0),"N/A")</f>
        <v>DEPRECIACOES E AMORTIZACOES</v>
      </c>
      <c r="B2151" s="7" t="str">
        <f t="shared" si="66"/>
        <v>320501 - DEPRECIACOES E AMORTIZACOES</v>
      </c>
      <c r="C2151" s="25">
        <f t="shared" si="67"/>
        <v>44774</v>
      </c>
      <c r="D2151" s="27">
        <f>IF(K2151="CREDITO",Q2151,Q2151*-1)</f>
        <v>123.93</v>
      </c>
      <c r="E2151" t="s">
        <v>894</v>
      </c>
      <c r="F2151" t="s">
        <v>2645</v>
      </c>
      <c r="G2151" s="8">
        <v>44774</v>
      </c>
      <c r="H2151" t="s">
        <v>570</v>
      </c>
      <c r="I2151" t="s">
        <v>121</v>
      </c>
      <c r="J2151" t="s">
        <v>54</v>
      </c>
      <c r="K2151" t="s">
        <v>29</v>
      </c>
      <c r="L2151" t="s">
        <v>895</v>
      </c>
      <c r="M2151" t="s">
        <v>4402</v>
      </c>
      <c r="O2151" t="s">
        <v>896</v>
      </c>
      <c r="P2151" t="s">
        <v>33</v>
      </c>
      <c r="Q2151">
        <v>123.93</v>
      </c>
      <c r="R2151" t="s">
        <v>35</v>
      </c>
      <c r="S2151" t="s">
        <v>35</v>
      </c>
      <c r="T2151" t="s">
        <v>35</v>
      </c>
      <c r="U2151" t="s">
        <v>35</v>
      </c>
      <c r="V2151" t="s">
        <v>645</v>
      </c>
      <c r="W2151" t="s">
        <v>113</v>
      </c>
    </row>
    <row r="2152" spans="1:23" hidden="1" x14ac:dyDescent="0.25">
      <c r="A2152" s="7" t="str">
        <f>IFERROR(VLOOKUP(H2152,'Contas Orç'!A:B,2,0),"N/A")</f>
        <v>DEPRECIACOES E AMORTIZACOES</v>
      </c>
      <c r="B2152" s="7" t="str">
        <f t="shared" si="66"/>
        <v>320501 - DEPRECIACOES E AMORTIZACOES</v>
      </c>
      <c r="C2152" s="25">
        <f t="shared" si="67"/>
        <v>44774</v>
      </c>
      <c r="D2152" s="27">
        <f>IF(K2152="CREDITO",Q2152,Q2152*-1)</f>
        <v>28.68</v>
      </c>
      <c r="E2152" t="s">
        <v>894</v>
      </c>
      <c r="F2152" t="s">
        <v>2646</v>
      </c>
      <c r="G2152" s="8">
        <v>44774</v>
      </c>
      <c r="H2152" t="s">
        <v>570</v>
      </c>
      <c r="I2152" t="s">
        <v>132</v>
      </c>
      <c r="J2152" t="s">
        <v>54</v>
      </c>
      <c r="K2152" t="s">
        <v>29</v>
      </c>
      <c r="L2152" t="s">
        <v>895</v>
      </c>
      <c r="M2152" t="s">
        <v>4402</v>
      </c>
      <c r="O2152" t="s">
        <v>896</v>
      </c>
      <c r="P2152" t="s">
        <v>33</v>
      </c>
      <c r="Q2152">
        <v>28.68</v>
      </c>
      <c r="R2152" t="s">
        <v>35</v>
      </c>
      <c r="S2152" t="s">
        <v>35</v>
      </c>
      <c r="T2152" t="s">
        <v>35</v>
      </c>
      <c r="U2152" t="s">
        <v>35</v>
      </c>
      <c r="V2152" t="s">
        <v>645</v>
      </c>
      <c r="W2152" t="s">
        <v>113</v>
      </c>
    </row>
    <row r="2153" spans="1:23" hidden="1" x14ac:dyDescent="0.25">
      <c r="A2153" s="7" t="str">
        <f>IFERROR(VLOOKUP(H2153,'Contas Orç'!A:B,2,0),"N/A")</f>
        <v>DEPRECIACOES E AMORTIZACOES</v>
      </c>
      <c r="B2153" s="7" t="str">
        <f t="shared" si="66"/>
        <v>320501 - DEPRECIACOES E AMORTIZACOES</v>
      </c>
      <c r="C2153" s="25">
        <f t="shared" si="67"/>
        <v>44774</v>
      </c>
      <c r="D2153" s="27">
        <f>IF(K2153="CREDITO",Q2153,Q2153*-1)</f>
        <v>25.42</v>
      </c>
      <c r="E2153" t="s">
        <v>894</v>
      </c>
      <c r="F2153" t="s">
        <v>2647</v>
      </c>
      <c r="G2153" s="8">
        <v>44774</v>
      </c>
      <c r="H2153" t="s">
        <v>570</v>
      </c>
      <c r="I2153" t="s">
        <v>75</v>
      </c>
      <c r="J2153" t="s">
        <v>54</v>
      </c>
      <c r="K2153" t="s">
        <v>29</v>
      </c>
      <c r="L2153" t="s">
        <v>895</v>
      </c>
      <c r="M2153" t="s">
        <v>4402</v>
      </c>
      <c r="O2153" t="s">
        <v>896</v>
      </c>
      <c r="P2153" t="s">
        <v>33</v>
      </c>
      <c r="Q2153">
        <v>25.42</v>
      </c>
      <c r="R2153" t="s">
        <v>35</v>
      </c>
      <c r="S2153" t="s">
        <v>35</v>
      </c>
      <c r="T2153" t="s">
        <v>35</v>
      </c>
      <c r="U2153" t="s">
        <v>35</v>
      </c>
      <c r="V2153" t="s">
        <v>645</v>
      </c>
      <c r="W2153" t="s">
        <v>113</v>
      </c>
    </row>
    <row r="2154" spans="1:23" hidden="1" x14ac:dyDescent="0.25">
      <c r="A2154" s="7" t="str">
        <f>IFERROR(VLOOKUP(H2154,'Contas Orç'!A:B,2,0),"N/A")</f>
        <v>DEPRECIACOES E AMORTIZACOES</v>
      </c>
      <c r="B2154" s="7" t="str">
        <f t="shared" si="66"/>
        <v>320501 - DEPRECIACOES E AMORTIZACOES</v>
      </c>
      <c r="C2154" s="25">
        <f t="shared" si="67"/>
        <v>44774</v>
      </c>
      <c r="D2154" s="27">
        <f>IF(K2154="CREDITO",Q2154,Q2154*-1)</f>
        <v>285.98</v>
      </c>
      <c r="E2154" t="s">
        <v>894</v>
      </c>
      <c r="F2154" t="s">
        <v>2648</v>
      </c>
      <c r="G2154" s="8">
        <v>44774</v>
      </c>
      <c r="H2154" t="s">
        <v>570</v>
      </c>
      <c r="I2154" t="s">
        <v>78</v>
      </c>
      <c r="J2154" t="s">
        <v>54</v>
      </c>
      <c r="K2154" t="s">
        <v>29</v>
      </c>
      <c r="L2154" t="s">
        <v>895</v>
      </c>
      <c r="M2154" t="s">
        <v>4402</v>
      </c>
      <c r="O2154" t="s">
        <v>896</v>
      </c>
      <c r="P2154" t="s">
        <v>33</v>
      </c>
      <c r="Q2154">
        <v>285.98</v>
      </c>
      <c r="R2154" t="s">
        <v>35</v>
      </c>
      <c r="S2154" t="s">
        <v>35</v>
      </c>
      <c r="T2154" t="s">
        <v>35</v>
      </c>
      <c r="U2154" t="s">
        <v>35</v>
      </c>
      <c r="V2154" t="s">
        <v>645</v>
      </c>
      <c r="W2154" t="s">
        <v>113</v>
      </c>
    </row>
    <row r="2155" spans="1:23" hidden="1" x14ac:dyDescent="0.25">
      <c r="A2155" s="7" t="str">
        <f>IFERROR(VLOOKUP(H2155,'Contas Orç'!A:B,2,0),"N/A")</f>
        <v>DEPRECIACOES E AMORTIZACOES</v>
      </c>
      <c r="B2155" s="7" t="str">
        <f t="shared" si="66"/>
        <v>320501 - DEPRECIACOES E AMORTIZACOES</v>
      </c>
      <c r="C2155" s="25">
        <f t="shared" si="67"/>
        <v>44774</v>
      </c>
      <c r="D2155" s="27">
        <f>IF(K2155="CREDITO",Q2155,Q2155*-1)</f>
        <v>697.97</v>
      </c>
      <c r="E2155" t="s">
        <v>894</v>
      </c>
      <c r="F2155" t="s">
        <v>2649</v>
      </c>
      <c r="G2155" s="8">
        <v>44774</v>
      </c>
      <c r="H2155" t="s">
        <v>570</v>
      </c>
      <c r="I2155" t="s">
        <v>81</v>
      </c>
      <c r="J2155" t="s">
        <v>54</v>
      </c>
      <c r="K2155" t="s">
        <v>29</v>
      </c>
      <c r="L2155" t="s">
        <v>895</v>
      </c>
      <c r="M2155" t="s">
        <v>4402</v>
      </c>
      <c r="O2155" t="s">
        <v>896</v>
      </c>
      <c r="P2155" t="s">
        <v>33</v>
      </c>
      <c r="Q2155">
        <v>697.97</v>
      </c>
      <c r="R2155" t="s">
        <v>35</v>
      </c>
      <c r="S2155" t="s">
        <v>35</v>
      </c>
      <c r="T2155" t="s">
        <v>35</v>
      </c>
      <c r="U2155" t="s">
        <v>35</v>
      </c>
      <c r="V2155" t="s">
        <v>645</v>
      </c>
      <c r="W2155" t="s">
        <v>113</v>
      </c>
    </row>
    <row r="2156" spans="1:23" hidden="1" x14ac:dyDescent="0.25">
      <c r="A2156" s="7" t="str">
        <f>IFERROR(VLOOKUP(H2156,'Contas Orç'!A:B,2,0),"N/A")</f>
        <v>DEPRECIACOES E AMORTIZACOES</v>
      </c>
      <c r="B2156" s="7" t="str">
        <f t="shared" si="66"/>
        <v>320501 - DEPRECIACOES E AMORTIZACOES</v>
      </c>
      <c r="C2156" s="25">
        <f t="shared" si="67"/>
        <v>44774</v>
      </c>
      <c r="D2156" s="27">
        <f>IF(K2156="CREDITO",Q2156,Q2156*-1)</f>
        <v>33.67</v>
      </c>
      <c r="E2156" t="s">
        <v>894</v>
      </c>
      <c r="F2156" t="s">
        <v>2650</v>
      </c>
      <c r="G2156" s="8">
        <v>44774</v>
      </c>
      <c r="H2156" t="s">
        <v>570</v>
      </c>
      <c r="I2156" t="s">
        <v>136</v>
      </c>
      <c r="J2156" t="s">
        <v>54</v>
      </c>
      <c r="K2156" t="s">
        <v>29</v>
      </c>
      <c r="L2156" t="s">
        <v>895</v>
      </c>
      <c r="M2156" t="s">
        <v>4402</v>
      </c>
      <c r="O2156" t="s">
        <v>896</v>
      </c>
      <c r="P2156" t="s">
        <v>33</v>
      </c>
      <c r="Q2156">
        <v>33.67</v>
      </c>
      <c r="R2156" t="s">
        <v>35</v>
      </c>
      <c r="S2156" t="s">
        <v>35</v>
      </c>
      <c r="T2156" t="s">
        <v>35</v>
      </c>
      <c r="U2156" t="s">
        <v>35</v>
      </c>
      <c r="V2156" t="s">
        <v>645</v>
      </c>
      <c r="W2156" t="s">
        <v>113</v>
      </c>
    </row>
    <row r="2157" spans="1:23" hidden="1" x14ac:dyDescent="0.25">
      <c r="A2157" s="7" t="str">
        <f>IFERROR(VLOOKUP(H2157,'Contas Orç'!A:B,2,0),"N/A")</f>
        <v>DEPRECIACOES E AMORTIZACOES</v>
      </c>
      <c r="B2157" s="7" t="str">
        <f t="shared" si="66"/>
        <v>320501 - DEPRECIACOES E AMORTIZACOES</v>
      </c>
      <c r="C2157" s="25">
        <f t="shared" si="67"/>
        <v>44774</v>
      </c>
      <c r="D2157" s="27">
        <f>IF(K2157="CREDITO",Q2157,Q2157*-1)</f>
        <v>2211.73</v>
      </c>
      <c r="E2157" t="s">
        <v>894</v>
      </c>
      <c r="F2157" t="s">
        <v>2651</v>
      </c>
      <c r="G2157" s="8">
        <v>44774</v>
      </c>
      <c r="H2157" t="s">
        <v>570</v>
      </c>
      <c r="I2157" t="s">
        <v>53</v>
      </c>
      <c r="J2157" t="s">
        <v>54</v>
      </c>
      <c r="K2157" t="s">
        <v>29</v>
      </c>
      <c r="L2157" t="s">
        <v>895</v>
      </c>
      <c r="M2157" t="s">
        <v>4402</v>
      </c>
      <c r="O2157" t="s">
        <v>896</v>
      </c>
      <c r="P2157" t="s">
        <v>33</v>
      </c>
      <c r="Q2157" s="22">
        <v>2211.73</v>
      </c>
      <c r="R2157" t="s">
        <v>35</v>
      </c>
      <c r="S2157" t="s">
        <v>35</v>
      </c>
      <c r="T2157" t="s">
        <v>35</v>
      </c>
      <c r="U2157" t="s">
        <v>35</v>
      </c>
      <c r="V2157" t="s">
        <v>645</v>
      </c>
      <c r="W2157" t="s">
        <v>113</v>
      </c>
    </row>
    <row r="2158" spans="1:23" hidden="1" x14ac:dyDescent="0.25">
      <c r="A2158" s="7" t="str">
        <f>IFERROR(VLOOKUP(H2158,'Contas Orç'!A:B,2,0),"N/A")</f>
        <v>DEPRECIACOES E AMORTIZACOES</v>
      </c>
      <c r="B2158" s="7" t="str">
        <f t="shared" si="66"/>
        <v>320501 - DEPRECIACOES E AMORTIZACOES</v>
      </c>
      <c r="C2158" s="25">
        <f t="shared" si="67"/>
        <v>44774</v>
      </c>
      <c r="D2158" s="27">
        <f>IF(K2158="CREDITO",Q2158,Q2158*-1)</f>
        <v>7.5</v>
      </c>
      <c r="E2158" t="s">
        <v>894</v>
      </c>
      <c r="F2158" t="s">
        <v>2652</v>
      </c>
      <c r="G2158" s="8">
        <v>44774</v>
      </c>
      <c r="H2158" t="s">
        <v>570</v>
      </c>
      <c r="I2158" t="s">
        <v>88</v>
      </c>
      <c r="J2158" t="s">
        <v>54</v>
      </c>
      <c r="K2158" t="s">
        <v>29</v>
      </c>
      <c r="L2158" t="s">
        <v>895</v>
      </c>
      <c r="M2158" t="s">
        <v>4402</v>
      </c>
      <c r="O2158" t="s">
        <v>896</v>
      </c>
      <c r="P2158" t="s">
        <v>33</v>
      </c>
      <c r="Q2158">
        <v>7.5</v>
      </c>
      <c r="R2158" t="s">
        <v>35</v>
      </c>
      <c r="S2158" t="s">
        <v>35</v>
      </c>
      <c r="T2158" t="s">
        <v>35</v>
      </c>
      <c r="U2158" t="s">
        <v>35</v>
      </c>
      <c r="V2158" t="s">
        <v>645</v>
      </c>
      <c r="W2158" t="s">
        <v>113</v>
      </c>
    </row>
    <row r="2159" spans="1:23" hidden="1" x14ac:dyDescent="0.25">
      <c r="A2159" s="7" t="str">
        <f>IFERROR(VLOOKUP(H2159,'Contas Orç'!A:B,2,0),"N/A")</f>
        <v>DEPRECIACOES E AMORTIZACOES</v>
      </c>
      <c r="B2159" s="7" t="str">
        <f t="shared" si="66"/>
        <v>320501 - DEPRECIACOES E AMORTIZACOES</v>
      </c>
      <c r="C2159" s="25">
        <f t="shared" si="67"/>
        <v>44805</v>
      </c>
      <c r="D2159" s="27">
        <f>IF(K2159="CREDITO",Q2159,Q2159*-1)</f>
        <v>54.23</v>
      </c>
      <c r="E2159" t="s">
        <v>894</v>
      </c>
      <c r="F2159" t="s">
        <v>2653</v>
      </c>
      <c r="G2159" s="8">
        <v>44805</v>
      </c>
      <c r="H2159" t="s">
        <v>570</v>
      </c>
      <c r="I2159" t="s">
        <v>88</v>
      </c>
      <c r="J2159" t="s">
        <v>28</v>
      </c>
      <c r="K2159" t="s">
        <v>29</v>
      </c>
      <c r="L2159" t="s">
        <v>895</v>
      </c>
      <c r="M2159" t="s">
        <v>4402</v>
      </c>
      <c r="O2159" t="s">
        <v>896</v>
      </c>
      <c r="P2159" t="s">
        <v>33</v>
      </c>
      <c r="Q2159">
        <v>54.23</v>
      </c>
      <c r="R2159" t="s">
        <v>35</v>
      </c>
      <c r="S2159" t="s">
        <v>35</v>
      </c>
      <c r="T2159" t="s">
        <v>35</v>
      </c>
      <c r="U2159" t="s">
        <v>35</v>
      </c>
      <c r="V2159" t="s">
        <v>645</v>
      </c>
      <c r="W2159" t="s">
        <v>113</v>
      </c>
    </row>
    <row r="2160" spans="1:23" hidden="1" x14ac:dyDescent="0.25">
      <c r="A2160" s="7" t="str">
        <f>IFERROR(VLOOKUP(H2160,'Contas Orç'!A:B,2,0),"N/A")</f>
        <v>DEPRECIACOES E AMORTIZACOES</v>
      </c>
      <c r="B2160" s="7" t="str">
        <f t="shared" si="66"/>
        <v>320501 - DEPRECIACOES E AMORTIZACOES</v>
      </c>
      <c r="C2160" s="25">
        <f t="shared" si="67"/>
        <v>44805</v>
      </c>
      <c r="D2160" s="27">
        <f>IF(K2160="CREDITO",Q2160,Q2160*-1)</f>
        <v>233535.04</v>
      </c>
      <c r="E2160" t="s">
        <v>894</v>
      </c>
      <c r="F2160" t="s">
        <v>2654</v>
      </c>
      <c r="G2160" s="8">
        <v>44805</v>
      </c>
      <c r="H2160" t="s">
        <v>570</v>
      </c>
      <c r="I2160" t="s">
        <v>27</v>
      </c>
      <c r="J2160" t="s">
        <v>28</v>
      </c>
      <c r="K2160" t="s">
        <v>29</v>
      </c>
      <c r="L2160" t="s">
        <v>895</v>
      </c>
      <c r="M2160" t="s">
        <v>4402</v>
      </c>
      <c r="O2160" t="s">
        <v>896</v>
      </c>
      <c r="P2160" t="s">
        <v>33</v>
      </c>
      <c r="Q2160" s="22">
        <v>233535.04</v>
      </c>
      <c r="R2160" t="s">
        <v>35</v>
      </c>
      <c r="S2160" t="s">
        <v>35</v>
      </c>
      <c r="T2160" t="s">
        <v>35</v>
      </c>
      <c r="U2160" t="s">
        <v>35</v>
      </c>
      <c r="V2160" t="s">
        <v>645</v>
      </c>
      <c r="W2160" t="s">
        <v>113</v>
      </c>
    </row>
    <row r="2161" spans="1:23" hidden="1" x14ac:dyDescent="0.25">
      <c r="A2161" s="7" t="str">
        <f>IFERROR(VLOOKUP(H2161,'Contas Orç'!A:B,2,0),"N/A")</f>
        <v>DEPRECIACOES E AMORTIZACOES</v>
      </c>
      <c r="B2161" s="7" t="str">
        <f t="shared" si="66"/>
        <v>320501 - DEPRECIACOES E AMORTIZACOES</v>
      </c>
      <c r="C2161" s="25">
        <f t="shared" si="67"/>
        <v>44805</v>
      </c>
      <c r="D2161" s="27">
        <f>IF(K2161="CREDITO",Q2161,Q2161*-1)</f>
        <v>12500</v>
      </c>
      <c r="E2161" t="s">
        <v>894</v>
      </c>
      <c r="F2161" t="s">
        <v>2655</v>
      </c>
      <c r="G2161" s="8">
        <v>44805</v>
      </c>
      <c r="H2161" t="s">
        <v>570</v>
      </c>
      <c r="I2161" t="s">
        <v>59</v>
      </c>
      <c r="J2161" t="s">
        <v>28</v>
      </c>
      <c r="K2161" t="s">
        <v>29</v>
      </c>
      <c r="L2161" t="s">
        <v>895</v>
      </c>
      <c r="M2161" t="s">
        <v>4402</v>
      </c>
      <c r="O2161" t="s">
        <v>896</v>
      </c>
      <c r="P2161" t="s">
        <v>33</v>
      </c>
      <c r="Q2161" s="22">
        <v>12500</v>
      </c>
      <c r="R2161" t="s">
        <v>35</v>
      </c>
      <c r="S2161" t="s">
        <v>35</v>
      </c>
      <c r="T2161" t="s">
        <v>35</v>
      </c>
      <c r="U2161" t="s">
        <v>35</v>
      </c>
      <c r="V2161" t="s">
        <v>645</v>
      </c>
      <c r="W2161" t="s">
        <v>113</v>
      </c>
    </row>
    <row r="2162" spans="1:23" hidden="1" x14ac:dyDescent="0.25">
      <c r="A2162" s="7" t="str">
        <f>IFERROR(VLOOKUP(H2162,'Contas Orç'!A:B,2,0),"N/A")</f>
        <v>DEPRECIACOES E AMORTIZACOES</v>
      </c>
      <c r="B2162" s="7" t="str">
        <f t="shared" si="66"/>
        <v>320501 - DEPRECIACOES E AMORTIZACOES</v>
      </c>
      <c r="C2162" s="25">
        <f t="shared" si="67"/>
        <v>44805</v>
      </c>
      <c r="D2162" s="27">
        <f>IF(K2162="CREDITO",Q2162,Q2162*-1)</f>
        <v>689.6</v>
      </c>
      <c r="E2162" t="s">
        <v>894</v>
      </c>
      <c r="F2162" t="s">
        <v>2656</v>
      </c>
      <c r="G2162" s="8">
        <v>44805</v>
      </c>
      <c r="H2162" t="s">
        <v>570</v>
      </c>
      <c r="I2162" t="s">
        <v>106</v>
      </c>
      <c r="J2162" t="s">
        <v>60</v>
      </c>
      <c r="K2162" t="s">
        <v>29</v>
      </c>
      <c r="L2162" t="s">
        <v>895</v>
      </c>
      <c r="M2162" t="s">
        <v>4402</v>
      </c>
      <c r="O2162" t="s">
        <v>896</v>
      </c>
      <c r="P2162" t="s">
        <v>33</v>
      </c>
      <c r="Q2162">
        <v>689.6</v>
      </c>
      <c r="R2162" t="s">
        <v>35</v>
      </c>
      <c r="S2162" t="s">
        <v>35</v>
      </c>
      <c r="T2162" t="s">
        <v>35</v>
      </c>
      <c r="U2162" t="s">
        <v>35</v>
      </c>
      <c r="V2162" t="s">
        <v>645</v>
      </c>
      <c r="W2162" t="s">
        <v>113</v>
      </c>
    </row>
    <row r="2163" spans="1:23" hidden="1" x14ac:dyDescent="0.25">
      <c r="A2163" s="7" t="str">
        <f>IFERROR(VLOOKUP(H2163,'Contas Orç'!A:B,2,0),"N/A")</f>
        <v>DEPRECIACOES E AMORTIZACOES</v>
      </c>
      <c r="B2163" s="7" t="str">
        <f t="shared" si="66"/>
        <v>320501 - DEPRECIACOES E AMORTIZACOES</v>
      </c>
      <c r="C2163" s="25">
        <f t="shared" si="67"/>
        <v>44805</v>
      </c>
      <c r="D2163" s="27">
        <f>IF(K2163="CREDITO",Q2163,Q2163*-1)</f>
        <v>314299.96999999997</v>
      </c>
      <c r="E2163" t="s">
        <v>894</v>
      </c>
      <c r="F2163" t="s">
        <v>2657</v>
      </c>
      <c r="G2163" s="8">
        <v>44805</v>
      </c>
      <c r="H2163" t="s">
        <v>570</v>
      </c>
      <c r="I2163" t="s">
        <v>59</v>
      </c>
      <c r="J2163" t="s">
        <v>60</v>
      </c>
      <c r="K2163" t="s">
        <v>29</v>
      </c>
      <c r="L2163" t="s">
        <v>895</v>
      </c>
      <c r="M2163" t="s">
        <v>4402</v>
      </c>
      <c r="O2163" t="s">
        <v>896</v>
      </c>
      <c r="P2163" t="s">
        <v>33</v>
      </c>
      <c r="Q2163" s="22">
        <v>314299.96999999997</v>
      </c>
      <c r="R2163" t="s">
        <v>35</v>
      </c>
      <c r="S2163" t="s">
        <v>35</v>
      </c>
      <c r="T2163" t="s">
        <v>35</v>
      </c>
      <c r="U2163" t="s">
        <v>35</v>
      </c>
      <c r="V2163" t="s">
        <v>645</v>
      </c>
      <c r="W2163" t="s">
        <v>113</v>
      </c>
    </row>
    <row r="2164" spans="1:23" hidden="1" x14ac:dyDescent="0.25">
      <c r="A2164" s="7" t="str">
        <f>IFERROR(VLOOKUP(H2164,'Contas Orç'!A:B,2,0),"N/A")</f>
        <v>DEPRECIACOES E AMORTIZACOES</v>
      </c>
      <c r="B2164" s="7" t="str">
        <f t="shared" si="66"/>
        <v>320501 - DEPRECIACOES E AMORTIZACOES</v>
      </c>
      <c r="C2164" s="25">
        <f t="shared" si="67"/>
        <v>44805</v>
      </c>
      <c r="D2164" s="27">
        <f>IF(K2164="CREDITO",Q2164,Q2164*-1)</f>
        <v>1891.67</v>
      </c>
      <c r="E2164" t="s">
        <v>894</v>
      </c>
      <c r="F2164" t="s">
        <v>2658</v>
      </c>
      <c r="G2164" s="8">
        <v>44805</v>
      </c>
      <c r="H2164" t="s">
        <v>570</v>
      </c>
      <c r="I2164" t="s">
        <v>59</v>
      </c>
      <c r="J2164" t="s">
        <v>107</v>
      </c>
      <c r="K2164" t="s">
        <v>29</v>
      </c>
      <c r="L2164" t="s">
        <v>895</v>
      </c>
      <c r="M2164" t="s">
        <v>4402</v>
      </c>
      <c r="O2164" t="s">
        <v>896</v>
      </c>
      <c r="P2164" t="s">
        <v>33</v>
      </c>
      <c r="Q2164" s="22">
        <v>1891.67</v>
      </c>
      <c r="R2164" t="s">
        <v>35</v>
      </c>
      <c r="S2164" t="s">
        <v>35</v>
      </c>
      <c r="T2164" t="s">
        <v>35</v>
      </c>
      <c r="U2164" t="s">
        <v>35</v>
      </c>
      <c r="V2164" t="s">
        <v>645</v>
      </c>
      <c r="W2164" t="s">
        <v>113</v>
      </c>
    </row>
    <row r="2165" spans="1:23" hidden="1" x14ac:dyDescent="0.25">
      <c r="A2165" s="7" t="str">
        <f>IFERROR(VLOOKUP(H2165,'Contas Orç'!A:B,2,0),"N/A")</f>
        <v>DEPRECIACOES E AMORTIZACOES</v>
      </c>
      <c r="B2165" s="7" t="str">
        <f t="shared" si="66"/>
        <v>320501 - DEPRECIACOES E AMORTIZACOES</v>
      </c>
      <c r="C2165" s="25">
        <f t="shared" si="67"/>
        <v>44805</v>
      </c>
      <c r="D2165" s="27">
        <f>IF(K2165="CREDITO",Q2165,Q2165*-1)</f>
        <v>14.51</v>
      </c>
      <c r="E2165" t="s">
        <v>894</v>
      </c>
      <c r="F2165" t="s">
        <v>2659</v>
      </c>
      <c r="G2165" s="8">
        <v>44805</v>
      </c>
      <c r="H2165" t="s">
        <v>570</v>
      </c>
      <c r="I2165" t="s">
        <v>125</v>
      </c>
      <c r="J2165" t="s">
        <v>95</v>
      </c>
      <c r="K2165" t="s">
        <v>29</v>
      </c>
      <c r="L2165" t="s">
        <v>895</v>
      </c>
      <c r="M2165" t="s">
        <v>4402</v>
      </c>
      <c r="O2165" t="s">
        <v>896</v>
      </c>
      <c r="P2165" t="s">
        <v>33</v>
      </c>
      <c r="Q2165">
        <v>14.51</v>
      </c>
      <c r="R2165" t="s">
        <v>35</v>
      </c>
      <c r="S2165" t="s">
        <v>35</v>
      </c>
      <c r="T2165" t="s">
        <v>35</v>
      </c>
      <c r="U2165" t="s">
        <v>35</v>
      </c>
      <c r="V2165" t="s">
        <v>645</v>
      </c>
      <c r="W2165" t="s">
        <v>113</v>
      </c>
    </row>
    <row r="2166" spans="1:23" hidden="1" x14ac:dyDescent="0.25">
      <c r="A2166" s="7" t="str">
        <f>IFERROR(VLOOKUP(H2166,'Contas Orç'!A:B,2,0),"N/A")</f>
        <v>DEPRECIACOES E AMORTIZACOES</v>
      </c>
      <c r="B2166" s="7" t="str">
        <f t="shared" si="66"/>
        <v>320501 - DEPRECIACOES E AMORTIZACOES</v>
      </c>
      <c r="C2166" s="25">
        <f t="shared" si="67"/>
        <v>44805</v>
      </c>
      <c r="D2166" s="27">
        <f>IF(K2166="CREDITO",Q2166,Q2166*-1)</f>
        <v>38.869999999999997</v>
      </c>
      <c r="E2166" t="s">
        <v>894</v>
      </c>
      <c r="F2166" t="s">
        <v>2660</v>
      </c>
      <c r="G2166" s="8">
        <v>44805</v>
      </c>
      <c r="H2166" t="s">
        <v>570</v>
      </c>
      <c r="I2166" t="s">
        <v>59</v>
      </c>
      <c r="J2166" t="s">
        <v>661</v>
      </c>
      <c r="K2166" t="s">
        <v>29</v>
      </c>
      <c r="L2166" t="s">
        <v>895</v>
      </c>
      <c r="M2166" t="s">
        <v>4402</v>
      </c>
      <c r="O2166" t="s">
        <v>896</v>
      </c>
      <c r="P2166" t="s">
        <v>33</v>
      </c>
      <c r="Q2166">
        <v>38.869999999999997</v>
      </c>
      <c r="R2166" t="s">
        <v>35</v>
      </c>
      <c r="S2166" t="s">
        <v>35</v>
      </c>
      <c r="T2166" t="s">
        <v>35</v>
      </c>
      <c r="U2166" t="s">
        <v>35</v>
      </c>
      <c r="V2166" t="s">
        <v>645</v>
      </c>
      <c r="W2166" t="s">
        <v>113</v>
      </c>
    </row>
    <row r="2167" spans="1:23" hidden="1" x14ac:dyDescent="0.25">
      <c r="A2167" s="7" t="str">
        <f>IFERROR(VLOOKUP(H2167,'Contas Orç'!A:B,2,0),"N/A")</f>
        <v>DEPRECIACOES E AMORTIZACOES</v>
      </c>
      <c r="B2167" s="7" t="str">
        <f t="shared" si="66"/>
        <v>320501 - DEPRECIACOES E AMORTIZACOES</v>
      </c>
      <c r="C2167" s="25">
        <f t="shared" si="67"/>
        <v>44805</v>
      </c>
      <c r="D2167" s="27">
        <f>IF(K2167="CREDITO",Q2167,Q2167*-1)</f>
        <v>2800.3</v>
      </c>
      <c r="E2167" t="s">
        <v>894</v>
      </c>
      <c r="F2167" t="s">
        <v>2661</v>
      </c>
      <c r="G2167" s="8">
        <v>44805</v>
      </c>
      <c r="H2167" t="s">
        <v>570</v>
      </c>
      <c r="I2167" t="s">
        <v>2062</v>
      </c>
      <c r="J2167" t="s">
        <v>54</v>
      </c>
      <c r="K2167" t="s">
        <v>29</v>
      </c>
      <c r="L2167" t="s">
        <v>895</v>
      </c>
      <c r="M2167" t="s">
        <v>4402</v>
      </c>
      <c r="O2167" t="s">
        <v>896</v>
      </c>
      <c r="P2167" t="s">
        <v>33</v>
      </c>
      <c r="Q2167" s="22">
        <v>2800.3</v>
      </c>
      <c r="R2167" t="s">
        <v>35</v>
      </c>
      <c r="S2167" t="s">
        <v>35</v>
      </c>
      <c r="T2167" t="s">
        <v>35</v>
      </c>
      <c r="U2167" t="s">
        <v>35</v>
      </c>
      <c r="V2167" t="s">
        <v>645</v>
      </c>
      <c r="W2167" t="s">
        <v>113</v>
      </c>
    </row>
    <row r="2168" spans="1:23" hidden="1" x14ac:dyDescent="0.25">
      <c r="A2168" s="7" t="str">
        <f>IFERROR(VLOOKUP(H2168,'Contas Orç'!A:B,2,0),"N/A")</f>
        <v>DEPRECIACOES E AMORTIZACOES</v>
      </c>
      <c r="B2168" s="7" t="str">
        <f t="shared" si="66"/>
        <v>320501 - DEPRECIACOES E AMORTIZACOES</v>
      </c>
      <c r="C2168" s="25">
        <f t="shared" si="67"/>
        <v>44805</v>
      </c>
      <c r="D2168" s="27">
        <f>IF(K2168="CREDITO",Q2168,Q2168*-1)</f>
        <v>123.93</v>
      </c>
      <c r="E2168" t="s">
        <v>894</v>
      </c>
      <c r="F2168" t="s">
        <v>2662</v>
      </c>
      <c r="G2168" s="8">
        <v>44805</v>
      </c>
      <c r="H2168" t="s">
        <v>570</v>
      </c>
      <c r="I2168" t="s">
        <v>121</v>
      </c>
      <c r="J2168" t="s">
        <v>54</v>
      </c>
      <c r="K2168" t="s">
        <v>29</v>
      </c>
      <c r="L2168" t="s">
        <v>895</v>
      </c>
      <c r="M2168" t="s">
        <v>4402</v>
      </c>
      <c r="O2168" t="s">
        <v>896</v>
      </c>
      <c r="P2168" t="s">
        <v>33</v>
      </c>
      <c r="Q2168">
        <v>123.93</v>
      </c>
      <c r="R2168" t="s">
        <v>35</v>
      </c>
      <c r="S2168" t="s">
        <v>35</v>
      </c>
      <c r="T2168" t="s">
        <v>35</v>
      </c>
      <c r="U2168" t="s">
        <v>35</v>
      </c>
      <c r="V2168" t="s">
        <v>645</v>
      </c>
      <c r="W2168" t="s">
        <v>113</v>
      </c>
    </row>
    <row r="2169" spans="1:23" hidden="1" x14ac:dyDescent="0.25">
      <c r="A2169" s="7" t="str">
        <f>IFERROR(VLOOKUP(H2169,'Contas Orç'!A:B,2,0),"N/A")</f>
        <v>DEPRECIACOES E AMORTIZACOES</v>
      </c>
      <c r="B2169" s="7" t="str">
        <f t="shared" si="66"/>
        <v>320501 - DEPRECIACOES E AMORTIZACOES</v>
      </c>
      <c r="C2169" s="25">
        <f t="shared" si="67"/>
        <v>44805</v>
      </c>
      <c r="D2169" s="27">
        <f>IF(K2169="CREDITO",Q2169,Q2169*-1)</f>
        <v>28.68</v>
      </c>
      <c r="E2169" t="s">
        <v>894</v>
      </c>
      <c r="F2169" t="s">
        <v>2663</v>
      </c>
      <c r="G2169" s="8">
        <v>44805</v>
      </c>
      <c r="H2169" t="s">
        <v>570</v>
      </c>
      <c r="I2169" t="s">
        <v>132</v>
      </c>
      <c r="J2169" t="s">
        <v>54</v>
      </c>
      <c r="K2169" t="s">
        <v>29</v>
      </c>
      <c r="L2169" t="s">
        <v>895</v>
      </c>
      <c r="M2169" t="s">
        <v>4402</v>
      </c>
      <c r="O2169" t="s">
        <v>896</v>
      </c>
      <c r="P2169" t="s">
        <v>33</v>
      </c>
      <c r="Q2169">
        <v>28.68</v>
      </c>
      <c r="R2169" t="s">
        <v>35</v>
      </c>
      <c r="S2169" t="s">
        <v>35</v>
      </c>
      <c r="T2169" t="s">
        <v>35</v>
      </c>
      <c r="U2169" t="s">
        <v>35</v>
      </c>
      <c r="V2169" t="s">
        <v>645</v>
      </c>
      <c r="W2169" t="s">
        <v>113</v>
      </c>
    </row>
    <row r="2170" spans="1:23" hidden="1" x14ac:dyDescent="0.25">
      <c r="A2170" s="7" t="str">
        <f>IFERROR(VLOOKUP(H2170,'Contas Orç'!A:B,2,0),"N/A")</f>
        <v>DEPRECIACOES E AMORTIZACOES</v>
      </c>
      <c r="B2170" s="7" t="str">
        <f t="shared" si="66"/>
        <v>320501 - DEPRECIACOES E AMORTIZACOES</v>
      </c>
      <c r="C2170" s="25">
        <f t="shared" si="67"/>
        <v>44805</v>
      </c>
      <c r="D2170" s="27">
        <f>IF(K2170="CREDITO",Q2170,Q2170*-1)</f>
        <v>25.42</v>
      </c>
      <c r="E2170" t="s">
        <v>894</v>
      </c>
      <c r="F2170" t="s">
        <v>2664</v>
      </c>
      <c r="G2170" s="8">
        <v>44805</v>
      </c>
      <c r="H2170" t="s">
        <v>570</v>
      </c>
      <c r="I2170" t="s">
        <v>75</v>
      </c>
      <c r="J2170" t="s">
        <v>54</v>
      </c>
      <c r="K2170" t="s">
        <v>29</v>
      </c>
      <c r="L2170" t="s">
        <v>895</v>
      </c>
      <c r="M2170" t="s">
        <v>4402</v>
      </c>
      <c r="O2170" t="s">
        <v>896</v>
      </c>
      <c r="P2170" t="s">
        <v>33</v>
      </c>
      <c r="Q2170">
        <v>25.42</v>
      </c>
      <c r="R2170" t="s">
        <v>35</v>
      </c>
      <c r="S2170" t="s">
        <v>35</v>
      </c>
      <c r="T2170" t="s">
        <v>35</v>
      </c>
      <c r="U2170" t="s">
        <v>35</v>
      </c>
      <c r="V2170" t="s">
        <v>645</v>
      </c>
      <c r="W2170" t="s">
        <v>113</v>
      </c>
    </row>
    <row r="2171" spans="1:23" hidden="1" x14ac:dyDescent="0.25">
      <c r="A2171" s="7" t="str">
        <f>IFERROR(VLOOKUP(H2171,'Contas Orç'!A:B,2,0),"N/A")</f>
        <v>DEPRECIACOES E AMORTIZACOES</v>
      </c>
      <c r="B2171" s="7" t="str">
        <f t="shared" si="66"/>
        <v>320501 - DEPRECIACOES E AMORTIZACOES</v>
      </c>
      <c r="C2171" s="25">
        <f t="shared" si="67"/>
        <v>44805</v>
      </c>
      <c r="D2171" s="27">
        <f>IF(K2171="CREDITO",Q2171,Q2171*-1)</f>
        <v>285.98</v>
      </c>
      <c r="E2171" t="s">
        <v>894</v>
      </c>
      <c r="F2171" t="s">
        <v>2665</v>
      </c>
      <c r="G2171" s="8">
        <v>44805</v>
      </c>
      <c r="H2171" t="s">
        <v>570</v>
      </c>
      <c r="I2171" t="s">
        <v>78</v>
      </c>
      <c r="J2171" t="s">
        <v>54</v>
      </c>
      <c r="K2171" t="s">
        <v>29</v>
      </c>
      <c r="L2171" t="s">
        <v>895</v>
      </c>
      <c r="M2171" t="s">
        <v>4402</v>
      </c>
      <c r="O2171" t="s">
        <v>896</v>
      </c>
      <c r="P2171" t="s">
        <v>33</v>
      </c>
      <c r="Q2171">
        <v>285.98</v>
      </c>
      <c r="R2171" t="s">
        <v>35</v>
      </c>
      <c r="S2171" t="s">
        <v>35</v>
      </c>
      <c r="T2171" t="s">
        <v>35</v>
      </c>
      <c r="U2171" t="s">
        <v>35</v>
      </c>
      <c r="V2171" t="s">
        <v>645</v>
      </c>
      <c r="W2171" t="s">
        <v>113</v>
      </c>
    </row>
    <row r="2172" spans="1:23" hidden="1" x14ac:dyDescent="0.25">
      <c r="A2172" s="7" t="str">
        <f>IFERROR(VLOOKUP(H2172,'Contas Orç'!A:B,2,0),"N/A")</f>
        <v>DEPRECIACOES E AMORTIZACOES</v>
      </c>
      <c r="B2172" s="7" t="str">
        <f t="shared" si="66"/>
        <v>320501 - DEPRECIACOES E AMORTIZACOES</v>
      </c>
      <c r="C2172" s="25">
        <f t="shared" si="67"/>
        <v>44805</v>
      </c>
      <c r="D2172" s="27">
        <f>IF(K2172="CREDITO",Q2172,Q2172*-1)</f>
        <v>697.97</v>
      </c>
      <c r="E2172" t="s">
        <v>894</v>
      </c>
      <c r="F2172" t="s">
        <v>2666</v>
      </c>
      <c r="G2172" s="8">
        <v>44805</v>
      </c>
      <c r="H2172" t="s">
        <v>570</v>
      </c>
      <c r="I2172" t="s">
        <v>81</v>
      </c>
      <c r="J2172" t="s">
        <v>54</v>
      </c>
      <c r="K2172" t="s">
        <v>29</v>
      </c>
      <c r="L2172" t="s">
        <v>895</v>
      </c>
      <c r="M2172" t="s">
        <v>4402</v>
      </c>
      <c r="O2172" t="s">
        <v>896</v>
      </c>
      <c r="P2172" t="s">
        <v>33</v>
      </c>
      <c r="Q2172">
        <v>697.97</v>
      </c>
      <c r="R2172" t="s">
        <v>35</v>
      </c>
      <c r="S2172" t="s">
        <v>35</v>
      </c>
      <c r="T2172" t="s">
        <v>35</v>
      </c>
      <c r="U2172" t="s">
        <v>35</v>
      </c>
      <c r="V2172" t="s">
        <v>645</v>
      </c>
      <c r="W2172" t="s">
        <v>113</v>
      </c>
    </row>
    <row r="2173" spans="1:23" hidden="1" x14ac:dyDescent="0.25">
      <c r="A2173" s="7" t="str">
        <f>IFERROR(VLOOKUP(H2173,'Contas Orç'!A:B,2,0),"N/A")</f>
        <v>DEPRECIACOES E AMORTIZACOES</v>
      </c>
      <c r="B2173" s="7" t="str">
        <f t="shared" si="66"/>
        <v>320501 - DEPRECIACOES E AMORTIZACOES</v>
      </c>
      <c r="C2173" s="25">
        <f t="shared" si="67"/>
        <v>44805</v>
      </c>
      <c r="D2173" s="27">
        <f>IF(K2173="CREDITO",Q2173,Q2173*-1)</f>
        <v>33.67</v>
      </c>
      <c r="E2173" t="s">
        <v>894</v>
      </c>
      <c r="F2173" t="s">
        <v>2667</v>
      </c>
      <c r="G2173" s="8">
        <v>44805</v>
      </c>
      <c r="H2173" t="s">
        <v>570</v>
      </c>
      <c r="I2173" t="s">
        <v>136</v>
      </c>
      <c r="J2173" t="s">
        <v>54</v>
      </c>
      <c r="K2173" t="s">
        <v>29</v>
      </c>
      <c r="L2173" t="s">
        <v>895</v>
      </c>
      <c r="M2173" t="s">
        <v>4402</v>
      </c>
      <c r="O2173" t="s">
        <v>896</v>
      </c>
      <c r="P2173" t="s">
        <v>33</v>
      </c>
      <c r="Q2173">
        <v>33.67</v>
      </c>
      <c r="R2173" t="s">
        <v>35</v>
      </c>
      <c r="S2173" t="s">
        <v>35</v>
      </c>
      <c r="T2173" t="s">
        <v>35</v>
      </c>
      <c r="U2173" t="s">
        <v>35</v>
      </c>
      <c r="V2173" t="s">
        <v>645</v>
      </c>
      <c r="W2173" t="s">
        <v>113</v>
      </c>
    </row>
    <row r="2174" spans="1:23" hidden="1" x14ac:dyDescent="0.25">
      <c r="A2174" s="7" t="str">
        <f>IFERROR(VLOOKUP(H2174,'Contas Orç'!A:B,2,0),"N/A")</f>
        <v>DEPRECIACOES E AMORTIZACOES</v>
      </c>
      <c r="B2174" s="7" t="str">
        <f t="shared" si="66"/>
        <v>320501 - DEPRECIACOES E AMORTIZACOES</v>
      </c>
      <c r="C2174" s="25">
        <f t="shared" si="67"/>
        <v>44805</v>
      </c>
      <c r="D2174" s="27">
        <f>IF(K2174="CREDITO",Q2174,Q2174*-1)</f>
        <v>2504.1</v>
      </c>
      <c r="E2174" t="s">
        <v>894</v>
      </c>
      <c r="F2174" t="s">
        <v>2668</v>
      </c>
      <c r="G2174" s="8">
        <v>44805</v>
      </c>
      <c r="H2174" t="s">
        <v>570</v>
      </c>
      <c r="I2174" t="s">
        <v>53</v>
      </c>
      <c r="J2174" t="s">
        <v>54</v>
      </c>
      <c r="K2174" t="s">
        <v>29</v>
      </c>
      <c r="L2174" t="s">
        <v>895</v>
      </c>
      <c r="M2174" t="s">
        <v>4402</v>
      </c>
      <c r="O2174" t="s">
        <v>896</v>
      </c>
      <c r="P2174" t="s">
        <v>33</v>
      </c>
      <c r="Q2174" s="22">
        <v>2504.1</v>
      </c>
      <c r="R2174" t="s">
        <v>35</v>
      </c>
      <c r="S2174" t="s">
        <v>35</v>
      </c>
      <c r="T2174" t="s">
        <v>35</v>
      </c>
      <c r="U2174" t="s">
        <v>35</v>
      </c>
      <c r="V2174" t="s">
        <v>645</v>
      </c>
      <c r="W2174" t="s">
        <v>113</v>
      </c>
    </row>
    <row r="2175" spans="1:23" hidden="1" x14ac:dyDescent="0.25">
      <c r="A2175" s="7" t="str">
        <f>IFERROR(VLOOKUP(H2175,'Contas Orç'!A:B,2,0),"N/A")</f>
        <v>DEPRECIACOES E AMORTIZACOES</v>
      </c>
      <c r="B2175" s="7" t="str">
        <f t="shared" si="66"/>
        <v>320501 - DEPRECIACOES E AMORTIZACOES</v>
      </c>
      <c r="C2175" s="25">
        <f t="shared" si="67"/>
        <v>44805</v>
      </c>
      <c r="D2175" s="27">
        <f>IF(K2175="CREDITO",Q2175,Q2175*-1)</f>
        <v>7.5</v>
      </c>
      <c r="E2175" t="s">
        <v>894</v>
      </c>
      <c r="F2175" t="s">
        <v>2669</v>
      </c>
      <c r="G2175" s="8">
        <v>44805</v>
      </c>
      <c r="H2175" t="s">
        <v>570</v>
      </c>
      <c r="I2175" t="s">
        <v>88</v>
      </c>
      <c r="J2175" t="s">
        <v>54</v>
      </c>
      <c r="K2175" t="s">
        <v>29</v>
      </c>
      <c r="L2175" t="s">
        <v>895</v>
      </c>
      <c r="M2175" t="s">
        <v>4402</v>
      </c>
      <c r="O2175" t="s">
        <v>896</v>
      </c>
      <c r="P2175" t="s">
        <v>33</v>
      </c>
      <c r="Q2175">
        <v>7.5</v>
      </c>
      <c r="R2175" t="s">
        <v>35</v>
      </c>
      <c r="S2175" t="s">
        <v>35</v>
      </c>
      <c r="T2175" t="s">
        <v>35</v>
      </c>
      <c r="U2175" t="s">
        <v>35</v>
      </c>
      <c r="V2175" t="s">
        <v>645</v>
      </c>
      <c r="W2175" t="s">
        <v>113</v>
      </c>
    </row>
    <row r="2176" spans="1:23" hidden="1" x14ac:dyDescent="0.25">
      <c r="A2176" s="7" t="str">
        <f>IFERROR(VLOOKUP(H2176,'Contas Orç'!A:B,2,0),"N/A")</f>
        <v>DEPRECIACOES E AMORTIZACOES</v>
      </c>
      <c r="B2176" s="7" t="str">
        <f t="shared" si="66"/>
        <v>320501 - DEPRECIACOES E AMORTIZACOES</v>
      </c>
      <c r="C2176" s="25">
        <f t="shared" si="67"/>
        <v>44835</v>
      </c>
      <c r="D2176" s="27">
        <f>IF(K2176="CREDITO",Q2176,Q2176*-1)</f>
        <v>54.77</v>
      </c>
      <c r="E2176" t="s">
        <v>894</v>
      </c>
      <c r="F2176" t="s">
        <v>2670</v>
      </c>
      <c r="G2176" s="8">
        <v>44835</v>
      </c>
      <c r="H2176" t="s">
        <v>570</v>
      </c>
      <c r="I2176" t="s">
        <v>88</v>
      </c>
      <c r="J2176" t="s">
        <v>28</v>
      </c>
      <c r="K2176" t="s">
        <v>29</v>
      </c>
      <c r="L2176" t="s">
        <v>895</v>
      </c>
      <c r="M2176" t="s">
        <v>4402</v>
      </c>
      <c r="O2176" t="s">
        <v>896</v>
      </c>
      <c r="P2176" t="s">
        <v>33</v>
      </c>
      <c r="Q2176">
        <v>54.77</v>
      </c>
      <c r="R2176" t="s">
        <v>35</v>
      </c>
      <c r="S2176" t="s">
        <v>35</v>
      </c>
      <c r="T2176" t="s">
        <v>35</v>
      </c>
      <c r="U2176" t="s">
        <v>35</v>
      </c>
      <c r="V2176" t="s">
        <v>645</v>
      </c>
      <c r="W2176" t="s">
        <v>113</v>
      </c>
    </row>
    <row r="2177" spans="1:23" hidden="1" x14ac:dyDescent="0.25">
      <c r="A2177" s="7" t="str">
        <f>IFERROR(VLOOKUP(H2177,'Contas Orç'!A:B,2,0),"N/A")</f>
        <v>DEPRECIACOES E AMORTIZACOES</v>
      </c>
      <c r="B2177" s="7" t="str">
        <f t="shared" si="66"/>
        <v>320501 - DEPRECIACOES E AMORTIZACOES</v>
      </c>
      <c r="C2177" s="25">
        <f t="shared" si="67"/>
        <v>44835</v>
      </c>
      <c r="D2177" s="27">
        <f>IF(K2177="CREDITO",Q2177,Q2177*-1)</f>
        <v>235870.39</v>
      </c>
      <c r="E2177" t="s">
        <v>894</v>
      </c>
      <c r="F2177" t="s">
        <v>2671</v>
      </c>
      <c r="G2177" s="8">
        <v>44835</v>
      </c>
      <c r="H2177" t="s">
        <v>570</v>
      </c>
      <c r="I2177" t="s">
        <v>27</v>
      </c>
      <c r="J2177" t="s">
        <v>28</v>
      </c>
      <c r="K2177" t="s">
        <v>29</v>
      </c>
      <c r="L2177" t="s">
        <v>895</v>
      </c>
      <c r="M2177" t="s">
        <v>4402</v>
      </c>
      <c r="O2177" t="s">
        <v>896</v>
      </c>
      <c r="P2177" t="s">
        <v>33</v>
      </c>
      <c r="Q2177" s="22">
        <v>235870.39</v>
      </c>
      <c r="R2177" t="s">
        <v>35</v>
      </c>
      <c r="S2177" t="s">
        <v>35</v>
      </c>
      <c r="T2177" t="s">
        <v>35</v>
      </c>
      <c r="U2177" t="s">
        <v>35</v>
      </c>
      <c r="V2177" t="s">
        <v>645</v>
      </c>
      <c r="W2177" t="s">
        <v>113</v>
      </c>
    </row>
    <row r="2178" spans="1:23" hidden="1" x14ac:dyDescent="0.25">
      <c r="A2178" s="7" t="str">
        <f>IFERROR(VLOOKUP(H2178,'Contas Orç'!A:B,2,0),"N/A")</f>
        <v>DEPRECIACOES E AMORTIZACOES</v>
      </c>
      <c r="B2178" s="7" t="str">
        <f t="shared" si="66"/>
        <v>320501 - DEPRECIACOES E AMORTIZACOES</v>
      </c>
      <c r="C2178" s="25">
        <f t="shared" si="67"/>
        <v>44835</v>
      </c>
      <c r="D2178" s="27">
        <f>IF(K2178="CREDITO",Q2178,Q2178*-1)</f>
        <v>12625</v>
      </c>
      <c r="E2178" t="s">
        <v>894</v>
      </c>
      <c r="F2178" t="s">
        <v>2672</v>
      </c>
      <c r="G2178" s="8">
        <v>44835</v>
      </c>
      <c r="H2178" t="s">
        <v>570</v>
      </c>
      <c r="I2178" t="s">
        <v>59</v>
      </c>
      <c r="J2178" t="s">
        <v>28</v>
      </c>
      <c r="K2178" t="s">
        <v>29</v>
      </c>
      <c r="L2178" t="s">
        <v>895</v>
      </c>
      <c r="M2178" t="s">
        <v>4402</v>
      </c>
      <c r="O2178" t="s">
        <v>896</v>
      </c>
      <c r="P2178" t="s">
        <v>33</v>
      </c>
      <c r="Q2178" s="22">
        <v>12625</v>
      </c>
      <c r="R2178" t="s">
        <v>35</v>
      </c>
      <c r="S2178" t="s">
        <v>35</v>
      </c>
      <c r="T2178" t="s">
        <v>35</v>
      </c>
      <c r="U2178" t="s">
        <v>35</v>
      </c>
      <c r="V2178" t="s">
        <v>645</v>
      </c>
      <c r="W2178" t="s">
        <v>113</v>
      </c>
    </row>
    <row r="2179" spans="1:23" hidden="1" x14ac:dyDescent="0.25">
      <c r="A2179" s="7" t="str">
        <f>IFERROR(VLOOKUP(H2179,'Contas Orç'!A:B,2,0),"N/A")</f>
        <v>DEPRECIACOES E AMORTIZACOES</v>
      </c>
      <c r="B2179" s="7" t="str">
        <f t="shared" ref="B2179:B2242" si="68">_xlfn.CONCAT(H2179," - ",A2179)</f>
        <v>320501 - DEPRECIACOES E AMORTIZACOES</v>
      </c>
      <c r="C2179" s="25">
        <f t="shared" ref="C2179:C2242" si="69">DATE(YEAR(G2179),MONTH(G2179),1)</f>
        <v>44835</v>
      </c>
      <c r="D2179" s="27">
        <f>IF(K2179="CREDITO",Q2179,Q2179*-1)</f>
        <v>696.5</v>
      </c>
      <c r="E2179" t="s">
        <v>894</v>
      </c>
      <c r="F2179" t="s">
        <v>2673</v>
      </c>
      <c r="G2179" s="8">
        <v>44835</v>
      </c>
      <c r="H2179" t="s">
        <v>570</v>
      </c>
      <c r="I2179" t="s">
        <v>106</v>
      </c>
      <c r="J2179" t="s">
        <v>60</v>
      </c>
      <c r="K2179" t="s">
        <v>29</v>
      </c>
      <c r="L2179" t="s">
        <v>895</v>
      </c>
      <c r="M2179" t="s">
        <v>4402</v>
      </c>
      <c r="O2179" t="s">
        <v>896</v>
      </c>
      <c r="P2179" t="s">
        <v>33</v>
      </c>
      <c r="Q2179">
        <v>696.5</v>
      </c>
      <c r="R2179" t="s">
        <v>35</v>
      </c>
      <c r="S2179" t="s">
        <v>35</v>
      </c>
      <c r="T2179" t="s">
        <v>35</v>
      </c>
      <c r="U2179" t="s">
        <v>35</v>
      </c>
      <c r="V2179" t="s">
        <v>645</v>
      </c>
      <c r="W2179" t="s">
        <v>113</v>
      </c>
    </row>
    <row r="2180" spans="1:23" hidden="1" x14ac:dyDescent="0.25">
      <c r="A2180" s="7" t="str">
        <f>IFERROR(VLOOKUP(H2180,'Contas Orç'!A:B,2,0),"N/A")</f>
        <v>DEPRECIACOES E AMORTIZACOES</v>
      </c>
      <c r="B2180" s="7" t="str">
        <f t="shared" si="68"/>
        <v>320501 - DEPRECIACOES E AMORTIZACOES</v>
      </c>
      <c r="C2180" s="25">
        <f t="shared" si="69"/>
        <v>44835</v>
      </c>
      <c r="D2180" s="27">
        <f>IF(K2180="CREDITO",Q2180,Q2180*-1)</f>
        <v>317442.96999999997</v>
      </c>
      <c r="E2180" t="s">
        <v>894</v>
      </c>
      <c r="F2180" t="s">
        <v>2674</v>
      </c>
      <c r="G2180" s="8">
        <v>44835</v>
      </c>
      <c r="H2180" t="s">
        <v>570</v>
      </c>
      <c r="I2180" t="s">
        <v>59</v>
      </c>
      <c r="J2180" t="s">
        <v>60</v>
      </c>
      <c r="K2180" t="s">
        <v>29</v>
      </c>
      <c r="L2180" t="s">
        <v>895</v>
      </c>
      <c r="M2180" t="s">
        <v>4402</v>
      </c>
      <c r="O2180" t="s">
        <v>896</v>
      </c>
      <c r="P2180" t="s">
        <v>33</v>
      </c>
      <c r="Q2180" s="22">
        <v>317442.96999999997</v>
      </c>
      <c r="R2180" t="s">
        <v>35</v>
      </c>
      <c r="S2180" t="s">
        <v>35</v>
      </c>
      <c r="T2180" t="s">
        <v>35</v>
      </c>
      <c r="U2180" t="s">
        <v>35</v>
      </c>
      <c r="V2180" t="s">
        <v>645</v>
      </c>
      <c r="W2180" t="s">
        <v>113</v>
      </c>
    </row>
    <row r="2181" spans="1:23" hidden="1" x14ac:dyDescent="0.25">
      <c r="A2181" s="7" t="str">
        <f>IFERROR(VLOOKUP(H2181,'Contas Orç'!A:B,2,0),"N/A")</f>
        <v>DEPRECIACOES E AMORTIZACOES</v>
      </c>
      <c r="B2181" s="7" t="str">
        <f t="shared" si="68"/>
        <v>320501 - DEPRECIACOES E AMORTIZACOES</v>
      </c>
      <c r="C2181" s="25">
        <f t="shared" si="69"/>
        <v>44835</v>
      </c>
      <c r="D2181" s="27">
        <f>IF(K2181="CREDITO",Q2181,Q2181*-1)</f>
        <v>1910.59</v>
      </c>
      <c r="E2181" t="s">
        <v>894</v>
      </c>
      <c r="F2181" t="s">
        <v>2675</v>
      </c>
      <c r="G2181" s="8">
        <v>44835</v>
      </c>
      <c r="H2181" t="s">
        <v>570</v>
      </c>
      <c r="I2181" t="s">
        <v>59</v>
      </c>
      <c r="J2181" t="s">
        <v>107</v>
      </c>
      <c r="K2181" t="s">
        <v>29</v>
      </c>
      <c r="L2181" t="s">
        <v>895</v>
      </c>
      <c r="M2181" t="s">
        <v>4402</v>
      </c>
      <c r="O2181" t="s">
        <v>896</v>
      </c>
      <c r="P2181" t="s">
        <v>33</v>
      </c>
      <c r="Q2181" s="22">
        <v>1910.59</v>
      </c>
      <c r="R2181" t="s">
        <v>35</v>
      </c>
      <c r="S2181" t="s">
        <v>35</v>
      </c>
      <c r="T2181" t="s">
        <v>35</v>
      </c>
      <c r="U2181" t="s">
        <v>35</v>
      </c>
      <c r="V2181" t="s">
        <v>645</v>
      </c>
      <c r="W2181" t="s">
        <v>113</v>
      </c>
    </row>
    <row r="2182" spans="1:23" hidden="1" x14ac:dyDescent="0.25">
      <c r="A2182" s="7" t="str">
        <f>IFERROR(VLOOKUP(H2182,'Contas Orç'!A:B,2,0),"N/A")</f>
        <v>DEPRECIACOES E AMORTIZACOES</v>
      </c>
      <c r="B2182" s="7" t="str">
        <f t="shared" si="68"/>
        <v>320501 - DEPRECIACOES E AMORTIZACOES</v>
      </c>
      <c r="C2182" s="25">
        <f t="shared" si="69"/>
        <v>44835</v>
      </c>
      <c r="D2182" s="27">
        <f>IF(K2182="CREDITO",Q2182,Q2182*-1)</f>
        <v>14.66</v>
      </c>
      <c r="E2182" t="s">
        <v>894</v>
      </c>
      <c r="F2182" t="s">
        <v>2676</v>
      </c>
      <c r="G2182" s="8">
        <v>44835</v>
      </c>
      <c r="H2182" t="s">
        <v>570</v>
      </c>
      <c r="I2182" t="s">
        <v>125</v>
      </c>
      <c r="J2182" t="s">
        <v>95</v>
      </c>
      <c r="K2182" t="s">
        <v>29</v>
      </c>
      <c r="L2182" t="s">
        <v>895</v>
      </c>
      <c r="M2182" t="s">
        <v>4402</v>
      </c>
      <c r="O2182" t="s">
        <v>896</v>
      </c>
      <c r="P2182" t="s">
        <v>33</v>
      </c>
      <c r="Q2182">
        <v>14.66</v>
      </c>
      <c r="R2182" t="s">
        <v>35</v>
      </c>
      <c r="S2182" t="s">
        <v>35</v>
      </c>
      <c r="T2182" t="s">
        <v>35</v>
      </c>
      <c r="U2182" t="s">
        <v>35</v>
      </c>
      <c r="V2182" t="s">
        <v>645</v>
      </c>
      <c r="W2182" t="s">
        <v>113</v>
      </c>
    </row>
    <row r="2183" spans="1:23" hidden="1" x14ac:dyDescent="0.25">
      <c r="A2183" s="7" t="str">
        <f>IFERROR(VLOOKUP(H2183,'Contas Orç'!A:B,2,0),"N/A")</f>
        <v>DEPRECIACOES E AMORTIZACOES</v>
      </c>
      <c r="B2183" s="7" t="str">
        <f t="shared" si="68"/>
        <v>320501 - DEPRECIACOES E AMORTIZACOES</v>
      </c>
      <c r="C2183" s="25">
        <f t="shared" si="69"/>
        <v>44835</v>
      </c>
      <c r="D2183" s="27">
        <f>IF(K2183="CREDITO",Q2183,Q2183*-1)</f>
        <v>39.26</v>
      </c>
      <c r="E2183" t="s">
        <v>894</v>
      </c>
      <c r="F2183" t="s">
        <v>2677</v>
      </c>
      <c r="G2183" s="8">
        <v>44835</v>
      </c>
      <c r="H2183" t="s">
        <v>570</v>
      </c>
      <c r="I2183" t="s">
        <v>59</v>
      </c>
      <c r="J2183" t="s">
        <v>661</v>
      </c>
      <c r="K2183" t="s">
        <v>29</v>
      </c>
      <c r="L2183" t="s">
        <v>895</v>
      </c>
      <c r="M2183" t="s">
        <v>4402</v>
      </c>
      <c r="O2183" t="s">
        <v>896</v>
      </c>
      <c r="P2183" t="s">
        <v>33</v>
      </c>
      <c r="Q2183">
        <v>39.26</v>
      </c>
      <c r="R2183" t="s">
        <v>35</v>
      </c>
      <c r="S2183" t="s">
        <v>35</v>
      </c>
      <c r="T2183" t="s">
        <v>35</v>
      </c>
      <c r="U2183" t="s">
        <v>35</v>
      </c>
      <c r="V2183" t="s">
        <v>645</v>
      </c>
      <c r="W2183" t="s">
        <v>113</v>
      </c>
    </row>
    <row r="2184" spans="1:23" hidden="1" x14ac:dyDescent="0.25">
      <c r="A2184" s="7" t="str">
        <f>IFERROR(VLOOKUP(H2184,'Contas Orç'!A:B,2,0),"N/A")</f>
        <v>DEPRECIACOES E AMORTIZACOES</v>
      </c>
      <c r="B2184" s="7" t="str">
        <f t="shared" si="68"/>
        <v>320501 - DEPRECIACOES E AMORTIZACOES</v>
      </c>
      <c r="C2184" s="25">
        <f t="shared" si="69"/>
        <v>44835</v>
      </c>
      <c r="D2184" s="27">
        <f>IF(K2184="CREDITO",Q2184,Q2184*-1)</f>
        <v>2828.3</v>
      </c>
      <c r="E2184" t="s">
        <v>894</v>
      </c>
      <c r="F2184" t="s">
        <v>2678</v>
      </c>
      <c r="G2184" s="8">
        <v>44835</v>
      </c>
      <c r="H2184" t="s">
        <v>570</v>
      </c>
      <c r="I2184" t="s">
        <v>2062</v>
      </c>
      <c r="J2184" t="s">
        <v>54</v>
      </c>
      <c r="K2184" t="s">
        <v>29</v>
      </c>
      <c r="L2184" t="s">
        <v>895</v>
      </c>
      <c r="M2184" t="s">
        <v>4402</v>
      </c>
      <c r="O2184" t="s">
        <v>896</v>
      </c>
      <c r="P2184" t="s">
        <v>33</v>
      </c>
      <c r="Q2184" s="22">
        <v>2828.3</v>
      </c>
      <c r="R2184" t="s">
        <v>35</v>
      </c>
      <c r="S2184" t="s">
        <v>35</v>
      </c>
      <c r="T2184" t="s">
        <v>35</v>
      </c>
      <c r="U2184" t="s">
        <v>35</v>
      </c>
      <c r="V2184" t="s">
        <v>645</v>
      </c>
      <c r="W2184" t="s">
        <v>113</v>
      </c>
    </row>
    <row r="2185" spans="1:23" hidden="1" x14ac:dyDescent="0.25">
      <c r="A2185" s="7" t="str">
        <f>IFERROR(VLOOKUP(H2185,'Contas Orç'!A:B,2,0),"N/A")</f>
        <v>DEPRECIACOES E AMORTIZACOES</v>
      </c>
      <c r="B2185" s="7" t="str">
        <f t="shared" si="68"/>
        <v>320501 - DEPRECIACOES E AMORTIZACOES</v>
      </c>
      <c r="C2185" s="25">
        <f t="shared" si="69"/>
        <v>44835</v>
      </c>
      <c r="D2185" s="27">
        <f>IF(K2185="CREDITO",Q2185,Q2185*-1)</f>
        <v>125.17</v>
      </c>
      <c r="E2185" t="s">
        <v>894</v>
      </c>
      <c r="F2185" t="s">
        <v>2679</v>
      </c>
      <c r="G2185" s="8">
        <v>44835</v>
      </c>
      <c r="H2185" t="s">
        <v>570</v>
      </c>
      <c r="I2185" t="s">
        <v>121</v>
      </c>
      <c r="J2185" t="s">
        <v>54</v>
      </c>
      <c r="K2185" t="s">
        <v>29</v>
      </c>
      <c r="L2185" t="s">
        <v>895</v>
      </c>
      <c r="M2185" t="s">
        <v>4402</v>
      </c>
      <c r="O2185" t="s">
        <v>896</v>
      </c>
      <c r="P2185" t="s">
        <v>33</v>
      </c>
      <c r="Q2185">
        <v>125.17</v>
      </c>
      <c r="R2185" t="s">
        <v>35</v>
      </c>
      <c r="S2185" t="s">
        <v>35</v>
      </c>
      <c r="T2185" t="s">
        <v>35</v>
      </c>
      <c r="U2185" t="s">
        <v>35</v>
      </c>
      <c r="V2185" t="s">
        <v>645</v>
      </c>
      <c r="W2185" t="s">
        <v>113</v>
      </c>
    </row>
    <row r="2186" spans="1:23" hidden="1" x14ac:dyDescent="0.25">
      <c r="A2186" s="7" t="str">
        <f>IFERROR(VLOOKUP(H2186,'Contas Orç'!A:B,2,0),"N/A")</f>
        <v>DEPRECIACOES E AMORTIZACOES</v>
      </c>
      <c r="B2186" s="7" t="str">
        <f t="shared" si="68"/>
        <v>320501 - DEPRECIACOES E AMORTIZACOES</v>
      </c>
      <c r="C2186" s="25">
        <f t="shared" si="69"/>
        <v>44835</v>
      </c>
      <c r="D2186" s="27">
        <f>IF(K2186="CREDITO",Q2186,Q2186*-1)</f>
        <v>28.97</v>
      </c>
      <c r="E2186" t="s">
        <v>894</v>
      </c>
      <c r="F2186" t="s">
        <v>2680</v>
      </c>
      <c r="G2186" s="8">
        <v>44835</v>
      </c>
      <c r="H2186" t="s">
        <v>570</v>
      </c>
      <c r="I2186" t="s">
        <v>132</v>
      </c>
      <c r="J2186" t="s">
        <v>54</v>
      </c>
      <c r="K2186" t="s">
        <v>29</v>
      </c>
      <c r="L2186" t="s">
        <v>895</v>
      </c>
      <c r="M2186" t="s">
        <v>4402</v>
      </c>
      <c r="O2186" t="s">
        <v>896</v>
      </c>
      <c r="P2186" t="s">
        <v>33</v>
      </c>
      <c r="Q2186">
        <v>28.97</v>
      </c>
      <c r="R2186" t="s">
        <v>35</v>
      </c>
      <c r="S2186" t="s">
        <v>35</v>
      </c>
      <c r="T2186" t="s">
        <v>35</v>
      </c>
      <c r="U2186" t="s">
        <v>35</v>
      </c>
      <c r="V2186" t="s">
        <v>645</v>
      </c>
      <c r="W2186" t="s">
        <v>113</v>
      </c>
    </row>
    <row r="2187" spans="1:23" hidden="1" x14ac:dyDescent="0.25">
      <c r="A2187" s="7" t="str">
        <f>IFERROR(VLOOKUP(H2187,'Contas Orç'!A:B,2,0),"N/A")</f>
        <v>DEPRECIACOES E AMORTIZACOES</v>
      </c>
      <c r="B2187" s="7" t="str">
        <f t="shared" si="68"/>
        <v>320501 - DEPRECIACOES E AMORTIZACOES</v>
      </c>
      <c r="C2187" s="25">
        <f t="shared" si="69"/>
        <v>44835</v>
      </c>
      <c r="D2187" s="27">
        <f>IF(K2187="CREDITO",Q2187,Q2187*-1)</f>
        <v>25.67</v>
      </c>
      <c r="E2187" t="s">
        <v>894</v>
      </c>
      <c r="F2187" t="s">
        <v>2681</v>
      </c>
      <c r="G2187" s="8">
        <v>44835</v>
      </c>
      <c r="H2187" t="s">
        <v>570</v>
      </c>
      <c r="I2187" t="s">
        <v>75</v>
      </c>
      <c r="J2187" t="s">
        <v>54</v>
      </c>
      <c r="K2187" t="s">
        <v>29</v>
      </c>
      <c r="L2187" t="s">
        <v>895</v>
      </c>
      <c r="M2187" t="s">
        <v>4402</v>
      </c>
      <c r="O2187" t="s">
        <v>896</v>
      </c>
      <c r="P2187" t="s">
        <v>33</v>
      </c>
      <c r="Q2187">
        <v>25.67</v>
      </c>
      <c r="R2187" t="s">
        <v>35</v>
      </c>
      <c r="S2187" t="s">
        <v>35</v>
      </c>
      <c r="T2187" t="s">
        <v>35</v>
      </c>
      <c r="U2187" t="s">
        <v>35</v>
      </c>
      <c r="V2187" t="s">
        <v>645</v>
      </c>
      <c r="W2187" t="s">
        <v>113</v>
      </c>
    </row>
    <row r="2188" spans="1:23" hidden="1" x14ac:dyDescent="0.25">
      <c r="A2188" s="7" t="str">
        <f>IFERROR(VLOOKUP(H2188,'Contas Orç'!A:B,2,0),"N/A")</f>
        <v>DEPRECIACOES E AMORTIZACOES</v>
      </c>
      <c r="B2188" s="7" t="str">
        <f t="shared" si="68"/>
        <v>320501 - DEPRECIACOES E AMORTIZACOES</v>
      </c>
      <c r="C2188" s="25">
        <f t="shared" si="69"/>
        <v>44835</v>
      </c>
      <c r="D2188" s="27">
        <f>IF(K2188="CREDITO",Q2188,Q2188*-1)</f>
        <v>288.83999999999997</v>
      </c>
      <c r="E2188" t="s">
        <v>894</v>
      </c>
      <c r="F2188" t="s">
        <v>2682</v>
      </c>
      <c r="G2188" s="8">
        <v>44835</v>
      </c>
      <c r="H2188" t="s">
        <v>570</v>
      </c>
      <c r="I2188" t="s">
        <v>78</v>
      </c>
      <c r="J2188" t="s">
        <v>54</v>
      </c>
      <c r="K2188" t="s">
        <v>29</v>
      </c>
      <c r="L2188" t="s">
        <v>895</v>
      </c>
      <c r="M2188" t="s">
        <v>4402</v>
      </c>
      <c r="O2188" t="s">
        <v>896</v>
      </c>
      <c r="P2188" t="s">
        <v>33</v>
      </c>
      <c r="Q2188">
        <v>288.83999999999997</v>
      </c>
      <c r="R2188" t="s">
        <v>35</v>
      </c>
      <c r="S2188" t="s">
        <v>35</v>
      </c>
      <c r="T2188" t="s">
        <v>35</v>
      </c>
      <c r="U2188" t="s">
        <v>35</v>
      </c>
      <c r="V2188" t="s">
        <v>645</v>
      </c>
      <c r="W2188" t="s">
        <v>113</v>
      </c>
    </row>
    <row r="2189" spans="1:23" hidden="1" x14ac:dyDescent="0.25">
      <c r="A2189" s="7" t="str">
        <f>IFERROR(VLOOKUP(H2189,'Contas Orç'!A:B,2,0),"N/A")</f>
        <v>DEPRECIACOES E AMORTIZACOES</v>
      </c>
      <c r="B2189" s="7" t="str">
        <f t="shared" si="68"/>
        <v>320501 - DEPRECIACOES E AMORTIZACOES</v>
      </c>
      <c r="C2189" s="25">
        <f t="shared" si="69"/>
        <v>44835</v>
      </c>
      <c r="D2189" s="27">
        <f>IF(K2189="CREDITO",Q2189,Q2189*-1)</f>
        <v>704.95</v>
      </c>
      <c r="E2189" t="s">
        <v>894</v>
      </c>
      <c r="F2189" t="s">
        <v>2683</v>
      </c>
      <c r="G2189" s="8">
        <v>44835</v>
      </c>
      <c r="H2189" t="s">
        <v>570</v>
      </c>
      <c r="I2189" t="s">
        <v>81</v>
      </c>
      <c r="J2189" t="s">
        <v>54</v>
      </c>
      <c r="K2189" t="s">
        <v>29</v>
      </c>
      <c r="L2189" t="s">
        <v>895</v>
      </c>
      <c r="M2189" t="s">
        <v>4402</v>
      </c>
      <c r="O2189" t="s">
        <v>896</v>
      </c>
      <c r="P2189" t="s">
        <v>33</v>
      </c>
      <c r="Q2189">
        <v>704.95</v>
      </c>
      <c r="R2189" t="s">
        <v>35</v>
      </c>
      <c r="S2189" t="s">
        <v>35</v>
      </c>
      <c r="T2189" t="s">
        <v>35</v>
      </c>
      <c r="U2189" t="s">
        <v>35</v>
      </c>
      <c r="V2189" t="s">
        <v>645</v>
      </c>
      <c r="W2189" t="s">
        <v>113</v>
      </c>
    </row>
    <row r="2190" spans="1:23" hidden="1" x14ac:dyDescent="0.25">
      <c r="A2190" s="7" t="str">
        <f>IFERROR(VLOOKUP(H2190,'Contas Orç'!A:B,2,0),"N/A")</f>
        <v>DEPRECIACOES E AMORTIZACOES</v>
      </c>
      <c r="B2190" s="7" t="str">
        <f t="shared" si="68"/>
        <v>320501 - DEPRECIACOES E AMORTIZACOES</v>
      </c>
      <c r="C2190" s="25">
        <f t="shared" si="69"/>
        <v>44835</v>
      </c>
      <c r="D2190" s="27">
        <f>IF(K2190="CREDITO",Q2190,Q2190*-1)</f>
        <v>34.01</v>
      </c>
      <c r="E2190" t="s">
        <v>894</v>
      </c>
      <c r="F2190" t="s">
        <v>2684</v>
      </c>
      <c r="G2190" s="8">
        <v>44835</v>
      </c>
      <c r="H2190" t="s">
        <v>570</v>
      </c>
      <c r="I2190" t="s">
        <v>136</v>
      </c>
      <c r="J2190" t="s">
        <v>54</v>
      </c>
      <c r="K2190" t="s">
        <v>29</v>
      </c>
      <c r="L2190" t="s">
        <v>895</v>
      </c>
      <c r="M2190" t="s">
        <v>4402</v>
      </c>
      <c r="O2190" t="s">
        <v>896</v>
      </c>
      <c r="P2190" t="s">
        <v>33</v>
      </c>
      <c r="Q2190">
        <v>34.01</v>
      </c>
      <c r="R2190" t="s">
        <v>35</v>
      </c>
      <c r="S2190" t="s">
        <v>35</v>
      </c>
      <c r="T2190" t="s">
        <v>35</v>
      </c>
      <c r="U2190" t="s">
        <v>35</v>
      </c>
      <c r="V2190" t="s">
        <v>645</v>
      </c>
      <c r="W2190" t="s">
        <v>113</v>
      </c>
    </row>
    <row r="2191" spans="1:23" hidden="1" x14ac:dyDescent="0.25">
      <c r="A2191" s="7" t="str">
        <f>IFERROR(VLOOKUP(H2191,'Contas Orç'!A:B,2,0),"N/A")</f>
        <v>DEPRECIACOES E AMORTIZACOES</v>
      </c>
      <c r="B2191" s="7" t="str">
        <f t="shared" si="68"/>
        <v>320501 - DEPRECIACOES E AMORTIZACOES</v>
      </c>
      <c r="C2191" s="25">
        <f t="shared" si="69"/>
        <v>44835</v>
      </c>
      <c r="D2191" s="27">
        <f>IF(K2191="CREDITO",Q2191,Q2191*-1)</f>
        <v>2529.14</v>
      </c>
      <c r="E2191" t="s">
        <v>894</v>
      </c>
      <c r="F2191" t="s">
        <v>2685</v>
      </c>
      <c r="G2191" s="8">
        <v>44835</v>
      </c>
      <c r="H2191" t="s">
        <v>570</v>
      </c>
      <c r="I2191" t="s">
        <v>53</v>
      </c>
      <c r="J2191" t="s">
        <v>54</v>
      </c>
      <c r="K2191" t="s">
        <v>29</v>
      </c>
      <c r="L2191" t="s">
        <v>895</v>
      </c>
      <c r="M2191" t="s">
        <v>4402</v>
      </c>
      <c r="O2191" t="s">
        <v>896</v>
      </c>
      <c r="P2191" t="s">
        <v>33</v>
      </c>
      <c r="Q2191" s="22">
        <v>2529.14</v>
      </c>
      <c r="R2191" t="s">
        <v>35</v>
      </c>
      <c r="S2191" t="s">
        <v>35</v>
      </c>
      <c r="T2191" t="s">
        <v>35</v>
      </c>
      <c r="U2191" t="s">
        <v>35</v>
      </c>
      <c r="V2191" t="s">
        <v>645</v>
      </c>
      <c r="W2191" t="s">
        <v>113</v>
      </c>
    </row>
    <row r="2192" spans="1:23" hidden="1" x14ac:dyDescent="0.25">
      <c r="A2192" s="7" t="str">
        <f>IFERROR(VLOOKUP(H2192,'Contas Orç'!A:B,2,0),"N/A")</f>
        <v>DEPRECIACOES E AMORTIZACOES</v>
      </c>
      <c r="B2192" s="7" t="str">
        <f t="shared" si="68"/>
        <v>320501 - DEPRECIACOES E AMORTIZACOES</v>
      </c>
      <c r="C2192" s="25">
        <f t="shared" si="69"/>
        <v>44835</v>
      </c>
      <c r="D2192" s="27">
        <f>IF(K2192="CREDITO",Q2192,Q2192*-1)</f>
        <v>7.58</v>
      </c>
      <c r="E2192" t="s">
        <v>894</v>
      </c>
      <c r="F2192" t="s">
        <v>2686</v>
      </c>
      <c r="G2192" s="8">
        <v>44835</v>
      </c>
      <c r="H2192" t="s">
        <v>570</v>
      </c>
      <c r="I2192" t="s">
        <v>88</v>
      </c>
      <c r="J2192" t="s">
        <v>54</v>
      </c>
      <c r="K2192" t="s">
        <v>29</v>
      </c>
      <c r="L2192" t="s">
        <v>895</v>
      </c>
      <c r="M2192" t="s">
        <v>4402</v>
      </c>
      <c r="O2192" t="s">
        <v>896</v>
      </c>
      <c r="P2192" t="s">
        <v>33</v>
      </c>
      <c r="Q2192">
        <v>7.58</v>
      </c>
      <c r="R2192" t="s">
        <v>35</v>
      </c>
      <c r="S2192" t="s">
        <v>35</v>
      </c>
      <c r="T2192" t="s">
        <v>35</v>
      </c>
      <c r="U2192" t="s">
        <v>35</v>
      </c>
      <c r="V2192" t="s">
        <v>645</v>
      </c>
      <c r="W2192" t="s">
        <v>113</v>
      </c>
    </row>
    <row r="2193" spans="1:23" hidden="1" x14ac:dyDescent="0.25">
      <c r="A2193" s="7" t="str">
        <f>IFERROR(VLOOKUP(H2193,'Contas Orç'!A:B,2,0),"N/A")</f>
        <v>DEPRECIACOES E AMORTIZACOES</v>
      </c>
      <c r="B2193" s="7" t="str">
        <f t="shared" si="68"/>
        <v>320501 - DEPRECIACOES E AMORTIZACOES</v>
      </c>
      <c r="C2193" s="25">
        <f t="shared" si="69"/>
        <v>44866</v>
      </c>
      <c r="D2193" s="27">
        <f>IF(K2193="CREDITO",Q2193,Q2193*-1)</f>
        <v>55.32</v>
      </c>
      <c r="E2193" t="s">
        <v>894</v>
      </c>
      <c r="F2193" t="s">
        <v>2687</v>
      </c>
      <c r="G2193" s="8">
        <v>44866</v>
      </c>
      <c r="H2193" t="s">
        <v>570</v>
      </c>
      <c r="I2193" t="s">
        <v>88</v>
      </c>
      <c r="J2193" t="s">
        <v>28</v>
      </c>
      <c r="K2193" t="s">
        <v>29</v>
      </c>
      <c r="L2193" t="s">
        <v>895</v>
      </c>
      <c r="M2193" t="s">
        <v>4402</v>
      </c>
      <c r="O2193" t="s">
        <v>896</v>
      </c>
      <c r="P2193" t="s">
        <v>33</v>
      </c>
      <c r="Q2193">
        <v>55.32</v>
      </c>
      <c r="R2193" t="s">
        <v>35</v>
      </c>
      <c r="S2193" t="s">
        <v>35</v>
      </c>
      <c r="T2193" t="s">
        <v>35</v>
      </c>
      <c r="U2193" t="s">
        <v>35</v>
      </c>
      <c r="V2193" t="s">
        <v>645</v>
      </c>
      <c r="W2193" t="s">
        <v>113</v>
      </c>
    </row>
    <row r="2194" spans="1:23" hidden="1" x14ac:dyDescent="0.25">
      <c r="A2194" s="7" t="str">
        <f>IFERROR(VLOOKUP(H2194,'Contas Orç'!A:B,2,0),"N/A")</f>
        <v>DEPRECIACOES E AMORTIZACOES</v>
      </c>
      <c r="B2194" s="7" t="str">
        <f t="shared" si="68"/>
        <v>320501 - DEPRECIACOES E AMORTIZACOES</v>
      </c>
      <c r="C2194" s="25">
        <f t="shared" si="69"/>
        <v>44866</v>
      </c>
      <c r="D2194" s="27">
        <f>IF(K2194="CREDITO",Q2194,Q2194*-1)</f>
        <v>238229.09</v>
      </c>
      <c r="E2194" t="s">
        <v>894</v>
      </c>
      <c r="F2194" t="s">
        <v>2688</v>
      </c>
      <c r="G2194" s="8">
        <v>44866</v>
      </c>
      <c r="H2194" t="s">
        <v>570</v>
      </c>
      <c r="I2194" t="s">
        <v>27</v>
      </c>
      <c r="J2194" t="s">
        <v>28</v>
      </c>
      <c r="K2194" t="s">
        <v>29</v>
      </c>
      <c r="L2194" t="s">
        <v>895</v>
      </c>
      <c r="M2194" t="s">
        <v>4402</v>
      </c>
      <c r="O2194" t="s">
        <v>896</v>
      </c>
      <c r="P2194" t="s">
        <v>33</v>
      </c>
      <c r="Q2194" s="22">
        <v>238229.09</v>
      </c>
      <c r="R2194" t="s">
        <v>35</v>
      </c>
      <c r="S2194" t="s">
        <v>35</v>
      </c>
      <c r="T2194" t="s">
        <v>35</v>
      </c>
      <c r="U2194" t="s">
        <v>35</v>
      </c>
      <c r="V2194" t="s">
        <v>645</v>
      </c>
      <c r="W2194" t="s">
        <v>113</v>
      </c>
    </row>
    <row r="2195" spans="1:23" hidden="1" x14ac:dyDescent="0.25">
      <c r="A2195" s="7" t="str">
        <f>IFERROR(VLOOKUP(H2195,'Contas Orç'!A:B,2,0),"N/A")</f>
        <v>DEPRECIACOES E AMORTIZACOES</v>
      </c>
      <c r="B2195" s="7" t="str">
        <f t="shared" si="68"/>
        <v>320501 - DEPRECIACOES E AMORTIZACOES</v>
      </c>
      <c r="C2195" s="25">
        <f t="shared" si="69"/>
        <v>44866</v>
      </c>
      <c r="D2195" s="27">
        <f>IF(K2195="CREDITO",Q2195,Q2195*-1)</f>
        <v>12751.25</v>
      </c>
      <c r="E2195" t="s">
        <v>894</v>
      </c>
      <c r="F2195" t="s">
        <v>2689</v>
      </c>
      <c r="G2195" s="8">
        <v>44866</v>
      </c>
      <c r="H2195" t="s">
        <v>570</v>
      </c>
      <c r="I2195" t="s">
        <v>59</v>
      </c>
      <c r="J2195" t="s">
        <v>28</v>
      </c>
      <c r="K2195" t="s">
        <v>29</v>
      </c>
      <c r="L2195" t="s">
        <v>895</v>
      </c>
      <c r="M2195" t="s">
        <v>4402</v>
      </c>
      <c r="O2195" t="s">
        <v>896</v>
      </c>
      <c r="P2195" t="s">
        <v>33</v>
      </c>
      <c r="Q2195" s="22">
        <v>12751.25</v>
      </c>
      <c r="R2195" t="s">
        <v>35</v>
      </c>
      <c r="S2195" t="s">
        <v>35</v>
      </c>
      <c r="T2195" t="s">
        <v>35</v>
      </c>
      <c r="U2195" t="s">
        <v>35</v>
      </c>
      <c r="V2195" t="s">
        <v>645</v>
      </c>
      <c r="W2195" t="s">
        <v>113</v>
      </c>
    </row>
    <row r="2196" spans="1:23" hidden="1" x14ac:dyDescent="0.25">
      <c r="A2196" s="7" t="str">
        <f>IFERROR(VLOOKUP(H2196,'Contas Orç'!A:B,2,0),"N/A")</f>
        <v>DEPRECIACOES E AMORTIZACOES</v>
      </c>
      <c r="B2196" s="7" t="str">
        <f t="shared" si="68"/>
        <v>320501 - DEPRECIACOES E AMORTIZACOES</v>
      </c>
      <c r="C2196" s="25">
        <f t="shared" si="69"/>
        <v>44866</v>
      </c>
      <c r="D2196" s="27">
        <f>IF(K2196="CREDITO",Q2196,Q2196*-1)</f>
        <v>703.46</v>
      </c>
      <c r="E2196" t="s">
        <v>894</v>
      </c>
      <c r="F2196" t="s">
        <v>2690</v>
      </c>
      <c r="G2196" s="8">
        <v>44866</v>
      </c>
      <c r="H2196" t="s">
        <v>570</v>
      </c>
      <c r="I2196" t="s">
        <v>106</v>
      </c>
      <c r="J2196" t="s">
        <v>60</v>
      </c>
      <c r="K2196" t="s">
        <v>29</v>
      </c>
      <c r="L2196" t="s">
        <v>895</v>
      </c>
      <c r="M2196" t="s">
        <v>4402</v>
      </c>
      <c r="O2196" t="s">
        <v>896</v>
      </c>
      <c r="P2196" t="s">
        <v>33</v>
      </c>
      <c r="Q2196">
        <v>703.46</v>
      </c>
      <c r="R2196" t="s">
        <v>35</v>
      </c>
      <c r="S2196" t="s">
        <v>35</v>
      </c>
      <c r="T2196" t="s">
        <v>35</v>
      </c>
      <c r="U2196" t="s">
        <v>35</v>
      </c>
      <c r="V2196" t="s">
        <v>645</v>
      </c>
      <c r="W2196" t="s">
        <v>113</v>
      </c>
    </row>
    <row r="2197" spans="1:23" hidden="1" x14ac:dyDescent="0.25">
      <c r="A2197" s="7" t="str">
        <f>IFERROR(VLOOKUP(H2197,'Contas Orç'!A:B,2,0),"N/A")</f>
        <v>DEPRECIACOES E AMORTIZACOES</v>
      </c>
      <c r="B2197" s="7" t="str">
        <f t="shared" si="68"/>
        <v>320501 - DEPRECIACOES E AMORTIZACOES</v>
      </c>
      <c r="C2197" s="25">
        <f t="shared" si="69"/>
        <v>44866</v>
      </c>
      <c r="D2197" s="27">
        <f>IF(K2197="CREDITO",Q2197,Q2197*-1)</f>
        <v>320617.40000000002</v>
      </c>
      <c r="E2197" t="s">
        <v>894</v>
      </c>
      <c r="F2197" t="s">
        <v>2691</v>
      </c>
      <c r="G2197" s="8">
        <v>44866</v>
      </c>
      <c r="H2197" t="s">
        <v>570</v>
      </c>
      <c r="I2197" t="s">
        <v>59</v>
      </c>
      <c r="J2197" t="s">
        <v>60</v>
      </c>
      <c r="K2197" t="s">
        <v>29</v>
      </c>
      <c r="L2197" t="s">
        <v>895</v>
      </c>
      <c r="M2197" t="s">
        <v>4402</v>
      </c>
      <c r="O2197" t="s">
        <v>896</v>
      </c>
      <c r="P2197" t="s">
        <v>33</v>
      </c>
      <c r="Q2197" s="22">
        <v>320617.40000000002</v>
      </c>
      <c r="R2197" t="s">
        <v>35</v>
      </c>
      <c r="S2197" t="s">
        <v>35</v>
      </c>
      <c r="T2197" t="s">
        <v>35</v>
      </c>
      <c r="U2197" t="s">
        <v>35</v>
      </c>
      <c r="V2197" t="s">
        <v>645</v>
      </c>
      <c r="W2197" t="s">
        <v>113</v>
      </c>
    </row>
    <row r="2198" spans="1:23" hidden="1" x14ac:dyDescent="0.25">
      <c r="A2198" s="7" t="str">
        <f>IFERROR(VLOOKUP(H2198,'Contas Orç'!A:B,2,0),"N/A")</f>
        <v>DEPRECIACOES E AMORTIZACOES</v>
      </c>
      <c r="B2198" s="7" t="str">
        <f t="shared" si="68"/>
        <v>320501 - DEPRECIACOES E AMORTIZACOES</v>
      </c>
      <c r="C2198" s="25">
        <f t="shared" si="69"/>
        <v>44866</v>
      </c>
      <c r="D2198" s="27">
        <f>IF(K2198="CREDITO",Q2198,Q2198*-1)</f>
        <v>1929.69</v>
      </c>
      <c r="E2198" t="s">
        <v>894</v>
      </c>
      <c r="F2198" t="s">
        <v>2692</v>
      </c>
      <c r="G2198" s="8">
        <v>44866</v>
      </c>
      <c r="H2198" t="s">
        <v>570</v>
      </c>
      <c r="I2198" t="s">
        <v>59</v>
      </c>
      <c r="J2198" t="s">
        <v>107</v>
      </c>
      <c r="K2198" t="s">
        <v>29</v>
      </c>
      <c r="L2198" t="s">
        <v>895</v>
      </c>
      <c r="M2198" t="s">
        <v>4402</v>
      </c>
      <c r="O2198" t="s">
        <v>896</v>
      </c>
      <c r="P2198" t="s">
        <v>33</v>
      </c>
      <c r="Q2198" s="22">
        <v>1929.69</v>
      </c>
      <c r="R2198" t="s">
        <v>35</v>
      </c>
      <c r="S2198" t="s">
        <v>35</v>
      </c>
      <c r="T2198" t="s">
        <v>35</v>
      </c>
      <c r="U2198" t="s">
        <v>35</v>
      </c>
      <c r="V2198" t="s">
        <v>645</v>
      </c>
      <c r="W2198" t="s">
        <v>113</v>
      </c>
    </row>
    <row r="2199" spans="1:23" hidden="1" x14ac:dyDescent="0.25">
      <c r="A2199" s="7" t="str">
        <f>IFERROR(VLOOKUP(H2199,'Contas Orç'!A:B,2,0),"N/A")</f>
        <v>DEPRECIACOES E AMORTIZACOES</v>
      </c>
      <c r="B2199" s="7" t="str">
        <f t="shared" si="68"/>
        <v>320501 - DEPRECIACOES E AMORTIZACOES</v>
      </c>
      <c r="C2199" s="25">
        <f t="shared" si="69"/>
        <v>44866</v>
      </c>
      <c r="D2199" s="27">
        <f>IF(K2199="CREDITO",Q2199,Q2199*-1)</f>
        <v>14.8</v>
      </c>
      <c r="E2199" t="s">
        <v>894</v>
      </c>
      <c r="F2199" t="s">
        <v>2693</v>
      </c>
      <c r="G2199" s="8">
        <v>44866</v>
      </c>
      <c r="H2199" t="s">
        <v>570</v>
      </c>
      <c r="I2199" t="s">
        <v>125</v>
      </c>
      <c r="J2199" t="s">
        <v>95</v>
      </c>
      <c r="K2199" t="s">
        <v>29</v>
      </c>
      <c r="L2199" t="s">
        <v>895</v>
      </c>
      <c r="M2199" t="s">
        <v>4402</v>
      </c>
      <c r="O2199" t="s">
        <v>896</v>
      </c>
      <c r="P2199" t="s">
        <v>33</v>
      </c>
      <c r="Q2199">
        <v>14.8</v>
      </c>
      <c r="R2199" t="s">
        <v>35</v>
      </c>
      <c r="S2199" t="s">
        <v>35</v>
      </c>
      <c r="T2199" t="s">
        <v>35</v>
      </c>
      <c r="U2199" t="s">
        <v>35</v>
      </c>
      <c r="V2199" t="s">
        <v>645</v>
      </c>
      <c r="W2199" t="s">
        <v>113</v>
      </c>
    </row>
    <row r="2200" spans="1:23" hidden="1" x14ac:dyDescent="0.25">
      <c r="A2200" s="7" t="str">
        <f>IFERROR(VLOOKUP(H2200,'Contas Orç'!A:B,2,0),"N/A")</f>
        <v>DEPRECIACOES E AMORTIZACOES</v>
      </c>
      <c r="B2200" s="7" t="str">
        <f t="shared" si="68"/>
        <v>320501 - DEPRECIACOES E AMORTIZACOES</v>
      </c>
      <c r="C2200" s="25">
        <f t="shared" si="69"/>
        <v>44866</v>
      </c>
      <c r="D2200" s="27">
        <f>IF(K2200="CREDITO",Q2200,Q2200*-1)</f>
        <v>39.65</v>
      </c>
      <c r="E2200" t="s">
        <v>894</v>
      </c>
      <c r="F2200" t="s">
        <v>2694</v>
      </c>
      <c r="G2200" s="8">
        <v>44866</v>
      </c>
      <c r="H2200" t="s">
        <v>570</v>
      </c>
      <c r="I2200" t="s">
        <v>59</v>
      </c>
      <c r="J2200" t="s">
        <v>661</v>
      </c>
      <c r="K2200" t="s">
        <v>29</v>
      </c>
      <c r="L2200" t="s">
        <v>895</v>
      </c>
      <c r="M2200" t="s">
        <v>4402</v>
      </c>
      <c r="O2200" t="s">
        <v>896</v>
      </c>
      <c r="P2200" t="s">
        <v>33</v>
      </c>
      <c r="Q2200">
        <v>39.65</v>
      </c>
      <c r="R2200" t="s">
        <v>35</v>
      </c>
      <c r="S2200" t="s">
        <v>35</v>
      </c>
      <c r="T2200" t="s">
        <v>35</v>
      </c>
      <c r="U2200" t="s">
        <v>35</v>
      </c>
      <c r="V2200" t="s">
        <v>645</v>
      </c>
      <c r="W2200" t="s">
        <v>113</v>
      </c>
    </row>
    <row r="2201" spans="1:23" hidden="1" x14ac:dyDescent="0.25">
      <c r="A2201" s="7" t="str">
        <f>IFERROR(VLOOKUP(H2201,'Contas Orç'!A:B,2,0),"N/A")</f>
        <v>DEPRECIACOES E AMORTIZACOES</v>
      </c>
      <c r="B2201" s="7" t="str">
        <f t="shared" si="68"/>
        <v>320501 - DEPRECIACOES E AMORTIZACOES</v>
      </c>
      <c r="C2201" s="25">
        <f t="shared" si="69"/>
        <v>44866</v>
      </c>
      <c r="D2201" s="27">
        <f>IF(K2201="CREDITO",Q2201,Q2201*-1)</f>
        <v>2856.59</v>
      </c>
      <c r="E2201" t="s">
        <v>894</v>
      </c>
      <c r="F2201" t="s">
        <v>2695</v>
      </c>
      <c r="G2201" s="8">
        <v>44866</v>
      </c>
      <c r="H2201" t="s">
        <v>570</v>
      </c>
      <c r="I2201" t="s">
        <v>2062</v>
      </c>
      <c r="J2201" t="s">
        <v>54</v>
      </c>
      <c r="K2201" t="s">
        <v>29</v>
      </c>
      <c r="L2201" t="s">
        <v>895</v>
      </c>
      <c r="M2201" t="s">
        <v>4402</v>
      </c>
      <c r="O2201" t="s">
        <v>896</v>
      </c>
      <c r="P2201" t="s">
        <v>33</v>
      </c>
      <c r="Q2201" s="22">
        <v>2856.59</v>
      </c>
      <c r="R2201" t="s">
        <v>35</v>
      </c>
      <c r="S2201" t="s">
        <v>35</v>
      </c>
      <c r="T2201" t="s">
        <v>35</v>
      </c>
      <c r="U2201" t="s">
        <v>35</v>
      </c>
      <c r="V2201" t="s">
        <v>645</v>
      </c>
      <c r="W2201" t="s">
        <v>113</v>
      </c>
    </row>
    <row r="2202" spans="1:23" hidden="1" x14ac:dyDescent="0.25">
      <c r="A2202" s="7" t="str">
        <f>IFERROR(VLOOKUP(H2202,'Contas Orç'!A:B,2,0),"N/A")</f>
        <v>DEPRECIACOES E AMORTIZACOES</v>
      </c>
      <c r="B2202" s="7" t="str">
        <f t="shared" si="68"/>
        <v>320501 - DEPRECIACOES E AMORTIZACOES</v>
      </c>
      <c r="C2202" s="25">
        <f t="shared" si="69"/>
        <v>44866</v>
      </c>
      <c r="D2202" s="27">
        <f>IF(K2202="CREDITO",Q2202,Q2202*-1)</f>
        <v>126.42</v>
      </c>
      <c r="E2202" t="s">
        <v>894</v>
      </c>
      <c r="F2202" t="s">
        <v>2696</v>
      </c>
      <c r="G2202" s="8">
        <v>44866</v>
      </c>
      <c r="H2202" t="s">
        <v>570</v>
      </c>
      <c r="I2202" t="s">
        <v>121</v>
      </c>
      <c r="J2202" t="s">
        <v>54</v>
      </c>
      <c r="K2202" t="s">
        <v>29</v>
      </c>
      <c r="L2202" t="s">
        <v>895</v>
      </c>
      <c r="M2202" t="s">
        <v>4402</v>
      </c>
      <c r="O2202" t="s">
        <v>896</v>
      </c>
      <c r="P2202" t="s">
        <v>33</v>
      </c>
      <c r="Q2202">
        <v>126.42</v>
      </c>
      <c r="R2202" t="s">
        <v>35</v>
      </c>
      <c r="S2202" t="s">
        <v>35</v>
      </c>
      <c r="T2202" t="s">
        <v>35</v>
      </c>
      <c r="U2202" t="s">
        <v>35</v>
      </c>
      <c r="V2202" t="s">
        <v>645</v>
      </c>
      <c r="W2202" t="s">
        <v>113</v>
      </c>
    </row>
    <row r="2203" spans="1:23" hidden="1" x14ac:dyDescent="0.25">
      <c r="A2203" s="7" t="str">
        <f>IFERROR(VLOOKUP(H2203,'Contas Orç'!A:B,2,0),"N/A")</f>
        <v>DEPRECIACOES E AMORTIZACOES</v>
      </c>
      <c r="B2203" s="7" t="str">
        <f t="shared" si="68"/>
        <v>320501 - DEPRECIACOES E AMORTIZACOES</v>
      </c>
      <c r="C2203" s="25">
        <f t="shared" si="69"/>
        <v>44866</v>
      </c>
      <c r="D2203" s="27">
        <f>IF(K2203="CREDITO",Q2203,Q2203*-1)</f>
        <v>29.26</v>
      </c>
      <c r="E2203" t="s">
        <v>894</v>
      </c>
      <c r="F2203" t="s">
        <v>2697</v>
      </c>
      <c r="G2203" s="8">
        <v>44866</v>
      </c>
      <c r="H2203" t="s">
        <v>570</v>
      </c>
      <c r="I2203" t="s">
        <v>132</v>
      </c>
      <c r="J2203" t="s">
        <v>54</v>
      </c>
      <c r="K2203" t="s">
        <v>29</v>
      </c>
      <c r="L2203" t="s">
        <v>895</v>
      </c>
      <c r="M2203" t="s">
        <v>4402</v>
      </c>
      <c r="O2203" t="s">
        <v>896</v>
      </c>
      <c r="P2203" t="s">
        <v>33</v>
      </c>
      <c r="Q2203">
        <v>29.26</v>
      </c>
      <c r="R2203" t="s">
        <v>35</v>
      </c>
      <c r="S2203" t="s">
        <v>35</v>
      </c>
      <c r="T2203" t="s">
        <v>35</v>
      </c>
      <c r="U2203" t="s">
        <v>35</v>
      </c>
      <c r="V2203" t="s">
        <v>645</v>
      </c>
      <c r="W2203" t="s">
        <v>113</v>
      </c>
    </row>
    <row r="2204" spans="1:23" hidden="1" x14ac:dyDescent="0.25">
      <c r="A2204" s="7" t="str">
        <f>IFERROR(VLOOKUP(H2204,'Contas Orç'!A:B,2,0),"N/A")</f>
        <v>DEPRECIACOES E AMORTIZACOES</v>
      </c>
      <c r="B2204" s="7" t="str">
        <f t="shared" si="68"/>
        <v>320501 - DEPRECIACOES E AMORTIZACOES</v>
      </c>
      <c r="C2204" s="25">
        <f t="shared" si="69"/>
        <v>44866</v>
      </c>
      <c r="D2204" s="27">
        <f>IF(K2204="CREDITO",Q2204,Q2204*-1)</f>
        <v>25.93</v>
      </c>
      <c r="E2204" t="s">
        <v>894</v>
      </c>
      <c r="F2204" t="s">
        <v>2698</v>
      </c>
      <c r="G2204" s="8">
        <v>44866</v>
      </c>
      <c r="H2204" t="s">
        <v>570</v>
      </c>
      <c r="I2204" t="s">
        <v>75</v>
      </c>
      <c r="J2204" t="s">
        <v>54</v>
      </c>
      <c r="K2204" t="s">
        <v>29</v>
      </c>
      <c r="L2204" t="s">
        <v>895</v>
      </c>
      <c r="M2204" t="s">
        <v>4402</v>
      </c>
      <c r="O2204" t="s">
        <v>896</v>
      </c>
      <c r="P2204" t="s">
        <v>33</v>
      </c>
      <c r="Q2204">
        <v>25.93</v>
      </c>
      <c r="R2204" t="s">
        <v>35</v>
      </c>
      <c r="S2204" t="s">
        <v>35</v>
      </c>
      <c r="T2204" t="s">
        <v>35</v>
      </c>
      <c r="U2204" t="s">
        <v>35</v>
      </c>
      <c r="V2204" t="s">
        <v>645</v>
      </c>
      <c r="W2204" t="s">
        <v>113</v>
      </c>
    </row>
    <row r="2205" spans="1:23" hidden="1" x14ac:dyDescent="0.25">
      <c r="A2205" s="7" t="str">
        <f>IFERROR(VLOOKUP(H2205,'Contas Orç'!A:B,2,0),"N/A")</f>
        <v>DEPRECIACOES E AMORTIZACOES</v>
      </c>
      <c r="B2205" s="7" t="str">
        <f t="shared" si="68"/>
        <v>320501 - DEPRECIACOES E AMORTIZACOES</v>
      </c>
      <c r="C2205" s="25">
        <f t="shared" si="69"/>
        <v>44866</v>
      </c>
      <c r="D2205" s="27">
        <f>IF(K2205="CREDITO",Q2205,Q2205*-1)</f>
        <v>291.73</v>
      </c>
      <c r="E2205" t="s">
        <v>894</v>
      </c>
      <c r="F2205" t="s">
        <v>2699</v>
      </c>
      <c r="G2205" s="8">
        <v>44866</v>
      </c>
      <c r="H2205" t="s">
        <v>570</v>
      </c>
      <c r="I2205" t="s">
        <v>78</v>
      </c>
      <c r="J2205" t="s">
        <v>54</v>
      </c>
      <c r="K2205" t="s">
        <v>29</v>
      </c>
      <c r="L2205" t="s">
        <v>895</v>
      </c>
      <c r="M2205" t="s">
        <v>4402</v>
      </c>
      <c r="O2205" t="s">
        <v>896</v>
      </c>
      <c r="P2205" t="s">
        <v>33</v>
      </c>
      <c r="Q2205">
        <v>291.73</v>
      </c>
      <c r="R2205" t="s">
        <v>35</v>
      </c>
      <c r="S2205" t="s">
        <v>35</v>
      </c>
      <c r="T2205" t="s">
        <v>35</v>
      </c>
      <c r="U2205" t="s">
        <v>35</v>
      </c>
      <c r="V2205" t="s">
        <v>645</v>
      </c>
      <c r="W2205" t="s">
        <v>113</v>
      </c>
    </row>
    <row r="2206" spans="1:23" hidden="1" x14ac:dyDescent="0.25">
      <c r="A2206" s="7" t="str">
        <f>IFERROR(VLOOKUP(H2206,'Contas Orç'!A:B,2,0),"N/A")</f>
        <v>DEPRECIACOES E AMORTIZACOES</v>
      </c>
      <c r="B2206" s="7" t="str">
        <f t="shared" si="68"/>
        <v>320501 - DEPRECIACOES E AMORTIZACOES</v>
      </c>
      <c r="C2206" s="25">
        <f t="shared" si="69"/>
        <v>44866</v>
      </c>
      <c r="D2206" s="27">
        <f>IF(K2206="CREDITO",Q2206,Q2206*-1)</f>
        <v>712</v>
      </c>
      <c r="E2206" t="s">
        <v>894</v>
      </c>
      <c r="F2206" t="s">
        <v>2700</v>
      </c>
      <c r="G2206" s="8">
        <v>44866</v>
      </c>
      <c r="H2206" t="s">
        <v>570</v>
      </c>
      <c r="I2206" t="s">
        <v>81</v>
      </c>
      <c r="J2206" t="s">
        <v>54</v>
      </c>
      <c r="K2206" t="s">
        <v>29</v>
      </c>
      <c r="L2206" t="s">
        <v>895</v>
      </c>
      <c r="M2206" t="s">
        <v>4402</v>
      </c>
      <c r="O2206" t="s">
        <v>896</v>
      </c>
      <c r="P2206" t="s">
        <v>33</v>
      </c>
      <c r="Q2206">
        <v>712</v>
      </c>
      <c r="R2206" t="s">
        <v>35</v>
      </c>
      <c r="S2206" t="s">
        <v>35</v>
      </c>
      <c r="T2206" t="s">
        <v>35</v>
      </c>
      <c r="U2206" t="s">
        <v>35</v>
      </c>
      <c r="V2206" t="s">
        <v>645</v>
      </c>
      <c r="W2206" t="s">
        <v>113</v>
      </c>
    </row>
    <row r="2207" spans="1:23" hidden="1" x14ac:dyDescent="0.25">
      <c r="A2207" s="7" t="str">
        <f>IFERROR(VLOOKUP(H2207,'Contas Orç'!A:B,2,0),"N/A")</f>
        <v>DEPRECIACOES E AMORTIZACOES</v>
      </c>
      <c r="B2207" s="7" t="str">
        <f t="shared" si="68"/>
        <v>320501 - DEPRECIACOES E AMORTIZACOES</v>
      </c>
      <c r="C2207" s="25">
        <f t="shared" si="69"/>
        <v>44866</v>
      </c>
      <c r="D2207" s="27">
        <f>IF(K2207="CREDITO",Q2207,Q2207*-1)</f>
        <v>34.35</v>
      </c>
      <c r="E2207" t="s">
        <v>894</v>
      </c>
      <c r="F2207" t="s">
        <v>2701</v>
      </c>
      <c r="G2207" s="8">
        <v>44866</v>
      </c>
      <c r="H2207" t="s">
        <v>570</v>
      </c>
      <c r="I2207" t="s">
        <v>136</v>
      </c>
      <c r="J2207" t="s">
        <v>54</v>
      </c>
      <c r="K2207" t="s">
        <v>29</v>
      </c>
      <c r="L2207" t="s">
        <v>895</v>
      </c>
      <c r="M2207" t="s">
        <v>4402</v>
      </c>
      <c r="O2207" t="s">
        <v>896</v>
      </c>
      <c r="P2207" t="s">
        <v>33</v>
      </c>
      <c r="Q2207">
        <v>34.35</v>
      </c>
      <c r="R2207" t="s">
        <v>35</v>
      </c>
      <c r="S2207" t="s">
        <v>35</v>
      </c>
      <c r="T2207" t="s">
        <v>35</v>
      </c>
      <c r="U2207" t="s">
        <v>35</v>
      </c>
      <c r="V2207" t="s">
        <v>645</v>
      </c>
      <c r="W2207" t="s">
        <v>113</v>
      </c>
    </row>
    <row r="2208" spans="1:23" hidden="1" x14ac:dyDescent="0.25">
      <c r="A2208" s="7" t="str">
        <f>IFERROR(VLOOKUP(H2208,'Contas Orç'!A:B,2,0),"N/A")</f>
        <v>DEPRECIACOES E AMORTIZACOES</v>
      </c>
      <c r="B2208" s="7" t="str">
        <f t="shared" si="68"/>
        <v>320501 - DEPRECIACOES E AMORTIZACOES</v>
      </c>
      <c r="C2208" s="25">
        <f t="shared" si="69"/>
        <v>44866</v>
      </c>
      <c r="D2208" s="27">
        <f>IF(K2208="CREDITO",Q2208,Q2208*-1)</f>
        <v>2554.4299999999998</v>
      </c>
      <c r="E2208" t="s">
        <v>894</v>
      </c>
      <c r="F2208" t="s">
        <v>2702</v>
      </c>
      <c r="G2208" s="8">
        <v>44866</v>
      </c>
      <c r="H2208" t="s">
        <v>570</v>
      </c>
      <c r="I2208" t="s">
        <v>53</v>
      </c>
      <c r="J2208" t="s">
        <v>54</v>
      </c>
      <c r="K2208" t="s">
        <v>29</v>
      </c>
      <c r="L2208" t="s">
        <v>895</v>
      </c>
      <c r="M2208" t="s">
        <v>4402</v>
      </c>
      <c r="O2208" t="s">
        <v>896</v>
      </c>
      <c r="P2208" t="s">
        <v>33</v>
      </c>
      <c r="Q2208" s="22">
        <v>2554.4299999999998</v>
      </c>
      <c r="R2208" t="s">
        <v>35</v>
      </c>
      <c r="S2208" t="s">
        <v>35</v>
      </c>
      <c r="T2208" t="s">
        <v>35</v>
      </c>
      <c r="U2208" t="s">
        <v>35</v>
      </c>
      <c r="V2208" t="s">
        <v>645</v>
      </c>
      <c r="W2208" t="s">
        <v>113</v>
      </c>
    </row>
    <row r="2209" spans="1:23" hidden="1" x14ac:dyDescent="0.25">
      <c r="A2209" s="7" t="str">
        <f>IFERROR(VLOOKUP(H2209,'Contas Orç'!A:B,2,0),"N/A")</f>
        <v>DEPRECIACOES E AMORTIZACOES</v>
      </c>
      <c r="B2209" s="7" t="str">
        <f t="shared" si="68"/>
        <v>320501 - DEPRECIACOES E AMORTIZACOES</v>
      </c>
      <c r="C2209" s="25">
        <f t="shared" si="69"/>
        <v>44866</v>
      </c>
      <c r="D2209" s="27">
        <f>IF(K2209="CREDITO",Q2209,Q2209*-1)</f>
        <v>7.65</v>
      </c>
      <c r="E2209" t="s">
        <v>894</v>
      </c>
      <c r="F2209" t="s">
        <v>2703</v>
      </c>
      <c r="G2209" s="8">
        <v>44866</v>
      </c>
      <c r="H2209" t="s">
        <v>570</v>
      </c>
      <c r="I2209" t="s">
        <v>88</v>
      </c>
      <c r="J2209" t="s">
        <v>54</v>
      </c>
      <c r="K2209" t="s">
        <v>29</v>
      </c>
      <c r="L2209" t="s">
        <v>895</v>
      </c>
      <c r="M2209" t="s">
        <v>4402</v>
      </c>
      <c r="O2209" t="s">
        <v>896</v>
      </c>
      <c r="P2209" t="s">
        <v>33</v>
      </c>
      <c r="Q2209">
        <v>7.65</v>
      </c>
      <c r="R2209" t="s">
        <v>35</v>
      </c>
      <c r="S2209" t="s">
        <v>35</v>
      </c>
      <c r="T2209" t="s">
        <v>35</v>
      </c>
      <c r="U2209" t="s">
        <v>35</v>
      </c>
      <c r="V2209" t="s">
        <v>645</v>
      </c>
      <c r="W2209" t="s">
        <v>113</v>
      </c>
    </row>
    <row r="2210" spans="1:23" hidden="1" x14ac:dyDescent="0.25">
      <c r="A2210" s="7" t="str">
        <f>IFERROR(VLOOKUP(H2210,'Contas Orç'!A:B,2,0),"N/A")</f>
        <v>DEPRECIACOES E AMORTIZACOES</v>
      </c>
      <c r="B2210" s="7" t="str">
        <f t="shared" si="68"/>
        <v>320501 - DEPRECIACOES E AMORTIZACOES</v>
      </c>
      <c r="C2210" s="25">
        <f t="shared" si="69"/>
        <v>44896</v>
      </c>
      <c r="D2210" s="27">
        <f>IF(K2210="CREDITO",Q2210,Q2210*-1)</f>
        <v>55.87</v>
      </c>
      <c r="E2210" t="s">
        <v>894</v>
      </c>
      <c r="F2210" t="s">
        <v>2704</v>
      </c>
      <c r="G2210" s="8">
        <v>44896</v>
      </c>
      <c r="H2210" t="s">
        <v>570</v>
      </c>
      <c r="I2210" t="s">
        <v>88</v>
      </c>
      <c r="J2210" t="s">
        <v>28</v>
      </c>
      <c r="K2210" t="s">
        <v>29</v>
      </c>
      <c r="L2210" t="s">
        <v>895</v>
      </c>
      <c r="M2210" t="s">
        <v>4402</v>
      </c>
      <c r="O2210" t="s">
        <v>896</v>
      </c>
      <c r="P2210" t="s">
        <v>33</v>
      </c>
      <c r="Q2210">
        <v>55.87</v>
      </c>
      <c r="R2210" t="s">
        <v>35</v>
      </c>
      <c r="S2210" t="s">
        <v>35</v>
      </c>
      <c r="T2210" t="s">
        <v>35</v>
      </c>
      <c r="U2210" t="s">
        <v>35</v>
      </c>
      <c r="V2210" t="s">
        <v>645</v>
      </c>
      <c r="W2210" t="s">
        <v>113</v>
      </c>
    </row>
    <row r="2211" spans="1:23" hidden="1" x14ac:dyDescent="0.25">
      <c r="A2211" s="7" t="str">
        <f>IFERROR(VLOOKUP(H2211,'Contas Orç'!A:B,2,0),"N/A")</f>
        <v>DEPRECIACOES E AMORTIZACOES</v>
      </c>
      <c r="B2211" s="7" t="str">
        <f t="shared" si="68"/>
        <v>320501 - DEPRECIACOES E AMORTIZACOES</v>
      </c>
      <c r="C2211" s="25">
        <f t="shared" si="69"/>
        <v>44896</v>
      </c>
      <c r="D2211" s="27">
        <f>IF(K2211="CREDITO",Q2211,Q2211*-1)</f>
        <v>240611.39</v>
      </c>
      <c r="E2211" t="s">
        <v>894</v>
      </c>
      <c r="F2211" t="s">
        <v>2705</v>
      </c>
      <c r="G2211" s="8">
        <v>44896</v>
      </c>
      <c r="H2211" t="s">
        <v>570</v>
      </c>
      <c r="I2211" t="s">
        <v>27</v>
      </c>
      <c r="J2211" t="s">
        <v>28</v>
      </c>
      <c r="K2211" t="s">
        <v>29</v>
      </c>
      <c r="L2211" t="s">
        <v>895</v>
      </c>
      <c r="M2211" t="s">
        <v>4402</v>
      </c>
      <c r="O2211" t="s">
        <v>896</v>
      </c>
      <c r="P2211" t="s">
        <v>33</v>
      </c>
      <c r="Q2211" s="22">
        <v>240611.39</v>
      </c>
      <c r="R2211" t="s">
        <v>35</v>
      </c>
      <c r="S2211" t="s">
        <v>35</v>
      </c>
      <c r="T2211" t="s">
        <v>35</v>
      </c>
      <c r="U2211" t="s">
        <v>35</v>
      </c>
      <c r="V2211" t="s">
        <v>645</v>
      </c>
      <c r="W2211" t="s">
        <v>113</v>
      </c>
    </row>
    <row r="2212" spans="1:23" hidden="1" x14ac:dyDescent="0.25">
      <c r="A2212" s="7" t="str">
        <f>IFERROR(VLOOKUP(H2212,'Contas Orç'!A:B,2,0),"N/A")</f>
        <v>DEPRECIACOES E AMORTIZACOES</v>
      </c>
      <c r="B2212" s="7" t="str">
        <f t="shared" si="68"/>
        <v>320501 - DEPRECIACOES E AMORTIZACOES</v>
      </c>
      <c r="C2212" s="25">
        <f t="shared" si="69"/>
        <v>44896</v>
      </c>
      <c r="D2212" s="27">
        <f>IF(K2212="CREDITO",Q2212,Q2212*-1)</f>
        <v>12878.76</v>
      </c>
      <c r="E2212" t="s">
        <v>894</v>
      </c>
      <c r="F2212" t="s">
        <v>2706</v>
      </c>
      <c r="G2212" s="8">
        <v>44896</v>
      </c>
      <c r="H2212" t="s">
        <v>570</v>
      </c>
      <c r="I2212" t="s">
        <v>59</v>
      </c>
      <c r="J2212" t="s">
        <v>28</v>
      </c>
      <c r="K2212" t="s">
        <v>29</v>
      </c>
      <c r="L2212" t="s">
        <v>895</v>
      </c>
      <c r="M2212" t="s">
        <v>4402</v>
      </c>
      <c r="O2212" t="s">
        <v>896</v>
      </c>
      <c r="P2212" t="s">
        <v>33</v>
      </c>
      <c r="Q2212" s="22">
        <v>12878.76</v>
      </c>
      <c r="R2212" t="s">
        <v>35</v>
      </c>
      <c r="S2212" t="s">
        <v>35</v>
      </c>
      <c r="T2212" t="s">
        <v>35</v>
      </c>
      <c r="U2212" t="s">
        <v>35</v>
      </c>
      <c r="V2212" t="s">
        <v>645</v>
      </c>
      <c r="W2212" t="s">
        <v>113</v>
      </c>
    </row>
    <row r="2213" spans="1:23" hidden="1" x14ac:dyDescent="0.25">
      <c r="A2213" s="7" t="str">
        <f>IFERROR(VLOOKUP(H2213,'Contas Orç'!A:B,2,0),"N/A")</f>
        <v>DEPRECIACOES E AMORTIZACOES</v>
      </c>
      <c r="B2213" s="7" t="str">
        <f t="shared" si="68"/>
        <v>320501 - DEPRECIACOES E AMORTIZACOES</v>
      </c>
      <c r="C2213" s="25">
        <f t="shared" si="69"/>
        <v>44896</v>
      </c>
      <c r="D2213" s="27">
        <f>IF(K2213="CREDITO",Q2213,Q2213*-1)</f>
        <v>710.5</v>
      </c>
      <c r="E2213" t="s">
        <v>894</v>
      </c>
      <c r="F2213" t="s">
        <v>2707</v>
      </c>
      <c r="G2213" s="8">
        <v>44896</v>
      </c>
      <c r="H2213" t="s">
        <v>570</v>
      </c>
      <c r="I2213" t="s">
        <v>106</v>
      </c>
      <c r="J2213" t="s">
        <v>60</v>
      </c>
      <c r="K2213" t="s">
        <v>29</v>
      </c>
      <c r="L2213" t="s">
        <v>895</v>
      </c>
      <c r="M2213" t="s">
        <v>4402</v>
      </c>
      <c r="O2213" t="s">
        <v>896</v>
      </c>
      <c r="P2213" t="s">
        <v>33</v>
      </c>
      <c r="Q2213">
        <v>710.5</v>
      </c>
      <c r="R2213" t="s">
        <v>35</v>
      </c>
      <c r="S2213" t="s">
        <v>35</v>
      </c>
      <c r="T2213" t="s">
        <v>35</v>
      </c>
      <c r="U2213" t="s">
        <v>35</v>
      </c>
      <c r="V2213" t="s">
        <v>645</v>
      </c>
      <c r="W2213" t="s">
        <v>113</v>
      </c>
    </row>
    <row r="2214" spans="1:23" hidden="1" x14ac:dyDescent="0.25">
      <c r="A2214" s="7" t="str">
        <f>IFERROR(VLOOKUP(H2214,'Contas Orç'!A:B,2,0),"N/A")</f>
        <v>DEPRECIACOES E AMORTIZACOES</v>
      </c>
      <c r="B2214" s="7" t="str">
        <f t="shared" si="68"/>
        <v>320501 - DEPRECIACOES E AMORTIZACOES</v>
      </c>
      <c r="C2214" s="25">
        <f t="shared" si="69"/>
        <v>44896</v>
      </c>
      <c r="D2214" s="27">
        <f>IF(K2214="CREDITO",Q2214,Q2214*-1)</f>
        <v>323823.57</v>
      </c>
      <c r="E2214" t="s">
        <v>894</v>
      </c>
      <c r="F2214" t="s">
        <v>2708</v>
      </c>
      <c r="G2214" s="8">
        <v>44896</v>
      </c>
      <c r="H2214" t="s">
        <v>570</v>
      </c>
      <c r="I2214" t="s">
        <v>59</v>
      </c>
      <c r="J2214" t="s">
        <v>60</v>
      </c>
      <c r="K2214" t="s">
        <v>29</v>
      </c>
      <c r="L2214" t="s">
        <v>895</v>
      </c>
      <c r="M2214" t="s">
        <v>4402</v>
      </c>
      <c r="O2214" t="s">
        <v>896</v>
      </c>
      <c r="P2214" t="s">
        <v>33</v>
      </c>
      <c r="Q2214" s="22">
        <v>323823.57</v>
      </c>
      <c r="R2214" t="s">
        <v>35</v>
      </c>
      <c r="S2214" t="s">
        <v>35</v>
      </c>
      <c r="T2214" t="s">
        <v>35</v>
      </c>
      <c r="U2214" t="s">
        <v>35</v>
      </c>
      <c r="V2214" t="s">
        <v>645</v>
      </c>
      <c r="W2214" t="s">
        <v>113</v>
      </c>
    </row>
    <row r="2215" spans="1:23" hidden="1" x14ac:dyDescent="0.25">
      <c r="A2215" s="7" t="str">
        <f>IFERROR(VLOOKUP(H2215,'Contas Orç'!A:B,2,0),"N/A")</f>
        <v>DEPRECIACOES E AMORTIZACOES</v>
      </c>
      <c r="B2215" s="7" t="str">
        <f t="shared" si="68"/>
        <v>320501 - DEPRECIACOES E AMORTIZACOES</v>
      </c>
      <c r="C2215" s="25">
        <f t="shared" si="69"/>
        <v>44896</v>
      </c>
      <c r="D2215" s="27">
        <f>IF(K2215="CREDITO",Q2215,Q2215*-1)</f>
        <v>1948.99</v>
      </c>
      <c r="E2215" t="s">
        <v>894</v>
      </c>
      <c r="F2215" t="s">
        <v>2709</v>
      </c>
      <c r="G2215" s="8">
        <v>44896</v>
      </c>
      <c r="H2215" t="s">
        <v>570</v>
      </c>
      <c r="I2215" t="s">
        <v>59</v>
      </c>
      <c r="J2215" t="s">
        <v>107</v>
      </c>
      <c r="K2215" t="s">
        <v>29</v>
      </c>
      <c r="L2215" t="s">
        <v>895</v>
      </c>
      <c r="M2215" t="s">
        <v>4402</v>
      </c>
      <c r="O2215" t="s">
        <v>896</v>
      </c>
      <c r="P2215" t="s">
        <v>33</v>
      </c>
      <c r="Q2215" s="22">
        <v>1948.99</v>
      </c>
      <c r="R2215" t="s">
        <v>35</v>
      </c>
      <c r="S2215" t="s">
        <v>35</v>
      </c>
      <c r="T2215" t="s">
        <v>35</v>
      </c>
      <c r="U2215" t="s">
        <v>35</v>
      </c>
      <c r="V2215" t="s">
        <v>645</v>
      </c>
      <c r="W2215" t="s">
        <v>113</v>
      </c>
    </row>
    <row r="2216" spans="1:23" hidden="1" x14ac:dyDescent="0.25">
      <c r="A2216" s="7" t="str">
        <f>IFERROR(VLOOKUP(H2216,'Contas Orç'!A:B,2,0),"N/A")</f>
        <v>DEPRECIACOES E AMORTIZACOES</v>
      </c>
      <c r="B2216" s="7" t="str">
        <f t="shared" si="68"/>
        <v>320501 - DEPRECIACOES E AMORTIZACOES</v>
      </c>
      <c r="C2216" s="25">
        <f t="shared" si="69"/>
        <v>44896</v>
      </c>
      <c r="D2216" s="27">
        <f>IF(K2216="CREDITO",Q2216,Q2216*-1)</f>
        <v>14.95</v>
      </c>
      <c r="E2216" t="s">
        <v>894</v>
      </c>
      <c r="F2216" t="s">
        <v>2710</v>
      </c>
      <c r="G2216" s="8">
        <v>44896</v>
      </c>
      <c r="H2216" t="s">
        <v>570</v>
      </c>
      <c r="I2216" t="s">
        <v>125</v>
      </c>
      <c r="J2216" t="s">
        <v>95</v>
      </c>
      <c r="K2216" t="s">
        <v>29</v>
      </c>
      <c r="L2216" t="s">
        <v>895</v>
      </c>
      <c r="M2216" t="s">
        <v>4402</v>
      </c>
      <c r="O2216" t="s">
        <v>896</v>
      </c>
      <c r="P2216" t="s">
        <v>33</v>
      </c>
      <c r="Q2216">
        <v>14.95</v>
      </c>
      <c r="R2216" t="s">
        <v>35</v>
      </c>
      <c r="S2216" t="s">
        <v>35</v>
      </c>
      <c r="T2216" t="s">
        <v>35</v>
      </c>
      <c r="U2216" t="s">
        <v>35</v>
      </c>
      <c r="V2216" t="s">
        <v>645</v>
      </c>
      <c r="W2216" t="s">
        <v>113</v>
      </c>
    </row>
    <row r="2217" spans="1:23" hidden="1" x14ac:dyDescent="0.25">
      <c r="A2217" s="7" t="str">
        <f>IFERROR(VLOOKUP(H2217,'Contas Orç'!A:B,2,0),"N/A")</f>
        <v>DEPRECIACOES E AMORTIZACOES</v>
      </c>
      <c r="B2217" s="7" t="str">
        <f t="shared" si="68"/>
        <v>320501 - DEPRECIACOES E AMORTIZACOES</v>
      </c>
      <c r="C2217" s="25">
        <f t="shared" si="69"/>
        <v>44896</v>
      </c>
      <c r="D2217" s="27">
        <f>IF(K2217="CREDITO",Q2217,Q2217*-1)</f>
        <v>40.049999999999997</v>
      </c>
      <c r="E2217" t="s">
        <v>894</v>
      </c>
      <c r="F2217" t="s">
        <v>2711</v>
      </c>
      <c r="G2217" s="8">
        <v>44896</v>
      </c>
      <c r="H2217" t="s">
        <v>570</v>
      </c>
      <c r="I2217" t="s">
        <v>59</v>
      </c>
      <c r="J2217" t="s">
        <v>661</v>
      </c>
      <c r="K2217" t="s">
        <v>29</v>
      </c>
      <c r="L2217" t="s">
        <v>895</v>
      </c>
      <c r="M2217" t="s">
        <v>4402</v>
      </c>
      <c r="O2217" t="s">
        <v>896</v>
      </c>
      <c r="P2217" t="s">
        <v>33</v>
      </c>
      <c r="Q2217">
        <v>40.049999999999997</v>
      </c>
      <c r="R2217" t="s">
        <v>35</v>
      </c>
      <c r="S2217" t="s">
        <v>35</v>
      </c>
      <c r="T2217" t="s">
        <v>35</v>
      </c>
      <c r="U2217" t="s">
        <v>35</v>
      </c>
      <c r="V2217" t="s">
        <v>645</v>
      </c>
      <c r="W2217" t="s">
        <v>113</v>
      </c>
    </row>
    <row r="2218" spans="1:23" hidden="1" x14ac:dyDescent="0.25">
      <c r="A2218" s="7" t="str">
        <f>IFERROR(VLOOKUP(H2218,'Contas Orç'!A:B,2,0),"N/A")</f>
        <v>DEPRECIACOES E AMORTIZACOES</v>
      </c>
      <c r="B2218" s="7" t="str">
        <f t="shared" si="68"/>
        <v>320501 - DEPRECIACOES E AMORTIZACOES</v>
      </c>
      <c r="C2218" s="25">
        <f t="shared" si="69"/>
        <v>44896</v>
      </c>
      <c r="D2218" s="27">
        <f>IF(K2218="CREDITO",Q2218,Q2218*-1)</f>
        <v>2885.15</v>
      </c>
      <c r="E2218" t="s">
        <v>894</v>
      </c>
      <c r="F2218" t="s">
        <v>2712</v>
      </c>
      <c r="G2218" s="8">
        <v>44896</v>
      </c>
      <c r="H2218" t="s">
        <v>570</v>
      </c>
      <c r="I2218" t="s">
        <v>2062</v>
      </c>
      <c r="J2218" t="s">
        <v>54</v>
      </c>
      <c r="K2218" t="s">
        <v>29</v>
      </c>
      <c r="L2218" t="s">
        <v>895</v>
      </c>
      <c r="M2218" t="s">
        <v>4402</v>
      </c>
      <c r="O2218" t="s">
        <v>896</v>
      </c>
      <c r="P2218" t="s">
        <v>33</v>
      </c>
      <c r="Q2218" s="22">
        <v>2885.15</v>
      </c>
      <c r="R2218" t="s">
        <v>35</v>
      </c>
      <c r="S2218" t="s">
        <v>35</v>
      </c>
      <c r="T2218" t="s">
        <v>35</v>
      </c>
      <c r="U2218" t="s">
        <v>35</v>
      </c>
      <c r="V2218" t="s">
        <v>645</v>
      </c>
      <c r="W2218" t="s">
        <v>113</v>
      </c>
    </row>
    <row r="2219" spans="1:23" hidden="1" x14ac:dyDescent="0.25">
      <c r="A2219" s="7" t="str">
        <f>IFERROR(VLOOKUP(H2219,'Contas Orç'!A:B,2,0),"N/A")</f>
        <v>DEPRECIACOES E AMORTIZACOES</v>
      </c>
      <c r="B2219" s="7" t="str">
        <f t="shared" si="68"/>
        <v>320501 - DEPRECIACOES E AMORTIZACOES</v>
      </c>
      <c r="C2219" s="25">
        <f t="shared" si="69"/>
        <v>44896</v>
      </c>
      <c r="D2219" s="27">
        <f>IF(K2219="CREDITO",Q2219,Q2219*-1)</f>
        <v>127.69</v>
      </c>
      <c r="E2219" t="s">
        <v>894</v>
      </c>
      <c r="F2219" t="s">
        <v>2713</v>
      </c>
      <c r="G2219" s="8">
        <v>44896</v>
      </c>
      <c r="H2219" t="s">
        <v>570</v>
      </c>
      <c r="I2219" t="s">
        <v>121</v>
      </c>
      <c r="J2219" t="s">
        <v>54</v>
      </c>
      <c r="K2219" t="s">
        <v>29</v>
      </c>
      <c r="L2219" t="s">
        <v>895</v>
      </c>
      <c r="M2219" t="s">
        <v>4402</v>
      </c>
      <c r="O2219" t="s">
        <v>896</v>
      </c>
      <c r="P2219" t="s">
        <v>33</v>
      </c>
      <c r="Q2219">
        <v>127.69</v>
      </c>
      <c r="R2219" t="s">
        <v>35</v>
      </c>
      <c r="S2219" t="s">
        <v>35</v>
      </c>
      <c r="T2219" t="s">
        <v>35</v>
      </c>
      <c r="U2219" t="s">
        <v>35</v>
      </c>
      <c r="V2219" t="s">
        <v>645</v>
      </c>
      <c r="W2219" t="s">
        <v>113</v>
      </c>
    </row>
    <row r="2220" spans="1:23" hidden="1" x14ac:dyDescent="0.25">
      <c r="A2220" s="7" t="str">
        <f>IFERROR(VLOOKUP(H2220,'Contas Orç'!A:B,2,0),"N/A")</f>
        <v>DEPRECIACOES E AMORTIZACOES</v>
      </c>
      <c r="B2220" s="7" t="str">
        <f t="shared" si="68"/>
        <v>320501 - DEPRECIACOES E AMORTIZACOES</v>
      </c>
      <c r="C2220" s="25">
        <f t="shared" si="69"/>
        <v>44896</v>
      </c>
      <c r="D2220" s="27">
        <f>IF(K2220="CREDITO",Q2220,Q2220*-1)</f>
        <v>29.55</v>
      </c>
      <c r="E2220" t="s">
        <v>894</v>
      </c>
      <c r="F2220" t="s">
        <v>2714</v>
      </c>
      <c r="G2220" s="8">
        <v>44896</v>
      </c>
      <c r="H2220" t="s">
        <v>570</v>
      </c>
      <c r="I2220" t="s">
        <v>132</v>
      </c>
      <c r="J2220" t="s">
        <v>54</v>
      </c>
      <c r="K2220" t="s">
        <v>29</v>
      </c>
      <c r="L2220" t="s">
        <v>895</v>
      </c>
      <c r="M2220" t="s">
        <v>4402</v>
      </c>
      <c r="O2220" t="s">
        <v>896</v>
      </c>
      <c r="P2220" t="s">
        <v>33</v>
      </c>
      <c r="Q2220">
        <v>29.55</v>
      </c>
      <c r="R2220" t="s">
        <v>35</v>
      </c>
      <c r="S2220" t="s">
        <v>35</v>
      </c>
      <c r="T2220" t="s">
        <v>35</v>
      </c>
      <c r="U2220" t="s">
        <v>35</v>
      </c>
      <c r="V2220" t="s">
        <v>645</v>
      </c>
      <c r="W2220" t="s">
        <v>113</v>
      </c>
    </row>
    <row r="2221" spans="1:23" hidden="1" x14ac:dyDescent="0.25">
      <c r="A2221" s="7" t="str">
        <f>IFERROR(VLOOKUP(H2221,'Contas Orç'!A:B,2,0),"N/A")</f>
        <v>DEPRECIACOES E AMORTIZACOES</v>
      </c>
      <c r="B2221" s="7" t="str">
        <f t="shared" si="68"/>
        <v>320501 - DEPRECIACOES E AMORTIZACOES</v>
      </c>
      <c r="C2221" s="25">
        <f t="shared" si="69"/>
        <v>44896</v>
      </c>
      <c r="D2221" s="27">
        <f>IF(K2221="CREDITO",Q2221,Q2221*-1)</f>
        <v>26.19</v>
      </c>
      <c r="E2221" t="s">
        <v>894</v>
      </c>
      <c r="F2221" t="s">
        <v>2715</v>
      </c>
      <c r="G2221" s="8">
        <v>44896</v>
      </c>
      <c r="H2221" t="s">
        <v>570</v>
      </c>
      <c r="I2221" t="s">
        <v>75</v>
      </c>
      <c r="J2221" t="s">
        <v>54</v>
      </c>
      <c r="K2221" t="s">
        <v>29</v>
      </c>
      <c r="L2221" t="s">
        <v>895</v>
      </c>
      <c r="M2221" t="s">
        <v>4402</v>
      </c>
      <c r="O2221" t="s">
        <v>896</v>
      </c>
      <c r="P2221" t="s">
        <v>33</v>
      </c>
      <c r="Q2221">
        <v>26.19</v>
      </c>
      <c r="R2221" t="s">
        <v>35</v>
      </c>
      <c r="S2221" t="s">
        <v>35</v>
      </c>
      <c r="T2221" t="s">
        <v>35</v>
      </c>
      <c r="U2221" t="s">
        <v>35</v>
      </c>
      <c r="V2221" t="s">
        <v>645</v>
      </c>
      <c r="W2221" t="s">
        <v>113</v>
      </c>
    </row>
    <row r="2222" spans="1:23" hidden="1" x14ac:dyDescent="0.25">
      <c r="A2222" s="7" t="str">
        <f>IFERROR(VLOOKUP(H2222,'Contas Orç'!A:B,2,0),"N/A")</f>
        <v>DEPRECIACOES E AMORTIZACOES</v>
      </c>
      <c r="B2222" s="7" t="str">
        <f t="shared" si="68"/>
        <v>320501 - DEPRECIACOES E AMORTIZACOES</v>
      </c>
      <c r="C2222" s="25">
        <f t="shared" si="69"/>
        <v>44896</v>
      </c>
      <c r="D2222" s="27">
        <f>IF(K2222="CREDITO",Q2222,Q2222*-1)</f>
        <v>294.64999999999998</v>
      </c>
      <c r="E2222" t="s">
        <v>894</v>
      </c>
      <c r="F2222" t="s">
        <v>2716</v>
      </c>
      <c r="G2222" s="8">
        <v>44896</v>
      </c>
      <c r="H2222" t="s">
        <v>570</v>
      </c>
      <c r="I2222" t="s">
        <v>78</v>
      </c>
      <c r="J2222" t="s">
        <v>54</v>
      </c>
      <c r="K2222" t="s">
        <v>29</v>
      </c>
      <c r="L2222" t="s">
        <v>895</v>
      </c>
      <c r="M2222" t="s">
        <v>4402</v>
      </c>
      <c r="O2222" t="s">
        <v>896</v>
      </c>
      <c r="P2222" t="s">
        <v>33</v>
      </c>
      <c r="Q2222">
        <v>294.64999999999998</v>
      </c>
      <c r="R2222" t="s">
        <v>35</v>
      </c>
      <c r="S2222" t="s">
        <v>35</v>
      </c>
      <c r="T2222" t="s">
        <v>35</v>
      </c>
      <c r="U2222" t="s">
        <v>35</v>
      </c>
      <c r="V2222" t="s">
        <v>645</v>
      </c>
      <c r="W2222" t="s">
        <v>113</v>
      </c>
    </row>
    <row r="2223" spans="1:23" hidden="1" x14ac:dyDescent="0.25">
      <c r="A2223" s="7" t="str">
        <f>IFERROR(VLOOKUP(H2223,'Contas Orç'!A:B,2,0),"N/A")</f>
        <v>DEPRECIACOES E AMORTIZACOES</v>
      </c>
      <c r="B2223" s="7" t="str">
        <f t="shared" si="68"/>
        <v>320501 - DEPRECIACOES E AMORTIZACOES</v>
      </c>
      <c r="C2223" s="25">
        <f t="shared" si="69"/>
        <v>44896</v>
      </c>
      <c r="D2223" s="27">
        <f>IF(K2223="CREDITO",Q2223,Q2223*-1)</f>
        <v>719.12</v>
      </c>
      <c r="E2223" t="s">
        <v>894</v>
      </c>
      <c r="F2223" t="s">
        <v>2717</v>
      </c>
      <c r="G2223" s="8">
        <v>44896</v>
      </c>
      <c r="H2223" t="s">
        <v>570</v>
      </c>
      <c r="I2223" t="s">
        <v>81</v>
      </c>
      <c r="J2223" t="s">
        <v>54</v>
      </c>
      <c r="K2223" t="s">
        <v>29</v>
      </c>
      <c r="L2223" t="s">
        <v>895</v>
      </c>
      <c r="M2223" t="s">
        <v>4402</v>
      </c>
      <c r="O2223" t="s">
        <v>896</v>
      </c>
      <c r="P2223" t="s">
        <v>33</v>
      </c>
      <c r="Q2223">
        <v>719.12</v>
      </c>
      <c r="R2223" t="s">
        <v>35</v>
      </c>
      <c r="S2223" t="s">
        <v>35</v>
      </c>
      <c r="T2223" t="s">
        <v>35</v>
      </c>
      <c r="U2223" t="s">
        <v>35</v>
      </c>
      <c r="V2223" t="s">
        <v>645</v>
      </c>
      <c r="W2223" t="s">
        <v>113</v>
      </c>
    </row>
    <row r="2224" spans="1:23" hidden="1" x14ac:dyDescent="0.25">
      <c r="A2224" s="7" t="str">
        <f>IFERROR(VLOOKUP(H2224,'Contas Orç'!A:B,2,0),"N/A")</f>
        <v>DEPRECIACOES E AMORTIZACOES</v>
      </c>
      <c r="B2224" s="7" t="str">
        <f t="shared" si="68"/>
        <v>320501 - DEPRECIACOES E AMORTIZACOES</v>
      </c>
      <c r="C2224" s="25">
        <f t="shared" si="69"/>
        <v>44896</v>
      </c>
      <c r="D2224" s="27">
        <f>IF(K2224="CREDITO",Q2224,Q2224*-1)</f>
        <v>34.69</v>
      </c>
      <c r="E2224" t="s">
        <v>894</v>
      </c>
      <c r="F2224" t="s">
        <v>2718</v>
      </c>
      <c r="G2224" s="8">
        <v>44896</v>
      </c>
      <c r="H2224" t="s">
        <v>570</v>
      </c>
      <c r="I2224" t="s">
        <v>136</v>
      </c>
      <c r="J2224" t="s">
        <v>54</v>
      </c>
      <c r="K2224" t="s">
        <v>29</v>
      </c>
      <c r="L2224" t="s">
        <v>895</v>
      </c>
      <c r="M2224" t="s">
        <v>4402</v>
      </c>
      <c r="O2224" t="s">
        <v>896</v>
      </c>
      <c r="P2224" t="s">
        <v>33</v>
      </c>
      <c r="Q2224">
        <v>34.69</v>
      </c>
      <c r="R2224" t="s">
        <v>35</v>
      </c>
      <c r="S2224" t="s">
        <v>35</v>
      </c>
      <c r="T2224" t="s">
        <v>35</v>
      </c>
      <c r="U2224" t="s">
        <v>35</v>
      </c>
      <c r="V2224" t="s">
        <v>645</v>
      </c>
      <c r="W2224" t="s">
        <v>113</v>
      </c>
    </row>
    <row r="2225" spans="1:23" hidden="1" x14ac:dyDescent="0.25">
      <c r="A2225" s="7" t="str">
        <f>IFERROR(VLOOKUP(H2225,'Contas Orç'!A:B,2,0),"N/A")</f>
        <v>DEPRECIACOES E AMORTIZACOES</v>
      </c>
      <c r="B2225" s="7" t="str">
        <f t="shared" si="68"/>
        <v>320501 - DEPRECIACOES E AMORTIZACOES</v>
      </c>
      <c r="C2225" s="25">
        <f t="shared" si="69"/>
        <v>44896</v>
      </c>
      <c r="D2225" s="27">
        <f>IF(K2225="CREDITO",Q2225,Q2225*-1)</f>
        <v>2579.98</v>
      </c>
      <c r="E2225" t="s">
        <v>894</v>
      </c>
      <c r="F2225" t="s">
        <v>2719</v>
      </c>
      <c r="G2225" s="8">
        <v>44896</v>
      </c>
      <c r="H2225" t="s">
        <v>570</v>
      </c>
      <c r="I2225" t="s">
        <v>53</v>
      </c>
      <c r="J2225" t="s">
        <v>54</v>
      </c>
      <c r="K2225" t="s">
        <v>29</v>
      </c>
      <c r="L2225" t="s">
        <v>895</v>
      </c>
      <c r="M2225" t="s">
        <v>4402</v>
      </c>
      <c r="O2225" t="s">
        <v>896</v>
      </c>
      <c r="P2225" t="s">
        <v>33</v>
      </c>
      <c r="Q2225" s="22">
        <v>2579.98</v>
      </c>
      <c r="R2225" t="s">
        <v>35</v>
      </c>
      <c r="S2225" t="s">
        <v>35</v>
      </c>
      <c r="T2225" t="s">
        <v>35</v>
      </c>
      <c r="U2225" t="s">
        <v>35</v>
      </c>
      <c r="V2225" t="s">
        <v>645</v>
      </c>
      <c r="W2225" t="s">
        <v>113</v>
      </c>
    </row>
    <row r="2226" spans="1:23" hidden="1" x14ac:dyDescent="0.25">
      <c r="A2226" s="7" t="str">
        <f>IFERROR(VLOOKUP(H2226,'Contas Orç'!A:B,2,0),"N/A")</f>
        <v>DEPRECIACOES E AMORTIZACOES</v>
      </c>
      <c r="B2226" s="7" t="str">
        <f t="shared" si="68"/>
        <v>320501 - DEPRECIACOES E AMORTIZACOES</v>
      </c>
      <c r="C2226" s="25">
        <f t="shared" si="69"/>
        <v>44896</v>
      </c>
      <c r="D2226" s="27">
        <f>IF(K2226="CREDITO",Q2226,Q2226*-1)</f>
        <v>7.73</v>
      </c>
      <c r="E2226" t="s">
        <v>894</v>
      </c>
      <c r="F2226" t="s">
        <v>2720</v>
      </c>
      <c r="G2226" s="8">
        <v>44896</v>
      </c>
      <c r="H2226" t="s">
        <v>570</v>
      </c>
      <c r="I2226" t="s">
        <v>88</v>
      </c>
      <c r="J2226" t="s">
        <v>54</v>
      </c>
      <c r="K2226" t="s">
        <v>29</v>
      </c>
      <c r="L2226" t="s">
        <v>895</v>
      </c>
      <c r="M2226" t="s">
        <v>4402</v>
      </c>
      <c r="O2226" t="s">
        <v>896</v>
      </c>
      <c r="P2226" t="s">
        <v>33</v>
      </c>
      <c r="Q2226">
        <v>7.73</v>
      </c>
      <c r="R2226" t="s">
        <v>35</v>
      </c>
      <c r="S2226" t="s">
        <v>35</v>
      </c>
      <c r="T2226" t="s">
        <v>35</v>
      </c>
      <c r="U2226" t="s">
        <v>35</v>
      </c>
      <c r="V2226" t="s">
        <v>645</v>
      </c>
      <c r="W2226" t="s">
        <v>113</v>
      </c>
    </row>
    <row r="2227" spans="1:23" hidden="1" x14ac:dyDescent="0.25">
      <c r="A2227" s="7" t="str">
        <f>IFERROR(VLOOKUP(H2227,'Contas Orç'!A:B,2,0),"N/A")</f>
        <v>MATERIAIS DIRETOS</v>
      </c>
      <c r="B2227" s="7" t="str">
        <f t="shared" si="68"/>
        <v>320601001 - MATERIAIS DIRETOS</v>
      </c>
      <c r="C2227" s="25">
        <f t="shared" si="69"/>
        <v>44562</v>
      </c>
      <c r="D2227" s="27">
        <f>IF(K2227="CREDITO",Q2227,Q2227*-1)</f>
        <v>638393.38</v>
      </c>
      <c r="E2227" t="s">
        <v>894</v>
      </c>
      <c r="F2227" t="s">
        <v>2721</v>
      </c>
      <c r="G2227" s="8">
        <v>44562</v>
      </c>
      <c r="H2227" t="s">
        <v>463</v>
      </c>
      <c r="I2227" t="s">
        <v>59</v>
      </c>
      <c r="J2227" t="s">
        <v>60</v>
      </c>
      <c r="K2227" t="s">
        <v>29</v>
      </c>
      <c r="L2227" t="s">
        <v>895</v>
      </c>
      <c r="M2227" t="s">
        <v>4402</v>
      </c>
      <c r="O2227" t="s">
        <v>896</v>
      </c>
      <c r="P2227" t="s">
        <v>33</v>
      </c>
      <c r="Q2227" s="22">
        <v>638393.38</v>
      </c>
      <c r="R2227" t="s">
        <v>35</v>
      </c>
      <c r="S2227" t="s">
        <v>35</v>
      </c>
      <c r="T2227" t="s">
        <v>35</v>
      </c>
      <c r="U2227" t="s">
        <v>35</v>
      </c>
      <c r="V2227" t="s">
        <v>645</v>
      </c>
      <c r="W2227" t="s">
        <v>113</v>
      </c>
    </row>
    <row r="2228" spans="1:23" hidden="1" x14ac:dyDescent="0.25">
      <c r="A2228" s="7" t="str">
        <f>IFERROR(VLOOKUP(H2228,'Contas Orç'!A:B,2,0),"N/A")</f>
        <v>MATERIAIS DIRETOS</v>
      </c>
      <c r="B2228" s="7" t="str">
        <f t="shared" si="68"/>
        <v>320601001 - MATERIAIS DIRETOS</v>
      </c>
      <c r="C2228" s="25">
        <f t="shared" si="69"/>
        <v>44562</v>
      </c>
      <c r="D2228" s="27">
        <f>IF(K2228="CREDITO",Q2228,Q2228*-1)</f>
        <v>29.3</v>
      </c>
      <c r="E2228" t="s">
        <v>894</v>
      </c>
      <c r="F2228" t="s">
        <v>2722</v>
      </c>
      <c r="G2228" s="8">
        <v>44562</v>
      </c>
      <c r="H2228" t="s">
        <v>463</v>
      </c>
      <c r="I2228" t="s">
        <v>59</v>
      </c>
      <c r="J2228" t="s">
        <v>107</v>
      </c>
      <c r="K2228" t="s">
        <v>29</v>
      </c>
      <c r="L2228" t="s">
        <v>895</v>
      </c>
      <c r="M2228" t="s">
        <v>4402</v>
      </c>
      <c r="O2228" t="s">
        <v>896</v>
      </c>
      <c r="P2228" t="s">
        <v>33</v>
      </c>
      <c r="Q2228">
        <v>29.3</v>
      </c>
      <c r="R2228" t="s">
        <v>35</v>
      </c>
      <c r="S2228" t="s">
        <v>35</v>
      </c>
      <c r="T2228" t="s">
        <v>35</v>
      </c>
      <c r="U2228" t="s">
        <v>35</v>
      </c>
      <c r="V2228" t="s">
        <v>645</v>
      </c>
      <c r="W2228" t="s">
        <v>113</v>
      </c>
    </row>
    <row r="2229" spans="1:23" hidden="1" x14ac:dyDescent="0.25">
      <c r="A2229" s="7" t="str">
        <f>IFERROR(VLOOKUP(H2229,'Contas Orç'!A:B,2,0),"N/A")</f>
        <v>MATERIAIS DIRETOS</v>
      </c>
      <c r="B2229" s="7" t="str">
        <f t="shared" si="68"/>
        <v>320601001 - MATERIAIS DIRETOS</v>
      </c>
      <c r="C2229" s="25">
        <f t="shared" si="69"/>
        <v>44593</v>
      </c>
      <c r="D2229" s="27">
        <f>IF(K2229="CREDITO",Q2229,Q2229*-1)</f>
        <v>236716.65</v>
      </c>
      <c r="E2229" t="s">
        <v>894</v>
      </c>
      <c r="F2229" t="s">
        <v>2723</v>
      </c>
      <c r="G2229" s="8">
        <v>44593</v>
      </c>
      <c r="H2229" t="s">
        <v>463</v>
      </c>
      <c r="I2229" t="s">
        <v>59</v>
      </c>
      <c r="J2229" t="s">
        <v>60</v>
      </c>
      <c r="K2229" t="s">
        <v>29</v>
      </c>
      <c r="L2229" t="s">
        <v>895</v>
      </c>
      <c r="M2229" t="s">
        <v>4402</v>
      </c>
      <c r="O2229" t="s">
        <v>896</v>
      </c>
      <c r="P2229" t="s">
        <v>33</v>
      </c>
      <c r="Q2229" s="22">
        <v>236716.65</v>
      </c>
      <c r="R2229" t="s">
        <v>35</v>
      </c>
      <c r="S2229" t="s">
        <v>35</v>
      </c>
      <c r="T2229" t="s">
        <v>35</v>
      </c>
      <c r="U2229" t="s">
        <v>35</v>
      </c>
      <c r="V2229" t="s">
        <v>645</v>
      </c>
      <c r="W2229" t="s">
        <v>113</v>
      </c>
    </row>
    <row r="2230" spans="1:23" hidden="1" x14ac:dyDescent="0.25">
      <c r="A2230" s="7" t="str">
        <f>IFERROR(VLOOKUP(H2230,'Contas Orç'!A:B,2,0),"N/A")</f>
        <v>MATERIAIS DIRETOS</v>
      </c>
      <c r="B2230" s="7" t="str">
        <f t="shared" si="68"/>
        <v>320601001 - MATERIAIS DIRETOS</v>
      </c>
      <c r="C2230" s="25">
        <f t="shared" si="69"/>
        <v>44621</v>
      </c>
      <c r="D2230" s="27">
        <f>IF(K2230="CREDITO",Q2230,Q2230*-1)</f>
        <v>260003.29</v>
      </c>
      <c r="E2230" t="s">
        <v>894</v>
      </c>
      <c r="F2230" t="s">
        <v>2724</v>
      </c>
      <c r="G2230" s="8">
        <v>44621</v>
      </c>
      <c r="H2230" t="s">
        <v>463</v>
      </c>
      <c r="I2230" t="s">
        <v>59</v>
      </c>
      <c r="J2230" t="s">
        <v>60</v>
      </c>
      <c r="K2230" t="s">
        <v>29</v>
      </c>
      <c r="L2230" t="s">
        <v>895</v>
      </c>
      <c r="M2230" t="s">
        <v>4402</v>
      </c>
      <c r="O2230" t="s">
        <v>896</v>
      </c>
      <c r="P2230" t="s">
        <v>33</v>
      </c>
      <c r="Q2230" s="22">
        <v>260003.29</v>
      </c>
      <c r="R2230" t="s">
        <v>35</v>
      </c>
      <c r="S2230" t="s">
        <v>35</v>
      </c>
      <c r="T2230" t="s">
        <v>35</v>
      </c>
      <c r="U2230" t="s">
        <v>35</v>
      </c>
      <c r="V2230" t="s">
        <v>645</v>
      </c>
      <c r="W2230" t="s">
        <v>113</v>
      </c>
    </row>
    <row r="2231" spans="1:23" hidden="1" x14ac:dyDescent="0.25">
      <c r="A2231" s="7" t="str">
        <f>IFERROR(VLOOKUP(H2231,'Contas Orç'!A:B,2,0),"N/A")</f>
        <v>MATERIAIS DIRETOS</v>
      </c>
      <c r="B2231" s="7" t="str">
        <f t="shared" si="68"/>
        <v>320601001 - MATERIAIS DIRETOS</v>
      </c>
      <c r="C2231" s="25">
        <f t="shared" si="69"/>
        <v>44652</v>
      </c>
      <c r="D2231" s="27">
        <f>IF(K2231="CREDITO",Q2231,Q2231*-1)</f>
        <v>612558.14</v>
      </c>
      <c r="E2231" t="s">
        <v>894</v>
      </c>
      <c r="F2231" t="s">
        <v>2725</v>
      </c>
      <c r="G2231" s="8">
        <v>44652</v>
      </c>
      <c r="H2231" t="s">
        <v>463</v>
      </c>
      <c r="I2231" t="s">
        <v>59</v>
      </c>
      <c r="J2231" t="s">
        <v>60</v>
      </c>
      <c r="K2231" t="s">
        <v>29</v>
      </c>
      <c r="L2231" t="s">
        <v>895</v>
      </c>
      <c r="M2231" t="s">
        <v>4402</v>
      </c>
      <c r="O2231" t="s">
        <v>896</v>
      </c>
      <c r="P2231" t="s">
        <v>33</v>
      </c>
      <c r="Q2231" s="22">
        <v>612558.14</v>
      </c>
      <c r="R2231" t="s">
        <v>35</v>
      </c>
      <c r="S2231" t="s">
        <v>35</v>
      </c>
      <c r="T2231" t="s">
        <v>35</v>
      </c>
      <c r="U2231" t="s">
        <v>35</v>
      </c>
      <c r="V2231" t="s">
        <v>645</v>
      </c>
      <c r="W2231" t="s">
        <v>113</v>
      </c>
    </row>
    <row r="2232" spans="1:23" hidden="1" x14ac:dyDescent="0.25">
      <c r="A2232" s="7" t="str">
        <f>IFERROR(VLOOKUP(H2232,'Contas Orç'!A:B,2,0),"N/A")</f>
        <v>MATERIAIS DIRETOS</v>
      </c>
      <c r="B2232" s="7" t="str">
        <f t="shared" si="68"/>
        <v>320601001 - MATERIAIS DIRETOS</v>
      </c>
      <c r="C2232" s="25">
        <f t="shared" si="69"/>
        <v>44682</v>
      </c>
      <c r="D2232" s="27">
        <f>IF(K2232="CREDITO",Q2232,Q2232*-1)</f>
        <v>276285.34000000003</v>
      </c>
      <c r="E2232" t="s">
        <v>894</v>
      </c>
      <c r="F2232" t="s">
        <v>2726</v>
      </c>
      <c r="G2232" s="8">
        <v>44682</v>
      </c>
      <c r="H2232" t="s">
        <v>463</v>
      </c>
      <c r="I2232" t="s">
        <v>59</v>
      </c>
      <c r="J2232" t="s">
        <v>60</v>
      </c>
      <c r="K2232" t="s">
        <v>29</v>
      </c>
      <c r="L2232" t="s">
        <v>895</v>
      </c>
      <c r="M2232" t="s">
        <v>4402</v>
      </c>
      <c r="O2232" t="s">
        <v>896</v>
      </c>
      <c r="P2232" t="s">
        <v>33</v>
      </c>
      <c r="Q2232" s="22">
        <v>276285.34000000003</v>
      </c>
      <c r="R2232" t="s">
        <v>35</v>
      </c>
      <c r="S2232" t="s">
        <v>35</v>
      </c>
      <c r="T2232" t="s">
        <v>35</v>
      </c>
      <c r="U2232" t="s">
        <v>35</v>
      </c>
      <c r="V2232" t="s">
        <v>645</v>
      </c>
      <c r="W2232" t="s">
        <v>113</v>
      </c>
    </row>
    <row r="2233" spans="1:23" hidden="1" x14ac:dyDescent="0.25">
      <c r="A2233" s="7" t="str">
        <f>IFERROR(VLOOKUP(H2233,'Contas Orç'!A:B,2,0),"N/A")</f>
        <v>MATERIAIS DIRETOS</v>
      </c>
      <c r="B2233" s="7" t="str">
        <f t="shared" si="68"/>
        <v>320601001 - MATERIAIS DIRETOS</v>
      </c>
      <c r="C2233" s="25">
        <f t="shared" si="69"/>
        <v>44682</v>
      </c>
      <c r="D2233" s="27">
        <f>IF(K2233="CREDITO",Q2233,Q2233*-1)</f>
        <v>5737.15</v>
      </c>
      <c r="E2233" t="s">
        <v>894</v>
      </c>
      <c r="F2233" t="s">
        <v>2727</v>
      </c>
      <c r="G2233" s="8">
        <v>44682</v>
      </c>
      <c r="H2233" t="s">
        <v>463</v>
      </c>
      <c r="I2233" t="s">
        <v>59</v>
      </c>
      <c r="J2233" t="s">
        <v>107</v>
      </c>
      <c r="K2233" t="s">
        <v>29</v>
      </c>
      <c r="L2233" t="s">
        <v>895</v>
      </c>
      <c r="M2233" t="s">
        <v>4402</v>
      </c>
      <c r="O2233" t="s">
        <v>896</v>
      </c>
      <c r="P2233" t="s">
        <v>33</v>
      </c>
      <c r="Q2233" s="22">
        <v>5737.15</v>
      </c>
      <c r="R2233" t="s">
        <v>35</v>
      </c>
      <c r="S2233" t="s">
        <v>35</v>
      </c>
      <c r="T2233" t="s">
        <v>35</v>
      </c>
      <c r="U2233" t="s">
        <v>35</v>
      </c>
      <c r="V2233" t="s">
        <v>645</v>
      </c>
      <c r="W2233" t="s">
        <v>113</v>
      </c>
    </row>
    <row r="2234" spans="1:23" hidden="1" x14ac:dyDescent="0.25">
      <c r="A2234" s="7" t="str">
        <f>IFERROR(VLOOKUP(H2234,'Contas Orç'!A:B,2,0),"N/A")</f>
        <v>MATERIAIS DIRETOS</v>
      </c>
      <c r="B2234" s="7" t="str">
        <f t="shared" si="68"/>
        <v>320601001 - MATERIAIS DIRETOS</v>
      </c>
      <c r="C2234" s="25">
        <f t="shared" si="69"/>
        <v>44713</v>
      </c>
      <c r="D2234" s="27">
        <f>IF(K2234="CREDITO",Q2234,Q2234*-1)</f>
        <v>656718.6</v>
      </c>
      <c r="E2234" t="s">
        <v>894</v>
      </c>
      <c r="F2234" t="s">
        <v>2728</v>
      </c>
      <c r="G2234" s="8">
        <v>44713</v>
      </c>
      <c r="H2234" t="s">
        <v>463</v>
      </c>
      <c r="I2234" t="s">
        <v>59</v>
      </c>
      <c r="J2234" t="s">
        <v>60</v>
      </c>
      <c r="K2234" t="s">
        <v>29</v>
      </c>
      <c r="L2234" t="s">
        <v>895</v>
      </c>
      <c r="M2234" t="s">
        <v>4402</v>
      </c>
      <c r="O2234" t="s">
        <v>896</v>
      </c>
      <c r="P2234" t="s">
        <v>33</v>
      </c>
      <c r="Q2234" s="22">
        <v>656718.6</v>
      </c>
      <c r="R2234" t="s">
        <v>35</v>
      </c>
      <c r="S2234" t="s">
        <v>35</v>
      </c>
      <c r="T2234" t="s">
        <v>35</v>
      </c>
      <c r="U2234" t="s">
        <v>35</v>
      </c>
      <c r="V2234" t="s">
        <v>645</v>
      </c>
      <c r="W2234" t="s">
        <v>113</v>
      </c>
    </row>
    <row r="2235" spans="1:23" hidden="1" x14ac:dyDescent="0.25">
      <c r="A2235" s="7" t="str">
        <f>IFERROR(VLOOKUP(H2235,'Contas Orç'!A:B,2,0),"N/A")</f>
        <v>MATERIAIS DIRETOS</v>
      </c>
      <c r="B2235" s="7" t="str">
        <f t="shared" si="68"/>
        <v>320601001 - MATERIAIS DIRETOS</v>
      </c>
      <c r="C2235" s="25">
        <f t="shared" si="69"/>
        <v>44743</v>
      </c>
      <c r="D2235" s="27">
        <f>IF(K2235="CREDITO",Q2235,Q2235*-1)</f>
        <v>525253.51</v>
      </c>
      <c r="E2235" t="s">
        <v>894</v>
      </c>
      <c r="F2235" t="s">
        <v>2729</v>
      </c>
      <c r="G2235" s="8">
        <v>44743</v>
      </c>
      <c r="H2235" t="s">
        <v>463</v>
      </c>
      <c r="I2235" t="s">
        <v>59</v>
      </c>
      <c r="J2235" t="s">
        <v>60</v>
      </c>
      <c r="K2235" t="s">
        <v>29</v>
      </c>
      <c r="L2235" t="s">
        <v>895</v>
      </c>
      <c r="M2235" t="s">
        <v>4402</v>
      </c>
      <c r="O2235" t="s">
        <v>896</v>
      </c>
      <c r="P2235" t="s">
        <v>33</v>
      </c>
      <c r="Q2235" s="22">
        <v>525253.51</v>
      </c>
      <c r="R2235" t="s">
        <v>35</v>
      </c>
      <c r="S2235" t="s">
        <v>35</v>
      </c>
      <c r="T2235" t="s">
        <v>35</v>
      </c>
      <c r="U2235" t="s">
        <v>35</v>
      </c>
      <c r="V2235" t="s">
        <v>645</v>
      </c>
      <c r="W2235" t="s">
        <v>113</v>
      </c>
    </row>
    <row r="2236" spans="1:23" hidden="1" x14ac:dyDescent="0.25">
      <c r="A2236" s="7" t="str">
        <f>IFERROR(VLOOKUP(H2236,'Contas Orç'!A:B,2,0),"N/A")</f>
        <v>MATERIAIS DIRETOS</v>
      </c>
      <c r="B2236" s="7" t="str">
        <f t="shared" si="68"/>
        <v>320601001 - MATERIAIS DIRETOS</v>
      </c>
      <c r="C2236" s="25">
        <f t="shared" si="69"/>
        <v>44774</v>
      </c>
      <c r="D2236" s="27">
        <f>IF(K2236="CREDITO",Q2236,Q2236*-1)</f>
        <v>5461.5</v>
      </c>
      <c r="E2236" t="s">
        <v>894</v>
      </c>
      <c r="F2236" t="s">
        <v>2730</v>
      </c>
      <c r="G2236" s="8">
        <v>44774</v>
      </c>
      <c r="H2236" t="s">
        <v>463</v>
      </c>
      <c r="I2236" t="s">
        <v>53</v>
      </c>
      <c r="J2236" t="s">
        <v>60</v>
      </c>
      <c r="K2236" t="s">
        <v>29</v>
      </c>
      <c r="L2236" t="s">
        <v>895</v>
      </c>
      <c r="M2236" t="s">
        <v>4402</v>
      </c>
      <c r="O2236" t="s">
        <v>896</v>
      </c>
      <c r="P2236" t="s">
        <v>33</v>
      </c>
      <c r="Q2236" s="22">
        <v>5461.5</v>
      </c>
      <c r="R2236" t="s">
        <v>35</v>
      </c>
      <c r="S2236" t="s">
        <v>35</v>
      </c>
      <c r="T2236" t="s">
        <v>35</v>
      </c>
      <c r="U2236" t="s">
        <v>35</v>
      </c>
      <c r="V2236" t="s">
        <v>645</v>
      </c>
      <c r="W2236" t="s">
        <v>113</v>
      </c>
    </row>
    <row r="2237" spans="1:23" hidden="1" x14ac:dyDescent="0.25">
      <c r="A2237" s="7" t="str">
        <f>IFERROR(VLOOKUP(H2237,'Contas Orç'!A:B,2,0),"N/A")</f>
        <v>MATERIAIS DIRETOS</v>
      </c>
      <c r="B2237" s="7" t="str">
        <f t="shared" si="68"/>
        <v>320601001 - MATERIAIS DIRETOS</v>
      </c>
      <c r="C2237" s="25">
        <f t="shared" si="69"/>
        <v>44774</v>
      </c>
      <c r="D2237" s="27">
        <f>IF(K2237="CREDITO",Q2237,Q2237*-1)</f>
        <v>509690.86</v>
      </c>
      <c r="E2237" t="s">
        <v>894</v>
      </c>
      <c r="F2237" t="s">
        <v>2731</v>
      </c>
      <c r="G2237" s="8">
        <v>44774</v>
      </c>
      <c r="H2237" t="s">
        <v>463</v>
      </c>
      <c r="I2237" t="s">
        <v>59</v>
      </c>
      <c r="J2237" t="s">
        <v>60</v>
      </c>
      <c r="K2237" t="s">
        <v>29</v>
      </c>
      <c r="L2237" t="s">
        <v>895</v>
      </c>
      <c r="M2237" t="s">
        <v>4402</v>
      </c>
      <c r="O2237" t="s">
        <v>896</v>
      </c>
      <c r="P2237" t="s">
        <v>33</v>
      </c>
      <c r="Q2237" s="22">
        <v>509690.86</v>
      </c>
      <c r="R2237" t="s">
        <v>35</v>
      </c>
      <c r="S2237" t="s">
        <v>35</v>
      </c>
      <c r="T2237" t="s">
        <v>35</v>
      </c>
      <c r="U2237" t="s">
        <v>35</v>
      </c>
      <c r="V2237" t="s">
        <v>645</v>
      </c>
      <c r="W2237" t="s">
        <v>113</v>
      </c>
    </row>
    <row r="2238" spans="1:23" hidden="1" x14ac:dyDescent="0.25">
      <c r="A2238" s="7" t="str">
        <f>IFERROR(VLOOKUP(H2238,'Contas Orç'!A:B,2,0),"N/A")</f>
        <v>MATERIAIS DIRETOS</v>
      </c>
      <c r="B2238" s="7" t="str">
        <f t="shared" si="68"/>
        <v>320601001 - MATERIAIS DIRETOS</v>
      </c>
      <c r="C2238" s="25">
        <f t="shared" si="69"/>
        <v>44774</v>
      </c>
      <c r="D2238" s="27">
        <f>IF(K2238="CREDITO",Q2238,Q2238*-1)</f>
        <v>3641.1</v>
      </c>
      <c r="E2238" t="s">
        <v>894</v>
      </c>
      <c r="F2238" t="s">
        <v>2732</v>
      </c>
      <c r="G2238" s="8">
        <v>44774</v>
      </c>
      <c r="H2238" t="s">
        <v>463</v>
      </c>
      <c r="I2238" t="s">
        <v>53</v>
      </c>
      <c r="J2238" t="s">
        <v>107</v>
      </c>
      <c r="K2238" t="s">
        <v>29</v>
      </c>
      <c r="L2238" t="s">
        <v>895</v>
      </c>
      <c r="M2238" t="s">
        <v>4402</v>
      </c>
      <c r="O2238" t="s">
        <v>896</v>
      </c>
      <c r="P2238" t="s">
        <v>33</v>
      </c>
      <c r="Q2238" s="22">
        <v>3641.1</v>
      </c>
      <c r="R2238" t="s">
        <v>35</v>
      </c>
      <c r="S2238" t="s">
        <v>35</v>
      </c>
      <c r="T2238" t="s">
        <v>35</v>
      </c>
      <c r="U2238" t="s">
        <v>35</v>
      </c>
      <c r="V2238" t="s">
        <v>645</v>
      </c>
      <c r="W2238" t="s">
        <v>113</v>
      </c>
    </row>
    <row r="2239" spans="1:23" hidden="1" x14ac:dyDescent="0.25">
      <c r="A2239" s="7" t="str">
        <f>IFERROR(VLOOKUP(H2239,'Contas Orç'!A:B,2,0),"N/A")</f>
        <v>MATERIAIS DIRETOS</v>
      </c>
      <c r="B2239" s="7" t="str">
        <f t="shared" si="68"/>
        <v>320601001 - MATERIAIS DIRETOS</v>
      </c>
      <c r="C2239" s="25">
        <f t="shared" si="69"/>
        <v>44774</v>
      </c>
      <c r="D2239" s="27">
        <f>IF(K2239="CREDITO",Q2239,Q2239*-1)</f>
        <v>96773.54</v>
      </c>
      <c r="E2239" t="s">
        <v>894</v>
      </c>
      <c r="F2239" t="s">
        <v>2733</v>
      </c>
      <c r="G2239" s="8">
        <v>44774</v>
      </c>
      <c r="H2239" t="s">
        <v>463</v>
      </c>
      <c r="I2239" t="s">
        <v>59</v>
      </c>
      <c r="J2239" t="s">
        <v>107</v>
      </c>
      <c r="K2239" t="s">
        <v>29</v>
      </c>
      <c r="L2239" t="s">
        <v>895</v>
      </c>
      <c r="M2239" t="s">
        <v>4402</v>
      </c>
      <c r="O2239" t="s">
        <v>896</v>
      </c>
      <c r="P2239" t="s">
        <v>33</v>
      </c>
      <c r="Q2239" s="22">
        <v>96773.54</v>
      </c>
      <c r="R2239" t="s">
        <v>35</v>
      </c>
      <c r="S2239" t="s">
        <v>35</v>
      </c>
      <c r="T2239" t="s">
        <v>35</v>
      </c>
      <c r="U2239" t="s">
        <v>35</v>
      </c>
      <c r="V2239" t="s">
        <v>645</v>
      </c>
      <c r="W2239" t="s">
        <v>113</v>
      </c>
    </row>
    <row r="2240" spans="1:23" hidden="1" x14ac:dyDescent="0.25">
      <c r="A2240" s="7" t="str">
        <f>IFERROR(VLOOKUP(H2240,'Contas Orç'!A:B,2,0),"N/A")</f>
        <v>MATERIAIS DIRETOS</v>
      </c>
      <c r="B2240" s="7" t="str">
        <f t="shared" si="68"/>
        <v>320601001 - MATERIAIS DIRETOS</v>
      </c>
      <c r="C2240" s="25">
        <f t="shared" si="69"/>
        <v>44774</v>
      </c>
      <c r="D2240" s="27">
        <f>IF(K2240="CREDITO",Q2240,Q2240*-1)</f>
        <v>1820.55</v>
      </c>
      <c r="E2240" t="s">
        <v>894</v>
      </c>
      <c r="F2240" t="s">
        <v>2734</v>
      </c>
      <c r="G2240" s="8">
        <v>44774</v>
      </c>
      <c r="H2240" t="s">
        <v>463</v>
      </c>
      <c r="I2240" t="s">
        <v>53</v>
      </c>
      <c r="J2240" t="s">
        <v>54</v>
      </c>
      <c r="K2240" t="s">
        <v>29</v>
      </c>
      <c r="L2240" t="s">
        <v>895</v>
      </c>
      <c r="M2240" t="s">
        <v>4402</v>
      </c>
      <c r="O2240" t="s">
        <v>896</v>
      </c>
      <c r="P2240" t="s">
        <v>33</v>
      </c>
      <c r="Q2240" s="22">
        <v>1820.55</v>
      </c>
      <c r="R2240" t="s">
        <v>35</v>
      </c>
      <c r="S2240" t="s">
        <v>35</v>
      </c>
      <c r="T2240" t="s">
        <v>35</v>
      </c>
      <c r="U2240" t="s">
        <v>35</v>
      </c>
      <c r="V2240" t="s">
        <v>645</v>
      </c>
      <c r="W2240" t="s">
        <v>113</v>
      </c>
    </row>
    <row r="2241" spans="1:23" hidden="1" x14ac:dyDescent="0.25">
      <c r="A2241" s="7" t="str">
        <f>IFERROR(VLOOKUP(H2241,'Contas Orç'!A:B,2,0),"N/A")</f>
        <v>MATERIAIS DIRETOS</v>
      </c>
      <c r="B2241" s="7" t="str">
        <f t="shared" si="68"/>
        <v>320601001 - MATERIAIS DIRETOS</v>
      </c>
      <c r="C2241" s="25">
        <f t="shared" si="69"/>
        <v>44805</v>
      </c>
      <c r="D2241" s="27">
        <f>IF(K2241="CREDITO",Q2241,Q2241*-1)</f>
        <v>573744.07999999996</v>
      </c>
      <c r="E2241" t="s">
        <v>894</v>
      </c>
      <c r="F2241" t="s">
        <v>2735</v>
      </c>
      <c r="G2241" s="8">
        <v>44805</v>
      </c>
      <c r="H2241" t="s">
        <v>463</v>
      </c>
      <c r="I2241" t="s">
        <v>59</v>
      </c>
      <c r="J2241" t="s">
        <v>60</v>
      </c>
      <c r="K2241" t="s">
        <v>29</v>
      </c>
      <c r="L2241" t="s">
        <v>895</v>
      </c>
      <c r="M2241" t="s">
        <v>4402</v>
      </c>
      <c r="O2241" t="s">
        <v>896</v>
      </c>
      <c r="P2241" t="s">
        <v>33</v>
      </c>
      <c r="Q2241" s="22">
        <v>573744.07999999996</v>
      </c>
      <c r="R2241" t="s">
        <v>35</v>
      </c>
      <c r="S2241" t="s">
        <v>35</v>
      </c>
      <c r="T2241" t="s">
        <v>35</v>
      </c>
      <c r="U2241" t="s">
        <v>35</v>
      </c>
      <c r="V2241" t="s">
        <v>645</v>
      </c>
      <c r="W2241" t="s">
        <v>113</v>
      </c>
    </row>
    <row r="2242" spans="1:23" hidden="1" x14ac:dyDescent="0.25">
      <c r="A2242" s="7" t="str">
        <f>IFERROR(VLOOKUP(H2242,'Contas Orç'!A:B,2,0),"N/A")</f>
        <v>MATERIAIS DIRETOS</v>
      </c>
      <c r="B2242" s="7" t="str">
        <f t="shared" si="68"/>
        <v>320601001 - MATERIAIS DIRETOS</v>
      </c>
      <c r="C2242" s="25">
        <f t="shared" si="69"/>
        <v>44805</v>
      </c>
      <c r="D2242" s="27">
        <f>IF(K2242="CREDITO",Q2242,Q2242*-1)</f>
        <v>4190.62</v>
      </c>
      <c r="E2242" t="s">
        <v>894</v>
      </c>
      <c r="F2242" t="s">
        <v>2736</v>
      </c>
      <c r="G2242" s="8">
        <v>44805</v>
      </c>
      <c r="H2242" t="s">
        <v>463</v>
      </c>
      <c r="I2242" t="s">
        <v>59</v>
      </c>
      <c r="J2242" t="s">
        <v>107</v>
      </c>
      <c r="K2242" t="s">
        <v>29</v>
      </c>
      <c r="L2242" t="s">
        <v>895</v>
      </c>
      <c r="M2242" t="s">
        <v>4402</v>
      </c>
      <c r="O2242" t="s">
        <v>896</v>
      </c>
      <c r="P2242" t="s">
        <v>33</v>
      </c>
      <c r="Q2242" s="22">
        <v>4190.62</v>
      </c>
      <c r="R2242" t="s">
        <v>35</v>
      </c>
      <c r="S2242" t="s">
        <v>35</v>
      </c>
      <c r="T2242" t="s">
        <v>35</v>
      </c>
      <c r="U2242" t="s">
        <v>35</v>
      </c>
      <c r="V2242" t="s">
        <v>645</v>
      </c>
      <c r="W2242" t="s">
        <v>113</v>
      </c>
    </row>
    <row r="2243" spans="1:23" hidden="1" x14ac:dyDescent="0.25">
      <c r="A2243" s="7" t="str">
        <f>IFERROR(VLOOKUP(H2243,'Contas Orç'!A:B,2,0),"N/A")</f>
        <v>MATERIAIS DIRETOS</v>
      </c>
      <c r="B2243" s="7" t="str">
        <f t="shared" ref="B2243:B2306" si="70">_xlfn.CONCAT(H2243," - ",A2243)</f>
        <v>320601001 - MATERIAIS DIRETOS</v>
      </c>
      <c r="C2243" s="25">
        <f t="shared" ref="C2243:C2306" si="71">DATE(YEAR(G2243),MONTH(G2243),1)</f>
        <v>44835</v>
      </c>
      <c r="D2243" s="27">
        <f>IF(K2243="CREDITO",Q2243,Q2243*-1)</f>
        <v>579481.52</v>
      </c>
      <c r="E2243" t="s">
        <v>894</v>
      </c>
      <c r="F2243" t="s">
        <v>2737</v>
      </c>
      <c r="G2243" s="8">
        <v>44835</v>
      </c>
      <c r="H2243" t="s">
        <v>463</v>
      </c>
      <c r="I2243" t="s">
        <v>59</v>
      </c>
      <c r="J2243" t="s">
        <v>60</v>
      </c>
      <c r="K2243" t="s">
        <v>29</v>
      </c>
      <c r="L2243" t="s">
        <v>895</v>
      </c>
      <c r="M2243" t="s">
        <v>4402</v>
      </c>
      <c r="O2243" t="s">
        <v>896</v>
      </c>
      <c r="P2243" t="s">
        <v>33</v>
      </c>
      <c r="Q2243" s="22">
        <v>579481.52</v>
      </c>
      <c r="R2243" t="s">
        <v>35</v>
      </c>
      <c r="S2243" t="s">
        <v>35</v>
      </c>
      <c r="T2243" t="s">
        <v>35</v>
      </c>
      <c r="U2243" t="s">
        <v>35</v>
      </c>
      <c r="V2243" t="s">
        <v>645</v>
      </c>
      <c r="W2243" t="s">
        <v>113</v>
      </c>
    </row>
    <row r="2244" spans="1:23" hidden="1" x14ac:dyDescent="0.25">
      <c r="A2244" s="7" t="str">
        <f>IFERROR(VLOOKUP(H2244,'Contas Orç'!A:B,2,0),"N/A")</f>
        <v>MATERIAIS DIRETOS</v>
      </c>
      <c r="B2244" s="7" t="str">
        <f t="shared" si="70"/>
        <v>320601001 - MATERIAIS DIRETOS</v>
      </c>
      <c r="C2244" s="25">
        <f t="shared" si="71"/>
        <v>44835</v>
      </c>
      <c r="D2244" s="27">
        <f>IF(K2244="CREDITO",Q2244,Q2244*-1)</f>
        <v>4232.53</v>
      </c>
      <c r="E2244" t="s">
        <v>894</v>
      </c>
      <c r="F2244" t="s">
        <v>2738</v>
      </c>
      <c r="G2244" s="8">
        <v>44835</v>
      </c>
      <c r="H2244" t="s">
        <v>463</v>
      </c>
      <c r="I2244" t="s">
        <v>59</v>
      </c>
      <c r="J2244" t="s">
        <v>107</v>
      </c>
      <c r="K2244" t="s">
        <v>29</v>
      </c>
      <c r="L2244" t="s">
        <v>895</v>
      </c>
      <c r="M2244" t="s">
        <v>4402</v>
      </c>
      <c r="O2244" t="s">
        <v>896</v>
      </c>
      <c r="P2244" t="s">
        <v>33</v>
      </c>
      <c r="Q2244" s="22">
        <v>4232.53</v>
      </c>
      <c r="R2244" t="s">
        <v>35</v>
      </c>
      <c r="S2244" t="s">
        <v>35</v>
      </c>
      <c r="T2244" t="s">
        <v>35</v>
      </c>
      <c r="U2244" t="s">
        <v>35</v>
      </c>
      <c r="V2244" t="s">
        <v>645</v>
      </c>
      <c r="W2244" t="s">
        <v>113</v>
      </c>
    </row>
    <row r="2245" spans="1:23" hidden="1" x14ac:dyDescent="0.25">
      <c r="A2245" s="7" t="str">
        <f>IFERROR(VLOOKUP(H2245,'Contas Orç'!A:B,2,0),"N/A")</f>
        <v>MATERIAIS DIRETOS</v>
      </c>
      <c r="B2245" s="7" t="str">
        <f t="shared" si="70"/>
        <v>320601001 - MATERIAIS DIRETOS</v>
      </c>
      <c r="C2245" s="25">
        <f t="shared" si="71"/>
        <v>44866</v>
      </c>
      <c r="D2245" s="27">
        <f>IF(K2245="CREDITO",Q2245,Q2245*-1)</f>
        <v>585276.34</v>
      </c>
      <c r="E2245" t="s">
        <v>894</v>
      </c>
      <c r="F2245" t="s">
        <v>2739</v>
      </c>
      <c r="G2245" s="8">
        <v>44866</v>
      </c>
      <c r="H2245" t="s">
        <v>463</v>
      </c>
      <c r="I2245" t="s">
        <v>59</v>
      </c>
      <c r="J2245" t="s">
        <v>60</v>
      </c>
      <c r="K2245" t="s">
        <v>29</v>
      </c>
      <c r="L2245" t="s">
        <v>895</v>
      </c>
      <c r="M2245" t="s">
        <v>4402</v>
      </c>
      <c r="O2245" t="s">
        <v>896</v>
      </c>
      <c r="P2245" t="s">
        <v>33</v>
      </c>
      <c r="Q2245" s="22">
        <v>585276.34</v>
      </c>
      <c r="R2245" t="s">
        <v>35</v>
      </c>
      <c r="S2245" t="s">
        <v>35</v>
      </c>
      <c r="T2245" t="s">
        <v>35</v>
      </c>
      <c r="U2245" t="s">
        <v>35</v>
      </c>
      <c r="V2245" t="s">
        <v>645</v>
      </c>
      <c r="W2245" t="s">
        <v>113</v>
      </c>
    </row>
    <row r="2246" spans="1:23" hidden="1" x14ac:dyDescent="0.25">
      <c r="A2246" s="7" t="str">
        <f>IFERROR(VLOOKUP(H2246,'Contas Orç'!A:B,2,0),"N/A")</f>
        <v>MATERIAIS DIRETOS</v>
      </c>
      <c r="B2246" s="7" t="str">
        <f t="shared" si="70"/>
        <v>320601001 - MATERIAIS DIRETOS</v>
      </c>
      <c r="C2246" s="25">
        <f t="shared" si="71"/>
        <v>44866</v>
      </c>
      <c r="D2246" s="27">
        <f>IF(K2246="CREDITO",Q2246,Q2246*-1)</f>
        <v>4274.8500000000004</v>
      </c>
      <c r="E2246" t="s">
        <v>894</v>
      </c>
      <c r="F2246" t="s">
        <v>2740</v>
      </c>
      <c r="G2246" s="8">
        <v>44866</v>
      </c>
      <c r="H2246" t="s">
        <v>463</v>
      </c>
      <c r="I2246" t="s">
        <v>59</v>
      </c>
      <c r="J2246" t="s">
        <v>107</v>
      </c>
      <c r="K2246" t="s">
        <v>29</v>
      </c>
      <c r="L2246" t="s">
        <v>895</v>
      </c>
      <c r="M2246" t="s">
        <v>4402</v>
      </c>
      <c r="O2246" t="s">
        <v>896</v>
      </c>
      <c r="P2246" t="s">
        <v>33</v>
      </c>
      <c r="Q2246" s="22">
        <v>4274.8500000000004</v>
      </c>
      <c r="R2246" t="s">
        <v>35</v>
      </c>
      <c r="S2246" t="s">
        <v>35</v>
      </c>
      <c r="T2246" t="s">
        <v>35</v>
      </c>
      <c r="U2246" t="s">
        <v>35</v>
      </c>
      <c r="V2246" t="s">
        <v>645</v>
      </c>
      <c r="W2246" t="s">
        <v>113</v>
      </c>
    </row>
    <row r="2247" spans="1:23" hidden="1" x14ac:dyDescent="0.25">
      <c r="A2247" s="7" t="str">
        <f>IFERROR(VLOOKUP(H2247,'Contas Orç'!A:B,2,0),"N/A")</f>
        <v>MATERIAIS DIRETOS</v>
      </c>
      <c r="B2247" s="7" t="str">
        <f t="shared" si="70"/>
        <v>320601001 - MATERIAIS DIRETOS</v>
      </c>
      <c r="C2247" s="25">
        <f t="shared" si="71"/>
        <v>44896</v>
      </c>
      <c r="D2247" s="27">
        <f>IF(K2247="CREDITO",Q2247,Q2247*-1)</f>
        <v>591129.1</v>
      </c>
      <c r="E2247" t="s">
        <v>894</v>
      </c>
      <c r="F2247" t="s">
        <v>2741</v>
      </c>
      <c r="G2247" s="8">
        <v>44896</v>
      </c>
      <c r="H2247" t="s">
        <v>463</v>
      </c>
      <c r="I2247" t="s">
        <v>59</v>
      </c>
      <c r="J2247" t="s">
        <v>60</v>
      </c>
      <c r="K2247" t="s">
        <v>29</v>
      </c>
      <c r="L2247" t="s">
        <v>895</v>
      </c>
      <c r="M2247" t="s">
        <v>4402</v>
      </c>
      <c r="O2247" t="s">
        <v>896</v>
      </c>
      <c r="P2247" t="s">
        <v>33</v>
      </c>
      <c r="Q2247" s="22">
        <v>591129.1</v>
      </c>
      <c r="R2247" t="s">
        <v>35</v>
      </c>
      <c r="S2247" t="s">
        <v>35</v>
      </c>
      <c r="T2247" t="s">
        <v>35</v>
      </c>
      <c r="U2247" t="s">
        <v>35</v>
      </c>
      <c r="V2247" t="s">
        <v>645</v>
      </c>
      <c r="W2247" t="s">
        <v>113</v>
      </c>
    </row>
    <row r="2248" spans="1:23" hidden="1" x14ac:dyDescent="0.25">
      <c r="A2248" s="7" t="str">
        <f>IFERROR(VLOOKUP(H2248,'Contas Orç'!A:B,2,0),"N/A")</f>
        <v>MATERIAIS DIRETOS</v>
      </c>
      <c r="B2248" s="7" t="str">
        <f t="shared" si="70"/>
        <v>320601001 - MATERIAIS DIRETOS</v>
      </c>
      <c r="C2248" s="25">
        <f t="shared" si="71"/>
        <v>44896</v>
      </c>
      <c r="D2248" s="27">
        <f>IF(K2248="CREDITO",Q2248,Q2248*-1)</f>
        <v>4317.6000000000004</v>
      </c>
      <c r="E2248" t="s">
        <v>894</v>
      </c>
      <c r="F2248" t="s">
        <v>2742</v>
      </c>
      <c r="G2248" s="8">
        <v>44896</v>
      </c>
      <c r="H2248" t="s">
        <v>463</v>
      </c>
      <c r="I2248" t="s">
        <v>59</v>
      </c>
      <c r="J2248" t="s">
        <v>107</v>
      </c>
      <c r="K2248" t="s">
        <v>29</v>
      </c>
      <c r="L2248" t="s">
        <v>895</v>
      </c>
      <c r="M2248" t="s">
        <v>4402</v>
      </c>
      <c r="O2248" t="s">
        <v>896</v>
      </c>
      <c r="P2248" t="s">
        <v>33</v>
      </c>
      <c r="Q2248" s="22">
        <v>4317.6000000000004</v>
      </c>
      <c r="R2248" t="s">
        <v>35</v>
      </c>
      <c r="S2248" t="s">
        <v>35</v>
      </c>
      <c r="T2248" t="s">
        <v>35</v>
      </c>
      <c r="U2248" t="s">
        <v>35</v>
      </c>
      <c r="V2248" t="s">
        <v>645</v>
      </c>
      <c r="W2248" t="s">
        <v>113</v>
      </c>
    </row>
    <row r="2249" spans="1:23" hidden="1" x14ac:dyDescent="0.25">
      <c r="A2249" s="7" t="str">
        <f>IFERROR(VLOOKUP(H2249,'Contas Orç'!A:B,2,0),"N/A")</f>
        <v>TARIFAS PORTUµRIAS</v>
      </c>
      <c r="B2249" s="7" t="str">
        <f t="shared" si="70"/>
        <v>320601002 - TARIFAS PORTUµRIAS</v>
      </c>
      <c r="C2249" s="25">
        <f t="shared" si="71"/>
        <v>44562</v>
      </c>
      <c r="D2249" s="27">
        <f>IF(K2249="CREDITO",Q2249,Q2249*-1)</f>
        <v>592254.52</v>
      </c>
      <c r="E2249" t="s">
        <v>894</v>
      </c>
      <c r="F2249" t="s">
        <v>2743</v>
      </c>
      <c r="G2249" s="8">
        <v>44562</v>
      </c>
      <c r="H2249" t="s">
        <v>299</v>
      </c>
      <c r="I2249" t="s">
        <v>59</v>
      </c>
      <c r="J2249" t="s">
        <v>60</v>
      </c>
      <c r="K2249" t="s">
        <v>29</v>
      </c>
      <c r="L2249" t="s">
        <v>895</v>
      </c>
      <c r="M2249" t="s">
        <v>4402</v>
      </c>
      <c r="O2249" t="s">
        <v>896</v>
      </c>
      <c r="P2249" t="s">
        <v>33</v>
      </c>
      <c r="Q2249" s="22">
        <v>592254.52</v>
      </c>
      <c r="R2249" t="s">
        <v>35</v>
      </c>
      <c r="S2249" t="s">
        <v>35</v>
      </c>
      <c r="T2249" t="s">
        <v>35</v>
      </c>
      <c r="U2249" t="s">
        <v>35</v>
      </c>
      <c r="V2249" t="s">
        <v>645</v>
      </c>
      <c r="W2249" t="s">
        <v>113</v>
      </c>
    </row>
    <row r="2250" spans="1:23" hidden="1" x14ac:dyDescent="0.25">
      <c r="A2250" s="7" t="str">
        <f>IFERROR(VLOOKUP(H2250,'Contas Orç'!A:B,2,0),"N/A")</f>
        <v>TARIFAS PORTUµRIAS</v>
      </c>
      <c r="B2250" s="7" t="str">
        <f t="shared" si="70"/>
        <v>320601002 - TARIFAS PORTUµRIAS</v>
      </c>
      <c r="C2250" s="25">
        <f t="shared" si="71"/>
        <v>44562</v>
      </c>
      <c r="D2250" s="27">
        <f>IF(K2250="CREDITO",Q2250,Q2250*-1)</f>
        <v>87140.22</v>
      </c>
      <c r="E2250" t="s">
        <v>894</v>
      </c>
      <c r="F2250" t="s">
        <v>2744</v>
      </c>
      <c r="G2250" s="8">
        <v>44562</v>
      </c>
      <c r="H2250" t="s">
        <v>299</v>
      </c>
      <c r="I2250" t="s">
        <v>59</v>
      </c>
      <c r="J2250" t="s">
        <v>107</v>
      </c>
      <c r="K2250" t="s">
        <v>29</v>
      </c>
      <c r="L2250" t="s">
        <v>895</v>
      </c>
      <c r="M2250" t="s">
        <v>4402</v>
      </c>
      <c r="O2250" t="s">
        <v>896</v>
      </c>
      <c r="P2250" t="s">
        <v>33</v>
      </c>
      <c r="Q2250" s="22">
        <v>87140.22</v>
      </c>
      <c r="R2250" t="s">
        <v>35</v>
      </c>
      <c r="S2250" t="s">
        <v>35</v>
      </c>
      <c r="T2250" t="s">
        <v>35</v>
      </c>
      <c r="U2250" t="s">
        <v>35</v>
      </c>
      <c r="V2250" t="s">
        <v>645</v>
      </c>
      <c r="W2250" t="s">
        <v>113</v>
      </c>
    </row>
    <row r="2251" spans="1:23" hidden="1" x14ac:dyDescent="0.25">
      <c r="A2251" s="7" t="str">
        <f>IFERROR(VLOOKUP(H2251,'Contas Orç'!A:B,2,0),"N/A")</f>
        <v>TARIFAS PORTUµRIAS</v>
      </c>
      <c r="B2251" s="7" t="str">
        <f t="shared" si="70"/>
        <v>320601002 - TARIFAS PORTUµRIAS</v>
      </c>
      <c r="C2251" s="25">
        <f t="shared" si="71"/>
        <v>44562</v>
      </c>
      <c r="D2251" s="27">
        <f>IF(K2251="CREDITO",Q2251,Q2251*-1)</f>
        <v>2162.2600000000002</v>
      </c>
      <c r="E2251" t="s">
        <v>894</v>
      </c>
      <c r="F2251" t="s">
        <v>2745</v>
      </c>
      <c r="G2251" s="8">
        <v>44562</v>
      </c>
      <c r="H2251" t="s">
        <v>299</v>
      </c>
      <c r="I2251" t="s">
        <v>59</v>
      </c>
      <c r="J2251" t="s">
        <v>702</v>
      </c>
      <c r="K2251" t="s">
        <v>29</v>
      </c>
      <c r="L2251" t="s">
        <v>895</v>
      </c>
      <c r="M2251" t="s">
        <v>4402</v>
      </c>
      <c r="O2251" t="s">
        <v>896</v>
      </c>
      <c r="P2251" t="s">
        <v>33</v>
      </c>
      <c r="Q2251" s="22">
        <v>2162.2600000000002</v>
      </c>
      <c r="R2251" t="s">
        <v>35</v>
      </c>
      <c r="S2251" t="s">
        <v>35</v>
      </c>
      <c r="T2251" t="s">
        <v>35</v>
      </c>
      <c r="U2251" t="s">
        <v>35</v>
      </c>
      <c r="V2251" t="s">
        <v>645</v>
      </c>
      <c r="W2251" t="s">
        <v>113</v>
      </c>
    </row>
    <row r="2252" spans="1:23" hidden="1" x14ac:dyDescent="0.25">
      <c r="A2252" s="7" t="str">
        <f>IFERROR(VLOOKUP(H2252,'Contas Orç'!A:B,2,0),"N/A")</f>
        <v>TARIFAS PORTUµRIAS</v>
      </c>
      <c r="B2252" s="7" t="str">
        <f t="shared" si="70"/>
        <v>320601002 - TARIFAS PORTUµRIAS</v>
      </c>
      <c r="C2252" s="25">
        <f t="shared" si="71"/>
        <v>44562</v>
      </c>
      <c r="D2252" s="27">
        <f>IF(K2252="CREDITO",Q2252,Q2252*-1)</f>
        <v>766.81</v>
      </c>
      <c r="E2252" t="s">
        <v>894</v>
      </c>
      <c r="F2252" t="s">
        <v>2746</v>
      </c>
      <c r="G2252" s="8">
        <v>44562</v>
      </c>
      <c r="H2252" t="s">
        <v>299</v>
      </c>
      <c r="I2252" t="s">
        <v>59</v>
      </c>
      <c r="J2252" t="s">
        <v>661</v>
      </c>
      <c r="K2252" t="s">
        <v>29</v>
      </c>
      <c r="L2252" t="s">
        <v>895</v>
      </c>
      <c r="M2252" t="s">
        <v>4402</v>
      </c>
      <c r="O2252" t="s">
        <v>896</v>
      </c>
      <c r="P2252" t="s">
        <v>33</v>
      </c>
      <c r="Q2252">
        <v>766.81</v>
      </c>
      <c r="R2252" t="s">
        <v>35</v>
      </c>
      <c r="S2252" t="s">
        <v>35</v>
      </c>
      <c r="T2252" t="s">
        <v>35</v>
      </c>
      <c r="U2252" t="s">
        <v>35</v>
      </c>
      <c r="V2252" t="s">
        <v>645</v>
      </c>
      <c r="W2252" t="s">
        <v>113</v>
      </c>
    </row>
    <row r="2253" spans="1:23" hidden="1" x14ac:dyDescent="0.25">
      <c r="A2253" s="7" t="str">
        <f>IFERROR(VLOOKUP(H2253,'Contas Orç'!A:B,2,0),"N/A")</f>
        <v>TARIFAS PORTUµRIAS</v>
      </c>
      <c r="B2253" s="7" t="str">
        <f t="shared" si="70"/>
        <v>320601002 - TARIFAS PORTUµRIAS</v>
      </c>
      <c r="C2253" s="25">
        <f t="shared" si="71"/>
        <v>44593</v>
      </c>
      <c r="D2253" s="27">
        <f>IF(K2253="CREDITO",Q2253,Q2253*-1)</f>
        <v>472934.58</v>
      </c>
      <c r="E2253" t="s">
        <v>894</v>
      </c>
      <c r="F2253" t="s">
        <v>2747</v>
      </c>
      <c r="G2253" s="8">
        <v>44593</v>
      </c>
      <c r="H2253" t="s">
        <v>299</v>
      </c>
      <c r="I2253" t="s">
        <v>59</v>
      </c>
      <c r="J2253" t="s">
        <v>60</v>
      </c>
      <c r="K2253" t="s">
        <v>29</v>
      </c>
      <c r="L2253" t="s">
        <v>895</v>
      </c>
      <c r="M2253" t="s">
        <v>4402</v>
      </c>
      <c r="O2253" t="s">
        <v>896</v>
      </c>
      <c r="P2253" t="s">
        <v>33</v>
      </c>
      <c r="Q2253" s="22">
        <v>472934.58</v>
      </c>
      <c r="R2253" t="s">
        <v>35</v>
      </c>
      <c r="S2253" t="s">
        <v>35</v>
      </c>
      <c r="T2253" t="s">
        <v>35</v>
      </c>
      <c r="U2253" t="s">
        <v>35</v>
      </c>
      <c r="V2253" t="s">
        <v>645</v>
      </c>
      <c r="W2253" t="s">
        <v>113</v>
      </c>
    </row>
    <row r="2254" spans="1:23" hidden="1" x14ac:dyDescent="0.25">
      <c r="A2254" s="7" t="str">
        <f>IFERROR(VLOOKUP(H2254,'Contas Orç'!A:B,2,0),"N/A")</f>
        <v>TARIFAS PORTUµRIAS</v>
      </c>
      <c r="B2254" s="7" t="str">
        <f t="shared" si="70"/>
        <v>320601002 - TARIFAS PORTUµRIAS</v>
      </c>
      <c r="C2254" s="25">
        <f t="shared" si="71"/>
        <v>44593</v>
      </c>
      <c r="D2254" s="27">
        <f>IF(K2254="CREDITO",Q2254,Q2254*-1)</f>
        <v>11423.35</v>
      </c>
      <c r="E2254" t="s">
        <v>894</v>
      </c>
      <c r="F2254" t="s">
        <v>2748</v>
      </c>
      <c r="G2254" s="8">
        <v>44593</v>
      </c>
      <c r="H2254" t="s">
        <v>299</v>
      </c>
      <c r="I2254" t="s">
        <v>59</v>
      </c>
      <c r="J2254" t="s">
        <v>107</v>
      </c>
      <c r="K2254" t="s">
        <v>29</v>
      </c>
      <c r="L2254" t="s">
        <v>895</v>
      </c>
      <c r="M2254" t="s">
        <v>4402</v>
      </c>
      <c r="O2254" t="s">
        <v>896</v>
      </c>
      <c r="P2254" t="s">
        <v>33</v>
      </c>
      <c r="Q2254" s="22">
        <v>11423.35</v>
      </c>
      <c r="R2254" t="s">
        <v>35</v>
      </c>
      <c r="S2254" t="s">
        <v>35</v>
      </c>
      <c r="T2254" t="s">
        <v>35</v>
      </c>
      <c r="U2254" t="s">
        <v>35</v>
      </c>
      <c r="V2254" t="s">
        <v>645</v>
      </c>
      <c r="W2254" t="s">
        <v>113</v>
      </c>
    </row>
    <row r="2255" spans="1:23" hidden="1" x14ac:dyDescent="0.25">
      <c r="A2255" s="7" t="str">
        <f>IFERROR(VLOOKUP(H2255,'Contas Orç'!A:B,2,0),"N/A")</f>
        <v>TARIFAS PORTUµRIAS</v>
      </c>
      <c r="B2255" s="7" t="str">
        <f t="shared" si="70"/>
        <v>320601002 - TARIFAS PORTUµRIAS</v>
      </c>
      <c r="C2255" s="25">
        <f t="shared" si="71"/>
        <v>44593</v>
      </c>
      <c r="D2255" s="27">
        <f>IF(K2255="CREDITO",Q2255,Q2255*-1)</f>
        <v>2814.21</v>
      </c>
      <c r="E2255" t="s">
        <v>894</v>
      </c>
      <c r="F2255" t="s">
        <v>2749</v>
      </c>
      <c r="G2255" s="8">
        <v>44593</v>
      </c>
      <c r="H2255" t="s">
        <v>299</v>
      </c>
      <c r="I2255" t="s">
        <v>59</v>
      </c>
      <c r="J2255" t="s">
        <v>702</v>
      </c>
      <c r="K2255" t="s">
        <v>29</v>
      </c>
      <c r="L2255" t="s">
        <v>895</v>
      </c>
      <c r="M2255" t="s">
        <v>4402</v>
      </c>
      <c r="O2255" t="s">
        <v>896</v>
      </c>
      <c r="P2255" t="s">
        <v>33</v>
      </c>
      <c r="Q2255" s="22">
        <v>2814.21</v>
      </c>
      <c r="R2255" t="s">
        <v>35</v>
      </c>
      <c r="S2255" t="s">
        <v>35</v>
      </c>
      <c r="T2255" t="s">
        <v>35</v>
      </c>
      <c r="U2255" t="s">
        <v>35</v>
      </c>
      <c r="V2255" t="s">
        <v>645</v>
      </c>
      <c r="W2255" t="s">
        <v>113</v>
      </c>
    </row>
    <row r="2256" spans="1:23" hidden="1" x14ac:dyDescent="0.25">
      <c r="A2256" s="7" t="str">
        <f>IFERROR(VLOOKUP(H2256,'Contas Orç'!A:B,2,0),"N/A")</f>
        <v>TARIFAS PORTUµRIAS</v>
      </c>
      <c r="B2256" s="7" t="str">
        <f t="shared" si="70"/>
        <v>320601002 - TARIFAS PORTUµRIAS</v>
      </c>
      <c r="C2256" s="25">
        <f t="shared" si="71"/>
        <v>44593</v>
      </c>
      <c r="D2256" s="27">
        <f>IF(K2256="CREDITO",Q2256,Q2256*-1)</f>
        <v>747.8</v>
      </c>
      <c r="E2256" t="s">
        <v>894</v>
      </c>
      <c r="F2256" t="s">
        <v>2750</v>
      </c>
      <c r="G2256" s="8">
        <v>44593</v>
      </c>
      <c r="H2256" t="s">
        <v>299</v>
      </c>
      <c r="I2256" t="s">
        <v>59</v>
      </c>
      <c r="J2256" t="s">
        <v>661</v>
      </c>
      <c r="K2256" t="s">
        <v>29</v>
      </c>
      <c r="L2256" t="s">
        <v>895</v>
      </c>
      <c r="M2256" t="s">
        <v>4402</v>
      </c>
      <c r="O2256" t="s">
        <v>896</v>
      </c>
      <c r="P2256" t="s">
        <v>33</v>
      </c>
      <c r="Q2256">
        <v>747.8</v>
      </c>
      <c r="R2256" t="s">
        <v>35</v>
      </c>
      <c r="S2256" t="s">
        <v>35</v>
      </c>
      <c r="T2256" t="s">
        <v>35</v>
      </c>
      <c r="U2256" t="s">
        <v>35</v>
      </c>
      <c r="V2256" t="s">
        <v>645</v>
      </c>
      <c r="W2256" t="s">
        <v>113</v>
      </c>
    </row>
    <row r="2257" spans="1:23" hidden="1" x14ac:dyDescent="0.25">
      <c r="A2257" s="7" t="str">
        <f>IFERROR(VLOOKUP(H2257,'Contas Orç'!A:B,2,0),"N/A")</f>
        <v>TARIFAS PORTUµRIAS</v>
      </c>
      <c r="B2257" s="7" t="str">
        <f t="shared" si="70"/>
        <v>320601002 - TARIFAS PORTUµRIAS</v>
      </c>
      <c r="C2257" s="25">
        <f t="shared" si="71"/>
        <v>44621</v>
      </c>
      <c r="D2257" s="27">
        <f>IF(K2257="CREDITO",Q2257,Q2257*-1)</f>
        <v>479015.03</v>
      </c>
      <c r="E2257" t="s">
        <v>894</v>
      </c>
      <c r="F2257" t="s">
        <v>2751</v>
      </c>
      <c r="G2257" s="8">
        <v>44621</v>
      </c>
      <c r="H2257" t="s">
        <v>299</v>
      </c>
      <c r="I2257" t="s">
        <v>59</v>
      </c>
      <c r="J2257" t="s">
        <v>60</v>
      </c>
      <c r="K2257" t="s">
        <v>29</v>
      </c>
      <c r="L2257" t="s">
        <v>895</v>
      </c>
      <c r="M2257" t="s">
        <v>4402</v>
      </c>
      <c r="O2257" t="s">
        <v>896</v>
      </c>
      <c r="P2257" t="s">
        <v>33</v>
      </c>
      <c r="Q2257" s="22">
        <v>479015.03</v>
      </c>
      <c r="R2257" t="s">
        <v>35</v>
      </c>
      <c r="S2257" t="s">
        <v>35</v>
      </c>
      <c r="T2257" t="s">
        <v>35</v>
      </c>
      <c r="U2257" t="s">
        <v>35</v>
      </c>
      <c r="V2257" t="s">
        <v>645</v>
      </c>
      <c r="W2257" t="s">
        <v>113</v>
      </c>
    </row>
    <row r="2258" spans="1:23" hidden="1" x14ac:dyDescent="0.25">
      <c r="A2258" s="7" t="str">
        <f>IFERROR(VLOOKUP(H2258,'Contas Orç'!A:B,2,0),"N/A")</f>
        <v>TARIFAS PORTUµRIAS</v>
      </c>
      <c r="B2258" s="7" t="str">
        <f t="shared" si="70"/>
        <v>320601002 - TARIFAS PORTUµRIAS</v>
      </c>
      <c r="C2258" s="25">
        <f t="shared" si="71"/>
        <v>44621</v>
      </c>
      <c r="D2258" s="27">
        <f>IF(K2258="CREDITO",Q2258,Q2258*-1)</f>
        <v>43347.87</v>
      </c>
      <c r="E2258" t="s">
        <v>894</v>
      </c>
      <c r="F2258" t="s">
        <v>2752</v>
      </c>
      <c r="G2258" s="8">
        <v>44621</v>
      </c>
      <c r="H2258" t="s">
        <v>299</v>
      </c>
      <c r="I2258" t="s">
        <v>59</v>
      </c>
      <c r="J2258" t="s">
        <v>107</v>
      </c>
      <c r="K2258" t="s">
        <v>29</v>
      </c>
      <c r="L2258" t="s">
        <v>895</v>
      </c>
      <c r="M2258" t="s">
        <v>4402</v>
      </c>
      <c r="O2258" t="s">
        <v>896</v>
      </c>
      <c r="P2258" t="s">
        <v>33</v>
      </c>
      <c r="Q2258" s="22">
        <v>43347.87</v>
      </c>
      <c r="R2258" t="s">
        <v>35</v>
      </c>
      <c r="S2258" t="s">
        <v>35</v>
      </c>
      <c r="T2258" t="s">
        <v>35</v>
      </c>
      <c r="U2258" t="s">
        <v>35</v>
      </c>
      <c r="V2258" t="s">
        <v>645</v>
      </c>
      <c r="W2258" t="s">
        <v>113</v>
      </c>
    </row>
    <row r="2259" spans="1:23" hidden="1" x14ac:dyDescent="0.25">
      <c r="A2259" s="7" t="str">
        <f>IFERROR(VLOOKUP(H2259,'Contas Orç'!A:B,2,0),"N/A")</f>
        <v>TARIFAS PORTUµRIAS</v>
      </c>
      <c r="B2259" s="7" t="str">
        <f t="shared" si="70"/>
        <v>320601002 - TARIFAS PORTUµRIAS</v>
      </c>
      <c r="C2259" s="25">
        <f t="shared" si="71"/>
        <v>44621</v>
      </c>
      <c r="D2259" s="27">
        <f>IF(K2259="CREDITO",Q2259,Q2259*-1)</f>
        <v>2582.94</v>
      </c>
      <c r="E2259" t="s">
        <v>894</v>
      </c>
      <c r="F2259" t="s">
        <v>2753</v>
      </c>
      <c r="G2259" s="8">
        <v>44621</v>
      </c>
      <c r="H2259" t="s">
        <v>299</v>
      </c>
      <c r="I2259" t="s">
        <v>59</v>
      </c>
      <c r="J2259" t="s">
        <v>702</v>
      </c>
      <c r="K2259" t="s">
        <v>29</v>
      </c>
      <c r="L2259" t="s">
        <v>895</v>
      </c>
      <c r="M2259" t="s">
        <v>4402</v>
      </c>
      <c r="O2259" t="s">
        <v>896</v>
      </c>
      <c r="P2259" t="s">
        <v>33</v>
      </c>
      <c r="Q2259" s="22">
        <v>2582.94</v>
      </c>
      <c r="R2259" t="s">
        <v>35</v>
      </c>
      <c r="S2259" t="s">
        <v>35</v>
      </c>
      <c r="T2259" t="s">
        <v>35</v>
      </c>
      <c r="U2259" t="s">
        <v>35</v>
      </c>
      <c r="V2259" t="s">
        <v>645</v>
      </c>
      <c r="W2259" t="s">
        <v>113</v>
      </c>
    </row>
    <row r="2260" spans="1:23" hidden="1" x14ac:dyDescent="0.25">
      <c r="A2260" s="7" t="str">
        <f>IFERROR(VLOOKUP(H2260,'Contas Orç'!A:B,2,0),"N/A")</f>
        <v>TARIFAS PORTUµRIAS</v>
      </c>
      <c r="B2260" s="7" t="str">
        <f t="shared" si="70"/>
        <v>320601002 - TARIFAS PORTUµRIAS</v>
      </c>
      <c r="C2260" s="25">
        <f t="shared" si="71"/>
        <v>44621</v>
      </c>
      <c r="D2260" s="27">
        <f>IF(K2260="CREDITO",Q2260,Q2260*-1)</f>
        <v>691.16</v>
      </c>
      <c r="E2260" t="s">
        <v>894</v>
      </c>
      <c r="F2260" t="s">
        <v>2754</v>
      </c>
      <c r="G2260" s="8">
        <v>44621</v>
      </c>
      <c r="H2260" t="s">
        <v>299</v>
      </c>
      <c r="I2260" t="s">
        <v>53</v>
      </c>
      <c r="J2260" t="s">
        <v>661</v>
      </c>
      <c r="K2260" t="s">
        <v>29</v>
      </c>
      <c r="L2260" t="s">
        <v>895</v>
      </c>
      <c r="M2260" t="s">
        <v>4402</v>
      </c>
      <c r="O2260" t="s">
        <v>896</v>
      </c>
      <c r="P2260" t="s">
        <v>33</v>
      </c>
      <c r="Q2260">
        <v>691.16</v>
      </c>
      <c r="R2260" t="s">
        <v>35</v>
      </c>
      <c r="S2260" t="s">
        <v>35</v>
      </c>
      <c r="T2260" t="s">
        <v>35</v>
      </c>
      <c r="U2260" t="s">
        <v>35</v>
      </c>
      <c r="V2260" t="s">
        <v>645</v>
      </c>
      <c r="W2260" t="s">
        <v>113</v>
      </c>
    </row>
    <row r="2261" spans="1:23" hidden="1" x14ac:dyDescent="0.25">
      <c r="A2261" s="7" t="str">
        <f>IFERROR(VLOOKUP(H2261,'Contas Orç'!A:B,2,0),"N/A")</f>
        <v>TARIFAS PORTUµRIAS</v>
      </c>
      <c r="B2261" s="7" t="str">
        <f t="shared" si="70"/>
        <v>320601002 - TARIFAS PORTUµRIAS</v>
      </c>
      <c r="C2261" s="25">
        <f t="shared" si="71"/>
        <v>44652</v>
      </c>
      <c r="D2261" s="27">
        <f>IF(K2261="CREDITO",Q2261,Q2261*-1)</f>
        <v>618902.66</v>
      </c>
      <c r="E2261" t="s">
        <v>894</v>
      </c>
      <c r="F2261" t="s">
        <v>2755</v>
      </c>
      <c r="G2261" s="8">
        <v>44652</v>
      </c>
      <c r="H2261" t="s">
        <v>299</v>
      </c>
      <c r="I2261" t="s">
        <v>59</v>
      </c>
      <c r="J2261" t="s">
        <v>60</v>
      </c>
      <c r="K2261" t="s">
        <v>29</v>
      </c>
      <c r="L2261" t="s">
        <v>895</v>
      </c>
      <c r="M2261" t="s">
        <v>4402</v>
      </c>
      <c r="O2261" t="s">
        <v>896</v>
      </c>
      <c r="P2261" t="s">
        <v>33</v>
      </c>
      <c r="Q2261" s="22">
        <v>618902.66</v>
      </c>
      <c r="R2261" t="s">
        <v>35</v>
      </c>
      <c r="S2261" t="s">
        <v>35</v>
      </c>
      <c r="T2261" t="s">
        <v>35</v>
      </c>
      <c r="U2261" t="s">
        <v>35</v>
      </c>
      <c r="V2261" t="s">
        <v>645</v>
      </c>
      <c r="W2261" t="s">
        <v>113</v>
      </c>
    </row>
    <row r="2262" spans="1:23" hidden="1" x14ac:dyDescent="0.25">
      <c r="A2262" s="7" t="str">
        <f>IFERROR(VLOOKUP(H2262,'Contas Orç'!A:B,2,0),"N/A")</f>
        <v>TARIFAS PORTUµRIAS</v>
      </c>
      <c r="B2262" s="7" t="str">
        <f t="shared" si="70"/>
        <v>320601002 - TARIFAS PORTUµRIAS</v>
      </c>
      <c r="C2262" s="25">
        <f t="shared" si="71"/>
        <v>44652</v>
      </c>
      <c r="D2262" s="27">
        <f>IF(K2262="CREDITO",Q2262,Q2262*-1)</f>
        <v>46641.440000000002</v>
      </c>
      <c r="E2262" t="s">
        <v>894</v>
      </c>
      <c r="F2262" t="s">
        <v>2756</v>
      </c>
      <c r="G2262" s="8">
        <v>44652</v>
      </c>
      <c r="H2262" t="s">
        <v>299</v>
      </c>
      <c r="I2262" t="s">
        <v>59</v>
      </c>
      <c r="J2262" t="s">
        <v>107</v>
      </c>
      <c r="K2262" t="s">
        <v>29</v>
      </c>
      <c r="L2262" t="s">
        <v>895</v>
      </c>
      <c r="M2262" t="s">
        <v>4402</v>
      </c>
      <c r="O2262" t="s">
        <v>896</v>
      </c>
      <c r="P2262" t="s">
        <v>33</v>
      </c>
      <c r="Q2262" s="22">
        <v>46641.440000000002</v>
      </c>
      <c r="R2262" t="s">
        <v>35</v>
      </c>
      <c r="S2262" t="s">
        <v>35</v>
      </c>
      <c r="T2262" t="s">
        <v>35</v>
      </c>
      <c r="U2262" t="s">
        <v>35</v>
      </c>
      <c r="V2262" t="s">
        <v>645</v>
      </c>
      <c r="W2262" t="s">
        <v>113</v>
      </c>
    </row>
    <row r="2263" spans="1:23" hidden="1" x14ac:dyDescent="0.25">
      <c r="A2263" s="7" t="str">
        <f>IFERROR(VLOOKUP(H2263,'Contas Orç'!A:B,2,0),"N/A")</f>
        <v>TARIFAS PORTUµRIAS</v>
      </c>
      <c r="B2263" s="7" t="str">
        <f t="shared" si="70"/>
        <v>320601002 - TARIFAS PORTUµRIAS</v>
      </c>
      <c r="C2263" s="25">
        <f t="shared" si="71"/>
        <v>44652</v>
      </c>
      <c r="D2263" s="27">
        <f>IF(K2263="CREDITO",Q2263,Q2263*-1)</f>
        <v>1836.04</v>
      </c>
      <c r="E2263" t="s">
        <v>894</v>
      </c>
      <c r="F2263" t="s">
        <v>2757</v>
      </c>
      <c r="G2263" s="8">
        <v>44652</v>
      </c>
      <c r="H2263" t="s">
        <v>299</v>
      </c>
      <c r="I2263" t="s">
        <v>59</v>
      </c>
      <c r="J2263" t="s">
        <v>702</v>
      </c>
      <c r="K2263" t="s">
        <v>29</v>
      </c>
      <c r="L2263" t="s">
        <v>895</v>
      </c>
      <c r="M2263" t="s">
        <v>4402</v>
      </c>
      <c r="O2263" t="s">
        <v>896</v>
      </c>
      <c r="P2263" t="s">
        <v>33</v>
      </c>
      <c r="Q2263" s="22">
        <v>1836.04</v>
      </c>
      <c r="R2263" t="s">
        <v>35</v>
      </c>
      <c r="S2263" t="s">
        <v>35</v>
      </c>
      <c r="T2263" t="s">
        <v>35</v>
      </c>
      <c r="U2263" t="s">
        <v>35</v>
      </c>
      <c r="V2263" t="s">
        <v>645</v>
      </c>
      <c r="W2263" t="s">
        <v>113</v>
      </c>
    </row>
    <row r="2264" spans="1:23" hidden="1" x14ac:dyDescent="0.25">
      <c r="A2264" s="7" t="str">
        <f>IFERROR(VLOOKUP(H2264,'Contas Orç'!A:B,2,0),"N/A")</f>
        <v>TARIFAS PORTUµRIAS</v>
      </c>
      <c r="B2264" s="7" t="str">
        <f t="shared" si="70"/>
        <v>320601002 - TARIFAS PORTUµRIAS</v>
      </c>
      <c r="C2264" s="25">
        <f t="shared" si="71"/>
        <v>44652</v>
      </c>
      <c r="D2264" s="27">
        <f>IF(K2264="CREDITO",Q2264,Q2264*-1)</f>
        <v>574.58000000000004</v>
      </c>
      <c r="E2264" t="s">
        <v>894</v>
      </c>
      <c r="F2264" t="s">
        <v>2758</v>
      </c>
      <c r="G2264" s="8">
        <v>44652</v>
      </c>
      <c r="H2264" t="s">
        <v>299</v>
      </c>
      <c r="I2264" t="s">
        <v>53</v>
      </c>
      <c r="J2264" t="s">
        <v>661</v>
      </c>
      <c r="K2264" t="s">
        <v>29</v>
      </c>
      <c r="L2264" t="s">
        <v>895</v>
      </c>
      <c r="M2264" t="s">
        <v>4402</v>
      </c>
      <c r="O2264" t="s">
        <v>896</v>
      </c>
      <c r="P2264" t="s">
        <v>33</v>
      </c>
      <c r="Q2264">
        <v>574.58000000000004</v>
      </c>
      <c r="R2264" t="s">
        <v>35</v>
      </c>
      <c r="S2264" t="s">
        <v>35</v>
      </c>
      <c r="T2264" t="s">
        <v>35</v>
      </c>
      <c r="U2264" t="s">
        <v>35</v>
      </c>
      <c r="V2264" t="s">
        <v>645</v>
      </c>
      <c r="W2264" t="s">
        <v>113</v>
      </c>
    </row>
    <row r="2265" spans="1:23" hidden="1" x14ac:dyDescent="0.25">
      <c r="A2265" s="7" t="str">
        <f>IFERROR(VLOOKUP(H2265,'Contas Orç'!A:B,2,0),"N/A")</f>
        <v>TARIFAS PORTUµRIAS</v>
      </c>
      <c r="B2265" s="7" t="str">
        <f t="shared" si="70"/>
        <v>320601002 - TARIFAS PORTUµRIAS</v>
      </c>
      <c r="C2265" s="25">
        <f t="shared" si="71"/>
        <v>44682</v>
      </c>
      <c r="D2265" s="27">
        <f>IF(K2265="CREDITO",Q2265,Q2265*-1)</f>
        <v>658376.55000000005</v>
      </c>
      <c r="E2265" t="s">
        <v>894</v>
      </c>
      <c r="F2265" t="s">
        <v>2759</v>
      </c>
      <c r="G2265" s="8">
        <v>44682</v>
      </c>
      <c r="H2265" t="s">
        <v>299</v>
      </c>
      <c r="I2265" t="s">
        <v>59</v>
      </c>
      <c r="J2265" t="s">
        <v>60</v>
      </c>
      <c r="K2265" t="s">
        <v>29</v>
      </c>
      <c r="L2265" t="s">
        <v>895</v>
      </c>
      <c r="M2265" t="s">
        <v>4402</v>
      </c>
      <c r="O2265" t="s">
        <v>896</v>
      </c>
      <c r="P2265" t="s">
        <v>33</v>
      </c>
      <c r="Q2265" s="22">
        <v>658376.55000000005</v>
      </c>
      <c r="R2265" t="s">
        <v>35</v>
      </c>
      <c r="S2265" t="s">
        <v>35</v>
      </c>
      <c r="T2265" t="s">
        <v>35</v>
      </c>
      <c r="U2265" t="s">
        <v>35</v>
      </c>
      <c r="V2265" t="s">
        <v>645</v>
      </c>
      <c r="W2265" t="s">
        <v>113</v>
      </c>
    </row>
    <row r="2266" spans="1:23" hidden="1" x14ac:dyDescent="0.25">
      <c r="A2266" s="7" t="str">
        <f>IFERROR(VLOOKUP(H2266,'Contas Orç'!A:B,2,0),"N/A")</f>
        <v>TARIFAS PORTUµRIAS</v>
      </c>
      <c r="B2266" s="7" t="str">
        <f t="shared" si="70"/>
        <v>320601002 - TARIFAS PORTUµRIAS</v>
      </c>
      <c r="C2266" s="25">
        <f t="shared" si="71"/>
        <v>44682</v>
      </c>
      <c r="D2266" s="27">
        <f>IF(K2266="CREDITO",Q2266,Q2266*-1)</f>
        <v>263994.48</v>
      </c>
      <c r="E2266" t="s">
        <v>894</v>
      </c>
      <c r="F2266" t="s">
        <v>2760</v>
      </c>
      <c r="G2266" s="8">
        <v>44682</v>
      </c>
      <c r="H2266" t="s">
        <v>299</v>
      </c>
      <c r="I2266" t="s">
        <v>59</v>
      </c>
      <c r="J2266" t="s">
        <v>107</v>
      </c>
      <c r="K2266" t="s">
        <v>29</v>
      </c>
      <c r="L2266" t="s">
        <v>895</v>
      </c>
      <c r="M2266" t="s">
        <v>4402</v>
      </c>
      <c r="O2266" t="s">
        <v>896</v>
      </c>
      <c r="P2266" t="s">
        <v>33</v>
      </c>
      <c r="Q2266" s="22">
        <v>263994.48</v>
      </c>
      <c r="R2266" t="s">
        <v>35</v>
      </c>
      <c r="S2266" t="s">
        <v>35</v>
      </c>
      <c r="T2266" t="s">
        <v>35</v>
      </c>
      <c r="U2266" t="s">
        <v>35</v>
      </c>
      <c r="V2266" t="s">
        <v>645</v>
      </c>
      <c r="W2266" t="s">
        <v>113</v>
      </c>
    </row>
    <row r="2267" spans="1:23" hidden="1" x14ac:dyDescent="0.25">
      <c r="A2267" s="7" t="str">
        <f>IFERROR(VLOOKUP(H2267,'Contas Orç'!A:B,2,0),"N/A")</f>
        <v>TARIFAS PORTUµRIAS</v>
      </c>
      <c r="B2267" s="7" t="str">
        <f t="shared" si="70"/>
        <v>320601002 - TARIFAS PORTUµRIAS</v>
      </c>
      <c r="C2267" s="25">
        <f t="shared" si="71"/>
        <v>44682</v>
      </c>
      <c r="D2267" s="27">
        <f>IF(K2267="CREDITO",Q2267,Q2267*-1)</f>
        <v>1899.03</v>
      </c>
      <c r="E2267" t="s">
        <v>894</v>
      </c>
      <c r="F2267" t="s">
        <v>2761</v>
      </c>
      <c r="G2267" s="8">
        <v>44682</v>
      </c>
      <c r="H2267" t="s">
        <v>299</v>
      </c>
      <c r="I2267" t="s">
        <v>59</v>
      </c>
      <c r="J2267" t="s">
        <v>702</v>
      </c>
      <c r="K2267" t="s">
        <v>29</v>
      </c>
      <c r="L2267" t="s">
        <v>895</v>
      </c>
      <c r="M2267" t="s">
        <v>4402</v>
      </c>
      <c r="O2267" t="s">
        <v>896</v>
      </c>
      <c r="P2267" t="s">
        <v>33</v>
      </c>
      <c r="Q2267" s="22">
        <v>1899.03</v>
      </c>
      <c r="R2267" t="s">
        <v>35</v>
      </c>
      <c r="S2267" t="s">
        <v>35</v>
      </c>
      <c r="T2267" t="s">
        <v>35</v>
      </c>
      <c r="U2267" t="s">
        <v>35</v>
      </c>
      <c r="V2267" t="s">
        <v>645</v>
      </c>
      <c r="W2267" t="s">
        <v>113</v>
      </c>
    </row>
    <row r="2268" spans="1:23" hidden="1" x14ac:dyDescent="0.25">
      <c r="A2268" s="7" t="str">
        <f>IFERROR(VLOOKUP(H2268,'Contas Orç'!A:B,2,0),"N/A")</f>
        <v>TARIFAS PORTUµRIAS</v>
      </c>
      <c r="B2268" s="7" t="str">
        <f t="shared" si="70"/>
        <v>320601002 - TARIFAS PORTUµRIAS</v>
      </c>
      <c r="C2268" s="25">
        <f t="shared" si="71"/>
        <v>44682</v>
      </c>
      <c r="D2268" s="27">
        <f>IF(K2268="CREDITO",Q2268,Q2268*-1)</f>
        <v>404.19</v>
      </c>
      <c r="E2268" t="s">
        <v>894</v>
      </c>
      <c r="F2268" t="s">
        <v>2762</v>
      </c>
      <c r="G2268" s="8">
        <v>44682</v>
      </c>
      <c r="H2268" t="s">
        <v>299</v>
      </c>
      <c r="I2268" t="s">
        <v>53</v>
      </c>
      <c r="J2268" t="s">
        <v>54</v>
      </c>
      <c r="K2268" t="s">
        <v>29</v>
      </c>
      <c r="L2268" t="s">
        <v>895</v>
      </c>
      <c r="M2268" t="s">
        <v>4402</v>
      </c>
      <c r="O2268" t="s">
        <v>896</v>
      </c>
      <c r="P2268" t="s">
        <v>33</v>
      </c>
      <c r="Q2268">
        <v>404.19</v>
      </c>
      <c r="R2268" t="s">
        <v>35</v>
      </c>
      <c r="S2268" t="s">
        <v>35</v>
      </c>
      <c r="T2268" t="s">
        <v>35</v>
      </c>
      <c r="U2268" t="s">
        <v>35</v>
      </c>
      <c r="V2268" t="s">
        <v>645</v>
      </c>
      <c r="W2268" t="s">
        <v>113</v>
      </c>
    </row>
    <row r="2269" spans="1:23" hidden="1" x14ac:dyDescent="0.25">
      <c r="A2269" s="7" t="str">
        <f>IFERROR(VLOOKUP(H2269,'Contas Orç'!A:B,2,0),"N/A")</f>
        <v>TARIFAS PORTUµRIAS</v>
      </c>
      <c r="B2269" s="7" t="str">
        <f t="shared" si="70"/>
        <v>320601002 - TARIFAS PORTUµRIAS</v>
      </c>
      <c r="C2269" s="25">
        <f t="shared" si="71"/>
        <v>44713</v>
      </c>
      <c r="D2269" s="27">
        <f>IF(K2269="CREDITO",Q2269,Q2269*-1)</f>
        <v>660317.73</v>
      </c>
      <c r="E2269" t="s">
        <v>894</v>
      </c>
      <c r="F2269" t="s">
        <v>2763</v>
      </c>
      <c r="G2269" s="8">
        <v>44713</v>
      </c>
      <c r="H2269" t="s">
        <v>299</v>
      </c>
      <c r="I2269" t="s">
        <v>59</v>
      </c>
      <c r="J2269" t="s">
        <v>60</v>
      </c>
      <c r="K2269" t="s">
        <v>29</v>
      </c>
      <c r="L2269" t="s">
        <v>895</v>
      </c>
      <c r="M2269" t="s">
        <v>4402</v>
      </c>
      <c r="O2269" t="s">
        <v>896</v>
      </c>
      <c r="P2269" t="s">
        <v>33</v>
      </c>
      <c r="Q2269" s="22">
        <v>660317.73</v>
      </c>
      <c r="R2269" t="s">
        <v>35</v>
      </c>
      <c r="S2269" t="s">
        <v>35</v>
      </c>
      <c r="T2269" t="s">
        <v>35</v>
      </c>
      <c r="U2269" t="s">
        <v>35</v>
      </c>
      <c r="V2269" t="s">
        <v>645</v>
      </c>
      <c r="W2269" t="s">
        <v>113</v>
      </c>
    </row>
    <row r="2270" spans="1:23" hidden="1" x14ac:dyDescent="0.25">
      <c r="A2270" s="7" t="str">
        <f>IFERROR(VLOOKUP(H2270,'Contas Orç'!A:B,2,0),"N/A")</f>
        <v>TARIFAS PORTUµRIAS</v>
      </c>
      <c r="B2270" s="7" t="str">
        <f t="shared" si="70"/>
        <v>320601002 - TARIFAS PORTUµRIAS</v>
      </c>
      <c r="C2270" s="25">
        <f t="shared" si="71"/>
        <v>44713</v>
      </c>
      <c r="D2270" s="27">
        <f>IF(K2270="CREDITO",Q2270,Q2270*-1)</f>
        <v>68303.22</v>
      </c>
      <c r="E2270" t="s">
        <v>894</v>
      </c>
      <c r="F2270" t="s">
        <v>2764</v>
      </c>
      <c r="G2270" s="8">
        <v>44713</v>
      </c>
      <c r="H2270" t="s">
        <v>299</v>
      </c>
      <c r="I2270" t="s">
        <v>59</v>
      </c>
      <c r="J2270" t="s">
        <v>107</v>
      </c>
      <c r="K2270" t="s">
        <v>29</v>
      </c>
      <c r="L2270" t="s">
        <v>895</v>
      </c>
      <c r="M2270" t="s">
        <v>4402</v>
      </c>
      <c r="O2270" t="s">
        <v>896</v>
      </c>
      <c r="P2270" t="s">
        <v>33</v>
      </c>
      <c r="Q2270" s="22">
        <v>68303.22</v>
      </c>
      <c r="R2270" t="s">
        <v>35</v>
      </c>
      <c r="S2270" t="s">
        <v>35</v>
      </c>
      <c r="T2270" t="s">
        <v>35</v>
      </c>
      <c r="U2270" t="s">
        <v>35</v>
      </c>
      <c r="V2270" t="s">
        <v>645</v>
      </c>
      <c r="W2270" t="s">
        <v>113</v>
      </c>
    </row>
    <row r="2271" spans="1:23" hidden="1" x14ac:dyDescent="0.25">
      <c r="A2271" s="7" t="str">
        <f>IFERROR(VLOOKUP(H2271,'Contas Orç'!A:B,2,0),"N/A")</f>
        <v>TARIFAS PORTUµRIAS</v>
      </c>
      <c r="B2271" s="7" t="str">
        <f t="shared" si="70"/>
        <v>320601002 - TARIFAS PORTUµRIAS</v>
      </c>
      <c r="C2271" s="25">
        <f t="shared" si="71"/>
        <v>44713</v>
      </c>
      <c r="D2271" s="27">
        <f>IF(K2271="CREDITO",Q2271,Q2271*-1)</f>
        <v>2940.93</v>
      </c>
      <c r="E2271" t="s">
        <v>894</v>
      </c>
      <c r="F2271" t="s">
        <v>2765</v>
      </c>
      <c r="G2271" s="8">
        <v>44713</v>
      </c>
      <c r="H2271" t="s">
        <v>299</v>
      </c>
      <c r="I2271" t="s">
        <v>59</v>
      </c>
      <c r="J2271" t="s">
        <v>702</v>
      </c>
      <c r="K2271" t="s">
        <v>29</v>
      </c>
      <c r="L2271" t="s">
        <v>895</v>
      </c>
      <c r="M2271" t="s">
        <v>4402</v>
      </c>
      <c r="O2271" t="s">
        <v>896</v>
      </c>
      <c r="P2271" t="s">
        <v>33</v>
      </c>
      <c r="Q2271" s="22">
        <v>2940.93</v>
      </c>
      <c r="R2271" t="s">
        <v>35</v>
      </c>
      <c r="S2271" t="s">
        <v>35</v>
      </c>
      <c r="T2271" t="s">
        <v>35</v>
      </c>
      <c r="U2271" t="s">
        <v>35</v>
      </c>
      <c r="V2271" t="s">
        <v>645</v>
      </c>
      <c r="W2271" t="s">
        <v>113</v>
      </c>
    </row>
    <row r="2272" spans="1:23" hidden="1" x14ac:dyDescent="0.25">
      <c r="A2272" s="7" t="str">
        <f>IFERROR(VLOOKUP(H2272,'Contas Orç'!A:B,2,0),"N/A")</f>
        <v>TARIFAS PORTUµRIAS</v>
      </c>
      <c r="B2272" s="7" t="str">
        <f t="shared" si="70"/>
        <v>320601002 - TARIFAS PORTUµRIAS</v>
      </c>
      <c r="C2272" s="25">
        <f t="shared" si="71"/>
        <v>44713</v>
      </c>
      <c r="D2272" s="27">
        <f>IF(K2272="CREDITO",Q2272,Q2272*-1)</f>
        <v>410.93</v>
      </c>
      <c r="E2272" t="s">
        <v>894</v>
      </c>
      <c r="F2272" t="s">
        <v>2766</v>
      </c>
      <c r="G2272" s="8">
        <v>44713</v>
      </c>
      <c r="H2272" t="s">
        <v>299</v>
      </c>
      <c r="I2272" t="s">
        <v>53</v>
      </c>
      <c r="J2272" t="s">
        <v>54</v>
      </c>
      <c r="K2272" t="s">
        <v>29</v>
      </c>
      <c r="L2272" t="s">
        <v>895</v>
      </c>
      <c r="M2272" t="s">
        <v>4402</v>
      </c>
      <c r="O2272" t="s">
        <v>896</v>
      </c>
      <c r="P2272" t="s">
        <v>33</v>
      </c>
      <c r="Q2272">
        <v>410.93</v>
      </c>
      <c r="R2272" t="s">
        <v>35</v>
      </c>
      <c r="S2272" t="s">
        <v>35</v>
      </c>
      <c r="T2272" t="s">
        <v>35</v>
      </c>
      <c r="U2272" t="s">
        <v>35</v>
      </c>
      <c r="V2272" t="s">
        <v>645</v>
      </c>
      <c r="W2272" t="s">
        <v>113</v>
      </c>
    </row>
    <row r="2273" spans="1:23" hidden="1" x14ac:dyDescent="0.25">
      <c r="A2273" s="7" t="str">
        <f>IFERROR(VLOOKUP(H2273,'Contas Orç'!A:B,2,0),"N/A")</f>
        <v>TARIFAS PORTUµRIAS</v>
      </c>
      <c r="B2273" s="7" t="str">
        <f t="shared" si="70"/>
        <v>320601002 - TARIFAS PORTUµRIAS</v>
      </c>
      <c r="C2273" s="25">
        <f t="shared" si="71"/>
        <v>44743</v>
      </c>
      <c r="D2273" s="27">
        <f>IF(K2273="CREDITO",Q2273,Q2273*-1)</f>
        <v>651730.28</v>
      </c>
      <c r="E2273" t="s">
        <v>894</v>
      </c>
      <c r="F2273" t="s">
        <v>2767</v>
      </c>
      <c r="G2273" s="8">
        <v>44743</v>
      </c>
      <c r="H2273" t="s">
        <v>299</v>
      </c>
      <c r="I2273" t="s">
        <v>59</v>
      </c>
      <c r="J2273" t="s">
        <v>60</v>
      </c>
      <c r="K2273" t="s">
        <v>29</v>
      </c>
      <c r="L2273" t="s">
        <v>895</v>
      </c>
      <c r="M2273" t="s">
        <v>4402</v>
      </c>
      <c r="O2273" t="s">
        <v>896</v>
      </c>
      <c r="P2273" t="s">
        <v>33</v>
      </c>
      <c r="Q2273" s="22">
        <v>651730.28</v>
      </c>
      <c r="R2273" t="s">
        <v>35</v>
      </c>
      <c r="S2273" t="s">
        <v>35</v>
      </c>
      <c r="T2273" t="s">
        <v>35</v>
      </c>
      <c r="U2273" t="s">
        <v>35</v>
      </c>
      <c r="V2273" t="s">
        <v>645</v>
      </c>
      <c r="W2273" t="s">
        <v>113</v>
      </c>
    </row>
    <row r="2274" spans="1:23" hidden="1" x14ac:dyDescent="0.25">
      <c r="A2274" s="7" t="str">
        <f>IFERROR(VLOOKUP(H2274,'Contas Orç'!A:B,2,0),"N/A")</f>
        <v>TARIFAS PORTUµRIAS</v>
      </c>
      <c r="B2274" s="7" t="str">
        <f t="shared" si="70"/>
        <v>320601002 - TARIFAS PORTUµRIAS</v>
      </c>
      <c r="C2274" s="25">
        <f t="shared" si="71"/>
        <v>44743</v>
      </c>
      <c r="D2274" s="27">
        <f>IF(K2274="CREDITO",Q2274,Q2274*-1)</f>
        <v>21973.19</v>
      </c>
      <c r="E2274" t="s">
        <v>894</v>
      </c>
      <c r="F2274" t="s">
        <v>2768</v>
      </c>
      <c r="G2274" s="8">
        <v>44743</v>
      </c>
      <c r="H2274" t="s">
        <v>299</v>
      </c>
      <c r="I2274" t="s">
        <v>59</v>
      </c>
      <c r="J2274" t="s">
        <v>107</v>
      </c>
      <c r="K2274" t="s">
        <v>29</v>
      </c>
      <c r="L2274" t="s">
        <v>895</v>
      </c>
      <c r="M2274" t="s">
        <v>4402</v>
      </c>
      <c r="O2274" t="s">
        <v>896</v>
      </c>
      <c r="P2274" t="s">
        <v>33</v>
      </c>
      <c r="Q2274" s="22">
        <v>21973.19</v>
      </c>
      <c r="R2274" t="s">
        <v>35</v>
      </c>
      <c r="S2274" t="s">
        <v>35</v>
      </c>
      <c r="T2274" t="s">
        <v>35</v>
      </c>
      <c r="U2274" t="s">
        <v>35</v>
      </c>
      <c r="V2274" t="s">
        <v>645</v>
      </c>
      <c r="W2274" t="s">
        <v>113</v>
      </c>
    </row>
    <row r="2275" spans="1:23" hidden="1" x14ac:dyDescent="0.25">
      <c r="A2275" s="7" t="str">
        <f>IFERROR(VLOOKUP(H2275,'Contas Orç'!A:B,2,0),"N/A")</f>
        <v>TARIFAS PORTUµRIAS</v>
      </c>
      <c r="B2275" s="7" t="str">
        <f t="shared" si="70"/>
        <v>320601002 - TARIFAS PORTUµRIAS</v>
      </c>
      <c r="C2275" s="25">
        <f t="shared" si="71"/>
        <v>44743</v>
      </c>
      <c r="D2275" s="27">
        <f>IF(K2275="CREDITO",Q2275,Q2275*-1)</f>
        <v>5579.61</v>
      </c>
      <c r="E2275" t="s">
        <v>894</v>
      </c>
      <c r="F2275" t="s">
        <v>2769</v>
      </c>
      <c r="G2275" s="8">
        <v>44743</v>
      </c>
      <c r="H2275" t="s">
        <v>299</v>
      </c>
      <c r="I2275" t="s">
        <v>59</v>
      </c>
      <c r="J2275" t="s">
        <v>702</v>
      </c>
      <c r="K2275" t="s">
        <v>29</v>
      </c>
      <c r="L2275" t="s">
        <v>895</v>
      </c>
      <c r="M2275" t="s">
        <v>4402</v>
      </c>
      <c r="O2275" t="s">
        <v>896</v>
      </c>
      <c r="P2275" t="s">
        <v>33</v>
      </c>
      <c r="Q2275" s="22">
        <v>5579.61</v>
      </c>
      <c r="R2275" t="s">
        <v>35</v>
      </c>
      <c r="S2275" t="s">
        <v>35</v>
      </c>
      <c r="T2275" t="s">
        <v>35</v>
      </c>
      <c r="U2275" t="s">
        <v>35</v>
      </c>
      <c r="V2275" t="s">
        <v>645</v>
      </c>
      <c r="W2275" t="s">
        <v>113</v>
      </c>
    </row>
    <row r="2276" spans="1:23" hidden="1" x14ac:dyDescent="0.25">
      <c r="A2276" s="7" t="str">
        <f>IFERROR(VLOOKUP(H2276,'Contas Orç'!A:B,2,0),"N/A")</f>
        <v>TARIFAS PORTUµRIAS</v>
      </c>
      <c r="B2276" s="7" t="str">
        <f t="shared" si="70"/>
        <v>320601002 - TARIFAS PORTUµRIAS</v>
      </c>
      <c r="C2276" s="25">
        <f t="shared" si="71"/>
        <v>44743</v>
      </c>
      <c r="D2276" s="27">
        <f>IF(K2276="CREDITO",Q2276,Q2276*-1)</f>
        <v>192.68</v>
      </c>
      <c r="E2276" t="s">
        <v>894</v>
      </c>
      <c r="F2276" t="s">
        <v>2770</v>
      </c>
      <c r="G2276" s="8">
        <v>44743</v>
      </c>
      <c r="H2276" t="s">
        <v>299</v>
      </c>
      <c r="I2276" t="s">
        <v>53</v>
      </c>
      <c r="J2276" t="s">
        <v>54</v>
      </c>
      <c r="K2276" t="s">
        <v>29</v>
      </c>
      <c r="L2276" t="s">
        <v>895</v>
      </c>
      <c r="M2276" t="s">
        <v>4402</v>
      </c>
      <c r="O2276" t="s">
        <v>896</v>
      </c>
      <c r="P2276" t="s">
        <v>33</v>
      </c>
      <c r="Q2276">
        <v>192.68</v>
      </c>
      <c r="R2276" t="s">
        <v>35</v>
      </c>
      <c r="S2276" t="s">
        <v>35</v>
      </c>
      <c r="T2276" t="s">
        <v>35</v>
      </c>
      <c r="U2276" t="s">
        <v>35</v>
      </c>
      <c r="V2276" t="s">
        <v>645</v>
      </c>
      <c r="W2276" t="s">
        <v>113</v>
      </c>
    </row>
    <row r="2277" spans="1:23" hidden="1" x14ac:dyDescent="0.25">
      <c r="A2277" s="7" t="str">
        <f>IFERROR(VLOOKUP(H2277,'Contas Orç'!A:B,2,0),"N/A")</f>
        <v>TARIFAS PORTUµRIAS</v>
      </c>
      <c r="B2277" s="7" t="str">
        <f t="shared" si="70"/>
        <v>320601002 - TARIFAS PORTUµRIAS</v>
      </c>
      <c r="C2277" s="25">
        <f t="shared" si="71"/>
        <v>44774</v>
      </c>
      <c r="D2277" s="27">
        <f>IF(K2277="CREDITO",Q2277,Q2277*-1)</f>
        <v>530816.68999999994</v>
      </c>
      <c r="E2277" t="s">
        <v>894</v>
      </c>
      <c r="F2277" t="s">
        <v>2771</v>
      </c>
      <c r="G2277" s="8">
        <v>44774</v>
      </c>
      <c r="H2277" t="s">
        <v>299</v>
      </c>
      <c r="I2277" t="s">
        <v>59</v>
      </c>
      <c r="J2277" t="s">
        <v>60</v>
      </c>
      <c r="K2277" t="s">
        <v>29</v>
      </c>
      <c r="L2277" t="s">
        <v>895</v>
      </c>
      <c r="M2277" t="s">
        <v>4402</v>
      </c>
      <c r="O2277" t="s">
        <v>896</v>
      </c>
      <c r="P2277" t="s">
        <v>33</v>
      </c>
      <c r="Q2277" s="22">
        <v>530816.68999999994</v>
      </c>
      <c r="R2277" t="s">
        <v>35</v>
      </c>
      <c r="S2277" t="s">
        <v>35</v>
      </c>
      <c r="T2277" t="s">
        <v>35</v>
      </c>
      <c r="U2277" t="s">
        <v>35</v>
      </c>
      <c r="V2277" t="s">
        <v>645</v>
      </c>
      <c r="W2277" t="s">
        <v>113</v>
      </c>
    </row>
    <row r="2278" spans="1:23" hidden="1" x14ac:dyDescent="0.25">
      <c r="A2278" s="7" t="str">
        <f>IFERROR(VLOOKUP(H2278,'Contas Orç'!A:B,2,0),"N/A")</f>
        <v>TARIFAS PORTUµRIAS</v>
      </c>
      <c r="B2278" s="7" t="str">
        <f t="shared" si="70"/>
        <v>320601002 - TARIFAS PORTUµRIAS</v>
      </c>
      <c r="C2278" s="25">
        <f t="shared" si="71"/>
        <v>44774</v>
      </c>
      <c r="D2278" s="27">
        <f>IF(K2278="CREDITO",Q2278,Q2278*-1)</f>
        <v>33752.14</v>
      </c>
      <c r="E2278" t="s">
        <v>894</v>
      </c>
      <c r="F2278" t="s">
        <v>2772</v>
      </c>
      <c r="G2278" s="8">
        <v>44774</v>
      </c>
      <c r="H2278" t="s">
        <v>299</v>
      </c>
      <c r="I2278" t="s">
        <v>59</v>
      </c>
      <c r="J2278" t="s">
        <v>107</v>
      </c>
      <c r="K2278" t="s">
        <v>29</v>
      </c>
      <c r="L2278" t="s">
        <v>895</v>
      </c>
      <c r="M2278" t="s">
        <v>4402</v>
      </c>
      <c r="O2278" t="s">
        <v>896</v>
      </c>
      <c r="P2278" t="s">
        <v>33</v>
      </c>
      <c r="Q2278" s="22">
        <v>33752.14</v>
      </c>
      <c r="R2278" t="s">
        <v>35</v>
      </c>
      <c r="S2278" t="s">
        <v>35</v>
      </c>
      <c r="T2278" t="s">
        <v>35</v>
      </c>
      <c r="U2278" t="s">
        <v>35</v>
      </c>
      <c r="V2278" t="s">
        <v>645</v>
      </c>
      <c r="W2278" t="s">
        <v>113</v>
      </c>
    </row>
    <row r="2279" spans="1:23" hidden="1" x14ac:dyDescent="0.25">
      <c r="A2279" s="7" t="str">
        <f>IFERROR(VLOOKUP(H2279,'Contas Orç'!A:B,2,0),"N/A")</f>
        <v>TARIFAS PORTUµRIAS</v>
      </c>
      <c r="B2279" s="7" t="str">
        <f t="shared" si="70"/>
        <v>320601002 - TARIFAS PORTUµRIAS</v>
      </c>
      <c r="C2279" s="25">
        <f t="shared" si="71"/>
        <v>44774</v>
      </c>
      <c r="D2279" s="27">
        <f>IF(K2279="CREDITO",Q2279,Q2279*-1)</f>
        <v>4406.58</v>
      </c>
      <c r="E2279" t="s">
        <v>894</v>
      </c>
      <c r="F2279" t="s">
        <v>2773</v>
      </c>
      <c r="G2279" s="8">
        <v>44774</v>
      </c>
      <c r="H2279" t="s">
        <v>299</v>
      </c>
      <c r="I2279" t="s">
        <v>59</v>
      </c>
      <c r="J2279" t="s">
        <v>702</v>
      </c>
      <c r="K2279" t="s">
        <v>29</v>
      </c>
      <c r="L2279" t="s">
        <v>895</v>
      </c>
      <c r="M2279" t="s">
        <v>4402</v>
      </c>
      <c r="O2279" t="s">
        <v>896</v>
      </c>
      <c r="P2279" t="s">
        <v>33</v>
      </c>
      <c r="Q2279" s="22">
        <v>4406.58</v>
      </c>
      <c r="R2279" t="s">
        <v>35</v>
      </c>
      <c r="S2279" t="s">
        <v>35</v>
      </c>
      <c r="T2279" t="s">
        <v>35</v>
      </c>
      <c r="U2279" t="s">
        <v>35</v>
      </c>
      <c r="V2279" t="s">
        <v>645</v>
      </c>
      <c r="W2279" t="s">
        <v>113</v>
      </c>
    </row>
    <row r="2280" spans="1:23" hidden="1" x14ac:dyDescent="0.25">
      <c r="A2280" s="7" t="str">
        <f>IFERROR(VLOOKUP(H2280,'Contas Orç'!A:B,2,0),"N/A")</f>
        <v>TARIFAS PORTUµRIAS</v>
      </c>
      <c r="B2280" s="7" t="str">
        <f t="shared" si="70"/>
        <v>320601002 - TARIFAS PORTUµRIAS</v>
      </c>
      <c r="C2280" s="25">
        <f t="shared" si="71"/>
        <v>44774</v>
      </c>
      <c r="D2280" s="27">
        <f>IF(K2280="CREDITO",Q2280,Q2280*-1)</f>
        <v>548.48</v>
      </c>
      <c r="E2280" t="s">
        <v>894</v>
      </c>
      <c r="F2280" t="s">
        <v>2774</v>
      </c>
      <c r="G2280" s="8">
        <v>44774</v>
      </c>
      <c r="H2280" t="s">
        <v>299</v>
      </c>
      <c r="I2280" t="s">
        <v>53</v>
      </c>
      <c r="J2280" t="s">
        <v>54</v>
      </c>
      <c r="K2280" t="s">
        <v>29</v>
      </c>
      <c r="L2280" t="s">
        <v>895</v>
      </c>
      <c r="M2280" t="s">
        <v>4402</v>
      </c>
      <c r="O2280" t="s">
        <v>896</v>
      </c>
      <c r="P2280" t="s">
        <v>33</v>
      </c>
      <c r="Q2280">
        <v>548.48</v>
      </c>
      <c r="R2280" t="s">
        <v>35</v>
      </c>
      <c r="S2280" t="s">
        <v>35</v>
      </c>
      <c r="T2280" t="s">
        <v>35</v>
      </c>
      <c r="U2280" t="s">
        <v>35</v>
      </c>
      <c r="V2280" t="s">
        <v>645</v>
      </c>
      <c r="W2280" t="s">
        <v>113</v>
      </c>
    </row>
    <row r="2281" spans="1:23" hidden="1" x14ac:dyDescent="0.25">
      <c r="A2281" s="7" t="str">
        <f>IFERROR(VLOOKUP(H2281,'Contas Orç'!A:B,2,0),"N/A")</f>
        <v>TARIFAS PORTUµRIAS</v>
      </c>
      <c r="B2281" s="7" t="str">
        <f t="shared" si="70"/>
        <v>320601002 - TARIFAS PORTUµRIAS</v>
      </c>
      <c r="C2281" s="25">
        <f t="shared" si="71"/>
        <v>44805</v>
      </c>
      <c r="D2281" s="27">
        <f>IF(K2281="CREDITO",Q2281,Q2281*-1)</f>
        <v>711634.21</v>
      </c>
      <c r="E2281" t="s">
        <v>894</v>
      </c>
      <c r="F2281" t="s">
        <v>2775</v>
      </c>
      <c r="G2281" s="8">
        <v>44805</v>
      </c>
      <c r="H2281" t="s">
        <v>299</v>
      </c>
      <c r="I2281" t="s">
        <v>59</v>
      </c>
      <c r="J2281" t="s">
        <v>60</v>
      </c>
      <c r="K2281" t="s">
        <v>29</v>
      </c>
      <c r="L2281" t="s">
        <v>895</v>
      </c>
      <c r="M2281" t="s">
        <v>4402</v>
      </c>
      <c r="O2281" t="s">
        <v>896</v>
      </c>
      <c r="P2281" t="s">
        <v>33</v>
      </c>
      <c r="Q2281" s="22">
        <v>711634.21</v>
      </c>
      <c r="R2281" t="s">
        <v>35</v>
      </c>
      <c r="S2281" t="s">
        <v>35</v>
      </c>
      <c r="T2281" t="s">
        <v>35</v>
      </c>
      <c r="U2281" t="s">
        <v>35</v>
      </c>
      <c r="V2281" t="s">
        <v>645</v>
      </c>
      <c r="W2281" t="s">
        <v>113</v>
      </c>
    </row>
    <row r="2282" spans="1:23" hidden="1" x14ac:dyDescent="0.25">
      <c r="A2282" s="7" t="str">
        <f>IFERROR(VLOOKUP(H2282,'Contas Orç'!A:B,2,0),"N/A")</f>
        <v>TARIFAS PORTUµRIAS</v>
      </c>
      <c r="B2282" s="7" t="str">
        <f t="shared" si="70"/>
        <v>320601002 - TARIFAS PORTUµRIAS</v>
      </c>
      <c r="C2282" s="25">
        <f t="shared" si="71"/>
        <v>44805</v>
      </c>
      <c r="D2282" s="27">
        <f>IF(K2282="CREDITO",Q2282,Q2282*-1)</f>
        <v>217236.05</v>
      </c>
      <c r="E2282" t="s">
        <v>894</v>
      </c>
      <c r="F2282" t="s">
        <v>2776</v>
      </c>
      <c r="G2282" s="8">
        <v>44805</v>
      </c>
      <c r="H2282" t="s">
        <v>299</v>
      </c>
      <c r="I2282" t="s">
        <v>59</v>
      </c>
      <c r="J2282" t="s">
        <v>107</v>
      </c>
      <c r="K2282" t="s">
        <v>29</v>
      </c>
      <c r="L2282" t="s">
        <v>895</v>
      </c>
      <c r="M2282" t="s">
        <v>4402</v>
      </c>
      <c r="O2282" t="s">
        <v>896</v>
      </c>
      <c r="P2282" t="s">
        <v>33</v>
      </c>
      <c r="Q2282" s="22">
        <v>217236.05</v>
      </c>
      <c r="R2282" t="s">
        <v>35</v>
      </c>
      <c r="S2282" t="s">
        <v>35</v>
      </c>
      <c r="T2282" t="s">
        <v>35</v>
      </c>
      <c r="U2282" t="s">
        <v>35</v>
      </c>
      <c r="V2282" t="s">
        <v>645</v>
      </c>
      <c r="W2282" t="s">
        <v>113</v>
      </c>
    </row>
    <row r="2283" spans="1:23" hidden="1" x14ac:dyDescent="0.25">
      <c r="A2283" s="7" t="str">
        <f>IFERROR(VLOOKUP(H2283,'Contas Orç'!A:B,2,0),"N/A")</f>
        <v>TARIFAS PORTUµRIAS</v>
      </c>
      <c r="B2283" s="7" t="str">
        <f t="shared" si="70"/>
        <v>320601002 - TARIFAS PORTUµRIAS</v>
      </c>
      <c r="C2283" s="25">
        <f t="shared" si="71"/>
        <v>44805</v>
      </c>
      <c r="D2283" s="27">
        <f>IF(K2283="CREDITO",Q2283,Q2283*-1)</f>
        <v>3418.87</v>
      </c>
      <c r="E2283" t="s">
        <v>894</v>
      </c>
      <c r="F2283" t="s">
        <v>2777</v>
      </c>
      <c r="G2283" s="8">
        <v>44805</v>
      </c>
      <c r="H2283" t="s">
        <v>299</v>
      </c>
      <c r="I2283" t="s">
        <v>59</v>
      </c>
      <c r="J2283" t="s">
        <v>702</v>
      </c>
      <c r="K2283" t="s">
        <v>29</v>
      </c>
      <c r="L2283" t="s">
        <v>895</v>
      </c>
      <c r="M2283" t="s">
        <v>4402</v>
      </c>
      <c r="O2283" t="s">
        <v>896</v>
      </c>
      <c r="P2283" t="s">
        <v>33</v>
      </c>
      <c r="Q2283" s="22">
        <v>3418.87</v>
      </c>
      <c r="R2283" t="s">
        <v>35</v>
      </c>
      <c r="S2283" t="s">
        <v>35</v>
      </c>
      <c r="T2283" t="s">
        <v>35</v>
      </c>
      <c r="U2283" t="s">
        <v>35</v>
      </c>
      <c r="V2283" t="s">
        <v>645</v>
      </c>
      <c r="W2283" t="s">
        <v>113</v>
      </c>
    </row>
    <row r="2284" spans="1:23" hidden="1" x14ac:dyDescent="0.25">
      <c r="A2284" s="7" t="str">
        <f>IFERROR(VLOOKUP(H2284,'Contas Orç'!A:B,2,0),"N/A")</f>
        <v>TARIFAS PORTUµRIAS</v>
      </c>
      <c r="B2284" s="7" t="str">
        <f t="shared" si="70"/>
        <v>320601002 - TARIFAS PORTUµRIAS</v>
      </c>
      <c r="C2284" s="25">
        <f t="shared" si="71"/>
        <v>44805</v>
      </c>
      <c r="D2284" s="27">
        <f>IF(K2284="CREDITO",Q2284,Q2284*-1)</f>
        <v>4856.57</v>
      </c>
      <c r="E2284" t="s">
        <v>894</v>
      </c>
      <c r="F2284" t="s">
        <v>2778</v>
      </c>
      <c r="G2284" s="8">
        <v>44805</v>
      </c>
      <c r="H2284" t="s">
        <v>299</v>
      </c>
      <c r="I2284" t="s">
        <v>59</v>
      </c>
      <c r="J2284" t="s">
        <v>661</v>
      </c>
      <c r="K2284" t="s">
        <v>29</v>
      </c>
      <c r="L2284" t="s">
        <v>895</v>
      </c>
      <c r="M2284" t="s">
        <v>4402</v>
      </c>
      <c r="O2284" t="s">
        <v>896</v>
      </c>
      <c r="P2284" t="s">
        <v>33</v>
      </c>
      <c r="Q2284" s="22">
        <v>4856.57</v>
      </c>
      <c r="R2284" t="s">
        <v>35</v>
      </c>
      <c r="S2284" t="s">
        <v>35</v>
      </c>
      <c r="T2284" t="s">
        <v>35</v>
      </c>
      <c r="U2284" t="s">
        <v>35</v>
      </c>
      <c r="V2284" t="s">
        <v>645</v>
      </c>
      <c r="W2284" t="s">
        <v>113</v>
      </c>
    </row>
    <row r="2285" spans="1:23" hidden="1" x14ac:dyDescent="0.25">
      <c r="A2285" s="7" t="str">
        <f>IFERROR(VLOOKUP(H2285,'Contas Orç'!A:B,2,0),"N/A")</f>
        <v>TARIFAS PORTUµRIAS</v>
      </c>
      <c r="B2285" s="7" t="str">
        <f t="shared" si="70"/>
        <v>320601002 - TARIFAS PORTUµRIAS</v>
      </c>
      <c r="C2285" s="25">
        <f t="shared" si="71"/>
        <v>44835</v>
      </c>
      <c r="D2285" s="27">
        <f>IF(K2285="CREDITO",Q2285,Q2285*-1)</f>
        <v>718750.55</v>
      </c>
      <c r="E2285" t="s">
        <v>894</v>
      </c>
      <c r="F2285" t="s">
        <v>2779</v>
      </c>
      <c r="G2285" s="8">
        <v>44835</v>
      </c>
      <c r="H2285" t="s">
        <v>299</v>
      </c>
      <c r="I2285" t="s">
        <v>59</v>
      </c>
      <c r="J2285" t="s">
        <v>60</v>
      </c>
      <c r="K2285" t="s">
        <v>29</v>
      </c>
      <c r="L2285" t="s">
        <v>895</v>
      </c>
      <c r="M2285" t="s">
        <v>4402</v>
      </c>
      <c r="O2285" t="s">
        <v>896</v>
      </c>
      <c r="P2285" t="s">
        <v>33</v>
      </c>
      <c r="Q2285" s="22">
        <v>718750.55</v>
      </c>
      <c r="R2285" t="s">
        <v>35</v>
      </c>
      <c r="S2285" t="s">
        <v>35</v>
      </c>
      <c r="T2285" t="s">
        <v>35</v>
      </c>
      <c r="U2285" t="s">
        <v>35</v>
      </c>
      <c r="V2285" t="s">
        <v>645</v>
      </c>
      <c r="W2285" t="s">
        <v>113</v>
      </c>
    </row>
    <row r="2286" spans="1:23" hidden="1" x14ac:dyDescent="0.25">
      <c r="A2286" s="7" t="str">
        <f>IFERROR(VLOOKUP(H2286,'Contas Orç'!A:B,2,0),"N/A")</f>
        <v>TARIFAS PORTUµRIAS</v>
      </c>
      <c r="B2286" s="7" t="str">
        <f t="shared" si="70"/>
        <v>320601002 - TARIFAS PORTUµRIAS</v>
      </c>
      <c r="C2286" s="25">
        <f t="shared" si="71"/>
        <v>44835</v>
      </c>
      <c r="D2286" s="27">
        <f>IF(K2286="CREDITO",Q2286,Q2286*-1)</f>
        <v>219408.41</v>
      </c>
      <c r="E2286" t="s">
        <v>894</v>
      </c>
      <c r="F2286" t="s">
        <v>2780</v>
      </c>
      <c r="G2286" s="8">
        <v>44835</v>
      </c>
      <c r="H2286" t="s">
        <v>299</v>
      </c>
      <c r="I2286" t="s">
        <v>59</v>
      </c>
      <c r="J2286" t="s">
        <v>107</v>
      </c>
      <c r="K2286" t="s">
        <v>29</v>
      </c>
      <c r="L2286" t="s">
        <v>895</v>
      </c>
      <c r="M2286" t="s">
        <v>4402</v>
      </c>
      <c r="O2286" t="s">
        <v>896</v>
      </c>
      <c r="P2286" t="s">
        <v>33</v>
      </c>
      <c r="Q2286" s="22">
        <v>219408.41</v>
      </c>
      <c r="R2286" t="s">
        <v>35</v>
      </c>
      <c r="S2286" t="s">
        <v>35</v>
      </c>
      <c r="T2286" t="s">
        <v>35</v>
      </c>
      <c r="U2286" t="s">
        <v>35</v>
      </c>
      <c r="V2286" t="s">
        <v>645</v>
      </c>
      <c r="W2286" t="s">
        <v>113</v>
      </c>
    </row>
    <row r="2287" spans="1:23" hidden="1" x14ac:dyDescent="0.25">
      <c r="A2287" s="7" t="str">
        <f>IFERROR(VLOOKUP(H2287,'Contas Orç'!A:B,2,0),"N/A")</f>
        <v>TARIFAS PORTUµRIAS</v>
      </c>
      <c r="B2287" s="7" t="str">
        <f t="shared" si="70"/>
        <v>320601002 - TARIFAS PORTUµRIAS</v>
      </c>
      <c r="C2287" s="25">
        <f t="shared" si="71"/>
        <v>44835</v>
      </c>
      <c r="D2287" s="27">
        <f>IF(K2287="CREDITO",Q2287,Q2287*-1)</f>
        <v>3453.06</v>
      </c>
      <c r="E2287" t="s">
        <v>894</v>
      </c>
      <c r="F2287" t="s">
        <v>2781</v>
      </c>
      <c r="G2287" s="8">
        <v>44835</v>
      </c>
      <c r="H2287" t="s">
        <v>299</v>
      </c>
      <c r="I2287" t="s">
        <v>59</v>
      </c>
      <c r="J2287" t="s">
        <v>702</v>
      </c>
      <c r="K2287" t="s">
        <v>29</v>
      </c>
      <c r="L2287" t="s">
        <v>895</v>
      </c>
      <c r="M2287" t="s">
        <v>4402</v>
      </c>
      <c r="O2287" t="s">
        <v>896</v>
      </c>
      <c r="P2287" t="s">
        <v>33</v>
      </c>
      <c r="Q2287" s="22">
        <v>3453.06</v>
      </c>
      <c r="R2287" t="s">
        <v>35</v>
      </c>
      <c r="S2287" t="s">
        <v>35</v>
      </c>
      <c r="T2287" t="s">
        <v>35</v>
      </c>
      <c r="U2287" t="s">
        <v>35</v>
      </c>
      <c r="V2287" t="s">
        <v>645</v>
      </c>
      <c r="W2287" t="s">
        <v>113</v>
      </c>
    </row>
    <row r="2288" spans="1:23" hidden="1" x14ac:dyDescent="0.25">
      <c r="A2288" s="7" t="str">
        <f>IFERROR(VLOOKUP(H2288,'Contas Orç'!A:B,2,0),"N/A")</f>
        <v>TARIFAS PORTUµRIAS</v>
      </c>
      <c r="B2288" s="7" t="str">
        <f t="shared" si="70"/>
        <v>320601002 - TARIFAS PORTUµRIAS</v>
      </c>
      <c r="C2288" s="25">
        <f t="shared" si="71"/>
        <v>44835</v>
      </c>
      <c r="D2288" s="27">
        <f>IF(K2288="CREDITO",Q2288,Q2288*-1)</f>
        <v>4905.1400000000003</v>
      </c>
      <c r="E2288" t="s">
        <v>894</v>
      </c>
      <c r="F2288" t="s">
        <v>2782</v>
      </c>
      <c r="G2288" s="8">
        <v>44835</v>
      </c>
      <c r="H2288" t="s">
        <v>299</v>
      </c>
      <c r="I2288" t="s">
        <v>59</v>
      </c>
      <c r="J2288" t="s">
        <v>661</v>
      </c>
      <c r="K2288" t="s">
        <v>29</v>
      </c>
      <c r="L2288" t="s">
        <v>895</v>
      </c>
      <c r="M2288" t="s">
        <v>4402</v>
      </c>
      <c r="O2288" t="s">
        <v>896</v>
      </c>
      <c r="P2288" t="s">
        <v>33</v>
      </c>
      <c r="Q2288" s="22">
        <v>4905.1400000000003</v>
      </c>
      <c r="R2288" t="s">
        <v>35</v>
      </c>
      <c r="S2288" t="s">
        <v>35</v>
      </c>
      <c r="T2288" t="s">
        <v>35</v>
      </c>
      <c r="U2288" t="s">
        <v>35</v>
      </c>
      <c r="V2288" t="s">
        <v>645</v>
      </c>
      <c r="W2288" t="s">
        <v>113</v>
      </c>
    </row>
    <row r="2289" spans="1:23" hidden="1" x14ac:dyDescent="0.25">
      <c r="A2289" s="7" t="str">
        <f>IFERROR(VLOOKUP(H2289,'Contas Orç'!A:B,2,0),"N/A")</f>
        <v>TARIFAS PORTUµRIAS</v>
      </c>
      <c r="B2289" s="7" t="str">
        <f t="shared" si="70"/>
        <v>320601002 - TARIFAS PORTUµRIAS</v>
      </c>
      <c r="C2289" s="25">
        <f t="shared" si="71"/>
        <v>44866</v>
      </c>
      <c r="D2289" s="27">
        <f>IF(K2289="CREDITO",Q2289,Q2289*-1)</f>
        <v>725938.06</v>
      </c>
      <c r="E2289" t="s">
        <v>894</v>
      </c>
      <c r="F2289" t="s">
        <v>2783</v>
      </c>
      <c r="G2289" s="8">
        <v>44866</v>
      </c>
      <c r="H2289" t="s">
        <v>299</v>
      </c>
      <c r="I2289" t="s">
        <v>59</v>
      </c>
      <c r="J2289" t="s">
        <v>60</v>
      </c>
      <c r="K2289" t="s">
        <v>29</v>
      </c>
      <c r="L2289" t="s">
        <v>895</v>
      </c>
      <c r="M2289" t="s">
        <v>4402</v>
      </c>
      <c r="O2289" t="s">
        <v>896</v>
      </c>
      <c r="P2289" t="s">
        <v>33</v>
      </c>
      <c r="Q2289" s="22">
        <v>725938.06</v>
      </c>
      <c r="R2289" t="s">
        <v>35</v>
      </c>
      <c r="S2289" t="s">
        <v>35</v>
      </c>
      <c r="T2289" t="s">
        <v>35</v>
      </c>
      <c r="U2289" t="s">
        <v>35</v>
      </c>
      <c r="V2289" t="s">
        <v>645</v>
      </c>
      <c r="W2289" t="s">
        <v>113</v>
      </c>
    </row>
    <row r="2290" spans="1:23" hidden="1" x14ac:dyDescent="0.25">
      <c r="A2290" s="7" t="str">
        <f>IFERROR(VLOOKUP(H2290,'Contas Orç'!A:B,2,0),"N/A")</f>
        <v>TARIFAS PORTUµRIAS</v>
      </c>
      <c r="B2290" s="7" t="str">
        <f t="shared" si="70"/>
        <v>320601002 - TARIFAS PORTUµRIAS</v>
      </c>
      <c r="C2290" s="25">
        <f t="shared" si="71"/>
        <v>44866</v>
      </c>
      <c r="D2290" s="27">
        <f>IF(K2290="CREDITO",Q2290,Q2290*-1)</f>
        <v>221602.49</v>
      </c>
      <c r="E2290" t="s">
        <v>894</v>
      </c>
      <c r="F2290" t="s">
        <v>2784</v>
      </c>
      <c r="G2290" s="8">
        <v>44866</v>
      </c>
      <c r="H2290" t="s">
        <v>299</v>
      </c>
      <c r="I2290" t="s">
        <v>59</v>
      </c>
      <c r="J2290" t="s">
        <v>107</v>
      </c>
      <c r="K2290" t="s">
        <v>29</v>
      </c>
      <c r="L2290" t="s">
        <v>895</v>
      </c>
      <c r="M2290" t="s">
        <v>4402</v>
      </c>
      <c r="O2290" t="s">
        <v>896</v>
      </c>
      <c r="P2290" t="s">
        <v>33</v>
      </c>
      <c r="Q2290" s="22">
        <v>221602.49</v>
      </c>
      <c r="R2290" t="s">
        <v>35</v>
      </c>
      <c r="S2290" t="s">
        <v>35</v>
      </c>
      <c r="T2290" t="s">
        <v>35</v>
      </c>
      <c r="U2290" t="s">
        <v>35</v>
      </c>
      <c r="V2290" t="s">
        <v>645</v>
      </c>
      <c r="W2290" t="s">
        <v>113</v>
      </c>
    </row>
    <row r="2291" spans="1:23" hidden="1" x14ac:dyDescent="0.25">
      <c r="A2291" s="7" t="str">
        <f>IFERROR(VLOOKUP(H2291,'Contas Orç'!A:B,2,0),"N/A")</f>
        <v>TARIFAS PORTUµRIAS</v>
      </c>
      <c r="B2291" s="7" t="str">
        <f t="shared" si="70"/>
        <v>320601002 - TARIFAS PORTUµRIAS</v>
      </c>
      <c r="C2291" s="25">
        <f t="shared" si="71"/>
        <v>44866</v>
      </c>
      <c r="D2291" s="27">
        <f>IF(K2291="CREDITO",Q2291,Q2291*-1)</f>
        <v>3487.59</v>
      </c>
      <c r="E2291" t="s">
        <v>894</v>
      </c>
      <c r="F2291" t="s">
        <v>2785</v>
      </c>
      <c r="G2291" s="8">
        <v>44866</v>
      </c>
      <c r="H2291" t="s">
        <v>299</v>
      </c>
      <c r="I2291" t="s">
        <v>59</v>
      </c>
      <c r="J2291" t="s">
        <v>702</v>
      </c>
      <c r="K2291" t="s">
        <v>29</v>
      </c>
      <c r="L2291" t="s">
        <v>895</v>
      </c>
      <c r="M2291" t="s">
        <v>4402</v>
      </c>
      <c r="O2291" t="s">
        <v>896</v>
      </c>
      <c r="P2291" t="s">
        <v>33</v>
      </c>
      <c r="Q2291" s="22">
        <v>3487.59</v>
      </c>
      <c r="R2291" t="s">
        <v>35</v>
      </c>
      <c r="S2291" t="s">
        <v>35</v>
      </c>
      <c r="T2291" t="s">
        <v>35</v>
      </c>
      <c r="U2291" t="s">
        <v>35</v>
      </c>
      <c r="V2291" t="s">
        <v>645</v>
      </c>
      <c r="W2291" t="s">
        <v>113</v>
      </c>
    </row>
    <row r="2292" spans="1:23" hidden="1" x14ac:dyDescent="0.25">
      <c r="A2292" s="7" t="str">
        <f>IFERROR(VLOOKUP(H2292,'Contas Orç'!A:B,2,0),"N/A")</f>
        <v>TARIFAS PORTUµRIAS</v>
      </c>
      <c r="B2292" s="7" t="str">
        <f t="shared" si="70"/>
        <v>320601002 - TARIFAS PORTUµRIAS</v>
      </c>
      <c r="C2292" s="25">
        <f t="shared" si="71"/>
        <v>44866</v>
      </c>
      <c r="D2292" s="27">
        <f>IF(K2292="CREDITO",Q2292,Q2292*-1)</f>
        <v>4954.1899999999996</v>
      </c>
      <c r="E2292" t="s">
        <v>894</v>
      </c>
      <c r="F2292" t="s">
        <v>2786</v>
      </c>
      <c r="G2292" s="8">
        <v>44866</v>
      </c>
      <c r="H2292" t="s">
        <v>299</v>
      </c>
      <c r="I2292" t="s">
        <v>59</v>
      </c>
      <c r="J2292" t="s">
        <v>661</v>
      </c>
      <c r="K2292" t="s">
        <v>29</v>
      </c>
      <c r="L2292" t="s">
        <v>895</v>
      </c>
      <c r="M2292" t="s">
        <v>4402</v>
      </c>
      <c r="O2292" t="s">
        <v>896</v>
      </c>
      <c r="P2292" t="s">
        <v>33</v>
      </c>
      <c r="Q2292" s="22">
        <v>4954.1899999999996</v>
      </c>
      <c r="R2292" t="s">
        <v>35</v>
      </c>
      <c r="S2292" t="s">
        <v>35</v>
      </c>
      <c r="T2292" t="s">
        <v>35</v>
      </c>
      <c r="U2292" t="s">
        <v>35</v>
      </c>
      <c r="V2292" t="s">
        <v>645</v>
      </c>
      <c r="W2292" t="s">
        <v>113</v>
      </c>
    </row>
    <row r="2293" spans="1:23" hidden="1" x14ac:dyDescent="0.25">
      <c r="A2293" s="7" t="str">
        <f>IFERROR(VLOOKUP(H2293,'Contas Orç'!A:B,2,0),"N/A")</f>
        <v>TARIFAS PORTUµRIAS</v>
      </c>
      <c r="B2293" s="7" t="str">
        <f t="shared" si="70"/>
        <v>320601002 - TARIFAS PORTUµRIAS</v>
      </c>
      <c r="C2293" s="25">
        <f t="shared" si="71"/>
        <v>44896</v>
      </c>
      <c r="D2293" s="27">
        <f>IF(K2293="CREDITO",Q2293,Q2293*-1)</f>
        <v>733197.44</v>
      </c>
      <c r="E2293" t="s">
        <v>894</v>
      </c>
      <c r="F2293" t="s">
        <v>2787</v>
      </c>
      <c r="G2293" s="8">
        <v>44896</v>
      </c>
      <c r="H2293" t="s">
        <v>299</v>
      </c>
      <c r="I2293" t="s">
        <v>59</v>
      </c>
      <c r="J2293" t="s">
        <v>60</v>
      </c>
      <c r="K2293" t="s">
        <v>29</v>
      </c>
      <c r="L2293" t="s">
        <v>895</v>
      </c>
      <c r="M2293" t="s">
        <v>4402</v>
      </c>
      <c r="O2293" t="s">
        <v>896</v>
      </c>
      <c r="P2293" t="s">
        <v>33</v>
      </c>
      <c r="Q2293" s="22">
        <v>733197.44</v>
      </c>
      <c r="R2293" t="s">
        <v>35</v>
      </c>
      <c r="S2293" t="s">
        <v>35</v>
      </c>
      <c r="T2293" t="s">
        <v>35</v>
      </c>
      <c r="U2293" t="s">
        <v>35</v>
      </c>
      <c r="V2293" t="s">
        <v>645</v>
      </c>
      <c r="W2293" t="s">
        <v>113</v>
      </c>
    </row>
    <row r="2294" spans="1:23" hidden="1" x14ac:dyDescent="0.25">
      <c r="A2294" s="7" t="str">
        <f>IFERROR(VLOOKUP(H2294,'Contas Orç'!A:B,2,0),"N/A")</f>
        <v>TARIFAS PORTUµRIAS</v>
      </c>
      <c r="B2294" s="7" t="str">
        <f t="shared" si="70"/>
        <v>320601002 - TARIFAS PORTUµRIAS</v>
      </c>
      <c r="C2294" s="25">
        <f t="shared" si="71"/>
        <v>44896</v>
      </c>
      <c r="D2294" s="27">
        <f>IF(K2294="CREDITO",Q2294,Q2294*-1)</f>
        <v>223818.52</v>
      </c>
      <c r="E2294" t="s">
        <v>894</v>
      </c>
      <c r="F2294" t="s">
        <v>2788</v>
      </c>
      <c r="G2294" s="8">
        <v>44896</v>
      </c>
      <c r="H2294" t="s">
        <v>299</v>
      </c>
      <c r="I2294" t="s">
        <v>59</v>
      </c>
      <c r="J2294" t="s">
        <v>107</v>
      </c>
      <c r="K2294" t="s">
        <v>29</v>
      </c>
      <c r="L2294" t="s">
        <v>895</v>
      </c>
      <c r="M2294" t="s">
        <v>4402</v>
      </c>
      <c r="O2294" t="s">
        <v>896</v>
      </c>
      <c r="P2294" t="s">
        <v>33</v>
      </c>
      <c r="Q2294" s="22">
        <v>223818.52</v>
      </c>
      <c r="R2294" t="s">
        <v>35</v>
      </c>
      <c r="S2294" t="s">
        <v>35</v>
      </c>
      <c r="T2294" t="s">
        <v>35</v>
      </c>
      <c r="U2294" t="s">
        <v>35</v>
      </c>
      <c r="V2294" t="s">
        <v>645</v>
      </c>
      <c r="W2294" t="s">
        <v>113</v>
      </c>
    </row>
    <row r="2295" spans="1:23" hidden="1" x14ac:dyDescent="0.25">
      <c r="A2295" s="7" t="str">
        <f>IFERROR(VLOOKUP(H2295,'Contas Orç'!A:B,2,0),"N/A")</f>
        <v>TARIFAS PORTUµRIAS</v>
      </c>
      <c r="B2295" s="7" t="str">
        <f t="shared" si="70"/>
        <v>320601002 - TARIFAS PORTUµRIAS</v>
      </c>
      <c r="C2295" s="25">
        <f t="shared" si="71"/>
        <v>44896</v>
      </c>
      <c r="D2295" s="27">
        <f>IF(K2295="CREDITO",Q2295,Q2295*-1)</f>
        <v>3522.47</v>
      </c>
      <c r="E2295" t="s">
        <v>894</v>
      </c>
      <c r="F2295" t="s">
        <v>2789</v>
      </c>
      <c r="G2295" s="8">
        <v>44896</v>
      </c>
      <c r="H2295" t="s">
        <v>299</v>
      </c>
      <c r="I2295" t="s">
        <v>59</v>
      </c>
      <c r="J2295" t="s">
        <v>702</v>
      </c>
      <c r="K2295" t="s">
        <v>29</v>
      </c>
      <c r="L2295" t="s">
        <v>895</v>
      </c>
      <c r="M2295" t="s">
        <v>4402</v>
      </c>
      <c r="O2295" t="s">
        <v>896</v>
      </c>
      <c r="P2295" t="s">
        <v>33</v>
      </c>
      <c r="Q2295" s="22">
        <v>3522.47</v>
      </c>
      <c r="R2295" t="s">
        <v>35</v>
      </c>
      <c r="S2295" t="s">
        <v>35</v>
      </c>
      <c r="T2295" t="s">
        <v>35</v>
      </c>
      <c r="U2295" t="s">
        <v>35</v>
      </c>
      <c r="V2295" t="s">
        <v>645</v>
      </c>
      <c r="W2295" t="s">
        <v>113</v>
      </c>
    </row>
    <row r="2296" spans="1:23" hidden="1" x14ac:dyDescent="0.25">
      <c r="A2296" s="7" t="str">
        <f>IFERROR(VLOOKUP(H2296,'Contas Orç'!A:B,2,0),"N/A")</f>
        <v>TARIFAS PORTUµRIAS</v>
      </c>
      <c r="B2296" s="7" t="str">
        <f t="shared" si="70"/>
        <v>320601002 - TARIFAS PORTUµRIAS</v>
      </c>
      <c r="C2296" s="25">
        <f t="shared" si="71"/>
        <v>44896</v>
      </c>
      <c r="D2296" s="27">
        <f>IF(K2296="CREDITO",Q2296,Q2296*-1)</f>
        <v>5003.7299999999996</v>
      </c>
      <c r="E2296" t="s">
        <v>894</v>
      </c>
      <c r="F2296" t="s">
        <v>2790</v>
      </c>
      <c r="G2296" s="8">
        <v>44896</v>
      </c>
      <c r="H2296" t="s">
        <v>299</v>
      </c>
      <c r="I2296" t="s">
        <v>59</v>
      </c>
      <c r="J2296" t="s">
        <v>661</v>
      </c>
      <c r="K2296" t="s">
        <v>29</v>
      </c>
      <c r="L2296" t="s">
        <v>895</v>
      </c>
      <c r="M2296" t="s">
        <v>4402</v>
      </c>
      <c r="O2296" t="s">
        <v>896</v>
      </c>
      <c r="P2296" t="s">
        <v>33</v>
      </c>
      <c r="Q2296" s="22">
        <v>5003.7299999999996</v>
      </c>
      <c r="R2296" t="s">
        <v>35</v>
      </c>
      <c r="S2296" t="s">
        <v>35</v>
      </c>
      <c r="T2296" t="s">
        <v>35</v>
      </c>
      <c r="U2296" t="s">
        <v>35</v>
      </c>
      <c r="V2296" t="s">
        <v>645</v>
      </c>
      <c r="W2296" t="s">
        <v>113</v>
      </c>
    </row>
    <row r="2297" spans="1:23" hidden="1" x14ac:dyDescent="0.25">
      <c r="A2297" s="7" t="str">
        <f>IFERROR(VLOOKUP(H2297,'Contas Orç'!A:B,2,0),"N/A")</f>
        <v>REMUNERACOES</v>
      </c>
      <c r="B2297" s="7" t="str">
        <f t="shared" si="70"/>
        <v>330101 - REMUNERACOES</v>
      </c>
      <c r="C2297" s="25">
        <f t="shared" si="71"/>
        <v>44562</v>
      </c>
      <c r="D2297" s="27">
        <f>IF(K2297="CREDITO",Q2297,Q2297*-1)</f>
        <v>15404.97</v>
      </c>
      <c r="E2297" t="s">
        <v>894</v>
      </c>
      <c r="F2297" t="s">
        <v>2791</v>
      </c>
      <c r="G2297" s="8">
        <v>44562</v>
      </c>
      <c r="H2297" t="s">
        <v>577</v>
      </c>
      <c r="I2297" t="s">
        <v>99</v>
      </c>
      <c r="J2297" t="s">
        <v>28</v>
      </c>
      <c r="K2297" t="s">
        <v>29</v>
      </c>
      <c r="L2297" t="s">
        <v>895</v>
      </c>
      <c r="M2297" t="s">
        <v>4402</v>
      </c>
      <c r="O2297" t="s">
        <v>896</v>
      </c>
      <c r="P2297" t="s">
        <v>33</v>
      </c>
      <c r="Q2297" s="22">
        <v>15404.97</v>
      </c>
      <c r="R2297" t="s">
        <v>35</v>
      </c>
      <c r="S2297" t="s">
        <v>35</v>
      </c>
      <c r="T2297" t="s">
        <v>35</v>
      </c>
      <c r="U2297" t="s">
        <v>35</v>
      </c>
      <c r="V2297" t="s">
        <v>645</v>
      </c>
      <c r="W2297" t="s">
        <v>113</v>
      </c>
    </row>
    <row r="2298" spans="1:23" hidden="1" x14ac:dyDescent="0.25">
      <c r="A2298" s="7" t="str">
        <f>IFERROR(VLOOKUP(H2298,'Contas Orç'!A:B,2,0),"N/A")</f>
        <v>REMUNERACOES</v>
      </c>
      <c r="B2298" s="7" t="str">
        <f t="shared" si="70"/>
        <v>330101 - REMUNERACOES</v>
      </c>
      <c r="C2298" s="25">
        <f t="shared" si="71"/>
        <v>44562</v>
      </c>
      <c r="D2298" s="27">
        <f>IF(K2298="CREDITO",Q2298,Q2298*-1)</f>
        <v>206.33</v>
      </c>
      <c r="E2298" t="s">
        <v>894</v>
      </c>
      <c r="F2298" t="s">
        <v>2792</v>
      </c>
      <c r="G2298" s="8">
        <v>44562</v>
      </c>
      <c r="H2298" t="s">
        <v>577</v>
      </c>
      <c r="I2298" t="s">
        <v>88</v>
      </c>
      <c r="J2298" t="s">
        <v>28</v>
      </c>
      <c r="K2298" t="s">
        <v>29</v>
      </c>
      <c r="L2298" t="s">
        <v>895</v>
      </c>
      <c r="M2298" t="s">
        <v>4402</v>
      </c>
      <c r="O2298" t="s">
        <v>896</v>
      </c>
      <c r="P2298" t="s">
        <v>33</v>
      </c>
      <c r="Q2298">
        <v>206.33</v>
      </c>
      <c r="R2298" t="s">
        <v>35</v>
      </c>
      <c r="S2298" t="s">
        <v>35</v>
      </c>
      <c r="T2298" t="s">
        <v>35</v>
      </c>
      <c r="U2298" t="s">
        <v>35</v>
      </c>
      <c r="V2298" t="s">
        <v>645</v>
      </c>
      <c r="W2298" t="s">
        <v>113</v>
      </c>
    </row>
    <row r="2299" spans="1:23" hidden="1" x14ac:dyDescent="0.25">
      <c r="A2299" s="7" t="str">
        <f>IFERROR(VLOOKUP(H2299,'Contas Orç'!A:B,2,0),"N/A")</f>
        <v>REMUNERACOES</v>
      </c>
      <c r="B2299" s="7" t="str">
        <f t="shared" si="70"/>
        <v>330101 - REMUNERACOES</v>
      </c>
      <c r="C2299" s="25">
        <f t="shared" si="71"/>
        <v>44562</v>
      </c>
      <c r="D2299" s="27">
        <f>IF(K2299="CREDITO",Q2299,Q2299*-1)</f>
        <v>13780.45</v>
      </c>
      <c r="E2299" t="s">
        <v>894</v>
      </c>
      <c r="F2299" t="s">
        <v>2793</v>
      </c>
      <c r="G2299" s="8">
        <v>44562</v>
      </c>
      <c r="H2299" t="s">
        <v>577</v>
      </c>
      <c r="I2299" t="s">
        <v>81</v>
      </c>
      <c r="J2299" t="s">
        <v>60</v>
      </c>
      <c r="K2299" t="s">
        <v>29</v>
      </c>
      <c r="L2299" t="s">
        <v>895</v>
      </c>
      <c r="M2299" t="s">
        <v>4402</v>
      </c>
      <c r="O2299" t="s">
        <v>896</v>
      </c>
      <c r="P2299" t="s">
        <v>33</v>
      </c>
      <c r="Q2299" s="22">
        <v>13780.45</v>
      </c>
      <c r="R2299" t="s">
        <v>35</v>
      </c>
      <c r="S2299" t="s">
        <v>35</v>
      </c>
      <c r="T2299" t="s">
        <v>35</v>
      </c>
      <c r="U2299" t="s">
        <v>35</v>
      </c>
      <c r="V2299" t="s">
        <v>645</v>
      </c>
      <c r="W2299" t="s">
        <v>113</v>
      </c>
    </row>
    <row r="2300" spans="1:23" hidden="1" x14ac:dyDescent="0.25">
      <c r="A2300" s="7" t="str">
        <f>IFERROR(VLOOKUP(H2300,'Contas Orç'!A:B,2,0),"N/A")</f>
        <v>REMUNERACOES</v>
      </c>
      <c r="B2300" s="7" t="str">
        <f t="shared" si="70"/>
        <v>330101 - REMUNERACOES</v>
      </c>
      <c r="C2300" s="25">
        <f t="shared" si="71"/>
        <v>44562</v>
      </c>
      <c r="D2300" s="27">
        <f>IF(K2300="CREDITO",Q2300,Q2300*-1)</f>
        <v>125.45</v>
      </c>
      <c r="E2300" t="s">
        <v>894</v>
      </c>
      <c r="F2300" t="s">
        <v>2794</v>
      </c>
      <c r="G2300" s="8">
        <v>44562</v>
      </c>
      <c r="H2300" t="s">
        <v>577</v>
      </c>
      <c r="I2300" t="s">
        <v>106</v>
      </c>
      <c r="J2300" t="s">
        <v>60</v>
      </c>
      <c r="K2300" t="s">
        <v>29</v>
      </c>
      <c r="L2300" t="s">
        <v>895</v>
      </c>
      <c r="M2300" t="s">
        <v>4402</v>
      </c>
      <c r="O2300" t="s">
        <v>896</v>
      </c>
      <c r="P2300" t="s">
        <v>33</v>
      </c>
      <c r="Q2300">
        <v>125.45</v>
      </c>
      <c r="R2300" t="s">
        <v>35</v>
      </c>
      <c r="S2300" t="s">
        <v>35</v>
      </c>
      <c r="T2300" t="s">
        <v>35</v>
      </c>
      <c r="U2300" t="s">
        <v>35</v>
      </c>
      <c r="V2300" t="s">
        <v>645</v>
      </c>
      <c r="W2300" t="s">
        <v>113</v>
      </c>
    </row>
    <row r="2301" spans="1:23" hidden="1" x14ac:dyDescent="0.25">
      <c r="A2301" s="7" t="str">
        <f>IFERROR(VLOOKUP(H2301,'Contas Orç'!A:B,2,0),"N/A")</f>
        <v>REMUNERACOES</v>
      </c>
      <c r="B2301" s="7" t="str">
        <f t="shared" si="70"/>
        <v>330101 - REMUNERACOES</v>
      </c>
      <c r="C2301" s="25">
        <f t="shared" si="71"/>
        <v>44562</v>
      </c>
      <c r="D2301" s="27">
        <f>IF(K2301="CREDITO",Q2301,Q2301*-1)</f>
        <v>3.68</v>
      </c>
      <c r="E2301" t="s">
        <v>894</v>
      </c>
      <c r="F2301" t="s">
        <v>2795</v>
      </c>
      <c r="G2301" s="8">
        <v>44562</v>
      </c>
      <c r="H2301" t="s">
        <v>577</v>
      </c>
      <c r="I2301" t="s">
        <v>59</v>
      </c>
      <c r="J2301" t="s">
        <v>60</v>
      </c>
      <c r="K2301" t="s">
        <v>29</v>
      </c>
      <c r="L2301" t="s">
        <v>895</v>
      </c>
      <c r="M2301" t="s">
        <v>4402</v>
      </c>
      <c r="O2301" t="s">
        <v>896</v>
      </c>
      <c r="P2301" t="s">
        <v>33</v>
      </c>
      <c r="Q2301">
        <v>3.68</v>
      </c>
      <c r="R2301" t="s">
        <v>35</v>
      </c>
      <c r="S2301" t="s">
        <v>35</v>
      </c>
      <c r="T2301" t="s">
        <v>35</v>
      </c>
      <c r="U2301" t="s">
        <v>35</v>
      </c>
      <c r="V2301" t="s">
        <v>645</v>
      </c>
      <c r="W2301" t="s">
        <v>113</v>
      </c>
    </row>
    <row r="2302" spans="1:23" hidden="1" x14ac:dyDescent="0.25">
      <c r="A2302" s="7" t="str">
        <f>IFERROR(VLOOKUP(H2302,'Contas Orç'!A:B,2,0),"N/A")</f>
        <v>REMUNERACOES</v>
      </c>
      <c r="B2302" s="7" t="str">
        <f t="shared" si="70"/>
        <v>330101 - REMUNERACOES</v>
      </c>
      <c r="C2302" s="25">
        <f t="shared" si="71"/>
        <v>44562</v>
      </c>
      <c r="D2302" s="27">
        <f>IF(K2302="CREDITO",Q2302,Q2302*-1)</f>
        <v>2146.9</v>
      </c>
      <c r="E2302" t="s">
        <v>894</v>
      </c>
      <c r="F2302" t="s">
        <v>2796</v>
      </c>
      <c r="G2302" s="8">
        <v>44562</v>
      </c>
      <c r="H2302" t="s">
        <v>577</v>
      </c>
      <c r="I2302" t="s">
        <v>68</v>
      </c>
      <c r="J2302" t="s">
        <v>69</v>
      </c>
      <c r="K2302" t="s">
        <v>29</v>
      </c>
      <c r="L2302" t="s">
        <v>895</v>
      </c>
      <c r="M2302" t="s">
        <v>4402</v>
      </c>
      <c r="O2302" t="s">
        <v>896</v>
      </c>
      <c r="P2302" t="s">
        <v>33</v>
      </c>
      <c r="Q2302" s="22">
        <v>2146.9</v>
      </c>
      <c r="R2302" t="s">
        <v>35</v>
      </c>
      <c r="S2302" t="s">
        <v>35</v>
      </c>
      <c r="T2302" t="s">
        <v>35</v>
      </c>
      <c r="U2302" t="s">
        <v>35</v>
      </c>
      <c r="V2302" t="s">
        <v>645</v>
      </c>
      <c r="W2302" t="s">
        <v>113</v>
      </c>
    </row>
    <row r="2303" spans="1:23" hidden="1" x14ac:dyDescent="0.25">
      <c r="A2303" s="7" t="str">
        <f>IFERROR(VLOOKUP(H2303,'Contas Orç'!A:B,2,0),"N/A")</f>
        <v>REMUNERACOES</v>
      </c>
      <c r="B2303" s="7" t="str">
        <f t="shared" si="70"/>
        <v>330101 - REMUNERACOES</v>
      </c>
      <c r="C2303" s="25">
        <f t="shared" si="71"/>
        <v>44562</v>
      </c>
      <c r="D2303" s="27">
        <f>IF(K2303="CREDITO",Q2303,Q2303*-1)</f>
        <v>15224.36</v>
      </c>
      <c r="E2303" t="s">
        <v>894</v>
      </c>
      <c r="F2303" t="s">
        <v>2797</v>
      </c>
      <c r="G2303" s="8">
        <v>44562</v>
      </c>
      <c r="H2303" t="s">
        <v>577</v>
      </c>
      <c r="I2303" t="s">
        <v>2062</v>
      </c>
      <c r="J2303" t="s">
        <v>54</v>
      </c>
      <c r="K2303" t="s">
        <v>29</v>
      </c>
      <c r="L2303" t="s">
        <v>895</v>
      </c>
      <c r="M2303" t="s">
        <v>4402</v>
      </c>
      <c r="O2303" t="s">
        <v>896</v>
      </c>
      <c r="P2303" t="s">
        <v>33</v>
      </c>
      <c r="Q2303" s="22">
        <v>15224.36</v>
      </c>
      <c r="R2303" t="s">
        <v>35</v>
      </c>
      <c r="S2303" t="s">
        <v>35</v>
      </c>
      <c r="T2303" t="s">
        <v>35</v>
      </c>
      <c r="U2303" t="s">
        <v>35</v>
      </c>
      <c r="V2303" t="s">
        <v>645</v>
      </c>
      <c r="W2303" t="s">
        <v>113</v>
      </c>
    </row>
    <row r="2304" spans="1:23" hidden="1" x14ac:dyDescent="0.25">
      <c r="A2304" s="7" t="str">
        <f>IFERROR(VLOOKUP(H2304,'Contas Orç'!A:B,2,0),"N/A")</f>
        <v>REMUNERACOES</v>
      </c>
      <c r="B2304" s="7" t="str">
        <f t="shared" si="70"/>
        <v>330101 - REMUNERACOES</v>
      </c>
      <c r="C2304" s="25">
        <f t="shared" si="71"/>
        <v>44562</v>
      </c>
      <c r="D2304" s="27">
        <f>IF(K2304="CREDITO",Q2304,Q2304*-1)</f>
        <v>39896.69</v>
      </c>
      <c r="E2304" t="s">
        <v>894</v>
      </c>
      <c r="F2304" t="s">
        <v>2798</v>
      </c>
      <c r="G2304" s="8">
        <v>44562</v>
      </c>
      <c r="H2304" t="s">
        <v>577</v>
      </c>
      <c r="I2304" t="s">
        <v>40</v>
      </c>
      <c r="J2304" t="s">
        <v>54</v>
      </c>
      <c r="K2304" t="s">
        <v>29</v>
      </c>
      <c r="L2304" t="s">
        <v>895</v>
      </c>
      <c r="M2304" t="s">
        <v>4402</v>
      </c>
      <c r="O2304" t="s">
        <v>896</v>
      </c>
      <c r="P2304" t="s">
        <v>33</v>
      </c>
      <c r="Q2304" s="22">
        <v>39896.69</v>
      </c>
      <c r="R2304" t="s">
        <v>35</v>
      </c>
      <c r="S2304" t="s">
        <v>35</v>
      </c>
      <c r="T2304" t="s">
        <v>35</v>
      </c>
      <c r="U2304" t="s">
        <v>35</v>
      </c>
      <c r="V2304" t="s">
        <v>645</v>
      </c>
      <c r="W2304" t="s">
        <v>113</v>
      </c>
    </row>
    <row r="2305" spans="1:23" hidden="1" x14ac:dyDescent="0.25">
      <c r="A2305" s="7" t="str">
        <f>IFERROR(VLOOKUP(H2305,'Contas Orç'!A:B,2,0),"N/A")</f>
        <v>REMUNERACOES</v>
      </c>
      <c r="B2305" s="7" t="str">
        <f t="shared" si="70"/>
        <v>330101 - REMUNERACOES</v>
      </c>
      <c r="C2305" s="25">
        <f t="shared" si="71"/>
        <v>44562</v>
      </c>
      <c r="D2305" s="27">
        <f>IF(K2305="CREDITO",Q2305,Q2305*-1)</f>
        <v>6100.8</v>
      </c>
      <c r="E2305" t="s">
        <v>894</v>
      </c>
      <c r="F2305" t="s">
        <v>2799</v>
      </c>
      <c r="G2305" s="8">
        <v>44562</v>
      </c>
      <c r="H2305" t="s">
        <v>577</v>
      </c>
      <c r="I2305" t="s">
        <v>1002</v>
      </c>
      <c r="J2305" t="s">
        <v>54</v>
      </c>
      <c r="K2305" t="s">
        <v>29</v>
      </c>
      <c r="L2305" t="s">
        <v>895</v>
      </c>
      <c r="M2305" t="s">
        <v>4402</v>
      </c>
      <c r="O2305" t="s">
        <v>896</v>
      </c>
      <c r="P2305" t="s">
        <v>33</v>
      </c>
      <c r="Q2305" s="22">
        <v>6100.8</v>
      </c>
      <c r="R2305" t="s">
        <v>35</v>
      </c>
      <c r="S2305" t="s">
        <v>35</v>
      </c>
      <c r="T2305" t="s">
        <v>35</v>
      </c>
      <c r="U2305" t="s">
        <v>35</v>
      </c>
      <c r="V2305" t="s">
        <v>645</v>
      </c>
      <c r="W2305" t="s">
        <v>113</v>
      </c>
    </row>
    <row r="2306" spans="1:23" hidden="1" x14ac:dyDescent="0.25">
      <c r="A2306" s="7" t="str">
        <f>IFERROR(VLOOKUP(H2306,'Contas Orç'!A:B,2,0),"N/A")</f>
        <v>REMUNERACOES</v>
      </c>
      <c r="B2306" s="7" t="str">
        <f t="shared" si="70"/>
        <v>330101 - REMUNERACOES</v>
      </c>
      <c r="C2306" s="25">
        <f t="shared" si="71"/>
        <v>44562</v>
      </c>
      <c r="D2306" s="27">
        <f>IF(K2306="CREDITO",Q2306,Q2306*-1)</f>
        <v>2980.02</v>
      </c>
      <c r="E2306" t="s">
        <v>894</v>
      </c>
      <c r="F2306" t="s">
        <v>2800</v>
      </c>
      <c r="G2306" s="8">
        <v>44562</v>
      </c>
      <c r="H2306" t="s">
        <v>577</v>
      </c>
      <c r="I2306" t="s">
        <v>121</v>
      </c>
      <c r="J2306" t="s">
        <v>54</v>
      </c>
      <c r="K2306" t="s">
        <v>29</v>
      </c>
      <c r="L2306" t="s">
        <v>895</v>
      </c>
      <c r="M2306" t="s">
        <v>4402</v>
      </c>
      <c r="O2306" t="s">
        <v>896</v>
      </c>
      <c r="P2306" t="s">
        <v>33</v>
      </c>
      <c r="Q2306" s="22">
        <v>2980.02</v>
      </c>
      <c r="R2306" t="s">
        <v>35</v>
      </c>
      <c r="S2306" t="s">
        <v>35</v>
      </c>
      <c r="T2306" t="s">
        <v>35</v>
      </c>
      <c r="U2306" t="s">
        <v>35</v>
      </c>
      <c r="V2306" t="s">
        <v>645</v>
      </c>
      <c r="W2306" t="s">
        <v>113</v>
      </c>
    </row>
    <row r="2307" spans="1:23" hidden="1" x14ac:dyDescent="0.25">
      <c r="A2307" s="7" t="str">
        <f>IFERROR(VLOOKUP(H2307,'Contas Orç'!A:B,2,0),"N/A")</f>
        <v>REMUNERACOES</v>
      </c>
      <c r="B2307" s="7" t="str">
        <f t="shared" ref="B2307:B2370" si="72">_xlfn.CONCAT(H2307," - ",A2307)</f>
        <v>330101 - REMUNERACOES</v>
      </c>
      <c r="C2307" s="25">
        <f t="shared" ref="C2307:C2370" si="73">DATE(YEAR(G2307),MONTH(G2307),1)</f>
        <v>44562</v>
      </c>
      <c r="D2307" s="27">
        <f>IF(K2307="CREDITO",Q2307,Q2307*-1)</f>
        <v>16325.43</v>
      </c>
      <c r="E2307" t="s">
        <v>894</v>
      </c>
      <c r="F2307" t="s">
        <v>2801</v>
      </c>
      <c r="G2307" s="8">
        <v>44562</v>
      </c>
      <c r="H2307" t="s">
        <v>577</v>
      </c>
      <c r="I2307" t="s">
        <v>132</v>
      </c>
      <c r="J2307" t="s">
        <v>54</v>
      </c>
      <c r="K2307" t="s">
        <v>29</v>
      </c>
      <c r="L2307" t="s">
        <v>895</v>
      </c>
      <c r="M2307" t="s">
        <v>4402</v>
      </c>
      <c r="O2307" t="s">
        <v>896</v>
      </c>
      <c r="P2307" t="s">
        <v>33</v>
      </c>
      <c r="Q2307" s="22">
        <v>16325.43</v>
      </c>
      <c r="R2307" t="s">
        <v>35</v>
      </c>
      <c r="S2307" t="s">
        <v>35</v>
      </c>
      <c r="T2307" t="s">
        <v>35</v>
      </c>
      <c r="U2307" t="s">
        <v>35</v>
      </c>
      <c r="V2307" t="s">
        <v>645</v>
      </c>
      <c r="W2307" t="s">
        <v>113</v>
      </c>
    </row>
    <row r="2308" spans="1:23" hidden="1" x14ac:dyDescent="0.25">
      <c r="A2308" s="7" t="str">
        <f>IFERROR(VLOOKUP(H2308,'Contas Orç'!A:B,2,0),"N/A")</f>
        <v>REMUNERACOES</v>
      </c>
      <c r="B2308" s="7" t="str">
        <f t="shared" si="72"/>
        <v>330101 - REMUNERACOES</v>
      </c>
      <c r="C2308" s="25">
        <f t="shared" si="73"/>
        <v>44562</v>
      </c>
      <c r="D2308" s="27">
        <f>IF(K2308="CREDITO",Q2308,Q2308*-1)</f>
        <v>5380.81</v>
      </c>
      <c r="E2308" t="s">
        <v>894</v>
      </c>
      <c r="F2308" t="s">
        <v>2802</v>
      </c>
      <c r="G2308" s="8">
        <v>44562</v>
      </c>
      <c r="H2308" t="s">
        <v>577</v>
      </c>
      <c r="I2308" t="s">
        <v>114</v>
      </c>
      <c r="J2308" t="s">
        <v>54</v>
      </c>
      <c r="K2308" t="s">
        <v>29</v>
      </c>
      <c r="L2308" t="s">
        <v>895</v>
      </c>
      <c r="M2308" t="s">
        <v>4402</v>
      </c>
      <c r="O2308" t="s">
        <v>896</v>
      </c>
      <c r="P2308" t="s">
        <v>33</v>
      </c>
      <c r="Q2308" s="22">
        <v>5380.81</v>
      </c>
      <c r="R2308" t="s">
        <v>35</v>
      </c>
      <c r="S2308" t="s">
        <v>35</v>
      </c>
      <c r="T2308" t="s">
        <v>35</v>
      </c>
      <c r="U2308" t="s">
        <v>35</v>
      </c>
      <c r="V2308" t="s">
        <v>645</v>
      </c>
      <c r="W2308" t="s">
        <v>113</v>
      </c>
    </row>
    <row r="2309" spans="1:23" hidden="1" x14ac:dyDescent="0.25">
      <c r="A2309" s="7" t="str">
        <f>IFERROR(VLOOKUP(H2309,'Contas Orç'!A:B,2,0),"N/A")</f>
        <v>REMUNERACOES</v>
      </c>
      <c r="B2309" s="7" t="str">
        <f t="shared" si="72"/>
        <v>330101 - REMUNERACOES</v>
      </c>
      <c r="C2309" s="25">
        <f t="shared" si="73"/>
        <v>44562</v>
      </c>
      <c r="D2309" s="27">
        <f>IF(K2309="CREDITO",Q2309,Q2309*-1)</f>
        <v>26187.03</v>
      </c>
      <c r="E2309" t="s">
        <v>894</v>
      </c>
      <c r="F2309" t="s">
        <v>2803</v>
      </c>
      <c r="G2309" s="8">
        <v>44562</v>
      </c>
      <c r="H2309" t="s">
        <v>577</v>
      </c>
      <c r="I2309" t="s">
        <v>75</v>
      </c>
      <c r="J2309" t="s">
        <v>54</v>
      </c>
      <c r="K2309" t="s">
        <v>29</v>
      </c>
      <c r="L2309" t="s">
        <v>895</v>
      </c>
      <c r="M2309" t="s">
        <v>4402</v>
      </c>
      <c r="O2309" t="s">
        <v>896</v>
      </c>
      <c r="P2309" t="s">
        <v>33</v>
      </c>
      <c r="Q2309" s="22">
        <v>26187.03</v>
      </c>
      <c r="R2309" t="s">
        <v>35</v>
      </c>
      <c r="S2309" t="s">
        <v>35</v>
      </c>
      <c r="T2309" t="s">
        <v>35</v>
      </c>
      <c r="U2309" t="s">
        <v>35</v>
      </c>
      <c r="V2309" t="s">
        <v>645</v>
      </c>
      <c r="W2309" t="s">
        <v>113</v>
      </c>
    </row>
    <row r="2310" spans="1:23" hidden="1" x14ac:dyDescent="0.25">
      <c r="A2310" s="7" t="str">
        <f>IFERROR(VLOOKUP(H2310,'Contas Orç'!A:B,2,0),"N/A")</f>
        <v>REMUNERACOES</v>
      </c>
      <c r="B2310" s="7" t="str">
        <f t="shared" si="72"/>
        <v>330101 - REMUNERACOES</v>
      </c>
      <c r="C2310" s="25">
        <f t="shared" si="73"/>
        <v>44562</v>
      </c>
      <c r="D2310" s="27">
        <f>IF(K2310="CREDITO",Q2310,Q2310*-1)</f>
        <v>21425.27</v>
      </c>
      <c r="E2310" t="s">
        <v>894</v>
      </c>
      <c r="F2310" t="s">
        <v>2804</v>
      </c>
      <c r="G2310" s="8">
        <v>44562</v>
      </c>
      <c r="H2310" t="s">
        <v>577</v>
      </c>
      <c r="I2310" t="s">
        <v>78</v>
      </c>
      <c r="J2310" t="s">
        <v>54</v>
      </c>
      <c r="K2310" t="s">
        <v>29</v>
      </c>
      <c r="L2310" t="s">
        <v>895</v>
      </c>
      <c r="M2310" t="s">
        <v>4402</v>
      </c>
      <c r="O2310" t="s">
        <v>896</v>
      </c>
      <c r="P2310" t="s">
        <v>33</v>
      </c>
      <c r="Q2310" s="22">
        <v>21425.27</v>
      </c>
      <c r="R2310" t="s">
        <v>35</v>
      </c>
      <c r="S2310" t="s">
        <v>35</v>
      </c>
      <c r="T2310" t="s">
        <v>35</v>
      </c>
      <c r="U2310" t="s">
        <v>35</v>
      </c>
      <c r="V2310" t="s">
        <v>645</v>
      </c>
      <c r="W2310" t="s">
        <v>113</v>
      </c>
    </row>
    <row r="2311" spans="1:23" hidden="1" x14ac:dyDescent="0.25">
      <c r="A2311" s="7" t="str">
        <f>IFERROR(VLOOKUP(H2311,'Contas Orç'!A:B,2,0),"N/A")</f>
        <v>REMUNERACOES</v>
      </c>
      <c r="B2311" s="7" t="str">
        <f t="shared" si="72"/>
        <v>330101 - REMUNERACOES</v>
      </c>
      <c r="C2311" s="25">
        <f t="shared" si="73"/>
        <v>44562</v>
      </c>
      <c r="D2311" s="27">
        <f>IF(K2311="CREDITO",Q2311,Q2311*-1)</f>
        <v>38977.120000000003</v>
      </c>
      <c r="E2311" t="s">
        <v>894</v>
      </c>
      <c r="F2311" t="s">
        <v>2805</v>
      </c>
      <c r="G2311" s="8">
        <v>44562</v>
      </c>
      <c r="H2311" t="s">
        <v>577</v>
      </c>
      <c r="I2311" t="s">
        <v>81</v>
      </c>
      <c r="J2311" t="s">
        <v>54</v>
      </c>
      <c r="K2311" t="s">
        <v>29</v>
      </c>
      <c r="L2311" t="s">
        <v>895</v>
      </c>
      <c r="M2311" t="s">
        <v>4402</v>
      </c>
      <c r="O2311" t="s">
        <v>896</v>
      </c>
      <c r="P2311" t="s">
        <v>33</v>
      </c>
      <c r="Q2311" s="22">
        <v>38977.120000000003</v>
      </c>
      <c r="R2311" t="s">
        <v>35</v>
      </c>
      <c r="S2311" t="s">
        <v>35</v>
      </c>
      <c r="T2311" t="s">
        <v>35</v>
      </c>
      <c r="U2311" t="s">
        <v>35</v>
      </c>
      <c r="V2311" t="s">
        <v>645</v>
      </c>
      <c r="W2311" t="s">
        <v>113</v>
      </c>
    </row>
    <row r="2312" spans="1:23" hidden="1" x14ac:dyDescent="0.25">
      <c r="A2312" s="7" t="str">
        <f>IFERROR(VLOOKUP(H2312,'Contas Orç'!A:B,2,0),"N/A")</f>
        <v>REMUNERACOES</v>
      </c>
      <c r="B2312" s="7" t="str">
        <f t="shared" si="72"/>
        <v>330101 - REMUNERACOES</v>
      </c>
      <c r="C2312" s="25">
        <f t="shared" si="73"/>
        <v>44562</v>
      </c>
      <c r="D2312" s="27">
        <f>IF(K2312="CREDITO",Q2312,Q2312*-1)</f>
        <v>6979.3</v>
      </c>
      <c r="E2312" t="s">
        <v>894</v>
      </c>
      <c r="F2312" t="s">
        <v>2806</v>
      </c>
      <c r="G2312" s="8">
        <v>44562</v>
      </c>
      <c r="H2312" t="s">
        <v>577</v>
      </c>
      <c r="I2312" t="s">
        <v>136</v>
      </c>
      <c r="J2312" t="s">
        <v>54</v>
      </c>
      <c r="K2312" t="s">
        <v>29</v>
      </c>
      <c r="L2312" t="s">
        <v>895</v>
      </c>
      <c r="M2312" t="s">
        <v>4402</v>
      </c>
      <c r="O2312" t="s">
        <v>896</v>
      </c>
      <c r="P2312" t="s">
        <v>33</v>
      </c>
      <c r="Q2312" s="22">
        <v>6979.3</v>
      </c>
      <c r="R2312" t="s">
        <v>35</v>
      </c>
      <c r="S2312" t="s">
        <v>35</v>
      </c>
      <c r="T2312" t="s">
        <v>35</v>
      </c>
      <c r="U2312" t="s">
        <v>35</v>
      </c>
      <c r="V2312" t="s">
        <v>645</v>
      </c>
      <c r="W2312" t="s">
        <v>113</v>
      </c>
    </row>
    <row r="2313" spans="1:23" hidden="1" x14ac:dyDescent="0.25">
      <c r="A2313" s="7" t="str">
        <f>IFERROR(VLOOKUP(H2313,'Contas Orç'!A:B,2,0),"N/A")</f>
        <v>REMUNERACOES</v>
      </c>
      <c r="B2313" s="7" t="str">
        <f t="shared" si="72"/>
        <v>330101 - REMUNERACOES</v>
      </c>
      <c r="C2313" s="25">
        <f t="shared" si="73"/>
        <v>44562</v>
      </c>
      <c r="D2313" s="27">
        <f>IF(K2313="CREDITO",Q2313,Q2313*-1)</f>
        <v>1.28</v>
      </c>
      <c r="E2313" t="s">
        <v>894</v>
      </c>
      <c r="F2313" t="s">
        <v>2807</v>
      </c>
      <c r="G2313" s="8">
        <v>44562</v>
      </c>
      <c r="H2313" t="s">
        <v>577</v>
      </c>
      <c r="I2313" t="s">
        <v>53</v>
      </c>
      <c r="J2313" t="s">
        <v>54</v>
      </c>
      <c r="K2313" t="s">
        <v>29</v>
      </c>
      <c r="L2313" t="s">
        <v>895</v>
      </c>
      <c r="M2313" t="s">
        <v>4402</v>
      </c>
      <c r="O2313" t="s">
        <v>896</v>
      </c>
      <c r="P2313" t="s">
        <v>33</v>
      </c>
      <c r="Q2313">
        <v>1.28</v>
      </c>
      <c r="R2313" t="s">
        <v>35</v>
      </c>
      <c r="S2313" t="s">
        <v>35</v>
      </c>
      <c r="T2313" t="s">
        <v>35</v>
      </c>
      <c r="U2313" t="s">
        <v>35</v>
      </c>
      <c r="V2313" t="s">
        <v>645</v>
      </c>
      <c r="W2313" t="s">
        <v>113</v>
      </c>
    </row>
    <row r="2314" spans="1:23" hidden="1" x14ac:dyDescent="0.25">
      <c r="A2314" s="7" t="str">
        <f>IFERROR(VLOOKUP(H2314,'Contas Orç'!A:B,2,0),"N/A")</f>
        <v>REMUNERACOES</v>
      </c>
      <c r="B2314" s="7" t="str">
        <f t="shared" si="72"/>
        <v>330101 - REMUNERACOES</v>
      </c>
      <c r="C2314" s="25">
        <f t="shared" si="73"/>
        <v>44593</v>
      </c>
      <c r="D2314" s="27">
        <f>IF(K2314="CREDITO",Q2314,Q2314*-1)</f>
        <v>15136.08</v>
      </c>
      <c r="E2314" t="s">
        <v>894</v>
      </c>
      <c r="F2314" t="s">
        <v>2808</v>
      </c>
      <c r="G2314" s="8">
        <v>44593</v>
      </c>
      <c r="H2314" t="s">
        <v>577</v>
      </c>
      <c r="I2314" t="s">
        <v>99</v>
      </c>
      <c r="J2314" t="s">
        <v>28</v>
      </c>
      <c r="K2314" t="s">
        <v>29</v>
      </c>
      <c r="L2314" t="s">
        <v>895</v>
      </c>
      <c r="M2314" t="s">
        <v>4402</v>
      </c>
      <c r="O2314" t="s">
        <v>896</v>
      </c>
      <c r="P2314" t="s">
        <v>33</v>
      </c>
      <c r="Q2314" s="22">
        <v>15136.08</v>
      </c>
      <c r="R2314" t="s">
        <v>35</v>
      </c>
      <c r="S2314" t="s">
        <v>35</v>
      </c>
      <c r="T2314" t="s">
        <v>35</v>
      </c>
      <c r="U2314" t="s">
        <v>35</v>
      </c>
      <c r="V2314" t="s">
        <v>645</v>
      </c>
      <c r="W2314" t="s">
        <v>113</v>
      </c>
    </row>
    <row r="2315" spans="1:23" hidden="1" x14ac:dyDescent="0.25">
      <c r="A2315" s="7" t="str">
        <f>IFERROR(VLOOKUP(H2315,'Contas Orç'!A:B,2,0),"N/A")</f>
        <v>REMUNERACOES</v>
      </c>
      <c r="B2315" s="7" t="str">
        <f t="shared" si="72"/>
        <v>330101 - REMUNERACOES</v>
      </c>
      <c r="C2315" s="25">
        <f t="shared" si="73"/>
        <v>44593</v>
      </c>
      <c r="D2315" s="27">
        <f>IF(K2315="CREDITO",Q2315,Q2315*-1)</f>
        <v>23.55</v>
      </c>
      <c r="E2315" t="s">
        <v>894</v>
      </c>
      <c r="F2315" t="s">
        <v>2809</v>
      </c>
      <c r="G2315" s="8">
        <v>44593</v>
      </c>
      <c r="H2315" t="s">
        <v>577</v>
      </c>
      <c r="I2315" t="s">
        <v>88</v>
      </c>
      <c r="J2315" t="s">
        <v>28</v>
      </c>
      <c r="K2315" t="s">
        <v>29</v>
      </c>
      <c r="L2315" t="s">
        <v>895</v>
      </c>
      <c r="M2315" t="s">
        <v>4402</v>
      </c>
      <c r="O2315" t="s">
        <v>896</v>
      </c>
      <c r="P2315" t="s">
        <v>33</v>
      </c>
      <c r="Q2315">
        <v>23.55</v>
      </c>
      <c r="R2315" t="s">
        <v>35</v>
      </c>
      <c r="S2315" t="s">
        <v>35</v>
      </c>
      <c r="T2315" t="s">
        <v>35</v>
      </c>
      <c r="U2315" t="s">
        <v>35</v>
      </c>
      <c r="V2315" t="s">
        <v>645</v>
      </c>
      <c r="W2315" t="s">
        <v>113</v>
      </c>
    </row>
    <row r="2316" spans="1:23" hidden="1" x14ac:dyDescent="0.25">
      <c r="A2316" s="7" t="str">
        <f>IFERROR(VLOOKUP(H2316,'Contas Orç'!A:B,2,0),"N/A")</f>
        <v>REMUNERACOES</v>
      </c>
      <c r="B2316" s="7" t="str">
        <f t="shared" si="72"/>
        <v>330101 - REMUNERACOES</v>
      </c>
      <c r="C2316" s="25">
        <f t="shared" si="73"/>
        <v>44593</v>
      </c>
      <c r="D2316" s="27">
        <f>IF(K2316="CREDITO",Q2316,Q2316*-1)</f>
        <v>55.69</v>
      </c>
      <c r="E2316" t="s">
        <v>894</v>
      </c>
      <c r="F2316" t="s">
        <v>2810</v>
      </c>
      <c r="G2316" s="8">
        <v>44593</v>
      </c>
      <c r="H2316" t="s">
        <v>577</v>
      </c>
      <c r="I2316" t="s">
        <v>27</v>
      </c>
      <c r="J2316" t="s">
        <v>28</v>
      </c>
      <c r="K2316" t="s">
        <v>29</v>
      </c>
      <c r="L2316" t="s">
        <v>895</v>
      </c>
      <c r="M2316" t="s">
        <v>4402</v>
      </c>
      <c r="O2316" t="s">
        <v>896</v>
      </c>
      <c r="P2316" t="s">
        <v>33</v>
      </c>
      <c r="Q2316">
        <v>55.69</v>
      </c>
      <c r="R2316" t="s">
        <v>35</v>
      </c>
      <c r="S2316" t="s">
        <v>35</v>
      </c>
      <c r="T2316" t="s">
        <v>35</v>
      </c>
      <c r="U2316" t="s">
        <v>35</v>
      </c>
      <c r="V2316" t="s">
        <v>645</v>
      </c>
      <c r="W2316" t="s">
        <v>113</v>
      </c>
    </row>
    <row r="2317" spans="1:23" hidden="1" x14ac:dyDescent="0.25">
      <c r="A2317" s="7" t="str">
        <f>IFERROR(VLOOKUP(H2317,'Contas Orç'!A:B,2,0),"N/A")</f>
        <v>REMUNERACOES</v>
      </c>
      <c r="B2317" s="7" t="str">
        <f t="shared" si="72"/>
        <v>330101 - REMUNERACOES</v>
      </c>
      <c r="C2317" s="25">
        <f t="shared" si="73"/>
        <v>44593</v>
      </c>
      <c r="D2317" s="27">
        <f>IF(K2317="CREDITO",Q2317,Q2317*-1)</f>
        <v>7617.34</v>
      </c>
      <c r="E2317" t="s">
        <v>894</v>
      </c>
      <c r="F2317" t="s">
        <v>2811</v>
      </c>
      <c r="G2317" s="8">
        <v>44593</v>
      </c>
      <c r="H2317" t="s">
        <v>577</v>
      </c>
      <c r="I2317" t="s">
        <v>81</v>
      </c>
      <c r="J2317" t="s">
        <v>60</v>
      </c>
      <c r="K2317" t="s">
        <v>29</v>
      </c>
      <c r="L2317" t="s">
        <v>895</v>
      </c>
      <c r="M2317" t="s">
        <v>4402</v>
      </c>
      <c r="O2317" t="s">
        <v>896</v>
      </c>
      <c r="P2317" t="s">
        <v>33</v>
      </c>
      <c r="Q2317" s="22">
        <v>7617.34</v>
      </c>
      <c r="R2317" t="s">
        <v>35</v>
      </c>
      <c r="S2317" t="s">
        <v>35</v>
      </c>
      <c r="T2317" t="s">
        <v>35</v>
      </c>
      <c r="U2317" t="s">
        <v>35</v>
      </c>
      <c r="V2317" t="s">
        <v>645</v>
      </c>
      <c r="W2317" t="s">
        <v>113</v>
      </c>
    </row>
    <row r="2318" spans="1:23" hidden="1" x14ac:dyDescent="0.25">
      <c r="A2318" s="7" t="str">
        <f>IFERROR(VLOOKUP(H2318,'Contas Orç'!A:B,2,0),"N/A")</f>
        <v>REMUNERACOES</v>
      </c>
      <c r="B2318" s="7" t="str">
        <f t="shared" si="72"/>
        <v>330101 - REMUNERACOES</v>
      </c>
      <c r="C2318" s="25">
        <f t="shared" si="73"/>
        <v>44593</v>
      </c>
      <c r="D2318" s="27">
        <f>IF(K2318="CREDITO",Q2318,Q2318*-1)</f>
        <v>33.61</v>
      </c>
      <c r="E2318" t="s">
        <v>894</v>
      </c>
      <c r="F2318" t="s">
        <v>2812</v>
      </c>
      <c r="G2318" s="8">
        <v>44593</v>
      </c>
      <c r="H2318" t="s">
        <v>577</v>
      </c>
      <c r="I2318" t="s">
        <v>106</v>
      </c>
      <c r="J2318" t="s">
        <v>60</v>
      </c>
      <c r="K2318" t="s">
        <v>29</v>
      </c>
      <c r="L2318" t="s">
        <v>895</v>
      </c>
      <c r="M2318" t="s">
        <v>4402</v>
      </c>
      <c r="O2318" t="s">
        <v>896</v>
      </c>
      <c r="P2318" t="s">
        <v>33</v>
      </c>
      <c r="Q2318">
        <v>33.61</v>
      </c>
      <c r="R2318" t="s">
        <v>35</v>
      </c>
      <c r="S2318" t="s">
        <v>35</v>
      </c>
      <c r="T2318" t="s">
        <v>35</v>
      </c>
      <c r="U2318" t="s">
        <v>35</v>
      </c>
      <c r="V2318" t="s">
        <v>645</v>
      </c>
      <c r="W2318" t="s">
        <v>113</v>
      </c>
    </row>
    <row r="2319" spans="1:23" hidden="1" x14ac:dyDescent="0.25">
      <c r="A2319" s="7" t="str">
        <f>IFERROR(VLOOKUP(H2319,'Contas Orç'!A:B,2,0),"N/A")</f>
        <v>REMUNERACOES</v>
      </c>
      <c r="B2319" s="7" t="str">
        <f t="shared" si="72"/>
        <v>330101 - REMUNERACOES</v>
      </c>
      <c r="C2319" s="25">
        <f t="shared" si="73"/>
        <v>44593</v>
      </c>
      <c r="D2319" s="27">
        <f>IF(K2319="CREDITO",Q2319,Q2319*-1)</f>
        <v>9.2200000000000006</v>
      </c>
      <c r="E2319" t="s">
        <v>894</v>
      </c>
      <c r="F2319" t="s">
        <v>2813</v>
      </c>
      <c r="G2319" s="8">
        <v>44593</v>
      </c>
      <c r="H2319" t="s">
        <v>577</v>
      </c>
      <c r="I2319" t="s">
        <v>59</v>
      </c>
      <c r="J2319" t="s">
        <v>60</v>
      </c>
      <c r="K2319" t="s">
        <v>29</v>
      </c>
      <c r="L2319" t="s">
        <v>895</v>
      </c>
      <c r="M2319" t="s">
        <v>4402</v>
      </c>
      <c r="O2319" t="s">
        <v>896</v>
      </c>
      <c r="P2319" t="s">
        <v>33</v>
      </c>
      <c r="Q2319">
        <v>9.2200000000000006</v>
      </c>
      <c r="R2319" t="s">
        <v>35</v>
      </c>
      <c r="S2319" t="s">
        <v>35</v>
      </c>
      <c r="T2319" t="s">
        <v>35</v>
      </c>
      <c r="U2319" t="s">
        <v>35</v>
      </c>
      <c r="V2319" t="s">
        <v>645</v>
      </c>
      <c r="W2319" t="s">
        <v>113</v>
      </c>
    </row>
    <row r="2320" spans="1:23" hidden="1" x14ac:dyDescent="0.25">
      <c r="A2320" s="7" t="str">
        <f>IFERROR(VLOOKUP(H2320,'Contas Orç'!A:B,2,0),"N/A")</f>
        <v>REMUNERACOES</v>
      </c>
      <c r="B2320" s="7" t="str">
        <f t="shared" si="72"/>
        <v>330101 - REMUNERACOES</v>
      </c>
      <c r="C2320" s="25">
        <f t="shared" si="73"/>
        <v>44593</v>
      </c>
      <c r="D2320" s="27">
        <f>IF(K2320="CREDITO",Q2320,Q2320*-1)</f>
        <v>2145.8200000000002</v>
      </c>
      <c r="E2320" t="s">
        <v>894</v>
      </c>
      <c r="F2320" t="s">
        <v>2814</v>
      </c>
      <c r="G2320" s="8">
        <v>44593</v>
      </c>
      <c r="H2320" t="s">
        <v>577</v>
      </c>
      <c r="I2320" t="s">
        <v>68</v>
      </c>
      <c r="J2320" t="s">
        <v>69</v>
      </c>
      <c r="K2320" t="s">
        <v>29</v>
      </c>
      <c r="L2320" t="s">
        <v>895</v>
      </c>
      <c r="M2320" t="s">
        <v>4402</v>
      </c>
      <c r="O2320" t="s">
        <v>896</v>
      </c>
      <c r="P2320" t="s">
        <v>33</v>
      </c>
      <c r="Q2320" s="22">
        <v>2145.8200000000002</v>
      </c>
      <c r="R2320" t="s">
        <v>35</v>
      </c>
      <c r="S2320" t="s">
        <v>35</v>
      </c>
      <c r="T2320" t="s">
        <v>35</v>
      </c>
      <c r="U2320" t="s">
        <v>35</v>
      </c>
      <c r="V2320" t="s">
        <v>645</v>
      </c>
      <c r="W2320" t="s">
        <v>113</v>
      </c>
    </row>
    <row r="2321" spans="1:23" hidden="1" x14ac:dyDescent="0.25">
      <c r="A2321" s="7" t="str">
        <f>IFERROR(VLOOKUP(H2321,'Contas Orç'!A:B,2,0),"N/A")</f>
        <v>REMUNERACOES</v>
      </c>
      <c r="B2321" s="7" t="str">
        <f t="shared" si="72"/>
        <v>330101 - REMUNERACOES</v>
      </c>
      <c r="C2321" s="25">
        <f t="shared" si="73"/>
        <v>44593</v>
      </c>
      <c r="D2321" s="27">
        <f>IF(K2321="CREDITO",Q2321,Q2321*-1)</f>
        <v>15223.35</v>
      </c>
      <c r="E2321" t="s">
        <v>894</v>
      </c>
      <c r="F2321" t="s">
        <v>2815</v>
      </c>
      <c r="G2321" s="8">
        <v>44593</v>
      </c>
      <c r="H2321" t="s">
        <v>577</v>
      </c>
      <c r="I2321" t="s">
        <v>2062</v>
      </c>
      <c r="J2321" t="s">
        <v>54</v>
      </c>
      <c r="K2321" t="s">
        <v>29</v>
      </c>
      <c r="L2321" t="s">
        <v>895</v>
      </c>
      <c r="M2321" t="s">
        <v>4402</v>
      </c>
      <c r="O2321" t="s">
        <v>896</v>
      </c>
      <c r="P2321" t="s">
        <v>33</v>
      </c>
      <c r="Q2321" s="22">
        <v>15223.35</v>
      </c>
      <c r="R2321" t="s">
        <v>35</v>
      </c>
      <c r="S2321" t="s">
        <v>35</v>
      </c>
      <c r="T2321" t="s">
        <v>35</v>
      </c>
      <c r="U2321" t="s">
        <v>35</v>
      </c>
      <c r="V2321" t="s">
        <v>645</v>
      </c>
      <c r="W2321" t="s">
        <v>113</v>
      </c>
    </row>
    <row r="2322" spans="1:23" hidden="1" x14ac:dyDescent="0.25">
      <c r="A2322" s="7" t="str">
        <f>IFERROR(VLOOKUP(H2322,'Contas Orç'!A:B,2,0),"N/A")</f>
        <v>REMUNERACOES</v>
      </c>
      <c r="B2322" s="7" t="str">
        <f t="shared" si="72"/>
        <v>330101 - REMUNERACOES</v>
      </c>
      <c r="C2322" s="25">
        <f t="shared" si="73"/>
        <v>44593</v>
      </c>
      <c r="D2322" s="27">
        <f>IF(K2322="CREDITO",Q2322,Q2322*-1)</f>
        <v>38402.160000000003</v>
      </c>
      <c r="E2322" t="s">
        <v>894</v>
      </c>
      <c r="F2322" t="s">
        <v>2816</v>
      </c>
      <c r="G2322" s="8">
        <v>44593</v>
      </c>
      <c r="H2322" t="s">
        <v>577</v>
      </c>
      <c r="I2322" t="s">
        <v>40</v>
      </c>
      <c r="J2322" t="s">
        <v>54</v>
      </c>
      <c r="K2322" t="s">
        <v>29</v>
      </c>
      <c r="L2322" t="s">
        <v>895</v>
      </c>
      <c r="M2322" t="s">
        <v>4402</v>
      </c>
      <c r="O2322" t="s">
        <v>896</v>
      </c>
      <c r="P2322" t="s">
        <v>33</v>
      </c>
      <c r="Q2322" s="22">
        <v>38402.160000000003</v>
      </c>
      <c r="R2322" t="s">
        <v>35</v>
      </c>
      <c r="S2322" t="s">
        <v>35</v>
      </c>
      <c r="T2322" t="s">
        <v>35</v>
      </c>
      <c r="U2322" t="s">
        <v>35</v>
      </c>
      <c r="V2322" t="s">
        <v>645</v>
      </c>
      <c r="W2322" t="s">
        <v>113</v>
      </c>
    </row>
    <row r="2323" spans="1:23" hidden="1" x14ac:dyDescent="0.25">
      <c r="A2323" s="7" t="str">
        <f>IFERROR(VLOOKUP(H2323,'Contas Orç'!A:B,2,0),"N/A")</f>
        <v>REMUNERACOES</v>
      </c>
      <c r="B2323" s="7" t="str">
        <f t="shared" si="72"/>
        <v>330101 - REMUNERACOES</v>
      </c>
      <c r="C2323" s="25">
        <f t="shared" si="73"/>
        <v>44593</v>
      </c>
      <c r="D2323" s="27">
        <f>IF(K2323="CREDITO",Q2323,Q2323*-1)</f>
        <v>6106.2</v>
      </c>
      <c r="E2323" t="s">
        <v>894</v>
      </c>
      <c r="F2323" t="s">
        <v>2817</v>
      </c>
      <c r="G2323" s="8">
        <v>44593</v>
      </c>
      <c r="H2323" t="s">
        <v>577</v>
      </c>
      <c r="I2323" t="s">
        <v>1002</v>
      </c>
      <c r="J2323" t="s">
        <v>54</v>
      </c>
      <c r="K2323" t="s">
        <v>29</v>
      </c>
      <c r="L2323" t="s">
        <v>895</v>
      </c>
      <c r="M2323" t="s">
        <v>4402</v>
      </c>
      <c r="O2323" t="s">
        <v>896</v>
      </c>
      <c r="P2323" t="s">
        <v>33</v>
      </c>
      <c r="Q2323" s="22">
        <v>6106.2</v>
      </c>
      <c r="R2323" t="s">
        <v>35</v>
      </c>
      <c r="S2323" t="s">
        <v>35</v>
      </c>
      <c r="T2323" t="s">
        <v>35</v>
      </c>
      <c r="U2323" t="s">
        <v>35</v>
      </c>
      <c r="V2323" t="s">
        <v>645</v>
      </c>
      <c r="W2323" t="s">
        <v>113</v>
      </c>
    </row>
    <row r="2324" spans="1:23" hidden="1" x14ac:dyDescent="0.25">
      <c r="A2324" s="7" t="str">
        <f>IFERROR(VLOOKUP(H2324,'Contas Orç'!A:B,2,0),"N/A")</f>
        <v>REMUNERACOES</v>
      </c>
      <c r="B2324" s="7" t="str">
        <f t="shared" si="72"/>
        <v>330101 - REMUNERACOES</v>
      </c>
      <c r="C2324" s="25">
        <f t="shared" si="73"/>
        <v>44593</v>
      </c>
      <c r="D2324" s="27">
        <f>IF(K2324="CREDITO",Q2324,Q2324*-1)</f>
        <v>3165.58</v>
      </c>
      <c r="E2324" t="s">
        <v>894</v>
      </c>
      <c r="F2324" t="s">
        <v>2818</v>
      </c>
      <c r="G2324" s="8">
        <v>44593</v>
      </c>
      <c r="H2324" t="s">
        <v>577</v>
      </c>
      <c r="I2324" t="s">
        <v>121</v>
      </c>
      <c r="J2324" t="s">
        <v>54</v>
      </c>
      <c r="K2324" t="s">
        <v>29</v>
      </c>
      <c r="L2324" t="s">
        <v>895</v>
      </c>
      <c r="M2324" t="s">
        <v>4402</v>
      </c>
      <c r="O2324" t="s">
        <v>896</v>
      </c>
      <c r="P2324" t="s">
        <v>33</v>
      </c>
      <c r="Q2324" s="22">
        <v>3165.58</v>
      </c>
      <c r="R2324" t="s">
        <v>35</v>
      </c>
      <c r="S2324" t="s">
        <v>35</v>
      </c>
      <c r="T2324" t="s">
        <v>35</v>
      </c>
      <c r="U2324" t="s">
        <v>35</v>
      </c>
      <c r="V2324" t="s">
        <v>645</v>
      </c>
      <c r="W2324" t="s">
        <v>113</v>
      </c>
    </row>
    <row r="2325" spans="1:23" hidden="1" x14ac:dyDescent="0.25">
      <c r="A2325" s="7" t="str">
        <f>IFERROR(VLOOKUP(H2325,'Contas Orç'!A:B,2,0),"N/A")</f>
        <v>REMUNERACOES</v>
      </c>
      <c r="B2325" s="7" t="str">
        <f t="shared" si="72"/>
        <v>330101 - REMUNERACOES</v>
      </c>
      <c r="C2325" s="25">
        <f t="shared" si="73"/>
        <v>44593</v>
      </c>
      <c r="D2325" s="27">
        <f>IF(K2325="CREDITO",Q2325,Q2325*-1)</f>
        <v>16259.4</v>
      </c>
      <c r="E2325" t="s">
        <v>894</v>
      </c>
      <c r="F2325" t="s">
        <v>2819</v>
      </c>
      <c r="G2325" s="8">
        <v>44593</v>
      </c>
      <c r="H2325" t="s">
        <v>577</v>
      </c>
      <c r="I2325" t="s">
        <v>132</v>
      </c>
      <c r="J2325" t="s">
        <v>54</v>
      </c>
      <c r="K2325" t="s">
        <v>29</v>
      </c>
      <c r="L2325" t="s">
        <v>895</v>
      </c>
      <c r="M2325" t="s">
        <v>4402</v>
      </c>
      <c r="O2325" t="s">
        <v>896</v>
      </c>
      <c r="P2325" t="s">
        <v>33</v>
      </c>
      <c r="Q2325" s="22">
        <v>16259.4</v>
      </c>
      <c r="R2325" t="s">
        <v>35</v>
      </c>
      <c r="S2325" t="s">
        <v>35</v>
      </c>
      <c r="T2325" t="s">
        <v>35</v>
      </c>
      <c r="U2325" t="s">
        <v>35</v>
      </c>
      <c r="V2325" t="s">
        <v>645</v>
      </c>
      <c r="W2325" t="s">
        <v>113</v>
      </c>
    </row>
    <row r="2326" spans="1:23" hidden="1" x14ac:dyDescent="0.25">
      <c r="A2326" s="7" t="str">
        <f>IFERROR(VLOOKUP(H2326,'Contas Orç'!A:B,2,0),"N/A")</f>
        <v>REMUNERACOES</v>
      </c>
      <c r="B2326" s="7" t="str">
        <f t="shared" si="72"/>
        <v>330101 - REMUNERACOES</v>
      </c>
      <c r="C2326" s="25">
        <f t="shared" si="73"/>
        <v>44593</v>
      </c>
      <c r="D2326" s="27">
        <f>IF(K2326="CREDITO",Q2326,Q2326*-1)</f>
        <v>5381.33</v>
      </c>
      <c r="E2326" t="s">
        <v>894</v>
      </c>
      <c r="F2326" t="s">
        <v>2820</v>
      </c>
      <c r="G2326" s="8">
        <v>44593</v>
      </c>
      <c r="H2326" t="s">
        <v>577</v>
      </c>
      <c r="I2326" t="s">
        <v>114</v>
      </c>
      <c r="J2326" t="s">
        <v>54</v>
      </c>
      <c r="K2326" t="s">
        <v>29</v>
      </c>
      <c r="L2326" t="s">
        <v>895</v>
      </c>
      <c r="M2326" t="s">
        <v>4402</v>
      </c>
      <c r="O2326" t="s">
        <v>896</v>
      </c>
      <c r="P2326" t="s">
        <v>33</v>
      </c>
      <c r="Q2326" s="22">
        <v>5381.33</v>
      </c>
      <c r="R2326" t="s">
        <v>35</v>
      </c>
      <c r="S2326" t="s">
        <v>35</v>
      </c>
      <c r="T2326" t="s">
        <v>35</v>
      </c>
      <c r="U2326" t="s">
        <v>35</v>
      </c>
      <c r="V2326" t="s">
        <v>645</v>
      </c>
      <c r="W2326" t="s">
        <v>113</v>
      </c>
    </row>
    <row r="2327" spans="1:23" hidden="1" x14ac:dyDescent="0.25">
      <c r="A2327" s="7" t="str">
        <f>IFERROR(VLOOKUP(H2327,'Contas Orç'!A:B,2,0),"N/A")</f>
        <v>REMUNERACOES</v>
      </c>
      <c r="B2327" s="7" t="str">
        <f t="shared" si="72"/>
        <v>330101 - REMUNERACOES</v>
      </c>
      <c r="C2327" s="25">
        <f t="shared" si="73"/>
        <v>44593</v>
      </c>
      <c r="D2327" s="27">
        <f>IF(K2327="CREDITO",Q2327,Q2327*-1)</f>
        <v>26086.71</v>
      </c>
      <c r="E2327" t="s">
        <v>894</v>
      </c>
      <c r="F2327" t="s">
        <v>2821</v>
      </c>
      <c r="G2327" s="8">
        <v>44593</v>
      </c>
      <c r="H2327" t="s">
        <v>577</v>
      </c>
      <c r="I2327" t="s">
        <v>75</v>
      </c>
      <c r="J2327" t="s">
        <v>54</v>
      </c>
      <c r="K2327" t="s">
        <v>29</v>
      </c>
      <c r="L2327" t="s">
        <v>895</v>
      </c>
      <c r="M2327" t="s">
        <v>4402</v>
      </c>
      <c r="O2327" t="s">
        <v>896</v>
      </c>
      <c r="P2327" t="s">
        <v>33</v>
      </c>
      <c r="Q2327" s="22">
        <v>26086.71</v>
      </c>
      <c r="R2327" t="s">
        <v>35</v>
      </c>
      <c r="S2327" t="s">
        <v>35</v>
      </c>
      <c r="T2327" t="s">
        <v>35</v>
      </c>
      <c r="U2327" t="s">
        <v>35</v>
      </c>
      <c r="V2327" t="s">
        <v>645</v>
      </c>
      <c r="W2327" t="s">
        <v>113</v>
      </c>
    </row>
    <row r="2328" spans="1:23" hidden="1" x14ac:dyDescent="0.25">
      <c r="A2328" s="7" t="str">
        <f>IFERROR(VLOOKUP(H2328,'Contas Orç'!A:B,2,0),"N/A")</f>
        <v>REMUNERACOES</v>
      </c>
      <c r="B2328" s="7" t="str">
        <f t="shared" si="72"/>
        <v>330101 - REMUNERACOES</v>
      </c>
      <c r="C2328" s="25">
        <f t="shared" si="73"/>
        <v>44593</v>
      </c>
      <c r="D2328" s="27">
        <f>IF(K2328="CREDITO",Q2328,Q2328*-1)</f>
        <v>19317.439999999999</v>
      </c>
      <c r="E2328" t="s">
        <v>894</v>
      </c>
      <c r="F2328" t="s">
        <v>2822</v>
      </c>
      <c r="G2328" s="8">
        <v>44593</v>
      </c>
      <c r="H2328" t="s">
        <v>577</v>
      </c>
      <c r="I2328" t="s">
        <v>78</v>
      </c>
      <c r="J2328" t="s">
        <v>54</v>
      </c>
      <c r="K2328" t="s">
        <v>29</v>
      </c>
      <c r="L2328" t="s">
        <v>895</v>
      </c>
      <c r="M2328" t="s">
        <v>4402</v>
      </c>
      <c r="O2328" t="s">
        <v>896</v>
      </c>
      <c r="P2328" t="s">
        <v>33</v>
      </c>
      <c r="Q2328" s="22">
        <v>19317.439999999999</v>
      </c>
      <c r="R2328" t="s">
        <v>35</v>
      </c>
      <c r="S2328" t="s">
        <v>35</v>
      </c>
      <c r="T2328" t="s">
        <v>35</v>
      </c>
      <c r="U2328" t="s">
        <v>35</v>
      </c>
      <c r="V2328" t="s">
        <v>645</v>
      </c>
      <c r="W2328" t="s">
        <v>113</v>
      </c>
    </row>
    <row r="2329" spans="1:23" hidden="1" x14ac:dyDescent="0.25">
      <c r="A2329" s="7" t="str">
        <f>IFERROR(VLOOKUP(H2329,'Contas Orç'!A:B,2,0),"N/A")</f>
        <v>REMUNERACOES</v>
      </c>
      <c r="B2329" s="7" t="str">
        <f t="shared" si="72"/>
        <v>330101 - REMUNERACOES</v>
      </c>
      <c r="C2329" s="25">
        <f t="shared" si="73"/>
        <v>44593</v>
      </c>
      <c r="D2329" s="27">
        <f>IF(K2329="CREDITO",Q2329,Q2329*-1)</f>
        <v>11837.52</v>
      </c>
      <c r="E2329" t="s">
        <v>894</v>
      </c>
      <c r="F2329" t="s">
        <v>2823</v>
      </c>
      <c r="G2329" s="8">
        <v>44593</v>
      </c>
      <c r="H2329" t="s">
        <v>577</v>
      </c>
      <c r="I2329" t="s">
        <v>81</v>
      </c>
      <c r="J2329" t="s">
        <v>54</v>
      </c>
      <c r="K2329" t="s">
        <v>29</v>
      </c>
      <c r="L2329" t="s">
        <v>895</v>
      </c>
      <c r="M2329" t="s">
        <v>4402</v>
      </c>
      <c r="O2329" t="s">
        <v>896</v>
      </c>
      <c r="P2329" t="s">
        <v>33</v>
      </c>
      <c r="Q2329" s="22">
        <v>11837.52</v>
      </c>
      <c r="R2329" t="s">
        <v>35</v>
      </c>
      <c r="S2329" t="s">
        <v>35</v>
      </c>
      <c r="T2329" t="s">
        <v>35</v>
      </c>
      <c r="U2329" t="s">
        <v>35</v>
      </c>
      <c r="V2329" t="s">
        <v>645</v>
      </c>
      <c r="W2329" t="s">
        <v>113</v>
      </c>
    </row>
    <row r="2330" spans="1:23" hidden="1" x14ac:dyDescent="0.25">
      <c r="A2330" s="7" t="str">
        <f>IFERROR(VLOOKUP(H2330,'Contas Orç'!A:B,2,0),"N/A")</f>
        <v>REMUNERACOES</v>
      </c>
      <c r="B2330" s="7" t="str">
        <f t="shared" si="72"/>
        <v>330101 - REMUNERACOES</v>
      </c>
      <c r="C2330" s="25">
        <f t="shared" si="73"/>
        <v>44593</v>
      </c>
      <c r="D2330" s="27">
        <f>IF(K2330="CREDITO",Q2330,Q2330*-1)</f>
        <v>6781.65</v>
      </c>
      <c r="E2330" t="s">
        <v>894</v>
      </c>
      <c r="F2330" t="s">
        <v>2824</v>
      </c>
      <c r="G2330" s="8">
        <v>44593</v>
      </c>
      <c r="H2330" t="s">
        <v>577</v>
      </c>
      <c r="I2330" t="s">
        <v>136</v>
      </c>
      <c r="J2330" t="s">
        <v>54</v>
      </c>
      <c r="K2330" t="s">
        <v>29</v>
      </c>
      <c r="L2330" t="s">
        <v>895</v>
      </c>
      <c r="M2330" t="s">
        <v>4402</v>
      </c>
      <c r="O2330" t="s">
        <v>896</v>
      </c>
      <c r="P2330" t="s">
        <v>33</v>
      </c>
      <c r="Q2330" s="22">
        <v>6781.65</v>
      </c>
      <c r="R2330" t="s">
        <v>35</v>
      </c>
      <c r="S2330" t="s">
        <v>35</v>
      </c>
      <c r="T2330" t="s">
        <v>35</v>
      </c>
      <c r="U2330" t="s">
        <v>35</v>
      </c>
      <c r="V2330" t="s">
        <v>645</v>
      </c>
      <c r="W2330" t="s">
        <v>113</v>
      </c>
    </row>
    <row r="2331" spans="1:23" hidden="1" x14ac:dyDescent="0.25">
      <c r="A2331" s="7" t="str">
        <f>IFERROR(VLOOKUP(H2331,'Contas Orç'!A:B,2,0),"N/A")</f>
        <v>REMUNERACOES</v>
      </c>
      <c r="B2331" s="7" t="str">
        <f t="shared" si="72"/>
        <v>330101 - REMUNERACOES</v>
      </c>
      <c r="C2331" s="25">
        <f t="shared" si="73"/>
        <v>44621</v>
      </c>
      <c r="D2331" s="27">
        <f>IF(K2331="CREDITO",Q2331,Q2331*-1)</f>
        <v>15529.98</v>
      </c>
      <c r="E2331" t="s">
        <v>894</v>
      </c>
      <c r="F2331" t="s">
        <v>2825</v>
      </c>
      <c r="G2331" s="8">
        <v>44621</v>
      </c>
      <c r="H2331" t="s">
        <v>577</v>
      </c>
      <c r="I2331" t="s">
        <v>99</v>
      </c>
      <c r="J2331" t="s">
        <v>28</v>
      </c>
      <c r="K2331" t="s">
        <v>29</v>
      </c>
      <c r="L2331" t="s">
        <v>895</v>
      </c>
      <c r="M2331" t="s">
        <v>4402</v>
      </c>
      <c r="O2331" t="s">
        <v>896</v>
      </c>
      <c r="P2331" t="s">
        <v>33</v>
      </c>
      <c r="Q2331" s="22">
        <v>15529.98</v>
      </c>
      <c r="R2331" t="s">
        <v>35</v>
      </c>
      <c r="S2331" t="s">
        <v>35</v>
      </c>
      <c r="T2331" t="s">
        <v>35</v>
      </c>
      <c r="U2331" t="s">
        <v>35</v>
      </c>
      <c r="V2331" t="s">
        <v>645</v>
      </c>
      <c r="W2331" t="s">
        <v>113</v>
      </c>
    </row>
    <row r="2332" spans="1:23" hidden="1" x14ac:dyDescent="0.25">
      <c r="A2332" s="7" t="str">
        <f>IFERROR(VLOOKUP(H2332,'Contas Orç'!A:B,2,0),"N/A")</f>
        <v>REMUNERACOES</v>
      </c>
      <c r="B2332" s="7" t="str">
        <f t="shared" si="72"/>
        <v>330101 - REMUNERACOES</v>
      </c>
      <c r="C2332" s="25">
        <f t="shared" si="73"/>
        <v>44621</v>
      </c>
      <c r="D2332" s="27">
        <f>IF(K2332="CREDITO",Q2332,Q2332*-1)</f>
        <v>11.64</v>
      </c>
      <c r="E2332" t="s">
        <v>894</v>
      </c>
      <c r="F2332" t="s">
        <v>2826</v>
      </c>
      <c r="G2332" s="8">
        <v>44621</v>
      </c>
      <c r="H2332" t="s">
        <v>577</v>
      </c>
      <c r="I2332" t="s">
        <v>88</v>
      </c>
      <c r="J2332" t="s">
        <v>28</v>
      </c>
      <c r="K2332" t="s">
        <v>29</v>
      </c>
      <c r="L2332" t="s">
        <v>895</v>
      </c>
      <c r="M2332" t="s">
        <v>4402</v>
      </c>
      <c r="O2332" t="s">
        <v>896</v>
      </c>
      <c r="P2332" t="s">
        <v>33</v>
      </c>
      <c r="Q2332">
        <v>11.64</v>
      </c>
      <c r="R2332" t="s">
        <v>35</v>
      </c>
      <c r="S2332" t="s">
        <v>35</v>
      </c>
      <c r="T2332" t="s">
        <v>35</v>
      </c>
      <c r="U2332" t="s">
        <v>35</v>
      </c>
      <c r="V2332" t="s">
        <v>645</v>
      </c>
      <c r="W2332" t="s">
        <v>113</v>
      </c>
    </row>
    <row r="2333" spans="1:23" hidden="1" x14ac:dyDescent="0.25">
      <c r="A2333" s="7" t="str">
        <f>IFERROR(VLOOKUP(H2333,'Contas Orç'!A:B,2,0),"N/A")</f>
        <v>REMUNERACOES</v>
      </c>
      <c r="B2333" s="7" t="str">
        <f t="shared" si="72"/>
        <v>330101 - REMUNERACOES</v>
      </c>
      <c r="C2333" s="25">
        <f t="shared" si="73"/>
        <v>44621</v>
      </c>
      <c r="D2333" s="27">
        <f>IF(K2333="CREDITO",Q2333,Q2333*-1)</f>
        <v>23.87</v>
      </c>
      <c r="E2333" t="s">
        <v>894</v>
      </c>
      <c r="F2333" t="s">
        <v>2827</v>
      </c>
      <c r="G2333" s="8">
        <v>44621</v>
      </c>
      <c r="H2333" t="s">
        <v>577</v>
      </c>
      <c r="I2333" t="s">
        <v>27</v>
      </c>
      <c r="J2333" t="s">
        <v>28</v>
      </c>
      <c r="K2333" t="s">
        <v>29</v>
      </c>
      <c r="L2333" t="s">
        <v>895</v>
      </c>
      <c r="M2333" t="s">
        <v>4402</v>
      </c>
      <c r="O2333" t="s">
        <v>896</v>
      </c>
      <c r="P2333" t="s">
        <v>33</v>
      </c>
      <c r="Q2333">
        <v>23.87</v>
      </c>
      <c r="R2333" t="s">
        <v>35</v>
      </c>
      <c r="S2333" t="s">
        <v>35</v>
      </c>
      <c r="T2333" t="s">
        <v>35</v>
      </c>
      <c r="U2333" t="s">
        <v>35</v>
      </c>
      <c r="V2333" t="s">
        <v>645</v>
      </c>
      <c r="W2333" t="s">
        <v>113</v>
      </c>
    </row>
    <row r="2334" spans="1:23" hidden="1" x14ac:dyDescent="0.25">
      <c r="A2334" s="7" t="str">
        <f>IFERROR(VLOOKUP(H2334,'Contas Orç'!A:B,2,0),"N/A")</f>
        <v>REMUNERACOES</v>
      </c>
      <c r="B2334" s="7" t="str">
        <f t="shared" si="72"/>
        <v>330101 - REMUNERACOES</v>
      </c>
      <c r="C2334" s="25">
        <f t="shared" si="73"/>
        <v>44621</v>
      </c>
      <c r="D2334" s="27">
        <f>IF(K2334="CREDITO",Q2334,Q2334*-1)</f>
        <v>9177.3700000000008</v>
      </c>
      <c r="E2334" t="s">
        <v>894</v>
      </c>
      <c r="F2334" t="s">
        <v>2828</v>
      </c>
      <c r="G2334" s="8">
        <v>44621</v>
      </c>
      <c r="H2334" t="s">
        <v>577</v>
      </c>
      <c r="I2334" t="s">
        <v>81</v>
      </c>
      <c r="J2334" t="s">
        <v>60</v>
      </c>
      <c r="K2334" t="s">
        <v>29</v>
      </c>
      <c r="L2334" t="s">
        <v>895</v>
      </c>
      <c r="M2334" t="s">
        <v>4402</v>
      </c>
      <c r="O2334" t="s">
        <v>896</v>
      </c>
      <c r="P2334" t="s">
        <v>33</v>
      </c>
      <c r="Q2334" s="22">
        <v>9177.3700000000008</v>
      </c>
      <c r="R2334" t="s">
        <v>35</v>
      </c>
      <c r="S2334" t="s">
        <v>35</v>
      </c>
      <c r="T2334" t="s">
        <v>35</v>
      </c>
      <c r="U2334" t="s">
        <v>35</v>
      </c>
      <c r="V2334" t="s">
        <v>645</v>
      </c>
      <c r="W2334" t="s">
        <v>113</v>
      </c>
    </row>
    <row r="2335" spans="1:23" hidden="1" x14ac:dyDescent="0.25">
      <c r="A2335" s="7" t="str">
        <f>IFERROR(VLOOKUP(H2335,'Contas Orç'!A:B,2,0),"N/A")</f>
        <v>REMUNERACOES</v>
      </c>
      <c r="B2335" s="7" t="str">
        <f t="shared" si="72"/>
        <v>330101 - REMUNERACOES</v>
      </c>
      <c r="C2335" s="25">
        <f t="shared" si="73"/>
        <v>44621</v>
      </c>
      <c r="D2335" s="27">
        <f>IF(K2335="CREDITO",Q2335,Q2335*-1)</f>
        <v>8.2799999999999994</v>
      </c>
      <c r="E2335" t="s">
        <v>894</v>
      </c>
      <c r="F2335" t="s">
        <v>2829</v>
      </c>
      <c r="G2335" s="8">
        <v>44621</v>
      </c>
      <c r="H2335" t="s">
        <v>577</v>
      </c>
      <c r="I2335" t="s">
        <v>106</v>
      </c>
      <c r="J2335" t="s">
        <v>60</v>
      </c>
      <c r="K2335" t="s">
        <v>29</v>
      </c>
      <c r="L2335" t="s">
        <v>895</v>
      </c>
      <c r="M2335" t="s">
        <v>4402</v>
      </c>
      <c r="O2335" t="s">
        <v>896</v>
      </c>
      <c r="P2335" t="s">
        <v>33</v>
      </c>
      <c r="Q2335">
        <v>8.2799999999999994</v>
      </c>
      <c r="R2335" t="s">
        <v>35</v>
      </c>
      <c r="S2335" t="s">
        <v>35</v>
      </c>
      <c r="T2335" t="s">
        <v>35</v>
      </c>
      <c r="U2335" t="s">
        <v>35</v>
      </c>
      <c r="V2335" t="s">
        <v>645</v>
      </c>
      <c r="W2335" t="s">
        <v>113</v>
      </c>
    </row>
    <row r="2336" spans="1:23" hidden="1" x14ac:dyDescent="0.25">
      <c r="A2336" s="7" t="str">
        <f>IFERROR(VLOOKUP(H2336,'Contas Orç'!A:B,2,0),"N/A")</f>
        <v>REMUNERACOES</v>
      </c>
      <c r="B2336" s="7" t="str">
        <f t="shared" si="72"/>
        <v>330101 - REMUNERACOES</v>
      </c>
      <c r="C2336" s="25">
        <f t="shared" si="73"/>
        <v>44621</v>
      </c>
      <c r="D2336" s="27">
        <f>IF(K2336="CREDITO",Q2336,Q2336*-1)</f>
        <v>62.45</v>
      </c>
      <c r="E2336" t="s">
        <v>894</v>
      </c>
      <c r="F2336" t="s">
        <v>2830</v>
      </c>
      <c r="G2336" s="8">
        <v>44621</v>
      </c>
      <c r="H2336" t="s">
        <v>577</v>
      </c>
      <c r="I2336" t="s">
        <v>59</v>
      </c>
      <c r="J2336" t="s">
        <v>60</v>
      </c>
      <c r="K2336" t="s">
        <v>29</v>
      </c>
      <c r="L2336" t="s">
        <v>895</v>
      </c>
      <c r="M2336" t="s">
        <v>4402</v>
      </c>
      <c r="O2336" t="s">
        <v>896</v>
      </c>
      <c r="P2336" t="s">
        <v>33</v>
      </c>
      <c r="Q2336">
        <v>62.45</v>
      </c>
      <c r="R2336" t="s">
        <v>35</v>
      </c>
      <c r="S2336" t="s">
        <v>35</v>
      </c>
      <c r="T2336" t="s">
        <v>35</v>
      </c>
      <c r="U2336" t="s">
        <v>35</v>
      </c>
      <c r="V2336" t="s">
        <v>645</v>
      </c>
      <c r="W2336" t="s">
        <v>113</v>
      </c>
    </row>
    <row r="2337" spans="1:23" hidden="1" x14ac:dyDescent="0.25">
      <c r="A2337" s="7" t="str">
        <f>IFERROR(VLOOKUP(H2337,'Contas Orç'!A:B,2,0),"N/A")</f>
        <v>REMUNERACOES</v>
      </c>
      <c r="B2337" s="7" t="str">
        <f t="shared" si="72"/>
        <v>330101 - REMUNERACOES</v>
      </c>
      <c r="C2337" s="25">
        <f t="shared" si="73"/>
        <v>44621</v>
      </c>
      <c r="D2337" s="27">
        <f>IF(K2337="CREDITO",Q2337,Q2337*-1)</f>
        <v>15225.37</v>
      </c>
      <c r="E2337" t="s">
        <v>894</v>
      </c>
      <c r="F2337" t="s">
        <v>2831</v>
      </c>
      <c r="G2337" s="8">
        <v>44621</v>
      </c>
      <c r="H2337" t="s">
        <v>577</v>
      </c>
      <c r="I2337" t="s">
        <v>2062</v>
      </c>
      <c r="J2337" t="s">
        <v>54</v>
      </c>
      <c r="K2337" t="s">
        <v>29</v>
      </c>
      <c r="L2337" t="s">
        <v>895</v>
      </c>
      <c r="M2337" t="s">
        <v>4402</v>
      </c>
      <c r="O2337" t="s">
        <v>896</v>
      </c>
      <c r="P2337" t="s">
        <v>33</v>
      </c>
      <c r="Q2337" s="22">
        <v>15225.37</v>
      </c>
      <c r="R2337" t="s">
        <v>35</v>
      </c>
      <c r="S2337" t="s">
        <v>35</v>
      </c>
      <c r="T2337" t="s">
        <v>35</v>
      </c>
      <c r="U2337" t="s">
        <v>35</v>
      </c>
      <c r="V2337" t="s">
        <v>645</v>
      </c>
      <c r="W2337" t="s">
        <v>113</v>
      </c>
    </row>
    <row r="2338" spans="1:23" hidden="1" x14ac:dyDescent="0.25">
      <c r="A2338" s="7" t="str">
        <f>IFERROR(VLOOKUP(H2338,'Contas Orç'!A:B,2,0),"N/A")</f>
        <v>REMUNERACOES</v>
      </c>
      <c r="B2338" s="7" t="str">
        <f t="shared" si="72"/>
        <v>330101 - REMUNERACOES</v>
      </c>
      <c r="C2338" s="25">
        <f t="shared" si="73"/>
        <v>44621</v>
      </c>
      <c r="D2338" s="27">
        <f>IF(K2338="CREDITO",Q2338,Q2338*-1)</f>
        <v>38379.699999999997</v>
      </c>
      <c r="E2338" t="s">
        <v>894</v>
      </c>
      <c r="F2338" t="s">
        <v>2832</v>
      </c>
      <c r="G2338" s="8">
        <v>44621</v>
      </c>
      <c r="H2338" t="s">
        <v>577</v>
      </c>
      <c r="I2338" t="s">
        <v>40</v>
      </c>
      <c r="J2338" t="s">
        <v>54</v>
      </c>
      <c r="K2338" t="s">
        <v>29</v>
      </c>
      <c r="L2338" t="s">
        <v>895</v>
      </c>
      <c r="M2338" t="s">
        <v>4402</v>
      </c>
      <c r="O2338" t="s">
        <v>896</v>
      </c>
      <c r="P2338" t="s">
        <v>33</v>
      </c>
      <c r="Q2338" s="22">
        <v>38379.699999999997</v>
      </c>
      <c r="R2338" t="s">
        <v>35</v>
      </c>
      <c r="S2338" t="s">
        <v>35</v>
      </c>
      <c r="T2338" t="s">
        <v>35</v>
      </c>
      <c r="U2338" t="s">
        <v>35</v>
      </c>
      <c r="V2338" t="s">
        <v>645</v>
      </c>
      <c r="W2338" t="s">
        <v>113</v>
      </c>
    </row>
    <row r="2339" spans="1:23" hidden="1" x14ac:dyDescent="0.25">
      <c r="A2339" s="7" t="str">
        <f>IFERROR(VLOOKUP(H2339,'Contas Orç'!A:B,2,0),"N/A")</f>
        <v>REMUNERACOES</v>
      </c>
      <c r="B2339" s="7" t="str">
        <f t="shared" si="72"/>
        <v>330101 - REMUNERACOES</v>
      </c>
      <c r="C2339" s="25">
        <f t="shared" si="73"/>
        <v>44621</v>
      </c>
      <c r="D2339" s="27">
        <f>IF(K2339="CREDITO",Q2339,Q2339*-1)</f>
        <v>6105.23</v>
      </c>
      <c r="E2339" t="s">
        <v>894</v>
      </c>
      <c r="F2339" t="s">
        <v>2833</v>
      </c>
      <c r="G2339" s="8">
        <v>44621</v>
      </c>
      <c r="H2339" t="s">
        <v>577</v>
      </c>
      <c r="I2339" t="s">
        <v>1002</v>
      </c>
      <c r="J2339" t="s">
        <v>54</v>
      </c>
      <c r="K2339" t="s">
        <v>29</v>
      </c>
      <c r="L2339" t="s">
        <v>895</v>
      </c>
      <c r="M2339" t="s">
        <v>4402</v>
      </c>
      <c r="O2339" t="s">
        <v>896</v>
      </c>
      <c r="P2339" t="s">
        <v>33</v>
      </c>
      <c r="Q2339" s="22">
        <v>6105.23</v>
      </c>
      <c r="R2339" t="s">
        <v>35</v>
      </c>
      <c r="S2339" t="s">
        <v>35</v>
      </c>
      <c r="T2339" t="s">
        <v>35</v>
      </c>
      <c r="U2339" t="s">
        <v>35</v>
      </c>
      <c r="V2339" t="s">
        <v>645</v>
      </c>
      <c r="W2339" t="s">
        <v>113</v>
      </c>
    </row>
    <row r="2340" spans="1:23" hidden="1" x14ac:dyDescent="0.25">
      <c r="A2340" s="7" t="str">
        <f>IFERROR(VLOOKUP(H2340,'Contas Orç'!A:B,2,0),"N/A")</f>
        <v>REMUNERACOES</v>
      </c>
      <c r="B2340" s="7" t="str">
        <f t="shared" si="72"/>
        <v>330101 - REMUNERACOES</v>
      </c>
      <c r="C2340" s="25">
        <f t="shared" si="73"/>
        <v>44621</v>
      </c>
      <c r="D2340" s="27">
        <f>IF(K2340="CREDITO",Q2340,Q2340*-1)</f>
        <v>3173.41</v>
      </c>
      <c r="E2340" t="s">
        <v>894</v>
      </c>
      <c r="F2340" t="s">
        <v>2834</v>
      </c>
      <c r="G2340" s="8">
        <v>44621</v>
      </c>
      <c r="H2340" t="s">
        <v>577</v>
      </c>
      <c r="I2340" t="s">
        <v>121</v>
      </c>
      <c r="J2340" t="s">
        <v>54</v>
      </c>
      <c r="K2340" t="s">
        <v>29</v>
      </c>
      <c r="L2340" t="s">
        <v>895</v>
      </c>
      <c r="M2340" t="s">
        <v>4402</v>
      </c>
      <c r="O2340" t="s">
        <v>896</v>
      </c>
      <c r="P2340" t="s">
        <v>33</v>
      </c>
      <c r="Q2340" s="22">
        <v>3173.41</v>
      </c>
      <c r="R2340" t="s">
        <v>35</v>
      </c>
      <c r="S2340" t="s">
        <v>35</v>
      </c>
      <c r="T2340" t="s">
        <v>35</v>
      </c>
      <c r="U2340" t="s">
        <v>35</v>
      </c>
      <c r="V2340" t="s">
        <v>645</v>
      </c>
      <c r="W2340" t="s">
        <v>113</v>
      </c>
    </row>
    <row r="2341" spans="1:23" hidden="1" x14ac:dyDescent="0.25">
      <c r="A2341" s="7" t="str">
        <f>IFERROR(VLOOKUP(H2341,'Contas Orç'!A:B,2,0),"N/A")</f>
        <v>REMUNERACOES</v>
      </c>
      <c r="B2341" s="7" t="str">
        <f t="shared" si="72"/>
        <v>330101 - REMUNERACOES</v>
      </c>
      <c r="C2341" s="25">
        <f t="shared" si="73"/>
        <v>44621</v>
      </c>
      <c r="D2341" s="27">
        <f>IF(K2341="CREDITO",Q2341,Q2341*-1)</f>
        <v>17183.53</v>
      </c>
      <c r="E2341" t="s">
        <v>894</v>
      </c>
      <c r="F2341" t="s">
        <v>2835</v>
      </c>
      <c r="G2341" s="8">
        <v>44621</v>
      </c>
      <c r="H2341" t="s">
        <v>577</v>
      </c>
      <c r="I2341" t="s">
        <v>132</v>
      </c>
      <c r="J2341" t="s">
        <v>54</v>
      </c>
      <c r="K2341" t="s">
        <v>29</v>
      </c>
      <c r="L2341" t="s">
        <v>895</v>
      </c>
      <c r="M2341" t="s">
        <v>4402</v>
      </c>
      <c r="O2341" t="s">
        <v>896</v>
      </c>
      <c r="P2341" t="s">
        <v>33</v>
      </c>
      <c r="Q2341" s="22">
        <v>17183.53</v>
      </c>
      <c r="R2341" t="s">
        <v>35</v>
      </c>
      <c r="S2341" t="s">
        <v>35</v>
      </c>
      <c r="T2341" t="s">
        <v>35</v>
      </c>
      <c r="U2341" t="s">
        <v>35</v>
      </c>
      <c r="V2341" t="s">
        <v>645</v>
      </c>
      <c r="W2341" t="s">
        <v>113</v>
      </c>
    </row>
    <row r="2342" spans="1:23" hidden="1" x14ac:dyDescent="0.25">
      <c r="A2342" s="7" t="str">
        <f>IFERROR(VLOOKUP(H2342,'Contas Orç'!A:B,2,0),"N/A")</f>
        <v>REMUNERACOES</v>
      </c>
      <c r="B2342" s="7" t="str">
        <f t="shared" si="72"/>
        <v>330101 - REMUNERACOES</v>
      </c>
      <c r="C2342" s="25">
        <f t="shared" si="73"/>
        <v>44621</v>
      </c>
      <c r="D2342" s="27">
        <f>IF(K2342="CREDITO",Q2342,Q2342*-1)</f>
        <v>5379.97</v>
      </c>
      <c r="E2342" t="s">
        <v>894</v>
      </c>
      <c r="F2342" t="s">
        <v>2836</v>
      </c>
      <c r="G2342" s="8">
        <v>44621</v>
      </c>
      <c r="H2342" t="s">
        <v>577</v>
      </c>
      <c r="I2342" t="s">
        <v>114</v>
      </c>
      <c r="J2342" t="s">
        <v>54</v>
      </c>
      <c r="K2342" t="s">
        <v>29</v>
      </c>
      <c r="L2342" t="s">
        <v>895</v>
      </c>
      <c r="M2342" t="s">
        <v>4402</v>
      </c>
      <c r="O2342" t="s">
        <v>896</v>
      </c>
      <c r="P2342" t="s">
        <v>33</v>
      </c>
      <c r="Q2342" s="22">
        <v>5379.97</v>
      </c>
      <c r="R2342" t="s">
        <v>35</v>
      </c>
      <c r="S2342" t="s">
        <v>35</v>
      </c>
      <c r="T2342" t="s">
        <v>35</v>
      </c>
      <c r="U2342" t="s">
        <v>35</v>
      </c>
      <c r="V2342" t="s">
        <v>645</v>
      </c>
      <c r="W2342" t="s">
        <v>113</v>
      </c>
    </row>
    <row r="2343" spans="1:23" hidden="1" x14ac:dyDescent="0.25">
      <c r="A2343" s="7" t="str">
        <f>IFERROR(VLOOKUP(H2343,'Contas Orç'!A:B,2,0),"N/A")</f>
        <v>REMUNERACOES</v>
      </c>
      <c r="B2343" s="7" t="str">
        <f t="shared" si="72"/>
        <v>330101 - REMUNERACOES</v>
      </c>
      <c r="C2343" s="25">
        <f t="shared" si="73"/>
        <v>44621</v>
      </c>
      <c r="D2343" s="27">
        <f>IF(K2343="CREDITO",Q2343,Q2343*-1)</f>
        <v>26682.63</v>
      </c>
      <c r="E2343" t="s">
        <v>894</v>
      </c>
      <c r="F2343" t="s">
        <v>2837</v>
      </c>
      <c r="G2343" s="8">
        <v>44621</v>
      </c>
      <c r="H2343" t="s">
        <v>577</v>
      </c>
      <c r="I2343" t="s">
        <v>75</v>
      </c>
      <c r="J2343" t="s">
        <v>54</v>
      </c>
      <c r="K2343" t="s">
        <v>29</v>
      </c>
      <c r="L2343" t="s">
        <v>895</v>
      </c>
      <c r="M2343" t="s">
        <v>4402</v>
      </c>
      <c r="O2343" t="s">
        <v>896</v>
      </c>
      <c r="P2343" t="s">
        <v>33</v>
      </c>
      <c r="Q2343" s="22">
        <v>26682.63</v>
      </c>
      <c r="R2343" t="s">
        <v>35</v>
      </c>
      <c r="S2343" t="s">
        <v>35</v>
      </c>
      <c r="T2343" t="s">
        <v>35</v>
      </c>
      <c r="U2343" t="s">
        <v>35</v>
      </c>
      <c r="V2343" t="s">
        <v>645</v>
      </c>
      <c r="W2343" t="s">
        <v>113</v>
      </c>
    </row>
    <row r="2344" spans="1:23" hidden="1" x14ac:dyDescent="0.25">
      <c r="A2344" s="7" t="str">
        <f>IFERROR(VLOOKUP(H2344,'Contas Orç'!A:B,2,0),"N/A")</f>
        <v>REMUNERACOES</v>
      </c>
      <c r="B2344" s="7" t="str">
        <f t="shared" si="72"/>
        <v>330101 - REMUNERACOES</v>
      </c>
      <c r="C2344" s="25">
        <f t="shared" si="73"/>
        <v>44621</v>
      </c>
      <c r="D2344" s="27">
        <f>IF(K2344="CREDITO",Q2344,Q2344*-1)</f>
        <v>27314.86</v>
      </c>
      <c r="E2344" t="s">
        <v>894</v>
      </c>
      <c r="F2344" t="s">
        <v>2838</v>
      </c>
      <c r="G2344" s="8">
        <v>44621</v>
      </c>
      <c r="H2344" t="s">
        <v>577</v>
      </c>
      <c r="I2344" t="s">
        <v>78</v>
      </c>
      <c r="J2344" t="s">
        <v>54</v>
      </c>
      <c r="K2344" t="s">
        <v>29</v>
      </c>
      <c r="L2344" t="s">
        <v>895</v>
      </c>
      <c r="M2344" t="s">
        <v>4402</v>
      </c>
      <c r="O2344" t="s">
        <v>896</v>
      </c>
      <c r="P2344" t="s">
        <v>33</v>
      </c>
      <c r="Q2344" s="22">
        <v>27314.86</v>
      </c>
      <c r="R2344" t="s">
        <v>35</v>
      </c>
      <c r="S2344" t="s">
        <v>35</v>
      </c>
      <c r="T2344" t="s">
        <v>35</v>
      </c>
      <c r="U2344" t="s">
        <v>35</v>
      </c>
      <c r="V2344" t="s">
        <v>645</v>
      </c>
      <c r="W2344" t="s">
        <v>113</v>
      </c>
    </row>
    <row r="2345" spans="1:23" hidden="1" x14ac:dyDescent="0.25">
      <c r="A2345" s="7" t="str">
        <f>IFERROR(VLOOKUP(H2345,'Contas Orç'!A:B,2,0),"N/A")</f>
        <v>REMUNERACOES</v>
      </c>
      <c r="B2345" s="7" t="str">
        <f t="shared" si="72"/>
        <v>330101 - REMUNERACOES</v>
      </c>
      <c r="C2345" s="25">
        <f t="shared" si="73"/>
        <v>44621</v>
      </c>
      <c r="D2345" s="27">
        <f>IF(K2345="CREDITO",Q2345,Q2345*-1)</f>
        <v>11831.99</v>
      </c>
      <c r="E2345" t="s">
        <v>894</v>
      </c>
      <c r="F2345" t="s">
        <v>2839</v>
      </c>
      <c r="G2345" s="8">
        <v>44621</v>
      </c>
      <c r="H2345" t="s">
        <v>577</v>
      </c>
      <c r="I2345" t="s">
        <v>81</v>
      </c>
      <c r="J2345" t="s">
        <v>54</v>
      </c>
      <c r="K2345" t="s">
        <v>29</v>
      </c>
      <c r="L2345" t="s">
        <v>895</v>
      </c>
      <c r="M2345" t="s">
        <v>4402</v>
      </c>
      <c r="O2345" t="s">
        <v>896</v>
      </c>
      <c r="P2345" t="s">
        <v>33</v>
      </c>
      <c r="Q2345" s="22">
        <v>11831.99</v>
      </c>
      <c r="R2345" t="s">
        <v>35</v>
      </c>
      <c r="S2345" t="s">
        <v>35</v>
      </c>
      <c r="T2345" t="s">
        <v>35</v>
      </c>
      <c r="U2345" t="s">
        <v>35</v>
      </c>
      <c r="V2345" t="s">
        <v>645</v>
      </c>
      <c r="W2345" t="s">
        <v>113</v>
      </c>
    </row>
    <row r="2346" spans="1:23" hidden="1" x14ac:dyDescent="0.25">
      <c r="A2346" s="7" t="str">
        <f>IFERROR(VLOOKUP(H2346,'Contas Orç'!A:B,2,0),"N/A")</f>
        <v>REMUNERACOES</v>
      </c>
      <c r="B2346" s="7" t="str">
        <f t="shared" si="72"/>
        <v>330101 - REMUNERACOES</v>
      </c>
      <c r="C2346" s="25">
        <f t="shared" si="73"/>
        <v>44621</v>
      </c>
      <c r="D2346" s="27">
        <f>IF(K2346="CREDITO",Q2346,Q2346*-1)</f>
        <v>7076.4</v>
      </c>
      <c r="E2346" t="s">
        <v>894</v>
      </c>
      <c r="F2346" t="s">
        <v>2840</v>
      </c>
      <c r="G2346" s="8">
        <v>44621</v>
      </c>
      <c r="H2346" t="s">
        <v>577</v>
      </c>
      <c r="I2346" t="s">
        <v>136</v>
      </c>
      <c r="J2346" t="s">
        <v>54</v>
      </c>
      <c r="K2346" t="s">
        <v>29</v>
      </c>
      <c r="L2346" t="s">
        <v>895</v>
      </c>
      <c r="M2346" t="s">
        <v>4402</v>
      </c>
      <c r="O2346" t="s">
        <v>896</v>
      </c>
      <c r="P2346" t="s">
        <v>33</v>
      </c>
      <c r="Q2346" s="22">
        <v>7076.4</v>
      </c>
      <c r="R2346" t="s">
        <v>35</v>
      </c>
      <c r="S2346" t="s">
        <v>35</v>
      </c>
      <c r="T2346" t="s">
        <v>35</v>
      </c>
      <c r="U2346" t="s">
        <v>35</v>
      </c>
      <c r="V2346" t="s">
        <v>645</v>
      </c>
      <c r="W2346" t="s">
        <v>113</v>
      </c>
    </row>
    <row r="2347" spans="1:23" hidden="1" x14ac:dyDescent="0.25">
      <c r="A2347" s="7" t="str">
        <f>IFERROR(VLOOKUP(H2347,'Contas Orç'!A:B,2,0),"N/A")</f>
        <v>REMUNERACOES</v>
      </c>
      <c r="B2347" s="7" t="str">
        <f t="shared" si="72"/>
        <v>330101 - REMUNERACOES</v>
      </c>
      <c r="C2347" s="25">
        <f t="shared" si="73"/>
        <v>44621</v>
      </c>
      <c r="D2347" s="27">
        <f>IF(K2347="CREDITO",Q2347,Q2347*-1)</f>
        <v>225.24</v>
      </c>
      <c r="E2347" t="s">
        <v>894</v>
      </c>
      <c r="F2347" t="s">
        <v>2841</v>
      </c>
      <c r="G2347" s="8">
        <v>44621</v>
      </c>
      <c r="H2347" t="s">
        <v>577</v>
      </c>
      <c r="I2347" t="s">
        <v>53</v>
      </c>
      <c r="J2347" t="s">
        <v>54</v>
      </c>
      <c r="K2347" t="s">
        <v>29</v>
      </c>
      <c r="L2347" t="s">
        <v>895</v>
      </c>
      <c r="M2347" t="s">
        <v>4402</v>
      </c>
      <c r="O2347" t="s">
        <v>896</v>
      </c>
      <c r="P2347" t="s">
        <v>33</v>
      </c>
      <c r="Q2347">
        <v>225.24</v>
      </c>
      <c r="R2347" t="s">
        <v>35</v>
      </c>
      <c r="S2347" t="s">
        <v>35</v>
      </c>
      <c r="T2347" t="s">
        <v>35</v>
      </c>
      <c r="U2347" t="s">
        <v>35</v>
      </c>
      <c r="V2347" t="s">
        <v>645</v>
      </c>
      <c r="W2347" t="s">
        <v>113</v>
      </c>
    </row>
    <row r="2348" spans="1:23" hidden="1" x14ac:dyDescent="0.25">
      <c r="A2348" s="7" t="str">
        <f>IFERROR(VLOOKUP(H2348,'Contas Orç'!A:B,2,0),"N/A")</f>
        <v>REMUNERACOES</v>
      </c>
      <c r="B2348" s="7" t="str">
        <f t="shared" si="72"/>
        <v>330101 - REMUNERACOES</v>
      </c>
      <c r="C2348" s="25">
        <f t="shared" si="73"/>
        <v>44652</v>
      </c>
      <c r="D2348" s="27">
        <f>IF(K2348="CREDITO",Q2348,Q2348*-1)</f>
        <v>14598.23</v>
      </c>
      <c r="E2348" t="s">
        <v>894</v>
      </c>
      <c r="F2348" t="s">
        <v>2842</v>
      </c>
      <c r="G2348" s="8">
        <v>44652</v>
      </c>
      <c r="H2348" t="s">
        <v>577</v>
      </c>
      <c r="I2348" t="s">
        <v>99</v>
      </c>
      <c r="J2348" t="s">
        <v>28</v>
      </c>
      <c r="K2348" t="s">
        <v>29</v>
      </c>
      <c r="L2348" t="s">
        <v>895</v>
      </c>
      <c r="M2348" t="s">
        <v>4402</v>
      </c>
      <c r="O2348" t="s">
        <v>896</v>
      </c>
      <c r="P2348" t="s">
        <v>33</v>
      </c>
      <c r="Q2348" s="22">
        <v>14598.23</v>
      </c>
      <c r="R2348" t="s">
        <v>35</v>
      </c>
      <c r="S2348" t="s">
        <v>35</v>
      </c>
      <c r="T2348" t="s">
        <v>35</v>
      </c>
      <c r="U2348" t="s">
        <v>35</v>
      </c>
      <c r="V2348" t="s">
        <v>645</v>
      </c>
      <c r="W2348" t="s">
        <v>113</v>
      </c>
    </row>
    <row r="2349" spans="1:23" hidden="1" x14ac:dyDescent="0.25">
      <c r="A2349" s="7" t="str">
        <f>IFERROR(VLOOKUP(H2349,'Contas Orç'!A:B,2,0),"N/A")</f>
        <v>REMUNERACOES</v>
      </c>
      <c r="B2349" s="7" t="str">
        <f t="shared" si="72"/>
        <v>330101 - REMUNERACOES</v>
      </c>
      <c r="C2349" s="25">
        <f t="shared" si="73"/>
        <v>44652</v>
      </c>
      <c r="D2349" s="27">
        <f>IF(K2349="CREDITO",Q2349,Q2349*-1)</f>
        <v>20.23</v>
      </c>
      <c r="E2349" t="s">
        <v>894</v>
      </c>
      <c r="F2349" t="s">
        <v>2843</v>
      </c>
      <c r="G2349" s="8">
        <v>44652</v>
      </c>
      <c r="H2349" t="s">
        <v>577</v>
      </c>
      <c r="I2349" t="s">
        <v>88</v>
      </c>
      <c r="J2349" t="s">
        <v>28</v>
      </c>
      <c r="K2349" t="s">
        <v>29</v>
      </c>
      <c r="L2349" t="s">
        <v>895</v>
      </c>
      <c r="M2349" t="s">
        <v>4402</v>
      </c>
      <c r="O2349" t="s">
        <v>896</v>
      </c>
      <c r="P2349" t="s">
        <v>33</v>
      </c>
      <c r="Q2349">
        <v>20.23</v>
      </c>
      <c r="R2349" t="s">
        <v>35</v>
      </c>
      <c r="S2349" t="s">
        <v>35</v>
      </c>
      <c r="T2349" t="s">
        <v>35</v>
      </c>
      <c r="U2349" t="s">
        <v>35</v>
      </c>
      <c r="V2349" t="s">
        <v>645</v>
      </c>
      <c r="W2349" t="s">
        <v>113</v>
      </c>
    </row>
    <row r="2350" spans="1:23" hidden="1" x14ac:dyDescent="0.25">
      <c r="A2350" s="7" t="str">
        <f>IFERROR(VLOOKUP(H2350,'Contas Orç'!A:B,2,0),"N/A")</f>
        <v>REMUNERACOES</v>
      </c>
      <c r="B2350" s="7" t="str">
        <f t="shared" si="72"/>
        <v>330101 - REMUNERACOES</v>
      </c>
      <c r="C2350" s="25">
        <f t="shared" si="73"/>
        <v>44652</v>
      </c>
      <c r="D2350" s="27">
        <f>IF(K2350="CREDITO",Q2350,Q2350*-1)</f>
        <v>10352.030000000001</v>
      </c>
      <c r="E2350" t="s">
        <v>894</v>
      </c>
      <c r="F2350" t="s">
        <v>2844</v>
      </c>
      <c r="G2350" s="8">
        <v>44652</v>
      </c>
      <c r="H2350" t="s">
        <v>577</v>
      </c>
      <c r="I2350" t="s">
        <v>81</v>
      </c>
      <c r="J2350" t="s">
        <v>60</v>
      </c>
      <c r="K2350" t="s">
        <v>29</v>
      </c>
      <c r="L2350" t="s">
        <v>895</v>
      </c>
      <c r="M2350" t="s">
        <v>4402</v>
      </c>
      <c r="O2350" t="s">
        <v>896</v>
      </c>
      <c r="P2350" t="s">
        <v>33</v>
      </c>
      <c r="Q2350" s="22">
        <v>10352.030000000001</v>
      </c>
      <c r="R2350" t="s">
        <v>35</v>
      </c>
      <c r="S2350" t="s">
        <v>35</v>
      </c>
      <c r="T2350" t="s">
        <v>35</v>
      </c>
      <c r="U2350" t="s">
        <v>35</v>
      </c>
      <c r="V2350" t="s">
        <v>645</v>
      </c>
      <c r="W2350" t="s">
        <v>113</v>
      </c>
    </row>
    <row r="2351" spans="1:23" hidden="1" x14ac:dyDescent="0.25">
      <c r="A2351" s="7" t="str">
        <f>IFERROR(VLOOKUP(H2351,'Contas Orç'!A:B,2,0),"N/A")</f>
        <v>REMUNERACOES</v>
      </c>
      <c r="B2351" s="7" t="str">
        <f t="shared" si="72"/>
        <v>330101 - REMUNERACOES</v>
      </c>
      <c r="C2351" s="25">
        <f t="shared" si="73"/>
        <v>44652</v>
      </c>
      <c r="D2351" s="27">
        <f>IF(K2351="CREDITO",Q2351,Q2351*-1)</f>
        <v>0.03</v>
      </c>
      <c r="E2351" t="s">
        <v>894</v>
      </c>
      <c r="F2351" t="s">
        <v>2845</v>
      </c>
      <c r="G2351" s="8">
        <v>44652</v>
      </c>
      <c r="H2351" t="s">
        <v>577</v>
      </c>
      <c r="I2351" t="s">
        <v>106</v>
      </c>
      <c r="J2351" t="s">
        <v>60</v>
      </c>
      <c r="K2351" t="s">
        <v>29</v>
      </c>
      <c r="L2351" t="s">
        <v>895</v>
      </c>
      <c r="M2351" t="s">
        <v>4402</v>
      </c>
      <c r="O2351" t="s">
        <v>896</v>
      </c>
      <c r="P2351" t="s">
        <v>33</v>
      </c>
      <c r="Q2351">
        <v>0.03</v>
      </c>
      <c r="R2351" t="s">
        <v>35</v>
      </c>
      <c r="S2351" t="s">
        <v>35</v>
      </c>
      <c r="T2351" t="s">
        <v>35</v>
      </c>
      <c r="U2351" t="s">
        <v>35</v>
      </c>
      <c r="V2351" t="s">
        <v>645</v>
      </c>
      <c r="W2351" t="s">
        <v>113</v>
      </c>
    </row>
    <row r="2352" spans="1:23" hidden="1" x14ac:dyDescent="0.25">
      <c r="A2352" s="7" t="str">
        <f>IFERROR(VLOOKUP(H2352,'Contas Orç'!A:B,2,0),"N/A")</f>
        <v>REMUNERACOES</v>
      </c>
      <c r="B2352" s="7" t="str">
        <f t="shared" si="72"/>
        <v>330101 - REMUNERACOES</v>
      </c>
      <c r="C2352" s="25">
        <f t="shared" si="73"/>
        <v>44652</v>
      </c>
      <c r="D2352" s="27">
        <f>IF(K2352="CREDITO",Q2352,Q2352*-1)</f>
        <v>42.37</v>
      </c>
      <c r="E2352" t="s">
        <v>894</v>
      </c>
      <c r="F2352" t="s">
        <v>2846</v>
      </c>
      <c r="G2352" s="8">
        <v>44652</v>
      </c>
      <c r="H2352" t="s">
        <v>577</v>
      </c>
      <c r="I2352" t="s">
        <v>59</v>
      </c>
      <c r="J2352" t="s">
        <v>60</v>
      </c>
      <c r="K2352" t="s">
        <v>29</v>
      </c>
      <c r="L2352" t="s">
        <v>895</v>
      </c>
      <c r="M2352" t="s">
        <v>4402</v>
      </c>
      <c r="O2352" t="s">
        <v>896</v>
      </c>
      <c r="P2352" t="s">
        <v>33</v>
      </c>
      <c r="Q2352">
        <v>42.37</v>
      </c>
      <c r="R2352" t="s">
        <v>35</v>
      </c>
      <c r="S2352" t="s">
        <v>35</v>
      </c>
      <c r="T2352" t="s">
        <v>35</v>
      </c>
      <c r="U2352" t="s">
        <v>35</v>
      </c>
      <c r="V2352" t="s">
        <v>645</v>
      </c>
      <c r="W2352" t="s">
        <v>113</v>
      </c>
    </row>
    <row r="2353" spans="1:23" hidden="1" x14ac:dyDescent="0.25">
      <c r="A2353" s="7" t="str">
        <f>IFERROR(VLOOKUP(H2353,'Contas Orç'!A:B,2,0),"N/A")</f>
        <v>REMUNERACOES</v>
      </c>
      <c r="B2353" s="7" t="str">
        <f t="shared" si="72"/>
        <v>330101 - REMUNERACOES</v>
      </c>
      <c r="C2353" s="25">
        <f t="shared" si="73"/>
        <v>44652</v>
      </c>
      <c r="D2353" s="27">
        <f>IF(K2353="CREDITO",Q2353,Q2353*-1)</f>
        <v>81.39</v>
      </c>
      <c r="E2353" t="s">
        <v>894</v>
      </c>
      <c r="F2353" t="s">
        <v>2847</v>
      </c>
      <c r="G2353" s="8">
        <v>44652</v>
      </c>
      <c r="H2353" t="s">
        <v>577</v>
      </c>
      <c r="I2353" t="s">
        <v>59</v>
      </c>
      <c r="J2353" t="s">
        <v>702</v>
      </c>
      <c r="K2353" t="s">
        <v>29</v>
      </c>
      <c r="L2353" t="s">
        <v>895</v>
      </c>
      <c r="M2353" t="s">
        <v>4402</v>
      </c>
      <c r="O2353" t="s">
        <v>896</v>
      </c>
      <c r="P2353" t="s">
        <v>33</v>
      </c>
      <c r="Q2353">
        <v>81.39</v>
      </c>
      <c r="R2353" t="s">
        <v>35</v>
      </c>
      <c r="S2353" t="s">
        <v>35</v>
      </c>
      <c r="T2353" t="s">
        <v>35</v>
      </c>
      <c r="U2353" t="s">
        <v>35</v>
      </c>
      <c r="V2353" t="s">
        <v>645</v>
      </c>
      <c r="W2353" t="s">
        <v>113</v>
      </c>
    </row>
    <row r="2354" spans="1:23" hidden="1" x14ac:dyDescent="0.25">
      <c r="A2354" s="7" t="str">
        <f>IFERROR(VLOOKUP(H2354,'Contas Orç'!A:B,2,0),"N/A")</f>
        <v>REMUNERACOES</v>
      </c>
      <c r="B2354" s="7" t="str">
        <f t="shared" si="72"/>
        <v>330101 - REMUNERACOES</v>
      </c>
      <c r="C2354" s="25">
        <f t="shared" si="73"/>
        <v>44652</v>
      </c>
      <c r="D2354" s="27">
        <f>IF(K2354="CREDITO",Q2354,Q2354*-1)</f>
        <v>105.27</v>
      </c>
      <c r="E2354" t="s">
        <v>894</v>
      </c>
      <c r="F2354" t="s">
        <v>2848</v>
      </c>
      <c r="G2354" s="8">
        <v>44652</v>
      </c>
      <c r="H2354" t="s">
        <v>577</v>
      </c>
      <c r="I2354" t="s">
        <v>125</v>
      </c>
      <c r="J2354" t="s">
        <v>95</v>
      </c>
      <c r="K2354" t="s">
        <v>29</v>
      </c>
      <c r="L2354" t="s">
        <v>895</v>
      </c>
      <c r="M2354" t="s">
        <v>4402</v>
      </c>
      <c r="O2354" t="s">
        <v>896</v>
      </c>
      <c r="P2354" t="s">
        <v>33</v>
      </c>
      <c r="Q2354">
        <v>105.27</v>
      </c>
      <c r="R2354" t="s">
        <v>35</v>
      </c>
      <c r="S2354" t="s">
        <v>35</v>
      </c>
      <c r="T2354" t="s">
        <v>35</v>
      </c>
      <c r="U2354" t="s">
        <v>35</v>
      </c>
      <c r="V2354" t="s">
        <v>645</v>
      </c>
      <c r="W2354" t="s">
        <v>113</v>
      </c>
    </row>
    <row r="2355" spans="1:23" hidden="1" x14ac:dyDescent="0.25">
      <c r="A2355" s="7" t="str">
        <f>IFERROR(VLOOKUP(H2355,'Contas Orç'!A:B,2,0),"N/A")</f>
        <v>REMUNERACOES</v>
      </c>
      <c r="B2355" s="7" t="str">
        <f t="shared" si="72"/>
        <v>330101 - REMUNERACOES</v>
      </c>
      <c r="C2355" s="25">
        <f t="shared" si="73"/>
        <v>44652</v>
      </c>
      <c r="D2355" s="27">
        <f>IF(K2355="CREDITO",Q2355,Q2355*-1)</f>
        <v>15223.35</v>
      </c>
      <c r="E2355" t="s">
        <v>894</v>
      </c>
      <c r="F2355" t="s">
        <v>2849</v>
      </c>
      <c r="G2355" s="8">
        <v>44652</v>
      </c>
      <c r="H2355" t="s">
        <v>577</v>
      </c>
      <c r="I2355" t="s">
        <v>2062</v>
      </c>
      <c r="J2355" t="s">
        <v>54</v>
      </c>
      <c r="K2355" t="s">
        <v>29</v>
      </c>
      <c r="L2355" t="s">
        <v>895</v>
      </c>
      <c r="M2355" t="s">
        <v>4402</v>
      </c>
      <c r="O2355" t="s">
        <v>896</v>
      </c>
      <c r="P2355" t="s">
        <v>33</v>
      </c>
      <c r="Q2355" s="22">
        <v>15223.35</v>
      </c>
      <c r="R2355" t="s">
        <v>35</v>
      </c>
      <c r="S2355" t="s">
        <v>35</v>
      </c>
      <c r="T2355" t="s">
        <v>35</v>
      </c>
      <c r="U2355" t="s">
        <v>35</v>
      </c>
      <c r="V2355" t="s">
        <v>645</v>
      </c>
      <c r="W2355" t="s">
        <v>113</v>
      </c>
    </row>
    <row r="2356" spans="1:23" hidden="1" x14ac:dyDescent="0.25">
      <c r="A2356" s="7" t="str">
        <f>IFERROR(VLOOKUP(H2356,'Contas Orç'!A:B,2,0),"N/A")</f>
        <v>REMUNERACOES</v>
      </c>
      <c r="B2356" s="7" t="str">
        <f t="shared" si="72"/>
        <v>330101 - REMUNERACOES</v>
      </c>
      <c r="C2356" s="25">
        <f t="shared" si="73"/>
        <v>44652</v>
      </c>
      <c r="D2356" s="27">
        <f>IF(K2356="CREDITO",Q2356,Q2356*-1)</f>
        <v>38544.15</v>
      </c>
      <c r="E2356" t="s">
        <v>894</v>
      </c>
      <c r="F2356" t="s">
        <v>2850</v>
      </c>
      <c r="G2356" s="8">
        <v>44652</v>
      </c>
      <c r="H2356" t="s">
        <v>577</v>
      </c>
      <c r="I2356" t="s">
        <v>40</v>
      </c>
      <c r="J2356" t="s">
        <v>54</v>
      </c>
      <c r="K2356" t="s">
        <v>29</v>
      </c>
      <c r="L2356" t="s">
        <v>895</v>
      </c>
      <c r="M2356" t="s">
        <v>4402</v>
      </c>
      <c r="O2356" t="s">
        <v>896</v>
      </c>
      <c r="P2356" t="s">
        <v>33</v>
      </c>
      <c r="Q2356" s="22">
        <v>38544.15</v>
      </c>
      <c r="R2356" t="s">
        <v>35</v>
      </c>
      <c r="S2356" t="s">
        <v>35</v>
      </c>
      <c r="T2356" t="s">
        <v>35</v>
      </c>
      <c r="U2356" t="s">
        <v>35</v>
      </c>
      <c r="V2356" t="s">
        <v>645</v>
      </c>
      <c r="W2356" t="s">
        <v>113</v>
      </c>
    </row>
    <row r="2357" spans="1:23" hidden="1" x14ac:dyDescent="0.25">
      <c r="A2357" s="7" t="str">
        <f>IFERROR(VLOOKUP(H2357,'Contas Orç'!A:B,2,0),"N/A")</f>
        <v>REMUNERACOES</v>
      </c>
      <c r="B2357" s="7" t="str">
        <f t="shared" si="72"/>
        <v>330101 - REMUNERACOES</v>
      </c>
      <c r="C2357" s="25">
        <f t="shared" si="73"/>
        <v>44652</v>
      </c>
      <c r="D2357" s="27">
        <f>IF(K2357="CREDITO",Q2357,Q2357*-1)</f>
        <v>6105.22</v>
      </c>
      <c r="E2357" t="s">
        <v>894</v>
      </c>
      <c r="F2357" t="s">
        <v>2851</v>
      </c>
      <c r="G2357" s="8">
        <v>44652</v>
      </c>
      <c r="H2357" t="s">
        <v>577</v>
      </c>
      <c r="I2357" t="s">
        <v>1002</v>
      </c>
      <c r="J2357" t="s">
        <v>54</v>
      </c>
      <c r="K2357" t="s">
        <v>29</v>
      </c>
      <c r="L2357" t="s">
        <v>895</v>
      </c>
      <c r="M2357" t="s">
        <v>4402</v>
      </c>
      <c r="O2357" t="s">
        <v>896</v>
      </c>
      <c r="P2357" t="s">
        <v>33</v>
      </c>
      <c r="Q2357" s="22">
        <v>6105.22</v>
      </c>
      <c r="R2357" t="s">
        <v>35</v>
      </c>
      <c r="S2357" t="s">
        <v>35</v>
      </c>
      <c r="T2357" t="s">
        <v>35</v>
      </c>
      <c r="U2357" t="s">
        <v>35</v>
      </c>
      <c r="V2357" t="s">
        <v>645</v>
      </c>
      <c r="W2357" t="s">
        <v>113</v>
      </c>
    </row>
    <row r="2358" spans="1:23" hidden="1" x14ac:dyDescent="0.25">
      <c r="A2358" s="7" t="str">
        <f>IFERROR(VLOOKUP(H2358,'Contas Orç'!A:B,2,0),"N/A")</f>
        <v>REMUNERACOES</v>
      </c>
      <c r="B2358" s="7" t="str">
        <f t="shared" si="72"/>
        <v>330101 - REMUNERACOES</v>
      </c>
      <c r="C2358" s="25">
        <f t="shared" si="73"/>
        <v>44652</v>
      </c>
      <c r="D2358" s="27">
        <f>IF(K2358="CREDITO",Q2358,Q2358*-1)</f>
        <v>3173.36</v>
      </c>
      <c r="E2358" t="s">
        <v>894</v>
      </c>
      <c r="F2358" t="s">
        <v>2852</v>
      </c>
      <c r="G2358" s="8">
        <v>44652</v>
      </c>
      <c r="H2358" t="s">
        <v>577</v>
      </c>
      <c r="I2358" t="s">
        <v>121</v>
      </c>
      <c r="J2358" t="s">
        <v>54</v>
      </c>
      <c r="K2358" t="s">
        <v>29</v>
      </c>
      <c r="L2358" t="s">
        <v>895</v>
      </c>
      <c r="M2358" t="s">
        <v>4402</v>
      </c>
      <c r="O2358" t="s">
        <v>896</v>
      </c>
      <c r="P2358" t="s">
        <v>33</v>
      </c>
      <c r="Q2358" s="22">
        <v>3173.36</v>
      </c>
      <c r="R2358" t="s">
        <v>35</v>
      </c>
      <c r="S2358" t="s">
        <v>35</v>
      </c>
      <c r="T2358" t="s">
        <v>35</v>
      </c>
      <c r="U2358" t="s">
        <v>35</v>
      </c>
      <c r="V2358" t="s">
        <v>645</v>
      </c>
      <c r="W2358" t="s">
        <v>113</v>
      </c>
    </row>
    <row r="2359" spans="1:23" hidden="1" x14ac:dyDescent="0.25">
      <c r="A2359" s="7" t="str">
        <f>IFERROR(VLOOKUP(H2359,'Contas Orç'!A:B,2,0),"N/A")</f>
        <v>REMUNERACOES</v>
      </c>
      <c r="B2359" s="7" t="str">
        <f t="shared" si="72"/>
        <v>330101 - REMUNERACOES</v>
      </c>
      <c r="C2359" s="25">
        <f t="shared" si="73"/>
        <v>44652</v>
      </c>
      <c r="D2359" s="27">
        <f>IF(K2359="CREDITO",Q2359,Q2359*-1)</f>
        <v>16045.49</v>
      </c>
      <c r="E2359" t="s">
        <v>894</v>
      </c>
      <c r="F2359" t="s">
        <v>2853</v>
      </c>
      <c r="G2359" s="8">
        <v>44652</v>
      </c>
      <c r="H2359" t="s">
        <v>577</v>
      </c>
      <c r="I2359" t="s">
        <v>132</v>
      </c>
      <c r="J2359" t="s">
        <v>54</v>
      </c>
      <c r="K2359" t="s">
        <v>29</v>
      </c>
      <c r="L2359" t="s">
        <v>895</v>
      </c>
      <c r="M2359" t="s">
        <v>4402</v>
      </c>
      <c r="O2359" t="s">
        <v>896</v>
      </c>
      <c r="P2359" t="s">
        <v>33</v>
      </c>
      <c r="Q2359" s="22">
        <v>16045.49</v>
      </c>
      <c r="R2359" t="s">
        <v>35</v>
      </c>
      <c r="S2359" t="s">
        <v>35</v>
      </c>
      <c r="T2359" t="s">
        <v>35</v>
      </c>
      <c r="U2359" t="s">
        <v>35</v>
      </c>
      <c r="V2359" t="s">
        <v>645</v>
      </c>
      <c r="W2359" t="s">
        <v>113</v>
      </c>
    </row>
    <row r="2360" spans="1:23" hidden="1" x14ac:dyDescent="0.25">
      <c r="A2360" s="7" t="str">
        <f>IFERROR(VLOOKUP(H2360,'Contas Orç'!A:B,2,0),"N/A")</f>
        <v>REMUNERACOES</v>
      </c>
      <c r="B2360" s="7" t="str">
        <f t="shared" si="72"/>
        <v>330101 - REMUNERACOES</v>
      </c>
      <c r="C2360" s="25">
        <f t="shared" si="73"/>
        <v>44652</v>
      </c>
      <c r="D2360" s="27">
        <f>IF(K2360="CREDITO",Q2360,Q2360*-1)</f>
        <v>5379.98</v>
      </c>
      <c r="E2360" t="s">
        <v>894</v>
      </c>
      <c r="F2360" t="s">
        <v>2854</v>
      </c>
      <c r="G2360" s="8">
        <v>44652</v>
      </c>
      <c r="H2360" t="s">
        <v>577</v>
      </c>
      <c r="I2360" t="s">
        <v>114</v>
      </c>
      <c r="J2360" t="s">
        <v>54</v>
      </c>
      <c r="K2360" t="s">
        <v>29</v>
      </c>
      <c r="L2360" t="s">
        <v>895</v>
      </c>
      <c r="M2360" t="s">
        <v>4402</v>
      </c>
      <c r="O2360" t="s">
        <v>896</v>
      </c>
      <c r="P2360" t="s">
        <v>33</v>
      </c>
      <c r="Q2360" s="22">
        <v>5379.98</v>
      </c>
      <c r="R2360" t="s">
        <v>35</v>
      </c>
      <c r="S2360" t="s">
        <v>35</v>
      </c>
      <c r="T2360" t="s">
        <v>35</v>
      </c>
      <c r="U2360" t="s">
        <v>35</v>
      </c>
      <c r="V2360" t="s">
        <v>645</v>
      </c>
      <c r="W2360" t="s">
        <v>113</v>
      </c>
    </row>
    <row r="2361" spans="1:23" hidden="1" x14ac:dyDescent="0.25">
      <c r="A2361" s="7" t="str">
        <f>IFERROR(VLOOKUP(H2361,'Contas Orç'!A:B,2,0),"N/A")</f>
        <v>REMUNERACOES</v>
      </c>
      <c r="B2361" s="7" t="str">
        <f t="shared" si="72"/>
        <v>330101 - REMUNERACOES</v>
      </c>
      <c r="C2361" s="25">
        <f t="shared" si="73"/>
        <v>44652</v>
      </c>
      <c r="D2361" s="27">
        <f>IF(K2361="CREDITO",Q2361,Q2361*-1)</f>
        <v>25467.39</v>
      </c>
      <c r="E2361" t="s">
        <v>894</v>
      </c>
      <c r="F2361" t="s">
        <v>2855</v>
      </c>
      <c r="G2361" s="8">
        <v>44652</v>
      </c>
      <c r="H2361" t="s">
        <v>577</v>
      </c>
      <c r="I2361" t="s">
        <v>75</v>
      </c>
      <c r="J2361" t="s">
        <v>54</v>
      </c>
      <c r="K2361" t="s">
        <v>29</v>
      </c>
      <c r="L2361" t="s">
        <v>895</v>
      </c>
      <c r="M2361" t="s">
        <v>4402</v>
      </c>
      <c r="O2361" t="s">
        <v>896</v>
      </c>
      <c r="P2361" t="s">
        <v>33</v>
      </c>
      <c r="Q2361" s="22">
        <v>25467.39</v>
      </c>
      <c r="R2361" t="s">
        <v>35</v>
      </c>
      <c r="S2361" t="s">
        <v>35</v>
      </c>
      <c r="T2361" t="s">
        <v>35</v>
      </c>
      <c r="U2361" t="s">
        <v>35</v>
      </c>
      <c r="V2361" t="s">
        <v>645</v>
      </c>
      <c r="W2361" t="s">
        <v>113</v>
      </c>
    </row>
    <row r="2362" spans="1:23" hidden="1" x14ac:dyDescent="0.25">
      <c r="A2362" s="7" t="str">
        <f>IFERROR(VLOOKUP(H2362,'Contas Orç'!A:B,2,0),"N/A")</f>
        <v>REMUNERACOES</v>
      </c>
      <c r="B2362" s="7" t="str">
        <f t="shared" si="72"/>
        <v>330101 - REMUNERACOES</v>
      </c>
      <c r="C2362" s="25">
        <f t="shared" si="73"/>
        <v>44652</v>
      </c>
      <c r="D2362" s="27">
        <f>IF(K2362="CREDITO",Q2362,Q2362*-1)</f>
        <v>21054.85</v>
      </c>
      <c r="E2362" t="s">
        <v>894</v>
      </c>
      <c r="F2362" t="s">
        <v>2856</v>
      </c>
      <c r="G2362" s="8">
        <v>44652</v>
      </c>
      <c r="H2362" t="s">
        <v>577</v>
      </c>
      <c r="I2362" t="s">
        <v>78</v>
      </c>
      <c r="J2362" t="s">
        <v>54</v>
      </c>
      <c r="K2362" t="s">
        <v>29</v>
      </c>
      <c r="L2362" t="s">
        <v>895</v>
      </c>
      <c r="M2362" t="s">
        <v>4402</v>
      </c>
      <c r="O2362" t="s">
        <v>896</v>
      </c>
      <c r="P2362" t="s">
        <v>33</v>
      </c>
      <c r="Q2362" s="22">
        <v>21054.85</v>
      </c>
      <c r="R2362" t="s">
        <v>35</v>
      </c>
      <c r="S2362" t="s">
        <v>35</v>
      </c>
      <c r="T2362" t="s">
        <v>35</v>
      </c>
      <c r="U2362" t="s">
        <v>35</v>
      </c>
      <c r="V2362" t="s">
        <v>645</v>
      </c>
      <c r="W2362" t="s">
        <v>113</v>
      </c>
    </row>
    <row r="2363" spans="1:23" hidden="1" x14ac:dyDescent="0.25">
      <c r="A2363" s="7" t="str">
        <f>IFERROR(VLOOKUP(H2363,'Contas Orç'!A:B,2,0),"N/A")</f>
        <v>REMUNERACOES</v>
      </c>
      <c r="B2363" s="7" t="str">
        <f t="shared" si="72"/>
        <v>330101 - REMUNERACOES</v>
      </c>
      <c r="C2363" s="25">
        <f t="shared" si="73"/>
        <v>44652</v>
      </c>
      <c r="D2363" s="27">
        <f>IF(K2363="CREDITO",Q2363,Q2363*-1)</f>
        <v>13565.14</v>
      </c>
      <c r="E2363" t="s">
        <v>894</v>
      </c>
      <c r="F2363" t="s">
        <v>2857</v>
      </c>
      <c r="G2363" s="8">
        <v>44652</v>
      </c>
      <c r="H2363" t="s">
        <v>577</v>
      </c>
      <c r="I2363" t="s">
        <v>81</v>
      </c>
      <c r="J2363" t="s">
        <v>54</v>
      </c>
      <c r="K2363" t="s">
        <v>29</v>
      </c>
      <c r="L2363" t="s">
        <v>895</v>
      </c>
      <c r="M2363" t="s">
        <v>4402</v>
      </c>
      <c r="O2363" t="s">
        <v>896</v>
      </c>
      <c r="P2363" t="s">
        <v>33</v>
      </c>
      <c r="Q2363" s="22">
        <v>13565.14</v>
      </c>
      <c r="R2363" t="s">
        <v>35</v>
      </c>
      <c r="S2363" t="s">
        <v>35</v>
      </c>
      <c r="T2363" t="s">
        <v>35</v>
      </c>
      <c r="U2363" t="s">
        <v>35</v>
      </c>
      <c r="V2363" t="s">
        <v>645</v>
      </c>
      <c r="W2363" t="s">
        <v>113</v>
      </c>
    </row>
    <row r="2364" spans="1:23" hidden="1" x14ac:dyDescent="0.25">
      <c r="A2364" s="7" t="str">
        <f>IFERROR(VLOOKUP(H2364,'Contas Orç'!A:B,2,0),"N/A")</f>
        <v>REMUNERACOES</v>
      </c>
      <c r="B2364" s="7" t="str">
        <f t="shared" si="72"/>
        <v>330101 - REMUNERACOES</v>
      </c>
      <c r="C2364" s="25">
        <f t="shared" si="73"/>
        <v>44652</v>
      </c>
      <c r="D2364" s="27">
        <f>IF(K2364="CREDITO",Q2364,Q2364*-1)</f>
        <v>6960.01</v>
      </c>
      <c r="E2364" t="s">
        <v>894</v>
      </c>
      <c r="F2364" t="s">
        <v>2858</v>
      </c>
      <c r="G2364" s="8">
        <v>44652</v>
      </c>
      <c r="H2364" t="s">
        <v>577</v>
      </c>
      <c r="I2364" t="s">
        <v>136</v>
      </c>
      <c r="J2364" t="s">
        <v>54</v>
      </c>
      <c r="K2364" t="s">
        <v>29</v>
      </c>
      <c r="L2364" t="s">
        <v>895</v>
      </c>
      <c r="M2364" t="s">
        <v>4402</v>
      </c>
      <c r="O2364" t="s">
        <v>896</v>
      </c>
      <c r="P2364" t="s">
        <v>33</v>
      </c>
      <c r="Q2364" s="22">
        <v>6960.01</v>
      </c>
      <c r="R2364" t="s">
        <v>35</v>
      </c>
      <c r="S2364" t="s">
        <v>35</v>
      </c>
      <c r="T2364" t="s">
        <v>35</v>
      </c>
      <c r="U2364" t="s">
        <v>35</v>
      </c>
      <c r="V2364" t="s">
        <v>645</v>
      </c>
      <c r="W2364" t="s">
        <v>113</v>
      </c>
    </row>
    <row r="2365" spans="1:23" hidden="1" x14ac:dyDescent="0.25">
      <c r="A2365" s="7" t="str">
        <f>IFERROR(VLOOKUP(H2365,'Contas Orç'!A:B,2,0),"N/A")</f>
        <v>REMUNERACOES</v>
      </c>
      <c r="B2365" s="7" t="str">
        <f t="shared" si="72"/>
        <v>330101 - REMUNERACOES</v>
      </c>
      <c r="C2365" s="25">
        <f t="shared" si="73"/>
        <v>44652</v>
      </c>
      <c r="D2365" s="27">
        <f>IF(K2365="CREDITO",Q2365,Q2365*-1)</f>
        <v>11.69</v>
      </c>
      <c r="E2365" t="s">
        <v>894</v>
      </c>
      <c r="F2365" t="s">
        <v>2859</v>
      </c>
      <c r="G2365" s="8">
        <v>44652</v>
      </c>
      <c r="H2365" t="s">
        <v>577</v>
      </c>
      <c r="I2365" t="s">
        <v>53</v>
      </c>
      <c r="J2365" t="s">
        <v>54</v>
      </c>
      <c r="K2365" t="s">
        <v>29</v>
      </c>
      <c r="L2365" t="s">
        <v>895</v>
      </c>
      <c r="M2365" t="s">
        <v>4402</v>
      </c>
      <c r="O2365" t="s">
        <v>896</v>
      </c>
      <c r="P2365" t="s">
        <v>33</v>
      </c>
      <c r="Q2365">
        <v>11.69</v>
      </c>
      <c r="R2365" t="s">
        <v>35</v>
      </c>
      <c r="S2365" t="s">
        <v>35</v>
      </c>
      <c r="T2365" t="s">
        <v>35</v>
      </c>
      <c r="U2365" t="s">
        <v>35</v>
      </c>
      <c r="V2365" t="s">
        <v>645</v>
      </c>
      <c r="W2365" t="s">
        <v>113</v>
      </c>
    </row>
    <row r="2366" spans="1:23" hidden="1" x14ac:dyDescent="0.25">
      <c r="A2366" s="7" t="str">
        <f>IFERROR(VLOOKUP(H2366,'Contas Orç'!A:B,2,0),"N/A")</f>
        <v>REMUNERACOES</v>
      </c>
      <c r="B2366" s="7" t="str">
        <f t="shared" si="72"/>
        <v>330101 - REMUNERACOES</v>
      </c>
      <c r="C2366" s="25">
        <f t="shared" si="73"/>
        <v>44682</v>
      </c>
      <c r="D2366" s="27">
        <f>IF(K2366="CREDITO",Q2366,Q2366*-1)</f>
        <v>17664.349999999999</v>
      </c>
      <c r="E2366" t="s">
        <v>894</v>
      </c>
      <c r="F2366" t="s">
        <v>2860</v>
      </c>
      <c r="G2366" s="8">
        <v>44682</v>
      </c>
      <c r="H2366" t="s">
        <v>577</v>
      </c>
      <c r="I2366" t="s">
        <v>99</v>
      </c>
      <c r="J2366" t="s">
        <v>28</v>
      </c>
      <c r="K2366" t="s">
        <v>29</v>
      </c>
      <c r="L2366" t="s">
        <v>895</v>
      </c>
      <c r="M2366" t="s">
        <v>4402</v>
      </c>
      <c r="O2366" t="s">
        <v>896</v>
      </c>
      <c r="P2366" t="s">
        <v>33</v>
      </c>
      <c r="Q2366" s="22">
        <v>17664.349999999999</v>
      </c>
      <c r="R2366" t="s">
        <v>35</v>
      </c>
      <c r="S2366" t="s">
        <v>35</v>
      </c>
      <c r="T2366" t="s">
        <v>35</v>
      </c>
      <c r="U2366" t="s">
        <v>35</v>
      </c>
      <c r="V2366" t="s">
        <v>645</v>
      </c>
      <c r="W2366" t="s">
        <v>113</v>
      </c>
    </row>
    <row r="2367" spans="1:23" hidden="1" x14ac:dyDescent="0.25">
      <c r="A2367" s="7" t="str">
        <f>IFERROR(VLOOKUP(H2367,'Contas Orç'!A:B,2,0),"N/A")</f>
        <v>REMUNERACOES</v>
      </c>
      <c r="B2367" s="7" t="str">
        <f t="shared" si="72"/>
        <v>330101 - REMUNERACOES</v>
      </c>
      <c r="C2367" s="25">
        <f t="shared" si="73"/>
        <v>44682</v>
      </c>
      <c r="D2367" s="27">
        <f>IF(K2367="CREDITO",Q2367,Q2367*-1)</f>
        <v>8.67</v>
      </c>
      <c r="E2367" t="s">
        <v>894</v>
      </c>
      <c r="F2367" t="s">
        <v>2861</v>
      </c>
      <c r="G2367" s="8">
        <v>44682</v>
      </c>
      <c r="H2367" t="s">
        <v>577</v>
      </c>
      <c r="I2367" t="s">
        <v>88</v>
      </c>
      <c r="J2367" t="s">
        <v>28</v>
      </c>
      <c r="K2367" t="s">
        <v>29</v>
      </c>
      <c r="L2367" t="s">
        <v>895</v>
      </c>
      <c r="M2367" t="s">
        <v>4402</v>
      </c>
      <c r="O2367" t="s">
        <v>896</v>
      </c>
      <c r="P2367" t="s">
        <v>33</v>
      </c>
      <c r="Q2367">
        <v>8.67</v>
      </c>
      <c r="R2367" t="s">
        <v>35</v>
      </c>
      <c r="S2367" t="s">
        <v>35</v>
      </c>
      <c r="T2367" t="s">
        <v>35</v>
      </c>
      <c r="U2367" t="s">
        <v>35</v>
      </c>
      <c r="V2367" t="s">
        <v>645</v>
      </c>
      <c r="W2367" t="s">
        <v>113</v>
      </c>
    </row>
    <row r="2368" spans="1:23" hidden="1" x14ac:dyDescent="0.25">
      <c r="A2368" s="7" t="str">
        <f>IFERROR(VLOOKUP(H2368,'Contas Orç'!A:B,2,0),"N/A")</f>
        <v>REMUNERACOES</v>
      </c>
      <c r="B2368" s="7" t="str">
        <f t="shared" si="72"/>
        <v>330101 - REMUNERACOES</v>
      </c>
      <c r="C2368" s="25">
        <f t="shared" si="73"/>
        <v>44682</v>
      </c>
      <c r="D2368" s="27">
        <f>IF(K2368="CREDITO",Q2368,Q2368*-1)</f>
        <v>11511.2</v>
      </c>
      <c r="E2368" t="s">
        <v>894</v>
      </c>
      <c r="F2368" t="s">
        <v>2862</v>
      </c>
      <c r="G2368" s="8">
        <v>44682</v>
      </c>
      <c r="H2368" t="s">
        <v>577</v>
      </c>
      <c r="I2368" t="s">
        <v>81</v>
      </c>
      <c r="J2368" t="s">
        <v>60</v>
      </c>
      <c r="K2368" t="s">
        <v>29</v>
      </c>
      <c r="L2368" t="s">
        <v>895</v>
      </c>
      <c r="M2368" t="s">
        <v>4402</v>
      </c>
      <c r="O2368" t="s">
        <v>896</v>
      </c>
      <c r="P2368" t="s">
        <v>33</v>
      </c>
      <c r="Q2368" s="22">
        <v>11511.2</v>
      </c>
      <c r="R2368" t="s">
        <v>35</v>
      </c>
      <c r="S2368" t="s">
        <v>35</v>
      </c>
      <c r="T2368" t="s">
        <v>35</v>
      </c>
      <c r="U2368" t="s">
        <v>35</v>
      </c>
      <c r="V2368" t="s">
        <v>645</v>
      </c>
      <c r="W2368" t="s">
        <v>113</v>
      </c>
    </row>
    <row r="2369" spans="1:23" hidden="1" x14ac:dyDescent="0.25">
      <c r="A2369" s="7" t="str">
        <f>IFERROR(VLOOKUP(H2369,'Contas Orç'!A:B,2,0),"N/A")</f>
        <v>REMUNERACOES</v>
      </c>
      <c r="B2369" s="7" t="str">
        <f t="shared" si="72"/>
        <v>330101 - REMUNERACOES</v>
      </c>
      <c r="C2369" s="25">
        <f t="shared" si="73"/>
        <v>44682</v>
      </c>
      <c r="D2369" s="27">
        <f>IF(K2369="CREDITO",Q2369,Q2369*-1)</f>
        <v>135.62</v>
      </c>
      <c r="E2369" t="s">
        <v>894</v>
      </c>
      <c r="F2369" t="s">
        <v>2863</v>
      </c>
      <c r="G2369" s="8">
        <v>44682</v>
      </c>
      <c r="H2369" t="s">
        <v>577</v>
      </c>
      <c r="I2369" t="s">
        <v>53</v>
      </c>
      <c r="J2369" t="s">
        <v>60</v>
      </c>
      <c r="K2369" t="s">
        <v>29</v>
      </c>
      <c r="L2369" t="s">
        <v>895</v>
      </c>
      <c r="M2369" t="s">
        <v>4402</v>
      </c>
      <c r="O2369" t="s">
        <v>896</v>
      </c>
      <c r="P2369" t="s">
        <v>33</v>
      </c>
      <c r="Q2369">
        <v>135.62</v>
      </c>
      <c r="R2369" t="s">
        <v>35</v>
      </c>
      <c r="S2369" t="s">
        <v>35</v>
      </c>
      <c r="T2369" t="s">
        <v>35</v>
      </c>
      <c r="U2369" t="s">
        <v>35</v>
      </c>
      <c r="V2369" t="s">
        <v>645</v>
      </c>
      <c r="W2369" t="s">
        <v>113</v>
      </c>
    </row>
    <row r="2370" spans="1:23" hidden="1" x14ac:dyDescent="0.25">
      <c r="A2370" s="7" t="str">
        <f>IFERROR(VLOOKUP(H2370,'Contas Orç'!A:B,2,0),"N/A")</f>
        <v>REMUNERACOES</v>
      </c>
      <c r="B2370" s="7" t="str">
        <f t="shared" si="72"/>
        <v>330101 - REMUNERACOES</v>
      </c>
      <c r="C2370" s="25">
        <f t="shared" si="73"/>
        <v>44682</v>
      </c>
      <c r="D2370" s="27">
        <f>IF(K2370="CREDITO",Q2370,Q2370*-1)</f>
        <v>0.01</v>
      </c>
      <c r="E2370" t="s">
        <v>894</v>
      </c>
      <c r="F2370" t="s">
        <v>2864</v>
      </c>
      <c r="G2370" s="8">
        <v>44682</v>
      </c>
      <c r="H2370" t="s">
        <v>577</v>
      </c>
      <c r="I2370" t="s">
        <v>106</v>
      </c>
      <c r="J2370" t="s">
        <v>60</v>
      </c>
      <c r="K2370" t="s">
        <v>29</v>
      </c>
      <c r="L2370" t="s">
        <v>895</v>
      </c>
      <c r="M2370" t="s">
        <v>4402</v>
      </c>
      <c r="O2370" t="s">
        <v>896</v>
      </c>
      <c r="P2370" t="s">
        <v>33</v>
      </c>
      <c r="Q2370">
        <v>0.01</v>
      </c>
      <c r="R2370" t="s">
        <v>35</v>
      </c>
      <c r="S2370" t="s">
        <v>35</v>
      </c>
      <c r="T2370" t="s">
        <v>35</v>
      </c>
      <c r="U2370" t="s">
        <v>35</v>
      </c>
      <c r="V2370" t="s">
        <v>645</v>
      </c>
      <c r="W2370" t="s">
        <v>113</v>
      </c>
    </row>
    <row r="2371" spans="1:23" hidden="1" x14ac:dyDescent="0.25">
      <c r="A2371" s="7" t="str">
        <f>IFERROR(VLOOKUP(H2371,'Contas Orç'!A:B,2,0),"N/A")</f>
        <v>REMUNERACOES</v>
      </c>
      <c r="B2371" s="7" t="str">
        <f t="shared" ref="B2371:B2434" si="74">_xlfn.CONCAT(H2371," - ",A2371)</f>
        <v>330101 - REMUNERACOES</v>
      </c>
      <c r="C2371" s="25">
        <f t="shared" ref="C2371:C2434" si="75">DATE(YEAR(G2371),MONTH(G2371),1)</f>
        <v>44682</v>
      </c>
      <c r="D2371" s="27">
        <f>IF(K2371="CREDITO",Q2371,Q2371*-1)</f>
        <v>9.1199999999999992</v>
      </c>
      <c r="E2371" t="s">
        <v>894</v>
      </c>
      <c r="F2371" t="s">
        <v>2865</v>
      </c>
      <c r="G2371" s="8">
        <v>44682</v>
      </c>
      <c r="H2371" t="s">
        <v>577</v>
      </c>
      <c r="I2371" t="s">
        <v>59</v>
      </c>
      <c r="J2371" t="s">
        <v>60</v>
      </c>
      <c r="K2371" t="s">
        <v>29</v>
      </c>
      <c r="L2371" t="s">
        <v>895</v>
      </c>
      <c r="M2371" t="s">
        <v>4402</v>
      </c>
      <c r="O2371" t="s">
        <v>896</v>
      </c>
      <c r="P2371" t="s">
        <v>33</v>
      </c>
      <c r="Q2371">
        <v>9.1199999999999992</v>
      </c>
      <c r="R2371" t="s">
        <v>35</v>
      </c>
      <c r="S2371" t="s">
        <v>35</v>
      </c>
      <c r="T2371" t="s">
        <v>35</v>
      </c>
      <c r="U2371" t="s">
        <v>35</v>
      </c>
      <c r="V2371" t="s">
        <v>645</v>
      </c>
      <c r="W2371" t="s">
        <v>113</v>
      </c>
    </row>
    <row r="2372" spans="1:23" hidden="1" x14ac:dyDescent="0.25">
      <c r="A2372" s="7" t="str">
        <f>IFERROR(VLOOKUP(H2372,'Contas Orç'!A:B,2,0),"N/A")</f>
        <v>REMUNERACOES</v>
      </c>
      <c r="B2372" s="7" t="str">
        <f t="shared" si="74"/>
        <v>330101 - REMUNERACOES</v>
      </c>
      <c r="C2372" s="25">
        <f t="shared" si="75"/>
        <v>44682</v>
      </c>
      <c r="D2372" s="27">
        <f>IF(K2372="CREDITO",Q2372,Q2372*-1)</f>
        <v>143.44</v>
      </c>
      <c r="E2372" t="s">
        <v>894</v>
      </c>
      <c r="F2372" t="s">
        <v>2866</v>
      </c>
      <c r="G2372" s="8">
        <v>44682</v>
      </c>
      <c r="H2372" t="s">
        <v>577</v>
      </c>
      <c r="I2372" t="s">
        <v>59</v>
      </c>
      <c r="J2372" t="s">
        <v>702</v>
      </c>
      <c r="K2372" t="s">
        <v>29</v>
      </c>
      <c r="L2372" t="s">
        <v>895</v>
      </c>
      <c r="M2372" t="s">
        <v>4402</v>
      </c>
      <c r="O2372" t="s">
        <v>896</v>
      </c>
      <c r="P2372" t="s">
        <v>33</v>
      </c>
      <c r="Q2372">
        <v>143.44</v>
      </c>
      <c r="R2372" t="s">
        <v>35</v>
      </c>
      <c r="S2372" t="s">
        <v>35</v>
      </c>
      <c r="T2372" t="s">
        <v>35</v>
      </c>
      <c r="U2372" t="s">
        <v>35</v>
      </c>
      <c r="V2372" t="s">
        <v>645</v>
      </c>
      <c r="W2372" t="s">
        <v>113</v>
      </c>
    </row>
    <row r="2373" spans="1:23" hidden="1" x14ac:dyDescent="0.25">
      <c r="A2373" s="7" t="str">
        <f>IFERROR(VLOOKUP(H2373,'Contas Orç'!A:B,2,0),"N/A")</f>
        <v>REMUNERACOES</v>
      </c>
      <c r="B2373" s="7" t="str">
        <f t="shared" si="74"/>
        <v>330101 - REMUNERACOES</v>
      </c>
      <c r="C2373" s="25">
        <f t="shared" si="75"/>
        <v>44682</v>
      </c>
      <c r="D2373" s="27">
        <f>IF(K2373="CREDITO",Q2373,Q2373*-1)</f>
        <v>56.93</v>
      </c>
      <c r="E2373" t="s">
        <v>894</v>
      </c>
      <c r="F2373" t="s">
        <v>2867</v>
      </c>
      <c r="G2373" s="8">
        <v>44682</v>
      </c>
      <c r="H2373" t="s">
        <v>577</v>
      </c>
      <c r="I2373" t="s">
        <v>125</v>
      </c>
      <c r="J2373" t="s">
        <v>95</v>
      </c>
      <c r="K2373" t="s">
        <v>29</v>
      </c>
      <c r="L2373" t="s">
        <v>895</v>
      </c>
      <c r="M2373" t="s">
        <v>4402</v>
      </c>
      <c r="O2373" t="s">
        <v>896</v>
      </c>
      <c r="P2373" t="s">
        <v>33</v>
      </c>
      <c r="Q2373">
        <v>56.93</v>
      </c>
      <c r="R2373" t="s">
        <v>35</v>
      </c>
      <c r="S2373" t="s">
        <v>35</v>
      </c>
      <c r="T2373" t="s">
        <v>35</v>
      </c>
      <c r="U2373" t="s">
        <v>35</v>
      </c>
      <c r="V2373" t="s">
        <v>645</v>
      </c>
      <c r="W2373" t="s">
        <v>113</v>
      </c>
    </row>
    <row r="2374" spans="1:23" hidden="1" x14ac:dyDescent="0.25">
      <c r="A2374" s="7" t="str">
        <f>IFERROR(VLOOKUP(H2374,'Contas Orç'!A:B,2,0),"N/A")</f>
        <v>REMUNERACOES</v>
      </c>
      <c r="B2374" s="7" t="str">
        <f t="shared" si="74"/>
        <v>330101 - REMUNERACOES</v>
      </c>
      <c r="C2374" s="25">
        <f t="shared" si="75"/>
        <v>44682</v>
      </c>
      <c r="D2374" s="27">
        <f>IF(K2374="CREDITO",Q2374,Q2374*-1)</f>
        <v>15224.35</v>
      </c>
      <c r="E2374" t="s">
        <v>894</v>
      </c>
      <c r="F2374" t="s">
        <v>2868</v>
      </c>
      <c r="G2374" s="8">
        <v>44682</v>
      </c>
      <c r="H2374" t="s">
        <v>577</v>
      </c>
      <c r="I2374" t="s">
        <v>2062</v>
      </c>
      <c r="J2374" t="s">
        <v>54</v>
      </c>
      <c r="K2374" t="s">
        <v>29</v>
      </c>
      <c r="L2374" t="s">
        <v>895</v>
      </c>
      <c r="M2374" t="s">
        <v>4402</v>
      </c>
      <c r="O2374" t="s">
        <v>896</v>
      </c>
      <c r="P2374" t="s">
        <v>33</v>
      </c>
      <c r="Q2374" s="22">
        <v>15224.35</v>
      </c>
      <c r="R2374" t="s">
        <v>35</v>
      </c>
      <c r="S2374" t="s">
        <v>35</v>
      </c>
      <c r="T2374" t="s">
        <v>35</v>
      </c>
      <c r="U2374" t="s">
        <v>35</v>
      </c>
      <c r="V2374" t="s">
        <v>645</v>
      </c>
      <c r="W2374" t="s">
        <v>113</v>
      </c>
    </row>
    <row r="2375" spans="1:23" hidden="1" x14ac:dyDescent="0.25">
      <c r="A2375" s="7" t="str">
        <f>IFERROR(VLOOKUP(H2375,'Contas Orç'!A:B,2,0),"N/A")</f>
        <v>REMUNERACOES</v>
      </c>
      <c r="B2375" s="7" t="str">
        <f t="shared" si="74"/>
        <v>330101 - REMUNERACOES</v>
      </c>
      <c r="C2375" s="25">
        <f t="shared" si="75"/>
        <v>44682</v>
      </c>
      <c r="D2375" s="27">
        <f>IF(K2375="CREDITO",Q2375,Q2375*-1)</f>
        <v>39277.06</v>
      </c>
      <c r="E2375" t="s">
        <v>894</v>
      </c>
      <c r="F2375" t="s">
        <v>2869</v>
      </c>
      <c r="G2375" s="8">
        <v>44682</v>
      </c>
      <c r="H2375" t="s">
        <v>577</v>
      </c>
      <c r="I2375" t="s">
        <v>40</v>
      </c>
      <c r="J2375" t="s">
        <v>54</v>
      </c>
      <c r="K2375" t="s">
        <v>29</v>
      </c>
      <c r="L2375" t="s">
        <v>895</v>
      </c>
      <c r="M2375" t="s">
        <v>4402</v>
      </c>
      <c r="O2375" t="s">
        <v>896</v>
      </c>
      <c r="P2375" t="s">
        <v>33</v>
      </c>
      <c r="Q2375" s="22">
        <v>39277.06</v>
      </c>
      <c r="R2375" t="s">
        <v>35</v>
      </c>
      <c r="S2375" t="s">
        <v>35</v>
      </c>
      <c r="T2375" t="s">
        <v>35</v>
      </c>
      <c r="U2375" t="s">
        <v>35</v>
      </c>
      <c r="V2375" t="s">
        <v>645</v>
      </c>
      <c r="W2375" t="s">
        <v>113</v>
      </c>
    </row>
    <row r="2376" spans="1:23" hidden="1" x14ac:dyDescent="0.25">
      <c r="A2376" s="7" t="str">
        <f>IFERROR(VLOOKUP(H2376,'Contas Orç'!A:B,2,0),"N/A")</f>
        <v>REMUNERACOES</v>
      </c>
      <c r="B2376" s="7" t="str">
        <f t="shared" si="74"/>
        <v>330101 - REMUNERACOES</v>
      </c>
      <c r="C2376" s="25">
        <f t="shared" si="75"/>
        <v>44682</v>
      </c>
      <c r="D2376" s="27">
        <f>IF(K2376="CREDITO",Q2376,Q2376*-1)</f>
        <v>6105.2</v>
      </c>
      <c r="E2376" t="s">
        <v>894</v>
      </c>
      <c r="F2376" t="s">
        <v>2870</v>
      </c>
      <c r="G2376" s="8">
        <v>44682</v>
      </c>
      <c r="H2376" t="s">
        <v>577</v>
      </c>
      <c r="I2376" t="s">
        <v>1002</v>
      </c>
      <c r="J2376" t="s">
        <v>54</v>
      </c>
      <c r="K2376" t="s">
        <v>29</v>
      </c>
      <c r="L2376" t="s">
        <v>895</v>
      </c>
      <c r="M2376" t="s">
        <v>4402</v>
      </c>
      <c r="O2376" t="s">
        <v>896</v>
      </c>
      <c r="P2376" t="s">
        <v>33</v>
      </c>
      <c r="Q2376" s="22">
        <v>6105.2</v>
      </c>
      <c r="R2376" t="s">
        <v>35</v>
      </c>
      <c r="S2376" t="s">
        <v>35</v>
      </c>
      <c r="T2376" t="s">
        <v>35</v>
      </c>
      <c r="U2376" t="s">
        <v>35</v>
      </c>
      <c r="V2376" t="s">
        <v>645</v>
      </c>
      <c r="W2376" t="s">
        <v>113</v>
      </c>
    </row>
    <row r="2377" spans="1:23" hidden="1" x14ac:dyDescent="0.25">
      <c r="A2377" s="7" t="str">
        <f>IFERROR(VLOOKUP(H2377,'Contas Orç'!A:B,2,0),"N/A")</f>
        <v>REMUNERACOES</v>
      </c>
      <c r="B2377" s="7" t="str">
        <f t="shared" si="74"/>
        <v>330101 - REMUNERACOES</v>
      </c>
      <c r="C2377" s="25">
        <f t="shared" si="75"/>
        <v>44682</v>
      </c>
      <c r="D2377" s="27">
        <f>IF(K2377="CREDITO",Q2377,Q2377*-1)</f>
        <v>3165.14</v>
      </c>
      <c r="E2377" t="s">
        <v>894</v>
      </c>
      <c r="F2377" t="s">
        <v>2871</v>
      </c>
      <c r="G2377" s="8">
        <v>44682</v>
      </c>
      <c r="H2377" t="s">
        <v>577</v>
      </c>
      <c r="I2377" t="s">
        <v>121</v>
      </c>
      <c r="J2377" t="s">
        <v>54</v>
      </c>
      <c r="K2377" t="s">
        <v>29</v>
      </c>
      <c r="L2377" t="s">
        <v>895</v>
      </c>
      <c r="M2377" t="s">
        <v>4402</v>
      </c>
      <c r="O2377" t="s">
        <v>896</v>
      </c>
      <c r="P2377" t="s">
        <v>33</v>
      </c>
      <c r="Q2377" s="22">
        <v>3165.14</v>
      </c>
      <c r="R2377" t="s">
        <v>35</v>
      </c>
      <c r="S2377" t="s">
        <v>35</v>
      </c>
      <c r="T2377" t="s">
        <v>35</v>
      </c>
      <c r="U2377" t="s">
        <v>35</v>
      </c>
      <c r="V2377" t="s">
        <v>645</v>
      </c>
      <c r="W2377" t="s">
        <v>113</v>
      </c>
    </row>
    <row r="2378" spans="1:23" hidden="1" x14ac:dyDescent="0.25">
      <c r="A2378" s="7" t="str">
        <f>IFERROR(VLOOKUP(H2378,'Contas Orç'!A:B,2,0),"N/A")</f>
        <v>REMUNERACOES</v>
      </c>
      <c r="B2378" s="7" t="str">
        <f t="shared" si="74"/>
        <v>330101 - REMUNERACOES</v>
      </c>
      <c r="C2378" s="25">
        <f t="shared" si="75"/>
        <v>44682</v>
      </c>
      <c r="D2378" s="27">
        <f>IF(K2378="CREDITO",Q2378,Q2378*-1)</f>
        <v>16112</v>
      </c>
      <c r="E2378" t="s">
        <v>894</v>
      </c>
      <c r="F2378" t="s">
        <v>2872</v>
      </c>
      <c r="G2378" s="8">
        <v>44682</v>
      </c>
      <c r="H2378" t="s">
        <v>577</v>
      </c>
      <c r="I2378" t="s">
        <v>132</v>
      </c>
      <c r="J2378" t="s">
        <v>54</v>
      </c>
      <c r="K2378" t="s">
        <v>29</v>
      </c>
      <c r="L2378" t="s">
        <v>895</v>
      </c>
      <c r="M2378" t="s">
        <v>4402</v>
      </c>
      <c r="O2378" t="s">
        <v>896</v>
      </c>
      <c r="P2378" t="s">
        <v>33</v>
      </c>
      <c r="Q2378" s="22">
        <v>16112</v>
      </c>
      <c r="R2378" t="s">
        <v>35</v>
      </c>
      <c r="S2378" t="s">
        <v>35</v>
      </c>
      <c r="T2378" t="s">
        <v>35</v>
      </c>
      <c r="U2378" t="s">
        <v>35</v>
      </c>
      <c r="V2378" t="s">
        <v>645</v>
      </c>
      <c r="W2378" t="s">
        <v>113</v>
      </c>
    </row>
    <row r="2379" spans="1:23" hidden="1" x14ac:dyDescent="0.25">
      <c r="A2379" s="7" t="str">
        <f>IFERROR(VLOOKUP(H2379,'Contas Orç'!A:B,2,0),"N/A")</f>
        <v>REMUNERACOES</v>
      </c>
      <c r="B2379" s="7" t="str">
        <f t="shared" si="74"/>
        <v>330101 - REMUNERACOES</v>
      </c>
      <c r="C2379" s="25">
        <f t="shared" si="75"/>
        <v>44682</v>
      </c>
      <c r="D2379" s="27">
        <f>IF(K2379="CREDITO",Q2379,Q2379*-1)</f>
        <v>5380.97</v>
      </c>
      <c r="E2379" t="s">
        <v>894</v>
      </c>
      <c r="F2379" t="s">
        <v>2873</v>
      </c>
      <c r="G2379" s="8">
        <v>44682</v>
      </c>
      <c r="H2379" t="s">
        <v>577</v>
      </c>
      <c r="I2379" t="s">
        <v>114</v>
      </c>
      <c r="J2379" t="s">
        <v>54</v>
      </c>
      <c r="K2379" t="s">
        <v>29</v>
      </c>
      <c r="L2379" t="s">
        <v>895</v>
      </c>
      <c r="M2379" t="s">
        <v>4402</v>
      </c>
      <c r="O2379" t="s">
        <v>896</v>
      </c>
      <c r="P2379" t="s">
        <v>33</v>
      </c>
      <c r="Q2379" s="22">
        <v>5380.97</v>
      </c>
      <c r="R2379" t="s">
        <v>35</v>
      </c>
      <c r="S2379" t="s">
        <v>35</v>
      </c>
      <c r="T2379" t="s">
        <v>35</v>
      </c>
      <c r="U2379" t="s">
        <v>35</v>
      </c>
      <c r="V2379" t="s">
        <v>645</v>
      </c>
      <c r="W2379" t="s">
        <v>113</v>
      </c>
    </row>
    <row r="2380" spans="1:23" hidden="1" x14ac:dyDescent="0.25">
      <c r="A2380" s="7" t="str">
        <f>IFERROR(VLOOKUP(H2380,'Contas Orç'!A:B,2,0),"N/A")</f>
        <v>REMUNERACOES</v>
      </c>
      <c r="B2380" s="7" t="str">
        <f t="shared" si="74"/>
        <v>330101 - REMUNERACOES</v>
      </c>
      <c r="C2380" s="25">
        <f t="shared" si="75"/>
        <v>44682</v>
      </c>
      <c r="D2380" s="27">
        <f>IF(K2380="CREDITO",Q2380,Q2380*-1)</f>
        <v>28929.56</v>
      </c>
      <c r="E2380" t="s">
        <v>894</v>
      </c>
      <c r="F2380" t="s">
        <v>2874</v>
      </c>
      <c r="G2380" s="8">
        <v>44682</v>
      </c>
      <c r="H2380" t="s">
        <v>577</v>
      </c>
      <c r="I2380" t="s">
        <v>75</v>
      </c>
      <c r="J2380" t="s">
        <v>54</v>
      </c>
      <c r="K2380" t="s">
        <v>29</v>
      </c>
      <c r="L2380" t="s">
        <v>895</v>
      </c>
      <c r="M2380" t="s">
        <v>4402</v>
      </c>
      <c r="O2380" t="s">
        <v>896</v>
      </c>
      <c r="P2380" t="s">
        <v>33</v>
      </c>
      <c r="Q2380" s="22">
        <v>28929.56</v>
      </c>
      <c r="R2380" t="s">
        <v>35</v>
      </c>
      <c r="S2380" t="s">
        <v>35</v>
      </c>
      <c r="T2380" t="s">
        <v>35</v>
      </c>
      <c r="U2380" t="s">
        <v>35</v>
      </c>
      <c r="V2380" t="s">
        <v>645</v>
      </c>
      <c r="W2380" t="s">
        <v>113</v>
      </c>
    </row>
    <row r="2381" spans="1:23" hidden="1" x14ac:dyDescent="0.25">
      <c r="A2381" s="7" t="str">
        <f>IFERROR(VLOOKUP(H2381,'Contas Orç'!A:B,2,0),"N/A")</f>
        <v>REMUNERACOES</v>
      </c>
      <c r="B2381" s="7" t="str">
        <f t="shared" si="74"/>
        <v>330101 - REMUNERACOES</v>
      </c>
      <c r="C2381" s="25">
        <f t="shared" si="75"/>
        <v>44682</v>
      </c>
      <c r="D2381" s="27">
        <f>IF(K2381="CREDITO",Q2381,Q2381*-1)</f>
        <v>21230.6</v>
      </c>
      <c r="E2381" t="s">
        <v>894</v>
      </c>
      <c r="F2381" t="s">
        <v>2875</v>
      </c>
      <c r="G2381" s="8">
        <v>44682</v>
      </c>
      <c r="H2381" t="s">
        <v>577</v>
      </c>
      <c r="I2381" t="s">
        <v>78</v>
      </c>
      <c r="J2381" t="s">
        <v>54</v>
      </c>
      <c r="K2381" t="s">
        <v>29</v>
      </c>
      <c r="L2381" t="s">
        <v>895</v>
      </c>
      <c r="M2381" t="s">
        <v>4402</v>
      </c>
      <c r="O2381" t="s">
        <v>896</v>
      </c>
      <c r="P2381" t="s">
        <v>33</v>
      </c>
      <c r="Q2381" s="22">
        <v>21230.6</v>
      </c>
      <c r="R2381" t="s">
        <v>35</v>
      </c>
      <c r="S2381" t="s">
        <v>35</v>
      </c>
      <c r="T2381" t="s">
        <v>35</v>
      </c>
      <c r="U2381" t="s">
        <v>35</v>
      </c>
      <c r="V2381" t="s">
        <v>645</v>
      </c>
      <c r="W2381" t="s">
        <v>113</v>
      </c>
    </row>
    <row r="2382" spans="1:23" hidden="1" x14ac:dyDescent="0.25">
      <c r="A2382" s="7" t="str">
        <f>IFERROR(VLOOKUP(H2382,'Contas Orç'!A:B,2,0),"N/A")</f>
        <v>REMUNERACOES</v>
      </c>
      <c r="B2382" s="7" t="str">
        <f t="shared" si="74"/>
        <v>330101 - REMUNERACOES</v>
      </c>
      <c r="C2382" s="25">
        <f t="shared" si="75"/>
        <v>44682</v>
      </c>
      <c r="D2382" s="27">
        <f>IF(K2382="CREDITO",Q2382,Q2382*-1)</f>
        <v>10394.19</v>
      </c>
      <c r="E2382" t="s">
        <v>894</v>
      </c>
      <c r="F2382" t="s">
        <v>2876</v>
      </c>
      <c r="G2382" s="8">
        <v>44682</v>
      </c>
      <c r="H2382" t="s">
        <v>577</v>
      </c>
      <c r="I2382" t="s">
        <v>81</v>
      </c>
      <c r="J2382" t="s">
        <v>54</v>
      </c>
      <c r="K2382" t="s">
        <v>29</v>
      </c>
      <c r="L2382" t="s">
        <v>895</v>
      </c>
      <c r="M2382" t="s">
        <v>4402</v>
      </c>
      <c r="O2382" t="s">
        <v>896</v>
      </c>
      <c r="P2382" t="s">
        <v>33</v>
      </c>
      <c r="Q2382" s="22">
        <v>10394.19</v>
      </c>
      <c r="R2382" t="s">
        <v>35</v>
      </c>
      <c r="S2382" t="s">
        <v>35</v>
      </c>
      <c r="T2382" t="s">
        <v>35</v>
      </c>
      <c r="U2382" t="s">
        <v>35</v>
      </c>
      <c r="V2382" t="s">
        <v>645</v>
      </c>
      <c r="W2382" t="s">
        <v>113</v>
      </c>
    </row>
    <row r="2383" spans="1:23" hidden="1" x14ac:dyDescent="0.25">
      <c r="A2383" s="7" t="str">
        <f>IFERROR(VLOOKUP(H2383,'Contas Orç'!A:B,2,0),"N/A")</f>
        <v>REMUNERACOES</v>
      </c>
      <c r="B2383" s="7" t="str">
        <f t="shared" si="74"/>
        <v>330101 - REMUNERACOES</v>
      </c>
      <c r="C2383" s="25">
        <f t="shared" si="75"/>
        <v>44682</v>
      </c>
      <c r="D2383" s="27">
        <f>IF(K2383="CREDITO",Q2383,Q2383*-1)</f>
        <v>6968.8</v>
      </c>
      <c r="E2383" t="s">
        <v>894</v>
      </c>
      <c r="F2383" t="s">
        <v>2877</v>
      </c>
      <c r="G2383" s="8">
        <v>44682</v>
      </c>
      <c r="H2383" t="s">
        <v>577</v>
      </c>
      <c r="I2383" t="s">
        <v>136</v>
      </c>
      <c r="J2383" t="s">
        <v>54</v>
      </c>
      <c r="K2383" t="s">
        <v>29</v>
      </c>
      <c r="L2383" t="s">
        <v>895</v>
      </c>
      <c r="M2383" t="s">
        <v>4402</v>
      </c>
      <c r="O2383" t="s">
        <v>896</v>
      </c>
      <c r="P2383" t="s">
        <v>33</v>
      </c>
      <c r="Q2383" s="22">
        <v>6968.8</v>
      </c>
      <c r="R2383" t="s">
        <v>35</v>
      </c>
      <c r="S2383" t="s">
        <v>35</v>
      </c>
      <c r="T2383" t="s">
        <v>35</v>
      </c>
      <c r="U2383" t="s">
        <v>35</v>
      </c>
      <c r="V2383" t="s">
        <v>645</v>
      </c>
      <c r="W2383" t="s">
        <v>113</v>
      </c>
    </row>
    <row r="2384" spans="1:23" hidden="1" x14ac:dyDescent="0.25">
      <c r="A2384" s="7" t="str">
        <f>IFERROR(VLOOKUP(H2384,'Contas Orç'!A:B,2,0),"N/A")</f>
        <v>REMUNERACOES</v>
      </c>
      <c r="B2384" s="7" t="str">
        <f t="shared" si="74"/>
        <v>330101 - REMUNERACOES</v>
      </c>
      <c r="C2384" s="25">
        <f t="shared" si="75"/>
        <v>44682</v>
      </c>
      <c r="D2384" s="27">
        <f>IF(K2384="CREDITO",Q2384,Q2384*-1)</f>
        <v>125.86</v>
      </c>
      <c r="E2384" t="s">
        <v>894</v>
      </c>
      <c r="F2384" t="s">
        <v>2878</v>
      </c>
      <c r="G2384" s="8">
        <v>44682</v>
      </c>
      <c r="H2384" t="s">
        <v>577</v>
      </c>
      <c r="I2384" t="s">
        <v>53</v>
      </c>
      <c r="J2384" t="s">
        <v>54</v>
      </c>
      <c r="K2384" t="s">
        <v>29</v>
      </c>
      <c r="L2384" t="s">
        <v>895</v>
      </c>
      <c r="M2384" t="s">
        <v>4402</v>
      </c>
      <c r="O2384" t="s">
        <v>896</v>
      </c>
      <c r="P2384" t="s">
        <v>33</v>
      </c>
      <c r="Q2384">
        <v>125.86</v>
      </c>
      <c r="R2384" t="s">
        <v>35</v>
      </c>
      <c r="S2384" t="s">
        <v>35</v>
      </c>
      <c r="T2384" t="s">
        <v>35</v>
      </c>
      <c r="U2384" t="s">
        <v>35</v>
      </c>
      <c r="V2384" t="s">
        <v>645</v>
      </c>
      <c r="W2384" t="s">
        <v>113</v>
      </c>
    </row>
    <row r="2385" spans="1:23" hidden="1" x14ac:dyDescent="0.25">
      <c r="A2385" s="7" t="str">
        <f>IFERROR(VLOOKUP(H2385,'Contas Orç'!A:B,2,0),"N/A")</f>
        <v>REMUNERACOES</v>
      </c>
      <c r="B2385" s="7" t="str">
        <f t="shared" si="74"/>
        <v>330101 - REMUNERACOES</v>
      </c>
      <c r="C2385" s="25">
        <f t="shared" si="75"/>
        <v>44713</v>
      </c>
      <c r="D2385" s="27">
        <f>IF(K2385="CREDITO",Q2385,Q2385*-1)</f>
        <v>16796.419999999998</v>
      </c>
      <c r="E2385" t="s">
        <v>894</v>
      </c>
      <c r="F2385" t="s">
        <v>2879</v>
      </c>
      <c r="G2385" s="8">
        <v>44713</v>
      </c>
      <c r="H2385" t="s">
        <v>577</v>
      </c>
      <c r="I2385" t="s">
        <v>99</v>
      </c>
      <c r="J2385" t="s">
        <v>28</v>
      </c>
      <c r="K2385" t="s">
        <v>29</v>
      </c>
      <c r="L2385" t="s">
        <v>895</v>
      </c>
      <c r="M2385" t="s">
        <v>4402</v>
      </c>
      <c r="O2385" t="s">
        <v>896</v>
      </c>
      <c r="P2385" t="s">
        <v>33</v>
      </c>
      <c r="Q2385" s="22">
        <v>16796.419999999998</v>
      </c>
      <c r="R2385" t="s">
        <v>35</v>
      </c>
      <c r="S2385" t="s">
        <v>35</v>
      </c>
      <c r="T2385" t="s">
        <v>35</v>
      </c>
      <c r="U2385" t="s">
        <v>35</v>
      </c>
      <c r="V2385" t="s">
        <v>645</v>
      </c>
      <c r="W2385" t="s">
        <v>113</v>
      </c>
    </row>
    <row r="2386" spans="1:23" hidden="1" x14ac:dyDescent="0.25">
      <c r="A2386" s="7" t="str">
        <f>IFERROR(VLOOKUP(H2386,'Contas Orç'!A:B,2,0),"N/A")</f>
        <v>REMUNERACOES</v>
      </c>
      <c r="B2386" s="7" t="str">
        <f t="shared" si="74"/>
        <v>330101 - REMUNERACOES</v>
      </c>
      <c r="C2386" s="25">
        <f t="shared" si="75"/>
        <v>44713</v>
      </c>
      <c r="D2386" s="27">
        <f>IF(K2386="CREDITO",Q2386,Q2386*-1)</f>
        <v>323.69</v>
      </c>
      <c r="E2386" t="s">
        <v>894</v>
      </c>
      <c r="F2386" t="s">
        <v>2880</v>
      </c>
      <c r="G2386" s="8">
        <v>44713</v>
      </c>
      <c r="H2386" t="s">
        <v>577</v>
      </c>
      <c r="I2386" t="s">
        <v>27</v>
      </c>
      <c r="J2386" t="s">
        <v>28</v>
      </c>
      <c r="K2386" t="s">
        <v>29</v>
      </c>
      <c r="L2386" t="s">
        <v>895</v>
      </c>
      <c r="M2386" t="s">
        <v>4402</v>
      </c>
      <c r="O2386" t="s">
        <v>896</v>
      </c>
      <c r="P2386" t="s">
        <v>33</v>
      </c>
      <c r="Q2386">
        <v>323.69</v>
      </c>
      <c r="R2386" t="s">
        <v>35</v>
      </c>
      <c r="S2386" t="s">
        <v>35</v>
      </c>
      <c r="T2386" t="s">
        <v>35</v>
      </c>
      <c r="U2386" t="s">
        <v>35</v>
      </c>
      <c r="V2386" t="s">
        <v>645</v>
      </c>
      <c r="W2386" t="s">
        <v>113</v>
      </c>
    </row>
    <row r="2387" spans="1:23" hidden="1" x14ac:dyDescent="0.25">
      <c r="A2387" s="7" t="str">
        <f>IFERROR(VLOOKUP(H2387,'Contas Orç'!A:B,2,0),"N/A")</f>
        <v>REMUNERACOES</v>
      </c>
      <c r="B2387" s="7" t="str">
        <f t="shared" si="74"/>
        <v>330101 - REMUNERACOES</v>
      </c>
      <c r="C2387" s="25">
        <f t="shared" si="75"/>
        <v>44713</v>
      </c>
      <c r="D2387" s="27">
        <f>IF(K2387="CREDITO",Q2387,Q2387*-1)</f>
        <v>14535.21</v>
      </c>
      <c r="E2387" t="s">
        <v>894</v>
      </c>
      <c r="F2387" t="s">
        <v>2881</v>
      </c>
      <c r="G2387" s="8">
        <v>44713</v>
      </c>
      <c r="H2387" t="s">
        <v>577</v>
      </c>
      <c r="I2387" t="s">
        <v>81</v>
      </c>
      <c r="J2387" t="s">
        <v>60</v>
      </c>
      <c r="K2387" t="s">
        <v>29</v>
      </c>
      <c r="L2387" t="s">
        <v>895</v>
      </c>
      <c r="M2387" t="s">
        <v>4402</v>
      </c>
      <c r="O2387" t="s">
        <v>896</v>
      </c>
      <c r="P2387" t="s">
        <v>33</v>
      </c>
      <c r="Q2387" s="22">
        <v>14535.21</v>
      </c>
      <c r="R2387" t="s">
        <v>35</v>
      </c>
      <c r="S2387" t="s">
        <v>35</v>
      </c>
      <c r="T2387" t="s">
        <v>35</v>
      </c>
      <c r="U2387" t="s">
        <v>35</v>
      </c>
      <c r="V2387" t="s">
        <v>645</v>
      </c>
      <c r="W2387" t="s">
        <v>113</v>
      </c>
    </row>
    <row r="2388" spans="1:23" hidden="1" x14ac:dyDescent="0.25">
      <c r="A2388" s="7" t="str">
        <f>IFERROR(VLOOKUP(H2388,'Contas Orç'!A:B,2,0),"N/A")</f>
        <v>REMUNERACOES</v>
      </c>
      <c r="B2388" s="7" t="str">
        <f t="shared" si="74"/>
        <v>330101 - REMUNERACOES</v>
      </c>
      <c r="C2388" s="25">
        <f t="shared" si="75"/>
        <v>44713</v>
      </c>
      <c r="D2388" s="27">
        <f>IF(K2388="CREDITO",Q2388,Q2388*-1)</f>
        <v>260.33999999999997</v>
      </c>
      <c r="E2388" t="s">
        <v>894</v>
      </c>
      <c r="F2388" t="s">
        <v>2882</v>
      </c>
      <c r="G2388" s="8">
        <v>44713</v>
      </c>
      <c r="H2388" t="s">
        <v>577</v>
      </c>
      <c r="I2388" t="s">
        <v>59</v>
      </c>
      <c r="J2388" t="s">
        <v>60</v>
      </c>
      <c r="K2388" t="s">
        <v>29</v>
      </c>
      <c r="L2388" t="s">
        <v>895</v>
      </c>
      <c r="M2388" t="s">
        <v>4402</v>
      </c>
      <c r="O2388" t="s">
        <v>896</v>
      </c>
      <c r="P2388" t="s">
        <v>33</v>
      </c>
      <c r="Q2388">
        <v>260.33999999999997</v>
      </c>
      <c r="R2388" t="s">
        <v>35</v>
      </c>
      <c r="S2388" t="s">
        <v>35</v>
      </c>
      <c r="T2388" t="s">
        <v>35</v>
      </c>
      <c r="U2388" t="s">
        <v>35</v>
      </c>
      <c r="V2388" t="s">
        <v>645</v>
      </c>
      <c r="W2388" t="s">
        <v>113</v>
      </c>
    </row>
    <row r="2389" spans="1:23" hidden="1" x14ac:dyDescent="0.25">
      <c r="A2389" s="7" t="str">
        <f>IFERROR(VLOOKUP(H2389,'Contas Orç'!A:B,2,0),"N/A")</f>
        <v>REMUNERACOES</v>
      </c>
      <c r="B2389" s="7" t="str">
        <f t="shared" si="74"/>
        <v>330101 - REMUNERACOES</v>
      </c>
      <c r="C2389" s="25">
        <f t="shared" si="75"/>
        <v>44713</v>
      </c>
      <c r="D2389" s="27">
        <f>IF(K2389="CREDITO",Q2389,Q2389*-1)</f>
        <v>15684.73</v>
      </c>
      <c r="E2389" t="s">
        <v>894</v>
      </c>
      <c r="F2389" t="s">
        <v>2883</v>
      </c>
      <c r="G2389" s="8">
        <v>44713</v>
      </c>
      <c r="H2389" t="s">
        <v>577</v>
      </c>
      <c r="I2389" t="s">
        <v>2062</v>
      </c>
      <c r="J2389" t="s">
        <v>54</v>
      </c>
      <c r="K2389" t="s">
        <v>29</v>
      </c>
      <c r="L2389" t="s">
        <v>895</v>
      </c>
      <c r="M2389" t="s">
        <v>4402</v>
      </c>
      <c r="O2389" t="s">
        <v>896</v>
      </c>
      <c r="P2389" t="s">
        <v>33</v>
      </c>
      <c r="Q2389" s="22">
        <v>15684.73</v>
      </c>
      <c r="R2389" t="s">
        <v>35</v>
      </c>
      <c r="S2389" t="s">
        <v>35</v>
      </c>
      <c r="T2389" t="s">
        <v>35</v>
      </c>
      <c r="U2389" t="s">
        <v>35</v>
      </c>
      <c r="V2389" t="s">
        <v>645</v>
      </c>
      <c r="W2389" t="s">
        <v>113</v>
      </c>
    </row>
    <row r="2390" spans="1:23" hidden="1" x14ac:dyDescent="0.25">
      <c r="A2390" s="7" t="str">
        <f>IFERROR(VLOOKUP(H2390,'Contas Orç'!A:B,2,0),"N/A")</f>
        <v>REMUNERACOES</v>
      </c>
      <c r="B2390" s="7" t="str">
        <f t="shared" si="74"/>
        <v>330101 - REMUNERACOES</v>
      </c>
      <c r="C2390" s="25">
        <f t="shared" si="75"/>
        <v>44713</v>
      </c>
      <c r="D2390" s="27">
        <f>IF(K2390="CREDITO",Q2390,Q2390*-1)</f>
        <v>44898.62</v>
      </c>
      <c r="E2390" t="s">
        <v>894</v>
      </c>
      <c r="F2390" t="s">
        <v>2884</v>
      </c>
      <c r="G2390" s="8">
        <v>44713</v>
      </c>
      <c r="H2390" t="s">
        <v>577</v>
      </c>
      <c r="I2390" t="s">
        <v>40</v>
      </c>
      <c r="J2390" t="s">
        <v>54</v>
      </c>
      <c r="K2390" t="s">
        <v>29</v>
      </c>
      <c r="L2390" t="s">
        <v>895</v>
      </c>
      <c r="M2390" t="s">
        <v>4402</v>
      </c>
      <c r="O2390" t="s">
        <v>896</v>
      </c>
      <c r="P2390" t="s">
        <v>33</v>
      </c>
      <c r="Q2390" s="22">
        <v>44898.62</v>
      </c>
      <c r="R2390" t="s">
        <v>35</v>
      </c>
      <c r="S2390" t="s">
        <v>35</v>
      </c>
      <c r="T2390" t="s">
        <v>35</v>
      </c>
      <c r="U2390" t="s">
        <v>35</v>
      </c>
      <c r="V2390" t="s">
        <v>645</v>
      </c>
      <c r="W2390" t="s">
        <v>113</v>
      </c>
    </row>
    <row r="2391" spans="1:23" hidden="1" x14ac:dyDescent="0.25">
      <c r="A2391" s="7" t="str">
        <f>IFERROR(VLOOKUP(H2391,'Contas Orç'!A:B,2,0),"N/A")</f>
        <v>REMUNERACOES</v>
      </c>
      <c r="B2391" s="7" t="str">
        <f t="shared" si="74"/>
        <v>330101 - REMUNERACOES</v>
      </c>
      <c r="C2391" s="25">
        <f t="shared" si="75"/>
        <v>44713</v>
      </c>
      <c r="D2391" s="27">
        <f>IF(K2391="CREDITO",Q2391,Q2391*-1)</f>
        <v>6943.43</v>
      </c>
      <c r="E2391" t="s">
        <v>894</v>
      </c>
      <c r="F2391" t="s">
        <v>2885</v>
      </c>
      <c r="G2391" s="8">
        <v>44713</v>
      </c>
      <c r="H2391" t="s">
        <v>577</v>
      </c>
      <c r="I2391" t="s">
        <v>1002</v>
      </c>
      <c r="J2391" t="s">
        <v>54</v>
      </c>
      <c r="K2391" t="s">
        <v>29</v>
      </c>
      <c r="L2391" t="s">
        <v>895</v>
      </c>
      <c r="M2391" t="s">
        <v>4402</v>
      </c>
      <c r="O2391" t="s">
        <v>896</v>
      </c>
      <c r="P2391" t="s">
        <v>33</v>
      </c>
      <c r="Q2391" s="22">
        <v>6943.43</v>
      </c>
      <c r="R2391" t="s">
        <v>35</v>
      </c>
      <c r="S2391" t="s">
        <v>35</v>
      </c>
      <c r="T2391" t="s">
        <v>35</v>
      </c>
      <c r="U2391" t="s">
        <v>35</v>
      </c>
      <c r="V2391" t="s">
        <v>645</v>
      </c>
      <c r="W2391" t="s">
        <v>113</v>
      </c>
    </row>
    <row r="2392" spans="1:23" hidden="1" x14ac:dyDescent="0.25">
      <c r="A2392" s="7" t="str">
        <f>IFERROR(VLOOKUP(H2392,'Contas Orç'!A:B,2,0),"N/A")</f>
        <v>REMUNERACOES</v>
      </c>
      <c r="B2392" s="7" t="str">
        <f t="shared" si="74"/>
        <v>330101 - REMUNERACOES</v>
      </c>
      <c r="C2392" s="25">
        <f t="shared" si="75"/>
        <v>44713</v>
      </c>
      <c r="D2392" s="27">
        <f>IF(K2392="CREDITO",Q2392,Q2392*-1)</f>
        <v>4928.9399999999996</v>
      </c>
      <c r="E2392" t="s">
        <v>894</v>
      </c>
      <c r="F2392" t="s">
        <v>2886</v>
      </c>
      <c r="G2392" s="8">
        <v>44713</v>
      </c>
      <c r="H2392" t="s">
        <v>577</v>
      </c>
      <c r="I2392" t="s">
        <v>121</v>
      </c>
      <c r="J2392" t="s">
        <v>54</v>
      </c>
      <c r="K2392" t="s">
        <v>29</v>
      </c>
      <c r="L2392" t="s">
        <v>895</v>
      </c>
      <c r="M2392" t="s">
        <v>4402</v>
      </c>
      <c r="O2392" t="s">
        <v>896</v>
      </c>
      <c r="P2392" t="s">
        <v>33</v>
      </c>
      <c r="Q2392" s="22">
        <v>4928.9399999999996</v>
      </c>
      <c r="R2392" t="s">
        <v>35</v>
      </c>
      <c r="S2392" t="s">
        <v>35</v>
      </c>
      <c r="T2392" t="s">
        <v>35</v>
      </c>
      <c r="U2392" t="s">
        <v>35</v>
      </c>
      <c r="V2392" t="s">
        <v>645</v>
      </c>
      <c r="W2392" t="s">
        <v>113</v>
      </c>
    </row>
    <row r="2393" spans="1:23" hidden="1" x14ac:dyDescent="0.25">
      <c r="A2393" s="7" t="str">
        <f>IFERROR(VLOOKUP(H2393,'Contas Orç'!A:B,2,0),"N/A")</f>
        <v>REMUNERACOES</v>
      </c>
      <c r="B2393" s="7" t="str">
        <f t="shared" si="74"/>
        <v>330101 - REMUNERACOES</v>
      </c>
      <c r="C2393" s="25">
        <f t="shared" si="75"/>
        <v>44713</v>
      </c>
      <c r="D2393" s="27">
        <f>IF(K2393="CREDITO",Q2393,Q2393*-1)</f>
        <v>26451.59</v>
      </c>
      <c r="E2393" t="s">
        <v>894</v>
      </c>
      <c r="F2393" t="s">
        <v>2887</v>
      </c>
      <c r="G2393" s="8">
        <v>44713</v>
      </c>
      <c r="H2393" t="s">
        <v>577</v>
      </c>
      <c r="I2393" t="s">
        <v>132</v>
      </c>
      <c r="J2393" t="s">
        <v>54</v>
      </c>
      <c r="K2393" t="s">
        <v>29</v>
      </c>
      <c r="L2393" t="s">
        <v>895</v>
      </c>
      <c r="M2393" t="s">
        <v>4402</v>
      </c>
      <c r="O2393" t="s">
        <v>896</v>
      </c>
      <c r="P2393" t="s">
        <v>33</v>
      </c>
      <c r="Q2393" s="22">
        <v>26451.59</v>
      </c>
      <c r="R2393" t="s">
        <v>35</v>
      </c>
      <c r="S2393" t="s">
        <v>35</v>
      </c>
      <c r="T2393" t="s">
        <v>35</v>
      </c>
      <c r="U2393" t="s">
        <v>35</v>
      </c>
      <c r="V2393" t="s">
        <v>645</v>
      </c>
      <c r="W2393" t="s">
        <v>113</v>
      </c>
    </row>
    <row r="2394" spans="1:23" hidden="1" x14ac:dyDescent="0.25">
      <c r="A2394" s="7" t="str">
        <f>IFERROR(VLOOKUP(H2394,'Contas Orç'!A:B,2,0),"N/A")</f>
        <v>REMUNERACOES</v>
      </c>
      <c r="B2394" s="7" t="str">
        <f t="shared" si="74"/>
        <v>330101 - REMUNERACOES</v>
      </c>
      <c r="C2394" s="25">
        <f t="shared" si="75"/>
        <v>44713</v>
      </c>
      <c r="D2394" s="27">
        <f>IF(K2394="CREDITO",Q2394,Q2394*-1)</f>
        <v>6080.25</v>
      </c>
      <c r="E2394" t="s">
        <v>894</v>
      </c>
      <c r="F2394" t="s">
        <v>2888</v>
      </c>
      <c r="G2394" s="8">
        <v>44713</v>
      </c>
      <c r="H2394" t="s">
        <v>577</v>
      </c>
      <c r="I2394" t="s">
        <v>114</v>
      </c>
      <c r="J2394" t="s">
        <v>54</v>
      </c>
      <c r="K2394" t="s">
        <v>29</v>
      </c>
      <c r="L2394" t="s">
        <v>895</v>
      </c>
      <c r="M2394" t="s">
        <v>4402</v>
      </c>
      <c r="O2394" t="s">
        <v>896</v>
      </c>
      <c r="P2394" t="s">
        <v>33</v>
      </c>
      <c r="Q2394" s="22">
        <v>6080.25</v>
      </c>
      <c r="R2394" t="s">
        <v>35</v>
      </c>
      <c r="S2394" t="s">
        <v>35</v>
      </c>
      <c r="T2394" t="s">
        <v>35</v>
      </c>
      <c r="U2394" t="s">
        <v>35</v>
      </c>
      <c r="V2394" t="s">
        <v>645</v>
      </c>
      <c r="W2394" t="s">
        <v>113</v>
      </c>
    </row>
    <row r="2395" spans="1:23" hidden="1" x14ac:dyDescent="0.25">
      <c r="A2395" s="7" t="str">
        <f>IFERROR(VLOOKUP(H2395,'Contas Orç'!A:B,2,0),"N/A")</f>
        <v>REMUNERACOES</v>
      </c>
      <c r="B2395" s="7" t="str">
        <f t="shared" si="74"/>
        <v>330101 - REMUNERACOES</v>
      </c>
      <c r="C2395" s="25">
        <f t="shared" si="75"/>
        <v>44713</v>
      </c>
      <c r="D2395" s="27">
        <f>IF(K2395="CREDITO",Q2395,Q2395*-1)</f>
        <v>34545.83</v>
      </c>
      <c r="E2395" t="s">
        <v>894</v>
      </c>
      <c r="F2395" t="s">
        <v>2889</v>
      </c>
      <c r="G2395" s="8">
        <v>44713</v>
      </c>
      <c r="H2395" t="s">
        <v>577</v>
      </c>
      <c r="I2395" t="s">
        <v>75</v>
      </c>
      <c r="J2395" t="s">
        <v>54</v>
      </c>
      <c r="K2395" t="s">
        <v>29</v>
      </c>
      <c r="L2395" t="s">
        <v>895</v>
      </c>
      <c r="M2395" t="s">
        <v>4402</v>
      </c>
      <c r="O2395" t="s">
        <v>896</v>
      </c>
      <c r="P2395" t="s">
        <v>33</v>
      </c>
      <c r="Q2395" s="22">
        <v>34545.83</v>
      </c>
      <c r="R2395" t="s">
        <v>35</v>
      </c>
      <c r="S2395" t="s">
        <v>35</v>
      </c>
      <c r="T2395" t="s">
        <v>35</v>
      </c>
      <c r="U2395" t="s">
        <v>35</v>
      </c>
      <c r="V2395" t="s">
        <v>645</v>
      </c>
      <c r="W2395" t="s">
        <v>113</v>
      </c>
    </row>
    <row r="2396" spans="1:23" hidden="1" x14ac:dyDescent="0.25">
      <c r="A2396" s="7" t="str">
        <f>IFERROR(VLOOKUP(H2396,'Contas Orç'!A:B,2,0),"N/A")</f>
        <v>REMUNERACOES</v>
      </c>
      <c r="B2396" s="7" t="str">
        <f t="shared" si="74"/>
        <v>330101 - REMUNERACOES</v>
      </c>
      <c r="C2396" s="25">
        <f t="shared" si="75"/>
        <v>44713</v>
      </c>
      <c r="D2396" s="27">
        <f>IF(K2396="CREDITO",Q2396,Q2396*-1)</f>
        <v>24780.76</v>
      </c>
      <c r="E2396" t="s">
        <v>894</v>
      </c>
      <c r="F2396" t="s">
        <v>2890</v>
      </c>
      <c r="G2396" s="8">
        <v>44713</v>
      </c>
      <c r="H2396" t="s">
        <v>577</v>
      </c>
      <c r="I2396" t="s">
        <v>78</v>
      </c>
      <c r="J2396" t="s">
        <v>54</v>
      </c>
      <c r="K2396" t="s">
        <v>29</v>
      </c>
      <c r="L2396" t="s">
        <v>895</v>
      </c>
      <c r="M2396" t="s">
        <v>4402</v>
      </c>
      <c r="O2396" t="s">
        <v>896</v>
      </c>
      <c r="P2396" t="s">
        <v>33</v>
      </c>
      <c r="Q2396" s="22">
        <v>24780.76</v>
      </c>
      <c r="R2396" t="s">
        <v>35</v>
      </c>
      <c r="S2396" t="s">
        <v>35</v>
      </c>
      <c r="T2396" t="s">
        <v>35</v>
      </c>
      <c r="U2396" t="s">
        <v>35</v>
      </c>
      <c r="V2396" t="s">
        <v>645</v>
      </c>
      <c r="W2396" t="s">
        <v>113</v>
      </c>
    </row>
    <row r="2397" spans="1:23" hidden="1" x14ac:dyDescent="0.25">
      <c r="A2397" s="7" t="str">
        <f>IFERROR(VLOOKUP(H2397,'Contas Orç'!A:B,2,0),"N/A")</f>
        <v>REMUNERACOES</v>
      </c>
      <c r="B2397" s="7" t="str">
        <f t="shared" si="74"/>
        <v>330101 - REMUNERACOES</v>
      </c>
      <c r="C2397" s="25">
        <f t="shared" si="75"/>
        <v>44713</v>
      </c>
      <c r="D2397" s="27">
        <f>IF(K2397="CREDITO",Q2397,Q2397*-1)</f>
        <v>9940.23</v>
      </c>
      <c r="E2397" t="s">
        <v>894</v>
      </c>
      <c r="F2397" t="s">
        <v>2891</v>
      </c>
      <c r="G2397" s="8">
        <v>44713</v>
      </c>
      <c r="H2397" t="s">
        <v>577</v>
      </c>
      <c r="I2397" t="s">
        <v>81</v>
      </c>
      <c r="J2397" t="s">
        <v>54</v>
      </c>
      <c r="K2397" t="s">
        <v>29</v>
      </c>
      <c r="L2397" t="s">
        <v>895</v>
      </c>
      <c r="M2397" t="s">
        <v>4402</v>
      </c>
      <c r="O2397" t="s">
        <v>896</v>
      </c>
      <c r="P2397" t="s">
        <v>33</v>
      </c>
      <c r="Q2397" s="22">
        <v>9940.23</v>
      </c>
      <c r="R2397" t="s">
        <v>35</v>
      </c>
      <c r="S2397" t="s">
        <v>35</v>
      </c>
      <c r="T2397" t="s">
        <v>35</v>
      </c>
      <c r="U2397" t="s">
        <v>35</v>
      </c>
      <c r="V2397" t="s">
        <v>645</v>
      </c>
      <c r="W2397" t="s">
        <v>113</v>
      </c>
    </row>
    <row r="2398" spans="1:23" hidden="1" x14ac:dyDescent="0.25">
      <c r="A2398" s="7" t="str">
        <f>IFERROR(VLOOKUP(H2398,'Contas Orç'!A:B,2,0),"N/A")</f>
        <v>REMUNERACOES</v>
      </c>
      <c r="B2398" s="7" t="str">
        <f t="shared" si="74"/>
        <v>330101 - REMUNERACOES</v>
      </c>
      <c r="C2398" s="25">
        <f t="shared" si="75"/>
        <v>44713</v>
      </c>
      <c r="D2398" s="27">
        <f>IF(K2398="CREDITO",Q2398,Q2398*-1)</f>
        <v>7942.47</v>
      </c>
      <c r="E2398" t="s">
        <v>894</v>
      </c>
      <c r="F2398" t="s">
        <v>2892</v>
      </c>
      <c r="G2398" s="8">
        <v>44713</v>
      </c>
      <c r="H2398" t="s">
        <v>577</v>
      </c>
      <c r="I2398" t="s">
        <v>136</v>
      </c>
      <c r="J2398" t="s">
        <v>54</v>
      </c>
      <c r="K2398" t="s">
        <v>29</v>
      </c>
      <c r="L2398" t="s">
        <v>895</v>
      </c>
      <c r="M2398" t="s">
        <v>4402</v>
      </c>
      <c r="O2398" t="s">
        <v>896</v>
      </c>
      <c r="P2398" t="s">
        <v>33</v>
      </c>
      <c r="Q2398" s="22">
        <v>7942.47</v>
      </c>
      <c r="R2398" t="s">
        <v>35</v>
      </c>
      <c r="S2398" t="s">
        <v>35</v>
      </c>
      <c r="T2398" t="s">
        <v>35</v>
      </c>
      <c r="U2398" t="s">
        <v>35</v>
      </c>
      <c r="V2398" t="s">
        <v>645</v>
      </c>
      <c r="W2398" t="s">
        <v>113</v>
      </c>
    </row>
    <row r="2399" spans="1:23" hidden="1" x14ac:dyDescent="0.25">
      <c r="A2399" s="7" t="str">
        <f>IFERROR(VLOOKUP(H2399,'Contas Orç'!A:B,2,0),"N/A")</f>
        <v>REMUNERACOES</v>
      </c>
      <c r="B2399" s="7" t="str">
        <f t="shared" si="74"/>
        <v>330101 - REMUNERACOES</v>
      </c>
      <c r="C2399" s="25">
        <f t="shared" si="75"/>
        <v>44713</v>
      </c>
      <c r="D2399" s="27">
        <f>IF(K2399="CREDITO",Q2399,Q2399*-1)</f>
        <v>10.029999999999999</v>
      </c>
      <c r="E2399" t="s">
        <v>894</v>
      </c>
      <c r="F2399" t="s">
        <v>2893</v>
      </c>
      <c r="G2399" s="8">
        <v>44713</v>
      </c>
      <c r="H2399" t="s">
        <v>577</v>
      </c>
      <c r="I2399" t="s">
        <v>53</v>
      </c>
      <c r="J2399" t="s">
        <v>54</v>
      </c>
      <c r="K2399" t="s">
        <v>29</v>
      </c>
      <c r="L2399" t="s">
        <v>895</v>
      </c>
      <c r="M2399" t="s">
        <v>4402</v>
      </c>
      <c r="O2399" t="s">
        <v>896</v>
      </c>
      <c r="P2399" t="s">
        <v>33</v>
      </c>
      <c r="Q2399">
        <v>10.029999999999999</v>
      </c>
      <c r="R2399" t="s">
        <v>35</v>
      </c>
      <c r="S2399" t="s">
        <v>35</v>
      </c>
      <c r="T2399" t="s">
        <v>35</v>
      </c>
      <c r="U2399" t="s">
        <v>35</v>
      </c>
      <c r="V2399" t="s">
        <v>645</v>
      </c>
      <c r="W2399" t="s">
        <v>113</v>
      </c>
    </row>
    <row r="2400" spans="1:23" hidden="1" x14ac:dyDescent="0.25">
      <c r="A2400" s="7" t="str">
        <f>IFERROR(VLOOKUP(H2400,'Contas Orç'!A:B,2,0),"N/A")</f>
        <v>REMUNERACOES</v>
      </c>
      <c r="B2400" s="7" t="str">
        <f t="shared" si="74"/>
        <v>330101 - REMUNERACOES</v>
      </c>
      <c r="C2400" s="25">
        <f t="shared" si="75"/>
        <v>44743</v>
      </c>
      <c r="D2400" s="27">
        <f>IF(K2400="CREDITO",Q2400,Q2400*-1)</f>
        <v>16813.939999999999</v>
      </c>
      <c r="E2400" t="s">
        <v>894</v>
      </c>
      <c r="F2400" t="s">
        <v>2894</v>
      </c>
      <c r="G2400" s="8">
        <v>44743</v>
      </c>
      <c r="H2400" t="s">
        <v>577</v>
      </c>
      <c r="I2400" t="s">
        <v>99</v>
      </c>
      <c r="J2400" t="s">
        <v>28</v>
      </c>
      <c r="K2400" t="s">
        <v>29</v>
      </c>
      <c r="L2400" t="s">
        <v>895</v>
      </c>
      <c r="M2400" t="s">
        <v>4402</v>
      </c>
      <c r="O2400" t="s">
        <v>896</v>
      </c>
      <c r="P2400" t="s">
        <v>33</v>
      </c>
      <c r="Q2400" s="22">
        <v>16813.939999999999</v>
      </c>
      <c r="R2400" t="s">
        <v>35</v>
      </c>
      <c r="S2400" t="s">
        <v>35</v>
      </c>
      <c r="T2400" t="s">
        <v>35</v>
      </c>
      <c r="U2400" t="s">
        <v>35</v>
      </c>
      <c r="V2400" t="s">
        <v>645</v>
      </c>
      <c r="W2400" t="s">
        <v>113</v>
      </c>
    </row>
    <row r="2401" spans="1:23" hidden="1" x14ac:dyDescent="0.25">
      <c r="A2401" s="7" t="str">
        <f>IFERROR(VLOOKUP(H2401,'Contas Orç'!A:B,2,0),"N/A")</f>
        <v>REMUNERACOES</v>
      </c>
      <c r="B2401" s="7" t="str">
        <f t="shared" si="74"/>
        <v>330101 - REMUNERACOES</v>
      </c>
      <c r="C2401" s="25">
        <f t="shared" si="75"/>
        <v>44743</v>
      </c>
      <c r="D2401" s="27">
        <f>IF(K2401="CREDITO",Q2401,Q2401*-1)</f>
        <v>42.33</v>
      </c>
      <c r="E2401" t="s">
        <v>894</v>
      </c>
      <c r="F2401" t="s">
        <v>2895</v>
      </c>
      <c r="G2401" s="8">
        <v>44743</v>
      </c>
      <c r="H2401" t="s">
        <v>577</v>
      </c>
      <c r="I2401" t="s">
        <v>88</v>
      </c>
      <c r="J2401" t="s">
        <v>28</v>
      </c>
      <c r="K2401" t="s">
        <v>29</v>
      </c>
      <c r="L2401" t="s">
        <v>895</v>
      </c>
      <c r="M2401" t="s">
        <v>4402</v>
      </c>
      <c r="O2401" t="s">
        <v>896</v>
      </c>
      <c r="P2401" t="s">
        <v>33</v>
      </c>
      <c r="Q2401">
        <v>42.33</v>
      </c>
      <c r="R2401" t="s">
        <v>35</v>
      </c>
      <c r="S2401" t="s">
        <v>35</v>
      </c>
      <c r="T2401" t="s">
        <v>35</v>
      </c>
      <c r="U2401" t="s">
        <v>35</v>
      </c>
      <c r="V2401" t="s">
        <v>645</v>
      </c>
      <c r="W2401" t="s">
        <v>113</v>
      </c>
    </row>
    <row r="2402" spans="1:23" hidden="1" x14ac:dyDescent="0.25">
      <c r="A2402" s="7" t="str">
        <f>IFERROR(VLOOKUP(H2402,'Contas Orç'!A:B,2,0),"N/A")</f>
        <v>REMUNERACOES</v>
      </c>
      <c r="B2402" s="7" t="str">
        <f t="shared" si="74"/>
        <v>330101 - REMUNERACOES</v>
      </c>
      <c r="C2402" s="25">
        <f t="shared" si="75"/>
        <v>44743</v>
      </c>
      <c r="D2402" s="27">
        <f>IF(K2402="CREDITO",Q2402,Q2402*-1)</f>
        <v>82.97</v>
      </c>
      <c r="E2402" t="s">
        <v>894</v>
      </c>
      <c r="F2402" t="s">
        <v>2896</v>
      </c>
      <c r="G2402" s="8">
        <v>44743</v>
      </c>
      <c r="H2402" t="s">
        <v>577</v>
      </c>
      <c r="I2402" t="s">
        <v>27</v>
      </c>
      <c r="J2402" t="s">
        <v>28</v>
      </c>
      <c r="K2402" t="s">
        <v>29</v>
      </c>
      <c r="L2402" t="s">
        <v>895</v>
      </c>
      <c r="M2402" t="s">
        <v>4402</v>
      </c>
      <c r="O2402" t="s">
        <v>896</v>
      </c>
      <c r="P2402" t="s">
        <v>33</v>
      </c>
      <c r="Q2402">
        <v>82.97</v>
      </c>
      <c r="R2402" t="s">
        <v>35</v>
      </c>
      <c r="S2402" t="s">
        <v>35</v>
      </c>
      <c r="T2402" t="s">
        <v>35</v>
      </c>
      <c r="U2402" t="s">
        <v>35</v>
      </c>
      <c r="V2402" t="s">
        <v>645</v>
      </c>
      <c r="W2402" t="s">
        <v>113</v>
      </c>
    </row>
    <row r="2403" spans="1:23" hidden="1" x14ac:dyDescent="0.25">
      <c r="A2403" s="7" t="str">
        <f>IFERROR(VLOOKUP(H2403,'Contas Orç'!A:B,2,0),"N/A")</f>
        <v>REMUNERACOES</v>
      </c>
      <c r="B2403" s="7" t="str">
        <f t="shared" si="74"/>
        <v>330101 - REMUNERACOES</v>
      </c>
      <c r="C2403" s="25">
        <f t="shared" si="75"/>
        <v>44743</v>
      </c>
      <c r="D2403" s="27">
        <f>IF(K2403="CREDITO",Q2403,Q2403*-1)</f>
        <v>11677.43</v>
      </c>
      <c r="E2403" t="s">
        <v>894</v>
      </c>
      <c r="F2403" t="s">
        <v>2897</v>
      </c>
      <c r="G2403" s="8">
        <v>44743</v>
      </c>
      <c r="H2403" t="s">
        <v>577</v>
      </c>
      <c r="I2403" t="s">
        <v>81</v>
      </c>
      <c r="J2403" t="s">
        <v>60</v>
      </c>
      <c r="K2403" t="s">
        <v>29</v>
      </c>
      <c r="L2403" t="s">
        <v>895</v>
      </c>
      <c r="M2403" t="s">
        <v>4402</v>
      </c>
      <c r="O2403" t="s">
        <v>896</v>
      </c>
      <c r="P2403" t="s">
        <v>33</v>
      </c>
      <c r="Q2403" s="22">
        <v>11677.43</v>
      </c>
      <c r="R2403" t="s">
        <v>35</v>
      </c>
      <c r="S2403" t="s">
        <v>35</v>
      </c>
      <c r="T2403" t="s">
        <v>35</v>
      </c>
      <c r="U2403" t="s">
        <v>35</v>
      </c>
      <c r="V2403" t="s">
        <v>645</v>
      </c>
      <c r="W2403" t="s">
        <v>113</v>
      </c>
    </row>
    <row r="2404" spans="1:23" hidden="1" x14ac:dyDescent="0.25">
      <c r="A2404" s="7" t="str">
        <f>IFERROR(VLOOKUP(H2404,'Contas Orç'!A:B,2,0),"N/A")</f>
        <v>REMUNERACOES</v>
      </c>
      <c r="B2404" s="7" t="str">
        <f t="shared" si="74"/>
        <v>330101 - REMUNERACOES</v>
      </c>
      <c r="C2404" s="25">
        <f t="shared" si="75"/>
        <v>44743</v>
      </c>
      <c r="D2404" s="27">
        <f>IF(K2404="CREDITO",Q2404,Q2404*-1)</f>
        <v>193.63</v>
      </c>
      <c r="E2404" t="s">
        <v>894</v>
      </c>
      <c r="F2404" t="s">
        <v>2898</v>
      </c>
      <c r="G2404" s="8">
        <v>44743</v>
      </c>
      <c r="H2404" t="s">
        <v>577</v>
      </c>
      <c r="I2404" t="s">
        <v>106</v>
      </c>
      <c r="J2404" t="s">
        <v>60</v>
      </c>
      <c r="K2404" t="s">
        <v>29</v>
      </c>
      <c r="L2404" t="s">
        <v>895</v>
      </c>
      <c r="M2404" t="s">
        <v>4402</v>
      </c>
      <c r="O2404" t="s">
        <v>896</v>
      </c>
      <c r="P2404" t="s">
        <v>33</v>
      </c>
      <c r="Q2404">
        <v>193.63</v>
      </c>
      <c r="R2404" t="s">
        <v>35</v>
      </c>
      <c r="S2404" t="s">
        <v>35</v>
      </c>
      <c r="T2404" t="s">
        <v>35</v>
      </c>
      <c r="U2404" t="s">
        <v>35</v>
      </c>
      <c r="V2404" t="s">
        <v>645</v>
      </c>
      <c r="W2404" t="s">
        <v>113</v>
      </c>
    </row>
    <row r="2405" spans="1:23" hidden="1" x14ac:dyDescent="0.25">
      <c r="A2405" s="7" t="str">
        <f>IFERROR(VLOOKUP(H2405,'Contas Orç'!A:B,2,0),"N/A")</f>
        <v>REMUNERACOES</v>
      </c>
      <c r="B2405" s="7" t="str">
        <f t="shared" si="74"/>
        <v>330101 - REMUNERACOES</v>
      </c>
      <c r="C2405" s="25">
        <f t="shared" si="75"/>
        <v>44743</v>
      </c>
      <c r="D2405" s="27">
        <f>IF(K2405="CREDITO",Q2405,Q2405*-1)</f>
        <v>39.1</v>
      </c>
      <c r="E2405" t="s">
        <v>894</v>
      </c>
      <c r="F2405" t="s">
        <v>2899</v>
      </c>
      <c r="G2405" s="8">
        <v>44743</v>
      </c>
      <c r="H2405" t="s">
        <v>577</v>
      </c>
      <c r="I2405" t="s">
        <v>59</v>
      </c>
      <c r="J2405" t="s">
        <v>60</v>
      </c>
      <c r="K2405" t="s">
        <v>29</v>
      </c>
      <c r="L2405" t="s">
        <v>895</v>
      </c>
      <c r="M2405" t="s">
        <v>4402</v>
      </c>
      <c r="O2405" t="s">
        <v>896</v>
      </c>
      <c r="P2405" t="s">
        <v>33</v>
      </c>
      <c r="Q2405">
        <v>39.1</v>
      </c>
      <c r="R2405" t="s">
        <v>35</v>
      </c>
      <c r="S2405" t="s">
        <v>35</v>
      </c>
      <c r="T2405" t="s">
        <v>35</v>
      </c>
      <c r="U2405" t="s">
        <v>35</v>
      </c>
      <c r="V2405" t="s">
        <v>645</v>
      </c>
      <c r="W2405" t="s">
        <v>113</v>
      </c>
    </row>
    <row r="2406" spans="1:23" hidden="1" x14ac:dyDescent="0.25">
      <c r="A2406" s="7" t="str">
        <f>IFERROR(VLOOKUP(H2406,'Contas Orç'!A:B,2,0),"N/A")</f>
        <v>REMUNERACOES</v>
      </c>
      <c r="B2406" s="7" t="str">
        <f t="shared" si="74"/>
        <v>330101 - REMUNERACOES</v>
      </c>
      <c r="C2406" s="25">
        <f t="shared" si="75"/>
        <v>44743</v>
      </c>
      <c r="D2406" s="27">
        <f>IF(K2406="CREDITO",Q2406,Q2406*-1)</f>
        <v>11895.61</v>
      </c>
      <c r="E2406" t="s">
        <v>894</v>
      </c>
      <c r="F2406" t="s">
        <v>2900</v>
      </c>
      <c r="G2406" s="8">
        <v>44743</v>
      </c>
      <c r="H2406" t="s">
        <v>577</v>
      </c>
      <c r="I2406" t="s">
        <v>2062</v>
      </c>
      <c r="J2406" t="s">
        <v>54</v>
      </c>
      <c r="K2406" t="s">
        <v>29</v>
      </c>
      <c r="L2406" t="s">
        <v>895</v>
      </c>
      <c r="M2406" t="s">
        <v>4402</v>
      </c>
      <c r="O2406" t="s">
        <v>896</v>
      </c>
      <c r="P2406" t="s">
        <v>33</v>
      </c>
      <c r="Q2406" s="22">
        <v>11895.61</v>
      </c>
      <c r="R2406" t="s">
        <v>35</v>
      </c>
      <c r="S2406" t="s">
        <v>35</v>
      </c>
      <c r="T2406" t="s">
        <v>35</v>
      </c>
      <c r="U2406" t="s">
        <v>35</v>
      </c>
      <c r="V2406" t="s">
        <v>645</v>
      </c>
      <c r="W2406" t="s">
        <v>113</v>
      </c>
    </row>
    <row r="2407" spans="1:23" hidden="1" x14ac:dyDescent="0.25">
      <c r="A2407" s="7" t="str">
        <f>IFERROR(VLOOKUP(H2407,'Contas Orç'!A:B,2,0),"N/A")</f>
        <v>REMUNERACOES</v>
      </c>
      <c r="B2407" s="7" t="str">
        <f t="shared" si="74"/>
        <v>330101 - REMUNERACOES</v>
      </c>
      <c r="C2407" s="25">
        <f t="shared" si="75"/>
        <v>44743</v>
      </c>
      <c r="D2407" s="27">
        <f>IF(K2407="CREDITO",Q2407,Q2407*-1)</f>
        <v>41697.01</v>
      </c>
      <c r="E2407" t="s">
        <v>894</v>
      </c>
      <c r="F2407" t="s">
        <v>2901</v>
      </c>
      <c r="G2407" s="8">
        <v>44743</v>
      </c>
      <c r="H2407" t="s">
        <v>577</v>
      </c>
      <c r="I2407" t="s">
        <v>40</v>
      </c>
      <c r="J2407" t="s">
        <v>54</v>
      </c>
      <c r="K2407" t="s">
        <v>29</v>
      </c>
      <c r="L2407" t="s">
        <v>895</v>
      </c>
      <c r="M2407" t="s">
        <v>4402</v>
      </c>
      <c r="O2407" t="s">
        <v>896</v>
      </c>
      <c r="P2407" t="s">
        <v>33</v>
      </c>
      <c r="Q2407" s="22">
        <v>41697.01</v>
      </c>
      <c r="R2407" t="s">
        <v>35</v>
      </c>
      <c r="S2407" t="s">
        <v>35</v>
      </c>
      <c r="T2407" t="s">
        <v>35</v>
      </c>
      <c r="U2407" t="s">
        <v>35</v>
      </c>
      <c r="V2407" t="s">
        <v>645</v>
      </c>
      <c r="W2407" t="s">
        <v>113</v>
      </c>
    </row>
    <row r="2408" spans="1:23" hidden="1" x14ac:dyDescent="0.25">
      <c r="A2408" s="7" t="str">
        <f>IFERROR(VLOOKUP(H2408,'Contas Orç'!A:B,2,0),"N/A")</f>
        <v>REMUNERACOES</v>
      </c>
      <c r="B2408" s="7" t="str">
        <f t="shared" si="74"/>
        <v>330101 - REMUNERACOES</v>
      </c>
      <c r="C2408" s="25">
        <f t="shared" si="75"/>
        <v>44743</v>
      </c>
      <c r="D2408" s="27">
        <f>IF(K2408="CREDITO",Q2408,Q2408*-1)</f>
        <v>6547.39</v>
      </c>
      <c r="E2408" t="s">
        <v>894</v>
      </c>
      <c r="F2408" t="s">
        <v>2902</v>
      </c>
      <c r="G2408" s="8">
        <v>44743</v>
      </c>
      <c r="H2408" t="s">
        <v>577</v>
      </c>
      <c r="I2408" t="s">
        <v>1002</v>
      </c>
      <c r="J2408" t="s">
        <v>54</v>
      </c>
      <c r="K2408" t="s">
        <v>29</v>
      </c>
      <c r="L2408" t="s">
        <v>895</v>
      </c>
      <c r="M2408" t="s">
        <v>4402</v>
      </c>
      <c r="O2408" t="s">
        <v>896</v>
      </c>
      <c r="P2408" t="s">
        <v>33</v>
      </c>
      <c r="Q2408" s="22">
        <v>6547.39</v>
      </c>
      <c r="R2408" t="s">
        <v>35</v>
      </c>
      <c r="S2408" t="s">
        <v>35</v>
      </c>
      <c r="T2408" t="s">
        <v>35</v>
      </c>
      <c r="U2408" t="s">
        <v>35</v>
      </c>
      <c r="V2408" t="s">
        <v>645</v>
      </c>
      <c r="W2408" t="s">
        <v>113</v>
      </c>
    </row>
    <row r="2409" spans="1:23" hidden="1" x14ac:dyDescent="0.25">
      <c r="A2409" s="7" t="str">
        <f>IFERROR(VLOOKUP(H2409,'Contas Orç'!A:B,2,0),"N/A")</f>
        <v>REMUNERACOES</v>
      </c>
      <c r="B2409" s="7" t="str">
        <f t="shared" si="74"/>
        <v>330101 - REMUNERACOES</v>
      </c>
      <c r="C2409" s="25">
        <f t="shared" si="75"/>
        <v>44743</v>
      </c>
      <c r="D2409" s="27">
        <f>IF(K2409="CREDITO",Q2409,Q2409*-1)</f>
        <v>3885.11</v>
      </c>
      <c r="E2409" t="s">
        <v>894</v>
      </c>
      <c r="F2409" t="s">
        <v>2903</v>
      </c>
      <c r="G2409" s="8">
        <v>44743</v>
      </c>
      <c r="H2409" t="s">
        <v>577</v>
      </c>
      <c r="I2409" t="s">
        <v>121</v>
      </c>
      <c r="J2409" t="s">
        <v>54</v>
      </c>
      <c r="K2409" t="s">
        <v>29</v>
      </c>
      <c r="L2409" t="s">
        <v>895</v>
      </c>
      <c r="M2409" t="s">
        <v>4402</v>
      </c>
      <c r="O2409" t="s">
        <v>896</v>
      </c>
      <c r="P2409" t="s">
        <v>33</v>
      </c>
      <c r="Q2409" s="22">
        <v>3885.11</v>
      </c>
      <c r="R2409" t="s">
        <v>35</v>
      </c>
      <c r="S2409" t="s">
        <v>35</v>
      </c>
      <c r="T2409" t="s">
        <v>35</v>
      </c>
      <c r="U2409" t="s">
        <v>35</v>
      </c>
      <c r="V2409" t="s">
        <v>645</v>
      </c>
      <c r="W2409" t="s">
        <v>113</v>
      </c>
    </row>
    <row r="2410" spans="1:23" hidden="1" x14ac:dyDescent="0.25">
      <c r="A2410" s="7" t="str">
        <f>IFERROR(VLOOKUP(H2410,'Contas Orç'!A:B,2,0),"N/A")</f>
        <v>REMUNERACOES</v>
      </c>
      <c r="B2410" s="7" t="str">
        <f t="shared" si="74"/>
        <v>330101 - REMUNERACOES</v>
      </c>
      <c r="C2410" s="25">
        <f t="shared" si="75"/>
        <v>44743</v>
      </c>
      <c r="D2410" s="27">
        <f>IF(K2410="CREDITO",Q2410,Q2410*-1)</f>
        <v>18441.77</v>
      </c>
      <c r="E2410" t="s">
        <v>894</v>
      </c>
      <c r="F2410" t="s">
        <v>2904</v>
      </c>
      <c r="G2410" s="8">
        <v>44743</v>
      </c>
      <c r="H2410" t="s">
        <v>577</v>
      </c>
      <c r="I2410" t="s">
        <v>132</v>
      </c>
      <c r="J2410" t="s">
        <v>54</v>
      </c>
      <c r="K2410" t="s">
        <v>29</v>
      </c>
      <c r="L2410" t="s">
        <v>895</v>
      </c>
      <c r="M2410" t="s">
        <v>4402</v>
      </c>
      <c r="O2410" t="s">
        <v>896</v>
      </c>
      <c r="P2410" t="s">
        <v>33</v>
      </c>
      <c r="Q2410" s="22">
        <v>18441.77</v>
      </c>
      <c r="R2410" t="s">
        <v>35</v>
      </c>
      <c r="S2410" t="s">
        <v>35</v>
      </c>
      <c r="T2410" t="s">
        <v>35</v>
      </c>
      <c r="U2410" t="s">
        <v>35</v>
      </c>
      <c r="V2410" t="s">
        <v>645</v>
      </c>
      <c r="W2410" t="s">
        <v>113</v>
      </c>
    </row>
    <row r="2411" spans="1:23" hidden="1" x14ac:dyDescent="0.25">
      <c r="A2411" s="7" t="str">
        <f>IFERROR(VLOOKUP(H2411,'Contas Orç'!A:B,2,0),"N/A")</f>
        <v>REMUNERACOES</v>
      </c>
      <c r="B2411" s="7" t="str">
        <f t="shared" si="74"/>
        <v>330101 - REMUNERACOES</v>
      </c>
      <c r="C2411" s="25">
        <f t="shared" si="75"/>
        <v>44743</v>
      </c>
      <c r="D2411" s="27">
        <f>IF(K2411="CREDITO",Q2411,Q2411*-1)</f>
        <v>5759.54</v>
      </c>
      <c r="E2411" t="s">
        <v>894</v>
      </c>
      <c r="F2411" t="s">
        <v>2905</v>
      </c>
      <c r="G2411" s="8">
        <v>44743</v>
      </c>
      <c r="H2411" t="s">
        <v>577</v>
      </c>
      <c r="I2411" t="s">
        <v>114</v>
      </c>
      <c r="J2411" t="s">
        <v>54</v>
      </c>
      <c r="K2411" t="s">
        <v>29</v>
      </c>
      <c r="L2411" t="s">
        <v>895</v>
      </c>
      <c r="M2411" t="s">
        <v>4402</v>
      </c>
      <c r="O2411" t="s">
        <v>896</v>
      </c>
      <c r="P2411" t="s">
        <v>33</v>
      </c>
      <c r="Q2411" s="22">
        <v>5759.54</v>
      </c>
      <c r="R2411" t="s">
        <v>35</v>
      </c>
      <c r="S2411" t="s">
        <v>35</v>
      </c>
      <c r="T2411" t="s">
        <v>35</v>
      </c>
      <c r="U2411" t="s">
        <v>35</v>
      </c>
      <c r="V2411" t="s">
        <v>645</v>
      </c>
      <c r="W2411" t="s">
        <v>113</v>
      </c>
    </row>
    <row r="2412" spans="1:23" hidden="1" x14ac:dyDescent="0.25">
      <c r="A2412" s="7" t="str">
        <f>IFERROR(VLOOKUP(H2412,'Contas Orç'!A:B,2,0),"N/A")</f>
        <v>REMUNERACOES</v>
      </c>
      <c r="B2412" s="7" t="str">
        <f t="shared" si="74"/>
        <v>330101 - REMUNERACOES</v>
      </c>
      <c r="C2412" s="25">
        <f t="shared" si="75"/>
        <v>44743</v>
      </c>
      <c r="D2412" s="27">
        <f>IF(K2412="CREDITO",Q2412,Q2412*-1)</f>
        <v>32573.58</v>
      </c>
      <c r="E2412" t="s">
        <v>894</v>
      </c>
      <c r="F2412" t="s">
        <v>2906</v>
      </c>
      <c r="G2412" s="8">
        <v>44743</v>
      </c>
      <c r="H2412" t="s">
        <v>577</v>
      </c>
      <c r="I2412" t="s">
        <v>75</v>
      </c>
      <c r="J2412" t="s">
        <v>54</v>
      </c>
      <c r="K2412" t="s">
        <v>29</v>
      </c>
      <c r="L2412" t="s">
        <v>895</v>
      </c>
      <c r="M2412" t="s">
        <v>4402</v>
      </c>
      <c r="O2412" t="s">
        <v>896</v>
      </c>
      <c r="P2412" t="s">
        <v>33</v>
      </c>
      <c r="Q2412" s="22">
        <v>32573.58</v>
      </c>
      <c r="R2412" t="s">
        <v>35</v>
      </c>
      <c r="S2412" t="s">
        <v>35</v>
      </c>
      <c r="T2412" t="s">
        <v>35</v>
      </c>
      <c r="U2412" t="s">
        <v>35</v>
      </c>
      <c r="V2412" t="s">
        <v>645</v>
      </c>
      <c r="W2412" t="s">
        <v>113</v>
      </c>
    </row>
    <row r="2413" spans="1:23" hidden="1" x14ac:dyDescent="0.25">
      <c r="A2413" s="7" t="str">
        <f>IFERROR(VLOOKUP(H2413,'Contas Orç'!A:B,2,0),"N/A")</f>
        <v>REMUNERACOES</v>
      </c>
      <c r="B2413" s="7" t="str">
        <f t="shared" si="74"/>
        <v>330101 - REMUNERACOES</v>
      </c>
      <c r="C2413" s="25">
        <f t="shared" si="75"/>
        <v>44743</v>
      </c>
      <c r="D2413" s="27">
        <f>IF(K2413="CREDITO",Q2413,Q2413*-1)</f>
        <v>22888.01</v>
      </c>
      <c r="E2413" t="s">
        <v>894</v>
      </c>
      <c r="F2413" t="s">
        <v>2907</v>
      </c>
      <c r="G2413" s="8">
        <v>44743</v>
      </c>
      <c r="H2413" t="s">
        <v>577</v>
      </c>
      <c r="I2413" t="s">
        <v>78</v>
      </c>
      <c r="J2413" t="s">
        <v>54</v>
      </c>
      <c r="K2413" t="s">
        <v>29</v>
      </c>
      <c r="L2413" t="s">
        <v>895</v>
      </c>
      <c r="M2413" t="s">
        <v>4402</v>
      </c>
      <c r="O2413" t="s">
        <v>896</v>
      </c>
      <c r="P2413" t="s">
        <v>33</v>
      </c>
      <c r="Q2413" s="22">
        <v>22888.01</v>
      </c>
      <c r="R2413" t="s">
        <v>35</v>
      </c>
      <c r="S2413" t="s">
        <v>35</v>
      </c>
      <c r="T2413" t="s">
        <v>35</v>
      </c>
      <c r="U2413" t="s">
        <v>35</v>
      </c>
      <c r="V2413" t="s">
        <v>645</v>
      </c>
      <c r="W2413" t="s">
        <v>113</v>
      </c>
    </row>
    <row r="2414" spans="1:23" hidden="1" x14ac:dyDescent="0.25">
      <c r="A2414" s="7" t="str">
        <f>IFERROR(VLOOKUP(H2414,'Contas Orç'!A:B,2,0),"N/A")</f>
        <v>REMUNERACOES</v>
      </c>
      <c r="B2414" s="7" t="str">
        <f t="shared" si="74"/>
        <v>330101 - REMUNERACOES</v>
      </c>
      <c r="C2414" s="25">
        <f t="shared" si="75"/>
        <v>44743</v>
      </c>
      <c r="D2414" s="27">
        <f>IF(K2414="CREDITO",Q2414,Q2414*-1)</f>
        <v>10240.799999999999</v>
      </c>
      <c r="E2414" t="s">
        <v>894</v>
      </c>
      <c r="F2414" t="s">
        <v>2908</v>
      </c>
      <c r="G2414" s="8">
        <v>44743</v>
      </c>
      <c r="H2414" t="s">
        <v>577</v>
      </c>
      <c r="I2414" t="s">
        <v>81</v>
      </c>
      <c r="J2414" t="s">
        <v>54</v>
      </c>
      <c r="K2414" t="s">
        <v>29</v>
      </c>
      <c r="L2414" t="s">
        <v>895</v>
      </c>
      <c r="M2414" t="s">
        <v>4402</v>
      </c>
      <c r="O2414" t="s">
        <v>896</v>
      </c>
      <c r="P2414" t="s">
        <v>33</v>
      </c>
      <c r="Q2414" s="22">
        <v>10240.799999999999</v>
      </c>
      <c r="R2414" t="s">
        <v>35</v>
      </c>
      <c r="S2414" t="s">
        <v>35</v>
      </c>
      <c r="T2414" t="s">
        <v>35</v>
      </c>
      <c r="U2414" t="s">
        <v>35</v>
      </c>
      <c r="V2414" t="s">
        <v>645</v>
      </c>
      <c r="W2414" t="s">
        <v>113</v>
      </c>
    </row>
    <row r="2415" spans="1:23" hidden="1" x14ac:dyDescent="0.25">
      <c r="A2415" s="7" t="str">
        <f>IFERROR(VLOOKUP(H2415,'Contas Orç'!A:B,2,0),"N/A")</f>
        <v>REMUNERACOES</v>
      </c>
      <c r="B2415" s="7" t="str">
        <f t="shared" si="74"/>
        <v>330101 - REMUNERACOES</v>
      </c>
      <c r="C2415" s="25">
        <f t="shared" si="75"/>
        <v>44743</v>
      </c>
      <c r="D2415" s="27">
        <f>IF(K2415="CREDITO",Q2415,Q2415*-1)</f>
        <v>7493.3</v>
      </c>
      <c r="E2415" t="s">
        <v>894</v>
      </c>
      <c r="F2415" t="s">
        <v>2909</v>
      </c>
      <c r="G2415" s="8">
        <v>44743</v>
      </c>
      <c r="H2415" t="s">
        <v>577</v>
      </c>
      <c r="I2415" t="s">
        <v>136</v>
      </c>
      <c r="J2415" t="s">
        <v>54</v>
      </c>
      <c r="K2415" t="s">
        <v>29</v>
      </c>
      <c r="L2415" t="s">
        <v>895</v>
      </c>
      <c r="M2415" t="s">
        <v>4402</v>
      </c>
      <c r="O2415" t="s">
        <v>896</v>
      </c>
      <c r="P2415" t="s">
        <v>33</v>
      </c>
      <c r="Q2415" s="22">
        <v>7493.3</v>
      </c>
      <c r="R2415" t="s">
        <v>35</v>
      </c>
      <c r="S2415" t="s">
        <v>35</v>
      </c>
      <c r="T2415" t="s">
        <v>35</v>
      </c>
      <c r="U2415" t="s">
        <v>35</v>
      </c>
      <c r="V2415" t="s">
        <v>645</v>
      </c>
      <c r="W2415" t="s">
        <v>113</v>
      </c>
    </row>
    <row r="2416" spans="1:23" hidden="1" x14ac:dyDescent="0.25">
      <c r="A2416" s="7" t="str">
        <f>IFERROR(VLOOKUP(H2416,'Contas Orç'!A:B,2,0),"N/A")</f>
        <v>REMUNERACOES</v>
      </c>
      <c r="B2416" s="7" t="str">
        <f t="shared" si="74"/>
        <v>330101 - REMUNERACOES</v>
      </c>
      <c r="C2416" s="25">
        <f t="shared" si="75"/>
        <v>44743</v>
      </c>
      <c r="D2416" s="27">
        <f>IF(K2416="CREDITO",Q2416,Q2416*-1)</f>
        <v>87.73</v>
      </c>
      <c r="E2416" t="s">
        <v>894</v>
      </c>
      <c r="F2416" t="s">
        <v>2910</v>
      </c>
      <c r="G2416" s="8">
        <v>44743</v>
      </c>
      <c r="H2416" t="s">
        <v>577</v>
      </c>
      <c r="I2416" t="s">
        <v>53</v>
      </c>
      <c r="J2416" t="s">
        <v>54</v>
      </c>
      <c r="K2416" t="s">
        <v>29</v>
      </c>
      <c r="L2416" t="s">
        <v>895</v>
      </c>
      <c r="M2416" t="s">
        <v>4402</v>
      </c>
      <c r="O2416" t="s">
        <v>896</v>
      </c>
      <c r="P2416" t="s">
        <v>33</v>
      </c>
      <c r="Q2416">
        <v>87.73</v>
      </c>
      <c r="R2416" t="s">
        <v>35</v>
      </c>
      <c r="S2416" t="s">
        <v>35</v>
      </c>
      <c r="T2416" t="s">
        <v>35</v>
      </c>
      <c r="U2416" t="s">
        <v>35</v>
      </c>
      <c r="V2416" t="s">
        <v>645</v>
      </c>
      <c r="W2416" t="s">
        <v>113</v>
      </c>
    </row>
    <row r="2417" spans="1:23" hidden="1" x14ac:dyDescent="0.25">
      <c r="A2417" s="7" t="str">
        <f>IFERROR(VLOOKUP(H2417,'Contas Orç'!A:B,2,0),"N/A")</f>
        <v>REMUNERACOES</v>
      </c>
      <c r="B2417" s="7" t="str">
        <f t="shared" si="74"/>
        <v>330101 - REMUNERACOES</v>
      </c>
      <c r="C2417" s="25">
        <f t="shared" si="75"/>
        <v>44774</v>
      </c>
      <c r="D2417" s="27">
        <f>IF(K2417="CREDITO",Q2417,Q2417*-1)</f>
        <v>16464.34</v>
      </c>
      <c r="E2417" t="s">
        <v>894</v>
      </c>
      <c r="F2417" t="s">
        <v>2911</v>
      </c>
      <c r="G2417" s="8">
        <v>44774</v>
      </c>
      <c r="H2417" t="s">
        <v>577</v>
      </c>
      <c r="I2417" t="s">
        <v>99</v>
      </c>
      <c r="J2417" t="s">
        <v>28</v>
      </c>
      <c r="K2417" t="s">
        <v>29</v>
      </c>
      <c r="L2417" t="s">
        <v>895</v>
      </c>
      <c r="M2417" t="s">
        <v>4402</v>
      </c>
      <c r="O2417" t="s">
        <v>896</v>
      </c>
      <c r="P2417" t="s">
        <v>33</v>
      </c>
      <c r="Q2417" s="22">
        <v>16464.34</v>
      </c>
      <c r="R2417" t="s">
        <v>35</v>
      </c>
      <c r="S2417" t="s">
        <v>35</v>
      </c>
      <c r="T2417" t="s">
        <v>35</v>
      </c>
      <c r="U2417" t="s">
        <v>35</v>
      </c>
      <c r="V2417" t="s">
        <v>645</v>
      </c>
      <c r="W2417" t="s">
        <v>113</v>
      </c>
    </row>
    <row r="2418" spans="1:23" hidden="1" x14ac:dyDescent="0.25">
      <c r="A2418" s="7" t="str">
        <f>IFERROR(VLOOKUP(H2418,'Contas Orç'!A:B,2,0),"N/A")</f>
        <v>REMUNERACOES</v>
      </c>
      <c r="B2418" s="7" t="str">
        <f t="shared" si="74"/>
        <v>330101 - REMUNERACOES</v>
      </c>
      <c r="C2418" s="25">
        <f t="shared" si="75"/>
        <v>44774</v>
      </c>
      <c r="D2418" s="27">
        <f>IF(K2418="CREDITO",Q2418,Q2418*-1)</f>
        <v>87.11</v>
      </c>
      <c r="E2418" t="s">
        <v>894</v>
      </c>
      <c r="F2418" t="s">
        <v>2912</v>
      </c>
      <c r="G2418" s="8">
        <v>44774</v>
      </c>
      <c r="H2418" t="s">
        <v>577</v>
      </c>
      <c r="I2418" t="s">
        <v>88</v>
      </c>
      <c r="J2418" t="s">
        <v>28</v>
      </c>
      <c r="K2418" t="s">
        <v>29</v>
      </c>
      <c r="L2418" t="s">
        <v>895</v>
      </c>
      <c r="M2418" t="s">
        <v>4402</v>
      </c>
      <c r="O2418" t="s">
        <v>896</v>
      </c>
      <c r="P2418" t="s">
        <v>33</v>
      </c>
      <c r="Q2418">
        <v>87.11</v>
      </c>
      <c r="R2418" t="s">
        <v>35</v>
      </c>
      <c r="S2418" t="s">
        <v>35</v>
      </c>
      <c r="T2418" t="s">
        <v>35</v>
      </c>
      <c r="U2418" t="s">
        <v>35</v>
      </c>
      <c r="V2418" t="s">
        <v>645</v>
      </c>
      <c r="W2418" t="s">
        <v>113</v>
      </c>
    </row>
    <row r="2419" spans="1:23" hidden="1" x14ac:dyDescent="0.25">
      <c r="A2419" s="7" t="str">
        <f>IFERROR(VLOOKUP(H2419,'Contas Orç'!A:B,2,0),"N/A")</f>
        <v>REMUNERACOES</v>
      </c>
      <c r="B2419" s="7" t="str">
        <f t="shared" si="74"/>
        <v>330101 - REMUNERACOES</v>
      </c>
      <c r="C2419" s="25">
        <f t="shared" si="75"/>
        <v>44774</v>
      </c>
      <c r="D2419" s="27">
        <f>IF(K2419="CREDITO",Q2419,Q2419*-1)</f>
        <v>610.47</v>
      </c>
      <c r="E2419" t="s">
        <v>894</v>
      </c>
      <c r="F2419" t="s">
        <v>2913</v>
      </c>
      <c r="G2419" s="8">
        <v>44774</v>
      </c>
      <c r="H2419" t="s">
        <v>577</v>
      </c>
      <c r="I2419" t="s">
        <v>27</v>
      </c>
      <c r="J2419" t="s">
        <v>28</v>
      </c>
      <c r="K2419" t="s">
        <v>29</v>
      </c>
      <c r="L2419" t="s">
        <v>895</v>
      </c>
      <c r="M2419" t="s">
        <v>4402</v>
      </c>
      <c r="O2419" t="s">
        <v>896</v>
      </c>
      <c r="P2419" t="s">
        <v>33</v>
      </c>
      <c r="Q2419">
        <v>610.47</v>
      </c>
      <c r="R2419" t="s">
        <v>35</v>
      </c>
      <c r="S2419" t="s">
        <v>35</v>
      </c>
      <c r="T2419" t="s">
        <v>35</v>
      </c>
      <c r="U2419" t="s">
        <v>35</v>
      </c>
      <c r="V2419" t="s">
        <v>645</v>
      </c>
      <c r="W2419" t="s">
        <v>113</v>
      </c>
    </row>
    <row r="2420" spans="1:23" hidden="1" x14ac:dyDescent="0.25">
      <c r="A2420" s="7" t="str">
        <f>IFERROR(VLOOKUP(H2420,'Contas Orç'!A:B,2,0),"N/A")</f>
        <v>REMUNERACOES</v>
      </c>
      <c r="B2420" s="7" t="str">
        <f t="shared" si="74"/>
        <v>330101 - REMUNERACOES</v>
      </c>
      <c r="C2420" s="25">
        <f t="shared" si="75"/>
        <v>44774</v>
      </c>
      <c r="D2420" s="27">
        <f>IF(K2420="CREDITO",Q2420,Q2420*-1)</f>
        <v>11631.5</v>
      </c>
      <c r="E2420" t="s">
        <v>894</v>
      </c>
      <c r="F2420" t="s">
        <v>2914</v>
      </c>
      <c r="G2420" s="8">
        <v>44774</v>
      </c>
      <c r="H2420" t="s">
        <v>577</v>
      </c>
      <c r="I2420" t="s">
        <v>81</v>
      </c>
      <c r="J2420" t="s">
        <v>60</v>
      </c>
      <c r="K2420" t="s">
        <v>29</v>
      </c>
      <c r="L2420" t="s">
        <v>895</v>
      </c>
      <c r="M2420" t="s">
        <v>4402</v>
      </c>
      <c r="O2420" t="s">
        <v>896</v>
      </c>
      <c r="P2420" t="s">
        <v>33</v>
      </c>
      <c r="Q2420" s="22">
        <v>11631.5</v>
      </c>
      <c r="R2420" t="s">
        <v>35</v>
      </c>
      <c r="S2420" t="s">
        <v>35</v>
      </c>
      <c r="T2420" t="s">
        <v>35</v>
      </c>
      <c r="U2420" t="s">
        <v>35</v>
      </c>
      <c r="V2420" t="s">
        <v>645</v>
      </c>
      <c r="W2420" t="s">
        <v>113</v>
      </c>
    </row>
    <row r="2421" spans="1:23" hidden="1" x14ac:dyDescent="0.25">
      <c r="A2421" s="7" t="str">
        <f>IFERROR(VLOOKUP(H2421,'Contas Orç'!A:B,2,0),"N/A")</f>
        <v>REMUNERACOES</v>
      </c>
      <c r="B2421" s="7" t="str">
        <f t="shared" si="74"/>
        <v>330101 - REMUNERACOES</v>
      </c>
      <c r="C2421" s="25">
        <f t="shared" si="75"/>
        <v>44774</v>
      </c>
      <c r="D2421" s="27">
        <f>IF(K2421="CREDITO",Q2421,Q2421*-1)</f>
        <v>33.94</v>
      </c>
      <c r="E2421" t="s">
        <v>894</v>
      </c>
      <c r="F2421" t="s">
        <v>2915</v>
      </c>
      <c r="G2421" s="8">
        <v>44774</v>
      </c>
      <c r="H2421" t="s">
        <v>577</v>
      </c>
      <c r="I2421" t="s">
        <v>106</v>
      </c>
      <c r="J2421" t="s">
        <v>60</v>
      </c>
      <c r="K2421" t="s">
        <v>29</v>
      </c>
      <c r="L2421" t="s">
        <v>895</v>
      </c>
      <c r="M2421" t="s">
        <v>4402</v>
      </c>
      <c r="O2421" t="s">
        <v>896</v>
      </c>
      <c r="P2421" t="s">
        <v>33</v>
      </c>
      <c r="Q2421">
        <v>33.94</v>
      </c>
      <c r="R2421" t="s">
        <v>35</v>
      </c>
      <c r="S2421" t="s">
        <v>35</v>
      </c>
      <c r="T2421" t="s">
        <v>35</v>
      </c>
      <c r="U2421" t="s">
        <v>35</v>
      </c>
      <c r="V2421" t="s">
        <v>645</v>
      </c>
      <c r="W2421" t="s">
        <v>113</v>
      </c>
    </row>
    <row r="2422" spans="1:23" hidden="1" x14ac:dyDescent="0.25">
      <c r="A2422" s="7" t="str">
        <f>IFERROR(VLOOKUP(H2422,'Contas Orç'!A:B,2,0),"N/A")</f>
        <v>REMUNERACOES</v>
      </c>
      <c r="B2422" s="7" t="str">
        <f t="shared" si="74"/>
        <v>330101 - REMUNERACOES</v>
      </c>
      <c r="C2422" s="25">
        <f t="shared" si="75"/>
        <v>44774</v>
      </c>
      <c r="D2422" s="27">
        <f>IF(K2422="CREDITO",Q2422,Q2422*-1)</f>
        <v>60.03</v>
      </c>
      <c r="E2422" t="s">
        <v>894</v>
      </c>
      <c r="F2422" t="s">
        <v>2916</v>
      </c>
      <c r="G2422" s="8">
        <v>44774</v>
      </c>
      <c r="H2422" t="s">
        <v>577</v>
      </c>
      <c r="I2422" t="s">
        <v>59</v>
      </c>
      <c r="J2422" t="s">
        <v>60</v>
      </c>
      <c r="K2422" t="s">
        <v>29</v>
      </c>
      <c r="L2422" t="s">
        <v>895</v>
      </c>
      <c r="M2422" t="s">
        <v>4402</v>
      </c>
      <c r="O2422" t="s">
        <v>896</v>
      </c>
      <c r="P2422" t="s">
        <v>33</v>
      </c>
      <c r="Q2422">
        <v>60.03</v>
      </c>
      <c r="R2422" t="s">
        <v>35</v>
      </c>
      <c r="S2422" t="s">
        <v>35</v>
      </c>
      <c r="T2422" t="s">
        <v>35</v>
      </c>
      <c r="U2422" t="s">
        <v>35</v>
      </c>
      <c r="V2422" t="s">
        <v>645</v>
      </c>
      <c r="W2422" t="s">
        <v>113</v>
      </c>
    </row>
    <row r="2423" spans="1:23" hidden="1" x14ac:dyDescent="0.25">
      <c r="A2423" s="7" t="str">
        <f>IFERROR(VLOOKUP(H2423,'Contas Orç'!A:B,2,0),"N/A")</f>
        <v>REMUNERACOES</v>
      </c>
      <c r="B2423" s="7" t="str">
        <f t="shared" si="74"/>
        <v>330101 - REMUNERACOES</v>
      </c>
      <c r="C2423" s="25">
        <f t="shared" si="75"/>
        <v>44774</v>
      </c>
      <c r="D2423" s="27">
        <f>IF(K2423="CREDITO",Q2423,Q2423*-1)</f>
        <v>29493.19</v>
      </c>
      <c r="E2423" t="s">
        <v>894</v>
      </c>
      <c r="F2423" t="s">
        <v>2917</v>
      </c>
      <c r="G2423" s="8">
        <v>44774</v>
      </c>
      <c r="H2423" t="s">
        <v>577</v>
      </c>
      <c r="I2423" t="s">
        <v>2062</v>
      </c>
      <c r="J2423" t="s">
        <v>54</v>
      </c>
      <c r="K2423" t="s">
        <v>29</v>
      </c>
      <c r="L2423" t="s">
        <v>895</v>
      </c>
      <c r="M2423" t="s">
        <v>4402</v>
      </c>
      <c r="O2423" t="s">
        <v>896</v>
      </c>
      <c r="P2423" t="s">
        <v>33</v>
      </c>
      <c r="Q2423" s="22">
        <v>29493.19</v>
      </c>
      <c r="R2423" t="s">
        <v>35</v>
      </c>
      <c r="S2423" t="s">
        <v>35</v>
      </c>
      <c r="T2423" t="s">
        <v>35</v>
      </c>
      <c r="U2423" t="s">
        <v>35</v>
      </c>
      <c r="V2423" t="s">
        <v>645</v>
      </c>
      <c r="W2423" t="s">
        <v>113</v>
      </c>
    </row>
    <row r="2424" spans="1:23" hidden="1" x14ac:dyDescent="0.25">
      <c r="A2424" s="7" t="str">
        <f>IFERROR(VLOOKUP(H2424,'Contas Orç'!A:B,2,0),"N/A")</f>
        <v>REMUNERACOES</v>
      </c>
      <c r="B2424" s="7" t="str">
        <f t="shared" si="74"/>
        <v>330101 - REMUNERACOES</v>
      </c>
      <c r="C2424" s="25">
        <f t="shared" si="75"/>
        <v>44774</v>
      </c>
      <c r="D2424" s="27">
        <f>IF(K2424="CREDITO",Q2424,Q2424*-1)</f>
        <v>41822.129999999997</v>
      </c>
      <c r="E2424" t="s">
        <v>894</v>
      </c>
      <c r="F2424" t="s">
        <v>2918</v>
      </c>
      <c r="G2424" s="8">
        <v>44774</v>
      </c>
      <c r="H2424" t="s">
        <v>577</v>
      </c>
      <c r="I2424" t="s">
        <v>40</v>
      </c>
      <c r="J2424" t="s">
        <v>54</v>
      </c>
      <c r="K2424" t="s">
        <v>29</v>
      </c>
      <c r="L2424" t="s">
        <v>895</v>
      </c>
      <c r="M2424" t="s">
        <v>4402</v>
      </c>
      <c r="O2424" t="s">
        <v>896</v>
      </c>
      <c r="P2424" t="s">
        <v>33</v>
      </c>
      <c r="Q2424" s="22">
        <v>41822.129999999997</v>
      </c>
      <c r="R2424" t="s">
        <v>35</v>
      </c>
      <c r="S2424" t="s">
        <v>35</v>
      </c>
      <c r="T2424" t="s">
        <v>35</v>
      </c>
      <c r="U2424" t="s">
        <v>35</v>
      </c>
      <c r="V2424" t="s">
        <v>645</v>
      </c>
      <c r="W2424" t="s">
        <v>113</v>
      </c>
    </row>
    <row r="2425" spans="1:23" hidden="1" x14ac:dyDescent="0.25">
      <c r="A2425" s="7" t="str">
        <f>IFERROR(VLOOKUP(H2425,'Contas Orç'!A:B,2,0),"N/A")</f>
        <v>REMUNERACOES</v>
      </c>
      <c r="B2425" s="7" t="str">
        <f t="shared" si="74"/>
        <v>330101 - REMUNERACOES</v>
      </c>
      <c r="C2425" s="25">
        <f t="shared" si="75"/>
        <v>44774</v>
      </c>
      <c r="D2425" s="27">
        <f>IF(K2425="CREDITO",Q2425,Q2425*-1)</f>
        <v>6547.57</v>
      </c>
      <c r="E2425" t="s">
        <v>894</v>
      </c>
      <c r="F2425" t="s">
        <v>2919</v>
      </c>
      <c r="G2425" s="8">
        <v>44774</v>
      </c>
      <c r="H2425" t="s">
        <v>577</v>
      </c>
      <c r="I2425" t="s">
        <v>1002</v>
      </c>
      <c r="J2425" t="s">
        <v>54</v>
      </c>
      <c r="K2425" t="s">
        <v>29</v>
      </c>
      <c r="L2425" t="s">
        <v>895</v>
      </c>
      <c r="M2425" t="s">
        <v>4402</v>
      </c>
      <c r="O2425" t="s">
        <v>896</v>
      </c>
      <c r="P2425" t="s">
        <v>33</v>
      </c>
      <c r="Q2425" s="22">
        <v>6547.57</v>
      </c>
      <c r="R2425" t="s">
        <v>35</v>
      </c>
      <c r="S2425" t="s">
        <v>35</v>
      </c>
      <c r="T2425" t="s">
        <v>35</v>
      </c>
      <c r="U2425" t="s">
        <v>35</v>
      </c>
      <c r="V2425" t="s">
        <v>645</v>
      </c>
      <c r="W2425" t="s">
        <v>113</v>
      </c>
    </row>
    <row r="2426" spans="1:23" hidden="1" x14ac:dyDescent="0.25">
      <c r="A2426" s="7" t="str">
        <f>IFERROR(VLOOKUP(H2426,'Contas Orç'!A:B,2,0),"N/A")</f>
        <v>REMUNERACOES</v>
      </c>
      <c r="B2426" s="7" t="str">
        <f t="shared" si="74"/>
        <v>330101 - REMUNERACOES</v>
      </c>
      <c r="C2426" s="25">
        <f t="shared" si="75"/>
        <v>44774</v>
      </c>
      <c r="D2426" s="27">
        <f>IF(K2426="CREDITO",Q2426,Q2426*-1)</f>
        <v>3887.33</v>
      </c>
      <c r="E2426" t="s">
        <v>894</v>
      </c>
      <c r="F2426" t="s">
        <v>2920</v>
      </c>
      <c r="G2426" s="8">
        <v>44774</v>
      </c>
      <c r="H2426" t="s">
        <v>577</v>
      </c>
      <c r="I2426" t="s">
        <v>121</v>
      </c>
      <c r="J2426" t="s">
        <v>54</v>
      </c>
      <c r="K2426" t="s">
        <v>29</v>
      </c>
      <c r="L2426" t="s">
        <v>895</v>
      </c>
      <c r="M2426" t="s">
        <v>4402</v>
      </c>
      <c r="O2426" t="s">
        <v>896</v>
      </c>
      <c r="P2426" t="s">
        <v>33</v>
      </c>
      <c r="Q2426" s="22">
        <v>3887.33</v>
      </c>
      <c r="R2426" t="s">
        <v>35</v>
      </c>
      <c r="S2426" t="s">
        <v>35</v>
      </c>
      <c r="T2426" t="s">
        <v>35</v>
      </c>
      <c r="U2426" t="s">
        <v>35</v>
      </c>
      <c r="V2426" t="s">
        <v>645</v>
      </c>
      <c r="W2426" t="s">
        <v>113</v>
      </c>
    </row>
    <row r="2427" spans="1:23" hidden="1" x14ac:dyDescent="0.25">
      <c r="A2427" s="7" t="str">
        <f>IFERROR(VLOOKUP(H2427,'Contas Orç'!A:B,2,0),"N/A")</f>
        <v>REMUNERACOES</v>
      </c>
      <c r="B2427" s="7" t="str">
        <f t="shared" si="74"/>
        <v>330101 - REMUNERACOES</v>
      </c>
      <c r="C2427" s="25">
        <f t="shared" si="75"/>
        <v>44774</v>
      </c>
      <c r="D2427" s="27">
        <f>IF(K2427="CREDITO",Q2427,Q2427*-1)</f>
        <v>17054.12</v>
      </c>
      <c r="E2427" t="s">
        <v>894</v>
      </c>
      <c r="F2427" t="s">
        <v>2921</v>
      </c>
      <c r="G2427" s="8">
        <v>44774</v>
      </c>
      <c r="H2427" t="s">
        <v>577</v>
      </c>
      <c r="I2427" t="s">
        <v>132</v>
      </c>
      <c r="J2427" t="s">
        <v>54</v>
      </c>
      <c r="K2427" t="s">
        <v>29</v>
      </c>
      <c r="L2427" t="s">
        <v>895</v>
      </c>
      <c r="M2427" t="s">
        <v>4402</v>
      </c>
      <c r="O2427" t="s">
        <v>896</v>
      </c>
      <c r="P2427" t="s">
        <v>33</v>
      </c>
      <c r="Q2427" s="22">
        <v>17054.12</v>
      </c>
      <c r="R2427" t="s">
        <v>35</v>
      </c>
      <c r="S2427" t="s">
        <v>35</v>
      </c>
      <c r="T2427" t="s">
        <v>35</v>
      </c>
      <c r="U2427" t="s">
        <v>35</v>
      </c>
      <c r="V2427" t="s">
        <v>645</v>
      </c>
      <c r="W2427" t="s">
        <v>113</v>
      </c>
    </row>
    <row r="2428" spans="1:23" hidden="1" x14ac:dyDescent="0.25">
      <c r="A2428" s="7" t="str">
        <f>IFERROR(VLOOKUP(H2428,'Contas Orç'!A:B,2,0),"N/A")</f>
        <v>REMUNERACOES</v>
      </c>
      <c r="B2428" s="7" t="str">
        <f t="shared" si="74"/>
        <v>330101 - REMUNERACOES</v>
      </c>
      <c r="C2428" s="25">
        <f t="shared" si="75"/>
        <v>44774</v>
      </c>
      <c r="D2428" s="27">
        <f>IF(K2428="CREDITO",Q2428,Q2428*-1)</f>
        <v>2074.92</v>
      </c>
      <c r="E2428" t="s">
        <v>894</v>
      </c>
      <c r="F2428" t="s">
        <v>2922</v>
      </c>
      <c r="G2428" s="8">
        <v>44774</v>
      </c>
      <c r="H2428" t="s">
        <v>577</v>
      </c>
      <c r="I2428" t="s">
        <v>114</v>
      </c>
      <c r="J2428" t="s">
        <v>54</v>
      </c>
      <c r="K2428" t="s">
        <v>29</v>
      </c>
      <c r="L2428" t="s">
        <v>895</v>
      </c>
      <c r="M2428" t="s">
        <v>4402</v>
      </c>
      <c r="O2428" t="s">
        <v>896</v>
      </c>
      <c r="P2428" t="s">
        <v>33</v>
      </c>
      <c r="Q2428" s="22">
        <v>2074.92</v>
      </c>
      <c r="R2428" t="s">
        <v>35</v>
      </c>
      <c r="S2428" t="s">
        <v>35</v>
      </c>
      <c r="T2428" t="s">
        <v>35</v>
      </c>
      <c r="U2428" t="s">
        <v>35</v>
      </c>
      <c r="V2428" t="s">
        <v>645</v>
      </c>
      <c r="W2428" t="s">
        <v>113</v>
      </c>
    </row>
    <row r="2429" spans="1:23" hidden="1" x14ac:dyDescent="0.25">
      <c r="A2429" s="7" t="str">
        <f>IFERROR(VLOOKUP(H2429,'Contas Orç'!A:B,2,0),"N/A")</f>
        <v>REMUNERACOES</v>
      </c>
      <c r="B2429" s="7" t="str">
        <f t="shared" si="74"/>
        <v>330101 - REMUNERACOES</v>
      </c>
      <c r="C2429" s="25">
        <f t="shared" si="75"/>
        <v>44774</v>
      </c>
      <c r="D2429" s="27">
        <f>IF(K2429="CREDITO",Q2429,Q2429*-1)</f>
        <v>31778.85</v>
      </c>
      <c r="E2429" t="s">
        <v>894</v>
      </c>
      <c r="F2429" t="s">
        <v>2923</v>
      </c>
      <c r="G2429" s="8">
        <v>44774</v>
      </c>
      <c r="H2429" t="s">
        <v>577</v>
      </c>
      <c r="I2429" t="s">
        <v>75</v>
      </c>
      <c r="J2429" t="s">
        <v>54</v>
      </c>
      <c r="K2429" t="s">
        <v>29</v>
      </c>
      <c r="L2429" t="s">
        <v>895</v>
      </c>
      <c r="M2429" t="s">
        <v>4402</v>
      </c>
      <c r="O2429" t="s">
        <v>896</v>
      </c>
      <c r="P2429" t="s">
        <v>33</v>
      </c>
      <c r="Q2429" s="22">
        <v>31778.85</v>
      </c>
      <c r="R2429" t="s">
        <v>35</v>
      </c>
      <c r="S2429" t="s">
        <v>35</v>
      </c>
      <c r="T2429" t="s">
        <v>35</v>
      </c>
      <c r="U2429" t="s">
        <v>35</v>
      </c>
      <c r="V2429" t="s">
        <v>645</v>
      </c>
      <c r="W2429" t="s">
        <v>113</v>
      </c>
    </row>
    <row r="2430" spans="1:23" hidden="1" x14ac:dyDescent="0.25">
      <c r="A2430" s="7" t="str">
        <f>IFERROR(VLOOKUP(H2430,'Contas Orç'!A:B,2,0),"N/A")</f>
        <v>REMUNERACOES</v>
      </c>
      <c r="B2430" s="7" t="str">
        <f t="shared" si="74"/>
        <v>330101 - REMUNERACOES</v>
      </c>
      <c r="C2430" s="25">
        <f t="shared" si="75"/>
        <v>44774</v>
      </c>
      <c r="D2430" s="27">
        <f>IF(K2430="CREDITO",Q2430,Q2430*-1)</f>
        <v>20403.560000000001</v>
      </c>
      <c r="E2430" t="s">
        <v>894</v>
      </c>
      <c r="F2430" t="s">
        <v>2924</v>
      </c>
      <c r="G2430" s="8">
        <v>44774</v>
      </c>
      <c r="H2430" t="s">
        <v>577</v>
      </c>
      <c r="I2430" t="s">
        <v>78</v>
      </c>
      <c r="J2430" t="s">
        <v>54</v>
      </c>
      <c r="K2430" t="s">
        <v>29</v>
      </c>
      <c r="L2430" t="s">
        <v>895</v>
      </c>
      <c r="M2430" t="s">
        <v>4402</v>
      </c>
      <c r="O2430" t="s">
        <v>896</v>
      </c>
      <c r="P2430" t="s">
        <v>33</v>
      </c>
      <c r="Q2430" s="22">
        <v>20403.560000000001</v>
      </c>
      <c r="R2430" t="s">
        <v>35</v>
      </c>
      <c r="S2430" t="s">
        <v>35</v>
      </c>
      <c r="T2430" t="s">
        <v>35</v>
      </c>
      <c r="U2430" t="s">
        <v>35</v>
      </c>
      <c r="V2430" t="s">
        <v>645</v>
      </c>
      <c r="W2430" t="s">
        <v>113</v>
      </c>
    </row>
    <row r="2431" spans="1:23" hidden="1" x14ac:dyDescent="0.25">
      <c r="A2431" s="7" t="str">
        <f>IFERROR(VLOOKUP(H2431,'Contas Orç'!A:B,2,0),"N/A")</f>
        <v>REMUNERACOES</v>
      </c>
      <c r="B2431" s="7" t="str">
        <f t="shared" si="74"/>
        <v>330101 - REMUNERACOES</v>
      </c>
      <c r="C2431" s="25">
        <f t="shared" si="75"/>
        <v>44774</v>
      </c>
      <c r="D2431" s="27">
        <f>IF(K2431="CREDITO",Q2431,Q2431*-1)</f>
        <v>10575.35</v>
      </c>
      <c r="E2431" t="s">
        <v>894</v>
      </c>
      <c r="F2431" t="s">
        <v>2925</v>
      </c>
      <c r="G2431" s="8">
        <v>44774</v>
      </c>
      <c r="H2431" t="s">
        <v>577</v>
      </c>
      <c r="I2431" t="s">
        <v>81</v>
      </c>
      <c r="J2431" t="s">
        <v>54</v>
      </c>
      <c r="K2431" t="s">
        <v>29</v>
      </c>
      <c r="L2431" t="s">
        <v>895</v>
      </c>
      <c r="M2431" t="s">
        <v>4402</v>
      </c>
      <c r="O2431" t="s">
        <v>896</v>
      </c>
      <c r="P2431" t="s">
        <v>33</v>
      </c>
      <c r="Q2431" s="22">
        <v>10575.35</v>
      </c>
      <c r="R2431" t="s">
        <v>35</v>
      </c>
      <c r="S2431" t="s">
        <v>35</v>
      </c>
      <c r="T2431" t="s">
        <v>35</v>
      </c>
      <c r="U2431" t="s">
        <v>35</v>
      </c>
      <c r="V2431" t="s">
        <v>645</v>
      </c>
      <c r="W2431" t="s">
        <v>113</v>
      </c>
    </row>
    <row r="2432" spans="1:23" hidden="1" x14ac:dyDescent="0.25">
      <c r="A2432" s="7" t="str">
        <f>IFERROR(VLOOKUP(H2432,'Contas Orç'!A:B,2,0),"N/A")</f>
        <v>REMUNERACOES</v>
      </c>
      <c r="B2432" s="7" t="str">
        <f t="shared" si="74"/>
        <v>330101 - REMUNERACOES</v>
      </c>
      <c r="C2432" s="25">
        <f t="shared" si="75"/>
        <v>44774</v>
      </c>
      <c r="D2432" s="27">
        <f>IF(K2432="CREDITO",Q2432,Q2432*-1)</f>
        <v>8404.23</v>
      </c>
      <c r="E2432" t="s">
        <v>894</v>
      </c>
      <c r="F2432" t="s">
        <v>2926</v>
      </c>
      <c r="G2432" s="8">
        <v>44774</v>
      </c>
      <c r="H2432" t="s">
        <v>577</v>
      </c>
      <c r="I2432" t="s">
        <v>136</v>
      </c>
      <c r="J2432" t="s">
        <v>54</v>
      </c>
      <c r="K2432" t="s">
        <v>29</v>
      </c>
      <c r="L2432" t="s">
        <v>895</v>
      </c>
      <c r="M2432" t="s">
        <v>4402</v>
      </c>
      <c r="O2432" t="s">
        <v>896</v>
      </c>
      <c r="P2432" t="s">
        <v>33</v>
      </c>
      <c r="Q2432" s="22">
        <v>8404.23</v>
      </c>
      <c r="R2432" t="s">
        <v>35</v>
      </c>
      <c r="S2432" t="s">
        <v>35</v>
      </c>
      <c r="T2432" t="s">
        <v>35</v>
      </c>
      <c r="U2432" t="s">
        <v>35</v>
      </c>
      <c r="V2432" t="s">
        <v>645</v>
      </c>
      <c r="W2432" t="s">
        <v>113</v>
      </c>
    </row>
    <row r="2433" spans="1:23" hidden="1" x14ac:dyDescent="0.25">
      <c r="A2433" s="7" t="str">
        <f>IFERROR(VLOOKUP(H2433,'Contas Orç'!A:B,2,0),"N/A")</f>
        <v>REMUNERACOES</v>
      </c>
      <c r="B2433" s="7" t="str">
        <f t="shared" si="74"/>
        <v>330101 - REMUNERACOES</v>
      </c>
      <c r="C2433" s="25">
        <f t="shared" si="75"/>
        <v>44774</v>
      </c>
      <c r="D2433" s="27">
        <f>IF(K2433="CREDITO",Q2433,Q2433*-1)</f>
        <v>21.94</v>
      </c>
      <c r="E2433" t="s">
        <v>894</v>
      </c>
      <c r="F2433" t="s">
        <v>2927</v>
      </c>
      <c r="G2433" s="8">
        <v>44774</v>
      </c>
      <c r="H2433" t="s">
        <v>577</v>
      </c>
      <c r="I2433" t="s">
        <v>53</v>
      </c>
      <c r="J2433" t="s">
        <v>54</v>
      </c>
      <c r="K2433" t="s">
        <v>29</v>
      </c>
      <c r="L2433" t="s">
        <v>895</v>
      </c>
      <c r="M2433" t="s">
        <v>4402</v>
      </c>
      <c r="O2433" t="s">
        <v>896</v>
      </c>
      <c r="P2433" t="s">
        <v>33</v>
      </c>
      <c r="Q2433">
        <v>21.94</v>
      </c>
      <c r="R2433" t="s">
        <v>35</v>
      </c>
      <c r="S2433" t="s">
        <v>35</v>
      </c>
      <c r="T2433" t="s">
        <v>35</v>
      </c>
      <c r="U2433" t="s">
        <v>35</v>
      </c>
      <c r="V2433" t="s">
        <v>645</v>
      </c>
      <c r="W2433" t="s">
        <v>113</v>
      </c>
    </row>
    <row r="2434" spans="1:23" hidden="1" x14ac:dyDescent="0.25">
      <c r="A2434" s="7" t="str">
        <f>IFERROR(VLOOKUP(H2434,'Contas Orç'!A:B,2,0),"N/A")</f>
        <v>REMUNERACOES</v>
      </c>
      <c r="B2434" s="7" t="str">
        <f t="shared" si="74"/>
        <v>330101 - REMUNERACOES</v>
      </c>
      <c r="C2434" s="25">
        <f t="shared" si="75"/>
        <v>44805</v>
      </c>
      <c r="D2434" s="27">
        <f>IF(K2434="CREDITO",Q2434,Q2434*-1)</f>
        <v>15639.27</v>
      </c>
      <c r="E2434" t="s">
        <v>894</v>
      </c>
      <c r="F2434" t="s">
        <v>2928</v>
      </c>
      <c r="G2434" s="8">
        <v>44805</v>
      </c>
      <c r="H2434" t="s">
        <v>577</v>
      </c>
      <c r="I2434" t="s">
        <v>99</v>
      </c>
      <c r="J2434" t="s">
        <v>28</v>
      </c>
      <c r="K2434" t="s">
        <v>29</v>
      </c>
      <c r="L2434" t="s">
        <v>895</v>
      </c>
      <c r="M2434" t="s">
        <v>4402</v>
      </c>
      <c r="O2434" t="s">
        <v>896</v>
      </c>
      <c r="P2434" t="s">
        <v>33</v>
      </c>
      <c r="Q2434" s="22">
        <v>15639.27</v>
      </c>
      <c r="R2434" t="s">
        <v>35</v>
      </c>
      <c r="S2434" t="s">
        <v>35</v>
      </c>
      <c r="T2434" t="s">
        <v>35</v>
      </c>
      <c r="U2434" t="s">
        <v>35</v>
      </c>
      <c r="V2434" t="s">
        <v>645</v>
      </c>
      <c r="W2434" t="s">
        <v>113</v>
      </c>
    </row>
    <row r="2435" spans="1:23" hidden="1" x14ac:dyDescent="0.25">
      <c r="A2435" s="7" t="str">
        <f>IFERROR(VLOOKUP(H2435,'Contas Orç'!A:B,2,0),"N/A")</f>
        <v>REMUNERACOES</v>
      </c>
      <c r="B2435" s="7" t="str">
        <f t="shared" ref="B2435:B2498" si="76">_xlfn.CONCAT(H2435," - ",A2435)</f>
        <v>330101 - REMUNERACOES</v>
      </c>
      <c r="C2435" s="25">
        <f t="shared" ref="C2435:C2498" si="77">DATE(YEAR(G2435),MONTH(G2435),1)</f>
        <v>44805</v>
      </c>
      <c r="D2435" s="27">
        <f>IF(K2435="CREDITO",Q2435,Q2435*-1)</f>
        <v>323.02</v>
      </c>
      <c r="E2435" t="s">
        <v>894</v>
      </c>
      <c r="F2435" t="s">
        <v>2929</v>
      </c>
      <c r="G2435" s="8">
        <v>44805</v>
      </c>
      <c r="H2435" t="s">
        <v>577</v>
      </c>
      <c r="I2435" t="s">
        <v>27</v>
      </c>
      <c r="J2435" t="s">
        <v>28</v>
      </c>
      <c r="K2435" t="s">
        <v>29</v>
      </c>
      <c r="L2435" t="s">
        <v>895</v>
      </c>
      <c r="M2435" t="s">
        <v>4402</v>
      </c>
      <c r="O2435" t="s">
        <v>896</v>
      </c>
      <c r="P2435" t="s">
        <v>33</v>
      </c>
      <c r="Q2435">
        <v>323.02</v>
      </c>
      <c r="R2435" t="s">
        <v>35</v>
      </c>
      <c r="S2435" t="s">
        <v>35</v>
      </c>
      <c r="T2435" t="s">
        <v>35</v>
      </c>
      <c r="U2435" t="s">
        <v>35</v>
      </c>
      <c r="V2435" t="s">
        <v>645</v>
      </c>
      <c r="W2435" t="s">
        <v>113</v>
      </c>
    </row>
    <row r="2436" spans="1:23" hidden="1" x14ac:dyDescent="0.25">
      <c r="A2436" s="7" t="str">
        <f>IFERROR(VLOOKUP(H2436,'Contas Orç'!A:B,2,0),"N/A")</f>
        <v>REMUNERACOES</v>
      </c>
      <c r="B2436" s="7" t="str">
        <f t="shared" si="76"/>
        <v>330101 - REMUNERACOES</v>
      </c>
      <c r="C2436" s="25">
        <f t="shared" si="77"/>
        <v>44805</v>
      </c>
      <c r="D2436" s="27">
        <f>IF(K2436="CREDITO",Q2436,Q2436*-1)</f>
        <v>11641.93</v>
      </c>
      <c r="E2436" t="s">
        <v>894</v>
      </c>
      <c r="F2436" t="s">
        <v>2930</v>
      </c>
      <c r="G2436" s="8">
        <v>44805</v>
      </c>
      <c r="H2436" t="s">
        <v>577</v>
      </c>
      <c r="I2436" t="s">
        <v>81</v>
      </c>
      <c r="J2436" t="s">
        <v>60</v>
      </c>
      <c r="K2436" t="s">
        <v>29</v>
      </c>
      <c r="L2436" t="s">
        <v>895</v>
      </c>
      <c r="M2436" t="s">
        <v>4402</v>
      </c>
      <c r="O2436" t="s">
        <v>896</v>
      </c>
      <c r="P2436" t="s">
        <v>33</v>
      </c>
      <c r="Q2436" s="22">
        <v>11641.93</v>
      </c>
      <c r="R2436" t="s">
        <v>35</v>
      </c>
      <c r="S2436" t="s">
        <v>35</v>
      </c>
      <c r="T2436" t="s">
        <v>35</v>
      </c>
      <c r="U2436" t="s">
        <v>35</v>
      </c>
      <c r="V2436" t="s">
        <v>645</v>
      </c>
      <c r="W2436" t="s">
        <v>113</v>
      </c>
    </row>
    <row r="2437" spans="1:23" hidden="1" x14ac:dyDescent="0.25">
      <c r="A2437" s="7" t="str">
        <f>IFERROR(VLOOKUP(H2437,'Contas Orç'!A:B,2,0),"N/A")</f>
        <v>REMUNERACOES</v>
      </c>
      <c r="B2437" s="7" t="str">
        <f t="shared" si="76"/>
        <v>330101 - REMUNERACOES</v>
      </c>
      <c r="C2437" s="25">
        <f t="shared" si="77"/>
        <v>44805</v>
      </c>
      <c r="D2437" s="27">
        <f>IF(K2437="CREDITO",Q2437,Q2437*-1)</f>
        <v>38.36</v>
      </c>
      <c r="E2437" t="s">
        <v>894</v>
      </c>
      <c r="F2437" t="s">
        <v>2931</v>
      </c>
      <c r="G2437" s="8">
        <v>44805</v>
      </c>
      <c r="H2437" t="s">
        <v>577</v>
      </c>
      <c r="I2437" t="s">
        <v>59</v>
      </c>
      <c r="J2437" t="s">
        <v>60</v>
      </c>
      <c r="K2437" t="s">
        <v>29</v>
      </c>
      <c r="L2437" t="s">
        <v>895</v>
      </c>
      <c r="M2437" t="s">
        <v>4402</v>
      </c>
      <c r="O2437" t="s">
        <v>896</v>
      </c>
      <c r="P2437" t="s">
        <v>33</v>
      </c>
      <c r="Q2437">
        <v>38.36</v>
      </c>
      <c r="R2437" t="s">
        <v>35</v>
      </c>
      <c r="S2437" t="s">
        <v>35</v>
      </c>
      <c r="T2437" t="s">
        <v>35</v>
      </c>
      <c r="U2437" t="s">
        <v>35</v>
      </c>
      <c r="V2437" t="s">
        <v>645</v>
      </c>
      <c r="W2437" t="s">
        <v>113</v>
      </c>
    </row>
    <row r="2438" spans="1:23" hidden="1" x14ac:dyDescent="0.25">
      <c r="A2438" s="7" t="str">
        <f>IFERROR(VLOOKUP(H2438,'Contas Orç'!A:B,2,0),"N/A")</f>
        <v>REMUNERACOES</v>
      </c>
      <c r="B2438" s="7" t="str">
        <f t="shared" si="76"/>
        <v>330101 - REMUNERACOES</v>
      </c>
      <c r="C2438" s="25">
        <f t="shared" si="77"/>
        <v>44805</v>
      </c>
      <c r="D2438" s="27">
        <f>IF(K2438="CREDITO",Q2438,Q2438*-1)</f>
        <v>9.61</v>
      </c>
      <c r="E2438" t="s">
        <v>894</v>
      </c>
      <c r="F2438" t="s">
        <v>2932</v>
      </c>
      <c r="G2438" s="8">
        <v>44805</v>
      </c>
      <c r="H2438" t="s">
        <v>577</v>
      </c>
      <c r="I2438" t="s">
        <v>125</v>
      </c>
      <c r="J2438" t="s">
        <v>95</v>
      </c>
      <c r="K2438" t="s">
        <v>29</v>
      </c>
      <c r="L2438" t="s">
        <v>895</v>
      </c>
      <c r="M2438" t="s">
        <v>4402</v>
      </c>
      <c r="O2438" t="s">
        <v>896</v>
      </c>
      <c r="P2438" t="s">
        <v>33</v>
      </c>
      <c r="Q2438">
        <v>9.61</v>
      </c>
      <c r="R2438" t="s">
        <v>35</v>
      </c>
      <c r="S2438" t="s">
        <v>35</v>
      </c>
      <c r="T2438" t="s">
        <v>35</v>
      </c>
      <c r="U2438" t="s">
        <v>35</v>
      </c>
      <c r="V2438" t="s">
        <v>645</v>
      </c>
      <c r="W2438" t="s">
        <v>113</v>
      </c>
    </row>
    <row r="2439" spans="1:23" hidden="1" x14ac:dyDescent="0.25">
      <c r="A2439" s="7" t="str">
        <f>IFERROR(VLOOKUP(H2439,'Contas Orç'!A:B,2,0),"N/A")</f>
        <v>REMUNERACOES</v>
      </c>
      <c r="B2439" s="7" t="str">
        <f t="shared" si="76"/>
        <v>330101 - REMUNERACOES</v>
      </c>
      <c r="C2439" s="25">
        <f t="shared" si="77"/>
        <v>44805</v>
      </c>
      <c r="D2439" s="27">
        <f>IF(K2439="CREDITO",Q2439,Q2439*-1)</f>
        <v>9338.6200000000008</v>
      </c>
      <c r="E2439" t="s">
        <v>894</v>
      </c>
      <c r="F2439" t="s">
        <v>2933</v>
      </c>
      <c r="G2439" s="8">
        <v>44805</v>
      </c>
      <c r="H2439" t="s">
        <v>577</v>
      </c>
      <c r="I2439" t="s">
        <v>2062</v>
      </c>
      <c r="J2439" t="s">
        <v>54</v>
      </c>
      <c r="K2439" t="s">
        <v>29</v>
      </c>
      <c r="L2439" t="s">
        <v>895</v>
      </c>
      <c r="M2439" t="s">
        <v>4402</v>
      </c>
      <c r="O2439" t="s">
        <v>896</v>
      </c>
      <c r="P2439" t="s">
        <v>33</v>
      </c>
      <c r="Q2439" s="22">
        <v>9338.6200000000008</v>
      </c>
      <c r="R2439" t="s">
        <v>35</v>
      </c>
      <c r="S2439" t="s">
        <v>35</v>
      </c>
      <c r="T2439" t="s">
        <v>35</v>
      </c>
      <c r="U2439" t="s">
        <v>35</v>
      </c>
      <c r="V2439" t="s">
        <v>645</v>
      </c>
      <c r="W2439" t="s">
        <v>113</v>
      </c>
    </row>
    <row r="2440" spans="1:23" hidden="1" x14ac:dyDescent="0.25">
      <c r="A2440" s="7" t="str">
        <f>IFERROR(VLOOKUP(H2440,'Contas Orç'!A:B,2,0),"N/A")</f>
        <v>REMUNERACOES</v>
      </c>
      <c r="B2440" s="7" t="str">
        <f t="shared" si="76"/>
        <v>330101 - REMUNERACOES</v>
      </c>
      <c r="C2440" s="25">
        <f t="shared" si="77"/>
        <v>44805</v>
      </c>
      <c r="D2440" s="27">
        <f>IF(K2440="CREDITO",Q2440,Q2440*-1)</f>
        <v>42751.48</v>
      </c>
      <c r="E2440" t="s">
        <v>894</v>
      </c>
      <c r="F2440" t="s">
        <v>2934</v>
      </c>
      <c r="G2440" s="8">
        <v>44805</v>
      </c>
      <c r="H2440" t="s">
        <v>577</v>
      </c>
      <c r="I2440" t="s">
        <v>40</v>
      </c>
      <c r="J2440" t="s">
        <v>54</v>
      </c>
      <c r="K2440" t="s">
        <v>29</v>
      </c>
      <c r="L2440" t="s">
        <v>895</v>
      </c>
      <c r="M2440" t="s">
        <v>4402</v>
      </c>
      <c r="O2440" t="s">
        <v>896</v>
      </c>
      <c r="P2440" t="s">
        <v>33</v>
      </c>
      <c r="Q2440" s="22">
        <v>42751.48</v>
      </c>
      <c r="R2440" t="s">
        <v>35</v>
      </c>
      <c r="S2440" t="s">
        <v>35</v>
      </c>
      <c r="T2440" t="s">
        <v>35</v>
      </c>
      <c r="U2440" t="s">
        <v>35</v>
      </c>
      <c r="V2440" t="s">
        <v>645</v>
      </c>
      <c r="W2440" t="s">
        <v>113</v>
      </c>
    </row>
    <row r="2441" spans="1:23" hidden="1" x14ac:dyDescent="0.25">
      <c r="A2441" s="7" t="str">
        <f>IFERROR(VLOOKUP(H2441,'Contas Orç'!A:B,2,0),"N/A")</f>
        <v>REMUNERACOES</v>
      </c>
      <c r="B2441" s="7" t="str">
        <f t="shared" si="76"/>
        <v>330101 - REMUNERACOES</v>
      </c>
      <c r="C2441" s="25">
        <f t="shared" si="77"/>
        <v>44805</v>
      </c>
      <c r="D2441" s="27">
        <f>IF(K2441="CREDITO",Q2441,Q2441*-1)</f>
        <v>6547.38</v>
      </c>
      <c r="E2441" t="s">
        <v>894</v>
      </c>
      <c r="F2441" t="s">
        <v>2935</v>
      </c>
      <c r="G2441" s="8">
        <v>44805</v>
      </c>
      <c r="H2441" t="s">
        <v>577</v>
      </c>
      <c r="I2441" t="s">
        <v>1002</v>
      </c>
      <c r="J2441" t="s">
        <v>54</v>
      </c>
      <c r="K2441" t="s">
        <v>29</v>
      </c>
      <c r="L2441" t="s">
        <v>895</v>
      </c>
      <c r="M2441" t="s">
        <v>4402</v>
      </c>
      <c r="O2441" t="s">
        <v>896</v>
      </c>
      <c r="P2441" t="s">
        <v>33</v>
      </c>
      <c r="Q2441" s="22">
        <v>6547.38</v>
      </c>
      <c r="R2441" t="s">
        <v>35</v>
      </c>
      <c r="S2441" t="s">
        <v>35</v>
      </c>
      <c r="T2441" t="s">
        <v>35</v>
      </c>
      <c r="U2441" t="s">
        <v>35</v>
      </c>
      <c r="V2441" t="s">
        <v>645</v>
      </c>
      <c r="W2441" t="s">
        <v>113</v>
      </c>
    </row>
    <row r="2442" spans="1:23" hidden="1" x14ac:dyDescent="0.25">
      <c r="A2442" s="7" t="str">
        <f>IFERROR(VLOOKUP(H2442,'Contas Orç'!A:B,2,0),"N/A")</f>
        <v>REMUNERACOES</v>
      </c>
      <c r="B2442" s="7" t="str">
        <f t="shared" si="76"/>
        <v>330101 - REMUNERACOES</v>
      </c>
      <c r="C2442" s="25">
        <f t="shared" si="77"/>
        <v>44805</v>
      </c>
      <c r="D2442" s="27">
        <f>IF(K2442="CREDITO",Q2442,Q2442*-1)</f>
        <v>3886.82</v>
      </c>
      <c r="E2442" t="s">
        <v>894</v>
      </c>
      <c r="F2442" t="s">
        <v>2936</v>
      </c>
      <c r="G2442" s="8">
        <v>44805</v>
      </c>
      <c r="H2442" t="s">
        <v>577</v>
      </c>
      <c r="I2442" t="s">
        <v>121</v>
      </c>
      <c r="J2442" t="s">
        <v>54</v>
      </c>
      <c r="K2442" t="s">
        <v>29</v>
      </c>
      <c r="L2442" t="s">
        <v>895</v>
      </c>
      <c r="M2442" t="s">
        <v>4402</v>
      </c>
      <c r="O2442" t="s">
        <v>896</v>
      </c>
      <c r="P2442" t="s">
        <v>33</v>
      </c>
      <c r="Q2442" s="22">
        <v>3886.82</v>
      </c>
      <c r="R2442" t="s">
        <v>35</v>
      </c>
      <c r="S2442" t="s">
        <v>35</v>
      </c>
      <c r="T2442" t="s">
        <v>35</v>
      </c>
      <c r="U2442" t="s">
        <v>35</v>
      </c>
      <c r="V2442" t="s">
        <v>645</v>
      </c>
      <c r="W2442" t="s">
        <v>113</v>
      </c>
    </row>
    <row r="2443" spans="1:23" hidden="1" x14ac:dyDescent="0.25">
      <c r="A2443" s="7" t="str">
        <f>IFERROR(VLOOKUP(H2443,'Contas Orç'!A:B,2,0),"N/A")</f>
        <v>REMUNERACOES</v>
      </c>
      <c r="B2443" s="7" t="str">
        <f t="shared" si="76"/>
        <v>330101 - REMUNERACOES</v>
      </c>
      <c r="C2443" s="25">
        <f t="shared" si="77"/>
        <v>44805</v>
      </c>
      <c r="D2443" s="27">
        <f>IF(K2443="CREDITO",Q2443,Q2443*-1)</f>
        <v>14546.2</v>
      </c>
      <c r="E2443" t="s">
        <v>894</v>
      </c>
      <c r="F2443" t="s">
        <v>2937</v>
      </c>
      <c r="G2443" s="8">
        <v>44805</v>
      </c>
      <c r="H2443" t="s">
        <v>577</v>
      </c>
      <c r="I2443" t="s">
        <v>132</v>
      </c>
      <c r="J2443" t="s">
        <v>54</v>
      </c>
      <c r="K2443" t="s">
        <v>29</v>
      </c>
      <c r="L2443" t="s">
        <v>895</v>
      </c>
      <c r="M2443" t="s">
        <v>4402</v>
      </c>
      <c r="O2443" t="s">
        <v>896</v>
      </c>
      <c r="P2443" t="s">
        <v>33</v>
      </c>
      <c r="Q2443" s="22">
        <v>14546.2</v>
      </c>
      <c r="R2443" t="s">
        <v>35</v>
      </c>
      <c r="S2443" t="s">
        <v>35</v>
      </c>
      <c r="T2443" t="s">
        <v>35</v>
      </c>
      <c r="U2443" t="s">
        <v>35</v>
      </c>
      <c r="V2443" t="s">
        <v>645</v>
      </c>
      <c r="W2443" t="s">
        <v>113</v>
      </c>
    </row>
    <row r="2444" spans="1:23" hidden="1" x14ac:dyDescent="0.25">
      <c r="A2444" s="7" t="str">
        <f>IFERROR(VLOOKUP(H2444,'Contas Orç'!A:B,2,0),"N/A")</f>
        <v>REMUNERACOES</v>
      </c>
      <c r="B2444" s="7" t="str">
        <f t="shared" si="76"/>
        <v>330101 - REMUNERACOES</v>
      </c>
      <c r="C2444" s="25">
        <f t="shared" si="77"/>
        <v>44805</v>
      </c>
      <c r="D2444" s="27">
        <f>IF(K2444="CREDITO",Q2444,Q2444*-1)</f>
        <v>7923.15</v>
      </c>
      <c r="E2444" t="s">
        <v>894</v>
      </c>
      <c r="F2444" t="s">
        <v>2938</v>
      </c>
      <c r="G2444" s="8">
        <v>44805</v>
      </c>
      <c r="H2444" t="s">
        <v>577</v>
      </c>
      <c r="I2444" t="s">
        <v>114</v>
      </c>
      <c r="J2444" t="s">
        <v>54</v>
      </c>
      <c r="K2444" t="s">
        <v>29</v>
      </c>
      <c r="L2444" t="s">
        <v>895</v>
      </c>
      <c r="M2444" t="s">
        <v>4402</v>
      </c>
      <c r="O2444" t="s">
        <v>896</v>
      </c>
      <c r="P2444" t="s">
        <v>33</v>
      </c>
      <c r="Q2444" s="22">
        <v>7923.15</v>
      </c>
      <c r="R2444" t="s">
        <v>35</v>
      </c>
      <c r="S2444" t="s">
        <v>35</v>
      </c>
      <c r="T2444" t="s">
        <v>35</v>
      </c>
      <c r="U2444" t="s">
        <v>35</v>
      </c>
      <c r="V2444" t="s">
        <v>645</v>
      </c>
      <c r="W2444" t="s">
        <v>113</v>
      </c>
    </row>
    <row r="2445" spans="1:23" hidden="1" x14ac:dyDescent="0.25">
      <c r="A2445" s="7" t="str">
        <f>IFERROR(VLOOKUP(H2445,'Contas Orç'!A:B,2,0),"N/A")</f>
        <v>REMUNERACOES</v>
      </c>
      <c r="B2445" s="7" t="str">
        <f t="shared" si="76"/>
        <v>330101 - REMUNERACOES</v>
      </c>
      <c r="C2445" s="25">
        <f t="shared" si="77"/>
        <v>44805</v>
      </c>
      <c r="D2445" s="27">
        <f>IF(K2445="CREDITO",Q2445,Q2445*-1)</f>
        <v>31654.6</v>
      </c>
      <c r="E2445" t="s">
        <v>894</v>
      </c>
      <c r="F2445" t="s">
        <v>2939</v>
      </c>
      <c r="G2445" s="8">
        <v>44805</v>
      </c>
      <c r="H2445" t="s">
        <v>577</v>
      </c>
      <c r="I2445" t="s">
        <v>75</v>
      </c>
      <c r="J2445" t="s">
        <v>54</v>
      </c>
      <c r="K2445" t="s">
        <v>29</v>
      </c>
      <c r="L2445" t="s">
        <v>895</v>
      </c>
      <c r="M2445" t="s">
        <v>4402</v>
      </c>
      <c r="O2445" t="s">
        <v>896</v>
      </c>
      <c r="P2445" t="s">
        <v>33</v>
      </c>
      <c r="Q2445" s="22">
        <v>31654.6</v>
      </c>
      <c r="R2445" t="s">
        <v>35</v>
      </c>
      <c r="S2445" t="s">
        <v>35</v>
      </c>
      <c r="T2445" t="s">
        <v>35</v>
      </c>
      <c r="U2445" t="s">
        <v>35</v>
      </c>
      <c r="V2445" t="s">
        <v>645</v>
      </c>
      <c r="W2445" t="s">
        <v>113</v>
      </c>
    </row>
    <row r="2446" spans="1:23" hidden="1" x14ac:dyDescent="0.25">
      <c r="A2446" s="7" t="str">
        <f>IFERROR(VLOOKUP(H2446,'Contas Orç'!A:B,2,0),"N/A")</f>
        <v>REMUNERACOES</v>
      </c>
      <c r="B2446" s="7" t="str">
        <f t="shared" si="76"/>
        <v>330101 - REMUNERACOES</v>
      </c>
      <c r="C2446" s="25">
        <f t="shared" si="77"/>
        <v>44805</v>
      </c>
      <c r="D2446" s="27">
        <f>IF(K2446="CREDITO",Q2446,Q2446*-1)</f>
        <v>22488.49</v>
      </c>
      <c r="E2446" t="s">
        <v>894</v>
      </c>
      <c r="F2446" t="s">
        <v>2940</v>
      </c>
      <c r="G2446" s="8">
        <v>44805</v>
      </c>
      <c r="H2446" t="s">
        <v>577</v>
      </c>
      <c r="I2446" t="s">
        <v>78</v>
      </c>
      <c r="J2446" t="s">
        <v>54</v>
      </c>
      <c r="K2446" t="s">
        <v>29</v>
      </c>
      <c r="L2446" t="s">
        <v>895</v>
      </c>
      <c r="M2446" t="s">
        <v>4402</v>
      </c>
      <c r="O2446" t="s">
        <v>896</v>
      </c>
      <c r="P2446" t="s">
        <v>33</v>
      </c>
      <c r="Q2446" s="22">
        <v>22488.49</v>
      </c>
      <c r="R2446" t="s">
        <v>35</v>
      </c>
      <c r="S2446" t="s">
        <v>35</v>
      </c>
      <c r="T2446" t="s">
        <v>35</v>
      </c>
      <c r="U2446" t="s">
        <v>35</v>
      </c>
      <c r="V2446" t="s">
        <v>645</v>
      </c>
      <c r="W2446" t="s">
        <v>113</v>
      </c>
    </row>
    <row r="2447" spans="1:23" hidden="1" x14ac:dyDescent="0.25">
      <c r="A2447" s="7" t="str">
        <f>IFERROR(VLOOKUP(H2447,'Contas Orç'!A:B,2,0),"N/A")</f>
        <v>REMUNERACOES</v>
      </c>
      <c r="B2447" s="7" t="str">
        <f t="shared" si="76"/>
        <v>330101 - REMUNERACOES</v>
      </c>
      <c r="C2447" s="25">
        <f t="shared" si="77"/>
        <v>44805</v>
      </c>
      <c r="D2447" s="27">
        <f>IF(K2447="CREDITO",Q2447,Q2447*-1)</f>
        <v>10526.81</v>
      </c>
      <c r="E2447" t="s">
        <v>894</v>
      </c>
      <c r="F2447" t="s">
        <v>2941</v>
      </c>
      <c r="G2447" s="8">
        <v>44805</v>
      </c>
      <c r="H2447" t="s">
        <v>577</v>
      </c>
      <c r="I2447" t="s">
        <v>81</v>
      </c>
      <c r="J2447" t="s">
        <v>54</v>
      </c>
      <c r="K2447" t="s">
        <v>29</v>
      </c>
      <c r="L2447" t="s">
        <v>895</v>
      </c>
      <c r="M2447" t="s">
        <v>4402</v>
      </c>
      <c r="O2447" t="s">
        <v>896</v>
      </c>
      <c r="P2447" t="s">
        <v>33</v>
      </c>
      <c r="Q2447" s="22">
        <v>10526.81</v>
      </c>
      <c r="R2447" t="s">
        <v>35</v>
      </c>
      <c r="S2447" t="s">
        <v>35</v>
      </c>
      <c r="T2447" t="s">
        <v>35</v>
      </c>
      <c r="U2447" t="s">
        <v>35</v>
      </c>
      <c r="V2447" t="s">
        <v>645</v>
      </c>
      <c r="W2447" t="s">
        <v>113</v>
      </c>
    </row>
    <row r="2448" spans="1:23" hidden="1" x14ac:dyDescent="0.25">
      <c r="A2448" s="7" t="str">
        <f>IFERROR(VLOOKUP(H2448,'Contas Orç'!A:B,2,0),"N/A")</f>
        <v>REMUNERACOES</v>
      </c>
      <c r="B2448" s="7" t="str">
        <f t="shared" si="76"/>
        <v>330101 - REMUNERACOES</v>
      </c>
      <c r="C2448" s="25">
        <f t="shared" si="77"/>
        <v>44805</v>
      </c>
      <c r="D2448" s="27">
        <f>IF(K2448="CREDITO",Q2448,Q2448*-1)</f>
        <v>5487.38</v>
      </c>
      <c r="E2448" t="s">
        <v>894</v>
      </c>
      <c r="F2448" t="s">
        <v>2942</v>
      </c>
      <c r="G2448" s="8">
        <v>44805</v>
      </c>
      <c r="H2448" t="s">
        <v>577</v>
      </c>
      <c r="I2448" t="s">
        <v>136</v>
      </c>
      <c r="J2448" t="s">
        <v>54</v>
      </c>
      <c r="K2448" t="s">
        <v>29</v>
      </c>
      <c r="L2448" t="s">
        <v>895</v>
      </c>
      <c r="M2448" t="s">
        <v>4402</v>
      </c>
      <c r="O2448" t="s">
        <v>896</v>
      </c>
      <c r="P2448" t="s">
        <v>33</v>
      </c>
      <c r="Q2448" s="22">
        <v>5487.38</v>
      </c>
      <c r="R2448" t="s">
        <v>35</v>
      </c>
      <c r="S2448" t="s">
        <v>35</v>
      </c>
      <c r="T2448" t="s">
        <v>35</v>
      </c>
      <c r="U2448" t="s">
        <v>35</v>
      </c>
      <c r="V2448" t="s">
        <v>645</v>
      </c>
      <c r="W2448" t="s">
        <v>113</v>
      </c>
    </row>
    <row r="2449" spans="1:23" hidden="1" x14ac:dyDescent="0.25">
      <c r="A2449" s="7" t="str">
        <f>IFERROR(VLOOKUP(H2449,'Contas Orç'!A:B,2,0),"N/A")</f>
        <v>REMUNERACOES</v>
      </c>
      <c r="B2449" s="7" t="str">
        <f t="shared" si="76"/>
        <v>330101 - REMUNERACOES</v>
      </c>
      <c r="C2449" s="25">
        <f t="shared" si="77"/>
        <v>44805</v>
      </c>
      <c r="D2449" s="27">
        <f>IF(K2449="CREDITO",Q2449,Q2449*-1)</f>
        <v>1658.65</v>
      </c>
      <c r="E2449" t="s">
        <v>894</v>
      </c>
      <c r="F2449" t="s">
        <v>2943</v>
      </c>
      <c r="G2449" s="8">
        <v>44805</v>
      </c>
      <c r="H2449" t="s">
        <v>577</v>
      </c>
      <c r="I2449" t="s">
        <v>53</v>
      </c>
      <c r="J2449" t="s">
        <v>54</v>
      </c>
      <c r="K2449" t="s">
        <v>29</v>
      </c>
      <c r="L2449" t="s">
        <v>895</v>
      </c>
      <c r="M2449" t="s">
        <v>4402</v>
      </c>
      <c r="O2449" t="s">
        <v>896</v>
      </c>
      <c r="P2449" t="s">
        <v>33</v>
      </c>
      <c r="Q2449" s="22">
        <v>1658.65</v>
      </c>
      <c r="R2449" t="s">
        <v>35</v>
      </c>
      <c r="S2449" t="s">
        <v>35</v>
      </c>
      <c r="T2449" t="s">
        <v>35</v>
      </c>
      <c r="U2449" t="s">
        <v>35</v>
      </c>
      <c r="V2449" t="s">
        <v>645</v>
      </c>
      <c r="W2449" t="s">
        <v>113</v>
      </c>
    </row>
    <row r="2450" spans="1:23" hidden="1" x14ac:dyDescent="0.25">
      <c r="A2450" s="7" t="str">
        <f>IFERROR(VLOOKUP(H2450,'Contas Orç'!A:B,2,0),"N/A")</f>
        <v>REMUNERACOES</v>
      </c>
      <c r="B2450" s="7" t="str">
        <f t="shared" si="76"/>
        <v>330101 - REMUNERACOES</v>
      </c>
      <c r="C2450" s="25">
        <f t="shared" si="77"/>
        <v>44835</v>
      </c>
      <c r="D2450" s="27">
        <f>IF(K2450="CREDITO",Q2450,Q2450*-1)</f>
        <v>15795.66</v>
      </c>
      <c r="E2450" t="s">
        <v>894</v>
      </c>
      <c r="F2450" t="s">
        <v>2944</v>
      </c>
      <c r="G2450" s="8">
        <v>44835</v>
      </c>
      <c r="H2450" t="s">
        <v>577</v>
      </c>
      <c r="I2450" t="s">
        <v>99</v>
      </c>
      <c r="J2450" t="s">
        <v>28</v>
      </c>
      <c r="K2450" t="s">
        <v>29</v>
      </c>
      <c r="L2450" t="s">
        <v>895</v>
      </c>
      <c r="M2450" t="s">
        <v>4402</v>
      </c>
      <c r="O2450" t="s">
        <v>896</v>
      </c>
      <c r="P2450" t="s">
        <v>33</v>
      </c>
      <c r="Q2450" s="22">
        <v>15795.66</v>
      </c>
      <c r="R2450" t="s">
        <v>35</v>
      </c>
      <c r="S2450" t="s">
        <v>35</v>
      </c>
      <c r="T2450" t="s">
        <v>35</v>
      </c>
      <c r="U2450" t="s">
        <v>35</v>
      </c>
      <c r="V2450" t="s">
        <v>645</v>
      </c>
      <c r="W2450" t="s">
        <v>113</v>
      </c>
    </row>
    <row r="2451" spans="1:23" hidden="1" x14ac:dyDescent="0.25">
      <c r="A2451" s="7" t="str">
        <f>IFERROR(VLOOKUP(H2451,'Contas Orç'!A:B,2,0),"N/A")</f>
        <v>REMUNERACOES</v>
      </c>
      <c r="B2451" s="7" t="str">
        <f t="shared" si="76"/>
        <v>330101 - REMUNERACOES</v>
      </c>
      <c r="C2451" s="25">
        <f t="shared" si="77"/>
        <v>44835</v>
      </c>
      <c r="D2451" s="27">
        <f>IF(K2451="CREDITO",Q2451,Q2451*-1)</f>
        <v>326.25</v>
      </c>
      <c r="E2451" t="s">
        <v>894</v>
      </c>
      <c r="F2451" t="s">
        <v>2945</v>
      </c>
      <c r="G2451" s="8">
        <v>44835</v>
      </c>
      <c r="H2451" t="s">
        <v>577</v>
      </c>
      <c r="I2451" t="s">
        <v>27</v>
      </c>
      <c r="J2451" t="s">
        <v>28</v>
      </c>
      <c r="K2451" t="s">
        <v>29</v>
      </c>
      <c r="L2451" t="s">
        <v>895</v>
      </c>
      <c r="M2451" t="s">
        <v>4402</v>
      </c>
      <c r="O2451" t="s">
        <v>896</v>
      </c>
      <c r="P2451" t="s">
        <v>33</v>
      </c>
      <c r="Q2451">
        <v>326.25</v>
      </c>
      <c r="R2451" t="s">
        <v>35</v>
      </c>
      <c r="S2451" t="s">
        <v>35</v>
      </c>
      <c r="T2451" t="s">
        <v>35</v>
      </c>
      <c r="U2451" t="s">
        <v>35</v>
      </c>
      <c r="V2451" t="s">
        <v>645</v>
      </c>
      <c r="W2451" t="s">
        <v>113</v>
      </c>
    </row>
    <row r="2452" spans="1:23" hidden="1" x14ac:dyDescent="0.25">
      <c r="A2452" s="7" t="str">
        <f>IFERROR(VLOOKUP(H2452,'Contas Orç'!A:B,2,0),"N/A")</f>
        <v>REMUNERACOES</v>
      </c>
      <c r="B2452" s="7" t="str">
        <f t="shared" si="76"/>
        <v>330101 - REMUNERACOES</v>
      </c>
      <c r="C2452" s="25">
        <f t="shared" si="77"/>
        <v>44835</v>
      </c>
      <c r="D2452" s="27">
        <f>IF(K2452="CREDITO",Q2452,Q2452*-1)</f>
        <v>11758.35</v>
      </c>
      <c r="E2452" t="s">
        <v>894</v>
      </c>
      <c r="F2452" t="s">
        <v>2946</v>
      </c>
      <c r="G2452" s="8">
        <v>44835</v>
      </c>
      <c r="H2452" t="s">
        <v>577</v>
      </c>
      <c r="I2452" t="s">
        <v>81</v>
      </c>
      <c r="J2452" t="s">
        <v>60</v>
      </c>
      <c r="K2452" t="s">
        <v>29</v>
      </c>
      <c r="L2452" t="s">
        <v>895</v>
      </c>
      <c r="M2452" t="s">
        <v>4402</v>
      </c>
      <c r="O2452" t="s">
        <v>896</v>
      </c>
      <c r="P2452" t="s">
        <v>33</v>
      </c>
      <c r="Q2452" s="22">
        <v>11758.35</v>
      </c>
      <c r="R2452" t="s">
        <v>35</v>
      </c>
      <c r="S2452" t="s">
        <v>35</v>
      </c>
      <c r="T2452" t="s">
        <v>35</v>
      </c>
      <c r="U2452" t="s">
        <v>35</v>
      </c>
      <c r="V2452" t="s">
        <v>645</v>
      </c>
      <c r="W2452" t="s">
        <v>113</v>
      </c>
    </row>
    <row r="2453" spans="1:23" hidden="1" x14ac:dyDescent="0.25">
      <c r="A2453" s="7" t="str">
        <f>IFERROR(VLOOKUP(H2453,'Contas Orç'!A:B,2,0),"N/A")</f>
        <v>REMUNERACOES</v>
      </c>
      <c r="B2453" s="7" t="str">
        <f t="shared" si="76"/>
        <v>330101 - REMUNERACOES</v>
      </c>
      <c r="C2453" s="25">
        <f t="shared" si="77"/>
        <v>44835</v>
      </c>
      <c r="D2453" s="27">
        <f>IF(K2453="CREDITO",Q2453,Q2453*-1)</f>
        <v>38.74</v>
      </c>
      <c r="E2453" t="s">
        <v>894</v>
      </c>
      <c r="F2453" t="s">
        <v>2947</v>
      </c>
      <c r="G2453" s="8">
        <v>44835</v>
      </c>
      <c r="H2453" t="s">
        <v>577</v>
      </c>
      <c r="I2453" t="s">
        <v>59</v>
      </c>
      <c r="J2453" t="s">
        <v>60</v>
      </c>
      <c r="K2453" t="s">
        <v>29</v>
      </c>
      <c r="L2453" t="s">
        <v>895</v>
      </c>
      <c r="M2453" t="s">
        <v>4402</v>
      </c>
      <c r="O2453" t="s">
        <v>896</v>
      </c>
      <c r="P2453" t="s">
        <v>33</v>
      </c>
      <c r="Q2453">
        <v>38.74</v>
      </c>
      <c r="R2453" t="s">
        <v>35</v>
      </c>
      <c r="S2453" t="s">
        <v>35</v>
      </c>
      <c r="T2453" t="s">
        <v>35</v>
      </c>
      <c r="U2453" t="s">
        <v>35</v>
      </c>
      <c r="V2453" t="s">
        <v>645</v>
      </c>
      <c r="W2453" t="s">
        <v>113</v>
      </c>
    </row>
    <row r="2454" spans="1:23" hidden="1" x14ac:dyDescent="0.25">
      <c r="A2454" s="7" t="str">
        <f>IFERROR(VLOOKUP(H2454,'Contas Orç'!A:B,2,0),"N/A")</f>
        <v>REMUNERACOES</v>
      </c>
      <c r="B2454" s="7" t="str">
        <f t="shared" si="76"/>
        <v>330101 - REMUNERACOES</v>
      </c>
      <c r="C2454" s="25">
        <f t="shared" si="77"/>
        <v>44835</v>
      </c>
      <c r="D2454" s="27">
        <f>IF(K2454="CREDITO",Q2454,Q2454*-1)</f>
        <v>9.7100000000000009</v>
      </c>
      <c r="E2454" t="s">
        <v>894</v>
      </c>
      <c r="F2454" t="s">
        <v>2948</v>
      </c>
      <c r="G2454" s="8">
        <v>44835</v>
      </c>
      <c r="H2454" t="s">
        <v>577</v>
      </c>
      <c r="I2454" t="s">
        <v>125</v>
      </c>
      <c r="J2454" t="s">
        <v>95</v>
      </c>
      <c r="K2454" t="s">
        <v>29</v>
      </c>
      <c r="L2454" t="s">
        <v>895</v>
      </c>
      <c r="M2454" t="s">
        <v>4402</v>
      </c>
      <c r="O2454" t="s">
        <v>896</v>
      </c>
      <c r="P2454" t="s">
        <v>33</v>
      </c>
      <c r="Q2454">
        <v>9.7100000000000009</v>
      </c>
      <c r="R2454" t="s">
        <v>35</v>
      </c>
      <c r="S2454" t="s">
        <v>35</v>
      </c>
      <c r="T2454" t="s">
        <v>35</v>
      </c>
      <c r="U2454" t="s">
        <v>35</v>
      </c>
      <c r="V2454" t="s">
        <v>645</v>
      </c>
      <c r="W2454" t="s">
        <v>113</v>
      </c>
    </row>
    <row r="2455" spans="1:23" hidden="1" x14ac:dyDescent="0.25">
      <c r="A2455" s="7" t="str">
        <f>IFERROR(VLOOKUP(H2455,'Contas Orç'!A:B,2,0),"N/A")</f>
        <v>REMUNERACOES</v>
      </c>
      <c r="B2455" s="7" t="str">
        <f t="shared" si="76"/>
        <v>330101 - REMUNERACOES</v>
      </c>
      <c r="C2455" s="25">
        <f t="shared" si="77"/>
        <v>44835</v>
      </c>
      <c r="D2455" s="27">
        <f>IF(K2455="CREDITO",Q2455,Q2455*-1)</f>
        <v>9432.01</v>
      </c>
      <c r="E2455" t="s">
        <v>894</v>
      </c>
      <c r="F2455" t="s">
        <v>2949</v>
      </c>
      <c r="G2455" s="8">
        <v>44835</v>
      </c>
      <c r="H2455" t="s">
        <v>577</v>
      </c>
      <c r="I2455" t="s">
        <v>2062</v>
      </c>
      <c r="J2455" t="s">
        <v>54</v>
      </c>
      <c r="K2455" t="s">
        <v>29</v>
      </c>
      <c r="L2455" t="s">
        <v>895</v>
      </c>
      <c r="M2455" t="s">
        <v>4402</v>
      </c>
      <c r="O2455" t="s">
        <v>896</v>
      </c>
      <c r="P2455" t="s">
        <v>33</v>
      </c>
      <c r="Q2455" s="22">
        <v>9432.01</v>
      </c>
      <c r="R2455" t="s">
        <v>35</v>
      </c>
      <c r="S2455" t="s">
        <v>35</v>
      </c>
      <c r="T2455" t="s">
        <v>35</v>
      </c>
      <c r="U2455" t="s">
        <v>35</v>
      </c>
      <c r="V2455" t="s">
        <v>645</v>
      </c>
      <c r="W2455" t="s">
        <v>113</v>
      </c>
    </row>
    <row r="2456" spans="1:23" hidden="1" x14ac:dyDescent="0.25">
      <c r="A2456" s="7" t="str">
        <f>IFERROR(VLOOKUP(H2456,'Contas Orç'!A:B,2,0),"N/A")</f>
        <v>REMUNERACOES</v>
      </c>
      <c r="B2456" s="7" t="str">
        <f t="shared" si="76"/>
        <v>330101 - REMUNERACOES</v>
      </c>
      <c r="C2456" s="25">
        <f t="shared" si="77"/>
        <v>44835</v>
      </c>
      <c r="D2456" s="27">
        <f>IF(K2456="CREDITO",Q2456,Q2456*-1)</f>
        <v>43178.99</v>
      </c>
      <c r="E2456" t="s">
        <v>894</v>
      </c>
      <c r="F2456" t="s">
        <v>2950</v>
      </c>
      <c r="G2456" s="8">
        <v>44835</v>
      </c>
      <c r="H2456" t="s">
        <v>577</v>
      </c>
      <c r="I2456" t="s">
        <v>40</v>
      </c>
      <c r="J2456" t="s">
        <v>54</v>
      </c>
      <c r="K2456" t="s">
        <v>29</v>
      </c>
      <c r="L2456" t="s">
        <v>895</v>
      </c>
      <c r="M2456" t="s">
        <v>4402</v>
      </c>
      <c r="O2456" t="s">
        <v>896</v>
      </c>
      <c r="P2456" t="s">
        <v>33</v>
      </c>
      <c r="Q2456" s="22">
        <v>43178.99</v>
      </c>
      <c r="R2456" t="s">
        <v>35</v>
      </c>
      <c r="S2456" t="s">
        <v>35</v>
      </c>
      <c r="T2456" t="s">
        <v>35</v>
      </c>
      <c r="U2456" t="s">
        <v>35</v>
      </c>
      <c r="V2456" t="s">
        <v>645</v>
      </c>
      <c r="W2456" t="s">
        <v>113</v>
      </c>
    </row>
    <row r="2457" spans="1:23" hidden="1" x14ac:dyDescent="0.25">
      <c r="A2457" s="7" t="str">
        <f>IFERROR(VLOOKUP(H2457,'Contas Orç'!A:B,2,0),"N/A")</f>
        <v>REMUNERACOES</v>
      </c>
      <c r="B2457" s="7" t="str">
        <f t="shared" si="76"/>
        <v>330101 - REMUNERACOES</v>
      </c>
      <c r="C2457" s="25">
        <f t="shared" si="77"/>
        <v>44835</v>
      </c>
      <c r="D2457" s="27">
        <f>IF(K2457="CREDITO",Q2457,Q2457*-1)</f>
        <v>6612.85</v>
      </c>
      <c r="E2457" t="s">
        <v>894</v>
      </c>
      <c r="F2457" t="s">
        <v>2951</v>
      </c>
      <c r="G2457" s="8">
        <v>44835</v>
      </c>
      <c r="H2457" t="s">
        <v>577</v>
      </c>
      <c r="I2457" t="s">
        <v>1002</v>
      </c>
      <c r="J2457" t="s">
        <v>54</v>
      </c>
      <c r="K2457" t="s">
        <v>29</v>
      </c>
      <c r="L2457" t="s">
        <v>895</v>
      </c>
      <c r="M2457" t="s">
        <v>4402</v>
      </c>
      <c r="O2457" t="s">
        <v>896</v>
      </c>
      <c r="P2457" t="s">
        <v>33</v>
      </c>
      <c r="Q2457" s="22">
        <v>6612.85</v>
      </c>
      <c r="R2457" t="s">
        <v>35</v>
      </c>
      <c r="S2457" t="s">
        <v>35</v>
      </c>
      <c r="T2457" t="s">
        <v>35</v>
      </c>
      <c r="U2457" t="s">
        <v>35</v>
      </c>
      <c r="V2457" t="s">
        <v>645</v>
      </c>
      <c r="W2457" t="s">
        <v>113</v>
      </c>
    </row>
    <row r="2458" spans="1:23" hidden="1" x14ac:dyDescent="0.25">
      <c r="A2458" s="7" t="str">
        <f>IFERROR(VLOOKUP(H2458,'Contas Orç'!A:B,2,0),"N/A")</f>
        <v>REMUNERACOES</v>
      </c>
      <c r="B2458" s="7" t="str">
        <f t="shared" si="76"/>
        <v>330101 - REMUNERACOES</v>
      </c>
      <c r="C2458" s="25">
        <f t="shared" si="77"/>
        <v>44835</v>
      </c>
      <c r="D2458" s="27">
        <f>IF(K2458="CREDITO",Q2458,Q2458*-1)</f>
        <v>3925.69</v>
      </c>
      <c r="E2458" t="s">
        <v>894</v>
      </c>
      <c r="F2458" t="s">
        <v>2952</v>
      </c>
      <c r="G2458" s="8">
        <v>44835</v>
      </c>
      <c r="H2458" t="s">
        <v>577</v>
      </c>
      <c r="I2458" t="s">
        <v>121</v>
      </c>
      <c r="J2458" t="s">
        <v>54</v>
      </c>
      <c r="K2458" t="s">
        <v>29</v>
      </c>
      <c r="L2458" t="s">
        <v>895</v>
      </c>
      <c r="M2458" t="s">
        <v>4402</v>
      </c>
      <c r="O2458" t="s">
        <v>896</v>
      </c>
      <c r="P2458" t="s">
        <v>33</v>
      </c>
      <c r="Q2458" s="22">
        <v>3925.69</v>
      </c>
      <c r="R2458" t="s">
        <v>35</v>
      </c>
      <c r="S2458" t="s">
        <v>35</v>
      </c>
      <c r="T2458" t="s">
        <v>35</v>
      </c>
      <c r="U2458" t="s">
        <v>35</v>
      </c>
      <c r="V2458" t="s">
        <v>645</v>
      </c>
      <c r="W2458" t="s">
        <v>113</v>
      </c>
    </row>
    <row r="2459" spans="1:23" hidden="1" x14ac:dyDescent="0.25">
      <c r="A2459" s="7" t="str">
        <f>IFERROR(VLOOKUP(H2459,'Contas Orç'!A:B,2,0),"N/A")</f>
        <v>REMUNERACOES</v>
      </c>
      <c r="B2459" s="7" t="str">
        <f t="shared" si="76"/>
        <v>330101 - REMUNERACOES</v>
      </c>
      <c r="C2459" s="25">
        <f t="shared" si="77"/>
        <v>44835</v>
      </c>
      <c r="D2459" s="27">
        <f>IF(K2459="CREDITO",Q2459,Q2459*-1)</f>
        <v>14691.66</v>
      </c>
      <c r="E2459" t="s">
        <v>894</v>
      </c>
      <c r="F2459" t="s">
        <v>2953</v>
      </c>
      <c r="G2459" s="8">
        <v>44835</v>
      </c>
      <c r="H2459" t="s">
        <v>577</v>
      </c>
      <c r="I2459" t="s">
        <v>132</v>
      </c>
      <c r="J2459" t="s">
        <v>54</v>
      </c>
      <c r="K2459" t="s">
        <v>29</v>
      </c>
      <c r="L2459" t="s">
        <v>895</v>
      </c>
      <c r="M2459" t="s">
        <v>4402</v>
      </c>
      <c r="O2459" t="s">
        <v>896</v>
      </c>
      <c r="P2459" t="s">
        <v>33</v>
      </c>
      <c r="Q2459" s="22">
        <v>14691.66</v>
      </c>
      <c r="R2459" t="s">
        <v>35</v>
      </c>
      <c r="S2459" t="s">
        <v>35</v>
      </c>
      <c r="T2459" t="s">
        <v>35</v>
      </c>
      <c r="U2459" t="s">
        <v>35</v>
      </c>
      <c r="V2459" t="s">
        <v>645</v>
      </c>
      <c r="W2459" t="s">
        <v>113</v>
      </c>
    </row>
    <row r="2460" spans="1:23" hidden="1" x14ac:dyDescent="0.25">
      <c r="A2460" s="7" t="str">
        <f>IFERROR(VLOOKUP(H2460,'Contas Orç'!A:B,2,0),"N/A")</f>
        <v>REMUNERACOES</v>
      </c>
      <c r="B2460" s="7" t="str">
        <f t="shared" si="76"/>
        <v>330101 - REMUNERACOES</v>
      </c>
      <c r="C2460" s="25">
        <f t="shared" si="77"/>
        <v>44835</v>
      </c>
      <c r="D2460" s="27">
        <f>IF(K2460="CREDITO",Q2460,Q2460*-1)</f>
        <v>8002.38</v>
      </c>
      <c r="E2460" t="s">
        <v>894</v>
      </c>
      <c r="F2460" t="s">
        <v>2954</v>
      </c>
      <c r="G2460" s="8">
        <v>44835</v>
      </c>
      <c r="H2460" t="s">
        <v>577</v>
      </c>
      <c r="I2460" t="s">
        <v>114</v>
      </c>
      <c r="J2460" t="s">
        <v>54</v>
      </c>
      <c r="K2460" t="s">
        <v>29</v>
      </c>
      <c r="L2460" t="s">
        <v>895</v>
      </c>
      <c r="M2460" t="s">
        <v>4402</v>
      </c>
      <c r="O2460" t="s">
        <v>896</v>
      </c>
      <c r="P2460" t="s">
        <v>33</v>
      </c>
      <c r="Q2460" s="22">
        <v>8002.38</v>
      </c>
      <c r="R2460" t="s">
        <v>35</v>
      </c>
      <c r="S2460" t="s">
        <v>35</v>
      </c>
      <c r="T2460" t="s">
        <v>35</v>
      </c>
      <c r="U2460" t="s">
        <v>35</v>
      </c>
      <c r="V2460" t="s">
        <v>645</v>
      </c>
      <c r="W2460" t="s">
        <v>113</v>
      </c>
    </row>
    <row r="2461" spans="1:23" hidden="1" x14ac:dyDescent="0.25">
      <c r="A2461" s="7" t="str">
        <f>IFERROR(VLOOKUP(H2461,'Contas Orç'!A:B,2,0),"N/A")</f>
        <v>REMUNERACOES</v>
      </c>
      <c r="B2461" s="7" t="str">
        <f t="shared" si="76"/>
        <v>330101 - REMUNERACOES</v>
      </c>
      <c r="C2461" s="25">
        <f t="shared" si="77"/>
        <v>44835</v>
      </c>
      <c r="D2461" s="27">
        <f>IF(K2461="CREDITO",Q2461,Q2461*-1)</f>
        <v>31971.15</v>
      </c>
      <c r="E2461" t="s">
        <v>894</v>
      </c>
      <c r="F2461" t="s">
        <v>2955</v>
      </c>
      <c r="G2461" s="8">
        <v>44835</v>
      </c>
      <c r="H2461" t="s">
        <v>577</v>
      </c>
      <c r="I2461" t="s">
        <v>75</v>
      </c>
      <c r="J2461" t="s">
        <v>54</v>
      </c>
      <c r="K2461" t="s">
        <v>29</v>
      </c>
      <c r="L2461" t="s">
        <v>895</v>
      </c>
      <c r="M2461" t="s">
        <v>4402</v>
      </c>
      <c r="O2461" t="s">
        <v>896</v>
      </c>
      <c r="P2461" t="s">
        <v>33</v>
      </c>
      <c r="Q2461" s="22">
        <v>31971.15</v>
      </c>
      <c r="R2461" t="s">
        <v>35</v>
      </c>
      <c r="S2461" t="s">
        <v>35</v>
      </c>
      <c r="T2461" t="s">
        <v>35</v>
      </c>
      <c r="U2461" t="s">
        <v>35</v>
      </c>
      <c r="V2461" t="s">
        <v>645</v>
      </c>
      <c r="W2461" t="s">
        <v>113</v>
      </c>
    </row>
    <row r="2462" spans="1:23" hidden="1" x14ac:dyDescent="0.25">
      <c r="A2462" s="7" t="str">
        <f>IFERROR(VLOOKUP(H2462,'Contas Orç'!A:B,2,0),"N/A")</f>
        <v>REMUNERACOES</v>
      </c>
      <c r="B2462" s="7" t="str">
        <f t="shared" si="76"/>
        <v>330101 - REMUNERACOES</v>
      </c>
      <c r="C2462" s="25">
        <f t="shared" si="77"/>
        <v>44835</v>
      </c>
      <c r="D2462" s="27">
        <f>IF(K2462="CREDITO",Q2462,Q2462*-1)</f>
        <v>22713.37</v>
      </c>
      <c r="E2462" t="s">
        <v>894</v>
      </c>
      <c r="F2462" t="s">
        <v>2956</v>
      </c>
      <c r="G2462" s="8">
        <v>44835</v>
      </c>
      <c r="H2462" t="s">
        <v>577</v>
      </c>
      <c r="I2462" t="s">
        <v>78</v>
      </c>
      <c r="J2462" t="s">
        <v>54</v>
      </c>
      <c r="K2462" t="s">
        <v>29</v>
      </c>
      <c r="L2462" t="s">
        <v>895</v>
      </c>
      <c r="M2462" t="s">
        <v>4402</v>
      </c>
      <c r="O2462" t="s">
        <v>896</v>
      </c>
      <c r="P2462" t="s">
        <v>33</v>
      </c>
      <c r="Q2462" s="22">
        <v>22713.37</v>
      </c>
      <c r="R2462" t="s">
        <v>35</v>
      </c>
      <c r="S2462" t="s">
        <v>35</v>
      </c>
      <c r="T2462" t="s">
        <v>35</v>
      </c>
      <c r="U2462" t="s">
        <v>35</v>
      </c>
      <c r="V2462" t="s">
        <v>645</v>
      </c>
      <c r="W2462" t="s">
        <v>113</v>
      </c>
    </row>
    <row r="2463" spans="1:23" hidden="1" x14ac:dyDescent="0.25">
      <c r="A2463" s="7" t="str">
        <f>IFERROR(VLOOKUP(H2463,'Contas Orç'!A:B,2,0),"N/A")</f>
        <v>REMUNERACOES</v>
      </c>
      <c r="B2463" s="7" t="str">
        <f t="shared" si="76"/>
        <v>330101 - REMUNERACOES</v>
      </c>
      <c r="C2463" s="25">
        <f t="shared" si="77"/>
        <v>44835</v>
      </c>
      <c r="D2463" s="27">
        <f>IF(K2463="CREDITO",Q2463,Q2463*-1)</f>
        <v>10632.08</v>
      </c>
      <c r="E2463" t="s">
        <v>894</v>
      </c>
      <c r="F2463" t="s">
        <v>2957</v>
      </c>
      <c r="G2463" s="8">
        <v>44835</v>
      </c>
      <c r="H2463" t="s">
        <v>577</v>
      </c>
      <c r="I2463" t="s">
        <v>81</v>
      </c>
      <c r="J2463" t="s">
        <v>54</v>
      </c>
      <c r="K2463" t="s">
        <v>29</v>
      </c>
      <c r="L2463" t="s">
        <v>895</v>
      </c>
      <c r="M2463" t="s">
        <v>4402</v>
      </c>
      <c r="O2463" t="s">
        <v>896</v>
      </c>
      <c r="P2463" t="s">
        <v>33</v>
      </c>
      <c r="Q2463" s="22">
        <v>10632.08</v>
      </c>
      <c r="R2463" t="s">
        <v>35</v>
      </c>
      <c r="S2463" t="s">
        <v>35</v>
      </c>
      <c r="T2463" t="s">
        <v>35</v>
      </c>
      <c r="U2463" t="s">
        <v>35</v>
      </c>
      <c r="V2463" t="s">
        <v>645</v>
      </c>
      <c r="W2463" t="s">
        <v>113</v>
      </c>
    </row>
    <row r="2464" spans="1:23" hidden="1" x14ac:dyDescent="0.25">
      <c r="A2464" s="7" t="str">
        <f>IFERROR(VLOOKUP(H2464,'Contas Orç'!A:B,2,0),"N/A")</f>
        <v>REMUNERACOES</v>
      </c>
      <c r="B2464" s="7" t="str">
        <f t="shared" si="76"/>
        <v>330101 - REMUNERACOES</v>
      </c>
      <c r="C2464" s="25">
        <f t="shared" si="77"/>
        <v>44835</v>
      </c>
      <c r="D2464" s="27">
        <f>IF(K2464="CREDITO",Q2464,Q2464*-1)</f>
        <v>5542.25</v>
      </c>
      <c r="E2464" t="s">
        <v>894</v>
      </c>
      <c r="F2464" t="s">
        <v>2958</v>
      </c>
      <c r="G2464" s="8">
        <v>44835</v>
      </c>
      <c r="H2464" t="s">
        <v>577</v>
      </c>
      <c r="I2464" t="s">
        <v>136</v>
      </c>
      <c r="J2464" t="s">
        <v>54</v>
      </c>
      <c r="K2464" t="s">
        <v>29</v>
      </c>
      <c r="L2464" t="s">
        <v>895</v>
      </c>
      <c r="M2464" t="s">
        <v>4402</v>
      </c>
      <c r="O2464" t="s">
        <v>896</v>
      </c>
      <c r="P2464" t="s">
        <v>33</v>
      </c>
      <c r="Q2464" s="22">
        <v>5542.25</v>
      </c>
      <c r="R2464" t="s">
        <v>35</v>
      </c>
      <c r="S2464" t="s">
        <v>35</v>
      </c>
      <c r="T2464" t="s">
        <v>35</v>
      </c>
      <c r="U2464" t="s">
        <v>35</v>
      </c>
      <c r="V2464" t="s">
        <v>645</v>
      </c>
      <c r="W2464" t="s">
        <v>113</v>
      </c>
    </row>
    <row r="2465" spans="1:23" hidden="1" x14ac:dyDescent="0.25">
      <c r="A2465" s="7" t="str">
        <f>IFERROR(VLOOKUP(H2465,'Contas Orç'!A:B,2,0),"N/A")</f>
        <v>REMUNERACOES</v>
      </c>
      <c r="B2465" s="7" t="str">
        <f t="shared" si="76"/>
        <v>330101 - REMUNERACOES</v>
      </c>
      <c r="C2465" s="25">
        <f t="shared" si="77"/>
        <v>44835</v>
      </c>
      <c r="D2465" s="27">
        <f>IF(K2465="CREDITO",Q2465,Q2465*-1)</f>
        <v>1675.24</v>
      </c>
      <c r="E2465" t="s">
        <v>894</v>
      </c>
      <c r="F2465" t="s">
        <v>2959</v>
      </c>
      <c r="G2465" s="8">
        <v>44835</v>
      </c>
      <c r="H2465" t="s">
        <v>577</v>
      </c>
      <c r="I2465" t="s">
        <v>53</v>
      </c>
      <c r="J2465" t="s">
        <v>54</v>
      </c>
      <c r="K2465" t="s">
        <v>29</v>
      </c>
      <c r="L2465" t="s">
        <v>895</v>
      </c>
      <c r="M2465" t="s">
        <v>4402</v>
      </c>
      <c r="O2465" t="s">
        <v>896</v>
      </c>
      <c r="P2465" t="s">
        <v>33</v>
      </c>
      <c r="Q2465" s="22">
        <v>1675.24</v>
      </c>
      <c r="R2465" t="s">
        <v>35</v>
      </c>
      <c r="S2465" t="s">
        <v>35</v>
      </c>
      <c r="T2465" t="s">
        <v>35</v>
      </c>
      <c r="U2465" t="s">
        <v>35</v>
      </c>
      <c r="V2465" t="s">
        <v>645</v>
      </c>
      <c r="W2465" t="s">
        <v>113</v>
      </c>
    </row>
    <row r="2466" spans="1:23" hidden="1" x14ac:dyDescent="0.25">
      <c r="A2466" s="7" t="str">
        <f>IFERROR(VLOOKUP(H2466,'Contas Orç'!A:B,2,0),"N/A")</f>
        <v>REMUNERACOES</v>
      </c>
      <c r="B2466" s="7" t="str">
        <f t="shared" si="76"/>
        <v>330101 - REMUNERACOES</v>
      </c>
      <c r="C2466" s="25">
        <f t="shared" si="77"/>
        <v>44866</v>
      </c>
      <c r="D2466" s="27">
        <f>IF(K2466="CREDITO",Q2466,Q2466*-1)</f>
        <v>15953.62</v>
      </c>
      <c r="E2466" t="s">
        <v>894</v>
      </c>
      <c r="F2466" t="s">
        <v>2960</v>
      </c>
      <c r="G2466" s="8">
        <v>44866</v>
      </c>
      <c r="H2466" t="s">
        <v>577</v>
      </c>
      <c r="I2466" t="s">
        <v>99</v>
      </c>
      <c r="J2466" t="s">
        <v>28</v>
      </c>
      <c r="K2466" t="s">
        <v>29</v>
      </c>
      <c r="L2466" t="s">
        <v>895</v>
      </c>
      <c r="M2466" t="s">
        <v>4402</v>
      </c>
      <c r="O2466" t="s">
        <v>896</v>
      </c>
      <c r="P2466" t="s">
        <v>33</v>
      </c>
      <c r="Q2466" s="22">
        <v>15953.62</v>
      </c>
      <c r="R2466" t="s">
        <v>35</v>
      </c>
      <c r="S2466" t="s">
        <v>35</v>
      </c>
      <c r="T2466" t="s">
        <v>35</v>
      </c>
      <c r="U2466" t="s">
        <v>35</v>
      </c>
      <c r="V2466" t="s">
        <v>645</v>
      </c>
      <c r="W2466" t="s">
        <v>113</v>
      </c>
    </row>
    <row r="2467" spans="1:23" hidden="1" x14ac:dyDescent="0.25">
      <c r="A2467" s="7" t="str">
        <f>IFERROR(VLOOKUP(H2467,'Contas Orç'!A:B,2,0),"N/A")</f>
        <v>REMUNERACOES</v>
      </c>
      <c r="B2467" s="7" t="str">
        <f t="shared" si="76"/>
        <v>330101 - REMUNERACOES</v>
      </c>
      <c r="C2467" s="25">
        <f t="shared" si="77"/>
        <v>44866</v>
      </c>
      <c r="D2467" s="27">
        <f>IF(K2467="CREDITO",Q2467,Q2467*-1)</f>
        <v>329.51</v>
      </c>
      <c r="E2467" t="s">
        <v>894</v>
      </c>
      <c r="F2467" t="s">
        <v>2961</v>
      </c>
      <c r="G2467" s="8">
        <v>44866</v>
      </c>
      <c r="H2467" t="s">
        <v>577</v>
      </c>
      <c r="I2467" t="s">
        <v>27</v>
      </c>
      <c r="J2467" t="s">
        <v>28</v>
      </c>
      <c r="K2467" t="s">
        <v>29</v>
      </c>
      <c r="L2467" t="s">
        <v>895</v>
      </c>
      <c r="M2467" t="s">
        <v>4402</v>
      </c>
      <c r="O2467" t="s">
        <v>896</v>
      </c>
      <c r="P2467" t="s">
        <v>33</v>
      </c>
      <c r="Q2467">
        <v>329.51</v>
      </c>
      <c r="R2467" t="s">
        <v>35</v>
      </c>
      <c r="S2467" t="s">
        <v>35</v>
      </c>
      <c r="T2467" t="s">
        <v>35</v>
      </c>
      <c r="U2467" t="s">
        <v>35</v>
      </c>
      <c r="V2467" t="s">
        <v>645</v>
      </c>
      <c r="W2467" t="s">
        <v>113</v>
      </c>
    </row>
    <row r="2468" spans="1:23" hidden="1" x14ac:dyDescent="0.25">
      <c r="A2468" s="7" t="str">
        <f>IFERROR(VLOOKUP(H2468,'Contas Orç'!A:B,2,0),"N/A")</f>
        <v>REMUNERACOES</v>
      </c>
      <c r="B2468" s="7" t="str">
        <f t="shared" si="76"/>
        <v>330101 - REMUNERACOES</v>
      </c>
      <c r="C2468" s="25">
        <f t="shared" si="77"/>
        <v>44866</v>
      </c>
      <c r="D2468" s="27">
        <f>IF(K2468="CREDITO",Q2468,Q2468*-1)</f>
        <v>11875.93</v>
      </c>
      <c r="E2468" t="s">
        <v>894</v>
      </c>
      <c r="F2468" t="s">
        <v>2962</v>
      </c>
      <c r="G2468" s="8">
        <v>44866</v>
      </c>
      <c r="H2468" t="s">
        <v>577</v>
      </c>
      <c r="I2468" t="s">
        <v>81</v>
      </c>
      <c r="J2468" t="s">
        <v>60</v>
      </c>
      <c r="K2468" t="s">
        <v>29</v>
      </c>
      <c r="L2468" t="s">
        <v>895</v>
      </c>
      <c r="M2468" t="s">
        <v>4402</v>
      </c>
      <c r="O2468" t="s">
        <v>896</v>
      </c>
      <c r="P2468" t="s">
        <v>33</v>
      </c>
      <c r="Q2468" s="22">
        <v>11875.93</v>
      </c>
      <c r="R2468" t="s">
        <v>35</v>
      </c>
      <c r="S2468" t="s">
        <v>35</v>
      </c>
      <c r="T2468" t="s">
        <v>35</v>
      </c>
      <c r="U2468" t="s">
        <v>35</v>
      </c>
      <c r="V2468" t="s">
        <v>645</v>
      </c>
      <c r="W2468" t="s">
        <v>113</v>
      </c>
    </row>
    <row r="2469" spans="1:23" hidden="1" x14ac:dyDescent="0.25">
      <c r="A2469" s="7" t="str">
        <f>IFERROR(VLOOKUP(H2469,'Contas Orç'!A:B,2,0),"N/A")</f>
        <v>REMUNERACOES</v>
      </c>
      <c r="B2469" s="7" t="str">
        <f t="shared" si="76"/>
        <v>330101 - REMUNERACOES</v>
      </c>
      <c r="C2469" s="25">
        <f t="shared" si="77"/>
        <v>44866</v>
      </c>
      <c r="D2469" s="27">
        <f>IF(K2469="CREDITO",Q2469,Q2469*-1)</f>
        <v>39.130000000000003</v>
      </c>
      <c r="E2469" t="s">
        <v>894</v>
      </c>
      <c r="F2469" t="s">
        <v>2963</v>
      </c>
      <c r="G2469" s="8">
        <v>44866</v>
      </c>
      <c r="H2469" t="s">
        <v>577</v>
      </c>
      <c r="I2469" t="s">
        <v>59</v>
      </c>
      <c r="J2469" t="s">
        <v>60</v>
      </c>
      <c r="K2469" t="s">
        <v>29</v>
      </c>
      <c r="L2469" t="s">
        <v>895</v>
      </c>
      <c r="M2469" t="s">
        <v>4402</v>
      </c>
      <c r="O2469" t="s">
        <v>896</v>
      </c>
      <c r="P2469" t="s">
        <v>33</v>
      </c>
      <c r="Q2469">
        <v>39.130000000000003</v>
      </c>
      <c r="R2469" t="s">
        <v>35</v>
      </c>
      <c r="S2469" t="s">
        <v>35</v>
      </c>
      <c r="T2469" t="s">
        <v>35</v>
      </c>
      <c r="U2469" t="s">
        <v>35</v>
      </c>
      <c r="V2469" t="s">
        <v>645</v>
      </c>
      <c r="W2469" t="s">
        <v>113</v>
      </c>
    </row>
    <row r="2470" spans="1:23" hidden="1" x14ac:dyDescent="0.25">
      <c r="A2470" s="7" t="str">
        <f>IFERROR(VLOOKUP(H2470,'Contas Orç'!A:B,2,0),"N/A")</f>
        <v>REMUNERACOES</v>
      </c>
      <c r="B2470" s="7" t="str">
        <f t="shared" si="76"/>
        <v>330101 - REMUNERACOES</v>
      </c>
      <c r="C2470" s="25">
        <f t="shared" si="77"/>
        <v>44866</v>
      </c>
      <c r="D2470" s="27">
        <f>IF(K2470="CREDITO",Q2470,Q2470*-1)</f>
        <v>9.8000000000000007</v>
      </c>
      <c r="E2470" t="s">
        <v>894</v>
      </c>
      <c r="F2470" t="s">
        <v>2964</v>
      </c>
      <c r="G2470" s="8">
        <v>44866</v>
      </c>
      <c r="H2470" t="s">
        <v>577</v>
      </c>
      <c r="I2470" t="s">
        <v>125</v>
      </c>
      <c r="J2470" t="s">
        <v>95</v>
      </c>
      <c r="K2470" t="s">
        <v>29</v>
      </c>
      <c r="L2470" t="s">
        <v>895</v>
      </c>
      <c r="M2470" t="s">
        <v>4402</v>
      </c>
      <c r="O2470" t="s">
        <v>896</v>
      </c>
      <c r="P2470" t="s">
        <v>33</v>
      </c>
      <c r="Q2470">
        <v>9.8000000000000007</v>
      </c>
      <c r="R2470" t="s">
        <v>35</v>
      </c>
      <c r="S2470" t="s">
        <v>35</v>
      </c>
      <c r="T2470" t="s">
        <v>35</v>
      </c>
      <c r="U2470" t="s">
        <v>35</v>
      </c>
      <c r="V2470" t="s">
        <v>645</v>
      </c>
      <c r="W2470" t="s">
        <v>113</v>
      </c>
    </row>
    <row r="2471" spans="1:23" hidden="1" x14ac:dyDescent="0.25">
      <c r="A2471" s="7" t="str">
        <f>IFERROR(VLOOKUP(H2471,'Contas Orç'!A:B,2,0),"N/A")</f>
        <v>REMUNERACOES</v>
      </c>
      <c r="B2471" s="7" t="str">
        <f t="shared" si="76"/>
        <v>330101 - REMUNERACOES</v>
      </c>
      <c r="C2471" s="25">
        <f t="shared" si="77"/>
        <v>44866</v>
      </c>
      <c r="D2471" s="27">
        <f>IF(K2471="CREDITO",Q2471,Q2471*-1)</f>
        <v>9526.33</v>
      </c>
      <c r="E2471" t="s">
        <v>894</v>
      </c>
      <c r="F2471" t="s">
        <v>2965</v>
      </c>
      <c r="G2471" s="8">
        <v>44866</v>
      </c>
      <c r="H2471" t="s">
        <v>577</v>
      </c>
      <c r="I2471" t="s">
        <v>2062</v>
      </c>
      <c r="J2471" t="s">
        <v>54</v>
      </c>
      <c r="K2471" t="s">
        <v>29</v>
      </c>
      <c r="L2471" t="s">
        <v>895</v>
      </c>
      <c r="M2471" t="s">
        <v>4402</v>
      </c>
      <c r="O2471" t="s">
        <v>896</v>
      </c>
      <c r="P2471" t="s">
        <v>33</v>
      </c>
      <c r="Q2471" s="22">
        <v>9526.33</v>
      </c>
      <c r="R2471" t="s">
        <v>35</v>
      </c>
      <c r="S2471" t="s">
        <v>35</v>
      </c>
      <c r="T2471" t="s">
        <v>35</v>
      </c>
      <c r="U2471" t="s">
        <v>35</v>
      </c>
      <c r="V2471" t="s">
        <v>645</v>
      </c>
      <c r="W2471" t="s">
        <v>113</v>
      </c>
    </row>
    <row r="2472" spans="1:23" hidden="1" x14ac:dyDescent="0.25">
      <c r="A2472" s="7" t="str">
        <f>IFERROR(VLOOKUP(H2472,'Contas Orç'!A:B,2,0),"N/A")</f>
        <v>REMUNERACOES</v>
      </c>
      <c r="B2472" s="7" t="str">
        <f t="shared" si="76"/>
        <v>330101 - REMUNERACOES</v>
      </c>
      <c r="C2472" s="25">
        <f t="shared" si="77"/>
        <v>44866</v>
      </c>
      <c r="D2472" s="27">
        <f>IF(K2472="CREDITO",Q2472,Q2472*-1)</f>
        <v>43610.78</v>
      </c>
      <c r="E2472" t="s">
        <v>894</v>
      </c>
      <c r="F2472" t="s">
        <v>2966</v>
      </c>
      <c r="G2472" s="8">
        <v>44866</v>
      </c>
      <c r="H2472" t="s">
        <v>577</v>
      </c>
      <c r="I2472" t="s">
        <v>40</v>
      </c>
      <c r="J2472" t="s">
        <v>54</v>
      </c>
      <c r="K2472" t="s">
        <v>29</v>
      </c>
      <c r="L2472" t="s">
        <v>895</v>
      </c>
      <c r="M2472" t="s">
        <v>4402</v>
      </c>
      <c r="O2472" t="s">
        <v>896</v>
      </c>
      <c r="P2472" t="s">
        <v>33</v>
      </c>
      <c r="Q2472" s="22">
        <v>43610.78</v>
      </c>
      <c r="R2472" t="s">
        <v>35</v>
      </c>
      <c r="S2472" t="s">
        <v>35</v>
      </c>
      <c r="T2472" t="s">
        <v>35</v>
      </c>
      <c r="U2472" t="s">
        <v>35</v>
      </c>
      <c r="V2472" t="s">
        <v>645</v>
      </c>
      <c r="W2472" t="s">
        <v>113</v>
      </c>
    </row>
    <row r="2473" spans="1:23" hidden="1" x14ac:dyDescent="0.25">
      <c r="A2473" s="7" t="str">
        <f>IFERROR(VLOOKUP(H2473,'Contas Orç'!A:B,2,0),"N/A")</f>
        <v>REMUNERACOES</v>
      </c>
      <c r="B2473" s="7" t="str">
        <f t="shared" si="76"/>
        <v>330101 - REMUNERACOES</v>
      </c>
      <c r="C2473" s="25">
        <f t="shared" si="77"/>
        <v>44866</v>
      </c>
      <c r="D2473" s="27">
        <f>IF(K2473="CREDITO",Q2473,Q2473*-1)</f>
        <v>6678.98</v>
      </c>
      <c r="E2473" t="s">
        <v>894</v>
      </c>
      <c r="F2473" t="s">
        <v>2967</v>
      </c>
      <c r="G2473" s="8">
        <v>44866</v>
      </c>
      <c r="H2473" t="s">
        <v>577</v>
      </c>
      <c r="I2473" t="s">
        <v>1002</v>
      </c>
      <c r="J2473" t="s">
        <v>54</v>
      </c>
      <c r="K2473" t="s">
        <v>29</v>
      </c>
      <c r="L2473" t="s">
        <v>895</v>
      </c>
      <c r="M2473" t="s">
        <v>4402</v>
      </c>
      <c r="O2473" t="s">
        <v>896</v>
      </c>
      <c r="P2473" t="s">
        <v>33</v>
      </c>
      <c r="Q2473" s="22">
        <v>6678.98</v>
      </c>
      <c r="R2473" t="s">
        <v>35</v>
      </c>
      <c r="S2473" t="s">
        <v>35</v>
      </c>
      <c r="T2473" t="s">
        <v>35</v>
      </c>
      <c r="U2473" t="s">
        <v>35</v>
      </c>
      <c r="V2473" t="s">
        <v>645</v>
      </c>
      <c r="W2473" t="s">
        <v>113</v>
      </c>
    </row>
    <row r="2474" spans="1:23" hidden="1" x14ac:dyDescent="0.25">
      <c r="A2474" s="7" t="str">
        <f>IFERROR(VLOOKUP(H2474,'Contas Orç'!A:B,2,0),"N/A")</f>
        <v>REMUNERACOES</v>
      </c>
      <c r="B2474" s="7" t="str">
        <f t="shared" si="76"/>
        <v>330101 - REMUNERACOES</v>
      </c>
      <c r="C2474" s="25">
        <f t="shared" si="77"/>
        <v>44866</v>
      </c>
      <c r="D2474" s="27">
        <f>IF(K2474="CREDITO",Q2474,Q2474*-1)</f>
        <v>3964.95</v>
      </c>
      <c r="E2474" t="s">
        <v>894</v>
      </c>
      <c r="F2474" t="s">
        <v>2968</v>
      </c>
      <c r="G2474" s="8">
        <v>44866</v>
      </c>
      <c r="H2474" t="s">
        <v>577</v>
      </c>
      <c r="I2474" t="s">
        <v>121</v>
      </c>
      <c r="J2474" t="s">
        <v>54</v>
      </c>
      <c r="K2474" t="s">
        <v>29</v>
      </c>
      <c r="L2474" t="s">
        <v>895</v>
      </c>
      <c r="M2474" t="s">
        <v>4402</v>
      </c>
      <c r="O2474" t="s">
        <v>896</v>
      </c>
      <c r="P2474" t="s">
        <v>33</v>
      </c>
      <c r="Q2474" s="22">
        <v>3964.95</v>
      </c>
      <c r="R2474" t="s">
        <v>35</v>
      </c>
      <c r="S2474" t="s">
        <v>35</v>
      </c>
      <c r="T2474" t="s">
        <v>35</v>
      </c>
      <c r="U2474" t="s">
        <v>35</v>
      </c>
      <c r="V2474" t="s">
        <v>645</v>
      </c>
      <c r="W2474" t="s">
        <v>113</v>
      </c>
    </row>
    <row r="2475" spans="1:23" hidden="1" x14ac:dyDescent="0.25">
      <c r="A2475" s="7" t="str">
        <f>IFERROR(VLOOKUP(H2475,'Contas Orç'!A:B,2,0),"N/A")</f>
        <v>REMUNERACOES</v>
      </c>
      <c r="B2475" s="7" t="str">
        <f t="shared" si="76"/>
        <v>330101 - REMUNERACOES</v>
      </c>
      <c r="C2475" s="25">
        <f t="shared" si="77"/>
        <v>44866</v>
      </c>
      <c r="D2475" s="27">
        <f>IF(K2475="CREDITO",Q2475,Q2475*-1)</f>
        <v>14838.58</v>
      </c>
      <c r="E2475" t="s">
        <v>894</v>
      </c>
      <c r="F2475" t="s">
        <v>2969</v>
      </c>
      <c r="G2475" s="8">
        <v>44866</v>
      </c>
      <c r="H2475" t="s">
        <v>577</v>
      </c>
      <c r="I2475" t="s">
        <v>132</v>
      </c>
      <c r="J2475" t="s">
        <v>54</v>
      </c>
      <c r="K2475" t="s">
        <v>29</v>
      </c>
      <c r="L2475" t="s">
        <v>895</v>
      </c>
      <c r="M2475" t="s">
        <v>4402</v>
      </c>
      <c r="O2475" t="s">
        <v>896</v>
      </c>
      <c r="P2475" t="s">
        <v>33</v>
      </c>
      <c r="Q2475" s="22">
        <v>14838.58</v>
      </c>
      <c r="R2475" t="s">
        <v>35</v>
      </c>
      <c r="S2475" t="s">
        <v>35</v>
      </c>
      <c r="T2475" t="s">
        <v>35</v>
      </c>
      <c r="U2475" t="s">
        <v>35</v>
      </c>
      <c r="V2475" t="s">
        <v>645</v>
      </c>
      <c r="W2475" t="s">
        <v>113</v>
      </c>
    </row>
    <row r="2476" spans="1:23" hidden="1" x14ac:dyDescent="0.25">
      <c r="A2476" s="7" t="str">
        <f>IFERROR(VLOOKUP(H2476,'Contas Orç'!A:B,2,0),"N/A")</f>
        <v>REMUNERACOES</v>
      </c>
      <c r="B2476" s="7" t="str">
        <f t="shared" si="76"/>
        <v>330101 - REMUNERACOES</v>
      </c>
      <c r="C2476" s="25">
        <f t="shared" si="77"/>
        <v>44866</v>
      </c>
      <c r="D2476" s="27">
        <f>IF(K2476="CREDITO",Q2476,Q2476*-1)</f>
        <v>8082.41</v>
      </c>
      <c r="E2476" t="s">
        <v>894</v>
      </c>
      <c r="F2476" t="s">
        <v>2970</v>
      </c>
      <c r="G2476" s="8">
        <v>44866</v>
      </c>
      <c r="H2476" t="s">
        <v>577</v>
      </c>
      <c r="I2476" t="s">
        <v>114</v>
      </c>
      <c r="J2476" t="s">
        <v>54</v>
      </c>
      <c r="K2476" t="s">
        <v>29</v>
      </c>
      <c r="L2476" t="s">
        <v>895</v>
      </c>
      <c r="M2476" t="s">
        <v>4402</v>
      </c>
      <c r="O2476" t="s">
        <v>896</v>
      </c>
      <c r="P2476" t="s">
        <v>33</v>
      </c>
      <c r="Q2476" s="22">
        <v>8082.41</v>
      </c>
      <c r="R2476" t="s">
        <v>35</v>
      </c>
      <c r="S2476" t="s">
        <v>35</v>
      </c>
      <c r="T2476" t="s">
        <v>35</v>
      </c>
      <c r="U2476" t="s">
        <v>35</v>
      </c>
      <c r="V2476" t="s">
        <v>645</v>
      </c>
      <c r="W2476" t="s">
        <v>113</v>
      </c>
    </row>
    <row r="2477" spans="1:23" hidden="1" x14ac:dyDescent="0.25">
      <c r="A2477" s="7" t="str">
        <f>IFERROR(VLOOKUP(H2477,'Contas Orç'!A:B,2,0),"N/A")</f>
        <v>REMUNERACOES</v>
      </c>
      <c r="B2477" s="7" t="str">
        <f t="shared" si="76"/>
        <v>330101 - REMUNERACOES</v>
      </c>
      <c r="C2477" s="25">
        <f t="shared" si="77"/>
        <v>44866</v>
      </c>
      <c r="D2477" s="27">
        <f>IF(K2477="CREDITO",Q2477,Q2477*-1)</f>
        <v>32290.86</v>
      </c>
      <c r="E2477" t="s">
        <v>894</v>
      </c>
      <c r="F2477" t="s">
        <v>2971</v>
      </c>
      <c r="G2477" s="8">
        <v>44866</v>
      </c>
      <c r="H2477" t="s">
        <v>577</v>
      </c>
      <c r="I2477" t="s">
        <v>75</v>
      </c>
      <c r="J2477" t="s">
        <v>54</v>
      </c>
      <c r="K2477" t="s">
        <v>29</v>
      </c>
      <c r="L2477" t="s">
        <v>895</v>
      </c>
      <c r="M2477" t="s">
        <v>4402</v>
      </c>
      <c r="O2477" t="s">
        <v>896</v>
      </c>
      <c r="P2477" t="s">
        <v>33</v>
      </c>
      <c r="Q2477" s="22">
        <v>32290.86</v>
      </c>
      <c r="R2477" t="s">
        <v>35</v>
      </c>
      <c r="S2477" t="s">
        <v>35</v>
      </c>
      <c r="T2477" t="s">
        <v>35</v>
      </c>
      <c r="U2477" t="s">
        <v>35</v>
      </c>
      <c r="V2477" t="s">
        <v>645</v>
      </c>
      <c r="W2477" t="s">
        <v>113</v>
      </c>
    </row>
    <row r="2478" spans="1:23" hidden="1" x14ac:dyDescent="0.25">
      <c r="A2478" s="7" t="str">
        <f>IFERROR(VLOOKUP(H2478,'Contas Orç'!A:B,2,0),"N/A")</f>
        <v>REMUNERACOES</v>
      </c>
      <c r="B2478" s="7" t="str">
        <f t="shared" si="76"/>
        <v>330101 - REMUNERACOES</v>
      </c>
      <c r="C2478" s="25">
        <f t="shared" si="77"/>
        <v>44866</v>
      </c>
      <c r="D2478" s="27">
        <f>IF(K2478="CREDITO",Q2478,Q2478*-1)</f>
        <v>22940.51</v>
      </c>
      <c r="E2478" t="s">
        <v>894</v>
      </c>
      <c r="F2478" t="s">
        <v>2972</v>
      </c>
      <c r="G2478" s="8">
        <v>44866</v>
      </c>
      <c r="H2478" t="s">
        <v>577</v>
      </c>
      <c r="I2478" t="s">
        <v>78</v>
      </c>
      <c r="J2478" t="s">
        <v>54</v>
      </c>
      <c r="K2478" t="s">
        <v>29</v>
      </c>
      <c r="L2478" t="s">
        <v>895</v>
      </c>
      <c r="M2478" t="s">
        <v>4402</v>
      </c>
      <c r="O2478" t="s">
        <v>896</v>
      </c>
      <c r="P2478" t="s">
        <v>33</v>
      </c>
      <c r="Q2478" s="22">
        <v>22940.51</v>
      </c>
      <c r="R2478" t="s">
        <v>35</v>
      </c>
      <c r="S2478" t="s">
        <v>35</v>
      </c>
      <c r="T2478" t="s">
        <v>35</v>
      </c>
      <c r="U2478" t="s">
        <v>35</v>
      </c>
      <c r="V2478" t="s">
        <v>645</v>
      </c>
      <c r="W2478" t="s">
        <v>113</v>
      </c>
    </row>
    <row r="2479" spans="1:23" hidden="1" x14ac:dyDescent="0.25">
      <c r="A2479" s="7" t="str">
        <f>IFERROR(VLOOKUP(H2479,'Contas Orç'!A:B,2,0),"N/A")</f>
        <v>REMUNERACOES</v>
      </c>
      <c r="B2479" s="7" t="str">
        <f t="shared" si="76"/>
        <v>330101 - REMUNERACOES</v>
      </c>
      <c r="C2479" s="25">
        <f t="shared" si="77"/>
        <v>44866</v>
      </c>
      <c r="D2479" s="27">
        <f>IF(K2479="CREDITO",Q2479,Q2479*-1)</f>
        <v>10738.4</v>
      </c>
      <c r="E2479" t="s">
        <v>894</v>
      </c>
      <c r="F2479" t="s">
        <v>2973</v>
      </c>
      <c r="G2479" s="8">
        <v>44866</v>
      </c>
      <c r="H2479" t="s">
        <v>577</v>
      </c>
      <c r="I2479" t="s">
        <v>81</v>
      </c>
      <c r="J2479" t="s">
        <v>54</v>
      </c>
      <c r="K2479" t="s">
        <v>29</v>
      </c>
      <c r="L2479" t="s">
        <v>895</v>
      </c>
      <c r="M2479" t="s">
        <v>4402</v>
      </c>
      <c r="O2479" t="s">
        <v>896</v>
      </c>
      <c r="P2479" t="s">
        <v>33</v>
      </c>
      <c r="Q2479" s="22">
        <v>10738.4</v>
      </c>
      <c r="R2479" t="s">
        <v>35</v>
      </c>
      <c r="S2479" t="s">
        <v>35</v>
      </c>
      <c r="T2479" t="s">
        <v>35</v>
      </c>
      <c r="U2479" t="s">
        <v>35</v>
      </c>
      <c r="V2479" t="s">
        <v>645</v>
      </c>
      <c r="W2479" t="s">
        <v>113</v>
      </c>
    </row>
    <row r="2480" spans="1:23" hidden="1" x14ac:dyDescent="0.25">
      <c r="A2480" s="7" t="str">
        <f>IFERROR(VLOOKUP(H2480,'Contas Orç'!A:B,2,0),"N/A")</f>
        <v>REMUNERACOES</v>
      </c>
      <c r="B2480" s="7" t="str">
        <f t="shared" si="76"/>
        <v>330101 - REMUNERACOES</v>
      </c>
      <c r="C2480" s="25">
        <f t="shared" si="77"/>
        <v>44866</v>
      </c>
      <c r="D2480" s="27">
        <f>IF(K2480="CREDITO",Q2480,Q2480*-1)</f>
        <v>5597.68</v>
      </c>
      <c r="E2480" t="s">
        <v>894</v>
      </c>
      <c r="F2480" t="s">
        <v>2974</v>
      </c>
      <c r="G2480" s="8">
        <v>44866</v>
      </c>
      <c r="H2480" t="s">
        <v>577</v>
      </c>
      <c r="I2480" t="s">
        <v>136</v>
      </c>
      <c r="J2480" t="s">
        <v>54</v>
      </c>
      <c r="K2480" t="s">
        <v>29</v>
      </c>
      <c r="L2480" t="s">
        <v>895</v>
      </c>
      <c r="M2480" t="s">
        <v>4402</v>
      </c>
      <c r="O2480" t="s">
        <v>896</v>
      </c>
      <c r="P2480" t="s">
        <v>33</v>
      </c>
      <c r="Q2480" s="22">
        <v>5597.68</v>
      </c>
      <c r="R2480" t="s">
        <v>35</v>
      </c>
      <c r="S2480" t="s">
        <v>35</v>
      </c>
      <c r="T2480" t="s">
        <v>35</v>
      </c>
      <c r="U2480" t="s">
        <v>35</v>
      </c>
      <c r="V2480" t="s">
        <v>645</v>
      </c>
      <c r="W2480" t="s">
        <v>113</v>
      </c>
    </row>
    <row r="2481" spans="1:23" hidden="1" x14ac:dyDescent="0.25">
      <c r="A2481" s="7" t="str">
        <f>IFERROR(VLOOKUP(H2481,'Contas Orç'!A:B,2,0),"N/A")</f>
        <v>REMUNERACOES</v>
      </c>
      <c r="B2481" s="7" t="str">
        <f t="shared" si="76"/>
        <v>330101 - REMUNERACOES</v>
      </c>
      <c r="C2481" s="25">
        <f t="shared" si="77"/>
        <v>44866</v>
      </c>
      <c r="D2481" s="27">
        <f>IF(K2481="CREDITO",Q2481,Q2481*-1)</f>
        <v>1691.99</v>
      </c>
      <c r="E2481" t="s">
        <v>894</v>
      </c>
      <c r="F2481" t="s">
        <v>2975</v>
      </c>
      <c r="G2481" s="8">
        <v>44866</v>
      </c>
      <c r="H2481" t="s">
        <v>577</v>
      </c>
      <c r="I2481" t="s">
        <v>53</v>
      </c>
      <c r="J2481" t="s">
        <v>54</v>
      </c>
      <c r="K2481" t="s">
        <v>29</v>
      </c>
      <c r="L2481" t="s">
        <v>895</v>
      </c>
      <c r="M2481" t="s">
        <v>4402</v>
      </c>
      <c r="O2481" t="s">
        <v>896</v>
      </c>
      <c r="P2481" t="s">
        <v>33</v>
      </c>
      <c r="Q2481" s="22">
        <v>1691.99</v>
      </c>
      <c r="R2481" t="s">
        <v>35</v>
      </c>
      <c r="S2481" t="s">
        <v>35</v>
      </c>
      <c r="T2481" t="s">
        <v>35</v>
      </c>
      <c r="U2481" t="s">
        <v>35</v>
      </c>
      <c r="V2481" t="s">
        <v>645</v>
      </c>
      <c r="W2481" t="s">
        <v>113</v>
      </c>
    </row>
    <row r="2482" spans="1:23" hidden="1" x14ac:dyDescent="0.25">
      <c r="A2482" s="7" t="str">
        <f>IFERROR(VLOOKUP(H2482,'Contas Orç'!A:B,2,0),"N/A")</f>
        <v>REMUNERACOES</v>
      </c>
      <c r="B2482" s="7" t="str">
        <f t="shared" si="76"/>
        <v>330101 - REMUNERACOES</v>
      </c>
      <c r="C2482" s="25">
        <f t="shared" si="77"/>
        <v>44896</v>
      </c>
      <c r="D2482" s="27">
        <f>IF(K2482="CREDITO",Q2482,Q2482*-1)</f>
        <v>16113.16</v>
      </c>
      <c r="E2482" t="s">
        <v>894</v>
      </c>
      <c r="F2482" t="s">
        <v>2976</v>
      </c>
      <c r="G2482" s="8">
        <v>44896</v>
      </c>
      <c r="H2482" t="s">
        <v>577</v>
      </c>
      <c r="I2482" t="s">
        <v>99</v>
      </c>
      <c r="J2482" t="s">
        <v>28</v>
      </c>
      <c r="K2482" t="s">
        <v>29</v>
      </c>
      <c r="L2482" t="s">
        <v>895</v>
      </c>
      <c r="M2482" t="s">
        <v>4402</v>
      </c>
      <c r="O2482" t="s">
        <v>896</v>
      </c>
      <c r="P2482" t="s">
        <v>33</v>
      </c>
      <c r="Q2482" s="22">
        <v>16113.16</v>
      </c>
      <c r="R2482" t="s">
        <v>35</v>
      </c>
      <c r="S2482" t="s">
        <v>35</v>
      </c>
      <c r="T2482" t="s">
        <v>35</v>
      </c>
      <c r="U2482" t="s">
        <v>35</v>
      </c>
      <c r="V2482" t="s">
        <v>645</v>
      </c>
      <c r="W2482" t="s">
        <v>113</v>
      </c>
    </row>
    <row r="2483" spans="1:23" hidden="1" x14ac:dyDescent="0.25">
      <c r="A2483" s="7" t="str">
        <f>IFERROR(VLOOKUP(H2483,'Contas Orç'!A:B,2,0),"N/A")</f>
        <v>REMUNERACOES</v>
      </c>
      <c r="B2483" s="7" t="str">
        <f t="shared" si="76"/>
        <v>330101 - REMUNERACOES</v>
      </c>
      <c r="C2483" s="25">
        <f t="shared" si="77"/>
        <v>44896</v>
      </c>
      <c r="D2483" s="27">
        <f>IF(K2483="CREDITO",Q2483,Q2483*-1)</f>
        <v>332.81</v>
      </c>
      <c r="E2483" t="s">
        <v>894</v>
      </c>
      <c r="F2483" t="s">
        <v>2977</v>
      </c>
      <c r="G2483" s="8">
        <v>44896</v>
      </c>
      <c r="H2483" t="s">
        <v>577</v>
      </c>
      <c r="I2483" t="s">
        <v>27</v>
      </c>
      <c r="J2483" t="s">
        <v>28</v>
      </c>
      <c r="K2483" t="s">
        <v>29</v>
      </c>
      <c r="L2483" t="s">
        <v>895</v>
      </c>
      <c r="M2483" t="s">
        <v>4402</v>
      </c>
      <c r="O2483" t="s">
        <v>896</v>
      </c>
      <c r="P2483" t="s">
        <v>33</v>
      </c>
      <c r="Q2483">
        <v>332.81</v>
      </c>
      <c r="R2483" t="s">
        <v>35</v>
      </c>
      <c r="S2483" t="s">
        <v>35</v>
      </c>
      <c r="T2483" t="s">
        <v>35</v>
      </c>
      <c r="U2483" t="s">
        <v>35</v>
      </c>
      <c r="V2483" t="s">
        <v>645</v>
      </c>
      <c r="W2483" t="s">
        <v>113</v>
      </c>
    </row>
    <row r="2484" spans="1:23" hidden="1" x14ac:dyDescent="0.25">
      <c r="A2484" s="7" t="str">
        <f>IFERROR(VLOOKUP(H2484,'Contas Orç'!A:B,2,0),"N/A")</f>
        <v>REMUNERACOES</v>
      </c>
      <c r="B2484" s="7" t="str">
        <f t="shared" si="76"/>
        <v>330101 - REMUNERACOES</v>
      </c>
      <c r="C2484" s="25">
        <f t="shared" si="77"/>
        <v>44896</v>
      </c>
      <c r="D2484" s="27">
        <f>IF(K2484="CREDITO",Q2484,Q2484*-1)</f>
        <v>11994.69</v>
      </c>
      <c r="E2484" t="s">
        <v>894</v>
      </c>
      <c r="F2484" t="s">
        <v>2978</v>
      </c>
      <c r="G2484" s="8">
        <v>44896</v>
      </c>
      <c r="H2484" t="s">
        <v>577</v>
      </c>
      <c r="I2484" t="s">
        <v>81</v>
      </c>
      <c r="J2484" t="s">
        <v>60</v>
      </c>
      <c r="K2484" t="s">
        <v>29</v>
      </c>
      <c r="L2484" t="s">
        <v>895</v>
      </c>
      <c r="M2484" t="s">
        <v>4402</v>
      </c>
      <c r="O2484" t="s">
        <v>896</v>
      </c>
      <c r="P2484" t="s">
        <v>33</v>
      </c>
      <c r="Q2484" s="22">
        <v>11994.69</v>
      </c>
      <c r="R2484" t="s">
        <v>35</v>
      </c>
      <c r="S2484" t="s">
        <v>35</v>
      </c>
      <c r="T2484" t="s">
        <v>35</v>
      </c>
      <c r="U2484" t="s">
        <v>35</v>
      </c>
      <c r="V2484" t="s">
        <v>645</v>
      </c>
      <c r="W2484" t="s">
        <v>113</v>
      </c>
    </row>
    <row r="2485" spans="1:23" hidden="1" x14ac:dyDescent="0.25">
      <c r="A2485" s="7" t="str">
        <f>IFERROR(VLOOKUP(H2485,'Contas Orç'!A:B,2,0),"N/A")</f>
        <v>REMUNERACOES</v>
      </c>
      <c r="B2485" s="7" t="str">
        <f t="shared" si="76"/>
        <v>330101 - REMUNERACOES</v>
      </c>
      <c r="C2485" s="25">
        <f t="shared" si="77"/>
        <v>44896</v>
      </c>
      <c r="D2485" s="27">
        <f>IF(K2485="CREDITO",Q2485,Q2485*-1)</f>
        <v>39.520000000000003</v>
      </c>
      <c r="E2485" t="s">
        <v>894</v>
      </c>
      <c r="F2485" t="s">
        <v>2979</v>
      </c>
      <c r="G2485" s="8">
        <v>44896</v>
      </c>
      <c r="H2485" t="s">
        <v>577</v>
      </c>
      <c r="I2485" t="s">
        <v>59</v>
      </c>
      <c r="J2485" t="s">
        <v>60</v>
      </c>
      <c r="K2485" t="s">
        <v>29</v>
      </c>
      <c r="L2485" t="s">
        <v>895</v>
      </c>
      <c r="M2485" t="s">
        <v>4402</v>
      </c>
      <c r="O2485" t="s">
        <v>896</v>
      </c>
      <c r="P2485" t="s">
        <v>33</v>
      </c>
      <c r="Q2485">
        <v>39.520000000000003</v>
      </c>
      <c r="R2485" t="s">
        <v>35</v>
      </c>
      <c r="S2485" t="s">
        <v>35</v>
      </c>
      <c r="T2485" t="s">
        <v>35</v>
      </c>
      <c r="U2485" t="s">
        <v>35</v>
      </c>
      <c r="V2485" t="s">
        <v>645</v>
      </c>
      <c r="W2485" t="s">
        <v>113</v>
      </c>
    </row>
    <row r="2486" spans="1:23" hidden="1" x14ac:dyDescent="0.25">
      <c r="A2486" s="7" t="str">
        <f>IFERROR(VLOOKUP(H2486,'Contas Orç'!A:B,2,0),"N/A")</f>
        <v>REMUNERACOES</v>
      </c>
      <c r="B2486" s="7" t="str">
        <f t="shared" si="76"/>
        <v>330101 - REMUNERACOES</v>
      </c>
      <c r="C2486" s="25">
        <f t="shared" si="77"/>
        <v>44896</v>
      </c>
      <c r="D2486" s="27">
        <f>IF(K2486="CREDITO",Q2486,Q2486*-1)</f>
        <v>9.9</v>
      </c>
      <c r="E2486" t="s">
        <v>894</v>
      </c>
      <c r="F2486" t="s">
        <v>2980</v>
      </c>
      <c r="G2486" s="8">
        <v>44896</v>
      </c>
      <c r="H2486" t="s">
        <v>577</v>
      </c>
      <c r="I2486" t="s">
        <v>125</v>
      </c>
      <c r="J2486" t="s">
        <v>95</v>
      </c>
      <c r="K2486" t="s">
        <v>29</v>
      </c>
      <c r="L2486" t="s">
        <v>895</v>
      </c>
      <c r="M2486" t="s">
        <v>4402</v>
      </c>
      <c r="O2486" t="s">
        <v>896</v>
      </c>
      <c r="P2486" t="s">
        <v>33</v>
      </c>
      <c r="Q2486">
        <v>9.9</v>
      </c>
      <c r="R2486" t="s">
        <v>35</v>
      </c>
      <c r="S2486" t="s">
        <v>35</v>
      </c>
      <c r="T2486" t="s">
        <v>35</v>
      </c>
      <c r="U2486" t="s">
        <v>35</v>
      </c>
      <c r="V2486" t="s">
        <v>645</v>
      </c>
      <c r="W2486" t="s">
        <v>113</v>
      </c>
    </row>
    <row r="2487" spans="1:23" hidden="1" x14ac:dyDescent="0.25">
      <c r="A2487" s="7" t="str">
        <f>IFERROR(VLOOKUP(H2487,'Contas Orç'!A:B,2,0),"N/A")</f>
        <v>REMUNERACOES</v>
      </c>
      <c r="B2487" s="7" t="str">
        <f t="shared" si="76"/>
        <v>330101 - REMUNERACOES</v>
      </c>
      <c r="C2487" s="25">
        <f t="shared" si="77"/>
        <v>44896</v>
      </c>
      <c r="D2487" s="27">
        <f>IF(K2487="CREDITO",Q2487,Q2487*-1)</f>
        <v>9621.59</v>
      </c>
      <c r="E2487" t="s">
        <v>894</v>
      </c>
      <c r="F2487" t="s">
        <v>2981</v>
      </c>
      <c r="G2487" s="8">
        <v>44896</v>
      </c>
      <c r="H2487" t="s">
        <v>577</v>
      </c>
      <c r="I2487" t="s">
        <v>2062</v>
      </c>
      <c r="J2487" t="s">
        <v>54</v>
      </c>
      <c r="K2487" t="s">
        <v>29</v>
      </c>
      <c r="L2487" t="s">
        <v>895</v>
      </c>
      <c r="M2487" t="s">
        <v>4402</v>
      </c>
      <c r="O2487" t="s">
        <v>896</v>
      </c>
      <c r="P2487" t="s">
        <v>33</v>
      </c>
      <c r="Q2487" s="22">
        <v>9621.59</v>
      </c>
      <c r="R2487" t="s">
        <v>35</v>
      </c>
      <c r="S2487" t="s">
        <v>35</v>
      </c>
      <c r="T2487" t="s">
        <v>35</v>
      </c>
      <c r="U2487" t="s">
        <v>35</v>
      </c>
      <c r="V2487" t="s">
        <v>645</v>
      </c>
      <c r="W2487" t="s">
        <v>113</v>
      </c>
    </row>
    <row r="2488" spans="1:23" hidden="1" x14ac:dyDescent="0.25">
      <c r="A2488" s="7" t="str">
        <f>IFERROR(VLOOKUP(H2488,'Contas Orç'!A:B,2,0),"N/A")</f>
        <v>REMUNERACOES</v>
      </c>
      <c r="B2488" s="7" t="str">
        <f t="shared" si="76"/>
        <v>330101 - REMUNERACOES</v>
      </c>
      <c r="C2488" s="25">
        <f t="shared" si="77"/>
        <v>44896</v>
      </c>
      <c r="D2488" s="27">
        <f>IF(K2488="CREDITO",Q2488,Q2488*-1)</f>
        <v>44046.89</v>
      </c>
      <c r="E2488" t="s">
        <v>894</v>
      </c>
      <c r="F2488" t="s">
        <v>2982</v>
      </c>
      <c r="G2488" s="8">
        <v>44896</v>
      </c>
      <c r="H2488" t="s">
        <v>577</v>
      </c>
      <c r="I2488" t="s">
        <v>40</v>
      </c>
      <c r="J2488" t="s">
        <v>54</v>
      </c>
      <c r="K2488" t="s">
        <v>29</v>
      </c>
      <c r="L2488" t="s">
        <v>895</v>
      </c>
      <c r="M2488" t="s">
        <v>4402</v>
      </c>
      <c r="O2488" t="s">
        <v>896</v>
      </c>
      <c r="P2488" t="s">
        <v>33</v>
      </c>
      <c r="Q2488" s="22">
        <v>44046.89</v>
      </c>
      <c r="R2488" t="s">
        <v>35</v>
      </c>
      <c r="S2488" t="s">
        <v>35</v>
      </c>
      <c r="T2488" t="s">
        <v>35</v>
      </c>
      <c r="U2488" t="s">
        <v>35</v>
      </c>
      <c r="V2488" t="s">
        <v>645</v>
      </c>
      <c r="W2488" t="s">
        <v>113</v>
      </c>
    </row>
    <row r="2489" spans="1:23" hidden="1" x14ac:dyDescent="0.25">
      <c r="A2489" s="7" t="str">
        <f>IFERROR(VLOOKUP(H2489,'Contas Orç'!A:B,2,0),"N/A")</f>
        <v>REMUNERACOES</v>
      </c>
      <c r="B2489" s="7" t="str">
        <f t="shared" si="76"/>
        <v>330101 - REMUNERACOES</v>
      </c>
      <c r="C2489" s="25">
        <f t="shared" si="77"/>
        <v>44896</v>
      </c>
      <c r="D2489" s="27">
        <f>IF(K2489="CREDITO",Q2489,Q2489*-1)</f>
        <v>6745.77</v>
      </c>
      <c r="E2489" t="s">
        <v>894</v>
      </c>
      <c r="F2489" t="s">
        <v>2983</v>
      </c>
      <c r="G2489" s="8">
        <v>44896</v>
      </c>
      <c r="H2489" t="s">
        <v>577</v>
      </c>
      <c r="I2489" t="s">
        <v>1002</v>
      </c>
      <c r="J2489" t="s">
        <v>54</v>
      </c>
      <c r="K2489" t="s">
        <v>29</v>
      </c>
      <c r="L2489" t="s">
        <v>895</v>
      </c>
      <c r="M2489" t="s">
        <v>4402</v>
      </c>
      <c r="O2489" t="s">
        <v>896</v>
      </c>
      <c r="P2489" t="s">
        <v>33</v>
      </c>
      <c r="Q2489" s="22">
        <v>6745.77</v>
      </c>
      <c r="R2489" t="s">
        <v>35</v>
      </c>
      <c r="S2489" t="s">
        <v>35</v>
      </c>
      <c r="T2489" t="s">
        <v>35</v>
      </c>
      <c r="U2489" t="s">
        <v>35</v>
      </c>
      <c r="V2489" t="s">
        <v>645</v>
      </c>
      <c r="W2489" t="s">
        <v>113</v>
      </c>
    </row>
    <row r="2490" spans="1:23" hidden="1" x14ac:dyDescent="0.25">
      <c r="A2490" s="7" t="str">
        <f>IFERROR(VLOOKUP(H2490,'Contas Orç'!A:B,2,0),"N/A")</f>
        <v>REMUNERACOES</v>
      </c>
      <c r="B2490" s="7" t="str">
        <f t="shared" si="76"/>
        <v>330101 - REMUNERACOES</v>
      </c>
      <c r="C2490" s="25">
        <f t="shared" si="77"/>
        <v>44896</v>
      </c>
      <c r="D2490" s="27">
        <f>IF(K2490="CREDITO",Q2490,Q2490*-1)</f>
        <v>4004.59</v>
      </c>
      <c r="E2490" t="s">
        <v>894</v>
      </c>
      <c r="F2490" t="s">
        <v>2984</v>
      </c>
      <c r="G2490" s="8">
        <v>44896</v>
      </c>
      <c r="H2490" t="s">
        <v>577</v>
      </c>
      <c r="I2490" t="s">
        <v>121</v>
      </c>
      <c r="J2490" t="s">
        <v>54</v>
      </c>
      <c r="K2490" t="s">
        <v>29</v>
      </c>
      <c r="L2490" t="s">
        <v>895</v>
      </c>
      <c r="M2490" t="s">
        <v>4402</v>
      </c>
      <c r="O2490" t="s">
        <v>896</v>
      </c>
      <c r="P2490" t="s">
        <v>33</v>
      </c>
      <c r="Q2490" s="22">
        <v>4004.59</v>
      </c>
      <c r="R2490" t="s">
        <v>35</v>
      </c>
      <c r="S2490" t="s">
        <v>35</v>
      </c>
      <c r="T2490" t="s">
        <v>35</v>
      </c>
      <c r="U2490" t="s">
        <v>35</v>
      </c>
      <c r="V2490" t="s">
        <v>645</v>
      </c>
      <c r="W2490" t="s">
        <v>113</v>
      </c>
    </row>
    <row r="2491" spans="1:23" hidden="1" x14ac:dyDescent="0.25">
      <c r="A2491" s="7" t="str">
        <f>IFERROR(VLOOKUP(H2491,'Contas Orç'!A:B,2,0),"N/A")</f>
        <v>REMUNERACOES</v>
      </c>
      <c r="B2491" s="7" t="str">
        <f t="shared" si="76"/>
        <v>330101 - REMUNERACOES</v>
      </c>
      <c r="C2491" s="25">
        <f t="shared" si="77"/>
        <v>44896</v>
      </c>
      <c r="D2491" s="27">
        <f>IF(K2491="CREDITO",Q2491,Q2491*-1)</f>
        <v>14986.96</v>
      </c>
      <c r="E2491" t="s">
        <v>894</v>
      </c>
      <c r="F2491" t="s">
        <v>2985</v>
      </c>
      <c r="G2491" s="8">
        <v>44896</v>
      </c>
      <c r="H2491" t="s">
        <v>577</v>
      </c>
      <c r="I2491" t="s">
        <v>132</v>
      </c>
      <c r="J2491" t="s">
        <v>54</v>
      </c>
      <c r="K2491" t="s">
        <v>29</v>
      </c>
      <c r="L2491" t="s">
        <v>895</v>
      </c>
      <c r="M2491" t="s">
        <v>4402</v>
      </c>
      <c r="O2491" t="s">
        <v>896</v>
      </c>
      <c r="P2491" t="s">
        <v>33</v>
      </c>
      <c r="Q2491" s="22">
        <v>14986.96</v>
      </c>
      <c r="R2491" t="s">
        <v>35</v>
      </c>
      <c r="S2491" t="s">
        <v>35</v>
      </c>
      <c r="T2491" t="s">
        <v>35</v>
      </c>
      <c r="U2491" t="s">
        <v>35</v>
      </c>
      <c r="V2491" t="s">
        <v>645</v>
      </c>
      <c r="W2491" t="s">
        <v>113</v>
      </c>
    </row>
    <row r="2492" spans="1:23" hidden="1" x14ac:dyDescent="0.25">
      <c r="A2492" s="7" t="str">
        <f>IFERROR(VLOOKUP(H2492,'Contas Orç'!A:B,2,0),"N/A")</f>
        <v>REMUNERACOES</v>
      </c>
      <c r="B2492" s="7" t="str">
        <f t="shared" si="76"/>
        <v>330101 - REMUNERACOES</v>
      </c>
      <c r="C2492" s="25">
        <f t="shared" si="77"/>
        <v>44896</v>
      </c>
      <c r="D2492" s="27">
        <f>IF(K2492="CREDITO",Q2492,Q2492*-1)</f>
        <v>8163.23</v>
      </c>
      <c r="E2492" t="s">
        <v>894</v>
      </c>
      <c r="F2492" t="s">
        <v>2986</v>
      </c>
      <c r="G2492" s="8">
        <v>44896</v>
      </c>
      <c r="H2492" t="s">
        <v>577</v>
      </c>
      <c r="I2492" t="s">
        <v>114</v>
      </c>
      <c r="J2492" t="s">
        <v>54</v>
      </c>
      <c r="K2492" t="s">
        <v>29</v>
      </c>
      <c r="L2492" t="s">
        <v>895</v>
      </c>
      <c r="M2492" t="s">
        <v>4402</v>
      </c>
      <c r="O2492" t="s">
        <v>896</v>
      </c>
      <c r="P2492" t="s">
        <v>33</v>
      </c>
      <c r="Q2492" s="22">
        <v>8163.23</v>
      </c>
      <c r="R2492" t="s">
        <v>35</v>
      </c>
      <c r="S2492" t="s">
        <v>35</v>
      </c>
      <c r="T2492" t="s">
        <v>35</v>
      </c>
      <c r="U2492" t="s">
        <v>35</v>
      </c>
      <c r="V2492" t="s">
        <v>645</v>
      </c>
      <c r="W2492" t="s">
        <v>113</v>
      </c>
    </row>
    <row r="2493" spans="1:23" hidden="1" x14ac:dyDescent="0.25">
      <c r="A2493" s="7" t="str">
        <f>IFERROR(VLOOKUP(H2493,'Contas Orç'!A:B,2,0),"N/A")</f>
        <v>REMUNERACOES</v>
      </c>
      <c r="B2493" s="7" t="str">
        <f t="shared" si="76"/>
        <v>330101 - REMUNERACOES</v>
      </c>
      <c r="C2493" s="25">
        <f t="shared" si="77"/>
        <v>44896</v>
      </c>
      <c r="D2493" s="27">
        <f>IF(K2493="CREDITO",Q2493,Q2493*-1)</f>
        <v>32613.77</v>
      </c>
      <c r="E2493" t="s">
        <v>894</v>
      </c>
      <c r="F2493" t="s">
        <v>2987</v>
      </c>
      <c r="G2493" s="8">
        <v>44896</v>
      </c>
      <c r="H2493" t="s">
        <v>577</v>
      </c>
      <c r="I2493" t="s">
        <v>75</v>
      </c>
      <c r="J2493" t="s">
        <v>54</v>
      </c>
      <c r="K2493" t="s">
        <v>29</v>
      </c>
      <c r="L2493" t="s">
        <v>895</v>
      </c>
      <c r="M2493" t="s">
        <v>4402</v>
      </c>
      <c r="O2493" t="s">
        <v>896</v>
      </c>
      <c r="P2493" t="s">
        <v>33</v>
      </c>
      <c r="Q2493" s="22">
        <v>32613.77</v>
      </c>
      <c r="R2493" t="s">
        <v>35</v>
      </c>
      <c r="S2493" t="s">
        <v>35</v>
      </c>
      <c r="T2493" t="s">
        <v>35</v>
      </c>
      <c r="U2493" t="s">
        <v>35</v>
      </c>
      <c r="V2493" t="s">
        <v>645</v>
      </c>
      <c r="W2493" t="s">
        <v>113</v>
      </c>
    </row>
    <row r="2494" spans="1:23" hidden="1" x14ac:dyDescent="0.25">
      <c r="A2494" s="7" t="str">
        <f>IFERROR(VLOOKUP(H2494,'Contas Orç'!A:B,2,0),"N/A")</f>
        <v>REMUNERACOES</v>
      </c>
      <c r="B2494" s="7" t="str">
        <f t="shared" si="76"/>
        <v>330101 - REMUNERACOES</v>
      </c>
      <c r="C2494" s="25">
        <f t="shared" si="77"/>
        <v>44896</v>
      </c>
      <c r="D2494" s="27">
        <f>IF(K2494="CREDITO",Q2494,Q2494*-1)</f>
        <v>23169.91</v>
      </c>
      <c r="E2494" t="s">
        <v>894</v>
      </c>
      <c r="F2494" t="s">
        <v>2988</v>
      </c>
      <c r="G2494" s="8">
        <v>44896</v>
      </c>
      <c r="H2494" t="s">
        <v>577</v>
      </c>
      <c r="I2494" t="s">
        <v>78</v>
      </c>
      <c r="J2494" t="s">
        <v>54</v>
      </c>
      <c r="K2494" t="s">
        <v>29</v>
      </c>
      <c r="L2494" t="s">
        <v>895</v>
      </c>
      <c r="M2494" t="s">
        <v>4402</v>
      </c>
      <c r="O2494" t="s">
        <v>896</v>
      </c>
      <c r="P2494" t="s">
        <v>33</v>
      </c>
      <c r="Q2494" s="22">
        <v>23169.91</v>
      </c>
      <c r="R2494" t="s">
        <v>35</v>
      </c>
      <c r="S2494" t="s">
        <v>35</v>
      </c>
      <c r="T2494" t="s">
        <v>35</v>
      </c>
      <c r="U2494" t="s">
        <v>35</v>
      </c>
      <c r="V2494" t="s">
        <v>645</v>
      </c>
      <c r="W2494" t="s">
        <v>113</v>
      </c>
    </row>
    <row r="2495" spans="1:23" hidden="1" x14ac:dyDescent="0.25">
      <c r="A2495" s="7" t="str">
        <f>IFERROR(VLOOKUP(H2495,'Contas Orç'!A:B,2,0),"N/A")</f>
        <v>REMUNERACOES</v>
      </c>
      <c r="B2495" s="7" t="str">
        <f t="shared" si="76"/>
        <v>330101 - REMUNERACOES</v>
      </c>
      <c r="C2495" s="25">
        <f t="shared" si="77"/>
        <v>44896</v>
      </c>
      <c r="D2495" s="27">
        <f>IF(K2495="CREDITO",Q2495,Q2495*-1)</f>
        <v>10845.78</v>
      </c>
      <c r="E2495" t="s">
        <v>894</v>
      </c>
      <c r="F2495" t="s">
        <v>2989</v>
      </c>
      <c r="G2495" s="8">
        <v>44896</v>
      </c>
      <c r="H2495" t="s">
        <v>577</v>
      </c>
      <c r="I2495" t="s">
        <v>81</v>
      </c>
      <c r="J2495" t="s">
        <v>54</v>
      </c>
      <c r="K2495" t="s">
        <v>29</v>
      </c>
      <c r="L2495" t="s">
        <v>895</v>
      </c>
      <c r="M2495" t="s">
        <v>4402</v>
      </c>
      <c r="O2495" t="s">
        <v>896</v>
      </c>
      <c r="P2495" t="s">
        <v>33</v>
      </c>
      <c r="Q2495" s="22">
        <v>10845.78</v>
      </c>
      <c r="R2495" t="s">
        <v>35</v>
      </c>
      <c r="S2495" t="s">
        <v>35</v>
      </c>
      <c r="T2495" t="s">
        <v>35</v>
      </c>
      <c r="U2495" t="s">
        <v>35</v>
      </c>
      <c r="V2495" t="s">
        <v>645</v>
      </c>
      <c r="W2495" t="s">
        <v>113</v>
      </c>
    </row>
    <row r="2496" spans="1:23" hidden="1" x14ac:dyDescent="0.25">
      <c r="A2496" s="7" t="str">
        <f>IFERROR(VLOOKUP(H2496,'Contas Orç'!A:B,2,0),"N/A")</f>
        <v>REMUNERACOES</v>
      </c>
      <c r="B2496" s="7" t="str">
        <f t="shared" si="76"/>
        <v>330101 - REMUNERACOES</v>
      </c>
      <c r="C2496" s="25">
        <f t="shared" si="77"/>
        <v>44896</v>
      </c>
      <c r="D2496" s="27">
        <f>IF(K2496="CREDITO",Q2496,Q2496*-1)</f>
        <v>5653.65</v>
      </c>
      <c r="E2496" t="s">
        <v>894</v>
      </c>
      <c r="F2496" t="s">
        <v>2990</v>
      </c>
      <c r="G2496" s="8">
        <v>44896</v>
      </c>
      <c r="H2496" t="s">
        <v>577</v>
      </c>
      <c r="I2496" t="s">
        <v>136</v>
      </c>
      <c r="J2496" t="s">
        <v>54</v>
      </c>
      <c r="K2496" t="s">
        <v>29</v>
      </c>
      <c r="L2496" t="s">
        <v>895</v>
      </c>
      <c r="M2496" t="s">
        <v>4402</v>
      </c>
      <c r="O2496" t="s">
        <v>896</v>
      </c>
      <c r="P2496" t="s">
        <v>33</v>
      </c>
      <c r="Q2496" s="22">
        <v>5653.65</v>
      </c>
      <c r="R2496" t="s">
        <v>35</v>
      </c>
      <c r="S2496" t="s">
        <v>35</v>
      </c>
      <c r="T2496" t="s">
        <v>35</v>
      </c>
      <c r="U2496" t="s">
        <v>35</v>
      </c>
      <c r="V2496" t="s">
        <v>645</v>
      </c>
      <c r="W2496" t="s">
        <v>113</v>
      </c>
    </row>
    <row r="2497" spans="1:23" hidden="1" x14ac:dyDescent="0.25">
      <c r="A2497" s="7" t="str">
        <f>IFERROR(VLOOKUP(H2497,'Contas Orç'!A:B,2,0),"N/A")</f>
        <v>REMUNERACOES</v>
      </c>
      <c r="B2497" s="7" t="str">
        <f t="shared" si="76"/>
        <v>330101 - REMUNERACOES</v>
      </c>
      <c r="C2497" s="25">
        <f t="shared" si="77"/>
        <v>44896</v>
      </c>
      <c r="D2497" s="27">
        <f>IF(K2497="CREDITO",Q2497,Q2497*-1)</f>
        <v>1708.91</v>
      </c>
      <c r="E2497" t="s">
        <v>894</v>
      </c>
      <c r="F2497" t="s">
        <v>2991</v>
      </c>
      <c r="G2497" s="8">
        <v>44896</v>
      </c>
      <c r="H2497" t="s">
        <v>577</v>
      </c>
      <c r="I2497" t="s">
        <v>53</v>
      </c>
      <c r="J2497" t="s">
        <v>54</v>
      </c>
      <c r="K2497" t="s">
        <v>29</v>
      </c>
      <c r="L2497" t="s">
        <v>895</v>
      </c>
      <c r="M2497" t="s">
        <v>4402</v>
      </c>
      <c r="O2497" t="s">
        <v>896</v>
      </c>
      <c r="P2497" t="s">
        <v>33</v>
      </c>
      <c r="Q2497" s="22">
        <v>1708.91</v>
      </c>
      <c r="R2497" t="s">
        <v>35</v>
      </c>
      <c r="S2497" t="s">
        <v>35</v>
      </c>
      <c r="T2497" t="s">
        <v>35</v>
      </c>
      <c r="U2497" t="s">
        <v>35</v>
      </c>
      <c r="V2497" t="s">
        <v>645</v>
      </c>
      <c r="W2497" t="s">
        <v>113</v>
      </c>
    </row>
    <row r="2498" spans="1:23" hidden="1" x14ac:dyDescent="0.25">
      <c r="A2498" s="7" t="str">
        <f>IFERROR(VLOOKUP(H2498,'Contas Orç'!A:B,2,0),"N/A")</f>
        <v>ENCARGOS SOCIAIS</v>
      </c>
      <c r="B2498" s="7" t="str">
        <f t="shared" si="76"/>
        <v>330102 - ENCARGOS SOCIAIS</v>
      </c>
      <c r="C2498" s="25">
        <f t="shared" si="77"/>
        <v>44562</v>
      </c>
      <c r="D2498" s="27">
        <f>IF(K2498="CREDITO",Q2498,Q2498*-1)</f>
        <v>2015.15</v>
      </c>
      <c r="E2498" t="s">
        <v>894</v>
      </c>
      <c r="F2498" t="s">
        <v>2992</v>
      </c>
      <c r="G2498" s="8">
        <v>44562</v>
      </c>
      <c r="H2498" t="s">
        <v>578</v>
      </c>
      <c r="I2498" t="s">
        <v>99</v>
      </c>
      <c r="J2498" t="s">
        <v>28</v>
      </c>
      <c r="K2498" t="s">
        <v>29</v>
      </c>
      <c r="L2498" t="s">
        <v>895</v>
      </c>
      <c r="M2498" t="s">
        <v>4402</v>
      </c>
      <c r="O2498" t="s">
        <v>896</v>
      </c>
      <c r="P2498" t="s">
        <v>33</v>
      </c>
      <c r="Q2498" s="22">
        <v>2015.15</v>
      </c>
      <c r="R2498" t="s">
        <v>35</v>
      </c>
      <c r="S2498" t="s">
        <v>35</v>
      </c>
      <c r="T2498" t="s">
        <v>35</v>
      </c>
      <c r="U2498" t="s">
        <v>35</v>
      </c>
      <c r="V2498" t="s">
        <v>645</v>
      </c>
      <c r="W2498" t="s">
        <v>113</v>
      </c>
    </row>
    <row r="2499" spans="1:23" hidden="1" x14ac:dyDescent="0.25">
      <c r="A2499" s="7" t="str">
        <f>IFERROR(VLOOKUP(H2499,'Contas Orç'!A:B,2,0),"N/A")</f>
        <v>ENCARGOS SOCIAIS</v>
      </c>
      <c r="B2499" s="7" t="str">
        <f t="shared" ref="B2499:B2562" si="78">_xlfn.CONCAT(H2499," - ",A2499)</f>
        <v>330102 - ENCARGOS SOCIAIS</v>
      </c>
      <c r="C2499" s="25">
        <f t="shared" ref="C2499:C2562" si="79">DATE(YEAR(G2499),MONTH(G2499),1)</f>
        <v>44562</v>
      </c>
      <c r="D2499" s="27">
        <f>IF(K2499="CREDITO",Q2499,Q2499*-1)</f>
        <v>2388.84</v>
      </c>
      <c r="E2499" t="s">
        <v>894</v>
      </c>
      <c r="F2499" t="s">
        <v>2993</v>
      </c>
      <c r="G2499" s="8">
        <v>44562</v>
      </c>
      <c r="H2499" t="s">
        <v>578</v>
      </c>
      <c r="I2499" t="s">
        <v>81</v>
      </c>
      <c r="J2499" t="s">
        <v>60</v>
      </c>
      <c r="K2499" t="s">
        <v>29</v>
      </c>
      <c r="L2499" t="s">
        <v>895</v>
      </c>
      <c r="M2499" t="s">
        <v>4402</v>
      </c>
      <c r="O2499" t="s">
        <v>896</v>
      </c>
      <c r="P2499" t="s">
        <v>33</v>
      </c>
      <c r="Q2499" s="22">
        <v>2388.84</v>
      </c>
      <c r="R2499" t="s">
        <v>35</v>
      </c>
      <c r="S2499" t="s">
        <v>35</v>
      </c>
      <c r="T2499" t="s">
        <v>35</v>
      </c>
      <c r="U2499" t="s">
        <v>35</v>
      </c>
      <c r="V2499" t="s">
        <v>645</v>
      </c>
      <c r="W2499" t="s">
        <v>113</v>
      </c>
    </row>
    <row r="2500" spans="1:23" hidden="1" x14ac:dyDescent="0.25">
      <c r="A2500" s="7" t="str">
        <f>IFERROR(VLOOKUP(H2500,'Contas Orç'!A:B,2,0),"N/A")</f>
        <v>ENCARGOS SOCIAIS</v>
      </c>
      <c r="B2500" s="7" t="str">
        <f t="shared" si="78"/>
        <v>330102 - ENCARGOS SOCIAIS</v>
      </c>
      <c r="C2500" s="25">
        <f t="shared" si="79"/>
        <v>44562</v>
      </c>
      <c r="D2500" s="27">
        <f>IF(K2500="CREDITO",Q2500,Q2500*-1)</f>
        <v>362.11</v>
      </c>
      <c r="E2500" t="s">
        <v>894</v>
      </c>
      <c r="F2500" t="s">
        <v>2994</v>
      </c>
      <c r="G2500" s="8">
        <v>44562</v>
      </c>
      <c r="H2500" t="s">
        <v>578</v>
      </c>
      <c r="I2500" t="s">
        <v>68</v>
      </c>
      <c r="J2500" t="s">
        <v>69</v>
      </c>
      <c r="K2500" t="s">
        <v>29</v>
      </c>
      <c r="L2500" t="s">
        <v>895</v>
      </c>
      <c r="M2500" t="s">
        <v>4402</v>
      </c>
      <c r="O2500" t="s">
        <v>896</v>
      </c>
      <c r="P2500" t="s">
        <v>33</v>
      </c>
      <c r="Q2500">
        <v>362.11</v>
      </c>
      <c r="R2500" t="s">
        <v>35</v>
      </c>
      <c r="S2500" t="s">
        <v>35</v>
      </c>
      <c r="T2500" t="s">
        <v>35</v>
      </c>
      <c r="U2500" t="s">
        <v>35</v>
      </c>
      <c r="V2500" t="s">
        <v>645</v>
      </c>
      <c r="W2500" t="s">
        <v>113</v>
      </c>
    </row>
    <row r="2501" spans="1:23" hidden="1" x14ac:dyDescent="0.25">
      <c r="A2501" s="7" t="str">
        <f>IFERROR(VLOOKUP(H2501,'Contas Orç'!A:B,2,0),"N/A")</f>
        <v>ENCARGOS SOCIAIS</v>
      </c>
      <c r="B2501" s="7" t="str">
        <f t="shared" si="78"/>
        <v>330102 - ENCARGOS SOCIAIS</v>
      </c>
      <c r="C2501" s="25">
        <f t="shared" si="79"/>
        <v>44562</v>
      </c>
      <c r="D2501" s="27">
        <f>IF(K2501="CREDITO",Q2501,Q2501*-1)</f>
        <v>398.79</v>
      </c>
      <c r="E2501" t="s">
        <v>894</v>
      </c>
      <c r="F2501" t="s">
        <v>2995</v>
      </c>
      <c r="G2501" s="8">
        <v>44562</v>
      </c>
      <c r="H2501" t="s">
        <v>578</v>
      </c>
      <c r="I2501" t="s">
        <v>2062</v>
      </c>
      <c r="J2501" t="s">
        <v>54</v>
      </c>
      <c r="K2501" t="s">
        <v>29</v>
      </c>
      <c r="L2501" t="s">
        <v>895</v>
      </c>
      <c r="M2501" t="s">
        <v>4402</v>
      </c>
      <c r="O2501" t="s">
        <v>896</v>
      </c>
      <c r="P2501" t="s">
        <v>33</v>
      </c>
      <c r="Q2501">
        <v>398.79</v>
      </c>
      <c r="R2501" t="s">
        <v>35</v>
      </c>
      <c r="S2501" t="s">
        <v>35</v>
      </c>
      <c r="T2501" t="s">
        <v>35</v>
      </c>
      <c r="U2501" t="s">
        <v>35</v>
      </c>
      <c r="V2501" t="s">
        <v>645</v>
      </c>
      <c r="W2501" t="s">
        <v>113</v>
      </c>
    </row>
    <row r="2502" spans="1:23" hidden="1" x14ac:dyDescent="0.25">
      <c r="A2502" s="7" t="str">
        <f>IFERROR(VLOOKUP(H2502,'Contas Orç'!A:B,2,0),"N/A")</f>
        <v>ENCARGOS SOCIAIS</v>
      </c>
      <c r="B2502" s="7" t="str">
        <f t="shared" si="78"/>
        <v>330102 - ENCARGOS SOCIAIS</v>
      </c>
      <c r="C2502" s="25">
        <f t="shared" si="79"/>
        <v>44562</v>
      </c>
      <c r="D2502" s="27">
        <f>IF(K2502="CREDITO",Q2502,Q2502*-1)</f>
        <v>7052.78</v>
      </c>
      <c r="E2502" t="s">
        <v>894</v>
      </c>
      <c r="F2502" t="s">
        <v>2996</v>
      </c>
      <c r="G2502" s="8">
        <v>44562</v>
      </c>
      <c r="H2502" t="s">
        <v>578</v>
      </c>
      <c r="I2502" t="s">
        <v>40</v>
      </c>
      <c r="J2502" t="s">
        <v>54</v>
      </c>
      <c r="K2502" t="s">
        <v>29</v>
      </c>
      <c r="L2502" t="s">
        <v>895</v>
      </c>
      <c r="M2502" t="s">
        <v>4402</v>
      </c>
      <c r="O2502" t="s">
        <v>896</v>
      </c>
      <c r="P2502" t="s">
        <v>33</v>
      </c>
      <c r="Q2502" s="22">
        <v>7052.78</v>
      </c>
      <c r="R2502" t="s">
        <v>35</v>
      </c>
      <c r="S2502" t="s">
        <v>35</v>
      </c>
      <c r="T2502" t="s">
        <v>35</v>
      </c>
      <c r="U2502" t="s">
        <v>35</v>
      </c>
      <c r="V2502" t="s">
        <v>645</v>
      </c>
      <c r="W2502" t="s">
        <v>113</v>
      </c>
    </row>
    <row r="2503" spans="1:23" hidden="1" x14ac:dyDescent="0.25">
      <c r="A2503" s="7" t="str">
        <f>IFERROR(VLOOKUP(H2503,'Contas Orç'!A:B,2,0),"N/A")</f>
        <v>ENCARGOS SOCIAIS</v>
      </c>
      <c r="B2503" s="7" t="str">
        <f t="shared" si="78"/>
        <v>330102 - ENCARGOS SOCIAIS</v>
      </c>
      <c r="C2503" s="25">
        <f t="shared" si="79"/>
        <v>44562</v>
      </c>
      <c r="D2503" s="27">
        <f>IF(K2503="CREDITO",Q2503,Q2503*-1)</f>
        <v>1013.68</v>
      </c>
      <c r="E2503" t="s">
        <v>894</v>
      </c>
      <c r="F2503" t="s">
        <v>2997</v>
      </c>
      <c r="G2503" s="8">
        <v>44562</v>
      </c>
      <c r="H2503" t="s">
        <v>578</v>
      </c>
      <c r="I2503" t="s">
        <v>1002</v>
      </c>
      <c r="J2503" t="s">
        <v>54</v>
      </c>
      <c r="K2503" t="s">
        <v>29</v>
      </c>
      <c r="L2503" t="s">
        <v>895</v>
      </c>
      <c r="M2503" t="s">
        <v>4402</v>
      </c>
      <c r="O2503" t="s">
        <v>896</v>
      </c>
      <c r="P2503" t="s">
        <v>33</v>
      </c>
      <c r="Q2503" s="22">
        <v>1013.68</v>
      </c>
      <c r="R2503" t="s">
        <v>35</v>
      </c>
      <c r="S2503" t="s">
        <v>35</v>
      </c>
      <c r="T2503" t="s">
        <v>35</v>
      </c>
      <c r="U2503" t="s">
        <v>35</v>
      </c>
      <c r="V2503" t="s">
        <v>645</v>
      </c>
      <c r="W2503" t="s">
        <v>113</v>
      </c>
    </row>
    <row r="2504" spans="1:23" hidden="1" x14ac:dyDescent="0.25">
      <c r="A2504" s="7" t="str">
        <f>IFERROR(VLOOKUP(H2504,'Contas Orç'!A:B,2,0),"N/A")</f>
        <v>ENCARGOS SOCIAIS</v>
      </c>
      <c r="B2504" s="7" t="str">
        <f t="shared" si="78"/>
        <v>330102 - ENCARGOS SOCIAIS</v>
      </c>
      <c r="C2504" s="25">
        <f t="shared" si="79"/>
        <v>44562</v>
      </c>
      <c r="D2504" s="27">
        <f>IF(K2504="CREDITO",Q2504,Q2504*-1)</f>
        <v>435.29</v>
      </c>
      <c r="E2504" t="s">
        <v>894</v>
      </c>
      <c r="F2504" t="s">
        <v>2998</v>
      </c>
      <c r="G2504" s="8">
        <v>44562</v>
      </c>
      <c r="H2504" t="s">
        <v>578</v>
      </c>
      <c r="I2504" t="s">
        <v>121</v>
      </c>
      <c r="J2504" t="s">
        <v>54</v>
      </c>
      <c r="K2504" t="s">
        <v>29</v>
      </c>
      <c r="L2504" t="s">
        <v>895</v>
      </c>
      <c r="M2504" t="s">
        <v>4402</v>
      </c>
      <c r="O2504" t="s">
        <v>896</v>
      </c>
      <c r="P2504" t="s">
        <v>33</v>
      </c>
      <c r="Q2504">
        <v>435.29</v>
      </c>
      <c r="R2504" t="s">
        <v>35</v>
      </c>
      <c r="S2504" t="s">
        <v>35</v>
      </c>
      <c r="T2504" t="s">
        <v>35</v>
      </c>
      <c r="U2504" t="s">
        <v>35</v>
      </c>
      <c r="V2504" t="s">
        <v>645</v>
      </c>
      <c r="W2504" t="s">
        <v>113</v>
      </c>
    </row>
    <row r="2505" spans="1:23" hidden="1" x14ac:dyDescent="0.25">
      <c r="A2505" s="7" t="str">
        <f>IFERROR(VLOOKUP(H2505,'Contas Orç'!A:B,2,0),"N/A")</f>
        <v>ENCARGOS SOCIAIS</v>
      </c>
      <c r="B2505" s="7" t="str">
        <f t="shared" si="78"/>
        <v>330102 - ENCARGOS SOCIAIS</v>
      </c>
      <c r="C2505" s="25">
        <f t="shared" si="79"/>
        <v>44562</v>
      </c>
      <c r="D2505" s="27">
        <f>IF(K2505="CREDITO",Q2505,Q2505*-1)</f>
        <v>2489.6799999999998</v>
      </c>
      <c r="E2505" t="s">
        <v>894</v>
      </c>
      <c r="F2505" t="s">
        <v>2999</v>
      </c>
      <c r="G2505" s="8">
        <v>44562</v>
      </c>
      <c r="H2505" t="s">
        <v>578</v>
      </c>
      <c r="I2505" t="s">
        <v>132</v>
      </c>
      <c r="J2505" t="s">
        <v>54</v>
      </c>
      <c r="K2505" t="s">
        <v>29</v>
      </c>
      <c r="L2505" t="s">
        <v>895</v>
      </c>
      <c r="M2505" t="s">
        <v>4402</v>
      </c>
      <c r="O2505" t="s">
        <v>896</v>
      </c>
      <c r="P2505" t="s">
        <v>33</v>
      </c>
      <c r="Q2505" s="22">
        <v>2489.6799999999998</v>
      </c>
      <c r="R2505" t="s">
        <v>35</v>
      </c>
      <c r="S2505" t="s">
        <v>35</v>
      </c>
      <c r="T2505" t="s">
        <v>35</v>
      </c>
      <c r="U2505" t="s">
        <v>35</v>
      </c>
      <c r="V2505" t="s">
        <v>645</v>
      </c>
      <c r="W2505" t="s">
        <v>113</v>
      </c>
    </row>
    <row r="2506" spans="1:23" hidden="1" x14ac:dyDescent="0.25">
      <c r="A2506" s="7" t="str">
        <f>IFERROR(VLOOKUP(H2506,'Contas Orç'!A:B,2,0),"N/A")</f>
        <v>ENCARGOS SOCIAIS</v>
      </c>
      <c r="B2506" s="7" t="str">
        <f t="shared" si="78"/>
        <v>330102 - ENCARGOS SOCIAIS</v>
      </c>
      <c r="C2506" s="25">
        <f t="shared" si="79"/>
        <v>44562</v>
      </c>
      <c r="D2506" s="27">
        <f>IF(K2506="CREDITO",Q2506,Q2506*-1)</f>
        <v>605.86</v>
      </c>
      <c r="E2506" t="s">
        <v>894</v>
      </c>
      <c r="F2506" t="s">
        <v>3000</v>
      </c>
      <c r="G2506" s="8">
        <v>44562</v>
      </c>
      <c r="H2506" t="s">
        <v>578</v>
      </c>
      <c r="I2506" t="s">
        <v>114</v>
      </c>
      <c r="J2506" t="s">
        <v>54</v>
      </c>
      <c r="K2506" t="s">
        <v>29</v>
      </c>
      <c r="L2506" t="s">
        <v>895</v>
      </c>
      <c r="M2506" t="s">
        <v>4402</v>
      </c>
      <c r="O2506" t="s">
        <v>896</v>
      </c>
      <c r="P2506" t="s">
        <v>33</v>
      </c>
      <c r="Q2506">
        <v>605.86</v>
      </c>
      <c r="R2506" t="s">
        <v>35</v>
      </c>
      <c r="S2506" t="s">
        <v>35</v>
      </c>
      <c r="T2506" t="s">
        <v>35</v>
      </c>
      <c r="U2506" t="s">
        <v>35</v>
      </c>
      <c r="V2506" t="s">
        <v>645</v>
      </c>
      <c r="W2506" t="s">
        <v>113</v>
      </c>
    </row>
    <row r="2507" spans="1:23" hidden="1" x14ac:dyDescent="0.25">
      <c r="A2507" s="7" t="str">
        <f>IFERROR(VLOOKUP(H2507,'Contas Orç'!A:B,2,0),"N/A")</f>
        <v>ENCARGOS SOCIAIS</v>
      </c>
      <c r="B2507" s="7" t="str">
        <f t="shared" si="78"/>
        <v>330102 - ENCARGOS SOCIAIS</v>
      </c>
      <c r="C2507" s="25">
        <f t="shared" si="79"/>
        <v>44562</v>
      </c>
      <c r="D2507" s="27">
        <f>IF(K2507="CREDITO",Q2507,Q2507*-1)</f>
        <v>4239.97</v>
      </c>
      <c r="E2507" t="s">
        <v>894</v>
      </c>
      <c r="F2507" t="s">
        <v>3001</v>
      </c>
      <c r="G2507" s="8">
        <v>44562</v>
      </c>
      <c r="H2507" t="s">
        <v>578</v>
      </c>
      <c r="I2507" t="s">
        <v>75</v>
      </c>
      <c r="J2507" t="s">
        <v>54</v>
      </c>
      <c r="K2507" t="s">
        <v>29</v>
      </c>
      <c r="L2507" t="s">
        <v>895</v>
      </c>
      <c r="M2507" t="s">
        <v>4402</v>
      </c>
      <c r="O2507" t="s">
        <v>896</v>
      </c>
      <c r="P2507" t="s">
        <v>33</v>
      </c>
      <c r="Q2507" s="22">
        <v>4239.97</v>
      </c>
      <c r="R2507" t="s">
        <v>35</v>
      </c>
      <c r="S2507" t="s">
        <v>35</v>
      </c>
      <c r="T2507" t="s">
        <v>35</v>
      </c>
      <c r="U2507" t="s">
        <v>35</v>
      </c>
      <c r="V2507" t="s">
        <v>645</v>
      </c>
      <c r="W2507" t="s">
        <v>113</v>
      </c>
    </row>
    <row r="2508" spans="1:23" hidden="1" x14ac:dyDescent="0.25">
      <c r="A2508" s="7" t="str">
        <f>IFERROR(VLOOKUP(H2508,'Contas Orç'!A:B,2,0),"N/A")</f>
        <v>ENCARGOS SOCIAIS</v>
      </c>
      <c r="B2508" s="7" t="str">
        <f t="shared" si="78"/>
        <v>330102 - ENCARGOS SOCIAIS</v>
      </c>
      <c r="C2508" s="25">
        <f t="shared" si="79"/>
        <v>44562</v>
      </c>
      <c r="D2508" s="27">
        <f>IF(K2508="CREDITO",Q2508,Q2508*-1)</f>
        <v>3541.29</v>
      </c>
      <c r="E2508" t="s">
        <v>894</v>
      </c>
      <c r="F2508" t="s">
        <v>3002</v>
      </c>
      <c r="G2508" s="8">
        <v>44562</v>
      </c>
      <c r="H2508" t="s">
        <v>578</v>
      </c>
      <c r="I2508" t="s">
        <v>78</v>
      </c>
      <c r="J2508" t="s">
        <v>54</v>
      </c>
      <c r="K2508" t="s">
        <v>29</v>
      </c>
      <c r="L2508" t="s">
        <v>895</v>
      </c>
      <c r="M2508" t="s">
        <v>4402</v>
      </c>
      <c r="O2508" t="s">
        <v>896</v>
      </c>
      <c r="P2508" t="s">
        <v>33</v>
      </c>
      <c r="Q2508" s="22">
        <v>3541.29</v>
      </c>
      <c r="R2508" t="s">
        <v>35</v>
      </c>
      <c r="S2508" t="s">
        <v>35</v>
      </c>
      <c r="T2508" t="s">
        <v>35</v>
      </c>
      <c r="U2508" t="s">
        <v>35</v>
      </c>
      <c r="V2508" t="s">
        <v>645</v>
      </c>
      <c r="W2508" t="s">
        <v>113</v>
      </c>
    </row>
    <row r="2509" spans="1:23" hidden="1" x14ac:dyDescent="0.25">
      <c r="A2509" s="7" t="str">
        <f>IFERROR(VLOOKUP(H2509,'Contas Orç'!A:B,2,0),"N/A")</f>
        <v>ENCARGOS SOCIAIS</v>
      </c>
      <c r="B2509" s="7" t="str">
        <f t="shared" si="78"/>
        <v>330102 - ENCARGOS SOCIAIS</v>
      </c>
      <c r="C2509" s="25">
        <f t="shared" si="79"/>
        <v>44562</v>
      </c>
      <c r="D2509" s="27">
        <f>IF(K2509="CREDITO",Q2509,Q2509*-1)</f>
        <v>2218.79</v>
      </c>
      <c r="E2509" t="s">
        <v>894</v>
      </c>
      <c r="F2509" t="s">
        <v>3003</v>
      </c>
      <c r="G2509" s="8">
        <v>44562</v>
      </c>
      <c r="H2509" t="s">
        <v>578</v>
      </c>
      <c r="I2509" t="s">
        <v>81</v>
      </c>
      <c r="J2509" t="s">
        <v>54</v>
      </c>
      <c r="K2509" t="s">
        <v>29</v>
      </c>
      <c r="L2509" t="s">
        <v>895</v>
      </c>
      <c r="M2509" t="s">
        <v>4402</v>
      </c>
      <c r="O2509" t="s">
        <v>896</v>
      </c>
      <c r="P2509" t="s">
        <v>33</v>
      </c>
      <c r="Q2509" s="22">
        <v>2218.79</v>
      </c>
      <c r="R2509" t="s">
        <v>35</v>
      </c>
      <c r="S2509" t="s">
        <v>35</v>
      </c>
      <c r="T2509" t="s">
        <v>35</v>
      </c>
      <c r="U2509" t="s">
        <v>35</v>
      </c>
      <c r="V2509" t="s">
        <v>645</v>
      </c>
      <c r="W2509" t="s">
        <v>113</v>
      </c>
    </row>
    <row r="2510" spans="1:23" hidden="1" x14ac:dyDescent="0.25">
      <c r="A2510" s="7" t="str">
        <f>IFERROR(VLOOKUP(H2510,'Contas Orç'!A:B,2,0),"N/A")</f>
        <v>ENCARGOS SOCIAIS</v>
      </c>
      <c r="B2510" s="7" t="str">
        <f t="shared" si="78"/>
        <v>330102 - ENCARGOS SOCIAIS</v>
      </c>
      <c r="C2510" s="25">
        <f t="shared" si="79"/>
        <v>44562</v>
      </c>
      <c r="D2510" s="27">
        <f>IF(K2510="CREDITO",Q2510,Q2510*-1)</f>
        <v>1063.69</v>
      </c>
      <c r="E2510" t="s">
        <v>894</v>
      </c>
      <c r="F2510" t="s">
        <v>3004</v>
      </c>
      <c r="G2510" s="8">
        <v>44562</v>
      </c>
      <c r="H2510" t="s">
        <v>578</v>
      </c>
      <c r="I2510" t="s">
        <v>136</v>
      </c>
      <c r="J2510" t="s">
        <v>54</v>
      </c>
      <c r="K2510" t="s">
        <v>29</v>
      </c>
      <c r="L2510" t="s">
        <v>895</v>
      </c>
      <c r="M2510" t="s">
        <v>4402</v>
      </c>
      <c r="O2510" t="s">
        <v>896</v>
      </c>
      <c r="P2510" t="s">
        <v>33</v>
      </c>
      <c r="Q2510" s="22">
        <v>1063.69</v>
      </c>
      <c r="R2510" t="s">
        <v>35</v>
      </c>
      <c r="S2510" t="s">
        <v>35</v>
      </c>
      <c r="T2510" t="s">
        <v>35</v>
      </c>
      <c r="U2510" t="s">
        <v>35</v>
      </c>
      <c r="V2510" t="s">
        <v>645</v>
      </c>
      <c r="W2510" t="s">
        <v>113</v>
      </c>
    </row>
    <row r="2511" spans="1:23" hidden="1" x14ac:dyDescent="0.25">
      <c r="A2511" s="7" t="str">
        <f>IFERROR(VLOOKUP(H2511,'Contas Orç'!A:B,2,0),"N/A")</f>
        <v>ENCARGOS SOCIAIS</v>
      </c>
      <c r="B2511" s="7" t="str">
        <f t="shared" si="78"/>
        <v>330102 - ENCARGOS SOCIAIS</v>
      </c>
      <c r="C2511" s="25">
        <f t="shared" si="79"/>
        <v>44593</v>
      </c>
      <c r="D2511" s="27">
        <f>IF(K2511="CREDITO",Q2511,Q2511*-1)</f>
        <v>2295.66</v>
      </c>
      <c r="E2511" t="s">
        <v>894</v>
      </c>
      <c r="F2511" t="s">
        <v>3005</v>
      </c>
      <c r="G2511" s="8">
        <v>44593</v>
      </c>
      <c r="H2511" t="s">
        <v>578</v>
      </c>
      <c r="I2511" t="s">
        <v>99</v>
      </c>
      <c r="J2511" t="s">
        <v>28</v>
      </c>
      <c r="K2511" t="s">
        <v>29</v>
      </c>
      <c r="L2511" t="s">
        <v>895</v>
      </c>
      <c r="M2511" t="s">
        <v>4402</v>
      </c>
      <c r="O2511" t="s">
        <v>896</v>
      </c>
      <c r="P2511" t="s">
        <v>33</v>
      </c>
      <c r="Q2511" s="22">
        <v>2295.66</v>
      </c>
      <c r="R2511" t="s">
        <v>35</v>
      </c>
      <c r="S2511" t="s">
        <v>35</v>
      </c>
      <c r="T2511" t="s">
        <v>35</v>
      </c>
      <c r="U2511" t="s">
        <v>35</v>
      </c>
      <c r="V2511" t="s">
        <v>645</v>
      </c>
      <c r="W2511" t="s">
        <v>113</v>
      </c>
    </row>
    <row r="2512" spans="1:23" hidden="1" x14ac:dyDescent="0.25">
      <c r="A2512" s="7" t="str">
        <f>IFERROR(VLOOKUP(H2512,'Contas Orç'!A:B,2,0),"N/A")</f>
        <v>ENCARGOS SOCIAIS</v>
      </c>
      <c r="B2512" s="7" t="str">
        <f t="shared" si="78"/>
        <v>330102 - ENCARGOS SOCIAIS</v>
      </c>
      <c r="C2512" s="25">
        <f t="shared" si="79"/>
        <v>44593</v>
      </c>
      <c r="D2512" s="27">
        <f>IF(K2512="CREDITO",Q2512,Q2512*-1)</f>
        <v>1314.98</v>
      </c>
      <c r="E2512" t="s">
        <v>894</v>
      </c>
      <c r="F2512" t="s">
        <v>3006</v>
      </c>
      <c r="G2512" s="8">
        <v>44593</v>
      </c>
      <c r="H2512" t="s">
        <v>578</v>
      </c>
      <c r="I2512" t="s">
        <v>81</v>
      </c>
      <c r="J2512" t="s">
        <v>60</v>
      </c>
      <c r="K2512" t="s">
        <v>29</v>
      </c>
      <c r="L2512" t="s">
        <v>895</v>
      </c>
      <c r="M2512" t="s">
        <v>4402</v>
      </c>
      <c r="O2512" t="s">
        <v>896</v>
      </c>
      <c r="P2512" t="s">
        <v>33</v>
      </c>
      <c r="Q2512" s="22">
        <v>1314.98</v>
      </c>
      <c r="R2512" t="s">
        <v>35</v>
      </c>
      <c r="S2512" t="s">
        <v>35</v>
      </c>
      <c r="T2512" t="s">
        <v>35</v>
      </c>
      <c r="U2512" t="s">
        <v>35</v>
      </c>
      <c r="V2512" t="s">
        <v>645</v>
      </c>
      <c r="W2512" t="s">
        <v>113</v>
      </c>
    </row>
    <row r="2513" spans="1:23" hidden="1" x14ac:dyDescent="0.25">
      <c r="A2513" s="7" t="str">
        <f>IFERROR(VLOOKUP(H2513,'Contas Orç'!A:B,2,0),"N/A")</f>
        <v>ENCARGOS SOCIAIS</v>
      </c>
      <c r="B2513" s="7" t="str">
        <f t="shared" si="78"/>
        <v>330102 - ENCARGOS SOCIAIS</v>
      </c>
      <c r="C2513" s="25">
        <f t="shared" si="79"/>
        <v>44593</v>
      </c>
      <c r="D2513" s="27">
        <f>IF(K2513="CREDITO",Q2513,Q2513*-1)</f>
        <v>352.67</v>
      </c>
      <c r="E2513" t="s">
        <v>894</v>
      </c>
      <c r="F2513" t="s">
        <v>3007</v>
      </c>
      <c r="G2513" s="8">
        <v>44593</v>
      </c>
      <c r="H2513" t="s">
        <v>578</v>
      </c>
      <c r="I2513" t="s">
        <v>68</v>
      </c>
      <c r="J2513" t="s">
        <v>69</v>
      </c>
      <c r="K2513" t="s">
        <v>29</v>
      </c>
      <c r="L2513" t="s">
        <v>895</v>
      </c>
      <c r="M2513" t="s">
        <v>4402</v>
      </c>
      <c r="O2513" t="s">
        <v>896</v>
      </c>
      <c r="P2513" t="s">
        <v>33</v>
      </c>
      <c r="Q2513">
        <v>352.67</v>
      </c>
      <c r="R2513" t="s">
        <v>35</v>
      </c>
      <c r="S2513" t="s">
        <v>35</v>
      </c>
      <c r="T2513" t="s">
        <v>35</v>
      </c>
      <c r="U2513" t="s">
        <v>35</v>
      </c>
      <c r="V2513" t="s">
        <v>645</v>
      </c>
      <c r="W2513" t="s">
        <v>113</v>
      </c>
    </row>
    <row r="2514" spans="1:23" hidden="1" x14ac:dyDescent="0.25">
      <c r="A2514" s="7" t="str">
        <f>IFERROR(VLOOKUP(H2514,'Contas Orç'!A:B,2,0),"N/A")</f>
        <v>ENCARGOS SOCIAIS</v>
      </c>
      <c r="B2514" s="7" t="str">
        <f t="shared" si="78"/>
        <v>330102 - ENCARGOS SOCIAIS</v>
      </c>
      <c r="C2514" s="25">
        <f t="shared" si="79"/>
        <v>44593</v>
      </c>
      <c r="D2514" s="27">
        <f>IF(K2514="CREDITO",Q2514,Q2514*-1)</f>
        <v>386.62</v>
      </c>
      <c r="E2514" t="s">
        <v>894</v>
      </c>
      <c r="F2514" t="s">
        <v>3008</v>
      </c>
      <c r="G2514" s="8">
        <v>44593</v>
      </c>
      <c r="H2514" t="s">
        <v>578</v>
      </c>
      <c r="I2514" t="s">
        <v>2062</v>
      </c>
      <c r="J2514" t="s">
        <v>54</v>
      </c>
      <c r="K2514" t="s">
        <v>29</v>
      </c>
      <c r="L2514" t="s">
        <v>895</v>
      </c>
      <c r="M2514" t="s">
        <v>4402</v>
      </c>
      <c r="O2514" t="s">
        <v>896</v>
      </c>
      <c r="P2514" t="s">
        <v>33</v>
      </c>
      <c r="Q2514">
        <v>386.62</v>
      </c>
      <c r="R2514" t="s">
        <v>35</v>
      </c>
      <c r="S2514" t="s">
        <v>35</v>
      </c>
      <c r="T2514" t="s">
        <v>35</v>
      </c>
      <c r="U2514" t="s">
        <v>35</v>
      </c>
      <c r="V2514" t="s">
        <v>645</v>
      </c>
      <c r="W2514" t="s">
        <v>113</v>
      </c>
    </row>
    <row r="2515" spans="1:23" hidden="1" x14ac:dyDescent="0.25">
      <c r="A2515" s="7" t="str">
        <f>IFERROR(VLOOKUP(H2515,'Contas Orç'!A:B,2,0),"N/A")</f>
        <v>ENCARGOS SOCIAIS</v>
      </c>
      <c r="B2515" s="7" t="str">
        <f t="shared" si="78"/>
        <v>330102 - ENCARGOS SOCIAIS</v>
      </c>
      <c r="C2515" s="25">
        <f t="shared" si="79"/>
        <v>44593</v>
      </c>
      <c r="D2515" s="27">
        <f>IF(K2515="CREDITO",Q2515,Q2515*-1)</f>
        <v>6631.17</v>
      </c>
      <c r="E2515" t="s">
        <v>894</v>
      </c>
      <c r="F2515" t="s">
        <v>3009</v>
      </c>
      <c r="G2515" s="8">
        <v>44593</v>
      </c>
      <c r="H2515" t="s">
        <v>578</v>
      </c>
      <c r="I2515" t="s">
        <v>40</v>
      </c>
      <c r="J2515" t="s">
        <v>54</v>
      </c>
      <c r="K2515" t="s">
        <v>29</v>
      </c>
      <c r="L2515" t="s">
        <v>895</v>
      </c>
      <c r="M2515" t="s">
        <v>4402</v>
      </c>
      <c r="O2515" t="s">
        <v>896</v>
      </c>
      <c r="P2515" t="s">
        <v>33</v>
      </c>
      <c r="Q2515" s="22">
        <v>6631.17</v>
      </c>
      <c r="R2515" t="s">
        <v>35</v>
      </c>
      <c r="S2515" t="s">
        <v>35</v>
      </c>
      <c r="T2515" t="s">
        <v>35</v>
      </c>
      <c r="U2515" t="s">
        <v>35</v>
      </c>
      <c r="V2515" t="s">
        <v>645</v>
      </c>
      <c r="W2515" t="s">
        <v>113</v>
      </c>
    </row>
    <row r="2516" spans="1:23" hidden="1" x14ac:dyDescent="0.25">
      <c r="A2516" s="7" t="str">
        <f>IFERROR(VLOOKUP(H2516,'Contas Orç'!A:B,2,0),"N/A")</f>
        <v>ENCARGOS SOCIAIS</v>
      </c>
      <c r="B2516" s="7" t="str">
        <f t="shared" si="78"/>
        <v>330102 - ENCARGOS SOCIAIS</v>
      </c>
      <c r="C2516" s="25">
        <f t="shared" si="79"/>
        <v>44593</v>
      </c>
      <c r="D2516" s="27">
        <f>IF(K2516="CREDITO",Q2516,Q2516*-1)</f>
        <v>999.78</v>
      </c>
      <c r="E2516" t="s">
        <v>894</v>
      </c>
      <c r="F2516" t="s">
        <v>3010</v>
      </c>
      <c r="G2516" s="8">
        <v>44593</v>
      </c>
      <c r="H2516" t="s">
        <v>578</v>
      </c>
      <c r="I2516" t="s">
        <v>1002</v>
      </c>
      <c r="J2516" t="s">
        <v>54</v>
      </c>
      <c r="K2516" t="s">
        <v>29</v>
      </c>
      <c r="L2516" t="s">
        <v>895</v>
      </c>
      <c r="M2516" t="s">
        <v>4402</v>
      </c>
      <c r="O2516" t="s">
        <v>896</v>
      </c>
      <c r="P2516" t="s">
        <v>33</v>
      </c>
      <c r="Q2516">
        <v>999.78</v>
      </c>
      <c r="R2516" t="s">
        <v>35</v>
      </c>
      <c r="S2516" t="s">
        <v>35</v>
      </c>
      <c r="T2516" t="s">
        <v>35</v>
      </c>
      <c r="U2516" t="s">
        <v>35</v>
      </c>
      <c r="V2516" t="s">
        <v>645</v>
      </c>
      <c r="W2516" t="s">
        <v>113</v>
      </c>
    </row>
    <row r="2517" spans="1:23" hidden="1" x14ac:dyDescent="0.25">
      <c r="A2517" s="7" t="str">
        <f>IFERROR(VLOOKUP(H2517,'Contas Orç'!A:B,2,0),"N/A")</f>
        <v>ENCARGOS SOCIAIS</v>
      </c>
      <c r="B2517" s="7" t="str">
        <f t="shared" si="78"/>
        <v>330102 - ENCARGOS SOCIAIS</v>
      </c>
      <c r="C2517" s="25">
        <f t="shared" si="79"/>
        <v>44593</v>
      </c>
      <c r="D2517" s="27">
        <f>IF(K2517="CREDITO",Q2517,Q2517*-1)</f>
        <v>516.55999999999995</v>
      </c>
      <c r="E2517" t="s">
        <v>894</v>
      </c>
      <c r="F2517" t="s">
        <v>3011</v>
      </c>
      <c r="G2517" s="8">
        <v>44593</v>
      </c>
      <c r="H2517" t="s">
        <v>578</v>
      </c>
      <c r="I2517" t="s">
        <v>121</v>
      </c>
      <c r="J2517" t="s">
        <v>54</v>
      </c>
      <c r="K2517" t="s">
        <v>29</v>
      </c>
      <c r="L2517" t="s">
        <v>895</v>
      </c>
      <c r="M2517" t="s">
        <v>4402</v>
      </c>
      <c r="O2517" t="s">
        <v>896</v>
      </c>
      <c r="P2517" t="s">
        <v>33</v>
      </c>
      <c r="Q2517">
        <v>516.55999999999995</v>
      </c>
      <c r="R2517" t="s">
        <v>35</v>
      </c>
      <c r="S2517" t="s">
        <v>35</v>
      </c>
      <c r="T2517" t="s">
        <v>35</v>
      </c>
      <c r="U2517" t="s">
        <v>35</v>
      </c>
      <c r="V2517" t="s">
        <v>645</v>
      </c>
      <c r="W2517" t="s">
        <v>113</v>
      </c>
    </row>
    <row r="2518" spans="1:23" hidden="1" x14ac:dyDescent="0.25">
      <c r="A2518" s="7" t="str">
        <f>IFERROR(VLOOKUP(H2518,'Contas Orç'!A:B,2,0),"N/A")</f>
        <v>ENCARGOS SOCIAIS</v>
      </c>
      <c r="B2518" s="7" t="str">
        <f t="shared" si="78"/>
        <v>330102 - ENCARGOS SOCIAIS</v>
      </c>
      <c r="C2518" s="25">
        <f t="shared" si="79"/>
        <v>44593</v>
      </c>
      <c r="D2518" s="27">
        <f>IF(K2518="CREDITO",Q2518,Q2518*-1)</f>
        <v>2567.6999999999998</v>
      </c>
      <c r="E2518" t="s">
        <v>894</v>
      </c>
      <c r="F2518" t="s">
        <v>3012</v>
      </c>
      <c r="G2518" s="8">
        <v>44593</v>
      </c>
      <c r="H2518" t="s">
        <v>578</v>
      </c>
      <c r="I2518" t="s">
        <v>132</v>
      </c>
      <c r="J2518" t="s">
        <v>54</v>
      </c>
      <c r="K2518" t="s">
        <v>29</v>
      </c>
      <c r="L2518" t="s">
        <v>895</v>
      </c>
      <c r="M2518" t="s">
        <v>4402</v>
      </c>
      <c r="O2518" t="s">
        <v>896</v>
      </c>
      <c r="P2518" t="s">
        <v>33</v>
      </c>
      <c r="Q2518" s="22">
        <v>2567.6999999999998</v>
      </c>
      <c r="R2518" t="s">
        <v>35</v>
      </c>
      <c r="S2518" t="s">
        <v>35</v>
      </c>
      <c r="T2518" t="s">
        <v>35</v>
      </c>
      <c r="U2518" t="s">
        <v>35</v>
      </c>
      <c r="V2518" t="s">
        <v>645</v>
      </c>
      <c r="W2518" t="s">
        <v>113</v>
      </c>
    </row>
    <row r="2519" spans="1:23" hidden="1" x14ac:dyDescent="0.25">
      <c r="A2519" s="7" t="str">
        <f>IFERROR(VLOOKUP(H2519,'Contas Orç'!A:B,2,0),"N/A")</f>
        <v>ENCARGOS SOCIAIS</v>
      </c>
      <c r="B2519" s="7" t="str">
        <f t="shared" si="78"/>
        <v>330102 - ENCARGOS SOCIAIS</v>
      </c>
      <c r="C2519" s="25">
        <f t="shared" si="79"/>
        <v>44593</v>
      </c>
      <c r="D2519" s="27">
        <f>IF(K2519="CREDITO",Q2519,Q2519*-1)</f>
        <v>690.41</v>
      </c>
      <c r="E2519" t="s">
        <v>894</v>
      </c>
      <c r="F2519" t="s">
        <v>3013</v>
      </c>
      <c r="G2519" s="8">
        <v>44593</v>
      </c>
      <c r="H2519" t="s">
        <v>578</v>
      </c>
      <c r="I2519" t="s">
        <v>114</v>
      </c>
      <c r="J2519" t="s">
        <v>54</v>
      </c>
      <c r="K2519" t="s">
        <v>29</v>
      </c>
      <c r="L2519" t="s">
        <v>895</v>
      </c>
      <c r="M2519" t="s">
        <v>4402</v>
      </c>
      <c r="O2519" t="s">
        <v>896</v>
      </c>
      <c r="P2519" t="s">
        <v>33</v>
      </c>
      <c r="Q2519">
        <v>690.41</v>
      </c>
      <c r="R2519" t="s">
        <v>35</v>
      </c>
      <c r="S2519" t="s">
        <v>35</v>
      </c>
      <c r="T2519" t="s">
        <v>35</v>
      </c>
      <c r="U2519" t="s">
        <v>35</v>
      </c>
      <c r="V2519" t="s">
        <v>645</v>
      </c>
      <c r="W2519" t="s">
        <v>113</v>
      </c>
    </row>
    <row r="2520" spans="1:23" hidden="1" x14ac:dyDescent="0.25">
      <c r="A2520" s="7" t="str">
        <f>IFERROR(VLOOKUP(H2520,'Contas Orç'!A:B,2,0),"N/A")</f>
        <v>ENCARGOS SOCIAIS</v>
      </c>
      <c r="B2520" s="7" t="str">
        <f t="shared" si="78"/>
        <v>330102 - ENCARGOS SOCIAIS</v>
      </c>
      <c r="C2520" s="25">
        <f t="shared" si="79"/>
        <v>44593</v>
      </c>
      <c r="D2520" s="27">
        <f>IF(K2520="CREDITO",Q2520,Q2520*-1)</f>
        <v>4057.77</v>
      </c>
      <c r="E2520" t="s">
        <v>894</v>
      </c>
      <c r="F2520" t="s">
        <v>3014</v>
      </c>
      <c r="G2520" s="8">
        <v>44593</v>
      </c>
      <c r="H2520" t="s">
        <v>578</v>
      </c>
      <c r="I2520" t="s">
        <v>75</v>
      </c>
      <c r="J2520" t="s">
        <v>54</v>
      </c>
      <c r="K2520" t="s">
        <v>29</v>
      </c>
      <c r="L2520" t="s">
        <v>895</v>
      </c>
      <c r="M2520" t="s">
        <v>4402</v>
      </c>
      <c r="O2520" t="s">
        <v>896</v>
      </c>
      <c r="P2520" t="s">
        <v>33</v>
      </c>
      <c r="Q2520" s="22">
        <v>4057.77</v>
      </c>
      <c r="R2520" t="s">
        <v>35</v>
      </c>
      <c r="S2520" t="s">
        <v>35</v>
      </c>
      <c r="T2520" t="s">
        <v>35</v>
      </c>
      <c r="U2520" t="s">
        <v>35</v>
      </c>
      <c r="V2520" t="s">
        <v>645</v>
      </c>
      <c r="W2520" t="s">
        <v>113</v>
      </c>
    </row>
    <row r="2521" spans="1:23" hidden="1" x14ac:dyDescent="0.25">
      <c r="A2521" s="7" t="str">
        <f>IFERROR(VLOOKUP(H2521,'Contas Orç'!A:B,2,0),"N/A")</f>
        <v>ENCARGOS SOCIAIS</v>
      </c>
      <c r="B2521" s="7" t="str">
        <f t="shared" si="78"/>
        <v>330102 - ENCARGOS SOCIAIS</v>
      </c>
      <c r="C2521" s="25">
        <f t="shared" si="79"/>
        <v>44593</v>
      </c>
      <c r="D2521" s="27">
        <f>IF(K2521="CREDITO",Q2521,Q2521*-1)</f>
        <v>3063.98</v>
      </c>
      <c r="E2521" t="s">
        <v>894</v>
      </c>
      <c r="F2521" t="s">
        <v>3015</v>
      </c>
      <c r="G2521" s="8">
        <v>44593</v>
      </c>
      <c r="H2521" t="s">
        <v>578</v>
      </c>
      <c r="I2521" t="s">
        <v>78</v>
      </c>
      <c r="J2521" t="s">
        <v>54</v>
      </c>
      <c r="K2521" t="s">
        <v>29</v>
      </c>
      <c r="L2521" t="s">
        <v>895</v>
      </c>
      <c r="M2521" t="s">
        <v>4402</v>
      </c>
      <c r="O2521" t="s">
        <v>896</v>
      </c>
      <c r="P2521" t="s">
        <v>33</v>
      </c>
      <c r="Q2521" s="22">
        <v>3063.98</v>
      </c>
      <c r="R2521" t="s">
        <v>35</v>
      </c>
      <c r="S2521" t="s">
        <v>35</v>
      </c>
      <c r="T2521" t="s">
        <v>35</v>
      </c>
      <c r="U2521" t="s">
        <v>35</v>
      </c>
      <c r="V2521" t="s">
        <v>645</v>
      </c>
      <c r="W2521" t="s">
        <v>113</v>
      </c>
    </row>
    <row r="2522" spans="1:23" hidden="1" x14ac:dyDescent="0.25">
      <c r="A2522" s="7" t="str">
        <f>IFERROR(VLOOKUP(H2522,'Contas Orç'!A:B,2,0),"N/A")</f>
        <v>ENCARGOS SOCIAIS</v>
      </c>
      <c r="B2522" s="7" t="str">
        <f t="shared" si="78"/>
        <v>330102 - ENCARGOS SOCIAIS</v>
      </c>
      <c r="C2522" s="25">
        <f t="shared" si="79"/>
        <v>44593</v>
      </c>
      <c r="D2522" s="27">
        <f>IF(K2522="CREDITO",Q2522,Q2522*-1)</f>
        <v>1764.57</v>
      </c>
      <c r="E2522" t="s">
        <v>894</v>
      </c>
      <c r="F2522" t="s">
        <v>3016</v>
      </c>
      <c r="G2522" s="8">
        <v>44593</v>
      </c>
      <c r="H2522" t="s">
        <v>578</v>
      </c>
      <c r="I2522" t="s">
        <v>81</v>
      </c>
      <c r="J2522" t="s">
        <v>54</v>
      </c>
      <c r="K2522" t="s">
        <v>29</v>
      </c>
      <c r="L2522" t="s">
        <v>895</v>
      </c>
      <c r="M2522" t="s">
        <v>4402</v>
      </c>
      <c r="O2522" t="s">
        <v>896</v>
      </c>
      <c r="P2522" t="s">
        <v>33</v>
      </c>
      <c r="Q2522" s="22">
        <v>1764.57</v>
      </c>
      <c r="R2522" t="s">
        <v>35</v>
      </c>
      <c r="S2522" t="s">
        <v>35</v>
      </c>
      <c r="T2522" t="s">
        <v>35</v>
      </c>
      <c r="U2522" t="s">
        <v>35</v>
      </c>
      <c r="V2522" t="s">
        <v>645</v>
      </c>
      <c r="W2522" t="s">
        <v>113</v>
      </c>
    </row>
    <row r="2523" spans="1:23" hidden="1" x14ac:dyDescent="0.25">
      <c r="A2523" s="7" t="str">
        <f>IFERROR(VLOOKUP(H2523,'Contas Orç'!A:B,2,0),"N/A")</f>
        <v>ENCARGOS SOCIAIS</v>
      </c>
      <c r="B2523" s="7" t="str">
        <f t="shared" si="78"/>
        <v>330102 - ENCARGOS SOCIAIS</v>
      </c>
      <c r="C2523" s="25">
        <f t="shared" si="79"/>
        <v>44593</v>
      </c>
      <c r="D2523" s="27">
        <f>IF(K2523="CREDITO",Q2523,Q2523*-1)</f>
        <v>1064.99</v>
      </c>
      <c r="E2523" t="s">
        <v>894</v>
      </c>
      <c r="F2523" t="s">
        <v>3017</v>
      </c>
      <c r="G2523" s="8">
        <v>44593</v>
      </c>
      <c r="H2523" t="s">
        <v>578</v>
      </c>
      <c r="I2523" t="s">
        <v>136</v>
      </c>
      <c r="J2523" t="s">
        <v>54</v>
      </c>
      <c r="K2523" t="s">
        <v>29</v>
      </c>
      <c r="L2523" t="s">
        <v>895</v>
      </c>
      <c r="M2523" t="s">
        <v>4402</v>
      </c>
      <c r="O2523" t="s">
        <v>896</v>
      </c>
      <c r="P2523" t="s">
        <v>33</v>
      </c>
      <c r="Q2523" s="22">
        <v>1064.99</v>
      </c>
      <c r="R2523" t="s">
        <v>35</v>
      </c>
      <c r="S2523" t="s">
        <v>35</v>
      </c>
      <c r="T2523" t="s">
        <v>35</v>
      </c>
      <c r="U2523" t="s">
        <v>35</v>
      </c>
      <c r="V2523" t="s">
        <v>645</v>
      </c>
      <c r="W2523" t="s">
        <v>113</v>
      </c>
    </row>
    <row r="2524" spans="1:23" hidden="1" x14ac:dyDescent="0.25">
      <c r="A2524" s="7" t="str">
        <f>IFERROR(VLOOKUP(H2524,'Contas Orç'!A:B,2,0),"N/A")</f>
        <v>ENCARGOS SOCIAIS</v>
      </c>
      <c r="B2524" s="7" t="str">
        <f t="shared" si="78"/>
        <v>330102 - ENCARGOS SOCIAIS</v>
      </c>
      <c r="C2524" s="25">
        <f t="shared" si="79"/>
        <v>44593</v>
      </c>
      <c r="D2524" s="27">
        <f>IF(K2524="CREDITO",Q2524,Q2524*-1)</f>
        <v>304.14999999999998</v>
      </c>
      <c r="E2524" t="s">
        <v>894</v>
      </c>
      <c r="F2524" t="s">
        <v>3018</v>
      </c>
      <c r="G2524" s="8">
        <v>44593</v>
      </c>
      <c r="H2524" t="s">
        <v>578</v>
      </c>
      <c r="I2524" t="s">
        <v>53</v>
      </c>
      <c r="J2524" t="s">
        <v>54</v>
      </c>
      <c r="K2524" t="s">
        <v>29</v>
      </c>
      <c r="L2524" t="s">
        <v>895</v>
      </c>
      <c r="M2524" t="s">
        <v>4402</v>
      </c>
      <c r="O2524" t="s">
        <v>896</v>
      </c>
      <c r="P2524" t="s">
        <v>33</v>
      </c>
      <c r="Q2524">
        <v>304.14999999999998</v>
      </c>
      <c r="R2524" t="s">
        <v>35</v>
      </c>
      <c r="S2524" t="s">
        <v>35</v>
      </c>
      <c r="T2524" t="s">
        <v>35</v>
      </c>
      <c r="U2524" t="s">
        <v>35</v>
      </c>
      <c r="V2524" t="s">
        <v>645</v>
      </c>
      <c r="W2524" t="s">
        <v>113</v>
      </c>
    </row>
    <row r="2525" spans="1:23" hidden="1" x14ac:dyDescent="0.25">
      <c r="A2525" s="7" t="str">
        <f>IFERROR(VLOOKUP(H2525,'Contas Orç'!A:B,2,0),"N/A")</f>
        <v>ENCARGOS SOCIAIS</v>
      </c>
      <c r="B2525" s="7" t="str">
        <f t="shared" si="78"/>
        <v>330102 - ENCARGOS SOCIAIS</v>
      </c>
      <c r="C2525" s="25">
        <f t="shared" si="79"/>
        <v>44621</v>
      </c>
      <c r="D2525" s="27">
        <f>IF(K2525="CREDITO",Q2525,Q2525*-1)</f>
        <v>2643.43</v>
      </c>
      <c r="E2525" t="s">
        <v>894</v>
      </c>
      <c r="F2525" t="s">
        <v>3019</v>
      </c>
      <c r="G2525" s="8">
        <v>44621</v>
      </c>
      <c r="H2525" t="s">
        <v>578</v>
      </c>
      <c r="I2525" t="s">
        <v>99</v>
      </c>
      <c r="J2525" t="s">
        <v>28</v>
      </c>
      <c r="K2525" t="s">
        <v>29</v>
      </c>
      <c r="L2525" t="s">
        <v>895</v>
      </c>
      <c r="M2525" t="s">
        <v>4402</v>
      </c>
      <c r="O2525" t="s">
        <v>896</v>
      </c>
      <c r="P2525" t="s">
        <v>33</v>
      </c>
      <c r="Q2525" s="22">
        <v>2643.43</v>
      </c>
      <c r="R2525" t="s">
        <v>35</v>
      </c>
      <c r="S2525" t="s">
        <v>35</v>
      </c>
      <c r="T2525" t="s">
        <v>35</v>
      </c>
      <c r="U2525" t="s">
        <v>35</v>
      </c>
      <c r="V2525" t="s">
        <v>645</v>
      </c>
      <c r="W2525" t="s">
        <v>113</v>
      </c>
    </row>
    <row r="2526" spans="1:23" hidden="1" x14ac:dyDescent="0.25">
      <c r="A2526" s="7" t="str">
        <f>IFERROR(VLOOKUP(H2526,'Contas Orç'!A:B,2,0),"N/A")</f>
        <v>ENCARGOS SOCIAIS</v>
      </c>
      <c r="B2526" s="7" t="str">
        <f t="shared" si="78"/>
        <v>330102 - ENCARGOS SOCIAIS</v>
      </c>
      <c r="C2526" s="25">
        <f t="shared" si="79"/>
        <v>44621</v>
      </c>
      <c r="D2526" s="27">
        <f>IF(K2526="CREDITO",Q2526,Q2526*-1)</f>
        <v>1600.2</v>
      </c>
      <c r="E2526" t="s">
        <v>894</v>
      </c>
      <c r="F2526" t="s">
        <v>3020</v>
      </c>
      <c r="G2526" s="8">
        <v>44621</v>
      </c>
      <c r="H2526" t="s">
        <v>578</v>
      </c>
      <c r="I2526" t="s">
        <v>81</v>
      </c>
      <c r="J2526" t="s">
        <v>60</v>
      </c>
      <c r="K2526" t="s">
        <v>29</v>
      </c>
      <c r="L2526" t="s">
        <v>895</v>
      </c>
      <c r="M2526" t="s">
        <v>4402</v>
      </c>
      <c r="O2526" t="s">
        <v>896</v>
      </c>
      <c r="P2526" t="s">
        <v>33</v>
      </c>
      <c r="Q2526" s="22">
        <v>1600.2</v>
      </c>
      <c r="R2526" t="s">
        <v>35</v>
      </c>
      <c r="S2526" t="s">
        <v>35</v>
      </c>
      <c r="T2526" t="s">
        <v>35</v>
      </c>
      <c r="U2526" t="s">
        <v>35</v>
      </c>
      <c r="V2526" t="s">
        <v>645</v>
      </c>
      <c r="W2526" t="s">
        <v>113</v>
      </c>
    </row>
    <row r="2527" spans="1:23" hidden="1" x14ac:dyDescent="0.25">
      <c r="A2527" s="7" t="str">
        <f>IFERROR(VLOOKUP(H2527,'Contas Orç'!A:B,2,0),"N/A")</f>
        <v>ENCARGOS SOCIAIS</v>
      </c>
      <c r="B2527" s="7" t="str">
        <f t="shared" si="78"/>
        <v>330102 - ENCARGOS SOCIAIS</v>
      </c>
      <c r="C2527" s="25">
        <f t="shared" si="79"/>
        <v>44621</v>
      </c>
      <c r="D2527" s="27">
        <f>IF(K2527="CREDITO",Q2527,Q2527*-1)</f>
        <v>392.38</v>
      </c>
      <c r="E2527" t="s">
        <v>894</v>
      </c>
      <c r="F2527" t="s">
        <v>3021</v>
      </c>
      <c r="G2527" s="8">
        <v>44621</v>
      </c>
      <c r="H2527" t="s">
        <v>578</v>
      </c>
      <c r="I2527" t="s">
        <v>2062</v>
      </c>
      <c r="J2527" t="s">
        <v>54</v>
      </c>
      <c r="K2527" t="s">
        <v>29</v>
      </c>
      <c r="L2527" t="s">
        <v>895</v>
      </c>
      <c r="M2527" t="s">
        <v>4402</v>
      </c>
      <c r="O2527" t="s">
        <v>896</v>
      </c>
      <c r="P2527" t="s">
        <v>33</v>
      </c>
      <c r="Q2527">
        <v>392.38</v>
      </c>
      <c r="R2527" t="s">
        <v>35</v>
      </c>
      <c r="S2527" t="s">
        <v>35</v>
      </c>
      <c r="T2527" t="s">
        <v>35</v>
      </c>
      <c r="U2527" t="s">
        <v>35</v>
      </c>
      <c r="V2527" t="s">
        <v>645</v>
      </c>
      <c r="W2527" t="s">
        <v>113</v>
      </c>
    </row>
    <row r="2528" spans="1:23" hidden="1" x14ac:dyDescent="0.25">
      <c r="A2528" s="7" t="str">
        <f>IFERROR(VLOOKUP(H2528,'Contas Orç'!A:B,2,0),"N/A")</f>
        <v>ENCARGOS SOCIAIS</v>
      </c>
      <c r="B2528" s="7" t="str">
        <f t="shared" si="78"/>
        <v>330102 - ENCARGOS SOCIAIS</v>
      </c>
      <c r="C2528" s="25">
        <f t="shared" si="79"/>
        <v>44621</v>
      </c>
      <c r="D2528" s="27">
        <f>IF(K2528="CREDITO",Q2528,Q2528*-1)</f>
        <v>7267.57</v>
      </c>
      <c r="E2528" t="s">
        <v>894</v>
      </c>
      <c r="F2528" t="s">
        <v>3022</v>
      </c>
      <c r="G2528" s="8">
        <v>44621</v>
      </c>
      <c r="H2528" t="s">
        <v>578</v>
      </c>
      <c r="I2528" t="s">
        <v>40</v>
      </c>
      <c r="J2528" t="s">
        <v>54</v>
      </c>
      <c r="K2528" t="s">
        <v>29</v>
      </c>
      <c r="L2528" t="s">
        <v>895</v>
      </c>
      <c r="M2528" t="s">
        <v>4402</v>
      </c>
      <c r="O2528" t="s">
        <v>896</v>
      </c>
      <c r="P2528" t="s">
        <v>33</v>
      </c>
      <c r="Q2528" s="22">
        <v>7267.57</v>
      </c>
      <c r="R2528" t="s">
        <v>35</v>
      </c>
      <c r="S2528" t="s">
        <v>35</v>
      </c>
      <c r="T2528" t="s">
        <v>35</v>
      </c>
      <c r="U2528" t="s">
        <v>35</v>
      </c>
      <c r="V2528" t="s">
        <v>645</v>
      </c>
      <c r="W2528" t="s">
        <v>113</v>
      </c>
    </row>
    <row r="2529" spans="1:23" hidden="1" x14ac:dyDescent="0.25">
      <c r="A2529" s="7" t="str">
        <f>IFERROR(VLOOKUP(H2529,'Contas Orç'!A:B,2,0),"N/A")</f>
        <v>ENCARGOS SOCIAIS</v>
      </c>
      <c r="B2529" s="7" t="str">
        <f t="shared" si="78"/>
        <v>330102 - ENCARGOS SOCIAIS</v>
      </c>
      <c r="C2529" s="25">
        <f t="shared" si="79"/>
        <v>44621</v>
      </c>
      <c r="D2529" s="27">
        <f>IF(K2529="CREDITO",Q2529,Q2529*-1)</f>
        <v>1004.54</v>
      </c>
      <c r="E2529" t="s">
        <v>894</v>
      </c>
      <c r="F2529" t="s">
        <v>3023</v>
      </c>
      <c r="G2529" s="8">
        <v>44621</v>
      </c>
      <c r="H2529" t="s">
        <v>578</v>
      </c>
      <c r="I2529" t="s">
        <v>1002</v>
      </c>
      <c r="J2529" t="s">
        <v>54</v>
      </c>
      <c r="K2529" t="s">
        <v>29</v>
      </c>
      <c r="L2529" t="s">
        <v>895</v>
      </c>
      <c r="M2529" t="s">
        <v>4402</v>
      </c>
      <c r="O2529" t="s">
        <v>896</v>
      </c>
      <c r="P2529" t="s">
        <v>33</v>
      </c>
      <c r="Q2529" s="22">
        <v>1004.54</v>
      </c>
      <c r="R2529" t="s">
        <v>35</v>
      </c>
      <c r="S2529" t="s">
        <v>35</v>
      </c>
      <c r="T2529" t="s">
        <v>35</v>
      </c>
      <c r="U2529" t="s">
        <v>35</v>
      </c>
      <c r="V2529" t="s">
        <v>645</v>
      </c>
      <c r="W2529" t="s">
        <v>113</v>
      </c>
    </row>
    <row r="2530" spans="1:23" hidden="1" x14ac:dyDescent="0.25">
      <c r="A2530" s="7" t="str">
        <f>IFERROR(VLOOKUP(H2530,'Contas Orç'!A:B,2,0),"N/A")</f>
        <v>ENCARGOS SOCIAIS</v>
      </c>
      <c r="B2530" s="7" t="str">
        <f t="shared" si="78"/>
        <v>330102 - ENCARGOS SOCIAIS</v>
      </c>
      <c r="C2530" s="25">
        <f t="shared" si="79"/>
        <v>44621</v>
      </c>
      <c r="D2530" s="27">
        <f>IF(K2530="CREDITO",Q2530,Q2530*-1)</f>
        <v>522.58000000000004</v>
      </c>
      <c r="E2530" t="s">
        <v>894</v>
      </c>
      <c r="F2530" t="s">
        <v>3024</v>
      </c>
      <c r="G2530" s="8">
        <v>44621</v>
      </c>
      <c r="H2530" t="s">
        <v>578</v>
      </c>
      <c r="I2530" t="s">
        <v>121</v>
      </c>
      <c r="J2530" t="s">
        <v>54</v>
      </c>
      <c r="K2530" t="s">
        <v>29</v>
      </c>
      <c r="L2530" t="s">
        <v>895</v>
      </c>
      <c r="M2530" t="s">
        <v>4402</v>
      </c>
      <c r="O2530" t="s">
        <v>896</v>
      </c>
      <c r="P2530" t="s">
        <v>33</v>
      </c>
      <c r="Q2530">
        <v>522.58000000000004</v>
      </c>
      <c r="R2530" t="s">
        <v>35</v>
      </c>
      <c r="S2530" t="s">
        <v>35</v>
      </c>
      <c r="T2530" t="s">
        <v>35</v>
      </c>
      <c r="U2530" t="s">
        <v>35</v>
      </c>
      <c r="V2530" t="s">
        <v>645</v>
      </c>
      <c r="W2530" t="s">
        <v>113</v>
      </c>
    </row>
    <row r="2531" spans="1:23" hidden="1" x14ac:dyDescent="0.25">
      <c r="A2531" s="7" t="str">
        <f>IFERROR(VLOOKUP(H2531,'Contas Orç'!A:B,2,0),"N/A")</f>
        <v>ENCARGOS SOCIAIS</v>
      </c>
      <c r="B2531" s="7" t="str">
        <f t="shared" si="78"/>
        <v>330102 - ENCARGOS SOCIAIS</v>
      </c>
      <c r="C2531" s="25">
        <f t="shared" si="79"/>
        <v>44621</v>
      </c>
      <c r="D2531" s="27">
        <f>IF(K2531="CREDITO",Q2531,Q2531*-1)</f>
        <v>2829.25</v>
      </c>
      <c r="E2531" t="s">
        <v>894</v>
      </c>
      <c r="F2531" t="s">
        <v>3025</v>
      </c>
      <c r="G2531" s="8">
        <v>44621</v>
      </c>
      <c r="H2531" t="s">
        <v>578</v>
      </c>
      <c r="I2531" t="s">
        <v>132</v>
      </c>
      <c r="J2531" t="s">
        <v>54</v>
      </c>
      <c r="K2531" t="s">
        <v>29</v>
      </c>
      <c r="L2531" t="s">
        <v>895</v>
      </c>
      <c r="M2531" t="s">
        <v>4402</v>
      </c>
      <c r="O2531" t="s">
        <v>896</v>
      </c>
      <c r="P2531" t="s">
        <v>33</v>
      </c>
      <c r="Q2531" s="22">
        <v>2829.25</v>
      </c>
      <c r="R2531" t="s">
        <v>35</v>
      </c>
      <c r="S2531" t="s">
        <v>35</v>
      </c>
      <c r="T2531" t="s">
        <v>35</v>
      </c>
      <c r="U2531" t="s">
        <v>35</v>
      </c>
      <c r="V2531" t="s">
        <v>645</v>
      </c>
      <c r="W2531" t="s">
        <v>113</v>
      </c>
    </row>
    <row r="2532" spans="1:23" hidden="1" x14ac:dyDescent="0.25">
      <c r="A2532" s="7" t="str">
        <f>IFERROR(VLOOKUP(H2532,'Contas Orç'!A:B,2,0),"N/A")</f>
        <v>ENCARGOS SOCIAIS</v>
      </c>
      <c r="B2532" s="7" t="str">
        <f t="shared" si="78"/>
        <v>330102 - ENCARGOS SOCIAIS</v>
      </c>
      <c r="C2532" s="25">
        <f t="shared" si="79"/>
        <v>44621</v>
      </c>
      <c r="D2532" s="27">
        <f>IF(K2532="CREDITO",Q2532,Q2532*-1)</f>
        <v>695.01</v>
      </c>
      <c r="E2532" t="s">
        <v>894</v>
      </c>
      <c r="F2532" t="s">
        <v>3026</v>
      </c>
      <c r="G2532" s="8">
        <v>44621</v>
      </c>
      <c r="H2532" t="s">
        <v>578</v>
      </c>
      <c r="I2532" t="s">
        <v>114</v>
      </c>
      <c r="J2532" t="s">
        <v>54</v>
      </c>
      <c r="K2532" t="s">
        <v>29</v>
      </c>
      <c r="L2532" t="s">
        <v>895</v>
      </c>
      <c r="M2532" t="s">
        <v>4402</v>
      </c>
      <c r="O2532" t="s">
        <v>896</v>
      </c>
      <c r="P2532" t="s">
        <v>33</v>
      </c>
      <c r="Q2532">
        <v>695.01</v>
      </c>
      <c r="R2532" t="s">
        <v>35</v>
      </c>
      <c r="S2532" t="s">
        <v>35</v>
      </c>
      <c r="T2532" t="s">
        <v>35</v>
      </c>
      <c r="U2532" t="s">
        <v>35</v>
      </c>
      <c r="V2532" t="s">
        <v>645</v>
      </c>
      <c r="W2532" t="s">
        <v>113</v>
      </c>
    </row>
    <row r="2533" spans="1:23" hidden="1" x14ac:dyDescent="0.25">
      <c r="A2533" s="7" t="str">
        <f>IFERROR(VLOOKUP(H2533,'Contas Orç'!A:B,2,0),"N/A")</f>
        <v>ENCARGOS SOCIAIS</v>
      </c>
      <c r="B2533" s="7" t="str">
        <f t="shared" si="78"/>
        <v>330102 - ENCARGOS SOCIAIS</v>
      </c>
      <c r="C2533" s="25">
        <f t="shared" si="79"/>
        <v>44621</v>
      </c>
      <c r="D2533" s="27">
        <f>IF(K2533="CREDITO",Q2533,Q2533*-1)</f>
        <v>4298.49</v>
      </c>
      <c r="E2533" t="s">
        <v>894</v>
      </c>
      <c r="F2533" t="s">
        <v>3027</v>
      </c>
      <c r="G2533" s="8">
        <v>44621</v>
      </c>
      <c r="H2533" t="s">
        <v>578</v>
      </c>
      <c r="I2533" t="s">
        <v>75</v>
      </c>
      <c r="J2533" t="s">
        <v>54</v>
      </c>
      <c r="K2533" t="s">
        <v>29</v>
      </c>
      <c r="L2533" t="s">
        <v>895</v>
      </c>
      <c r="M2533" t="s">
        <v>4402</v>
      </c>
      <c r="O2533" t="s">
        <v>896</v>
      </c>
      <c r="P2533" t="s">
        <v>33</v>
      </c>
      <c r="Q2533" s="22">
        <v>4298.49</v>
      </c>
      <c r="R2533" t="s">
        <v>35</v>
      </c>
      <c r="S2533" t="s">
        <v>35</v>
      </c>
      <c r="T2533" t="s">
        <v>35</v>
      </c>
      <c r="U2533" t="s">
        <v>35</v>
      </c>
      <c r="V2533" t="s">
        <v>645</v>
      </c>
      <c r="W2533" t="s">
        <v>113</v>
      </c>
    </row>
    <row r="2534" spans="1:23" hidden="1" x14ac:dyDescent="0.25">
      <c r="A2534" s="7" t="str">
        <f>IFERROR(VLOOKUP(H2534,'Contas Orç'!A:B,2,0),"N/A")</f>
        <v>ENCARGOS SOCIAIS</v>
      </c>
      <c r="B2534" s="7" t="str">
        <f t="shared" si="78"/>
        <v>330102 - ENCARGOS SOCIAIS</v>
      </c>
      <c r="C2534" s="25">
        <f t="shared" si="79"/>
        <v>44621</v>
      </c>
      <c r="D2534" s="27">
        <f>IF(K2534="CREDITO",Q2534,Q2534*-1)</f>
        <v>4488.49</v>
      </c>
      <c r="E2534" t="s">
        <v>894</v>
      </c>
      <c r="F2534" t="s">
        <v>3028</v>
      </c>
      <c r="G2534" s="8">
        <v>44621</v>
      </c>
      <c r="H2534" t="s">
        <v>578</v>
      </c>
      <c r="I2534" t="s">
        <v>78</v>
      </c>
      <c r="J2534" t="s">
        <v>54</v>
      </c>
      <c r="K2534" t="s">
        <v>29</v>
      </c>
      <c r="L2534" t="s">
        <v>895</v>
      </c>
      <c r="M2534" t="s">
        <v>4402</v>
      </c>
      <c r="O2534" t="s">
        <v>896</v>
      </c>
      <c r="P2534" t="s">
        <v>33</v>
      </c>
      <c r="Q2534" s="22">
        <v>4488.49</v>
      </c>
      <c r="R2534" t="s">
        <v>35</v>
      </c>
      <c r="S2534" t="s">
        <v>35</v>
      </c>
      <c r="T2534" t="s">
        <v>35</v>
      </c>
      <c r="U2534" t="s">
        <v>35</v>
      </c>
      <c r="V2534" t="s">
        <v>645</v>
      </c>
      <c r="W2534" t="s">
        <v>113</v>
      </c>
    </row>
    <row r="2535" spans="1:23" hidden="1" x14ac:dyDescent="0.25">
      <c r="A2535" s="7" t="str">
        <f>IFERROR(VLOOKUP(H2535,'Contas Orç'!A:B,2,0),"N/A")</f>
        <v>ENCARGOS SOCIAIS</v>
      </c>
      <c r="B2535" s="7" t="str">
        <f t="shared" si="78"/>
        <v>330102 - ENCARGOS SOCIAIS</v>
      </c>
      <c r="C2535" s="25">
        <f t="shared" si="79"/>
        <v>44621</v>
      </c>
      <c r="D2535" s="27">
        <f>IF(K2535="CREDITO",Q2535,Q2535*-1)</f>
        <v>1878.07</v>
      </c>
      <c r="E2535" t="s">
        <v>894</v>
      </c>
      <c r="F2535" t="s">
        <v>3029</v>
      </c>
      <c r="G2535" s="8">
        <v>44621</v>
      </c>
      <c r="H2535" t="s">
        <v>578</v>
      </c>
      <c r="I2535" t="s">
        <v>81</v>
      </c>
      <c r="J2535" t="s">
        <v>54</v>
      </c>
      <c r="K2535" t="s">
        <v>29</v>
      </c>
      <c r="L2535" t="s">
        <v>895</v>
      </c>
      <c r="M2535" t="s">
        <v>4402</v>
      </c>
      <c r="O2535" t="s">
        <v>896</v>
      </c>
      <c r="P2535" t="s">
        <v>33</v>
      </c>
      <c r="Q2535" s="22">
        <v>1878.07</v>
      </c>
      <c r="R2535" t="s">
        <v>35</v>
      </c>
      <c r="S2535" t="s">
        <v>35</v>
      </c>
      <c r="T2535" t="s">
        <v>35</v>
      </c>
      <c r="U2535" t="s">
        <v>35</v>
      </c>
      <c r="V2535" t="s">
        <v>645</v>
      </c>
      <c r="W2535" t="s">
        <v>113</v>
      </c>
    </row>
    <row r="2536" spans="1:23" hidden="1" x14ac:dyDescent="0.25">
      <c r="A2536" s="7" t="str">
        <f>IFERROR(VLOOKUP(H2536,'Contas Orç'!A:B,2,0),"N/A")</f>
        <v>ENCARGOS SOCIAIS</v>
      </c>
      <c r="B2536" s="7" t="str">
        <f t="shared" si="78"/>
        <v>330102 - ENCARGOS SOCIAIS</v>
      </c>
      <c r="C2536" s="25">
        <f t="shared" si="79"/>
        <v>44621</v>
      </c>
      <c r="D2536" s="27">
        <f>IF(K2536="CREDITO",Q2536,Q2536*-1)</f>
        <v>1157.67</v>
      </c>
      <c r="E2536" t="s">
        <v>894</v>
      </c>
      <c r="F2536" t="s">
        <v>3030</v>
      </c>
      <c r="G2536" s="8">
        <v>44621</v>
      </c>
      <c r="H2536" t="s">
        <v>578</v>
      </c>
      <c r="I2536" t="s">
        <v>136</v>
      </c>
      <c r="J2536" t="s">
        <v>54</v>
      </c>
      <c r="K2536" t="s">
        <v>29</v>
      </c>
      <c r="L2536" t="s">
        <v>895</v>
      </c>
      <c r="M2536" t="s">
        <v>4402</v>
      </c>
      <c r="O2536" t="s">
        <v>896</v>
      </c>
      <c r="P2536" t="s">
        <v>33</v>
      </c>
      <c r="Q2536" s="22">
        <v>1157.67</v>
      </c>
      <c r="R2536" t="s">
        <v>35</v>
      </c>
      <c r="S2536" t="s">
        <v>35</v>
      </c>
      <c r="T2536" t="s">
        <v>35</v>
      </c>
      <c r="U2536" t="s">
        <v>35</v>
      </c>
      <c r="V2536" t="s">
        <v>645</v>
      </c>
      <c r="W2536" t="s">
        <v>113</v>
      </c>
    </row>
    <row r="2537" spans="1:23" hidden="1" x14ac:dyDescent="0.25">
      <c r="A2537" s="7" t="str">
        <f>IFERROR(VLOOKUP(H2537,'Contas Orç'!A:B,2,0),"N/A")</f>
        <v>ENCARGOS SOCIAIS</v>
      </c>
      <c r="B2537" s="7" t="str">
        <f t="shared" si="78"/>
        <v>330102 - ENCARGOS SOCIAIS</v>
      </c>
      <c r="C2537" s="25">
        <f t="shared" si="79"/>
        <v>44652</v>
      </c>
      <c r="D2537" s="27">
        <f>IF(K2537="CREDITO",Q2537,Q2537*-1)</f>
        <v>3514.19</v>
      </c>
      <c r="E2537" t="s">
        <v>894</v>
      </c>
      <c r="F2537" t="s">
        <v>3031</v>
      </c>
      <c r="G2537" s="8">
        <v>44652</v>
      </c>
      <c r="H2537" t="s">
        <v>578</v>
      </c>
      <c r="I2537" t="s">
        <v>99</v>
      </c>
      <c r="J2537" t="s">
        <v>28</v>
      </c>
      <c r="K2537" t="s">
        <v>29</v>
      </c>
      <c r="L2537" t="s">
        <v>895</v>
      </c>
      <c r="M2537" t="s">
        <v>4402</v>
      </c>
      <c r="O2537" t="s">
        <v>896</v>
      </c>
      <c r="P2537" t="s">
        <v>33</v>
      </c>
      <c r="Q2537" s="22">
        <v>3514.19</v>
      </c>
      <c r="R2537" t="s">
        <v>35</v>
      </c>
      <c r="S2537" t="s">
        <v>35</v>
      </c>
      <c r="T2537" t="s">
        <v>35</v>
      </c>
      <c r="U2537" t="s">
        <v>35</v>
      </c>
      <c r="V2537" t="s">
        <v>645</v>
      </c>
      <c r="W2537" t="s">
        <v>113</v>
      </c>
    </row>
    <row r="2538" spans="1:23" hidden="1" x14ac:dyDescent="0.25">
      <c r="A2538" s="7" t="str">
        <f>IFERROR(VLOOKUP(H2538,'Contas Orç'!A:B,2,0),"N/A")</f>
        <v>ENCARGOS SOCIAIS</v>
      </c>
      <c r="B2538" s="7" t="str">
        <f t="shared" si="78"/>
        <v>330102 - ENCARGOS SOCIAIS</v>
      </c>
      <c r="C2538" s="25">
        <f t="shared" si="79"/>
        <v>44652</v>
      </c>
      <c r="D2538" s="27">
        <f>IF(K2538="CREDITO",Q2538,Q2538*-1)</f>
        <v>1812.48</v>
      </c>
      <c r="E2538" t="s">
        <v>894</v>
      </c>
      <c r="F2538" t="s">
        <v>3032</v>
      </c>
      <c r="G2538" s="8">
        <v>44652</v>
      </c>
      <c r="H2538" t="s">
        <v>578</v>
      </c>
      <c r="I2538" t="s">
        <v>81</v>
      </c>
      <c r="J2538" t="s">
        <v>60</v>
      </c>
      <c r="K2538" t="s">
        <v>29</v>
      </c>
      <c r="L2538" t="s">
        <v>895</v>
      </c>
      <c r="M2538" t="s">
        <v>4402</v>
      </c>
      <c r="O2538" t="s">
        <v>896</v>
      </c>
      <c r="P2538" t="s">
        <v>33</v>
      </c>
      <c r="Q2538" s="22">
        <v>1812.48</v>
      </c>
      <c r="R2538" t="s">
        <v>35</v>
      </c>
      <c r="S2538" t="s">
        <v>35</v>
      </c>
      <c r="T2538" t="s">
        <v>35</v>
      </c>
      <c r="U2538" t="s">
        <v>35</v>
      </c>
      <c r="V2538" t="s">
        <v>645</v>
      </c>
      <c r="W2538" t="s">
        <v>113</v>
      </c>
    </row>
    <row r="2539" spans="1:23" hidden="1" x14ac:dyDescent="0.25">
      <c r="A2539" s="7" t="str">
        <f>IFERROR(VLOOKUP(H2539,'Contas Orç'!A:B,2,0),"N/A")</f>
        <v>ENCARGOS SOCIAIS</v>
      </c>
      <c r="B2539" s="7" t="str">
        <f t="shared" si="78"/>
        <v>330102 - ENCARGOS SOCIAIS</v>
      </c>
      <c r="C2539" s="25">
        <f t="shared" si="79"/>
        <v>44652</v>
      </c>
      <c r="D2539" s="27">
        <f>IF(K2539="CREDITO",Q2539,Q2539*-1)</f>
        <v>392.37</v>
      </c>
      <c r="E2539" t="s">
        <v>894</v>
      </c>
      <c r="F2539" t="s">
        <v>3033</v>
      </c>
      <c r="G2539" s="8">
        <v>44652</v>
      </c>
      <c r="H2539" t="s">
        <v>578</v>
      </c>
      <c r="I2539" t="s">
        <v>2062</v>
      </c>
      <c r="J2539" t="s">
        <v>54</v>
      </c>
      <c r="K2539" t="s">
        <v>29</v>
      </c>
      <c r="L2539" t="s">
        <v>895</v>
      </c>
      <c r="M2539" t="s">
        <v>4402</v>
      </c>
      <c r="O2539" t="s">
        <v>896</v>
      </c>
      <c r="P2539" t="s">
        <v>33</v>
      </c>
      <c r="Q2539">
        <v>392.37</v>
      </c>
      <c r="R2539" t="s">
        <v>35</v>
      </c>
      <c r="S2539" t="s">
        <v>35</v>
      </c>
      <c r="T2539" t="s">
        <v>35</v>
      </c>
      <c r="U2539" t="s">
        <v>35</v>
      </c>
      <c r="V2539" t="s">
        <v>645</v>
      </c>
      <c r="W2539" t="s">
        <v>113</v>
      </c>
    </row>
    <row r="2540" spans="1:23" hidden="1" x14ac:dyDescent="0.25">
      <c r="A2540" s="7" t="str">
        <f>IFERROR(VLOOKUP(H2540,'Contas Orç'!A:B,2,0),"N/A")</f>
        <v>ENCARGOS SOCIAIS</v>
      </c>
      <c r="B2540" s="7" t="str">
        <f t="shared" si="78"/>
        <v>330102 - ENCARGOS SOCIAIS</v>
      </c>
      <c r="C2540" s="25">
        <f t="shared" si="79"/>
        <v>44652</v>
      </c>
      <c r="D2540" s="27">
        <f>IF(K2540="CREDITO",Q2540,Q2540*-1)</f>
        <v>7065.01</v>
      </c>
      <c r="E2540" t="s">
        <v>894</v>
      </c>
      <c r="F2540" t="s">
        <v>3034</v>
      </c>
      <c r="G2540" s="8">
        <v>44652</v>
      </c>
      <c r="H2540" t="s">
        <v>578</v>
      </c>
      <c r="I2540" t="s">
        <v>40</v>
      </c>
      <c r="J2540" t="s">
        <v>54</v>
      </c>
      <c r="K2540" t="s">
        <v>29</v>
      </c>
      <c r="L2540" t="s">
        <v>895</v>
      </c>
      <c r="M2540" t="s">
        <v>4402</v>
      </c>
      <c r="O2540" t="s">
        <v>896</v>
      </c>
      <c r="P2540" t="s">
        <v>33</v>
      </c>
      <c r="Q2540" s="22">
        <v>7065.01</v>
      </c>
      <c r="R2540" t="s">
        <v>35</v>
      </c>
      <c r="S2540" t="s">
        <v>35</v>
      </c>
      <c r="T2540" t="s">
        <v>35</v>
      </c>
      <c r="U2540" t="s">
        <v>35</v>
      </c>
      <c r="V2540" t="s">
        <v>645</v>
      </c>
      <c r="W2540" t="s">
        <v>113</v>
      </c>
    </row>
    <row r="2541" spans="1:23" hidden="1" x14ac:dyDescent="0.25">
      <c r="A2541" s="7" t="str">
        <f>IFERROR(VLOOKUP(H2541,'Contas Orç'!A:B,2,0),"N/A")</f>
        <v>ENCARGOS SOCIAIS</v>
      </c>
      <c r="B2541" s="7" t="str">
        <f t="shared" si="78"/>
        <v>330102 - ENCARGOS SOCIAIS</v>
      </c>
      <c r="C2541" s="25">
        <f t="shared" si="79"/>
        <v>44652</v>
      </c>
      <c r="D2541" s="27">
        <f>IF(K2541="CREDITO",Q2541,Q2541*-1)</f>
        <v>1004.51</v>
      </c>
      <c r="E2541" t="s">
        <v>894</v>
      </c>
      <c r="F2541" t="s">
        <v>3035</v>
      </c>
      <c r="G2541" s="8">
        <v>44652</v>
      </c>
      <c r="H2541" t="s">
        <v>578</v>
      </c>
      <c r="I2541" t="s">
        <v>1002</v>
      </c>
      <c r="J2541" t="s">
        <v>54</v>
      </c>
      <c r="K2541" t="s">
        <v>29</v>
      </c>
      <c r="L2541" t="s">
        <v>895</v>
      </c>
      <c r="M2541" t="s">
        <v>4402</v>
      </c>
      <c r="O2541" t="s">
        <v>896</v>
      </c>
      <c r="P2541" t="s">
        <v>33</v>
      </c>
      <c r="Q2541" s="22">
        <v>1004.51</v>
      </c>
      <c r="R2541" t="s">
        <v>35</v>
      </c>
      <c r="S2541" t="s">
        <v>35</v>
      </c>
      <c r="T2541" t="s">
        <v>35</v>
      </c>
      <c r="U2541" t="s">
        <v>35</v>
      </c>
      <c r="V2541" t="s">
        <v>645</v>
      </c>
      <c r="W2541" t="s">
        <v>113</v>
      </c>
    </row>
    <row r="2542" spans="1:23" hidden="1" x14ac:dyDescent="0.25">
      <c r="A2542" s="7" t="str">
        <f>IFERROR(VLOOKUP(H2542,'Contas Orç'!A:B,2,0),"N/A")</f>
        <v>ENCARGOS SOCIAIS</v>
      </c>
      <c r="B2542" s="7" t="str">
        <f t="shared" si="78"/>
        <v>330102 - ENCARGOS SOCIAIS</v>
      </c>
      <c r="C2542" s="25">
        <f t="shared" si="79"/>
        <v>44652</v>
      </c>
      <c r="D2542" s="27">
        <f>IF(K2542="CREDITO",Q2542,Q2542*-1)</f>
        <v>522.52</v>
      </c>
      <c r="E2542" t="s">
        <v>894</v>
      </c>
      <c r="F2542" t="s">
        <v>3036</v>
      </c>
      <c r="G2542" s="8">
        <v>44652</v>
      </c>
      <c r="H2542" t="s">
        <v>578</v>
      </c>
      <c r="I2542" t="s">
        <v>121</v>
      </c>
      <c r="J2542" t="s">
        <v>54</v>
      </c>
      <c r="K2542" t="s">
        <v>29</v>
      </c>
      <c r="L2542" t="s">
        <v>895</v>
      </c>
      <c r="M2542" t="s">
        <v>4402</v>
      </c>
      <c r="O2542" t="s">
        <v>896</v>
      </c>
      <c r="P2542" t="s">
        <v>33</v>
      </c>
      <c r="Q2542">
        <v>522.52</v>
      </c>
      <c r="R2542" t="s">
        <v>35</v>
      </c>
      <c r="S2542" t="s">
        <v>35</v>
      </c>
      <c r="T2542" t="s">
        <v>35</v>
      </c>
      <c r="U2542" t="s">
        <v>35</v>
      </c>
      <c r="V2542" t="s">
        <v>645</v>
      </c>
      <c r="W2542" t="s">
        <v>113</v>
      </c>
    </row>
    <row r="2543" spans="1:23" hidden="1" x14ac:dyDescent="0.25">
      <c r="A2543" s="7" t="str">
        <f>IFERROR(VLOOKUP(H2543,'Contas Orç'!A:B,2,0),"N/A")</f>
        <v>ENCARGOS SOCIAIS</v>
      </c>
      <c r="B2543" s="7" t="str">
        <f t="shared" si="78"/>
        <v>330102 - ENCARGOS SOCIAIS</v>
      </c>
      <c r="C2543" s="25">
        <f t="shared" si="79"/>
        <v>44652</v>
      </c>
      <c r="D2543" s="27">
        <f>IF(K2543="CREDITO",Q2543,Q2543*-1)</f>
        <v>2546.04</v>
      </c>
      <c r="E2543" t="s">
        <v>894</v>
      </c>
      <c r="F2543" t="s">
        <v>3037</v>
      </c>
      <c r="G2543" s="8">
        <v>44652</v>
      </c>
      <c r="H2543" t="s">
        <v>578</v>
      </c>
      <c r="I2543" t="s">
        <v>132</v>
      </c>
      <c r="J2543" t="s">
        <v>54</v>
      </c>
      <c r="K2543" t="s">
        <v>29</v>
      </c>
      <c r="L2543" t="s">
        <v>895</v>
      </c>
      <c r="M2543" t="s">
        <v>4402</v>
      </c>
      <c r="O2543" t="s">
        <v>896</v>
      </c>
      <c r="P2543" t="s">
        <v>33</v>
      </c>
      <c r="Q2543" s="22">
        <v>2546.04</v>
      </c>
      <c r="R2543" t="s">
        <v>35</v>
      </c>
      <c r="S2543" t="s">
        <v>35</v>
      </c>
      <c r="T2543" t="s">
        <v>35</v>
      </c>
      <c r="U2543" t="s">
        <v>35</v>
      </c>
      <c r="V2543" t="s">
        <v>645</v>
      </c>
      <c r="W2543" t="s">
        <v>113</v>
      </c>
    </row>
    <row r="2544" spans="1:23" hidden="1" x14ac:dyDescent="0.25">
      <c r="A2544" s="7" t="str">
        <f>IFERROR(VLOOKUP(H2544,'Contas Orç'!A:B,2,0),"N/A")</f>
        <v>ENCARGOS SOCIAIS</v>
      </c>
      <c r="B2544" s="7" t="str">
        <f t="shared" si="78"/>
        <v>330102 - ENCARGOS SOCIAIS</v>
      </c>
      <c r="C2544" s="25">
        <f t="shared" si="79"/>
        <v>44652</v>
      </c>
      <c r="D2544" s="27">
        <f>IF(K2544="CREDITO",Q2544,Q2544*-1)</f>
        <v>695.02</v>
      </c>
      <c r="E2544" t="s">
        <v>894</v>
      </c>
      <c r="F2544" t="s">
        <v>3038</v>
      </c>
      <c r="G2544" s="8">
        <v>44652</v>
      </c>
      <c r="H2544" t="s">
        <v>578</v>
      </c>
      <c r="I2544" t="s">
        <v>114</v>
      </c>
      <c r="J2544" t="s">
        <v>54</v>
      </c>
      <c r="K2544" t="s">
        <v>29</v>
      </c>
      <c r="L2544" t="s">
        <v>895</v>
      </c>
      <c r="M2544" t="s">
        <v>4402</v>
      </c>
      <c r="O2544" t="s">
        <v>896</v>
      </c>
      <c r="P2544" t="s">
        <v>33</v>
      </c>
      <c r="Q2544">
        <v>695.02</v>
      </c>
      <c r="R2544" t="s">
        <v>35</v>
      </c>
      <c r="S2544" t="s">
        <v>35</v>
      </c>
      <c r="T2544" t="s">
        <v>35</v>
      </c>
      <c r="U2544" t="s">
        <v>35</v>
      </c>
      <c r="V2544" t="s">
        <v>645</v>
      </c>
      <c r="W2544" t="s">
        <v>113</v>
      </c>
    </row>
    <row r="2545" spans="1:23" hidden="1" x14ac:dyDescent="0.25">
      <c r="A2545" s="7" t="str">
        <f>IFERROR(VLOOKUP(H2545,'Contas Orç'!A:B,2,0),"N/A")</f>
        <v>ENCARGOS SOCIAIS</v>
      </c>
      <c r="B2545" s="7" t="str">
        <f t="shared" si="78"/>
        <v>330102 - ENCARGOS SOCIAIS</v>
      </c>
      <c r="C2545" s="25">
        <f t="shared" si="79"/>
        <v>44652</v>
      </c>
      <c r="D2545" s="27">
        <f>IF(K2545="CREDITO",Q2545,Q2545*-1)</f>
        <v>1089.3399999999999</v>
      </c>
      <c r="E2545" t="s">
        <v>894</v>
      </c>
      <c r="F2545" t="s">
        <v>3039</v>
      </c>
      <c r="G2545" s="8">
        <v>44652</v>
      </c>
      <c r="H2545" t="s">
        <v>578</v>
      </c>
      <c r="I2545" t="s">
        <v>99</v>
      </c>
      <c r="J2545" t="s">
        <v>54</v>
      </c>
      <c r="K2545" t="s">
        <v>29</v>
      </c>
      <c r="L2545" t="s">
        <v>895</v>
      </c>
      <c r="M2545" t="s">
        <v>4402</v>
      </c>
      <c r="O2545" t="s">
        <v>896</v>
      </c>
      <c r="P2545" t="s">
        <v>33</v>
      </c>
      <c r="Q2545" s="22">
        <v>1089.3399999999999</v>
      </c>
      <c r="R2545" t="s">
        <v>35</v>
      </c>
      <c r="S2545" t="s">
        <v>35</v>
      </c>
      <c r="T2545" t="s">
        <v>35</v>
      </c>
      <c r="U2545" t="s">
        <v>35</v>
      </c>
      <c r="V2545" t="s">
        <v>645</v>
      </c>
      <c r="W2545" t="s">
        <v>113</v>
      </c>
    </row>
    <row r="2546" spans="1:23" hidden="1" x14ac:dyDescent="0.25">
      <c r="A2546" s="7" t="str">
        <f>IFERROR(VLOOKUP(H2546,'Contas Orç'!A:B,2,0),"N/A")</f>
        <v>ENCARGOS SOCIAIS</v>
      </c>
      <c r="B2546" s="7" t="str">
        <f t="shared" si="78"/>
        <v>330102 - ENCARGOS SOCIAIS</v>
      </c>
      <c r="C2546" s="25">
        <f t="shared" si="79"/>
        <v>44652</v>
      </c>
      <c r="D2546" s="27">
        <f>IF(K2546="CREDITO",Q2546,Q2546*-1)</f>
        <v>4029.99</v>
      </c>
      <c r="E2546" t="s">
        <v>894</v>
      </c>
      <c r="F2546" t="s">
        <v>3040</v>
      </c>
      <c r="G2546" s="8">
        <v>44652</v>
      </c>
      <c r="H2546" t="s">
        <v>578</v>
      </c>
      <c r="I2546" t="s">
        <v>75</v>
      </c>
      <c r="J2546" t="s">
        <v>54</v>
      </c>
      <c r="K2546" t="s">
        <v>29</v>
      </c>
      <c r="L2546" t="s">
        <v>895</v>
      </c>
      <c r="M2546" t="s">
        <v>4402</v>
      </c>
      <c r="O2546" t="s">
        <v>896</v>
      </c>
      <c r="P2546" t="s">
        <v>33</v>
      </c>
      <c r="Q2546" s="22">
        <v>4029.99</v>
      </c>
      <c r="R2546" t="s">
        <v>35</v>
      </c>
      <c r="S2546" t="s">
        <v>35</v>
      </c>
      <c r="T2546" t="s">
        <v>35</v>
      </c>
      <c r="U2546" t="s">
        <v>35</v>
      </c>
      <c r="V2546" t="s">
        <v>645</v>
      </c>
      <c r="W2546" t="s">
        <v>113</v>
      </c>
    </row>
    <row r="2547" spans="1:23" hidden="1" x14ac:dyDescent="0.25">
      <c r="A2547" s="7" t="str">
        <f>IFERROR(VLOOKUP(H2547,'Contas Orç'!A:B,2,0),"N/A")</f>
        <v>ENCARGOS SOCIAIS</v>
      </c>
      <c r="B2547" s="7" t="str">
        <f t="shared" si="78"/>
        <v>330102 - ENCARGOS SOCIAIS</v>
      </c>
      <c r="C2547" s="25">
        <f t="shared" si="79"/>
        <v>44652</v>
      </c>
      <c r="D2547" s="27">
        <f>IF(K2547="CREDITO",Q2547,Q2547*-1)</f>
        <v>3329.05</v>
      </c>
      <c r="E2547" t="s">
        <v>894</v>
      </c>
      <c r="F2547" t="s">
        <v>3041</v>
      </c>
      <c r="G2547" s="8">
        <v>44652</v>
      </c>
      <c r="H2547" t="s">
        <v>578</v>
      </c>
      <c r="I2547" t="s">
        <v>78</v>
      </c>
      <c r="J2547" t="s">
        <v>54</v>
      </c>
      <c r="K2547" t="s">
        <v>29</v>
      </c>
      <c r="L2547" t="s">
        <v>895</v>
      </c>
      <c r="M2547" t="s">
        <v>4402</v>
      </c>
      <c r="O2547" t="s">
        <v>896</v>
      </c>
      <c r="P2547" t="s">
        <v>33</v>
      </c>
      <c r="Q2547" s="22">
        <v>3329.05</v>
      </c>
      <c r="R2547" t="s">
        <v>35</v>
      </c>
      <c r="S2547" t="s">
        <v>35</v>
      </c>
      <c r="T2547" t="s">
        <v>35</v>
      </c>
      <c r="U2547" t="s">
        <v>35</v>
      </c>
      <c r="V2547" t="s">
        <v>645</v>
      </c>
      <c r="W2547" t="s">
        <v>113</v>
      </c>
    </row>
    <row r="2548" spans="1:23" hidden="1" x14ac:dyDescent="0.25">
      <c r="A2548" s="7" t="str">
        <f>IFERROR(VLOOKUP(H2548,'Contas Orç'!A:B,2,0),"N/A")</f>
        <v>ENCARGOS SOCIAIS</v>
      </c>
      <c r="B2548" s="7" t="str">
        <f t="shared" si="78"/>
        <v>330102 - ENCARGOS SOCIAIS</v>
      </c>
      <c r="C2548" s="25">
        <f t="shared" si="79"/>
        <v>44652</v>
      </c>
      <c r="D2548" s="27">
        <f>IF(K2548="CREDITO",Q2548,Q2548*-1)</f>
        <v>1842.62</v>
      </c>
      <c r="E2548" t="s">
        <v>894</v>
      </c>
      <c r="F2548" t="s">
        <v>3042</v>
      </c>
      <c r="G2548" s="8">
        <v>44652</v>
      </c>
      <c r="H2548" t="s">
        <v>578</v>
      </c>
      <c r="I2548" t="s">
        <v>81</v>
      </c>
      <c r="J2548" t="s">
        <v>54</v>
      </c>
      <c r="K2548" t="s">
        <v>29</v>
      </c>
      <c r="L2548" t="s">
        <v>895</v>
      </c>
      <c r="M2548" t="s">
        <v>4402</v>
      </c>
      <c r="O2548" t="s">
        <v>896</v>
      </c>
      <c r="P2548" t="s">
        <v>33</v>
      </c>
      <c r="Q2548" s="22">
        <v>1842.62</v>
      </c>
      <c r="R2548" t="s">
        <v>35</v>
      </c>
      <c r="S2548" t="s">
        <v>35</v>
      </c>
      <c r="T2548" t="s">
        <v>35</v>
      </c>
      <c r="U2548" t="s">
        <v>35</v>
      </c>
      <c r="V2548" t="s">
        <v>645</v>
      </c>
      <c r="W2548" t="s">
        <v>113</v>
      </c>
    </row>
    <row r="2549" spans="1:23" hidden="1" x14ac:dyDescent="0.25">
      <c r="A2549" s="7" t="str">
        <f>IFERROR(VLOOKUP(H2549,'Contas Orç'!A:B,2,0),"N/A")</f>
        <v>ENCARGOS SOCIAIS</v>
      </c>
      <c r="B2549" s="7" t="str">
        <f t="shared" si="78"/>
        <v>330102 - ENCARGOS SOCIAIS</v>
      </c>
      <c r="C2549" s="25">
        <f t="shared" si="79"/>
        <v>44652</v>
      </c>
      <c r="D2549" s="27">
        <f>IF(K2549="CREDITO",Q2549,Q2549*-1)</f>
        <v>1096.06</v>
      </c>
      <c r="E2549" t="s">
        <v>894</v>
      </c>
      <c r="F2549" t="s">
        <v>3043</v>
      </c>
      <c r="G2549" s="8">
        <v>44652</v>
      </c>
      <c r="H2549" t="s">
        <v>578</v>
      </c>
      <c r="I2549" t="s">
        <v>136</v>
      </c>
      <c r="J2549" t="s">
        <v>54</v>
      </c>
      <c r="K2549" t="s">
        <v>29</v>
      </c>
      <c r="L2549" t="s">
        <v>895</v>
      </c>
      <c r="M2549" t="s">
        <v>4402</v>
      </c>
      <c r="O2549" t="s">
        <v>896</v>
      </c>
      <c r="P2549" t="s">
        <v>33</v>
      </c>
      <c r="Q2549" s="22">
        <v>1096.06</v>
      </c>
      <c r="R2549" t="s">
        <v>35</v>
      </c>
      <c r="S2549" t="s">
        <v>35</v>
      </c>
      <c r="T2549" t="s">
        <v>35</v>
      </c>
      <c r="U2549" t="s">
        <v>35</v>
      </c>
      <c r="V2549" t="s">
        <v>645</v>
      </c>
      <c r="W2549" t="s">
        <v>113</v>
      </c>
    </row>
    <row r="2550" spans="1:23" hidden="1" x14ac:dyDescent="0.25">
      <c r="A2550" s="7" t="str">
        <f>IFERROR(VLOOKUP(H2550,'Contas Orç'!A:B,2,0),"N/A")</f>
        <v>ENCARGOS SOCIAIS</v>
      </c>
      <c r="B2550" s="7" t="str">
        <f t="shared" si="78"/>
        <v>330102 - ENCARGOS SOCIAIS</v>
      </c>
      <c r="C2550" s="25">
        <f t="shared" si="79"/>
        <v>44682</v>
      </c>
      <c r="D2550" s="27">
        <f>IF(K2550="CREDITO",Q2550,Q2550*-1)</f>
        <v>2824.4</v>
      </c>
      <c r="E2550" t="s">
        <v>894</v>
      </c>
      <c r="F2550" t="s">
        <v>3044</v>
      </c>
      <c r="G2550" s="8">
        <v>44682</v>
      </c>
      <c r="H2550" t="s">
        <v>578</v>
      </c>
      <c r="I2550" t="s">
        <v>99</v>
      </c>
      <c r="J2550" t="s">
        <v>28</v>
      </c>
      <c r="K2550" t="s">
        <v>29</v>
      </c>
      <c r="L2550" t="s">
        <v>895</v>
      </c>
      <c r="M2550" t="s">
        <v>4402</v>
      </c>
      <c r="O2550" t="s">
        <v>896</v>
      </c>
      <c r="P2550" t="s">
        <v>33</v>
      </c>
      <c r="Q2550" s="22">
        <v>2824.4</v>
      </c>
      <c r="R2550" t="s">
        <v>35</v>
      </c>
      <c r="S2550" t="s">
        <v>35</v>
      </c>
      <c r="T2550" t="s">
        <v>35</v>
      </c>
      <c r="U2550" t="s">
        <v>35</v>
      </c>
      <c r="V2550" t="s">
        <v>645</v>
      </c>
      <c r="W2550" t="s">
        <v>113</v>
      </c>
    </row>
    <row r="2551" spans="1:23" hidden="1" x14ac:dyDescent="0.25">
      <c r="A2551" s="7" t="str">
        <f>IFERROR(VLOOKUP(H2551,'Contas Orç'!A:B,2,0),"N/A")</f>
        <v>ENCARGOS SOCIAIS</v>
      </c>
      <c r="B2551" s="7" t="str">
        <f t="shared" si="78"/>
        <v>330102 - ENCARGOS SOCIAIS</v>
      </c>
      <c r="C2551" s="25">
        <f t="shared" si="79"/>
        <v>44682</v>
      </c>
      <c r="D2551" s="27">
        <f>IF(K2551="CREDITO",Q2551,Q2551*-1)</f>
        <v>1385.87</v>
      </c>
      <c r="E2551" t="s">
        <v>894</v>
      </c>
      <c r="F2551" t="s">
        <v>3045</v>
      </c>
      <c r="G2551" s="8">
        <v>44682</v>
      </c>
      <c r="H2551" t="s">
        <v>578</v>
      </c>
      <c r="I2551" t="s">
        <v>81</v>
      </c>
      <c r="J2551" t="s">
        <v>60</v>
      </c>
      <c r="K2551" t="s">
        <v>29</v>
      </c>
      <c r="L2551" t="s">
        <v>895</v>
      </c>
      <c r="M2551" t="s">
        <v>4402</v>
      </c>
      <c r="O2551" t="s">
        <v>896</v>
      </c>
      <c r="P2551" t="s">
        <v>33</v>
      </c>
      <c r="Q2551" s="22">
        <v>1385.87</v>
      </c>
      <c r="R2551" t="s">
        <v>35</v>
      </c>
      <c r="S2551" t="s">
        <v>35</v>
      </c>
      <c r="T2551" t="s">
        <v>35</v>
      </c>
      <c r="U2551" t="s">
        <v>35</v>
      </c>
      <c r="V2551" t="s">
        <v>645</v>
      </c>
      <c r="W2551" t="s">
        <v>113</v>
      </c>
    </row>
    <row r="2552" spans="1:23" hidden="1" x14ac:dyDescent="0.25">
      <c r="A2552" s="7" t="str">
        <f>IFERROR(VLOOKUP(H2552,'Contas Orç'!A:B,2,0),"N/A")</f>
        <v>ENCARGOS SOCIAIS</v>
      </c>
      <c r="B2552" s="7" t="str">
        <f t="shared" si="78"/>
        <v>330102 - ENCARGOS SOCIAIS</v>
      </c>
      <c r="C2552" s="25">
        <f t="shared" si="79"/>
        <v>44682</v>
      </c>
      <c r="D2552" s="27">
        <f>IF(K2552="CREDITO",Q2552,Q2552*-1)</f>
        <v>392.37</v>
      </c>
      <c r="E2552" t="s">
        <v>894</v>
      </c>
      <c r="F2552" t="s">
        <v>3046</v>
      </c>
      <c r="G2552" s="8">
        <v>44682</v>
      </c>
      <c r="H2552" t="s">
        <v>578</v>
      </c>
      <c r="I2552" t="s">
        <v>2062</v>
      </c>
      <c r="J2552" t="s">
        <v>54</v>
      </c>
      <c r="K2552" t="s">
        <v>29</v>
      </c>
      <c r="L2552" t="s">
        <v>895</v>
      </c>
      <c r="M2552" t="s">
        <v>4402</v>
      </c>
      <c r="O2552" t="s">
        <v>896</v>
      </c>
      <c r="P2552" t="s">
        <v>33</v>
      </c>
      <c r="Q2552">
        <v>392.37</v>
      </c>
      <c r="R2552" t="s">
        <v>35</v>
      </c>
      <c r="S2552" t="s">
        <v>35</v>
      </c>
      <c r="T2552" t="s">
        <v>35</v>
      </c>
      <c r="U2552" t="s">
        <v>35</v>
      </c>
      <c r="V2552" t="s">
        <v>645</v>
      </c>
      <c r="W2552" t="s">
        <v>113</v>
      </c>
    </row>
    <row r="2553" spans="1:23" hidden="1" x14ac:dyDescent="0.25">
      <c r="A2553" s="7" t="str">
        <f>IFERROR(VLOOKUP(H2553,'Contas Orç'!A:B,2,0),"N/A")</f>
        <v>ENCARGOS SOCIAIS</v>
      </c>
      <c r="B2553" s="7" t="str">
        <f t="shared" si="78"/>
        <v>330102 - ENCARGOS SOCIAIS</v>
      </c>
      <c r="C2553" s="25">
        <f t="shared" si="79"/>
        <v>44682</v>
      </c>
      <c r="D2553" s="27">
        <f>IF(K2553="CREDITO",Q2553,Q2553*-1)</f>
        <v>6926.48</v>
      </c>
      <c r="E2553" t="s">
        <v>894</v>
      </c>
      <c r="F2553" t="s">
        <v>3047</v>
      </c>
      <c r="G2553" s="8">
        <v>44682</v>
      </c>
      <c r="H2553" t="s">
        <v>578</v>
      </c>
      <c r="I2553" t="s">
        <v>40</v>
      </c>
      <c r="J2553" t="s">
        <v>54</v>
      </c>
      <c r="K2553" t="s">
        <v>29</v>
      </c>
      <c r="L2553" t="s">
        <v>895</v>
      </c>
      <c r="M2553" t="s">
        <v>4402</v>
      </c>
      <c r="O2553" t="s">
        <v>896</v>
      </c>
      <c r="P2553" t="s">
        <v>33</v>
      </c>
      <c r="Q2553" s="22">
        <v>6926.48</v>
      </c>
      <c r="R2553" t="s">
        <v>35</v>
      </c>
      <c r="S2553" t="s">
        <v>35</v>
      </c>
      <c r="T2553" t="s">
        <v>35</v>
      </c>
      <c r="U2553" t="s">
        <v>35</v>
      </c>
      <c r="V2553" t="s">
        <v>645</v>
      </c>
      <c r="W2553" t="s">
        <v>113</v>
      </c>
    </row>
    <row r="2554" spans="1:23" hidden="1" x14ac:dyDescent="0.25">
      <c r="A2554" s="7" t="str">
        <f>IFERROR(VLOOKUP(H2554,'Contas Orç'!A:B,2,0),"N/A")</f>
        <v>ENCARGOS SOCIAIS</v>
      </c>
      <c r="B2554" s="7" t="str">
        <f t="shared" si="78"/>
        <v>330102 - ENCARGOS SOCIAIS</v>
      </c>
      <c r="C2554" s="25">
        <f t="shared" si="79"/>
        <v>44682</v>
      </c>
      <c r="D2554" s="27">
        <f>IF(K2554="CREDITO",Q2554,Q2554*-1)</f>
        <v>1004.52</v>
      </c>
      <c r="E2554" t="s">
        <v>894</v>
      </c>
      <c r="F2554" t="s">
        <v>3048</v>
      </c>
      <c r="G2554" s="8">
        <v>44682</v>
      </c>
      <c r="H2554" t="s">
        <v>578</v>
      </c>
      <c r="I2554" t="s">
        <v>1002</v>
      </c>
      <c r="J2554" t="s">
        <v>54</v>
      </c>
      <c r="K2554" t="s">
        <v>29</v>
      </c>
      <c r="L2554" t="s">
        <v>895</v>
      </c>
      <c r="M2554" t="s">
        <v>4402</v>
      </c>
      <c r="O2554" t="s">
        <v>896</v>
      </c>
      <c r="P2554" t="s">
        <v>33</v>
      </c>
      <c r="Q2554" s="22">
        <v>1004.52</v>
      </c>
      <c r="R2554" t="s">
        <v>35</v>
      </c>
      <c r="S2554" t="s">
        <v>35</v>
      </c>
      <c r="T2554" t="s">
        <v>35</v>
      </c>
      <c r="U2554" t="s">
        <v>35</v>
      </c>
      <c r="V2554" t="s">
        <v>645</v>
      </c>
      <c r="W2554" t="s">
        <v>113</v>
      </c>
    </row>
    <row r="2555" spans="1:23" hidden="1" x14ac:dyDescent="0.25">
      <c r="A2555" s="7" t="str">
        <f>IFERROR(VLOOKUP(H2555,'Contas Orç'!A:B,2,0),"N/A")</f>
        <v>ENCARGOS SOCIAIS</v>
      </c>
      <c r="B2555" s="7" t="str">
        <f t="shared" si="78"/>
        <v>330102 - ENCARGOS SOCIAIS</v>
      </c>
      <c r="C2555" s="25">
        <f t="shared" si="79"/>
        <v>44682</v>
      </c>
      <c r="D2555" s="27">
        <f>IF(K2555="CREDITO",Q2555,Q2555*-1)</f>
        <v>521.04999999999995</v>
      </c>
      <c r="E2555" t="s">
        <v>894</v>
      </c>
      <c r="F2555" t="s">
        <v>3049</v>
      </c>
      <c r="G2555" s="8">
        <v>44682</v>
      </c>
      <c r="H2555" t="s">
        <v>578</v>
      </c>
      <c r="I2555" t="s">
        <v>121</v>
      </c>
      <c r="J2555" t="s">
        <v>54</v>
      </c>
      <c r="K2555" t="s">
        <v>29</v>
      </c>
      <c r="L2555" t="s">
        <v>895</v>
      </c>
      <c r="M2555" t="s">
        <v>4402</v>
      </c>
      <c r="O2555" t="s">
        <v>896</v>
      </c>
      <c r="P2555" t="s">
        <v>33</v>
      </c>
      <c r="Q2555">
        <v>521.04999999999995</v>
      </c>
      <c r="R2555" t="s">
        <v>35</v>
      </c>
      <c r="S2555" t="s">
        <v>35</v>
      </c>
      <c r="T2555" t="s">
        <v>35</v>
      </c>
      <c r="U2555" t="s">
        <v>35</v>
      </c>
      <c r="V2555" t="s">
        <v>645</v>
      </c>
      <c r="W2555" t="s">
        <v>113</v>
      </c>
    </row>
    <row r="2556" spans="1:23" hidden="1" x14ac:dyDescent="0.25">
      <c r="A2556" s="7" t="str">
        <f>IFERROR(VLOOKUP(H2556,'Contas Orç'!A:B,2,0),"N/A")</f>
        <v>ENCARGOS SOCIAIS</v>
      </c>
      <c r="B2556" s="7" t="str">
        <f t="shared" si="78"/>
        <v>330102 - ENCARGOS SOCIAIS</v>
      </c>
      <c r="C2556" s="25">
        <f t="shared" si="79"/>
        <v>44682</v>
      </c>
      <c r="D2556" s="27">
        <f>IF(K2556="CREDITO",Q2556,Q2556*-1)</f>
        <v>2537.79</v>
      </c>
      <c r="E2556" t="s">
        <v>894</v>
      </c>
      <c r="F2556" t="s">
        <v>3050</v>
      </c>
      <c r="G2556" s="8">
        <v>44682</v>
      </c>
      <c r="H2556" t="s">
        <v>578</v>
      </c>
      <c r="I2556" t="s">
        <v>132</v>
      </c>
      <c r="J2556" t="s">
        <v>54</v>
      </c>
      <c r="K2556" t="s">
        <v>29</v>
      </c>
      <c r="L2556" t="s">
        <v>895</v>
      </c>
      <c r="M2556" t="s">
        <v>4402</v>
      </c>
      <c r="O2556" t="s">
        <v>896</v>
      </c>
      <c r="P2556" t="s">
        <v>33</v>
      </c>
      <c r="Q2556" s="22">
        <v>2537.79</v>
      </c>
      <c r="R2556" t="s">
        <v>35</v>
      </c>
      <c r="S2556" t="s">
        <v>35</v>
      </c>
      <c r="T2556" t="s">
        <v>35</v>
      </c>
      <c r="U2556" t="s">
        <v>35</v>
      </c>
      <c r="V2556" t="s">
        <v>645</v>
      </c>
      <c r="W2556" t="s">
        <v>113</v>
      </c>
    </row>
    <row r="2557" spans="1:23" hidden="1" x14ac:dyDescent="0.25">
      <c r="A2557" s="7" t="str">
        <f>IFERROR(VLOOKUP(H2557,'Contas Orç'!A:B,2,0),"N/A")</f>
        <v>ENCARGOS SOCIAIS</v>
      </c>
      <c r="B2557" s="7" t="str">
        <f t="shared" si="78"/>
        <v>330102 - ENCARGOS SOCIAIS</v>
      </c>
      <c r="C2557" s="25">
        <f t="shared" si="79"/>
        <v>44682</v>
      </c>
      <c r="D2557" s="27">
        <f>IF(K2557="CREDITO",Q2557,Q2557*-1)</f>
        <v>695</v>
      </c>
      <c r="E2557" t="s">
        <v>894</v>
      </c>
      <c r="F2557" t="s">
        <v>3051</v>
      </c>
      <c r="G2557" s="8">
        <v>44682</v>
      </c>
      <c r="H2557" t="s">
        <v>578</v>
      </c>
      <c r="I2557" t="s">
        <v>114</v>
      </c>
      <c r="J2557" t="s">
        <v>54</v>
      </c>
      <c r="K2557" t="s">
        <v>29</v>
      </c>
      <c r="L2557" t="s">
        <v>895</v>
      </c>
      <c r="M2557" t="s">
        <v>4402</v>
      </c>
      <c r="O2557" t="s">
        <v>896</v>
      </c>
      <c r="P2557" t="s">
        <v>33</v>
      </c>
      <c r="Q2557">
        <v>695</v>
      </c>
      <c r="R2557" t="s">
        <v>35</v>
      </c>
      <c r="S2557" t="s">
        <v>35</v>
      </c>
      <c r="T2557" t="s">
        <v>35</v>
      </c>
      <c r="U2557" t="s">
        <v>35</v>
      </c>
      <c r="V2557" t="s">
        <v>645</v>
      </c>
      <c r="W2557" t="s">
        <v>113</v>
      </c>
    </row>
    <row r="2558" spans="1:23" hidden="1" x14ac:dyDescent="0.25">
      <c r="A2558" s="7" t="str">
        <f>IFERROR(VLOOKUP(H2558,'Contas Orç'!A:B,2,0),"N/A")</f>
        <v>ENCARGOS SOCIAIS</v>
      </c>
      <c r="B2558" s="7" t="str">
        <f t="shared" si="78"/>
        <v>330102 - ENCARGOS SOCIAIS</v>
      </c>
      <c r="C2558" s="25">
        <f t="shared" si="79"/>
        <v>44682</v>
      </c>
      <c r="D2558" s="27">
        <f>IF(K2558="CREDITO",Q2558,Q2558*-1)</f>
        <v>4615.1000000000004</v>
      </c>
      <c r="E2558" t="s">
        <v>894</v>
      </c>
      <c r="F2558" t="s">
        <v>3052</v>
      </c>
      <c r="G2558" s="8">
        <v>44682</v>
      </c>
      <c r="H2558" t="s">
        <v>578</v>
      </c>
      <c r="I2558" t="s">
        <v>75</v>
      </c>
      <c r="J2558" t="s">
        <v>54</v>
      </c>
      <c r="K2558" t="s">
        <v>29</v>
      </c>
      <c r="L2558" t="s">
        <v>895</v>
      </c>
      <c r="M2558" t="s">
        <v>4402</v>
      </c>
      <c r="O2558" t="s">
        <v>896</v>
      </c>
      <c r="P2558" t="s">
        <v>33</v>
      </c>
      <c r="Q2558" s="22">
        <v>4615.1000000000004</v>
      </c>
      <c r="R2558" t="s">
        <v>35</v>
      </c>
      <c r="S2558" t="s">
        <v>35</v>
      </c>
      <c r="T2558" t="s">
        <v>35</v>
      </c>
      <c r="U2558" t="s">
        <v>35</v>
      </c>
      <c r="V2558" t="s">
        <v>645</v>
      </c>
      <c r="W2558" t="s">
        <v>113</v>
      </c>
    </row>
    <row r="2559" spans="1:23" hidden="1" x14ac:dyDescent="0.25">
      <c r="A2559" s="7" t="str">
        <f>IFERROR(VLOOKUP(H2559,'Contas Orç'!A:B,2,0),"N/A")</f>
        <v>ENCARGOS SOCIAIS</v>
      </c>
      <c r="B2559" s="7" t="str">
        <f t="shared" si="78"/>
        <v>330102 - ENCARGOS SOCIAIS</v>
      </c>
      <c r="C2559" s="25">
        <f t="shared" si="79"/>
        <v>44682</v>
      </c>
      <c r="D2559" s="27">
        <f>IF(K2559="CREDITO",Q2559,Q2559*-1)</f>
        <v>3398.06</v>
      </c>
      <c r="E2559" t="s">
        <v>894</v>
      </c>
      <c r="F2559" t="s">
        <v>3053</v>
      </c>
      <c r="G2559" s="8">
        <v>44682</v>
      </c>
      <c r="H2559" t="s">
        <v>578</v>
      </c>
      <c r="I2559" t="s">
        <v>78</v>
      </c>
      <c r="J2559" t="s">
        <v>54</v>
      </c>
      <c r="K2559" t="s">
        <v>29</v>
      </c>
      <c r="L2559" t="s">
        <v>895</v>
      </c>
      <c r="M2559" t="s">
        <v>4402</v>
      </c>
      <c r="O2559" t="s">
        <v>896</v>
      </c>
      <c r="P2559" t="s">
        <v>33</v>
      </c>
      <c r="Q2559" s="22">
        <v>3398.06</v>
      </c>
      <c r="R2559" t="s">
        <v>35</v>
      </c>
      <c r="S2559" t="s">
        <v>35</v>
      </c>
      <c r="T2559" t="s">
        <v>35</v>
      </c>
      <c r="U2559" t="s">
        <v>35</v>
      </c>
      <c r="V2559" t="s">
        <v>645</v>
      </c>
      <c r="W2559" t="s">
        <v>113</v>
      </c>
    </row>
    <row r="2560" spans="1:23" hidden="1" x14ac:dyDescent="0.25">
      <c r="A2560" s="7" t="str">
        <f>IFERROR(VLOOKUP(H2560,'Contas Orç'!A:B,2,0),"N/A")</f>
        <v>ENCARGOS SOCIAIS</v>
      </c>
      <c r="B2560" s="7" t="str">
        <f t="shared" si="78"/>
        <v>330102 - ENCARGOS SOCIAIS</v>
      </c>
      <c r="C2560" s="25">
        <f t="shared" si="79"/>
        <v>44682</v>
      </c>
      <c r="D2560" s="27">
        <f>IF(K2560="CREDITO",Q2560,Q2560*-1)</f>
        <v>1648.42</v>
      </c>
      <c r="E2560" t="s">
        <v>894</v>
      </c>
      <c r="F2560" t="s">
        <v>3054</v>
      </c>
      <c r="G2560" s="8">
        <v>44682</v>
      </c>
      <c r="H2560" t="s">
        <v>578</v>
      </c>
      <c r="I2560" t="s">
        <v>81</v>
      </c>
      <c r="J2560" t="s">
        <v>54</v>
      </c>
      <c r="K2560" t="s">
        <v>29</v>
      </c>
      <c r="L2560" t="s">
        <v>895</v>
      </c>
      <c r="M2560" t="s">
        <v>4402</v>
      </c>
      <c r="O2560" t="s">
        <v>896</v>
      </c>
      <c r="P2560" t="s">
        <v>33</v>
      </c>
      <c r="Q2560" s="22">
        <v>1648.42</v>
      </c>
      <c r="R2560" t="s">
        <v>35</v>
      </c>
      <c r="S2560" t="s">
        <v>35</v>
      </c>
      <c r="T2560" t="s">
        <v>35</v>
      </c>
      <c r="U2560" t="s">
        <v>35</v>
      </c>
      <c r="V2560" t="s">
        <v>645</v>
      </c>
      <c r="W2560" t="s">
        <v>113</v>
      </c>
    </row>
    <row r="2561" spans="1:23" hidden="1" x14ac:dyDescent="0.25">
      <c r="A2561" s="7" t="str">
        <f>IFERROR(VLOOKUP(H2561,'Contas Orç'!A:B,2,0),"N/A")</f>
        <v>ENCARGOS SOCIAIS</v>
      </c>
      <c r="B2561" s="7" t="str">
        <f t="shared" si="78"/>
        <v>330102 - ENCARGOS SOCIAIS</v>
      </c>
      <c r="C2561" s="25">
        <f t="shared" si="79"/>
        <v>44682</v>
      </c>
      <c r="D2561" s="27">
        <f>IF(K2561="CREDITO",Q2561,Q2561*-1)</f>
        <v>1077.67</v>
      </c>
      <c r="E2561" t="s">
        <v>894</v>
      </c>
      <c r="F2561" t="s">
        <v>3055</v>
      </c>
      <c r="G2561" s="8">
        <v>44682</v>
      </c>
      <c r="H2561" t="s">
        <v>578</v>
      </c>
      <c r="I2561" t="s">
        <v>136</v>
      </c>
      <c r="J2561" t="s">
        <v>54</v>
      </c>
      <c r="K2561" t="s">
        <v>29</v>
      </c>
      <c r="L2561" t="s">
        <v>895</v>
      </c>
      <c r="M2561" t="s">
        <v>4402</v>
      </c>
      <c r="O2561" t="s">
        <v>896</v>
      </c>
      <c r="P2561" t="s">
        <v>33</v>
      </c>
      <c r="Q2561" s="22">
        <v>1077.67</v>
      </c>
      <c r="R2561" t="s">
        <v>35</v>
      </c>
      <c r="S2561" t="s">
        <v>35</v>
      </c>
      <c r="T2561" t="s">
        <v>35</v>
      </c>
      <c r="U2561" t="s">
        <v>35</v>
      </c>
      <c r="V2561" t="s">
        <v>645</v>
      </c>
      <c r="W2561" t="s">
        <v>113</v>
      </c>
    </row>
    <row r="2562" spans="1:23" hidden="1" x14ac:dyDescent="0.25">
      <c r="A2562" s="7" t="str">
        <f>IFERROR(VLOOKUP(H2562,'Contas Orç'!A:B,2,0),"N/A")</f>
        <v>ENCARGOS SOCIAIS</v>
      </c>
      <c r="B2562" s="7" t="str">
        <f t="shared" si="78"/>
        <v>330102 - ENCARGOS SOCIAIS</v>
      </c>
      <c r="C2562" s="25">
        <f t="shared" si="79"/>
        <v>44713</v>
      </c>
      <c r="D2562" s="27">
        <f>IF(K2562="CREDITO",Q2562,Q2562*-1)</f>
        <v>2643.14</v>
      </c>
      <c r="E2562" t="s">
        <v>894</v>
      </c>
      <c r="F2562" t="s">
        <v>3056</v>
      </c>
      <c r="G2562" s="8">
        <v>44713</v>
      </c>
      <c r="H2562" t="s">
        <v>578</v>
      </c>
      <c r="I2562" t="s">
        <v>99</v>
      </c>
      <c r="J2562" t="s">
        <v>28</v>
      </c>
      <c r="K2562" t="s">
        <v>29</v>
      </c>
      <c r="L2562" t="s">
        <v>895</v>
      </c>
      <c r="M2562" t="s">
        <v>4402</v>
      </c>
      <c r="O2562" t="s">
        <v>896</v>
      </c>
      <c r="P2562" t="s">
        <v>33</v>
      </c>
      <c r="Q2562" s="22">
        <v>2643.14</v>
      </c>
      <c r="R2562" t="s">
        <v>35</v>
      </c>
      <c r="S2562" t="s">
        <v>35</v>
      </c>
      <c r="T2562" t="s">
        <v>35</v>
      </c>
      <c r="U2562" t="s">
        <v>35</v>
      </c>
      <c r="V2562" t="s">
        <v>645</v>
      </c>
      <c r="W2562" t="s">
        <v>113</v>
      </c>
    </row>
    <row r="2563" spans="1:23" hidden="1" x14ac:dyDescent="0.25">
      <c r="A2563" s="7" t="str">
        <f>IFERROR(VLOOKUP(H2563,'Contas Orç'!A:B,2,0),"N/A")</f>
        <v>ENCARGOS SOCIAIS</v>
      </c>
      <c r="B2563" s="7" t="str">
        <f t="shared" ref="B2563:B2626" si="80">_xlfn.CONCAT(H2563," - ",A2563)</f>
        <v>330102 - ENCARGOS SOCIAIS</v>
      </c>
      <c r="C2563" s="25">
        <f t="shared" ref="C2563:C2626" si="81">DATE(YEAR(G2563),MONTH(G2563),1)</f>
        <v>44713</v>
      </c>
      <c r="D2563" s="27">
        <f>IF(K2563="CREDITO",Q2563,Q2563*-1)</f>
        <v>2629.19</v>
      </c>
      <c r="E2563" t="s">
        <v>894</v>
      </c>
      <c r="F2563" t="s">
        <v>3057</v>
      </c>
      <c r="G2563" s="8">
        <v>44713</v>
      </c>
      <c r="H2563" t="s">
        <v>578</v>
      </c>
      <c r="I2563" t="s">
        <v>81</v>
      </c>
      <c r="J2563" t="s">
        <v>60</v>
      </c>
      <c r="K2563" t="s">
        <v>29</v>
      </c>
      <c r="L2563" t="s">
        <v>895</v>
      </c>
      <c r="M2563" t="s">
        <v>4402</v>
      </c>
      <c r="O2563" t="s">
        <v>896</v>
      </c>
      <c r="P2563" t="s">
        <v>33</v>
      </c>
      <c r="Q2563" s="22">
        <v>2629.19</v>
      </c>
      <c r="R2563" t="s">
        <v>35</v>
      </c>
      <c r="S2563" t="s">
        <v>35</v>
      </c>
      <c r="T2563" t="s">
        <v>35</v>
      </c>
      <c r="U2563" t="s">
        <v>35</v>
      </c>
      <c r="V2563" t="s">
        <v>645</v>
      </c>
      <c r="W2563" t="s">
        <v>113</v>
      </c>
    </row>
    <row r="2564" spans="1:23" hidden="1" x14ac:dyDescent="0.25">
      <c r="A2564" s="7" t="str">
        <f>IFERROR(VLOOKUP(H2564,'Contas Orç'!A:B,2,0),"N/A")</f>
        <v>ENCARGOS SOCIAIS</v>
      </c>
      <c r="B2564" s="7" t="str">
        <f t="shared" si="80"/>
        <v>330102 - ENCARGOS SOCIAIS</v>
      </c>
      <c r="C2564" s="25">
        <f t="shared" si="81"/>
        <v>44713</v>
      </c>
      <c r="D2564" s="27">
        <f>IF(K2564="CREDITO",Q2564,Q2564*-1)</f>
        <v>464.13</v>
      </c>
      <c r="E2564" t="s">
        <v>894</v>
      </c>
      <c r="F2564" t="s">
        <v>3058</v>
      </c>
      <c r="G2564" s="8">
        <v>44713</v>
      </c>
      <c r="H2564" t="s">
        <v>578</v>
      </c>
      <c r="I2564" t="s">
        <v>2062</v>
      </c>
      <c r="J2564" t="s">
        <v>54</v>
      </c>
      <c r="K2564" t="s">
        <v>29</v>
      </c>
      <c r="L2564" t="s">
        <v>895</v>
      </c>
      <c r="M2564" t="s">
        <v>4402</v>
      </c>
      <c r="O2564" t="s">
        <v>896</v>
      </c>
      <c r="P2564" t="s">
        <v>33</v>
      </c>
      <c r="Q2564">
        <v>464.13</v>
      </c>
      <c r="R2564" t="s">
        <v>35</v>
      </c>
      <c r="S2564" t="s">
        <v>35</v>
      </c>
      <c r="T2564" t="s">
        <v>35</v>
      </c>
      <c r="U2564" t="s">
        <v>35</v>
      </c>
      <c r="V2564" t="s">
        <v>645</v>
      </c>
      <c r="W2564" t="s">
        <v>113</v>
      </c>
    </row>
    <row r="2565" spans="1:23" hidden="1" x14ac:dyDescent="0.25">
      <c r="A2565" s="7" t="str">
        <f>IFERROR(VLOOKUP(H2565,'Contas Orç'!A:B,2,0),"N/A")</f>
        <v>ENCARGOS SOCIAIS</v>
      </c>
      <c r="B2565" s="7" t="str">
        <f t="shared" si="80"/>
        <v>330102 - ENCARGOS SOCIAIS</v>
      </c>
      <c r="C2565" s="25">
        <f t="shared" si="81"/>
        <v>44713</v>
      </c>
      <c r="D2565" s="27">
        <f>IF(K2565="CREDITO",Q2565,Q2565*-1)</f>
        <v>7320.95</v>
      </c>
      <c r="E2565" t="s">
        <v>894</v>
      </c>
      <c r="F2565" t="s">
        <v>3059</v>
      </c>
      <c r="G2565" s="8">
        <v>44713</v>
      </c>
      <c r="H2565" t="s">
        <v>578</v>
      </c>
      <c r="I2565" t="s">
        <v>40</v>
      </c>
      <c r="J2565" t="s">
        <v>54</v>
      </c>
      <c r="K2565" t="s">
        <v>29</v>
      </c>
      <c r="L2565" t="s">
        <v>895</v>
      </c>
      <c r="M2565" t="s">
        <v>4402</v>
      </c>
      <c r="O2565" t="s">
        <v>896</v>
      </c>
      <c r="P2565" t="s">
        <v>33</v>
      </c>
      <c r="Q2565" s="22">
        <v>7320.95</v>
      </c>
      <c r="R2565" t="s">
        <v>35</v>
      </c>
      <c r="S2565" t="s">
        <v>35</v>
      </c>
      <c r="T2565" t="s">
        <v>35</v>
      </c>
      <c r="U2565" t="s">
        <v>35</v>
      </c>
      <c r="V2565" t="s">
        <v>645</v>
      </c>
      <c r="W2565" t="s">
        <v>113</v>
      </c>
    </row>
    <row r="2566" spans="1:23" hidden="1" x14ac:dyDescent="0.25">
      <c r="A2566" s="7" t="str">
        <f>IFERROR(VLOOKUP(H2566,'Contas Orç'!A:B,2,0),"N/A")</f>
        <v>ENCARGOS SOCIAIS</v>
      </c>
      <c r="B2566" s="7" t="str">
        <f t="shared" si="80"/>
        <v>330102 - ENCARGOS SOCIAIS</v>
      </c>
      <c r="C2566" s="25">
        <f t="shared" si="81"/>
        <v>44713</v>
      </c>
      <c r="D2566" s="27">
        <f>IF(K2566="CREDITO",Q2566,Q2566*-1)</f>
        <v>1131.51</v>
      </c>
      <c r="E2566" t="s">
        <v>894</v>
      </c>
      <c r="F2566" t="s">
        <v>3060</v>
      </c>
      <c r="G2566" s="8">
        <v>44713</v>
      </c>
      <c r="H2566" t="s">
        <v>578</v>
      </c>
      <c r="I2566" t="s">
        <v>1002</v>
      </c>
      <c r="J2566" t="s">
        <v>54</v>
      </c>
      <c r="K2566" t="s">
        <v>29</v>
      </c>
      <c r="L2566" t="s">
        <v>895</v>
      </c>
      <c r="M2566" t="s">
        <v>4402</v>
      </c>
      <c r="O2566" t="s">
        <v>896</v>
      </c>
      <c r="P2566" t="s">
        <v>33</v>
      </c>
      <c r="Q2566" s="22">
        <v>1131.51</v>
      </c>
      <c r="R2566" t="s">
        <v>35</v>
      </c>
      <c r="S2566" t="s">
        <v>35</v>
      </c>
      <c r="T2566" t="s">
        <v>35</v>
      </c>
      <c r="U2566" t="s">
        <v>35</v>
      </c>
      <c r="V2566" t="s">
        <v>645</v>
      </c>
      <c r="W2566" t="s">
        <v>113</v>
      </c>
    </row>
    <row r="2567" spans="1:23" hidden="1" x14ac:dyDescent="0.25">
      <c r="A2567" s="7" t="str">
        <f>IFERROR(VLOOKUP(H2567,'Contas Orç'!A:B,2,0),"N/A")</f>
        <v>ENCARGOS SOCIAIS</v>
      </c>
      <c r="B2567" s="7" t="str">
        <f t="shared" si="80"/>
        <v>330102 - ENCARGOS SOCIAIS</v>
      </c>
      <c r="C2567" s="25">
        <f t="shared" si="81"/>
        <v>44713</v>
      </c>
      <c r="D2567" s="27">
        <f>IF(K2567="CREDITO",Q2567,Q2567*-1)</f>
        <v>806.27</v>
      </c>
      <c r="E2567" t="s">
        <v>894</v>
      </c>
      <c r="F2567" t="s">
        <v>3061</v>
      </c>
      <c r="G2567" s="8">
        <v>44713</v>
      </c>
      <c r="H2567" t="s">
        <v>578</v>
      </c>
      <c r="I2567" t="s">
        <v>121</v>
      </c>
      <c r="J2567" t="s">
        <v>54</v>
      </c>
      <c r="K2567" t="s">
        <v>29</v>
      </c>
      <c r="L2567" t="s">
        <v>895</v>
      </c>
      <c r="M2567" t="s">
        <v>4402</v>
      </c>
      <c r="O2567" t="s">
        <v>896</v>
      </c>
      <c r="P2567" t="s">
        <v>33</v>
      </c>
      <c r="Q2567">
        <v>806.27</v>
      </c>
      <c r="R2567" t="s">
        <v>35</v>
      </c>
      <c r="S2567" t="s">
        <v>35</v>
      </c>
      <c r="T2567" t="s">
        <v>35</v>
      </c>
      <c r="U2567" t="s">
        <v>35</v>
      </c>
      <c r="V2567" t="s">
        <v>645</v>
      </c>
      <c r="W2567" t="s">
        <v>113</v>
      </c>
    </row>
    <row r="2568" spans="1:23" hidden="1" x14ac:dyDescent="0.25">
      <c r="A2568" s="7" t="str">
        <f>IFERROR(VLOOKUP(H2568,'Contas Orç'!A:B,2,0),"N/A")</f>
        <v>ENCARGOS SOCIAIS</v>
      </c>
      <c r="B2568" s="7" t="str">
        <f t="shared" si="80"/>
        <v>330102 - ENCARGOS SOCIAIS</v>
      </c>
      <c r="C2568" s="25">
        <f t="shared" si="81"/>
        <v>44713</v>
      </c>
      <c r="D2568" s="27">
        <f>IF(K2568="CREDITO",Q2568,Q2568*-1)</f>
        <v>3012.02</v>
      </c>
      <c r="E2568" t="s">
        <v>894</v>
      </c>
      <c r="F2568" t="s">
        <v>3062</v>
      </c>
      <c r="G2568" s="8">
        <v>44713</v>
      </c>
      <c r="H2568" t="s">
        <v>578</v>
      </c>
      <c r="I2568" t="s">
        <v>132</v>
      </c>
      <c r="J2568" t="s">
        <v>54</v>
      </c>
      <c r="K2568" t="s">
        <v>29</v>
      </c>
      <c r="L2568" t="s">
        <v>895</v>
      </c>
      <c r="M2568" t="s">
        <v>4402</v>
      </c>
      <c r="O2568" t="s">
        <v>896</v>
      </c>
      <c r="P2568" t="s">
        <v>33</v>
      </c>
      <c r="Q2568" s="22">
        <v>3012.02</v>
      </c>
      <c r="R2568" t="s">
        <v>35</v>
      </c>
      <c r="S2568" t="s">
        <v>35</v>
      </c>
      <c r="T2568" t="s">
        <v>35</v>
      </c>
      <c r="U2568" t="s">
        <v>35</v>
      </c>
      <c r="V2568" t="s">
        <v>645</v>
      </c>
      <c r="W2568" t="s">
        <v>113</v>
      </c>
    </row>
    <row r="2569" spans="1:23" hidden="1" x14ac:dyDescent="0.25">
      <c r="A2569" s="7" t="str">
        <f>IFERROR(VLOOKUP(H2569,'Contas Orç'!A:B,2,0),"N/A")</f>
        <v>ENCARGOS SOCIAIS</v>
      </c>
      <c r="B2569" s="7" t="str">
        <f t="shared" si="80"/>
        <v>330102 - ENCARGOS SOCIAIS</v>
      </c>
      <c r="C2569" s="25">
        <f t="shared" si="81"/>
        <v>44713</v>
      </c>
      <c r="D2569" s="27">
        <f>IF(K2569="CREDITO",Q2569,Q2569*-1)</f>
        <v>790.06</v>
      </c>
      <c r="E2569" t="s">
        <v>894</v>
      </c>
      <c r="F2569" t="s">
        <v>3063</v>
      </c>
      <c r="G2569" s="8">
        <v>44713</v>
      </c>
      <c r="H2569" t="s">
        <v>578</v>
      </c>
      <c r="I2569" t="s">
        <v>114</v>
      </c>
      <c r="J2569" t="s">
        <v>54</v>
      </c>
      <c r="K2569" t="s">
        <v>29</v>
      </c>
      <c r="L2569" t="s">
        <v>895</v>
      </c>
      <c r="M2569" t="s">
        <v>4402</v>
      </c>
      <c r="O2569" t="s">
        <v>896</v>
      </c>
      <c r="P2569" t="s">
        <v>33</v>
      </c>
      <c r="Q2569">
        <v>790.06</v>
      </c>
      <c r="R2569" t="s">
        <v>35</v>
      </c>
      <c r="S2569" t="s">
        <v>35</v>
      </c>
      <c r="T2569" t="s">
        <v>35</v>
      </c>
      <c r="U2569" t="s">
        <v>35</v>
      </c>
      <c r="V2569" t="s">
        <v>645</v>
      </c>
      <c r="W2569" t="s">
        <v>113</v>
      </c>
    </row>
    <row r="2570" spans="1:23" hidden="1" x14ac:dyDescent="0.25">
      <c r="A2570" s="7" t="str">
        <f>IFERROR(VLOOKUP(H2570,'Contas Orç'!A:B,2,0),"N/A")</f>
        <v>ENCARGOS SOCIAIS</v>
      </c>
      <c r="B2570" s="7" t="str">
        <f t="shared" si="80"/>
        <v>330102 - ENCARGOS SOCIAIS</v>
      </c>
      <c r="C2570" s="25">
        <f t="shared" si="81"/>
        <v>44713</v>
      </c>
      <c r="D2570" s="27">
        <f>IF(K2570="CREDITO",Q2570,Q2570*-1)</f>
        <v>5457.31</v>
      </c>
      <c r="E2570" t="s">
        <v>894</v>
      </c>
      <c r="F2570" t="s">
        <v>3064</v>
      </c>
      <c r="G2570" s="8">
        <v>44713</v>
      </c>
      <c r="H2570" t="s">
        <v>578</v>
      </c>
      <c r="I2570" t="s">
        <v>75</v>
      </c>
      <c r="J2570" t="s">
        <v>54</v>
      </c>
      <c r="K2570" t="s">
        <v>29</v>
      </c>
      <c r="L2570" t="s">
        <v>895</v>
      </c>
      <c r="M2570" t="s">
        <v>4402</v>
      </c>
      <c r="O2570" t="s">
        <v>896</v>
      </c>
      <c r="P2570" t="s">
        <v>33</v>
      </c>
      <c r="Q2570" s="22">
        <v>5457.31</v>
      </c>
      <c r="R2570" t="s">
        <v>35</v>
      </c>
      <c r="S2570" t="s">
        <v>35</v>
      </c>
      <c r="T2570" t="s">
        <v>35</v>
      </c>
      <c r="U2570" t="s">
        <v>35</v>
      </c>
      <c r="V2570" t="s">
        <v>645</v>
      </c>
      <c r="W2570" t="s">
        <v>113</v>
      </c>
    </row>
    <row r="2571" spans="1:23" hidden="1" x14ac:dyDescent="0.25">
      <c r="A2571" s="7" t="str">
        <f>IFERROR(VLOOKUP(H2571,'Contas Orç'!A:B,2,0),"N/A")</f>
        <v>ENCARGOS SOCIAIS</v>
      </c>
      <c r="B2571" s="7" t="str">
        <f t="shared" si="80"/>
        <v>330102 - ENCARGOS SOCIAIS</v>
      </c>
      <c r="C2571" s="25">
        <f t="shared" si="81"/>
        <v>44713</v>
      </c>
      <c r="D2571" s="27">
        <f>IF(K2571="CREDITO",Q2571,Q2571*-1)</f>
        <v>3836.25</v>
      </c>
      <c r="E2571" t="s">
        <v>894</v>
      </c>
      <c r="F2571" t="s">
        <v>3065</v>
      </c>
      <c r="G2571" s="8">
        <v>44713</v>
      </c>
      <c r="H2571" t="s">
        <v>578</v>
      </c>
      <c r="I2571" t="s">
        <v>78</v>
      </c>
      <c r="J2571" t="s">
        <v>54</v>
      </c>
      <c r="K2571" t="s">
        <v>29</v>
      </c>
      <c r="L2571" t="s">
        <v>895</v>
      </c>
      <c r="M2571" t="s">
        <v>4402</v>
      </c>
      <c r="O2571" t="s">
        <v>896</v>
      </c>
      <c r="P2571" t="s">
        <v>33</v>
      </c>
      <c r="Q2571" s="22">
        <v>3836.25</v>
      </c>
      <c r="R2571" t="s">
        <v>35</v>
      </c>
      <c r="S2571" t="s">
        <v>35</v>
      </c>
      <c r="T2571" t="s">
        <v>35</v>
      </c>
      <c r="U2571" t="s">
        <v>35</v>
      </c>
      <c r="V2571" t="s">
        <v>645</v>
      </c>
      <c r="W2571" t="s">
        <v>113</v>
      </c>
    </row>
    <row r="2572" spans="1:23" hidden="1" x14ac:dyDescent="0.25">
      <c r="A2572" s="7" t="str">
        <f>IFERROR(VLOOKUP(H2572,'Contas Orç'!A:B,2,0),"N/A")</f>
        <v>ENCARGOS SOCIAIS</v>
      </c>
      <c r="B2572" s="7" t="str">
        <f t="shared" si="80"/>
        <v>330102 - ENCARGOS SOCIAIS</v>
      </c>
      <c r="C2572" s="25">
        <f t="shared" si="81"/>
        <v>44713</v>
      </c>
      <c r="D2572" s="27">
        <f>IF(K2572="CREDITO",Q2572,Q2572*-1)</f>
        <v>1476.18</v>
      </c>
      <c r="E2572" t="s">
        <v>894</v>
      </c>
      <c r="F2572" t="s">
        <v>3066</v>
      </c>
      <c r="G2572" s="8">
        <v>44713</v>
      </c>
      <c r="H2572" t="s">
        <v>578</v>
      </c>
      <c r="I2572" t="s">
        <v>81</v>
      </c>
      <c r="J2572" t="s">
        <v>54</v>
      </c>
      <c r="K2572" t="s">
        <v>29</v>
      </c>
      <c r="L2572" t="s">
        <v>895</v>
      </c>
      <c r="M2572" t="s">
        <v>4402</v>
      </c>
      <c r="O2572" t="s">
        <v>896</v>
      </c>
      <c r="P2572" t="s">
        <v>33</v>
      </c>
      <c r="Q2572" s="22">
        <v>1476.18</v>
      </c>
      <c r="R2572" t="s">
        <v>35</v>
      </c>
      <c r="S2572" t="s">
        <v>35</v>
      </c>
      <c r="T2572" t="s">
        <v>35</v>
      </c>
      <c r="U2572" t="s">
        <v>35</v>
      </c>
      <c r="V2572" t="s">
        <v>645</v>
      </c>
      <c r="W2572" t="s">
        <v>113</v>
      </c>
    </row>
    <row r="2573" spans="1:23" hidden="1" x14ac:dyDescent="0.25">
      <c r="A2573" s="7" t="str">
        <f>IFERROR(VLOOKUP(H2573,'Contas Orç'!A:B,2,0),"N/A")</f>
        <v>ENCARGOS SOCIAIS</v>
      </c>
      <c r="B2573" s="7" t="str">
        <f t="shared" si="80"/>
        <v>330102 - ENCARGOS SOCIAIS</v>
      </c>
      <c r="C2573" s="25">
        <f t="shared" si="81"/>
        <v>44713</v>
      </c>
      <c r="D2573" s="27">
        <f>IF(K2573="CREDITO",Q2573,Q2573*-1)</f>
        <v>1177.3699999999999</v>
      </c>
      <c r="E2573" t="s">
        <v>894</v>
      </c>
      <c r="F2573" t="s">
        <v>3067</v>
      </c>
      <c r="G2573" s="8">
        <v>44713</v>
      </c>
      <c r="H2573" t="s">
        <v>578</v>
      </c>
      <c r="I2573" t="s">
        <v>136</v>
      </c>
      <c r="J2573" t="s">
        <v>54</v>
      </c>
      <c r="K2573" t="s">
        <v>29</v>
      </c>
      <c r="L2573" t="s">
        <v>895</v>
      </c>
      <c r="M2573" t="s">
        <v>4402</v>
      </c>
      <c r="O2573" t="s">
        <v>896</v>
      </c>
      <c r="P2573" t="s">
        <v>33</v>
      </c>
      <c r="Q2573" s="22">
        <v>1177.3699999999999</v>
      </c>
      <c r="R2573" t="s">
        <v>35</v>
      </c>
      <c r="S2573" t="s">
        <v>35</v>
      </c>
      <c r="T2573" t="s">
        <v>35</v>
      </c>
      <c r="U2573" t="s">
        <v>35</v>
      </c>
      <c r="V2573" t="s">
        <v>645</v>
      </c>
      <c r="W2573" t="s">
        <v>113</v>
      </c>
    </row>
    <row r="2574" spans="1:23" hidden="1" x14ac:dyDescent="0.25">
      <c r="A2574" s="7" t="str">
        <f>IFERROR(VLOOKUP(H2574,'Contas Orç'!A:B,2,0),"N/A")</f>
        <v>ENCARGOS SOCIAIS</v>
      </c>
      <c r="B2574" s="7" t="str">
        <f t="shared" si="80"/>
        <v>330102 - ENCARGOS SOCIAIS</v>
      </c>
      <c r="C2574" s="25">
        <f t="shared" si="81"/>
        <v>44743</v>
      </c>
      <c r="D2574" s="27">
        <f>IF(K2574="CREDITO",Q2574,Q2574*-1)</f>
        <v>2652.73</v>
      </c>
      <c r="E2574" t="s">
        <v>894</v>
      </c>
      <c r="F2574" t="s">
        <v>3068</v>
      </c>
      <c r="G2574" s="8">
        <v>44743</v>
      </c>
      <c r="H2574" t="s">
        <v>578</v>
      </c>
      <c r="I2574" t="s">
        <v>99</v>
      </c>
      <c r="J2574" t="s">
        <v>28</v>
      </c>
      <c r="K2574" t="s">
        <v>29</v>
      </c>
      <c r="L2574" t="s">
        <v>895</v>
      </c>
      <c r="M2574" t="s">
        <v>4402</v>
      </c>
      <c r="O2574" t="s">
        <v>896</v>
      </c>
      <c r="P2574" t="s">
        <v>33</v>
      </c>
      <c r="Q2574" s="22">
        <v>2652.73</v>
      </c>
      <c r="R2574" t="s">
        <v>35</v>
      </c>
      <c r="S2574" t="s">
        <v>35</v>
      </c>
      <c r="T2574" t="s">
        <v>35</v>
      </c>
      <c r="U2574" t="s">
        <v>35</v>
      </c>
      <c r="V2574" t="s">
        <v>645</v>
      </c>
      <c r="W2574" t="s">
        <v>113</v>
      </c>
    </row>
    <row r="2575" spans="1:23" hidden="1" x14ac:dyDescent="0.25">
      <c r="A2575" s="7" t="str">
        <f>IFERROR(VLOOKUP(H2575,'Contas Orç'!A:B,2,0),"N/A")</f>
        <v>ENCARGOS SOCIAIS</v>
      </c>
      <c r="B2575" s="7" t="str">
        <f t="shared" si="80"/>
        <v>330102 - ENCARGOS SOCIAIS</v>
      </c>
      <c r="C2575" s="25">
        <f t="shared" si="81"/>
        <v>44743</v>
      </c>
      <c r="D2575" s="27">
        <f>IF(K2575="CREDITO",Q2575,Q2575*-1)</f>
        <v>1936.15</v>
      </c>
      <c r="E2575" t="s">
        <v>894</v>
      </c>
      <c r="F2575" t="s">
        <v>3069</v>
      </c>
      <c r="G2575" s="8">
        <v>44743</v>
      </c>
      <c r="H2575" t="s">
        <v>578</v>
      </c>
      <c r="I2575" t="s">
        <v>81</v>
      </c>
      <c r="J2575" t="s">
        <v>60</v>
      </c>
      <c r="K2575" t="s">
        <v>29</v>
      </c>
      <c r="L2575" t="s">
        <v>895</v>
      </c>
      <c r="M2575" t="s">
        <v>4402</v>
      </c>
      <c r="O2575" t="s">
        <v>896</v>
      </c>
      <c r="P2575" t="s">
        <v>33</v>
      </c>
      <c r="Q2575" s="22">
        <v>1936.15</v>
      </c>
      <c r="R2575" t="s">
        <v>35</v>
      </c>
      <c r="S2575" t="s">
        <v>35</v>
      </c>
      <c r="T2575" t="s">
        <v>35</v>
      </c>
      <c r="U2575" t="s">
        <v>35</v>
      </c>
      <c r="V2575" t="s">
        <v>645</v>
      </c>
      <c r="W2575" t="s">
        <v>113</v>
      </c>
    </row>
    <row r="2576" spans="1:23" hidden="1" x14ac:dyDescent="0.25">
      <c r="A2576" s="7" t="str">
        <f>IFERROR(VLOOKUP(H2576,'Contas Orç'!A:B,2,0),"N/A")</f>
        <v>ENCARGOS SOCIAIS</v>
      </c>
      <c r="B2576" s="7" t="str">
        <f t="shared" si="80"/>
        <v>330102 - ENCARGOS SOCIAIS</v>
      </c>
      <c r="C2576" s="25">
        <f t="shared" si="81"/>
        <v>44743</v>
      </c>
      <c r="D2576" s="27">
        <f>IF(K2576="CREDITO",Q2576,Q2576*-1)</f>
        <v>415.91</v>
      </c>
      <c r="E2576" t="s">
        <v>894</v>
      </c>
      <c r="F2576" t="s">
        <v>3070</v>
      </c>
      <c r="G2576" s="8">
        <v>44743</v>
      </c>
      <c r="H2576" t="s">
        <v>578</v>
      </c>
      <c r="I2576" t="s">
        <v>2062</v>
      </c>
      <c r="J2576" t="s">
        <v>54</v>
      </c>
      <c r="K2576" t="s">
        <v>29</v>
      </c>
      <c r="L2576" t="s">
        <v>895</v>
      </c>
      <c r="M2576" t="s">
        <v>4402</v>
      </c>
      <c r="O2576" t="s">
        <v>896</v>
      </c>
      <c r="P2576" t="s">
        <v>33</v>
      </c>
      <c r="Q2576">
        <v>415.91</v>
      </c>
      <c r="R2576" t="s">
        <v>35</v>
      </c>
      <c r="S2576" t="s">
        <v>35</v>
      </c>
      <c r="T2576" t="s">
        <v>35</v>
      </c>
      <c r="U2576" t="s">
        <v>35</v>
      </c>
      <c r="V2576" t="s">
        <v>645</v>
      </c>
      <c r="W2576" t="s">
        <v>113</v>
      </c>
    </row>
    <row r="2577" spans="1:23" hidden="1" x14ac:dyDescent="0.25">
      <c r="A2577" s="7" t="str">
        <f>IFERROR(VLOOKUP(H2577,'Contas Orç'!A:B,2,0),"N/A")</f>
        <v>ENCARGOS SOCIAIS</v>
      </c>
      <c r="B2577" s="7" t="str">
        <f t="shared" si="80"/>
        <v>330102 - ENCARGOS SOCIAIS</v>
      </c>
      <c r="C2577" s="25">
        <f t="shared" si="81"/>
        <v>44743</v>
      </c>
      <c r="D2577" s="27">
        <f>IF(K2577="CREDITO",Q2577,Q2577*-1)</f>
        <v>7259.01</v>
      </c>
      <c r="E2577" t="s">
        <v>894</v>
      </c>
      <c r="F2577" t="s">
        <v>3071</v>
      </c>
      <c r="G2577" s="8">
        <v>44743</v>
      </c>
      <c r="H2577" t="s">
        <v>578</v>
      </c>
      <c r="I2577" t="s">
        <v>40</v>
      </c>
      <c r="J2577" t="s">
        <v>54</v>
      </c>
      <c r="K2577" t="s">
        <v>29</v>
      </c>
      <c r="L2577" t="s">
        <v>895</v>
      </c>
      <c r="M2577" t="s">
        <v>4402</v>
      </c>
      <c r="O2577" t="s">
        <v>896</v>
      </c>
      <c r="P2577" t="s">
        <v>33</v>
      </c>
      <c r="Q2577" s="22">
        <v>7259.01</v>
      </c>
      <c r="R2577" t="s">
        <v>35</v>
      </c>
      <c r="S2577" t="s">
        <v>35</v>
      </c>
      <c r="T2577" t="s">
        <v>35</v>
      </c>
      <c r="U2577" t="s">
        <v>35</v>
      </c>
      <c r="V2577" t="s">
        <v>645</v>
      </c>
      <c r="W2577" t="s">
        <v>113</v>
      </c>
    </row>
    <row r="2578" spans="1:23" hidden="1" x14ac:dyDescent="0.25">
      <c r="A2578" s="7" t="str">
        <f>IFERROR(VLOOKUP(H2578,'Contas Orç'!A:B,2,0),"N/A")</f>
        <v>ENCARGOS SOCIAIS</v>
      </c>
      <c r="B2578" s="7" t="str">
        <f t="shared" si="80"/>
        <v>330102 - ENCARGOS SOCIAIS</v>
      </c>
      <c r="C2578" s="25">
        <f t="shared" si="81"/>
        <v>44743</v>
      </c>
      <c r="D2578" s="27">
        <f>IF(K2578="CREDITO",Q2578,Q2578*-1)</f>
        <v>1064.79</v>
      </c>
      <c r="E2578" t="s">
        <v>894</v>
      </c>
      <c r="F2578" t="s">
        <v>3072</v>
      </c>
      <c r="G2578" s="8">
        <v>44743</v>
      </c>
      <c r="H2578" t="s">
        <v>578</v>
      </c>
      <c r="I2578" t="s">
        <v>1002</v>
      </c>
      <c r="J2578" t="s">
        <v>54</v>
      </c>
      <c r="K2578" t="s">
        <v>29</v>
      </c>
      <c r="L2578" t="s">
        <v>895</v>
      </c>
      <c r="M2578" t="s">
        <v>4402</v>
      </c>
      <c r="O2578" t="s">
        <v>896</v>
      </c>
      <c r="P2578" t="s">
        <v>33</v>
      </c>
      <c r="Q2578" s="22">
        <v>1064.79</v>
      </c>
      <c r="R2578" t="s">
        <v>35</v>
      </c>
      <c r="S2578" t="s">
        <v>35</v>
      </c>
      <c r="T2578" t="s">
        <v>35</v>
      </c>
      <c r="U2578" t="s">
        <v>35</v>
      </c>
      <c r="V2578" t="s">
        <v>645</v>
      </c>
      <c r="W2578" t="s">
        <v>113</v>
      </c>
    </row>
    <row r="2579" spans="1:23" hidden="1" x14ac:dyDescent="0.25">
      <c r="A2579" s="7" t="str">
        <f>IFERROR(VLOOKUP(H2579,'Contas Orç'!A:B,2,0),"N/A")</f>
        <v>ENCARGOS SOCIAIS</v>
      </c>
      <c r="B2579" s="7" t="str">
        <f t="shared" si="80"/>
        <v>330102 - ENCARGOS SOCIAIS</v>
      </c>
      <c r="C2579" s="25">
        <f t="shared" si="81"/>
        <v>44743</v>
      </c>
      <c r="D2579" s="27">
        <f>IF(K2579="CREDITO",Q2579,Q2579*-1)</f>
        <v>615.58000000000004</v>
      </c>
      <c r="E2579" t="s">
        <v>894</v>
      </c>
      <c r="F2579" t="s">
        <v>3073</v>
      </c>
      <c r="G2579" s="8">
        <v>44743</v>
      </c>
      <c r="H2579" t="s">
        <v>578</v>
      </c>
      <c r="I2579" t="s">
        <v>121</v>
      </c>
      <c r="J2579" t="s">
        <v>54</v>
      </c>
      <c r="K2579" t="s">
        <v>29</v>
      </c>
      <c r="L2579" t="s">
        <v>895</v>
      </c>
      <c r="M2579" t="s">
        <v>4402</v>
      </c>
      <c r="O2579" t="s">
        <v>896</v>
      </c>
      <c r="P2579" t="s">
        <v>33</v>
      </c>
      <c r="Q2579">
        <v>615.58000000000004</v>
      </c>
      <c r="R2579" t="s">
        <v>35</v>
      </c>
      <c r="S2579" t="s">
        <v>35</v>
      </c>
      <c r="T2579" t="s">
        <v>35</v>
      </c>
      <c r="U2579" t="s">
        <v>35</v>
      </c>
      <c r="V2579" t="s">
        <v>645</v>
      </c>
      <c r="W2579" t="s">
        <v>113</v>
      </c>
    </row>
    <row r="2580" spans="1:23" hidden="1" x14ac:dyDescent="0.25">
      <c r="A2580" s="7" t="str">
        <f>IFERROR(VLOOKUP(H2580,'Contas Orç'!A:B,2,0),"N/A")</f>
        <v>ENCARGOS SOCIAIS</v>
      </c>
      <c r="B2580" s="7" t="str">
        <f t="shared" si="80"/>
        <v>330102 - ENCARGOS SOCIAIS</v>
      </c>
      <c r="C2580" s="25">
        <f t="shared" si="81"/>
        <v>44743</v>
      </c>
      <c r="D2580" s="27">
        <f>IF(K2580="CREDITO",Q2580,Q2580*-1)</f>
        <v>2826.5</v>
      </c>
      <c r="E2580" t="s">
        <v>894</v>
      </c>
      <c r="F2580" t="s">
        <v>3074</v>
      </c>
      <c r="G2580" s="8">
        <v>44743</v>
      </c>
      <c r="H2580" t="s">
        <v>578</v>
      </c>
      <c r="I2580" t="s">
        <v>132</v>
      </c>
      <c r="J2580" t="s">
        <v>54</v>
      </c>
      <c r="K2580" t="s">
        <v>29</v>
      </c>
      <c r="L2580" t="s">
        <v>895</v>
      </c>
      <c r="M2580" t="s">
        <v>4402</v>
      </c>
      <c r="O2580" t="s">
        <v>896</v>
      </c>
      <c r="P2580" t="s">
        <v>33</v>
      </c>
      <c r="Q2580" s="22">
        <v>2826.5</v>
      </c>
      <c r="R2580" t="s">
        <v>35</v>
      </c>
      <c r="S2580" t="s">
        <v>35</v>
      </c>
      <c r="T2580" t="s">
        <v>35</v>
      </c>
      <c r="U2580" t="s">
        <v>35</v>
      </c>
      <c r="V2580" t="s">
        <v>645</v>
      </c>
      <c r="W2580" t="s">
        <v>113</v>
      </c>
    </row>
    <row r="2581" spans="1:23" hidden="1" x14ac:dyDescent="0.25">
      <c r="A2581" s="7" t="str">
        <f>IFERROR(VLOOKUP(H2581,'Contas Orç'!A:B,2,0),"N/A")</f>
        <v>ENCARGOS SOCIAIS</v>
      </c>
      <c r="B2581" s="7" t="str">
        <f t="shared" si="80"/>
        <v>330102 - ENCARGOS SOCIAIS</v>
      </c>
      <c r="C2581" s="25">
        <f t="shared" si="81"/>
        <v>44743</v>
      </c>
      <c r="D2581" s="27">
        <f>IF(K2581="CREDITO",Q2581,Q2581*-1)</f>
        <v>736.7</v>
      </c>
      <c r="E2581" t="s">
        <v>894</v>
      </c>
      <c r="F2581" t="s">
        <v>3075</v>
      </c>
      <c r="G2581" s="8">
        <v>44743</v>
      </c>
      <c r="H2581" t="s">
        <v>578</v>
      </c>
      <c r="I2581" t="s">
        <v>114</v>
      </c>
      <c r="J2581" t="s">
        <v>54</v>
      </c>
      <c r="K2581" t="s">
        <v>29</v>
      </c>
      <c r="L2581" t="s">
        <v>895</v>
      </c>
      <c r="M2581" t="s">
        <v>4402</v>
      </c>
      <c r="O2581" t="s">
        <v>896</v>
      </c>
      <c r="P2581" t="s">
        <v>33</v>
      </c>
      <c r="Q2581">
        <v>736.7</v>
      </c>
      <c r="R2581" t="s">
        <v>35</v>
      </c>
      <c r="S2581" t="s">
        <v>35</v>
      </c>
      <c r="T2581" t="s">
        <v>35</v>
      </c>
      <c r="U2581" t="s">
        <v>35</v>
      </c>
      <c r="V2581" t="s">
        <v>645</v>
      </c>
      <c r="W2581" t="s">
        <v>113</v>
      </c>
    </row>
    <row r="2582" spans="1:23" hidden="1" x14ac:dyDescent="0.25">
      <c r="A2582" s="7" t="str">
        <f>IFERROR(VLOOKUP(H2582,'Contas Orç'!A:B,2,0),"N/A")</f>
        <v>ENCARGOS SOCIAIS</v>
      </c>
      <c r="B2582" s="7" t="str">
        <f t="shared" si="80"/>
        <v>330102 - ENCARGOS SOCIAIS</v>
      </c>
      <c r="C2582" s="25">
        <f t="shared" si="81"/>
        <v>44743</v>
      </c>
      <c r="D2582" s="27">
        <f>IF(K2582="CREDITO",Q2582,Q2582*-1)</f>
        <v>5146.75</v>
      </c>
      <c r="E2582" t="s">
        <v>894</v>
      </c>
      <c r="F2582" t="s">
        <v>3076</v>
      </c>
      <c r="G2582" s="8">
        <v>44743</v>
      </c>
      <c r="H2582" t="s">
        <v>578</v>
      </c>
      <c r="I2582" t="s">
        <v>75</v>
      </c>
      <c r="J2582" t="s">
        <v>54</v>
      </c>
      <c r="K2582" t="s">
        <v>29</v>
      </c>
      <c r="L2582" t="s">
        <v>895</v>
      </c>
      <c r="M2582" t="s">
        <v>4402</v>
      </c>
      <c r="O2582" t="s">
        <v>896</v>
      </c>
      <c r="P2582" t="s">
        <v>33</v>
      </c>
      <c r="Q2582" s="22">
        <v>5146.75</v>
      </c>
      <c r="R2582" t="s">
        <v>35</v>
      </c>
      <c r="S2582" t="s">
        <v>35</v>
      </c>
      <c r="T2582" t="s">
        <v>35</v>
      </c>
      <c r="U2582" t="s">
        <v>35</v>
      </c>
      <c r="V2582" t="s">
        <v>645</v>
      </c>
      <c r="W2582" t="s">
        <v>113</v>
      </c>
    </row>
    <row r="2583" spans="1:23" hidden="1" x14ac:dyDescent="0.25">
      <c r="A2583" s="7" t="str">
        <f>IFERROR(VLOOKUP(H2583,'Contas Orç'!A:B,2,0),"N/A")</f>
        <v>ENCARGOS SOCIAIS</v>
      </c>
      <c r="B2583" s="7" t="str">
        <f t="shared" si="80"/>
        <v>330102 - ENCARGOS SOCIAIS</v>
      </c>
      <c r="C2583" s="25">
        <f t="shared" si="81"/>
        <v>44743</v>
      </c>
      <c r="D2583" s="27">
        <f>IF(K2583="CREDITO",Q2583,Q2583*-1)</f>
        <v>3622.7</v>
      </c>
      <c r="E2583" t="s">
        <v>894</v>
      </c>
      <c r="F2583" t="s">
        <v>3077</v>
      </c>
      <c r="G2583" s="8">
        <v>44743</v>
      </c>
      <c r="H2583" t="s">
        <v>578</v>
      </c>
      <c r="I2583" t="s">
        <v>78</v>
      </c>
      <c r="J2583" t="s">
        <v>54</v>
      </c>
      <c r="K2583" t="s">
        <v>29</v>
      </c>
      <c r="L2583" t="s">
        <v>895</v>
      </c>
      <c r="M2583" t="s">
        <v>4402</v>
      </c>
      <c r="O2583" t="s">
        <v>896</v>
      </c>
      <c r="P2583" t="s">
        <v>33</v>
      </c>
      <c r="Q2583" s="22">
        <v>3622.7</v>
      </c>
      <c r="R2583" t="s">
        <v>35</v>
      </c>
      <c r="S2583" t="s">
        <v>35</v>
      </c>
      <c r="T2583" t="s">
        <v>35</v>
      </c>
      <c r="U2583" t="s">
        <v>35</v>
      </c>
      <c r="V2583" t="s">
        <v>645</v>
      </c>
      <c r="W2583" t="s">
        <v>113</v>
      </c>
    </row>
    <row r="2584" spans="1:23" hidden="1" x14ac:dyDescent="0.25">
      <c r="A2584" s="7" t="str">
        <f>IFERROR(VLOOKUP(H2584,'Contas Orç'!A:B,2,0),"N/A")</f>
        <v>ENCARGOS SOCIAIS</v>
      </c>
      <c r="B2584" s="7" t="str">
        <f t="shared" si="80"/>
        <v>330102 - ENCARGOS SOCIAIS</v>
      </c>
      <c r="C2584" s="25">
        <f t="shared" si="81"/>
        <v>44743</v>
      </c>
      <c r="D2584" s="27">
        <f>IF(K2584="CREDITO",Q2584,Q2584*-1)</f>
        <v>1579.74</v>
      </c>
      <c r="E2584" t="s">
        <v>894</v>
      </c>
      <c r="F2584" t="s">
        <v>3078</v>
      </c>
      <c r="G2584" s="8">
        <v>44743</v>
      </c>
      <c r="H2584" t="s">
        <v>578</v>
      </c>
      <c r="I2584" t="s">
        <v>81</v>
      </c>
      <c r="J2584" t="s">
        <v>54</v>
      </c>
      <c r="K2584" t="s">
        <v>29</v>
      </c>
      <c r="L2584" t="s">
        <v>895</v>
      </c>
      <c r="M2584" t="s">
        <v>4402</v>
      </c>
      <c r="O2584" t="s">
        <v>896</v>
      </c>
      <c r="P2584" t="s">
        <v>33</v>
      </c>
      <c r="Q2584" s="22">
        <v>1579.74</v>
      </c>
      <c r="R2584" t="s">
        <v>35</v>
      </c>
      <c r="S2584" t="s">
        <v>35</v>
      </c>
      <c r="T2584" t="s">
        <v>35</v>
      </c>
      <c r="U2584" t="s">
        <v>35</v>
      </c>
      <c r="V2584" t="s">
        <v>645</v>
      </c>
      <c r="W2584" t="s">
        <v>113</v>
      </c>
    </row>
    <row r="2585" spans="1:23" hidden="1" x14ac:dyDescent="0.25">
      <c r="A2585" s="7" t="str">
        <f>IFERROR(VLOOKUP(H2585,'Contas Orç'!A:B,2,0),"N/A")</f>
        <v>ENCARGOS SOCIAIS</v>
      </c>
      <c r="B2585" s="7" t="str">
        <f t="shared" si="80"/>
        <v>330102 - ENCARGOS SOCIAIS</v>
      </c>
      <c r="C2585" s="25">
        <f t="shared" si="81"/>
        <v>44743</v>
      </c>
      <c r="D2585" s="27">
        <f>IF(K2585="CREDITO",Q2585,Q2585*-1)</f>
        <v>1114.8</v>
      </c>
      <c r="E2585" t="s">
        <v>894</v>
      </c>
      <c r="F2585" t="s">
        <v>3079</v>
      </c>
      <c r="G2585" s="8">
        <v>44743</v>
      </c>
      <c r="H2585" t="s">
        <v>578</v>
      </c>
      <c r="I2585" t="s">
        <v>136</v>
      </c>
      <c r="J2585" t="s">
        <v>54</v>
      </c>
      <c r="K2585" t="s">
        <v>29</v>
      </c>
      <c r="L2585" t="s">
        <v>895</v>
      </c>
      <c r="M2585" t="s">
        <v>4402</v>
      </c>
      <c r="O2585" t="s">
        <v>896</v>
      </c>
      <c r="P2585" t="s">
        <v>33</v>
      </c>
      <c r="Q2585" s="22">
        <v>1114.8</v>
      </c>
      <c r="R2585" t="s">
        <v>35</v>
      </c>
      <c r="S2585" t="s">
        <v>35</v>
      </c>
      <c r="T2585" t="s">
        <v>35</v>
      </c>
      <c r="U2585" t="s">
        <v>35</v>
      </c>
      <c r="V2585" t="s">
        <v>645</v>
      </c>
      <c r="W2585" t="s">
        <v>113</v>
      </c>
    </row>
    <row r="2586" spans="1:23" hidden="1" x14ac:dyDescent="0.25">
      <c r="A2586" s="7" t="str">
        <f>IFERROR(VLOOKUP(H2586,'Contas Orç'!A:B,2,0),"N/A")</f>
        <v>ENCARGOS SOCIAIS</v>
      </c>
      <c r="B2586" s="7" t="str">
        <f t="shared" si="80"/>
        <v>330102 - ENCARGOS SOCIAIS</v>
      </c>
      <c r="C2586" s="25">
        <f t="shared" si="81"/>
        <v>44774</v>
      </c>
      <c r="D2586" s="27">
        <f>IF(K2586="CREDITO",Q2586,Q2586*-1)</f>
        <v>2586.2399999999998</v>
      </c>
      <c r="E2586" t="s">
        <v>894</v>
      </c>
      <c r="F2586" t="s">
        <v>3080</v>
      </c>
      <c r="G2586" s="8">
        <v>44774</v>
      </c>
      <c r="H2586" t="s">
        <v>578</v>
      </c>
      <c r="I2586" t="s">
        <v>99</v>
      </c>
      <c r="J2586" t="s">
        <v>28</v>
      </c>
      <c r="K2586" t="s">
        <v>29</v>
      </c>
      <c r="L2586" t="s">
        <v>895</v>
      </c>
      <c r="M2586" t="s">
        <v>4402</v>
      </c>
      <c r="O2586" t="s">
        <v>896</v>
      </c>
      <c r="P2586" t="s">
        <v>33</v>
      </c>
      <c r="Q2586" s="22">
        <v>2586.2399999999998</v>
      </c>
      <c r="R2586" t="s">
        <v>35</v>
      </c>
      <c r="S2586" t="s">
        <v>35</v>
      </c>
      <c r="T2586" t="s">
        <v>35</v>
      </c>
      <c r="U2586" t="s">
        <v>35</v>
      </c>
      <c r="V2586" t="s">
        <v>645</v>
      </c>
      <c r="W2586" t="s">
        <v>113</v>
      </c>
    </row>
    <row r="2587" spans="1:23" hidden="1" x14ac:dyDescent="0.25">
      <c r="A2587" s="7" t="str">
        <f>IFERROR(VLOOKUP(H2587,'Contas Orç'!A:B,2,0),"N/A")</f>
        <v>ENCARGOS SOCIAIS</v>
      </c>
      <c r="B2587" s="7" t="str">
        <f t="shared" si="80"/>
        <v>330102 - ENCARGOS SOCIAIS</v>
      </c>
      <c r="C2587" s="25">
        <f t="shared" si="81"/>
        <v>44774</v>
      </c>
      <c r="D2587" s="27">
        <f>IF(K2587="CREDITO",Q2587,Q2587*-1)</f>
        <v>2013.27</v>
      </c>
      <c r="E2587" t="s">
        <v>894</v>
      </c>
      <c r="F2587" t="s">
        <v>3081</v>
      </c>
      <c r="G2587" s="8">
        <v>44774</v>
      </c>
      <c r="H2587" t="s">
        <v>578</v>
      </c>
      <c r="I2587" t="s">
        <v>81</v>
      </c>
      <c r="J2587" t="s">
        <v>60</v>
      </c>
      <c r="K2587" t="s">
        <v>29</v>
      </c>
      <c r="L2587" t="s">
        <v>895</v>
      </c>
      <c r="M2587" t="s">
        <v>4402</v>
      </c>
      <c r="O2587" t="s">
        <v>896</v>
      </c>
      <c r="P2587" t="s">
        <v>33</v>
      </c>
      <c r="Q2587" s="22">
        <v>2013.27</v>
      </c>
      <c r="R2587" t="s">
        <v>35</v>
      </c>
      <c r="S2587" t="s">
        <v>35</v>
      </c>
      <c r="T2587" t="s">
        <v>35</v>
      </c>
      <c r="U2587" t="s">
        <v>35</v>
      </c>
      <c r="V2587" t="s">
        <v>645</v>
      </c>
      <c r="W2587" t="s">
        <v>113</v>
      </c>
    </row>
    <row r="2588" spans="1:23" hidden="1" x14ac:dyDescent="0.25">
      <c r="A2588" s="7" t="str">
        <f>IFERROR(VLOOKUP(H2588,'Contas Orç'!A:B,2,0),"N/A")</f>
        <v>ENCARGOS SOCIAIS</v>
      </c>
      <c r="B2588" s="7" t="str">
        <f t="shared" si="80"/>
        <v>330102 - ENCARGOS SOCIAIS</v>
      </c>
      <c r="C2588" s="25">
        <f t="shared" si="81"/>
        <v>44774</v>
      </c>
      <c r="D2588" s="27">
        <f>IF(K2588="CREDITO",Q2588,Q2588*-1)</f>
        <v>229.49</v>
      </c>
      <c r="E2588" t="s">
        <v>894</v>
      </c>
      <c r="F2588" t="s">
        <v>3082</v>
      </c>
      <c r="G2588" s="8">
        <v>44774</v>
      </c>
      <c r="H2588" t="s">
        <v>578</v>
      </c>
      <c r="I2588" t="s">
        <v>2062</v>
      </c>
      <c r="J2588" t="s">
        <v>54</v>
      </c>
      <c r="K2588" t="s">
        <v>29</v>
      </c>
      <c r="L2588" t="s">
        <v>895</v>
      </c>
      <c r="M2588" t="s">
        <v>4402</v>
      </c>
      <c r="O2588" t="s">
        <v>896</v>
      </c>
      <c r="P2588" t="s">
        <v>33</v>
      </c>
      <c r="Q2588">
        <v>229.49</v>
      </c>
      <c r="R2588" t="s">
        <v>35</v>
      </c>
      <c r="S2588" t="s">
        <v>35</v>
      </c>
      <c r="T2588" t="s">
        <v>35</v>
      </c>
      <c r="U2588" t="s">
        <v>35</v>
      </c>
      <c r="V2588" t="s">
        <v>645</v>
      </c>
      <c r="W2588" t="s">
        <v>113</v>
      </c>
    </row>
    <row r="2589" spans="1:23" hidden="1" x14ac:dyDescent="0.25">
      <c r="A2589" s="7" t="str">
        <f>IFERROR(VLOOKUP(H2589,'Contas Orç'!A:B,2,0),"N/A")</f>
        <v>ENCARGOS SOCIAIS</v>
      </c>
      <c r="B2589" s="7" t="str">
        <f t="shared" si="80"/>
        <v>330102 - ENCARGOS SOCIAIS</v>
      </c>
      <c r="C2589" s="25">
        <f t="shared" si="81"/>
        <v>44774</v>
      </c>
      <c r="D2589" s="27">
        <f>IF(K2589="CREDITO",Q2589,Q2589*-1)</f>
        <v>7513.65</v>
      </c>
      <c r="E2589" t="s">
        <v>894</v>
      </c>
      <c r="F2589" t="s">
        <v>3083</v>
      </c>
      <c r="G2589" s="8">
        <v>44774</v>
      </c>
      <c r="H2589" t="s">
        <v>578</v>
      </c>
      <c r="I2589" t="s">
        <v>40</v>
      </c>
      <c r="J2589" t="s">
        <v>54</v>
      </c>
      <c r="K2589" t="s">
        <v>29</v>
      </c>
      <c r="L2589" t="s">
        <v>895</v>
      </c>
      <c r="M2589" t="s">
        <v>4402</v>
      </c>
      <c r="O2589" t="s">
        <v>896</v>
      </c>
      <c r="P2589" t="s">
        <v>33</v>
      </c>
      <c r="Q2589" s="22">
        <v>7513.65</v>
      </c>
      <c r="R2589" t="s">
        <v>35</v>
      </c>
      <c r="S2589" t="s">
        <v>35</v>
      </c>
      <c r="T2589" t="s">
        <v>35</v>
      </c>
      <c r="U2589" t="s">
        <v>35</v>
      </c>
      <c r="V2589" t="s">
        <v>645</v>
      </c>
      <c r="W2589" t="s">
        <v>113</v>
      </c>
    </row>
    <row r="2590" spans="1:23" hidden="1" x14ac:dyDescent="0.25">
      <c r="A2590" s="7" t="str">
        <f>IFERROR(VLOOKUP(H2590,'Contas Orç'!A:B,2,0),"N/A")</f>
        <v>ENCARGOS SOCIAIS</v>
      </c>
      <c r="B2590" s="7" t="str">
        <f t="shared" si="80"/>
        <v>330102 - ENCARGOS SOCIAIS</v>
      </c>
      <c r="C2590" s="25">
        <f t="shared" si="81"/>
        <v>44774</v>
      </c>
      <c r="D2590" s="27">
        <f>IF(K2590="CREDITO",Q2590,Q2590*-1)</f>
        <v>1078.1400000000001</v>
      </c>
      <c r="E2590" t="s">
        <v>894</v>
      </c>
      <c r="F2590" t="s">
        <v>3084</v>
      </c>
      <c r="G2590" s="8">
        <v>44774</v>
      </c>
      <c r="H2590" t="s">
        <v>578</v>
      </c>
      <c r="I2590" t="s">
        <v>1002</v>
      </c>
      <c r="J2590" t="s">
        <v>54</v>
      </c>
      <c r="K2590" t="s">
        <v>29</v>
      </c>
      <c r="L2590" t="s">
        <v>895</v>
      </c>
      <c r="M2590" t="s">
        <v>4402</v>
      </c>
      <c r="O2590" t="s">
        <v>896</v>
      </c>
      <c r="P2590" t="s">
        <v>33</v>
      </c>
      <c r="Q2590" s="22">
        <v>1078.1400000000001</v>
      </c>
      <c r="R2590" t="s">
        <v>35</v>
      </c>
      <c r="S2590" t="s">
        <v>35</v>
      </c>
      <c r="T2590" t="s">
        <v>35</v>
      </c>
      <c r="U2590" t="s">
        <v>35</v>
      </c>
      <c r="V2590" t="s">
        <v>645</v>
      </c>
      <c r="W2590" t="s">
        <v>113</v>
      </c>
    </row>
    <row r="2591" spans="1:23" hidden="1" x14ac:dyDescent="0.25">
      <c r="A2591" s="7" t="str">
        <f>IFERROR(VLOOKUP(H2591,'Contas Orç'!A:B,2,0),"N/A")</f>
        <v>ENCARGOS SOCIAIS</v>
      </c>
      <c r="B2591" s="7" t="str">
        <f t="shared" si="80"/>
        <v>330102 - ENCARGOS SOCIAIS</v>
      </c>
      <c r="C2591" s="25">
        <f t="shared" si="81"/>
        <v>44774</v>
      </c>
      <c r="D2591" s="27">
        <f>IF(K2591="CREDITO",Q2591,Q2591*-1)</f>
        <v>641.17999999999995</v>
      </c>
      <c r="E2591" t="s">
        <v>894</v>
      </c>
      <c r="F2591" t="s">
        <v>3085</v>
      </c>
      <c r="G2591" s="8">
        <v>44774</v>
      </c>
      <c r="H2591" t="s">
        <v>578</v>
      </c>
      <c r="I2591" t="s">
        <v>121</v>
      </c>
      <c r="J2591" t="s">
        <v>54</v>
      </c>
      <c r="K2591" t="s">
        <v>29</v>
      </c>
      <c r="L2591" t="s">
        <v>895</v>
      </c>
      <c r="M2591" t="s">
        <v>4402</v>
      </c>
      <c r="O2591" t="s">
        <v>896</v>
      </c>
      <c r="P2591" t="s">
        <v>33</v>
      </c>
      <c r="Q2591">
        <v>641.17999999999995</v>
      </c>
      <c r="R2591" t="s">
        <v>35</v>
      </c>
      <c r="S2591" t="s">
        <v>35</v>
      </c>
      <c r="T2591" t="s">
        <v>35</v>
      </c>
      <c r="U2591" t="s">
        <v>35</v>
      </c>
      <c r="V2591" t="s">
        <v>645</v>
      </c>
      <c r="W2591" t="s">
        <v>113</v>
      </c>
    </row>
    <row r="2592" spans="1:23" hidden="1" x14ac:dyDescent="0.25">
      <c r="A2592" s="7" t="str">
        <f>IFERROR(VLOOKUP(H2592,'Contas Orç'!A:B,2,0),"N/A")</f>
        <v>ENCARGOS SOCIAIS</v>
      </c>
      <c r="B2592" s="7" t="str">
        <f t="shared" si="80"/>
        <v>330102 - ENCARGOS SOCIAIS</v>
      </c>
      <c r="C2592" s="25">
        <f t="shared" si="81"/>
        <v>44774</v>
      </c>
      <c r="D2592" s="27">
        <f>IF(K2592="CREDITO",Q2592,Q2592*-1)</f>
        <v>2684.4</v>
      </c>
      <c r="E2592" t="s">
        <v>894</v>
      </c>
      <c r="F2592" t="s">
        <v>3086</v>
      </c>
      <c r="G2592" s="8">
        <v>44774</v>
      </c>
      <c r="H2592" t="s">
        <v>578</v>
      </c>
      <c r="I2592" t="s">
        <v>132</v>
      </c>
      <c r="J2592" t="s">
        <v>54</v>
      </c>
      <c r="K2592" t="s">
        <v>29</v>
      </c>
      <c r="L2592" t="s">
        <v>895</v>
      </c>
      <c r="M2592" t="s">
        <v>4402</v>
      </c>
      <c r="O2592" t="s">
        <v>896</v>
      </c>
      <c r="P2592" t="s">
        <v>33</v>
      </c>
      <c r="Q2592" s="22">
        <v>2684.4</v>
      </c>
      <c r="R2592" t="s">
        <v>35</v>
      </c>
      <c r="S2592" t="s">
        <v>35</v>
      </c>
      <c r="T2592" t="s">
        <v>35</v>
      </c>
      <c r="U2592" t="s">
        <v>35</v>
      </c>
      <c r="V2592" t="s">
        <v>645</v>
      </c>
      <c r="W2592" t="s">
        <v>113</v>
      </c>
    </row>
    <row r="2593" spans="1:23" hidden="1" x14ac:dyDescent="0.25">
      <c r="A2593" s="7" t="str">
        <f>IFERROR(VLOOKUP(H2593,'Contas Orç'!A:B,2,0),"N/A")</f>
        <v>ENCARGOS SOCIAIS</v>
      </c>
      <c r="B2593" s="7" t="str">
        <f t="shared" si="80"/>
        <v>330102 - ENCARGOS SOCIAIS</v>
      </c>
      <c r="C2593" s="25">
        <f t="shared" si="81"/>
        <v>44774</v>
      </c>
      <c r="D2593" s="27">
        <f>IF(K2593="CREDITO",Q2593,Q2593*-1)</f>
        <v>942.29</v>
      </c>
      <c r="E2593" t="s">
        <v>894</v>
      </c>
      <c r="F2593" t="s">
        <v>3087</v>
      </c>
      <c r="G2593" s="8">
        <v>44774</v>
      </c>
      <c r="H2593" t="s">
        <v>578</v>
      </c>
      <c r="I2593" t="s">
        <v>114</v>
      </c>
      <c r="J2593" t="s">
        <v>54</v>
      </c>
      <c r="K2593" t="s">
        <v>29</v>
      </c>
      <c r="L2593" t="s">
        <v>895</v>
      </c>
      <c r="M2593" t="s">
        <v>4402</v>
      </c>
      <c r="O2593" t="s">
        <v>896</v>
      </c>
      <c r="P2593" t="s">
        <v>33</v>
      </c>
      <c r="Q2593">
        <v>942.29</v>
      </c>
      <c r="R2593" t="s">
        <v>35</v>
      </c>
      <c r="S2593" t="s">
        <v>35</v>
      </c>
      <c r="T2593" t="s">
        <v>35</v>
      </c>
      <c r="U2593" t="s">
        <v>35</v>
      </c>
      <c r="V2593" t="s">
        <v>645</v>
      </c>
      <c r="W2593" t="s">
        <v>113</v>
      </c>
    </row>
    <row r="2594" spans="1:23" hidden="1" x14ac:dyDescent="0.25">
      <c r="A2594" s="7" t="str">
        <f>IFERROR(VLOOKUP(H2594,'Contas Orç'!A:B,2,0),"N/A")</f>
        <v>ENCARGOS SOCIAIS</v>
      </c>
      <c r="B2594" s="7" t="str">
        <f t="shared" si="80"/>
        <v>330102 - ENCARGOS SOCIAIS</v>
      </c>
      <c r="C2594" s="25">
        <f t="shared" si="81"/>
        <v>44774</v>
      </c>
      <c r="D2594" s="27">
        <f>IF(K2594="CREDITO",Q2594,Q2594*-1)</f>
        <v>5150.22</v>
      </c>
      <c r="E2594" t="s">
        <v>894</v>
      </c>
      <c r="F2594" t="s">
        <v>3088</v>
      </c>
      <c r="G2594" s="8">
        <v>44774</v>
      </c>
      <c r="H2594" t="s">
        <v>578</v>
      </c>
      <c r="I2594" t="s">
        <v>75</v>
      </c>
      <c r="J2594" t="s">
        <v>54</v>
      </c>
      <c r="K2594" t="s">
        <v>29</v>
      </c>
      <c r="L2594" t="s">
        <v>895</v>
      </c>
      <c r="M2594" t="s">
        <v>4402</v>
      </c>
      <c r="O2594" t="s">
        <v>896</v>
      </c>
      <c r="P2594" t="s">
        <v>33</v>
      </c>
      <c r="Q2594" s="22">
        <v>5150.22</v>
      </c>
      <c r="R2594" t="s">
        <v>35</v>
      </c>
      <c r="S2594" t="s">
        <v>35</v>
      </c>
      <c r="T2594" t="s">
        <v>35</v>
      </c>
      <c r="U2594" t="s">
        <v>35</v>
      </c>
      <c r="V2594" t="s">
        <v>645</v>
      </c>
      <c r="W2594" t="s">
        <v>113</v>
      </c>
    </row>
    <row r="2595" spans="1:23" hidden="1" x14ac:dyDescent="0.25">
      <c r="A2595" s="7" t="str">
        <f>IFERROR(VLOOKUP(H2595,'Contas Orç'!A:B,2,0),"N/A")</f>
        <v>ENCARGOS SOCIAIS</v>
      </c>
      <c r="B2595" s="7" t="str">
        <f t="shared" si="80"/>
        <v>330102 - ENCARGOS SOCIAIS</v>
      </c>
      <c r="C2595" s="25">
        <f t="shared" si="81"/>
        <v>44774</v>
      </c>
      <c r="D2595" s="27">
        <f>IF(K2595="CREDITO",Q2595,Q2595*-1)</f>
        <v>3766.04</v>
      </c>
      <c r="E2595" t="s">
        <v>894</v>
      </c>
      <c r="F2595" t="s">
        <v>3089</v>
      </c>
      <c r="G2595" s="8">
        <v>44774</v>
      </c>
      <c r="H2595" t="s">
        <v>578</v>
      </c>
      <c r="I2595" t="s">
        <v>78</v>
      </c>
      <c r="J2595" t="s">
        <v>54</v>
      </c>
      <c r="K2595" t="s">
        <v>29</v>
      </c>
      <c r="L2595" t="s">
        <v>895</v>
      </c>
      <c r="M2595" t="s">
        <v>4402</v>
      </c>
      <c r="O2595" t="s">
        <v>896</v>
      </c>
      <c r="P2595" t="s">
        <v>33</v>
      </c>
      <c r="Q2595" s="22">
        <v>3766.04</v>
      </c>
      <c r="R2595" t="s">
        <v>35</v>
      </c>
      <c r="S2595" t="s">
        <v>35</v>
      </c>
      <c r="T2595" t="s">
        <v>35</v>
      </c>
      <c r="U2595" t="s">
        <v>35</v>
      </c>
      <c r="V2595" t="s">
        <v>645</v>
      </c>
      <c r="W2595" t="s">
        <v>113</v>
      </c>
    </row>
    <row r="2596" spans="1:23" hidden="1" x14ac:dyDescent="0.25">
      <c r="A2596" s="7" t="str">
        <f>IFERROR(VLOOKUP(H2596,'Contas Orç'!A:B,2,0),"N/A")</f>
        <v>ENCARGOS SOCIAIS</v>
      </c>
      <c r="B2596" s="7" t="str">
        <f t="shared" si="80"/>
        <v>330102 - ENCARGOS SOCIAIS</v>
      </c>
      <c r="C2596" s="25">
        <f t="shared" si="81"/>
        <v>44774</v>
      </c>
      <c r="D2596" s="27">
        <f>IF(K2596="CREDITO",Q2596,Q2596*-1)</f>
        <v>1569.35</v>
      </c>
      <c r="E2596" t="s">
        <v>894</v>
      </c>
      <c r="F2596" t="s">
        <v>3090</v>
      </c>
      <c r="G2596" s="8">
        <v>44774</v>
      </c>
      <c r="H2596" t="s">
        <v>578</v>
      </c>
      <c r="I2596" t="s">
        <v>81</v>
      </c>
      <c r="J2596" t="s">
        <v>54</v>
      </c>
      <c r="K2596" t="s">
        <v>29</v>
      </c>
      <c r="L2596" t="s">
        <v>895</v>
      </c>
      <c r="M2596" t="s">
        <v>4402</v>
      </c>
      <c r="O2596" t="s">
        <v>896</v>
      </c>
      <c r="P2596" t="s">
        <v>33</v>
      </c>
      <c r="Q2596" s="22">
        <v>1569.35</v>
      </c>
      <c r="R2596" t="s">
        <v>35</v>
      </c>
      <c r="S2596" t="s">
        <v>35</v>
      </c>
      <c r="T2596" t="s">
        <v>35</v>
      </c>
      <c r="U2596" t="s">
        <v>35</v>
      </c>
      <c r="V2596" t="s">
        <v>645</v>
      </c>
      <c r="W2596" t="s">
        <v>113</v>
      </c>
    </row>
    <row r="2597" spans="1:23" hidden="1" x14ac:dyDescent="0.25">
      <c r="A2597" s="7" t="str">
        <f>IFERROR(VLOOKUP(H2597,'Contas Orç'!A:B,2,0),"N/A")</f>
        <v>ENCARGOS SOCIAIS</v>
      </c>
      <c r="B2597" s="7" t="str">
        <f t="shared" si="80"/>
        <v>330102 - ENCARGOS SOCIAIS</v>
      </c>
      <c r="C2597" s="25">
        <f t="shared" si="81"/>
        <v>44774</v>
      </c>
      <c r="D2597" s="27">
        <f>IF(K2597="CREDITO",Q2597,Q2597*-1)</f>
        <v>1053.29</v>
      </c>
      <c r="E2597" t="s">
        <v>894</v>
      </c>
      <c r="F2597" t="s">
        <v>3091</v>
      </c>
      <c r="G2597" s="8">
        <v>44774</v>
      </c>
      <c r="H2597" t="s">
        <v>578</v>
      </c>
      <c r="I2597" t="s">
        <v>136</v>
      </c>
      <c r="J2597" t="s">
        <v>54</v>
      </c>
      <c r="K2597" t="s">
        <v>29</v>
      </c>
      <c r="L2597" t="s">
        <v>895</v>
      </c>
      <c r="M2597" t="s">
        <v>4402</v>
      </c>
      <c r="O2597" t="s">
        <v>896</v>
      </c>
      <c r="P2597" t="s">
        <v>33</v>
      </c>
      <c r="Q2597" s="22">
        <v>1053.29</v>
      </c>
      <c r="R2597" t="s">
        <v>35</v>
      </c>
      <c r="S2597" t="s">
        <v>35</v>
      </c>
      <c r="T2597" t="s">
        <v>35</v>
      </c>
      <c r="U2597" t="s">
        <v>35</v>
      </c>
      <c r="V2597" t="s">
        <v>645</v>
      </c>
      <c r="W2597" t="s">
        <v>113</v>
      </c>
    </row>
    <row r="2598" spans="1:23" hidden="1" x14ac:dyDescent="0.25">
      <c r="A2598" s="7" t="str">
        <f>IFERROR(VLOOKUP(H2598,'Contas Orç'!A:B,2,0),"N/A")</f>
        <v>ENCARGOS SOCIAIS</v>
      </c>
      <c r="B2598" s="7" t="str">
        <f t="shared" si="80"/>
        <v>330102 - ENCARGOS SOCIAIS</v>
      </c>
      <c r="C2598" s="25">
        <f t="shared" si="81"/>
        <v>44805</v>
      </c>
      <c r="D2598" s="27">
        <f>IF(K2598="CREDITO",Q2598,Q2598*-1)</f>
        <v>2538.5700000000002</v>
      </c>
      <c r="E2598" t="s">
        <v>894</v>
      </c>
      <c r="F2598" t="s">
        <v>3092</v>
      </c>
      <c r="G2598" s="8">
        <v>44805</v>
      </c>
      <c r="H2598" t="s">
        <v>578</v>
      </c>
      <c r="I2598" t="s">
        <v>99</v>
      </c>
      <c r="J2598" t="s">
        <v>28</v>
      </c>
      <c r="K2598" t="s">
        <v>29</v>
      </c>
      <c r="L2598" t="s">
        <v>895</v>
      </c>
      <c r="M2598" t="s">
        <v>4402</v>
      </c>
      <c r="O2598" t="s">
        <v>896</v>
      </c>
      <c r="P2598" t="s">
        <v>33</v>
      </c>
      <c r="Q2598" s="22">
        <v>2538.5700000000002</v>
      </c>
      <c r="R2598" t="s">
        <v>35</v>
      </c>
      <c r="S2598" t="s">
        <v>35</v>
      </c>
      <c r="T2598" t="s">
        <v>35</v>
      </c>
      <c r="U2598" t="s">
        <v>35</v>
      </c>
      <c r="V2598" t="s">
        <v>645</v>
      </c>
      <c r="W2598" t="s">
        <v>113</v>
      </c>
    </row>
    <row r="2599" spans="1:23" hidden="1" x14ac:dyDescent="0.25">
      <c r="A2599" s="7" t="str">
        <f>IFERROR(VLOOKUP(H2599,'Contas Orç'!A:B,2,0),"N/A")</f>
        <v>ENCARGOS SOCIAIS</v>
      </c>
      <c r="B2599" s="7" t="str">
        <f t="shared" si="80"/>
        <v>330102 - ENCARGOS SOCIAIS</v>
      </c>
      <c r="C2599" s="25">
        <f t="shared" si="81"/>
        <v>44805</v>
      </c>
      <c r="D2599" s="27">
        <f>IF(K2599="CREDITO",Q2599,Q2599*-1)</f>
        <v>2034.98</v>
      </c>
      <c r="E2599" t="s">
        <v>894</v>
      </c>
      <c r="F2599" t="s">
        <v>3093</v>
      </c>
      <c r="G2599" s="8">
        <v>44805</v>
      </c>
      <c r="H2599" t="s">
        <v>578</v>
      </c>
      <c r="I2599" t="s">
        <v>81</v>
      </c>
      <c r="J2599" t="s">
        <v>60</v>
      </c>
      <c r="K2599" t="s">
        <v>29</v>
      </c>
      <c r="L2599" t="s">
        <v>895</v>
      </c>
      <c r="M2599" t="s">
        <v>4402</v>
      </c>
      <c r="O2599" t="s">
        <v>896</v>
      </c>
      <c r="P2599" t="s">
        <v>33</v>
      </c>
      <c r="Q2599" s="22">
        <v>2034.98</v>
      </c>
      <c r="R2599" t="s">
        <v>35</v>
      </c>
      <c r="S2599" t="s">
        <v>35</v>
      </c>
      <c r="T2599" t="s">
        <v>35</v>
      </c>
      <c r="U2599" t="s">
        <v>35</v>
      </c>
      <c r="V2599" t="s">
        <v>645</v>
      </c>
      <c r="W2599" t="s">
        <v>113</v>
      </c>
    </row>
    <row r="2600" spans="1:23" hidden="1" x14ac:dyDescent="0.25">
      <c r="A2600" s="7" t="str">
        <f>IFERROR(VLOOKUP(H2600,'Contas Orç'!A:B,2,0),"N/A")</f>
        <v>ENCARGOS SOCIAIS</v>
      </c>
      <c r="B2600" s="7" t="str">
        <f t="shared" si="80"/>
        <v>330102 - ENCARGOS SOCIAIS</v>
      </c>
      <c r="C2600" s="25">
        <f t="shared" si="81"/>
        <v>44805</v>
      </c>
      <c r="D2600" s="27">
        <f>IF(K2600="CREDITO",Q2600,Q2600*-1)</f>
        <v>7382.63</v>
      </c>
      <c r="E2600" t="s">
        <v>894</v>
      </c>
      <c r="F2600" t="s">
        <v>3094</v>
      </c>
      <c r="G2600" s="8">
        <v>44805</v>
      </c>
      <c r="H2600" t="s">
        <v>578</v>
      </c>
      <c r="I2600" t="s">
        <v>40</v>
      </c>
      <c r="J2600" t="s">
        <v>54</v>
      </c>
      <c r="K2600" t="s">
        <v>29</v>
      </c>
      <c r="L2600" t="s">
        <v>895</v>
      </c>
      <c r="M2600" t="s">
        <v>4402</v>
      </c>
      <c r="O2600" t="s">
        <v>896</v>
      </c>
      <c r="P2600" t="s">
        <v>33</v>
      </c>
      <c r="Q2600" s="22">
        <v>7382.63</v>
      </c>
      <c r="R2600" t="s">
        <v>35</v>
      </c>
      <c r="S2600" t="s">
        <v>35</v>
      </c>
      <c r="T2600" t="s">
        <v>35</v>
      </c>
      <c r="U2600" t="s">
        <v>35</v>
      </c>
      <c r="V2600" t="s">
        <v>645</v>
      </c>
      <c r="W2600" t="s">
        <v>113</v>
      </c>
    </row>
    <row r="2601" spans="1:23" hidden="1" x14ac:dyDescent="0.25">
      <c r="A2601" s="7" t="str">
        <f>IFERROR(VLOOKUP(H2601,'Contas Orç'!A:B,2,0),"N/A")</f>
        <v>ENCARGOS SOCIAIS</v>
      </c>
      <c r="B2601" s="7" t="str">
        <f t="shared" si="80"/>
        <v>330102 - ENCARGOS SOCIAIS</v>
      </c>
      <c r="C2601" s="25">
        <f t="shared" si="81"/>
        <v>44805</v>
      </c>
      <c r="D2601" s="27">
        <f>IF(K2601="CREDITO",Q2601,Q2601*-1)</f>
        <v>1078.1500000000001</v>
      </c>
      <c r="E2601" t="s">
        <v>894</v>
      </c>
      <c r="F2601" t="s">
        <v>3095</v>
      </c>
      <c r="G2601" s="8">
        <v>44805</v>
      </c>
      <c r="H2601" t="s">
        <v>578</v>
      </c>
      <c r="I2601" t="s">
        <v>1002</v>
      </c>
      <c r="J2601" t="s">
        <v>54</v>
      </c>
      <c r="K2601" t="s">
        <v>29</v>
      </c>
      <c r="L2601" t="s">
        <v>895</v>
      </c>
      <c r="M2601" t="s">
        <v>4402</v>
      </c>
      <c r="O2601" t="s">
        <v>896</v>
      </c>
      <c r="P2601" t="s">
        <v>33</v>
      </c>
      <c r="Q2601" s="22">
        <v>1078.1500000000001</v>
      </c>
      <c r="R2601" t="s">
        <v>35</v>
      </c>
      <c r="S2601" t="s">
        <v>35</v>
      </c>
      <c r="T2601" t="s">
        <v>35</v>
      </c>
      <c r="U2601" t="s">
        <v>35</v>
      </c>
      <c r="V2601" t="s">
        <v>645</v>
      </c>
      <c r="W2601" t="s">
        <v>113</v>
      </c>
    </row>
    <row r="2602" spans="1:23" hidden="1" x14ac:dyDescent="0.25">
      <c r="A2602" s="7" t="str">
        <f>IFERROR(VLOOKUP(H2602,'Contas Orç'!A:B,2,0),"N/A")</f>
        <v>ENCARGOS SOCIAIS</v>
      </c>
      <c r="B2602" s="7" t="str">
        <f t="shared" si="80"/>
        <v>330102 - ENCARGOS SOCIAIS</v>
      </c>
      <c r="C2602" s="25">
        <f t="shared" si="81"/>
        <v>44805</v>
      </c>
      <c r="D2602" s="27">
        <f>IF(K2602="CREDITO",Q2602,Q2602*-1)</f>
        <v>641.16</v>
      </c>
      <c r="E2602" t="s">
        <v>894</v>
      </c>
      <c r="F2602" t="s">
        <v>3096</v>
      </c>
      <c r="G2602" s="8">
        <v>44805</v>
      </c>
      <c r="H2602" t="s">
        <v>578</v>
      </c>
      <c r="I2602" t="s">
        <v>121</v>
      </c>
      <c r="J2602" t="s">
        <v>54</v>
      </c>
      <c r="K2602" t="s">
        <v>29</v>
      </c>
      <c r="L2602" t="s">
        <v>895</v>
      </c>
      <c r="M2602" t="s">
        <v>4402</v>
      </c>
      <c r="O2602" t="s">
        <v>896</v>
      </c>
      <c r="P2602" t="s">
        <v>33</v>
      </c>
      <c r="Q2602">
        <v>641.16</v>
      </c>
      <c r="R2602" t="s">
        <v>35</v>
      </c>
      <c r="S2602" t="s">
        <v>35</v>
      </c>
      <c r="T2602" t="s">
        <v>35</v>
      </c>
      <c r="U2602" t="s">
        <v>35</v>
      </c>
      <c r="V2602" t="s">
        <v>645</v>
      </c>
      <c r="W2602" t="s">
        <v>113</v>
      </c>
    </row>
    <row r="2603" spans="1:23" hidden="1" x14ac:dyDescent="0.25">
      <c r="A2603" s="7" t="str">
        <f>IFERROR(VLOOKUP(H2603,'Contas Orç'!A:B,2,0),"N/A")</f>
        <v>ENCARGOS SOCIAIS</v>
      </c>
      <c r="B2603" s="7" t="str">
        <f t="shared" si="80"/>
        <v>330102 - ENCARGOS SOCIAIS</v>
      </c>
      <c r="C2603" s="25">
        <f t="shared" si="81"/>
        <v>44805</v>
      </c>
      <c r="D2603" s="27">
        <f>IF(K2603="CREDITO",Q2603,Q2603*-1)</f>
        <v>2472.4499999999998</v>
      </c>
      <c r="E2603" t="s">
        <v>894</v>
      </c>
      <c r="F2603" t="s">
        <v>3097</v>
      </c>
      <c r="G2603" s="8">
        <v>44805</v>
      </c>
      <c r="H2603" t="s">
        <v>578</v>
      </c>
      <c r="I2603" t="s">
        <v>132</v>
      </c>
      <c r="J2603" t="s">
        <v>54</v>
      </c>
      <c r="K2603" t="s">
        <v>29</v>
      </c>
      <c r="L2603" t="s">
        <v>895</v>
      </c>
      <c r="M2603" t="s">
        <v>4402</v>
      </c>
      <c r="O2603" t="s">
        <v>896</v>
      </c>
      <c r="P2603" t="s">
        <v>33</v>
      </c>
      <c r="Q2603" s="22">
        <v>2472.4499999999998</v>
      </c>
      <c r="R2603" t="s">
        <v>35</v>
      </c>
      <c r="S2603" t="s">
        <v>35</v>
      </c>
      <c r="T2603" t="s">
        <v>35</v>
      </c>
      <c r="U2603" t="s">
        <v>35</v>
      </c>
      <c r="V2603" t="s">
        <v>645</v>
      </c>
      <c r="W2603" t="s">
        <v>113</v>
      </c>
    </row>
    <row r="2604" spans="1:23" hidden="1" x14ac:dyDescent="0.25">
      <c r="A2604" s="7" t="str">
        <f>IFERROR(VLOOKUP(H2604,'Contas Orç'!A:B,2,0),"N/A")</f>
        <v>ENCARGOS SOCIAIS</v>
      </c>
      <c r="B2604" s="7" t="str">
        <f t="shared" si="80"/>
        <v>330102 - ENCARGOS SOCIAIS</v>
      </c>
      <c r="C2604" s="25">
        <f t="shared" si="81"/>
        <v>44805</v>
      </c>
      <c r="D2604" s="27">
        <f>IF(K2604="CREDITO",Q2604,Q2604*-1)</f>
        <v>1203.54</v>
      </c>
      <c r="E2604" t="s">
        <v>894</v>
      </c>
      <c r="F2604" t="s">
        <v>3098</v>
      </c>
      <c r="G2604" s="8">
        <v>44805</v>
      </c>
      <c r="H2604" t="s">
        <v>578</v>
      </c>
      <c r="I2604" t="s">
        <v>114</v>
      </c>
      <c r="J2604" t="s">
        <v>54</v>
      </c>
      <c r="K2604" t="s">
        <v>29</v>
      </c>
      <c r="L2604" t="s">
        <v>895</v>
      </c>
      <c r="M2604" t="s">
        <v>4402</v>
      </c>
      <c r="O2604" t="s">
        <v>896</v>
      </c>
      <c r="P2604" t="s">
        <v>33</v>
      </c>
      <c r="Q2604" s="22">
        <v>1203.54</v>
      </c>
      <c r="R2604" t="s">
        <v>35</v>
      </c>
      <c r="S2604" t="s">
        <v>35</v>
      </c>
      <c r="T2604" t="s">
        <v>35</v>
      </c>
      <c r="U2604" t="s">
        <v>35</v>
      </c>
      <c r="V2604" t="s">
        <v>645</v>
      </c>
      <c r="W2604" t="s">
        <v>113</v>
      </c>
    </row>
    <row r="2605" spans="1:23" hidden="1" x14ac:dyDescent="0.25">
      <c r="A2605" s="7" t="str">
        <f>IFERROR(VLOOKUP(H2605,'Contas Orç'!A:B,2,0),"N/A")</f>
        <v>ENCARGOS SOCIAIS</v>
      </c>
      <c r="B2605" s="7" t="str">
        <f t="shared" si="80"/>
        <v>330102 - ENCARGOS SOCIAIS</v>
      </c>
      <c r="C2605" s="25">
        <f t="shared" si="81"/>
        <v>44805</v>
      </c>
      <c r="D2605" s="27">
        <f>IF(K2605="CREDITO",Q2605,Q2605*-1)</f>
        <v>5367.26</v>
      </c>
      <c r="E2605" t="s">
        <v>894</v>
      </c>
      <c r="F2605" t="s">
        <v>3099</v>
      </c>
      <c r="G2605" s="8">
        <v>44805</v>
      </c>
      <c r="H2605" t="s">
        <v>578</v>
      </c>
      <c r="I2605" t="s">
        <v>75</v>
      </c>
      <c r="J2605" t="s">
        <v>54</v>
      </c>
      <c r="K2605" t="s">
        <v>29</v>
      </c>
      <c r="L2605" t="s">
        <v>895</v>
      </c>
      <c r="M2605" t="s">
        <v>4402</v>
      </c>
      <c r="O2605" t="s">
        <v>896</v>
      </c>
      <c r="P2605" t="s">
        <v>33</v>
      </c>
      <c r="Q2605" s="22">
        <v>5367.26</v>
      </c>
      <c r="R2605" t="s">
        <v>35</v>
      </c>
      <c r="S2605" t="s">
        <v>35</v>
      </c>
      <c r="T2605" t="s">
        <v>35</v>
      </c>
      <c r="U2605" t="s">
        <v>35</v>
      </c>
      <c r="V2605" t="s">
        <v>645</v>
      </c>
      <c r="W2605" t="s">
        <v>113</v>
      </c>
    </row>
    <row r="2606" spans="1:23" hidden="1" x14ac:dyDescent="0.25">
      <c r="A2606" s="7" t="str">
        <f>IFERROR(VLOOKUP(H2606,'Contas Orç'!A:B,2,0),"N/A")</f>
        <v>ENCARGOS SOCIAIS</v>
      </c>
      <c r="B2606" s="7" t="str">
        <f t="shared" si="80"/>
        <v>330102 - ENCARGOS SOCIAIS</v>
      </c>
      <c r="C2606" s="25">
        <f t="shared" si="81"/>
        <v>44805</v>
      </c>
      <c r="D2606" s="27">
        <f>IF(K2606="CREDITO",Q2606,Q2606*-1)</f>
        <v>3622.72</v>
      </c>
      <c r="E2606" t="s">
        <v>894</v>
      </c>
      <c r="F2606" t="s">
        <v>3100</v>
      </c>
      <c r="G2606" s="8">
        <v>44805</v>
      </c>
      <c r="H2606" t="s">
        <v>578</v>
      </c>
      <c r="I2606" t="s">
        <v>78</v>
      </c>
      <c r="J2606" t="s">
        <v>54</v>
      </c>
      <c r="K2606" t="s">
        <v>29</v>
      </c>
      <c r="L2606" t="s">
        <v>895</v>
      </c>
      <c r="M2606" t="s">
        <v>4402</v>
      </c>
      <c r="O2606" t="s">
        <v>896</v>
      </c>
      <c r="P2606" t="s">
        <v>33</v>
      </c>
      <c r="Q2606" s="22">
        <v>3622.72</v>
      </c>
      <c r="R2606" t="s">
        <v>35</v>
      </c>
      <c r="S2606" t="s">
        <v>35</v>
      </c>
      <c r="T2606" t="s">
        <v>35</v>
      </c>
      <c r="U2606" t="s">
        <v>35</v>
      </c>
      <c r="V2606" t="s">
        <v>645</v>
      </c>
      <c r="W2606" t="s">
        <v>113</v>
      </c>
    </row>
    <row r="2607" spans="1:23" hidden="1" x14ac:dyDescent="0.25">
      <c r="A2607" s="7" t="str">
        <f>IFERROR(VLOOKUP(H2607,'Contas Orç'!A:B,2,0),"N/A")</f>
        <v>ENCARGOS SOCIAIS</v>
      </c>
      <c r="B2607" s="7" t="str">
        <f t="shared" si="80"/>
        <v>330102 - ENCARGOS SOCIAIS</v>
      </c>
      <c r="C2607" s="25">
        <f t="shared" si="81"/>
        <v>44805</v>
      </c>
      <c r="D2607" s="27">
        <f>IF(K2607="CREDITO",Q2607,Q2607*-1)</f>
        <v>1600.05</v>
      </c>
      <c r="E2607" t="s">
        <v>894</v>
      </c>
      <c r="F2607" t="s">
        <v>3101</v>
      </c>
      <c r="G2607" s="8">
        <v>44805</v>
      </c>
      <c r="H2607" t="s">
        <v>578</v>
      </c>
      <c r="I2607" t="s">
        <v>81</v>
      </c>
      <c r="J2607" t="s">
        <v>54</v>
      </c>
      <c r="K2607" t="s">
        <v>29</v>
      </c>
      <c r="L2607" t="s">
        <v>895</v>
      </c>
      <c r="M2607" t="s">
        <v>4402</v>
      </c>
      <c r="O2607" t="s">
        <v>896</v>
      </c>
      <c r="P2607" t="s">
        <v>33</v>
      </c>
      <c r="Q2607" s="22">
        <v>1600.05</v>
      </c>
      <c r="R2607" t="s">
        <v>35</v>
      </c>
      <c r="S2607" t="s">
        <v>35</v>
      </c>
      <c r="T2607" t="s">
        <v>35</v>
      </c>
      <c r="U2607" t="s">
        <v>35</v>
      </c>
      <c r="V2607" t="s">
        <v>645</v>
      </c>
      <c r="W2607" t="s">
        <v>113</v>
      </c>
    </row>
    <row r="2608" spans="1:23" hidden="1" x14ac:dyDescent="0.25">
      <c r="A2608" s="7" t="str">
        <f>IFERROR(VLOOKUP(H2608,'Contas Orç'!A:B,2,0),"N/A")</f>
        <v>ENCARGOS SOCIAIS</v>
      </c>
      <c r="B2608" s="7" t="str">
        <f t="shared" si="80"/>
        <v>330102 - ENCARGOS SOCIAIS</v>
      </c>
      <c r="C2608" s="25">
        <f t="shared" si="81"/>
        <v>44805</v>
      </c>
      <c r="D2608" s="27">
        <f>IF(K2608="CREDITO",Q2608,Q2608*-1)</f>
        <v>883.33</v>
      </c>
      <c r="E2608" t="s">
        <v>894</v>
      </c>
      <c r="F2608" t="s">
        <v>3102</v>
      </c>
      <c r="G2608" s="8">
        <v>44805</v>
      </c>
      <c r="H2608" t="s">
        <v>578</v>
      </c>
      <c r="I2608" t="s">
        <v>136</v>
      </c>
      <c r="J2608" t="s">
        <v>54</v>
      </c>
      <c r="K2608" t="s">
        <v>29</v>
      </c>
      <c r="L2608" t="s">
        <v>895</v>
      </c>
      <c r="M2608" t="s">
        <v>4402</v>
      </c>
      <c r="O2608" t="s">
        <v>896</v>
      </c>
      <c r="P2608" t="s">
        <v>33</v>
      </c>
      <c r="Q2608">
        <v>883.33</v>
      </c>
      <c r="R2608" t="s">
        <v>35</v>
      </c>
      <c r="S2608" t="s">
        <v>35</v>
      </c>
      <c r="T2608" t="s">
        <v>35</v>
      </c>
      <c r="U2608" t="s">
        <v>35</v>
      </c>
      <c r="V2608" t="s">
        <v>645</v>
      </c>
      <c r="W2608" t="s">
        <v>113</v>
      </c>
    </row>
    <row r="2609" spans="1:23" hidden="1" x14ac:dyDescent="0.25">
      <c r="A2609" s="7" t="str">
        <f>IFERROR(VLOOKUP(H2609,'Contas Orç'!A:B,2,0),"N/A")</f>
        <v>ENCARGOS SOCIAIS</v>
      </c>
      <c r="B2609" s="7" t="str">
        <f t="shared" si="80"/>
        <v>330102 - ENCARGOS SOCIAIS</v>
      </c>
      <c r="C2609" s="25">
        <f t="shared" si="81"/>
        <v>44835</v>
      </c>
      <c r="D2609" s="27">
        <f>IF(K2609="CREDITO",Q2609,Q2609*-1)</f>
        <v>2563.96</v>
      </c>
      <c r="E2609" t="s">
        <v>894</v>
      </c>
      <c r="F2609" t="s">
        <v>3103</v>
      </c>
      <c r="G2609" s="8">
        <v>44835</v>
      </c>
      <c r="H2609" t="s">
        <v>578</v>
      </c>
      <c r="I2609" t="s">
        <v>99</v>
      </c>
      <c r="J2609" t="s">
        <v>28</v>
      </c>
      <c r="K2609" t="s">
        <v>29</v>
      </c>
      <c r="L2609" t="s">
        <v>895</v>
      </c>
      <c r="M2609" t="s">
        <v>4402</v>
      </c>
      <c r="O2609" t="s">
        <v>896</v>
      </c>
      <c r="P2609" t="s">
        <v>33</v>
      </c>
      <c r="Q2609" s="22">
        <v>2563.96</v>
      </c>
      <c r="R2609" t="s">
        <v>35</v>
      </c>
      <c r="S2609" t="s">
        <v>35</v>
      </c>
      <c r="T2609" t="s">
        <v>35</v>
      </c>
      <c r="U2609" t="s">
        <v>35</v>
      </c>
      <c r="V2609" t="s">
        <v>645</v>
      </c>
      <c r="W2609" t="s">
        <v>113</v>
      </c>
    </row>
    <row r="2610" spans="1:23" hidden="1" x14ac:dyDescent="0.25">
      <c r="A2610" s="7" t="str">
        <f>IFERROR(VLOOKUP(H2610,'Contas Orç'!A:B,2,0),"N/A")</f>
        <v>ENCARGOS SOCIAIS</v>
      </c>
      <c r="B2610" s="7" t="str">
        <f t="shared" si="80"/>
        <v>330102 - ENCARGOS SOCIAIS</v>
      </c>
      <c r="C2610" s="25">
        <f t="shared" si="81"/>
        <v>44835</v>
      </c>
      <c r="D2610" s="27">
        <f>IF(K2610="CREDITO",Q2610,Q2610*-1)</f>
        <v>2055.33</v>
      </c>
      <c r="E2610" t="s">
        <v>894</v>
      </c>
      <c r="F2610" t="s">
        <v>3104</v>
      </c>
      <c r="G2610" s="8">
        <v>44835</v>
      </c>
      <c r="H2610" t="s">
        <v>578</v>
      </c>
      <c r="I2610" t="s">
        <v>81</v>
      </c>
      <c r="J2610" t="s">
        <v>60</v>
      </c>
      <c r="K2610" t="s">
        <v>29</v>
      </c>
      <c r="L2610" t="s">
        <v>895</v>
      </c>
      <c r="M2610" t="s">
        <v>4402</v>
      </c>
      <c r="O2610" t="s">
        <v>896</v>
      </c>
      <c r="P2610" t="s">
        <v>33</v>
      </c>
      <c r="Q2610" s="22">
        <v>2055.33</v>
      </c>
      <c r="R2610" t="s">
        <v>35</v>
      </c>
      <c r="S2610" t="s">
        <v>35</v>
      </c>
      <c r="T2610" t="s">
        <v>35</v>
      </c>
      <c r="U2610" t="s">
        <v>35</v>
      </c>
      <c r="V2610" t="s">
        <v>645</v>
      </c>
      <c r="W2610" t="s">
        <v>113</v>
      </c>
    </row>
    <row r="2611" spans="1:23" hidden="1" x14ac:dyDescent="0.25">
      <c r="A2611" s="7" t="str">
        <f>IFERROR(VLOOKUP(H2611,'Contas Orç'!A:B,2,0),"N/A")</f>
        <v>ENCARGOS SOCIAIS</v>
      </c>
      <c r="B2611" s="7" t="str">
        <f t="shared" si="80"/>
        <v>330102 - ENCARGOS SOCIAIS</v>
      </c>
      <c r="C2611" s="25">
        <f t="shared" si="81"/>
        <v>44835</v>
      </c>
      <c r="D2611" s="27">
        <f>IF(K2611="CREDITO",Q2611,Q2611*-1)</f>
        <v>7456.46</v>
      </c>
      <c r="E2611" t="s">
        <v>894</v>
      </c>
      <c r="F2611" t="s">
        <v>3105</v>
      </c>
      <c r="G2611" s="8">
        <v>44835</v>
      </c>
      <c r="H2611" t="s">
        <v>578</v>
      </c>
      <c r="I2611" t="s">
        <v>40</v>
      </c>
      <c r="J2611" t="s">
        <v>54</v>
      </c>
      <c r="K2611" t="s">
        <v>29</v>
      </c>
      <c r="L2611" t="s">
        <v>895</v>
      </c>
      <c r="M2611" t="s">
        <v>4402</v>
      </c>
      <c r="O2611" t="s">
        <v>896</v>
      </c>
      <c r="P2611" t="s">
        <v>33</v>
      </c>
      <c r="Q2611" s="22">
        <v>7456.46</v>
      </c>
      <c r="R2611" t="s">
        <v>35</v>
      </c>
      <c r="S2611" t="s">
        <v>35</v>
      </c>
      <c r="T2611" t="s">
        <v>35</v>
      </c>
      <c r="U2611" t="s">
        <v>35</v>
      </c>
      <c r="V2611" t="s">
        <v>645</v>
      </c>
      <c r="W2611" t="s">
        <v>113</v>
      </c>
    </row>
    <row r="2612" spans="1:23" hidden="1" x14ac:dyDescent="0.25">
      <c r="A2612" s="7" t="str">
        <f>IFERROR(VLOOKUP(H2612,'Contas Orç'!A:B,2,0),"N/A")</f>
        <v>ENCARGOS SOCIAIS</v>
      </c>
      <c r="B2612" s="7" t="str">
        <f t="shared" si="80"/>
        <v>330102 - ENCARGOS SOCIAIS</v>
      </c>
      <c r="C2612" s="25">
        <f t="shared" si="81"/>
        <v>44835</v>
      </c>
      <c r="D2612" s="27">
        <f>IF(K2612="CREDITO",Q2612,Q2612*-1)</f>
        <v>1088.93</v>
      </c>
      <c r="E2612" t="s">
        <v>894</v>
      </c>
      <c r="F2612" t="s">
        <v>3106</v>
      </c>
      <c r="G2612" s="8">
        <v>44835</v>
      </c>
      <c r="H2612" t="s">
        <v>578</v>
      </c>
      <c r="I2612" t="s">
        <v>1002</v>
      </c>
      <c r="J2612" t="s">
        <v>54</v>
      </c>
      <c r="K2612" t="s">
        <v>29</v>
      </c>
      <c r="L2612" t="s">
        <v>895</v>
      </c>
      <c r="M2612" t="s">
        <v>4402</v>
      </c>
      <c r="O2612" t="s">
        <v>896</v>
      </c>
      <c r="P2612" t="s">
        <v>33</v>
      </c>
      <c r="Q2612" s="22">
        <v>1088.93</v>
      </c>
      <c r="R2612" t="s">
        <v>35</v>
      </c>
      <c r="S2612" t="s">
        <v>35</v>
      </c>
      <c r="T2612" t="s">
        <v>35</v>
      </c>
      <c r="U2612" t="s">
        <v>35</v>
      </c>
      <c r="V2612" t="s">
        <v>645</v>
      </c>
      <c r="W2612" t="s">
        <v>113</v>
      </c>
    </row>
    <row r="2613" spans="1:23" hidden="1" x14ac:dyDescent="0.25">
      <c r="A2613" s="7" t="str">
        <f>IFERROR(VLOOKUP(H2613,'Contas Orç'!A:B,2,0),"N/A")</f>
        <v>ENCARGOS SOCIAIS</v>
      </c>
      <c r="B2613" s="7" t="str">
        <f t="shared" si="80"/>
        <v>330102 - ENCARGOS SOCIAIS</v>
      </c>
      <c r="C2613" s="25">
        <f t="shared" si="81"/>
        <v>44835</v>
      </c>
      <c r="D2613" s="27">
        <f>IF(K2613="CREDITO",Q2613,Q2613*-1)</f>
        <v>647.57000000000005</v>
      </c>
      <c r="E2613" t="s">
        <v>894</v>
      </c>
      <c r="F2613" t="s">
        <v>3107</v>
      </c>
      <c r="G2613" s="8">
        <v>44835</v>
      </c>
      <c r="H2613" t="s">
        <v>578</v>
      </c>
      <c r="I2613" t="s">
        <v>121</v>
      </c>
      <c r="J2613" t="s">
        <v>54</v>
      </c>
      <c r="K2613" t="s">
        <v>29</v>
      </c>
      <c r="L2613" t="s">
        <v>895</v>
      </c>
      <c r="M2613" t="s">
        <v>4402</v>
      </c>
      <c r="O2613" t="s">
        <v>896</v>
      </c>
      <c r="P2613" t="s">
        <v>33</v>
      </c>
      <c r="Q2613">
        <v>647.57000000000005</v>
      </c>
      <c r="R2613" t="s">
        <v>35</v>
      </c>
      <c r="S2613" t="s">
        <v>35</v>
      </c>
      <c r="T2613" t="s">
        <v>35</v>
      </c>
      <c r="U2613" t="s">
        <v>35</v>
      </c>
      <c r="V2613" t="s">
        <v>645</v>
      </c>
      <c r="W2613" t="s">
        <v>113</v>
      </c>
    </row>
    <row r="2614" spans="1:23" hidden="1" x14ac:dyDescent="0.25">
      <c r="A2614" s="7" t="str">
        <f>IFERROR(VLOOKUP(H2614,'Contas Orç'!A:B,2,0),"N/A")</f>
        <v>ENCARGOS SOCIAIS</v>
      </c>
      <c r="B2614" s="7" t="str">
        <f t="shared" si="80"/>
        <v>330102 - ENCARGOS SOCIAIS</v>
      </c>
      <c r="C2614" s="25">
        <f t="shared" si="81"/>
        <v>44835</v>
      </c>
      <c r="D2614" s="27">
        <f>IF(K2614="CREDITO",Q2614,Q2614*-1)</f>
        <v>2497.17</v>
      </c>
      <c r="E2614" t="s">
        <v>894</v>
      </c>
      <c r="F2614" t="s">
        <v>3108</v>
      </c>
      <c r="G2614" s="8">
        <v>44835</v>
      </c>
      <c r="H2614" t="s">
        <v>578</v>
      </c>
      <c r="I2614" t="s">
        <v>132</v>
      </c>
      <c r="J2614" t="s">
        <v>54</v>
      </c>
      <c r="K2614" t="s">
        <v>29</v>
      </c>
      <c r="L2614" t="s">
        <v>895</v>
      </c>
      <c r="M2614" t="s">
        <v>4402</v>
      </c>
      <c r="O2614" t="s">
        <v>896</v>
      </c>
      <c r="P2614" t="s">
        <v>33</v>
      </c>
      <c r="Q2614" s="22">
        <v>2497.17</v>
      </c>
      <c r="R2614" t="s">
        <v>35</v>
      </c>
      <c r="S2614" t="s">
        <v>35</v>
      </c>
      <c r="T2614" t="s">
        <v>35</v>
      </c>
      <c r="U2614" t="s">
        <v>35</v>
      </c>
      <c r="V2614" t="s">
        <v>645</v>
      </c>
      <c r="W2614" t="s">
        <v>113</v>
      </c>
    </row>
    <row r="2615" spans="1:23" hidden="1" x14ac:dyDescent="0.25">
      <c r="A2615" s="7" t="str">
        <f>IFERROR(VLOOKUP(H2615,'Contas Orç'!A:B,2,0),"N/A")</f>
        <v>ENCARGOS SOCIAIS</v>
      </c>
      <c r="B2615" s="7" t="str">
        <f t="shared" si="80"/>
        <v>330102 - ENCARGOS SOCIAIS</v>
      </c>
      <c r="C2615" s="25">
        <f t="shared" si="81"/>
        <v>44835</v>
      </c>
      <c r="D2615" s="27">
        <f>IF(K2615="CREDITO",Q2615,Q2615*-1)</f>
        <v>1215.58</v>
      </c>
      <c r="E2615" t="s">
        <v>894</v>
      </c>
      <c r="F2615" t="s">
        <v>3109</v>
      </c>
      <c r="G2615" s="8">
        <v>44835</v>
      </c>
      <c r="H2615" t="s">
        <v>578</v>
      </c>
      <c r="I2615" t="s">
        <v>114</v>
      </c>
      <c r="J2615" t="s">
        <v>54</v>
      </c>
      <c r="K2615" t="s">
        <v>29</v>
      </c>
      <c r="L2615" t="s">
        <v>895</v>
      </c>
      <c r="M2615" t="s">
        <v>4402</v>
      </c>
      <c r="O2615" t="s">
        <v>896</v>
      </c>
      <c r="P2615" t="s">
        <v>33</v>
      </c>
      <c r="Q2615" s="22">
        <v>1215.58</v>
      </c>
      <c r="R2615" t="s">
        <v>35</v>
      </c>
      <c r="S2615" t="s">
        <v>35</v>
      </c>
      <c r="T2615" t="s">
        <v>35</v>
      </c>
      <c r="U2615" t="s">
        <v>35</v>
      </c>
      <c r="V2615" t="s">
        <v>645</v>
      </c>
      <c r="W2615" t="s">
        <v>113</v>
      </c>
    </row>
    <row r="2616" spans="1:23" hidden="1" x14ac:dyDescent="0.25">
      <c r="A2616" s="7" t="str">
        <f>IFERROR(VLOOKUP(H2616,'Contas Orç'!A:B,2,0),"N/A")</f>
        <v>ENCARGOS SOCIAIS</v>
      </c>
      <c r="B2616" s="7" t="str">
        <f t="shared" si="80"/>
        <v>330102 - ENCARGOS SOCIAIS</v>
      </c>
      <c r="C2616" s="25">
        <f t="shared" si="81"/>
        <v>44835</v>
      </c>
      <c r="D2616" s="27">
        <f>IF(K2616="CREDITO",Q2616,Q2616*-1)</f>
        <v>5420.93</v>
      </c>
      <c r="E2616" t="s">
        <v>894</v>
      </c>
      <c r="F2616" t="s">
        <v>3110</v>
      </c>
      <c r="G2616" s="8">
        <v>44835</v>
      </c>
      <c r="H2616" t="s">
        <v>578</v>
      </c>
      <c r="I2616" t="s">
        <v>75</v>
      </c>
      <c r="J2616" t="s">
        <v>54</v>
      </c>
      <c r="K2616" t="s">
        <v>29</v>
      </c>
      <c r="L2616" t="s">
        <v>895</v>
      </c>
      <c r="M2616" t="s">
        <v>4402</v>
      </c>
      <c r="O2616" t="s">
        <v>896</v>
      </c>
      <c r="P2616" t="s">
        <v>33</v>
      </c>
      <c r="Q2616" s="22">
        <v>5420.93</v>
      </c>
      <c r="R2616" t="s">
        <v>35</v>
      </c>
      <c r="S2616" t="s">
        <v>35</v>
      </c>
      <c r="T2616" t="s">
        <v>35</v>
      </c>
      <c r="U2616" t="s">
        <v>35</v>
      </c>
      <c r="V2616" t="s">
        <v>645</v>
      </c>
      <c r="W2616" t="s">
        <v>113</v>
      </c>
    </row>
    <row r="2617" spans="1:23" hidden="1" x14ac:dyDescent="0.25">
      <c r="A2617" s="7" t="str">
        <f>IFERROR(VLOOKUP(H2617,'Contas Orç'!A:B,2,0),"N/A")</f>
        <v>ENCARGOS SOCIAIS</v>
      </c>
      <c r="B2617" s="7" t="str">
        <f t="shared" si="80"/>
        <v>330102 - ENCARGOS SOCIAIS</v>
      </c>
      <c r="C2617" s="25">
        <f t="shared" si="81"/>
        <v>44835</v>
      </c>
      <c r="D2617" s="27">
        <f>IF(K2617="CREDITO",Q2617,Q2617*-1)</f>
        <v>3658.95</v>
      </c>
      <c r="E2617" t="s">
        <v>894</v>
      </c>
      <c r="F2617" t="s">
        <v>3111</v>
      </c>
      <c r="G2617" s="8">
        <v>44835</v>
      </c>
      <c r="H2617" t="s">
        <v>578</v>
      </c>
      <c r="I2617" t="s">
        <v>78</v>
      </c>
      <c r="J2617" t="s">
        <v>54</v>
      </c>
      <c r="K2617" t="s">
        <v>29</v>
      </c>
      <c r="L2617" t="s">
        <v>895</v>
      </c>
      <c r="M2617" t="s">
        <v>4402</v>
      </c>
      <c r="O2617" t="s">
        <v>896</v>
      </c>
      <c r="P2617" t="s">
        <v>33</v>
      </c>
      <c r="Q2617" s="22">
        <v>3658.95</v>
      </c>
      <c r="R2617" t="s">
        <v>35</v>
      </c>
      <c r="S2617" t="s">
        <v>35</v>
      </c>
      <c r="T2617" t="s">
        <v>35</v>
      </c>
      <c r="U2617" t="s">
        <v>35</v>
      </c>
      <c r="V2617" t="s">
        <v>645</v>
      </c>
      <c r="W2617" t="s">
        <v>113</v>
      </c>
    </row>
    <row r="2618" spans="1:23" hidden="1" x14ac:dyDescent="0.25">
      <c r="A2618" s="7" t="str">
        <f>IFERROR(VLOOKUP(H2618,'Contas Orç'!A:B,2,0),"N/A")</f>
        <v>ENCARGOS SOCIAIS</v>
      </c>
      <c r="B2618" s="7" t="str">
        <f t="shared" si="80"/>
        <v>330102 - ENCARGOS SOCIAIS</v>
      </c>
      <c r="C2618" s="25">
        <f t="shared" si="81"/>
        <v>44835</v>
      </c>
      <c r="D2618" s="27">
        <f>IF(K2618="CREDITO",Q2618,Q2618*-1)</f>
        <v>1616.05</v>
      </c>
      <c r="E2618" t="s">
        <v>894</v>
      </c>
      <c r="F2618" t="s">
        <v>3112</v>
      </c>
      <c r="G2618" s="8">
        <v>44835</v>
      </c>
      <c r="H2618" t="s">
        <v>578</v>
      </c>
      <c r="I2618" t="s">
        <v>81</v>
      </c>
      <c r="J2618" t="s">
        <v>54</v>
      </c>
      <c r="K2618" t="s">
        <v>29</v>
      </c>
      <c r="L2618" t="s">
        <v>895</v>
      </c>
      <c r="M2618" t="s">
        <v>4402</v>
      </c>
      <c r="O2618" t="s">
        <v>896</v>
      </c>
      <c r="P2618" t="s">
        <v>33</v>
      </c>
      <c r="Q2618" s="22">
        <v>1616.05</v>
      </c>
      <c r="R2618" t="s">
        <v>35</v>
      </c>
      <c r="S2618" t="s">
        <v>35</v>
      </c>
      <c r="T2618" t="s">
        <v>35</v>
      </c>
      <c r="U2618" t="s">
        <v>35</v>
      </c>
      <c r="V2618" t="s">
        <v>645</v>
      </c>
      <c r="W2618" t="s">
        <v>113</v>
      </c>
    </row>
    <row r="2619" spans="1:23" hidden="1" x14ac:dyDescent="0.25">
      <c r="A2619" s="7" t="str">
        <f>IFERROR(VLOOKUP(H2619,'Contas Orç'!A:B,2,0),"N/A")</f>
        <v>ENCARGOS SOCIAIS</v>
      </c>
      <c r="B2619" s="7" t="str">
        <f t="shared" si="80"/>
        <v>330102 - ENCARGOS SOCIAIS</v>
      </c>
      <c r="C2619" s="25">
        <f t="shared" si="81"/>
        <v>44835</v>
      </c>
      <c r="D2619" s="27">
        <f>IF(K2619="CREDITO",Q2619,Q2619*-1)</f>
        <v>892.16</v>
      </c>
      <c r="E2619" t="s">
        <v>894</v>
      </c>
      <c r="F2619" t="s">
        <v>3113</v>
      </c>
      <c r="G2619" s="8">
        <v>44835</v>
      </c>
      <c r="H2619" t="s">
        <v>578</v>
      </c>
      <c r="I2619" t="s">
        <v>136</v>
      </c>
      <c r="J2619" t="s">
        <v>54</v>
      </c>
      <c r="K2619" t="s">
        <v>29</v>
      </c>
      <c r="L2619" t="s">
        <v>895</v>
      </c>
      <c r="M2619" t="s">
        <v>4402</v>
      </c>
      <c r="O2619" t="s">
        <v>896</v>
      </c>
      <c r="P2619" t="s">
        <v>33</v>
      </c>
      <c r="Q2619">
        <v>892.16</v>
      </c>
      <c r="R2619" t="s">
        <v>35</v>
      </c>
      <c r="S2619" t="s">
        <v>35</v>
      </c>
      <c r="T2619" t="s">
        <v>35</v>
      </c>
      <c r="U2619" t="s">
        <v>35</v>
      </c>
      <c r="V2619" t="s">
        <v>645</v>
      </c>
      <c r="W2619" t="s">
        <v>113</v>
      </c>
    </row>
    <row r="2620" spans="1:23" hidden="1" x14ac:dyDescent="0.25">
      <c r="A2620" s="7" t="str">
        <f>IFERROR(VLOOKUP(H2620,'Contas Orç'!A:B,2,0),"N/A")</f>
        <v>ENCARGOS SOCIAIS</v>
      </c>
      <c r="B2620" s="7" t="str">
        <f t="shared" si="80"/>
        <v>330102 - ENCARGOS SOCIAIS</v>
      </c>
      <c r="C2620" s="25">
        <f t="shared" si="81"/>
        <v>44866</v>
      </c>
      <c r="D2620" s="27">
        <f>IF(K2620="CREDITO",Q2620,Q2620*-1)</f>
        <v>2589.6</v>
      </c>
      <c r="E2620" t="s">
        <v>894</v>
      </c>
      <c r="F2620" t="s">
        <v>3114</v>
      </c>
      <c r="G2620" s="8">
        <v>44866</v>
      </c>
      <c r="H2620" t="s">
        <v>578</v>
      </c>
      <c r="I2620" t="s">
        <v>99</v>
      </c>
      <c r="J2620" t="s">
        <v>28</v>
      </c>
      <c r="K2620" t="s">
        <v>29</v>
      </c>
      <c r="L2620" t="s">
        <v>895</v>
      </c>
      <c r="M2620" t="s">
        <v>4402</v>
      </c>
      <c r="O2620" t="s">
        <v>896</v>
      </c>
      <c r="P2620" t="s">
        <v>33</v>
      </c>
      <c r="Q2620" s="22">
        <v>2589.6</v>
      </c>
      <c r="R2620" t="s">
        <v>35</v>
      </c>
      <c r="S2620" t="s">
        <v>35</v>
      </c>
      <c r="T2620" t="s">
        <v>35</v>
      </c>
      <c r="U2620" t="s">
        <v>35</v>
      </c>
      <c r="V2620" t="s">
        <v>645</v>
      </c>
      <c r="W2620" t="s">
        <v>113</v>
      </c>
    </row>
    <row r="2621" spans="1:23" hidden="1" x14ac:dyDescent="0.25">
      <c r="A2621" s="7" t="str">
        <f>IFERROR(VLOOKUP(H2621,'Contas Orç'!A:B,2,0),"N/A")</f>
        <v>ENCARGOS SOCIAIS</v>
      </c>
      <c r="B2621" s="7" t="str">
        <f t="shared" si="80"/>
        <v>330102 - ENCARGOS SOCIAIS</v>
      </c>
      <c r="C2621" s="25">
        <f t="shared" si="81"/>
        <v>44866</v>
      </c>
      <c r="D2621" s="27">
        <f>IF(K2621="CREDITO",Q2621,Q2621*-1)</f>
        <v>2075.88</v>
      </c>
      <c r="E2621" t="s">
        <v>894</v>
      </c>
      <c r="F2621" t="s">
        <v>3115</v>
      </c>
      <c r="G2621" s="8">
        <v>44866</v>
      </c>
      <c r="H2621" t="s">
        <v>578</v>
      </c>
      <c r="I2621" t="s">
        <v>81</v>
      </c>
      <c r="J2621" t="s">
        <v>60</v>
      </c>
      <c r="K2621" t="s">
        <v>29</v>
      </c>
      <c r="L2621" t="s">
        <v>895</v>
      </c>
      <c r="M2621" t="s">
        <v>4402</v>
      </c>
      <c r="O2621" t="s">
        <v>896</v>
      </c>
      <c r="P2621" t="s">
        <v>33</v>
      </c>
      <c r="Q2621" s="22">
        <v>2075.88</v>
      </c>
      <c r="R2621" t="s">
        <v>35</v>
      </c>
      <c r="S2621" t="s">
        <v>35</v>
      </c>
      <c r="T2621" t="s">
        <v>35</v>
      </c>
      <c r="U2621" t="s">
        <v>35</v>
      </c>
      <c r="V2621" t="s">
        <v>645</v>
      </c>
      <c r="W2621" t="s">
        <v>113</v>
      </c>
    </row>
    <row r="2622" spans="1:23" hidden="1" x14ac:dyDescent="0.25">
      <c r="A2622" s="7" t="str">
        <f>IFERROR(VLOOKUP(H2622,'Contas Orç'!A:B,2,0),"N/A")</f>
        <v>ENCARGOS SOCIAIS</v>
      </c>
      <c r="B2622" s="7" t="str">
        <f t="shared" si="80"/>
        <v>330102 - ENCARGOS SOCIAIS</v>
      </c>
      <c r="C2622" s="25">
        <f t="shared" si="81"/>
        <v>44866</v>
      </c>
      <c r="D2622" s="27">
        <f>IF(K2622="CREDITO",Q2622,Q2622*-1)</f>
        <v>7531.02</v>
      </c>
      <c r="E2622" t="s">
        <v>894</v>
      </c>
      <c r="F2622" t="s">
        <v>3116</v>
      </c>
      <c r="G2622" s="8">
        <v>44866</v>
      </c>
      <c r="H2622" t="s">
        <v>578</v>
      </c>
      <c r="I2622" t="s">
        <v>40</v>
      </c>
      <c r="J2622" t="s">
        <v>54</v>
      </c>
      <c r="K2622" t="s">
        <v>29</v>
      </c>
      <c r="L2622" t="s">
        <v>895</v>
      </c>
      <c r="M2622" t="s">
        <v>4402</v>
      </c>
      <c r="O2622" t="s">
        <v>896</v>
      </c>
      <c r="P2622" t="s">
        <v>33</v>
      </c>
      <c r="Q2622" s="22">
        <v>7531.02</v>
      </c>
      <c r="R2622" t="s">
        <v>35</v>
      </c>
      <c r="S2622" t="s">
        <v>35</v>
      </c>
      <c r="T2622" t="s">
        <v>35</v>
      </c>
      <c r="U2622" t="s">
        <v>35</v>
      </c>
      <c r="V2622" t="s">
        <v>645</v>
      </c>
      <c r="W2622" t="s">
        <v>113</v>
      </c>
    </row>
    <row r="2623" spans="1:23" hidden="1" x14ac:dyDescent="0.25">
      <c r="A2623" s="7" t="str">
        <f>IFERROR(VLOOKUP(H2623,'Contas Orç'!A:B,2,0),"N/A")</f>
        <v>ENCARGOS SOCIAIS</v>
      </c>
      <c r="B2623" s="7" t="str">
        <f t="shared" si="80"/>
        <v>330102 - ENCARGOS SOCIAIS</v>
      </c>
      <c r="C2623" s="25">
        <f t="shared" si="81"/>
        <v>44866</v>
      </c>
      <c r="D2623" s="27">
        <f>IF(K2623="CREDITO",Q2623,Q2623*-1)</f>
        <v>1099.82</v>
      </c>
      <c r="E2623" t="s">
        <v>894</v>
      </c>
      <c r="F2623" t="s">
        <v>3117</v>
      </c>
      <c r="G2623" s="8">
        <v>44866</v>
      </c>
      <c r="H2623" t="s">
        <v>578</v>
      </c>
      <c r="I2623" t="s">
        <v>1002</v>
      </c>
      <c r="J2623" t="s">
        <v>54</v>
      </c>
      <c r="K2623" t="s">
        <v>29</v>
      </c>
      <c r="L2623" t="s">
        <v>895</v>
      </c>
      <c r="M2623" t="s">
        <v>4402</v>
      </c>
      <c r="O2623" t="s">
        <v>896</v>
      </c>
      <c r="P2623" t="s">
        <v>33</v>
      </c>
      <c r="Q2623" s="22">
        <v>1099.82</v>
      </c>
      <c r="R2623" t="s">
        <v>35</v>
      </c>
      <c r="S2623" t="s">
        <v>35</v>
      </c>
      <c r="T2623" t="s">
        <v>35</v>
      </c>
      <c r="U2623" t="s">
        <v>35</v>
      </c>
      <c r="V2623" t="s">
        <v>645</v>
      </c>
      <c r="W2623" t="s">
        <v>113</v>
      </c>
    </row>
    <row r="2624" spans="1:23" hidden="1" x14ac:dyDescent="0.25">
      <c r="A2624" s="7" t="str">
        <f>IFERROR(VLOOKUP(H2624,'Contas Orç'!A:B,2,0),"N/A")</f>
        <v>ENCARGOS SOCIAIS</v>
      </c>
      <c r="B2624" s="7" t="str">
        <f t="shared" si="80"/>
        <v>330102 - ENCARGOS SOCIAIS</v>
      </c>
      <c r="C2624" s="25">
        <f t="shared" si="81"/>
        <v>44866</v>
      </c>
      <c r="D2624" s="27">
        <f>IF(K2624="CREDITO",Q2624,Q2624*-1)</f>
        <v>654.04999999999995</v>
      </c>
      <c r="E2624" t="s">
        <v>894</v>
      </c>
      <c r="F2624" t="s">
        <v>3118</v>
      </c>
      <c r="G2624" s="8">
        <v>44866</v>
      </c>
      <c r="H2624" t="s">
        <v>578</v>
      </c>
      <c r="I2624" t="s">
        <v>121</v>
      </c>
      <c r="J2624" t="s">
        <v>54</v>
      </c>
      <c r="K2624" t="s">
        <v>29</v>
      </c>
      <c r="L2624" t="s">
        <v>895</v>
      </c>
      <c r="M2624" t="s">
        <v>4402</v>
      </c>
      <c r="O2624" t="s">
        <v>896</v>
      </c>
      <c r="P2624" t="s">
        <v>33</v>
      </c>
      <c r="Q2624">
        <v>654.04999999999995</v>
      </c>
      <c r="R2624" t="s">
        <v>35</v>
      </c>
      <c r="S2624" t="s">
        <v>35</v>
      </c>
      <c r="T2624" t="s">
        <v>35</v>
      </c>
      <c r="U2624" t="s">
        <v>35</v>
      </c>
      <c r="V2624" t="s">
        <v>645</v>
      </c>
      <c r="W2624" t="s">
        <v>113</v>
      </c>
    </row>
    <row r="2625" spans="1:23" hidden="1" x14ac:dyDescent="0.25">
      <c r="A2625" s="7" t="str">
        <f>IFERROR(VLOOKUP(H2625,'Contas Orç'!A:B,2,0),"N/A")</f>
        <v>ENCARGOS SOCIAIS</v>
      </c>
      <c r="B2625" s="7" t="str">
        <f t="shared" si="80"/>
        <v>330102 - ENCARGOS SOCIAIS</v>
      </c>
      <c r="C2625" s="25">
        <f t="shared" si="81"/>
        <v>44866</v>
      </c>
      <c r="D2625" s="27">
        <f>IF(K2625="CREDITO",Q2625,Q2625*-1)</f>
        <v>2522.15</v>
      </c>
      <c r="E2625" t="s">
        <v>894</v>
      </c>
      <c r="F2625" t="s">
        <v>3119</v>
      </c>
      <c r="G2625" s="8">
        <v>44866</v>
      </c>
      <c r="H2625" t="s">
        <v>578</v>
      </c>
      <c r="I2625" t="s">
        <v>132</v>
      </c>
      <c r="J2625" t="s">
        <v>54</v>
      </c>
      <c r="K2625" t="s">
        <v>29</v>
      </c>
      <c r="L2625" t="s">
        <v>895</v>
      </c>
      <c r="M2625" t="s">
        <v>4402</v>
      </c>
      <c r="O2625" t="s">
        <v>896</v>
      </c>
      <c r="P2625" t="s">
        <v>33</v>
      </c>
      <c r="Q2625" s="22">
        <v>2522.15</v>
      </c>
      <c r="R2625" t="s">
        <v>35</v>
      </c>
      <c r="S2625" t="s">
        <v>35</v>
      </c>
      <c r="T2625" t="s">
        <v>35</v>
      </c>
      <c r="U2625" t="s">
        <v>35</v>
      </c>
      <c r="V2625" t="s">
        <v>645</v>
      </c>
      <c r="W2625" t="s">
        <v>113</v>
      </c>
    </row>
    <row r="2626" spans="1:23" hidden="1" x14ac:dyDescent="0.25">
      <c r="A2626" s="7" t="str">
        <f>IFERROR(VLOOKUP(H2626,'Contas Orç'!A:B,2,0),"N/A")</f>
        <v>ENCARGOS SOCIAIS</v>
      </c>
      <c r="B2626" s="7" t="str">
        <f t="shared" si="80"/>
        <v>330102 - ENCARGOS SOCIAIS</v>
      </c>
      <c r="C2626" s="25">
        <f t="shared" si="81"/>
        <v>44866</v>
      </c>
      <c r="D2626" s="27">
        <f>IF(K2626="CREDITO",Q2626,Q2626*-1)</f>
        <v>1227.73</v>
      </c>
      <c r="E2626" t="s">
        <v>894</v>
      </c>
      <c r="F2626" t="s">
        <v>3120</v>
      </c>
      <c r="G2626" s="8">
        <v>44866</v>
      </c>
      <c r="H2626" t="s">
        <v>578</v>
      </c>
      <c r="I2626" t="s">
        <v>114</v>
      </c>
      <c r="J2626" t="s">
        <v>54</v>
      </c>
      <c r="K2626" t="s">
        <v>29</v>
      </c>
      <c r="L2626" t="s">
        <v>895</v>
      </c>
      <c r="M2626" t="s">
        <v>4402</v>
      </c>
      <c r="O2626" t="s">
        <v>896</v>
      </c>
      <c r="P2626" t="s">
        <v>33</v>
      </c>
      <c r="Q2626" s="22">
        <v>1227.73</v>
      </c>
      <c r="R2626" t="s">
        <v>35</v>
      </c>
      <c r="S2626" t="s">
        <v>35</v>
      </c>
      <c r="T2626" t="s">
        <v>35</v>
      </c>
      <c r="U2626" t="s">
        <v>35</v>
      </c>
      <c r="V2626" t="s">
        <v>645</v>
      </c>
      <c r="W2626" t="s">
        <v>113</v>
      </c>
    </row>
    <row r="2627" spans="1:23" hidden="1" x14ac:dyDescent="0.25">
      <c r="A2627" s="7" t="str">
        <f>IFERROR(VLOOKUP(H2627,'Contas Orç'!A:B,2,0),"N/A")</f>
        <v>ENCARGOS SOCIAIS</v>
      </c>
      <c r="B2627" s="7" t="str">
        <f t="shared" ref="B2627:B2690" si="82">_xlfn.CONCAT(H2627," - ",A2627)</f>
        <v>330102 - ENCARGOS SOCIAIS</v>
      </c>
      <c r="C2627" s="25">
        <f t="shared" ref="C2627:C2690" si="83">DATE(YEAR(G2627),MONTH(G2627),1)</f>
        <v>44866</v>
      </c>
      <c r="D2627" s="27">
        <f>IF(K2627="CREDITO",Q2627,Q2627*-1)</f>
        <v>5475.14</v>
      </c>
      <c r="E2627" t="s">
        <v>894</v>
      </c>
      <c r="F2627" t="s">
        <v>3121</v>
      </c>
      <c r="G2627" s="8">
        <v>44866</v>
      </c>
      <c r="H2627" t="s">
        <v>578</v>
      </c>
      <c r="I2627" t="s">
        <v>75</v>
      </c>
      <c r="J2627" t="s">
        <v>54</v>
      </c>
      <c r="K2627" t="s">
        <v>29</v>
      </c>
      <c r="L2627" t="s">
        <v>895</v>
      </c>
      <c r="M2627" t="s">
        <v>4402</v>
      </c>
      <c r="O2627" t="s">
        <v>896</v>
      </c>
      <c r="P2627" t="s">
        <v>33</v>
      </c>
      <c r="Q2627" s="22">
        <v>5475.14</v>
      </c>
      <c r="R2627" t="s">
        <v>35</v>
      </c>
      <c r="S2627" t="s">
        <v>35</v>
      </c>
      <c r="T2627" t="s">
        <v>35</v>
      </c>
      <c r="U2627" t="s">
        <v>35</v>
      </c>
      <c r="V2627" t="s">
        <v>645</v>
      </c>
      <c r="W2627" t="s">
        <v>113</v>
      </c>
    </row>
    <row r="2628" spans="1:23" hidden="1" x14ac:dyDescent="0.25">
      <c r="A2628" s="7" t="str">
        <f>IFERROR(VLOOKUP(H2628,'Contas Orç'!A:B,2,0),"N/A")</f>
        <v>ENCARGOS SOCIAIS</v>
      </c>
      <c r="B2628" s="7" t="str">
        <f t="shared" si="82"/>
        <v>330102 - ENCARGOS SOCIAIS</v>
      </c>
      <c r="C2628" s="25">
        <f t="shared" si="83"/>
        <v>44866</v>
      </c>
      <c r="D2628" s="27">
        <f>IF(K2628="CREDITO",Q2628,Q2628*-1)</f>
        <v>3695.54</v>
      </c>
      <c r="E2628" t="s">
        <v>894</v>
      </c>
      <c r="F2628" t="s">
        <v>3122</v>
      </c>
      <c r="G2628" s="8">
        <v>44866</v>
      </c>
      <c r="H2628" t="s">
        <v>578</v>
      </c>
      <c r="I2628" t="s">
        <v>78</v>
      </c>
      <c r="J2628" t="s">
        <v>54</v>
      </c>
      <c r="K2628" t="s">
        <v>29</v>
      </c>
      <c r="L2628" t="s">
        <v>895</v>
      </c>
      <c r="M2628" t="s">
        <v>4402</v>
      </c>
      <c r="O2628" t="s">
        <v>896</v>
      </c>
      <c r="P2628" t="s">
        <v>33</v>
      </c>
      <c r="Q2628" s="22">
        <v>3695.54</v>
      </c>
      <c r="R2628" t="s">
        <v>35</v>
      </c>
      <c r="S2628" t="s">
        <v>35</v>
      </c>
      <c r="T2628" t="s">
        <v>35</v>
      </c>
      <c r="U2628" t="s">
        <v>35</v>
      </c>
      <c r="V2628" t="s">
        <v>645</v>
      </c>
      <c r="W2628" t="s">
        <v>113</v>
      </c>
    </row>
    <row r="2629" spans="1:23" hidden="1" x14ac:dyDescent="0.25">
      <c r="A2629" s="7" t="str">
        <f>IFERROR(VLOOKUP(H2629,'Contas Orç'!A:B,2,0),"N/A")</f>
        <v>ENCARGOS SOCIAIS</v>
      </c>
      <c r="B2629" s="7" t="str">
        <f t="shared" si="82"/>
        <v>330102 - ENCARGOS SOCIAIS</v>
      </c>
      <c r="C2629" s="25">
        <f t="shared" si="83"/>
        <v>44866</v>
      </c>
      <c r="D2629" s="27">
        <f>IF(K2629="CREDITO",Q2629,Q2629*-1)</f>
        <v>1632.21</v>
      </c>
      <c r="E2629" t="s">
        <v>894</v>
      </c>
      <c r="F2629" t="s">
        <v>3123</v>
      </c>
      <c r="G2629" s="8">
        <v>44866</v>
      </c>
      <c r="H2629" t="s">
        <v>578</v>
      </c>
      <c r="I2629" t="s">
        <v>81</v>
      </c>
      <c r="J2629" t="s">
        <v>54</v>
      </c>
      <c r="K2629" t="s">
        <v>29</v>
      </c>
      <c r="L2629" t="s">
        <v>895</v>
      </c>
      <c r="M2629" t="s">
        <v>4402</v>
      </c>
      <c r="O2629" t="s">
        <v>896</v>
      </c>
      <c r="P2629" t="s">
        <v>33</v>
      </c>
      <c r="Q2629" s="22">
        <v>1632.21</v>
      </c>
      <c r="R2629" t="s">
        <v>35</v>
      </c>
      <c r="S2629" t="s">
        <v>35</v>
      </c>
      <c r="T2629" t="s">
        <v>35</v>
      </c>
      <c r="U2629" t="s">
        <v>35</v>
      </c>
      <c r="V2629" t="s">
        <v>645</v>
      </c>
      <c r="W2629" t="s">
        <v>113</v>
      </c>
    </row>
    <row r="2630" spans="1:23" hidden="1" x14ac:dyDescent="0.25">
      <c r="A2630" s="7" t="str">
        <f>IFERROR(VLOOKUP(H2630,'Contas Orç'!A:B,2,0),"N/A")</f>
        <v>ENCARGOS SOCIAIS</v>
      </c>
      <c r="B2630" s="7" t="str">
        <f t="shared" si="82"/>
        <v>330102 - ENCARGOS SOCIAIS</v>
      </c>
      <c r="C2630" s="25">
        <f t="shared" si="83"/>
        <v>44866</v>
      </c>
      <c r="D2630" s="27">
        <f>IF(K2630="CREDITO",Q2630,Q2630*-1)</f>
        <v>901.08</v>
      </c>
      <c r="E2630" t="s">
        <v>894</v>
      </c>
      <c r="F2630" t="s">
        <v>3124</v>
      </c>
      <c r="G2630" s="8">
        <v>44866</v>
      </c>
      <c r="H2630" t="s">
        <v>578</v>
      </c>
      <c r="I2630" t="s">
        <v>136</v>
      </c>
      <c r="J2630" t="s">
        <v>54</v>
      </c>
      <c r="K2630" t="s">
        <v>29</v>
      </c>
      <c r="L2630" t="s">
        <v>895</v>
      </c>
      <c r="M2630" t="s">
        <v>4402</v>
      </c>
      <c r="O2630" t="s">
        <v>896</v>
      </c>
      <c r="P2630" t="s">
        <v>33</v>
      </c>
      <c r="Q2630">
        <v>901.08</v>
      </c>
      <c r="R2630" t="s">
        <v>35</v>
      </c>
      <c r="S2630" t="s">
        <v>35</v>
      </c>
      <c r="T2630" t="s">
        <v>35</v>
      </c>
      <c r="U2630" t="s">
        <v>35</v>
      </c>
      <c r="V2630" t="s">
        <v>645</v>
      </c>
      <c r="W2630" t="s">
        <v>113</v>
      </c>
    </row>
    <row r="2631" spans="1:23" hidden="1" x14ac:dyDescent="0.25">
      <c r="A2631" s="7" t="str">
        <f>IFERROR(VLOOKUP(H2631,'Contas Orç'!A:B,2,0),"N/A")</f>
        <v>ENCARGOS SOCIAIS</v>
      </c>
      <c r="B2631" s="7" t="str">
        <f t="shared" si="82"/>
        <v>330102 - ENCARGOS SOCIAIS</v>
      </c>
      <c r="C2631" s="25">
        <f t="shared" si="83"/>
        <v>44896</v>
      </c>
      <c r="D2631" s="27">
        <f>IF(K2631="CREDITO",Q2631,Q2631*-1)</f>
        <v>2615.4899999999998</v>
      </c>
      <c r="E2631" t="s">
        <v>894</v>
      </c>
      <c r="F2631" t="s">
        <v>3125</v>
      </c>
      <c r="G2631" s="8">
        <v>44896</v>
      </c>
      <c r="H2631" t="s">
        <v>578</v>
      </c>
      <c r="I2631" t="s">
        <v>99</v>
      </c>
      <c r="J2631" t="s">
        <v>28</v>
      </c>
      <c r="K2631" t="s">
        <v>29</v>
      </c>
      <c r="L2631" t="s">
        <v>895</v>
      </c>
      <c r="M2631" t="s">
        <v>4402</v>
      </c>
      <c r="O2631" t="s">
        <v>896</v>
      </c>
      <c r="P2631" t="s">
        <v>33</v>
      </c>
      <c r="Q2631" s="22">
        <v>2615.4899999999998</v>
      </c>
      <c r="R2631" t="s">
        <v>35</v>
      </c>
      <c r="S2631" t="s">
        <v>35</v>
      </c>
      <c r="T2631" t="s">
        <v>35</v>
      </c>
      <c r="U2631" t="s">
        <v>35</v>
      </c>
      <c r="V2631" t="s">
        <v>645</v>
      </c>
      <c r="W2631" t="s">
        <v>113</v>
      </c>
    </row>
    <row r="2632" spans="1:23" hidden="1" x14ac:dyDescent="0.25">
      <c r="A2632" s="7" t="str">
        <f>IFERROR(VLOOKUP(H2632,'Contas Orç'!A:B,2,0),"N/A")</f>
        <v>ENCARGOS SOCIAIS</v>
      </c>
      <c r="B2632" s="7" t="str">
        <f t="shared" si="82"/>
        <v>330102 - ENCARGOS SOCIAIS</v>
      </c>
      <c r="C2632" s="25">
        <f t="shared" si="83"/>
        <v>44896</v>
      </c>
      <c r="D2632" s="27">
        <f>IF(K2632="CREDITO",Q2632,Q2632*-1)</f>
        <v>2096.64</v>
      </c>
      <c r="E2632" t="s">
        <v>894</v>
      </c>
      <c r="F2632" t="s">
        <v>3126</v>
      </c>
      <c r="G2632" s="8">
        <v>44896</v>
      </c>
      <c r="H2632" t="s">
        <v>578</v>
      </c>
      <c r="I2632" t="s">
        <v>81</v>
      </c>
      <c r="J2632" t="s">
        <v>60</v>
      </c>
      <c r="K2632" t="s">
        <v>29</v>
      </c>
      <c r="L2632" t="s">
        <v>895</v>
      </c>
      <c r="M2632" t="s">
        <v>4402</v>
      </c>
      <c r="O2632" t="s">
        <v>896</v>
      </c>
      <c r="P2632" t="s">
        <v>33</v>
      </c>
      <c r="Q2632" s="22">
        <v>2096.64</v>
      </c>
      <c r="R2632" t="s">
        <v>35</v>
      </c>
      <c r="S2632" t="s">
        <v>35</v>
      </c>
      <c r="T2632" t="s">
        <v>35</v>
      </c>
      <c r="U2632" t="s">
        <v>35</v>
      </c>
      <c r="V2632" t="s">
        <v>645</v>
      </c>
      <c r="W2632" t="s">
        <v>113</v>
      </c>
    </row>
    <row r="2633" spans="1:23" hidden="1" x14ac:dyDescent="0.25">
      <c r="A2633" s="7" t="str">
        <f>IFERROR(VLOOKUP(H2633,'Contas Orç'!A:B,2,0),"N/A")</f>
        <v>ENCARGOS SOCIAIS</v>
      </c>
      <c r="B2633" s="7" t="str">
        <f t="shared" si="82"/>
        <v>330102 - ENCARGOS SOCIAIS</v>
      </c>
      <c r="C2633" s="25">
        <f t="shared" si="83"/>
        <v>44896</v>
      </c>
      <c r="D2633" s="27">
        <f>IF(K2633="CREDITO",Q2633,Q2633*-1)</f>
        <v>7606.33</v>
      </c>
      <c r="E2633" t="s">
        <v>894</v>
      </c>
      <c r="F2633" t="s">
        <v>3127</v>
      </c>
      <c r="G2633" s="8">
        <v>44896</v>
      </c>
      <c r="H2633" t="s">
        <v>578</v>
      </c>
      <c r="I2633" t="s">
        <v>40</v>
      </c>
      <c r="J2633" t="s">
        <v>54</v>
      </c>
      <c r="K2633" t="s">
        <v>29</v>
      </c>
      <c r="L2633" t="s">
        <v>895</v>
      </c>
      <c r="M2633" t="s">
        <v>4402</v>
      </c>
      <c r="O2633" t="s">
        <v>896</v>
      </c>
      <c r="P2633" t="s">
        <v>33</v>
      </c>
      <c r="Q2633" s="22">
        <v>7606.33</v>
      </c>
      <c r="R2633" t="s">
        <v>35</v>
      </c>
      <c r="S2633" t="s">
        <v>35</v>
      </c>
      <c r="T2633" t="s">
        <v>35</v>
      </c>
      <c r="U2633" t="s">
        <v>35</v>
      </c>
      <c r="V2633" t="s">
        <v>645</v>
      </c>
      <c r="W2633" t="s">
        <v>113</v>
      </c>
    </row>
    <row r="2634" spans="1:23" hidden="1" x14ac:dyDescent="0.25">
      <c r="A2634" s="7" t="str">
        <f>IFERROR(VLOOKUP(H2634,'Contas Orç'!A:B,2,0),"N/A")</f>
        <v>ENCARGOS SOCIAIS</v>
      </c>
      <c r="B2634" s="7" t="str">
        <f t="shared" si="82"/>
        <v>330102 - ENCARGOS SOCIAIS</v>
      </c>
      <c r="C2634" s="25">
        <f t="shared" si="83"/>
        <v>44896</v>
      </c>
      <c r="D2634" s="27">
        <f>IF(K2634="CREDITO",Q2634,Q2634*-1)</f>
        <v>1110.82</v>
      </c>
      <c r="E2634" t="s">
        <v>894</v>
      </c>
      <c r="F2634" t="s">
        <v>3128</v>
      </c>
      <c r="G2634" s="8">
        <v>44896</v>
      </c>
      <c r="H2634" t="s">
        <v>578</v>
      </c>
      <c r="I2634" t="s">
        <v>1002</v>
      </c>
      <c r="J2634" t="s">
        <v>54</v>
      </c>
      <c r="K2634" t="s">
        <v>29</v>
      </c>
      <c r="L2634" t="s">
        <v>895</v>
      </c>
      <c r="M2634" t="s">
        <v>4402</v>
      </c>
      <c r="O2634" t="s">
        <v>896</v>
      </c>
      <c r="P2634" t="s">
        <v>33</v>
      </c>
      <c r="Q2634" s="22">
        <v>1110.82</v>
      </c>
      <c r="R2634" t="s">
        <v>35</v>
      </c>
      <c r="S2634" t="s">
        <v>35</v>
      </c>
      <c r="T2634" t="s">
        <v>35</v>
      </c>
      <c r="U2634" t="s">
        <v>35</v>
      </c>
      <c r="V2634" t="s">
        <v>645</v>
      </c>
      <c r="W2634" t="s">
        <v>113</v>
      </c>
    </row>
    <row r="2635" spans="1:23" hidden="1" x14ac:dyDescent="0.25">
      <c r="A2635" s="7" t="str">
        <f>IFERROR(VLOOKUP(H2635,'Contas Orç'!A:B,2,0),"N/A")</f>
        <v>ENCARGOS SOCIAIS</v>
      </c>
      <c r="B2635" s="7" t="str">
        <f t="shared" si="82"/>
        <v>330102 - ENCARGOS SOCIAIS</v>
      </c>
      <c r="C2635" s="25">
        <f t="shared" si="83"/>
        <v>44896</v>
      </c>
      <c r="D2635" s="27">
        <f>IF(K2635="CREDITO",Q2635,Q2635*-1)</f>
        <v>660.59</v>
      </c>
      <c r="E2635" t="s">
        <v>894</v>
      </c>
      <c r="F2635" t="s">
        <v>3129</v>
      </c>
      <c r="G2635" s="8">
        <v>44896</v>
      </c>
      <c r="H2635" t="s">
        <v>578</v>
      </c>
      <c r="I2635" t="s">
        <v>121</v>
      </c>
      <c r="J2635" t="s">
        <v>54</v>
      </c>
      <c r="K2635" t="s">
        <v>29</v>
      </c>
      <c r="L2635" t="s">
        <v>895</v>
      </c>
      <c r="M2635" t="s">
        <v>4402</v>
      </c>
      <c r="O2635" t="s">
        <v>896</v>
      </c>
      <c r="P2635" t="s">
        <v>33</v>
      </c>
      <c r="Q2635">
        <v>660.59</v>
      </c>
      <c r="R2635" t="s">
        <v>35</v>
      </c>
      <c r="S2635" t="s">
        <v>35</v>
      </c>
      <c r="T2635" t="s">
        <v>35</v>
      </c>
      <c r="U2635" t="s">
        <v>35</v>
      </c>
      <c r="V2635" t="s">
        <v>645</v>
      </c>
      <c r="W2635" t="s">
        <v>113</v>
      </c>
    </row>
    <row r="2636" spans="1:23" hidden="1" x14ac:dyDescent="0.25">
      <c r="A2636" s="7" t="str">
        <f>IFERROR(VLOOKUP(H2636,'Contas Orç'!A:B,2,0),"N/A")</f>
        <v>ENCARGOS SOCIAIS</v>
      </c>
      <c r="B2636" s="7" t="str">
        <f t="shared" si="82"/>
        <v>330102 - ENCARGOS SOCIAIS</v>
      </c>
      <c r="C2636" s="25">
        <f t="shared" si="83"/>
        <v>44896</v>
      </c>
      <c r="D2636" s="27">
        <f>IF(K2636="CREDITO",Q2636,Q2636*-1)</f>
        <v>2547.37</v>
      </c>
      <c r="E2636" t="s">
        <v>894</v>
      </c>
      <c r="F2636" t="s">
        <v>3130</v>
      </c>
      <c r="G2636" s="8">
        <v>44896</v>
      </c>
      <c r="H2636" t="s">
        <v>578</v>
      </c>
      <c r="I2636" t="s">
        <v>132</v>
      </c>
      <c r="J2636" t="s">
        <v>54</v>
      </c>
      <c r="K2636" t="s">
        <v>29</v>
      </c>
      <c r="L2636" t="s">
        <v>895</v>
      </c>
      <c r="M2636" t="s">
        <v>4402</v>
      </c>
      <c r="O2636" t="s">
        <v>896</v>
      </c>
      <c r="P2636" t="s">
        <v>33</v>
      </c>
      <c r="Q2636" s="22">
        <v>2547.37</v>
      </c>
      <c r="R2636" t="s">
        <v>35</v>
      </c>
      <c r="S2636" t="s">
        <v>35</v>
      </c>
      <c r="T2636" t="s">
        <v>35</v>
      </c>
      <c r="U2636" t="s">
        <v>35</v>
      </c>
      <c r="V2636" t="s">
        <v>645</v>
      </c>
      <c r="W2636" t="s">
        <v>113</v>
      </c>
    </row>
    <row r="2637" spans="1:23" hidden="1" x14ac:dyDescent="0.25">
      <c r="A2637" s="7" t="str">
        <f>IFERROR(VLOOKUP(H2637,'Contas Orç'!A:B,2,0),"N/A")</f>
        <v>ENCARGOS SOCIAIS</v>
      </c>
      <c r="B2637" s="7" t="str">
        <f t="shared" si="82"/>
        <v>330102 - ENCARGOS SOCIAIS</v>
      </c>
      <c r="C2637" s="25">
        <f t="shared" si="83"/>
        <v>44896</v>
      </c>
      <c r="D2637" s="27">
        <f>IF(K2637="CREDITO",Q2637,Q2637*-1)</f>
        <v>1240.01</v>
      </c>
      <c r="E2637" t="s">
        <v>894</v>
      </c>
      <c r="F2637" t="s">
        <v>3131</v>
      </c>
      <c r="G2637" s="8">
        <v>44896</v>
      </c>
      <c r="H2637" t="s">
        <v>578</v>
      </c>
      <c r="I2637" t="s">
        <v>114</v>
      </c>
      <c r="J2637" t="s">
        <v>54</v>
      </c>
      <c r="K2637" t="s">
        <v>29</v>
      </c>
      <c r="L2637" t="s">
        <v>895</v>
      </c>
      <c r="M2637" t="s">
        <v>4402</v>
      </c>
      <c r="O2637" t="s">
        <v>896</v>
      </c>
      <c r="P2637" t="s">
        <v>33</v>
      </c>
      <c r="Q2637" s="22">
        <v>1240.01</v>
      </c>
      <c r="R2637" t="s">
        <v>35</v>
      </c>
      <c r="S2637" t="s">
        <v>35</v>
      </c>
      <c r="T2637" t="s">
        <v>35</v>
      </c>
      <c r="U2637" t="s">
        <v>35</v>
      </c>
      <c r="V2637" t="s">
        <v>645</v>
      </c>
      <c r="W2637" t="s">
        <v>113</v>
      </c>
    </row>
    <row r="2638" spans="1:23" hidden="1" x14ac:dyDescent="0.25">
      <c r="A2638" s="7" t="str">
        <f>IFERROR(VLOOKUP(H2638,'Contas Orç'!A:B,2,0),"N/A")</f>
        <v>ENCARGOS SOCIAIS</v>
      </c>
      <c r="B2638" s="7" t="str">
        <f t="shared" si="82"/>
        <v>330102 - ENCARGOS SOCIAIS</v>
      </c>
      <c r="C2638" s="25">
        <f t="shared" si="83"/>
        <v>44896</v>
      </c>
      <c r="D2638" s="27">
        <f>IF(K2638="CREDITO",Q2638,Q2638*-1)</f>
        <v>5529.89</v>
      </c>
      <c r="E2638" t="s">
        <v>894</v>
      </c>
      <c r="F2638" t="s">
        <v>3132</v>
      </c>
      <c r="G2638" s="8">
        <v>44896</v>
      </c>
      <c r="H2638" t="s">
        <v>578</v>
      </c>
      <c r="I2638" t="s">
        <v>75</v>
      </c>
      <c r="J2638" t="s">
        <v>54</v>
      </c>
      <c r="K2638" t="s">
        <v>29</v>
      </c>
      <c r="L2638" t="s">
        <v>895</v>
      </c>
      <c r="M2638" t="s">
        <v>4402</v>
      </c>
      <c r="O2638" t="s">
        <v>896</v>
      </c>
      <c r="P2638" t="s">
        <v>33</v>
      </c>
      <c r="Q2638" s="22">
        <v>5529.89</v>
      </c>
      <c r="R2638" t="s">
        <v>35</v>
      </c>
      <c r="S2638" t="s">
        <v>35</v>
      </c>
      <c r="T2638" t="s">
        <v>35</v>
      </c>
      <c r="U2638" t="s">
        <v>35</v>
      </c>
      <c r="V2638" t="s">
        <v>645</v>
      </c>
      <c r="W2638" t="s">
        <v>113</v>
      </c>
    </row>
    <row r="2639" spans="1:23" hidden="1" x14ac:dyDescent="0.25">
      <c r="A2639" s="7" t="str">
        <f>IFERROR(VLOOKUP(H2639,'Contas Orç'!A:B,2,0),"N/A")</f>
        <v>ENCARGOS SOCIAIS</v>
      </c>
      <c r="B2639" s="7" t="str">
        <f t="shared" si="82"/>
        <v>330102 - ENCARGOS SOCIAIS</v>
      </c>
      <c r="C2639" s="25">
        <f t="shared" si="83"/>
        <v>44896</v>
      </c>
      <c r="D2639" s="27">
        <f>IF(K2639="CREDITO",Q2639,Q2639*-1)</f>
        <v>3732.49</v>
      </c>
      <c r="E2639" t="s">
        <v>894</v>
      </c>
      <c r="F2639" t="s">
        <v>3133</v>
      </c>
      <c r="G2639" s="8">
        <v>44896</v>
      </c>
      <c r="H2639" t="s">
        <v>578</v>
      </c>
      <c r="I2639" t="s">
        <v>78</v>
      </c>
      <c r="J2639" t="s">
        <v>54</v>
      </c>
      <c r="K2639" t="s">
        <v>29</v>
      </c>
      <c r="L2639" t="s">
        <v>895</v>
      </c>
      <c r="M2639" t="s">
        <v>4402</v>
      </c>
      <c r="O2639" t="s">
        <v>896</v>
      </c>
      <c r="P2639" t="s">
        <v>33</v>
      </c>
      <c r="Q2639" s="22">
        <v>3732.49</v>
      </c>
      <c r="R2639" t="s">
        <v>35</v>
      </c>
      <c r="S2639" t="s">
        <v>35</v>
      </c>
      <c r="T2639" t="s">
        <v>35</v>
      </c>
      <c r="U2639" t="s">
        <v>35</v>
      </c>
      <c r="V2639" t="s">
        <v>645</v>
      </c>
      <c r="W2639" t="s">
        <v>113</v>
      </c>
    </row>
    <row r="2640" spans="1:23" hidden="1" x14ac:dyDescent="0.25">
      <c r="A2640" s="7" t="str">
        <f>IFERROR(VLOOKUP(H2640,'Contas Orç'!A:B,2,0),"N/A")</f>
        <v>ENCARGOS SOCIAIS</v>
      </c>
      <c r="B2640" s="7" t="str">
        <f t="shared" si="82"/>
        <v>330102 - ENCARGOS SOCIAIS</v>
      </c>
      <c r="C2640" s="25">
        <f t="shared" si="83"/>
        <v>44896</v>
      </c>
      <c r="D2640" s="27">
        <f>IF(K2640="CREDITO",Q2640,Q2640*-1)</f>
        <v>1648.53</v>
      </c>
      <c r="E2640" t="s">
        <v>894</v>
      </c>
      <c r="F2640" t="s">
        <v>3134</v>
      </c>
      <c r="G2640" s="8">
        <v>44896</v>
      </c>
      <c r="H2640" t="s">
        <v>578</v>
      </c>
      <c r="I2640" t="s">
        <v>81</v>
      </c>
      <c r="J2640" t="s">
        <v>54</v>
      </c>
      <c r="K2640" t="s">
        <v>29</v>
      </c>
      <c r="L2640" t="s">
        <v>895</v>
      </c>
      <c r="M2640" t="s">
        <v>4402</v>
      </c>
      <c r="O2640" t="s">
        <v>896</v>
      </c>
      <c r="P2640" t="s">
        <v>33</v>
      </c>
      <c r="Q2640" s="22">
        <v>1648.53</v>
      </c>
      <c r="R2640" t="s">
        <v>35</v>
      </c>
      <c r="S2640" t="s">
        <v>35</v>
      </c>
      <c r="T2640" t="s">
        <v>35</v>
      </c>
      <c r="U2640" t="s">
        <v>35</v>
      </c>
      <c r="V2640" t="s">
        <v>645</v>
      </c>
      <c r="W2640" t="s">
        <v>113</v>
      </c>
    </row>
    <row r="2641" spans="1:23" hidden="1" x14ac:dyDescent="0.25">
      <c r="A2641" s="7" t="str">
        <f>IFERROR(VLOOKUP(H2641,'Contas Orç'!A:B,2,0),"N/A")</f>
        <v>ENCARGOS SOCIAIS</v>
      </c>
      <c r="B2641" s="7" t="str">
        <f t="shared" si="82"/>
        <v>330102 - ENCARGOS SOCIAIS</v>
      </c>
      <c r="C2641" s="25">
        <f t="shared" si="83"/>
        <v>44896</v>
      </c>
      <c r="D2641" s="27">
        <f>IF(K2641="CREDITO",Q2641,Q2641*-1)</f>
        <v>910.1</v>
      </c>
      <c r="E2641" t="s">
        <v>894</v>
      </c>
      <c r="F2641" t="s">
        <v>3135</v>
      </c>
      <c r="G2641" s="8">
        <v>44896</v>
      </c>
      <c r="H2641" t="s">
        <v>578</v>
      </c>
      <c r="I2641" t="s">
        <v>136</v>
      </c>
      <c r="J2641" t="s">
        <v>54</v>
      </c>
      <c r="K2641" t="s">
        <v>29</v>
      </c>
      <c r="L2641" t="s">
        <v>895</v>
      </c>
      <c r="M2641" t="s">
        <v>4402</v>
      </c>
      <c r="O2641" t="s">
        <v>896</v>
      </c>
      <c r="P2641" t="s">
        <v>33</v>
      </c>
      <c r="Q2641">
        <v>910.1</v>
      </c>
      <c r="R2641" t="s">
        <v>35</v>
      </c>
      <c r="S2641" t="s">
        <v>35</v>
      </c>
      <c r="T2641" t="s">
        <v>35</v>
      </c>
      <c r="U2641" t="s">
        <v>35</v>
      </c>
      <c r="V2641" t="s">
        <v>645</v>
      </c>
      <c r="W2641" t="s">
        <v>113</v>
      </c>
    </row>
    <row r="2642" spans="1:23" hidden="1" x14ac:dyDescent="0.25">
      <c r="A2642" s="7" t="str">
        <f>IFERROR(VLOOKUP(H2642,'Contas Orç'!A:B,2,0),"N/A")</f>
        <v>BENEFICIOS</v>
      </c>
      <c r="B2642" s="7" t="str">
        <f t="shared" si="82"/>
        <v>330103 - BENEFICIOS</v>
      </c>
      <c r="C2642" s="25">
        <f t="shared" si="83"/>
        <v>44562</v>
      </c>
      <c r="D2642" s="27">
        <f>IF(K2642="CREDITO",Q2642,Q2642*-1)</f>
        <v>3104.92</v>
      </c>
      <c r="E2642" t="s">
        <v>894</v>
      </c>
      <c r="F2642" t="s">
        <v>3136</v>
      </c>
      <c r="G2642" s="8">
        <v>44562</v>
      </c>
      <c r="H2642" t="s">
        <v>74</v>
      </c>
      <c r="I2642" t="s">
        <v>99</v>
      </c>
      <c r="J2642" t="s">
        <v>28</v>
      </c>
      <c r="K2642" t="s">
        <v>29</v>
      </c>
      <c r="L2642" t="s">
        <v>895</v>
      </c>
      <c r="M2642" t="s">
        <v>4402</v>
      </c>
      <c r="O2642" t="s">
        <v>896</v>
      </c>
      <c r="P2642" t="s">
        <v>33</v>
      </c>
      <c r="Q2642" s="22">
        <v>3104.92</v>
      </c>
      <c r="R2642" t="s">
        <v>35</v>
      </c>
      <c r="S2642" t="s">
        <v>35</v>
      </c>
      <c r="T2642" t="s">
        <v>35</v>
      </c>
      <c r="U2642" t="s">
        <v>35</v>
      </c>
      <c r="V2642" t="s">
        <v>645</v>
      </c>
      <c r="W2642" t="s">
        <v>113</v>
      </c>
    </row>
    <row r="2643" spans="1:23" hidden="1" x14ac:dyDescent="0.25">
      <c r="A2643" s="7" t="str">
        <f>IFERROR(VLOOKUP(H2643,'Contas Orç'!A:B,2,0),"N/A")</f>
        <v>BENEFICIOS</v>
      </c>
      <c r="B2643" s="7" t="str">
        <f t="shared" si="82"/>
        <v>330103 - BENEFICIOS</v>
      </c>
      <c r="C2643" s="25">
        <f t="shared" si="83"/>
        <v>44562</v>
      </c>
      <c r="D2643" s="27">
        <f>IF(K2643="CREDITO",Q2643,Q2643*-1)</f>
        <v>1978.02</v>
      </c>
      <c r="E2643" t="s">
        <v>894</v>
      </c>
      <c r="F2643" t="s">
        <v>3137</v>
      </c>
      <c r="G2643" s="8">
        <v>44562</v>
      </c>
      <c r="H2643" t="s">
        <v>74</v>
      </c>
      <c r="I2643" t="s">
        <v>81</v>
      </c>
      <c r="J2643" t="s">
        <v>60</v>
      </c>
      <c r="K2643" t="s">
        <v>29</v>
      </c>
      <c r="L2643" t="s">
        <v>895</v>
      </c>
      <c r="M2643" t="s">
        <v>4402</v>
      </c>
      <c r="O2643" t="s">
        <v>896</v>
      </c>
      <c r="P2643" t="s">
        <v>33</v>
      </c>
      <c r="Q2643" s="22">
        <v>1978.02</v>
      </c>
      <c r="R2643" t="s">
        <v>35</v>
      </c>
      <c r="S2643" t="s">
        <v>35</v>
      </c>
      <c r="T2643" t="s">
        <v>35</v>
      </c>
      <c r="U2643" t="s">
        <v>35</v>
      </c>
      <c r="V2643" t="s">
        <v>645</v>
      </c>
      <c r="W2643" t="s">
        <v>113</v>
      </c>
    </row>
    <row r="2644" spans="1:23" hidden="1" x14ac:dyDescent="0.25">
      <c r="A2644" s="7" t="str">
        <f>IFERROR(VLOOKUP(H2644,'Contas Orç'!A:B,2,0),"N/A")</f>
        <v>BENEFICIOS</v>
      </c>
      <c r="B2644" s="7" t="str">
        <f t="shared" si="82"/>
        <v>330103 - BENEFICIOS</v>
      </c>
      <c r="C2644" s="25">
        <f t="shared" si="83"/>
        <v>44562</v>
      </c>
      <c r="D2644" s="27">
        <f>IF(K2644="CREDITO",Q2644,Q2644*-1)</f>
        <v>848.95</v>
      </c>
      <c r="E2644" t="s">
        <v>894</v>
      </c>
      <c r="F2644" t="s">
        <v>3138</v>
      </c>
      <c r="G2644" s="8">
        <v>44562</v>
      </c>
      <c r="H2644" t="s">
        <v>74</v>
      </c>
      <c r="I2644" t="s">
        <v>68</v>
      </c>
      <c r="J2644" t="s">
        <v>69</v>
      </c>
      <c r="K2644" t="s">
        <v>29</v>
      </c>
      <c r="L2644" t="s">
        <v>895</v>
      </c>
      <c r="M2644" t="s">
        <v>4402</v>
      </c>
      <c r="O2644" t="s">
        <v>896</v>
      </c>
      <c r="P2644" t="s">
        <v>33</v>
      </c>
      <c r="Q2644">
        <v>848.95</v>
      </c>
      <c r="R2644" t="s">
        <v>35</v>
      </c>
      <c r="S2644" t="s">
        <v>35</v>
      </c>
      <c r="T2644" t="s">
        <v>35</v>
      </c>
      <c r="U2644" t="s">
        <v>35</v>
      </c>
      <c r="V2644" t="s">
        <v>645</v>
      </c>
      <c r="W2644" t="s">
        <v>113</v>
      </c>
    </row>
    <row r="2645" spans="1:23" hidden="1" x14ac:dyDescent="0.25">
      <c r="A2645" s="7" t="str">
        <f>IFERROR(VLOOKUP(H2645,'Contas Orç'!A:B,2,0),"N/A")</f>
        <v>BENEFICIOS</v>
      </c>
      <c r="B2645" s="7" t="str">
        <f t="shared" si="82"/>
        <v>330103 - BENEFICIOS</v>
      </c>
      <c r="C2645" s="25">
        <f t="shared" si="83"/>
        <v>44562</v>
      </c>
      <c r="D2645" s="27">
        <f>IF(K2645="CREDITO",Q2645,Q2645*-1)</f>
        <v>10828.99</v>
      </c>
      <c r="E2645" t="s">
        <v>894</v>
      </c>
      <c r="F2645" t="s">
        <v>3139</v>
      </c>
      <c r="G2645" s="8">
        <v>44562</v>
      </c>
      <c r="H2645" t="s">
        <v>74</v>
      </c>
      <c r="I2645" t="s">
        <v>2062</v>
      </c>
      <c r="J2645" t="s">
        <v>54</v>
      </c>
      <c r="K2645" t="s">
        <v>29</v>
      </c>
      <c r="L2645" t="s">
        <v>895</v>
      </c>
      <c r="M2645" t="s">
        <v>4402</v>
      </c>
      <c r="O2645" t="s">
        <v>896</v>
      </c>
      <c r="P2645" t="s">
        <v>33</v>
      </c>
      <c r="Q2645" s="22">
        <v>10828.99</v>
      </c>
      <c r="R2645" t="s">
        <v>35</v>
      </c>
      <c r="S2645" t="s">
        <v>35</v>
      </c>
      <c r="T2645" t="s">
        <v>35</v>
      </c>
      <c r="U2645" t="s">
        <v>35</v>
      </c>
      <c r="V2645" t="s">
        <v>645</v>
      </c>
      <c r="W2645" t="s">
        <v>113</v>
      </c>
    </row>
    <row r="2646" spans="1:23" hidden="1" x14ac:dyDescent="0.25">
      <c r="A2646" s="7" t="str">
        <f>IFERROR(VLOOKUP(H2646,'Contas Orç'!A:B,2,0),"N/A")</f>
        <v>BENEFICIOS</v>
      </c>
      <c r="B2646" s="7" t="str">
        <f t="shared" si="82"/>
        <v>330103 - BENEFICIOS</v>
      </c>
      <c r="C2646" s="25">
        <f t="shared" si="83"/>
        <v>44562</v>
      </c>
      <c r="D2646" s="27">
        <f>IF(K2646="CREDITO",Q2646,Q2646*-1)</f>
        <v>28621.599999999999</v>
      </c>
      <c r="E2646" t="s">
        <v>894</v>
      </c>
      <c r="F2646" t="s">
        <v>3140</v>
      </c>
      <c r="G2646" s="8">
        <v>44562</v>
      </c>
      <c r="H2646" t="s">
        <v>74</v>
      </c>
      <c r="I2646" t="s">
        <v>40</v>
      </c>
      <c r="J2646" t="s">
        <v>54</v>
      </c>
      <c r="K2646" t="s">
        <v>29</v>
      </c>
      <c r="L2646" t="s">
        <v>895</v>
      </c>
      <c r="M2646" t="s">
        <v>4402</v>
      </c>
      <c r="O2646" t="s">
        <v>896</v>
      </c>
      <c r="P2646" t="s">
        <v>33</v>
      </c>
      <c r="Q2646" s="22">
        <v>28621.599999999999</v>
      </c>
      <c r="R2646" t="s">
        <v>35</v>
      </c>
      <c r="S2646" t="s">
        <v>35</v>
      </c>
      <c r="T2646" t="s">
        <v>35</v>
      </c>
      <c r="U2646" t="s">
        <v>35</v>
      </c>
      <c r="V2646" t="s">
        <v>645</v>
      </c>
      <c r="W2646" t="s">
        <v>113</v>
      </c>
    </row>
    <row r="2647" spans="1:23" hidden="1" x14ac:dyDescent="0.25">
      <c r="A2647" s="7" t="str">
        <f>IFERROR(VLOOKUP(H2647,'Contas Orç'!A:B,2,0),"N/A")</f>
        <v>BENEFICIOS</v>
      </c>
      <c r="B2647" s="7" t="str">
        <f t="shared" si="82"/>
        <v>330103 - BENEFICIOS</v>
      </c>
      <c r="C2647" s="25">
        <f t="shared" si="83"/>
        <v>44562</v>
      </c>
      <c r="D2647" s="27">
        <f>IF(K2647="CREDITO",Q2647,Q2647*-1)</f>
        <v>635.96</v>
      </c>
      <c r="E2647" t="s">
        <v>894</v>
      </c>
      <c r="F2647" t="s">
        <v>3141</v>
      </c>
      <c r="G2647" s="8">
        <v>44562</v>
      </c>
      <c r="H2647" t="s">
        <v>74</v>
      </c>
      <c r="I2647" t="s">
        <v>1002</v>
      </c>
      <c r="J2647" t="s">
        <v>54</v>
      </c>
      <c r="K2647" t="s">
        <v>29</v>
      </c>
      <c r="L2647" t="s">
        <v>895</v>
      </c>
      <c r="M2647" t="s">
        <v>4402</v>
      </c>
      <c r="O2647" t="s">
        <v>896</v>
      </c>
      <c r="P2647" t="s">
        <v>33</v>
      </c>
      <c r="Q2647">
        <v>635.96</v>
      </c>
      <c r="R2647" t="s">
        <v>35</v>
      </c>
      <c r="S2647" t="s">
        <v>35</v>
      </c>
      <c r="T2647" t="s">
        <v>35</v>
      </c>
      <c r="U2647" t="s">
        <v>35</v>
      </c>
      <c r="V2647" t="s">
        <v>645</v>
      </c>
      <c r="W2647" t="s">
        <v>113</v>
      </c>
    </row>
    <row r="2648" spans="1:23" hidden="1" x14ac:dyDescent="0.25">
      <c r="A2648" s="7" t="str">
        <f>IFERROR(VLOOKUP(H2648,'Contas Orç'!A:B,2,0),"N/A")</f>
        <v>BENEFICIOS</v>
      </c>
      <c r="B2648" s="7" t="str">
        <f t="shared" si="82"/>
        <v>330103 - BENEFICIOS</v>
      </c>
      <c r="C2648" s="25">
        <f t="shared" si="83"/>
        <v>44562</v>
      </c>
      <c r="D2648" s="27">
        <f>IF(K2648="CREDITO",Q2648,Q2648*-1)</f>
        <v>713.75</v>
      </c>
      <c r="E2648" t="s">
        <v>894</v>
      </c>
      <c r="F2648" t="s">
        <v>3142</v>
      </c>
      <c r="G2648" s="8">
        <v>44562</v>
      </c>
      <c r="H2648" t="s">
        <v>74</v>
      </c>
      <c r="I2648" t="s">
        <v>121</v>
      </c>
      <c r="J2648" t="s">
        <v>54</v>
      </c>
      <c r="K2648" t="s">
        <v>29</v>
      </c>
      <c r="L2648" t="s">
        <v>895</v>
      </c>
      <c r="M2648" t="s">
        <v>4402</v>
      </c>
      <c r="O2648" t="s">
        <v>896</v>
      </c>
      <c r="P2648" t="s">
        <v>33</v>
      </c>
      <c r="Q2648">
        <v>713.75</v>
      </c>
      <c r="R2648" t="s">
        <v>35</v>
      </c>
      <c r="S2648" t="s">
        <v>35</v>
      </c>
      <c r="T2648" t="s">
        <v>35</v>
      </c>
      <c r="U2648" t="s">
        <v>35</v>
      </c>
      <c r="V2648" t="s">
        <v>645</v>
      </c>
      <c r="W2648" t="s">
        <v>113</v>
      </c>
    </row>
    <row r="2649" spans="1:23" hidden="1" x14ac:dyDescent="0.25">
      <c r="A2649" s="7" t="str">
        <f>IFERROR(VLOOKUP(H2649,'Contas Orç'!A:B,2,0),"N/A")</f>
        <v>BENEFICIOS</v>
      </c>
      <c r="B2649" s="7" t="str">
        <f t="shared" si="82"/>
        <v>330103 - BENEFICIOS</v>
      </c>
      <c r="C2649" s="25">
        <f t="shared" si="83"/>
        <v>44562</v>
      </c>
      <c r="D2649" s="27">
        <f>IF(K2649="CREDITO",Q2649,Q2649*-1)</f>
        <v>3878.22</v>
      </c>
      <c r="E2649" t="s">
        <v>894</v>
      </c>
      <c r="F2649" t="s">
        <v>3143</v>
      </c>
      <c r="G2649" s="8">
        <v>44562</v>
      </c>
      <c r="H2649" t="s">
        <v>74</v>
      </c>
      <c r="I2649" t="s">
        <v>132</v>
      </c>
      <c r="J2649" t="s">
        <v>54</v>
      </c>
      <c r="K2649" t="s">
        <v>29</v>
      </c>
      <c r="L2649" t="s">
        <v>895</v>
      </c>
      <c r="M2649" t="s">
        <v>4402</v>
      </c>
      <c r="O2649" t="s">
        <v>896</v>
      </c>
      <c r="P2649" t="s">
        <v>33</v>
      </c>
      <c r="Q2649" s="22">
        <v>3878.22</v>
      </c>
      <c r="R2649" t="s">
        <v>35</v>
      </c>
      <c r="S2649" t="s">
        <v>35</v>
      </c>
      <c r="T2649" t="s">
        <v>35</v>
      </c>
      <c r="U2649" t="s">
        <v>35</v>
      </c>
      <c r="V2649" t="s">
        <v>645</v>
      </c>
      <c r="W2649" t="s">
        <v>113</v>
      </c>
    </row>
    <row r="2650" spans="1:23" hidden="1" x14ac:dyDescent="0.25">
      <c r="A2650" s="7" t="str">
        <f>IFERROR(VLOOKUP(H2650,'Contas Orç'!A:B,2,0),"N/A")</f>
        <v>BENEFICIOS</v>
      </c>
      <c r="B2650" s="7" t="str">
        <f t="shared" si="82"/>
        <v>330103 - BENEFICIOS</v>
      </c>
      <c r="C2650" s="25">
        <f t="shared" si="83"/>
        <v>44562</v>
      </c>
      <c r="D2650" s="27">
        <f>IF(K2650="CREDITO",Q2650,Q2650*-1)</f>
        <v>807.54</v>
      </c>
      <c r="E2650" t="s">
        <v>894</v>
      </c>
      <c r="F2650" t="s">
        <v>3144</v>
      </c>
      <c r="G2650" s="8">
        <v>44562</v>
      </c>
      <c r="H2650" t="s">
        <v>74</v>
      </c>
      <c r="I2650" t="s">
        <v>114</v>
      </c>
      <c r="J2650" t="s">
        <v>54</v>
      </c>
      <c r="K2650" t="s">
        <v>29</v>
      </c>
      <c r="L2650" t="s">
        <v>895</v>
      </c>
      <c r="M2650" t="s">
        <v>4402</v>
      </c>
      <c r="O2650" t="s">
        <v>896</v>
      </c>
      <c r="P2650" t="s">
        <v>33</v>
      </c>
      <c r="Q2650">
        <v>807.54</v>
      </c>
      <c r="R2650" t="s">
        <v>35</v>
      </c>
      <c r="S2650" t="s">
        <v>35</v>
      </c>
      <c r="T2650" t="s">
        <v>35</v>
      </c>
      <c r="U2650" t="s">
        <v>35</v>
      </c>
      <c r="V2650" t="s">
        <v>645</v>
      </c>
      <c r="W2650" t="s">
        <v>113</v>
      </c>
    </row>
    <row r="2651" spans="1:23" hidden="1" x14ac:dyDescent="0.25">
      <c r="A2651" s="7" t="str">
        <f>IFERROR(VLOOKUP(H2651,'Contas Orç'!A:B,2,0),"N/A")</f>
        <v>BENEFICIOS</v>
      </c>
      <c r="B2651" s="7" t="str">
        <f t="shared" si="82"/>
        <v>330103 - BENEFICIOS</v>
      </c>
      <c r="C2651" s="25">
        <f t="shared" si="83"/>
        <v>44562</v>
      </c>
      <c r="D2651" s="27">
        <f>IF(K2651="CREDITO",Q2651,Q2651*-1)</f>
        <v>26</v>
      </c>
      <c r="E2651" t="s">
        <v>894</v>
      </c>
      <c r="F2651" t="s">
        <v>3145</v>
      </c>
      <c r="G2651" s="8">
        <v>44562</v>
      </c>
      <c r="H2651" t="s">
        <v>74</v>
      </c>
      <c r="I2651" t="s">
        <v>99</v>
      </c>
      <c r="J2651" t="s">
        <v>54</v>
      </c>
      <c r="K2651" t="s">
        <v>29</v>
      </c>
      <c r="L2651" t="s">
        <v>895</v>
      </c>
      <c r="M2651" t="s">
        <v>4402</v>
      </c>
      <c r="O2651" t="s">
        <v>896</v>
      </c>
      <c r="P2651" t="s">
        <v>33</v>
      </c>
      <c r="Q2651">
        <v>26</v>
      </c>
      <c r="R2651" t="s">
        <v>35</v>
      </c>
      <c r="S2651" t="s">
        <v>35</v>
      </c>
      <c r="T2651" t="s">
        <v>35</v>
      </c>
      <c r="U2651" t="s">
        <v>35</v>
      </c>
      <c r="V2651" t="s">
        <v>645</v>
      </c>
      <c r="W2651" t="s">
        <v>113</v>
      </c>
    </row>
    <row r="2652" spans="1:23" hidden="1" x14ac:dyDescent="0.25">
      <c r="A2652" s="7" t="str">
        <f>IFERROR(VLOOKUP(H2652,'Contas Orç'!A:B,2,0),"N/A")</f>
        <v>BENEFICIOS</v>
      </c>
      <c r="B2652" s="7" t="str">
        <f t="shared" si="82"/>
        <v>330103 - BENEFICIOS</v>
      </c>
      <c r="C2652" s="25">
        <f t="shared" si="83"/>
        <v>44562</v>
      </c>
      <c r="D2652" s="27">
        <f>IF(K2652="CREDITO",Q2652,Q2652*-1)</f>
        <v>5486.67</v>
      </c>
      <c r="E2652" t="s">
        <v>894</v>
      </c>
      <c r="F2652" t="s">
        <v>3146</v>
      </c>
      <c r="G2652" s="8">
        <v>44562</v>
      </c>
      <c r="H2652" t="s">
        <v>74</v>
      </c>
      <c r="I2652" t="s">
        <v>75</v>
      </c>
      <c r="J2652" t="s">
        <v>54</v>
      </c>
      <c r="K2652" t="s">
        <v>29</v>
      </c>
      <c r="L2652" t="s">
        <v>895</v>
      </c>
      <c r="M2652" t="s">
        <v>4402</v>
      </c>
      <c r="O2652" t="s">
        <v>896</v>
      </c>
      <c r="P2652" t="s">
        <v>33</v>
      </c>
      <c r="Q2652" s="22">
        <v>5486.67</v>
      </c>
      <c r="R2652" t="s">
        <v>35</v>
      </c>
      <c r="S2652" t="s">
        <v>35</v>
      </c>
      <c r="T2652" t="s">
        <v>35</v>
      </c>
      <c r="U2652" t="s">
        <v>35</v>
      </c>
      <c r="V2652" t="s">
        <v>645</v>
      </c>
      <c r="W2652" t="s">
        <v>113</v>
      </c>
    </row>
    <row r="2653" spans="1:23" hidden="1" x14ac:dyDescent="0.25">
      <c r="A2653" s="7" t="str">
        <f>IFERROR(VLOOKUP(H2653,'Contas Orç'!A:B,2,0),"N/A")</f>
        <v>BENEFICIOS</v>
      </c>
      <c r="B2653" s="7" t="str">
        <f t="shared" si="82"/>
        <v>330103 - BENEFICIOS</v>
      </c>
      <c r="C2653" s="25">
        <f t="shared" si="83"/>
        <v>44562</v>
      </c>
      <c r="D2653" s="27">
        <f>IF(K2653="CREDITO",Q2653,Q2653*-1)</f>
        <v>5091.16</v>
      </c>
      <c r="E2653" t="s">
        <v>894</v>
      </c>
      <c r="F2653" t="s">
        <v>3147</v>
      </c>
      <c r="G2653" s="8">
        <v>44562</v>
      </c>
      <c r="H2653" t="s">
        <v>74</v>
      </c>
      <c r="I2653" t="s">
        <v>78</v>
      </c>
      <c r="J2653" t="s">
        <v>54</v>
      </c>
      <c r="K2653" t="s">
        <v>29</v>
      </c>
      <c r="L2653" t="s">
        <v>895</v>
      </c>
      <c r="M2653" t="s">
        <v>4402</v>
      </c>
      <c r="O2653" t="s">
        <v>896</v>
      </c>
      <c r="P2653" t="s">
        <v>33</v>
      </c>
      <c r="Q2653" s="22">
        <v>5091.16</v>
      </c>
      <c r="R2653" t="s">
        <v>35</v>
      </c>
      <c r="S2653" t="s">
        <v>35</v>
      </c>
      <c r="T2653" t="s">
        <v>35</v>
      </c>
      <c r="U2653" t="s">
        <v>35</v>
      </c>
      <c r="V2653" t="s">
        <v>645</v>
      </c>
      <c r="W2653" t="s">
        <v>113</v>
      </c>
    </row>
    <row r="2654" spans="1:23" hidden="1" x14ac:dyDescent="0.25">
      <c r="A2654" s="7" t="str">
        <f>IFERROR(VLOOKUP(H2654,'Contas Orç'!A:B,2,0),"N/A")</f>
        <v>BENEFICIOS</v>
      </c>
      <c r="B2654" s="7" t="str">
        <f t="shared" si="82"/>
        <v>330103 - BENEFICIOS</v>
      </c>
      <c r="C2654" s="25">
        <f t="shared" si="83"/>
        <v>44562</v>
      </c>
      <c r="D2654" s="27">
        <f>IF(K2654="CREDITO",Q2654,Q2654*-1)</f>
        <v>6466.95</v>
      </c>
      <c r="E2654" t="s">
        <v>894</v>
      </c>
      <c r="F2654" t="s">
        <v>3148</v>
      </c>
      <c r="G2654" s="8">
        <v>44562</v>
      </c>
      <c r="H2654" t="s">
        <v>74</v>
      </c>
      <c r="I2654" t="s">
        <v>81</v>
      </c>
      <c r="J2654" t="s">
        <v>54</v>
      </c>
      <c r="K2654" t="s">
        <v>29</v>
      </c>
      <c r="L2654" t="s">
        <v>895</v>
      </c>
      <c r="M2654" t="s">
        <v>4402</v>
      </c>
      <c r="O2654" t="s">
        <v>896</v>
      </c>
      <c r="P2654" t="s">
        <v>33</v>
      </c>
      <c r="Q2654" s="22">
        <v>6466.95</v>
      </c>
      <c r="R2654" t="s">
        <v>35</v>
      </c>
      <c r="S2654" t="s">
        <v>35</v>
      </c>
      <c r="T2654" t="s">
        <v>35</v>
      </c>
      <c r="U2654" t="s">
        <v>35</v>
      </c>
      <c r="V2654" t="s">
        <v>645</v>
      </c>
      <c r="W2654" t="s">
        <v>113</v>
      </c>
    </row>
    <row r="2655" spans="1:23" hidden="1" x14ac:dyDescent="0.25">
      <c r="A2655" s="7" t="str">
        <f>IFERROR(VLOOKUP(H2655,'Contas Orç'!A:B,2,0),"N/A")</f>
        <v>BENEFICIOS</v>
      </c>
      <c r="B2655" s="7" t="str">
        <f t="shared" si="82"/>
        <v>330103 - BENEFICIOS</v>
      </c>
      <c r="C2655" s="25">
        <f t="shared" si="83"/>
        <v>44562</v>
      </c>
      <c r="D2655" s="27">
        <f>IF(K2655="CREDITO",Q2655,Q2655*-1)</f>
        <v>2919.3</v>
      </c>
      <c r="E2655" t="s">
        <v>894</v>
      </c>
      <c r="F2655" t="s">
        <v>3149</v>
      </c>
      <c r="G2655" s="8">
        <v>44562</v>
      </c>
      <c r="H2655" t="s">
        <v>74</v>
      </c>
      <c r="I2655" t="s">
        <v>136</v>
      </c>
      <c r="J2655" t="s">
        <v>54</v>
      </c>
      <c r="K2655" t="s">
        <v>29</v>
      </c>
      <c r="L2655" t="s">
        <v>895</v>
      </c>
      <c r="M2655" t="s">
        <v>4402</v>
      </c>
      <c r="O2655" t="s">
        <v>896</v>
      </c>
      <c r="P2655" t="s">
        <v>33</v>
      </c>
      <c r="Q2655" s="22">
        <v>2919.3</v>
      </c>
      <c r="R2655" t="s">
        <v>35</v>
      </c>
      <c r="S2655" t="s">
        <v>35</v>
      </c>
      <c r="T2655" t="s">
        <v>35</v>
      </c>
      <c r="U2655" t="s">
        <v>35</v>
      </c>
      <c r="V2655" t="s">
        <v>645</v>
      </c>
      <c r="W2655" t="s">
        <v>113</v>
      </c>
    </row>
    <row r="2656" spans="1:23" hidden="1" x14ac:dyDescent="0.25">
      <c r="A2656" s="7" t="str">
        <f>IFERROR(VLOOKUP(H2656,'Contas Orç'!A:B,2,0),"N/A")</f>
        <v>BENEFICIOS</v>
      </c>
      <c r="B2656" s="7" t="str">
        <f t="shared" si="82"/>
        <v>330103 - BENEFICIOS</v>
      </c>
      <c r="C2656" s="25">
        <f t="shared" si="83"/>
        <v>44593</v>
      </c>
      <c r="D2656" s="27">
        <f>IF(K2656="CREDITO",Q2656,Q2656*-1)</f>
        <v>2832.92</v>
      </c>
      <c r="E2656" t="s">
        <v>894</v>
      </c>
      <c r="F2656" t="s">
        <v>3150</v>
      </c>
      <c r="G2656" s="8">
        <v>44593</v>
      </c>
      <c r="H2656" t="s">
        <v>74</v>
      </c>
      <c r="I2656" t="s">
        <v>99</v>
      </c>
      <c r="J2656" t="s">
        <v>28</v>
      </c>
      <c r="K2656" t="s">
        <v>29</v>
      </c>
      <c r="L2656" t="s">
        <v>895</v>
      </c>
      <c r="M2656" t="s">
        <v>4402</v>
      </c>
      <c r="O2656" t="s">
        <v>896</v>
      </c>
      <c r="P2656" t="s">
        <v>33</v>
      </c>
      <c r="Q2656" s="22">
        <v>2832.92</v>
      </c>
      <c r="R2656" t="s">
        <v>35</v>
      </c>
      <c r="S2656" t="s">
        <v>35</v>
      </c>
      <c r="T2656" t="s">
        <v>35</v>
      </c>
      <c r="U2656" t="s">
        <v>35</v>
      </c>
      <c r="V2656" t="s">
        <v>645</v>
      </c>
      <c r="W2656" t="s">
        <v>113</v>
      </c>
    </row>
    <row r="2657" spans="1:23" hidden="1" x14ac:dyDescent="0.25">
      <c r="A2657" s="7" t="str">
        <f>IFERROR(VLOOKUP(H2657,'Contas Orç'!A:B,2,0),"N/A")</f>
        <v>BENEFICIOS</v>
      </c>
      <c r="B2657" s="7" t="str">
        <f t="shared" si="82"/>
        <v>330103 - BENEFICIOS</v>
      </c>
      <c r="C2657" s="25">
        <f t="shared" si="83"/>
        <v>44593</v>
      </c>
      <c r="D2657" s="27">
        <f>IF(K2657="CREDITO",Q2657,Q2657*-1)</f>
        <v>1904.48</v>
      </c>
      <c r="E2657" t="s">
        <v>894</v>
      </c>
      <c r="F2657" t="s">
        <v>3151</v>
      </c>
      <c r="G2657" s="8">
        <v>44593</v>
      </c>
      <c r="H2657" t="s">
        <v>74</v>
      </c>
      <c r="I2657" t="s">
        <v>81</v>
      </c>
      <c r="J2657" t="s">
        <v>60</v>
      </c>
      <c r="K2657" t="s">
        <v>29</v>
      </c>
      <c r="L2657" t="s">
        <v>895</v>
      </c>
      <c r="M2657" t="s">
        <v>4402</v>
      </c>
      <c r="O2657" t="s">
        <v>896</v>
      </c>
      <c r="P2657" t="s">
        <v>33</v>
      </c>
      <c r="Q2657" s="22">
        <v>1904.48</v>
      </c>
      <c r="R2657" t="s">
        <v>35</v>
      </c>
      <c r="S2657" t="s">
        <v>35</v>
      </c>
      <c r="T2657" t="s">
        <v>35</v>
      </c>
      <c r="U2657" t="s">
        <v>35</v>
      </c>
      <c r="V2657" t="s">
        <v>645</v>
      </c>
      <c r="W2657" t="s">
        <v>113</v>
      </c>
    </row>
    <row r="2658" spans="1:23" hidden="1" x14ac:dyDescent="0.25">
      <c r="A2658" s="7" t="str">
        <f>IFERROR(VLOOKUP(H2658,'Contas Orç'!A:B,2,0),"N/A")</f>
        <v>BENEFICIOS</v>
      </c>
      <c r="B2658" s="7" t="str">
        <f t="shared" si="82"/>
        <v>330103 - BENEFICIOS</v>
      </c>
      <c r="C2658" s="25">
        <f t="shared" si="83"/>
        <v>44593</v>
      </c>
      <c r="D2658" s="27">
        <f>IF(K2658="CREDITO",Q2658,Q2658*-1)</f>
        <v>683.96</v>
      </c>
      <c r="E2658" t="s">
        <v>894</v>
      </c>
      <c r="F2658" t="s">
        <v>3152</v>
      </c>
      <c r="G2658" s="8">
        <v>44593</v>
      </c>
      <c r="H2658" t="s">
        <v>74</v>
      </c>
      <c r="I2658" t="s">
        <v>68</v>
      </c>
      <c r="J2658" t="s">
        <v>69</v>
      </c>
      <c r="K2658" t="s">
        <v>29</v>
      </c>
      <c r="L2658" t="s">
        <v>895</v>
      </c>
      <c r="M2658" t="s">
        <v>4402</v>
      </c>
      <c r="O2658" t="s">
        <v>896</v>
      </c>
      <c r="P2658" t="s">
        <v>33</v>
      </c>
      <c r="Q2658">
        <v>683.96</v>
      </c>
      <c r="R2658" t="s">
        <v>35</v>
      </c>
      <c r="S2658" t="s">
        <v>35</v>
      </c>
      <c r="T2658" t="s">
        <v>35</v>
      </c>
      <c r="U2658" t="s">
        <v>35</v>
      </c>
      <c r="V2658" t="s">
        <v>645</v>
      </c>
      <c r="W2658" t="s">
        <v>113</v>
      </c>
    </row>
    <row r="2659" spans="1:23" hidden="1" x14ac:dyDescent="0.25">
      <c r="A2659" s="7" t="str">
        <f>IFERROR(VLOOKUP(H2659,'Contas Orç'!A:B,2,0),"N/A")</f>
        <v>BENEFICIOS</v>
      </c>
      <c r="B2659" s="7" t="str">
        <f t="shared" si="82"/>
        <v>330103 - BENEFICIOS</v>
      </c>
      <c r="C2659" s="25">
        <f t="shared" si="83"/>
        <v>44593</v>
      </c>
      <c r="D2659" s="27">
        <f>IF(K2659="CREDITO",Q2659,Q2659*-1)</f>
        <v>11649.63</v>
      </c>
      <c r="E2659" t="s">
        <v>894</v>
      </c>
      <c r="F2659" t="s">
        <v>3153</v>
      </c>
      <c r="G2659" s="8">
        <v>44593</v>
      </c>
      <c r="H2659" t="s">
        <v>74</v>
      </c>
      <c r="I2659" t="s">
        <v>2062</v>
      </c>
      <c r="J2659" t="s">
        <v>54</v>
      </c>
      <c r="K2659" t="s">
        <v>29</v>
      </c>
      <c r="L2659" t="s">
        <v>895</v>
      </c>
      <c r="M2659" t="s">
        <v>4402</v>
      </c>
      <c r="O2659" t="s">
        <v>896</v>
      </c>
      <c r="P2659" t="s">
        <v>33</v>
      </c>
      <c r="Q2659" s="22">
        <v>11649.63</v>
      </c>
      <c r="R2659" t="s">
        <v>35</v>
      </c>
      <c r="S2659" t="s">
        <v>35</v>
      </c>
      <c r="T2659" t="s">
        <v>35</v>
      </c>
      <c r="U2659" t="s">
        <v>35</v>
      </c>
      <c r="V2659" t="s">
        <v>645</v>
      </c>
      <c r="W2659" t="s">
        <v>113</v>
      </c>
    </row>
    <row r="2660" spans="1:23" hidden="1" x14ac:dyDescent="0.25">
      <c r="A2660" s="7" t="str">
        <f>IFERROR(VLOOKUP(H2660,'Contas Orç'!A:B,2,0),"N/A")</f>
        <v>BENEFICIOS</v>
      </c>
      <c r="B2660" s="7" t="str">
        <f t="shared" si="82"/>
        <v>330103 - BENEFICIOS</v>
      </c>
      <c r="C2660" s="25">
        <f t="shared" si="83"/>
        <v>44593</v>
      </c>
      <c r="D2660" s="27">
        <f>IF(K2660="CREDITO",Q2660,Q2660*-1)</f>
        <v>28791.25</v>
      </c>
      <c r="E2660" t="s">
        <v>894</v>
      </c>
      <c r="F2660" t="s">
        <v>3154</v>
      </c>
      <c r="G2660" s="8">
        <v>44593</v>
      </c>
      <c r="H2660" t="s">
        <v>74</v>
      </c>
      <c r="I2660" t="s">
        <v>40</v>
      </c>
      <c r="J2660" t="s">
        <v>54</v>
      </c>
      <c r="K2660" t="s">
        <v>29</v>
      </c>
      <c r="L2660" t="s">
        <v>895</v>
      </c>
      <c r="M2660" t="s">
        <v>4402</v>
      </c>
      <c r="O2660" t="s">
        <v>896</v>
      </c>
      <c r="P2660" t="s">
        <v>33</v>
      </c>
      <c r="Q2660" s="22">
        <v>28791.25</v>
      </c>
      <c r="R2660" t="s">
        <v>35</v>
      </c>
      <c r="S2660" t="s">
        <v>35</v>
      </c>
      <c r="T2660" t="s">
        <v>35</v>
      </c>
      <c r="U2660" t="s">
        <v>35</v>
      </c>
      <c r="V2660" t="s">
        <v>645</v>
      </c>
      <c r="W2660" t="s">
        <v>113</v>
      </c>
    </row>
    <row r="2661" spans="1:23" hidden="1" x14ac:dyDescent="0.25">
      <c r="A2661" s="7" t="str">
        <f>IFERROR(VLOOKUP(H2661,'Contas Orç'!A:B,2,0),"N/A")</f>
        <v>BENEFICIOS</v>
      </c>
      <c r="B2661" s="7" t="str">
        <f t="shared" si="82"/>
        <v>330103 - BENEFICIOS</v>
      </c>
      <c r="C2661" s="25">
        <f t="shared" si="83"/>
        <v>44593</v>
      </c>
      <c r="D2661" s="27">
        <f>IF(K2661="CREDITO",Q2661,Q2661*-1)</f>
        <v>633.96</v>
      </c>
      <c r="E2661" t="s">
        <v>894</v>
      </c>
      <c r="F2661" t="s">
        <v>3155</v>
      </c>
      <c r="G2661" s="8">
        <v>44593</v>
      </c>
      <c r="H2661" t="s">
        <v>74</v>
      </c>
      <c r="I2661" t="s">
        <v>1002</v>
      </c>
      <c r="J2661" t="s">
        <v>54</v>
      </c>
      <c r="K2661" t="s">
        <v>29</v>
      </c>
      <c r="L2661" t="s">
        <v>895</v>
      </c>
      <c r="M2661" t="s">
        <v>4402</v>
      </c>
      <c r="O2661" t="s">
        <v>896</v>
      </c>
      <c r="P2661" t="s">
        <v>33</v>
      </c>
      <c r="Q2661">
        <v>633.96</v>
      </c>
      <c r="R2661" t="s">
        <v>35</v>
      </c>
      <c r="S2661" t="s">
        <v>35</v>
      </c>
      <c r="T2661" t="s">
        <v>35</v>
      </c>
      <c r="U2661" t="s">
        <v>35</v>
      </c>
      <c r="V2661" t="s">
        <v>645</v>
      </c>
      <c r="W2661" t="s">
        <v>113</v>
      </c>
    </row>
    <row r="2662" spans="1:23" hidden="1" x14ac:dyDescent="0.25">
      <c r="A2662" s="7" t="str">
        <f>IFERROR(VLOOKUP(H2662,'Contas Orç'!A:B,2,0),"N/A")</f>
        <v>BENEFICIOS</v>
      </c>
      <c r="B2662" s="7" t="str">
        <f t="shared" si="82"/>
        <v>330103 - BENEFICIOS</v>
      </c>
      <c r="C2662" s="25">
        <f t="shared" si="83"/>
        <v>44593</v>
      </c>
      <c r="D2662" s="27">
        <f>IF(K2662="CREDITO",Q2662,Q2662*-1)</f>
        <v>665.75</v>
      </c>
      <c r="E2662" t="s">
        <v>894</v>
      </c>
      <c r="F2662" t="s">
        <v>3156</v>
      </c>
      <c r="G2662" s="8">
        <v>44593</v>
      </c>
      <c r="H2662" t="s">
        <v>74</v>
      </c>
      <c r="I2662" t="s">
        <v>121</v>
      </c>
      <c r="J2662" t="s">
        <v>54</v>
      </c>
      <c r="K2662" t="s">
        <v>29</v>
      </c>
      <c r="L2662" t="s">
        <v>895</v>
      </c>
      <c r="M2662" t="s">
        <v>4402</v>
      </c>
      <c r="O2662" t="s">
        <v>896</v>
      </c>
      <c r="P2662" t="s">
        <v>33</v>
      </c>
      <c r="Q2662">
        <v>665.75</v>
      </c>
      <c r="R2662" t="s">
        <v>35</v>
      </c>
      <c r="S2662" t="s">
        <v>35</v>
      </c>
      <c r="T2662" t="s">
        <v>35</v>
      </c>
      <c r="U2662" t="s">
        <v>35</v>
      </c>
      <c r="V2662" t="s">
        <v>645</v>
      </c>
      <c r="W2662" t="s">
        <v>113</v>
      </c>
    </row>
    <row r="2663" spans="1:23" hidden="1" x14ac:dyDescent="0.25">
      <c r="A2663" s="7" t="str">
        <f>IFERROR(VLOOKUP(H2663,'Contas Orç'!A:B,2,0),"N/A")</f>
        <v>BENEFICIOS</v>
      </c>
      <c r="B2663" s="7" t="str">
        <f t="shared" si="82"/>
        <v>330103 - BENEFICIOS</v>
      </c>
      <c r="C2663" s="25">
        <f t="shared" si="83"/>
        <v>44593</v>
      </c>
      <c r="D2663" s="27">
        <f>IF(K2663="CREDITO",Q2663,Q2663*-1)</f>
        <v>3719.02</v>
      </c>
      <c r="E2663" t="s">
        <v>894</v>
      </c>
      <c r="F2663" t="s">
        <v>3157</v>
      </c>
      <c r="G2663" s="8">
        <v>44593</v>
      </c>
      <c r="H2663" t="s">
        <v>74</v>
      </c>
      <c r="I2663" t="s">
        <v>132</v>
      </c>
      <c r="J2663" t="s">
        <v>54</v>
      </c>
      <c r="K2663" t="s">
        <v>29</v>
      </c>
      <c r="L2663" t="s">
        <v>895</v>
      </c>
      <c r="M2663" t="s">
        <v>4402</v>
      </c>
      <c r="O2663" t="s">
        <v>896</v>
      </c>
      <c r="P2663" t="s">
        <v>33</v>
      </c>
      <c r="Q2663" s="22">
        <v>3719.02</v>
      </c>
      <c r="R2663" t="s">
        <v>35</v>
      </c>
      <c r="S2663" t="s">
        <v>35</v>
      </c>
      <c r="T2663" t="s">
        <v>35</v>
      </c>
      <c r="U2663" t="s">
        <v>35</v>
      </c>
      <c r="V2663" t="s">
        <v>645</v>
      </c>
      <c r="W2663" t="s">
        <v>113</v>
      </c>
    </row>
    <row r="2664" spans="1:23" hidden="1" x14ac:dyDescent="0.25">
      <c r="A2664" s="7" t="str">
        <f>IFERROR(VLOOKUP(H2664,'Contas Orç'!A:B,2,0),"N/A")</f>
        <v>BENEFICIOS</v>
      </c>
      <c r="B2664" s="7" t="str">
        <f t="shared" si="82"/>
        <v>330103 - BENEFICIOS</v>
      </c>
      <c r="C2664" s="25">
        <f t="shared" si="83"/>
        <v>44593</v>
      </c>
      <c r="D2664" s="27">
        <f>IF(K2664="CREDITO",Q2664,Q2664*-1)</f>
        <v>791.54</v>
      </c>
      <c r="E2664" t="s">
        <v>894</v>
      </c>
      <c r="F2664" t="s">
        <v>3158</v>
      </c>
      <c r="G2664" s="8">
        <v>44593</v>
      </c>
      <c r="H2664" t="s">
        <v>74</v>
      </c>
      <c r="I2664" t="s">
        <v>114</v>
      </c>
      <c r="J2664" t="s">
        <v>54</v>
      </c>
      <c r="K2664" t="s">
        <v>29</v>
      </c>
      <c r="L2664" t="s">
        <v>895</v>
      </c>
      <c r="M2664" t="s">
        <v>4402</v>
      </c>
      <c r="O2664" t="s">
        <v>896</v>
      </c>
      <c r="P2664" t="s">
        <v>33</v>
      </c>
      <c r="Q2664">
        <v>791.54</v>
      </c>
      <c r="R2664" t="s">
        <v>35</v>
      </c>
      <c r="S2664" t="s">
        <v>35</v>
      </c>
      <c r="T2664" t="s">
        <v>35</v>
      </c>
      <c r="U2664" t="s">
        <v>35</v>
      </c>
      <c r="V2664" t="s">
        <v>645</v>
      </c>
      <c r="W2664" t="s">
        <v>113</v>
      </c>
    </row>
    <row r="2665" spans="1:23" hidden="1" x14ac:dyDescent="0.25">
      <c r="A2665" s="7" t="str">
        <f>IFERROR(VLOOKUP(H2665,'Contas Orç'!A:B,2,0),"N/A")</f>
        <v>BENEFICIOS</v>
      </c>
      <c r="B2665" s="7" t="str">
        <f t="shared" si="82"/>
        <v>330103 - BENEFICIOS</v>
      </c>
      <c r="C2665" s="25">
        <f t="shared" si="83"/>
        <v>44593</v>
      </c>
      <c r="D2665" s="27">
        <f>IF(K2665="CREDITO",Q2665,Q2665*-1)</f>
        <v>14</v>
      </c>
      <c r="E2665" t="s">
        <v>894</v>
      </c>
      <c r="F2665" t="s">
        <v>3159</v>
      </c>
      <c r="G2665" s="8">
        <v>44593</v>
      </c>
      <c r="H2665" t="s">
        <v>74</v>
      </c>
      <c r="I2665" t="s">
        <v>99</v>
      </c>
      <c r="J2665" t="s">
        <v>54</v>
      </c>
      <c r="K2665" t="s">
        <v>29</v>
      </c>
      <c r="L2665" t="s">
        <v>895</v>
      </c>
      <c r="M2665" t="s">
        <v>4402</v>
      </c>
      <c r="O2665" t="s">
        <v>896</v>
      </c>
      <c r="P2665" t="s">
        <v>33</v>
      </c>
      <c r="Q2665">
        <v>14</v>
      </c>
      <c r="R2665" t="s">
        <v>35</v>
      </c>
      <c r="S2665" t="s">
        <v>35</v>
      </c>
      <c r="T2665" t="s">
        <v>35</v>
      </c>
      <c r="U2665" t="s">
        <v>35</v>
      </c>
      <c r="V2665" t="s">
        <v>645</v>
      </c>
      <c r="W2665" t="s">
        <v>113</v>
      </c>
    </row>
    <row r="2666" spans="1:23" hidden="1" x14ac:dyDescent="0.25">
      <c r="A2666" s="7" t="str">
        <f>IFERROR(VLOOKUP(H2666,'Contas Orç'!A:B,2,0),"N/A")</f>
        <v>BENEFICIOS</v>
      </c>
      <c r="B2666" s="7" t="str">
        <f t="shared" si="82"/>
        <v>330103 - BENEFICIOS</v>
      </c>
      <c r="C2666" s="25">
        <f t="shared" si="83"/>
        <v>44593</v>
      </c>
      <c r="D2666" s="27">
        <f>IF(K2666="CREDITO",Q2666,Q2666*-1)</f>
        <v>5457.87</v>
      </c>
      <c r="E2666" t="s">
        <v>894</v>
      </c>
      <c r="F2666" t="s">
        <v>3160</v>
      </c>
      <c r="G2666" s="8">
        <v>44593</v>
      </c>
      <c r="H2666" t="s">
        <v>74</v>
      </c>
      <c r="I2666" t="s">
        <v>75</v>
      </c>
      <c r="J2666" t="s">
        <v>54</v>
      </c>
      <c r="K2666" t="s">
        <v>29</v>
      </c>
      <c r="L2666" t="s">
        <v>895</v>
      </c>
      <c r="M2666" t="s">
        <v>4402</v>
      </c>
      <c r="O2666" t="s">
        <v>896</v>
      </c>
      <c r="P2666" t="s">
        <v>33</v>
      </c>
      <c r="Q2666" s="22">
        <v>5457.87</v>
      </c>
      <c r="R2666" t="s">
        <v>35</v>
      </c>
      <c r="S2666" t="s">
        <v>35</v>
      </c>
      <c r="T2666" t="s">
        <v>35</v>
      </c>
      <c r="U2666" t="s">
        <v>35</v>
      </c>
      <c r="V2666" t="s">
        <v>645</v>
      </c>
      <c r="W2666" t="s">
        <v>113</v>
      </c>
    </row>
    <row r="2667" spans="1:23" hidden="1" x14ac:dyDescent="0.25">
      <c r="A2667" s="7" t="str">
        <f>IFERROR(VLOOKUP(H2667,'Contas Orç'!A:B,2,0),"N/A")</f>
        <v>BENEFICIOS</v>
      </c>
      <c r="B2667" s="7" t="str">
        <f t="shared" si="82"/>
        <v>330103 - BENEFICIOS</v>
      </c>
      <c r="C2667" s="25">
        <f t="shared" si="83"/>
        <v>44593</v>
      </c>
      <c r="D2667" s="27">
        <f>IF(K2667="CREDITO",Q2667,Q2667*-1)</f>
        <v>4863.3500000000004</v>
      </c>
      <c r="E2667" t="s">
        <v>894</v>
      </c>
      <c r="F2667" t="s">
        <v>3161</v>
      </c>
      <c r="G2667" s="8">
        <v>44593</v>
      </c>
      <c r="H2667" t="s">
        <v>74</v>
      </c>
      <c r="I2667" t="s">
        <v>78</v>
      </c>
      <c r="J2667" t="s">
        <v>54</v>
      </c>
      <c r="K2667" t="s">
        <v>29</v>
      </c>
      <c r="L2667" t="s">
        <v>895</v>
      </c>
      <c r="M2667" t="s">
        <v>4402</v>
      </c>
      <c r="O2667" t="s">
        <v>896</v>
      </c>
      <c r="P2667" t="s">
        <v>33</v>
      </c>
      <c r="Q2667" s="22">
        <v>4863.3500000000004</v>
      </c>
      <c r="R2667" t="s">
        <v>35</v>
      </c>
      <c r="S2667" t="s">
        <v>35</v>
      </c>
      <c r="T2667" t="s">
        <v>35</v>
      </c>
      <c r="U2667" t="s">
        <v>35</v>
      </c>
      <c r="V2667" t="s">
        <v>645</v>
      </c>
      <c r="W2667" t="s">
        <v>113</v>
      </c>
    </row>
    <row r="2668" spans="1:23" hidden="1" x14ac:dyDescent="0.25">
      <c r="A2668" s="7" t="str">
        <f>IFERROR(VLOOKUP(H2668,'Contas Orç'!A:B,2,0),"N/A")</f>
        <v>BENEFICIOS</v>
      </c>
      <c r="B2668" s="7" t="str">
        <f t="shared" si="82"/>
        <v>330103 - BENEFICIOS</v>
      </c>
      <c r="C2668" s="25">
        <f t="shared" si="83"/>
        <v>44593</v>
      </c>
      <c r="D2668" s="27">
        <f>IF(K2668="CREDITO",Q2668,Q2668*-1)</f>
        <v>6042.75</v>
      </c>
      <c r="E2668" t="s">
        <v>894</v>
      </c>
      <c r="F2668" t="s">
        <v>3162</v>
      </c>
      <c r="G2668" s="8">
        <v>44593</v>
      </c>
      <c r="H2668" t="s">
        <v>74</v>
      </c>
      <c r="I2668" t="s">
        <v>81</v>
      </c>
      <c r="J2668" t="s">
        <v>54</v>
      </c>
      <c r="K2668" t="s">
        <v>29</v>
      </c>
      <c r="L2668" t="s">
        <v>895</v>
      </c>
      <c r="M2668" t="s">
        <v>4402</v>
      </c>
      <c r="O2668" t="s">
        <v>896</v>
      </c>
      <c r="P2668" t="s">
        <v>33</v>
      </c>
      <c r="Q2668" s="22">
        <v>6042.75</v>
      </c>
      <c r="R2668" t="s">
        <v>35</v>
      </c>
      <c r="S2668" t="s">
        <v>35</v>
      </c>
      <c r="T2668" t="s">
        <v>35</v>
      </c>
      <c r="U2668" t="s">
        <v>35</v>
      </c>
      <c r="V2668" t="s">
        <v>645</v>
      </c>
      <c r="W2668" t="s">
        <v>113</v>
      </c>
    </row>
    <row r="2669" spans="1:23" hidden="1" x14ac:dyDescent="0.25">
      <c r="A2669" s="7" t="str">
        <f>IFERROR(VLOOKUP(H2669,'Contas Orç'!A:B,2,0),"N/A")</f>
        <v>BENEFICIOS</v>
      </c>
      <c r="B2669" s="7" t="str">
        <f t="shared" si="82"/>
        <v>330103 - BENEFICIOS</v>
      </c>
      <c r="C2669" s="25">
        <f t="shared" si="83"/>
        <v>44593</v>
      </c>
      <c r="D2669" s="27">
        <f>IF(K2669="CREDITO",Q2669,Q2669*-1)</f>
        <v>2788.31</v>
      </c>
      <c r="E2669" t="s">
        <v>894</v>
      </c>
      <c r="F2669" t="s">
        <v>3163</v>
      </c>
      <c r="G2669" s="8">
        <v>44593</v>
      </c>
      <c r="H2669" t="s">
        <v>74</v>
      </c>
      <c r="I2669" t="s">
        <v>136</v>
      </c>
      <c r="J2669" t="s">
        <v>54</v>
      </c>
      <c r="K2669" t="s">
        <v>29</v>
      </c>
      <c r="L2669" t="s">
        <v>895</v>
      </c>
      <c r="M2669" t="s">
        <v>4402</v>
      </c>
      <c r="O2669" t="s">
        <v>896</v>
      </c>
      <c r="P2669" t="s">
        <v>33</v>
      </c>
      <c r="Q2669" s="22">
        <v>2788.31</v>
      </c>
      <c r="R2669" t="s">
        <v>35</v>
      </c>
      <c r="S2669" t="s">
        <v>35</v>
      </c>
      <c r="T2669" t="s">
        <v>35</v>
      </c>
      <c r="U2669" t="s">
        <v>35</v>
      </c>
      <c r="V2669" t="s">
        <v>645</v>
      </c>
      <c r="W2669" t="s">
        <v>113</v>
      </c>
    </row>
    <row r="2670" spans="1:23" hidden="1" x14ac:dyDescent="0.25">
      <c r="A2670" s="7" t="str">
        <f>IFERROR(VLOOKUP(H2670,'Contas Orç'!A:B,2,0),"N/A")</f>
        <v>BENEFICIOS</v>
      </c>
      <c r="B2670" s="7" t="str">
        <f t="shared" si="82"/>
        <v>330103 - BENEFICIOS</v>
      </c>
      <c r="C2670" s="25">
        <f t="shared" si="83"/>
        <v>44593</v>
      </c>
      <c r="D2670" s="27">
        <f>IF(K2670="CREDITO",Q2670,Q2670*-1)</f>
        <v>320</v>
      </c>
      <c r="E2670" t="s">
        <v>894</v>
      </c>
      <c r="F2670" t="s">
        <v>3164</v>
      </c>
      <c r="G2670" s="8">
        <v>44593</v>
      </c>
      <c r="H2670" t="s">
        <v>74</v>
      </c>
      <c r="I2670" t="s">
        <v>68</v>
      </c>
      <c r="J2670" t="s">
        <v>54</v>
      </c>
      <c r="K2670" t="s">
        <v>29</v>
      </c>
      <c r="L2670" t="s">
        <v>895</v>
      </c>
      <c r="M2670" t="s">
        <v>4402</v>
      </c>
      <c r="O2670" t="s">
        <v>896</v>
      </c>
      <c r="P2670" t="s">
        <v>33</v>
      </c>
      <c r="Q2670">
        <v>320</v>
      </c>
      <c r="R2670" t="s">
        <v>35</v>
      </c>
      <c r="S2670" t="s">
        <v>35</v>
      </c>
      <c r="T2670" t="s">
        <v>35</v>
      </c>
      <c r="U2670" t="s">
        <v>35</v>
      </c>
      <c r="V2670" t="s">
        <v>645</v>
      </c>
      <c r="W2670" t="s">
        <v>113</v>
      </c>
    </row>
    <row r="2671" spans="1:23" hidden="1" x14ac:dyDescent="0.25">
      <c r="A2671" s="7" t="str">
        <f>IFERROR(VLOOKUP(H2671,'Contas Orç'!A:B,2,0),"N/A")</f>
        <v>BENEFICIOS</v>
      </c>
      <c r="B2671" s="7" t="str">
        <f t="shared" si="82"/>
        <v>330103 - BENEFICIOS</v>
      </c>
      <c r="C2671" s="25">
        <f t="shared" si="83"/>
        <v>44621</v>
      </c>
      <c r="D2671" s="27">
        <f>IF(K2671="CREDITO",Q2671,Q2671*-1)</f>
        <v>2821.52</v>
      </c>
      <c r="E2671" t="s">
        <v>894</v>
      </c>
      <c r="F2671" t="s">
        <v>3165</v>
      </c>
      <c r="G2671" s="8">
        <v>44621</v>
      </c>
      <c r="H2671" t="s">
        <v>74</v>
      </c>
      <c r="I2671" t="s">
        <v>99</v>
      </c>
      <c r="J2671" t="s">
        <v>28</v>
      </c>
      <c r="K2671" t="s">
        <v>29</v>
      </c>
      <c r="L2671" t="s">
        <v>895</v>
      </c>
      <c r="M2671" t="s">
        <v>4402</v>
      </c>
      <c r="O2671" t="s">
        <v>896</v>
      </c>
      <c r="P2671" t="s">
        <v>33</v>
      </c>
      <c r="Q2671" s="22">
        <v>2821.52</v>
      </c>
      <c r="R2671" t="s">
        <v>35</v>
      </c>
      <c r="S2671" t="s">
        <v>35</v>
      </c>
      <c r="T2671" t="s">
        <v>35</v>
      </c>
      <c r="U2671" t="s">
        <v>35</v>
      </c>
      <c r="V2671" t="s">
        <v>645</v>
      </c>
      <c r="W2671" t="s">
        <v>113</v>
      </c>
    </row>
    <row r="2672" spans="1:23" hidden="1" x14ac:dyDescent="0.25">
      <c r="A2672" s="7" t="str">
        <f>IFERROR(VLOOKUP(H2672,'Contas Orç'!A:B,2,0),"N/A")</f>
        <v>BENEFICIOS</v>
      </c>
      <c r="B2672" s="7" t="str">
        <f t="shared" si="82"/>
        <v>330103 - BENEFICIOS</v>
      </c>
      <c r="C2672" s="25">
        <f t="shared" si="83"/>
        <v>44621</v>
      </c>
      <c r="D2672" s="27">
        <f>IF(K2672="CREDITO",Q2672,Q2672*-1)</f>
        <v>2217.36</v>
      </c>
      <c r="E2672" t="s">
        <v>894</v>
      </c>
      <c r="F2672" t="s">
        <v>3166</v>
      </c>
      <c r="G2672" s="8">
        <v>44621</v>
      </c>
      <c r="H2672" t="s">
        <v>74</v>
      </c>
      <c r="I2672" t="s">
        <v>81</v>
      </c>
      <c r="J2672" t="s">
        <v>60</v>
      </c>
      <c r="K2672" t="s">
        <v>29</v>
      </c>
      <c r="L2672" t="s">
        <v>895</v>
      </c>
      <c r="M2672" t="s">
        <v>4402</v>
      </c>
      <c r="O2672" t="s">
        <v>896</v>
      </c>
      <c r="P2672" t="s">
        <v>33</v>
      </c>
      <c r="Q2672" s="22">
        <v>2217.36</v>
      </c>
      <c r="R2672" t="s">
        <v>35</v>
      </c>
      <c r="S2672" t="s">
        <v>35</v>
      </c>
      <c r="T2672" t="s">
        <v>35</v>
      </c>
      <c r="U2672" t="s">
        <v>35</v>
      </c>
      <c r="V2672" t="s">
        <v>645</v>
      </c>
      <c r="W2672" t="s">
        <v>113</v>
      </c>
    </row>
    <row r="2673" spans="1:23" hidden="1" x14ac:dyDescent="0.25">
      <c r="A2673" s="7" t="str">
        <f>IFERROR(VLOOKUP(H2673,'Contas Orç'!A:B,2,0),"N/A")</f>
        <v>BENEFICIOS</v>
      </c>
      <c r="B2673" s="7" t="str">
        <f t="shared" si="82"/>
        <v>330103 - BENEFICIOS</v>
      </c>
      <c r="C2673" s="25">
        <f t="shared" si="83"/>
        <v>44621</v>
      </c>
      <c r="D2673" s="27">
        <f>IF(K2673="CREDITO",Q2673,Q2673*-1)</f>
        <v>288.5</v>
      </c>
      <c r="E2673" t="s">
        <v>894</v>
      </c>
      <c r="F2673" t="s">
        <v>3167</v>
      </c>
      <c r="G2673" s="8">
        <v>44621</v>
      </c>
      <c r="H2673" t="s">
        <v>74</v>
      </c>
      <c r="I2673" t="s">
        <v>68</v>
      </c>
      <c r="J2673" t="s">
        <v>69</v>
      </c>
      <c r="K2673" t="s">
        <v>29</v>
      </c>
      <c r="L2673" t="s">
        <v>895</v>
      </c>
      <c r="M2673" t="s">
        <v>4402</v>
      </c>
      <c r="O2673" t="s">
        <v>896</v>
      </c>
      <c r="P2673" t="s">
        <v>33</v>
      </c>
      <c r="Q2673">
        <v>288.5</v>
      </c>
      <c r="R2673" t="s">
        <v>35</v>
      </c>
      <c r="S2673" t="s">
        <v>35</v>
      </c>
      <c r="T2673" t="s">
        <v>35</v>
      </c>
      <c r="U2673" t="s">
        <v>35</v>
      </c>
      <c r="V2673" t="s">
        <v>645</v>
      </c>
      <c r="W2673" t="s">
        <v>113</v>
      </c>
    </row>
    <row r="2674" spans="1:23" hidden="1" x14ac:dyDescent="0.25">
      <c r="A2674" s="7" t="str">
        <f>IFERROR(VLOOKUP(H2674,'Contas Orç'!A:B,2,0),"N/A")</f>
        <v>BENEFICIOS</v>
      </c>
      <c r="B2674" s="7" t="str">
        <f t="shared" si="82"/>
        <v>330103 - BENEFICIOS</v>
      </c>
      <c r="C2674" s="25">
        <f t="shared" si="83"/>
        <v>44621</v>
      </c>
      <c r="D2674" s="27">
        <f>IF(K2674="CREDITO",Q2674,Q2674*-1)</f>
        <v>11649.63</v>
      </c>
      <c r="E2674" t="s">
        <v>894</v>
      </c>
      <c r="F2674" t="s">
        <v>3168</v>
      </c>
      <c r="G2674" s="8">
        <v>44621</v>
      </c>
      <c r="H2674" t="s">
        <v>74</v>
      </c>
      <c r="I2674" t="s">
        <v>2062</v>
      </c>
      <c r="J2674" t="s">
        <v>54</v>
      </c>
      <c r="K2674" t="s">
        <v>29</v>
      </c>
      <c r="L2674" t="s">
        <v>895</v>
      </c>
      <c r="M2674" t="s">
        <v>4402</v>
      </c>
      <c r="O2674" t="s">
        <v>896</v>
      </c>
      <c r="P2674" t="s">
        <v>33</v>
      </c>
      <c r="Q2674" s="22">
        <v>11649.63</v>
      </c>
      <c r="R2674" t="s">
        <v>35</v>
      </c>
      <c r="S2674" t="s">
        <v>35</v>
      </c>
      <c r="T2674" t="s">
        <v>35</v>
      </c>
      <c r="U2674" t="s">
        <v>35</v>
      </c>
      <c r="V2674" t="s">
        <v>645</v>
      </c>
      <c r="W2674" t="s">
        <v>113</v>
      </c>
    </row>
    <row r="2675" spans="1:23" hidden="1" x14ac:dyDescent="0.25">
      <c r="A2675" s="7" t="str">
        <f>IFERROR(VLOOKUP(H2675,'Contas Orç'!A:B,2,0),"N/A")</f>
        <v>BENEFICIOS</v>
      </c>
      <c r="B2675" s="7" t="str">
        <f t="shared" si="82"/>
        <v>330103 - BENEFICIOS</v>
      </c>
      <c r="C2675" s="25">
        <f t="shared" si="83"/>
        <v>44621</v>
      </c>
      <c r="D2675" s="27">
        <f>IF(K2675="CREDITO",Q2675,Q2675*-1)</f>
        <v>28656.42</v>
      </c>
      <c r="E2675" t="s">
        <v>894</v>
      </c>
      <c r="F2675" t="s">
        <v>3169</v>
      </c>
      <c r="G2675" s="8">
        <v>44621</v>
      </c>
      <c r="H2675" t="s">
        <v>74</v>
      </c>
      <c r="I2675" t="s">
        <v>40</v>
      </c>
      <c r="J2675" t="s">
        <v>54</v>
      </c>
      <c r="K2675" t="s">
        <v>29</v>
      </c>
      <c r="L2675" t="s">
        <v>895</v>
      </c>
      <c r="M2675" t="s">
        <v>4402</v>
      </c>
      <c r="O2675" t="s">
        <v>896</v>
      </c>
      <c r="P2675" t="s">
        <v>33</v>
      </c>
      <c r="Q2675" s="22">
        <v>28656.42</v>
      </c>
      <c r="R2675" t="s">
        <v>35</v>
      </c>
      <c r="S2675" t="s">
        <v>35</v>
      </c>
      <c r="T2675" t="s">
        <v>35</v>
      </c>
      <c r="U2675" t="s">
        <v>35</v>
      </c>
      <c r="V2675" t="s">
        <v>645</v>
      </c>
      <c r="W2675" t="s">
        <v>113</v>
      </c>
    </row>
    <row r="2676" spans="1:23" hidden="1" x14ac:dyDescent="0.25">
      <c r="A2676" s="7" t="str">
        <f>IFERROR(VLOOKUP(H2676,'Contas Orç'!A:B,2,0),"N/A")</f>
        <v>BENEFICIOS</v>
      </c>
      <c r="B2676" s="7" t="str">
        <f t="shared" si="82"/>
        <v>330103 - BENEFICIOS</v>
      </c>
      <c r="C2676" s="25">
        <f t="shared" si="83"/>
        <v>44621</v>
      </c>
      <c r="D2676" s="27">
        <f>IF(K2676="CREDITO",Q2676,Q2676*-1)</f>
        <v>651.96</v>
      </c>
      <c r="E2676" t="s">
        <v>894</v>
      </c>
      <c r="F2676" t="s">
        <v>3170</v>
      </c>
      <c r="G2676" s="8">
        <v>44621</v>
      </c>
      <c r="H2676" t="s">
        <v>74</v>
      </c>
      <c r="I2676" t="s">
        <v>1002</v>
      </c>
      <c r="J2676" t="s">
        <v>54</v>
      </c>
      <c r="K2676" t="s">
        <v>29</v>
      </c>
      <c r="L2676" t="s">
        <v>895</v>
      </c>
      <c r="M2676" t="s">
        <v>4402</v>
      </c>
      <c r="O2676" t="s">
        <v>896</v>
      </c>
      <c r="P2676" t="s">
        <v>33</v>
      </c>
      <c r="Q2676">
        <v>651.96</v>
      </c>
      <c r="R2676" t="s">
        <v>35</v>
      </c>
      <c r="S2676" t="s">
        <v>35</v>
      </c>
      <c r="T2676" t="s">
        <v>35</v>
      </c>
      <c r="U2676" t="s">
        <v>35</v>
      </c>
      <c r="V2676" t="s">
        <v>645</v>
      </c>
      <c r="W2676" t="s">
        <v>113</v>
      </c>
    </row>
    <row r="2677" spans="1:23" hidden="1" x14ac:dyDescent="0.25">
      <c r="A2677" s="7" t="str">
        <f>IFERROR(VLOOKUP(H2677,'Contas Orç'!A:B,2,0),"N/A")</f>
        <v>BENEFICIOS</v>
      </c>
      <c r="B2677" s="7" t="str">
        <f t="shared" si="82"/>
        <v>330103 - BENEFICIOS</v>
      </c>
      <c r="C2677" s="25">
        <f t="shared" si="83"/>
        <v>44621</v>
      </c>
      <c r="D2677" s="27">
        <f>IF(K2677="CREDITO",Q2677,Q2677*-1)</f>
        <v>655.14</v>
      </c>
      <c r="E2677" t="s">
        <v>894</v>
      </c>
      <c r="F2677" t="s">
        <v>3171</v>
      </c>
      <c r="G2677" s="8">
        <v>44621</v>
      </c>
      <c r="H2677" t="s">
        <v>74</v>
      </c>
      <c r="I2677" t="s">
        <v>121</v>
      </c>
      <c r="J2677" t="s">
        <v>54</v>
      </c>
      <c r="K2677" t="s">
        <v>29</v>
      </c>
      <c r="L2677" t="s">
        <v>895</v>
      </c>
      <c r="M2677" t="s">
        <v>4402</v>
      </c>
      <c r="O2677" t="s">
        <v>896</v>
      </c>
      <c r="P2677" t="s">
        <v>33</v>
      </c>
      <c r="Q2677">
        <v>655.14</v>
      </c>
      <c r="R2677" t="s">
        <v>35</v>
      </c>
      <c r="S2677" t="s">
        <v>35</v>
      </c>
      <c r="T2677" t="s">
        <v>35</v>
      </c>
      <c r="U2677" t="s">
        <v>35</v>
      </c>
      <c r="V2677" t="s">
        <v>645</v>
      </c>
      <c r="W2677" t="s">
        <v>113</v>
      </c>
    </row>
    <row r="2678" spans="1:23" hidden="1" x14ac:dyDescent="0.25">
      <c r="A2678" s="7" t="str">
        <f>IFERROR(VLOOKUP(H2678,'Contas Orç'!A:B,2,0),"N/A")</f>
        <v>BENEFICIOS</v>
      </c>
      <c r="B2678" s="7" t="str">
        <f t="shared" si="82"/>
        <v>330103 - BENEFICIOS</v>
      </c>
      <c r="C2678" s="25">
        <f t="shared" si="83"/>
        <v>44621</v>
      </c>
      <c r="D2678" s="27">
        <f>IF(K2678="CREDITO",Q2678,Q2678*-1)</f>
        <v>3808.83</v>
      </c>
      <c r="E2678" t="s">
        <v>894</v>
      </c>
      <c r="F2678" t="s">
        <v>3172</v>
      </c>
      <c r="G2678" s="8">
        <v>44621</v>
      </c>
      <c r="H2678" t="s">
        <v>74</v>
      </c>
      <c r="I2678" t="s">
        <v>132</v>
      </c>
      <c r="J2678" t="s">
        <v>54</v>
      </c>
      <c r="K2678" t="s">
        <v>29</v>
      </c>
      <c r="L2678" t="s">
        <v>895</v>
      </c>
      <c r="M2678" t="s">
        <v>4402</v>
      </c>
      <c r="O2678" t="s">
        <v>896</v>
      </c>
      <c r="P2678" t="s">
        <v>33</v>
      </c>
      <c r="Q2678" s="22">
        <v>3808.83</v>
      </c>
      <c r="R2678" t="s">
        <v>35</v>
      </c>
      <c r="S2678" t="s">
        <v>35</v>
      </c>
      <c r="T2678" t="s">
        <v>35</v>
      </c>
      <c r="U2678" t="s">
        <v>35</v>
      </c>
      <c r="V2678" t="s">
        <v>645</v>
      </c>
      <c r="W2678" t="s">
        <v>113</v>
      </c>
    </row>
    <row r="2679" spans="1:23" hidden="1" x14ac:dyDescent="0.25">
      <c r="A2679" s="7" t="str">
        <f>IFERROR(VLOOKUP(H2679,'Contas Orç'!A:B,2,0),"N/A")</f>
        <v>BENEFICIOS</v>
      </c>
      <c r="B2679" s="7" t="str">
        <f t="shared" si="82"/>
        <v>330103 - BENEFICIOS</v>
      </c>
      <c r="C2679" s="25">
        <f t="shared" si="83"/>
        <v>44621</v>
      </c>
      <c r="D2679" s="27">
        <f>IF(K2679="CREDITO",Q2679,Q2679*-1)</f>
        <v>753.85</v>
      </c>
      <c r="E2679" t="s">
        <v>894</v>
      </c>
      <c r="F2679" t="s">
        <v>3173</v>
      </c>
      <c r="G2679" s="8">
        <v>44621</v>
      </c>
      <c r="H2679" t="s">
        <v>74</v>
      </c>
      <c r="I2679" t="s">
        <v>114</v>
      </c>
      <c r="J2679" t="s">
        <v>54</v>
      </c>
      <c r="K2679" t="s">
        <v>29</v>
      </c>
      <c r="L2679" t="s">
        <v>895</v>
      </c>
      <c r="M2679" t="s">
        <v>4402</v>
      </c>
      <c r="O2679" t="s">
        <v>896</v>
      </c>
      <c r="P2679" t="s">
        <v>33</v>
      </c>
      <c r="Q2679">
        <v>753.85</v>
      </c>
      <c r="R2679" t="s">
        <v>35</v>
      </c>
      <c r="S2679" t="s">
        <v>35</v>
      </c>
      <c r="T2679" t="s">
        <v>35</v>
      </c>
      <c r="U2679" t="s">
        <v>35</v>
      </c>
      <c r="V2679" t="s">
        <v>645</v>
      </c>
      <c r="W2679" t="s">
        <v>113</v>
      </c>
    </row>
    <row r="2680" spans="1:23" hidden="1" x14ac:dyDescent="0.25">
      <c r="A2680" s="7" t="str">
        <f>IFERROR(VLOOKUP(H2680,'Contas Orç'!A:B,2,0),"N/A")</f>
        <v>BENEFICIOS</v>
      </c>
      <c r="B2680" s="7" t="str">
        <f t="shared" si="82"/>
        <v>330103 - BENEFICIOS</v>
      </c>
      <c r="C2680" s="25">
        <f t="shared" si="83"/>
        <v>44621</v>
      </c>
      <c r="D2680" s="27">
        <f>IF(K2680="CREDITO",Q2680,Q2680*-1)</f>
        <v>4829.67</v>
      </c>
      <c r="E2680" t="s">
        <v>894</v>
      </c>
      <c r="F2680" t="s">
        <v>3174</v>
      </c>
      <c r="G2680" s="8">
        <v>44621</v>
      </c>
      <c r="H2680" t="s">
        <v>74</v>
      </c>
      <c r="I2680" t="s">
        <v>75</v>
      </c>
      <c r="J2680" t="s">
        <v>54</v>
      </c>
      <c r="K2680" t="s">
        <v>29</v>
      </c>
      <c r="L2680" t="s">
        <v>895</v>
      </c>
      <c r="M2680" t="s">
        <v>4402</v>
      </c>
      <c r="O2680" t="s">
        <v>896</v>
      </c>
      <c r="P2680" t="s">
        <v>33</v>
      </c>
      <c r="Q2680" s="22">
        <v>4829.67</v>
      </c>
      <c r="R2680" t="s">
        <v>35</v>
      </c>
      <c r="S2680" t="s">
        <v>35</v>
      </c>
      <c r="T2680" t="s">
        <v>35</v>
      </c>
      <c r="U2680" t="s">
        <v>35</v>
      </c>
      <c r="V2680" t="s">
        <v>645</v>
      </c>
      <c r="W2680" t="s">
        <v>113</v>
      </c>
    </row>
    <row r="2681" spans="1:23" hidden="1" x14ac:dyDescent="0.25">
      <c r="A2681" s="7" t="str">
        <f>IFERROR(VLOOKUP(H2681,'Contas Orç'!A:B,2,0),"N/A")</f>
        <v>BENEFICIOS</v>
      </c>
      <c r="B2681" s="7" t="str">
        <f t="shared" si="82"/>
        <v>330103 - BENEFICIOS</v>
      </c>
      <c r="C2681" s="25">
        <f t="shared" si="83"/>
        <v>44621</v>
      </c>
      <c r="D2681" s="27">
        <f>IF(K2681="CREDITO",Q2681,Q2681*-1)</f>
        <v>4485.63</v>
      </c>
      <c r="E2681" t="s">
        <v>894</v>
      </c>
      <c r="F2681" t="s">
        <v>3175</v>
      </c>
      <c r="G2681" s="8">
        <v>44621</v>
      </c>
      <c r="H2681" t="s">
        <v>74</v>
      </c>
      <c r="I2681" t="s">
        <v>78</v>
      </c>
      <c r="J2681" t="s">
        <v>54</v>
      </c>
      <c r="K2681" t="s">
        <v>29</v>
      </c>
      <c r="L2681" t="s">
        <v>895</v>
      </c>
      <c r="M2681" t="s">
        <v>4402</v>
      </c>
      <c r="O2681" t="s">
        <v>896</v>
      </c>
      <c r="P2681" t="s">
        <v>33</v>
      </c>
      <c r="Q2681" s="22">
        <v>4485.63</v>
      </c>
      <c r="R2681" t="s">
        <v>35</v>
      </c>
      <c r="S2681" t="s">
        <v>35</v>
      </c>
      <c r="T2681" t="s">
        <v>35</v>
      </c>
      <c r="U2681" t="s">
        <v>35</v>
      </c>
      <c r="V2681" t="s">
        <v>645</v>
      </c>
      <c r="W2681" t="s">
        <v>113</v>
      </c>
    </row>
    <row r="2682" spans="1:23" hidden="1" x14ac:dyDescent="0.25">
      <c r="A2682" s="7" t="str">
        <f>IFERROR(VLOOKUP(H2682,'Contas Orç'!A:B,2,0),"N/A")</f>
        <v>BENEFICIOS</v>
      </c>
      <c r="B2682" s="7" t="str">
        <f t="shared" si="82"/>
        <v>330103 - BENEFICIOS</v>
      </c>
      <c r="C2682" s="25">
        <f t="shared" si="83"/>
        <v>44621</v>
      </c>
      <c r="D2682" s="27">
        <f>IF(K2682="CREDITO",Q2682,Q2682*-1)</f>
        <v>5399.44</v>
      </c>
      <c r="E2682" t="s">
        <v>894</v>
      </c>
      <c r="F2682" t="s">
        <v>3176</v>
      </c>
      <c r="G2682" s="8">
        <v>44621</v>
      </c>
      <c r="H2682" t="s">
        <v>74</v>
      </c>
      <c r="I2682" t="s">
        <v>81</v>
      </c>
      <c r="J2682" t="s">
        <v>54</v>
      </c>
      <c r="K2682" t="s">
        <v>29</v>
      </c>
      <c r="L2682" t="s">
        <v>895</v>
      </c>
      <c r="M2682" t="s">
        <v>4402</v>
      </c>
      <c r="O2682" t="s">
        <v>896</v>
      </c>
      <c r="P2682" t="s">
        <v>33</v>
      </c>
      <c r="Q2682" s="22">
        <v>5399.44</v>
      </c>
      <c r="R2682" t="s">
        <v>35</v>
      </c>
      <c r="S2682" t="s">
        <v>35</v>
      </c>
      <c r="T2682" t="s">
        <v>35</v>
      </c>
      <c r="U2682" t="s">
        <v>35</v>
      </c>
      <c r="V2682" t="s">
        <v>645</v>
      </c>
      <c r="W2682" t="s">
        <v>113</v>
      </c>
    </row>
    <row r="2683" spans="1:23" hidden="1" x14ac:dyDescent="0.25">
      <c r="A2683" s="7" t="str">
        <f>IFERROR(VLOOKUP(H2683,'Contas Orç'!A:B,2,0),"N/A")</f>
        <v>BENEFICIOS</v>
      </c>
      <c r="B2683" s="7" t="str">
        <f t="shared" si="82"/>
        <v>330103 - BENEFICIOS</v>
      </c>
      <c r="C2683" s="25">
        <f t="shared" si="83"/>
        <v>44621</v>
      </c>
      <c r="D2683" s="27">
        <f>IF(K2683="CREDITO",Q2683,Q2683*-1)</f>
        <v>2845.41</v>
      </c>
      <c r="E2683" t="s">
        <v>894</v>
      </c>
      <c r="F2683" t="s">
        <v>3177</v>
      </c>
      <c r="G2683" s="8">
        <v>44621</v>
      </c>
      <c r="H2683" t="s">
        <v>74</v>
      </c>
      <c r="I2683" t="s">
        <v>136</v>
      </c>
      <c r="J2683" t="s">
        <v>54</v>
      </c>
      <c r="K2683" t="s">
        <v>29</v>
      </c>
      <c r="L2683" t="s">
        <v>895</v>
      </c>
      <c r="M2683" t="s">
        <v>4402</v>
      </c>
      <c r="O2683" t="s">
        <v>896</v>
      </c>
      <c r="P2683" t="s">
        <v>33</v>
      </c>
      <c r="Q2683" s="22">
        <v>2845.41</v>
      </c>
      <c r="R2683" t="s">
        <v>35</v>
      </c>
      <c r="S2683" t="s">
        <v>35</v>
      </c>
      <c r="T2683" t="s">
        <v>35</v>
      </c>
      <c r="U2683" t="s">
        <v>35</v>
      </c>
      <c r="V2683" t="s">
        <v>645</v>
      </c>
      <c r="W2683" t="s">
        <v>113</v>
      </c>
    </row>
    <row r="2684" spans="1:23" hidden="1" x14ac:dyDescent="0.25">
      <c r="A2684" s="7" t="str">
        <f>IFERROR(VLOOKUP(H2684,'Contas Orç'!A:B,2,0),"N/A")</f>
        <v>BENEFICIOS</v>
      </c>
      <c r="B2684" s="7" t="str">
        <f t="shared" si="82"/>
        <v>330103 - BENEFICIOS</v>
      </c>
      <c r="C2684" s="25">
        <f t="shared" si="83"/>
        <v>44652</v>
      </c>
      <c r="D2684" s="27">
        <f>IF(K2684="CREDITO",Q2684,Q2684*-1)</f>
        <v>3036.19</v>
      </c>
      <c r="E2684" t="s">
        <v>894</v>
      </c>
      <c r="F2684" t="s">
        <v>3178</v>
      </c>
      <c r="G2684" s="8">
        <v>44652</v>
      </c>
      <c r="H2684" t="s">
        <v>74</v>
      </c>
      <c r="I2684" t="s">
        <v>99</v>
      </c>
      <c r="J2684" t="s">
        <v>28</v>
      </c>
      <c r="K2684" t="s">
        <v>29</v>
      </c>
      <c r="L2684" t="s">
        <v>895</v>
      </c>
      <c r="M2684" t="s">
        <v>4402</v>
      </c>
      <c r="O2684" t="s">
        <v>896</v>
      </c>
      <c r="P2684" t="s">
        <v>33</v>
      </c>
      <c r="Q2684" s="22">
        <v>3036.19</v>
      </c>
      <c r="R2684" t="s">
        <v>35</v>
      </c>
      <c r="S2684" t="s">
        <v>35</v>
      </c>
      <c r="T2684" t="s">
        <v>35</v>
      </c>
      <c r="U2684" t="s">
        <v>35</v>
      </c>
      <c r="V2684" t="s">
        <v>645</v>
      </c>
      <c r="W2684" t="s">
        <v>113</v>
      </c>
    </row>
    <row r="2685" spans="1:23" hidden="1" x14ac:dyDescent="0.25">
      <c r="A2685" s="7" t="str">
        <f>IFERROR(VLOOKUP(H2685,'Contas Orç'!A:B,2,0),"N/A")</f>
        <v>BENEFICIOS</v>
      </c>
      <c r="B2685" s="7" t="str">
        <f t="shared" si="82"/>
        <v>330103 - BENEFICIOS</v>
      </c>
      <c r="C2685" s="25">
        <f t="shared" si="83"/>
        <v>44652</v>
      </c>
      <c r="D2685" s="27">
        <f>IF(K2685="CREDITO",Q2685,Q2685*-1)</f>
        <v>2797.28</v>
      </c>
      <c r="E2685" t="s">
        <v>894</v>
      </c>
      <c r="F2685" t="s">
        <v>3179</v>
      </c>
      <c r="G2685" s="8">
        <v>44652</v>
      </c>
      <c r="H2685" t="s">
        <v>74</v>
      </c>
      <c r="I2685" t="s">
        <v>81</v>
      </c>
      <c r="J2685" t="s">
        <v>60</v>
      </c>
      <c r="K2685" t="s">
        <v>29</v>
      </c>
      <c r="L2685" t="s">
        <v>895</v>
      </c>
      <c r="M2685" t="s">
        <v>4402</v>
      </c>
      <c r="O2685" t="s">
        <v>896</v>
      </c>
      <c r="P2685" t="s">
        <v>33</v>
      </c>
      <c r="Q2685" s="22">
        <v>2797.28</v>
      </c>
      <c r="R2685" t="s">
        <v>35</v>
      </c>
      <c r="S2685" t="s">
        <v>35</v>
      </c>
      <c r="T2685" t="s">
        <v>35</v>
      </c>
      <c r="U2685" t="s">
        <v>35</v>
      </c>
      <c r="V2685" t="s">
        <v>645</v>
      </c>
      <c r="W2685" t="s">
        <v>113</v>
      </c>
    </row>
    <row r="2686" spans="1:23" hidden="1" x14ac:dyDescent="0.25">
      <c r="A2686" s="7" t="str">
        <f>IFERROR(VLOOKUP(H2686,'Contas Orç'!A:B,2,0),"N/A")</f>
        <v>BENEFICIOS</v>
      </c>
      <c r="B2686" s="7" t="str">
        <f t="shared" si="82"/>
        <v>330103 - BENEFICIOS</v>
      </c>
      <c r="C2686" s="25">
        <f t="shared" si="83"/>
        <v>44652</v>
      </c>
      <c r="D2686" s="27">
        <f>IF(K2686="CREDITO",Q2686,Q2686*-1)</f>
        <v>8673.11</v>
      </c>
      <c r="E2686" t="s">
        <v>894</v>
      </c>
      <c r="F2686" t="s">
        <v>3180</v>
      </c>
      <c r="G2686" s="8">
        <v>44652</v>
      </c>
      <c r="H2686" t="s">
        <v>74</v>
      </c>
      <c r="I2686" t="s">
        <v>2062</v>
      </c>
      <c r="J2686" t="s">
        <v>54</v>
      </c>
      <c r="K2686" t="s">
        <v>29</v>
      </c>
      <c r="L2686" t="s">
        <v>895</v>
      </c>
      <c r="M2686" t="s">
        <v>4402</v>
      </c>
      <c r="O2686" t="s">
        <v>896</v>
      </c>
      <c r="P2686" t="s">
        <v>33</v>
      </c>
      <c r="Q2686" s="22">
        <v>8673.11</v>
      </c>
      <c r="R2686" t="s">
        <v>35</v>
      </c>
      <c r="S2686" t="s">
        <v>35</v>
      </c>
      <c r="T2686" t="s">
        <v>35</v>
      </c>
      <c r="U2686" t="s">
        <v>35</v>
      </c>
      <c r="V2686" t="s">
        <v>645</v>
      </c>
      <c r="W2686" t="s">
        <v>113</v>
      </c>
    </row>
    <row r="2687" spans="1:23" hidden="1" x14ac:dyDescent="0.25">
      <c r="A2687" s="7" t="str">
        <f>IFERROR(VLOOKUP(H2687,'Contas Orç'!A:B,2,0),"N/A")</f>
        <v>BENEFICIOS</v>
      </c>
      <c r="B2687" s="7" t="str">
        <f t="shared" si="82"/>
        <v>330103 - BENEFICIOS</v>
      </c>
      <c r="C2687" s="25">
        <f t="shared" si="83"/>
        <v>44652</v>
      </c>
      <c r="D2687" s="27">
        <f>IF(K2687="CREDITO",Q2687,Q2687*-1)</f>
        <v>27012.75</v>
      </c>
      <c r="E2687" t="s">
        <v>894</v>
      </c>
      <c r="F2687" t="s">
        <v>3181</v>
      </c>
      <c r="G2687" s="8">
        <v>44652</v>
      </c>
      <c r="H2687" t="s">
        <v>74</v>
      </c>
      <c r="I2687" t="s">
        <v>40</v>
      </c>
      <c r="J2687" t="s">
        <v>54</v>
      </c>
      <c r="K2687" t="s">
        <v>29</v>
      </c>
      <c r="L2687" t="s">
        <v>895</v>
      </c>
      <c r="M2687" t="s">
        <v>4402</v>
      </c>
      <c r="O2687" t="s">
        <v>896</v>
      </c>
      <c r="P2687" t="s">
        <v>33</v>
      </c>
      <c r="Q2687" s="22">
        <v>27012.75</v>
      </c>
      <c r="R2687" t="s">
        <v>35</v>
      </c>
      <c r="S2687" t="s">
        <v>35</v>
      </c>
      <c r="T2687" t="s">
        <v>35</v>
      </c>
      <c r="U2687" t="s">
        <v>35</v>
      </c>
      <c r="V2687" t="s">
        <v>645</v>
      </c>
      <c r="W2687" t="s">
        <v>113</v>
      </c>
    </row>
    <row r="2688" spans="1:23" hidden="1" x14ac:dyDescent="0.25">
      <c r="A2688" s="7" t="str">
        <f>IFERROR(VLOOKUP(H2688,'Contas Orç'!A:B,2,0),"N/A")</f>
        <v>BENEFICIOS</v>
      </c>
      <c r="B2688" s="7" t="str">
        <f t="shared" si="82"/>
        <v>330103 - BENEFICIOS</v>
      </c>
      <c r="C2688" s="25">
        <f t="shared" si="83"/>
        <v>44652</v>
      </c>
      <c r="D2688" s="27">
        <f>IF(K2688="CREDITO",Q2688,Q2688*-1)</f>
        <v>453.96</v>
      </c>
      <c r="E2688" t="s">
        <v>894</v>
      </c>
      <c r="F2688" t="s">
        <v>3182</v>
      </c>
      <c r="G2688" s="8">
        <v>44652</v>
      </c>
      <c r="H2688" t="s">
        <v>74</v>
      </c>
      <c r="I2688" t="s">
        <v>1002</v>
      </c>
      <c r="J2688" t="s">
        <v>54</v>
      </c>
      <c r="K2688" t="s">
        <v>29</v>
      </c>
      <c r="L2688" t="s">
        <v>895</v>
      </c>
      <c r="M2688" t="s">
        <v>4402</v>
      </c>
      <c r="O2688" t="s">
        <v>896</v>
      </c>
      <c r="P2688" t="s">
        <v>33</v>
      </c>
      <c r="Q2688">
        <v>453.96</v>
      </c>
      <c r="R2688" t="s">
        <v>35</v>
      </c>
      <c r="S2688" t="s">
        <v>35</v>
      </c>
      <c r="T2688" t="s">
        <v>35</v>
      </c>
      <c r="U2688" t="s">
        <v>35</v>
      </c>
      <c r="V2688" t="s">
        <v>645</v>
      </c>
      <c r="W2688" t="s">
        <v>113</v>
      </c>
    </row>
    <row r="2689" spans="1:23" hidden="1" x14ac:dyDescent="0.25">
      <c r="A2689" s="7" t="str">
        <f>IFERROR(VLOOKUP(H2689,'Contas Orç'!A:B,2,0),"N/A")</f>
        <v>BENEFICIOS</v>
      </c>
      <c r="B2689" s="7" t="str">
        <f t="shared" si="82"/>
        <v>330103 - BENEFICIOS</v>
      </c>
      <c r="C2689" s="25">
        <f t="shared" si="83"/>
        <v>44652</v>
      </c>
      <c r="D2689" s="27">
        <f>IF(K2689="CREDITO",Q2689,Q2689*-1)</f>
        <v>588.48</v>
      </c>
      <c r="E2689" t="s">
        <v>894</v>
      </c>
      <c r="F2689" t="s">
        <v>3183</v>
      </c>
      <c r="G2689" s="8">
        <v>44652</v>
      </c>
      <c r="H2689" t="s">
        <v>74</v>
      </c>
      <c r="I2689" t="s">
        <v>121</v>
      </c>
      <c r="J2689" t="s">
        <v>54</v>
      </c>
      <c r="K2689" t="s">
        <v>29</v>
      </c>
      <c r="L2689" t="s">
        <v>895</v>
      </c>
      <c r="M2689" t="s">
        <v>4402</v>
      </c>
      <c r="O2689" t="s">
        <v>896</v>
      </c>
      <c r="P2689" t="s">
        <v>33</v>
      </c>
      <c r="Q2689">
        <v>588.48</v>
      </c>
      <c r="R2689" t="s">
        <v>35</v>
      </c>
      <c r="S2689" t="s">
        <v>35</v>
      </c>
      <c r="T2689" t="s">
        <v>35</v>
      </c>
      <c r="U2689" t="s">
        <v>35</v>
      </c>
      <c r="V2689" t="s">
        <v>645</v>
      </c>
      <c r="W2689" t="s">
        <v>113</v>
      </c>
    </row>
    <row r="2690" spans="1:23" hidden="1" x14ac:dyDescent="0.25">
      <c r="A2690" s="7" t="str">
        <f>IFERROR(VLOOKUP(H2690,'Contas Orç'!A:B,2,0),"N/A")</f>
        <v>BENEFICIOS</v>
      </c>
      <c r="B2690" s="7" t="str">
        <f t="shared" si="82"/>
        <v>330103 - BENEFICIOS</v>
      </c>
      <c r="C2690" s="25">
        <f t="shared" si="83"/>
        <v>44652</v>
      </c>
      <c r="D2690" s="27">
        <f>IF(K2690="CREDITO",Q2690,Q2690*-1)</f>
        <v>2994.76</v>
      </c>
      <c r="E2690" t="s">
        <v>894</v>
      </c>
      <c r="F2690" t="s">
        <v>3184</v>
      </c>
      <c r="G2690" s="8">
        <v>44652</v>
      </c>
      <c r="H2690" t="s">
        <v>74</v>
      </c>
      <c r="I2690" t="s">
        <v>132</v>
      </c>
      <c r="J2690" t="s">
        <v>54</v>
      </c>
      <c r="K2690" t="s">
        <v>29</v>
      </c>
      <c r="L2690" t="s">
        <v>895</v>
      </c>
      <c r="M2690" t="s">
        <v>4402</v>
      </c>
      <c r="O2690" t="s">
        <v>896</v>
      </c>
      <c r="P2690" t="s">
        <v>33</v>
      </c>
      <c r="Q2690" s="22">
        <v>2994.76</v>
      </c>
      <c r="R2690" t="s">
        <v>35</v>
      </c>
      <c r="S2690" t="s">
        <v>35</v>
      </c>
      <c r="T2690" t="s">
        <v>35</v>
      </c>
      <c r="U2690" t="s">
        <v>35</v>
      </c>
      <c r="V2690" t="s">
        <v>645</v>
      </c>
      <c r="W2690" t="s">
        <v>113</v>
      </c>
    </row>
    <row r="2691" spans="1:23" hidden="1" x14ac:dyDescent="0.25">
      <c r="A2691" s="7" t="str">
        <f>IFERROR(VLOOKUP(H2691,'Contas Orç'!A:B,2,0),"N/A")</f>
        <v>BENEFICIOS</v>
      </c>
      <c r="B2691" s="7" t="str">
        <f t="shared" ref="B2691:B2754" si="84">_xlfn.CONCAT(H2691," - ",A2691)</f>
        <v>330103 - BENEFICIOS</v>
      </c>
      <c r="C2691" s="25">
        <f t="shared" ref="C2691:C2754" si="85">DATE(YEAR(G2691),MONTH(G2691),1)</f>
        <v>44652</v>
      </c>
      <c r="D2691" s="27">
        <f>IF(K2691="CREDITO",Q2691,Q2691*-1)</f>
        <v>765.99</v>
      </c>
      <c r="E2691" t="s">
        <v>894</v>
      </c>
      <c r="F2691" t="s">
        <v>3185</v>
      </c>
      <c r="G2691" s="8">
        <v>44652</v>
      </c>
      <c r="H2691" t="s">
        <v>74</v>
      </c>
      <c r="I2691" t="s">
        <v>114</v>
      </c>
      <c r="J2691" t="s">
        <v>54</v>
      </c>
      <c r="K2691" t="s">
        <v>29</v>
      </c>
      <c r="L2691" t="s">
        <v>895</v>
      </c>
      <c r="M2691" t="s">
        <v>4402</v>
      </c>
      <c r="O2691" t="s">
        <v>896</v>
      </c>
      <c r="P2691" t="s">
        <v>33</v>
      </c>
      <c r="Q2691">
        <v>765.99</v>
      </c>
      <c r="R2691" t="s">
        <v>35</v>
      </c>
      <c r="S2691" t="s">
        <v>35</v>
      </c>
      <c r="T2691" t="s">
        <v>35</v>
      </c>
      <c r="U2691" t="s">
        <v>35</v>
      </c>
      <c r="V2691" t="s">
        <v>645</v>
      </c>
      <c r="W2691" t="s">
        <v>113</v>
      </c>
    </row>
    <row r="2692" spans="1:23" hidden="1" x14ac:dyDescent="0.25">
      <c r="A2692" s="7" t="str">
        <f>IFERROR(VLOOKUP(H2692,'Contas Orç'!A:B,2,0),"N/A")</f>
        <v>BENEFICIOS</v>
      </c>
      <c r="B2692" s="7" t="str">
        <f t="shared" si="84"/>
        <v>330103 - BENEFICIOS</v>
      </c>
      <c r="C2692" s="25">
        <f t="shared" si="85"/>
        <v>44652</v>
      </c>
      <c r="D2692" s="27">
        <f>IF(K2692="CREDITO",Q2692,Q2692*-1)</f>
        <v>4359.21</v>
      </c>
      <c r="E2692" t="s">
        <v>894</v>
      </c>
      <c r="F2692" t="s">
        <v>3186</v>
      </c>
      <c r="G2692" s="8">
        <v>44652</v>
      </c>
      <c r="H2692" t="s">
        <v>74</v>
      </c>
      <c r="I2692" t="s">
        <v>75</v>
      </c>
      <c r="J2692" t="s">
        <v>54</v>
      </c>
      <c r="K2692" t="s">
        <v>29</v>
      </c>
      <c r="L2692" t="s">
        <v>895</v>
      </c>
      <c r="M2692" t="s">
        <v>4402</v>
      </c>
      <c r="O2692" t="s">
        <v>896</v>
      </c>
      <c r="P2692" t="s">
        <v>33</v>
      </c>
      <c r="Q2692" s="22">
        <v>4359.21</v>
      </c>
      <c r="R2692" t="s">
        <v>35</v>
      </c>
      <c r="S2692" t="s">
        <v>35</v>
      </c>
      <c r="T2692" t="s">
        <v>35</v>
      </c>
      <c r="U2692" t="s">
        <v>35</v>
      </c>
      <c r="V2692" t="s">
        <v>645</v>
      </c>
      <c r="W2692" t="s">
        <v>113</v>
      </c>
    </row>
    <row r="2693" spans="1:23" hidden="1" x14ac:dyDescent="0.25">
      <c r="A2693" s="7" t="str">
        <f>IFERROR(VLOOKUP(H2693,'Contas Orç'!A:B,2,0),"N/A")</f>
        <v>BENEFICIOS</v>
      </c>
      <c r="B2693" s="7" t="str">
        <f t="shared" si="84"/>
        <v>330103 - BENEFICIOS</v>
      </c>
      <c r="C2693" s="25">
        <f t="shared" si="85"/>
        <v>44652</v>
      </c>
      <c r="D2693" s="27">
        <f>IF(K2693="CREDITO",Q2693,Q2693*-1)</f>
        <v>3821.85</v>
      </c>
      <c r="E2693" t="s">
        <v>894</v>
      </c>
      <c r="F2693" t="s">
        <v>3187</v>
      </c>
      <c r="G2693" s="8">
        <v>44652</v>
      </c>
      <c r="H2693" t="s">
        <v>74</v>
      </c>
      <c r="I2693" t="s">
        <v>78</v>
      </c>
      <c r="J2693" t="s">
        <v>54</v>
      </c>
      <c r="K2693" t="s">
        <v>29</v>
      </c>
      <c r="L2693" t="s">
        <v>895</v>
      </c>
      <c r="M2693" t="s">
        <v>4402</v>
      </c>
      <c r="O2693" t="s">
        <v>896</v>
      </c>
      <c r="P2693" t="s">
        <v>33</v>
      </c>
      <c r="Q2693" s="22">
        <v>3821.85</v>
      </c>
      <c r="R2693" t="s">
        <v>35</v>
      </c>
      <c r="S2693" t="s">
        <v>35</v>
      </c>
      <c r="T2693" t="s">
        <v>35</v>
      </c>
      <c r="U2693" t="s">
        <v>35</v>
      </c>
      <c r="V2693" t="s">
        <v>645</v>
      </c>
      <c r="W2693" t="s">
        <v>113</v>
      </c>
    </row>
    <row r="2694" spans="1:23" hidden="1" x14ac:dyDescent="0.25">
      <c r="A2694" s="7" t="str">
        <f>IFERROR(VLOOKUP(H2694,'Contas Orç'!A:B,2,0),"N/A")</f>
        <v>BENEFICIOS</v>
      </c>
      <c r="B2694" s="7" t="str">
        <f t="shared" si="84"/>
        <v>330103 - BENEFICIOS</v>
      </c>
      <c r="C2694" s="25">
        <f t="shared" si="85"/>
        <v>44652</v>
      </c>
      <c r="D2694" s="27">
        <f>IF(K2694="CREDITO",Q2694,Q2694*-1)</f>
        <v>4523.97</v>
      </c>
      <c r="E2694" t="s">
        <v>894</v>
      </c>
      <c r="F2694" t="s">
        <v>3188</v>
      </c>
      <c r="G2694" s="8">
        <v>44652</v>
      </c>
      <c r="H2694" t="s">
        <v>74</v>
      </c>
      <c r="I2694" t="s">
        <v>81</v>
      </c>
      <c r="J2694" t="s">
        <v>54</v>
      </c>
      <c r="K2694" t="s">
        <v>29</v>
      </c>
      <c r="L2694" t="s">
        <v>895</v>
      </c>
      <c r="M2694" t="s">
        <v>4402</v>
      </c>
      <c r="O2694" t="s">
        <v>896</v>
      </c>
      <c r="P2694" t="s">
        <v>33</v>
      </c>
      <c r="Q2694" s="22">
        <v>4523.97</v>
      </c>
      <c r="R2694" t="s">
        <v>35</v>
      </c>
      <c r="S2694" t="s">
        <v>35</v>
      </c>
      <c r="T2694" t="s">
        <v>35</v>
      </c>
      <c r="U2694" t="s">
        <v>35</v>
      </c>
      <c r="V2694" t="s">
        <v>645</v>
      </c>
      <c r="W2694" t="s">
        <v>113</v>
      </c>
    </row>
    <row r="2695" spans="1:23" hidden="1" x14ac:dyDescent="0.25">
      <c r="A2695" s="7" t="str">
        <f>IFERROR(VLOOKUP(H2695,'Contas Orç'!A:B,2,0),"N/A")</f>
        <v>BENEFICIOS</v>
      </c>
      <c r="B2695" s="7" t="str">
        <f t="shared" si="84"/>
        <v>330103 - BENEFICIOS</v>
      </c>
      <c r="C2695" s="25">
        <f t="shared" si="85"/>
        <v>44652</v>
      </c>
      <c r="D2695" s="27">
        <f>IF(K2695="CREDITO",Q2695,Q2695*-1)</f>
        <v>2291.62</v>
      </c>
      <c r="E2695" t="s">
        <v>894</v>
      </c>
      <c r="F2695" t="s">
        <v>3189</v>
      </c>
      <c r="G2695" s="8">
        <v>44652</v>
      </c>
      <c r="H2695" t="s">
        <v>74</v>
      </c>
      <c r="I2695" t="s">
        <v>136</v>
      </c>
      <c r="J2695" t="s">
        <v>54</v>
      </c>
      <c r="K2695" t="s">
        <v>29</v>
      </c>
      <c r="L2695" t="s">
        <v>895</v>
      </c>
      <c r="M2695" t="s">
        <v>4402</v>
      </c>
      <c r="O2695" t="s">
        <v>896</v>
      </c>
      <c r="P2695" t="s">
        <v>33</v>
      </c>
      <c r="Q2695" s="22">
        <v>2291.62</v>
      </c>
      <c r="R2695" t="s">
        <v>35</v>
      </c>
      <c r="S2695" t="s">
        <v>35</v>
      </c>
      <c r="T2695" t="s">
        <v>35</v>
      </c>
      <c r="U2695" t="s">
        <v>35</v>
      </c>
      <c r="V2695" t="s">
        <v>645</v>
      </c>
      <c r="W2695" t="s">
        <v>113</v>
      </c>
    </row>
    <row r="2696" spans="1:23" hidden="1" x14ac:dyDescent="0.25">
      <c r="A2696" s="7" t="str">
        <f>IFERROR(VLOOKUP(H2696,'Contas Orç'!A:B,2,0),"N/A")</f>
        <v>BENEFICIOS</v>
      </c>
      <c r="B2696" s="7" t="str">
        <f t="shared" si="84"/>
        <v>330103 - BENEFICIOS</v>
      </c>
      <c r="C2696" s="25">
        <f t="shared" si="85"/>
        <v>44682</v>
      </c>
      <c r="D2696" s="27">
        <f>IF(K2696="CREDITO",Q2696,Q2696*-1)</f>
        <v>2933.22</v>
      </c>
      <c r="E2696" t="s">
        <v>894</v>
      </c>
      <c r="F2696" t="s">
        <v>3190</v>
      </c>
      <c r="G2696" s="8">
        <v>44682</v>
      </c>
      <c r="H2696" t="s">
        <v>74</v>
      </c>
      <c r="I2696" t="s">
        <v>99</v>
      </c>
      <c r="J2696" t="s">
        <v>28</v>
      </c>
      <c r="K2696" t="s">
        <v>29</v>
      </c>
      <c r="L2696" t="s">
        <v>895</v>
      </c>
      <c r="M2696" t="s">
        <v>4402</v>
      </c>
      <c r="O2696" t="s">
        <v>896</v>
      </c>
      <c r="P2696" t="s">
        <v>33</v>
      </c>
      <c r="Q2696" s="22">
        <v>2933.22</v>
      </c>
      <c r="R2696" t="s">
        <v>35</v>
      </c>
      <c r="S2696" t="s">
        <v>35</v>
      </c>
      <c r="T2696" t="s">
        <v>35</v>
      </c>
      <c r="U2696" t="s">
        <v>35</v>
      </c>
      <c r="V2696" t="s">
        <v>645</v>
      </c>
      <c r="W2696" t="s">
        <v>113</v>
      </c>
    </row>
    <row r="2697" spans="1:23" hidden="1" x14ac:dyDescent="0.25">
      <c r="A2697" s="7" t="str">
        <f>IFERROR(VLOOKUP(H2697,'Contas Orç'!A:B,2,0),"N/A")</f>
        <v>BENEFICIOS</v>
      </c>
      <c r="B2697" s="7" t="str">
        <f t="shared" si="84"/>
        <v>330103 - BENEFICIOS</v>
      </c>
      <c r="C2697" s="25">
        <f t="shared" si="85"/>
        <v>44682</v>
      </c>
      <c r="D2697" s="27">
        <f>IF(K2697="CREDITO",Q2697,Q2697*-1)</f>
        <v>2049</v>
      </c>
      <c r="E2697" t="s">
        <v>894</v>
      </c>
      <c r="F2697" t="s">
        <v>3191</v>
      </c>
      <c r="G2697" s="8">
        <v>44682</v>
      </c>
      <c r="H2697" t="s">
        <v>74</v>
      </c>
      <c r="I2697" t="s">
        <v>81</v>
      </c>
      <c r="J2697" t="s">
        <v>60</v>
      </c>
      <c r="K2697" t="s">
        <v>29</v>
      </c>
      <c r="L2697" t="s">
        <v>895</v>
      </c>
      <c r="M2697" t="s">
        <v>4402</v>
      </c>
      <c r="O2697" t="s">
        <v>896</v>
      </c>
      <c r="P2697" t="s">
        <v>33</v>
      </c>
      <c r="Q2697" s="22">
        <v>2049</v>
      </c>
      <c r="R2697" t="s">
        <v>35</v>
      </c>
      <c r="S2697" t="s">
        <v>35</v>
      </c>
      <c r="T2697" t="s">
        <v>35</v>
      </c>
      <c r="U2697" t="s">
        <v>35</v>
      </c>
      <c r="V2697" t="s">
        <v>645</v>
      </c>
      <c r="W2697" t="s">
        <v>113</v>
      </c>
    </row>
    <row r="2698" spans="1:23" hidden="1" x14ac:dyDescent="0.25">
      <c r="A2698" s="7" t="str">
        <f>IFERROR(VLOOKUP(H2698,'Contas Orç'!A:B,2,0),"N/A")</f>
        <v>BENEFICIOS</v>
      </c>
      <c r="B2698" s="7" t="str">
        <f t="shared" si="84"/>
        <v>330103 - BENEFICIOS</v>
      </c>
      <c r="C2698" s="25">
        <f t="shared" si="85"/>
        <v>44682</v>
      </c>
      <c r="D2698" s="27">
        <f>IF(K2698="CREDITO",Q2698,Q2698*-1)</f>
        <v>12533.27</v>
      </c>
      <c r="E2698" t="s">
        <v>894</v>
      </c>
      <c r="F2698" t="s">
        <v>3192</v>
      </c>
      <c r="G2698" s="8">
        <v>44682</v>
      </c>
      <c r="H2698" t="s">
        <v>74</v>
      </c>
      <c r="I2698" t="s">
        <v>68</v>
      </c>
      <c r="J2698" t="s">
        <v>69</v>
      </c>
      <c r="K2698" t="s">
        <v>29</v>
      </c>
      <c r="L2698" t="s">
        <v>895</v>
      </c>
      <c r="M2698" t="s">
        <v>4402</v>
      </c>
      <c r="O2698" t="s">
        <v>896</v>
      </c>
      <c r="P2698" t="s">
        <v>33</v>
      </c>
      <c r="Q2698" s="22">
        <v>12533.27</v>
      </c>
      <c r="R2698" t="s">
        <v>35</v>
      </c>
      <c r="S2698" t="s">
        <v>35</v>
      </c>
      <c r="T2698" t="s">
        <v>35</v>
      </c>
      <c r="U2698" t="s">
        <v>35</v>
      </c>
      <c r="V2698" t="s">
        <v>645</v>
      </c>
      <c r="W2698" t="s">
        <v>113</v>
      </c>
    </row>
    <row r="2699" spans="1:23" hidden="1" x14ac:dyDescent="0.25">
      <c r="A2699" s="7" t="str">
        <f>IFERROR(VLOOKUP(H2699,'Contas Orç'!A:B,2,0),"N/A")</f>
        <v>BENEFICIOS</v>
      </c>
      <c r="B2699" s="7" t="str">
        <f t="shared" si="84"/>
        <v>330103 - BENEFICIOS</v>
      </c>
      <c r="C2699" s="25">
        <f t="shared" si="85"/>
        <v>44682</v>
      </c>
      <c r="D2699" s="27">
        <f>IF(K2699="CREDITO",Q2699,Q2699*-1)</f>
        <v>115.6</v>
      </c>
      <c r="E2699" t="s">
        <v>894</v>
      </c>
      <c r="F2699" t="s">
        <v>3193</v>
      </c>
      <c r="G2699" s="8">
        <v>44682</v>
      </c>
      <c r="H2699" t="s">
        <v>74</v>
      </c>
      <c r="I2699" t="s">
        <v>2062</v>
      </c>
      <c r="J2699" t="s">
        <v>54</v>
      </c>
      <c r="K2699" t="s">
        <v>29</v>
      </c>
      <c r="L2699" t="s">
        <v>895</v>
      </c>
      <c r="M2699" t="s">
        <v>4402</v>
      </c>
      <c r="O2699" t="s">
        <v>896</v>
      </c>
      <c r="P2699" t="s">
        <v>33</v>
      </c>
      <c r="Q2699">
        <v>115.6</v>
      </c>
      <c r="R2699" t="s">
        <v>35</v>
      </c>
      <c r="S2699" t="s">
        <v>35</v>
      </c>
      <c r="T2699" t="s">
        <v>35</v>
      </c>
      <c r="U2699" t="s">
        <v>35</v>
      </c>
      <c r="V2699" t="s">
        <v>645</v>
      </c>
      <c r="W2699" t="s">
        <v>113</v>
      </c>
    </row>
    <row r="2700" spans="1:23" hidden="1" x14ac:dyDescent="0.25">
      <c r="A2700" s="7" t="str">
        <f>IFERROR(VLOOKUP(H2700,'Contas Orç'!A:B,2,0),"N/A")</f>
        <v>BENEFICIOS</v>
      </c>
      <c r="B2700" s="7" t="str">
        <f t="shared" si="84"/>
        <v>330103 - BENEFICIOS</v>
      </c>
      <c r="C2700" s="25">
        <f t="shared" si="85"/>
        <v>44682</v>
      </c>
      <c r="D2700" s="27">
        <f>IF(K2700="CREDITO",Q2700,Q2700*-1)</f>
        <v>27492.2</v>
      </c>
      <c r="E2700" t="s">
        <v>894</v>
      </c>
      <c r="F2700" t="s">
        <v>3194</v>
      </c>
      <c r="G2700" s="8">
        <v>44682</v>
      </c>
      <c r="H2700" t="s">
        <v>74</v>
      </c>
      <c r="I2700" t="s">
        <v>40</v>
      </c>
      <c r="J2700" t="s">
        <v>54</v>
      </c>
      <c r="K2700" t="s">
        <v>29</v>
      </c>
      <c r="L2700" t="s">
        <v>895</v>
      </c>
      <c r="M2700" t="s">
        <v>4402</v>
      </c>
      <c r="O2700" t="s">
        <v>896</v>
      </c>
      <c r="P2700" t="s">
        <v>33</v>
      </c>
      <c r="Q2700" s="22">
        <v>27492.2</v>
      </c>
      <c r="R2700" t="s">
        <v>35</v>
      </c>
      <c r="S2700" t="s">
        <v>35</v>
      </c>
      <c r="T2700" t="s">
        <v>35</v>
      </c>
      <c r="U2700" t="s">
        <v>35</v>
      </c>
      <c r="V2700" t="s">
        <v>645</v>
      </c>
      <c r="W2700" t="s">
        <v>113</v>
      </c>
    </row>
    <row r="2701" spans="1:23" hidden="1" x14ac:dyDescent="0.25">
      <c r="A2701" s="7" t="str">
        <f>IFERROR(VLOOKUP(H2701,'Contas Orç'!A:B,2,0),"N/A")</f>
        <v>BENEFICIOS</v>
      </c>
      <c r="B2701" s="7" t="str">
        <f t="shared" si="84"/>
        <v>330103 - BENEFICIOS</v>
      </c>
      <c r="C2701" s="25">
        <f t="shared" si="85"/>
        <v>44682</v>
      </c>
      <c r="D2701" s="27">
        <f>IF(K2701="CREDITO",Q2701,Q2701*-1)</f>
        <v>501.96</v>
      </c>
      <c r="E2701" t="s">
        <v>894</v>
      </c>
      <c r="F2701" t="s">
        <v>3195</v>
      </c>
      <c r="G2701" s="8">
        <v>44682</v>
      </c>
      <c r="H2701" t="s">
        <v>74</v>
      </c>
      <c r="I2701" t="s">
        <v>1002</v>
      </c>
      <c r="J2701" t="s">
        <v>54</v>
      </c>
      <c r="K2701" t="s">
        <v>29</v>
      </c>
      <c r="L2701" t="s">
        <v>895</v>
      </c>
      <c r="M2701" t="s">
        <v>4402</v>
      </c>
      <c r="O2701" t="s">
        <v>896</v>
      </c>
      <c r="P2701" t="s">
        <v>33</v>
      </c>
      <c r="Q2701">
        <v>501.96</v>
      </c>
      <c r="R2701" t="s">
        <v>35</v>
      </c>
      <c r="S2701" t="s">
        <v>35</v>
      </c>
      <c r="T2701" t="s">
        <v>35</v>
      </c>
      <c r="U2701" t="s">
        <v>35</v>
      </c>
      <c r="V2701" t="s">
        <v>645</v>
      </c>
      <c r="W2701" t="s">
        <v>113</v>
      </c>
    </row>
    <row r="2702" spans="1:23" hidden="1" x14ac:dyDescent="0.25">
      <c r="A2702" s="7" t="str">
        <f>IFERROR(VLOOKUP(H2702,'Contas Orç'!A:B,2,0),"N/A")</f>
        <v>BENEFICIOS</v>
      </c>
      <c r="B2702" s="7" t="str">
        <f t="shared" si="84"/>
        <v>330103 - BENEFICIOS</v>
      </c>
      <c r="C2702" s="25">
        <f t="shared" si="85"/>
        <v>44682</v>
      </c>
      <c r="D2702" s="27">
        <f>IF(K2702="CREDITO",Q2702,Q2702*-1)</f>
        <v>593.49</v>
      </c>
      <c r="E2702" t="s">
        <v>894</v>
      </c>
      <c r="F2702" t="s">
        <v>3196</v>
      </c>
      <c r="G2702" s="8">
        <v>44682</v>
      </c>
      <c r="H2702" t="s">
        <v>74</v>
      </c>
      <c r="I2702" t="s">
        <v>121</v>
      </c>
      <c r="J2702" t="s">
        <v>54</v>
      </c>
      <c r="K2702" t="s">
        <v>29</v>
      </c>
      <c r="L2702" t="s">
        <v>895</v>
      </c>
      <c r="M2702" t="s">
        <v>4402</v>
      </c>
      <c r="O2702" t="s">
        <v>896</v>
      </c>
      <c r="P2702" t="s">
        <v>33</v>
      </c>
      <c r="Q2702">
        <v>593.49</v>
      </c>
      <c r="R2702" t="s">
        <v>35</v>
      </c>
      <c r="S2702" t="s">
        <v>35</v>
      </c>
      <c r="T2702" t="s">
        <v>35</v>
      </c>
      <c r="U2702" t="s">
        <v>35</v>
      </c>
      <c r="V2702" t="s">
        <v>645</v>
      </c>
      <c r="W2702" t="s">
        <v>113</v>
      </c>
    </row>
    <row r="2703" spans="1:23" hidden="1" x14ac:dyDescent="0.25">
      <c r="A2703" s="7" t="str">
        <f>IFERROR(VLOOKUP(H2703,'Contas Orç'!A:B,2,0),"N/A")</f>
        <v>BENEFICIOS</v>
      </c>
      <c r="B2703" s="7" t="str">
        <f t="shared" si="84"/>
        <v>330103 - BENEFICIOS</v>
      </c>
      <c r="C2703" s="25">
        <f t="shared" si="85"/>
        <v>44682</v>
      </c>
      <c r="D2703" s="27">
        <f>IF(K2703="CREDITO",Q2703,Q2703*-1)</f>
        <v>3052.72</v>
      </c>
      <c r="E2703" t="s">
        <v>894</v>
      </c>
      <c r="F2703" t="s">
        <v>3197</v>
      </c>
      <c r="G2703" s="8">
        <v>44682</v>
      </c>
      <c r="H2703" t="s">
        <v>74</v>
      </c>
      <c r="I2703" t="s">
        <v>132</v>
      </c>
      <c r="J2703" t="s">
        <v>54</v>
      </c>
      <c r="K2703" t="s">
        <v>29</v>
      </c>
      <c r="L2703" t="s">
        <v>895</v>
      </c>
      <c r="M2703" t="s">
        <v>4402</v>
      </c>
      <c r="O2703" t="s">
        <v>896</v>
      </c>
      <c r="P2703" t="s">
        <v>33</v>
      </c>
      <c r="Q2703" s="22">
        <v>3052.72</v>
      </c>
      <c r="R2703" t="s">
        <v>35</v>
      </c>
      <c r="S2703" t="s">
        <v>35</v>
      </c>
      <c r="T2703" t="s">
        <v>35</v>
      </c>
      <c r="U2703" t="s">
        <v>35</v>
      </c>
      <c r="V2703" t="s">
        <v>645</v>
      </c>
      <c r="W2703" t="s">
        <v>113</v>
      </c>
    </row>
    <row r="2704" spans="1:23" hidden="1" x14ac:dyDescent="0.25">
      <c r="A2704" s="7" t="str">
        <f>IFERROR(VLOOKUP(H2704,'Contas Orç'!A:B,2,0),"N/A")</f>
        <v>BENEFICIOS</v>
      </c>
      <c r="B2704" s="7" t="str">
        <f t="shared" si="84"/>
        <v>330103 - BENEFICIOS</v>
      </c>
      <c r="C2704" s="25">
        <f t="shared" si="85"/>
        <v>44682</v>
      </c>
      <c r="D2704" s="27">
        <f>IF(K2704="CREDITO",Q2704,Q2704*-1)</f>
        <v>699.35</v>
      </c>
      <c r="E2704" t="s">
        <v>894</v>
      </c>
      <c r="F2704" t="s">
        <v>3198</v>
      </c>
      <c r="G2704" s="8">
        <v>44682</v>
      </c>
      <c r="H2704" t="s">
        <v>74</v>
      </c>
      <c r="I2704" t="s">
        <v>114</v>
      </c>
      <c r="J2704" t="s">
        <v>54</v>
      </c>
      <c r="K2704" t="s">
        <v>29</v>
      </c>
      <c r="L2704" t="s">
        <v>895</v>
      </c>
      <c r="M2704" t="s">
        <v>4402</v>
      </c>
      <c r="O2704" t="s">
        <v>896</v>
      </c>
      <c r="P2704" t="s">
        <v>33</v>
      </c>
      <c r="Q2704">
        <v>699.35</v>
      </c>
      <c r="R2704" t="s">
        <v>35</v>
      </c>
      <c r="S2704" t="s">
        <v>35</v>
      </c>
      <c r="T2704" t="s">
        <v>35</v>
      </c>
      <c r="U2704" t="s">
        <v>35</v>
      </c>
      <c r="V2704" t="s">
        <v>645</v>
      </c>
      <c r="W2704" t="s">
        <v>113</v>
      </c>
    </row>
    <row r="2705" spans="1:23" hidden="1" x14ac:dyDescent="0.25">
      <c r="A2705" s="7" t="str">
        <f>IFERROR(VLOOKUP(H2705,'Contas Orç'!A:B,2,0),"N/A")</f>
        <v>BENEFICIOS</v>
      </c>
      <c r="B2705" s="7" t="str">
        <f t="shared" si="84"/>
        <v>330103 - BENEFICIOS</v>
      </c>
      <c r="C2705" s="25">
        <f t="shared" si="85"/>
        <v>44682</v>
      </c>
      <c r="D2705" s="27">
        <f>IF(K2705="CREDITO",Q2705,Q2705*-1)</f>
        <v>5120.6400000000003</v>
      </c>
      <c r="E2705" t="s">
        <v>894</v>
      </c>
      <c r="F2705" t="s">
        <v>3199</v>
      </c>
      <c r="G2705" s="8">
        <v>44682</v>
      </c>
      <c r="H2705" t="s">
        <v>74</v>
      </c>
      <c r="I2705" t="s">
        <v>75</v>
      </c>
      <c r="J2705" t="s">
        <v>54</v>
      </c>
      <c r="K2705" t="s">
        <v>29</v>
      </c>
      <c r="L2705" t="s">
        <v>895</v>
      </c>
      <c r="M2705" t="s">
        <v>4402</v>
      </c>
      <c r="O2705" t="s">
        <v>896</v>
      </c>
      <c r="P2705" t="s">
        <v>33</v>
      </c>
      <c r="Q2705" s="22">
        <v>5120.6400000000003</v>
      </c>
      <c r="R2705" t="s">
        <v>35</v>
      </c>
      <c r="S2705" t="s">
        <v>35</v>
      </c>
      <c r="T2705" t="s">
        <v>35</v>
      </c>
      <c r="U2705" t="s">
        <v>35</v>
      </c>
      <c r="V2705" t="s">
        <v>645</v>
      </c>
      <c r="W2705" t="s">
        <v>113</v>
      </c>
    </row>
    <row r="2706" spans="1:23" hidden="1" x14ac:dyDescent="0.25">
      <c r="A2706" s="7" t="str">
        <f>IFERROR(VLOOKUP(H2706,'Contas Orç'!A:B,2,0),"N/A")</f>
        <v>BENEFICIOS</v>
      </c>
      <c r="B2706" s="7" t="str">
        <f t="shared" si="84"/>
        <v>330103 - BENEFICIOS</v>
      </c>
      <c r="C2706" s="25">
        <f t="shared" si="85"/>
        <v>44682</v>
      </c>
      <c r="D2706" s="27">
        <f>IF(K2706="CREDITO",Q2706,Q2706*-1)</f>
        <v>4045.33</v>
      </c>
      <c r="E2706" t="s">
        <v>894</v>
      </c>
      <c r="F2706" t="s">
        <v>3200</v>
      </c>
      <c r="G2706" s="8">
        <v>44682</v>
      </c>
      <c r="H2706" t="s">
        <v>74</v>
      </c>
      <c r="I2706" t="s">
        <v>78</v>
      </c>
      <c r="J2706" t="s">
        <v>54</v>
      </c>
      <c r="K2706" t="s">
        <v>29</v>
      </c>
      <c r="L2706" t="s">
        <v>895</v>
      </c>
      <c r="M2706" t="s">
        <v>4402</v>
      </c>
      <c r="O2706" t="s">
        <v>896</v>
      </c>
      <c r="P2706" t="s">
        <v>33</v>
      </c>
      <c r="Q2706" s="22">
        <v>4045.33</v>
      </c>
      <c r="R2706" t="s">
        <v>35</v>
      </c>
      <c r="S2706" t="s">
        <v>35</v>
      </c>
      <c r="T2706" t="s">
        <v>35</v>
      </c>
      <c r="U2706" t="s">
        <v>35</v>
      </c>
      <c r="V2706" t="s">
        <v>645</v>
      </c>
      <c r="W2706" t="s">
        <v>113</v>
      </c>
    </row>
    <row r="2707" spans="1:23" hidden="1" x14ac:dyDescent="0.25">
      <c r="A2707" s="7" t="str">
        <f>IFERROR(VLOOKUP(H2707,'Contas Orç'!A:B,2,0),"N/A")</f>
        <v>BENEFICIOS</v>
      </c>
      <c r="B2707" s="7" t="str">
        <f t="shared" si="84"/>
        <v>330103 - BENEFICIOS</v>
      </c>
      <c r="C2707" s="25">
        <f t="shared" si="85"/>
        <v>44682</v>
      </c>
      <c r="D2707" s="27">
        <f>IF(K2707="CREDITO",Q2707,Q2707*-1)</f>
        <v>3830.17</v>
      </c>
      <c r="E2707" t="s">
        <v>894</v>
      </c>
      <c r="F2707" t="s">
        <v>3201</v>
      </c>
      <c r="G2707" s="8">
        <v>44682</v>
      </c>
      <c r="H2707" t="s">
        <v>74</v>
      </c>
      <c r="I2707" t="s">
        <v>81</v>
      </c>
      <c r="J2707" t="s">
        <v>54</v>
      </c>
      <c r="K2707" t="s">
        <v>29</v>
      </c>
      <c r="L2707" t="s">
        <v>895</v>
      </c>
      <c r="M2707" t="s">
        <v>4402</v>
      </c>
      <c r="O2707" t="s">
        <v>896</v>
      </c>
      <c r="P2707" t="s">
        <v>33</v>
      </c>
      <c r="Q2707" s="22">
        <v>3830.17</v>
      </c>
      <c r="R2707" t="s">
        <v>35</v>
      </c>
      <c r="S2707" t="s">
        <v>35</v>
      </c>
      <c r="T2707" t="s">
        <v>35</v>
      </c>
      <c r="U2707" t="s">
        <v>35</v>
      </c>
      <c r="V2707" t="s">
        <v>645</v>
      </c>
      <c r="W2707" t="s">
        <v>113</v>
      </c>
    </row>
    <row r="2708" spans="1:23" hidden="1" x14ac:dyDescent="0.25">
      <c r="A2708" s="7" t="str">
        <f>IFERROR(VLOOKUP(H2708,'Contas Orç'!A:B,2,0),"N/A")</f>
        <v>BENEFICIOS</v>
      </c>
      <c r="B2708" s="7" t="str">
        <f t="shared" si="84"/>
        <v>330103 - BENEFICIOS</v>
      </c>
      <c r="C2708" s="25">
        <f t="shared" si="85"/>
        <v>44682</v>
      </c>
      <c r="D2708" s="27">
        <f>IF(K2708="CREDITO",Q2708,Q2708*-1)</f>
        <v>2385.9299999999998</v>
      </c>
      <c r="E2708" t="s">
        <v>894</v>
      </c>
      <c r="F2708" t="s">
        <v>3202</v>
      </c>
      <c r="G2708" s="8">
        <v>44682</v>
      </c>
      <c r="H2708" t="s">
        <v>74</v>
      </c>
      <c r="I2708" t="s">
        <v>136</v>
      </c>
      <c r="J2708" t="s">
        <v>54</v>
      </c>
      <c r="K2708" t="s">
        <v>29</v>
      </c>
      <c r="L2708" t="s">
        <v>895</v>
      </c>
      <c r="M2708" t="s">
        <v>4402</v>
      </c>
      <c r="O2708" t="s">
        <v>896</v>
      </c>
      <c r="P2708" t="s">
        <v>33</v>
      </c>
      <c r="Q2708" s="22">
        <v>2385.9299999999998</v>
      </c>
      <c r="R2708" t="s">
        <v>35</v>
      </c>
      <c r="S2708" t="s">
        <v>35</v>
      </c>
      <c r="T2708" t="s">
        <v>35</v>
      </c>
      <c r="U2708" t="s">
        <v>35</v>
      </c>
      <c r="V2708" t="s">
        <v>645</v>
      </c>
      <c r="W2708" t="s">
        <v>113</v>
      </c>
    </row>
    <row r="2709" spans="1:23" hidden="1" x14ac:dyDescent="0.25">
      <c r="A2709" s="7" t="str">
        <f>IFERROR(VLOOKUP(H2709,'Contas Orç'!A:B,2,0),"N/A")</f>
        <v>BENEFICIOS</v>
      </c>
      <c r="B2709" s="7" t="str">
        <f t="shared" si="84"/>
        <v>330103 - BENEFICIOS</v>
      </c>
      <c r="C2709" s="25">
        <f t="shared" si="85"/>
        <v>44713</v>
      </c>
      <c r="D2709" s="27">
        <f>IF(K2709="CREDITO",Q2709,Q2709*-1)</f>
        <v>2592.16</v>
      </c>
      <c r="E2709" t="s">
        <v>894</v>
      </c>
      <c r="F2709" t="s">
        <v>3203</v>
      </c>
      <c r="G2709" s="8">
        <v>44713</v>
      </c>
      <c r="H2709" t="s">
        <v>74</v>
      </c>
      <c r="I2709" t="s">
        <v>99</v>
      </c>
      <c r="J2709" t="s">
        <v>28</v>
      </c>
      <c r="K2709" t="s">
        <v>29</v>
      </c>
      <c r="L2709" t="s">
        <v>895</v>
      </c>
      <c r="M2709" t="s">
        <v>4402</v>
      </c>
      <c r="O2709" t="s">
        <v>896</v>
      </c>
      <c r="P2709" t="s">
        <v>33</v>
      </c>
      <c r="Q2709" s="22">
        <v>2592.16</v>
      </c>
      <c r="R2709" t="s">
        <v>35</v>
      </c>
      <c r="S2709" t="s">
        <v>35</v>
      </c>
      <c r="T2709" t="s">
        <v>35</v>
      </c>
      <c r="U2709" t="s">
        <v>35</v>
      </c>
      <c r="V2709" t="s">
        <v>645</v>
      </c>
      <c r="W2709" t="s">
        <v>113</v>
      </c>
    </row>
    <row r="2710" spans="1:23" hidden="1" x14ac:dyDescent="0.25">
      <c r="A2710" s="7" t="str">
        <f>IFERROR(VLOOKUP(H2710,'Contas Orç'!A:B,2,0),"N/A")</f>
        <v>BENEFICIOS</v>
      </c>
      <c r="B2710" s="7" t="str">
        <f t="shared" si="84"/>
        <v>330103 - BENEFICIOS</v>
      </c>
      <c r="C2710" s="25">
        <f t="shared" si="85"/>
        <v>44713</v>
      </c>
      <c r="D2710" s="27">
        <f>IF(K2710="CREDITO",Q2710,Q2710*-1)</f>
        <v>3057.18</v>
      </c>
      <c r="E2710" t="s">
        <v>894</v>
      </c>
      <c r="F2710" t="s">
        <v>3204</v>
      </c>
      <c r="G2710" s="8">
        <v>44713</v>
      </c>
      <c r="H2710" t="s">
        <v>74</v>
      </c>
      <c r="I2710" t="s">
        <v>81</v>
      </c>
      <c r="J2710" t="s">
        <v>60</v>
      </c>
      <c r="K2710" t="s">
        <v>29</v>
      </c>
      <c r="L2710" t="s">
        <v>895</v>
      </c>
      <c r="M2710" t="s">
        <v>4402</v>
      </c>
      <c r="O2710" t="s">
        <v>896</v>
      </c>
      <c r="P2710" t="s">
        <v>33</v>
      </c>
      <c r="Q2710" s="22">
        <v>3057.18</v>
      </c>
      <c r="R2710" t="s">
        <v>35</v>
      </c>
      <c r="S2710" t="s">
        <v>35</v>
      </c>
      <c r="T2710" t="s">
        <v>35</v>
      </c>
      <c r="U2710" t="s">
        <v>35</v>
      </c>
      <c r="V2710" t="s">
        <v>645</v>
      </c>
      <c r="W2710" t="s">
        <v>113</v>
      </c>
    </row>
    <row r="2711" spans="1:23" hidden="1" x14ac:dyDescent="0.25">
      <c r="A2711" s="7" t="str">
        <f>IFERROR(VLOOKUP(H2711,'Contas Orç'!A:B,2,0),"N/A")</f>
        <v>BENEFICIOS</v>
      </c>
      <c r="B2711" s="7" t="str">
        <f t="shared" si="84"/>
        <v>330103 - BENEFICIOS</v>
      </c>
      <c r="C2711" s="25">
        <f t="shared" si="85"/>
        <v>44713</v>
      </c>
      <c r="D2711" s="27">
        <f>IF(K2711="CREDITO",Q2711,Q2711*-1)</f>
        <v>115.6</v>
      </c>
      <c r="E2711" t="s">
        <v>894</v>
      </c>
      <c r="F2711" t="s">
        <v>3205</v>
      </c>
      <c r="G2711" s="8">
        <v>44713</v>
      </c>
      <c r="H2711" t="s">
        <v>74</v>
      </c>
      <c r="I2711" t="s">
        <v>2062</v>
      </c>
      <c r="J2711" t="s">
        <v>54</v>
      </c>
      <c r="K2711" t="s">
        <v>29</v>
      </c>
      <c r="L2711" t="s">
        <v>895</v>
      </c>
      <c r="M2711" t="s">
        <v>4402</v>
      </c>
      <c r="O2711" t="s">
        <v>896</v>
      </c>
      <c r="P2711" t="s">
        <v>33</v>
      </c>
      <c r="Q2711">
        <v>115.6</v>
      </c>
      <c r="R2711" t="s">
        <v>35</v>
      </c>
      <c r="S2711" t="s">
        <v>35</v>
      </c>
      <c r="T2711" t="s">
        <v>35</v>
      </c>
      <c r="U2711" t="s">
        <v>35</v>
      </c>
      <c r="V2711" t="s">
        <v>645</v>
      </c>
      <c r="W2711" t="s">
        <v>113</v>
      </c>
    </row>
    <row r="2712" spans="1:23" hidden="1" x14ac:dyDescent="0.25">
      <c r="A2712" s="7" t="str">
        <f>IFERROR(VLOOKUP(H2712,'Contas Orç'!A:B,2,0),"N/A")</f>
        <v>BENEFICIOS</v>
      </c>
      <c r="B2712" s="7" t="str">
        <f t="shared" si="84"/>
        <v>330103 - BENEFICIOS</v>
      </c>
      <c r="C2712" s="25">
        <f t="shared" si="85"/>
        <v>44713</v>
      </c>
      <c r="D2712" s="27">
        <f>IF(K2712="CREDITO",Q2712,Q2712*-1)</f>
        <v>27277.63</v>
      </c>
      <c r="E2712" t="s">
        <v>894</v>
      </c>
      <c r="F2712" t="s">
        <v>3206</v>
      </c>
      <c r="G2712" s="8">
        <v>44713</v>
      </c>
      <c r="H2712" t="s">
        <v>74</v>
      </c>
      <c r="I2712" t="s">
        <v>40</v>
      </c>
      <c r="J2712" t="s">
        <v>54</v>
      </c>
      <c r="K2712" t="s">
        <v>29</v>
      </c>
      <c r="L2712" t="s">
        <v>895</v>
      </c>
      <c r="M2712" t="s">
        <v>4402</v>
      </c>
      <c r="O2712" t="s">
        <v>896</v>
      </c>
      <c r="P2712" t="s">
        <v>33</v>
      </c>
      <c r="Q2712" s="22">
        <v>27277.63</v>
      </c>
      <c r="R2712" t="s">
        <v>35</v>
      </c>
      <c r="S2712" t="s">
        <v>35</v>
      </c>
      <c r="T2712" t="s">
        <v>35</v>
      </c>
      <c r="U2712" t="s">
        <v>35</v>
      </c>
      <c r="V2712" t="s">
        <v>645</v>
      </c>
      <c r="W2712" t="s">
        <v>113</v>
      </c>
    </row>
    <row r="2713" spans="1:23" hidden="1" x14ac:dyDescent="0.25">
      <c r="A2713" s="7" t="str">
        <f>IFERROR(VLOOKUP(H2713,'Contas Orç'!A:B,2,0),"N/A")</f>
        <v>BENEFICIOS</v>
      </c>
      <c r="B2713" s="7" t="str">
        <f t="shared" si="84"/>
        <v>330103 - BENEFICIOS</v>
      </c>
      <c r="C2713" s="25">
        <f t="shared" si="85"/>
        <v>44713</v>
      </c>
      <c r="D2713" s="27">
        <f>IF(K2713="CREDITO",Q2713,Q2713*-1)</f>
        <v>485.96</v>
      </c>
      <c r="E2713" t="s">
        <v>894</v>
      </c>
      <c r="F2713" t="s">
        <v>3207</v>
      </c>
      <c r="G2713" s="8">
        <v>44713</v>
      </c>
      <c r="H2713" t="s">
        <v>74</v>
      </c>
      <c r="I2713" t="s">
        <v>1002</v>
      </c>
      <c r="J2713" t="s">
        <v>54</v>
      </c>
      <c r="K2713" t="s">
        <v>29</v>
      </c>
      <c r="L2713" t="s">
        <v>895</v>
      </c>
      <c r="M2713" t="s">
        <v>4402</v>
      </c>
      <c r="O2713" t="s">
        <v>896</v>
      </c>
      <c r="P2713" t="s">
        <v>33</v>
      </c>
      <c r="Q2713">
        <v>485.96</v>
      </c>
      <c r="R2713" t="s">
        <v>35</v>
      </c>
      <c r="S2713" t="s">
        <v>35</v>
      </c>
      <c r="T2713" t="s">
        <v>35</v>
      </c>
      <c r="U2713" t="s">
        <v>35</v>
      </c>
      <c r="V2713" t="s">
        <v>645</v>
      </c>
      <c r="W2713" t="s">
        <v>113</v>
      </c>
    </row>
    <row r="2714" spans="1:23" hidden="1" x14ac:dyDescent="0.25">
      <c r="A2714" s="7" t="str">
        <f>IFERROR(VLOOKUP(H2714,'Contas Orç'!A:B,2,0),"N/A")</f>
        <v>BENEFICIOS</v>
      </c>
      <c r="B2714" s="7" t="str">
        <f t="shared" si="84"/>
        <v>330103 - BENEFICIOS</v>
      </c>
      <c r="C2714" s="25">
        <f t="shared" si="85"/>
        <v>44713</v>
      </c>
      <c r="D2714" s="27">
        <f>IF(K2714="CREDITO",Q2714,Q2714*-1)</f>
        <v>594.49</v>
      </c>
      <c r="E2714" t="s">
        <v>894</v>
      </c>
      <c r="F2714" t="s">
        <v>3208</v>
      </c>
      <c r="G2714" s="8">
        <v>44713</v>
      </c>
      <c r="H2714" t="s">
        <v>74</v>
      </c>
      <c r="I2714" t="s">
        <v>121</v>
      </c>
      <c r="J2714" t="s">
        <v>54</v>
      </c>
      <c r="K2714" t="s">
        <v>29</v>
      </c>
      <c r="L2714" t="s">
        <v>895</v>
      </c>
      <c r="M2714" t="s">
        <v>4402</v>
      </c>
      <c r="O2714" t="s">
        <v>896</v>
      </c>
      <c r="P2714" t="s">
        <v>33</v>
      </c>
      <c r="Q2714">
        <v>594.49</v>
      </c>
      <c r="R2714" t="s">
        <v>35</v>
      </c>
      <c r="S2714" t="s">
        <v>35</v>
      </c>
      <c r="T2714" t="s">
        <v>35</v>
      </c>
      <c r="U2714" t="s">
        <v>35</v>
      </c>
      <c r="V2714" t="s">
        <v>645</v>
      </c>
      <c r="W2714" t="s">
        <v>113</v>
      </c>
    </row>
    <row r="2715" spans="1:23" hidden="1" x14ac:dyDescent="0.25">
      <c r="A2715" s="7" t="str">
        <f>IFERROR(VLOOKUP(H2715,'Contas Orç'!A:B,2,0),"N/A")</f>
        <v>BENEFICIOS</v>
      </c>
      <c r="B2715" s="7" t="str">
        <f t="shared" si="84"/>
        <v>330103 - BENEFICIOS</v>
      </c>
      <c r="C2715" s="25">
        <f t="shared" si="85"/>
        <v>44713</v>
      </c>
      <c r="D2715" s="27">
        <f>IF(K2715="CREDITO",Q2715,Q2715*-1)</f>
        <v>3152.3</v>
      </c>
      <c r="E2715" t="s">
        <v>894</v>
      </c>
      <c r="F2715" t="s">
        <v>3209</v>
      </c>
      <c r="G2715" s="8">
        <v>44713</v>
      </c>
      <c r="H2715" t="s">
        <v>74</v>
      </c>
      <c r="I2715" t="s">
        <v>132</v>
      </c>
      <c r="J2715" t="s">
        <v>54</v>
      </c>
      <c r="K2715" t="s">
        <v>29</v>
      </c>
      <c r="L2715" t="s">
        <v>895</v>
      </c>
      <c r="M2715" t="s">
        <v>4402</v>
      </c>
      <c r="O2715" t="s">
        <v>896</v>
      </c>
      <c r="P2715" t="s">
        <v>33</v>
      </c>
      <c r="Q2715" s="22">
        <v>3152.3</v>
      </c>
      <c r="R2715" t="s">
        <v>35</v>
      </c>
      <c r="S2715" t="s">
        <v>35</v>
      </c>
      <c r="T2715" t="s">
        <v>35</v>
      </c>
      <c r="U2715" t="s">
        <v>35</v>
      </c>
      <c r="V2715" t="s">
        <v>645</v>
      </c>
      <c r="W2715" t="s">
        <v>113</v>
      </c>
    </row>
    <row r="2716" spans="1:23" hidden="1" x14ac:dyDescent="0.25">
      <c r="A2716" s="7" t="str">
        <f>IFERROR(VLOOKUP(H2716,'Contas Orç'!A:B,2,0),"N/A")</f>
        <v>BENEFICIOS</v>
      </c>
      <c r="B2716" s="7" t="str">
        <f t="shared" si="84"/>
        <v>330103 - BENEFICIOS</v>
      </c>
      <c r="C2716" s="25">
        <f t="shared" si="85"/>
        <v>44713</v>
      </c>
      <c r="D2716" s="27">
        <f>IF(K2716="CREDITO",Q2716,Q2716*-1)</f>
        <v>697.68</v>
      </c>
      <c r="E2716" t="s">
        <v>894</v>
      </c>
      <c r="F2716" t="s">
        <v>3210</v>
      </c>
      <c r="G2716" s="8">
        <v>44713</v>
      </c>
      <c r="H2716" t="s">
        <v>74</v>
      </c>
      <c r="I2716" t="s">
        <v>114</v>
      </c>
      <c r="J2716" t="s">
        <v>54</v>
      </c>
      <c r="K2716" t="s">
        <v>29</v>
      </c>
      <c r="L2716" t="s">
        <v>895</v>
      </c>
      <c r="M2716" t="s">
        <v>4402</v>
      </c>
      <c r="O2716" t="s">
        <v>896</v>
      </c>
      <c r="P2716" t="s">
        <v>33</v>
      </c>
      <c r="Q2716">
        <v>697.68</v>
      </c>
      <c r="R2716" t="s">
        <v>35</v>
      </c>
      <c r="S2716" t="s">
        <v>35</v>
      </c>
      <c r="T2716" t="s">
        <v>35</v>
      </c>
      <c r="U2716" t="s">
        <v>35</v>
      </c>
      <c r="V2716" t="s">
        <v>645</v>
      </c>
      <c r="W2716" t="s">
        <v>113</v>
      </c>
    </row>
    <row r="2717" spans="1:23" hidden="1" x14ac:dyDescent="0.25">
      <c r="A2717" s="7" t="str">
        <f>IFERROR(VLOOKUP(H2717,'Contas Orç'!A:B,2,0),"N/A")</f>
        <v>BENEFICIOS</v>
      </c>
      <c r="B2717" s="7" t="str">
        <f t="shared" si="84"/>
        <v>330103 - BENEFICIOS</v>
      </c>
      <c r="C2717" s="25">
        <f t="shared" si="85"/>
        <v>44713</v>
      </c>
      <c r="D2717" s="27">
        <f>IF(K2717="CREDITO",Q2717,Q2717*-1)</f>
        <v>5056.4399999999996</v>
      </c>
      <c r="E2717" t="s">
        <v>894</v>
      </c>
      <c r="F2717" t="s">
        <v>3211</v>
      </c>
      <c r="G2717" s="8">
        <v>44713</v>
      </c>
      <c r="H2717" t="s">
        <v>74</v>
      </c>
      <c r="I2717" t="s">
        <v>75</v>
      </c>
      <c r="J2717" t="s">
        <v>54</v>
      </c>
      <c r="K2717" t="s">
        <v>29</v>
      </c>
      <c r="L2717" t="s">
        <v>895</v>
      </c>
      <c r="M2717" t="s">
        <v>4402</v>
      </c>
      <c r="O2717" t="s">
        <v>896</v>
      </c>
      <c r="P2717" t="s">
        <v>33</v>
      </c>
      <c r="Q2717" s="22">
        <v>5056.4399999999996</v>
      </c>
      <c r="R2717" t="s">
        <v>35</v>
      </c>
      <c r="S2717" t="s">
        <v>35</v>
      </c>
      <c r="T2717" t="s">
        <v>35</v>
      </c>
      <c r="U2717" t="s">
        <v>35</v>
      </c>
      <c r="V2717" t="s">
        <v>645</v>
      </c>
      <c r="W2717" t="s">
        <v>113</v>
      </c>
    </row>
    <row r="2718" spans="1:23" hidden="1" x14ac:dyDescent="0.25">
      <c r="A2718" s="7" t="str">
        <f>IFERROR(VLOOKUP(H2718,'Contas Orç'!A:B,2,0),"N/A")</f>
        <v>BENEFICIOS</v>
      </c>
      <c r="B2718" s="7" t="str">
        <f t="shared" si="84"/>
        <v>330103 - BENEFICIOS</v>
      </c>
      <c r="C2718" s="25">
        <f t="shared" si="85"/>
        <v>44713</v>
      </c>
      <c r="D2718" s="27">
        <f>IF(K2718="CREDITO",Q2718,Q2718*-1)</f>
        <v>3669.48</v>
      </c>
      <c r="E2718" t="s">
        <v>894</v>
      </c>
      <c r="F2718" t="s">
        <v>3212</v>
      </c>
      <c r="G2718" s="8">
        <v>44713</v>
      </c>
      <c r="H2718" t="s">
        <v>74</v>
      </c>
      <c r="I2718" t="s">
        <v>78</v>
      </c>
      <c r="J2718" t="s">
        <v>54</v>
      </c>
      <c r="K2718" t="s">
        <v>29</v>
      </c>
      <c r="L2718" t="s">
        <v>895</v>
      </c>
      <c r="M2718" t="s">
        <v>4402</v>
      </c>
      <c r="O2718" t="s">
        <v>896</v>
      </c>
      <c r="P2718" t="s">
        <v>33</v>
      </c>
      <c r="Q2718" s="22">
        <v>3669.48</v>
      </c>
      <c r="R2718" t="s">
        <v>35</v>
      </c>
      <c r="S2718" t="s">
        <v>35</v>
      </c>
      <c r="T2718" t="s">
        <v>35</v>
      </c>
      <c r="U2718" t="s">
        <v>35</v>
      </c>
      <c r="V2718" t="s">
        <v>645</v>
      </c>
      <c r="W2718" t="s">
        <v>113</v>
      </c>
    </row>
    <row r="2719" spans="1:23" hidden="1" x14ac:dyDescent="0.25">
      <c r="A2719" s="7" t="str">
        <f>IFERROR(VLOOKUP(H2719,'Contas Orç'!A:B,2,0),"N/A")</f>
        <v>BENEFICIOS</v>
      </c>
      <c r="B2719" s="7" t="str">
        <f t="shared" si="84"/>
        <v>330103 - BENEFICIOS</v>
      </c>
      <c r="C2719" s="25">
        <f t="shared" si="85"/>
        <v>44713</v>
      </c>
      <c r="D2719" s="27">
        <f>IF(K2719="CREDITO",Q2719,Q2719*-1)</f>
        <v>4109.26</v>
      </c>
      <c r="E2719" t="s">
        <v>894</v>
      </c>
      <c r="F2719" t="s">
        <v>3213</v>
      </c>
      <c r="G2719" s="8">
        <v>44713</v>
      </c>
      <c r="H2719" t="s">
        <v>74</v>
      </c>
      <c r="I2719" t="s">
        <v>81</v>
      </c>
      <c r="J2719" t="s">
        <v>54</v>
      </c>
      <c r="K2719" t="s">
        <v>29</v>
      </c>
      <c r="L2719" t="s">
        <v>895</v>
      </c>
      <c r="M2719" t="s">
        <v>4402</v>
      </c>
      <c r="O2719" t="s">
        <v>896</v>
      </c>
      <c r="P2719" t="s">
        <v>33</v>
      </c>
      <c r="Q2719" s="22">
        <v>4109.26</v>
      </c>
      <c r="R2719" t="s">
        <v>35</v>
      </c>
      <c r="S2719" t="s">
        <v>35</v>
      </c>
      <c r="T2719" t="s">
        <v>35</v>
      </c>
      <c r="U2719" t="s">
        <v>35</v>
      </c>
      <c r="V2719" t="s">
        <v>645</v>
      </c>
      <c r="W2719" t="s">
        <v>113</v>
      </c>
    </row>
    <row r="2720" spans="1:23" hidden="1" x14ac:dyDescent="0.25">
      <c r="A2720" s="7" t="str">
        <f>IFERROR(VLOOKUP(H2720,'Contas Orç'!A:B,2,0),"N/A")</f>
        <v>BENEFICIOS</v>
      </c>
      <c r="B2720" s="7" t="str">
        <f t="shared" si="84"/>
        <v>330103 - BENEFICIOS</v>
      </c>
      <c r="C2720" s="25">
        <f t="shared" si="85"/>
        <v>44713</v>
      </c>
      <c r="D2720" s="27">
        <f>IF(K2720="CREDITO",Q2720,Q2720*-1)</f>
        <v>2298.92</v>
      </c>
      <c r="E2720" t="s">
        <v>894</v>
      </c>
      <c r="F2720" t="s">
        <v>3214</v>
      </c>
      <c r="G2720" s="8">
        <v>44713</v>
      </c>
      <c r="H2720" t="s">
        <v>74</v>
      </c>
      <c r="I2720" t="s">
        <v>136</v>
      </c>
      <c r="J2720" t="s">
        <v>54</v>
      </c>
      <c r="K2720" t="s">
        <v>29</v>
      </c>
      <c r="L2720" t="s">
        <v>895</v>
      </c>
      <c r="M2720" t="s">
        <v>4402</v>
      </c>
      <c r="O2720" t="s">
        <v>896</v>
      </c>
      <c r="P2720" t="s">
        <v>33</v>
      </c>
      <c r="Q2720" s="22">
        <v>2298.92</v>
      </c>
      <c r="R2720" t="s">
        <v>35</v>
      </c>
      <c r="S2720" t="s">
        <v>35</v>
      </c>
      <c r="T2720" t="s">
        <v>35</v>
      </c>
      <c r="U2720" t="s">
        <v>35</v>
      </c>
      <c r="V2720" t="s">
        <v>645</v>
      </c>
      <c r="W2720" t="s">
        <v>113</v>
      </c>
    </row>
    <row r="2721" spans="1:23" hidden="1" x14ac:dyDescent="0.25">
      <c r="A2721" s="7" t="str">
        <f>IFERROR(VLOOKUP(H2721,'Contas Orç'!A:B,2,0),"N/A")</f>
        <v>BENEFICIOS</v>
      </c>
      <c r="B2721" s="7" t="str">
        <f t="shared" si="84"/>
        <v>330103 - BENEFICIOS</v>
      </c>
      <c r="C2721" s="25">
        <f t="shared" si="85"/>
        <v>44743</v>
      </c>
      <c r="D2721" s="27">
        <f>IF(K2721="CREDITO",Q2721,Q2721*-1)</f>
        <v>2918.92</v>
      </c>
      <c r="E2721" t="s">
        <v>894</v>
      </c>
      <c r="F2721" t="s">
        <v>3215</v>
      </c>
      <c r="G2721" s="8">
        <v>44743</v>
      </c>
      <c r="H2721" t="s">
        <v>74</v>
      </c>
      <c r="I2721" t="s">
        <v>99</v>
      </c>
      <c r="J2721" t="s">
        <v>28</v>
      </c>
      <c r="K2721" t="s">
        <v>29</v>
      </c>
      <c r="L2721" t="s">
        <v>895</v>
      </c>
      <c r="M2721" t="s">
        <v>4402</v>
      </c>
      <c r="O2721" t="s">
        <v>896</v>
      </c>
      <c r="P2721" t="s">
        <v>33</v>
      </c>
      <c r="Q2721" s="22">
        <v>2918.92</v>
      </c>
      <c r="R2721" t="s">
        <v>35</v>
      </c>
      <c r="S2721" t="s">
        <v>35</v>
      </c>
      <c r="T2721" t="s">
        <v>35</v>
      </c>
      <c r="U2721" t="s">
        <v>35</v>
      </c>
      <c r="V2721" t="s">
        <v>645</v>
      </c>
      <c r="W2721" t="s">
        <v>113</v>
      </c>
    </row>
    <row r="2722" spans="1:23" hidden="1" x14ac:dyDescent="0.25">
      <c r="A2722" s="7" t="str">
        <f>IFERROR(VLOOKUP(H2722,'Contas Orç'!A:B,2,0),"N/A")</f>
        <v>BENEFICIOS</v>
      </c>
      <c r="B2722" s="7" t="str">
        <f t="shared" si="84"/>
        <v>330103 - BENEFICIOS</v>
      </c>
      <c r="C2722" s="25">
        <f t="shared" si="85"/>
        <v>44743</v>
      </c>
      <c r="D2722" s="27">
        <f>IF(K2722="CREDITO",Q2722,Q2722*-1)</f>
        <v>2970.98</v>
      </c>
      <c r="E2722" t="s">
        <v>894</v>
      </c>
      <c r="F2722" t="s">
        <v>3216</v>
      </c>
      <c r="G2722" s="8">
        <v>44743</v>
      </c>
      <c r="H2722" t="s">
        <v>74</v>
      </c>
      <c r="I2722" t="s">
        <v>81</v>
      </c>
      <c r="J2722" t="s">
        <v>60</v>
      </c>
      <c r="K2722" t="s">
        <v>29</v>
      </c>
      <c r="L2722" t="s">
        <v>895</v>
      </c>
      <c r="M2722" t="s">
        <v>4402</v>
      </c>
      <c r="O2722" t="s">
        <v>896</v>
      </c>
      <c r="P2722" t="s">
        <v>33</v>
      </c>
      <c r="Q2722" s="22">
        <v>2970.98</v>
      </c>
      <c r="R2722" t="s">
        <v>35</v>
      </c>
      <c r="S2722" t="s">
        <v>35</v>
      </c>
      <c r="T2722" t="s">
        <v>35</v>
      </c>
      <c r="U2722" t="s">
        <v>35</v>
      </c>
      <c r="V2722" t="s">
        <v>645</v>
      </c>
      <c r="W2722" t="s">
        <v>113</v>
      </c>
    </row>
    <row r="2723" spans="1:23" hidden="1" x14ac:dyDescent="0.25">
      <c r="A2723" s="7" t="str">
        <f>IFERROR(VLOOKUP(H2723,'Contas Orç'!A:B,2,0),"N/A")</f>
        <v>BENEFICIOS</v>
      </c>
      <c r="B2723" s="7" t="str">
        <f t="shared" si="84"/>
        <v>330103 - BENEFICIOS</v>
      </c>
      <c r="C2723" s="25">
        <f t="shared" si="85"/>
        <v>44743</v>
      </c>
      <c r="D2723" s="27">
        <f>IF(K2723="CREDITO",Q2723,Q2723*-1)</f>
        <v>114.21</v>
      </c>
      <c r="E2723" t="s">
        <v>894</v>
      </c>
      <c r="F2723" t="s">
        <v>3217</v>
      </c>
      <c r="G2723" s="8">
        <v>44743</v>
      </c>
      <c r="H2723" t="s">
        <v>74</v>
      </c>
      <c r="I2723" t="s">
        <v>68</v>
      </c>
      <c r="J2723" t="s">
        <v>69</v>
      </c>
      <c r="K2723" t="s">
        <v>29</v>
      </c>
      <c r="L2723" t="s">
        <v>895</v>
      </c>
      <c r="M2723" t="s">
        <v>4402</v>
      </c>
      <c r="O2723" t="s">
        <v>896</v>
      </c>
      <c r="P2723" t="s">
        <v>33</v>
      </c>
      <c r="Q2723">
        <v>114.21</v>
      </c>
      <c r="R2723" t="s">
        <v>35</v>
      </c>
      <c r="S2723" t="s">
        <v>35</v>
      </c>
      <c r="T2723" t="s">
        <v>35</v>
      </c>
      <c r="U2723" t="s">
        <v>35</v>
      </c>
      <c r="V2723" t="s">
        <v>645</v>
      </c>
      <c r="W2723" t="s">
        <v>113</v>
      </c>
    </row>
    <row r="2724" spans="1:23" hidden="1" x14ac:dyDescent="0.25">
      <c r="A2724" s="7" t="str">
        <f>IFERROR(VLOOKUP(H2724,'Contas Orç'!A:B,2,0),"N/A")</f>
        <v>BENEFICIOS</v>
      </c>
      <c r="B2724" s="7" t="str">
        <f t="shared" si="84"/>
        <v>330103 - BENEFICIOS</v>
      </c>
      <c r="C2724" s="25">
        <f t="shared" si="85"/>
        <v>44743</v>
      </c>
      <c r="D2724" s="27">
        <f>IF(K2724="CREDITO",Q2724,Q2724*-1)</f>
        <v>181.6</v>
      </c>
      <c r="E2724" t="s">
        <v>894</v>
      </c>
      <c r="F2724" t="s">
        <v>3218</v>
      </c>
      <c r="G2724" s="8">
        <v>44743</v>
      </c>
      <c r="H2724" t="s">
        <v>74</v>
      </c>
      <c r="I2724" t="s">
        <v>2062</v>
      </c>
      <c r="J2724" t="s">
        <v>54</v>
      </c>
      <c r="K2724" t="s">
        <v>29</v>
      </c>
      <c r="L2724" t="s">
        <v>895</v>
      </c>
      <c r="M2724" t="s">
        <v>4402</v>
      </c>
      <c r="O2724" t="s">
        <v>896</v>
      </c>
      <c r="P2724" t="s">
        <v>33</v>
      </c>
      <c r="Q2724">
        <v>181.6</v>
      </c>
      <c r="R2724" t="s">
        <v>35</v>
      </c>
      <c r="S2724" t="s">
        <v>35</v>
      </c>
      <c r="T2724" t="s">
        <v>35</v>
      </c>
      <c r="U2724" t="s">
        <v>35</v>
      </c>
      <c r="V2724" t="s">
        <v>645</v>
      </c>
      <c r="W2724" t="s">
        <v>113</v>
      </c>
    </row>
    <row r="2725" spans="1:23" hidden="1" x14ac:dyDescent="0.25">
      <c r="A2725" s="7" t="str">
        <f>IFERROR(VLOOKUP(H2725,'Contas Orç'!A:B,2,0),"N/A")</f>
        <v>BENEFICIOS</v>
      </c>
      <c r="B2725" s="7" t="str">
        <f t="shared" si="84"/>
        <v>330103 - BENEFICIOS</v>
      </c>
      <c r="C2725" s="25">
        <f t="shared" si="85"/>
        <v>44743</v>
      </c>
      <c r="D2725" s="27">
        <f>IF(K2725="CREDITO",Q2725,Q2725*-1)</f>
        <v>25108.32</v>
      </c>
      <c r="E2725" t="s">
        <v>894</v>
      </c>
      <c r="F2725" t="s">
        <v>3219</v>
      </c>
      <c r="G2725" s="8">
        <v>44743</v>
      </c>
      <c r="H2725" t="s">
        <v>74</v>
      </c>
      <c r="I2725" t="s">
        <v>40</v>
      </c>
      <c r="J2725" t="s">
        <v>54</v>
      </c>
      <c r="K2725" t="s">
        <v>29</v>
      </c>
      <c r="L2725" t="s">
        <v>895</v>
      </c>
      <c r="M2725" t="s">
        <v>4402</v>
      </c>
      <c r="O2725" t="s">
        <v>896</v>
      </c>
      <c r="P2725" t="s">
        <v>33</v>
      </c>
      <c r="Q2725" s="22">
        <v>25108.32</v>
      </c>
      <c r="R2725" t="s">
        <v>35</v>
      </c>
      <c r="S2725" t="s">
        <v>35</v>
      </c>
      <c r="T2725" t="s">
        <v>35</v>
      </c>
      <c r="U2725" t="s">
        <v>35</v>
      </c>
      <c r="V2725" t="s">
        <v>645</v>
      </c>
      <c r="W2725" t="s">
        <v>113</v>
      </c>
    </row>
    <row r="2726" spans="1:23" hidden="1" x14ac:dyDescent="0.25">
      <c r="A2726" s="7" t="str">
        <f>IFERROR(VLOOKUP(H2726,'Contas Orç'!A:B,2,0),"N/A")</f>
        <v>BENEFICIOS</v>
      </c>
      <c r="B2726" s="7" t="str">
        <f t="shared" si="84"/>
        <v>330103 - BENEFICIOS</v>
      </c>
      <c r="C2726" s="25">
        <f t="shared" si="85"/>
        <v>44743</v>
      </c>
      <c r="D2726" s="27">
        <f>IF(K2726="CREDITO",Q2726,Q2726*-1)</f>
        <v>588.96</v>
      </c>
      <c r="E2726" t="s">
        <v>894</v>
      </c>
      <c r="F2726" t="s">
        <v>3220</v>
      </c>
      <c r="G2726" s="8">
        <v>44743</v>
      </c>
      <c r="H2726" t="s">
        <v>74</v>
      </c>
      <c r="I2726" t="s">
        <v>1002</v>
      </c>
      <c r="J2726" t="s">
        <v>54</v>
      </c>
      <c r="K2726" t="s">
        <v>29</v>
      </c>
      <c r="L2726" t="s">
        <v>895</v>
      </c>
      <c r="M2726" t="s">
        <v>4402</v>
      </c>
      <c r="O2726" t="s">
        <v>896</v>
      </c>
      <c r="P2726" t="s">
        <v>33</v>
      </c>
      <c r="Q2726">
        <v>588.96</v>
      </c>
      <c r="R2726" t="s">
        <v>35</v>
      </c>
      <c r="S2726" t="s">
        <v>35</v>
      </c>
      <c r="T2726" t="s">
        <v>35</v>
      </c>
      <c r="U2726" t="s">
        <v>35</v>
      </c>
      <c r="V2726" t="s">
        <v>645</v>
      </c>
      <c r="W2726" t="s">
        <v>113</v>
      </c>
    </row>
    <row r="2727" spans="1:23" hidden="1" x14ac:dyDescent="0.25">
      <c r="A2727" s="7" t="str">
        <f>IFERROR(VLOOKUP(H2727,'Contas Orç'!A:B,2,0),"N/A")</f>
        <v>BENEFICIOS</v>
      </c>
      <c r="B2727" s="7" t="str">
        <f t="shared" si="84"/>
        <v>330103 - BENEFICIOS</v>
      </c>
      <c r="C2727" s="25">
        <f t="shared" si="85"/>
        <v>44743</v>
      </c>
      <c r="D2727" s="27">
        <f>IF(K2727="CREDITO",Q2727,Q2727*-1)</f>
        <v>792.98</v>
      </c>
      <c r="E2727" t="s">
        <v>894</v>
      </c>
      <c r="F2727" t="s">
        <v>3221</v>
      </c>
      <c r="G2727" s="8">
        <v>44743</v>
      </c>
      <c r="H2727" t="s">
        <v>74</v>
      </c>
      <c r="I2727" t="s">
        <v>121</v>
      </c>
      <c r="J2727" t="s">
        <v>54</v>
      </c>
      <c r="K2727" t="s">
        <v>29</v>
      </c>
      <c r="L2727" t="s">
        <v>895</v>
      </c>
      <c r="M2727" t="s">
        <v>4402</v>
      </c>
      <c r="O2727" t="s">
        <v>896</v>
      </c>
      <c r="P2727" t="s">
        <v>33</v>
      </c>
      <c r="Q2727">
        <v>792.98</v>
      </c>
      <c r="R2727" t="s">
        <v>35</v>
      </c>
      <c r="S2727" t="s">
        <v>35</v>
      </c>
      <c r="T2727" t="s">
        <v>35</v>
      </c>
      <c r="U2727" t="s">
        <v>35</v>
      </c>
      <c r="V2727" t="s">
        <v>645</v>
      </c>
      <c r="W2727" t="s">
        <v>113</v>
      </c>
    </row>
    <row r="2728" spans="1:23" hidden="1" x14ac:dyDescent="0.25">
      <c r="A2728" s="7" t="str">
        <f>IFERROR(VLOOKUP(H2728,'Contas Orç'!A:B,2,0),"N/A")</f>
        <v>BENEFICIOS</v>
      </c>
      <c r="B2728" s="7" t="str">
        <f t="shared" si="84"/>
        <v>330103 - BENEFICIOS</v>
      </c>
      <c r="C2728" s="25">
        <f t="shared" si="85"/>
        <v>44743</v>
      </c>
      <c r="D2728" s="27">
        <f>IF(K2728="CREDITO",Q2728,Q2728*-1)</f>
        <v>3385.88</v>
      </c>
      <c r="E2728" t="s">
        <v>894</v>
      </c>
      <c r="F2728" t="s">
        <v>3222</v>
      </c>
      <c r="G2728" s="8">
        <v>44743</v>
      </c>
      <c r="H2728" t="s">
        <v>74</v>
      </c>
      <c r="I2728" t="s">
        <v>132</v>
      </c>
      <c r="J2728" t="s">
        <v>54</v>
      </c>
      <c r="K2728" t="s">
        <v>29</v>
      </c>
      <c r="L2728" t="s">
        <v>895</v>
      </c>
      <c r="M2728" t="s">
        <v>4402</v>
      </c>
      <c r="O2728" t="s">
        <v>896</v>
      </c>
      <c r="P2728" t="s">
        <v>33</v>
      </c>
      <c r="Q2728" s="22">
        <v>3385.88</v>
      </c>
      <c r="R2728" t="s">
        <v>35</v>
      </c>
      <c r="S2728" t="s">
        <v>35</v>
      </c>
      <c r="T2728" t="s">
        <v>35</v>
      </c>
      <c r="U2728" t="s">
        <v>35</v>
      </c>
      <c r="V2728" t="s">
        <v>645</v>
      </c>
      <c r="W2728" t="s">
        <v>113</v>
      </c>
    </row>
    <row r="2729" spans="1:23" hidden="1" x14ac:dyDescent="0.25">
      <c r="A2729" s="7" t="str">
        <f>IFERROR(VLOOKUP(H2729,'Contas Orç'!A:B,2,0),"N/A")</f>
        <v>BENEFICIOS</v>
      </c>
      <c r="B2729" s="7" t="str">
        <f t="shared" si="84"/>
        <v>330103 - BENEFICIOS</v>
      </c>
      <c r="C2729" s="25">
        <f t="shared" si="85"/>
        <v>44743</v>
      </c>
      <c r="D2729" s="27">
        <f>IF(K2729="CREDITO",Q2729,Q2729*-1)</f>
        <v>676.52</v>
      </c>
      <c r="E2729" t="s">
        <v>894</v>
      </c>
      <c r="F2729" t="s">
        <v>3223</v>
      </c>
      <c r="G2729" s="8">
        <v>44743</v>
      </c>
      <c r="H2729" t="s">
        <v>74</v>
      </c>
      <c r="I2729" t="s">
        <v>114</v>
      </c>
      <c r="J2729" t="s">
        <v>54</v>
      </c>
      <c r="K2729" t="s">
        <v>29</v>
      </c>
      <c r="L2729" t="s">
        <v>895</v>
      </c>
      <c r="M2729" t="s">
        <v>4402</v>
      </c>
      <c r="O2729" t="s">
        <v>896</v>
      </c>
      <c r="P2729" t="s">
        <v>33</v>
      </c>
      <c r="Q2729">
        <v>676.52</v>
      </c>
      <c r="R2729" t="s">
        <v>35</v>
      </c>
      <c r="S2729" t="s">
        <v>35</v>
      </c>
      <c r="T2729" t="s">
        <v>35</v>
      </c>
      <c r="U2729" t="s">
        <v>35</v>
      </c>
      <c r="V2729" t="s">
        <v>645</v>
      </c>
      <c r="W2729" t="s">
        <v>113</v>
      </c>
    </row>
    <row r="2730" spans="1:23" hidden="1" x14ac:dyDescent="0.25">
      <c r="A2730" s="7" t="str">
        <f>IFERROR(VLOOKUP(H2730,'Contas Orç'!A:B,2,0),"N/A")</f>
        <v>BENEFICIOS</v>
      </c>
      <c r="B2730" s="7" t="str">
        <f t="shared" si="84"/>
        <v>330103 - BENEFICIOS</v>
      </c>
      <c r="C2730" s="25">
        <f t="shared" si="85"/>
        <v>44743</v>
      </c>
      <c r="D2730" s="27">
        <f>IF(K2730="CREDITO",Q2730,Q2730*-1)</f>
        <v>6699.22</v>
      </c>
      <c r="E2730" t="s">
        <v>894</v>
      </c>
      <c r="F2730" t="s">
        <v>3224</v>
      </c>
      <c r="G2730" s="8">
        <v>44743</v>
      </c>
      <c r="H2730" t="s">
        <v>74</v>
      </c>
      <c r="I2730" t="s">
        <v>75</v>
      </c>
      <c r="J2730" t="s">
        <v>54</v>
      </c>
      <c r="K2730" t="s">
        <v>29</v>
      </c>
      <c r="L2730" t="s">
        <v>895</v>
      </c>
      <c r="M2730" t="s">
        <v>4402</v>
      </c>
      <c r="O2730" t="s">
        <v>896</v>
      </c>
      <c r="P2730" t="s">
        <v>33</v>
      </c>
      <c r="Q2730" s="22">
        <v>6699.22</v>
      </c>
      <c r="R2730" t="s">
        <v>35</v>
      </c>
      <c r="S2730" t="s">
        <v>35</v>
      </c>
      <c r="T2730" t="s">
        <v>35</v>
      </c>
      <c r="U2730" t="s">
        <v>35</v>
      </c>
      <c r="V2730" t="s">
        <v>645</v>
      </c>
      <c r="W2730" t="s">
        <v>113</v>
      </c>
    </row>
    <row r="2731" spans="1:23" hidden="1" x14ac:dyDescent="0.25">
      <c r="A2731" s="7" t="str">
        <f>IFERROR(VLOOKUP(H2731,'Contas Orç'!A:B,2,0),"N/A")</f>
        <v>BENEFICIOS</v>
      </c>
      <c r="B2731" s="7" t="str">
        <f t="shared" si="84"/>
        <v>330103 - BENEFICIOS</v>
      </c>
      <c r="C2731" s="25">
        <f t="shared" si="85"/>
        <v>44743</v>
      </c>
      <c r="D2731" s="27">
        <f>IF(K2731="CREDITO",Q2731,Q2731*-1)</f>
        <v>4040.9</v>
      </c>
      <c r="E2731" t="s">
        <v>894</v>
      </c>
      <c r="F2731" t="s">
        <v>3225</v>
      </c>
      <c r="G2731" s="8">
        <v>44743</v>
      </c>
      <c r="H2731" t="s">
        <v>74</v>
      </c>
      <c r="I2731" t="s">
        <v>78</v>
      </c>
      <c r="J2731" t="s">
        <v>54</v>
      </c>
      <c r="K2731" t="s">
        <v>29</v>
      </c>
      <c r="L2731" t="s">
        <v>895</v>
      </c>
      <c r="M2731" t="s">
        <v>4402</v>
      </c>
      <c r="O2731" t="s">
        <v>896</v>
      </c>
      <c r="P2731" t="s">
        <v>33</v>
      </c>
      <c r="Q2731" s="22">
        <v>4040.9</v>
      </c>
      <c r="R2731" t="s">
        <v>35</v>
      </c>
      <c r="S2731" t="s">
        <v>35</v>
      </c>
      <c r="T2731" t="s">
        <v>35</v>
      </c>
      <c r="U2731" t="s">
        <v>35</v>
      </c>
      <c r="V2731" t="s">
        <v>645</v>
      </c>
      <c r="W2731" t="s">
        <v>113</v>
      </c>
    </row>
    <row r="2732" spans="1:23" hidden="1" x14ac:dyDescent="0.25">
      <c r="A2732" s="7" t="str">
        <f>IFERROR(VLOOKUP(H2732,'Contas Orç'!A:B,2,0),"N/A")</f>
        <v>BENEFICIOS</v>
      </c>
      <c r="B2732" s="7" t="str">
        <f t="shared" si="84"/>
        <v>330103 - BENEFICIOS</v>
      </c>
      <c r="C2732" s="25">
        <f t="shared" si="85"/>
        <v>44743</v>
      </c>
      <c r="D2732" s="27">
        <f>IF(K2732="CREDITO",Q2732,Q2732*-1)</f>
        <v>2982.14</v>
      </c>
      <c r="E2732" t="s">
        <v>894</v>
      </c>
      <c r="F2732" t="s">
        <v>3226</v>
      </c>
      <c r="G2732" s="8">
        <v>44743</v>
      </c>
      <c r="H2732" t="s">
        <v>74</v>
      </c>
      <c r="I2732" t="s">
        <v>81</v>
      </c>
      <c r="J2732" t="s">
        <v>54</v>
      </c>
      <c r="K2732" t="s">
        <v>29</v>
      </c>
      <c r="L2732" t="s">
        <v>895</v>
      </c>
      <c r="M2732" t="s">
        <v>4402</v>
      </c>
      <c r="O2732" t="s">
        <v>896</v>
      </c>
      <c r="P2732" t="s">
        <v>33</v>
      </c>
      <c r="Q2732" s="22">
        <v>2982.14</v>
      </c>
      <c r="R2732" t="s">
        <v>35</v>
      </c>
      <c r="S2732" t="s">
        <v>35</v>
      </c>
      <c r="T2732" t="s">
        <v>35</v>
      </c>
      <c r="U2732" t="s">
        <v>35</v>
      </c>
      <c r="V2732" t="s">
        <v>645</v>
      </c>
      <c r="W2732" t="s">
        <v>113</v>
      </c>
    </row>
    <row r="2733" spans="1:23" hidden="1" x14ac:dyDescent="0.25">
      <c r="A2733" s="7" t="str">
        <f>IFERROR(VLOOKUP(H2733,'Contas Orç'!A:B,2,0),"N/A")</f>
        <v>BENEFICIOS</v>
      </c>
      <c r="B2733" s="7" t="str">
        <f t="shared" si="84"/>
        <v>330103 - BENEFICIOS</v>
      </c>
      <c r="C2733" s="25">
        <f t="shared" si="85"/>
        <v>44743</v>
      </c>
      <c r="D2733" s="27">
        <f>IF(K2733="CREDITO",Q2733,Q2733*-1)</f>
        <v>2446.9299999999998</v>
      </c>
      <c r="E2733" t="s">
        <v>894</v>
      </c>
      <c r="F2733" t="s">
        <v>3227</v>
      </c>
      <c r="G2733" s="8">
        <v>44743</v>
      </c>
      <c r="H2733" t="s">
        <v>74</v>
      </c>
      <c r="I2733" t="s">
        <v>136</v>
      </c>
      <c r="J2733" t="s">
        <v>54</v>
      </c>
      <c r="K2733" t="s">
        <v>29</v>
      </c>
      <c r="L2733" t="s">
        <v>895</v>
      </c>
      <c r="M2733" t="s">
        <v>4402</v>
      </c>
      <c r="O2733" t="s">
        <v>896</v>
      </c>
      <c r="P2733" t="s">
        <v>33</v>
      </c>
      <c r="Q2733" s="22">
        <v>2446.9299999999998</v>
      </c>
      <c r="R2733" t="s">
        <v>35</v>
      </c>
      <c r="S2733" t="s">
        <v>35</v>
      </c>
      <c r="T2733" t="s">
        <v>35</v>
      </c>
      <c r="U2733" t="s">
        <v>35</v>
      </c>
      <c r="V2733" t="s">
        <v>645</v>
      </c>
      <c r="W2733" t="s">
        <v>113</v>
      </c>
    </row>
    <row r="2734" spans="1:23" hidden="1" x14ac:dyDescent="0.25">
      <c r="A2734" s="7" t="str">
        <f>IFERROR(VLOOKUP(H2734,'Contas Orç'!A:B,2,0),"N/A")</f>
        <v>BENEFICIOS</v>
      </c>
      <c r="B2734" s="7" t="str">
        <f t="shared" si="84"/>
        <v>330103 - BENEFICIOS</v>
      </c>
      <c r="C2734" s="25">
        <f t="shared" si="85"/>
        <v>44774</v>
      </c>
      <c r="D2734" s="27">
        <f>IF(K2734="CREDITO",Q2734,Q2734*-1)</f>
        <v>28.66</v>
      </c>
      <c r="E2734" t="s">
        <v>894</v>
      </c>
      <c r="F2734" t="s">
        <v>3228</v>
      </c>
      <c r="G2734" s="8">
        <v>44774</v>
      </c>
      <c r="H2734" t="s">
        <v>74</v>
      </c>
      <c r="I2734" t="s">
        <v>132</v>
      </c>
      <c r="J2734" t="s">
        <v>28</v>
      </c>
      <c r="K2734" t="s">
        <v>29</v>
      </c>
      <c r="L2734" t="s">
        <v>895</v>
      </c>
      <c r="M2734" t="s">
        <v>4402</v>
      </c>
      <c r="O2734" t="s">
        <v>896</v>
      </c>
      <c r="P2734" t="s">
        <v>33</v>
      </c>
      <c r="Q2734">
        <v>28.66</v>
      </c>
      <c r="R2734" t="s">
        <v>35</v>
      </c>
      <c r="S2734" t="s">
        <v>35</v>
      </c>
      <c r="T2734" t="s">
        <v>35</v>
      </c>
      <c r="U2734" t="s">
        <v>35</v>
      </c>
      <c r="V2734" t="s">
        <v>645</v>
      </c>
      <c r="W2734" t="s">
        <v>113</v>
      </c>
    </row>
    <row r="2735" spans="1:23" hidden="1" x14ac:dyDescent="0.25">
      <c r="A2735" s="7" t="str">
        <f>IFERROR(VLOOKUP(H2735,'Contas Orç'!A:B,2,0),"N/A")</f>
        <v>BENEFICIOS</v>
      </c>
      <c r="B2735" s="7" t="str">
        <f t="shared" si="84"/>
        <v>330103 - BENEFICIOS</v>
      </c>
      <c r="C2735" s="25">
        <f t="shared" si="85"/>
        <v>44774</v>
      </c>
      <c r="D2735" s="27">
        <f>IF(K2735="CREDITO",Q2735,Q2735*-1)</f>
        <v>3512.08</v>
      </c>
      <c r="E2735" t="s">
        <v>894</v>
      </c>
      <c r="F2735" t="s">
        <v>3229</v>
      </c>
      <c r="G2735" s="8">
        <v>44774</v>
      </c>
      <c r="H2735" t="s">
        <v>74</v>
      </c>
      <c r="I2735" t="s">
        <v>99</v>
      </c>
      <c r="J2735" t="s">
        <v>28</v>
      </c>
      <c r="K2735" t="s">
        <v>29</v>
      </c>
      <c r="L2735" t="s">
        <v>895</v>
      </c>
      <c r="M2735" t="s">
        <v>4402</v>
      </c>
      <c r="O2735" t="s">
        <v>896</v>
      </c>
      <c r="P2735" t="s">
        <v>33</v>
      </c>
      <c r="Q2735" s="22">
        <v>3512.08</v>
      </c>
      <c r="R2735" t="s">
        <v>35</v>
      </c>
      <c r="S2735" t="s">
        <v>35</v>
      </c>
      <c r="T2735" t="s">
        <v>35</v>
      </c>
      <c r="U2735" t="s">
        <v>35</v>
      </c>
      <c r="V2735" t="s">
        <v>645</v>
      </c>
      <c r="W2735" t="s">
        <v>113</v>
      </c>
    </row>
    <row r="2736" spans="1:23" hidden="1" x14ac:dyDescent="0.25">
      <c r="A2736" s="7" t="str">
        <f>IFERROR(VLOOKUP(H2736,'Contas Orç'!A:B,2,0),"N/A")</f>
        <v>BENEFICIOS</v>
      </c>
      <c r="B2736" s="7" t="str">
        <f t="shared" si="84"/>
        <v>330103 - BENEFICIOS</v>
      </c>
      <c r="C2736" s="25">
        <f t="shared" si="85"/>
        <v>44774</v>
      </c>
      <c r="D2736" s="27">
        <f>IF(K2736="CREDITO",Q2736,Q2736*-1)</f>
        <v>3049.38</v>
      </c>
      <c r="E2736" t="s">
        <v>894</v>
      </c>
      <c r="F2736" t="s">
        <v>3230</v>
      </c>
      <c r="G2736" s="8">
        <v>44774</v>
      </c>
      <c r="H2736" t="s">
        <v>74</v>
      </c>
      <c r="I2736" t="s">
        <v>81</v>
      </c>
      <c r="J2736" t="s">
        <v>60</v>
      </c>
      <c r="K2736" t="s">
        <v>29</v>
      </c>
      <c r="L2736" t="s">
        <v>895</v>
      </c>
      <c r="M2736" t="s">
        <v>4402</v>
      </c>
      <c r="O2736" t="s">
        <v>896</v>
      </c>
      <c r="P2736" t="s">
        <v>33</v>
      </c>
      <c r="Q2736" s="22">
        <v>3049.38</v>
      </c>
      <c r="R2736" t="s">
        <v>35</v>
      </c>
      <c r="S2736" t="s">
        <v>35</v>
      </c>
      <c r="T2736" t="s">
        <v>35</v>
      </c>
      <c r="U2736" t="s">
        <v>35</v>
      </c>
      <c r="V2736" t="s">
        <v>645</v>
      </c>
      <c r="W2736" t="s">
        <v>113</v>
      </c>
    </row>
    <row r="2737" spans="1:23" hidden="1" x14ac:dyDescent="0.25">
      <c r="A2737" s="7" t="str">
        <f>IFERROR(VLOOKUP(H2737,'Contas Orç'!A:B,2,0),"N/A")</f>
        <v>BENEFICIOS</v>
      </c>
      <c r="B2737" s="7" t="str">
        <f t="shared" si="84"/>
        <v>330103 - BENEFICIOS</v>
      </c>
      <c r="C2737" s="25">
        <f t="shared" si="85"/>
        <v>44774</v>
      </c>
      <c r="D2737" s="27">
        <f>IF(K2737="CREDITO",Q2737,Q2737*-1)</f>
        <v>49.6</v>
      </c>
      <c r="E2737" t="s">
        <v>894</v>
      </c>
      <c r="F2737" t="s">
        <v>3231</v>
      </c>
      <c r="G2737" s="8">
        <v>44774</v>
      </c>
      <c r="H2737" t="s">
        <v>74</v>
      </c>
      <c r="I2737" t="s">
        <v>2062</v>
      </c>
      <c r="J2737" t="s">
        <v>54</v>
      </c>
      <c r="K2737" t="s">
        <v>29</v>
      </c>
      <c r="L2737" t="s">
        <v>895</v>
      </c>
      <c r="M2737" t="s">
        <v>4402</v>
      </c>
      <c r="O2737" t="s">
        <v>896</v>
      </c>
      <c r="P2737" t="s">
        <v>33</v>
      </c>
      <c r="Q2737">
        <v>49.6</v>
      </c>
      <c r="R2737" t="s">
        <v>35</v>
      </c>
      <c r="S2737" t="s">
        <v>35</v>
      </c>
      <c r="T2737" t="s">
        <v>35</v>
      </c>
      <c r="U2737" t="s">
        <v>35</v>
      </c>
      <c r="V2737" t="s">
        <v>645</v>
      </c>
      <c r="W2737" t="s">
        <v>113</v>
      </c>
    </row>
    <row r="2738" spans="1:23" hidden="1" x14ac:dyDescent="0.25">
      <c r="A2738" s="7" t="str">
        <f>IFERROR(VLOOKUP(H2738,'Contas Orç'!A:B,2,0),"N/A")</f>
        <v>BENEFICIOS</v>
      </c>
      <c r="B2738" s="7" t="str">
        <f t="shared" si="84"/>
        <v>330103 - BENEFICIOS</v>
      </c>
      <c r="C2738" s="25">
        <f t="shared" si="85"/>
        <v>44774</v>
      </c>
      <c r="D2738" s="27">
        <f>IF(K2738="CREDITO",Q2738,Q2738*-1)</f>
        <v>31465.52</v>
      </c>
      <c r="E2738" t="s">
        <v>894</v>
      </c>
      <c r="F2738" t="s">
        <v>3232</v>
      </c>
      <c r="G2738" s="8">
        <v>44774</v>
      </c>
      <c r="H2738" t="s">
        <v>74</v>
      </c>
      <c r="I2738" t="s">
        <v>40</v>
      </c>
      <c r="J2738" t="s">
        <v>54</v>
      </c>
      <c r="K2738" t="s">
        <v>29</v>
      </c>
      <c r="L2738" t="s">
        <v>895</v>
      </c>
      <c r="M2738" t="s">
        <v>4402</v>
      </c>
      <c r="O2738" t="s">
        <v>896</v>
      </c>
      <c r="P2738" t="s">
        <v>33</v>
      </c>
      <c r="Q2738" s="22">
        <v>31465.52</v>
      </c>
      <c r="R2738" t="s">
        <v>35</v>
      </c>
      <c r="S2738" t="s">
        <v>35</v>
      </c>
      <c r="T2738" t="s">
        <v>35</v>
      </c>
      <c r="U2738" t="s">
        <v>35</v>
      </c>
      <c r="V2738" t="s">
        <v>645</v>
      </c>
      <c r="W2738" t="s">
        <v>113</v>
      </c>
    </row>
    <row r="2739" spans="1:23" hidden="1" x14ac:dyDescent="0.25">
      <c r="A2739" s="7" t="str">
        <f>IFERROR(VLOOKUP(H2739,'Contas Orç'!A:B,2,0),"N/A")</f>
        <v>BENEFICIOS</v>
      </c>
      <c r="B2739" s="7" t="str">
        <f t="shared" si="84"/>
        <v>330103 - BENEFICIOS</v>
      </c>
      <c r="C2739" s="25">
        <f t="shared" si="85"/>
        <v>44774</v>
      </c>
      <c r="D2739" s="27">
        <f>IF(K2739="CREDITO",Q2739,Q2739*-1)</f>
        <v>554.96</v>
      </c>
      <c r="E2739" t="s">
        <v>894</v>
      </c>
      <c r="F2739" t="s">
        <v>3233</v>
      </c>
      <c r="G2739" s="8">
        <v>44774</v>
      </c>
      <c r="H2739" t="s">
        <v>74</v>
      </c>
      <c r="I2739" t="s">
        <v>1002</v>
      </c>
      <c r="J2739" t="s">
        <v>54</v>
      </c>
      <c r="K2739" t="s">
        <v>29</v>
      </c>
      <c r="L2739" t="s">
        <v>895</v>
      </c>
      <c r="M2739" t="s">
        <v>4402</v>
      </c>
      <c r="O2739" t="s">
        <v>896</v>
      </c>
      <c r="P2739" t="s">
        <v>33</v>
      </c>
      <c r="Q2739">
        <v>554.96</v>
      </c>
      <c r="R2739" t="s">
        <v>35</v>
      </c>
      <c r="S2739" t="s">
        <v>35</v>
      </c>
      <c r="T2739" t="s">
        <v>35</v>
      </c>
      <c r="U2739" t="s">
        <v>35</v>
      </c>
      <c r="V2739" t="s">
        <v>645</v>
      </c>
      <c r="W2739" t="s">
        <v>113</v>
      </c>
    </row>
    <row r="2740" spans="1:23" hidden="1" x14ac:dyDescent="0.25">
      <c r="A2740" s="7" t="str">
        <f>IFERROR(VLOOKUP(H2740,'Contas Orç'!A:B,2,0),"N/A")</f>
        <v>BENEFICIOS</v>
      </c>
      <c r="B2740" s="7" t="str">
        <f t="shared" si="84"/>
        <v>330103 - BENEFICIOS</v>
      </c>
      <c r="C2740" s="25">
        <f t="shared" si="85"/>
        <v>44774</v>
      </c>
      <c r="D2740" s="27">
        <f>IF(K2740="CREDITO",Q2740,Q2740*-1)</f>
        <v>1010.52</v>
      </c>
      <c r="E2740" t="s">
        <v>894</v>
      </c>
      <c r="F2740" t="s">
        <v>3234</v>
      </c>
      <c r="G2740" s="8">
        <v>44774</v>
      </c>
      <c r="H2740" t="s">
        <v>74</v>
      </c>
      <c r="I2740" t="s">
        <v>121</v>
      </c>
      <c r="J2740" t="s">
        <v>54</v>
      </c>
      <c r="K2740" t="s">
        <v>29</v>
      </c>
      <c r="L2740" t="s">
        <v>895</v>
      </c>
      <c r="M2740" t="s">
        <v>4402</v>
      </c>
      <c r="O2740" t="s">
        <v>896</v>
      </c>
      <c r="P2740" t="s">
        <v>33</v>
      </c>
      <c r="Q2740" s="22">
        <v>1010.52</v>
      </c>
      <c r="R2740" t="s">
        <v>35</v>
      </c>
      <c r="S2740" t="s">
        <v>35</v>
      </c>
      <c r="T2740" t="s">
        <v>35</v>
      </c>
      <c r="U2740" t="s">
        <v>35</v>
      </c>
      <c r="V2740" t="s">
        <v>645</v>
      </c>
      <c r="W2740" t="s">
        <v>113</v>
      </c>
    </row>
    <row r="2741" spans="1:23" hidden="1" x14ac:dyDescent="0.25">
      <c r="A2741" s="7" t="str">
        <f>IFERROR(VLOOKUP(H2741,'Contas Orç'!A:B,2,0),"N/A")</f>
        <v>BENEFICIOS</v>
      </c>
      <c r="B2741" s="7" t="str">
        <f t="shared" si="84"/>
        <v>330103 - BENEFICIOS</v>
      </c>
      <c r="C2741" s="25">
        <f t="shared" si="85"/>
        <v>44774</v>
      </c>
      <c r="D2741" s="27">
        <f>IF(K2741="CREDITO",Q2741,Q2741*-1)</f>
        <v>3713.13</v>
      </c>
      <c r="E2741" t="s">
        <v>894</v>
      </c>
      <c r="F2741" t="s">
        <v>3235</v>
      </c>
      <c r="G2741" s="8">
        <v>44774</v>
      </c>
      <c r="H2741" t="s">
        <v>74</v>
      </c>
      <c r="I2741" t="s">
        <v>132</v>
      </c>
      <c r="J2741" t="s">
        <v>54</v>
      </c>
      <c r="K2741" t="s">
        <v>29</v>
      </c>
      <c r="L2741" t="s">
        <v>895</v>
      </c>
      <c r="M2741" t="s">
        <v>4402</v>
      </c>
      <c r="O2741" t="s">
        <v>896</v>
      </c>
      <c r="P2741" t="s">
        <v>33</v>
      </c>
      <c r="Q2741" s="22">
        <v>3713.13</v>
      </c>
      <c r="R2741" t="s">
        <v>35</v>
      </c>
      <c r="S2741" t="s">
        <v>35</v>
      </c>
      <c r="T2741" t="s">
        <v>35</v>
      </c>
      <c r="U2741" t="s">
        <v>35</v>
      </c>
      <c r="V2741" t="s">
        <v>645</v>
      </c>
      <c r="W2741" t="s">
        <v>113</v>
      </c>
    </row>
    <row r="2742" spans="1:23" hidden="1" x14ac:dyDescent="0.25">
      <c r="A2742" s="7" t="str">
        <f>IFERROR(VLOOKUP(H2742,'Contas Orç'!A:B,2,0),"N/A")</f>
        <v>BENEFICIOS</v>
      </c>
      <c r="B2742" s="7" t="str">
        <f t="shared" si="84"/>
        <v>330103 - BENEFICIOS</v>
      </c>
      <c r="C2742" s="25">
        <f t="shared" si="85"/>
        <v>44774</v>
      </c>
      <c r="D2742" s="27">
        <f>IF(K2742="CREDITO",Q2742,Q2742*-1)</f>
        <v>694.93</v>
      </c>
      <c r="E2742" t="s">
        <v>894</v>
      </c>
      <c r="F2742" t="s">
        <v>3236</v>
      </c>
      <c r="G2742" s="8">
        <v>44774</v>
      </c>
      <c r="H2742" t="s">
        <v>74</v>
      </c>
      <c r="I2742" t="s">
        <v>114</v>
      </c>
      <c r="J2742" t="s">
        <v>54</v>
      </c>
      <c r="K2742" t="s">
        <v>29</v>
      </c>
      <c r="L2742" t="s">
        <v>895</v>
      </c>
      <c r="M2742" t="s">
        <v>4402</v>
      </c>
      <c r="O2742" t="s">
        <v>896</v>
      </c>
      <c r="P2742" t="s">
        <v>33</v>
      </c>
      <c r="Q2742">
        <v>694.93</v>
      </c>
      <c r="R2742" t="s">
        <v>35</v>
      </c>
      <c r="S2742" t="s">
        <v>35</v>
      </c>
      <c r="T2742" t="s">
        <v>35</v>
      </c>
      <c r="U2742" t="s">
        <v>35</v>
      </c>
      <c r="V2742" t="s">
        <v>645</v>
      </c>
      <c r="W2742" t="s">
        <v>113</v>
      </c>
    </row>
    <row r="2743" spans="1:23" hidden="1" x14ac:dyDescent="0.25">
      <c r="A2743" s="7" t="str">
        <f>IFERROR(VLOOKUP(H2743,'Contas Orç'!A:B,2,0),"N/A")</f>
        <v>BENEFICIOS</v>
      </c>
      <c r="B2743" s="7" t="str">
        <f t="shared" si="84"/>
        <v>330103 - BENEFICIOS</v>
      </c>
      <c r="C2743" s="25">
        <f t="shared" si="85"/>
        <v>44774</v>
      </c>
      <c r="D2743" s="27">
        <f>IF(K2743="CREDITO",Q2743,Q2743*-1)</f>
        <v>4526.54</v>
      </c>
      <c r="E2743" t="s">
        <v>894</v>
      </c>
      <c r="F2743" t="s">
        <v>3237</v>
      </c>
      <c r="G2743" s="8">
        <v>44774</v>
      </c>
      <c r="H2743" t="s">
        <v>74</v>
      </c>
      <c r="I2743" t="s">
        <v>75</v>
      </c>
      <c r="J2743" t="s">
        <v>54</v>
      </c>
      <c r="K2743" t="s">
        <v>29</v>
      </c>
      <c r="L2743" t="s">
        <v>895</v>
      </c>
      <c r="M2743" t="s">
        <v>4402</v>
      </c>
      <c r="O2743" t="s">
        <v>896</v>
      </c>
      <c r="P2743" t="s">
        <v>33</v>
      </c>
      <c r="Q2743" s="22">
        <v>4526.54</v>
      </c>
      <c r="R2743" t="s">
        <v>35</v>
      </c>
      <c r="S2743" t="s">
        <v>35</v>
      </c>
      <c r="T2743" t="s">
        <v>35</v>
      </c>
      <c r="U2743" t="s">
        <v>35</v>
      </c>
      <c r="V2743" t="s">
        <v>645</v>
      </c>
      <c r="W2743" t="s">
        <v>113</v>
      </c>
    </row>
    <row r="2744" spans="1:23" hidden="1" x14ac:dyDescent="0.25">
      <c r="A2744" s="7" t="str">
        <f>IFERROR(VLOOKUP(H2744,'Contas Orç'!A:B,2,0),"N/A")</f>
        <v>BENEFICIOS</v>
      </c>
      <c r="B2744" s="7" t="str">
        <f t="shared" si="84"/>
        <v>330103 - BENEFICIOS</v>
      </c>
      <c r="C2744" s="25">
        <f t="shared" si="85"/>
        <v>44774</v>
      </c>
      <c r="D2744" s="27">
        <f>IF(K2744="CREDITO",Q2744,Q2744*-1)</f>
        <v>4505.18</v>
      </c>
      <c r="E2744" t="s">
        <v>894</v>
      </c>
      <c r="F2744" t="s">
        <v>3238</v>
      </c>
      <c r="G2744" s="8">
        <v>44774</v>
      </c>
      <c r="H2744" t="s">
        <v>74</v>
      </c>
      <c r="I2744" t="s">
        <v>78</v>
      </c>
      <c r="J2744" t="s">
        <v>54</v>
      </c>
      <c r="K2744" t="s">
        <v>29</v>
      </c>
      <c r="L2744" t="s">
        <v>895</v>
      </c>
      <c r="M2744" t="s">
        <v>4402</v>
      </c>
      <c r="O2744" t="s">
        <v>896</v>
      </c>
      <c r="P2744" t="s">
        <v>33</v>
      </c>
      <c r="Q2744" s="22">
        <v>4505.18</v>
      </c>
      <c r="R2744" t="s">
        <v>35</v>
      </c>
      <c r="S2744" t="s">
        <v>35</v>
      </c>
      <c r="T2744" t="s">
        <v>35</v>
      </c>
      <c r="U2744" t="s">
        <v>35</v>
      </c>
      <c r="V2744" t="s">
        <v>645</v>
      </c>
      <c r="W2744" t="s">
        <v>113</v>
      </c>
    </row>
    <row r="2745" spans="1:23" hidden="1" x14ac:dyDescent="0.25">
      <c r="A2745" s="7" t="str">
        <f>IFERROR(VLOOKUP(H2745,'Contas Orç'!A:B,2,0),"N/A")</f>
        <v>BENEFICIOS</v>
      </c>
      <c r="B2745" s="7" t="str">
        <f t="shared" si="84"/>
        <v>330103 - BENEFICIOS</v>
      </c>
      <c r="C2745" s="25">
        <f t="shared" si="85"/>
        <v>44774</v>
      </c>
      <c r="D2745" s="27">
        <f>IF(K2745="CREDITO",Q2745,Q2745*-1)</f>
        <v>5937.6</v>
      </c>
      <c r="E2745" t="s">
        <v>894</v>
      </c>
      <c r="F2745" t="s">
        <v>3239</v>
      </c>
      <c r="G2745" s="8">
        <v>44774</v>
      </c>
      <c r="H2745" t="s">
        <v>74</v>
      </c>
      <c r="I2745" t="s">
        <v>81</v>
      </c>
      <c r="J2745" t="s">
        <v>54</v>
      </c>
      <c r="K2745" t="s">
        <v>29</v>
      </c>
      <c r="L2745" t="s">
        <v>895</v>
      </c>
      <c r="M2745" t="s">
        <v>4402</v>
      </c>
      <c r="O2745" t="s">
        <v>896</v>
      </c>
      <c r="P2745" t="s">
        <v>33</v>
      </c>
      <c r="Q2745" s="22">
        <v>5937.6</v>
      </c>
      <c r="R2745" t="s">
        <v>35</v>
      </c>
      <c r="S2745" t="s">
        <v>35</v>
      </c>
      <c r="T2745" t="s">
        <v>35</v>
      </c>
      <c r="U2745" t="s">
        <v>35</v>
      </c>
      <c r="V2745" t="s">
        <v>645</v>
      </c>
      <c r="W2745" t="s">
        <v>113</v>
      </c>
    </row>
    <row r="2746" spans="1:23" hidden="1" x14ac:dyDescent="0.25">
      <c r="A2746" s="7" t="str">
        <f>IFERROR(VLOOKUP(H2746,'Contas Orç'!A:B,2,0),"N/A")</f>
        <v>BENEFICIOS</v>
      </c>
      <c r="B2746" s="7" t="str">
        <f t="shared" si="84"/>
        <v>330103 - BENEFICIOS</v>
      </c>
      <c r="C2746" s="25">
        <f t="shared" si="85"/>
        <v>44774</v>
      </c>
      <c r="D2746" s="27">
        <f>IF(K2746="CREDITO",Q2746,Q2746*-1)</f>
        <v>2851.16</v>
      </c>
      <c r="E2746" t="s">
        <v>894</v>
      </c>
      <c r="F2746" t="s">
        <v>3240</v>
      </c>
      <c r="G2746" s="8">
        <v>44774</v>
      </c>
      <c r="H2746" t="s">
        <v>74</v>
      </c>
      <c r="I2746" t="s">
        <v>136</v>
      </c>
      <c r="J2746" t="s">
        <v>54</v>
      </c>
      <c r="K2746" t="s">
        <v>29</v>
      </c>
      <c r="L2746" t="s">
        <v>895</v>
      </c>
      <c r="M2746" t="s">
        <v>4402</v>
      </c>
      <c r="O2746" t="s">
        <v>896</v>
      </c>
      <c r="P2746" t="s">
        <v>33</v>
      </c>
      <c r="Q2746" s="22">
        <v>2851.16</v>
      </c>
      <c r="R2746" t="s">
        <v>35</v>
      </c>
      <c r="S2746" t="s">
        <v>35</v>
      </c>
      <c r="T2746" t="s">
        <v>35</v>
      </c>
      <c r="U2746" t="s">
        <v>35</v>
      </c>
      <c r="V2746" t="s">
        <v>645</v>
      </c>
      <c r="W2746" t="s">
        <v>113</v>
      </c>
    </row>
    <row r="2747" spans="1:23" hidden="1" x14ac:dyDescent="0.25">
      <c r="A2747" s="7" t="str">
        <f>IFERROR(VLOOKUP(H2747,'Contas Orç'!A:B,2,0),"N/A")</f>
        <v>BENEFICIOS</v>
      </c>
      <c r="B2747" s="7" t="str">
        <f t="shared" si="84"/>
        <v>330103 - BENEFICIOS</v>
      </c>
      <c r="C2747" s="25">
        <f t="shared" si="85"/>
        <v>44805</v>
      </c>
      <c r="D2747" s="27">
        <f>IF(K2747="CREDITO",Q2747,Q2747*-1)</f>
        <v>2887.7</v>
      </c>
      <c r="E2747" t="s">
        <v>894</v>
      </c>
      <c r="F2747" t="s">
        <v>3241</v>
      </c>
      <c r="G2747" s="8">
        <v>44805</v>
      </c>
      <c r="H2747" t="s">
        <v>74</v>
      </c>
      <c r="I2747" t="s">
        <v>99</v>
      </c>
      <c r="J2747" t="s">
        <v>28</v>
      </c>
      <c r="K2747" t="s">
        <v>29</v>
      </c>
      <c r="L2747" t="s">
        <v>895</v>
      </c>
      <c r="M2747" t="s">
        <v>4402</v>
      </c>
      <c r="O2747" t="s">
        <v>896</v>
      </c>
      <c r="P2747" t="s">
        <v>33</v>
      </c>
      <c r="Q2747" s="22">
        <v>2887.7</v>
      </c>
      <c r="R2747" t="s">
        <v>35</v>
      </c>
      <c r="S2747" t="s">
        <v>35</v>
      </c>
      <c r="T2747" t="s">
        <v>35</v>
      </c>
      <c r="U2747" t="s">
        <v>35</v>
      </c>
      <c r="V2747" t="s">
        <v>645</v>
      </c>
      <c r="W2747" t="s">
        <v>113</v>
      </c>
    </row>
    <row r="2748" spans="1:23" hidden="1" x14ac:dyDescent="0.25">
      <c r="A2748" s="7" t="str">
        <f>IFERROR(VLOOKUP(H2748,'Contas Orç'!A:B,2,0),"N/A")</f>
        <v>BENEFICIOS</v>
      </c>
      <c r="B2748" s="7" t="str">
        <f t="shared" si="84"/>
        <v>330103 - BENEFICIOS</v>
      </c>
      <c r="C2748" s="25">
        <f t="shared" si="85"/>
        <v>44805</v>
      </c>
      <c r="D2748" s="27">
        <f>IF(K2748="CREDITO",Q2748,Q2748*-1)</f>
        <v>3057.18</v>
      </c>
      <c r="E2748" t="s">
        <v>894</v>
      </c>
      <c r="F2748" t="s">
        <v>3242</v>
      </c>
      <c r="G2748" s="8">
        <v>44805</v>
      </c>
      <c r="H2748" t="s">
        <v>74</v>
      </c>
      <c r="I2748" t="s">
        <v>81</v>
      </c>
      <c r="J2748" t="s">
        <v>60</v>
      </c>
      <c r="K2748" t="s">
        <v>29</v>
      </c>
      <c r="L2748" t="s">
        <v>895</v>
      </c>
      <c r="M2748" t="s">
        <v>4402</v>
      </c>
      <c r="O2748" t="s">
        <v>896</v>
      </c>
      <c r="P2748" t="s">
        <v>33</v>
      </c>
      <c r="Q2748" s="22">
        <v>3057.18</v>
      </c>
      <c r="R2748" t="s">
        <v>35</v>
      </c>
      <c r="S2748" t="s">
        <v>35</v>
      </c>
      <c r="T2748" t="s">
        <v>35</v>
      </c>
      <c r="U2748" t="s">
        <v>35</v>
      </c>
      <c r="V2748" t="s">
        <v>645</v>
      </c>
      <c r="W2748" t="s">
        <v>113</v>
      </c>
    </row>
    <row r="2749" spans="1:23" hidden="1" x14ac:dyDescent="0.25">
      <c r="A2749" s="7" t="str">
        <f>IFERROR(VLOOKUP(H2749,'Contas Orç'!A:B,2,0),"N/A")</f>
        <v>BENEFICIOS</v>
      </c>
      <c r="B2749" s="7" t="str">
        <f t="shared" si="84"/>
        <v>330103 - BENEFICIOS</v>
      </c>
      <c r="C2749" s="25">
        <f t="shared" si="85"/>
        <v>44805</v>
      </c>
      <c r="D2749" s="27">
        <f>IF(K2749="CREDITO",Q2749,Q2749*-1)</f>
        <v>16472.400000000001</v>
      </c>
      <c r="E2749" t="s">
        <v>894</v>
      </c>
      <c r="F2749" t="s">
        <v>3243</v>
      </c>
      <c r="G2749" s="8">
        <v>44805</v>
      </c>
      <c r="H2749" t="s">
        <v>74</v>
      </c>
      <c r="I2749" t="s">
        <v>68</v>
      </c>
      <c r="J2749" t="s">
        <v>69</v>
      </c>
      <c r="K2749" t="s">
        <v>29</v>
      </c>
      <c r="L2749" t="s">
        <v>895</v>
      </c>
      <c r="M2749" t="s">
        <v>4402</v>
      </c>
      <c r="O2749" t="s">
        <v>896</v>
      </c>
      <c r="P2749" t="s">
        <v>33</v>
      </c>
      <c r="Q2749" s="22">
        <v>16472.400000000001</v>
      </c>
      <c r="R2749" t="s">
        <v>35</v>
      </c>
      <c r="S2749" t="s">
        <v>35</v>
      </c>
      <c r="T2749" t="s">
        <v>35</v>
      </c>
      <c r="U2749" t="s">
        <v>35</v>
      </c>
      <c r="V2749" t="s">
        <v>645</v>
      </c>
      <c r="W2749" t="s">
        <v>113</v>
      </c>
    </row>
    <row r="2750" spans="1:23" hidden="1" x14ac:dyDescent="0.25">
      <c r="A2750" s="7" t="str">
        <f>IFERROR(VLOOKUP(H2750,'Contas Orç'!A:B,2,0),"N/A")</f>
        <v>BENEFICIOS</v>
      </c>
      <c r="B2750" s="7" t="str">
        <f t="shared" si="84"/>
        <v>330103 - BENEFICIOS</v>
      </c>
      <c r="C2750" s="25">
        <f t="shared" si="85"/>
        <v>44805</v>
      </c>
      <c r="D2750" s="27">
        <f>IF(K2750="CREDITO",Q2750,Q2750*-1)</f>
        <v>9051.3700000000008</v>
      </c>
      <c r="E2750" t="s">
        <v>894</v>
      </c>
      <c r="F2750" t="s">
        <v>3244</v>
      </c>
      <c r="G2750" s="8">
        <v>44805</v>
      </c>
      <c r="H2750" t="s">
        <v>74</v>
      </c>
      <c r="I2750" t="s">
        <v>2062</v>
      </c>
      <c r="J2750" t="s">
        <v>54</v>
      </c>
      <c r="K2750" t="s">
        <v>29</v>
      </c>
      <c r="L2750" t="s">
        <v>895</v>
      </c>
      <c r="M2750" t="s">
        <v>4402</v>
      </c>
      <c r="O2750" t="s">
        <v>896</v>
      </c>
      <c r="P2750" t="s">
        <v>33</v>
      </c>
      <c r="Q2750" s="22">
        <v>9051.3700000000008</v>
      </c>
      <c r="R2750" t="s">
        <v>35</v>
      </c>
      <c r="S2750" t="s">
        <v>35</v>
      </c>
      <c r="T2750" t="s">
        <v>35</v>
      </c>
      <c r="U2750" t="s">
        <v>35</v>
      </c>
      <c r="V2750" t="s">
        <v>645</v>
      </c>
      <c r="W2750" t="s">
        <v>113</v>
      </c>
    </row>
    <row r="2751" spans="1:23" hidden="1" x14ac:dyDescent="0.25">
      <c r="A2751" s="7" t="str">
        <f>IFERROR(VLOOKUP(H2751,'Contas Orç'!A:B,2,0),"N/A")</f>
        <v>BENEFICIOS</v>
      </c>
      <c r="B2751" s="7" t="str">
        <f t="shared" si="84"/>
        <v>330103 - BENEFICIOS</v>
      </c>
      <c r="C2751" s="25">
        <f t="shared" si="85"/>
        <v>44805</v>
      </c>
      <c r="D2751" s="27">
        <f>IF(K2751="CREDITO",Q2751,Q2751*-1)</f>
        <v>27460.33</v>
      </c>
      <c r="E2751" t="s">
        <v>894</v>
      </c>
      <c r="F2751" t="s">
        <v>3245</v>
      </c>
      <c r="G2751" s="8">
        <v>44805</v>
      </c>
      <c r="H2751" t="s">
        <v>74</v>
      </c>
      <c r="I2751" t="s">
        <v>40</v>
      </c>
      <c r="J2751" t="s">
        <v>54</v>
      </c>
      <c r="K2751" t="s">
        <v>29</v>
      </c>
      <c r="L2751" t="s">
        <v>895</v>
      </c>
      <c r="M2751" t="s">
        <v>4402</v>
      </c>
      <c r="O2751" t="s">
        <v>896</v>
      </c>
      <c r="P2751" t="s">
        <v>33</v>
      </c>
      <c r="Q2751" s="22">
        <v>27460.33</v>
      </c>
      <c r="R2751" t="s">
        <v>35</v>
      </c>
      <c r="S2751" t="s">
        <v>35</v>
      </c>
      <c r="T2751" t="s">
        <v>35</v>
      </c>
      <c r="U2751" t="s">
        <v>35</v>
      </c>
      <c r="V2751" t="s">
        <v>645</v>
      </c>
      <c r="W2751" t="s">
        <v>113</v>
      </c>
    </row>
    <row r="2752" spans="1:23" hidden="1" x14ac:dyDescent="0.25">
      <c r="A2752" s="7" t="str">
        <f>IFERROR(VLOOKUP(H2752,'Contas Orç'!A:B,2,0),"N/A")</f>
        <v>BENEFICIOS</v>
      </c>
      <c r="B2752" s="7" t="str">
        <f t="shared" si="84"/>
        <v>330103 - BENEFICIOS</v>
      </c>
      <c r="C2752" s="25">
        <f t="shared" si="85"/>
        <v>44805</v>
      </c>
      <c r="D2752" s="27">
        <f>IF(K2752="CREDITO",Q2752,Q2752*-1)</f>
        <v>537.46</v>
      </c>
      <c r="E2752" t="s">
        <v>894</v>
      </c>
      <c r="F2752" t="s">
        <v>3246</v>
      </c>
      <c r="G2752" s="8">
        <v>44805</v>
      </c>
      <c r="H2752" t="s">
        <v>74</v>
      </c>
      <c r="I2752" t="s">
        <v>1002</v>
      </c>
      <c r="J2752" t="s">
        <v>54</v>
      </c>
      <c r="K2752" t="s">
        <v>29</v>
      </c>
      <c r="L2752" t="s">
        <v>895</v>
      </c>
      <c r="M2752" t="s">
        <v>4402</v>
      </c>
      <c r="O2752" t="s">
        <v>896</v>
      </c>
      <c r="P2752" t="s">
        <v>33</v>
      </c>
      <c r="Q2752">
        <v>537.46</v>
      </c>
      <c r="R2752" t="s">
        <v>35</v>
      </c>
      <c r="S2752" t="s">
        <v>35</v>
      </c>
      <c r="T2752" t="s">
        <v>35</v>
      </c>
      <c r="U2752" t="s">
        <v>35</v>
      </c>
      <c r="V2752" t="s">
        <v>645</v>
      </c>
      <c r="W2752" t="s">
        <v>113</v>
      </c>
    </row>
    <row r="2753" spans="1:23" hidden="1" x14ac:dyDescent="0.25">
      <c r="A2753" s="7" t="str">
        <f>IFERROR(VLOOKUP(H2753,'Contas Orç'!A:B,2,0),"N/A")</f>
        <v>BENEFICIOS</v>
      </c>
      <c r="B2753" s="7" t="str">
        <f t="shared" si="84"/>
        <v>330103 - BENEFICIOS</v>
      </c>
      <c r="C2753" s="25">
        <f t="shared" si="85"/>
        <v>44805</v>
      </c>
      <c r="D2753" s="27">
        <f>IF(K2753="CREDITO",Q2753,Q2753*-1)</f>
        <v>628.99</v>
      </c>
      <c r="E2753" t="s">
        <v>894</v>
      </c>
      <c r="F2753" t="s">
        <v>3247</v>
      </c>
      <c r="G2753" s="8">
        <v>44805</v>
      </c>
      <c r="H2753" t="s">
        <v>74</v>
      </c>
      <c r="I2753" t="s">
        <v>121</v>
      </c>
      <c r="J2753" t="s">
        <v>54</v>
      </c>
      <c r="K2753" t="s">
        <v>29</v>
      </c>
      <c r="L2753" t="s">
        <v>895</v>
      </c>
      <c r="M2753" t="s">
        <v>4402</v>
      </c>
      <c r="O2753" t="s">
        <v>896</v>
      </c>
      <c r="P2753" t="s">
        <v>33</v>
      </c>
      <c r="Q2753">
        <v>628.99</v>
      </c>
      <c r="R2753" t="s">
        <v>35</v>
      </c>
      <c r="S2753" t="s">
        <v>35</v>
      </c>
      <c r="T2753" t="s">
        <v>35</v>
      </c>
      <c r="U2753" t="s">
        <v>35</v>
      </c>
      <c r="V2753" t="s">
        <v>645</v>
      </c>
      <c r="W2753" t="s">
        <v>113</v>
      </c>
    </row>
    <row r="2754" spans="1:23" hidden="1" x14ac:dyDescent="0.25">
      <c r="A2754" s="7" t="str">
        <f>IFERROR(VLOOKUP(H2754,'Contas Orç'!A:B,2,0),"N/A")</f>
        <v>BENEFICIOS</v>
      </c>
      <c r="B2754" s="7" t="str">
        <f t="shared" si="84"/>
        <v>330103 - BENEFICIOS</v>
      </c>
      <c r="C2754" s="25">
        <f t="shared" si="85"/>
        <v>44805</v>
      </c>
      <c r="D2754" s="27">
        <f>IF(K2754="CREDITO",Q2754,Q2754*-1)</f>
        <v>3112.09</v>
      </c>
      <c r="E2754" t="s">
        <v>894</v>
      </c>
      <c r="F2754" t="s">
        <v>3248</v>
      </c>
      <c r="G2754" s="8">
        <v>44805</v>
      </c>
      <c r="H2754" t="s">
        <v>74</v>
      </c>
      <c r="I2754" t="s">
        <v>132</v>
      </c>
      <c r="J2754" t="s">
        <v>54</v>
      </c>
      <c r="K2754" t="s">
        <v>29</v>
      </c>
      <c r="L2754" t="s">
        <v>895</v>
      </c>
      <c r="M2754" t="s">
        <v>4402</v>
      </c>
      <c r="O2754" t="s">
        <v>896</v>
      </c>
      <c r="P2754" t="s">
        <v>33</v>
      </c>
      <c r="Q2754" s="22">
        <v>3112.09</v>
      </c>
      <c r="R2754" t="s">
        <v>35</v>
      </c>
      <c r="S2754" t="s">
        <v>35</v>
      </c>
      <c r="T2754" t="s">
        <v>35</v>
      </c>
      <c r="U2754" t="s">
        <v>35</v>
      </c>
      <c r="V2754" t="s">
        <v>645</v>
      </c>
      <c r="W2754" t="s">
        <v>113</v>
      </c>
    </row>
    <row r="2755" spans="1:23" hidden="1" x14ac:dyDescent="0.25">
      <c r="A2755" s="7" t="str">
        <f>IFERROR(VLOOKUP(H2755,'Contas Orç'!A:B,2,0),"N/A")</f>
        <v>BENEFICIOS</v>
      </c>
      <c r="B2755" s="7" t="str">
        <f t="shared" ref="B2755:B2818" si="86">_xlfn.CONCAT(H2755," - ",A2755)</f>
        <v>330103 - BENEFICIOS</v>
      </c>
      <c r="C2755" s="25">
        <f t="shared" ref="C2755:C2818" si="87">DATE(YEAR(G2755),MONTH(G2755),1)</f>
        <v>44805</v>
      </c>
      <c r="D2755" s="27">
        <f>IF(K2755="CREDITO",Q2755,Q2755*-1)</f>
        <v>988.63</v>
      </c>
      <c r="E2755" t="s">
        <v>894</v>
      </c>
      <c r="F2755" t="s">
        <v>3249</v>
      </c>
      <c r="G2755" s="8">
        <v>44805</v>
      </c>
      <c r="H2755" t="s">
        <v>74</v>
      </c>
      <c r="I2755" t="s">
        <v>114</v>
      </c>
      <c r="J2755" t="s">
        <v>54</v>
      </c>
      <c r="K2755" t="s">
        <v>29</v>
      </c>
      <c r="L2755" t="s">
        <v>895</v>
      </c>
      <c r="M2755" t="s">
        <v>4402</v>
      </c>
      <c r="O2755" t="s">
        <v>896</v>
      </c>
      <c r="P2755" t="s">
        <v>33</v>
      </c>
      <c r="Q2755">
        <v>988.63</v>
      </c>
      <c r="R2755" t="s">
        <v>35</v>
      </c>
      <c r="S2755" t="s">
        <v>35</v>
      </c>
      <c r="T2755" t="s">
        <v>35</v>
      </c>
      <c r="U2755" t="s">
        <v>35</v>
      </c>
      <c r="V2755" t="s">
        <v>645</v>
      </c>
      <c r="W2755" t="s">
        <v>113</v>
      </c>
    </row>
    <row r="2756" spans="1:23" hidden="1" x14ac:dyDescent="0.25">
      <c r="A2756" s="7" t="str">
        <f>IFERROR(VLOOKUP(H2756,'Contas Orç'!A:B,2,0),"N/A")</f>
        <v>BENEFICIOS</v>
      </c>
      <c r="B2756" s="7" t="str">
        <f t="shared" si="86"/>
        <v>330103 - BENEFICIOS</v>
      </c>
      <c r="C2756" s="25">
        <f t="shared" si="87"/>
        <v>44805</v>
      </c>
      <c r="D2756" s="27">
        <f>IF(K2756="CREDITO",Q2756,Q2756*-1)</f>
        <v>5217.5600000000004</v>
      </c>
      <c r="E2756" t="s">
        <v>894</v>
      </c>
      <c r="F2756" t="s">
        <v>3250</v>
      </c>
      <c r="G2756" s="8">
        <v>44805</v>
      </c>
      <c r="H2756" t="s">
        <v>74</v>
      </c>
      <c r="I2756" t="s">
        <v>75</v>
      </c>
      <c r="J2756" t="s">
        <v>54</v>
      </c>
      <c r="K2756" t="s">
        <v>29</v>
      </c>
      <c r="L2756" t="s">
        <v>895</v>
      </c>
      <c r="M2756" t="s">
        <v>4402</v>
      </c>
      <c r="O2756" t="s">
        <v>896</v>
      </c>
      <c r="P2756" t="s">
        <v>33</v>
      </c>
      <c r="Q2756" s="22">
        <v>5217.5600000000004</v>
      </c>
      <c r="R2756" t="s">
        <v>35</v>
      </c>
      <c r="S2756" t="s">
        <v>35</v>
      </c>
      <c r="T2756" t="s">
        <v>35</v>
      </c>
      <c r="U2756" t="s">
        <v>35</v>
      </c>
      <c r="V2756" t="s">
        <v>645</v>
      </c>
      <c r="W2756" t="s">
        <v>113</v>
      </c>
    </row>
    <row r="2757" spans="1:23" hidden="1" x14ac:dyDescent="0.25">
      <c r="A2757" s="7" t="str">
        <f>IFERROR(VLOOKUP(H2757,'Contas Orç'!A:B,2,0),"N/A")</f>
        <v>BENEFICIOS</v>
      </c>
      <c r="B2757" s="7" t="str">
        <f t="shared" si="86"/>
        <v>330103 - BENEFICIOS</v>
      </c>
      <c r="C2757" s="25">
        <f t="shared" si="87"/>
        <v>44805</v>
      </c>
      <c r="D2757" s="27">
        <f>IF(K2757="CREDITO",Q2757,Q2757*-1)</f>
        <v>3408.34</v>
      </c>
      <c r="E2757" t="s">
        <v>894</v>
      </c>
      <c r="F2757" t="s">
        <v>3251</v>
      </c>
      <c r="G2757" s="8">
        <v>44805</v>
      </c>
      <c r="H2757" t="s">
        <v>74</v>
      </c>
      <c r="I2757" t="s">
        <v>78</v>
      </c>
      <c r="J2757" t="s">
        <v>54</v>
      </c>
      <c r="K2757" t="s">
        <v>29</v>
      </c>
      <c r="L2757" t="s">
        <v>895</v>
      </c>
      <c r="M2757" t="s">
        <v>4402</v>
      </c>
      <c r="O2757" t="s">
        <v>896</v>
      </c>
      <c r="P2757" t="s">
        <v>33</v>
      </c>
      <c r="Q2757" s="22">
        <v>3408.34</v>
      </c>
      <c r="R2757" t="s">
        <v>35</v>
      </c>
      <c r="S2757" t="s">
        <v>35</v>
      </c>
      <c r="T2757" t="s">
        <v>35</v>
      </c>
      <c r="U2757" t="s">
        <v>35</v>
      </c>
      <c r="V2757" t="s">
        <v>645</v>
      </c>
      <c r="W2757" t="s">
        <v>113</v>
      </c>
    </row>
    <row r="2758" spans="1:23" hidden="1" x14ac:dyDescent="0.25">
      <c r="A2758" s="7" t="str">
        <f>IFERROR(VLOOKUP(H2758,'Contas Orç'!A:B,2,0),"N/A")</f>
        <v>BENEFICIOS</v>
      </c>
      <c r="B2758" s="7" t="str">
        <f t="shared" si="86"/>
        <v>330103 - BENEFICIOS</v>
      </c>
      <c r="C2758" s="25">
        <f t="shared" si="87"/>
        <v>44805</v>
      </c>
      <c r="D2758" s="27">
        <f>IF(K2758="CREDITO",Q2758,Q2758*-1)</f>
        <v>4539.07</v>
      </c>
      <c r="E2758" t="s">
        <v>894</v>
      </c>
      <c r="F2758" t="s">
        <v>3252</v>
      </c>
      <c r="G2758" s="8">
        <v>44805</v>
      </c>
      <c r="H2758" t="s">
        <v>74</v>
      </c>
      <c r="I2758" t="s">
        <v>81</v>
      </c>
      <c r="J2758" t="s">
        <v>54</v>
      </c>
      <c r="K2758" t="s">
        <v>29</v>
      </c>
      <c r="L2758" t="s">
        <v>895</v>
      </c>
      <c r="M2758" t="s">
        <v>4402</v>
      </c>
      <c r="O2758" t="s">
        <v>896</v>
      </c>
      <c r="P2758" t="s">
        <v>33</v>
      </c>
      <c r="Q2758" s="22">
        <v>4539.07</v>
      </c>
      <c r="R2758" t="s">
        <v>35</v>
      </c>
      <c r="S2758" t="s">
        <v>35</v>
      </c>
      <c r="T2758" t="s">
        <v>35</v>
      </c>
      <c r="U2758" t="s">
        <v>35</v>
      </c>
      <c r="V2758" t="s">
        <v>645</v>
      </c>
      <c r="W2758" t="s">
        <v>113</v>
      </c>
    </row>
    <row r="2759" spans="1:23" hidden="1" x14ac:dyDescent="0.25">
      <c r="A2759" s="7" t="str">
        <f>IFERROR(VLOOKUP(H2759,'Contas Orç'!A:B,2,0),"N/A")</f>
        <v>BENEFICIOS</v>
      </c>
      <c r="B2759" s="7" t="str">
        <f t="shared" si="86"/>
        <v>330103 - BENEFICIOS</v>
      </c>
      <c r="C2759" s="25">
        <f t="shared" si="87"/>
        <v>44805</v>
      </c>
      <c r="D2759" s="27">
        <f>IF(K2759="CREDITO",Q2759,Q2759*-1)</f>
        <v>1960.86</v>
      </c>
      <c r="E2759" t="s">
        <v>894</v>
      </c>
      <c r="F2759" t="s">
        <v>3253</v>
      </c>
      <c r="G2759" s="8">
        <v>44805</v>
      </c>
      <c r="H2759" t="s">
        <v>74</v>
      </c>
      <c r="I2759" t="s">
        <v>136</v>
      </c>
      <c r="J2759" t="s">
        <v>54</v>
      </c>
      <c r="K2759" t="s">
        <v>29</v>
      </c>
      <c r="L2759" t="s">
        <v>895</v>
      </c>
      <c r="M2759" t="s">
        <v>4402</v>
      </c>
      <c r="O2759" t="s">
        <v>896</v>
      </c>
      <c r="P2759" t="s">
        <v>33</v>
      </c>
      <c r="Q2759" s="22">
        <v>1960.86</v>
      </c>
      <c r="R2759" t="s">
        <v>35</v>
      </c>
      <c r="S2759" t="s">
        <v>35</v>
      </c>
      <c r="T2759" t="s">
        <v>35</v>
      </c>
      <c r="U2759" t="s">
        <v>35</v>
      </c>
      <c r="V2759" t="s">
        <v>645</v>
      </c>
      <c r="W2759" t="s">
        <v>113</v>
      </c>
    </row>
    <row r="2760" spans="1:23" hidden="1" x14ac:dyDescent="0.25">
      <c r="A2760" s="7" t="str">
        <f>IFERROR(VLOOKUP(H2760,'Contas Orç'!A:B,2,0),"N/A")</f>
        <v>BENEFICIOS</v>
      </c>
      <c r="B2760" s="7" t="str">
        <f t="shared" si="86"/>
        <v>330103 - BENEFICIOS</v>
      </c>
      <c r="C2760" s="25">
        <f t="shared" si="87"/>
        <v>44805</v>
      </c>
      <c r="D2760" s="27">
        <f>IF(K2760="CREDITO",Q2760,Q2760*-1)</f>
        <v>518.99</v>
      </c>
      <c r="E2760" t="s">
        <v>894</v>
      </c>
      <c r="F2760" t="s">
        <v>3254</v>
      </c>
      <c r="G2760" s="8">
        <v>44805</v>
      </c>
      <c r="H2760" t="s">
        <v>74</v>
      </c>
      <c r="I2760" t="s">
        <v>53</v>
      </c>
      <c r="J2760" t="s">
        <v>54</v>
      </c>
      <c r="K2760" t="s">
        <v>29</v>
      </c>
      <c r="L2760" t="s">
        <v>895</v>
      </c>
      <c r="M2760" t="s">
        <v>4402</v>
      </c>
      <c r="O2760" t="s">
        <v>896</v>
      </c>
      <c r="P2760" t="s">
        <v>33</v>
      </c>
      <c r="Q2760">
        <v>518.99</v>
      </c>
      <c r="R2760" t="s">
        <v>35</v>
      </c>
      <c r="S2760" t="s">
        <v>35</v>
      </c>
      <c r="T2760" t="s">
        <v>35</v>
      </c>
      <c r="U2760" t="s">
        <v>35</v>
      </c>
      <c r="V2760" t="s">
        <v>645</v>
      </c>
      <c r="W2760" t="s">
        <v>113</v>
      </c>
    </row>
    <row r="2761" spans="1:23" hidden="1" x14ac:dyDescent="0.25">
      <c r="A2761" s="7" t="str">
        <f>IFERROR(VLOOKUP(H2761,'Contas Orç'!A:B,2,0),"N/A")</f>
        <v>BENEFICIOS</v>
      </c>
      <c r="B2761" s="7" t="str">
        <f t="shared" si="86"/>
        <v>330103 - BENEFICIOS</v>
      </c>
      <c r="C2761" s="25">
        <f t="shared" si="87"/>
        <v>44835</v>
      </c>
      <c r="D2761" s="27">
        <f>IF(K2761="CREDITO",Q2761,Q2761*-1)</f>
        <v>2916.58</v>
      </c>
      <c r="E2761" t="s">
        <v>894</v>
      </c>
      <c r="F2761" t="s">
        <v>3255</v>
      </c>
      <c r="G2761" s="8">
        <v>44835</v>
      </c>
      <c r="H2761" t="s">
        <v>74</v>
      </c>
      <c r="I2761" t="s">
        <v>99</v>
      </c>
      <c r="J2761" t="s">
        <v>28</v>
      </c>
      <c r="K2761" t="s">
        <v>29</v>
      </c>
      <c r="L2761" t="s">
        <v>895</v>
      </c>
      <c r="M2761" t="s">
        <v>4402</v>
      </c>
      <c r="O2761" t="s">
        <v>896</v>
      </c>
      <c r="P2761" t="s">
        <v>33</v>
      </c>
      <c r="Q2761" s="22">
        <v>2916.58</v>
      </c>
      <c r="R2761" t="s">
        <v>35</v>
      </c>
      <c r="S2761" t="s">
        <v>35</v>
      </c>
      <c r="T2761" t="s">
        <v>35</v>
      </c>
      <c r="U2761" t="s">
        <v>35</v>
      </c>
      <c r="V2761" t="s">
        <v>645</v>
      </c>
      <c r="W2761" t="s">
        <v>113</v>
      </c>
    </row>
    <row r="2762" spans="1:23" hidden="1" x14ac:dyDescent="0.25">
      <c r="A2762" s="7" t="str">
        <f>IFERROR(VLOOKUP(H2762,'Contas Orç'!A:B,2,0),"N/A")</f>
        <v>BENEFICIOS</v>
      </c>
      <c r="B2762" s="7" t="str">
        <f t="shared" si="86"/>
        <v>330103 - BENEFICIOS</v>
      </c>
      <c r="C2762" s="25">
        <f t="shared" si="87"/>
        <v>44835</v>
      </c>
      <c r="D2762" s="27">
        <f>IF(K2762="CREDITO",Q2762,Q2762*-1)</f>
        <v>3087.75</v>
      </c>
      <c r="E2762" t="s">
        <v>894</v>
      </c>
      <c r="F2762" t="s">
        <v>3256</v>
      </c>
      <c r="G2762" s="8">
        <v>44835</v>
      </c>
      <c r="H2762" t="s">
        <v>74</v>
      </c>
      <c r="I2762" t="s">
        <v>81</v>
      </c>
      <c r="J2762" t="s">
        <v>60</v>
      </c>
      <c r="K2762" t="s">
        <v>29</v>
      </c>
      <c r="L2762" t="s">
        <v>895</v>
      </c>
      <c r="M2762" t="s">
        <v>4402</v>
      </c>
      <c r="O2762" t="s">
        <v>896</v>
      </c>
      <c r="P2762" t="s">
        <v>33</v>
      </c>
      <c r="Q2762" s="22">
        <v>3087.75</v>
      </c>
      <c r="R2762" t="s">
        <v>35</v>
      </c>
      <c r="S2762" t="s">
        <v>35</v>
      </c>
      <c r="T2762" t="s">
        <v>35</v>
      </c>
      <c r="U2762" t="s">
        <v>35</v>
      </c>
      <c r="V2762" t="s">
        <v>645</v>
      </c>
      <c r="W2762" t="s">
        <v>113</v>
      </c>
    </row>
    <row r="2763" spans="1:23" hidden="1" x14ac:dyDescent="0.25">
      <c r="A2763" s="7" t="str">
        <f>IFERROR(VLOOKUP(H2763,'Contas Orç'!A:B,2,0),"N/A")</f>
        <v>BENEFICIOS</v>
      </c>
      <c r="B2763" s="7" t="str">
        <f t="shared" si="86"/>
        <v>330103 - BENEFICIOS</v>
      </c>
      <c r="C2763" s="25">
        <f t="shared" si="87"/>
        <v>44835</v>
      </c>
      <c r="D2763" s="27">
        <f>IF(K2763="CREDITO",Q2763,Q2763*-1)</f>
        <v>16637.12</v>
      </c>
      <c r="E2763" t="s">
        <v>894</v>
      </c>
      <c r="F2763" t="s">
        <v>3257</v>
      </c>
      <c r="G2763" s="8">
        <v>44835</v>
      </c>
      <c r="H2763" t="s">
        <v>74</v>
      </c>
      <c r="I2763" t="s">
        <v>68</v>
      </c>
      <c r="J2763" t="s">
        <v>69</v>
      </c>
      <c r="K2763" t="s">
        <v>29</v>
      </c>
      <c r="L2763" t="s">
        <v>895</v>
      </c>
      <c r="M2763" t="s">
        <v>4402</v>
      </c>
      <c r="O2763" t="s">
        <v>896</v>
      </c>
      <c r="P2763" t="s">
        <v>33</v>
      </c>
      <c r="Q2763" s="22">
        <v>16637.12</v>
      </c>
      <c r="R2763" t="s">
        <v>35</v>
      </c>
      <c r="S2763" t="s">
        <v>35</v>
      </c>
      <c r="T2763" t="s">
        <v>35</v>
      </c>
      <c r="U2763" t="s">
        <v>35</v>
      </c>
      <c r="V2763" t="s">
        <v>645</v>
      </c>
      <c r="W2763" t="s">
        <v>113</v>
      </c>
    </row>
    <row r="2764" spans="1:23" hidden="1" x14ac:dyDescent="0.25">
      <c r="A2764" s="7" t="str">
        <f>IFERROR(VLOOKUP(H2764,'Contas Orç'!A:B,2,0),"N/A")</f>
        <v>BENEFICIOS</v>
      </c>
      <c r="B2764" s="7" t="str">
        <f t="shared" si="86"/>
        <v>330103 - BENEFICIOS</v>
      </c>
      <c r="C2764" s="25">
        <f t="shared" si="87"/>
        <v>44835</v>
      </c>
      <c r="D2764" s="27">
        <f>IF(K2764="CREDITO",Q2764,Q2764*-1)</f>
        <v>9141.8799999999992</v>
      </c>
      <c r="E2764" t="s">
        <v>894</v>
      </c>
      <c r="F2764" t="s">
        <v>3258</v>
      </c>
      <c r="G2764" s="8">
        <v>44835</v>
      </c>
      <c r="H2764" t="s">
        <v>74</v>
      </c>
      <c r="I2764" t="s">
        <v>2062</v>
      </c>
      <c r="J2764" t="s">
        <v>54</v>
      </c>
      <c r="K2764" t="s">
        <v>29</v>
      </c>
      <c r="L2764" t="s">
        <v>895</v>
      </c>
      <c r="M2764" t="s">
        <v>4402</v>
      </c>
      <c r="O2764" t="s">
        <v>896</v>
      </c>
      <c r="P2764" t="s">
        <v>33</v>
      </c>
      <c r="Q2764" s="22">
        <v>9141.8799999999992</v>
      </c>
      <c r="R2764" t="s">
        <v>35</v>
      </c>
      <c r="S2764" t="s">
        <v>35</v>
      </c>
      <c r="T2764" t="s">
        <v>35</v>
      </c>
      <c r="U2764" t="s">
        <v>35</v>
      </c>
      <c r="V2764" t="s">
        <v>645</v>
      </c>
      <c r="W2764" t="s">
        <v>113</v>
      </c>
    </row>
    <row r="2765" spans="1:23" hidden="1" x14ac:dyDescent="0.25">
      <c r="A2765" s="7" t="str">
        <f>IFERROR(VLOOKUP(H2765,'Contas Orç'!A:B,2,0),"N/A")</f>
        <v>BENEFICIOS</v>
      </c>
      <c r="B2765" s="7" t="str">
        <f t="shared" si="86"/>
        <v>330103 - BENEFICIOS</v>
      </c>
      <c r="C2765" s="25">
        <f t="shared" si="87"/>
        <v>44835</v>
      </c>
      <c r="D2765" s="27">
        <f>IF(K2765="CREDITO",Q2765,Q2765*-1)</f>
        <v>27734.93</v>
      </c>
      <c r="E2765" t="s">
        <v>894</v>
      </c>
      <c r="F2765" t="s">
        <v>3259</v>
      </c>
      <c r="G2765" s="8">
        <v>44835</v>
      </c>
      <c r="H2765" t="s">
        <v>74</v>
      </c>
      <c r="I2765" t="s">
        <v>40</v>
      </c>
      <c r="J2765" t="s">
        <v>54</v>
      </c>
      <c r="K2765" t="s">
        <v>29</v>
      </c>
      <c r="L2765" t="s">
        <v>895</v>
      </c>
      <c r="M2765" t="s">
        <v>4402</v>
      </c>
      <c r="O2765" t="s">
        <v>896</v>
      </c>
      <c r="P2765" t="s">
        <v>33</v>
      </c>
      <c r="Q2765" s="22">
        <v>27734.93</v>
      </c>
      <c r="R2765" t="s">
        <v>35</v>
      </c>
      <c r="S2765" t="s">
        <v>35</v>
      </c>
      <c r="T2765" t="s">
        <v>35</v>
      </c>
      <c r="U2765" t="s">
        <v>35</v>
      </c>
      <c r="V2765" t="s">
        <v>645</v>
      </c>
      <c r="W2765" t="s">
        <v>113</v>
      </c>
    </row>
    <row r="2766" spans="1:23" hidden="1" x14ac:dyDescent="0.25">
      <c r="A2766" s="7" t="str">
        <f>IFERROR(VLOOKUP(H2766,'Contas Orç'!A:B,2,0),"N/A")</f>
        <v>BENEFICIOS</v>
      </c>
      <c r="B2766" s="7" t="str">
        <f t="shared" si="86"/>
        <v>330103 - BENEFICIOS</v>
      </c>
      <c r="C2766" s="25">
        <f t="shared" si="87"/>
        <v>44835</v>
      </c>
      <c r="D2766" s="27">
        <f>IF(K2766="CREDITO",Q2766,Q2766*-1)</f>
        <v>542.83000000000004</v>
      </c>
      <c r="E2766" t="s">
        <v>894</v>
      </c>
      <c r="F2766" t="s">
        <v>3260</v>
      </c>
      <c r="G2766" s="8">
        <v>44835</v>
      </c>
      <c r="H2766" t="s">
        <v>74</v>
      </c>
      <c r="I2766" t="s">
        <v>1002</v>
      </c>
      <c r="J2766" t="s">
        <v>54</v>
      </c>
      <c r="K2766" t="s">
        <v>29</v>
      </c>
      <c r="L2766" t="s">
        <v>895</v>
      </c>
      <c r="M2766" t="s">
        <v>4402</v>
      </c>
      <c r="O2766" t="s">
        <v>896</v>
      </c>
      <c r="P2766" t="s">
        <v>33</v>
      </c>
      <c r="Q2766">
        <v>542.83000000000004</v>
      </c>
      <c r="R2766" t="s">
        <v>35</v>
      </c>
      <c r="S2766" t="s">
        <v>35</v>
      </c>
      <c r="T2766" t="s">
        <v>35</v>
      </c>
      <c r="U2766" t="s">
        <v>35</v>
      </c>
      <c r="V2766" t="s">
        <v>645</v>
      </c>
      <c r="W2766" t="s">
        <v>113</v>
      </c>
    </row>
    <row r="2767" spans="1:23" hidden="1" x14ac:dyDescent="0.25">
      <c r="A2767" s="7" t="str">
        <f>IFERROR(VLOOKUP(H2767,'Contas Orç'!A:B,2,0),"N/A")</f>
        <v>BENEFICIOS</v>
      </c>
      <c r="B2767" s="7" t="str">
        <f t="shared" si="86"/>
        <v>330103 - BENEFICIOS</v>
      </c>
      <c r="C2767" s="25">
        <f t="shared" si="87"/>
        <v>44835</v>
      </c>
      <c r="D2767" s="27">
        <f>IF(K2767="CREDITO",Q2767,Q2767*-1)</f>
        <v>635.28</v>
      </c>
      <c r="E2767" t="s">
        <v>894</v>
      </c>
      <c r="F2767" t="s">
        <v>3261</v>
      </c>
      <c r="G2767" s="8">
        <v>44835</v>
      </c>
      <c r="H2767" t="s">
        <v>74</v>
      </c>
      <c r="I2767" t="s">
        <v>121</v>
      </c>
      <c r="J2767" t="s">
        <v>54</v>
      </c>
      <c r="K2767" t="s">
        <v>29</v>
      </c>
      <c r="L2767" t="s">
        <v>895</v>
      </c>
      <c r="M2767" t="s">
        <v>4402</v>
      </c>
      <c r="O2767" t="s">
        <v>896</v>
      </c>
      <c r="P2767" t="s">
        <v>33</v>
      </c>
      <c r="Q2767">
        <v>635.28</v>
      </c>
      <c r="R2767" t="s">
        <v>35</v>
      </c>
      <c r="S2767" t="s">
        <v>35</v>
      </c>
      <c r="T2767" t="s">
        <v>35</v>
      </c>
      <c r="U2767" t="s">
        <v>35</v>
      </c>
      <c r="V2767" t="s">
        <v>645</v>
      </c>
      <c r="W2767" t="s">
        <v>113</v>
      </c>
    </row>
    <row r="2768" spans="1:23" hidden="1" x14ac:dyDescent="0.25">
      <c r="A2768" s="7" t="str">
        <f>IFERROR(VLOOKUP(H2768,'Contas Orç'!A:B,2,0),"N/A")</f>
        <v>BENEFICIOS</v>
      </c>
      <c r="B2768" s="7" t="str">
        <f t="shared" si="86"/>
        <v>330103 - BENEFICIOS</v>
      </c>
      <c r="C2768" s="25">
        <f t="shared" si="87"/>
        <v>44835</v>
      </c>
      <c r="D2768" s="27">
        <f>IF(K2768="CREDITO",Q2768,Q2768*-1)</f>
        <v>3143.21</v>
      </c>
      <c r="E2768" t="s">
        <v>894</v>
      </c>
      <c r="F2768" t="s">
        <v>3262</v>
      </c>
      <c r="G2768" s="8">
        <v>44835</v>
      </c>
      <c r="H2768" t="s">
        <v>74</v>
      </c>
      <c r="I2768" t="s">
        <v>132</v>
      </c>
      <c r="J2768" t="s">
        <v>54</v>
      </c>
      <c r="K2768" t="s">
        <v>29</v>
      </c>
      <c r="L2768" t="s">
        <v>895</v>
      </c>
      <c r="M2768" t="s">
        <v>4402</v>
      </c>
      <c r="O2768" t="s">
        <v>896</v>
      </c>
      <c r="P2768" t="s">
        <v>33</v>
      </c>
      <c r="Q2768" s="22">
        <v>3143.21</v>
      </c>
      <c r="R2768" t="s">
        <v>35</v>
      </c>
      <c r="S2768" t="s">
        <v>35</v>
      </c>
      <c r="T2768" t="s">
        <v>35</v>
      </c>
      <c r="U2768" t="s">
        <v>35</v>
      </c>
      <c r="V2768" t="s">
        <v>645</v>
      </c>
      <c r="W2768" t="s">
        <v>113</v>
      </c>
    </row>
    <row r="2769" spans="1:23" hidden="1" x14ac:dyDescent="0.25">
      <c r="A2769" s="7" t="str">
        <f>IFERROR(VLOOKUP(H2769,'Contas Orç'!A:B,2,0),"N/A")</f>
        <v>BENEFICIOS</v>
      </c>
      <c r="B2769" s="7" t="str">
        <f t="shared" si="86"/>
        <v>330103 - BENEFICIOS</v>
      </c>
      <c r="C2769" s="25">
        <f t="shared" si="87"/>
        <v>44835</v>
      </c>
      <c r="D2769" s="27">
        <f>IF(K2769="CREDITO",Q2769,Q2769*-1)</f>
        <v>998.52</v>
      </c>
      <c r="E2769" t="s">
        <v>894</v>
      </c>
      <c r="F2769" t="s">
        <v>3263</v>
      </c>
      <c r="G2769" s="8">
        <v>44835</v>
      </c>
      <c r="H2769" t="s">
        <v>74</v>
      </c>
      <c r="I2769" t="s">
        <v>114</v>
      </c>
      <c r="J2769" t="s">
        <v>54</v>
      </c>
      <c r="K2769" t="s">
        <v>29</v>
      </c>
      <c r="L2769" t="s">
        <v>895</v>
      </c>
      <c r="M2769" t="s">
        <v>4402</v>
      </c>
      <c r="O2769" t="s">
        <v>896</v>
      </c>
      <c r="P2769" t="s">
        <v>33</v>
      </c>
      <c r="Q2769">
        <v>998.52</v>
      </c>
      <c r="R2769" t="s">
        <v>35</v>
      </c>
      <c r="S2769" t="s">
        <v>35</v>
      </c>
      <c r="T2769" t="s">
        <v>35</v>
      </c>
      <c r="U2769" t="s">
        <v>35</v>
      </c>
      <c r="V2769" t="s">
        <v>645</v>
      </c>
      <c r="W2769" t="s">
        <v>113</v>
      </c>
    </row>
    <row r="2770" spans="1:23" hidden="1" x14ac:dyDescent="0.25">
      <c r="A2770" s="7" t="str">
        <f>IFERROR(VLOOKUP(H2770,'Contas Orç'!A:B,2,0),"N/A")</f>
        <v>BENEFICIOS</v>
      </c>
      <c r="B2770" s="7" t="str">
        <f t="shared" si="86"/>
        <v>330103 - BENEFICIOS</v>
      </c>
      <c r="C2770" s="25">
        <f t="shared" si="87"/>
        <v>44835</v>
      </c>
      <c r="D2770" s="27">
        <f>IF(K2770="CREDITO",Q2770,Q2770*-1)</f>
        <v>5269.74</v>
      </c>
      <c r="E2770" t="s">
        <v>894</v>
      </c>
      <c r="F2770" t="s">
        <v>3264</v>
      </c>
      <c r="G2770" s="8">
        <v>44835</v>
      </c>
      <c r="H2770" t="s">
        <v>74</v>
      </c>
      <c r="I2770" t="s">
        <v>75</v>
      </c>
      <c r="J2770" t="s">
        <v>54</v>
      </c>
      <c r="K2770" t="s">
        <v>29</v>
      </c>
      <c r="L2770" t="s">
        <v>895</v>
      </c>
      <c r="M2770" t="s">
        <v>4402</v>
      </c>
      <c r="O2770" t="s">
        <v>896</v>
      </c>
      <c r="P2770" t="s">
        <v>33</v>
      </c>
      <c r="Q2770" s="22">
        <v>5269.74</v>
      </c>
      <c r="R2770" t="s">
        <v>35</v>
      </c>
      <c r="S2770" t="s">
        <v>35</v>
      </c>
      <c r="T2770" t="s">
        <v>35</v>
      </c>
      <c r="U2770" t="s">
        <v>35</v>
      </c>
      <c r="V2770" t="s">
        <v>645</v>
      </c>
      <c r="W2770" t="s">
        <v>113</v>
      </c>
    </row>
    <row r="2771" spans="1:23" hidden="1" x14ac:dyDescent="0.25">
      <c r="A2771" s="7" t="str">
        <f>IFERROR(VLOOKUP(H2771,'Contas Orç'!A:B,2,0),"N/A")</f>
        <v>BENEFICIOS</v>
      </c>
      <c r="B2771" s="7" t="str">
        <f t="shared" si="86"/>
        <v>330103 - BENEFICIOS</v>
      </c>
      <c r="C2771" s="25">
        <f t="shared" si="87"/>
        <v>44835</v>
      </c>
      <c r="D2771" s="27">
        <f>IF(K2771="CREDITO",Q2771,Q2771*-1)</f>
        <v>3442.42</v>
      </c>
      <c r="E2771" t="s">
        <v>894</v>
      </c>
      <c r="F2771" t="s">
        <v>3265</v>
      </c>
      <c r="G2771" s="8">
        <v>44835</v>
      </c>
      <c r="H2771" t="s">
        <v>74</v>
      </c>
      <c r="I2771" t="s">
        <v>78</v>
      </c>
      <c r="J2771" t="s">
        <v>54</v>
      </c>
      <c r="K2771" t="s">
        <v>29</v>
      </c>
      <c r="L2771" t="s">
        <v>895</v>
      </c>
      <c r="M2771" t="s">
        <v>4402</v>
      </c>
      <c r="O2771" t="s">
        <v>896</v>
      </c>
      <c r="P2771" t="s">
        <v>33</v>
      </c>
      <c r="Q2771" s="22">
        <v>3442.42</v>
      </c>
      <c r="R2771" t="s">
        <v>35</v>
      </c>
      <c r="S2771" t="s">
        <v>35</v>
      </c>
      <c r="T2771" t="s">
        <v>35</v>
      </c>
      <c r="U2771" t="s">
        <v>35</v>
      </c>
      <c r="V2771" t="s">
        <v>645</v>
      </c>
      <c r="W2771" t="s">
        <v>113</v>
      </c>
    </row>
    <row r="2772" spans="1:23" hidden="1" x14ac:dyDescent="0.25">
      <c r="A2772" s="7" t="str">
        <f>IFERROR(VLOOKUP(H2772,'Contas Orç'!A:B,2,0),"N/A")</f>
        <v>BENEFICIOS</v>
      </c>
      <c r="B2772" s="7" t="str">
        <f t="shared" si="86"/>
        <v>330103 - BENEFICIOS</v>
      </c>
      <c r="C2772" s="25">
        <f t="shared" si="87"/>
        <v>44835</v>
      </c>
      <c r="D2772" s="27">
        <f>IF(K2772="CREDITO",Q2772,Q2772*-1)</f>
        <v>4584.46</v>
      </c>
      <c r="E2772" t="s">
        <v>894</v>
      </c>
      <c r="F2772" t="s">
        <v>3266</v>
      </c>
      <c r="G2772" s="8">
        <v>44835</v>
      </c>
      <c r="H2772" t="s">
        <v>74</v>
      </c>
      <c r="I2772" t="s">
        <v>81</v>
      </c>
      <c r="J2772" t="s">
        <v>54</v>
      </c>
      <c r="K2772" t="s">
        <v>29</v>
      </c>
      <c r="L2772" t="s">
        <v>895</v>
      </c>
      <c r="M2772" t="s">
        <v>4402</v>
      </c>
      <c r="O2772" t="s">
        <v>896</v>
      </c>
      <c r="P2772" t="s">
        <v>33</v>
      </c>
      <c r="Q2772" s="22">
        <v>4584.46</v>
      </c>
      <c r="R2772" t="s">
        <v>35</v>
      </c>
      <c r="S2772" t="s">
        <v>35</v>
      </c>
      <c r="T2772" t="s">
        <v>35</v>
      </c>
      <c r="U2772" t="s">
        <v>35</v>
      </c>
      <c r="V2772" t="s">
        <v>645</v>
      </c>
      <c r="W2772" t="s">
        <v>113</v>
      </c>
    </row>
    <row r="2773" spans="1:23" hidden="1" x14ac:dyDescent="0.25">
      <c r="A2773" s="7" t="str">
        <f>IFERROR(VLOOKUP(H2773,'Contas Orç'!A:B,2,0),"N/A")</f>
        <v>BENEFICIOS</v>
      </c>
      <c r="B2773" s="7" t="str">
        <f t="shared" si="86"/>
        <v>330103 - BENEFICIOS</v>
      </c>
      <c r="C2773" s="25">
        <f t="shared" si="87"/>
        <v>44835</v>
      </c>
      <c r="D2773" s="27">
        <f>IF(K2773="CREDITO",Q2773,Q2773*-1)</f>
        <v>1980.47</v>
      </c>
      <c r="E2773" t="s">
        <v>894</v>
      </c>
      <c r="F2773" t="s">
        <v>3267</v>
      </c>
      <c r="G2773" s="8">
        <v>44835</v>
      </c>
      <c r="H2773" t="s">
        <v>74</v>
      </c>
      <c r="I2773" t="s">
        <v>136</v>
      </c>
      <c r="J2773" t="s">
        <v>54</v>
      </c>
      <c r="K2773" t="s">
        <v>29</v>
      </c>
      <c r="L2773" t="s">
        <v>895</v>
      </c>
      <c r="M2773" t="s">
        <v>4402</v>
      </c>
      <c r="O2773" t="s">
        <v>896</v>
      </c>
      <c r="P2773" t="s">
        <v>33</v>
      </c>
      <c r="Q2773" s="22">
        <v>1980.47</v>
      </c>
      <c r="R2773" t="s">
        <v>35</v>
      </c>
      <c r="S2773" t="s">
        <v>35</v>
      </c>
      <c r="T2773" t="s">
        <v>35</v>
      </c>
      <c r="U2773" t="s">
        <v>35</v>
      </c>
      <c r="V2773" t="s">
        <v>645</v>
      </c>
      <c r="W2773" t="s">
        <v>113</v>
      </c>
    </row>
    <row r="2774" spans="1:23" hidden="1" x14ac:dyDescent="0.25">
      <c r="A2774" s="7" t="str">
        <f>IFERROR(VLOOKUP(H2774,'Contas Orç'!A:B,2,0),"N/A")</f>
        <v>BENEFICIOS</v>
      </c>
      <c r="B2774" s="7" t="str">
        <f t="shared" si="86"/>
        <v>330103 - BENEFICIOS</v>
      </c>
      <c r="C2774" s="25">
        <f t="shared" si="87"/>
        <v>44835</v>
      </c>
      <c r="D2774" s="27">
        <f>IF(K2774="CREDITO",Q2774,Q2774*-1)</f>
        <v>524.17999999999995</v>
      </c>
      <c r="E2774" t="s">
        <v>894</v>
      </c>
      <c r="F2774" t="s">
        <v>3268</v>
      </c>
      <c r="G2774" s="8">
        <v>44835</v>
      </c>
      <c r="H2774" t="s">
        <v>74</v>
      </c>
      <c r="I2774" t="s">
        <v>53</v>
      </c>
      <c r="J2774" t="s">
        <v>54</v>
      </c>
      <c r="K2774" t="s">
        <v>29</v>
      </c>
      <c r="L2774" t="s">
        <v>895</v>
      </c>
      <c r="M2774" t="s">
        <v>4402</v>
      </c>
      <c r="O2774" t="s">
        <v>896</v>
      </c>
      <c r="P2774" t="s">
        <v>33</v>
      </c>
      <c r="Q2774">
        <v>524.17999999999995</v>
      </c>
      <c r="R2774" t="s">
        <v>35</v>
      </c>
      <c r="S2774" t="s">
        <v>35</v>
      </c>
      <c r="T2774" t="s">
        <v>35</v>
      </c>
      <c r="U2774" t="s">
        <v>35</v>
      </c>
      <c r="V2774" t="s">
        <v>645</v>
      </c>
      <c r="W2774" t="s">
        <v>113</v>
      </c>
    </row>
    <row r="2775" spans="1:23" hidden="1" x14ac:dyDescent="0.25">
      <c r="A2775" s="7" t="str">
        <f>IFERROR(VLOOKUP(H2775,'Contas Orç'!A:B,2,0),"N/A")</f>
        <v>BENEFICIOS</v>
      </c>
      <c r="B2775" s="7" t="str">
        <f t="shared" si="86"/>
        <v>330103 - BENEFICIOS</v>
      </c>
      <c r="C2775" s="25">
        <f t="shared" si="87"/>
        <v>44866</v>
      </c>
      <c r="D2775" s="27">
        <f>IF(K2775="CREDITO",Q2775,Q2775*-1)</f>
        <v>2945.74</v>
      </c>
      <c r="E2775" t="s">
        <v>894</v>
      </c>
      <c r="F2775" t="s">
        <v>3269</v>
      </c>
      <c r="G2775" s="8">
        <v>44866</v>
      </c>
      <c r="H2775" t="s">
        <v>74</v>
      </c>
      <c r="I2775" t="s">
        <v>99</v>
      </c>
      <c r="J2775" t="s">
        <v>28</v>
      </c>
      <c r="K2775" t="s">
        <v>29</v>
      </c>
      <c r="L2775" t="s">
        <v>895</v>
      </c>
      <c r="M2775" t="s">
        <v>4402</v>
      </c>
      <c r="O2775" t="s">
        <v>896</v>
      </c>
      <c r="P2775" t="s">
        <v>33</v>
      </c>
      <c r="Q2775" s="22">
        <v>2945.74</v>
      </c>
      <c r="R2775" t="s">
        <v>35</v>
      </c>
      <c r="S2775" t="s">
        <v>35</v>
      </c>
      <c r="T2775" t="s">
        <v>35</v>
      </c>
      <c r="U2775" t="s">
        <v>35</v>
      </c>
      <c r="V2775" t="s">
        <v>645</v>
      </c>
      <c r="W2775" t="s">
        <v>113</v>
      </c>
    </row>
    <row r="2776" spans="1:23" hidden="1" x14ac:dyDescent="0.25">
      <c r="A2776" s="7" t="str">
        <f>IFERROR(VLOOKUP(H2776,'Contas Orç'!A:B,2,0),"N/A")</f>
        <v>BENEFICIOS</v>
      </c>
      <c r="B2776" s="7" t="str">
        <f t="shared" si="86"/>
        <v>330103 - BENEFICIOS</v>
      </c>
      <c r="C2776" s="25">
        <f t="shared" si="87"/>
        <v>44866</v>
      </c>
      <c r="D2776" s="27">
        <f>IF(K2776="CREDITO",Q2776,Q2776*-1)</f>
        <v>3118.63</v>
      </c>
      <c r="E2776" t="s">
        <v>894</v>
      </c>
      <c r="F2776" t="s">
        <v>3270</v>
      </c>
      <c r="G2776" s="8">
        <v>44866</v>
      </c>
      <c r="H2776" t="s">
        <v>74</v>
      </c>
      <c r="I2776" t="s">
        <v>81</v>
      </c>
      <c r="J2776" t="s">
        <v>60</v>
      </c>
      <c r="K2776" t="s">
        <v>29</v>
      </c>
      <c r="L2776" t="s">
        <v>895</v>
      </c>
      <c r="M2776" t="s">
        <v>4402</v>
      </c>
      <c r="O2776" t="s">
        <v>896</v>
      </c>
      <c r="P2776" t="s">
        <v>33</v>
      </c>
      <c r="Q2776" s="22">
        <v>3118.63</v>
      </c>
      <c r="R2776" t="s">
        <v>35</v>
      </c>
      <c r="S2776" t="s">
        <v>35</v>
      </c>
      <c r="T2776" t="s">
        <v>35</v>
      </c>
      <c r="U2776" t="s">
        <v>35</v>
      </c>
      <c r="V2776" t="s">
        <v>645</v>
      </c>
      <c r="W2776" t="s">
        <v>113</v>
      </c>
    </row>
    <row r="2777" spans="1:23" hidden="1" x14ac:dyDescent="0.25">
      <c r="A2777" s="7" t="str">
        <f>IFERROR(VLOOKUP(H2777,'Contas Orç'!A:B,2,0),"N/A")</f>
        <v>BENEFICIOS</v>
      </c>
      <c r="B2777" s="7" t="str">
        <f t="shared" si="86"/>
        <v>330103 - BENEFICIOS</v>
      </c>
      <c r="C2777" s="25">
        <f t="shared" si="87"/>
        <v>44866</v>
      </c>
      <c r="D2777" s="27">
        <f>IF(K2777="CREDITO",Q2777,Q2777*-1)</f>
        <v>16803.5</v>
      </c>
      <c r="E2777" t="s">
        <v>894</v>
      </c>
      <c r="F2777" t="s">
        <v>3271</v>
      </c>
      <c r="G2777" s="8">
        <v>44866</v>
      </c>
      <c r="H2777" t="s">
        <v>74</v>
      </c>
      <c r="I2777" t="s">
        <v>68</v>
      </c>
      <c r="J2777" t="s">
        <v>69</v>
      </c>
      <c r="K2777" t="s">
        <v>29</v>
      </c>
      <c r="L2777" t="s">
        <v>895</v>
      </c>
      <c r="M2777" t="s">
        <v>4402</v>
      </c>
      <c r="O2777" t="s">
        <v>896</v>
      </c>
      <c r="P2777" t="s">
        <v>33</v>
      </c>
      <c r="Q2777" s="22">
        <v>16803.5</v>
      </c>
      <c r="R2777" t="s">
        <v>35</v>
      </c>
      <c r="S2777" t="s">
        <v>35</v>
      </c>
      <c r="T2777" t="s">
        <v>35</v>
      </c>
      <c r="U2777" t="s">
        <v>35</v>
      </c>
      <c r="V2777" t="s">
        <v>645</v>
      </c>
      <c r="W2777" t="s">
        <v>113</v>
      </c>
    </row>
    <row r="2778" spans="1:23" hidden="1" x14ac:dyDescent="0.25">
      <c r="A2778" s="7" t="str">
        <f>IFERROR(VLOOKUP(H2778,'Contas Orç'!A:B,2,0),"N/A")</f>
        <v>BENEFICIOS</v>
      </c>
      <c r="B2778" s="7" t="str">
        <f t="shared" si="86"/>
        <v>330103 - BENEFICIOS</v>
      </c>
      <c r="C2778" s="25">
        <f t="shared" si="87"/>
        <v>44866</v>
      </c>
      <c r="D2778" s="27">
        <f>IF(K2778="CREDITO",Q2778,Q2778*-1)</f>
        <v>9233.2999999999993</v>
      </c>
      <c r="E2778" t="s">
        <v>894</v>
      </c>
      <c r="F2778" t="s">
        <v>3272</v>
      </c>
      <c r="G2778" s="8">
        <v>44866</v>
      </c>
      <c r="H2778" t="s">
        <v>74</v>
      </c>
      <c r="I2778" t="s">
        <v>2062</v>
      </c>
      <c r="J2778" t="s">
        <v>54</v>
      </c>
      <c r="K2778" t="s">
        <v>29</v>
      </c>
      <c r="L2778" t="s">
        <v>895</v>
      </c>
      <c r="M2778" t="s">
        <v>4402</v>
      </c>
      <c r="O2778" t="s">
        <v>896</v>
      </c>
      <c r="P2778" t="s">
        <v>33</v>
      </c>
      <c r="Q2778" s="22">
        <v>9233.2999999999993</v>
      </c>
      <c r="R2778" t="s">
        <v>35</v>
      </c>
      <c r="S2778" t="s">
        <v>35</v>
      </c>
      <c r="T2778" t="s">
        <v>35</v>
      </c>
      <c r="U2778" t="s">
        <v>35</v>
      </c>
      <c r="V2778" t="s">
        <v>645</v>
      </c>
      <c r="W2778" t="s">
        <v>113</v>
      </c>
    </row>
    <row r="2779" spans="1:23" hidden="1" x14ac:dyDescent="0.25">
      <c r="A2779" s="7" t="str">
        <f>IFERROR(VLOOKUP(H2779,'Contas Orç'!A:B,2,0),"N/A")</f>
        <v>BENEFICIOS</v>
      </c>
      <c r="B2779" s="7" t="str">
        <f t="shared" si="86"/>
        <v>330103 - BENEFICIOS</v>
      </c>
      <c r="C2779" s="25">
        <f t="shared" si="87"/>
        <v>44866</v>
      </c>
      <c r="D2779" s="27">
        <f>IF(K2779="CREDITO",Q2779,Q2779*-1)</f>
        <v>28012.28</v>
      </c>
      <c r="E2779" t="s">
        <v>894</v>
      </c>
      <c r="F2779" t="s">
        <v>3273</v>
      </c>
      <c r="G2779" s="8">
        <v>44866</v>
      </c>
      <c r="H2779" t="s">
        <v>74</v>
      </c>
      <c r="I2779" t="s">
        <v>40</v>
      </c>
      <c r="J2779" t="s">
        <v>54</v>
      </c>
      <c r="K2779" t="s">
        <v>29</v>
      </c>
      <c r="L2779" t="s">
        <v>895</v>
      </c>
      <c r="M2779" t="s">
        <v>4402</v>
      </c>
      <c r="O2779" t="s">
        <v>896</v>
      </c>
      <c r="P2779" t="s">
        <v>33</v>
      </c>
      <c r="Q2779" s="22">
        <v>28012.28</v>
      </c>
      <c r="R2779" t="s">
        <v>35</v>
      </c>
      <c r="S2779" t="s">
        <v>35</v>
      </c>
      <c r="T2779" t="s">
        <v>35</v>
      </c>
      <c r="U2779" t="s">
        <v>35</v>
      </c>
      <c r="V2779" t="s">
        <v>645</v>
      </c>
      <c r="W2779" t="s">
        <v>113</v>
      </c>
    </row>
    <row r="2780" spans="1:23" hidden="1" x14ac:dyDescent="0.25">
      <c r="A2780" s="7" t="str">
        <f>IFERROR(VLOOKUP(H2780,'Contas Orç'!A:B,2,0),"N/A")</f>
        <v>BENEFICIOS</v>
      </c>
      <c r="B2780" s="7" t="str">
        <f t="shared" si="86"/>
        <v>330103 - BENEFICIOS</v>
      </c>
      <c r="C2780" s="25">
        <f t="shared" si="87"/>
        <v>44866</v>
      </c>
      <c r="D2780" s="27">
        <f>IF(K2780="CREDITO",Q2780,Q2780*-1)</f>
        <v>548.26</v>
      </c>
      <c r="E2780" t="s">
        <v>894</v>
      </c>
      <c r="F2780" t="s">
        <v>3274</v>
      </c>
      <c r="G2780" s="8">
        <v>44866</v>
      </c>
      <c r="H2780" t="s">
        <v>74</v>
      </c>
      <c r="I2780" t="s">
        <v>1002</v>
      </c>
      <c r="J2780" t="s">
        <v>54</v>
      </c>
      <c r="K2780" t="s">
        <v>29</v>
      </c>
      <c r="L2780" t="s">
        <v>895</v>
      </c>
      <c r="M2780" t="s">
        <v>4402</v>
      </c>
      <c r="O2780" t="s">
        <v>896</v>
      </c>
      <c r="P2780" t="s">
        <v>33</v>
      </c>
      <c r="Q2780">
        <v>548.26</v>
      </c>
      <c r="R2780" t="s">
        <v>35</v>
      </c>
      <c r="S2780" t="s">
        <v>35</v>
      </c>
      <c r="T2780" t="s">
        <v>35</v>
      </c>
      <c r="U2780" t="s">
        <v>35</v>
      </c>
      <c r="V2780" t="s">
        <v>645</v>
      </c>
      <c r="W2780" t="s">
        <v>113</v>
      </c>
    </row>
    <row r="2781" spans="1:23" hidden="1" x14ac:dyDescent="0.25">
      <c r="A2781" s="7" t="str">
        <f>IFERROR(VLOOKUP(H2781,'Contas Orç'!A:B,2,0),"N/A")</f>
        <v>BENEFICIOS</v>
      </c>
      <c r="B2781" s="7" t="str">
        <f t="shared" si="86"/>
        <v>330103 - BENEFICIOS</v>
      </c>
      <c r="C2781" s="25">
        <f t="shared" si="87"/>
        <v>44866</v>
      </c>
      <c r="D2781" s="27">
        <f>IF(K2781="CREDITO",Q2781,Q2781*-1)</f>
        <v>641.63</v>
      </c>
      <c r="E2781" t="s">
        <v>894</v>
      </c>
      <c r="F2781" t="s">
        <v>3275</v>
      </c>
      <c r="G2781" s="8">
        <v>44866</v>
      </c>
      <c r="H2781" t="s">
        <v>74</v>
      </c>
      <c r="I2781" t="s">
        <v>121</v>
      </c>
      <c r="J2781" t="s">
        <v>54</v>
      </c>
      <c r="K2781" t="s">
        <v>29</v>
      </c>
      <c r="L2781" t="s">
        <v>895</v>
      </c>
      <c r="M2781" t="s">
        <v>4402</v>
      </c>
      <c r="O2781" t="s">
        <v>896</v>
      </c>
      <c r="P2781" t="s">
        <v>33</v>
      </c>
      <c r="Q2781">
        <v>641.63</v>
      </c>
      <c r="R2781" t="s">
        <v>35</v>
      </c>
      <c r="S2781" t="s">
        <v>35</v>
      </c>
      <c r="T2781" t="s">
        <v>35</v>
      </c>
      <c r="U2781" t="s">
        <v>35</v>
      </c>
      <c r="V2781" t="s">
        <v>645</v>
      </c>
      <c r="W2781" t="s">
        <v>113</v>
      </c>
    </row>
    <row r="2782" spans="1:23" hidden="1" x14ac:dyDescent="0.25">
      <c r="A2782" s="7" t="str">
        <f>IFERROR(VLOOKUP(H2782,'Contas Orç'!A:B,2,0),"N/A")</f>
        <v>BENEFICIOS</v>
      </c>
      <c r="B2782" s="7" t="str">
        <f t="shared" si="86"/>
        <v>330103 - BENEFICIOS</v>
      </c>
      <c r="C2782" s="25">
        <f t="shared" si="87"/>
        <v>44866</v>
      </c>
      <c r="D2782" s="27">
        <f>IF(K2782="CREDITO",Q2782,Q2782*-1)</f>
        <v>3174.64</v>
      </c>
      <c r="E2782" t="s">
        <v>894</v>
      </c>
      <c r="F2782" t="s">
        <v>3276</v>
      </c>
      <c r="G2782" s="8">
        <v>44866</v>
      </c>
      <c r="H2782" t="s">
        <v>74</v>
      </c>
      <c r="I2782" t="s">
        <v>132</v>
      </c>
      <c r="J2782" t="s">
        <v>54</v>
      </c>
      <c r="K2782" t="s">
        <v>29</v>
      </c>
      <c r="L2782" t="s">
        <v>895</v>
      </c>
      <c r="M2782" t="s">
        <v>4402</v>
      </c>
      <c r="O2782" t="s">
        <v>896</v>
      </c>
      <c r="P2782" t="s">
        <v>33</v>
      </c>
      <c r="Q2782" s="22">
        <v>3174.64</v>
      </c>
      <c r="R2782" t="s">
        <v>35</v>
      </c>
      <c r="S2782" t="s">
        <v>35</v>
      </c>
      <c r="T2782" t="s">
        <v>35</v>
      </c>
      <c r="U2782" t="s">
        <v>35</v>
      </c>
      <c r="V2782" t="s">
        <v>645</v>
      </c>
      <c r="W2782" t="s">
        <v>113</v>
      </c>
    </row>
    <row r="2783" spans="1:23" hidden="1" x14ac:dyDescent="0.25">
      <c r="A2783" s="7" t="str">
        <f>IFERROR(VLOOKUP(H2783,'Contas Orç'!A:B,2,0),"N/A")</f>
        <v>BENEFICIOS</v>
      </c>
      <c r="B2783" s="7" t="str">
        <f t="shared" si="86"/>
        <v>330103 - BENEFICIOS</v>
      </c>
      <c r="C2783" s="25">
        <f t="shared" si="87"/>
        <v>44866</v>
      </c>
      <c r="D2783" s="27">
        <f>IF(K2783="CREDITO",Q2783,Q2783*-1)</f>
        <v>1008.5</v>
      </c>
      <c r="E2783" t="s">
        <v>894</v>
      </c>
      <c r="F2783" t="s">
        <v>3277</v>
      </c>
      <c r="G2783" s="8">
        <v>44866</v>
      </c>
      <c r="H2783" t="s">
        <v>74</v>
      </c>
      <c r="I2783" t="s">
        <v>114</v>
      </c>
      <c r="J2783" t="s">
        <v>54</v>
      </c>
      <c r="K2783" t="s">
        <v>29</v>
      </c>
      <c r="L2783" t="s">
        <v>895</v>
      </c>
      <c r="M2783" t="s">
        <v>4402</v>
      </c>
      <c r="O2783" t="s">
        <v>896</v>
      </c>
      <c r="P2783" t="s">
        <v>33</v>
      </c>
      <c r="Q2783" s="22">
        <v>1008.5</v>
      </c>
      <c r="R2783" t="s">
        <v>35</v>
      </c>
      <c r="S2783" t="s">
        <v>35</v>
      </c>
      <c r="T2783" t="s">
        <v>35</v>
      </c>
      <c r="U2783" t="s">
        <v>35</v>
      </c>
      <c r="V2783" t="s">
        <v>645</v>
      </c>
      <c r="W2783" t="s">
        <v>113</v>
      </c>
    </row>
    <row r="2784" spans="1:23" hidden="1" x14ac:dyDescent="0.25">
      <c r="A2784" s="7" t="str">
        <f>IFERROR(VLOOKUP(H2784,'Contas Orç'!A:B,2,0),"N/A")</f>
        <v>BENEFICIOS</v>
      </c>
      <c r="B2784" s="7" t="str">
        <f t="shared" si="86"/>
        <v>330103 - BENEFICIOS</v>
      </c>
      <c r="C2784" s="25">
        <f t="shared" si="87"/>
        <v>44866</v>
      </c>
      <c r="D2784" s="27">
        <f>IF(K2784="CREDITO",Q2784,Q2784*-1)</f>
        <v>5322.43</v>
      </c>
      <c r="E2784" t="s">
        <v>894</v>
      </c>
      <c r="F2784" t="s">
        <v>3278</v>
      </c>
      <c r="G2784" s="8">
        <v>44866</v>
      </c>
      <c r="H2784" t="s">
        <v>74</v>
      </c>
      <c r="I2784" t="s">
        <v>75</v>
      </c>
      <c r="J2784" t="s">
        <v>54</v>
      </c>
      <c r="K2784" t="s">
        <v>29</v>
      </c>
      <c r="L2784" t="s">
        <v>895</v>
      </c>
      <c r="M2784" t="s">
        <v>4402</v>
      </c>
      <c r="O2784" t="s">
        <v>896</v>
      </c>
      <c r="P2784" t="s">
        <v>33</v>
      </c>
      <c r="Q2784" s="22">
        <v>5322.43</v>
      </c>
      <c r="R2784" t="s">
        <v>35</v>
      </c>
      <c r="S2784" t="s">
        <v>35</v>
      </c>
      <c r="T2784" t="s">
        <v>35</v>
      </c>
      <c r="U2784" t="s">
        <v>35</v>
      </c>
      <c r="V2784" t="s">
        <v>645</v>
      </c>
      <c r="W2784" t="s">
        <v>113</v>
      </c>
    </row>
    <row r="2785" spans="1:23" hidden="1" x14ac:dyDescent="0.25">
      <c r="A2785" s="7" t="str">
        <f>IFERROR(VLOOKUP(H2785,'Contas Orç'!A:B,2,0),"N/A")</f>
        <v>BENEFICIOS</v>
      </c>
      <c r="B2785" s="7" t="str">
        <f t="shared" si="86"/>
        <v>330103 - BENEFICIOS</v>
      </c>
      <c r="C2785" s="25">
        <f t="shared" si="87"/>
        <v>44866</v>
      </c>
      <c r="D2785" s="27">
        <f>IF(K2785="CREDITO",Q2785,Q2785*-1)</f>
        <v>3476.85</v>
      </c>
      <c r="E2785" t="s">
        <v>894</v>
      </c>
      <c r="F2785" t="s">
        <v>3279</v>
      </c>
      <c r="G2785" s="8">
        <v>44866</v>
      </c>
      <c r="H2785" t="s">
        <v>74</v>
      </c>
      <c r="I2785" t="s">
        <v>78</v>
      </c>
      <c r="J2785" t="s">
        <v>54</v>
      </c>
      <c r="K2785" t="s">
        <v>29</v>
      </c>
      <c r="L2785" t="s">
        <v>895</v>
      </c>
      <c r="M2785" t="s">
        <v>4402</v>
      </c>
      <c r="O2785" t="s">
        <v>896</v>
      </c>
      <c r="P2785" t="s">
        <v>33</v>
      </c>
      <c r="Q2785" s="22">
        <v>3476.85</v>
      </c>
      <c r="R2785" t="s">
        <v>35</v>
      </c>
      <c r="S2785" t="s">
        <v>35</v>
      </c>
      <c r="T2785" t="s">
        <v>35</v>
      </c>
      <c r="U2785" t="s">
        <v>35</v>
      </c>
      <c r="V2785" t="s">
        <v>645</v>
      </c>
      <c r="W2785" t="s">
        <v>113</v>
      </c>
    </row>
    <row r="2786" spans="1:23" hidden="1" x14ac:dyDescent="0.25">
      <c r="A2786" s="7" t="str">
        <f>IFERROR(VLOOKUP(H2786,'Contas Orç'!A:B,2,0),"N/A")</f>
        <v>BENEFICIOS</v>
      </c>
      <c r="B2786" s="7" t="str">
        <f t="shared" si="86"/>
        <v>330103 - BENEFICIOS</v>
      </c>
      <c r="C2786" s="25">
        <f t="shared" si="87"/>
        <v>44866</v>
      </c>
      <c r="D2786" s="27">
        <f>IF(K2786="CREDITO",Q2786,Q2786*-1)</f>
        <v>4630.3100000000004</v>
      </c>
      <c r="E2786" t="s">
        <v>894</v>
      </c>
      <c r="F2786" t="s">
        <v>3280</v>
      </c>
      <c r="G2786" s="8">
        <v>44866</v>
      </c>
      <c r="H2786" t="s">
        <v>74</v>
      </c>
      <c r="I2786" t="s">
        <v>81</v>
      </c>
      <c r="J2786" t="s">
        <v>54</v>
      </c>
      <c r="K2786" t="s">
        <v>29</v>
      </c>
      <c r="L2786" t="s">
        <v>895</v>
      </c>
      <c r="M2786" t="s">
        <v>4402</v>
      </c>
      <c r="O2786" t="s">
        <v>896</v>
      </c>
      <c r="P2786" t="s">
        <v>33</v>
      </c>
      <c r="Q2786" s="22">
        <v>4630.3100000000004</v>
      </c>
      <c r="R2786" t="s">
        <v>35</v>
      </c>
      <c r="S2786" t="s">
        <v>35</v>
      </c>
      <c r="T2786" t="s">
        <v>35</v>
      </c>
      <c r="U2786" t="s">
        <v>35</v>
      </c>
      <c r="V2786" t="s">
        <v>645</v>
      </c>
      <c r="W2786" t="s">
        <v>113</v>
      </c>
    </row>
    <row r="2787" spans="1:23" hidden="1" x14ac:dyDescent="0.25">
      <c r="A2787" s="7" t="str">
        <f>IFERROR(VLOOKUP(H2787,'Contas Orç'!A:B,2,0),"N/A")</f>
        <v>BENEFICIOS</v>
      </c>
      <c r="B2787" s="7" t="str">
        <f t="shared" si="86"/>
        <v>330103 - BENEFICIOS</v>
      </c>
      <c r="C2787" s="25">
        <f t="shared" si="87"/>
        <v>44866</v>
      </c>
      <c r="D2787" s="27">
        <f>IF(K2787="CREDITO",Q2787,Q2787*-1)</f>
        <v>2000.27</v>
      </c>
      <c r="E2787" t="s">
        <v>894</v>
      </c>
      <c r="F2787" t="s">
        <v>3281</v>
      </c>
      <c r="G2787" s="8">
        <v>44866</v>
      </c>
      <c r="H2787" t="s">
        <v>74</v>
      </c>
      <c r="I2787" t="s">
        <v>136</v>
      </c>
      <c r="J2787" t="s">
        <v>54</v>
      </c>
      <c r="K2787" t="s">
        <v>29</v>
      </c>
      <c r="L2787" t="s">
        <v>895</v>
      </c>
      <c r="M2787" t="s">
        <v>4402</v>
      </c>
      <c r="O2787" t="s">
        <v>896</v>
      </c>
      <c r="P2787" t="s">
        <v>33</v>
      </c>
      <c r="Q2787" s="22">
        <v>2000.27</v>
      </c>
      <c r="R2787" t="s">
        <v>35</v>
      </c>
      <c r="S2787" t="s">
        <v>35</v>
      </c>
      <c r="T2787" t="s">
        <v>35</v>
      </c>
      <c r="U2787" t="s">
        <v>35</v>
      </c>
      <c r="V2787" t="s">
        <v>645</v>
      </c>
      <c r="W2787" t="s">
        <v>113</v>
      </c>
    </row>
    <row r="2788" spans="1:23" hidden="1" x14ac:dyDescent="0.25">
      <c r="A2788" s="7" t="str">
        <f>IFERROR(VLOOKUP(H2788,'Contas Orç'!A:B,2,0),"N/A")</f>
        <v>BENEFICIOS</v>
      </c>
      <c r="B2788" s="7" t="str">
        <f t="shared" si="86"/>
        <v>330103 - BENEFICIOS</v>
      </c>
      <c r="C2788" s="25">
        <f t="shared" si="87"/>
        <v>44866</v>
      </c>
      <c r="D2788" s="27">
        <f>IF(K2788="CREDITO",Q2788,Q2788*-1)</f>
        <v>529.41999999999996</v>
      </c>
      <c r="E2788" t="s">
        <v>894</v>
      </c>
      <c r="F2788" t="s">
        <v>3282</v>
      </c>
      <c r="G2788" s="8">
        <v>44866</v>
      </c>
      <c r="H2788" t="s">
        <v>74</v>
      </c>
      <c r="I2788" t="s">
        <v>53</v>
      </c>
      <c r="J2788" t="s">
        <v>54</v>
      </c>
      <c r="K2788" t="s">
        <v>29</v>
      </c>
      <c r="L2788" t="s">
        <v>895</v>
      </c>
      <c r="M2788" t="s">
        <v>4402</v>
      </c>
      <c r="O2788" t="s">
        <v>896</v>
      </c>
      <c r="P2788" t="s">
        <v>33</v>
      </c>
      <c r="Q2788">
        <v>529.41999999999996</v>
      </c>
      <c r="R2788" t="s">
        <v>35</v>
      </c>
      <c r="S2788" t="s">
        <v>35</v>
      </c>
      <c r="T2788" t="s">
        <v>35</v>
      </c>
      <c r="U2788" t="s">
        <v>35</v>
      </c>
      <c r="V2788" t="s">
        <v>645</v>
      </c>
      <c r="W2788" t="s">
        <v>113</v>
      </c>
    </row>
    <row r="2789" spans="1:23" hidden="1" x14ac:dyDescent="0.25">
      <c r="A2789" s="7" t="str">
        <f>IFERROR(VLOOKUP(H2789,'Contas Orç'!A:B,2,0),"N/A")</f>
        <v>BENEFICIOS</v>
      </c>
      <c r="B2789" s="7" t="str">
        <f t="shared" si="86"/>
        <v>330103 - BENEFICIOS</v>
      </c>
      <c r="C2789" s="25">
        <f t="shared" si="87"/>
        <v>44896</v>
      </c>
      <c r="D2789" s="27">
        <f>IF(K2789="CREDITO",Q2789,Q2789*-1)</f>
        <v>2975.2</v>
      </c>
      <c r="E2789" t="s">
        <v>894</v>
      </c>
      <c r="F2789" t="s">
        <v>3283</v>
      </c>
      <c r="G2789" s="8">
        <v>44896</v>
      </c>
      <c r="H2789" t="s">
        <v>74</v>
      </c>
      <c r="I2789" t="s">
        <v>99</v>
      </c>
      <c r="J2789" t="s">
        <v>28</v>
      </c>
      <c r="K2789" t="s">
        <v>29</v>
      </c>
      <c r="L2789" t="s">
        <v>895</v>
      </c>
      <c r="M2789" t="s">
        <v>4402</v>
      </c>
      <c r="O2789" t="s">
        <v>896</v>
      </c>
      <c r="P2789" t="s">
        <v>33</v>
      </c>
      <c r="Q2789" s="22">
        <v>2975.2</v>
      </c>
      <c r="R2789" t="s">
        <v>35</v>
      </c>
      <c r="S2789" t="s">
        <v>35</v>
      </c>
      <c r="T2789" t="s">
        <v>35</v>
      </c>
      <c r="U2789" t="s">
        <v>35</v>
      </c>
      <c r="V2789" t="s">
        <v>645</v>
      </c>
      <c r="W2789" t="s">
        <v>113</v>
      </c>
    </row>
    <row r="2790" spans="1:23" hidden="1" x14ac:dyDescent="0.25">
      <c r="A2790" s="7" t="str">
        <f>IFERROR(VLOOKUP(H2790,'Contas Orç'!A:B,2,0),"N/A")</f>
        <v>BENEFICIOS</v>
      </c>
      <c r="B2790" s="7" t="str">
        <f t="shared" si="86"/>
        <v>330103 - BENEFICIOS</v>
      </c>
      <c r="C2790" s="25">
        <f t="shared" si="87"/>
        <v>44896</v>
      </c>
      <c r="D2790" s="27">
        <f>IF(K2790="CREDITO",Q2790,Q2790*-1)</f>
        <v>3149.82</v>
      </c>
      <c r="E2790" t="s">
        <v>894</v>
      </c>
      <c r="F2790" t="s">
        <v>3284</v>
      </c>
      <c r="G2790" s="8">
        <v>44896</v>
      </c>
      <c r="H2790" t="s">
        <v>74</v>
      </c>
      <c r="I2790" t="s">
        <v>81</v>
      </c>
      <c r="J2790" t="s">
        <v>60</v>
      </c>
      <c r="K2790" t="s">
        <v>29</v>
      </c>
      <c r="L2790" t="s">
        <v>895</v>
      </c>
      <c r="M2790" t="s">
        <v>4402</v>
      </c>
      <c r="O2790" t="s">
        <v>896</v>
      </c>
      <c r="P2790" t="s">
        <v>33</v>
      </c>
      <c r="Q2790" s="22">
        <v>3149.82</v>
      </c>
      <c r="R2790" t="s">
        <v>35</v>
      </c>
      <c r="S2790" t="s">
        <v>35</v>
      </c>
      <c r="T2790" t="s">
        <v>35</v>
      </c>
      <c r="U2790" t="s">
        <v>35</v>
      </c>
      <c r="V2790" t="s">
        <v>645</v>
      </c>
      <c r="W2790" t="s">
        <v>113</v>
      </c>
    </row>
    <row r="2791" spans="1:23" hidden="1" x14ac:dyDescent="0.25">
      <c r="A2791" s="7" t="str">
        <f>IFERROR(VLOOKUP(H2791,'Contas Orç'!A:B,2,0),"N/A")</f>
        <v>BENEFICIOS</v>
      </c>
      <c r="B2791" s="7" t="str">
        <f t="shared" si="86"/>
        <v>330103 - BENEFICIOS</v>
      </c>
      <c r="C2791" s="25">
        <f t="shared" si="87"/>
        <v>44896</v>
      </c>
      <c r="D2791" s="27">
        <f>IF(K2791="CREDITO",Q2791,Q2791*-1)</f>
        <v>16971.53</v>
      </c>
      <c r="E2791" t="s">
        <v>894</v>
      </c>
      <c r="F2791" t="s">
        <v>3285</v>
      </c>
      <c r="G2791" s="8">
        <v>44896</v>
      </c>
      <c r="H2791" t="s">
        <v>74</v>
      </c>
      <c r="I2791" t="s">
        <v>68</v>
      </c>
      <c r="J2791" t="s">
        <v>69</v>
      </c>
      <c r="K2791" t="s">
        <v>29</v>
      </c>
      <c r="L2791" t="s">
        <v>895</v>
      </c>
      <c r="M2791" t="s">
        <v>4402</v>
      </c>
      <c r="O2791" t="s">
        <v>896</v>
      </c>
      <c r="P2791" t="s">
        <v>33</v>
      </c>
      <c r="Q2791" s="22">
        <v>16971.53</v>
      </c>
      <c r="R2791" t="s">
        <v>35</v>
      </c>
      <c r="S2791" t="s">
        <v>35</v>
      </c>
      <c r="T2791" t="s">
        <v>35</v>
      </c>
      <c r="U2791" t="s">
        <v>35</v>
      </c>
      <c r="V2791" t="s">
        <v>645</v>
      </c>
      <c r="W2791" t="s">
        <v>113</v>
      </c>
    </row>
    <row r="2792" spans="1:23" hidden="1" x14ac:dyDescent="0.25">
      <c r="A2792" s="7" t="str">
        <f>IFERROR(VLOOKUP(H2792,'Contas Orç'!A:B,2,0),"N/A")</f>
        <v>BENEFICIOS</v>
      </c>
      <c r="B2792" s="7" t="str">
        <f t="shared" si="86"/>
        <v>330103 - BENEFICIOS</v>
      </c>
      <c r="C2792" s="25">
        <f t="shared" si="87"/>
        <v>44896</v>
      </c>
      <c r="D2792" s="27">
        <f>IF(K2792="CREDITO",Q2792,Q2792*-1)</f>
        <v>9325.64</v>
      </c>
      <c r="E2792" t="s">
        <v>894</v>
      </c>
      <c r="F2792" t="s">
        <v>3286</v>
      </c>
      <c r="G2792" s="8">
        <v>44896</v>
      </c>
      <c r="H2792" t="s">
        <v>74</v>
      </c>
      <c r="I2792" t="s">
        <v>2062</v>
      </c>
      <c r="J2792" t="s">
        <v>54</v>
      </c>
      <c r="K2792" t="s">
        <v>29</v>
      </c>
      <c r="L2792" t="s">
        <v>895</v>
      </c>
      <c r="M2792" t="s">
        <v>4402</v>
      </c>
      <c r="O2792" t="s">
        <v>896</v>
      </c>
      <c r="P2792" t="s">
        <v>33</v>
      </c>
      <c r="Q2792" s="22">
        <v>9325.64</v>
      </c>
      <c r="R2792" t="s">
        <v>35</v>
      </c>
      <c r="S2792" t="s">
        <v>35</v>
      </c>
      <c r="T2792" t="s">
        <v>35</v>
      </c>
      <c r="U2792" t="s">
        <v>35</v>
      </c>
      <c r="V2792" t="s">
        <v>645</v>
      </c>
      <c r="W2792" t="s">
        <v>113</v>
      </c>
    </row>
    <row r="2793" spans="1:23" hidden="1" x14ac:dyDescent="0.25">
      <c r="A2793" s="7" t="str">
        <f>IFERROR(VLOOKUP(H2793,'Contas Orç'!A:B,2,0),"N/A")</f>
        <v>BENEFICIOS</v>
      </c>
      <c r="B2793" s="7" t="str">
        <f t="shared" si="86"/>
        <v>330103 - BENEFICIOS</v>
      </c>
      <c r="C2793" s="25">
        <f t="shared" si="87"/>
        <v>44896</v>
      </c>
      <c r="D2793" s="27">
        <f>IF(K2793="CREDITO",Q2793,Q2793*-1)</f>
        <v>28292.41</v>
      </c>
      <c r="E2793" t="s">
        <v>894</v>
      </c>
      <c r="F2793" t="s">
        <v>3287</v>
      </c>
      <c r="G2793" s="8">
        <v>44896</v>
      </c>
      <c r="H2793" t="s">
        <v>74</v>
      </c>
      <c r="I2793" t="s">
        <v>40</v>
      </c>
      <c r="J2793" t="s">
        <v>54</v>
      </c>
      <c r="K2793" t="s">
        <v>29</v>
      </c>
      <c r="L2793" t="s">
        <v>895</v>
      </c>
      <c r="M2793" t="s">
        <v>4402</v>
      </c>
      <c r="O2793" t="s">
        <v>896</v>
      </c>
      <c r="P2793" t="s">
        <v>33</v>
      </c>
      <c r="Q2793" s="22">
        <v>28292.41</v>
      </c>
      <c r="R2793" t="s">
        <v>35</v>
      </c>
      <c r="S2793" t="s">
        <v>35</v>
      </c>
      <c r="T2793" t="s">
        <v>35</v>
      </c>
      <c r="U2793" t="s">
        <v>35</v>
      </c>
      <c r="V2793" t="s">
        <v>645</v>
      </c>
      <c r="W2793" t="s">
        <v>113</v>
      </c>
    </row>
    <row r="2794" spans="1:23" hidden="1" x14ac:dyDescent="0.25">
      <c r="A2794" s="7" t="str">
        <f>IFERROR(VLOOKUP(H2794,'Contas Orç'!A:B,2,0),"N/A")</f>
        <v>BENEFICIOS</v>
      </c>
      <c r="B2794" s="7" t="str">
        <f t="shared" si="86"/>
        <v>330103 - BENEFICIOS</v>
      </c>
      <c r="C2794" s="25">
        <f t="shared" si="87"/>
        <v>44896</v>
      </c>
      <c r="D2794" s="27">
        <f>IF(K2794="CREDITO",Q2794,Q2794*-1)</f>
        <v>553.75</v>
      </c>
      <c r="E2794" t="s">
        <v>894</v>
      </c>
      <c r="F2794" t="s">
        <v>3288</v>
      </c>
      <c r="G2794" s="8">
        <v>44896</v>
      </c>
      <c r="H2794" t="s">
        <v>74</v>
      </c>
      <c r="I2794" t="s">
        <v>1002</v>
      </c>
      <c r="J2794" t="s">
        <v>54</v>
      </c>
      <c r="K2794" t="s">
        <v>29</v>
      </c>
      <c r="L2794" t="s">
        <v>895</v>
      </c>
      <c r="M2794" t="s">
        <v>4402</v>
      </c>
      <c r="O2794" t="s">
        <v>896</v>
      </c>
      <c r="P2794" t="s">
        <v>33</v>
      </c>
      <c r="Q2794">
        <v>553.75</v>
      </c>
      <c r="R2794" t="s">
        <v>35</v>
      </c>
      <c r="S2794" t="s">
        <v>35</v>
      </c>
      <c r="T2794" t="s">
        <v>35</v>
      </c>
      <c r="U2794" t="s">
        <v>35</v>
      </c>
      <c r="V2794" t="s">
        <v>645</v>
      </c>
      <c r="W2794" t="s">
        <v>113</v>
      </c>
    </row>
    <row r="2795" spans="1:23" hidden="1" x14ac:dyDescent="0.25">
      <c r="A2795" s="7" t="str">
        <f>IFERROR(VLOOKUP(H2795,'Contas Orç'!A:B,2,0),"N/A")</f>
        <v>BENEFICIOS</v>
      </c>
      <c r="B2795" s="7" t="str">
        <f t="shared" si="86"/>
        <v>330103 - BENEFICIOS</v>
      </c>
      <c r="C2795" s="25">
        <f t="shared" si="87"/>
        <v>44896</v>
      </c>
      <c r="D2795" s="27">
        <f>IF(K2795="CREDITO",Q2795,Q2795*-1)</f>
        <v>648.04999999999995</v>
      </c>
      <c r="E2795" t="s">
        <v>894</v>
      </c>
      <c r="F2795" t="s">
        <v>3289</v>
      </c>
      <c r="G2795" s="8">
        <v>44896</v>
      </c>
      <c r="H2795" t="s">
        <v>74</v>
      </c>
      <c r="I2795" t="s">
        <v>121</v>
      </c>
      <c r="J2795" t="s">
        <v>54</v>
      </c>
      <c r="K2795" t="s">
        <v>29</v>
      </c>
      <c r="L2795" t="s">
        <v>895</v>
      </c>
      <c r="M2795" t="s">
        <v>4402</v>
      </c>
      <c r="O2795" t="s">
        <v>896</v>
      </c>
      <c r="P2795" t="s">
        <v>33</v>
      </c>
      <c r="Q2795">
        <v>648.04999999999995</v>
      </c>
      <c r="R2795" t="s">
        <v>35</v>
      </c>
      <c r="S2795" t="s">
        <v>35</v>
      </c>
      <c r="T2795" t="s">
        <v>35</v>
      </c>
      <c r="U2795" t="s">
        <v>35</v>
      </c>
      <c r="V2795" t="s">
        <v>645</v>
      </c>
      <c r="W2795" t="s">
        <v>113</v>
      </c>
    </row>
    <row r="2796" spans="1:23" hidden="1" x14ac:dyDescent="0.25">
      <c r="A2796" s="7" t="str">
        <f>IFERROR(VLOOKUP(H2796,'Contas Orç'!A:B,2,0),"N/A")</f>
        <v>BENEFICIOS</v>
      </c>
      <c r="B2796" s="7" t="str">
        <f t="shared" si="86"/>
        <v>330103 - BENEFICIOS</v>
      </c>
      <c r="C2796" s="25">
        <f t="shared" si="87"/>
        <v>44896</v>
      </c>
      <c r="D2796" s="27">
        <f>IF(K2796="CREDITO",Q2796,Q2796*-1)</f>
        <v>3206.39</v>
      </c>
      <c r="E2796" t="s">
        <v>894</v>
      </c>
      <c r="F2796" t="s">
        <v>3290</v>
      </c>
      <c r="G2796" s="8">
        <v>44896</v>
      </c>
      <c r="H2796" t="s">
        <v>74</v>
      </c>
      <c r="I2796" t="s">
        <v>132</v>
      </c>
      <c r="J2796" t="s">
        <v>54</v>
      </c>
      <c r="K2796" t="s">
        <v>29</v>
      </c>
      <c r="L2796" t="s">
        <v>895</v>
      </c>
      <c r="M2796" t="s">
        <v>4402</v>
      </c>
      <c r="O2796" t="s">
        <v>896</v>
      </c>
      <c r="P2796" t="s">
        <v>33</v>
      </c>
      <c r="Q2796" s="22">
        <v>3206.39</v>
      </c>
      <c r="R2796" t="s">
        <v>35</v>
      </c>
      <c r="S2796" t="s">
        <v>35</v>
      </c>
      <c r="T2796" t="s">
        <v>35</v>
      </c>
      <c r="U2796" t="s">
        <v>35</v>
      </c>
      <c r="V2796" t="s">
        <v>645</v>
      </c>
      <c r="W2796" t="s">
        <v>113</v>
      </c>
    </row>
    <row r="2797" spans="1:23" hidden="1" x14ac:dyDescent="0.25">
      <c r="A2797" s="7" t="str">
        <f>IFERROR(VLOOKUP(H2797,'Contas Orç'!A:B,2,0),"N/A")</f>
        <v>BENEFICIOS</v>
      </c>
      <c r="B2797" s="7" t="str">
        <f t="shared" si="86"/>
        <v>330103 - BENEFICIOS</v>
      </c>
      <c r="C2797" s="25">
        <f t="shared" si="87"/>
        <v>44896</v>
      </c>
      <c r="D2797" s="27">
        <f>IF(K2797="CREDITO",Q2797,Q2797*-1)</f>
        <v>1018.59</v>
      </c>
      <c r="E2797" t="s">
        <v>894</v>
      </c>
      <c r="F2797" t="s">
        <v>3291</v>
      </c>
      <c r="G2797" s="8">
        <v>44896</v>
      </c>
      <c r="H2797" t="s">
        <v>74</v>
      </c>
      <c r="I2797" t="s">
        <v>114</v>
      </c>
      <c r="J2797" t="s">
        <v>54</v>
      </c>
      <c r="K2797" t="s">
        <v>29</v>
      </c>
      <c r="L2797" t="s">
        <v>895</v>
      </c>
      <c r="M2797" t="s">
        <v>4402</v>
      </c>
      <c r="O2797" t="s">
        <v>896</v>
      </c>
      <c r="P2797" t="s">
        <v>33</v>
      </c>
      <c r="Q2797" s="22">
        <v>1018.59</v>
      </c>
      <c r="R2797" t="s">
        <v>35</v>
      </c>
      <c r="S2797" t="s">
        <v>35</v>
      </c>
      <c r="T2797" t="s">
        <v>35</v>
      </c>
      <c r="U2797" t="s">
        <v>35</v>
      </c>
      <c r="V2797" t="s">
        <v>645</v>
      </c>
      <c r="W2797" t="s">
        <v>113</v>
      </c>
    </row>
    <row r="2798" spans="1:23" hidden="1" x14ac:dyDescent="0.25">
      <c r="A2798" s="7" t="str">
        <f>IFERROR(VLOOKUP(H2798,'Contas Orç'!A:B,2,0),"N/A")</f>
        <v>BENEFICIOS</v>
      </c>
      <c r="B2798" s="7" t="str">
        <f t="shared" si="86"/>
        <v>330103 - BENEFICIOS</v>
      </c>
      <c r="C2798" s="25">
        <f t="shared" si="87"/>
        <v>44896</v>
      </c>
      <c r="D2798" s="27">
        <f>IF(K2798="CREDITO",Q2798,Q2798*-1)</f>
        <v>5375.66</v>
      </c>
      <c r="E2798" t="s">
        <v>894</v>
      </c>
      <c r="F2798" t="s">
        <v>3292</v>
      </c>
      <c r="G2798" s="8">
        <v>44896</v>
      </c>
      <c r="H2798" t="s">
        <v>74</v>
      </c>
      <c r="I2798" t="s">
        <v>75</v>
      </c>
      <c r="J2798" t="s">
        <v>54</v>
      </c>
      <c r="K2798" t="s">
        <v>29</v>
      </c>
      <c r="L2798" t="s">
        <v>895</v>
      </c>
      <c r="M2798" t="s">
        <v>4402</v>
      </c>
      <c r="O2798" t="s">
        <v>896</v>
      </c>
      <c r="P2798" t="s">
        <v>33</v>
      </c>
      <c r="Q2798" s="22">
        <v>5375.66</v>
      </c>
      <c r="R2798" t="s">
        <v>35</v>
      </c>
      <c r="S2798" t="s">
        <v>35</v>
      </c>
      <c r="T2798" t="s">
        <v>35</v>
      </c>
      <c r="U2798" t="s">
        <v>35</v>
      </c>
      <c r="V2798" t="s">
        <v>645</v>
      </c>
      <c r="W2798" t="s">
        <v>113</v>
      </c>
    </row>
    <row r="2799" spans="1:23" hidden="1" x14ac:dyDescent="0.25">
      <c r="A2799" s="7" t="str">
        <f>IFERROR(VLOOKUP(H2799,'Contas Orç'!A:B,2,0),"N/A")</f>
        <v>BENEFICIOS</v>
      </c>
      <c r="B2799" s="7" t="str">
        <f t="shared" si="86"/>
        <v>330103 - BENEFICIOS</v>
      </c>
      <c r="C2799" s="25">
        <f t="shared" si="87"/>
        <v>44896</v>
      </c>
      <c r="D2799" s="27">
        <f>IF(K2799="CREDITO",Q2799,Q2799*-1)</f>
        <v>3511.62</v>
      </c>
      <c r="E2799" t="s">
        <v>894</v>
      </c>
      <c r="F2799" t="s">
        <v>3293</v>
      </c>
      <c r="G2799" s="8">
        <v>44896</v>
      </c>
      <c r="H2799" t="s">
        <v>74</v>
      </c>
      <c r="I2799" t="s">
        <v>78</v>
      </c>
      <c r="J2799" t="s">
        <v>54</v>
      </c>
      <c r="K2799" t="s">
        <v>29</v>
      </c>
      <c r="L2799" t="s">
        <v>895</v>
      </c>
      <c r="M2799" t="s">
        <v>4402</v>
      </c>
      <c r="O2799" t="s">
        <v>896</v>
      </c>
      <c r="P2799" t="s">
        <v>33</v>
      </c>
      <c r="Q2799" s="22">
        <v>3511.62</v>
      </c>
      <c r="R2799" t="s">
        <v>35</v>
      </c>
      <c r="S2799" t="s">
        <v>35</v>
      </c>
      <c r="T2799" t="s">
        <v>35</v>
      </c>
      <c r="U2799" t="s">
        <v>35</v>
      </c>
      <c r="V2799" t="s">
        <v>645</v>
      </c>
      <c r="W2799" t="s">
        <v>113</v>
      </c>
    </row>
    <row r="2800" spans="1:23" hidden="1" x14ac:dyDescent="0.25">
      <c r="A2800" s="7" t="str">
        <f>IFERROR(VLOOKUP(H2800,'Contas Orç'!A:B,2,0),"N/A")</f>
        <v>BENEFICIOS</v>
      </c>
      <c r="B2800" s="7" t="str">
        <f t="shared" si="86"/>
        <v>330103 - BENEFICIOS</v>
      </c>
      <c r="C2800" s="25">
        <f t="shared" si="87"/>
        <v>44896</v>
      </c>
      <c r="D2800" s="27">
        <f>IF(K2800="CREDITO",Q2800,Q2800*-1)</f>
        <v>4676.6099999999997</v>
      </c>
      <c r="E2800" t="s">
        <v>894</v>
      </c>
      <c r="F2800" t="s">
        <v>3294</v>
      </c>
      <c r="G2800" s="8">
        <v>44896</v>
      </c>
      <c r="H2800" t="s">
        <v>74</v>
      </c>
      <c r="I2800" t="s">
        <v>81</v>
      </c>
      <c r="J2800" t="s">
        <v>54</v>
      </c>
      <c r="K2800" t="s">
        <v>29</v>
      </c>
      <c r="L2800" t="s">
        <v>895</v>
      </c>
      <c r="M2800" t="s">
        <v>4402</v>
      </c>
      <c r="O2800" t="s">
        <v>896</v>
      </c>
      <c r="P2800" t="s">
        <v>33</v>
      </c>
      <c r="Q2800" s="22">
        <v>4676.6099999999997</v>
      </c>
      <c r="R2800" t="s">
        <v>35</v>
      </c>
      <c r="S2800" t="s">
        <v>35</v>
      </c>
      <c r="T2800" t="s">
        <v>35</v>
      </c>
      <c r="U2800" t="s">
        <v>35</v>
      </c>
      <c r="V2800" t="s">
        <v>645</v>
      </c>
      <c r="W2800" t="s">
        <v>113</v>
      </c>
    </row>
    <row r="2801" spans="1:23" hidden="1" x14ac:dyDescent="0.25">
      <c r="A2801" s="7" t="str">
        <f>IFERROR(VLOOKUP(H2801,'Contas Orç'!A:B,2,0),"N/A")</f>
        <v>BENEFICIOS</v>
      </c>
      <c r="B2801" s="7" t="str">
        <f t="shared" si="86"/>
        <v>330103 - BENEFICIOS</v>
      </c>
      <c r="C2801" s="25">
        <f t="shared" si="87"/>
        <v>44896</v>
      </c>
      <c r="D2801" s="27">
        <f>IF(K2801="CREDITO",Q2801,Q2801*-1)</f>
        <v>2020.28</v>
      </c>
      <c r="E2801" t="s">
        <v>894</v>
      </c>
      <c r="F2801" t="s">
        <v>3295</v>
      </c>
      <c r="G2801" s="8">
        <v>44896</v>
      </c>
      <c r="H2801" t="s">
        <v>74</v>
      </c>
      <c r="I2801" t="s">
        <v>136</v>
      </c>
      <c r="J2801" t="s">
        <v>54</v>
      </c>
      <c r="K2801" t="s">
        <v>29</v>
      </c>
      <c r="L2801" t="s">
        <v>895</v>
      </c>
      <c r="M2801" t="s">
        <v>4402</v>
      </c>
      <c r="O2801" t="s">
        <v>896</v>
      </c>
      <c r="P2801" t="s">
        <v>33</v>
      </c>
      <c r="Q2801" s="22">
        <v>2020.28</v>
      </c>
      <c r="R2801" t="s">
        <v>35</v>
      </c>
      <c r="S2801" t="s">
        <v>35</v>
      </c>
      <c r="T2801" t="s">
        <v>35</v>
      </c>
      <c r="U2801" t="s">
        <v>35</v>
      </c>
      <c r="V2801" t="s">
        <v>645</v>
      </c>
      <c r="W2801" t="s">
        <v>113</v>
      </c>
    </row>
    <row r="2802" spans="1:23" hidden="1" x14ac:dyDescent="0.25">
      <c r="A2802" s="7" t="str">
        <f>IFERROR(VLOOKUP(H2802,'Contas Orç'!A:B,2,0),"N/A")</f>
        <v>BENEFICIOS</v>
      </c>
      <c r="B2802" s="7" t="str">
        <f t="shared" si="86"/>
        <v>330103 - BENEFICIOS</v>
      </c>
      <c r="C2802" s="25">
        <f t="shared" si="87"/>
        <v>44896</v>
      </c>
      <c r="D2802" s="27">
        <f>IF(K2802="CREDITO",Q2802,Q2802*-1)</f>
        <v>534.72</v>
      </c>
      <c r="E2802" t="s">
        <v>894</v>
      </c>
      <c r="F2802" t="s">
        <v>3296</v>
      </c>
      <c r="G2802" s="8">
        <v>44896</v>
      </c>
      <c r="H2802" t="s">
        <v>74</v>
      </c>
      <c r="I2802" t="s">
        <v>53</v>
      </c>
      <c r="J2802" t="s">
        <v>54</v>
      </c>
      <c r="K2802" t="s">
        <v>29</v>
      </c>
      <c r="L2802" t="s">
        <v>895</v>
      </c>
      <c r="M2802" t="s">
        <v>4402</v>
      </c>
      <c r="O2802" t="s">
        <v>896</v>
      </c>
      <c r="P2802" t="s">
        <v>33</v>
      </c>
      <c r="Q2802">
        <v>534.72</v>
      </c>
      <c r="R2802" t="s">
        <v>35</v>
      </c>
      <c r="S2802" t="s">
        <v>35</v>
      </c>
      <c r="T2802" t="s">
        <v>35</v>
      </c>
      <c r="U2802" t="s">
        <v>35</v>
      </c>
      <c r="V2802" t="s">
        <v>645</v>
      </c>
      <c r="W2802" t="s">
        <v>113</v>
      </c>
    </row>
    <row r="2803" spans="1:23" hidden="1" x14ac:dyDescent="0.25">
      <c r="A2803" s="7" t="str">
        <f>IFERROR(VLOOKUP(H2803,'Contas Orç'!A:B,2,0),"N/A")</f>
        <v>OUTROS GASTOS COM PESSOAL</v>
      </c>
      <c r="B2803" s="7" t="str">
        <f t="shared" si="86"/>
        <v>330104 - OUTROS GASTOS COM PESSOAL</v>
      </c>
      <c r="C2803" s="25">
        <f t="shared" si="87"/>
        <v>44562</v>
      </c>
      <c r="D2803" s="27">
        <f>IF(K2803="CREDITO",Q2803,Q2803*-1)</f>
        <v>48.99</v>
      </c>
      <c r="E2803" t="s">
        <v>894</v>
      </c>
      <c r="F2803" t="s">
        <v>3297</v>
      </c>
      <c r="G2803" s="8">
        <v>44562</v>
      </c>
      <c r="H2803" t="s">
        <v>380</v>
      </c>
      <c r="I2803" t="s">
        <v>99</v>
      </c>
      <c r="J2803" t="s">
        <v>28</v>
      </c>
      <c r="K2803" t="s">
        <v>29</v>
      </c>
      <c r="L2803" t="s">
        <v>895</v>
      </c>
      <c r="M2803" t="s">
        <v>4402</v>
      </c>
      <c r="O2803" t="s">
        <v>896</v>
      </c>
      <c r="P2803" t="s">
        <v>33</v>
      </c>
      <c r="Q2803">
        <v>48.99</v>
      </c>
      <c r="R2803" t="s">
        <v>35</v>
      </c>
      <c r="S2803" t="s">
        <v>35</v>
      </c>
      <c r="T2803" t="s">
        <v>35</v>
      </c>
      <c r="U2803" t="s">
        <v>35</v>
      </c>
      <c r="V2803" t="s">
        <v>645</v>
      </c>
      <c r="W2803" t="s">
        <v>113</v>
      </c>
    </row>
    <row r="2804" spans="1:23" hidden="1" x14ac:dyDescent="0.25">
      <c r="A2804" s="7" t="str">
        <f>IFERROR(VLOOKUP(H2804,'Contas Orç'!A:B,2,0),"N/A")</f>
        <v>OUTROS GASTOS COM PESSOAL</v>
      </c>
      <c r="B2804" s="7" t="str">
        <f t="shared" si="86"/>
        <v>330104 - OUTROS GASTOS COM PESSOAL</v>
      </c>
      <c r="C2804" s="25">
        <f t="shared" si="87"/>
        <v>44562</v>
      </c>
      <c r="D2804" s="27">
        <f>IF(K2804="CREDITO",Q2804,Q2804*-1)</f>
        <v>1418</v>
      </c>
      <c r="E2804" t="s">
        <v>894</v>
      </c>
      <c r="F2804" t="s">
        <v>3298</v>
      </c>
      <c r="G2804" s="8">
        <v>44562</v>
      </c>
      <c r="H2804" t="s">
        <v>380</v>
      </c>
      <c r="I2804" t="s">
        <v>68</v>
      </c>
      <c r="J2804" t="s">
        <v>69</v>
      </c>
      <c r="K2804" t="s">
        <v>29</v>
      </c>
      <c r="L2804" t="s">
        <v>895</v>
      </c>
      <c r="M2804" t="s">
        <v>4402</v>
      </c>
      <c r="O2804" t="s">
        <v>896</v>
      </c>
      <c r="P2804" t="s">
        <v>33</v>
      </c>
      <c r="Q2804" s="22">
        <v>1418</v>
      </c>
      <c r="R2804" t="s">
        <v>35</v>
      </c>
      <c r="S2804" t="s">
        <v>35</v>
      </c>
      <c r="T2804" t="s">
        <v>35</v>
      </c>
      <c r="U2804" t="s">
        <v>35</v>
      </c>
      <c r="V2804" t="s">
        <v>645</v>
      </c>
      <c r="W2804" t="s">
        <v>113</v>
      </c>
    </row>
    <row r="2805" spans="1:23" hidden="1" x14ac:dyDescent="0.25">
      <c r="A2805" s="7" t="str">
        <f>IFERROR(VLOOKUP(H2805,'Contas Orç'!A:B,2,0),"N/A")</f>
        <v>OUTROS GASTOS COM PESSOAL</v>
      </c>
      <c r="B2805" s="7" t="str">
        <f t="shared" si="86"/>
        <v>330104 - OUTROS GASTOS COM PESSOAL</v>
      </c>
      <c r="C2805" s="25">
        <f t="shared" si="87"/>
        <v>44562</v>
      </c>
      <c r="D2805" s="27">
        <f>IF(K2805="CREDITO",Q2805,Q2805*-1)</f>
        <v>4.66</v>
      </c>
      <c r="E2805" t="s">
        <v>894</v>
      </c>
      <c r="F2805" t="s">
        <v>3299</v>
      </c>
      <c r="G2805" s="8">
        <v>44562</v>
      </c>
      <c r="H2805" t="s">
        <v>380</v>
      </c>
      <c r="I2805" t="s">
        <v>40</v>
      </c>
      <c r="J2805" t="s">
        <v>54</v>
      </c>
      <c r="K2805" t="s">
        <v>29</v>
      </c>
      <c r="L2805" t="s">
        <v>895</v>
      </c>
      <c r="M2805" t="s">
        <v>4402</v>
      </c>
      <c r="O2805" t="s">
        <v>896</v>
      </c>
      <c r="P2805" t="s">
        <v>33</v>
      </c>
      <c r="Q2805">
        <v>4.66</v>
      </c>
      <c r="R2805" t="s">
        <v>35</v>
      </c>
      <c r="S2805" t="s">
        <v>35</v>
      </c>
      <c r="T2805" t="s">
        <v>35</v>
      </c>
      <c r="U2805" t="s">
        <v>35</v>
      </c>
      <c r="V2805" t="s">
        <v>645</v>
      </c>
      <c r="W2805" t="s">
        <v>113</v>
      </c>
    </row>
    <row r="2806" spans="1:23" hidden="1" x14ac:dyDescent="0.25">
      <c r="A2806" s="7" t="str">
        <f>IFERROR(VLOOKUP(H2806,'Contas Orç'!A:B,2,0),"N/A")</f>
        <v>OUTROS GASTOS COM PESSOAL</v>
      </c>
      <c r="B2806" s="7" t="str">
        <f t="shared" si="86"/>
        <v>330104 - OUTROS GASTOS COM PESSOAL</v>
      </c>
      <c r="C2806" s="25">
        <f t="shared" si="87"/>
        <v>44562</v>
      </c>
      <c r="D2806" s="27">
        <f>IF(K2806="CREDITO",Q2806,Q2806*-1)</f>
        <v>94.79</v>
      </c>
      <c r="E2806" t="s">
        <v>894</v>
      </c>
      <c r="F2806" t="s">
        <v>3300</v>
      </c>
      <c r="G2806" s="8">
        <v>44562</v>
      </c>
      <c r="H2806" t="s">
        <v>380</v>
      </c>
      <c r="I2806" t="s">
        <v>1002</v>
      </c>
      <c r="J2806" t="s">
        <v>54</v>
      </c>
      <c r="K2806" t="s">
        <v>29</v>
      </c>
      <c r="L2806" t="s">
        <v>895</v>
      </c>
      <c r="M2806" t="s">
        <v>4402</v>
      </c>
      <c r="O2806" t="s">
        <v>896</v>
      </c>
      <c r="P2806" t="s">
        <v>33</v>
      </c>
      <c r="Q2806">
        <v>94.79</v>
      </c>
      <c r="R2806" t="s">
        <v>35</v>
      </c>
      <c r="S2806" t="s">
        <v>35</v>
      </c>
      <c r="T2806" t="s">
        <v>35</v>
      </c>
      <c r="U2806" t="s">
        <v>35</v>
      </c>
      <c r="V2806" t="s">
        <v>645</v>
      </c>
      <c r="W2806" t="s">
        <v>113</v>
      </c>
    </row>
    <row r="2807" spans="1:23" hidden="1" x14ac:dyDescent="0.25">
      <c r="A2807" s="7" t="str">
        <f>IFERROR(VLOOKUP(H2807,'Contas Orç'!A:B,2,0),"N/A")</f>
        <v>OUTROS GASTOS COM PESSOAL</v>
      </c>
      <c r="B2807" s="7" t="str">
        <f t="shared" si="86"/>
        <v>330104 - OUTROS GASTOS COM PESSOAL</v>
      </c>
      <c r="C2807" s="25">
        <f t="shared" si="87"/>
        <v>44562</v>
      </c>
      <c r="D2807" s="27">
        <f>IF(K2807="CREDITO",Q2807,Q2807*-1)</f>
        <v>514.33000000000004</v>
      </c>
      <c r="E2807" t="s">
        <v>894</v>
      </c>
      <c r="F2807" t="s">
        <v>3301</v>
      </c>
      <c r="G2807" s="8">
        <v>44562</v>
      </c>
      <c r="H2807" t="s">
        <v>380</v>
      </c>
      <c r="I2807" t="s">
        <v>132</v>
      </c>
      <c r="J2807" t="s">
        <v>54</v>
      </c>
      <c r="K2807" t="s">
        <v>29</v>
      </c>
      <c r="L2807" t="s">
        <v>895</v>
      </c>
      <c r="M2807" t="s">
        <v>4402</v>
      </c>
      <c r="O2807" t="s">
        <v>896</v>
      </c>
      <c r="P2807" t="s">
        <v>33</v>
      </c>
      <c r="Q2807">
        <v>514.33000000000004</v>
      </c>
      <c r="R2807" t="s">
        <v>35</v>
      </c>
      <c r="S2807" t="s">
        <v>35</v>
      </c>
      <c r="T2807" t="s">
        <v>35</v>
      </c>
      <c r="U2807" t="s">
        <v>35</v>
      </c>
      <c r="V2807" t="s">
        <v>645</v>
      </c>
      <c r="W2807" t="s">
        <v>113</v>
      </c>
    </row>
    <row r="2808" spans="1:23" hidden="1" x14ac:dyDescent="0.25">
      <c r="A2808" s="7" t="str">
        <f>IFERROR(VLOOKUP(H2808,'Contas Orç'!A:B,2,0),"N/A")</f>
        <v>OUTROS GASTOS COM PESSOAL</v>
      </c>
      <c r="B2808" s="7" t="str">
        <f t="shared" si="86"/>
        <v>330104 - OUTROS GASTOS COM PESSOAL</v>
      </c>
      <c r="C2808" s="25">
        <f t="shared" si="87"/>
        <v>44562</v>
      </c>
      <c r="D2808" s="27">
        <f>IF(K2808="CREDITO",Q2808,Q2808*-1)</f>
        <v>265</v>
      </c>
      <c r="E2808" t="s">
        <v>894</v>
      </c>
      <c r="F2808" t="s">
        <v>3302</v>
      </c>
      <c r="G2808" s="8">
        <v>44562</v>
      </c>
      <c r="H2808" t="s">
        <v>380</v>
      </c>
      <c r="I2808" t="s">
        <v>75</v>
      </c>
      <c r="J2808" t="s">
        <v>54</v>
      </c>
      <c r="K2808" t="s">
        <v>29</v>
      </c>
      <c r="L2808" t="s">
        <v>895</v>
      </c>
      <c r="M2808" t="s">
        <v>4402</v>
      </c>
      <c r="O2808" t="s">
        <v>896</v>
      </c>
      <c r="P2808" t="s">
        <v>33</v>
      </c>
      <c r="Q2808">
        <v>265</v>
      </c>
      <c r="R2808" t="s">
        <v>35</v>
      </c>
      <c r="S2808" t="s">
        <v>35</v>
      </c>
      <c r="T2808" t="s">
        <v>35</v>
      </c>
      <c r="U2808" t="s">
        <v>35</v>
      </c>
      <c r="V2808" t="s">
        <v>645</v>
      </c>
      <c r="W2808" t="s">
        <v>113</v>
      </c>
    </row>
    <row r="2809" spans="1:23" hidden="1" x14ac:dyDescent="0.25">
      <c r="A2809" s="7" t="str">
        <f>IFERROR(VLOOKUP(H2809,'Contas Orç'!A:B,2,0),"N/A")</f>
        <v>OUTROS GASTOS COM PESSOAL</v>
      </c>
      <c r="B2809" s="7" t="str">
        <f t="shared" si="86"/>
        <v>330104 - OUTROS GASTOS COM PESSOAL</v>
      </c>
      <c r="C2809" s="25">
        <f t="shared" si="87"/>
        <v>44562</v>
      </c>
      <c r="D2809" s="27">
        <f>IF(K2809="CREDITO",Q2809,Q2809*-1)</f>
        <v>97.98</v>
      </c>
      <c r="E2809" t="s">
        <v>894</v>
      </c>
      <c r="F2809" t="s">
        <v>3303</v>
      </c>
      <c r="G2809" s="8">
        <v>44562</v>
      </c>
      <c r="H2809" t="s">
        <v>380</v>
      </c>
      <c r="I2809" t="s">
        <v>78</v>
      </c>
      <c r="J2809" t="s">
        <v>54</v>
      </c>
      <c r="K2809" t="s">
        <v>29</v>
      </c>
      <c r="L2809" t="s">
        <v>895</v>
      </c>
      <c r="M2809" t="s">
        <v>4402</v>
      </c>
      <c r="O2809" t="s">
        <v>896</v>
      </c>
      <c r="P2809" t="s">
        <v>33</v>
      </c>
      <c r="Q2809">
        <v>97.98</v>
      </c>
      <c r="R2809" t="s">
        <v>35</v>
      </c>
      <c r="S2809" t="s">
        <v>35</v>
      </c>
      <c r="T2809" t="s">
        <v>35</v>
      </c>
      <c r="U2809" t="s">
        <v>35</v>
      </c>
      <c r="V2809" t="s">
        <v>645</v>
      </c>
      <c r="W2809" t="s">
        <v>113</v>
      </c>
    </row>
    <row r="2810" spans="1:23" hidden="1" x14ac:dyDescent="0.25">
      <c r="A2810" s="7" t="str">
        <f>IFERROR(VLOOKUP(H2810,'Contas Orç'!A:B,2,0),"N/A")</f>
        <v>OUTROS GASTOS COM PESSOAL</v>
      </c>
      <c r="B2810" s="7" t="str">
        <f t="shared" si="86"/>
        <v>330104 - OUTROS GASTOS COM PESSOAL</v>
      </c>
      <c r="C2810" s="25">
        <f t="shared" si="87"/>
        <v>44562</v>
      </c>
      <c r="D2810" s="27">
        <f>IF(K2810="CREDITO",Q2810,Q2810*-1)</f>
        <v>145.19999999999999</v>
      </c>
      <c r="E2810" t="s">
        <v>894</v>
      </c>
      <c r="F2810" t="s">
        <v>3304</v>
      </c>
      <c r="G2810" s="8">
        <v>44562</v>
      </c>
      <c r="H2810" t="s">
        <v>380</v>
      </c>
      <c r="I2810" t="s">
        <v>81</v>
      </c>
      <c r="J2810" t="s">
        <v>54</v>
      </c>
      <c r="K2810" t="s">
        <v>29</v>
      </c>
      <c r="L2810" t="s">
        <v>895</v>
      </c>
      <c r="M2810" t="s">
        <v>4402</v>
      </c>
      <c r="O2810" t="s">
        <v>896</v>
      </c>
      <c r="P2810" t="s">
        <v>33</v>
      </c>
      <c r="Q2810">
        <v>145.19999999999999</v>
      </c>
      <c r="R2810" t="s">
        <v>35</v>
      </c>
      <c r="S2810" t="s">
        <v>35</v>
      </c>
      <c r="T2810" t="s">
        <v>35</v>
      </c>
      <c r="U2810" t="s">
        <v>35</v>
      </c>
      <c r="V2810" t="s">
        <v>645</v>
      </c>
      <c r="W2810" t="s">
        <v>113</v>
      </c>
    </row>
    <row r="2811" spans="1:23" hidden="1" x14ac:dyDescent="0.25">
      <c r="A2811" s="7" t="str">
        <f>IFERROR(VLOOKUP(H2811,'Contas Orç'!A:B,2,0),"N/A")</f>
        <v>OUTROS GASTOS COM PESSOAL</v>
      </c>
      <c r="B2811" s="7" t="str">
        <f t="shared" si="86"/>
        <v>330104 - OUTROS GASTOS COM PESSOAL</v>
      </c>
      <c r="C2811" s="25">
        <f t="shared" si="87"/>
        <v>44562</v>
      </c>
      <c r="D2811" s="27">
        <f>IF(K2811="CREDITO",Q2811,Q2811*-1)</f>
        <v>97.39</v>
      </c>
      <c r="E2811" t="s">
        <v>894</v>
      </c>
      <c r="F2811" t="s">
        <v>3305</v>
      </c>
      <c r="G2811" s="8">
        <v>44562</v>
      </c>
      <c r="H2811" t="s">
        <v>380</v>
      </c>
      <c r="I2811" t="s">
        <v>136</v>
      </c>
      <c r="J2811" t="s">
        <v>54</v>
      </c>
      <c r="K2811" t="s">
        <v>29</v>
      </c>
      <c r="L2811" t="s">
        <v>895</v>
      </c>
      <c r="M2811" t="s">
        <v>4402</v>
      </c>
      <c r="O2811" t="s">
        <v>896</v>
      </c>
      <c r="P2811" t="s">
        <v>33</v>
      </c>
      <c r="Q2811">
        <v>97.39</v>
      </c>
      <c r="R2811" t="s">
        <v>35</v>
      </c>
      <c r="S2811" t="s">
        <v>35</v>
      </c>
      <c r="T2811" t="s">
        <v>35</v>
      </c>
      <c r="U2811" t="s">
        <v>35</v>
      </c>
      <c r="V2811" t="s">
        <v>645</v>
      </c>
      <c r="W2811" t="s">
        <v>113</v>
      </c>
    </row>
    <row r="2812" spans="1:23" hidden="1" x14ac:dyDescent="0.25">
      <c r="A2812" s="7" t="str">
        <f>IFERROR(VLOOKUP(H2812,'Contas Orç'!A:B,2,0),"N/A")</f>
        <v>OUTROS GASTOS COM PESSOAL</v>
      </c>
      <c r="B2812" s="7" t="str">
        <f t="shared" si="86"/>
        <v>330104 - OUTROS GASTOS COM PESSOAL</v>
      </c>
      <c r="C2812" s="25">
        <f t="shared" si="87"/>
        <v>44593</v>
      </c>
      <c r="D2812" s="27">
        <f>IF(K2812="CREDITO",Q2812,Q2812*-1)</f>
        <v>297.2</v>
      </c>
      <c r="E2812" t="s">
        <v>894</v>
      </c>
      <c r="F2812" t="s">
        <v>3306</v>
      </c>
      <c r="G2812" s="8">
        <v>44593</v>
      </c>
      <c r="H2812" t="s">
        <v>380</v>
      </c>
      <c r="I2812" t="s">
        <v>99</v>
      </c>
      <c r="J2812" t="s">
        <v>28</v>
      </c>
      <c r="K2812" t="s">
        <v>29</v>
      </c>
      <c r="L2812" t="s">
        <v>895</v>
      </c>
      <c r="M2812" t="s">
        <v>4402</v>
      </c>
      <c r="O2812" t="s">
        <v>896</v>
      </c>
      <c r="P2812" t="s">
        <v>33</v>
      </c>
      <c r="Q2812">
        <v>297.2</v>
      </c>
      <c r="R2812" t="s">
        <v>35</v>
      </c>
      <c r="S2812" t="s">
        <v>35</v>
      </c>
      <c r="T2812" t="s">
        <v>35</v>
      </c>
      <c r="U2812" t="s">
        <v>35</v>
      </c>
      <c r="V2812" t="s">
        <v>645</v>
      </c>
      <c r="W2812" t="s">
        <v>113</v>
      </c>
    </row>
    <row r="2813" spans="1:23" hidden="1" x14ac:dyDescent="0.25">
      <c r="A2813" s="7" t="str">
        <f>IFERROR(VLOOKUP(H2813,'Contas Orç'!A:B,2,0),"N/A")</f>
        <v>OUTROS GASTOS COM PESSOAL</v>
      </c>
      <c r="B2813" s="7" t="str">
        <f t="shared" si="86"/>
        <v>330104 - OUTROS GASTOS COM PESSOAL</v>
      </c>
      <c r="C2813" s="25">
        <f t="shared" si="87"/>
        <v>44593</v>
      </c>
      <c r="D2813" s="27">
        <f>IF(K2813="CREDITO",Q2813,Q2813*-1)</f>
        <v>4.8899999999999997</v>
      </c>
      <c r="E2813" t="s">
        <v>894</v>
      </c>
      <c r="F2813" t="s">
        <v>3307</v>
      </c>
      <c r="G2813" s="8">
        <v>44593</v>
      </c>
      <c r="H2813" t="s">
        <v>380</v>
      </c>
      <c r="I2813" t="s">
        <v>81</v>
      </c>
      <c r="J2813" t="s">
        <v>60</v>
      </c>
      <c r="K2813" t="s">
        <v>29</v>
      </c>
      <c r="L2813" t="s">
        <v>895</v>
      </c>
      <c r="M2813" t="s">
        <v>4402</v>
      </c>
      <c r="O2813" t="s">
        <v>896</v>
      </c>
      <c r="P2813" t="s">
        <v>33</v>
      </c>
      <c r="Q2813">
        <v>4.8899999999999997</v>
      </c>
      <c r="R2813" t="s">
        <v>35</v>
      </c>
      <c r="S2813" t="s">
        <v>35</v>
      </c>
      <c r="T2813" t="s">
        <v>35</v>
      </c>
      <c r="U2813" t="s">
        <v>35</v>
      </c>
      <c r="V2813" t="s">
        <v>645</v>
      </c>
      <c r="W2813" t="s">
        <v>113</v>
      </c>
    </row>
    <row r="2814" spans="1:23" hidden="1" x14ac:dyDescent="0.25">
      <c r="A2814" s="7" t="str">
        <f>IFERROR(VLOOKUP(H2814,'Contas Orç'!A:B,2,0),"N/A")</f>
        <v>OUTROS GASTOS COM PESSOAL</v>
      </c>
      <c r="B2814" s="7" t="str">
        <f t="shared" si="86"/>
        <v>330104 - OUTROS GASTOS COM PESSOAL</v>
      </c>
      <c r="C2814" s="25">
        <f t="shared" si="87"/>
        <v>44593</v>
      </c>
      <c r="D2814" s="27">
        <f>IF(K2814="CREDITO",Q2814,Q2814*-1)</f>
        <v>3211.25</v>
      </c>
      <c r="E2814" t="s">
        <v>894</v>
      </c>
      <c r="F2814" t="s">
        <v>3308</v>
      </c>
      <c r="G2814" s="8">
        <v>44593</v>
      </c>
      <c r="H2814" t="s">
        <v>380</v>
      </c>
      <c r="I2814" t="s">
        <v>68</v>
      </c>
      <c r="J2814" t="s">
        <v>69</v>
      </c>
      <c r="K2814" t="s">
        <v>29</v>
      </c>
      <c r="L2814" t="s">
        <v>895</v>
      </c>
      <c r="M2814" t="s">
        <v>4402</v>
      </c>
      <c r="O2814" t="s">
        <v>896</v>
      </c>
      <c r="P2814" t="s">
        <v>33</v>
      </c>
      <c r="Q2814" s="22">
        <v>3211.25</v>
      </c>
      <c r="R2814" t="s">
        <v>35</v>
      </c>
      <c r="S2814" t="s">
        <v>35</v>
      </c>
      <c r="T2814" t="s">
        <v>35</v>
      </c>
      <c r="U2814" t="s">
        <v>35</v>
      </c>
      <c r="V2814" t="s">
        <v>645</v>
      </c>
      <c r="W2814" t="s">
        <v>113</v>
      </c>
    </row>
    <row r="2815" spans="1:23" hidden="1" x14ac:dyDescent="0.25">
      <c r="A2815" s="7" t="str">
        <f>IFERROR(VLOOKUP(H2815,'Contas Orç'!A:B,2,0),"N/A")</f>
        <v>OUTROS GASTOS COM PESSOAL</v>
      </c>
      <c r="B2815" s="7" t="str">
        <f t="shared" si="86"/>
        <v>330104 - OUTROS GASTOS COM PESSOAL</v>
      </c>
      <c r="C2815" s="25">
        <f t="shared" si="87"/>
        <v>44593</v>
      </c>
      <c r="D2815" s="27">
        <f>IF(K2815="CREDITO",Q2815,Q2815*-1)</f>
        <v>313.64</v>
      </c>
      <c r="E2815" t="s">
        <v>894</v>
      </c>
      <c r="F2815" t="s">
        <v>3309</v>
      </c>
      <c r="G2815" s="8">
        <v>44593</v>
      </c>
      <c r="H2815" t="s">
        <v>380</v>
      </c>
      <c r="I2815" t="s">
        <v>40</v>
      </c>
      <c r="J2815" t="s">
        <v>54</v>
      </c>
      <c r="K2815" t="s">
        <v>29</v>
      </c>
      <c r="L2815" t="s">
        <v>895</v>
      </c>
      <c r="M2815" t="s">
        <v>4402</v>
      </c>
      <c r="O2815" t="s">
        <v>896</v>
      </c>
      <c r="P2815" t="s">
        <v>33</v>
      </c>
      <c r="Q2815">
        <v>313.64</v>
      </c>
      <c r="R2815" t="s">
        <v>35</v>
      </c>
      <c r="S2815" t="s">
        <v>35</v>
      </c>
      <c r="T2815" t="s">
        <v>35</v>
      </c>
      <c r="U2815" t="s">
        <v>35</v>
      </c>
      <c r="V2815" t="s">
        <v>645</v>
      </c>
      <c r="W2815" t="s">
        <v>113</v>
      </c>
    </row>
    <row r="2816" spans="1:23" hidden="1" x14ac:dyDescent="0.25">
      <c r="A2816" s="7" t="str">
        <f>IFERROR(VLOOKUP(H2816,'Contas Orç'!A:B,2,0),"N/A")</f>
        <v>OUTROS GASTOS COM PESSOAL</v>
      </c>
      <c r="B2816" s="7" t="str">
        <f t="shared" si="86"/>
        <v>330104 - OUTROS GASTOS COM PESSOAL</v>
      </c>
      <c r="C2816" s="25">
        <f t="shared" si="87"/>
        <v>44593</v>
      </c>
      <c r="D2816" s="27">
        <f>IF(K2816="CREDITO",Q2816,Q2816*-1)</f>
        <v>122.33</v>
      </c>
      <c r="E2816" t="s">
        <v>894</v>
      </c>
      <c r="F2816" t="s">
        <v>3310</v>
      </c>
      <c r="G2816" s="8">
        <v>44593</v>
      </c>
      <c r="H2816" t="s">
        <v>380</v>
      </c>
      <c r="I2816" t="s">
        <v>132</v>
      </c>
      <c r="J2816" t="s">
        <v>54</v>
      </c>
      <c r="K2816" t="s">
        <v>29</v>
      </c>
      <c r="L2816" t="s">
        <v>895</v>
      </c>
      <c r="M2816" t="s">
        <v>4402</v>
      </c>
      <c r="O2816" t="s">
        <v>896</v>
      </c>
      <c r="P2816" t="s">
        <v>33</v>
      </c>
      <c r="Q2816">
        <v>122.33</v>
      </c>
      <c r="R2816" t="s">
        <v>35</v>
      </c>
      <c r="S2816" t="s">
        <v>35</v>
      </c>
      <c r="T2816" t="s">
        <v>35</v>
      </c>
      <c r="U2816" t="s">
        <v>35</v>
      </c>
      <c r="V2816" t="s">
        <v>645</v>
      </c>
      <c r="W2816" t="s">
        <v>113</v>
      </c>
    </row>
    <row r="2817" spans="1:23" hidden="1" x14ac:dyDescent="0.25">
      <c r="A2817" s="7" t="str">
        <f>IFERROR(VLOOKUP(H2817,'Contas Orç'!A:B,2,0),"N/A")</f>
        <v>OUTROS GASTOS COM PESSOAL</v>
      </c>
      <c r="B2817" s="7" t="str">
        <f t="shared" si="86"/>
        <v>330104 - OUTROS GASTOS COM PESSOAL</v>
      </c>
      <c r="C2817" s="25">
        <f t="shared" si="87"/>
        <v>44593</v>
      </c>
      <c r="D2817" s="27">
        <f>IF(K2817="CREDITO",Q2817,Q2817*-1)</f>
        <v>953.51</v>
      </c>
      <c r="E2817" t="s">
        <v>894</v>
      </c>
      <c r="F2817" t="s">
        <v>3311</v>
      </c>
      <c r="G2817" s="8">
        <v>44593</v>
      </c>
      <c r="H2817" t="s">
        <v>380</v>
      </c>
      <c r="I2817" t="s">
        <v>78</v>
      </c>
      <c r="J2817" t="s">
        <v>54</v>
      </c>
      <c r="K2817" t="s">
        <v>29</v>
      </c>
      <c r="L2817" t="s">
        <v>895</v>
      </c>
      <c r="M2817" t="s">
        <v>4402</v>
      </c>
      <c r="O2817" t="s">
        <v>896</v>
      </c>
      <c r="P2817" t="s">
        <v>33</v>
      </c>
      <c r="Q2817">
        <v>953.51</v>
      </c>
      <c r="R2817" t="s">
        <v>35</v>
      </c>
      <c r="S2817" t="s">
        <v>35</v>
      </c>
      <c r="T2817" t="s">
        <v>35</v>
      </c>
      <c r="U2817" t="s">
        <v>35</v>
      </c>
      <c r="V2817" t="s">
        <v>645</v>
      </c>
      <c r="W2817" t="s">
        <v>113</v>
      </c>
    </row>
    <row r="2818" spans="1:23" hidden="1" x14ac:dyDescent="0.25">
      <c r="A2818" s="7" t="str">
        <f>IFERROR(VLOOKUP(H2818,'Contas Orç'!A:B,2,0),"N/A")</f>
        <v>OUTROS GASTOS COM PESSOAL</v>
      </c>
      <c r="B2818" s="7" t="str">
        <f t="shared" si="86"/>
        <v>330104 - OUTROS GASTOS COM PESSOAL</v>
      </c>
      <c r="C2818" s="25">
        <f t="shared" si="87"/>
        <v>44593</v>
      </c>
      <c r="D2818" s="27">
        <f>IF(K2818="CREDITO",Q2818,Q2818*-1)</f>
        <v>161.22</v>
      </c>
      <c r="E2818" t="s">
        <v>894</v>
      </c>
      <c r="F2818" t="s">
        <v>3312</v>
      </c>
      <c r="G2818" s="8">
        <v>44593</v>
      </c>
      <c r="H2818" t="s">
        <v>380</v>
      </c>
      <c r="I2818" t="s">
        <v>81</v>
      </c>
      <c r="J2818" t="s">
        <v>54</v>
      </c>
      <c r="K2818" t="s">
        <v>29</v>
      </c>
      <c r="L2818" t="s">
        <v>895</v>
      </c>
      <c r="M2818" t="s">
        <v>4402</v>
      </c>
      <c r="O2818" t="s">
        <v>896</v>
      </c>
      <c r="P2818" t="s">
        <v>33</v>
      </c>
      <c r="Q2818">
        <v>161.22</v>
      </c>
      <c r="R2818" t="s">
        <v>35</v>
      </c>
      <c r="S2818" t="s">
        <v>35</v>
      </c>
      <c r="T2818" t="s">
        <v>35</v>
      </c>
      <c r="U2818" t="s">
        <v>35</v>
      </c>
      <c r="V2818" t="s">
        <v>645</v>
      </c>
      <c r="W2818" t="s">
        <v>113</v>
      </c>
    </row>
    <row r="2819" spans="1:23" hidden="1" x14ac:dyDescent="0.25">
      <c r="A2819" s="7" t="str">
        <f>IFERROR(VLOOKUP(H2819,'Contas Orç'!A:B,2,0),"N/A")</f>
        <v>OUTROS GASTOS COM PESSOAL</v>
      </c>
      <c r="B2819" s="7" t="str">
        <f t="shared" ref="B2819:B2882" si="88">_xlfn.CONCAT(H2819," - ",A2819)</f>
        <v>330104 - OUTROS GASTOS COM PESSOAL</v>
      </c>
      <c r="C2819" s="25">
        <f t="shared" ref="C2819:C2882" si="89">DATE(YEAR(G2819),MONTH(G2819),1)</f>
        <v>44621</v>
      </c>
      <c r="D2819" s="27">
        <f>IF(K2819="CREDITO",Q2819,Q2819*-1)</f>
        <v>1866.7</v>
      </c>
      <c r="E2819" t="s">
        <v>894</v>
      </c>
      <c r="F2819" t="s">
        <v>3313</v>
      </c>
      <c r="G2819" s="8">
        <v>44621</v>
      </c>
      <c r="H2819" t="s">
        <v>380</v>
      </c>
      <c r="I2819" t="s">
        <v>68</v>
      </c>
      <c r="J2819" t="s">
        <v>69</v>
      </c>
      <c r="K2819" t="s">
        <v>29</v>
      </c>
      <c r="L2819" t="s">
        <v>895</v>
      </c>
      <c r="M2819" t="s">
        <v>4402</v>
      </c>
      <c r="O2819" t="s">
        <v>896</v>
      </c>
      <c r="P2819" t="s">
        <v>33</v>
      </c>
      <c r="Q2819" s="22">
        <v>1866.7</v>
      </c>
      <c r="R2819" t="s">
        <v>35</v>
      </c>
      <c r="S2819" t="s">
        <v>35</v>
      </c>
      <c r="T2819" t="s">
        <v>35</v>
      </c>
      <c r="U2819" t="s">
        <v>35</v>
      </c>
      <c r="V2819" t="s">
        <v>645</v>
      </c>
      <c r="W2819" t="s">
        <v>113</v>
      </c>
    </row>
    <row r="2820" spans="1:23" hidden="1" x14ac:dyDescent="0.25">
      <c r="A2820" s="7" t="str">
        <f>IFERROR(VLOOKUP(H2820,'Contas Orç'!A:B,2,0),"N/A")</f>
        <v>OUTROS GASTOS COM PESSOAL</v>
      </c>
      <c r="B2820" s="7" t="str">
        <f t="shared" si="88"/>
        <v>330104 - OUTROS GASTOS COM PESSOAL</v>
      </c>
      <c r="C2820" s="25">
        <f t="shared" si="89"/>
        <v>44621</v>
      </c>
      <c r="D2820" s="27">
        <f>IF(K2820="CREDITO",Q2820,Q2820*-1)</f>
        <v>203.67</v>
      </c>
      <c r="E2820" t="s">
        <v>894</v>
      </c>
      <c r="F2820" t="s">
        <v>3314</v>
      </c>
      <c r="G2820" s="8">
        <v>44621</v>
      </c>
      <c r="H2820" t="s">
        <v>380</v>
      </c>
      <c r="I2820" t="s">
        <v>40</v>
      </c>
      <c r="J2820" t="s">
        <v>54</v>
      </c>
      <c r="K2820" t="s">
        <v>29</v>
      </c>
      <c r="L2820" t="s">
        <v>895</v>
      </c>
      <c r="M2820" t="s">
        <v>4402</v>
      </c>
      <c r="O2820" t="s">
        <v>896</v>
      </c>
      <c r="P2820" t="s">
        <v>33</v>
      </c>
      <c r="Q2820">
        <v>203.67</v>
      </c>
      <c r="R2820" t="s">
        <v>35</v>
      </c>
      <c r="S2820" t="s">
        <v>35</v>
      </c>
      <c r="T2820" t="s">
        <v>35</v>
      </c>
      <c r="U2820" t="s">
        <v>35</v>
      </c>
      <c r="V2820" t="s">
        <v>645</v>
      </c>
      <c r="W2820" t="s">
        <v>113</v>
      </c>
    </row>
    <row r="2821" spans="1:23" hidden="1" x14ac:dyDescent="0.25">
      <c r="A2821" s="7" t="str">
        <f>IFERROR(VLOOKUP(H2821,'Contas Orç'!A:B,2,0),"N/A")</f>
        <v>OUTROS GASTOS COM PESSOAL</v>
      </c>
      <c r="B2821" s="7" t="str">
        <f t="shared" si="88"/>
        <v>330104 - OUTROS GASTOS COM PESSOAL</v>
      </c>
      <c r="C2821" s="25">
        <f t="shared" si="89"/>
        <v>44621</v>
      </c>
      <c r="D2821" s="27">
        <f>IF(K2821="CREDITO",Q2821,Q2821*-1)</f>
        <v>280</v>
      </c>
      <c r="E2821" t="s">
        <v>894</v>
      </c>
      <c r="F2821" t="s">
        <v>3315</v>
      </c>
      <c r="G2821" s="8">
        <v>44621</v>
      </c>
      <c r="H2821" t="s">
        <v>380</v>
      </c>
      <c r="I2821" t="s">
        <v>132</v>
      </c>
      <c r="J2821" t="s">
        <v>54</v>
      </c>
      <c r="K2821" t="s">
        <v>29</v>
      </c>
      <c r="L2821" t="s">
        <v>895</v>
      </c>
      <c r="M2821" t="s">
        <v>4402</v>
      </c>
      <c r="O2821" t="s">
        <v>896</v>
      </c>
      <c r="P2821" t="s">
        <v>33</v>
      </c>
      <c r="Q2821">
        <v>280</v>
      </c>
      <c r="R2821" t="s">
        <v>35</v>
      </c>
      <c r="S2821" t="s">
        <v>35</v>
      </c>
      <c r="T2821" t="s">
        <v>35</v>
      </c>
      <c r="U2821" t="s">
        <v>35</v>
      </c>
      <c r="V2821" t="s">
        <v>645</v>
      </c>
      <c r="W2821" t="s">
        <v>113</v>
      </c>
    </row>
    <row r="2822" spans="1:23" hidden="1" x14ac:dyDescent="0.25">
      <c r="A2822" s="7" t="str">
        <f>IFERROR(VLOOKUP(H2822,'Contas Orç'!A:B,2,0),"N/A")</f>
        <v>OUTROS GASTOS COM PESSOAL</v>
      </c>
      <c r="B2822" s="7" t="str">
        <f t="shared" si="88"/>
        <v>330104 - OUTROS GASTOS COM PESSOAL</v>
      </c>
      <c r="C2822" s="25">
        <f t="shared" si="89"/>
        <v>44652</v>
      </c>
      <c r="D2822" s="27">
        <f>IF(K2822="CREDITO",Q2822,Q2822*-1)</f>
        <v>849.95</v>
      </c>
      <c r="E2822" t="s">
        <v>894</v>
      </c>
      <c r="F2822" t="s">
        <v>3316</v>
      </c>
      <c r="G2822" s="8">
        <v>44652</v>
      </c>
      <c r="H2822" t="s">
        <v>380</v>
      </c>
      <c r="I2822" t="s">
        <v>99</v>
      </c>
      <c r="J2822" t="s">
        <v>28</v>
      </c>
      <c r="K2822" t="s">
        <v>29</v>
      </c>
      <c r="L2822" t="s">
        <v>895</v>
      </c>
      <c r="M2822" t="s">
        <v>4402</v>
      </c>
      <c r="O2822" t="s">
        <v>896</v>
      </c>
      <c r="P2822" t="s">
        <v>33</v>
      </c>
      <c r="Q2822">
        <v>849.95</v>
      </c>
      <c r="R2822" t="s">
        <v>35</v>
      </c>
      <c r="S2822" t="s">
        <v>35</v>
      </c>
      <c r="T2822" t="s">
        <v>35</v>
      </c>
      <c r="U2822" t="s">
        <v>35</v>
      </c>
      <c r="V2822" t="s">
        <v>645</v>
      </c>
      <c r="W2822" t="s">
        <v>113</v>
      </c>
    </row>
    <row r="2823" spans="1:23" hidden="1" x14ac:dyDescent="0.25">
      <c r="A2823" s="7" t="str">
        <f>IFERROR(VLOOKUP(H2823,'Contas Orç'!A:B,2,0),"N/A")</f>
        <v>OUTROS GASTOS COM PESSOAL</v>
      </c>
      <c r="B2823" s="7" t="str">
        <f t="shared" si="88"/>
        <v>330104 - OUTROS GASTOS COM PESSOAL</v>
      </c>
      <c r="C2823" s="25">
        <f t="shared" si="89"/>
        <v>44652</v>
      </c>
      <c r="D2823" s="27">
        <f>IF(K2823="CREDITO",Q2823,Q2823*-1)</f>
        <v>34.090000000000003</v>
      </c>
      <c r="E2823" t="s">
        <v>894</v>
      </c>
      <c r="F2823" t="s">
        <v>3317</v>
      </c>
      <c r="G2823" s="8">
        <v>44652</v>
      </c>
      <c r="H2823" t="s">
        <v>380</v>
      </c>
      <c r="I2823" t="s">
        <v>40</v>
      </c>
      <c r="J2823" t="s">
        <v>54</v>
      </c>
      <c r="K2823" t="s">
        <v>29</v>
      </c>
      <c r="L2823" t="s">
        <v>895</v>
      </c>
      <c r="M2823" t="s">
        <v>4402</v>
      </c>
      <c r="O2823" t="s">
        <v>896</v>
      </c>
      <c r="P2823" t="s">
        <v>33</v>
      </c>
      <c r="Q2823">
        <v>34.090000000000003</v>
      </c>
      <c r="R2823" t="s">
        <v>35</v>
      </c>
      <c r="S2823" t="s">
        <v>35</v>
      </c>
      <c r="T2823" t="s">
        <v>35</v>
      </c>
      <c r="U2823" t="s">
        <v>35</v>
      </c>
      <c r="V2823" t="s">
        <v>645</v>
      </c>
      <c r="W2823" t="s">
        <v>113</v>
      </c>
    </row>
    <row r="2824" spans="1:23" hidden="1" x14ac:dyDescent="0.25">
      <c r="A2824" s="7" t="str">
        <f>IFERROR(VLOOKUP(H2824,'Contas Orç'!A:B,2,0),"N/A")</f>
        <v>OUTROS GASTOS COM PESSOAL</v>
      </c>
      <c r="B2824" s="7" t="str">
        <f t="shared" si="88"/>
        <v>330104 - OUTROS GASTOS COM PESSOAL</v>
      </c>
      <c r="C2824" s="25">
        <f t="shared" si="89"/>
        <v>44652</v>
      </c>
      <c r="D2824" s="27">
        <f>IF(K2824="CREDITO",Q2824,Q2824*-1)</f>
        <v>159.94999999999999</v>
      </c>
      <c r="E2824" t="s">
        <v>894</v>
      </c>
      <c r="F2824" t="s">
        <v>3318</v>
      </c>
      <c r="G2824" s="8">
        <v>44652</v>
      </c>
      <c r="H2824" t="s">
        <v>380</v>
      </c>
      <c r="I2824" t="s">
        <v>1002</v>
      </c>
      <c r="J2824" t="s">
        <v>54</v>
      </c>
      <c r="K2824" t="s">
        <v>29</v>
      </c>
      <c r="L2824" t="s">
        <v>895</v>
      </c>
      <c r="M2824" t="s">
        <v>4402</v>
      </c>
      <c r="O2824" t="s">
        <v>896</v>
      </c>
      <c r="P2824" t="s">
        <v>33</v>
      </c>
      <c r="Q2824">
        <v>159.94999999999999</v>
      </c>
      <c r="R2824" t="s">
        <v>35</v>
      </c>
      <c r="S2824" t="s">
        <v>35</v>
      </c>
      <c r="T2824" t="s">
        <v>35</v>
      </c>
      <c r="U2824" t="s">
        <v>35</v>
      </c>
      <c r="V2824" t="s">
        <v>645</v>
      </c>
      <c r="W2824" t="s">
        <v>113</v>
      </c>
    </row>
    <row r="2825" spans="1:23" hidden="1" x14ac:dyDescent="0.25">
      <c r="A2825" s="7" t="str">
        <f>IFERROR(VLOOKUP(H2825,'Contas Orç'!A:B,2,0),"N/A")</f>
        <v>OUTROS GASTOS COM PESSOAL</v>
      </c>
      <c r="B2825" s="7" t="str">
        <f t="shared" si="88"/>
        <v>330104 - OUTROS GASTOS COM PESSOAL</v>
      </c>
      <c r="C2825" s="25">
        <f t="shared" si="89"/>
        <v>44652</v>
      </c>
      <c r="D2825" s="27">
        <f>IF(K2825="CREDITO",Q2825,Q2825*-1)</f>
        <v>560.08000000000004</v>
      </c>
      <c r="E2825" t="s">
        <v>894</v>
      </c>
      <c r="F2825" t="s">
        <v>3319</v>
      </c>
      <c r="G2825" s="8">
        <v>44652</v>
      </c>
      <c r="H2825" t="s">
        <v>380</v>
      </c>
      <c r="I2825" t="s">
        <v>132</v>
      </c>
      <c r="J2825" t="s">
        <v>54</v>
      </c>
      <c r="K2825" t="s">
        <v>29</v>
      </c>
      <c r="L2825" t="s">
        <v>895</v>
      </c>
      <c r="M2825" t="s">
        <v>4402</v>
      </c>
      <c r="O2825" t="s">
        <v>896</v>
      </c>
      <c r="P2825" t="s">
        <v>33</v>
      </c>
      <c r="Q2825">
        <v>560.08000000000004</v>
      </c>
      <c r="R2825" t="s">
        <v>35</v>
      </c>
      <c r="S2825" t="s">
        <v>35</v>
      </c>
      <c r="T2825" t="s">
        <v>35</v>
      </c>
      <c r="U2825" t="s">
        <v>35</v>
      </c>
      <c r="V2825" t="s">
        <v>645</v>
      </c>
      <c r="W2825" t="s">
        <v>113</v>
      </c>
    </row>
    <row r="2826" spans="1:23" hidden="1" x14ac:dyDescent="0.25">
      <c r="A2826" s="7" t="str">
        <f>IFERROR(VLOOKUP(H2826,'Contas Orç'!A:B,2,0),"N/A")</f>
        <v>OUTROS GASTOS COM PESSOAL</v>
      </c>
      <c r="B2826" s="7" t="str">
        <f t="shared" si="88"/>
        <v>330104 - OUTROS GASTOS COM PESSOAL</v>
      </c>
      <c r="C2826" s="25">
        <f t="shared" si="89"/>
        <v>44652</v>
      </c>
      <c r="D2826" s="27">
        <f>IF(K2826="CREDITO",Q2826,Q2826*-1)</f>
        <v>350.41</v>
      </c>
      <c r="E2826" t="s">
        <v>894</v>
      </c>
      <c r="F2826" t="s">
        <v>3320</v>
      </c>
      <c r="G2826" s="8">
        <v>44652</v>
      </c>
      <c r="H2826" t="s">
        <v>380</v>
      </c>
      <c r="I2826" t="s">
        <v>75</v>
      </c>
      <c r="J2826" t="s">
        <v>54</v>
      </c>
      <c r="K2826" t="s">
        <v>29</v>
      </c>
      <c r="L2826" t="s">
        <v>895</v>
      </c>
      <c r="M2826" t="s">
        <v>4402</v>
      </c>
      <c r="O2826" t="s">
        <v>896</v>
      </c>
      <c r="P2826" t="s">
        <v>33</v>
      </c>
      <c r="Q2826">
        <v>350.41</v>
      </c>
      <c r="R2826" t="s">
        <v>35</v>
      </c>
      <c r="S2826" t="s">
        <v>35</v>
      </c>
      <c r="T2826" t="s">
        <v>35</v>
      </c>
      <c r="U2826" t="s">
        <v>35</v>
      </c>
      <c r="V2826" t="s">
        <v>645</v>
      </c>
      <c r="W2826" t="s">
        <v>113</v>
      </c>
    </row>
    <row r="2827" spans="1:23" hidden="1" x14ac:dyDescent="0.25">
      <c r="A2827" s="7" t="str">
        <f>IFERROR(VLOOKUP(H2827,'Contas Orç'!A:B,2,0),"N/A")</f>
        <v>OUTROS GASTOS COM PESSOAL</v>
      </c>
      <c r="B2827" s="7" t="str">
        <f t="shared" si="88"/>
        <v>330104 - OUTROS GASTOS COM PESSOAL</v>
      </c>
      <c r="C2827" s="25">
        <f t="shared" si="89"/>
        <v>44652</v>
      </c>
      <c r="D2827" s="27">
        <f>IF(K2827="CREDITO",Q2827,Q2827*-1)</f>
        <v>282.58</v>
      </c>
      <c r="E2827" t="s">
        <v>894</v>
      </c>
      <c r="F2827" t="s">
        <v>3321</v>
      </c>
      <c r="G2827" s="8">
        <v>44652</v>
      </c>
      <c r="H2827" t="s">
        <v>380</v>
      </c>
      <c r="I2827" t="s">
        <v>78</v>
      </c>
      <c r="J2827" t="s">
        <v>54</v>
      </c>
      <c r="K2827" t="s">
        <v>29</v>
      </c>
      <c r="L2827" t="s">
        <v>895</v>
      </c>
      <c r="M2827" t="s">
        <v>4402</v>
      </c>
      <c r="O2827" t="s">
        <v>896</v>
      </c>
      <c r="P2827" t="s">
        <v>33</v>
      </c>
      <c r="Q2827">
        <v>282.58</v>
      </c>
      <c r="R2827" t="s">
        <v>35</v>
      </c>
      <c r="S2827" t="s">
        <v>35</v>
      </c>
      <c r="T2827" t="s">
        <v>35</v>
      </c>
      <c r="U2827" t="s">
        <v>35</v>
      </c>
      <c r="V2827" t="s">
        <v>645</v>
      </c>
      <c r="W2827" t="s">
        <v>113</v>
      </c>
    </row>
    <row r="2828" spans="1:23" hidden="1" x14ac:dyDescent="0.25">
      <c r="A2828" s="7" t="str">
        <f>IFERROR(VLOOKUP(H2828,'Contas Orç'!A:B,2,0),"N/A")</f>
        <v>OUTROS GASTOS COM PESSOAL</v>
      </c>
      <c r="B2828" s="7" t="str">
        <f t="shared" si="88"/>
        <v>330104 - OUTROS GASTOS COM PESSOAL</v>
      </c>
      <c r="C2828" s="25">
        <f t="shared" si="89"/>
        <v>44652</v>
      </c>
      <c r="D2828" s="27">
        <f>IF(K2828="CREDITO",Q2828,Q2828*-1)</f>
        <v>181.89</v>
      </c>
      <c r="E2828" t="s">
        <v>894</v>
      </c>
      <c r="F2828" t="s">
        <v>3322</v>
      </c>
      <c r="G2828" s="8">
        <v>44652</v>
      </c>
      <c r="H2828" t="s">
        <v>380</v>
      </c>
      <c r="I2828" t="s">
        <v>81</v>
      </c>
      <c r="J2828" t="s">
        <v>54</v>
      </c>
      <c r="K2828" t="s">
        <v>29</v>
      </c>
      <c r="L2828" t="s">
        <v>895</v>
      </c>
      <c r="M2828" t="s">
        <v>4402</v>
      </c>
      <c r="O2828" t="s">
        <v>896</v>
      </c>
      <c r="P2828" t="s">
        <v>33</v>
      </c>
      <c r="Q2828">
        <v>181.89</v>
      </c>
      <c r="R2828" t="s">
        <v>35</v>
      </c>
      <c r="S2828" t="s">
        <v>35</v>
      </c>
      <c r="T2828" t="s">
        <v>35</v>
      </c>
      <c r="U2828" t="s">
        <v>35</v>
      </c>
      <c r="V2828" t="s">
        <v>645</v>
      </c>
      <c r="W2828" t="s">
        <v>113</v>
      </c>
    </row>
    <row r="2829" spans="1:23" hidden="1" x14ac:dyDescent="0.25">
      <c r="A2829" s="7" t="str">
        <f>IFERROR(VLOOKUP(H2829,'Contas Orç'!A:B,2,0),"N/A")</f>
        <v>OUTROS GASTOS COM PESSOAL</v>
      </c>
      <c r="B2829" s="7" t="str">
        <f t="shared" si="88"/>
        <v>330104 - OUTROS GASTOS COM PESSOAL</v>
      </c>
      <c r="C2829" s="25">
        <f t="shared" si="89"/>
        <v>44682</v>
      </c>
      <c r="D2829" s="27">
        <f>IF(K2829="CREDITO",Q2829,Q2829*-1)</f>
        <v>74.819999999999993</v>
      </c>
      <c r="E2829" t="s">
        <v>894</v>
      </c>
      <c r="F2829" t="s">
        <v>3323</v>
      </c>
      <c r="G2829" s="8">
        <v>44682</v>
      </c>
      <c r="H2829" t="s">
        <v>380</v>
      </c>
      <c r="I2829" t="s">
        <v>99</v>
      </c>
      <c r="J2829" t="s">
        <v>28</v>
      </c>
      <c r="K2829" t="s">
        <v>29</v>
      </c>
      <c r="L2829" t="s">
        <v>895</v>
      </c>
      <c r="M2829" t="s">
        <v>4402</v>
      </c>
      <c r="O2829" t="s">
        <v>896</v>
      </c>
      <c r="P2829" t="s">
        <v>33</v>
      </c>
      <c r="Q2829">
        <v>74.819999999999993</v>
      </c>
      <c r="R2829" t="s">
        <v>35</v>
      </c>
      <c r="S2829" t="s">
        <v>35</v>
      </c>
      <c r="T2829" t="s">
        <v>35</v>
      </c>
      <c r="U2829" t="s">
        <v>35</v>
      </c>
      <c r="V2829" t="s">
        <v>645</v>
      </c>
      <c r="W2829" t="s">
        <v>113</v>
      </c>
    </row>
    <row r="2830" spans="1:23" hidden="1" x14ac:dyDescent="0.25">
      <c r="A2830" s="7" t="str">
        <f>IFERROR(VLOOKUP(H2830,'Contas Orç'!A:B,2,0),"N/A")</f>
        <v>OUTROS GASTOS COM PESSOAL</v>
      </c>
      <c r="B2830" s="7" t="str">
        <f t="shared" si="88"/>
        <v>330104 - OUTROS GASTOS COM PESSOAL</v>
      </c>
      <c r="C2830" s="25">
        <f t="shared" si="89"/>
        <v>44682</v>
      </c>
      <c r="D2830" s="27">
        <f>IF(K2830="CREDITO",Q2830,Q2830*-1)</f>
        <v>4.42</v>
      </c>
      <c r="E2830" t="s">
        <v>894</v>
      </c>
      <c r="F2830" t="s">
        <v>3324</v>
      </c>
      <c r="G2830" s="8">
        <v>44682</v>
      </c>
      <c r="H2830" t="s">
        <v>380</v>
      </c>
      <c r="I2830" t="s">
        <v>81</v>
      </c>
      <c r="J2830" t="s">
        <v>107</v>
      </c>
      <c r="K2830" t="s">
        <v>29</v>
      </c>
      <c r="L2830" t="s">
        <v>895</v>
      </c>
      <c r="M2830" t="s">
        <v>4402</v>
      </c>
      <c r="O2830" t="s">
        <v>896</v>
      </c>
      <c r="P2830" t="s">
        <v>33</v>
      </c>
      <c r="Q2830">
        <v>4.42</v>
      </c>
      <c r="R2830" t="s">
        <v>35</v>
      </c>
      <c r="S2830" t="s">
        <v>35</v>
      </c>
      <c r="T2830" t="s">
        <v>35</v>
      </c>
      <c r="U2830" t="s">
        <v>35</v>
      </c>
      <c r="V2830" t="s">
        <v>645</v>
      </c>
      <c r="W2830" t="s">
        <v>113</v>
      </c>
    </row>
    <row r="2831" spans="1:23" hidden="1" x14ac:dyDescent="0.25">
      <c r="A2831" s="7" t="str">
        <f>IFERROR(VLOOKUP(H2831,'Contas Orç'!A:B,2,0),"N/A")</f>
        <v>OUTROS GASTOS COM PESSOAL</v>
      </c>
      <c r="B2831" s="7" t="str">
        <f t="shared" si="88"/>
        <v>330104 - OUTROS GASTOS COM PESSOAL</v>
      </c>
      <c r="C2831" s="25">
        <f t="shared" si="89"/>
        <v>44682</v>
      </c>
      <c r="D2831" s="27">
        <f>IF(K2831="CREDITO",Q2831,Q2831*-1)</f>
        <v>1638</v>
      </c>
      <c r="E2831" t="s">
        <v>894</v>
      </c>
      <c r="F2831" t="s">
        <v>3325</v>
      </c>
      <c r="G2831" s="8">
        <v>44682</v>
      </c>
      <c r="H2831" t="s">
        <v>380</v>
      </c>
      <c r="I2831" t="s">
        <v>68</v>
      </c>
      <c r="J2831" t="s">
        <v>69</v>
      </c>
      <c r="K2831" t="s">
        <v>29</v>
      </c>
      <c r="L2831" t="s">
        <v>895</v>
      </c>
      <c r="M2831" t="s">
        <v>4402</v>
      </c>
      <c r="O2831" t="s">
        <v>896</v>
      </c>
      <c r="P2831" t="s">
        <v>33</v>
      </c>
      <c r="Q2831" s="22">
        <v>1638</v>
      </c>
      <c r="R2831" t="s">
        <v>35</v>
      </c>
      <c r="S2831" t="s">
        <v>35</v>
      </c>
      <c r="T2831" t="s">
        <v>35</v>
      </c>
      <c r="U2831" t="s">
        <v>35</v>
      </c>
      <c r="V2831" t="s">
        <v>645</v>
      </c>
      <c r="W2831" t="s">
        <v>113</v>
      </c>
    </row>
    <row r="2832" spans="1:23" hidden="1" x14ac:dyDescent="0.25">
      <c r="A2832" s="7" t="str">
        <f>IFERROR(VLOOKUP(H2832,'Contas Orç'!A:B,2,0),"N/A")</f>
        <v>OUTROS GASTOS COM PESSOAL</v>
      </c>
      <c r="B2832" s="7" t="str">
        <f t="shared" si="88"/>
        <v>330104 - OUTROS GASTOS COM PESSOAL</v>
      </c>
      <c r="C2832" s="25">
        <f t="shared" si="89"/>
        <v>44682</v>
      </c>
      <c r="D2832" s="27">
        <f>IF(K2832="CREDITO",Q2832,Q2832*-1)</f>
        <v>55.39</v>
      </c>
      <c r="E2832" t="s">
        <v>894</v>
      </c>
      <c r="F2832" t="s">
        <v>3326</v>
      </c>
      <c r="G2832" s="8">
        <v>44682</v>
      </c>
      <c r="H2832" t="s">
        <v>380</v>
      </c>
      <c r="I2832" t="s">
        <v>1002</v>
      </c>
      <c r="J2832" t="s">
        <v>54</v>
      </c>
      <c r="K2832" t="s">
        <v>29</v>
      </c>
      <c r="L2832" t="s">
        <v>895</v>
      </c>
      <c r="M2832" t="s">
        <v>4402</v>
      </c>
      <c r="O2832" t="s">
        <v>896</v>
      </c>
      <c r="P2832" t="s">
        <v>33</v>
      </c>
      <c r="Q2832">
        <v>55.39</v>
      </c>
      <c r="R2832" t="s">
        <v>35</v>
      </c>
      <c r="S2832" t="s">
        <v>35</v>
      </c>
      <c r="T2832" t="s">
        <v>35</v>
      </c>
      <c r="U2832" t="s">
        <v>35</v>
      </c>
      <c r="V2832" t="s">
        <v>645</v>
      </c>
      <c r="W2832" t="s">
        <v>113</v>
      </c>
    </row>
    <row r="2833" spans="1:23" hidden="1" x14ac:dyDescent="0.25">
      <c r="A2833" s="7" t="str">
        <f>IFERROR(VLOOKUP(H2833,'Contas Orç'!A:B,2,0),"N/A")</f>
        <v>OUTROS GASTOS COM PESSOAL</v>
      </c>
      <c r="B2833" s="7" t="str">
        <f t="shared" si="88"/>
        <v>330104 - OUTROS GASTOS COM PESSOAL</v>
      </c>
      <c r="C2833" s="25">
        <f t="shared" si="89"/>
        <v>44682</v>
      </c>
      <c r="D2833" s="27">
        <f>IF(K2833="CREDITO",Q2833,Q2833*-1)</f>
        <v>203.67</v>
      </c>
      <c r="E2833" t="s">
        <v>894</v>
      </c>
      <c r="F2833" t="s">
        <v>3327</v>
      </c>
      <c r="G2833" s="8">
        <v>44682</v>
      </c>
      <c r="H2833" t="s">
        <v>380</v>
      </c>
      <c r="I2833" t="s">
        <v>78</v>
      </c>
      <c r="J2833" t="s">
        <v>54</v>
      </c>
      <c r="K2833" t="s">
        <v>29</v>
      </c>
      <c r="L2833" t="s">
        <v>895</v>
      </c>
      <c r="M2833" t="s">
        <v>4402</v>
      </c>
      <c r="O2833" t="s">
        <v>896</v>
      </c>
      <c r="P2833" t="s">
        <v>33</v>
      </c>
      <c r="Q2833">
        <v>203.67</v>
      </c>
      <c r="R2833" t="s">
        <v>35</v>
      </c>
      <c r="S2833" t="s">
        <v>35</v>
      </c>
      <c r="T2833" t="s">
        <v>35</v>
      </c>
      <c r="U2833" t="s">
        <v>35</v>
      </c>
      <c r="V2833" t="s">
        <v>645</v>
      </c>
      <c r="W2833" t="s">
        <v>113</v>
      </c>
    </row>
    <row r="2834" spans="1:23" hidden="1" x14ac:dyDescent="0.25">
      <c r="A2834" s="7" t="str">
        <f>IFERROR(VLOOKUP(H2834,'Contas Orç'!A:B,2,0),"N/A")</f>
        <v>OUTROS GASTOS COM PESSOAL</v>
      </c>
      <c r="B2834" s="7" t="str">
        <f t="shared" si="88"/>
        <v>330104 - OUTROS GASTOS COM PESSOAL</v>
      </c>
      <c r="C2834" s="25">
        <f t="shared" si="89"/>
        <v>44682</v>
      </c>
      <c r="D2834" s="27">
        <f>IF(K2834="CREDITO",Q2834,Q2834*-1)</f>
        <v>152.97999999999999</v>
      </c>
      <c r="E2834" t="s">
        <v>894</v>
      </c>
      <c r="F2834" t="s">
        <v>3328</v>
      </c>
      <c r="G2834" s="8">
        <v>44682</v>
      </c>
      <c r="H2834" t="s">
        <v>380</v>
      </c>
      <c r="I2834" t="s">
        <v>81</v>
      </c>
      <c r="J2834" t="s">
        <v>54</v>
      </c>
      <c r="K2834" t="s">
        <v>29</v>
      </c>
      <c r="L2834" t="s">
        <v>895</v>
      </c>
      <c r="M2834" t="s">
        <v>4402</v>
      </c>
      <c r="O2834" t="s">
        <v>896</v>
      </c>
      <c r="P2834" t="s">
        <v>33</v>
      </c>
      <c r="Q2834">
        <v>152.97999999999999</v>
      </c>
      <c r="R2834" t="s">
        <v>35</v>
      </c>
      <c r="S2834" t="s">
        <v>35</v>
      </c>
      <c r="T2834" t="s">
        <v>35</v>
      </c>
      <c r="U2834" t="s">
        <v>35</v>
      </c>
      <c r="V2834" t="s">
        <v>645</v>
      </c>
      <c r="W2834" t="s">
        <v>113</v>
      </c>
    </row>
    <row r="2835" spans="1:23" hidden="1" x14ac:dyDescent="0.25">
      <c r="A2835" s="7" t="str">
        <f>IFERROR(VLOOKUP(H2835,'Contas Orç'!A:B,2,0),"N/A")</f>
        <v>OUTROS GASTOS COM PESSOAL</v>
      </c>
      <c r="B2835" s="7" t="str">
        <f t="shared" si="88"/>
        <v>330104 - OUTROS GASTOS COM PESSOAL</v>
      </c>
      <c r="C2835" s="25">
        <f t="shared" si="89"/>
        <v>44713</v>
      </c>
      <c r="D2835" s="27">
        <f>IF(K2835="CREDITO",Q2835,Q2835*-1)</f>
        <v>218.09</v>
      </c>
      <c r="E2835" t="s">
        <v>894</v>
      </c>
      <c r="F2835" t="s">
        <v>3329</v>
      </c>
      <c r="G2835" s="8">
        <v>44713</v>
      </c>
      <c r="H2835" t="s">
        <v>380</v>
      </c>
      <c r="I2835" t="s">
        <v>99</v>
      </c>
      <c r="J2835" t="s">
        <v>28</v>
      </c>
      <c r="K2835" t="s">
        <v>29</v>
      </c>
      <c r="L2835" t="s">
        <v>895</v>
      </c>
      <c r="M2835" t="s">
        <v>4402</v>
      </c>
      <c r="O2835" t="s">
        <v>896</v>
      </c>
      <c r="P2835" t="s">
        <v>33</v>
      </c>
      <c r="Q2835">
        <v>218.09</v>
      </c>
      <c r="R2835" t="s">
        <v>35</v>
      </c>
      <c r="S2835" t="s">
        <v>35</v>
      </c>
      <c r="T2835" t="s">
        <v>35</v>
      </c>
      <c r="U2835" t="s">
        <v>35</v>
      </c>
      <c r="V2835" t="s">
        <v>645</v>
      </c>
      <c r="W2835" t="s">
        <v>113</v>
      </c>
    </row>
    <row r="2836" spans="1:23" hidden="1" x14ac:dyDescent="0.25">
      <c r="A2836" s="7" t="str">
        <f>IFERROR(VLOOKUP(H2836,'Contas Orç'!A:B,2,0),"N/A")</f>
        <v>OUTROS GASTOS COM PESSOAL</v>
      </c>
      <c r="B2836" s="7" t="str">
        <f t="shared" si="88"/>
        <v>330104 - OUTROS GASTOS COM PESSOAL</v>
      </c>
      <c r="C2836" s="25">
        <f t="shared" si="89"/>
        <v>44713</v>
      </c>
      <c r="D2836" s="27">
        <f>IF(K2836="CREDITO",Q2836,Q2836*-1)</f>
        <v>72.25</v>
      </c>
      <c r="E2836" t="s">
        <v>894</v>
      </c>
      <c r="F2836" t="s">
        <v>3330</v>
      </c>
      <c r="G2836" s="8">
        <v>44713</v>
      </c>
      <c r="H2836" t="s">
        <v>380</v>
      </c>
      <c r="I2836" t="s">
        <v>81</v>
      </c>
      <c r="J2836" t="s">
        <v>28</v>
      </c>
      <c r="K2836" t="s">
        <v>29</v>
      </c>
      <c r="L2836" t="s">
        <v>895</v>
      </c>
      <c r="M2836" t="s">
        <v>4402</v>
      </c>
      <c r="O2836" t="s">
        <v>896</v>
      </c>
      <c r="P2836" t="s">
        <v>33</v>
      </c>
      <c r="Q2836">
        <v>72.25</v>
      </c>
      <c r="R2836" t="s">
        <v>35</v>
      </c>
      <c r="S2836" t="s">
        <v>35</v>
      </c>
      <c r="T2836" t="s">
        <v>35</v>
      </c>
      <c r="U2836" t="s">
        <v>35</v>
      </c>
      <c r="V2836" t="s">
        <v>645</v>
      </c>
      <c r="W2836" t="s">
        <v>113</v>
      </c>
    </row>
    <row r="2837" spans="1:23" hidden="1" x14ac:dyDescent="0.25">
      <c r="A2837" s="7" t="str">
        <f>IFERROR(VLOOKUP(H2837,'Contas Orç'!A:B,2,0),"N/A")</f>
        <v>OUTROS GASTOS COM PESSOAL</v>
      </c>
      <c r="B2837" s="7" t="str">
        <f t="shared" si="88"/>
        <v>330104 - OUTROS GASTOS COM PESSOAL</v>
      </c>
      <c r="C2837" s="25">
        <f t="shared" si="89"/>
        <v>44713</v>
      </c>
      <c r="D2837" s="27">
        <f>IF(K2837="CREDITO",Q2837,Q2837*-1)</f>
        <v>1798</v>
      </c>
      <c r="E2837" t="s">
        <v>894</v>
      </c>
      <c r="F2837" t="s">
        <v>3331</v>
      </c>
      <c r="G2837" s="8">
        <v>44713</v>
      </c>
      <c r="H2837" t="s">
        <v>380</v>
      </c>
      <c r="I2837" t="s">
        <v>68</v>
      </c>
      <c r="J2837" t="s">
        <v>69</v>
      </c>
      <c r="K2837" t="s">
        <v>29</v>
      </c>
      <c r="L2837" t="s">
        <v>895</v>
      </c>
      <c r="M2837" t="s">
        <v>4402</v>
      </c>
      <c r="O2837" t="s">
        <v>896</v>
      </c>
      <c r="P2837" t="s">
        <v>33</v>
      </c>
      <c r="Q2837" s="22">
        <v>1798</v>
      </c>
      <c r="R2837" t="s">
        <v>35</v>
      </c>
      <c r="S2837" t="s">
        <v>35</v>
      </c>
      <c r="T2837" t="s">
        <v>35</v>
      </c>
      <c r="U2837" t="s">
        <v>35</v>
      </c>
      <c r="V2837" t="s">
        <v>645</v>
      </c>
      <c r="W2837" t="s">
        <v>113</v>
      </c>
    </row>
    <row r="2838" spans="1:23" hidden="1" x14ac:dyDescent="0.25">
      <c r="A2838" s="7" t="str">
        <f>IFERROR(VLOOKUP(H2838,'Contas Orç'!A:B,2,0),"N/A")</f>
        <v>OUTROS GASTOS COM PESSOAL</v>
      </c>
      <c r="B2838" s="7" t="str">
        <f t="shared" si="88"/>
        <v>330104 - OUTROS GASTOS COM PESSOAL</v>
      </c>
      <c r="C2838" s="25">
        <f t="shared" si="89"/>
        <v>44713</v>
      </c>
      <c r="D2838" s="27">
        <f>IF(K2838="CREDITO",Q2838,Q2838*-1)</f>
        <v>794.91</v>
      </c>
      <c r="E2838" t="s">
        <v>894</v>
      </c>
      <c r="F2838" t="s">
        <v>3332</v>
      </c>
      <c r="G2838" s="8">
        <v>44713</v>
      </c>
      <c r="H2838" t="s">
        <v>380</v>
      </c>
      <c r="I2838" t="s">
        <v>132</v>
      </c>
      <c r="J2838" t="s">
        <v>54</v>
      </c>
      <c r="K2838" t="s">
        <v>29</v>
      </c>
      <c r="L2838" t="s">
        <v>895</v>
      </c>
      <c r="M2838" t="s">
        <v>4402</v>
      </c>
      <c r="O2838" t="s">
        <v>896</v>
      </c>
      <c r="P2838" t="s">
        <v>33</v>
      </c>
      <c r="Q2838">
        <v>794.91</v>
      </c>
      <c r="R2838" t="s">
        <v>35</v>
      </c>
      <c r="S2838" t="s">
        <v>35</v>
      </c>
      <c r="T2838" t="s">
        <v>35</v>
      </c>
      <c r="U2838" t="s">
        <v>35</v>
      </c>
      <c r="V2838" t="s">
        <v>645</v>
      </c>
      <c r="W2838" t="s">
        <v>113</v>
      </c>
    </row>
    <row r="2839" spans="1:23" hidden="1" x14ac:dyDescent="0.25">
      <c r="A2839" s="7" t="str">
        <f>IFERROR(VLOOKUP(H2839,'Contas Orç'!A:B,2,0),"N/A")</f>
        <v>OUTROS GASTOS COM PESSOAL</v>
      </c>
      <c r="B2839" s="7" t="str">
        <f t="shared" si="88"/>
        <v>330104 - OUTROS GASTOS COM PESSOAL</v>
      </c>
      <c r="C2839" s="25">
        <f t="shared" si="89"/>
        <v>44713</v>
      </c>
      <c r="D2839" s="27">
        <f>IF(K2839="CREDITO",Q2839,Q2839*-1)</f>
        <v>288.43</v>
      </c>
      <c r="E2839" t="s">
        <v>894</v>
      </c>
      <c r="F2839" t="s">
        <v>3333</v>
      </c>
      <c r="G2839" s="8">
        <v>44713</v>
      </c>
      <c r="H2839" t="s">
        <v>380</v>
      </c>
      <c r="I2839" t="s">
        <v>78</v>
      </c>
      <c r="J2839" t="s">
        <v>54</v>
      </c>
      <c r="K2839" t="s">
        <v>29</v>
      </c>
      <c r="L2839" t="s">
        <v>895</v>
      </c>
      <c r="M2839" t="s">
        <v>4402</v>
      </c>
      <c r="O2839" t="s">
        <v>896</v>
      </c>
      <c r="P2839" t="s">
        <v>33</v>
      </c>
      <c r="Q2839">
        <v>288.43</v>
      </c>
      <c r="R2839" t="s">
        <v>35</v>
      </c>
      <c r="S2839" t="s">
        <v>35</v>
      </c>
      <c r="T2839" t="s">
        <v>35</v>
      </c>
      <c r="U2839" t="s">
        <v>35</v>
      </c>
      <c r="V2839" t="s">
        <v>645</v>
      </c>
      <c r="W2839" t="s">
        <v>113</v>
      </c>
    </row>
    <row r="2840" spans="1:23" hidden="1" x14ac:dyDescent="0.25">
      <c r="A2840" s="7" t="str">
        <f>IFERROR(VLOOKUP(H2840,'Contas Orç'!A:B,2,0),"N/A")</f>
        <v>OUTROS GASTOS COM PESSOAL</v>
      </c>
      <c r="B2840" s="7" t="str">
        <f t="shared" si="88"/>
        <v>330104 - OUTROS GASTOS COM PESSOAL</v>
      </c>
      <c r="C2840" s="25">
        <f t="shared" si="89"/>
        <v>44713</v>
      </c>
      <c r="D2840" s="27">
        <f>IF(K2840="CREDITO",Q2840,Q2840*-1)</f>
        <v>6.79</v>
      </c>
      <c r="E2840" t="s">
        <v>894</v>
      </c>
      <c r="F2840" t="s">
        <v>3334</v>
      </c>
      <c r="G2840" s="8">
        <v>44713</v>
      </c>
      <c r="H2840" t="s">
        <v>380</v>
      </c>
      <c r="I2840" t="s">
        <v>81</v>
      </c>
      <c r="J2840" t="s">
        <v>54</v>
      </c>
      <c r="K2840" t="s">
        <v>29</v>
      </c>
      <c r="L2840" t="s">
        <v>895</v>
      </c>
      <c r="M2840" t="s">
        <v>4402</v>
      </c>
      <c r="O2840" t="s">
        <v>896</v>
      </c>
      <c r="P2840" t="s">
        <v>33</v>
      </c>
      <c r="Q2840">
        <v>6.79</v>
      </c>
      <c r="R2840" t="s">
        <v>35</v>
      </c>
      <c r="S2840" t="s">
        <v>35</v>
      </c>
      <c r="T2840" t="s">
        <v>35</v>
      </c>
      <c r="U2840" t="s">
        <v>35</v>
      </c>
      <c r="V2840" t="s">
        <v>645</v>
      </c>
      <c r="W2840" t="s">
        <v>113</v>
      </c>
    </row>
    <row r="2841" spans="1:23" hidden="1" x14ac:dyDescent="0.25">
      <c r="A2841" s="7" t="str">
        <f>IFERROR(VLOOKUP(H2841,'Contas Orç'!A:B,2,0),"N/A")</f>
        <v>OUTROS GASTOS COM PESSOAL</v>
      </c>
      <c r="B2841" s="7" t="str">
        <f t="shared" si="88"/>
        <v>330104 - OUTROS GASTOS COM PESSOAL</v>
      </c>
      <c r="C2841" s="25">
        <f t="shared" si="89"/>
        <v>44743</v>
      </c>
      <c r="D2841" s="27">
        <f>IF(K2841="CREDITO",Q2841,Q2841*-1)</f>
        <v>547.75</v>
      </c>
      <c r="E2841" t="s">
        <v>894</v>
      </c>
      <c r="F2841" t="s">
        <v>3335</v>
      </c>
      <c r="G2841" s="8">
        <v>44743</v>
      </c>
      <c r="H2841" t="s">
        <v>380</v>
      </c>
      <c r="I2841" t="s">
        <v>40</v>
      </c>
      <c r="J2841" t="s">
        <v>54</v>
      </c>
      <c r="K2841" t="s">
        <v>29</v>
      </c>
      <c r="L2841" t="s">
        <v>895</v>
      </c>
      <c r="M2841" t="s">
        <v>4402</v>
      </c>
      <c r="O2841" t="s">
        <v>896</v>
      </c>
      <c r="P2841" t="s">
        <v>33</v>
      </c>
      <c r="Q2841">
        <v>547.75</v>
      </c>
      <c r="R2841" t="s">
        <v>35</v>
      </c>
      <c r="S2841" t="s">
        <v>35</v>
      </c>
      <c r="T2841" t="s">
        <v>35</v>
      </c>
      <c r="U2841" t="s">
        <v>35</v>
      </c>
      <c r="V2841" t="s">
        <v>645</v>
      </c>
      <c r="W2841" t="s">
        <v>113</v>
      </c>
    </row>
    <row r="2842" spans="1:23" hidden="1" x14ac:dyDescent="0.25">
      <c r="A2842" s="7" t="str">
        <f>IFERROR(VLOOKUP(H2842,'Contas Orç'!A:B,2,0),"N/A")</f>
        <v>OUTROS GASTOS COM PESSOAL</v>
      </c>
      <c r="B2842" s="7" t="str">
        <f t="shared" si="88"/>
        <v>330104 - OUTROS GASTOS COM PESSOAL</v>
      </c>
      <c r="C2842" s="25">
        <f t="shared" si="89"/>
        <v>44743</v>
      </c>
      <c r="D2842" s="27">
        <f>IF(K2842="CREDITO",Q2842,Q2842*-1)</f>
        <v>71.709999999999994</v>
      </c>
      <c r="E2842" t="s">
        <v>894</v>
      </c>
      <c r="F2842" t="s">
        <v>3336</v>
      </c>
      <c r="G2842" s="8">
        <v>44743</v>
      </c>
      <c r="H2842" t="s">
        <v>380</v>
      </c>
      <c r="I2842" t="s">
        <v>132</v>
      </c>
      <c r="J2842" t="s">
        <v>54</v>
      </c>
      <c r="K2842" t="s">
        <v>29</v>
      </c>
      <c r="L2842" t="s">
        <v>895</v>
      </c>
      <c r="M2842" t="s">
        <v>4402</v>
      </c>
      <c r="O2842" t="s">
        <v>896</v>
      </c>
      <c r="P2842" t="s">
        <v>33</v>
      </c>
      <c r="Q2842">
        <v>71.709999999999994</v>
      </c>
      <c r="R2842" t="s">
        <v>35</v>
      </c>
      <c r="S2842" t="s">
        <v>35</v>
      </c>
      <c r="T2842" t="s">
        <v>35</v>
      </c>
      <c r="U2842" t="s">
        <v>35</v>
      </c>
      <c r="V2842" t="s">
        <v>645</v>
      </c>
      <c r="W2842" t="s">
        <v>113</v>
      </c>
    </row>
    <row r="2843" spans="1:23" hidden="1" x14ac:dyDescent="0.25">
      <c r="A2843" s="7" t="str">
        <f>IFERROR(VLOOKUP(H2843,'Contas Orç'!A:B,2,0),"N/A")</f>
        <v>OUTROS GASTOS COM PESSOAL</v>
      </c>
      <c r="B2843" s="7" t="str">
        <f t="shared" si="88"/>
        <v>330104 - OUTROS GASTOS COM PESSOAL</v>
      </c>
      <c r="C2843" s="25">
        <f t="shared" si="89"/>
        <v>44743</v>
      </c>
      <c r="D2843" s="27">
        <f>IF(K2843="CREDITO",Q2843,Q2843*-1)</f>
        <v>269.77</v>
      </c>
      <c r="E2843" t="s">
        <v>894</v>
      </c>
      <c r="F2843" t="s">
        <v>3337</v>
      </c>
      <c r="G2843" s="8">
        <v>44743</v>
      </c>
      <c r="H2843" t="s">
        <v>380</v>
      </c>
      <c r="I2843" t="s">
        <v>114</v>
      </c>
      <c r="J2843" t="s">
        <v>54</v>
      </c>
      <c r="K2843" t="s">
        <v>29</v>
      </c>
      <c r="L2843" t="s">
        <v>895</v>
      </c>
      <c r="M2843" t="s">
        <v>4402</v>
      </c>
      <c r="O2843" t="s">
        <v>896</v>
      </c>
      <c r="P2843" t="s">
        <v>33</v>
      </c>
      <c r="Q2843">
        <v>269.77</v>
      </c>
      <c r="R2843" t="s">
        <v>35</v>
      </c>
      <c r="S2843" t="s">
        <v>35</v>
      </c>
      <c r="T2843" t="s">
        <v>35</v>
      </c>
      <c r="U2843" t="s">
        <v>35</v>
      </c>
      <c r="V2843" t="s">
        <v>645</v>
      </c>
      <c r="W2843" t="s">
        <v>113</v>
      </c>
    </row>
    <row r="2844" spans="1:23" hidden="1" x14ac:dyDescent="0.25">
      <c r="A2844" s="7" t="str">
        <f>IFERROR(VLOOKUP(H2844,'Contas Orç'!A:B,2,0),"N/A")</f>
        <v>OUTROS GASTOS COM PESSOAL</v>
      </c>
      <c r="B2844" s="7" t="str">
        <f t="shared" si="88"/>
        <v>330104 - OUTROS GASTOS COM PESSOAL</v>
      </c>
      <c r="C2844" s="25">
        <f t="shared" si="89"/>
        <v>44743</v>
      </c>
      <c r="D2844" s="27">
        <f>IF(K2844="CREDITO",Q2844,Q2844*-1)</f>
        <v>231.45</v>
      </c>
      <c r="E2844" t="s">
        <v>894</v>
      </c>
      <c r="F2844" t="s">
        <v>3338</v>
      </c>
      <c r="G2844" s="8">
        <v>44743</v>
      </c>
      <c r="H2844" t="s">
        <v>380</v>
      </c>
      <c r="I2844" t="s">
        <v>78</v>
      </c>
      <c r="J2844" t="s">
        <v>54</v>
      </c>
      <c r="K2844" t="s">
        <v>29</v>
      </c>
      <c r="L2844" t="s">
        <v>895</v>
      </c>
      <c r="M2844" t="s">
        <v>4402</v>
      </c>
      <c r="O2844" t="s">
        <v>896</v>
      </c>
      <c r="P2844" t="s">
        <v>33</v>
      </c>
      <c r="Q2844">
        <v>231.45</v>
      </c>
      <c r="R2844" t="s">
        <v>35</v>
      </c>
      <c r="S2844" t="s">
        <v>35</v>
      </c>
      <c r="T2844" t="s">
        <v>35</v>
      </c>
      <c r="U2844" t="s">
        <v>35</v>
      </c>
      <c r="V2844" t="s">
        <v>645</v>
      </c>
      <c r="W2844" t="s">
        <v>113</v>
      </c>
    </row>
    <row r="2845" spans="1:23" hidden="1" x14ac:dyDescent="0.25">
      <c r="A2845" s="7" t="str">
        <f>IFERROR(VLOOKUP(H2845,'Contas Orç'!A:B,2,0),"N/A")</f>
        <v>OUTROS GASTOS COM PESSOAL</v>
      </c>
      <c r="B2845" s="7" t="str">
        <f t="shared" si="88"/>
        <v>330104 - OUTROS GASTOS COM PESSOAL</v>
      </c>
      <c r="C2845" s="25">
        <f t="shared" si="89"/>
        <v>44743</v>
      </c>
      <c r="D2845" s="27">
        <f>IF(K2845="CREDITO",Q2845,Q2845*-1)</f>
        <v>319.16000000000003</v>
      </c>
      <c r="E2845" t="s">
        <v>894</v>
      </c>
      <c r="F2845" t="s">
        <v>3339</v>
      </c>
      <c r="G2845" s="8">
        <v>44743</v>
      </c>
      <c r="H2845" t="s">
        <v>380</v>
      </c>
      <c r="I2845" t="s">
        <v>81</v>
      </c>
      <c r="J2845" t="s">
        <v>54</v>
      </c>
      <c r="K2845" t="s">
        <v>29</v>
      </c>
      <c r="L2845" t="s">
        <v>895</v>
      </c>
      <c r="M2845" t="s">
        <v>4402</v>
      </c>
      <c r="O2845" t="s">
        <v>896</v>
      </c>
      <c r="P2845" t="s">
        <v>33</v>
      </c>
      <c r="Q2845">
        <v>319.16000000000003</v>
      </c>
      <c r="R2845" t="s">
        <v>35</v>
      </c>
      <c r="S2845" t="s">
        <v>35</v>
      </c>
      <c r="T2845" t="s">
        <v>35</v>
      </c>
      <c r="U2845" t="s">
        <v>35</v>
      </c>
      <c r="V2845" t="s">
        <v>645</v>
      </c>
      <c r="W2845" t="s">
        <v>113</v>
      </c>
    </row>
    <row r="2846" spans="1:23" hidden="1" x14ac:dyDescent="0.25">
      <c r="A2846" s="7" t="str">
        <f>IFERROR(VLOOKUP(H2846,'Contas Orç'!A:B,2,0),"N/A")</f>
        <v>OUTROS GASTOS COM PESSOAL</v>
      </c>
      <c r="B2846" s="7" t="str">
        <f t="shared" si="88"/>
        <v>330104 - OUTROS GASTOS COM PESSOAL</v>
      </c>
      <c r="C2846" s="25">
        <f t="shared" si="89"/>
        <v>44774</v>
      </c>
      <c r="D2846" s="27">
        <f>IF(K2846="CREDITO",Q2846,Q2846*-1)</f>
        <v>4.3</v>
      </c>
      <c r="E2846" t="s">
        <v>894</v>
      </c>
      <c r="F2846" t="s">
        <v>3340</v>
      </c>
      <c r="G2846" s="8">
        <v>44774</v>
      </c>
      <c r="H2846" t="s">
        <v>380</v>
      </c>
      <c r="I2846" t="s">
        <v>40</v>
      </c>
      <c r="J2846" t="s">
        <v>60</v>
      </c>
      <c r="K2846" t="s">
        <v>29</v>
      </c>
      <c r="L2846" t="s">
        <v>895</v>
      </c>
      <c r="M2846" t="s">
        <v>4402</v>
      </c>
      <c r="O2846" t="s">
        <v>896</v>
      </c>
      <c r="P2846" t="s">
        <v>33</v>
      </c>
      <c r="Q2846">
        <v>4.3</v>
      </c>
      <c r="R2846" t="s">
        <v>35</v>
      </c>
      <c r="S2846" t="s">
        <v>35</v>
      </c>
      <c r="T2846" t="s">
        <v>35</v>
      </c>
      <c r="U2846" t="s">
        <v>35</v>
      </c>
      <c r="V2846" t="s">
        <v>645</v>
      </c>
      <c r="W2846" t="s">
        <v>113</v>
      </c>
    </row>
    <row r="2847" spans="1:23" hidden="1" x14ac:dyDescent="0.25">
      <c r="A2847" s="7" t="str">
        <f>IFERROR(VLOOKUP(H2847,'Contas Orç'!A:B,2,0),"N/A")</f>
        <v>OUTROS GASTOS COM PESSOAL</v>
      </c>
      <c r="B2847" s="7" t="str">
        <f t="shared" si="88"/>
        <v>330104 - OUTROS GASTOS COM PESSOAL</v>
      </c>
      <c r="C2847" s="25">
        <f t="shared" si="89"/>
        <v>44774</v>
      </c>
      <c r="D2847" s="27">
        <f>IF(K2847="CREDITO",Q2847,Q2847*-1)</f>
        <v>1400</v>
      </c>
      <c r="E2847" t="s">
        <v>894</v>
      </c>
      <c r="F2847" t="s">
        <v>3341</v>
      </c>
      <c r="G2847" s="8">
        <v>44774</v>
      </c>
      <c r="H2847" t="s">
        <v>380</v>
      </c>
      <c r="I2847" t="s">
        <v>40</v>
      </c>
      <c r="J2847" t="s">
        <v>54</v>
      </c>
      <c r="K2847" t="s">
        <v>29</v>
      </c>
      <c r="L2847" t="s">
        <v>895</v>
      </c>
      <c r="M2847" t="s">
        <v>4402</v>
      </c>
      <c r="O2847" t="s">
        <v>896</v>
      </c>
      <c r="P2847" t="s">
        <v>33</v>
      </c>
      <c r="Q2847" s="22">
        <v>1400</v>
      </c>
      <c r="R2847" t="s">
        <v>35</v>
      </c>
      <c r="S2847" t="s">
        <v>35</v>
      </c>
      <c r="T2847" t="s">
        <v>35</v>
      </c>
      <c r="U2847" t="s">
        <v>35</v>
      </c>
      <c r="V2847" t="s">
        <v>645</v>
      </c>
      <c r="W2847" t="s">
        <v>113</v>
      </c>
    </row>
    <row r="2848" spans="1:23" hidden="1" x14ac:dyDescent="0.25">
      <c r="A2848" s="7" t="str">
        <f>IFERROR(VLOOKUP(H2848,'Contas Orç'!A:B,2,0),"N/A")</f>
        <v>OUTROS GASTOS COM PESSOAL</v>
      </c>
      <c r="B2848" s="7" t="str">
        <f t="shared" si="88"/>
        <v>330104 - OUTROS GASTOS COM PESSOAL</v>
      </c>
      <c r="C2848" s="25">
        <f t="shared" si="89"/>
        <v>44774</v>
      </c>
      <c r="D2848" s="27">
        <f>IF(K2848="CREDITO",Q2848,Q2848*-1)</f>
        <v>146.97</v>
      </c>
      <c r="E2848" t="s">
        <v>894</v>
      </c>
      <c r="F2848" t="s">
        <v>3342</v>
      </c>
      <c r="G2848" s="8">
        <v>44774</v>
      </c>
      <c r="H2848" t="s">
        <v>380</v>
      </c>
      <c r="I2848" t="s">
        <v>1002</v>
      </c>
      <c r="J2848" t="s">
        <v>54</v>
      </c>
      <c r="K2848" t="s">
        <v>29</v>
      </c>
      <c r="L2848" t="s">
        <v>895</v>
      </c>
      <c r="M2848" t="s">
        <v>4402</v>
      </c>
      <c r="O2848" t="s">
        <v>896</v>
      </c>
      <c r="P2848" t="s">
        <v>33</v>
      </c>
      <c r="Q2848">
        <v>146.97</v>
      </c>
      <c r="R2848" t="s">
        <v>35</v>
      </c>
      <c r="S2848" t="s">
        <v>35</v>
      </c>
      <c r="T2848" t="s">
        <v>35</v>
      </c>
      <c r="U2848" t="s">
        <v>35</v>
      </c>
      <c r="V2848" t="s">
        <v>645</v>
      </c>
      <c r="W2848" t="s">
        <v>113</v>
      </c>
    </row>
    <row r="2849" spans="1:23" hidden="1" x14ac:dyDescent="0.25">
      <c r="A2849" s="7" t="str">
        <f>IFERROR(VLOOKUP(H2849,'Contas Orç'!A:B,2,0),"N/A")</f>
        <v>OUTROS GASTOS COM PESSOAL</v>
      </c>
      <c r="B2849" s="7" t="str">
        <f t="shared" si="88"/>
        <v>330104 - OUTROS GASTOS COM PESSOAL</v>
      </c>
      <c r="C2849" s="25">
        <f t="shared" si="89"/>
        <v>44774</v>
      </c>
      <c r="D2849" s="27">
        <f>IF(K2849="CREDITO",Q2849,Q2849*-1)</f>
        <v>273</v>
      </c>
      <c r="E2849" t="s">
        <v>894</v>
      </c>
      <c r="F2849" t="s">
        <v>3343</v>
      </c>
      <c r="G2849" s="8">
        <v>44774</v>
      </c>
      <c r="H2849" t="s">
        <v>380</v>
      </c>
      <c r="I2849" t="s">
        <v>132</v>
      </c>
      <c r="J2849" t="s">
        <v>54</v>
      </c>
      <c r="K2849" t="s">
        <v>29</v>
      </c>
      <c r="L2849" t="s">
        <v>895</v>
      </c>
      <c r="M2849" t="s">
        <v>4402</v>
      </c>
      <c r="O2849" t="s">
        <v>896</v>
      </c>
      <c r="P2849" t="s">
        <v>33</v>
      </c>
      <c r="Q2849">
        <v>273</v>
      </c>
      <c r="R2849" t="s">
        <v>35</v>
      </c>
      <c r="S2849" t="s">
        <v>35</v>
      </c>
      <c r="T2849" t="s">
        <v>35</v>
      </c>
      <c r="U2849" t="s">
        <v>35</v>
      </c>
      <c r="V2849" t="s">
        <v>645</v>
      </c>
      <c r="W2849" t="s">
        <v>113</v>
      </c>
    </row>
    <row r="2850" spans="1:23" hidden="1" x14ac:dyDescent="0.25">
      <c r="A2850" s="7" t="str">
        <f>IFERROR(VLOOKUP(H2850,'Contas Orç'!A:B,2,0),"N/A")</f>
        <v>OUTROS GASTOS COM PESSOAL</v>
      </c>
      <c r="B2850" s="7" t="str">
        <f t="shared" si="88"/>
        <v>330104 - OUTROS GASTOS COM PESSOAL</v>
      </c>
      <c r="C2850" s="25">
        <f t="shared" si="89"/>
        <v>44774</v>
      </c>
      <c r="D2850" s="27">
        <f>IF(K2850="CREDITO",Q2850,Q2850*-1)</f>
        <v>149</v>
      </c>
      <c r="E2850" t="s">
        <v>894</v>
      </c>
      <c r="F2850" t="s">
        <v>3344</v>
      </c>
      <c r="G2850" s="8">
        <v>44774</v>
      </c>
      <c r="H2850" t="s">
        <v>380</v>
      </c>
      <c r="I2850" t="s">
        <v>114</v>
      </c>
      <c r="J2850" t="s">
        <v>54</v>
      </c>
      <c r="K2850" t="s">
        <v>29</v>
      </c>
      <c r="L2850" t="s">
        <v>895</v>
      </c>
      <c r="M2850" t="s">
        <v>4402</v>
      </c>
      <c r="O2850" t="s">
        <v>896</v>
      </c>
      <c r="P2850" t="s">
        <v>33</v>
      </c>
      <c r="Q2850">
        <v>149</v>
      </c>
      <c r="R2850" t="s">
        <v>35</v>
      </c>
      <c r="S2850" t="s">
        <v>35</v>
      </c>
      <c r="T2850" t="s">
        <v>35</v>
      </c>
      <c r="U2850" t="s">
        <v>35</v>
      </c>
      <c r="V2850" t="s">
        <v>645</v>
      </c>
      <c r="W2850" t="s">
        <v>113</v>
      </c>
    </row>
    <row r="2851" spans="1:23" hidden="1" x14ac:dyDescent="0.25">
      <c r="A2851" s="7" t="str">
        <f>IFERROR(VLOOKUP(H2851,'Contas Orç'!A:B,2,0),"N/A")</f>
        <v>OUTROS GASTOS COM PESSOAL</v>
      </c>
      <c r="B2851" s="7" t="str">
        <f t="shared" si="88"/>
        <v>330104 - OUTROS GASTOS COM PESSOAL</v>
      </c>
      <c r="C2851" s="25">
        <f t="shared" si="89"/>
        <v>44774</v>
      </c>
      <c r="D2851" s="27">
        <f>IF(K2851="CREDITO",Q2851,Q2851*-1)</f>
        <v>55.38</v>
      </c>
      <c r="E2851" t="s">
        <v>894</v>
      </c>
      <c r="F2851" t="s">
        <v>3345</v>
      </c>
      <c r="G2851" s="8">
        <v>44774</v>
      </c>
      <c r="H2851" t="s">
        <v>380</v>
      </c>
      <c r="I2851" t="s">
        <v>75</v>
      </c>
      <c r="J2851" t="s">
        <v>54</v>
      </c>
      <c r="K2851" t="s">
        <v>29</v>
      </c>
      <c r="L2851" t="s">
        <v>895</v>
      </c>
      <c r="M2851" t="s">
        <v>4402</v>
      </c>
      <c r="O2851" t="s">
        <v>896</v>
      </c>
      <c r="P2851" t="s">
        <v>33</v>
      </c>
      <c r="Q2851">
        <v>55.38</v>
      </c>
      <c r="R2851" t="s">
        <v>35</v>
      </c>
      <c r="S2851" t="s">
        <v>35</v>
      </c>
      <c r="T2851" t="s">
        <v>35</v>
      </c>
      <c r="U2851" t="s">
        <v>35</v>
      </c>
      <c r="V2851" t="s">
        <v>645</v>
      </c>
      <c r="W2851" t="s">
        <v>113</v>
      </c>
    </row>
    <row r="2852" spans="1:23" hidden="1" x14ac:dyDescent="0.25">
      <c r="A2852" s="7" t="str">
        <f>IFERROR(VLOOKUP(H2852,'Contas Orç'!A:B,2,0),"N/A")</f>
        <v>OUTROS GASTOS COM PESSOAL</v>
      </c>
      <c r="B2852" s="7" t="str">
        <f t="shared" si="88"/>
        <v>330104 - OUTROS GASTOS COM PESSOAL</v>
      </c>
      <c r="C2852" s="25">
        <f t="shared" si="89"/>
        <v>44774</v>
      </c>
      <c r="D2852" s="27">
        <f>IF(K2852="CREDITO",Q2852,Q2852*-1)</f>
        <v>16.63</v>
      </c>
      <c r="E2852" t="s">
        <v>894</v>
      </c>
      <c r="F2852" t="s">
        <v>3346</v>
      </c>
      <c r="G2852" s="8">
        <v>44774</v>
      </c>
      <c r="H2852" t="s">
        <v>380</v>
      </c>
      <c r="I2852" t="s">
        <v>81</v>
      </c>
      <c r="J2852" t="s">
        <v>54</v>
      </c>
      <c r="K2852" t="s">
        <v>29</v>
      </c>
      <c r="L2852" t="s">
        <v>895</v>
      </c>
      <c r="M2852" t="s">
        <v>4402</v>
      </c>
      <c r="O2852" t="s">
        <v>896</v>
      </c>
      <c r="P2852" t="s">
        <v>33</v>
      </c>
      <c r="Q2852">
        <v>16.63</v>
      </c>
      <c r="R2852" t="s">
        <v>35</v>
      </c>
      <c r="S2852" t="s">
        <v>35</v>
      </c>
      <c r="T2852" t="s">
        <v>35</v>
      </c>
      <c r="U2852" t="s">
        <v>35</v>
      </c>
      <c r="V2852" t="s">
        <v>645</v>
      </c>
      <c r="W2852" t="s">
        <v>113</v>
      </c>
    </row>
    <row r="2853" spans="1:23" hidden="1" x14ac:dyDescent="0.25">
      <c r="A2853" s="7" t="str">
        <f>IFERROR(VLOOKUP(H2853,'Contas Orç'!A:B,2,0),"N/A")</f>
        <v>OUTROS GASTOS COM PESSOAL</v>
      </c>
      <c r="B2853" s="7" t="str">
        <f t="shared" si="88"/>
        <v>330104 - OUTROS GASTOS COM PESSOAL</v>
      </c>
      <c r="C2853" s="25">
        <f t="shared" si="89"/>
        <v>44774</v>
      </c>
      <c r="D2853" s="27">
        <f>IF(K2853="CREDITO",Q2853,Q2853*-1)</f>
        <v>119.25</v>
      </c>
      <c r="E2853" t="s">
        <v>894</v>
      </c>
      <c r="F2853" t="s">
        <v>3347</v>
      </c>
      <c r="G2853" s="8">
        <v>44774</v>
      </c>
      <c r="H2853" t="s">
        <v>380</v>
      </c>
      <c r="I2853" t="s">
        <v>136</v>
      </c>
      <c r="J2853" t="s">
        <v>54</v>
      </c>
      <c r="K2853" t="s">
        <v>29</v>
      </c>
      <c r="L2853" t="s">
        <v>895</v>
      </c>
      <c r="M2853" t="s">
        <v>4402</v>
      </c>
      <c r="O2853" t="s">
        <v>896</v>
      </c>
      <c r="P2853" t="s">
        <v>33</v>
      </c>
      <c r="Q2853">
        <v>119.25</v>
      </c>
      <c r="R2853" t="s">
        <v>35</v>
      </c>
      <c r="S2853" t="s">
        <v>35</v>
      </c>
      <c r="T2853" t="s">
        <v>35</v>
      </c>
      <c r="U2853" t="s">
        <v>35</v>
      </c>
      <c r="V2853" t="s">
        <v>645</v>
      </c>
      <c r="W2853" t="s">
        <v>113</v>
      </c>
    </row>
    <row r="2854" spans="1:23" hidden="1" x14ac:dyDescent="0.25">
      <c r="A2854" s="7" t="str">
        <f>IFERROR(VLOOKUP(H2854,'Contas Orç'!A:B,2,0),"N/A")</f>
        <v>OUTROS GASTOS COM PESSOAL</v>
      </c>
      <c r="B2854" s="7" t="str">
        <f t="shared" si="88"/>
        <v>330104 - OUTROS GASTOS COM PESSOAL</v>
      </c>
      <c r="C2854" s="25">
        <f t="shared" si="89"/>
        <v>44805</v>
      </c>
      <c r="D2854" s="27">
        <f>IF(K2854="CREDITO",Q2854,Q2854*-1)</f>
        <v>119.96</v>
      </c>
      <c r="E2854" t="s">
        <v>894</v>
      </c>
      <c r="F2854" t="s">
        <v>3348</v>
      </c>
      <c r="G2854" s="8">
        <v>44805</v>
      </c>
      <c r="H2854" t="s">
        <v>380</v>
      </c>
      <c r="I2854" t="s">
        <v>1002</v>
      </c>
      <c r="J2854" t="s">
        <v>28</v>
      </c>
      <c r="K2854" t="s">
        <v>29</v>
      </c>
      <c r="L2854" t="s">
        <v>895</v>
      </c>
      <c r="M2854" t="s">
        <v>4402</v>
      </c>
      <c r="O2854" t="s">
        <v>896</v>
      </c>
      <c r="P2854" t="s">
        <v>33</v>
      </c>
      <c r="Q2854">
        <v>119.96</v>
      </c>
      <c r="R2854" t="s">
        <v>35</v>
      </c>
      <c r="S2854" t="s">
        <v>35</v>
      </c>
      <c r="T2854" t="s">
        <v>35</v>
      </c>
      <c r="U2854" t="s">
        <v>35</v>
      </c>
      <c r="V2854" t="s">
        <v>645</v>
      </c>
      <c r="W2854" t="s">
        <v>113</v>
      </c>
    </row>
    <row r="2855" spans="1:23" hidden="1" x14ac:dyDescent="0.25">
      <c r="A2855" s="7" t="str">
        <f>IFERROR(VLOOKUP(H2855,'Contas Orç'!A:B,2,0),"N/A")</f>
        <v>OUTROS GASTOS COM PESSOAL</v>
      </c>
      <c r="B2855" s="7" t="str">
        <f t="shared" si="88"/>
        <v>330104 - OUTROS GASTOS COM PESSOAL</v>
      </c>
      <c r="C2855" s="25">
        <f t="shared" si="89"/>
        <v>44805</v>
      </c>
      <c r="D2855" s="27">
        <f>IF(K2855="CREDITO",Q2855,Q2855*-1)</f>
        <v>331.19</v>
      </c>
      <c r="E2855" t="s">
        <v>894</v>
      </c>
      <c r="F2855" t="s">
        <v>3349</v>
      </c>
      <c r="G2855" s="8">
        <v>44805</v>
      </c>
      <c r="H2855" t="s">
        <v>380</v>
      </c>
      <c r="I2855" t="s">
        <v>99</v>
      </c>
      <c r="J2855" t="s">
        <v>28</v>
      </c>
      <c r="K2855" t="s">
        <v>29</v>
      </c>
      <c r="L2855" t="s">
        <v>895</v>
      </c>
      <c r="M2855" t="s">
        <v>4402</v>
      </c>
      <c r="O2855" t="s">
        <v>896</v>
      </c>
      <c r="P2855" t="s">
        <v>33</v>
      </c>
      <c r="Q2855">
        <v>331.19</v>
      </c>
      <c r="R2855" t="s">
        <v>35</v>
      </c>
      <c r="S2855" t="s">
        <v>35</v>
      </c>
      <c r="T2855" t="s">
        <v>35</v>
      </c>
      <c r="U2855" t="s">
        <v>35</v>
      </c>
      <c r="V2855" t="s">
        <v>645</v>
      </c>
      <c r="W2855" t="s">
        <v>113</v>
      </c>
    </row>
    <row r="2856" spans="1:23" hidden="1" x14ac:dyDescent="0.25">
      <c r="A2856" s="7" t="str">
        <f>IFERROR(VLOOKUP(H2856,'Contas Orç'!A:B,2,0),"N/A")</f>
        <v>OUTROS GASTOS COM PESSOAL</v>
      </c>
      <c r="B2856" s="7" t="str">
        <f t="shared" si="88"/>
        <v>330104 - OUTROS GASTOS COM PESSOAL</v>
      </c>
      <c r="C2856" s="25">
        <f t="shared" si="89"/>
        <v>44805</v>
      </c>
      <c r="D2856" s="27">
        <f>IF(K2856="CREDITO",Q2856,Q2856*-1)</f>
        <v>15.36</v>
      </c>
      <c r="E2856" t="s">
        <v>894</v>
      </c>
      <c r="F2856" t="s">
        <v>3350</v>
      </c>
      <c r="G2856" s="8">
        <v>44805</v>
      </c>
      <c r="H2856" t="s">
        <v>380</v>
      </c>
      <c r="I2856" t="s">
        <v>81</v>
      </c>
      <c r="J2856" t="s">
        <v>28</v>
      </c>
      <c r="K2856" t="s">
        <v>29</v>
      </c>
      <c r="L2856" t="s">
        <v>895</v>
      </c>
      <c r="M2856" t="s">
        <v>4402</v>
      </c>
      <c r="O2856" t="s">
        <v>896</v>
      </c>
      <c r="P2856" t="s">
        <v>33</v>
      </c>
      <c r="Q2856">
        <v>15.36</v>
      </c>
      <c r="R2856" t="s">
        <v>35</v>
      </c>
      <c r="S2856" t="s">
        <v>35</v>
      </c>
      <c r="T2856" t="s">
        <v>35</v>
      </c>
      <c r="U2856" t="s">
        <v>35</v>
      </c>
      <c r="V2856" t="s">
        <v>645</v>
      </c>
      <c r="W2856" t="s">
        <v>113</v>
      </c>
    </row>
    <row r="2857" spans="1:23" hidden="1" x14ac:dyDescent="0.25">
      <c r="A2857" s="7" t="str">
        <f>IFERROR(VLOOKUP(H2857,'Contas Orç'!A:B,2,0),"N/A")</f>
        <v>OUTROS GASTOS COM PESSOAL</v>
      </c>
      <c r="B2857" s="7" t="str">
        <f t="shared" si="88"/>
        <v>330104 - OUTROS GASTOS COM PESSOAL</v>
      </c>
      <c r="C2857" s="25">
        <f t="shared" si="89"/>
        <v>44805</v>
      </c>
      <c r="D2857" s="27">
        <f>IF(K2857="CREDITO",Q2857,Q2857*-1)</f>
        <v>127.5</v>
      </c>
      <c r="E2857" t="s">
        <v>894</v>
      </c>
      <c r="F2857" t="s">
        <v>3351</v>
      </c>
      <c r="G2857" s="8">
        <v>44805</v>
      </c>
      <c r="H2857" t="s">
        <v>380</v>
      </c>
      <c r="I2857" t="s">
        <v>68</v>
      </c>
      <c r="J2857" t="s">
        <v>69</v>
      </c>
      <c r="K2857" t="s">
        <v>29</v>
      </c>
      <c r="L2857" t="s">
        <v>895</v>
      </c>
      <c r="M2857" t="s">
        <v>4402</v>
      </c>
      <c r="O2857" t="s">
        <v>896</v>
      </c>
      <c r="P2857" t="s">
        <v>33</v>
      </c>
      <c r="Q2857">
        <v>127.5</v>
      </c>
      <c r="R2857" t="s">
        <v>35</v>
      </c>
      <c r="S2857" t="s">
        <v>35</v>
      </c>
      <c r="T2857" t="s">
        <v>35</v>
      </c>
      <c r="U2857" t="s">
        <v>35</v>
      </c>
      <c r="V2857" t="s">
        <v>645</v>
      </c>
      <c r="W2857" t="s">
        <v>113</v>
      </c>
    </row>
    <row r="2858" spans="1:23" hidden="1" x14ac:dyDescent="0.25">
      <c r="A2858" s="7" t="str">
        <f>IFERROR(VLOOKUP(H2858,'Contas Orç'!A:B,2,0),"N/A")</f>
        <v>OUTROS GASTOS COM PESSOAL</v>
      </c>
      <c r="B2858" s="7" t="str">
        <f t="shared" si="88"/>
        <v>330104 - OUTROS GASTOS COM PESSOAL</v>
      </c>
      <c r="C2858" s="25">
        <f t="shared" si="89"/>
        <v>44805</v>
      </c>
      <c r="D2858" s="27">
        <f>IF(K2858="CREDITO",Q2858,Q2858*-1)</f>
        <v>1243.76</v>
      </c>
      <c r="E2858" t="s">
        <v>894</v>
      </c>
      <c r="F2858" t="s">
        <v>3352</v>
      </c>
      <c r="G2858" s="8">
        <v>44805</v>
      </c>
      <c r="H2858" t="s">
        <v>380</v>
      </c>
      <c r="I2858" t="s">
        <v>40</v>
      </c>
      <c r="J2858" t="s">
        <v>54</v>
      </c>
      <c r="K2858" t="s">
        <v>29</v>
      </c>
      <c r="L2858" t="s">
        <v>895</v>
      </c>
      <c r="M2858" t="s">
        <v>4402</v>
      </c>
      <c r="O2858" t="s">
        <v>896</v>
      </c>
      <c r="P2858" t="s">
        <v>33</v>
      </c>
      <c r="Q2858" s="22">
        <v>1243.76</v>
      </c>
      <c r="R2858" t="s">
        <v>35</v>
      </c>
      <c r="S2858" t="s">
        <v>35</v>
      </c>
      <c r="T2858" t="s">
        <v>35</v>
      </c>
      <c r="U2858" t="s">
        <v>35</v>
      </c>
      <c r="V2858" t="s">
        <v>645</v>
      </c>
      <c r="W2858" t="s">
        <v>113</v>
      </c>
    </row>
    <row r="2859" spans="1:23" hidden="1" x14ac:dyDescent="0.25">
      <c r="A2859" s="7" t="str">
        <f>IFERROR(VLOOKUP(H2859,'Contas Orç'!A:B,2,0),"N/A")</f>
        <v>OUTROS GASTOS COM PESSOAL</v>
      </c>
      <c r="B2859" s="7" t="str">
        <f t="shared" si="88"/>
        <v>330104 - OUTROS GASTOS COM PESSOAL</v>
      </c>
      <c r="C2859" s="25">
        <f t="shared" si="89"/>
        <v>44805</v>
      </c>
      <c r="D2859" s="27">
        <f>IF(K2859="CREDITO",Q2859,Q2859*-1)</f>
        <v>327.74</v>
      </c>
      <c r="E2859" t="s">
        <v>894</v>
      </c>
      <c r="F2859" t="s">
        <v>3353</v>
      </c>
      <c r="G2859" s="8">
        <v>44805</v>
      </c>
      <c r="H2859" t="s">
        <v>380</v>
      </c>
      <c r="I2859" t="s">
        <v>1002</v>
      </c>
      <c r="J2859" t="s">
        <v>54</v>
      </c>
      <c r="K2859" t="s">
        <v>29</v>
      </c>
      <c r="L2859" t="s">
        <v>895</v>
      </c>
      <c r="M2859" t="s">
        <v>4402</v>
      </c>
      <c r="O2859" t="s">
        <v>896</v>
      </c>
      <c r="P2859" t="s">
        <v>33</v>
      </c>
      <c r="Q2859">
        <v>327.74</v>
      </c>
      <c r="R2859" t="s">
        <v>35</v>
      </c>
      <c r="S2859" t="s">
        <v>35</v>
      </c>
      <c r="T2859" t="s">
        <v>35</v>
      </c>
      <c r="U2859" t="s">
        <v>35</v>
      </c>
      <c r="V2859" t="s">
        <v>645</v>
      </c>
      <c r="W2859" t="s">
        <v>113</v>
      </c>
    </row>
    <row r="2860" spans="1:23" hidden="1" x14ac:dyDescent="0.25">
      <c r="A2860" s="7" t="str">
        <f>IFERROR(VLOOKUP(H2860,'Contas Orç'!A:B,2,0),"N/A")</f>
        <v>OUTROS GASTOS COM PESSOAL</v>
      </c>
      <c r="B2860" s="7" t="str">
        <f t="shared" si="88"/>
        <v>330104 - OUTROS GASTOS COM PESSOAL</v>
      </c>
      <c r="C2860" s="25">
        <f t="shared" si="89"/>
        <v>44805</v>
      </c>
      <c r="D2860" s="27">
        <f>IF(K2860="CREDITO",Q2860,Q2860*-1)</f>
        <v>399.88</v>
      </c>
      <c r="E2860" t="s">
        <v>894</v>
      </c>
      <c r="F2860" t="s">
        <v>3354</v>
      </c>
      <c r="G2860" s="8">
        <v>44805</v>
      </c>
      <c r="H2860" t="s">
        <v>380</v>
      </c>
      <c r="I2860" t="s">
        <v>132</v>
      </c>
      <c r="J2860" t="s">
        <v>54</v>
      </c>
      <c r="K2860" t="s">
        <v>29</v>
      </c>
      <c r="L2860" t="s">
        <v>895</v>
      </c>
      <c r="M2860" t="s">
        <v>4402</v>
      </c>
      <c r="O2860" t="s">
        <v>896</v>
      </c>
      <c r="P2860" t="s">
        <v>33</v>
      </c>
      <c r="Q2860">
        <v>399.88</v>
      </c>
      <c r="R2860" t="s">
        <v>35</v>
      </c>
      <c r="S2860" t="s">
        <v>35</v>
      </c>
      <c r="T2860" t="s">
        <v>35</v>
      </c>
      <c r="U2860" t="s">
        <v>35</v>
      </c>
      <c r="V2860" t="s">
        <v>645</v>
      </c>
      <c r="W2860" t="s">
        <v>113</v>
      </c>
    </row>
    <row r="2861" spans="1:23" hidden="1" x14ac:dyDescent="0.25">
      <c r="A2861" s="7" t="str">
        <f>IFERROR(VLOOKUP(H2861,'Contas Orç'!A:B,2,0),"N/A")</f>
        <v>OUTROS GASTOS COM PESSOAL</v>
      </c>
      <c r="B2861" s="7" t="str">
        <f t="shared" si="88"/>
        <v>330104 - OUTROS GASTOS COM PESSOAL</v>
      </c>
      <c r="C2861" s="25">
        <f t="shared" si="89"/>
        <v>44805</v>
      </c>
      <c r="D2861" s="27">
        <f>IF(K2861="CREDITO",Q2861,Q2861*-1)</f>
        <v>146.97</v>
      </c>
      <c r="E2861" t="s">
        <v>894</v>
      </c>
      <c r="F2861" t="s">
        <v>3355</v>
      </c>
      <c r="G2861" s="8">
        <v>44805</v>
      </c>
      <c r="H2861" t="s">
        <v>380</v>
      </c>
      <c r="I2861" t="s">
        <v>114</v>
      </c>
      <c r="J2861" t="s">
        <v>54</v>
      </c>
      <c r="K2861" t="s">
        <v>29</v>
      </c>
      <c r="L2861" t="s">
        <v>895</v>
      </c>
      <c r="M2861" t="s">
        <v>4402</v>
      </c>
      <c r="O2861" t="s">
        <v>896</v>
      </c>
      <c r="P2861" t="s">
        <v>33</v>
      </c>
      <c r="Q2861">
        <v>146.97</v>
      </c>
      <c r="R2861" t="s">
        <v>35</v>
      </c>
      <c r="S2861" t="s">
        <v>35</v>
      </c>
      <c r="T2861" t="s">
        <v>35</v>
      </c>
      <c r="U2861" t="s">
        <v>35</v>
      </c>
      <c r="V2861" t="s">
        <v>645</v>
      </c>
      <c r="W2861" t="s">
        <v>113</v>
      </c>
    </row>
    <row r="2862" spans="1:23" hidden="1" x14ac:dyDescent="0.25">
      <c r="A2862" s="7" t="str">
        <f>IFERROR(VLOOKUP(H2862,'Contas Orç'!A:B,2,0),"N/A")</f>
        <v>OUTROS GASTOS COM PESSOAL</v>
      </c>
      <c r="B2862" s="7" t="str">
        <f t="shared" si="88"/>
        <v>330104 - OUTROS GASTOS COM PESSOAL</v>
      </c>
      <c r="C2862" s="25">
        <f t="shared" si="89"/>
        <v>44805</v>
      </c>
      <c r="D2862" s="27">
        <f>IF(K2862="CREDITO",Q2862,Q2862*-1)</f>
        <v>54.06</v>
      </c>
      <c r="E2862" t="s">
        <v>894</v>
      </c>
      <c r="F2862" t="s">
        <v>3356</v>
      </c>
      <c r="G2862" s="8">
        <v>44805</v>
      </c>
      <c r="H2862" t="s">
        <v>380</v>
      </c>
      <c r="I2862" t="s">
        <v>78</v>
      </c>
      <c r="J2862" t="s">
        <v>54</v>
      </c>
      <c r="K2862" t="s">
        <v>29</v>
      </c>
      <c r="L2862" t="s">
        <v>895</v>
      </c>
      <c r="M2862" t="s">
        <v>4402</v>
      </c>
      <c r="O2862" t="s">
        <v>896</v>
      </c>
      <c r="P2862" t="s">
        <v>33</v>
      </c>
      <c r="Q2862">
        <v>54.06</v>
      </c>
      <c r="R2862" t="s">
        <v>35</v>
      </c>
      <c r="S2862" t="s">
        <v>35</v>
      </c>
      <c r="T2862" t="s">
        <v>35</v>
      </c>
      <c r="U2862" t="s">
        <v>35</v>
      </c>
      <c r="V2862" t="s">
        <v>645</v>
      </c>
      <c r="W2862" t="s">
        <v>113</v>
      </c>
    </row>
    <row r="2863" spans="1:23" hidden="1" x14ac:dyDescent="0.25">
      <c r="A2863" s="7" t="str">
        <f>IFERROR(VLOOKUP(H2863,'Contas Orç'!A:B,2,0),"N/A")</f>
        <v>OUTROS GASTOS COM PESSOAL</v>
      </c>
      <c r="B2863" s="7" t="str">
        <f t="shared" si="88"/>
        <v>330104 - OUTROS GASTOS COM PESSOAL</v>
      </c>
      <c r="C2863" s="25">
        <f t="shared" si="89"/>
        <v>44805</v>
      </c>
      <c r="D2863" s="27">
        <f>IF(K2863="CREDITO",Q2863,Q2863*-1)</f>
        <v>312.45999999999998</v>
      </c>
      <c r="E2863" t="s">
        <v>894</v>
      </c>
      <c r="F2863" t="s">
        <v>3357</v>
      </c>
      <c r="G2863" s="8">
        <v>44805</v>
      </c>
      <c r="H2863" t="s">
        <v>380</v>
      </c>
      <c r="I2863" t="s">
        <v>81</v>
      </c>
      <c r="J2863" t="s">
        <v>54</v>
      </c>
      <c r="K2863" t="s">
        <v>29</v>
      </c>
      <c r="L2863" t="s">
        <v>895</v>
      </c>
      <c r="M2863" t="s">
        <v>4402</v>
      </c>
      <c r="O2863" t="s">
        <v>896</v>
      </c>
      <c r="P2863" t="s">
        <v>33</v>
      </c>
      <c r="Q2863">
        <v>312.45999999999998</v>
      </c>
      <c r="R2863" t="s">
        <v>35</v>
      </c>
      <c r="S2863" t="s">
        <v>35</v>
      </c>
      <c r="T2863" t="s">
        <v>35</v>
      </c>
      <c r="U2863" t="s">
        <v>35</v>
      </c>
      <c r="V2863" t="s">
        <v>645</v>
      </c>
      <c r="W2863" t="s">
        <v>113</v>
      </c>
    </row>
    <row r="2864" spans="1:23" hidden="1" x14ac:dyDescent="0.25">
      <c r="A2864" s="7" t="str">
        <f>IFERROR(VLOOKUP(H2864,'Contas Orç'!A:B,2,0),"N/A")</f>
        <v>OUTROS GASTOS COM PESSOAL</v>
      </c>
      <c r="B2864" s="7" t="str">
        <f t="shared" si="88"/>
        <v>330104 - OUTROS GASTOS COM PESSOAL</v>
      </c>
      <c r="C2864" s="25">
        <f t="shared" si="89"/>
        <v>44805</v>
      </c>
      <c r="D2864" s="27">
        <f>IF(K2864="CREDITO",Q2864,Q2864*-1)</f>
        <v>70.510000000000005</v>
      </c>
      <c r="E2864" t="s">
        <v>894</v>
      </c>
      <c r="F2864" t="s">
        <v>3358</v>
      </c>
      <c r="G2864" s="8">
        <v>44805</v>
      </c>
      <c r="H2864" t="s">
        <v>380</v>
      </c>
      <c r="I2864" t="s">
        <v>136</v>
      </c>
      <c r="J2864" t="s">
        <v>54</v>
      </c>
      <c r="K2864" t="s">
        <v>29</v>
      </c>
      <c r="L2864" t="s">
        <v>895</v>
      </c>
      <c r="M2864" t="s">
        <v>4402</v>
      </c>
      <c r="O2864" t="s">
        <v>896</v>
      </c>
      <c r="P2864" t="s">
        <v>33</v>
      </c>
      <c r="Q2864">
        <v>70.510000000000005</v>
      </c>
      <c r="R2864" t="s">
        <v>35</v>
      </c>
      <c r="S2864" t="s">
        <v>35</v>
      </c>
      <c r="T2864" t="s">
        <v>35</v>
      </c>
      <c r="U2864" t="s">
        <v>35</v>
      </c>
      <c r="V2864" t="s">
        <v>645</v>
      </c>
      <c r="W2864" t="s">
        <v>113</v>
      </c>
    </row>
    <row r="2865" spans="1:23" hidden="1" x14ac:dyDescent="0.25">
      <c r="A2865" s="7" t="str">
        <f>IFERROR(VLOOKUP(H2865,'Contas Orç'!A:B,2,0),"N/A")</f>
        <v>OUTROS GASTOS COM PESSOAL</v>
      </c>
      <c r="B2865" s="7" t="str">
        <f t="shared" si="88"/>
        <v>330104 - OUTROS GASTOS COM PESSOAL</v>
      </c>
      <c r="C2865" s="25">
        <f t="shared" si="89"/>
        <v>44835</v>
      </c>
      <c r="D2865" s="27">
        <f>IF(K2865="CREDITO",Q2865,Q2865*-1)</f>
        <v>121.16</v>
      </c>
      <c r="E2865" t="s">
        <v>894</v>
      </c>
      <c r="F2865" t="s">
        <v>3359</v>
      </c>
      <c r="G2865" s="8">
        <v>44835</v>
      </c>
      <c r="H2865" t="s">
        <v>380</v>
      </c>
      <c r="I2865" t="s">
        <v>1002</v>
      </c>
      <c r="J2865" t="s">
        <v>28</v>
      </c>
      <c r="K2865" t="s">
        <v>29</v>
      </c>
      <c r="L2865" t="s">
        <v>895</v>
      </c>
      <c r="M2865" t="s">
        <v>4402</v>
      </c>
      <c r="O2865" t="s">
        <v>896</v>
      </c>
      <c r="P2865" t="s">
        <v>33</v>
      </c>
      <c r="Q2865">
        <v>121.16</v>
      </c>
      <c r="R2865" t="s">
        <v>35</v>
      </c>
      <c r="S2865" t="s">
        <v>35</v>
      </c>
      <c r="T2865" t="s">
        <v>35</v>
      </c>
      <c r="U2865" t="s">
        <v>35</v>
      </c>
      <c r="V2865" t="s">
        <v>645</v>
      </c>
      <c r="W2865" t="s">
        <v>113</v>
      </c>
    </row>
    <row r="2866" spans="1:23" hidden="1" x14ac:dyDescent="0.25">
      <c r="A2866" s="7" t="str">
        <f>IFERROR(VLOOKUP(H2866,'Contas Orç'!A:B,2,0),"N/A")</f>
        <v>OUTROS GASTOS COM PESSOAL</v>
      </c>
      <c r="B2866" s="7" t="str">
        <f t="shared" si="88"/>
        <v>330104 - OUTROS GASTOS COM PESSOAL</v>
      </c>
      <c r="C2866" s="25">
        <f t="shared" si="89"/>
        <v>44835</v>
      </c>
      <c r="D2866" s="27">
        <f>IF(K2866="CREDITO",Q2866,Q2866*-1)</f>
        <v>334.5</v>
      </c>
      <c r="E2866" t="s">
        <v>894</v>
      </c>
      <c r="F2866" t="s">
        <v>3360</v>
      </c>
      <c r="G2866" s="8">
        <v>44835</v>
      </c>
      <c r="H2866" t="s">
        <v>380</v>
      </c>
      <c r="I2866" t="s">
        <v>99</v>
      </c>
      <c r="J2866" t="s">
        <v>28</v>
      </c>
      <c r="K2866" t="s">
        <v>29</v>
      </c>
      <c r="L2866" t="s">
        <v>895</v>
      </c>
      <c r="M2866" t="s">
        <v>4402</v>
      </c>
      <c r="O2866" t="s">
        <v>896</v>
      </c>
      <c r="P2866" t="s">
        <v>33</v>
      </c>
      <c r="Q2866">
        <v>334.5</v>
      </c>
      <c r="R2866" t="s">
        <v>35</v>
      </c>
      <c r="S2866" t="s">
        <v>35</v>
      </c>
      <c r="T2866" t="s">
        <v>35</v>
      </c>
      <c r="U2866" t="s">
        <v>35</v>
      </c>
      <c r="V2866" t="s">
        <v>645</v>
      </c>
      <c r="W2866" t="s">
        <v>113</v>
      </c>
    </row>
    <row r="2867" spans="1:23" hidden="1" x14ac:dyDescent="0.25">
      <c r="A2867" s="7" t="str">
        <f>IFERROR(VLOOKUP(H2867,'Contas Orç'!A:B,2,0),"N/A")</f>
        <v>OUTROS GASTOS COM PESSOAL</v>
      </c>
      <c r="B2867" s="7" t="str">
        <f t="shared" si="88"/>
        <v>330104 - OUTROS GASTOS COM PESSOAL</v>
      </c>
      <c r="C2867" s="25">
        <f t="shared" si="89"/>
        <v>44835</v>
      </c>
      <c r="D2867" s="27">
        <f>IF(K2867="CREDITO",Q2867,Q2867*-1)</f>
        <v>15.51</v>
      </c>
      <c r="E2867" t="s">
        <v>894</v>
      </c>
      <c r="F2867" t="s">
        <v>3361</v>
      </c>
      <c r="G2867" s="8">
        <v>44835</v>
      </c>
      <c r="H2867" t="s">
        <v>380</v>
      </c>
      <c r="I2867" t="s">
        <v>81</v>
      </c>
      <c r="J2867" t="s">
        <v>28</v>
      </c>
      <c r="K2867" t="s">
        <v>29</v>
      </c>
      <c r="L2867" t="s">
        <v>895</v>
      </c>
      <c r="M2867" t="s">
        <v>4402</v>
      </c>
      <c r="O2867" t="s">
        <v>896</v>
      </c>
      <c r="P2867" t="s">
        <v>33</v>
      </c>
      <c r="Q2867">
        <v>15.51</v>
      </c>
      <c r="R2867" t="s">
        <v>35</v>
      </c>
      <c r="S2867" t="s">
        <v>35</v>
      </c>
      <c r="T2867" t="s">
        <v>35</v>
      </c>
      <c r="U2867" t="s">
        <v>35</v>
      </c>
      <c r="V2867" t="s">
        <v>645</v>
      </c>
      <c r="W2867" t="s">
        <v>113</v>
      </c>
    </row>
    <row r="2868" spans="1:23" hidden="1" x14ac:dyDescent="0.25">
      <c r="A2868" s="7" t="str">
        <f>IFERROR(VLOOKUP(H2868,'Contas Orç'!A:B,2,0),"N/A")</f>
        <v>OUTROS GASTOS COM PESSOAL</v>
      </c>
      <c r="B2868" s="7" t="str">
        <f t="shared" si="88"/>
        <v>330104 - OUTROS GASTOS COM PESSOAL</v>
      </c>
      <c r="C2868" s="25">
        <f t="shared" si="89"/>
        <v>44835</v>
      </c>
      <c r="D2868" s="27">
        <f>IF(K2868="CREDITO",Q2868,Q2868*-1)</f>
        <v>128.78</v>
      </c>
      <c r="E2868" t="s">
        <v>894</v>
      </c>
      <c r="F2868" t="s">
        <v>3362</v>
      </c>
      <c r="G2868" s="8">
        <v>44835</v>
      </c>
      <c r="H2868" t="s">
        <v>380</v>
      </c>
      <c r="I2868" t="s">
        <v>68</v>
      </c>
      <c r="J2868" t="s">
        <v>69</v>
      </c>
      <c r="K2868" t="s">
        <v>29</v>
      </c>
      <c r="L2868" t="s">
        <v>895</v>
      </c>
      <c r="M2868" t="s">
        <v>4402</v>
      </c>
      <c r="O2868" t="s">
        <v>896</v>
      </c>
      <c r="P2868" t="s">
        <v>33</v>
      </c>
      <c r="Q2868">
        <v>128.78</v>
      </c>
      <c r="R2868" t="s">
        <v>35</v>
      </c>
      <c r="S2868" t="s">
        <v>35</v>
      </c>
      <c r="T2868" t="s">
        <v>35</v>
      </c>
      <c r="U2868" t="s">
        <v>35</v>
      </c>
      <c r="V2868" t="s">
        <v>645</v>
      </c>
      <c r="W2868" t="s">
        <v>113</v>
      </c>
    </row>
    <row r="2869" spans="1:23" hidden="1" x14ac:dyDescent="0.25">
      <c r="A2869" s="7" t="str">
        <f>IFERROR(VLOOKUP(H2869,'Contas Orç'!A:B,2,0),"N/A")</f>
        <v>OUTROS GASTOS COM PESSOAL</v>
      </c>
      <c r="B2869" s="7" t="str">
        <f t="shared" si="88"/>
        <v>330104 - OUTROS GASTOS COM PESSOAL</v>
      </c>
      <c r="C2869" s="25">
        <f t="shared" si="89"/>
        <v>44835</v>
      </c>
      <c r="D2869" s="27">
        <f>IF(K2869="CREDITO",Q2869,Q2869*-1)</f>
        <v>1256.2</v>
      </c>
      <c r="E2869" t="s">
        <v>894</v>
      </c>
      <c r="F2869" t="s">
        <v>3363</v>
      </c>
      <c r="G2869" s="8">
        <v>44835</v>
      </c>
      <c r="H2869" t="s">
        <v>380</v>
      </c>
      <c r="I2869" t="s">
        <v>40</v>
      </c>
      <c r="J2869" t="s">
        <v>54</v>
      </c>
      <c r="K2869" t="s">
        <v>29</v>
      </c>
      <c r="L2869" t="s">
        <v>895</v>
      </c>
      <c r="M2869" t="s">
        <v>4402</v>
      </c>
      <c r="O2869" t="s">
        <v>896</v>
      </c>
      <c r="P2869" t="s">
        <v>33</v>
      </c>
      <c r="Q2869" s="22">
        <v>1256.2</v>
      </c>
      <c r="R2869" t="s">
        <v>35</v>
      </c>
      <c r="S2869" t="s">
        <v>35</v>
      </c>
      <c r="T2869" t="s">
        <v>35</v>
      </c>
      <c r="U2869" t="s">
        <v>35</v>
      </c>
      <c r="V2869" t="s">
        <v>645</v>
      </c>
      <c r="W2869" t="s">
        <v>113</v>
      </c>
    </row>
    <row r="2870" spans="1:23" hidden="1" x14ac:dyDescent="0.25">
      <c r="A2870" s="7" t="str">
        <f>IFERROR(VLOOKUP(H2870,'Contas Orç'!A:B,2,0),"N/A")</f>
        <v>OUTROS GASTOS COM PESSOAL</v>
      </c>
      <c r="B2870" s="7" t="str">
        <f t="shared" si="88"/>
        <v>330104 - OUTROS GASTOS COM PESSOAL</v>
      </c>
      <c r="C2870" s="25">
        <f t="shared" si="89"/>
        <v>44835</v>
      </c>
      <c r="D2870" s="27">
        <f>IF(K2870="CREDITO",Q2870,Q2870*-1)</f>
        <v>331.02</v>
      </c>
      <c r="E2870" t="s">
        <v>894</v>
      </c>
      <c r="F2870" t="s">
        <v>3364</v>
      </c>
      <c r="G2870" s="8">
        <v>44835</v>
      </c>
      <c r="H2870" t="s">
        <v>380</v>
      </c>
      <c r="I2870" t="s">
        <v>1002</v>
      </c>
      <c r="J2870" t="s">
        <v>54</v>
      </c>
      <c r="K2870" t="s">
        <v>29</v>
      </c>
      <c r="L2870" t="s">
        <v>895</v>
      </c>
      <c r="M2870" t="s">
        <v>4402</v>
      </c>
      <c r="O2870" t="s">
        <v>896</v>
      </c>
      <c r="P2870" t="s">
        <v>33</v>
      </c>
      <c r="Q2870">
        <v>331.02</v>
      </c>
      <c r="R2870" t="s">
        <v>35</v>
      </c>
      <c r="S2870" t="s">
        <v>35</v>
      </c>
      <c r="T2870" t="s">
        <v>35</v>
      </c>
      <c r="U2870" t="s">
        <v>35</v>
      </c>
      <c r="V2870" t="s">
        <v>645</v>
      </c>
      <c r="W2870" t="s">
        <v>113</v>
      </c>
    </row>
    <row r="2871" spans="1:23" hidden="1" x14ac:dyDescent="0.25">
      <c r="A2871" s="7" t="str">
        <f>IFERROR(VLOOKUP(H2871,'Contas Orç'!A:B,2,0),"N/A")</f>
        <v>OUTROS GASTOS COM PESSOAL</v>
      </c>
      <c r="B2871" s="7" t="str">
        <f t="shared" si="88"/>
        <v>330104 - OUTROS GASTOS COM PESSOAL</v>
      </c>
      <c r="C2871" s="25">
        <f t="shared" si="89"/>
        <v>44835</v>
      </c>
      <c r="D2871" s="27">
        <f>IF(K2871="CREDITO",Q2871,Q2871*-1)</f>
        <v>403.88</v>
      </c>
      <c r="E2871" t="s">
        <v>894</v>
      </c>
      <c r="F2871" t="s">
        <v>3365</v>
      </c>
      <c r="G2871" s="8">
        <v>44835</v>
      </c>
      <c r="H2871" t="s">
        <v>380</v>
      </c>
      <c r="I2871" t="s">
        <v>132</v>
      </c>
      <c r="J2871" t="s">
        <v>54</v>
      </c>
      <c r="K2871" t="s">
        <v>29</v>
      </c>
      <c r="L2871" t="s">
        <v>895</v>
      </c>
      <c r="M2871" t="s">
        <v>4402</v>
      </c>
      <c r="O2871" t="s">
        <v>896</v>
      </c>
      <c r="P2871" t="s">
        <v>33</v>
      </c>
      <c r="Q2871">
        <v>403.88</v>
      </c>
      <c r="R2871" t="s">
        <v>35</v>
      </c>
      <c r="S2871" t="s">
        <v>35</v>
      </c>
      <c r="T2871" t="s">
        <v>35</v>
      </c>
      <c r="U2871" t="s">
        <v>35</v>
      </c>
      <c r="V2871" t="s">
        <v>645</v>
      </c>
      <c r="W2871" t="s">
        <v>113</v>
      </c>
    </row>
    <row r="2872" spans="1:23" hidden="1" x14ac:dyDescent="0.25">
      <c r="A2872" s="7" t="str">
        <f>IFERROR(VLOOKUP(H2872,'Contas Orç'!A:B,2,0),"N/A")</f>
        <v>OUTROS GASTOS COM PESSOAL</v>
      </c>
      <c r="B2872" s="7" t="str">
        <f t="shared" si="88"/>
        <v>330104 - OUTROS GASTOS COM PESSOAL</v>
      </c>
      <c r="C2872" s="25">
        <f t="shared" si="89"/>
        <v>44835</v>
      </c>
      <c r="D2872" s="27">
        <f>IF(K2872="CREDITO",Q2872,Q2872*-1)</f>
        <v>148.44</v>
      </c>
      <c r="E2872" t="s">
        <v>894</v>
      </c>
      <c r="F2872" t="s">
        <v>3366</v>
      </c>
      <c r="G2872" s="8">
        <v>44835</v>
      </c>
      <c r="H2872" t="s">
        <v>380</v>
      </c>
      <c r="I2872" t="s">
        <v>114</v>
      </c>
      <c r="J2872" t="s">
        <v>54</v>
      </c>
      <c r="K2872" t="s">
        <v>29</v>
      </c>
      <c r="L2872" t="s">
        <v>895</v>
      </c>
      <c r="M2872" t="s">
        <v>4402</v>
      </c>
      <c r="O2872" t="s">
        <v>896</v>
      </c>
      <c r="P2872" t="s">
        <v>33</v>
      </c>
      <c r="Q2872">
        <v>148.44</v>
      </c>
      <c r="R2872" t="s">
        <v>35</v>
      </c>
      <c r="S2872" t="s">
        <v>35</v>
      </c>
      <c r="T2872" t="s">
        <v>35</v>
      </c>
      <c r="U2872" t="s">
        <v>35</v>
      </c>
      <c r="V2872" t="s">
        <v>645</v>
      </c>
      <c r="W2872" t="s">
        <v>113</v>
      </c>
    </row>
    <row r="2873" spans="1:23" hidden="1" x14ac:dyDescent="0.25">
      <c r="A2873" s="7" t="str">
        <f>IFERROR(VLOOKUP(H2873,'Contas Orç'!A:B,2,0),"N/A")</f>
        <v>OUTROS GASTOS COM PESSOAL</v>
      </c>
      <c r="B2873" s="7" t="str">
        <f t="shared" si="88"/>
        <v>330104 - OUTROS GASTOS COM PESSOAL</v>
      </c>
      <c r="C2873" s="25">
        <f t="shared" si="89"/>
        <v>44835</v>
      </c>
      <c r="D2873" s="27">
        <f>IF(K2873="CREDITO",Q2873,Q2873*-1)</f>
        <v>54.6</v>
      </c>
      <c r="E2873" t="s">
        <v>894</v>
      </c>
      <c r="F2873" t="s">
        <v>3367</v>
      </c>
      <c r="G2873" s="8">
        <v>44835</v>
      </c>
      <c r="H2873" t="s">
        <v>380</v>
      </c>
      <c r="I2873" t="s">
        <v>78</v>
      </c>
      <c r="J2873" t="s">
        <v>54</v>
      </c>
      <c r="K2873" t="s">
        <v>29</v>
      </c>
      <c r="L2873" t="s">
        <v>895</v>
      </c>
      <c r="M2873" t="s">
        <v>4402</v>
      </c>
      <c r="O2873" t="s">
        <v>896</v>
      </c>
      <c r="P2873" t="s">
        <v>33</v>
      </c>
      <c r="Q2873">
        <v>54.6</v>
      </c>
      <c r="R2873" t="s">
        <v>35</v>
      </c>
      <c r="S2873" t="s">
        <v>35</v>
      </c>
      <c r="T2873" t="s">
        <v>35</v>
      </c>
      <c r="U2873" t="s">
        <v>35</v>
      </c>
      <c r="V2873" t="s">
        <v>645</v>
      </c>
      <c r="W2873" t="s">
        <v>113</v>
      </c>
    </row>
    <row r="2874" spans="1:23" hidden="1" x14ac:dyDescent="0.25">
      <c r="A2874" s="7" t="str">
        <f>IFERROR(VLOOKUP(H2874,'Contas Orç'!A:B,2,0),"N/A")</f>
        <v>OUTROS GASTOS COM PESSOAL</v>
      </c>
      <c r="B2874" s="7" t="str">
        <f t="shared" si="88"/>
        <v>330104 - OUTROS GASTOS COM PESSOAL</v>
      </c>
      <c r="C2874" s="25">
        <f t="shared" si="89"/>
        <v>44835</v>
      </c>
      <c r="D2874" s="27">
        <f>IF(K2874="CREDITO",Q2874,Q2874*-1)</f>
        <v>315.58</v>
      </c>
      <c r="E2874" t="s">
        <v>894</v>
      </c>
      <c r="F2874" t="s">
        <v>3368</v>
      </c>
      <c r="G2874" s="8">
        <v>44835</v>
      </c>
      <c r="H2874" t="s">
        <v>380</v>
      </c>
      <c r="I2874" t="s">
        <v>81</v>
      </c>
      <c r="J2874" t="s">
        <v>54</v>
      </c>
      <c r="K2874" t="s">
        <v>29</v>
      </c>
      <c r="L2874" t="s">
        <v>895</v>
      </c>
      <c r="M2874" t="s">
        <v>4402</v>
      </c>
      <c r="O2874" t="s">
        <v>896</v>
      </c>
      <c r="P2874" t="s">
        <v>33</v>
      </c>
      <c r="Q2874">
        <v>315.58</v>
      </c>
      <c r="R2874" t="s">
        <v>35</v>
      </c>
      <c r="S2874" t="s">
        <v>35</v>
      </c>
      <c r="T2874" t="s">
        <v>35</v>
      </c>
      <c r="U2874" t="s">
        <v>35</v>
      </c>
      <c r="V2874" t="s">
        <v>645</v>
      </c>
      <c r="W2874" t="s">
        <v>113</v>
      </c>
    </row>
    <row r="2875" spans="1:23" hidden="1" x14ac:dyDescent="0.25">
      <c r="A2875" s="7" t="str">
        <f>IFERROR(VLOOKUP(H2875,'Contas Orç'!A:B,2,0),"N/A")</f>
        <v>OUTROS GASTOS COM PESSOAL</v>
      </c>
      <c r="B2875" s="7" t="str">
        <f t="shared" si="88"/>
        <v>330104 - OUTROS GASTOS COM PESSOAL</v>
      </c>
      <c r="C2875" s="25">
        <f t="shared" si="89"/>
        <v>44835</v>
      </c>
      <c r="D2875" s="27">
        <f>IF(K2875="CREDITO",Q2875,Q2875*-1)</f>
        <v>71.22</v>
      </c>
      <c r="E2875" t="s">
        <v>894</v>
      </c>
      <c r="F2875" t="s">
        <v>3369</v>
      </c>
      <c r="G2875" s="8">
        <v>44835</v>
      </c>
      <c r="H2875" t="s">
        <v>380</v>
      </c>
      <c r="I2875" t="s">
        <v>136</v>
      </c>
      <c r="J2875" t="s">
        <v>54</v>
      </c>
      <c r="K2875" t="s">
        <v>29</v>
      </c>
      <c r="L2875" t="s">
        <v>895</v>
      </c>
      <c r="M2875" t="s">
        <v>4402</v>
      </c>
      <c r="O2875" t="s">
        <v>896</v>
      </c>
      <c r="P2875" t="s">
        <v>33</v>
      </c>
      <c r="Q2875">
        <v>71.22</v>
      </c>
      <c r="R2875" t="s">
        <v>35</v>
      </c>
      <c r="S2875" t="s">
        <v>35</v>
      </c>
      <c r="T2875" t="s">
        <v>35</v>
      </c>
      <c r="U2875" t="s">
        <v>35</v>
      </c>
      <c r="V2875" t="s">
        <v>645</v>
      </c>
      <c r="W2875" t="s">
        <v>113</v>
      </c>
    </row>
    <row r="2876" spans="1:23" hidden="1" x14ac:dyDescent="0.25">
      <c r="A2876" s="7" t="str">
        <f>IFERROR(VLOOKUP(H2876,'Contas Orç'!A:B,2,0),"N/A")</f>
        <v>OUTROS GASTOS COM PESSOAL</v>
      </c>
      <c r="B2876" s="7" t="str">
        <f t="shared" si="88"/>
        <v>330104 - OUTROS GASTOS COM PESSOAL</v>
      </c>
      <c r="C2876" s="25">
        <f t="shared" si="89"/>
        <v>44866</v>
      </c>
      <c r="D2876" s="27">
        <f>IF(K2876="CREDITO",Q2876,Q2876*-1)</f>
        <v>122.37</v>
      </c>
      <c r="E2876" t="s">
        <v>894</v>
      </c>
      <c r="F2876" t="s">
        <v>3370</v>
      </c>
      <c r="G2876" s="8">
        <v>44866</v>
      </c>
      <c r="H2876" t="s">
        <v>380</v>
      </c>
      <c r="I2876" t="s">
        <v>1002</v>
      </c>
      <c r="J2876" t="s">
        <v>28</v>
      </c>
      <c r="K2876" t="s">
        <v>29</v>
      </c>
      <c r="L2876" t="s">
        <v>895</v>
      </c>
      <c r="M2876" t="s">
        <v>4402</v>
      </c>
      <c r="O2876" t="s">
        <v>896</v>
      </c>
      <c r="P2876" t="s">
        <v>33</v>
      </c>
      <c r="Q2876">
        <v>122.37</v>
      </c>
      <c r="R2876" t="s">
        <v>35</v>
      </c>
      <c r="S2876" t="s">
        <v>35</v>
      </c>
      <c r="T2876" t="s">
        <v>35</v>
      </c>
      <c r="U2876" t="s">
        <v>35</v>
      </c>
      <c r="V2876" t="s">
        <v>645</v>
      </c>
      <c r="W2876" t="s">
        <v>113</v>
      </c>
    </row>
    <row r="2877" spans="1:23" hidden="1" x14ac:dyDescent="0.25">
      <c r="A2877" s="7" t="str">
        <f>IFERROR(VLOOKUP(H2877,'Contas Orç'!A:B,2,0),"N/A")</f>
        <v>OUTROS GASTOS COM PESSOAL</v>
      </c>
      <c r="B2877" s="7" t="str">
        <f t="shared" si="88"/>
        <v>330104 - OUTROS GASTOS COM PESSOAL</v>
      </c>
      <c r="C2877" s="25">
        <f t="shared" si="89"/>
        <v>44866</v>
      </c>
      <c r="D2877" s="27">
        <f>IF(K2877="CREDITO",Q2877,Q2877*-1)</f>
        <v>337.85</v>
      </c>
      <c r="E2877" t="s">
        <v>894</v>
      </c>
      <c r="F2877" t="s">
        <v>3371</v>
      </c>
      <c r="G2877" s="8">
        <v>44866</v>
      </c>
      <c r="H2877" t="s">
        <v>380</v>
      </c>
      <c r="I2877" t="s">
        <v>99</v>
      </c>
      <c r="J2877" t="s">
        <v>28</v>
      </c>
      <c r="K2877" t="s">
        <v>29</v>
      </c>
      <c r="L2877" t="s">
        <v>895</v>
      </c>
      <c r="M2877" t="s">
        <v>4402</v>
      </c>
      <c r="O2877" t="s">
        <v>896</v>
      </c>
      <c r="P2877" t="s">
        <v>33</v>
      </c>
      <c r="Q2877">
        <v>337.85</v>
      </c>
      <c r="R2877" t="s">
        <v>35</v>
      </c>
      <c r="S2877" t="s">
        <v>35</v>
      </c>
      <c r="T2877" t="s">
        <v>35</v>
      </c>
      <c r="U2877" t="s">
        <v>35</v>
      </c>
      <c r="V2877" t="s">
        <v>645</v>
      </c>
      <c r="W2877" t="s">
        <v>113</v>
      </c>
    </row>
    <row r="2878" spans="1:23" hidden="1" x14ac:dyDescent="0.25">
      <c r="A2878" s="7" t="str">
        <f>IFERROR(VLOOKUP(H2878,'Contas Orç'!A:B,2,0),"N/A")</f>
        <v>OUTROS GASTOS COM PESSOAL</v>
      </c>
      <c r="B2878" s="7" t="str">
        <f t="shared" si="88"/>
        <v>330104 - OUTROS GASTOS COM PESSOAL</v>
      </c>
      <c r="C2878" s="25">
        <f t="shared" si="89"/>
        <v>44866</v>
      </c>
      <c r="D2878" s="27">
        <f>IF(K2878="CREDITO",Q2878,Q2878*-1)</f>
        <v>15.67</v>
      </c>
      <c r="E2878" t="s">
        <v>894</v>
      </c>
      <c r="F2878" t="s">
        <v>3372</v>
      </c>
      <c r="G2878" s="8">
        <v>44866</v>
      </c>
      <c r="H2878" t="s">
        <v>380</v>
      </c>
      <c r="I2878" t="s">
        <v>81</v>
      </c>
      <c r="J2878" t="s">
        <v>28</v>
      </c>
      <c r="K2878" t="s">
        <v>29</v>
      </c>
      <c r="L2878" t="s">
        <v>895</v>
      </c>
      <c r="M2878" t="s">
        <v>4402</v>
      </c>
      <c r="O2878" t="s">
        <v>896</v>
      </c>
      <c r="P2878" t="s">
        <v>33</v>
      </c>
      <c r="Q2878">
        <v>15.67</v>
      </c>
      <c r="R2878" t="s">
        <v>35</v>
      </c>
      <c r="S2878" t="s">
        <v>35</v>
      </c>
      <c r="T2878" t="s">
        <v>35</v>
      </c>
      <c r="U2878" t="s">
        <v>35</v>
      </c>
      <c r="V2878" t="s">
        <v>645</v>
      </c>
      <c r="W2878" t="s">
        <v>113</v>
      </c>
    </row>
    <row r="2879" spans="1:23" hidden="1" x14ac:dyDescent="0.25">
      <c r="A2879" s="7" t="str">
        <f>IFERROR(VLOOKUP(H2879,'Contas Orç'!A:B,2,0),"N/A")</f>
        <v>OUTROS GASTOS COM PESSOAL</v>
      </c>
      <c r="B2879" s="7" t="str">
        <f t="shared" si="88"/>
        <v>330104 - OUTROS GASTOS COM PESSOAL</v>
      </c>
      <c r="C2879" s="25">
        <f t="shared" si="89"/>
        <v>44866</v>
      </c>
      <c r="D2879" s="27">
        <f>IF(K2879="CREDITO",Q2879,Q2879*-1)</f>
        <v>130.06</v>
      </c>
      <c r="E2879" t="s">
        <v>894</v>
      </c>
      <c r="F2879" t="s">
        <v>3373</v>
      </c>
      <c r="G2879" s="8">
        <v>44866</v>
      </c>
      <c r="H2879" t="s">
        <v>380</v>
      </c>
      <c r="I2879" t="s">
        <v>68</v>
      </c>
      <c r="J2879" t="s">
        <v>69</v>
      </c>
      <c r="K2879" t="s">
        <v>29</v>
      </c>
      <c r="L2879" t="s">
        <v>895</v>
      </c>
      <c r="M2879" t="s">
        <v>4402</v>
      </c>
      <c r="O2879" t="s">
        <v>896</v>
      </c>
      <c r="P2879" t="s">
        <v>33</v>
      </c>
      <c r="Q2879">
        <v>130.06</v>
      </c>
      <c r="R2879" t="s">
        <v>35</v>
      </c>
      <c r="S2879" t="s">
        <v>35</v>
      </c>
      <c r="T2879" t="s">
        <v>35</v>
      </c>
      <c r="U2879" t="s">
        <v>35</v>
      </c>
      <c r="V2879" t="s">
        <v>645</v>
      </c>
      <c r="W2879" t="s">
        <v>113</v>
      </c>
    </row>
    <row r="2880" spans="1:23" hidden="1" x14ac:dyDescent="0.25">
      <c r="A2880" s="7" t="str">
        <f>IFERROR(VLOOKUP(H2880,'Contas Orç'!A:B,2,0),"N/A")</f>
        <v>OUTROS GASTOS COM PESSOAL</v>
      </c>
      <c r="B2880" s="7" t="str">
        <f t="shared" si="88"/>
        <v>330104 - OUTROS GASTOS COM PESSOAL</v>
      </c>
      <c r="C2880" s="25">
        <f t="shared" si="89"/>
        <v>44866</v>
      </c>
      <c r="D2880" s="27">
        <f>IF(K2880="CREDITO",Q2880,Q2880*-1)</f>
        <v>1268.76</v>
      </c>
      <c r="E2880" t="s">
        <v>894</v>
      </c>
      <c r="F2880" t="s">
        <v>3374</v>
      </c>
      <c r="G2880" s="8">
        <v>44866</v>
      </c>
      <c r="H2880" t="s">
        <v>380</v>
      </c>
      <c r="I2880" t="s">
        <v>40</v>
      </c>
      <c r="J2880" t="s">
        <v>54</v>
      </c>
      <c r="K2880" t="s">
        <v>29</v>
      </c>
      <c r="L2880" t="s">
        <v>895</v>
      </c>
      <c r="M2880" t="s">
        <v>4402</v>
      </c>
      <c r="O2880" t="s">
        <v>896</v>
      </c>
      <c r="P2880" t="s">
        <v>33</v>
      </c>
      <c r="Q2880" s="22">
        <v>1268.76</v>
      </c>
      <c r="R2880" t="s">
        <v>35</v>
      </c>
      <c r="S2880" t="s">
        <v>35</v>
      </c>
      <c r="T2880" t="s">
        <v>35</v>
      </c>
      <c r="U2880" t="s">
        <v>35</v>
      </c>
      <c r="V2880" t="s">
        <v>645</v>
      </c>
      <c r="W2880" t="s">
        <v>113</v>
      </c>
    </row>
    <row r="2881" spans="1:23" hidden="1" x14ac:dyDescent="0.25">
      <c r="A2881" s="7" t="str">
        <f>IFERROR(VLOOKUP(H2881,'Contas Orç'!A:B,2,0),"N/A")</f>
        <v>OUTROS GASTOS COM PESSOAL</v>
      </c>
      <c r="B2881" s="7" t="str">
        <f t="shared" si="88"/>
        <v>330104 - OUTROS GASTOS COM PESSOAL</v>
      </c>
      <c r="C2881" s="25">
        <f t="shared" si="89"/>
        <v>44866</v>
      </c>
      <c r="D2881" s="27">
        <f>IF(K2881="CREDITO",Q2881,Q2881*-1)</f>
        <v>334.33</v>
      </c>
      <c r="E2881" t="s">
        <v>894</v>
      </c>
      <c r="F2881" t="s">
        <v>3375</v>
      </c>
      <c r="G2881" s="8">
        <v>44866</v>
      </c>
      <c r="H2881" t="s">
        <v>380</v>
      </c>
      <c r="I2881" t="s">
        <v>1002</v>
      </c>
      <c r="J2881" t="s">
        <v>54</v>
      </c>
      <c r="K2881" t="s">
        <v>29</v>
      </c>
      <c r="L2881" t="s">
        <v>895</v>
      </c>
      <c r="M2881" t="s">
        <v>4402</v>
      </c>
      <c r="O2881" t="s">
        <v>896</v>
      </c>
      <c r="P2881" t="s">
        <v>33</v>
      </c>
      <c r="Q2881">
        <v>334.33</v>
      </c>
      <c r="R2881" t="s">
        <v>35</v>
      </c>
      <c r="S2881" t="s">
        <v>35</v>
      </c>
      <c r="T2881" t="s">
        <v>35</v>
      </c>
      <c r="U2881" t="s">
        <v>35</v>
      </c>
      <c r="V2881" t="s">
        <v>645</v>
      </c>
      <c r="W2881" t="s">
        <v>113</v>
      </c>
    </row>
    <row r="2882" spans="1:23" hidden="1" x14ac:dyDescent="0.25">
      <c r="A2882" s="7" t="str">
        <f>IFERROR(VLOOKUP(H2882,'Contas Orç'!A:B,2,0),"N/A")</f>
        <v>OUTROS GASTOS COM PESSOAL</v>
      </c>
      <c r="B2882" s="7" t="str">
        <f t="shared" si="88"/>
        <v>330104 - OUTROS GASTOS COM PESSOAL</v>
      </c>
      <c r="C2882" s="25">
        <f t="shared" si="89"/>
        <v>44866</v>
      </c>
      <c r="D2882" s="27">
        <f>IF(K2882="CREDITO",Q2882,Q2882*-1)</f>
        <v>407.92</v>
      </c>
      <c r="E2882" t="s">
        <v>894</v>
      </c>
      <c r="F2882" t="s">
        <v>3376</v>
      </c>
      <c r="G2882" s="8">
        <v>44866</v>
      </c>
      <c r="H2882" t="s">
        <v>380</v>
      </c>
      <c r="I2882" t="s">
        <v>132</v>
      </c>
      <c r="J2882" t="s">
        <v>54</v>
      </c>
      <c r="K2882" t="s">
        <v>29</v>
      </c>
      <c r="L2882" t="s">
        <v>895</v>
      </c>
      <c r="M2882" t="s">
        <v>4402</v>
      </c>
      <c r="O2882" t="s">
        <v>896</v>
      </c>
      <c r="P2882" t="s">
        <v>33</v>
      </c>
      <c r="Q2882">
        <v>407.92</v>
      </c>
      <c r="R2882" t="s">
        <v>35</v>
      </c>
      <c r="S2882" t="s">
        <v>35</v>
      </c>
      <c r="T2882" t="s">
        <v>35</v>
      </c>
      <c r="U2882" t="s">
        <v>35</v>
      </c>
      <c r="V2882" t="s">
        <v>645</v>
      </c>
      <c r="W2882" t="s">
        <v>113</v>
      </c>
    </row>
    <row r="2883" spans="1:23" hidden="1" x14ac:dyDescent="0.25">
      <c r="A2883" s="7" t="str">
        <f>IFERROR(VLOOKUP(H2883,'Contas Orç'!A:B,2,0),"N/A")</f>
        <v>OUTROS GASTOS COM PESSOAL</v>
      </c>
      <c r="B2883" s="7" t="str">
        <f t="shared" ref="B2883:B2946" si="90">_xlfn.CONCAT(H2883," - ",A2883)</f>
        <v>330104 - OUTROS GASTOS COM PESSOAL</v>
      </c>
      <c r="C2883" s="25">
        <f t="shared" ref="C2883:C2946" si="91">DATE(YEAR(G2883),MONTH(G2883),1)</f>
        <v>44866</v>
      </c>
      <c r="D2883" s="27">
        <f>IF(K2883="CREDITO",Q2883,Q2883*-1)</f>
        <v>149.91999999999999</v>
      </c>
      <c r="E2883" t="s">
        <v>894</v>
      </c>
      <c r="F2883" t="s">
        <v>3377</v>
      </c>
      <c r="G2883" s="8">
        <v>44866</v>
      </c>
      <c r="H2883" t="s">
        <v>380</v>
      </c>
      <c r="I2883" t="s">
        <v>114</v>
      </c>
      <c r="J2883" t="s">
        <v>54</v>
      </c>
      <c r="K2883" t="s">
        <v>29</v>
      </c>
      <c r="L2883" t="s">
        <v>895</v>
      </c>
      <c r="M2883" t="s">
        <v>4402</v>
      </c>
      <c r="O2883" t="s">
        <v>896</v>
      </c>
      <c r="P2883" t="s">
        <v>33</v>
      </c>
      <c r="Q2883">
        <v>149.91999999999999</v>
      </c>
      <c r="R2883" t="s">
        <v>35</v>
      </c>
      <c r="S2883" t="s">
        <v>35</v>
      </c>
      <c r="T2883" t="s">
        <v>35</v>
      </c>
      <c r="U2883" t="s">
        <v>35</v>
      </c>
      <c r="V2883" t="s">
        <v>645</v>
      </c>
      <c r="W2883" t="s">
        <v>113</v>
      </c>
    </row>
    <row r="2884" spans="1:23" hidden="1" x14ac:dyDescent="0.25">
      <c r="A2884" s="7" t="str">
        <f>IFERROR(VLOOKUP(H2884,'Contas Orç'!A:B,2,0),"N/A")</f>
        <v>OUTROS GASTOS COM PESSOAL</v>
      </c>
      <c r="B2884" s="7" t="str">
        <f t="shared" si="90"/>
        <v>330104 - OUTROS GASTOS COM PESSOAL</v>
      </c>
      <c r="C2884" s="25">
        <f t="shared" si="91"/>
        <v>44866</v>
      </c>
      <c r="D2884" s="27">
        <f>IF(K2884="CREDITO",Q2884,Q2884*-1)</f>
        <v>55.15</v>
      </c>
      <c r="E2884" t="s">
        <v>894</v>
      </c>
      <c r="F2884" t="s">
        <v>3378</v>
      </c>
      <c r="G2884" s="8">
        <v>44866</v>
      </c>
      <c r="H2884" t="s">
        <v>380</v>
      </c>
      <c r="I2884" t="s">
        <v>78</v>
      </c>
      <c r="J2884" t="s">
        <v>54</v>
      </c>
      <c r="K2884" t="s">
        <v>29</v>
      </c>
      <c r="L2884" t="s">
        <v>895</v>
      </c>
      <c r="M2884" t="s">
        <v>4402</v>
      </c>
      <c r="O2884" t="s">
        <v>896</v>
      </c>
      <c r="P2884" t="s">
        <v>33</v>
      </c>
      <c r="Q2884">
        <v>55.15</v>
      </c>
      <c r="R2884" t="s">
        <v>35</v>
      </c>
      <c r="S2884" t="s">
        <v>35</v>
      </c>
      <c r="T2884" t="s">
        <v>35</v>
      </c>
      <c r="U2884" t="s">
        <v>35</v>
      </c>
      <c r="V2884" t="s">
        <v>645</v>
      </c>
      <c r="W2884" t="s">
        <v>113</v>
      </c>
    </row>
    <row r="2885" spans="1:23" hidden="1" x14ac:dyDescent="0.25">
      <c r="A2885" s="7" t="str">
        <f>IFERROR(VLOOKUP(H2885,'Contas Orç'!A:B,2,0),"N/A")</f>
        <v>OUTROS GASTOS COM PESSOAL</v>
      </c>
      <c r="B2885" s="7" t="str">
        <f t="shared" si="90"/>
        <v>330104 - OUTROS GASTOS COM PESSOAL</v>
      </c>
      <c r="C2885" s="25">
        <f t="shared" si="91"/>
        <v>44866</v>
      </c>
      <c r="D2885" s="27">
        <f>IF(K2885="CREDITO",Q2885,Q2885*-1)</f>
        <v>318.74</v>
      </c>
      <c r="E2885" t="s">
        <v>894</v>
      </c>
      <c r="F2885" t="s">
        <v>3379</v>
      </c>
      <c r="G2885" s="8">
        <v>44866</v>
      </c>
      <c r="H2885" t="s">
        <v>380</v>
      </c>
      <c r="I2885" t="s">
        <v>81</v>
      </c>
      <c r="J2885" t="s">
        <v>54</v>
      </c>
      <c r="K2885" t="s">
        <v>29</v>
      </c>
      <c r="L2885" t="s">
        <v>895</v>
      </c>
      <c r="M2885" t="s">
        <v>4402</v>
      </c>
      <c r="O2885" t="s">
        <v>896</v>
      </c>
      <c r="P2885" t="s">
        <v>33</v>
      </c>
      <c r="Q2885">
        <v>318.74</v>
      </c>
      <c r="R2885" t="s">
        <v>35</v>
      </c>
      <c r="S2885" t="s">
        <v>35</v>
      </c>
      <c r="T2885" t="s">
        <v>35</v>
      </c>
      <c r="U2885" t="s">
        <v>35</v>
      </c>
      <c r="V2885" t="s">
        <v>645</v>
      </c>
      <c r="W2885" t="s">
        <v>113</v>
      </c>
    </row>
    <row r="2886" spans="1:23" hidden="1" x14ac:dyDescent="0.25">
      <c r="A2886" s="7" t="str">
        <f>IFERROR(VLOOKUP(H2886,'Contas Orç'!A:B,2,0),"N/A")</f>
        <v>OUTROS GASTOS COM PESSOAL</v>
      </c>
      <c r="B2886" s="7" t="str">
        <f t="shared" si="90"/>
        <v>330104 - OUTROS GASTOS COM PESSOAL</v>
      </c>
      <c r="C2886" s="25">
        <f t="shared" si="91"/>
        <v>44866</v>
      </c>
      <c r="D2886" s="27">
        <f>IF(K2886="CREDITO",Q2886,Q2886*-1)</f>
        <v>71.930000000000007</v>
      </c>
      <c r="E2886" t="s">
        <v>894</v>
      </c>
      <c r="F2886" t="s">
        <v>3380</v>
      </c>
      <c r="G2886" s="8">
        <v>44866</v>
      </c>
      <c r="H2886" t="s">
        <v>380</v>
      </c>
      <c r="I2886" t="s">
        <v>136</v>
      </c>
      <c r="J2886" t="s">
        <v>54</v>
      </c>
      <c r="K2886" t="s">
        <v>29</v>
      </c>
      <c r="L2886" t="s">
        <v>895</v>
      </c>
      <c r="M2886" t="s">
        <v>4402</v>
      </c>
      <c r="O2886" t="s">
        <v>896</v>
      </c>
      <c r="P2886" t="s">
        <v>33</v>
      </c>
      <c r="Q2886">
        <v>71.930000000000007</v>
      </c>
      <c r="R2886" t="s">
        <v>35</v>
      </c>
      <c r="S2886" t="s">
        <v>35</v>
      </c>
      <c r="T2886" t="s">
        <v>35</v>
      </c>
      <c r="U2886" t="s">
        <v>35</v>
      </c>
      <c r="V2886" t="s">
        <v>645</v>
      </c>
      <c r="W2886" t="s">
        <v>113</v>
      </c>
    </row>
    <row r="2887" spans="1:23" hidden="1" x14ac:dyDescent="0.25">
      <c r="A2887" s="7" t="str">
        <f>IFERROR(VLOOKUP(H2887,'Contas Orç'!A:B,2,0),"N/A")</f>
        <v>OUTROS GASTOS COM PESSOAL</v>
      </c>
      <c r="B2887" s="7" t="str">
        <f t="shared" si="90"/>
        <v>330104 - OUTROS GASTOS COM PESSOAL</v>
      </c>
      <c r="C2887" s="25">
        <f t="shared" si="91"/>
        <v>44896</v>
      </c>
      <c r="D2887" s="27">
        <f>IF(K2887="CREDITO",Q2887,Q2887*-1)</f>
        <v>123.59</v>
      </c>
      <c r="E2887" t="s">
        <v>894</v>
      </c>
      <c r="F2887" t="s">
        <v>3381</v>
      </c>
      <c r="G2887" s="8">
        <v>44896</v>
      </c>
      <c r="H2887" t="s">
        <v>380</v>
      </c>
      <c r="I2887" t="s">
        <v>1002</v>
      </c>
      <c r="J2887" t="s">
        <v>28</v>
      </c>
      <c r="K2887" t="s">
        <v>29</v>
      </c>
      <c r="L2887" t="s">
        <v>895</v>
      </c>
      <c r="M2887" t="s">
        <v>4402</v>
      </c>
      <c r="O2887" t="s">
        <v>896</v>
      </c>
      <c r="P2887" t="s">
        <v>33</v>
      </c>
      <c r="Q2887">
        <v>123.59</v>
      </c>
      <c r="R2887" t="s">
        <v>35</v>
      </c>
      <c r="S2887" t="s">
        <v>35</v>
      </c>
      <c r="T2887" t="s">
        <v>35</v>
      </c>
      <c r="U2887" t="s">
        <v>35</v>
      </c>
      <c r="V2887" t="s">
        <v>645</v>
      </c>
      <c r="W2887" t="s">
        <v>113</v>
      </c>
    </row>
    <row r="2888" spans="1:23" hidden="1" x14ac:dyDescent="0.25">
      <c r="A2888" s="7" t="str">
        <f>IFERROR(VLOOKUP(H2888,'Contas Orç'!A:B,2,0),"N/A")</f>
        <v>OUTROS GASTOS COM PESSOAL</v>
      </c>
      <c r="B2888" s="7" t="str">
        <f t="shared" si="90"/>
        <v>330104 - OUTROS GASTOS COM PESSOAL</v>
      </c>
      <c r="C2888" s="25">
        <f t="shared" si="91"/>
        <v>44896</v>
      </c>
      <c r="D2888" s="27">
        <f>IF(K2888="CREDITO",Q2888,Q2888*-1)</f>
        <v>341.23</v>
      </c>
      <c r="E2888" t="s">
        <v>894</v>
      </c>
      <c r="F2888" t="s">
        <v>3382</v>
      </c>
      <c r="G2888" s="8">
        <v>44896</v>
      </c>
      <c r="H2888" t="s">
        <v>380</v>
      </c>
      <c r="I2888" t="s">
        <v>99</v>
      </c>
      <c r="J2888" t="s">
        <v>28</v>
      </c>
      <c r="K2888" t="s">
        <v>29</v>
      </c>
      <c r="L2888" t="s">
        <v>895</v>
      </c>
      <c r="M2888" t="s">
        <v>4402</v>
      </c>
      <c r="O2888" t="s">
        <v>896</v>
      </c>
      <c r="P2888" t="s">
        <v>33</v>
      </c>
      <c r="Q2888">
        <v>341.23</v>
      </c>
      <c r="R2888" t="s">
        <v>35</v>
      </c>
      <c r="S2888" t="s">
        <v>35</v>
      </c>
      <c r="T2888" t="s">
        <v>35</v>
      </c>
      <c r="U2888" t="s">
        <v>35</v>
      </c>
      <c r="V2888" t="s">
        <v>645</v>
      </c>
      <c r="W2888" t="s">
        <v>113</v>
      </c>
    </row>
    <row r="2889" spans="1:23" hidden="1" x14ac:dyDescent="0.25">
      <c r="A2889" s="7" t="str">
        <f>IFERROR(VLOOKUP(H2889,'Contas Orç'!A:B,2,0),"N/A")</f>
        <v>OUTROS GASTOS COM PESSOAL</v>
      </c>
      <c r="B2889" s="7" t="str">
        <f t="shared" si="90"/>
        <v>330104 - OUTROS GASTOS COM PESSOAL</v>
      </c>
      <c r="C2889" s="25">
        <f t="shared" si="91"/>
        <v>44896</v>
      </c>
      <c r="D2889" s="27">
        <f>IF(K2889="CREDITO",Q2889,Q2889*-1)</f>
        <v>15.83</v>
      </c>
      <c r="E2889" t="s">
        <v>894</v>
      </c>
      <c r="F2889" t="s">
        <v>3383</v>
      </c>
      <c r="G2889" s="8">
        <v>44896</v>
      </c>
      <c r="H2889" t="s">
        <v>380</v>
      </c>
      <c r="I2889" t="s">
        <v>81</v>
      </c>
      <c r="J2889" t="s">
        <v>28</v>
      </c>
      <c r="K2889" t="s">
        <v>29</v>
      </c>
      <c r="L2889" t="s">
        <v>895</v>
      </c>
      <c r="M2889" t="s">
        <v>4402</v>
      </c>
      <c r="O2889" t="s">
        <v>896</v>
      </c>
      <c r="P2889" t="s">
        <v>33</v>
      </c>
      <c r="Q2889">
        <v>15.83</v>
      </c>
      <c r="R2889" t="s">
        <v>35</v>
      </c>
      <c r="S2889" t="s">
        <v>35</v>
      </c>
      <c r="T2889" t="s">
        <v>35</v>
      </c>
      <c r="U2889" t="s">
        <v>35</v>
      </c>
      <c r="V2889" t="s">
        <v>645</v>
      </c>
      <c r="W2889" t="s">
        <v>113</v>
      </c>
    </row>
    <row r="2890" spans="1:23" hidden="1" x14ac:dyDescent="0.25">
      <c r="A2890" s="7" t="str">
        <f>IFERROR(VLOOKUP(H2890,'Contas Orç'!A:B,2,0),"N/A")</f>
        <v>OUTROS GASTOS COM PESSOAL</v>
      </c>
      <c r="B2890" s="7" t="str">
        <f t="shared" si="90"/>
        <v>330104 - OUTROS GASTOS COM PESSOAL</v>
      </c>
      <c r="C2890" s="25">
        <f t="shared" si="91"/>
        <v>44896</v>
      </c>
      <c r="D2890" s="27">
        <f>IF(K2890="CREDITO",Q2890,Q2890*-1)</f>
        <v>131.36000000000001</v>
      </c>
      <c r="E2890" t="s">
        <v>894</v>
      </c>
      <c r="F2890" t="s">
        <v>3384</v>
      </c>
      <c r="G2890" s="8">
        <v>44896</v>
      </c>
      <c r="H2890" t="s">
        <v>380</v>
      </c>
      <c r="I2890" t="s">
        <v>68</v>
      </c>
      <c r="J2890" t="s">
        <v>69</v>
      </c>
      <c r="K2890" t="s">
        <v>29</v>
      </c>
      <c r="L2890" t="s">
        <v>895</v>
      </c>
      <c r="M2890" t="s">
        <v>4402</v>
      </c>
      <c r="O2890" t="s">
        <v>896</v>
      </c>
      <c r="P2890" t="s">
        <v>33</v>
      </c>
      <c r="Q2890">
        <v>131.36000000000001</v>
      </c>
      <c r="R2890" t="s">
        <v>35</v>
      </c>
      <c r="S2890" t="s">
        <v>35</v>
      </c>
      <c r="T2890" t="s">
        <v>35</v>
      </c>
      <c r="U2890" t="s">
        <v>35</v>
      </c>
      <c r="V2890" t="s">
        <v>645</v>
      </c>
      <c r="W2890" t="s">
        <v>113</v>
      </c>
    </row>
    <row r="2891" spans="1:23" hidden="1" x14ac:dyDescent="0.25">
      <c r="A2891" s="7" t="str">
        <f>IFERROR(VLOOKUP(H2891,'Contas Orç'!A:B,2,0),"N/A")</f>
        <v>OUTROS GASTOS COM PESSOAL</v>
      </c>
      <c r="B2891" s="7" t="str">
        <f t="shared" si="90"/>
        <v>330104 - OUTROS GASTOS COM PESSOAL</v>
      </c>
      <c r="C2891" s="25">
        <f t="shared" si="91"/>
        <v>44896</v>
      </c>
      <c r="D2891" s="27">
        <f>IF(K2891="CREDITO",Q2891,Q2891*-1)</f>
        <v>1281.45</v>
      </c>
      <c r="E2891" t="s">
        <v>894</v>
      </c>
      <c r="F2891" t="s">
        <v>3385</v>
      </c>
      <c r="G2891" s="8">
        <v>44896</v>
      </c>
      <c r="H2891" t="s">
        <v>380</v>
      </c>
      <c r="I2891" t="s">
        <v>40</v>
      </c>
      <c r="J2891" t="s">
        <v>54</v>
      </c>
      <c r="K2891" t="s">
        <v>29</v>
      </c>
      <c r="L2891" t="s">
        <v>895</v>
      </c>
      <c r="M2891" t="s">
        <v>4402</v>
      </c>
      <c r="O2891" t="s">
        <v>896</v>
      </c>
      <c r="P2891" t="s">
        <v>33</v>
      </c>
      <c r="Q2891" s="22">
        <v>1281.45</v>
      </c>
      <c r="R2891" t="s">
        <v>35</v>
      </c>
      <c r="S2891" t="s">
        <v>35</v>
      </c>
      <c r="T2891" t="s">
        <v>35</v>
      </c>
      <c r="U2891" t="s">
        <v>35</v>
      </c>
      <c r="V2891" t="s">
        <v>645</v>
      </c>
      <c r="W2891" t="s">
        <v>113</v>
      </c>
    </row>
    <row r="2892" spans="1:23" hidden="1" x14ac:dyDescent="0.25">
      <c r="A2892" s="7" t="str">
        <f>IFERROR(VLOOKUP(H2892,'Contas Orç'!A:B,2,0),"N/A")</f>
        <v>OUTROS GASTOS COM PESSOAL</v>
      </c>
      <c r="B2892" s="7" t="str">
        <f t="shared" si="90"/>
        <v>330104 - OUTROS GASTOS COM PESSOAL</v>
      </c>
      <c r="C2892" s="25">
        <f t="shared" si="91"/>
        <v>44896</v>
      </c>
      <c r="D2892" s="27">
        <f>IF(K2892="CREDITO",Q2892,Q2892*-1)</f>
        <v>337.67</v>
      </c>
      <c r="E2892" t="s">
        <v>894</v>
      </c>
      <c r="F2892" t="s">
        <v>3386</v>
      </c>
      <c r="G2892" s="8">
        <v>44896</v>
      </c>
      <c r="H2892" t="s">
        <v>380</v>
      </c>
      <c r="I2892" t="s">
        <v>1002</v>
      </c>
      <c r="J2892" t="s">
        <v>54</v>
      </c>
      <c r="K2892" t="s">
        <v>29</v>
      </c>
      <c r="L2892" t="s">
        <v>895</v>
      </c>
      <c r="M2892" t="s">
        <v>4402</v>
      </c>
      <c r="O2892" t="s">
        <v>896</v>
      </c>
      <c r="P2892" t="s">
        <v>33</v>
      </c>
      <c r="Q2892">
        <v>337.67</v>
      </c>
      <c r="R2892" t="s">
        <v>35</v>
      </c>
      <c r="S2892" t="s">
        <v>35</v>
      </c>
      <c r="T2892" t="s">
        <v>35</v>
      </c>
      <c r="U2892" t="s">
        <v>35</v>
      </c>
      <c r="V2892" t="s">
        <v>645</v>
      </c>
      <c r="W2892" t="s">
        <v>113</v>
      </c>
    </row>
    <row r="2893" spans="1:23" hidden="1" x14ac:dyDescent="0.25">
      <c r="A2893" s="7" t="str">
        <f>IFERROR(VLOOKUP(H2893,'Contas Orç'!A:B,2,0),"N/A")</f>
        <v>OUTROS GASTOS COM PESSOAL</v>
      </c>
      <c r="B2893" s="7" t="str">
        <f t="shared" si="90"/>
        <v>330104 - OUTROS GASTOS COM PESSOAL</v>
      </c>
      <c r="C2893" s="25">
        <f t="shared" si="91"/>
        <v>44896</v>
      </c>
      <c r="D2893" s="27">
        <f>IF(K2893="CREDITO",Q2893,Q2893*-1)</f>
        <v>412</v>
      </c>
      <c r="E2893" t="s">
        <v>894</v>
      </c>
      <c r="F2893" t="s">
        <v>3387</v>
      </c>
      <c r="G2893" s="8">
        <v>44896</v>
      </c>
      <c r="H2893" t="s">
        <v>380</v>
      </c>
      <c r="I2893" t="s">
        <v>132</v>
      </c>
      <c r="J2893" t="s">
        <v>54</v>
      </c>
      <c r="K2893" t="s">
        <v>29</v>
      </c>
      <c r="L2893" t="s">
        <v>895</v>
      </c>
      <c r="M2893" t="s">
        <v>4402</v>
      </c>
      <c r="O2893" t="s">
        <v>896</v>
      </c>
      <c r="P2893" t="s">
        <v>33</v>
      </c>
      <c r="Q2893">
        <v>412</v>
      </c>
      <c r="R2893" t="s">
        <v>35</v>
      </c>
      <c r="S2893" t="s">
        <v>35</v>
      </c>
      <c r="T2893" t="s">
        <v>35</v>
      </c>
      <c r="U2893" t="s">
        <v>35</v>
      </c>
      <c r="V2893" t="s">
        <v>645</v>
      </c>
      <c r="W2893" t="s">
        <v>113</v>
      </c>
    </row>
    <row r="2894" spans="1:23" hidden="1" x14ac:dyDescent="0.25">
      <c r="A2894" s="7" t="str">
        <f>IFERROR(VLOOKUP(H2894,'Contas Orç'!A:B,2,0),"N/A")</f>
        <v>OUTROS GASTOS COM PESSOAL</v>
      </c>
      <c r="B2894" s="7" t="str">
        <f t="shared" si="90"/>
        <v>330104 - OUTROS GASTOS COM PESSOAL</v>
      </c>
      <c r="C2894" s="25">
        <f t="shared" si="91"/>
        <v>44896</v>
      </c>
      <c r="D2894" s="27">
        <f>IF(K2894="CREDITO",Q2894,Q2894*-1)</f>
        <v>151.41999999999999</v>
      </c>
      <c r="E2894" t="s">
        <v>894</v>
      </c>
      <c r="F2894" t="s">
        <v>3388</v>
      </c>
      <c r="G2894" s="8">
        <v>44896</v>
      </c>
      <c r="H2894" t="s">
        <v>380</v>
      </c>
      <c r="I2894" t="s">
        <v>114</v>
      </c>
      <c r="J2894" t="s">
        <v>54</v>
      </c>
      <c r="K2894" t="s">
        <v>29</v>
      </c>
      <c r="L2894" t="s">
        <v>895</v>
      </c>
      <c r="M2894" t="s">
        <v>4402</v>
      </c>
      <c r="O2894" t="s">
        <v>896</v>
      </c>
      <c r="P2894" t="s">
        <v>33</v>
      </c>
      <c r="Q2894">
        <v>151.41999999999999</v>
      </c>
      <c r="R2894" t="s">
        <v>35</v>
      </c>
      <c r="S2894" t="s">
        <v>35</v>
      </c>
      <c r="T2894" t="s">
        <v>35</v>
      </c>
      <c r="U2894" t="s">
        <v>35</v>
      </c>
      <c r="V2894" t="s">
        <v>645</v>
      </c>
      <c r="W2894" t="s">
        <v>113</v>
      </c>
    </row>
    <row r="2895" spans="1:23" hidden="1" x14ac:dyDescent="0.25">
      <c r="A2895" s="7" t="str">
        <f>IFERROR(VLOOKUP(H2895,'Contas Orç'!A:B,2,0),"N/A")</f>
        <v>OUTROS GASTOS COM PESSOAL</v>
      </c>
      <c r="B2895" s="7" t="str">
        <f t="shared" si="90"/>
        <v>330104 - OUTROS GASTOS COM PESSOAL</v>
      </c>
      <c r="C2895" s="25">
        <f t="shared" si="91"/>
        <v>44896</v>
      </c>
      <c r="D2895" s="27">
        <f>IF(K2895="CREDITO",Q2895,Q2895*-1)</f>
        <v>55.7</v>
      </c>
      <c r="E2895" t="s">
        <v>894</v>
      </c>
      <c r="F2895" t="s">
        <v>3389</v>
      </c>
      <c r="G2895" s="8">
        <v>44896</v>
      </c>
      <c r="H2895" t="s">
        <v>380</v>
      </c>
      <c r="I2895" t="s">
        <v>78</v>
      </c>
      <c r="J2895" t="s">
        <v>54</v>
      </c>
      <c r="K2895" t="s">
        <v>29</v>
      </c>
      <c r="L2895" t="s">
        <v>895</v>
      </c>
      <c r="M2895" t="s">
        <v>4402</v>
      </c>
      <c r="O2895" t="s">
        <v>896</v>
      </c>
      <c r="P2895" t="s">
        <v>33</v>
      </c>
      <c r="Q2895">
        <v>55.7</v>
      </c>
      <c r="R2895" t="s">
        <v>35</v>
      </c>
      <c r="S2895" t="s">
        <v>35</v>
      </c>
      <c r="T2895" t="s">
        <v>35</v>
      </c>
      <c r="U2895" t="s">
        <v>35</v>
      </c>
      <c r="V2895" t="s">
        <v>645</v>
      </c>
      <c r="W2895" t="s">
        <v>113</v>
      </c>
    </row>
    <row r="2896" spans="1:23" hidden="1" x14ac:dyDescent="0.25">
      <c r="A2896" s="7" t="str">
        <f>IFERROR(VLOOKUP(H2896,'Contas Orç'!A:B,2,0),"N/A")</f>
        <v>OUTROS GASTOS COM PESSOAL</v>
      </c>
      <c r="B2896" s="7" t="str">
        <f t="shared" si="90"/>
        <v>330104 - OUTROS GASTOS COM PESSOAL</v>
      </c>
      <c r="C2896" s="25">
        <f t="shared" si="91"/>
        <v>44896</v>
      </c>
      <c r="D2896" s="27">
        <f>IF(K2896="CREDITO",Q2896,Q2896*-1)</f>
        <v>321.93</v>
      </c>
      <c r="E2896" t="s">
        <v>894</v>
      </c>
      <c r="F2896" t="s">
        <v>3390</v>
      </c>
      <c r="G2896" s="8">
        <v>44896</v>
      </c>
      <c r="H2896" t="s">
        <v>380</v>
      </c>
      <c r="I2896" t="s">
        <v>81</v>
      </c>
      <c r="J2896" t="s">
        <v>54</v>
      </c>
      <c r="K2896" t="s">
        <v>29</v>
      </c>
      <c r="L2896" t="s">
        <v>895</v>
      </c>
      <c r="M2896" t="s">
        <v>4402</v>
      </c>
      <c r="O2896" t="s">
        <v>896</v>
      </c>
      <c r="P2896" t="s">
        <v>33</v>
      </c>
      <c r="Q2896">
        <v>321.93</v>
      </c>
      <c r="R2896" t="s">
        <v>35</v>
      </c>
      <c r="S2896" t="s">
        <v>35</v>
      </c>
      <c r="T2896" t="s">
        <v>35</v>
      </c>
      <c r="U2896" t="s">
        <v>35</v>
      </c>
      <c r="V2896" t="s">
        <v>645</v>
      </c>
      <c r="W2896" t="s">
        <v>113</v>
      </c>
    </row>
    <row r="2897" spans="1:23" hidden="1" x14ac:dyDescent="0.25">
      <c r="A2897" s="7" t="str">
        <f>IFERROR(VLOOKUP(H2897,'Contas Orç'!A:B,2,0),"N/A")</f>
        <v>OUTROS GASTOS COM PESSOAL</v>
      </c>
      <c r="B2897" s="7" t="str">
        <f t="shared" si="90"/>
        <v>330104 - OUTROS GASTOS COM PESSOAL</v>
      </c>
      <c r="C2897" s="25">
        <f t="shared" si="91"/>
        <v>44896</v>
      </c>
      <c r="D2897" s="27">
        <f>IF(K2897="CREDITO",Q2897,Q2897*-1)</f>
        <v>72.650000000000006</v>
      </c>
      <c r="E2897" t="s">
        <v>894</v>
      </c>
      <c r="F2897" t="s">
        <v>3391</v>
      </c>
      <c r="G2897" s="8">
        <v>44896</v>
      </c>
      <c r="H2897" t="s">
        <v>380</v>
      </c>
      <c r="I2897" t="s">
        <v>136</v>
      </c>
      <c r="J2897" t="s">
        <v>54</v>
      </c>
      <c r="K2897" t="s">
        <v>29</v>
      </c>
      <c r="L2897" t="s">
        <v>895</v>
      </c>
      <c r="M2897" t="s">
        <v>4402</v>
      </c>
      <c r="O2897" t="s">
        <v>896</v>
      </c>
      <c r="P2897" t="s">
        <v>33</v>
      </c>
      <c r="Q2897">
        <v>72.650000000000006</v>
      </c>
      <c r="R2897" t="s">
        <v>35</v>
      </c>
      <c r="S2897" t="s">
        <v>35</v>
      </c>
      <c r="T2897" t="s">
        <v>35</v>
      </c>
      <c r="U2897" t="s">
        <v>35</v>
      </c>
      <c r="V2897" t="s">
        <v>645</v>
      </c>
      <c r="W2897" t="s">
        <v>113</v>
      </c>
    </row>
    <row r="2898" spans="1:23" hidden="1" x14ac:dyDescent="0.25">
      <c r="A2898" s="7" t="str">
        <f>IFERROR(VLOOKUP(H2898,'Contas Orç'!A:B,2,0),"N/A")</f>
        <v>PJ-CONSULTORIA E ASSESSORIA</v>
      </c>
      <c r="B2898" s="7" t="str">
        <f t="shared" si="90"/>
        <v>330201001 - PJ-CONSULTORIA E ASSESSORIA</v>
      </c>
      <c r="C2898" s="25">
        <f t="shared" si="91"/>
        <v>44562</v>
      </c>
      <c r="D2898" s="27">
        <f>IF(K2898="CREDITO",Q2898,Q2898*-1)</f>
        <v>2600</v>
      </c>
      <c r="E2898" t="s">
        <v>894</v>
      </c>
      <c r="F2898" t="s">
        <v>3392</v>
      </c>
      <c r="G2898" s="8">
        <v>44562</v>
      </c>
      <c r="H2898" t="s">
        <v>580</v>
      </c>
      <c r="I2898" t="s">
        <v>68</v>
      </c>
      <c r="J2898" t="s">
        <v>69</v>
      </c>
      <c r="K2898" t="s">
        <v>29</v>
      </c>
      <c r="L2898" t="s">
        <v>895</v>
      </c>
      <c r="M2898" t="s">
        <v>4402</v>
      </c>
      <c r="O2898" t="s">
        <v>896</v>
      </c>
      <c r="P2898" t="s">
        <v>33</v>
      </c>
      <c r="Q2898" s="22">
        <v>2600</v>
      </c>
      <c r="R2898" t="s">
        <v>35</v>
      </c>
      <c r="S2898" t="s">
        <v>35</v>
      </c>
      <c r="T2898" t="s">
        <v>35</v>
      </c>
      <c r="U2898" t="s">
        <v>35</v>
      </c>
      <c r="V2898" t="s">
        <v>645</v>
      </c>
      <c r="W2898" t="s">
        <v>113</v>
      </c>
    </row>
    <row r="2899" spans="1:23" hidden="1" x14ac:dyDescent="0.25">
      <c r="A2899" s="7" t="str">
        <f>IFERROR(VLOOKUP(H2899,'Contas Orç'!A:B,2,0),"N/A")</f>
        <v>PJ-CONSULTORIA E ASSESSORIA</v>
      </c>
      <c r="B2899" s="7" t="str">
        <f t="shared" si="90"/>
        <v>330201001 - PJ-CONSULTORIA E ASSESSORIA</v>
      </c>
      <c r="C2899" s="25">
        <f t="shared" si="91"/>
        <v>44593</v>
      </c>
      <c r="D2899" s="27">
        <f>IF(K2899="CREDITO",Q2899,Q2899*-1)</f>
        <v>2850</v>
      </c>
      <c r="E2899" t="s">
        <v>894</v>
      </c>
      <c r="F2899" t="s">
        <v>3393</v>
      </c>
      <c r="G2899" s="8">
        <v>44593</v>
      </c>
      <c r="H2899" t="s">
        <v>580</v>
      </c>
      <c r="I2899" t="s">
        <v>68</v>
      </c>
      <c r="J2899" t="s">
        <v>28</v>
      </c>
      <c r="K2899" t="s">
        <v>29</v>
      </c>
      <c r="L2899" t="s">
        <v>895</v>
      </c>
      <c r="M2899" t="s">
        <v>4402</v>
      </c>
      <c r="O2899" t="s">
        <v>896</v>
      </c>
      <c r="P2899" t="s">
        <v>33</v>
      </c>
      <c r="Q2899" s="22">
        <v>2850</v>
      </c>
      <c r="R2899" t="s">
        <v>35</v>
      </c>
      <c r="S2899" t="s">
        <v>35</v>
      </c>
      <c r="T2899" t="s">
        <v>35</v>
      </c>
      <c r="U2899" t="s">
        <v>35</v>
      </c>
      <c r="V2899" t="s">
        <v>645</v>
      </c>
      <c r="W2899" t="s">
        <v>113</v>
      </c>
    </row>
    <row r="2900" spans="1:23" hidden="1" x14ac:dyDescent="0.25">
      <c r="A2900" s="7" t="str">
        <f>IFERROR(VLOOKUP(H2900,'Contas Orç'!A:B,2,0),"N/A")</f>
        <v>PJ-CONSULTORIA E ASSESSORIA</v>
      </c>
      <c r="B2900" s="7" t="str">
        <f t="shared" si="90"/>
        <v>330201001 - PJ-CONSULTORIA E ASSESSORIA</v>
      </c>
      <c r="C2900" s="25">
        <f t="shared" si="91"/>
        <v>44593</v>
      </c>
      <c r="D2900" s="27">
        <f>IF(K2900="CREDITO",Q2900,Q2900*-1)</f>
        <v>4250</v>
      </c>
      <c r="E2900" t="s">
        <v>894</v>
      </c>
      <c r="F2900" t="s">
        <v>3394</v>
      </c>
      <c r="G2900" s="8">
        <v>44593</v>
      </c>
      <c r="H2900" t="s">
        <v>580</v>
      </c>
      <c r="I2900" t="s">
        <v>68</v>
      </c>
      <c r="J2900" t="s">
        <v>69</v>
      </c>
      <c r="K2900" t="s">
        <v>29</v>
      </c>
      <c r="L2900" t="s">
        <v>895</v>
      </c>
      <c r="M2900" t="s">
        <v>4402</v>
      </c>
      <c r="O2900" t="s">
        <v>896</v>
      </c>
      <c r="P2900" t="s">
        <v>33</v>
      </c>
      <c r="Q2900" s="22">
        <v>4250</v>
      </c>
      <c r="R2900" t="s">
        <v>35</v>
      </c>
      <c r="S2900" t="s">
        <v>35</v>
      </c>
      <c r="T2900" t="s">
        <v>35</v>
      </c>
      <c r="U2900" t="s">
        <v>35</v>
      </c>
      <c r="V2900" t="s">
        <v>645</v>
      </c>
      <c r="W2900" t="s">
        <v>113</v>
      </c>
    </row>
    <row r="2901" spans="1:23" hidden="1" x14ac:dyDescent="0.25">
      <c r="A2901" s="7" t="str">
        <f>IFERROR(VLOOKUP(H2901,'Contas Orç'!A:B,2,0),"N/A")</f>
        <v>PJ-CONSULTORIA E ASSESSORIA</v>
      </c>
      <c r="B2901" s="7" t="str">
        <f t="shared" si="90"/>
        <v>330201001 - PJ-CONSULTORIA E ASSESSORIA</v>
      </c>
      <c r="C2901" s="25">
        <f t="shared" si="91"/>
        <v>44621</v>
      </c>
      <c r="D2901" s="27">
        <f>IF(K2901="CREDITO",Q2901,Q2901*-1)</f>
        <v>7220.4</v>
      </c>
      <c r="E2901" t="s">
        <v>894</v>
      </c>
      <c r="F2901" t="s">
        <v>3395</v>
      </c>
      <c r="G2901" s="8">
        <v>44621</v>
      </c>
      <c r="H2901" t="s">
        <v>580</v>
      </c>
      <c r="I2901" t="s">
        <v>68</v>
      </c>
      <c r="J2901" t="s">
        <v>69</v>
      </c>
      <c r="K2901" t="s">
        <v>29</v>
      </c>
      <c r="L2901" t="s">
        <v>895</v>
      </c>
      <c r="M2901" t="s">
        <v>4402</v>
      </c>
      <c r="O2901" t="s">
        <v>896</v>
      </c>
      <c r="P2901" t="s">
        <v>33</v>
      </c>
      <c r="Q2901" s="22">
        <v>7220.4</v>
      </c>
      <c r="R2901" t="s">
        <v>35</v>
      </c>
      <c r="S2901" t="s">
        <v>35</v>
      </c>
      <c r="T2901" t="s">
        <v>35</v>
      </c>
      <c r="U2901" t="s">
        <v>35</v>
      </c>
      <c r="V2901" t="s">
        <v>645</v>
      </c>
      <c r="W2901" t="s">
        <v>113</v>
      </c>
    </row>
    <row r="2902" spans="1:23" hidden="1" x14ac:dyDescent="0.25">
      <c r="A2902" s="7" t="str">
        <f>IFERROR(VLOOKUP(H2902,'Contas Orç'!A:B,2,0),"N/A")</f>
        <v>PJ-CONSULTORIA E ASSESSORIA</v>
      </c>
      <c r="B2902" s="7" t="str">
        <f t="shared" si="90"/>
        <v>330201001 - PJ-CONSULTORIA E ASSESSORIA</v>
      </c>
      <c r="C2902" s="25">
        <f t="shared" si="91"/>
        <v>44652</v>
      </c>
      <c r="D2902" s="27">
        <f>IF(K2902="CREDITO",Q2902,Q2902*-1)</f>
        <v>7350</v>
      </c>
      <c r="E2902" t="s">
        <v>894</v>
      </c>
      <c r="F2902" t="s">
        <v>3396</v>
      </c>
      <c r="G2902" s="8">
        <v>44652</v>
      </c>
      <c r="H2902" t="s">
        <v>580</v>
      </c>
      <c r="I2902" t="s">
        <v>68</v>
      </c>
      <c r="J2902" t="s">
        <v>69</v>
      </c>
      <c r="K2902" t="s">
        <v>29</v>
      </c>
      <c r="L2902" t="s">
        <v>895</v>
      </c>
      <c r="M2902" t="s">
        <v>4402</v>
      </c>
      <c r="O2902" t="s">
        <v>896</v>
      </c>
      <c r="P2902" t="s">
        <v>33</v>
      </c>
      <c r="Q2902" s="22">
        <v>7350</v>
      </c>
      <c r="R2902" t="s">
        <v>35</v>
      </c>
      <c r="S2902" t="s">
        <v>35</v>
      </c>
      <c r="T2902" t="s">
        <v>35</v>
      </c>
      <c r="U2902" t="s">
        <v>35</v>
      </c>
      <c r="V2902" t="s">
        <v>645</v>
      </c>
      <c r="W2902" t="s">
        <v>113</v>
      </c>
    </row>
    <row r="2903" spans="1:23" hidden="1" x14ac:dyDescent="0.25">
      <c r="A2903" s="7" t="str">
        <f>IFERROR(VLOOKUP(H2903,'Contas Orç'!A:B,2,0),"N/A")</f>
        <v>PJ-CONSULTORIA E ASSESSORIA</v>
      </c>
      <c r="B2903" s="7" t="str">
        <f t="shared" si="90"/>
        <v>330201001 - PJ-CONSULTORIA E ASSESSORIA</v>
      </c>
      <c r="C2903" s="25">
        <f t="shared" si="91"/>
        <v>44682</v>
      </c>
      <c r="D2903" s="27">
        <f>IF(K2903="CREDITO",Q2903,Q2903*-1)</f>
        <v>7618</v>
      </c>
      <c r="E2903" t="s">
        <v>894</v>
      </c>
      <c r="F2903" t="s">
        <v>3397</v>
      </c>
      <c r="G2903" s="8">
        <v>44682</v>
      </c>
      <c r="H2903" t="s">
        <v>580</v>
      </c>
      <c r="I2903" t="s">
        <v>68</v>
      </c>
      <c r="J2903" t="s">
        <v>69</v>
      </c>
      <c r="K2903" t="s">
        <v>29</v>
      </c>
      <c r="L2903" t="s">
        <v>895</v>
      </c>
      <c r="M2903" t="s">
        <v>4402</v>
      </c>
      <c r="O2903" t="s">
        <v>896</v>
      </c>
      <c r="P2903" t="s">
        <v>33</v>
      </c>
      <c r="Q2903" s="22">
        <v>7618</v>
      </c>
      <c r="R2903" t="s">
        <v>35</v>
      </c>
      <c r="S2903" t="s">
        <v>35</v>
      </c>
      <c r="T2903" t="s">
        <v>35</v>
      </c>
      <c r="U2903" t="s">
        <v>35</v>
      </c>
      <c r="V2903" t="s">
        <v>645</v>
      </c>
      <c r="W2903" t="s">
        <v>113</v>
      </c>
    </row>
    <row r="2904" spans="1:23" hidden="1" x14ac:dyDescent="0.25">
      <c r="A2904" s="7" t="str">
        <f>IFERROR(VLOOKUP(H2904,'Contas Orç'!A:B,2,0),"N/A")</f>
        <v>PJ-CONSULTORIA E ASSESSORIA</v>
      </c>
      <c r="B2904" s="7" t="str">
        <f t="shared" si="90"/>
        <v>330201001 - PJ-CONSULTORIA E ASSESSORIA</v>
      </c>
      <c r="C2904" s="25">
        <f t="shared" si="91"/>
        <v>44713</v>
      </c>
      <c r="D2904" s="27">
        <f>IF(K2904="CREDITO",Q2904,Q2904*-1)</f>
        <v>132</v>
      </c>
      <c r="E2904" t="s">
        <v>894</v>
      </c>
      <c r="F2904" t="s">
        <v>3398</v>
      </c>
      <c r="G2904" s="8">
        <v>44713</v>
      </c>
      <c r="H2904" t="s">
        <v>580</v>
      </c>
      <c r="I2904" t="s">
        <v>68</v>
      </c>
      <c r="J2904" t="s">
        <v>69</v>
      </c>
      <c r="K2904" t="s">
        <v>29</v>
      </c>
      <c r="L2904" t="s">
        <v>895</v>
      </c>
      <c r="M2904" t="s">
        <v>4402</v>
      </c>
      <c r="O2904" t="s">
        <v>896</v>
      </c>
      <c r="P2904" t="s">
        <v>33</v>
      </c>
      <c r="Q2904">
        <v>132</v>
      </c>
      <c r="R2904" t="s">
        <v>35</v>
      </c>
      <c r="S2904" t="s">
        <v>35</v>
      </c>
      <c r="T2904" t="s">
        <v>35</v>
      </c>
      <c r="U2904" t="s">
        <v>35</v>
      </c>
      <c r="V2904" t="s">
        <v>645</v>
      </c>
      <c r="W2904" t="s">
        <v>113</v>
      </c>
    </row>
    <row r="2905" spans="1:23" hidden="1" x14ac:dyDescent="0.25">
      <c r="A2905" s="7" t="str">
        <f>IFERROR(VLOOKUP(H2905,'Contas Orç'!A:B,2,0),"N/A")</f>
        <v>PJ-CONSULTORIA E ASSESSORIA</v>
      </c>
      <c r="B2905" s="7" t="str">
        <f t="shared" si="90"/>
        <v>330201001 - PJ-CONSULTORIA E ASSESSORIA</v>
      </c>
      <c r="C2905" s="25">
        <f t="shared" si="91"/>
        <v>44743</v>
      </c>
      <c r="D2905" s="27">
        <f>IF(K2905="CREDITO",Q2905,Q2905*-1)</f>
        <v>96</v>
      </c>
      <c r="E2905" t="s">
        <v>894</v>
      </c>
      <c r="F2905" t="s">
        <v>3399</v>
      </c>
      <c r="G2905" s="8">
        <v>44743</v>
      </c>
      <c r="H2905" t="s">
        <v>580</v>
      </c>
      <c r="I2905" t="s">
        <v>68</v>
      </c>
      <c r="J2905" t="s">
        <v>69</v>
      </c>
      <c r="K2905" t="s">
        <v>29</v>
      </c>
      <c r="L2905" t="s">
        <v>895</v>
      </c>
      <c r="M2905" t="s">
        <v>4402</v>
      </c>
      <c r="O2905" t="s">
        <v>896</v>
      </c>
      <c r="P2905" t="s">
        <v>33</v>
      </c>
      <c r="Q2905">
        <v>96</v>
      </c>
      <c r="R2905" t="s">
        <v>35</v>
      </c>
      <c r="S2905" t="s">
        <v>35</v>
      </c>
      <c r="T2905" t="s">
        <v>35</v>
      </c>
      <c r="U2905" t="s">
        <v>35</v>
      </c>
      <c r="V2905" t="s">
        <v>645</v>
      </c>
      <c r="W2905" t="s">
        <v>113</v>
      </c>
    </row>
    <row r="2906" spans="1:23" hidden="1" x14ac:dyDescent="0.25">
      <c r="A2906" s="7" t="str">
        <f>IFERROR(VLOOKUP(H2906,'Contas Orç'!A:B,2,0),"N/A")</f>
        <v>PJ-CONSULTORIA E ASSESSORIA</v>
      </c>
      <c r="B2906" s="7" t="str">
        <f t="shared" si="90"/>
        <v>330201001 - PJ-CONSULTORIA E ASSESSORIA</v>
      </c>
      <c r="C2906" s="25">
        <f t="shared" si="91"/>
        <v>44774</v>
      </c>
      <c r="D2906" s="27">
        <f>IF(K2906="CREDITO",Q2906,Q2906*-1)</f>
        <v>132</v>
      </c>
      <c r="E2906" t="s">
        <v>894</v>
      </c>
      <c r="F2906" t="s">
        <v>3400</v>
      </c>
      <c r="G2906" s="8">
        <v>44774</v>
      </c>
      <c r="H2906" t="s">
        <v>580</v>
      </c>
      <c r="I2906" t="s">
        <v>68</v>
      </c>
      <c r="J2906" t="s">
        <v>69</v>
      </c>
      <c r="K2906" t="s">
        <v>29</v>
      </c>
      <c r="L2906" t="s">
        <v>895</v>
      </c>
      <c r="M2906" t="s">
        <v>4402</v>
      </c>
      <c r="O2906" t="s">
        <v>896</v>
      </c>
      <c r="P2906" t="s">
        <v>33</v>
      </c>
      <c r="Q2906">
        <v>132</v>
      </c>
      <c r="R2906" t="s">
        <v>35</v>
      </c>
      <c r="S2906" t="s">
        <v>35</v>
      </c>
      <c r="T2906" t="s">
        <v>35</v>
      </c>
      <c r="U2906" t="s">
        <v>35</v>
      </c>
      <c r="V2906" t="s">
        <v>645</v>
      </c>
      <c r="W2906" t="s">
        <v>113</v>
      </c>
    </row>
    <row r="2907" spans="1:23" hidden="1" x14ac:dyDescent="0.25">
      <c r="A2907" s="7" t="str">
        <f>IFERROR(VLOOKUP(H2907,'Contas Orç'!A:B,2,0),"N/A")</f>
        <v>PJ-LOCACAO DE MAQUINAS E EQUIPAMENTO</v>
      </c>
      <c r="B2907" s="7" t="str">
        <f t="shared" si="90"/>
        <v>330201004 - PJ-LOCACAO DE MAQUINAS E EQUIPAMENTO</v>
      </c>
      <c r="C2907" s="25">
        <f t="shared" si="91"/>
        <v>44562</v>
      </c>
      <c r="D2907" s="27">
        <f>IF(K2907="CREDITO",Q2907,Q2907*-1)</f>
        <v>1800</v>
      </c>
      <c r="E2907" t="s">
        <v>894</v>
      </c>
      <c r="F2907" t="s">
        <v>3401</v>
      </c>
      <c r="G2907" s="8">
        <v>44562</v>
      </c>
      <c r="H2907" t="s">
        <v>583</v>
      </c>
      <c r="I2907" t="s">
        <v>68</v>
      </c>
      <c r="J2907" t="s">
        <v>69</v>
      </c>
      <c r="K2907" t="s">
        <v>29</v>
      </c>
      <c r="L2907" t="s">
        <v>895</v>
      </c>
      <c r="M2907" t="s">
        <v>4402</v>
      </c>
      <c r="O2907" t="s">
        <v>896</v>
      </c>
      <c r="P2907" t="s">
        <v>33</v>
      </c>
      <c r="Q2907" s="22">
        <v>1800</v>
      </c>
      <c r="R2907" t="s">
        <v>35</v>
      </c>
      <c r="S2907" t="s">
        <v>35</v>
      </c>
      <c r="T2907" t="s">
        <v>35</v>
      </c>
      <c r="U2907" t="s">
        <v>35</v>
      </c>
      <c r="V2907" t="s">
        <v>645</v>
      </c>
      <c r="W2907" t="s">
        <v>113</v>
      </c>
    </row>
    <row r="2908" spans="1:23" hidden="1" x14ac:dyDescent="0.25">
      <c r="A2908" s="7" t="str">
        <f>IFERROR(VLOOKUP(H2908,'Contas Orç'!A:B,2,0),"N/A")</f>
        <v>PJ-LOCACAO DE MAQUINAS E EQUIPAMENTO</v>
      </c>
      <c r="B2908" s="7" t="str">
        <f t="shared" si="90"/>
        <v>330201004 - PJ-LOCACAO DE MAQUINAS E EQUIPAMENTO</v>
      </c>
      <c r="C2908" s="25">
        <f t="shared" si="91"/>
        <v>44562</v>
      </c>
      <c r="D2908" s="27">
        <f>IF(K2908="CREDITO",Q2908,Q2908*-1)</f>
        <v>2158.8000000000002</v>
      </c>
      <c r="E2908" t="s">
        <v>894</v>
      </c>
      <c r="F2908" t="s">
        <v>3402</v>
      </c>
      <c r="G2908" s="8">
        <v>44562</v>
      </c>
      <c r="H2908" t="s">
        <v>583</v>
      </c>
      <c r="I2908" t="s">
        <v>40</v>
      </c>
      <c r="J2908" t="s">
        <v>54</v>
      </c>
      <c r="K2908" t="s">
        <v>29</v>
      </c>
      <c r="L2908" t="s">
        <v>895</v>
      </c>
      <c r="M2908" t="s">
        <v>4402</v>
      </c>
      <c r="O2908" t="s">
        <v>896</v>
      </c>
      <c r="P2908" t="s">
        <v>33</v>
      </c>
      <c r="Q2908" s="22">
        <v>2158.8000000000002</v>
      </c>
      <c r="R2908" t="s">
        <v>35</v>
      </c>
      <c r="S2908" t="s">
        <v>35</v>
      </c>
      <c r="T2908" t="s">
        <v>35</v>
      </c>
      <c r="U2908" t="s">
        <v>35</v>
      </c>
      <c r="V2908" t="s">
        <v>645</v>
      </c>
      <c r="W2908" t="s">
        <v>113</v>
      </c>
    </row>
    <row r="2909" spans="1:23" hidden="1" x14ac:dyDescent="0.25">
      <c r="A2909" s="7" t="str">
        <f>IFERROR(VLOOKUP(H2909,'Contas Orç'!A:B,2,0),"N/A")</f>
        <v>PJ-LOCACAO DE MAQUINAS E EQUIPAMENTO</v>
      </c>
      <c r="B2909" s="7" t="str">
        <f t="shared" si="90"/>
        <v>330201004 - PJ-LOCACAO DE MAQUINAS E EQUIPAMENTO</v>
      </c>
      <c r="C2909" s="25">
        <f t="shared" si="91"/>
        <v>44593</v>
      </c>
      <c r="D2909" s="27">
        <f>IF(K2909="CREDITO",Q2909,Q2909*-1)</f>
        <v>21164.21</v>
      </c>
      <c r="E2909" t="s">
        <v>894</v>
      </c>
      <c r="F2909" t="s">
        <v>3403</v>
      </c>
      <c r="G2909" s="8">
        <v>44593</v>
      </c>
      <c r="H2909" t="s">
        <v>583</v>
      </c>
      <c r="I2909" t="s">
        <v>68</v>
      </c>
      <c r="J2909" t="s">
        <v>69</v>
      </c>
      <c r="K2909" t="s">
        <v>29</v>
      </c>
      <c r="L2909" t="s">
        <v>895</v>
      </c>
      <c r="M2909" t="s">
        <v>4402</v>
      </c>
      <c r="O2909" t="s">
        <v>896</v>
      </c>
      <c r="P2909" t="s">
        <v>33</v>
      </c>
      <c r="Q2909" s="22">
        <v>21164.21</v>
      </c>
      <c r="R2909" t="s">
        <v>35</v>
      </c>
      <c r="S2909" t="s">
        <v>35</v>
      </c>
      <c r="T2909" t="s">
        <v>35</v>
      </c>
      <c r="U2909" t="s">
        <v>35</v>
      </c>
      <c r="V2909" t="s">
        <v>645</v>
      </c>
      <c r="W2909" t="s">
        <v>113</v>
      </c>
    </row>
    <row r="2910" spans="1:23" hidden="1" x14ac:dyDescent="0.25">
      <c r="A2910" s="7" t="str">
        <f>IFERROR(VLOOKUP(H2910,'Contas Orç'!A:B,2,0),"N/A")</f>
        <v>PJ-LOCACAO DE MAQUINAS E EQUIPAMENTO</v>
      </c>
      <c r="B2910" s="7" t="str">
        <f t="shared" si="90"/>
        <v>330201004 - PJ-LOCACAO DE MAQUINAS E EQUIPAMENTO</v>
      </c>
      <c r="C2910" s="25">
        <f t="shared" si="91"/>
        <v>44593</v>
      </c>
      <c r="D2910" s="27">
        <f>IF(K2910="CREDITO",Q2910,Q2910*-1)</f>
        <v>2399.04</v>
      </c>
      <c r="E2910" t="s">
        <v>894</v>
      </c>
      <c r="F2910" t="s">
        <v>3404</v>
      </c>
      <c r="G2910" s="8">
        <v>44593</v>
      </c>
      <c r="H2910" t="s">
        <v>583</v>
      </c>
      <c r="I2910" t="s">
        <v>40</v>
      </c>
      <c r="J2910" t="s">
        <v>54</v>
      </c>
      <c r="K2910" t="s">
        <v>29</v>
      </c>
      <c r="L2910" t="s">
        <v>895</v>
      </c>
      <c r="M2910" t="s">
        <v>4402</v>
      </c>
      <c r="O2910" t="s">
        <v>896</v>
      </c>
      <c r="P2910" t="s">
        <v>33</v>
      </c>
      <c r="Q2910" s="22">
        <v>2399.04</v>
      </c>
      <c r="R2910" t="s">
        <v>35</v>
      </c>
      <c r="S2910" t="s">
        <v>35</v>
      </c>
      <c r="T2910" t="s">
        <v>35</v>
      </c>
      <c r="U2910" t="s">
        <v>35</v>
      </c>
      <c r="V2910" t="s">
        <v>645</v>
      </c>
      <c r="W2910" t="s">
        <v>113</v>
      </c>
    </row>
    <row r="2911" spans="1:23" hidden="1" x14ac:dyDescent="0.25">
      <c r="A2911" s="7" t="str">
        <f>IFERROR(VLOOKUP(H2911,'Contas Orç'!A:B,2,0),"N/A")</f>
        <v>PJ-LOCACAO DE MAQUINAS E EQUIPAMENTO</v>
      </c>
      <c r="B2911" s="7" t="str">
        <f t="shared" si="90"/>
        <v>330201004 - PJ-LOCACAO DE MAQUINAS E EQUIPAMENTO</v>
      </c>
      <c r="C2911" s="25">
        <f t="shared" si="91"/>
        <v>44621</v>
      </c>
      <c r="D2911" s="27">
        <f>IF(K2911="CREDITO",Q2911,Q2911*-1)</f>
        <v>3600</v>
      </c>
      <c r="E2911" t="s">
        <v>894</v>
      </c>
      <c r="F2911" t="s">
        <v>3405</v>
      </c>
      <c r="G2911" s="8">
        <v>44621</v>
      </c>
      <c r="H2911" t="s">
        <v>583</v>
      </c>
      <c r="I2911" t="s">
        <v>68</v>
      </c>
      <c r="J2911" t="s">
        <v>69</v>
      </c>
      <c r="K2911" t="s">
        <v>29</v>
      </c>
      <c r="L2911" t="s">
        <v>895</v>
      </c>
      <c r="M2911" t="s">
        <v>4402</v>
      </c>
      <c r="O2911" t="s">
        <v>896</v>
      </c>
      <c r="P2911" t="s">
        <v>33</v>
      </c>
      <c r="Q2911" s="22">
        <v>3600</v>
      </c>
      <c r="R2911" t="s">
        <v>35</v>
      </c>
      <c r="S2911" t="s">
        <v>35</v>
      </c>
      <c r="T2911" t="s">
        <v>35</v>
      </c>
      <c r="U2911" t="s">
        <v>35</v>
      </c>
      <c r="V2911" t="s">
        <v>645</v>
      </c>
      <c r="W2911" t="s">
        <v>113</v>
      </c>
    </row>
    <row r="2912" spans="1:23" hidden="1" x14ac:dyDescent="0.25">
      <c r="A2912" s="7" t="str">
        <f>IFERROR(VLOOKUP(H2912,'Contas Orç'!A:B,2,0),"N/A")</f>
        <v>PJ-LOCACAO DE MAQUINAS E EQUIPAMENTO</v>
      </c>
      <c r="B2912" s="7" t="str">
        <f t="shared" si="90"/>
        <v>330201004 - PJ-LOCACAO DE MAQUINAS E EQUIPAMENTO</v>
      </c>
      <c r="C2912" s="25">
        <f t="shared" si="91"/>
        <v>44621</v>
      </c>
      <c r="D2912" s="27">
        <f>IF(K2912="CREDITO",Q2912,Q2912*-1)</f>
        <v>2198.3200000000002</v>
      </c>
      <c r="E2912" t="s">
        <v>894</v>
      </c>
      <c r="F2912" t="s">
        <v>3406</v>
      </c>
      <c r="G2912" s="8">
        <v>44621</v>
      </c>
      <c r="H2912" t="s">
        <v>583</v>
      </c>
      <c r="I2912" t="s">
        <v>40</v>
      </c>
      <c r="J2912" t="s">
        <v>54</v>
      </c>
      <c r="K2912" t="s">
        <v>29</v>
      </c>
      <c r="L2912" t="s">
        <v>895</v>
      </c>
      <c r="M2912" t="s">
        <v>4402</v>
      </c>
      <c r="O2912" t="s">
        <v>896</v>
      </c>
      <c r="P2912" t="s">
        <v>33</v>
      </c>
      <c r="Q2912" s="22">
        <v>2198.3200000000002</v>
      </c>
      <c r="R2912" t="s">
        <v>35</v>
      </c>
      <c r="S2912" t="s">
        <v>35</v>
      </c>
      <c r="T2912" t="s">
        <v>35</v>
      </c>
      <c r="U2912" t="s">
        <v>35</v>
      </c>
      <c r="V2912" t="s">
        <v>645</v>
      </c>
      <c r="W2912" t="s">
        <v>113</v>
      </c>
    </row>
    <row r="2913" spans="1:23" hidden="1" x14ac:dyDescent="0.25">
      <c r="A2913" s="7" t="str">
        <f>IFERROR(VLOOKUP(H2913,'Contas Orç'!A:B,2,0),"N/A")</f>
        <v>PJ-LOCACAO DE MAQUINAS E EQUIPAMENTO</v>
      </c>
      <c r="B2913" s="7" t="str">
        <f t="shared" si="90"/>
        <v>330201004 - PJ-LOCACAO DE MAQUINAS E EQUIPAMENTO</v>
      </c>
      <c r="C2913" s="25">
        <f t="shared" si="91"/>
        <v>44652</v>
      </c>
      <c r="D2913" s="27">
        <f>IF(K2913="CREDITO",Q2913,Q2913*-1)</f>
        <v>1800</v>
      </c>
      <c r="E2913" t="s">
        <v>894</v>
      </c>
      <c r="F2913" t="s">
        <v>3407</v>
      </c>
      <c r="G2913" s="8">
        <v>44652</v>
      </c>
      <c r="H2913" t="s">
        <v>583</v>
      </c>
      <c r="I2913" t="s">
        <v>68</v>
      </c>
      <c r="J2913" t="s">
        <v>69</v>
      </c>
      <c r="K2913" t="s">
        <v>29</v>
      </c>
      <c r="L2913" t="s">
        <v>895</v>
      </c>
      <c r="M2913" t="s">
        <v>4402</v>
      </c>
      <c r="O2913" t="s">
        <v>896</v>
      </c>
      <c r="P2913" t="s">
        <v>33</v>
      </c>
      <c r="Q2913" s="22">
        <v>1800</v>
      </c>
      <c r="R2913" t="s">
        <v>35</v>
      </c>
      <c r="S2913" t="s">
        <v>35</v>
      </c>
      <c r="T2913" t="s">
        <v>35</v>
      </c>
      <c r="U2913" t="s">
        <v>35</v>
      </c>
      <c r="V2913" t="s">
        <v>645</v>
      </c>
      <c r="W2913" t="s">
        <v>113</v>
      </c>
    </row>
    <row r="2914" spans="1:23" hidden="1" x14ac:dyDescent="0.25">
      <c r="A2914" s="7" t="str">
        <f>IFERROR(VLOOKUP(H2914,'Contas Orç'!A:B,2,0),"N/A")</f>
        <v>PJ-LOCACAO DE MAQUINAS E EQUIPAMENTO</v>
      </c>
      <c r="B2914" s="7" t="str">
        <f t="shared" si="90"/>
        <v>330201004 - PJ-LOCACAO DE MAQUINAS E EQUIPAMENTO</v>
      </c>
      <c r="C2914" s="25">
        <f t="shared" si="91"/>
        <v>44652</v>
      </c>
      <c r="D2914" s="27">
        <f>IF(K2914="CREDITO",Q2914,Q2914*-1)</f>
        <v>2668.92</v>
      </c>
      <c r="E2914" t="s">
        <v>894</v>
      </c>
      <c r="F2914" t="s">
        <v>3408</v>
      </c>
      <c r="G2914" s="8">
        <v>44652</v>
      </c>
      <c r="H2914" t="s">
        <v>583</v>
      </c>
      <c r="I2914" t="s">
        <v>40</v>
      </c>
      <c r="J2914" t="s">
        <v>54</v>
      </c>
      <c r="K2914" t="s">
        <v>29</v>
      </c>
      <c r="L2914" t="s">
        <v>895</v>
      </c>
      <c r="M2914" t="s">
        <v>4402</v>
      </c>
      <c r="O2914" t="s">
        <v>896</v>
      </c>
      <c r="P2914" t="s">
        <v>33</v>
      </c>
      <c r="Q2914" s="22">
        <v>2668.92</v>
      </c>
      <c r="R2914" t="s">
        <v>35</v>
      </c>
      <c r="S2914" t="s">
        <v>35</v>
      </c>
      <c r="T2914" t="s">
        <v>35</v>
      </c>
      <c r="U2914" t="s">
        <v>35</v>
      </c>
      <c r="V2914" t="s">
        <v>645</v>
      </c>
      <c r="W2914" t="s">
        <v>113</v>
      </c>
    </row>
    <row r="2915" spans="1:23" hidden="1" x14ac:dyDescent="0.25">
      <c r="A2915" s="7" t="str">
        <f>IFERROR(VLOOKUP(H2915,'Contas Orç'!A:B,2,0),"N/A")</f>
        <v>PJ-LOCACAO DE MAQUINAS E EQUIPAMENTO</v>
      </c>
      <c r="B2915" s="7" t="str">
        <f t="shared" si="90"/>
        <v>330201004 - PJ-LOCACAO DE MAQUINAS E EQUIPAMENTO</v>
      </c>
      <c r="C2915" s="25">
        <f t="shared" si="91"/>
        <v>44682</v>
      </c>
      <c r="D2915" s="27">
        <f>IF(K2915="CREDITO",Q2915,Q2915*-1)</f>
        <v>1800</v>
      </c>
      <c r="E2915" t="s">
        <v>894</v>
      </c>
      <c r="F2915" t="s">
        <v>3409</v>
      </c>
      <c r="G2915" s="8">
        <v>44682</v>
      </c>
      <c r="H2915" t="s">
        <v>583</v>
      </c>
      <c r="I2915" t="s">
        <v>68</v>
      </c>
      <c r="J2915" t="s">
        <v>69</v>
      </c>
      <c r="K2915" t="s">
        <v>29</v>
      </c>
      <c r="L2915" t="s">
        <v>895</v>
      </c>
      <c r="M2915" t="s">
        <v>4402</v>
      </c>
      <c r="O2915" t="s">
        <v>896</v>
      </c>
      <c r="P2915" t="s">
        <v>33</v>
      </c>
      <c r="Q2915" s="22">
        <v>1800</v>
      </c>
      <c r="R2915" t="s">
        <v>35</v>
      </c>
      <c r="S2915" t="s">
        <v>35</v>
      </c>
      <c r="T2915" t="s">
        <v>35</v>
      </c>
      <c r="U2915" t="s">
        <v>35</v>
      </c>
      <c r="V2915" t="s">
        <v>645</v>
      </c>
      <c r="W2915" t="s">
        <v>113</v>
      </c>
    </row>
    <row r="2916" spans="1:23" hidden="1" x14ac:dyDescent="0.25">
      <c r="A2916" s="7" t="str">
        <f>IFERROR(VLOOKUP(H2916,'Contas Orç'!A:B,2,0),"N/A")</f>
        <v>PJ-LOCACAO DE MAQUINAS E EQUIPAMENTO</v>
      </c>
      <c r="B2916" s="7" t="str">
        <f t="shared" si="90"/>
        <v>330201004 - PJ-LOCACAO DE MAQUINAS E EQUIPAMENTO</v>
      </c>
      <c r="C2916" s="25">
        <f t="shared" si="91"/>
        <v>44682</v>
      </c>
      <c r="D2916" s="27">
        <f>IF(K2916="CREDITO",Q2916,Q2916*-1)</f>
        <v>2544</v>
      </c>
      <c r="E2916" t="s">
        <v>894</v>
      </c>
      <c r="F2916" t="s">
        <v>3410</v>
      </c>
      <c r="G2916" s="8">
        <v>44682</v>
      </c>
      <c r="H2916" t="s">
        <v>583</v>
      </c>
      <c r="I2916" t="s">
        <v>40</v>
      </c>
      <c r="J2916" t="s">
        <v>54</v>
      </c>
      <c r="K2916" t="s">
        <v>29</v>
      </c>
      <c r="L2916" t="s">
        <v>895</v>
      </c>
      <c r="M2916" t="s">
        <v>4402</v>
      </c>
      <c r="O2916" t="s">
        <v>896</v>
      </c>
      <c r="P2916" t="s">
        <v>33</v>
      </c>
      <c r="Q2916" s="22">
        <v>2544</v>
      </c>
      <c r="R2916" t="s">
        <v>35</v>
      </c>
      <c r="S2916" t="s">
        <v>35</v>
      </c>
      <c r="T2916" t="s">
        <v>35</v>
      </c>
      <c r="U2916" t="s">
        <v>35</v>
      </c>
      <c r="V2916" t="s">
        <v>645</v>
      </c>
      <c r="W2916" t="s">
        <v>113</v>
      </c>
    </row>
    <row r="2917" spans="1:23" hidden="1" x14ac:dyDescent="0.25">
      <c r="A2917" s="7" t="str">
        <f>IFERROR(VLOOKUP(H2917,'Contas Orç'!A:B,2,0),"N/A")</f>
        <v>PJ-LOCACAO DE MAQUINAS E EQUIPAMENTO</v>
      </c>
      <c r="B2917" s="7" t="str">
        <f t="shared" si="90"/>
        <v>330201004 - PJ-LOCACAO DE MAQUINAS E EQUIPAMENTO</v>
      </c>
      <c r="C2917" s="25">
        <f t="shared" si="91"/>
        <v>44713</v>
      </c>
      <c r="D2917" s="27">
        <f>IF(K2917="CREDITO",Q2917,Q2917*-1)</f>
        <v>2500</v>
      </c>
      <c r="E2917" t="s">
        <v>894</v>
      </c>
      <c r="F2917" t="s">
        <v>3411</v>
      </c>
      <c r="G2917" s="8">
        <v>44713</v>
      </c>
      <c r="H2917" t="s">
        <v>583</v>
      </c>
      <c r="I2917" t="s">
        <v>68</v>
      </c>
      <c r="J2917" t="s">
        <v>69</v>
      </c>
      <c r="K2917" t="s">
        <v>29</v>
      </c>
      <c r="L2917" t="s">
        <v>895</v>
      </c>
      <c r="M2917" t="s">
        <v>4402</v>
      </c>
      <c r="O2917" t="s">
        <v>896</v>
      </c>
      <c r="P2917" t="s">
        <v>33</v>
      </c>
      <c r="Q2917" s="22">
        <v>2500</v>
      </c>
      <c r="R2917" t="s">
        <v>35</v>
      </c>
      <c r="S2917" t="s">
        <v>35</v>
      </c>
      <c r="T2917" t="s">
        <v>35</v>
      </c>
      <c r="U2917" t="s">
        <v>35</v>
      </c>
      <c r="V2917" t="s">
        <v>645</v>
      </c>
      <c r="W2917" t="s">
        <v>113</v>
      </c>
    </row>
    <row r="2918" spans="1:23" hidden="1" x14ac:dyDescent="0.25">
      <c r="A2918" s="7" t="str">
        <f>IFERROR(VLOOKUP(H2918,'Contas Orç'!A:B,2,0),"N/A")</f>
        <v>PJ-LOCACAO DE MAQUINAS E EQUIPAMENTO</v>
      </c>
      <c r="B2918" s="7" t="str">
        <f t="shared" si="90"/>
        <v>330201004 - PJ-LOCACAO DE MAQUINAS E EQUIPAMENTO</v>
      </c>
      <c r="C2918" s="25">
        <f t="shared" si="91"/>
        <v>44713</v>
      </c>
      <c r="D2918" s="27">
        <f>IF(K2918="CREDITO",Q2918,Q2918*-1)</f>
        <v>3700</v>
      </c>
      <c r="E2918" t="s">
        <v>894</v>
      </c>
      <c r="F2918" t="s">
        <v>3412</v>
      </c>
      <c r="G2918" s="8">
        <v>44713</v>
      </c>
      <c r="H2918" t="s">
        <v>583</v>
      </c>
      <c r="I2918" t="s">
        <v>2062</v>
      </c>
      <c r="J2918" t="s">
        <v>54</v>
      </c>
      <c r="K2918" t="s">
        <v>29</v>
      </c>
      <c r="L2918" t="s">
        <v>895</v>
      </c>
      <c r="M2918" t="s">
        <v>4402</v>
      </c>
      <c r="O2918" t="s">
        <v>896</v>
      </c>
      <c r="P2918" t="s">
        <v>33</v>
      </c>
      <c r="Q2918" s="22">
        <v>3700</v>
      </c>
      <c r="R2918" t="s">
        <v>35</v>
      </c>
      <c r="S2918" t="s">
        <v>35</v>
      </c>
      <c r="T2918" t="s">
        <v>35</v>
      </c>
      <c r="U2918" t="s">
        <v>35</v>
      </c>
      <c r="V2918" t="s">
        <v>645</v>
      </c>
      <c r="W2918" t="s">
        <v>113</v>
      </c>
    </row>
    <row r="2919" spans="1:23" hidden="1" x14ac:dyDescent="0.25">
      <c r="A2919" s="7" t="str">
        <f>IFERROR(VLOOKUP(H2919,'Contas Orç'!A:B,2,0),"N/A")</f>
        <v>PJ-LOCACAO DE MAQUINAS E EQUIPAMENTO</v>
      </c>
      <c r="B2919" s="7" t="str">
        <f t="shared" si="90"/>
        <v>330201004 - PJ-LOCACAO DE MAQUINAS E EQUIPAMENTO</v>
      </c>
      <c r="C2919" s="25">
        <f t="shared" si="91"/>
        <v>44713</v>
      </c>
      <c r="D2919" s="27">
        <f>IF(K2919="CREDITO",Q2919,Q2919*-1)</f>
        <v>2746.38</v>
      </c>
      <c r="E2919" t="s">
        <v>894</v>
      </c>
      <c r="F2919" t="s">
        <v>3413</v>
      </c>
      <c r="G2919" s="8">
        <v>44713</v>
      </c>
      <c r="H2919" t="s">
        <v>583</v>
      </c>
      <c r="I2919" t="s">
        <v>40</v>
      </c>
      <c r="J2919" t="s">
        <v>54</v>
      </c>
      <c r="K2919" t="s">
        <v>29</v>
      </c>
      <c r="L2919" t="s">
        <v>895</v>
      </c>
      <c r="M2919" t="s">
        <v>4402</v>
      </c>
      <c r="O2919" t="s">
        <v>896</v>
      </c>
      <c r="P2919" t="s">
        <v>33</v>
      </c>
      <c r="Q2919" s="22">
        <v>2746.38</v>
      </c>
      <c r="R2919" t="s">
        <v>35</v>
      </c>
      <c r="S2919" t="s">
        <v>35</v>
      </c>
      <c r="T2919" t="s">
        <v>35</v>
      </c>
      <c r="U2919" t="s">
        <v>35</v>
      </c>
      <c r="V2919" t="s">
        <v>645</v>
      </c>
      <c r="W2919" t="s">
        <v>113</v>
      </c>
    </row>
    <row r="2920" spans="1:23" hidden="1" x14ac:dyDescent="0.25">
      <c r="A2920" s="7" t="str">
        <f>IFERROR(VLOOKUP(H2920,'Contas Orç'!A:B,2,0),"N/A")</f>
        <v>PJ-LOCACAO DE MAQUINAS E EQUIPAMENTO</v>
      </c>
      <c r="B2920" s="7" t="str">
        <f t="shared" si="90"/>
        <v>330201004 - PJ-LOCACAO DE MAQUINAS E EQUIPAMENTO</v>
      </c>
      <c r="C2920" s="25">
        <f t="shared" si="91"/>
        <v>44743</v>
      </c>
      <c r="D2920" s="27">
        <f>IF(K2920="CREDITO",Q2920,Q2920*-1)</f>
        <v>10400</v>
      </c>
      <c r="E2920" t="s">
        <v>894</v>
      </c>
      <c r="F2920" t="s">
        <v>3414</v>
      </c>
      <c r="G2920" s="8">
        <v>44743</v>
      </c>
      <c r="H2920" t="s">
        <v>583</v>
      </c>
      <c r="I2920" t="s">
        <v>68</v>
      </c>
      <c r="J2920" t="s">
        <v>69</v>
      </c>
      <c r="K2920" t="s">
        <v>29</v>
      </c>
      <c r="L2920" t="s">
        <v>895</v>
      </c>
      <c r="M2920" t="s">
        <v>4402</v>
      </c>
      <c r="O2920" t="s">
        <v>896</v>
      </c>
      <c r="P2920" t="s">
        <v>33</v>
      </c>
      <c r="Q2920" s="22">
        <v>10400</v>
      </c>
      <c r="R2920" t="s">
        <v>35</v>
      </c>
      <c r="S2920" t="s">
        <v>35</v>
      </c>
      <c r="T2920" t="s">
        <v>35</v>
      </c>
      <c r="U2920" t="s">
        <v>35</v>
      </c>
      <c r="V2920" t="s">
        <v>645</v>
      </c>
      <c r="W2920" t="s">
        <v>113</v>
      </c>
    </row>
    <row r="2921" spans="1:23" hidden="1" x14ac:dyDescent="0.25">
      <c r="A2921" s="7" t="str">
        <f>IFERROR(VLOOKUP(H2921,'Contas Orç'!A:B,2,0),"N/A")</f>
        <v>PJ-LOCACAO DE MAQUINAS E EQUIPAMENTO</v>
      </c>
      <c r="B2921" s="7" t="str">
        <f t="shared" si="90"/>
        <v>330201004 - PJ-LOCACAO DE MAQUINAS E EQUIPAMENTO</v>
      </c>
      <c r="C2921" s="25">
        <f t="shared" si="91"/>
        <v>44743</v>
      </c>
      <c r="D2921" s="27">
        <f>IF(K2921="CREDITO",Q2921,Q2921*-1)</f>
        <v>2898.01</v>
      </c>
      <c r="E2921" t="s">
        <v>894</v>
      </c>
      <c r="F2921" t="s">
        <v>3415</v>
      </c>
      <c r="G2921" s="8">
        <v>44743</v>
      </c>
      <c r="H2921" t="s">
        <v>583</v>
      </c>
      <c r="I2921" t="s">
        <v>40</v>
      </c>
      <c r="J2921" t="s">
        <v>54</v>
      </c>
      <c r="K2921" t="s">
        <v>29</v>
      </c>
      <c r="L2921" t="s">
        <v>895</v>
      </c>
      <c r="M2921" t="s">
        <v>4402</v>
      </c>
      <c r="O2921" t="s">
        <v>896</v>
      </c>
      <c r="P2921" t="s">
        <v>33</v>
      </c>
      <c r="Q2921" s="22">
        <v>2898.01</v>
      </c>
      <c r="R2921" t="s">
        <v>35</v>
      </c>
      <c r="S2921" t="s">
        <v>35</v>
      </c>
      <c r="T2921" t="s">
        <v>35</v>
      </c>
      <c r="U2921" t="s">
        <v>35</v>
      </c>
      <c r="V2921" t="s">
        <v>645</v>
      </c>
      <c r="W2921" t="s">
        <v>113</v>
      </c>
    </row>
    <row r="2922" spans="1:23" hidden="1" x14ac:dyDescent="0.25">
      <c r="A2922" s="7" t="str">
        <f>IFERROR(VLOOKUP(H2922,'Contas Orç'!A:B,2,0),"N/A")</f>
        <v>PJ-LOCACAO DE MAQUINAS E EQUIPAMENTO</v>
      </c>
      <c r="B2922" s="7" t="str">
        <f t="shared" si="90"/>
        <v>330201004 - PJ-LOCACAO DE MAQUINAS E EQUIPAMENTO</v>
      </c>
      <c r="C2922" s="25">
        <f t="shared" si="91"/>
        <v>44774</v>
      </c>
      <c r="D2922" s="27">
        <f>IF(K2922="CREDITO",Q2922,Q2922*-1)</f>
        <v>4700</v>
      </c>
      <c r="E2922" t="s">
        <v>894</v>
      </c>
      <c r="F2922" t="s">
        <v>3416</v>
      </c>
      <c r="G2922" s="8">
        <v>44774</v>
      </c>
      <c r="H2922" t="s">
        <v>583</v>
      </c>
      <c r="I2922" t="s">
        <v>68</v>
      </c>
      <c r="J2922" t="s">
        <v>69</v>
      </c>
      <c r="K2922" t="s">
        <v>29</v>
      </c>
      <c r="L2922" t="s">
        <v>895</v>
      </c>
      <c r="M2922" t="s">
        <v>4402</v>
      </c>
      <c r="O2922" t="s">
        <v>896</v>
      </c>
      <c r="P2922" t="s">
        <v>33</v>
      </c>
      <c r="Q2922" s="22">
        <v>4700</v>
      </c>
      <c r="R2922" t="s">
        <v>35</v>
      </c>
      <c r="S2922" t="s">
        <v>35</v>
      </c>
      <c r="T2922" t="s">
        <v>35</v>
      </c>
      <c r="U2922" t="s">
        <v>35</v>
      </c>
      <c r="V2922" t="s">
        <v>645</v>
      </c>
      <c r="W2922" t="s">
        <v>113</v>
      </c>
    </row>
    <row r="2923" spans="1:23" hidden="1" x14ac:dyDescent="0.25">
      <c r="A2923" s="7" t="str">
        <f>IFERROR(VLOOKUP(H2923,'Contas Orç'!A:B,2,0),"N/A")</f>
        <v>PJ-LOCACAO DE MAQUINAS E EQUIPAMENTO</v>
      </c>
      <c r="B2923" s="7" t="str">
        <f t="shared" si="90"/>
        <v>330201004 - PJ-LOCACAO DE MAQUINAS E EQUIPAMENTO</v>
      </c>
      <c r="C2923" s="25">
        <f t="shared" si="91"/>
        <v>44774</v>
      </c>
      <c r="D2923" s="27">
        <f>IF(K2923="CREDITO",Q2923,Q2923*-1)</f>
        <v>2761.25</v>
      </c>
      <c r="E2923" t="s">
        <v>894</v>
      </c>
      <c r="F2923" t="s">
        <v>3417</v>
      </c>
      <c r="G2923" s="8">
        <v>44774</v>
      </c>
      <c r="H2923" t="s">
        <v>583</v>
      </c>
      <c r="I2923" t="s">
        <v>40</v>
      </c>
      <c r="J2923" t="s">
        <v>54</v>
      </c>
      <c r="K2923" t="s">
        <v>29</v>
      </c>
      <c r="L2923" t="s">
        <v>895</v>
      </c>
      <c r="M2923" t="s">
        <v>4402</v>
      </c>
      <c r="O2923" t="s">
        <v>896</v>
      </c>
      <c r="P2923" t="s">
        <v>33</v>
      </c>
      <c r="Q2923" s="22">
        <v>2761.25</v>
      </c>
      <c r="R2923" t="s">
        <v>35</v>
      </c>
      <c r="S2923" t="s">
        <v>35</v>
      </c>
      <c r="T2923" t="s">
        <v>35</v>
      </c>
      <c r="U2923" t="s">
        <v>35</v>
      </c>
      <c r="V2923" t="s">
        <v>645</v>
      </c>
      <c r="W2923" t="s">
        <v>113</v>
      </c>
    </row>
    <row r="2924" spans="1:23" hidden="1" x14ac:dyDescent="0.25">
      <c r="A2924" s="7" t="str">
        <f>IFERROR(VLOOKUP(H2924,'Contas Orç'!A:B,2,0),"N/A")</f>
        <v>PJ-LOCACAO DE MAQUINAS E EQUIPAMENTO</v>
      </c>
      <c r="B2924" s="7" t="str">
        <f t="shared" si="90"/>
        <v>330201004 - PJ-LOCACAO DE MAQUINAS E EQUIPAMENTO</v>
      </c>
      <c r="C2924" s="25">
        <f t="shared" si="91"/>
        <v>44805</v>
      </c>
      <c r="D2924" s="27">
        <f>IF(K2924="CREDITO",Q2924,Q2924*-1)</f>
        <v>900</v>
      </c>
      <c r="E2924" t="s">
        <v>894</v>
      </c>
      <c r="F2924" t="s">
        <v>3418</v>
      </c>
      <c r="G2924" s="8">
        <v>44805</v>
      </c>
      <c r="H2924" t="s">
        <v>583</v>
      </c>
      <c r="I2924" t="s">
        <v>68</v>
      </c>
      <c r="J2924" t="s">
        <v>69</v>
      </c>
      <c r="K2924" t="s">
        <v>29</v>
      </c>
      <c r="L2924" t="s">
        <v>895</v>
      </c>
      <c r="M2924" t="s">
        <v>4402</v>
      </c>
      <c r="O2924" t="s">
        <v>896</v>
      </c>
      <c r="P2924" t="s">
        <v>33</v>
      </c>
      <c r="Q2924">
        <v>900</v>
      </c>
      <c r="R2924" t="s">
        <v>35</v>
      </c>
      <c r="S2924" t="s">
        <v>35</v>
      </c>
      <c r="T2924" t="s">
        <v>35</v>
      </c>
      <c r="U2924" t="s">
        <v>35</v>
      </c>
      <c r="V2924" t="s">
        <v>645</v>
      </c>
      <c r="W2924" t="s">
        <v>113</v>
      </c>
    </row>
    <row r="2925" spans="1:23" hidden="1" x14ac:dyDescent="0.25">
      <c r="A2925" s="7" t="str">
        <f>IFERROR(VLOOKUP(H2925,'Contas Orç'!A:B,2,0),"N/A")</f>
        <v>PJ-LOCACAO DE MAQUINAS E EQUIPAMENTO</v>
      </c>
      <c r="B2925" s="7" t="str">
        <f t="shared" si="90"/>
        <v>330201004 - PJ-LOCACAO DE MAQUINAS E EQUIPAMENTO</v>
      </c>
      <c r="C2925" s="25">
        <f t="shared" si="91"/>
        <v>44805</v>
      </c>
      <c r="D2925" s="27">
        <f>IF(K2925="CREDITO",Q2925,Q2925*-1)</f>
        <v>3000.64</v>
      </c>
      <c r="E2925" t="s">
        <v>894</v>
      </c>
      <c r="F2925" t="s">
        <v>3419</v>
      </c>
      <c r="G2925" s="8">
        <v>44805</v>
      </c>
      <c r="H2925" t="s">
        <v>583</v>
      </c>
      <c r="I2925" t="s">
        <v>40</v>
      </c>
      <c r="J2925" t="s">
        <v>54</v>
      </c>
      <c r="K2925" t="s">
        <v>29</v>
      </c>
      <c r="L2925" t="s">
        <v>895</v>
      </c>
      <c r="M2925" t="s">
        <v>4402</v>
      </c>
      <c r="O2925" t="s">
        <v>896</v>
      </c>
      <c r="P2925" t="s">
        <v>33</v>
      </c>
      <c r="Q2925" s="22">
        <v>3000.64</v>
      </c>
      <c r="R2925" t="s">
        <v>35</v>
      </c>
      <c r="S2925" t="s">
        <v>35</v>
      </c>
      <c r="T2925" t="s">
        <v>35</v>
      </c>
      <c r="U2925" t="s">
        <v>35</v>
      </c>
      <c r="V2925" t="s">
        <v>645</v>
      </c>
      <c r="W2925" t="s">
        <v>113</v>
      </c>
    </row>
    <row r="2926" spans="1:23" hidden="1" x14ac:dyDescent="0.25">
      <c r="A2926" s="7" t="str">
        <f>IFERROR(VLOOKUP(H2926,'Contas Orç'!A:B,2,0),"N/A")</f>
        <v>PJ-LOCACAO DE MAQUINAS E EQUIPAMENTO</v>
      </c>
      <c r="B2926" s="7" t="str">
        <f t="shared" si="90"/>
        <v>330201004 - PJ-LOCACAO DE MAQUINAS E EQUIPAMENTO</v>
      </c>
      <c r="C2926" s="25">
        <f t="shared" si="91"/>
        <v>44835</v>
      </c>
      <c r="D2926" s="27">
        <f>IF(K2926="CREDITO",Q2926,Q2926*-1)</f>
        <v>909</v>
      </c>
      <c r="E2926" t="s">
        <v>894</v>
      </c>
      <c r="F2926" t="s">
        <v>3420</v>
      </c>
      <c r="G2926" s="8">
        <v>44835</v>
      </c>
      <c r="H2926" t="s">
        <v>583</v>
      </c>
      <c r="I2926" t="s">
        <v>68</v>
      </c>
      <c r="J2926" t="s">
        <v>69</v>
      </c>
      <c r="K2926" t="s">
        <v>29</v>
      </c>
      <c r="L2926" t="s">
        <v>895</v>
      </c>
      <c r="M2926" t="s">
        <v>4402</v>
      </c>
      <c r="O2926" t="s">
        <v>896</v>
      </c>
      <c r="P2926" t="s">
        <v>33</v>
      </c>
      <c r="Q2926">
        <v>909</v>
      </c>
      <c r="R2926" t="s">
        <v>35</v>
      </c>
      <c r="S2926" t="s">
        <v>35</v>
      </c>
      <c r="T2926" t="s">
        <v>35</v>
      </c>
      <c r="U2926" t="s">
        <v>35</v>
      </c>
      <c r="V2926" t="s">
        <v>645</v>
      </c>
      <c r="W2926" t="s">
        <v>113</v>
      </c>
    </row>
    <row r="2927" spans="1:23" hidden="1" x14ac:dyDescent="0.25">
      <c r="A2927" s="7" t="str">
        <f>IFERROR(VLOOKUP(H2927,'Contas Orç'!A:B,2,0),"N/A")</f>
        <v>PJ-LOCACAO DE MAQUINAS E EQUIPAMENTO</v>
      </c>
      <c r="B2927" s="7" t="str">
        <f t="shared" si="90"/>
        <v>330201004 - PJ-LOCACAO DE MAQUINAS E EQUIPAMENTO</v>
      </c>
      <c r="C2927" s="25">
        <f t="shared" si="91"/>
        <v>44835</v>
      </c>
      <c r="D2927" s="27">
        <f>IF(K2927="CREDITO",Q2927,Q2927*-1)</f>
        <v>3030.65</v>
      </c>
      <c r="E2927" t="s">
        <v>894</v>
      </c>
      <c r="F2927" t="s">
        <v>3421</v>
      </c>
      <c r="G2927" s="8">
        <v>44835</v>
      </c>
      <c r="H2927" t="s">
        <v>583</v>
      </c>
      <c r="I2927" t="s">
        <v>40</v>
      </c>
      <c r="J2927" t="s">
        <v>54</v>
      </c>
      <c r="K2927" t="s">
        <v>29</v>
      </c>
      <c r="L2927" t="s">
        <v>895</v>
      </c>
      <c r="M2927" t="s">
        <v>4402</v>
      </c>
      <c r="O2927" t="s">
        <v>896</v>
      </c>
      <c r="P2927" t="s">
        <v>33</v>
      </c>
      <c r="Q2927" s="22">
        <v>3030.65</v>
      </c>
      <c r="R2927" t="s">
        <v>35</v>
      </c>
      <c r="S2927" t="s">
        <v>35</v>
      </c>
      <c r="T2927" t="s">
        <v>35</v>
      </c>
      <c r="U2927" t="s">
        <v>35</v>
      </c>
      <c r="V2927" t="s">
        <v>645</v>
      </c>
      <c r="W2927" t="s">
        <v>113</v>
      </c>
    </row>
    <row r="2928" spans="1:23" hidden="1" x14ac:dyDescent="0.25">
      <c r="A2928" s="7" t="str">
        <f>IFERROR(VLOOKUP(H2928,'Contas Orç'!A:B,2,0),"N/A")</f>
        <v>PJ-LOCACAO DE MAQUINAS E EQUIPAMENTO</v>
      </c>
      <c r="B2928" s="7" t="str">
        <f t="shared" si="90"/>
        <v>330201004 - PJ-LOCACAO DE MAQUINAS E EQUIPAMENTO</v>
      </c>
      <c r="C2928" s="25">
        <f t="shared" si="91"/>
        <v>44866</v>
      </c>
      <c r="D2928" s="27">
        <f>IF(K2928="CREDITO",Q2928,Q2928*-1)</f>
        <v>918.09</v>
      </c>
      <c r="E2928" t="s">
        <v>894</v>
      </c>
      <c r="F2928" t="s">
        <v>3422</v>
      </c>
      <c r="G2928" s="8">
        <v>44866</v>
      </c>
      <c r="H2928" t="s">
        <v>583</v>
      </c>
      <c r="I2928" t="s">
        <v>68</v>
      </c>
      <c r="J2928" t="s">
        <v>69</v>
      </c>
      <c r="K2928" t="s">
        <v>29</v>
      </c>
      <c r="L2928" t="s">
        <v>895</v>
      </c>
      <c r="M2928" t="s">
        <v>4402</v>
      </c>
      <c r="O2928" t="s">
        <v>896</v>
      </c>
      <c r="P2928" t="s">
        <v>33</v>
      </c>
      <c r="Q2928">
        <v>918.09</v>
      </c>
      <c r="R2928" t="s">
        <v>35</v>
      </c>
      <c r="S2928" t="s">
        <v>35</v>
      </c>
      <c r="T2928" t="s">
        <v>35</v>
      </c>
      <c r="U2928" t="s">
        <v>35</v>
      </c>
      <c r="V2928" t="s">
        <v>645</v>
      </c>
      <c r="W2928" t="s">
        <v>113</v>
      </c>
    </row>
    <row r="2929" spans="1:23" hidden="1" x14ac:dyDescent="0.25">
      <c r="A2929" s="7" t="str">
        <f>IFERROR(VLOOKUP(H2929,'Contas Orç'!A:B,2,0),"N/A")</f>
        <v>PJ-LOCACAO DE MAQUINAS E EQUIPAMENTO</v>
      </c>
      <c r="B2929" s="7" t="str">
        <f t="shared" si="90"/>
        <v>330201004 - PJ-LOCACAO DE MAQUINAS E EQUIPAMENTO</v>
      </c>
      <c r="C2929" s="25">
        <f t="shared" si="91"/>
        <v>44866</v>
      </c>
      <c r="D2929" s="27">
        <f>IF(K2929="CREDITO",Q2929,Q2929*-1)</f>
        <v>3060.95</v>
      </c>
      <c r="E2929" t="s">
        <v>894</v>
      </c>
      <c r="F2929" t="s">
        <v>3423</v>
      </c>
      <c r="G2929" s="8">
        <v>44866</v>
      </c>
      <c r="H2929" t="s">
        <v>583</v>
      </c>
      <c r="I2929" t="s">
        <v>40</v>
      </c>
      <c r="J2929" t="s">
        <v>54</v>
      </c>
      <c r="K2929" t="s">
        <v>29</v>
      </c>
      <c r="L2929" t="s">
        <v>895</v>
      </c>
      <c r="M2929" t="s">
        <v>4402</v>
      </c>
      <c r="O2929" t="s">
        <v>896</v>
      </c>
      <c r="P2929" t="s">
        <v>33</v>
      </c>
      <c r="Q2929" s="22">
        <v>3060.95</v>
      </c>
      <c r="R2929" t="s">
        <v>35</v>
      </c>
      <c r="S2929" t="s">
        <v>35</v>
      </c>
      <c r="T2929" t="s">
        <v>35</v>
      </c>
      <c r="U2929" t="s">
        <v>35</v>
      </c>
      <c r="V2929" t="s">
        <v>645</v>
      </c>
      <c r="W2929" t="s">
        <v>113</v>
      </c>
    </row>
    <row r="2930" spans="1:23" hidden="1" x14ac:dyDescent="0.25">
      <c r="A2930" s="7" t="str">
        <f>IFERROR(VLOOKUP(H2930,'Contas Orç'!A:B,2,0),"N/A")</f>
        <v>PJ-LOCACAO DE MAQUINAS E EQUIPAMENTO</v>
      </c>
      <c r="B2930" s="7" t="str">
        <f t="shared" si="90"/>
        <v>330201004 - PJ-LOCACAO DE MAQUINAS E EQUIPAMENTO</v>
      </c>
      <c r="C2930" s="25">
        <f t="shared" si="91"/>
        <v>44896</v>
      </c>
      <c r="D2930" s="27">
        <f>IF(K2930="CREDITO",Q2930,Q2930*-1)</f>
        <v>927.27</v>
      </c>
      <c r="E2930" t="s">
        <v>894</v>
      </c>
      <c r="F2930" t="s">
        <v>3424</v>
      </c>
      <c r="G2930" s="8">
        <v>44896</v>
      </c>
      <c r="H2930" t="s">
        <v>583</v>
      </c>
      <c r="I2930" t="s">
        <v>68</v>
      </c>
      <c r="J2930" t="s">
        <v>69</v>
      </c>
      <c r="K2930" t="s">
        <v>29</v>
      </c>
      <c r="L2930" t="s">
        <v>895</v>
      </c>
      <c r="M2930" t="s">
        <v>4402</v>
      </c>
      <c r="O2930" t="s">
        <v>896</v>
      </c>
      <c r="P2930" t="s">
        <v>33</v>
      </c>
      <c r="Q2930">
        <v>927.27</v>
      </c>
      <c r="R2930" t="s">
        <v>35</v>
      </c>
      <c r="S2930" t="s">
        <v>35</v>
      </c>
      <c r="T2930" t="s">
        <v>35</v>
      </c>
      <c r="U2930" t="s">
        <v>35</v>
      </c>
      <c r="V2930" t="s">
        <v>645</v>
      </c>
      <c r="W2930" t="s">
        <v>113</v>
      </c>
    </row>
    <row r="2931" spans="1:23" hidden="1" x14ac:dyDescent="0.25">
      <c r="A2931" s="7" t="str">
        <f>IFERROR(VLOOKUP(H2931,'Contas Orç'!A:B,2,0),"N/A")</f>
        <v>PJ-LOCACAO DE MAQUINAS E EQUIPAMENTO</v>
      </c>
      <c r="B2931" s="7" t="str">
        <f t="shared" si="90"/>
        <v>330201004 - PJ-LOCACAO DE MAQUINAS E EQUIPAMENTO</v>
      </c>
      <c r="C2931" s="25">
        <f t="shared" si="91"/>
        <v>44896</v>
      </c>
      <c r="D2931" s="27">
        <f>IF(K2931="CREDITO",Q2931,Q2931*-1)</f>
        <v>3091.56</v>
      </c>
      <c r="E2931" t="s">
        <v>894</v>
      </c>
      <c r="F2931" t="s">
        <v>3425</v>
      </c>
      <c r="G2931" s="8">
        <v>44896</v>
      </c>
      <c r="H2931" t="s">
        <v>583</v>
      </c>
      <c r="I2931" t="s">
        <v>40</v>
      </c>
      <c r="J2931" t="s">
        <v>54</v>
      </c>
      <c r="K2931" t="s">
        <v>29</v>
      </c>
      <c r="L2931" t="s">
        <v>895</v>
      </c>
      <c r="M2931" t="s">
        <v>4402</v>
      </c>
      <c r="O2931" t="s">
        <v>896</v>
      </c>
      <c r="P2931" t="s">
        <v>33</v>
      </c>
      <c r="Q2931" s="22">
        <v>3091.56</v>
      </c>
      <c r="R2931" t="s">
        <v>35</v>
      </c>
      <c r="S2931" t="s">
        <v>35</v>
      </c>
      <c r="T2931" t="s">
        <v>35</v>
      </c>
      <c r="U2931" t="s">
        <v>35</v>
      </c>
      <c r="V2931" t="s">
        <v>645</v>
      </c>
      <c r="W2931" t="s">
        <v>113</v>
      </c>
    </row>
    <row r="2932" spans="1:23" hidden="1" x14ac:dyDescent="0.25">
      <c r="A2932" s="7" t="str">
        <f>IFERROR(VLOOKUP(H2932,'Contas Orç'!A:B,2,0),"N/A")</f>
        <v>PJ-MAO-DE-OBRA TERCEIRIZADA</v>
      </c>
      <c r="B2932" s="7" t="str">
        <f t="shared" si="90"/>
        <v>330201005 - PJ-MAO-DE-OBRA TERCEIRIZADA</v>
      </c>
      <c r="C2932" s="25">
        <f t="shared" si="91"/>
        <v>44682</v>
      </c>
      <c r="D2932" s="27">
        <f>IF(K2932="CREDITO",Q2932,Q2932*-1)</f>
        <v>20</v>
      </c>
      <c r="E2932" t="s">
        <v>894</v>
      </c>
      <c r="F2932" t="s">
        <v>3426</v>
      </c>
      <c r="G2932" s="8">
        <v>44682</v>
      </c>
      <c r="H2932" t="s">
        <v>584</v>
      </c>
      <c r="I2932" t="s">
        <v>40</v>
      </c>
      <c r="J2932" t="s">
        <v>54</v>
      </c>
      <c r="K2932" t="s">
        <v>29</v>
      </c>
      <c r="L2932" t="s">
        <v>895</v>
      </c>
      <c r="M2932" t="s">
        <v>4402</v>
      </c>
      <c r="O2932" t="s">
        <v>896</v>
      </c>
      <c r="P2932" t="s">
        <v>33</v>
      </c>
      <c r="Q2932">
        <v>20</v>
      </c>
      <c r="R2932" t="s">
        <v>35</v>
      </c>
      <c r="S2932" t="s">
        <v>35</v>
      </c>
      <c r="T2932" t="s">
        <v>35</v>
      </c>
      <c r="U2932" t="s">
        <v>35</v>
      </c>
      <c r="V2932" t="s">
        <v>645</v>
      </c>
      <c r="W2932" t="s">
        <v>113</v>
      </c>
    </row>
    <row r="2933" spans="1:23" hidden="1" x14ac:dyDescent="0.25">
      <c r="A2933" s="7" t="str">
        <f>IFERROR(VLOOKUP(H2933,'Contas Orç'!A:B,2,0),"N/A")</f>
        <v>PJ-OUTROS SERVICOS CONTRATADOS-PJ</v>
      </c>
      <c r="B2933" s="7" t="str">
        <f t="shared" si="90"/>
        <v>330201006 - PJ-OUTROS SERVICOS CONTRATADOS-PJ</v>
      </c>
      <c r="C2933" s="25">
        <f t="shared" si="91"/>
        <v>44562</v>
      </c>
      <c r="D2933" s="27">
        <f>IF(K2933="CREDITO",Q2933,Q2933*-1)</f>
        <v>95.74</v>
      </c>
      <c r="E2933" t="s">
        <v>894</v>
      </c>
      <c r="F2933" t="s">
        <v>3427</v>
      </c>
      <c r="G2933" s="8">
        <v>44562</v>
      </c>
      <c r="H2933" t="s">
        <v>67</v>
      </c>
      <c r="I2933" t="s">
        <v>27</v>
      </c>
      <c r="J2933" t="s">
        <v>28</v>
      </c>
      <c r="K2933" t="s">
        <v>29</v>
      </c>
      <c r="L2933" t="s">
        <v>895</v>
      </c>
      <c r="M2933" t="s">
        <v>4402</v>
      </c>
      <c r="O2933" t="s">
        <v>896</v>
      </c>
      <c r="P2933" t="s">
        <v>33</v>
      </c>
      <c r="Q2933">
        <v>95.74</v>
      </c>
      <c r="R2933" t="s">
        <v>35</v>
      </c>
      <c r="S2933" t="s">
        <v>35</v>
      </c>
      <c r="T2933" t="s">
        <v>35</v>
      </c>
      <c r="U2933" t="s">
        <v>35</v>
      </c>
      <c r="V2933" t="s">
        <v>645</v>
      </c>
      <c r="W2933" t="s">
        <v>113</v>
      </c>
    </row>
    <row r="2934" spans="1:23" hidden="1" x14ac:dyDescent="0.25">
      <c r="A2934" s="7" t="str">
        <f>IFERROR(VLOOKUP(H2934,'Contas Orç'!A:B,2,0),"N/A")</f>
        <v>PJ-OUTROS SERVICOS CONTRATADOS-PJ</v>
      </c>
      <c r="B2934" s="7" t="str">
        <f t="shared" si="90"/>
        <v>330201006 - PJ-OUTROS SERVICOS CONTRATADOS-PJ</v>
      </c>
      <c r="C2934" s="25">
        <f t="shared" si="91"/>
        <v>44562</v>
      </c>
      <c r="D2934" s="27">
        <f>IF(K2934="CREDITO",Q2934,Q2934*-1)</f>
        <v>133108.48000000001</v>
      </c>
      <c r="E2934" t="s">
        <v>894</v>
      </c>
      <c r="F2934" t="s">
        <v>3428</v>
      </c>
      <c r="G2934" s="8">
        <v>44562</v>
      </c>
      <c r="H2934" t="s">
        <v>67</v>
      </c>
      <c r="I2934" t="s">
        <v>68</v>
      </c>
      <c r="J2934" t="s">
        <v>69</v>
      </c>
      <c r="K2934" t="s">
        <v>29</v>
      </c>
      <c r="L2934" t="s">
        <v>895</v>
      </c>
      <c r="M2934" t="s">
        <v>4402</v>
      </c>
      <c r="O2934" t="s">
        <v>896</v>
      </c>
      <c r="P2934" t="s">
        <v>33</v>
      </c>
      <c r="Q2934" s="22">
        <v>133108.48000000001</v>
      </c>
      <c r="R2934" t="s">
        <v>35</v>
      </c>
      <c r="S2934" t="s">
        <v>35</v>
      </c>
      <c r="T2934" t="s">
        <v>35</v>
      </c>
      <c r="U2934" t="s">
        <v>35</v>
      </c>
      <c r="V2934" t="s">
        <v>645</v>
      </c>
      <c r="W2934" t="s">
        <v>113</v>
      </c>
    </row>
    <row r="2935" spans="1:23" hidden="1" x14ac:dyDescent="0.25">
      <c r="A2935" s="7" t="str">
        <f>IFERROR(VLOOKUP(H2935,'Contas Orç'!A:B,2,0),"N/A")</f>
        <v>PJ-OUTROS SERVICOS CONTRATADOS-PJ</v>
      </c>
      <c r="B2935" s="7" t="str">
        <f t="shared" si="90"/>
        <v>330201006 - PJ-OUTROS SERVICOS CONTRATADOS-PJ</v>
      </c>
      <c r="C2935" s="25">
        <f t="shared" si="91"/>
        <v>44562</v>
      </c>
      <c r="D2935" s="27">
        <f>IF(K2935="CREDITO",Q2935,Q2935*-1)</f>
        <v>1721</v>
      </c>
      <c r="E2935" t="s">
        <v>894</v>
      </c>
      <c r="F2935" t="s">
        <v>3429</v>
      </c>
      <c r="G2935" s="8">
        <v>44562</v>
      </c>
      <c r="H2935" t="s">
        <v>67</v>
      </c>
      <c r="I2935" t="s">
        <v>2062</v>
      </c>
      <c r="J2935" t="s">
        <v>54</v>
      </c>
      <c r="K2935" t="s">
        <v>29</v>
      </c>
      <c r="L2935" t="s">
        <v>895</v>
      </c>
      <c r="M2935" t="s">
        <v>4402</v>
      </c>
      <c r="O2935" t="s">
        <v>896</v>
      </c>
      <c r="P2935" t="s">
        <v>33</v>
      </c>
      <c r="Q2935" s="22">
        <v>1721</v>
      </c>
      <c r="R2935" t="s">
        <v>35</v>
      </c>
      <c r="S2935" t="s">
        <v>35</v>
      </c>
      <c r="T2935" t="s">
        <v>35</v>
      </c>
      <c r="U2935" t="s">
        <v>35</v>
      </c>
      <c r="V2935" t="s">
        <v>645</v>
      </c>
      <c r="W2935" t="s">
        <v>113</v>
      </c>
    </row>
    <row r="2936" spans="1:23" hidden="1" x14ac:dyDescent="0.25">
      <c r="A2936" s="7" t="str">
        <f>IFERROR(VLOOKUP(H2936,'Contas Orç'!A:B,2,0),"N/A")</f>
        <v>PJ-OUTROS SERVICOS CONTRATADOS-PJ</v>
      </c>
      <c r="B2936" s="7" t="str">
        <f t="shared" si="90"/>
        <v>330201006 - PJ-OUTROS SERVICOS CONTRATADOS-PJ</v>
      </c>
      <c r="C2936" s="25">
        <f t="shared" si="91"/>
        <v>44562</v>
      </c>
      <c r="D2936" s="27">
        <f>IF(K2936="CREDITO",Q2936,Q2936*-1)</f>
        <v>55648.13</v>
      </c>
      <c r="E2936" t="s">
        <v>894</v>
      </c>
      <c r="F2936" t="s">
        <v>3430</v>
      </c>
      <c r="G2936" s="8">
        <v>44562</v>
      </c>
      <c r="H2936" t="s">
        <v>67</v>
      </c>
      <c r="I2936" t="s">
        <v>40</v>
      </c>
      <c r="J2936" t="s">
        <v>54</v>
      </c>
      <c r="K2936" t="s">
        <v>29</v>
      </c>
      <c r="L2936" t="s">
        <v>895</v>
      </c>
      <c r="M2936" t="s">
        <v>4402</v>
      </c>
      <c r="O2936" t="s">
        <v>896</v>
      </c>
      <c r="P2936" t="s">
        <v>33</v>
      </c>
      <c r="Q2936" s="22">
        <v>55648.13</v>
      </c>
      <c r="R2936" t="s">
        <v>35</v>
      </c>
      <c r="S2936" t="s">
        <v>35</v>
      </c>
      <c r="T2936" t="s">
        <v>35</v>
      </c>
      <c r="U2936" t="s">
        <v>35</v>
      </c>
      <c r="V2936" t="s">
        <v>645</v>
      </c>
      <c r="W2936" t="s">
        <v>113</v>
      </c>
    </row>
    <row r="2937" spans="1:23" hidden="1" x14ac:dyDescent="0.25">
      <c r="A2937" s="7" t="str">
        <f>IFERROR(VLOOKUP(H2937,'Contas Orç'!A:B,2,0),"N/A")</f>
        <v>PJ-OUTROS SERVICOS CONTRATADOS-PJ</v>
      </c>
      <c r="B2937" s="7" t="str">
        <f t="shared" si="90"/>
        <v>330201006 - PJ-OUTROS SERVICOS CONTRATADOS-PJ</v>
      </c>
      <c r="C2937" s="25">
        <f t="shared" si="91"/>
        <v>44562</v>
      </c>
      <c r="D2937" s="27">
        <f>IF(K2937="CREDITO",Q2937,Q2937*-1)</f>
        <v>4800</v>
      </c>
      <c r="E2937" t="s">
        <v>894</v>
      </c>
      <c r="F2937" t="s">
        <v>3431</v>
      </c>
      <c r="G2937" s="8">
        <v>44562</v>
      </c>
      <c r="H2937" t="s">
        <v>67</v>
      </c>
      <c r="I2937" t="s">
        <v>75</v>
      </c>
      <c r="J2937" t="s">
        <v>54</v>
      </c>
      <c r="K2937" t="s">
        <v>29</v>
      </c>
      <c r="L2937" t="s">
        <v>895</v>
      </c>
      <c r="M2937" t="s">
        <v>4402</v>
      </c>
      <c r="O2937" t="s">
        <v>896</v>
      </c>
      <c r="P2937" t="s">
        <v>33</v>
      </c>
      <c r="Q2937" s="22">
        <v>4800</v>
      </c>
      <c r="R2937" t="s">
        <v>35</v>
      </c>
      <c r="S2937" t="s">
        <v>35</v>
      </c>
      <c r="T2937" t="s">
        <v>35</v>
      </c>
      <c r="U2937" t="s">
        <v>35</v>
      </c>
      <c r="V2937" t="s">
        <v>645</v>
      </c>
      <c r="W2937" t="s">
        <v>113</v>
      </c>
    </row>
    <row r="2938" spans="1:23" hidden="1" x14ac:dyDescent="0.25">
      <c r="A2938" s="7" t="str">
        <f>IFERROR(VLOOKUP(H2938,'Contas Orç'!A:B,2,0),"N/A")</f>
        <v>PJ-OUTROS SERVICOS CONTRATADOS-PJ</v>
      </c>
      <c r="B2938" s="7" t="str">
        <f t="shared" si="90"/>
        <v>330201006 - PJ-OUTROS SERVICOS CONTRATADOS-PJ</v>
      </c>
      <c r="C2938" s="25">
        <f t="shared" si="91"/>
        <v>44562</v>
      </c>
      <c r="D2938" s="27">
        <f>IF(K2938="CREDITO",Q2938,Q2938*-1)</f>
        <v>12401.52</v>
      </c>
      <c r="E2938" t="s">
        <v>894</v>
      </c>
      <c r="F2938" t="s">
        <v>3432</v>
      </c>
      <c r="G2938" s="8">
        <v>44562</v>
      </c>
      <c r="H2938" t="s">
        <v>67</v>
      </c>
      <c r="I2938" t="s">
        <v>81</v>
      </c>
      <c r="J2938" t="s">
        <v>54</v>
      </c>
      <c r="K2938" t="s">
        <v>29</v>
      </c>
      <c r="L2938" t="s">
        <v>895</v>
      </c>
      <c r="M2938" t="s">
        <v>4402</v>
      </c>
      <c r="O2938" t="s">
        <v>896</v>
      </c>
      <c r="P2938" t="s">
        <v>33</v>
      </c>
      <c r="Q2938" s="22">
        <v>12401.52</v>
      </c>
      <c r="R2938" t="s">
        <v>35</v>
      </c>
      <c r="S2938" t="s">
        <v>35</v>
      </c>
      <c r="T2938" t="s">
        <v>35</v>
      </c>
      <c r="U2938" t="s">
        <v>35</v>
      </c>
      <c r="V2938" t="s">
        <v>645</v>
      </c>
      <c r="W2938" t="s">
        <v>113</v>
      </c>
    </row>
    <row r="2939" spans="1:23" hidden="1" x14ac:dyDescent="0.25">
      <c r="A2939" s="7" t="str">
        <f>IFERROR(VLOOKUP(H2939,'Contas Orç'!A:B,2,0),"N/A")</f>
        <v>PJ-OUTROS SERVICOS CONTRATADOS-PJ</v>
      </c>
      <c r="B2939" s="7" t="str">
        <f t="shared" si="90"/>
        <v>330201006 - PJ-OUTROS SERVICOS CONTRATADOS-PJ</v>
      </c>
      <c r="C2939" s="25">
        <f t="shared" si="91"/>
        <v>44593</v>
      </c>
      <c r="D2939" s="27">
        <f>IF(K2939="CREDITO",Q2939,Q2939*-1)</f>
        <v>460</v>
      </c>
      <c r="E2939" t="s">
        <v>894</v>
      </c>
      <c r="F2939" t="s">
        <v>3433</v>
      </c>
      <c r="G2939" s="8">
        <v>44593</v>
      </c>
      <c r="H2939" t="s">
        <v>67</v>
      </c>
      <c r="I2939" t="s">
        <v>106</v>
      </c>
      <c r="J2939" t="s">
        <v>60</v>
      </c>
      <c r="K2939" t="s">
        <v>29</v>
      </c>
      <c r="L2939" t="s">
        <v>895</v>
      </c>
      <c r="M2939" t="s">
        <v>4402</v>
      </c>
      <c r="O2939" t="s">
        <v>896</v>
      </c>
      <c r="P2939" t="s">
        <v>33</v>
      </c>
      <c r="Q2939">
        <v>460</v>
      </c>
      <c r="R2939" t="s">
        <v>35</v>
      </c>
      <c r="S2939" t="s">
        <v>35</v>
      </c>
      <c r="T2939" t="s">
        <v>35</v>
      </c>
      <c r="U2939" t="s">
        <v>35</v>
      </c>
      <c r="V2939" t="s">
        <v>645</v>
      </c>
      <c r="W2939" t="s">
        <v>113</v>
      </c>
    </row>
    <row r="2940" spans="1:23" hidden="1" x14ac:dyDescent="0.25">
      <c r="A2940" s="7" t="str">
        <f>IFERROR(VLOOKUP(H2940,'Contas Orç'!A:B,2,0),"N/A")</f>
        <v>PJ-OUTROS SERVICOS CONTRATADOS-PJ</v>
      </c>
      <c r="B2940" s="7" t="str">
        <f t="shared" si="90"/>
        <v>330201006 - PJ-OUTROS SERVICOS CONTRATADOS-PJ</v>
      </c>
      <c r="C2940" s="25">
        <f t="shared" si="91"/>
        <v>44593</v>
      </c>
      <c r="D2940" s="27">
        <f>IF(K2940="CREDITO",Q2940,Q2940*-1)</f>
        <v>223654.75</v>
      </c>
      <c r="E2940" t="s">
        <v>894</v>
      </c>
      <c r="F2940" t="s">
        <v>3434</v>
      </c>
      <c r="G2940" s="8">
        <v>44593</v>
      </c>
      <c r="H2940" t="s">
        <v>67</v>
      </c>
      <c r="I2940" t="s">
        <v>68</v>
      </c>
      <c r="J2940" t="s">
        <v>69</v>
      </c>
      <c r="K2940" t="s">
        <v>29</v>
      </c>
      <c r="L2940" t="s">
        <v>895</v>
      </c>
      <c r="M2940" t="s">
        <v>4402</v>
      </c>
      <c r="O2940" t="s">
        <v>896</v>
      </c>
      <c r="P2940" t="s">
        <v>33</v>
      </c>
      <c r="Q2940" s="22">
        <v>223654.75</v>
      </c>
      <c r="R2940" t="s">
        <v>35</v>
      </c>
      <c r="S2940" t="s">
        <v>35</v>
      </c>
      <c r="T2940" t="s">
        <v>35</v>
      </c>
      <c r="U2940" t="s">
        <v>35</v>
      </c>
      <c r="V2940" t="s">
        <v>645</v>
      </c>
      <c r="W2940" t="s">
        <v>113</v>
      </c>
    </row>
    <row r="2941" spans="1:23" hidden="1" x14ac:dyDescent="0.25">
      <c r="A2941" s="7" t="str">
        <f>IFERROR(VLOOKUP(H2941,'Contas Orç'!A:B,2,0),"N/A")</f>
        <v>PJ-OUTROS SERVICOS CONTRATADOS-PJ</v>
      </c>
      <c r="B2941" s="7" t="str">
        <f t="shared" si="90"/>
        <v>330201006 - PJ-OUTROS SERVICOS CONTRATADOS-PJ</v>
      </c>
      <c r="C2941" s="25">
        <f t="shared" si="91"/>
        <v>44593</v>
      </c>
      <c r="D2941" s="27">
        <f>IF(K2941="CREDITO",Q2941,Q2941*-1)</f>
        <v>720</v>
      </c>
      <c r="E2941" t="s">
        <v>894</v>
      </c>
      <c r="F2941" t="s">
        <v>3435</v>
      </c>
      <c r="G2941" s="8">
        <v>44593</v>
      </c>
      <c r="H2941" t="s">
        <v>67</v>
      </c>
      <c r="I2941" t="s">
        <v>2062</v>
      </c>
      <c r="J2941" t="s">
        <v>54</v>
      </c>
      <c r="K2941" t="s">
        <v>29</v>
      </c>
      <c r="L2941" t="s">
        <v>895</v>
      </c>
      <c r="M2941" t="s">
        <v>4402</v>
      </c>
      <c r="O2941" t="s">
        <v>896</v>
      </c>
      <c r="P2941" t="s">
        <v>33</v>
      </c>
      <c r="Q2941">
        <v>720</v>
      </c>
      <c r="R2941" t="s">
        <v>35</v>
      </c>
      <c r="S2941" t="s">
        <v>35</v>
      </c>
      <c r="T2941" t="s">
        <v>35</v>
      </c>
      <c r="U2941" t="s">
        <v>35</v>
      </c>
      <c r="V2941" t="s">
        <v>645</v>
      </c>
      <c r="W2941" t="s">
        <v>113</v>
      </c>
    </row>
    <row r="2942" spans="1:23" hidden="1" x14ac:dyDescent="0.25">
      <c r="A2942" s="7" t="str">
        <f>IFERROR(VLOOKUP(H2942,'Contas Orç'!A:B,2,0),"N/A")</f>
        <v>PJ-OUTROS SERVICOS CONTRATADOS-PJ</v>
      </c>
      <c r="B2942" s="7" t="str">
        <f t="shared" si="90"/>
        <v>330201006 - PJ-OUTROS SERVICOS CONTRATADOS-PJ</v>
      </c>
      <c r="C2942" s="25">
        <f t="shared" si="91"/>
        <v>44593</v>
      </c>
      <c r="D2942" s="27">
        <f>IF(K2942="CREDITO",Q2942,Q2942*-1)</f>
        <v>83463.25</v>
      </c>
      <c r="E2942" t="s">
        <v>894</v>
      </c>
      <c r="F2942" t="s">
        <v>3436</v>
      </c>
      <c r="G2942" s="8">
        <v>44593</v>
      </c>
      <c r="H2942" t="s">
        <v>67</v>
      </c>
      <c r="I2942" t="s">
        <v>40</v>
      </c>
      <c r="J2942" t="s">
        <v>54</v>
      </c>
      <c r="K2942" t="s">
        <v>29</v>
      </c>
      <c r="L2942" t="s">
        <v>895</v>
      </c>
      <c r="M2942" t="s">
        <v>4402</v>
      </c>
      <c r="O2942" t="s">
        <v>896</v>
      </c>
      <c r="P2942" t="s">
        <v>33</v>
      </c>
      <c r="Q2942" s="22">
        <v>83463.25</v>
      </c>
      <c r="R2942" t="s">
        <v>35</v>
      </c>
      <c r="S2942" t="s">
        <v>35</v>
      </c>
      <c r="T2942" t="s">
        <v>35</v>
      </c>
      <c r="U2942" t="s">
        <v>35</v>
      </c>
      <c r="V2942" t="s">
        <v>645</v>
      </c>
      <c r="W2942" t="s">
        <v>113</v>
      </c>
    </row>
    <row r="2943" spans="1:23" hidden="1" x14ac:dyDescent="0.25">
      <c r="A2943" s="7" t="str">
        <f>IFERROR(VLOOKUP(H2943,'Contas Orç'!A:B,2,0),"N/A")</f>
        <v>PJ-OUTROS SERVICOS CONTRATADOS-PJ</v>
      </c>
      <c r="B2943" s="7" t="str">
        <f t="shared" si="90"/>
        <v>330201006 - PJ-OUTROS SERVICOS CONTRATADOS-PJ</v>
      </c>
      <c r="C2943" s="25">
        <f t="shared" si="91"/>
        <v>44593</v>
      </c>
      <c r="D2943" s="27">
        <f>IF(K2943="CREDITO",Q2943,Q2943*-1)</f>
        <v>4800</v>
      </c>
      <c r="E2943" t="s">
        <v>894</v>
      </c>
      <c r="F2943" t="s">
        <v>3437</v>
      </c>
      <c r="G2943" s="8">
        <v>44593</v>
      </c>
      <c r="H2943" t="s">
        <v>67</v>
      </c>
      <c r="I2943" t="s">
        <v>75</v>
      </c>
      <c r="J2943" t="s">
        <v>54</v>
      </c>
      <c r="K2943" t="s">
        <v>29</v>
      </c>
      <c r="L2943" t="s">
        <v>895</v>
      </c>
      <c r="M2943" t="s">
        <v>4402</v>
      </c>
      <c r="O2943" t="s">
        <v>896</v>
      </c>
      <c r="P2943" t="s">
        <v>33</v>
      </c>
      <c r="Q2943" s="22">
        <v>4800</v>
      </c>
      <c r="R2943" t="s">
        <v>35</v>
      </c>
      <c r="S2943" t="s">
        <v>35</v>
      </c>
      <c r="T2943" t="s">
        <v>35</v>
      </c>
      <c r="U2943" t="s">
        <v>35</v>
      </c>
      <c r="V2943" t="s">
        <v>645</v>
      </c>
      <c r="W2943" t="s">
        <v>113</v>
      </c>
    </row>
    <row r="2944" spans="1:23" hidden="1" x14ac:dyDescent="0.25">
      <c r="A2944" s="7" t="str">
        <f>IFERROR(VLOOKUP(H2944,'Contas Orç'!A:B,2,0),"N/A")</f>
        <v>PJ-OUTROS SERVICOS CONTRATADOS-PJ</v>
      </c>
      <c r="B2944" s="7" t="str">
        <f t="shared" si="90"/>
        <v>330201006 - PJ-OUTROS SERVICOS CONTRATADOS-PJ</v>
      </c>
      <c r="C2944" s="25">
        <f t="shared" si="91"/>
        <v>44593</v>
      </c>
      <c r="D2944" s="27">
        <f>IF(K2944="CREDITO",Q2944,Q2944*-1)</f>
        <v>19087.400000000001</v>
      </c>
      <c r="E2944" t="s">
        <v>894</v>
      </c>
      <c r="F2944" t="s">
        <v>3438</v>
      </c>
      <c r="G2944" s="8">
        <v>44593</v>
      </c>
      <c r="H2944" t="s">
        <v>67</v>
      </c>
      <c r="I2944" t="s">
        <v>81</v>
      </c>
      <c r="J2944" t="s">
        <v>54</v>
      </c>
      <c r="K2944" t="s">
        <v>29</v>
      </c>
      <c r="L2944" t="s">
        <v>895</v>
      </c>
      <c r="M2944" t="s">
        <v>4402</v>
      </c>
      <c r="O2944" t="s">
        <v>896</v>
      </c>
      <c r="P2944" t="s">
        <v>33</v>
      </c>
      <c r="Q2944" s="22">
        <v>19087.400000000001</v>
      </c>
      <c r="R2944" t="s">
        <v>35</v>
      </c>
      <c r="S2944" t="s">
        <v>35</v>
      </c>
      <c r="T2944" t="s">
        <v>35</v>
      </c>
      <c r="U2944" t="s">
        <v>35</v>
      </c>
      <c r="V2944" t="s">
        <v>645</v>
      </c>
      <c r="W2944" t="s">
        <v>113</v>
      </c>
    </row>
    <row r="2945" spans="1:23" hidden="1" x14ac:dyDescent="0.25">
      <c r="A2945" s="7" t="str">
        <f>IFERROR(VLOOKUP(H2945,'Contas Orç'!A:B,2,0),"N/A")</f>
        <v>PJ-OUTROS SERVICOS CONTRATADOS-PJ</v>
      </c>
      <c r="B2945" s="7" t="str">
        <f t="shared" si="90"/>
        <v>330201006 - PJ-OUTROS SERVICOS CONTRATADOS-PJ</v>
      </c>
      <c r="C2945" s="25">
        <f t="shared" si="91"/>
        <v>44593</v>
      </c>
      <c r="D2945" s="27">
        <f>IF(K2945="CREDITO",Q2945,Q2945*-1)</f>
        <v>939.91</v>
      </c>
      <c r="E2945" t="s">
        <v>894</v>
      </c>
      <c r="F2945" t="s">
        <v>3439</v>
      </c>
      <c r="G2945" s="8">
        <v>44593</v>
      </c>
      <c r="H2945" t="s">
        <v>67</v>
      </c>
      <c r="I2945" t="s">
        <v>136</v>
      </c>
      <c r="J2945" t="s">
        <v>54</v>
      </c>
      <c r="K2945" t="s">
        <v>29</v>
      </c>
      <c r="L2945" t="s">
        <v>895</v>
      </c>
      <c r="M2945" t="s">
        <v>4402</v>
      </c>
      <c r="O2945" t="s">
        <v>896</v>
      </c>
      <c r="P2945" t="s">
        <v>33</v>
      </c>
      <c r="Q2945">
        <v>939.91</v>
      </c>
      <c r="R2945" t="s">
        <v>35</v>
      </c>
      <c r="S2945" t="s">
        <v>35</v>
      </c>
      <c r="T2945" t="s">
        <v>35</v>
      </c>
      <c r="U2945" t="s">
        <v>35</v>
      </c>
      <c r="V2945" t="s">
        <v>645</v>
      </c>
      <c r="W2945" t="s">
        <v>113</v>
      </c>
    </row>
    <row r="2946" spans="1:23" hidden="1" x14ac:dyDescent="0.25">
      <c r="A2946" s="7" t="str">
        <f>IFERROR(VLOOKUP(H2946,'Contas Orç'!A:B,2,0),"N/A")</f>
        <v>PJ-OUTROS SERVICOS CONTRATADOS-PJ</v>
      </c>
      <c r="B2946" s="7" t="str">
        <f t="shared" si="90"/>
        <v>330201006 - PJ-OUTROS SERVICOS CONTRATADOS-PJ</v>
      </c>
      <c r="C2946" s="25">
        <f t="shared" si="91"/>
        <v>44621</v>
      </c>
      <c r="D2946" s="27">
        <f>IF(K2946="CREDITO",Q2946,Q2946*-1)</f>
        <v>175400.16</v>
      </c>
      <c r="E2946" t="s">
        <v>894</v>
      </c>
      <c r="F2946" t="s">
        <v>3440</v>
      </c>
      <c r="G2946" s="8">
        <v>44621</v>
      </c>
      <c r="H2946" t="s">
        <v>67</v>
      </c>
      <c r="I2946" t="s">
        <v>68</v>
      </c>
      <c r="J2946" t="s">
        <v>69</v>
      </c>
      <c r="K2946" t="s">
        <v>29</v>
      </c>
      <c r="L2946" t="s">
        <v>895</v>
      </c>
      <c r="M2946" t="s">
        <v>4402</v>
      </c>
      <c r="O2946" t="s">
        <v>896</v>
      </c>
      <c r="P2946" t="s">
        <v>33</v>
      </c>
      <c r="Q2946" s="22">
        <v>175400.16</v>
      </c>
      <c r="R2946" t="s">
        <v>35</v>
      </c>
      <c r="S2946" t="s">
        <v>35</v>
      </c>
      <c r="T2946" t="s">
        <v>35</v>
      </c>
      <c r="U2946" t="s">
        <v>35</v>
      </c>
      <c r="V2946" t="s">
        <v>645</v>
      </c>
      <c r="W2946" t="s">
        <v>113</v>
      </c>
    </row>
    <row r="2947" spans="1:23" hidden="1" x14ac:dyDescent="0.25">
      <c r="A2947" s="7" t="str">
        <f>IFERROR(VLOOKUP(H2947,'Contas Orç'!A:B,2,0),"N/A")</f>
        <v>PJ-OUTROS SERVICOS CONTRATADOS-PJ</v>
      </c>
      <c r="B2947" s="7" t="str">
        <f t="shared" ref="B2947:B3010" si="92">_xlfn.CONCAT(H2947," - ",A2947)</f>
        <v>330201006 - PJ-OUTROS SERVICOS CONTRATADOS-PJ</v>
      </c>
      <c r="C2947" s="25">
        <f t="shared" ref="C2947:C3010" si="93">DATE(YEAR(G2947),MONTH(G2947),1)</f>
        <v>44621</v>
      </c>
      <c r="D2947" s="27">
        <f>IF(K2947="CREDITO",Q2947,Q2947*-1)</f>
        <v>186.14</v>
      </c>
      <c r="E2947" t="s">
        <v>894</v>
      </c>
      <c r="F2947" t="s">
        <v>3441</v>
      </c>
      <c r="G2947" s="8">
        <v>44621</v>
      </c>
      <c r="H2947" t="s">
        <v>67</v>
      </c>
      <c r="I2947" t="s">
        <v>2062</v>
      </c>
      <c r="J2947" t="s">
        <v>54</v>
      </c>
      <c r="K2947" t="s">
        <v>29</v>
      </c>
      <c r="L2947" t="s">
        <v>895</v>
      </c>
      <c r="M2947" t="s">
        <v>4402</v>
      </c>
      <c r="O2947" t="s">
        <v>896</v>
      </c>
      <c r="P2947" t="s">
        <v>33</v>
      </c>
      <c r="Q2947">
        <v>186.14</v>
      </c>
      <c r="R2947" t="s">
        <v>35</v>
      </c>
      <c r="S2947" t="s">
        <v>35</v>
      </c>
      <c r="T2947" t="s">
        <v>35</v>
      </c>
      <c r="U2947" t="s">
        <v>35</v>
      </c>
      <c r="V2947" t="s">
        <v>645</v>
      </c>
      <c r="W2947" t="s">
        <v>113</v>
      </c>
    </row>
    <row r="2948" spans="1:23" hidden="1" x14ac:dyDescent="0.25">
      <c r="A2948" s="7" t="str">
        <f>IFERROR(VLOOKUP(H2948,'Contas Orç'!A:B,2,0),"N/A")</f>
        <v>PJ-OUTROS SERVICOS CONTRATADOS-PJ</v>
      </c>
      <c r="B2948" s="7" t="str">
        <f t="shared" si="92"/>
        <v>330201006 - PJ-OUTROS SERVICOS CONTRATADOS-PJ</v>
      </c>
      <c r="C2948" s="25">
        <f t="shared" si="93"/>
        <v>44621</v>
      </c>
      <c r="D2948" s="27">
        <f>IF(K2948="CREDITO",Q2948,Q2948*-1)</f>
        <v>76801.13</v>
      </c>
      <c r="E2948" t="s">
        <v>894</v>
      </c>
      <c r="F2948" t="s">
        <v>3442</v>
      </c>
      <c r="G2948" s="8">
        <v>44621</v>
      </c>
      <c r="H2948" t="s">
        <v>67</v>
      </c>
      <c r="I2948" t="s">
        <v>40</v>
      </c>
      <c r="J2948" t="s">
        <v>54</v>
      </c>
      <c r="K2948" t="s">
        <v>29</v>
      </c>
      <c r="L2948" t="s">
        <v>895</v>
      </c>
      <c r="M2948" t="s">
        <v>4402</v>
      </c>
      <c r="O2948" t="s">
        <v>896</v>
      </c>
      <c r="P2948" t="s">
        <v>33</v>
      </c>
      <c r="Q2948" s="22">
        <v>76801.13</v>
      </c>
      <c r="R2948" t="s">
        <v>35</v>
      </c>
      <c r="S2948" t="s">
        <v>35</v>
      </c>
      <c r="T2948" t="s">
        <v>35</v>
      </c>
      <c r="U2948" t="s">
        <v>35</v>
      </c>
      <c r="V2948" t="s">
        <v>645</v>
      </c>
      <c r="W2948" t="s">
        <v>113</v>
      </c>
    </row>
    <row r="2949" spans="1:23" hidden="1" x14ac:dyDescent="0.25">
      <c r="A2949" s="7" t="str">
        <f>IFERROR(VLOOKUP(H2949,'Contas Orç'!A:B,2,0),"N/A")</f>
        <v>PJ-OUTROS SERVICOS CONTRATADOS-PJ</v>
      </c>
      <c r="B2949" s="7" t="str">
        <f t="shared" si="92"/>
        <v>330201006 - PJ-OUTROS SERVICOS CONTRATADOS-PJ</v>
      </c>
      <c r="C2949" s="25">
        <f t="shared" si="93"/>
        <v>44621</v>
      </c>
      <c r="D2949" s="27">
        <f>IF(K2949="CREDITO",Q2949,Q2949*-1)</f>
        <v>4000</v>
      </c>
      <c r="E2949" t="s">
        <v>894</v>
      </c>
      <c r="F2949" t="s">
        <v>3443</v>
      </c>
      <c r="G2949" s="8">
        <v>44621</v>
      </c>
      <c r="H2949" t="s">
        <v>67</v>
      </c>
      <c r="I2949" t="s">
        <v>75</v>
      </c>
      <c r="J2949" t="s">
        <v>54</v>
      </c>
      <c r="K2949" t="s">
        <v>29</v>
      </c>
      <c r="L2949" t="s">
        <v>895</v>
      </c>
      <c r="M2949" t="s">
        <v>4402</v>
      </c>
      <c r="O2949" t="s">
        <v>896</v>
      </c>
      <c r="P2949" t="s">
        <v>33</v>
      </c>
      <c r="Q2949" s="22">
        <v>4000</v>
      </c>
      <c r="R2949" t="s">
        <v>35</v>
      </c>
      <c r="S2949" t="s">
        <v>35</v>
      </c>
      <c r="T2949" t="s">
        <v>35</v>
      </c>
      <c r="U2949" t="s">
        <v>35</v>
      </c>
      <c r="V2949" t="s">
        <v>645</v>
      </c>
      <c r="W2949" t="s">
        <v>113</v>
      </c>
    </row>
    <row r="2950" spans="1:23" hidden="1" x14ac:dyDescent="0.25">
      <c r="A2950" s="7" t="str">
        <f>IFERROR(VLOOKUP(H2950,'Contas Orç'!A:B,2,0),"N/A")</f>
        <v>PJ-OUTROS SERVICOS CONTRATADOS-PJ</v>
      </c>
      <c r="B2950" s="7" t="str">
        <f t="shared" si="92"/>
        <v>330201006 - PJ-OUTROS SERVICOS CONTRATADOS-PJ</v>
      </c>
      <c r="C2950" s="25">
        <f t="shared" si="93"/>
        <v>44621</v>
      </c>
      <c r="D2950" s="27">
        <f>IF(K2950="CREDITO",Q2950,Q2950*-1)</f>
        <v>114006.55</v>
      </c>
      <c r="E2950" t="s">
        <v>894</v>
      </c>
      <c r="F2950" t="s">
        <v>3444</v>
      </c>
      <c r="G2950" s="8">
        <v>44621</v>
      </c>
      <c r="H2950" t="s">
        <v>67</v>
      </c>
      <c r="I2950" t="s">
        <v>81</v>
      </c>
      <c r="J2950" t="s">
        <v>54</v>
      </c>
      <c r="K2950" t="s">
        <v>29</v>
      </c>
      <c r="L2950" t="s">
        <v>895</v>
      </c>
      <c r="M2950" t="s">
        <v>4402</v>
      </c>
      <c r="O2950" t="s">
        <v>896</v>
      </c>
      <c r="P2950" t="s">
        <v>33</v>
      </c>
      <c r="Q2950" s="22">
        <v>114006.55</v>
      </c>
      <c r="R2950" t="s">
        <v>35</v>
      </c>
      <c r="S2950" t="s">
        <v>35</v>
      </c>
      <c r="T2950" t="s">
        <v>35</v>
      </c>
      <c r="U2950" t="s">
        <v>35</v>
      </c>
      <c r="V2950" t="s">
        <v>645</v>
      </c>
      <c r="W2950" t="s">
        <v>113</v>
      </c>
    </row>
    <row r="2951" spans="1:23" hidden="1" x14ac:dyDescent="0.25">
      <c r="A2951" s="7" t="str">
        <f>IFERROR(VLOOKUP(H2951,'Contas Orç'!A:B,2,0),"N/A")</f>
        <v>PJ-OUTROS SERVICOS CONTRATADOS-PJ</v>
      </c>
      <c r="B2951" s="7" t="str">
        <f t="shared" si="92"/>
        <v>330201006 - PJ-OUTROS SERVICOS CONTRATADOS-PJ</v>
      </c>
      <c r="C2951" s="25">
        <f t="shared" si="93"/>
        <v>44652</v>
      </c>
      <c r="D2951" s="27">
        <f>IF(K2951="CREDITO",Q2951,Q2951*-1)</f>
        <v>97015.3</v>
      </c>
      <c r="E2951" t="s">
        <v>894</v>
      </c>
      <c r="F2951" t="s">
        <v>3445</v>
      </c>
      <c r="G2951" s="8">
        <v>44652</v>
      </c>
      <c r="H2951" t="s">
        <v>67</v>
      </c>
      <c r="I2951" t="s">
        <v>68</v>
      </c>
      <c r="J2951" t="s">
        <v>69</v>
      </c>
      <c r="K2951" t="s">
        <v>29</v>
      </c>
      <c r="L2951" t="s">
        <v>895</v>
      </c>
      <c r="M2951" t="s">
        <v>4402</v>
      </c>
      <c r="O2951" t="s">
        <v>896</v>
      </c>
      <c r="P2951" t="s">
        <v>33</v>
      </c>
      <c r="Q2951" s="22">
        <v>97015.3</v>
      </c>
      <c r="R2951" t="s">
        <v>35</v>
      </c>
      <c r="S2951" t="s">
        <v>35</v>
      </c>
      <c r="T2951" t="s">
        <v>35</v>
      </c>
      <c r="U2951" t="s">
        <v>35</v>
      </c>
      <c r="V2951" t="s">
        <v>645</v>
      </c>
      <c r="W2951" t="s">
        <v>113</v>
      </c>
    </row>
    <row r="2952" spans="1:23" hidden="1" x14ac:dyDescent="0.25">
      <c r="A2952" s="7" t="str">
        <f>IFERROR(VLOOKUP(H2952,'Contas Orç'!A:B,2,0),"N/A")</f>
        <v>PJ-OUTROS SERVICOS CONTRATADOS-PJ</v>
      </c>
      <c r="B2952" s="7" t="str">
        <f t="shared" si="92"/>
        <v>330201006 - PJ-OUTROS SERVICOS CONTRATADOS-PJ</v>
      </c>
      <c r="C2952" s="25">
        <f t="shared" si="93"/>
        <v>44652</v>
      </c>
      <c r="D2952" s="27">
        <f>IF(K2952="CREDITO",Q2952,Q2952*-1)</f>
        <v>4293.55</v>
      </c>
      <c r="E2952" t="s">
        <v>894</v>
      </c>
      <c r="F2952" t="s">
        <v>3446</v>
      </c>
      <c r="G2952" s="8">
        <v>44652</v>
      </c>
      <c r="H2952" t="s">
        <v>67</v>
      </c>
      <c r="I2952" t="s">
        <v>2062</v>
      </c>
      <c r="J2952" t="s">
        <v>54</v>
      </c>
      <c r="K2952" t="s">
        <v>29</v>
      </c>
      <c r="L2952" t="s">
        <v>895</v>
      </c>
      <c r="M2952" t="s">
        <v>4402</v>
      </c>
      <c r="O2952" t="s">
        <v>896</v>
      </c>
      <c r="P2952" t="s">
        <v>33</v>
      </c>
      <c r="Q2952" s="22">
        <v>4293.55</v>
      </c>
      <c r="R2952" t="s">
        <v>35</v>
      </c>
      <c r="S2952" t="s">
        <v>35</v>
      </c>
      <c r="T2952" t="s">
        <v>35</v>
      </c>
      <c r="U2952" t="s">
        <v>35</v>
      </c>
      <c r="V2952" t="s">
        <v>645</v>
      </c>
      <c r="W2952" t="s">
        <v>113</v>
      </c>
    </row>
    <row r="2953" spans="1:23" hidden="1" x14ac:dyDescent="0.25">
      <c r="A2953" s="7" t="str">
        <f>IFERROR(VLOOKUP(H2953,'Contas Orç'!A:B,2,0),"N/A")</f>
        <v>PJ-OUTROS SERVICOS CONTRATADOS-PJ</v>
      </c>
      <c r="B2953" s="7" t="str">
        <f t="shared" si="92"/>
        <v>330201006 - PJ-OUTROS SERVICOS CONTRATADOS-PJ</v>
      </c>
      <c r="C2953" s="25">
        <f t="shared" si="93"/>
        <v>44652</v>
      </c>
      <c r="D2953" s="27">
        <f>IF(K2953="CREDITO",Q2953,Q2953*-1)</f>
        <v>84536.68</v>
      </c>
      <c r="E2953" t="s">
        <v>894</v>
      </c>
      <c r="F2953" t="s">
        <v>3447</v>
      </c>
      <c r="G2953" s="8">
        <v>44652</v>
      </c>
      <c r="H2953" t="s">
        <v>67</v>
      </c>
      <c r="I2953" t="s">
        <v>40</v>
      </c>
      <c r="J2953" t="s">
        <v>54</v>
      </c>
      <c r="K2953" t="s">
        <v>29</v>
      </c>
      <c r="L2953" t="s">
        <v>895</v>
      </c>
      <c r="M2953" t="s">
        <v>4402</v>
      </c>
      <c r="O2953" t="s">
        <v>896</v>
      </c>
      <c r="P2953" t="s">
        <v>33</v>
      </c>
      <c r="Q2953" s="22">
        <v>84536.68</v>
      </c>
      <c r="R2953" t="s">
        <v>35</v>
      </c>
      <c r="S2953" t="s">
        <v>35</v>
      </c>
      <c r="T2953" t="s">
        <v>35</v>
      </c>
      <c r="U2953" t="s">
        <v>35</v>
      </c>
      <c r="V2953" t="s">
        <v>645</v>
      </c>
      <c r="W2953" t="s">
        <v>113</v>
      </c>
    </row>
    <row r="2954" spans="1:23" hidden="1" x14ac:dyDescent="0.25">
      <c r="A2954" s="7" t="str">
        <f>IFERROR(VLOOKUP(H2954,'Contas Orç'!A:B,2,0),"N/A")</f>
        <v>PJ-OUTROS SERVICOS CONTRATADOS-PJ</v>
      </c>
      <c r="B2954" s="7" t="str">
        <f t="shared" si="92"/>
        <v>330201006 - PJ-OUTROS SERVICOS CONTRATADOS-PJ</v>
      </c>
      <c r="C2954" s="25">
        <f t="shared" si="93"/>
        <v>44652</v>
      </c>
      <c r="D2954" s="27">
        <f>IF(K2954="CREDITO",Q2954,Q2954*-1)</f>
        <v>24205.13</v>
      </c>
      <c r="E2954" t="s">
        <v>894</v>
      </c>
      <c r="F2954" t="s">
        <v>3448</v>
      </c>
      <c r="G2954" s="8">
        <v>44652</v>
      </c>
      <c r="H2954" t="s">
        <v>67</v>
      </c>
      <c r="I2954" t="s">
        <v>81</v>
      </c>
      <c r="J2954" t="s">
        <v>54</v>
      </c>
      <c r="K2954" t="s">
        <v>29</v>
      </c>
      <c r="L2954" t="s">
        <v>895</v>
      </c>
      <c r="M2954" t="s">
        <v>4402</v>
      </c>
      <c r="O2954" t="s">
        <v>896</v>
      </c>
      <c r="P2954" t="s">
        <v>33</v>
      </c>
      <c r="Q2954" s="22">
        <v>24205.13</v>
      </c>
      <c r="R2954" t="s">
        <v>35</v>
      </c>
      <c r="S2954" t="s">
        <v>35</v>
      </c>
      <c r="T2954" t="s">
        <v>35</v>
      </c>
      <c r="U2954" t="s">
        <v>35</v>
      </c>
      <c r="V2954" t="s">
        <v>645</v>
      </c>
      <c r="W2954" t="s">
        <v>113</v>
      </c>
    </row>
    <row r="2955" spans="1:23" hidden="1" x14ac:dyDescent="0.25">
      <c r="A2955" s="7" t="str">
        <f>IFERROR(VLOOKUP(H2955,'Contas Orç'!A:B,2,0),"N/A")</f>
        <v>PJ-OUTROS SERVICOS CONTRATADOS-PJ</v>
      </c>
      <c r="B2955" s="7" t="str">
        <f t="shared" si="92"/>
        <v>330201006 - PJ-OUTROS SERVICOS CONTRATADOS-PJ</v>
      </c>
      <c r="C2955" s="25">
        <f t="shared" si="93"/>
        <v>44682</v>
      </c>
      <c r="D2955" s="27">
        <f>IF(K2955="CREDITO",Q2955,Q2955*-1)</f>
        <v>1907.24</v>
      </c>
      <c r="E2955" t="s">
        <v>894</v>
      </c>
      <c r="F2955" t="s">
        <v>3449</v>
      </c>
      <c r="G2955" s="8">
        <v>44682</v>
      </c>
      <c r="H2955" t="s">
        <v>67</v>
      </c>
      <c r="I2955" t="s">
        <v>59</v>
      </c>
      <c r="J2955" t="s">
        <v>60</v>
      </c>
      <c r="K2955" t="s">
        <v>29</v>
      </c>
      <c r="L2955" t="s">
        <v>895</v>
      </c>
      <c r="M2955" t="s">
        <v>4402</v>
      </c>
      <c r="O2955" t="s">
        <v>896</v>
      </c>
      <c r="P2955" t="s">
        <v>33</v>
      </c>
      <c r="Q2955" s="22">
        <v>1907.24</v>
      </c>
      <c r="R2955" t="s">
        <v>35</v>
      </c>
      <c r="S2955" t="s">
        <v>35</v>
      </c>
      <c r="T2955" t="s">
        <v>35</v>
      </c>
      <c r="U2955" t="s">
        <v>35</v>
      </c>
      <c r="V2955" t="s">
        <v>645</v>
      </c>
      <c r="W2955" t="s">
        <v>113</v>
      </c>
    </row>
    <row r="2956" spans="1:23" hidden="1" x14ac:dyDescent="0.25">
      <c r="A2956" s="7" t="str">
        <f>IFERROR(VLOOKUP(H2956,'Contas Orç'!A:B,2,0),"N/A")</f>
        <v>PJ-OUTROS SERVICOS CONTRATADOS-PJ</v>
      </c>
      <c r="B2956" s="7" t="str">
        <f t="shared" si="92"/>
        <v>330201006 - PJ-OUTROS SERVICOS CONTRATADOS-PJ</v>
      </c>
      <c r="C2956" s="25">
        <f t="shared" si="93"/>
        <v>44682</v>
      </c>
      <c r="D2956" s="27">
        <f>IF(K2956="CREDITO",Q2956,Q2956*-1)</f>
        <v>247217.55</v>
      </c>
      <c r="E2956" t="s">
        <v>894</v>
      </c>
      <c r="F2956" t="s">
        <v>3450</v>
      </c>
      <c r="G2956" s="8">
        <v>44682</v>
      </c>
      <c r="H2956" t="s">
        <v>67</v>
      </c>
      <c r="I2956" t="s">
        <v>68</v>
      </c>
      <c r="J2956" t="s">
        <v>69</v>
      </c>
      <c r="K2956" t="s">
        <v>29</v>
      </c>
      <c r="L2956" t="s">
        <v>895</v>
      </c>
      <c r="M2956" t="s">
        <v>4402</v>
      </c>
      <c r="O2956" t="s">
        <v>896</v>
      </c>
      <c r="P2956" t="s">
        <v>33</v>
      </c>
      <c r="Q2956" s="22">
        <v>247217.55</v>
      </c>
      <c r="R2956" t="s">
        <v>35</v>
      </c>
      <c r="S2956" t="s">
        <v>35</v>
      </c>
      <c r="T2956" t="s">
        <v>35</v>
      </c>
      <c r="U2956" t="s">
        <v>35</v>
      </c>
      <c r="V2956" t="s">
        <v>645</v>
      </c>
      <c r="W2956" t="s">
        <v>113</v>
      </c>
    </row>
    <row r="2957" spans="1:23" hidden="1" x14ac:dyDescent="0.25">
      <c r="A2957" s="7" t="str">
        <f>IFERROR(VLOOKUP(H2957,'Contas Orç'!A:B,2,0),"N/A")</f>
        <v>PJ-OUTROS SERVICOS CONTRATADOS-PJ</v>
      </c>
      <c r="B2957" s="7" t="str">
        <f t="shared" si="92"/>
        <v>330201006 - PJ-OUTROS SERVICOS CONTRATADOS-PJ</v>
      </c>
      <c r="C2957" s="25">
        <f t="shared" si="93"/>
        <v>44682</v>
      </c>
      <c r="D2957" s="27">
        <f>IF(K2957="CREDITO",Q2957,Q2957*-1)</f>
        <v>8500</v>
      </c>
      <c r="E2957" t="s">
        <v>894</v>
      </c>
      <c r="F2957" t="s">
        <v>3451</v>
      </c>
      <c r="G2957" s="8">
        <v>44682</v>
      </c>
      <c r="H2957" t="s">
        <v>67</v>
      </c>
      <c r="I2957" t="s">
        <v>2062</v>
      </c>
      <c r="J2957" t="s">
        <v>54</v>
      </c>
      <c r="K2957" t="s">
        <v>29</v>
      </c>
      <c r="L2957" t="s">
        <v>895</v>
      </c>
      <c r="M2957" t="s">
        <v>4402</v>
      </c>
      <c r="O2957" t="s">
        <v>896</v>
      </c>
      <c r="P2957" t="s">
        <v>33</v>
      </c>
      <c r="Q2957" s="22">
        <v>8500</v>
      </c>
      <c r="R2957" t="s">
        <v>35</v>
      </c>
      <c r="S2957" t="s">
        <v>35</v>
      </c>
      <c r="T2957" t="s">
        <v>35</v>
      </c>
      <c r="U2957" t="s">
        <v>35</v>
      </c>
      <c r="V2957" t="s">
        <v>645</v>
      </c>
      <c r="W2957" t="s">
        <v>113</v>
      </c>
    </row>
    <row r="2958" spans="1:23" hidden="1" x14ac:dyDescent="0.25">
      <c r="A2958" s="7" t="str">
        <f>IFERROR(VLOOKUP(H2958,'Contas Orç'!A:B,2,0),"N/A")</f>
        <v>PJ-OUTROS SERVICOS CONTRATADOS-PJ</v>
      </c>
      <c r="B2958" s="7" t="str">
        <f t="shared" si="92"/>
        <v>330201006 - PJ-OUTROS SERVICOS CONTRATADOS-PJ</v>
      </c>
      <c r="C2958" s="25">
        <f t="shared" si="93"/>
        <v>44682</v>
      </c>
      <c r="D2958" s="27">
        <f>IF(K2958="CREDITO",Q2958,Q2958*-1)</f>
        <v>103355.01</v>
      </c>
      <c r="E2958" t="s">
        <v>894</v>
      </c>
      <c r="F2958" t="s">
        <v>3452</v>
      </c>
      <c r="G2958" s="8">
        <v>44682</v>
      </c>
      <c r="H2958" t="s">
        <v>67</v>
      </c>
      <c r="I2958" t="s">
        <v>40</v>
      </c>
      <c r="J2958" t="s">
        <v>54</v>
      </c>
      <c r="K2958" t="s">
        <v>29</v>
      </c>
      <c r="L2958" t="s">
        <v>895</v>
      </c>
      <c r="M2958" t="s">
        <v>4402</v>
      </c>
      <c r="O2958" t="s">
        <v>896</v>
      </c>
      <c r="P2958" t="s">
        <v>33</v>
      </c>
      <c r="Q2958" s="22">
        <v>103355.01</v>
      </c>
      <c r="R2958" t="s">
        <v>35</v>
      </c>
      <c r="S2958" t="s">
        <v>35</v>
      </c>
      <c r="T2958" t="s">
        <v>35</v>
      </c>
      <c r="U2958" t="s">
        <v>35</v>
      </c>
      <c r="V2958" t="s">
        <v>645</v>
      </c>
      <c r="W2958" t="s">
        <v>113</v>
      </c>
    </row>
    <row r="2959" spans="1:23" hidden="1" x14ac:dyDescent="0.25">
      <c r="A2959" s="7" t="str">
        <f>IFERROR(VLOOKUP(H2959,'Contas Orç'!A:B,2,0),"N/A")</f>
        <v>PJ-OUTROS SERVICOS CONTRATADOS-PJ</v>
      </c>
      <c r="B2959" s="7" t="str">
        <f t="shared" si="92"/>
        <v>330201006 - PJ-OUTROS SERVICOS CONTRATADOS-PJ</v>
      </c>
      <c r="C2959" s="25">
        <f t="shared" si="93"/>
        <v>44682</v>
      </c>
      <c r="D2959" s="27">
        <f>IF(K2959="CREDITO",Q2959,Q2959*-1)</f>
        <v>406.8</v>
      </c>
      <c r="E2959" t="s">
        <v>894</v>
      </c>
      <c r="F2959" t="s">
        <v>3453</v>
      </c>
      <c r="G2959" s="8">
        <v>44682</v>
      </c>
      <c r="H2959" t="s">
        <v>67</v>
      </c>
      <c r="I2959" t="s">
        <v>114</v>
      </c>
      <c r="J2959" t="s">
        <v>54</v>
      </c>
      <c r="K2959" t="s">
        <v>29</v>
      </c>
      <c r="L2959" t="s">
        <v>895</v>
      </c>
      <c r="M2959" t="s">
        <v>4402</v>
      </c>
      <c r="O2959" t="s">
        <v>896</v>
      </c>
      <c r="P2959" t="s">
        <v>33</v>
      </c>
      <c r="Q2959">
        <v>406.8</v>
      </c>
      <c r="R2959" t="s">
        <v>35</v>
      </c>
      <c r="S2959" t="s">
        <v>35</v>
      </c>
      <c r="T2959" t="s">
        <v>35</v>
      </c>
      <c r="U2959" t="s">
        <v>35</v>
      </c>
      <c r="V2959" t="s">
        <v>645</v>
      </c>
      <c r="W2959" t="s">
        <v>113</v>
      </c>
    </row>
    <row r="2960" spans="1:23" hidden="1" x14ac:dyDescent="0.25">
      <c r="A2960" s="7" t="str">
        <f>IFERROR(VLOOKUP(H2960,'Contas Orç'!A:B,2,0),"N/A")</f>
        <v>PJ-OUTROS SERVICOS CONTRATADOS-PJ</v>
      </c>
      <c r="B2960" s="7" t="str">
        <f t="shared" si="92"/>
        <v>330201006 - PJ-OUTROS SERVICOS CONTRATADOS-PJ</v>
      </c>
      <c r="C2960" s="25">
        <f t="shared" si="93"/>
        <v>44682</v>
      </c>
      <c r="D2960" s="27">
        <f>IF(K2960="CREDITO",Q2960,Q2960*-1)</f>
        <v>15474.25</v>
      </c>
      <c r="E2960" t="s">
        <v>894</v>
      </c>
      <c r="F2960" t="s">
        <v>3454</v>
      </c>
      <c r="G2960" s="8">
        <v>44682</v>
      </c>
      <c r="H2960" t="s">
        <v>67</v>
      </c>
      <c r="I2960" t="s">
        <v>81</v>
      </c>
      <c r="J2960" t="s">
        <v>54</v>
      </c>
      <c r="K2960" t="s">
        <v>29</v>
      </c>
      <c r="L2960" t="s">
        <v>895</v>
      </c>
      <c r="M2960" t="s">
        <v>4402</v>
      </c>
      <c r="O2960" t="s">
        <v>896</v>
      </c>
      <c r="P2960" t="s">
        <v>33</v>
      </c>
      <c r="Q2960" s="22">
        <v>15474.25</v>
      </c>
      <c r="R2960" t="s">
        <v>35</v>
      </c>
      <c r="S2960" t="s">
        <v>35</v>
      </c>
      <c r="T2960" t="s">
        <v>35</v>
      </c>
      <c r="U2960" t="s">
        <v>35</v>
      </c>
      <c r="V2960" t="s">
        <v>645</v>
      </c>
      <c r="W2960" t="s">
        <v>113</v>
      </c>
    </row>
    <row r="2961" spans="1:23" hidden="1" x14ac:dyDescent="0.25">
      <c r="A2961" s="7" t="str">
        <f>IFERROR(VLOOKUP(H2961,'Contas Orç'!A:B,2,0),"N/A")</f>
        <v>PJ-OUTROS SERVICOS CONTRATADOS-PJ</v>
      </c>
      <c r="B2961" s="7" t="str">
        <f t="shared" si="92"/>
        <v>330201006 - PJ-OUTROS SERVICOS CONTRATADOS-PJ</v>
      </c>
      <c r="C2961" s="25">
        <f t="shared" si="93"/>
        <v>44682</v>
      </c>
      <c r="D2961" s="27">
        <f>IF(K2961="CREDITO",Q2961,Q2961*-1)</f>
        <v>2700</v>
      </c>
      <c r="E2961" t="s">
        <v>894</v>
      </c>
      <c r="F2961" t="s">
        <v>3455</v>
      </c>
      <c r="G2961" s="8">
        <v>44682</v>
      </c>
      <c r="H2961" t="s">
        <v>67</v>
      </c>
      <c r="I2961" t="s">
        <v>136</v>
      </c>
      <c r="J2961" t="s">
        <v>54</v>
      </c>
      <c r="K2961" t="s">
        <v>29</v>
      </c>
      <c r="L2961" t="s">
        <v>895</v>
      </c>
      <c r="M2961" t="s">
        <v>4402</v>
      </c>
      <c r="O2961" t="s">
        <v>896</v>
      </c>
      <c r="P2961" t="s">
        <v>33</v>
      </c>
      <c r="Q2961" s="22">
        <v>2700</v>
      </c>
      <c r="R2961" t="s">
        <v>35</v>
      </c>
      <c r="S2961" t="s">
        <v>35</v>
      </c>
      <c r="T2961" t="s">
        <v>35</v>
      </c>
      <c r="U2961" t="s">
        <v>35</v>
      </c>
      <c r="V2961" t="s">
        <v>645</v>
      </c>
      <c r="W2961" t="s">
        <v>113</v>
      </c>
    </row>
    <row r="2962" spans="1:23" hidden="1" x14ac:dyDescent="0.25">
      <c r="A2962" s="7" t="str">
        <f>IFERROR(VLOOKUP(H2962,'Contas Orç'!A:B,2,0),"N/A")</f>
        <v>PJ-OUTROS SERVICOS CONTRATADOS-PJ</v>
      </c>
      <c r="B2962" s="7" t="str">
        <f t="shared" si="92"/>
        <v>330201006 - PJ-OUTROS SERVICOS CONTRATADOS-PJ</v>
      </c>
      <c r="C2962" s="25">
        <f t="shared" si="93"/>
        <v>44713</v>
      </c>
      <c r="D2962" s="27">
        <f>IF(K2962="CREDITO",Q2962,Q2962*-1)</f>
        <v>1535.1</v>
      </c>
      <c r="E2962" t="s">
        <v>894</v>
      </c>
      <c r="F2962" t="s">
        <v>3456</v>
      </c>
      <c r="G2962" s="8">
        <v>44713</v>
      </c>
      <c r="H2962" t="s">
        <v>67</v>
      </c>
      <c r="I2962" t="s">
        <v>59</v>
      </c>
      <c r="J2962" t="s">
        <v>60</v>
      </c>
      <c r="K2962" t="s">
        <v>29</v>
      </c>
      <c r="L2962" t="s">
        <v>895</v>
      </c>
      <c r="M2962" t="s">
        <v>4402</v>
      </c>
      <c r="O2962" t="s">
        <v>896</v>
      </c>
      <c r="P2962" t="s">
        <v>33</v>
      </c>
      <c r="Q2962" s="22">
        <v>1535.1</v>
      </c>
      <c r="R2962" t="s">
        <v>35</v>
      </c>
      <c r="S2962" t="s">
        <v>35</v>
      </c>
      <c r="T2962" t="s">
        <v>35</v>
      </c>
      <c r="U2962" t="s">
        <v>35</v>
      </c>
      <c r="V2962" t="s">
        <v>645</v>
      </c>
      <c r="W2962" t="s">
        <v>113</v>
      </c>
    </row>
    <row r="2963" spans="1:23" hidden="1" x14ac:dyDescent="0.25">
      <c r="A2963" s="7" t="str">
        <f>IFERROR(VLOOKUP(H2963,'Contas Orç'!A:B,2,0),"N/A")</f>
        <v>PJ-OUTROS SERVICOS CONTRATADOS-PJ</v>
      </c>
      <c r="B2963" s="7" t="str">
        <f t="shared" si="92"/>
        <v>330201006 - PJ-OUTROS SERVICOS CONTRATADOS-PJ</v>
      </c>
      <c r="C2963" s="25">
        <f t="shared" si="93"/>
        <v>44713</v>
      </c>
      <c r="D2963" s="27">
        <f>IF(K2963="CREDITO",Q2963,Q2963*-1)</f>
        <v>88219.77</v>
      </c>
      <c r="E2963" t="s">
        <v>894</v>
      </c>
      <c r="F2963" t="s">
        <v>3457</v>
      </c>
      <c r="G2963" s="8">
        <v>44713</v>
      </c>
      <c r="H2963" t="s">
        <v>67</v>
      </c>
      <c r="I2963" t="s">
        <v>68</v>
      </c>
      <c r="J2963" t="s">
        <v>69</v>
      </c>
      <c r="K2963" t="s">
        <v>29</v>
      </c>
      <c r="L2963" t="s">
        <v>895</v>
      </c>
      <c r="M2963" t="s">
        <v>4402</v>
      </c>
      <c r="O2963" t="s">
        <v>896</v>
      </c>
      <c r="P2963" t="s">
        <v>33</v>
      </c>
      <c r="Q2963" s="22">
        <v>88219.77</v>
      </c>
      <c r="R2963" t="s">
        <v>35</v>
      </c>
      <c r="S2963" t="s">
        <v>35</v>
      </c>
      <c r="T2963" t="s">
        <v>35</v>
      </c>
      <c r="U2963" t="s">
        <v>35</v>
      </c>
      <c r="V2963" t="s">
        <v>645</v>
      </c>
      <c r="W2963" t="s">
        <v>113</v>
      </c>
    </row>
    <row r="2964" spans="1:23" hidden="1" x14ac:dyDescent="0.25">
      <c r="A2964" s="7" t="str">
        <f>IFERROR(VLOOKUP(H2964,'Contas Orç'!A:B,2,0),"N/A")</f>
        <v>PJ-OUTROS SERVICOS CONTRATADOS-PJ</v>
      </c>
      <c r="B2964" s="7" t="str">
        <f t="shared" si="92"/>
        <v>330201006 - PJ-OUTROS SERVICOS CONTRATADOS-PJ</v>
      </c>
      <c r="C2964" s="25">
        <f t="shared" si="93"/>
        <v>44713</v>
      </c>
      <c r="D2964" s="27">
        <f>IF(K2964="CREDITO",Q2964,Q2964*-1)</f>
        <v>8465.73</v>
      </c>
      <c r="E2964" t="s">
        <v>894</v>
      </c>
      <c r="F2964" t="s">
        <v>3458</v>
      </c>
      <c r="G2964" s="8">
        <v>44713</v>
      </c>
      <c r="H2964" t="s">
        <v>67</v>
      </c>
      <c r="I2964" t="s">
        <v>2062</v>
      </c>
      <c r="J2964" t="s">
        <v>54</v>
      </c>
      <c r="K2964" t="s">
        <v>29</v>
      </c>
      <c r="L2964" t="s">
        <v>895</v>
      </c>
      <c r="M2964" t="s">
        <v>4402</v>
      </c>
      <c r="O2964" t="s">
        <v>896</v>
      </c>
      <c r="P2964" t="s">
        <v>33</v>
      </c>
      <c r="Q2964" s="22">
        <v>8465.73</v>
      </c>
      <c r="R2964" t="s">
        <v>35</v>
      </c>
      <c r="S2964" t="s">
        <v>35</v>
      </c>
      <c r="T2964" t="s">
        <v>35</v>
      </c>
      <c r="U2964" t="s">
        <v>35</v>
      </c>
      <c r="V2964" t="s">
        <v>645</v>
      </c>
      <c r="W2964" t="s">
        <v>113</v>
      </c>
    </row>
    <row r="2965" spans="1:23" hidden="1" x14ac:dyDescent="0.25">
      <c r="A2965" s="7" t="str">
        <f>IFERROR(VLOOKUP(H2965,'Contas Orç'!A:B,2,0),"N/A")</f>
        <v>PJ-OUTROS SERVICOS CONTRATADOS-PJ</v>
      </c>
      <c r="B2965" s="7" t="str">
        <f t="shared" si="92"/>
        <v>330201006 - PJ-OUTROS SERVICOS CONTRATADOS-PJ</v>
      </c>
      <c r="C2965" s="25">
        <f t="shared" si="93"/>
        <v>44713</v>
      </c>
      <c r="D2965" s="27">
        <f>IF(K2965="CREDITO",Q2965,Q2965*-1)</f>
        <v>92652.79</v>
      </c>
      <c r="E2965" t="s">
        <v>894</v>
      </c>
      <c r="F2965" t="s">
        <v>3459</v>
      </c>
      <c r="G2965" s="8">
        <v>44713</v>
      </c>
      <c r="H2965" t="s">
        <v>67</v>
      </c>
      <c r="I2965" t="s">
        <v>40</v>
      </c>
      <c r="J2965" t="s">
        <v>54</v>
      </c>
      <c r="K2965" t="s">
        <v>29</v>
      </c>
      <c r="L2965" t="s">
        <v>895</v>
      </c>
      <c r="M2965" t="s">
        <v>4402</v>
      </c>
      <c r="O2965" t="s">
        <v>896</v>
      </c>
      <c r="P2965" t="s">
        <v>33</v>
      </c>
      <c r="Q2965" s="22">
        <v>92652.79</v>
      </c>
      <c r="R2965" t="s">
        <v>35</v>
      </c>
      <c r="S2965" t="s">
        <v>35</v>
      </c>
      <c r="T2965" t="s">
        <v>35</v>
      </c>
      <c r="U2965" t="s">
        <v>35</v>
      </c>
      <c r="V2965" t="s">
        <v>645</v>
      </c>
      <c r="W2965" t="s">
        <v>113</v>
      </c>
    </row>
    <row r="2966" spans="1:23" hidden="1" x14ac:dyDescent="0.25">
      <c r="A2966" s="7" t="str">
        <f>IFERROR(VLOOKUP(H2966,'Contas Orç'!A:B,2,0),"N/A")</f>
        <v>PJ-OUTROS SERVICOS CONTRATADOS-PJ</v>
      </c>
      <c r="B2966" s="7" t="str">
        <f t="shared" si="92"/>
        <v>330201006 - PJ-OUTROS SERVICOS CONTRATADOS-PJ</v>
      </c>
      <c r="C2966" s="25">
        <f t="shared" si="93"/>
        <v>44713</v>
      </c>
      <c r="D2966" s="27">
        <f>IF(K2966="CREDITO",Q2966,Q2966*-1)</f>
        <v>169.9</v>
      </c>
      <c r="E2966" t="s">
        <v>894</v>
      </c>
      <c r="F2966" t="s">
        <v>3460</v>
      </c>
      <c r="G2966" s="8">
        <v>44713</v>
      </c>
      <c r="H2966" t="s">
        <v>67</v>
      </c>
      <c r="I2966" t="s">
        <v>132</v>
      </c>
      <c r="J2966" t="s">
        <v>54</v>
      </c>
      <c r="K2966" t="s">
        <v>29</v>
      </c>
      <c r="L2966" t="s">
        <v>895</v>
      </c>
      <c r="M2966" t="s">
        <v>4402</v>
      </c>
      <c r="O2966" t="s">
        <v>896</v>
      </c>
      <c r="P2966" t="s">
        <v>33</v>
      </c>
      <c r="Q2966">
        <v>169.9</v>
      </c>
      <c r="R2966" t="s">
        <v>35</v>
      </c>
      <c r="S2966" t="s">
        <v>35</v>
      </c>
      <c r="T2966" t="s">
        <v>35</v>
      </c>
      <c r="U2966" t="s">
        <v>35</v>
      </c>
      <c r="V2966" t="s">
        <v>645</v>
      </c>
      <c r="W2966" t="s">
        <v>113</v>
      </c>
    </row>
    <row r="2967" spans="1:23" hidden="1" x14ac:dyDescent="0.25">
      <c r="A2967" s="7" t="str">
        <f>IFERROR(VLOOKUP(H2967,'Contas Orç'!A:B,2,0),"N/A")</f>
        <v>PJ-OUTROS SERVICOS CONTRATADOS-PJ</v>
      </c>
      <c r="B2967" s="7" t="str">
        <f t="shared" si="92"/>
        <v>330201006 - PJ-OUTROS SERVICOS CONTRATADOS-PJ</v>
      </c>
      <c r="C2967" s="25">
        <f t="shared" si="93"/>
        <v>44713</v>
      </c>
      <c r="D2967" s="27">
        <f>IF(K2967="CREDITO",Q2967,Q2967*-1)</f>
        <v>281.49</v>
      </c>
      <c r="E2967" t="s">
        <v>894</v>
      </c>
      <c r="F2967" t="s">
        <v>3461</v>
      </c>
      <c r="G2967" s="8">
        <v>44713</v>
      </c>
      <c r="H2967" t="s">
        <v>67</v>
      </c>
      <c r="I2967" t="s">
        <v>75</v>
      </c>
      <c r="J2967" t="s">
        <v>54</v>
      </c>
      <c r="K2967" t="s">
        <v>29</v>
      </c>
      <c r="L2967" t="s">
        <v>895</v>
      </c>
      <c r="M2967" t="s">
        <v>4402</v>
      </c>
      <c r="O2967" t="s">
        <v>896</v>
      </c>
      <c r="P2967" t="s">
        <v>33</v>
      </c>
      <c r="Q2967">
        <v>281.49</v>
      </c>
      <c r="R2967" t="s">
        <v>35</v>
      </c>
      <c r="S2967" t="s">
        <v>35</v>
      </c>
      <c r="T2967" t="s">
        <v>35</v>
      </c>
      <c r="U2967" t="s">
        <v>35</v>
      </c>
      <c r="V2967" t="s">
        <v>645</v>
      </c>
      <c r="W2967" t="s">
        <v>113</v>
      </c>
    </row>
    <row r="2968" spans="1:23" hidden="1" x14ac:dyDescent="0.25">
      <c r="A2968" s="7" t="str">
        <f>IFERROR(VLOOKUP(H2968,'Contas Orç'!A:B,2,0),"N/A")</f>
        <v>PJ-OUTROS SERVICOS CONTRATADOS-PJ</v>
      </c>
      <c r="B2968" s="7" t="str">
        <f t="shared" si="92"/>
        <v>330201006 - PJ-OUTROS SERVICOS CONTRATADOS-PJ</v>
      </c>
      <c r="C2968" s="25">
        <f t="shared" si="93"/>
        <v>44713</v>
      </c>
      <c r="D2968" s="27">
        <f>IF(K2968="CREDITO",Q2968,Q2968*-1)</f>
        <v>17093.57</v>
      </c>
      <c r="E2968" t="s">
        <v>894</v>
      </c>
      <c r="F2968" t="s">
        <v>3462</v>
      </c>
      <c r="G2968" s="8">
        <v>44713</v>
      </c>
      <c r="H2968" t="s">
        <v>67</v>
      </c>
      <c r="I2968" t="s">
        <v>81</v>
      </c>
      <c r="J2968" t="s">
        <v>54</v>
      </c>
      <c r="K2968" t="s">
        <v>29</v>
      </c>
      <c r="L2968" t="s">
        <v>895</v>
      </c>
      <c r="M2968" t="s">
        <v>4402</v>
      </c>
      <c r="O2968" t="s">
        <v>896</v>
      </c>
      <c r="P2968" t="s">
        <v>33</v>
      </c>
      <c r="Q2968" s="22">
        <v>17093.57</v>
      </c>
      <c r="R2968" t="s">
        <v>35</v>
      </c>
      <c r="S2968" t="s">
        <v>35</v>
      </c>
      <c r="T2968" t="s">
        <v>35</v>
      </c>
      <c r="U2968" t="s">
        <v>35</v>
      </c>
      <c r="V2968" t="s">
        <v>645</v>
      </c>
      <c r="W2968" t="s">
        <v>113</v>
      </c>
    </row>
    <row r="2969" spans="1:23" hidden="1" x14ac:dyDescent="0.25">
      <c r="A2969" s="7" t="str">
        <f>IFERROR(VLOOKUP(H2969,'Contas Orç'!A:B,2,0),"N/A")</f>
        <v>PJ-OUTROS SERVICOS CONTRATADOS-PJ</v>
      </c>
      <c r="B2969" s="7" t="str">
        <f t="shared" si="92"/>
        <v>330201006 - PJ-OUTROS SERVICOS CONTRATADOS-PJ</v>
      </c>
      <c r="C2969" s="25">
        <f t="shared" si="93"/>
        <v>44743</v>
      </c>
      <c r="D2969" s="27">
        <f>IF(K2969="CREDITO",Q2969,Q2969*-1)</f>
        <v>21780</v>
      </c>
      <c r="E2969" t="s">
        <v>894</v>
      </c>
      <c r="F2969" t="s">
        <v>3463</v>
      </c>
      <c r="G2969" s="8">
        <v>44743</v>
      </c>
      <c r="H2969" t="s">
        <v>67</v>
      </c>
      <c r="I2969" t="s">
        <v>27</v>
      </c>
      <c r="J2969" t="s">
        <v>28</v>
      </c>
      <c r="K2969" t="s">
        <v>29</v>
      </c>
      <c r="L2969" t="s">
        <v>895</v>
      </c>
      <c r="M2969" t="s">
        <v>4402</v>
      </c>
      <c r="O2969" t="s">
        <v>896</v>
      </c>
      <c r="P2969" t="s">
        <v>33</v>
      </c>
      <c r="Q2969" s="22">
        <v>21780</v>
      </c>
      <c r="R2969" t="s">
        <v>35</v>
      </c>
      <c r="S2969" t="s">
        <v>35</v>
      </c>
      <c r="T2969" t="s">
        <v>35</v>
      </c>
      <c r="U2969" t="s">
        <v>35</v>
      </c>
      <c r="V2969" t="s">
        <v>645</v>
      </c>
      <c r="W2969" t="s">
        <v>113</v>
      </c>
    </row>
    <row r="2970" spans="1:23" hidden="1" x14ac:dyDescent="0.25">
      <c r="A2970" s="7" t="str">
        <f>IFERROR(VLOOKUP(H2970,'Contas Orç'!A:B,2,0),"N/A")</f>
        <v>PJ-OUTROS SERVICOS CONTRATADOS-PJ</v>
      </c>
      <c r="B2970" s="7" t="str">
        <f t="shared" si="92"/>
        <v>330201006 - PJ-OUTROS SERVICOS CONTRATADOS-PJ</v>
      </c>
      <c r="C2970" s="25">
        <f t="shared" si="93"/>
        <v>44743</v>
      </c>
      <c r="D2970" s="27">
        <f>IF(K2970="CREDITO",Q2970,Q2970*-1)</f>
        <v>97050.14</v>
      </c>
      <c r="E2970" t="s">
        <v>894</v>
      </c>
      <c r="F2970" t="s">
        <v>3464</v>
      </c>
      <c r="G2970" s="8">
        <v>44743</v>
      </c>
      <c r="H2970" t="s">
        <v>67</v>
      </c>
      <c r="I2970" t="s">
        <v>68</v>
      </c>
      <c r="J2970" t="s">
        <v>69</v>
      </c>
      <c r="K2970" t="s">
        <v>29</v>
      </c>
      <c r="L2970" t="s">
        <v>895</v>
      </c>
      <c r="M2970" t="s">
        <v>4402</v>
      </c>
      <c r="O2970" t="s">
        <v>896</v>
      </c>
      <c r="P2970" t="s">
        <v>33</v>
      </c>
      <c r="Q2970" s="22">
        <v>97050.14</v>
      </c>
      <c r="R2970" t="s">
        <v>35</v>
      </c>
      <c r="S2970" t="s">
        <v>35</v>
      </c>
      <c r="T2970" t="s">
        <v>35</v>
      </c>
      <c r="U2970" t="s">
        <v>35</v>
      </c>
      <c r="V2970" t="s">
        <v>645</v>
      </c>
      <c r="W2970" t="s">
        <v>113</v>
      </c>
    </row>
    <row r="2971" spans="1:23" hidden="1" x14ac:dyDescent="0.25">
      <c r="A2971" s="7" t="str">
        <f>IFERROR(VLOOKUP(H2971,'Contas Orç'!A:B,2,0),"N/A")</f>
        <v>PJ-OUTROS SERVICOS CONTRATADOS-PJ</v>
      </c>
      <c r="B2971" s="7" t="str">
        <f t="shared" si="92"/>
        <v>330201006 - PJ-OUTROS SERVICOS CONTRATADOS-PJ</v>
      </c>
      <c r="C2971" s="25">
        <f t="shared" si="93"/>
        <v>44743</v>
      </c>
      <c r="D2971" s="27">
        <f>IF(K2971="CREDITO",Q2971,Q2971*-1)</f>
        <v>35000</v>
      </c>
      <c r="E2971" t="s">
        <v>894</v>
      </c>
      <c r="F2971" t="s">
        <v>3465</v>
      </c>
      <c r="G2971" s="8">
        <v>44743</v>
      </c>
      <c r="H2971" t="s">
        <v>67</v>
      </c>
      <c r="I2971" t="s">
        <v>68</v>
      </c>
      <c r="J2971" t="s">
        <v>3466</v>
      </c>
      <c r="K2971" t="s">
        <v>29</v>
      </c>
      <c r="L2971" t="s">
        <v>895</v>
      </c>
      <c r="M2971" t="s">
        <v>4402</v>
      </c>
      <c r="O2971" t="s">
        <v>896</v>
      </c>
      <c r="P2971" t="s">
        <v>33</v>
      </c>
      <c r="Q2971" s="22">
        <v>35000</v>
      </c>
      <c r="R2971" t="s">
        <v>35</v>
      </c>
      <c r="S2971" t="s">
        <v>35</v>
      </c>
      <c r="T2971" t="s">
        <v>35</v>
      </c>
      <c r="U2971" t="s">
        <v>35</v>
      </c>
      <c r="V2971" t="s">
        <v>645</v>
      </c>
      <c r="W2971" t="s">
        <v>113</v>
      </c>
    </row>
    <row r="2972" spans="1:23" hidden="1" x14ac:dyDescent="0.25">
      <c r="A2972" s="7" t="str">
        <f>IFERROR(VLOOKUP(H2972,'Contas Orç'!A:B,2,0),"N/A")</f>
        <v>PJ-OUTROS SERVICOS CONTRATADOS-PJ</v>
      </c>
      <c r="B2972" s="7" t="str">
        <f t="shared" si="92"/>
        <v>330201006 - PJ-OUTROS SERVICOS CONTRATADOS-PJ</v>
      </c>
      <c r="C2972" s="25">
        <f t="shared" si="93"/>
        <v>44743</v>
      </c>
      <c r="D2972" s="27">
        <f>IF(K2972="CREDITO",Q2972,Q2972*-1)</f>
        <v>4825.24</v>
      </c>
      <c r="E2972" t="s">
        <v>894</v>
      </c>
      <c r="F2972" t="s">
        <v>3467</v>
      </c>
      <c r="G2972" s="8">
        <v>44743</v>
      </c>
      <c r="H2972" t="s">
        <v>67</v>
      </c>
      <c r="I2972" t="s">
        <v>2062</v>
      </c>
      <c r="J2972" t="s">
        <v>54</v>
      </c>
      <c r="K2972" t="s">
        <v>29</v>
      </c>
      <c r="L2972" t="s">
        <v>895</v>
      </c>
      <c r="M2972" t="s">
        <v>4402</v>
      </c>
      <c r="O2972" t="s">
        <v>896</v>
      </c>
      <c r="P2972" t="s">
        <v>33</v>
      </c>
      <c r="Q2972" s="22">
        <v>4825.24</v>
      </c>
      <c r="R2972" t="s">
        <v>35</v>
      </c>
      <c r="S2972" t="s">
        <v>35</v>
      </c>
      <c r="T2972" t="s">
        <v>35</v>
      </c>
      <c r="U2972" t="s">
        <v>35</v>
      </c>
      <c r="V2972" t="s">
        <v>645</v>
      </c>
      <c r="W2972" t="s">
        <v>113</v>
      </c>
    </row>
    <row r="2973" spans="1:23" hidden="1" x14ac:dyDescent="0.25">
      <c r="A2973" s="7" t="str">
        <f>IFERROR(VLOOKUP(H2973,'Contas Orç'!A:B,2,0),"N/A")</f>
        <v>PJ-OUTROS SERVICOS CONTRATADOS-PJ</v>
      </c>
      <c r="B2973" s="7" t="str">
        <f t="shared" si="92"/>
        <v>330201006 - PJ-OUTROS SERVICOS CONTRATADOS-PJ</v>
      </c>
      <c r="C2973" s="25">
        <f t="shared" si="93"/>
        <v>44743</v>
      </c>
      <c r="D2973" s="27">
        <f>IF(K2973="CREDITO",Q2973,Q2973*-1)</f>
        <v>98774.41</v>
      </c>
      <c r="E2973" t="s">
        <v>894</v>
      </c>
      <c r="F2973" t="s">
        <v>3468</v>
      </c>
      <c r="G2973" s="8">
        <v>44743</v>
      </c>
      <c r="H2973" t="s">
        <v>67</v>
      </c>
      <c r="I2973" t="s">
        <v>40</v>
      </c>
      <c r="J2973" t="s">
        <v>54</v>
      </c>
      <c r="K2973" t="s">
        <v>29</v>
      </c>
      <c r="L2973" t="s">
        <v>895</v>
      </c>
      <c r="M2973" t="s">
        <v>4402</v>
      </c>
      <c r="O2973" t="s">
        <v>896</v>
      </c>
      <c r="P2973" t="s">
        <v>33</v>
      </c>
      <c r="Q2973" s="22">
        <v>98774.41</v>
      </c>
      <c r="R2973" t="s">
        <v>35</v>
      </c>
      <c r="S2973" t="s">
        <v>35</v>
      </c>
      <c r="T2973" t="s">
        <v>35</v>
      </c>
      <c r="U2973" t="s">
        <v>35</v>
      </c>
      <c r="V2973" t="s">
        <v>645</v>
      </c>
      <c r="W2973" t="s">
        <v>113</v>
      </c>
    </row>
    <row r="2974" spans="1:23" hidden="1" x14ac:dyDescent="0.25">
      <c r="A2974" s="7" t="str">
        <f>IFERROR(VLOOKUP(H2974,'Contas Orç'!A:B,2,0),"N/A")</f>
        <v>PJ-OUTROS SERVICOS CONTRATADOS-PJ</v>
      </c>
      <c r="B2974" s="7" t="str">
        <f t="shared" si="92"/>
        <v>330201006 - PJ-OUTROS SERVICOS CONTRATADOS-PJ</v>
      </c>
      <c r="C2974" s="25">
        <f t="shared" si="93"/>
        <v>44743</v>
      </c>
      <c r="D2974" s="27">
        <f>IF(K2974="CREDITO",Q2974,Q2974*-1)</f>
        <v>4500</v>
      </c>
      <c r="E2974" t="s">
        <v>894</v>
      </c>
      <c r="F2974" t="s">
        <v>3469</v>
      </c>
      <c r="G2974" s="8">
        <v>44743</v>
      </c>
      <c r="H2974" t="s">
        <v>67</v>
      </c>
      <c r="I2974" t="s">
        <v>132</v>
      </c>
      <c r="J2974" t="s">
        <v>54</v>
      </c>
      <c r="K2974" t="s">
        <v>29</v>
      </c>
      <c r="L2974" t="s">
        <v>895</v>
      </c>
      <c r="M2974" t="s">
        <v>4402</v>
      </c>
      <c r="O2974" t="s">
        <v>896</v>
      </c>
      <c r="P2974" t="s">
        <v>33</v>
      </c>
      <c r="Q2974" s="22">
        <v>4500</v>
      </c>
      <c r="R2974" t="s">
        <v>35</v>
      </c>
      <c r="S2974" t="s">
        <v>35</v>
      </c>
      <c r="T2974" t="s">
        <v>35</v>
      </c>
      <c r="U2974" t="s">
        <v>35</v>
      </c>
      <c r="V2974" t="s">
        <v>645</v>
      </c>
      <c r="W2974" t="s">
        <v>113</v>
      </c>
    </row>
    <row r="2975" spans="1:23" hidden="1" x14ac:dyDescent="0.25">
      <c r="A2975" s="7" t="str">
        <f>IFERROR(VLOOKUP(H2975,'Contas Orç'!A:B,2,0),"N/A")</f>
        <v>PJ-OUTROS SERVICOS CONTRATADOS-PJ</v>
      </c>
      <c r="B2975" s="7" t="str">
        <f t="shared" si="92"/>
        <v>330201006 - PJ-OUTROS SERVICOS CONTRATADOS-PJ</v>
      </c>
      <c r="C2975" s="25">
        <f t="shared" si="93"/>
        <v>44743</v>
      </c>
      <c r="D2975" s="27">
        <f>IF(K2975="CREDITO",Q2975,Q2975*-1)</f>
        <v>25897.599999999999</v>
      </c>
      <c r="E2975" t="s">
        <v>894</v>
      </c>
      <c r="F2975" t="s">
        <v>3470</v>
      </c>
      <c r="G2975" s="8">
        <v>44743</v>
      </c>
      <c r="H2975" t="s">
        <v>67</v>
      </c>
      <c r="I2975" t="s">
        <v>78</v>
      </c>
      <c r="J2975" t="s">
        <v>54</v>
      </c>
      <c r="K2975" t="s">
        <v>29</v>
      </c>
      <c r="L2975" t="s">
        <v>895</v>
      </c>
      <c r="M2975" t="s">
        <v>4402</v>
      </c>
      <c r="O2975" t="s">
        <v>896</v>
      </c>
      <c r="P2975" t="s">
        <v>33</v>
      </c>
      <c r="Q2975" s="22">
        <v>25897.599999999999</v>
      </c>
      <c r="R2975" t="s">
        <v>35</v>
      </c>
      <c r="S2975" t="s">
        <v>35</v>
      </c>
      <c r="T2975" t="s">
        <v>35</v>
      </c>
      <c r="U2975" t="s">
        <v>35</v>
      </c>
      <c r="V2975" t="s">
        <v>645</v>
      </c>
      <c r="W2975" t="s">
        <v>113</v>
      </c>
    </row>
    <row r="2976" spans="1:23" hidden="1" x14ac:dyDescent="0.25">
      <c r="A2976" s="7" t="str">
        <f>IFERROR(VLOOKUP(H2976,'Contas Orç'!A:B,2,0),"N/A")</f>
        <v>PJ-OUTROS SERVICOS CONTRATADOS-PJ</v>
      </c>
      <c r="B2976" s="7" t="str">
        <f t="shared" si="92"/>
        <v>330201006 - PJ-OUTROS SERVICOS CONTRATADOS-PJ</v>
      </c>
      <c r="C2976" s="25">
        <f t="shared" si="93"/>
        <v>44774</v>
      </c>
      <c r="D2976" s="27">
        <f>IF(K2976="CREDITO",Q2976,Q2976*-1)</f>
        <v>5758.53</v>
      </c>
      <c r="E2976" t="s">
        <v>894</v>
      </c>
      <c r="F2976" t="s">
        <v>3471</v>
      </c>
      <c r="G2976" s="8">
        <v>44774</v>
      </c>
      <c r="H2976" t="s">
        <v>67</v>
      </c>
      <c r="I2976" t="s">
        <v>59</v>
      </c>
      <c r="J2976" t="s">
        <v>60</v>
      </c>
      <c r="K2976" t="s">
        <v>29</v>
      </c>
      <c r="L2976" t="s">
        <v>895</v>
      </c>
      <c r="M2976" t="s">
        <v>4402</v>
      </c>
      <c r="O2976" t="s">
        <v>896</v>
      </c>
      <c r="P2976" t="s">
        <v>33</v>
      </c>
      <c r="Q2976" s="22">
        <v>5758.53</v>
      </c>
      <c r="R2976" t="s">
        <v>35</v>
      </c>
      <c r="S2976" t="s">
        <v>35</v>
      </c>
      <c r="T2976" t="s">
        <v>35</v>
      </c>
      <c r="U2976" t="s">
        <v>35</v>
      </c>
      <c r="V2976" t="s">
        <v>645</v>
      </c>
      <c r="W2976" t="s">
        <v>113</v>
      </c>
    </row>
    <row r="2977" spans="1:23" hidden="1" x14ac:dyDescent="0.25">
      <c r="A2977" s="7" t="str">
        <f>IFERROR(VLOOKUP(H2977,'Contas Orç'!A:B,2,0),"N/A")</f>
        <v>PJ-OUTROS SERVICOS CONTRATADOS-PJ</v>
      </c>
      <c r="B2977" s="7" t="str">
        <f t="shared" si="92"/>
        <v>330201006 - PJ-OUTROS SERVICOS CONTRATADOS-PJ</v>
      </c>
      <c r="C2977" s="25">
        <f t="shared" si="93"/>
        <v>44774</v>
      </c>
      <c r="D2977" s="27">
        <f>IF(K2977="CREDITO",Q2977,Q2977*-1)</f>
        <v>213.65</v>
      </c>
      <c r="E2977" t="s">
        <v>894</v>
      </c>
      <c r="F2977" t="s">
        <v>3472</v>
      </c>
      <c r="G2977" s="8">
        <v>44774</v>
      </c>
      <c r="H2977" t="s">
        <v>67</v>
      </c>
      <c r="I2977" t="s">
        <v>125</v>
      </c>
      <c r="J2977" t="s">
        <v>95</v>
      </c>
      <c r="K2977" t="s">
        <v>29</v>
      </c>
      <c r="L2977" t="s">
        <v>895</v>
      </c>
      <c r="M2977" t="s">
        <v>4402</v>
      </c>
      <c r="O2977" t="s">
        <v>896</v>
      </c>
      <c r="P2977" t="s">
        <v>33</v>
      </c>
      <c r="Q2977">
        <v>213.65</v>
      </c>
      <c r="R2977" t="s">
        <v>35</v>
      </c>
      <c r="S2977" t="s">
        <v>35</v>
      </c>
      <c r="T2977" t="s">
        <v>35</v>
      </c>
      <c r="U2977" t="s">
        <v>35</v>
      </c>
      <c r="V2977" t="s">
        <v>645</v>
      </c>
      <c r="W2977" t="s">
        <v>113</v>
      </c>
    </row>
    <row r="2978" spans="1:23" hidden="1" x14ac:dyDescent="0.25">
      <c r="A2978" s="7" t="str">
        <f>IFERROR(VLOOKUP(H2978,'Contas Orç'!A:B,2,0),"N/A")</f>
        <v>PJ-OUTROS SERVICOS CONTRATADOS-PJ</v>
      </c>
      <c r="B2978" s="7" t="str">
        <f t="shared" si="92"/>
        <v>330201006 - PJ-OUTROS SERVICOS CONTRATADOS-PJ</v>
      </c>
      <c r="C2978" s="25">
        <f t="shared" si="93"/>
        <v>44774</v>
      </c>
      <c r="D2978" s="27">
        <f>IF(K2978="CREDITO",Q2978,Q2978*-1)</f>
        <v>134604.84</v>
      </c>
      <c r="E2978" t="s">
        <v>894</v>
      </c>
      <c r="F2978" t="s">
        <v>3473</v>
      </c>
      <c r="G2978" s="8">
        <v>44774</v>
      </c>
      <c r="H2978" t="s">
        <v>67</v>
      </c>
      <c r="I2978" t="s">
        <v>68</v>
      </c>
      <c r="J2978" t="s">
        <v>69</v>
      </c>
      <c r="K2978" t="s">
        <v>29</v>
      </c>
      <c r="L2978" t="s">
        <v>895</v>
      </c>
      <c r="M2978" t="s">
        <v>4402</v>
      </c>
      <c r="O2978" t="s">
        <v>896</v>
      </c>
      <c r="P2978" t="s">
        <v>33</v>
      </c>
      <c r="Q2978" s="22">
        <v>134604.84</v>
      </c>
      <c r="R2978" t="s">
        <v>35</v>
      </c>
      <c r="S2978" t="s">
        <v>35</v>
      </c>
      <c r="T2978" t="s">
        <v>35</v>
      </c>
      <c r="U2978" t="s">
        <v>35</v>
      </c>
      <c r="V2978" t="s">
        <v>645</v>
      </c>
      <c r="W2978" t="s">
        <v>113</v>
      </c>
    </row>
    <row r="2979" spans="1:23" hidden="1" x14ac:dyDescent="0.25">
      <c r="A2979" s="7" t="str">
        <f>IFERROR(VLOOKUP(H2979,'Contas Orç'!A:B,2,0),"N/A")</f>
        <v>PJ-OUTROS SERVICOS CONTRATADOS-PJ</v>
      </c>
      <c r="B2979" s="7" t="str">
        <f t="shared" si="92"/>
        <v>330201006 - PJ-OUTROS SERVICOS CONTRATADOS-PJ</v>
      </c>
      <c r="C2979" s="25">
        <f t="shared" si="93"/>
        <v>44774</v>
      </c>
      <c r="D2979" s="27">
        <f>IF(K2979="CREDITO",Q2979,Q2979*-1)</f>
        <v>1909</v>
      </c>
      <c r="E2979" t="s">
        <v>894</v>
      </c>
      <c r="F2979" t="s">
        <v>3474</v>
      </c>
      <c r="G2979" s="8">
        <v>44774</v>
      </c>
      <c r="H2979" t="s">
        <v>67</v>
      </c>
      <c r="I2979" t="s">
        <v>2062</v>
      </c>
      <c r="J2979" t="s">
        <v>54</v>
      </c>
      <c r="K2979" t="s">
        <v>29</v>
      </c>
      <c r="L2979" t="s">
        <v>895</v>
      </c>
      <c r="M2979" t="s">
        <v>4402</v>
      </c>
      <c r="O2979" t="s">
        <v>896</v>
      </c>
      <c r="P2979" t="s">
        <v>33</v>
      </c>
      <c r="Q2979" s="22">
        <v>1909</v>
      </c>
      <c r="R2979" t="s">
        <v>35</v>
      </c>
      <c r="S2979" t="s">
        <v>35</v>
      </c>
      <c r="T2979" t="s">
        <v>35</v>
      </c>
      <c r="U2979" t="s">
        <v>35</v>
      </c>
      <c r="V2979" t="s">
        <v>645</v>
      </c>
      <c r="W2979" t="s">
        <v>113</v>
      </c>
    </row>
    <row r="2980" spans="1:23" hidden="1" x14ac:dyDescent="0.25">
      <c r="A2980" s="7" t="str">
        <f>IFERROR(VLOOKUP(H2980,'Contas Orç'!A:B,2,0),"N/A")</f>
        <v>PJ-OUTROS SERVICOS CONTRATADOS-PJ</v>
      </c>
      <c r="B2980" s="7" t="str">
        <f t="shared" si="92"/>
        <v>330201006 - PJ-OUTROS SERVICOS CONTRATADOS-PJ</v>
      </c>
      <c r="C2980" s="25">
        <f t="shared" si="93"/>
        <v>44774</v>
      </c>
      <c r="D2980" s="27">
        <f>IF(K2980="CREDITO",Q2980,Q2980*-1)</f>
        <v>62720.79</v>
      </c>
      <c r="E2980" t="s">
        <v>894</v>
      </c>
      <c r="F2980" t="s">
        <v>3475</v>
      </c>
      <c r="G2980" s="8">
        <v>44774</v>
      </c>
      <c r="H2980" t="s">
        <v>67</v>
      </c>
      <c r="I2980" t="s">
        <v>40</v>
      </c>
      <c r="J2980" t="s">
        <v>54</v>
      </c>
      <c r="K2980" t="s">
        <v>29</v>
      </c>
      <c r="L2980" t="s">
        <v>895</v>
      </c>
      <c r="M2980" t="s">
        <v>4402</v>
      </c>
      <c r="O2980" t="s">
        <v>896</v>
      </c>
      <c r="P2980" t="s">
        <v>33</v>
      </c>
      <c r="Q2980" s="22">
        <v>62720.79</v>
      </c>
      <c r="R2980" t="s">
        <v>35</v>
      </c>
      <c r="S2980" t="s">
        <v>35</v>
      </c>
      <c r="T2980" t="s">
        <v>35</v>
      </c>
      <c r="U2980" t="s">
        <v>35</v>
      </c>
      <c r="V2980" t="s">
        <v>645</v>
      </c>
      <c r="W2980" t="s">
        <v>113</v>
      </c>
    </row>
    <row r="2981" spans="1:23" hidden="1" x14ac:dyDescent="0.25">
      <c r="A2981" s="7" t="str">
        <f>IFERROR(VLOOKUP(H2981,'Contas Orç'!A:B,2,0),"N/A")</f>
        <v>PJ-OUTROS SERVICOS CONTRATADOS-PJ</v>
      </c>
      <c r="B2981" s="7" t="str">
        <f t="shared" si="92"/>
        <v>330201006 - PJ-OUTROS SERVICOS CONTRATADOS-PJ</v>
      </c>
      <c r="C2981" s="25">
        <f t="shared" si="93"/>
        <v>44774</v>
      </c>
      <c r="D2981" s="27">
        <f>IF(K2981="CREDITO",Q2981,Q2981*-1)</f>
        <v>17.5</v>
      </c>
      <c r="E2981" t="s">
        <v>894</v>
      </c>
      <c r="F2981" t="s">
        <v>3476</v>
      </c>
      <c r="G2981" s="8">
        <v>44774</v>
      </c>
      <c r="H2981" t="s">
        <v>67</v>
      </c>
      <c r="I2981" t="s">
        <v>114</v>
      </c>
      <c r="J2981" t="s">
        <v>54</v>
      </c>
      <c r="K2981" t="s">
        <v>29</v>
      </c>
      <c r="L2981" t="s">
        <v>895</v>
      </c>
      <c r="M2981" t="s">
        <v>4402</v>
      </c>
      <c r="O2981" t="s">
        <v>896</v>
      </c>
      <c r="P2981" t="s">
        <v>33</v>
      </c>
      <c r="Q2981">
        <v>17.5</v>
      </c>
      <c r="R2981" t="s">
        <v>35</v>
      </c>
      <c r="S2981" t="s">
        <v>35</v>
      </c>
      <c r="T2981" t="s">
        <v>35</v>
      </c>
      <c r="U2981" t="s">
        <v>35</v>
      </c>
      <c r="V2981" t="s">
        <v>645</v>
      </c>
      <c r="W2981" t="s">
        <v>113</v>
      </c>
    </row>
    <row r="2982" spans="1:23" hidden="1" x14ac:dyDescent="0.25">
      <c r="A2982" s="7" t="str">
        <f>IFERROR(VLOOKUP(H2982,'Contas Orç'!A:B,2,0),"N/A")</f>
        <v>PJ-OUTROS SERVICOS CONTRATADOS-PJ</v>
      </c>
      <c r="B2982" s="7" t="str">
        <f t="shared" si="92"/>
        <v>330201006 - PJ-OUTROS SERVICOS CONTRATADOS-PJ</v>
      </c>
      <c r="C2982" s="25">
        <f t="shared" si="93"/>
        <v>44774</v>
      </c>
      <c r="D2982" s="27">
        <f>IF(K2982="CREDITO",Q2982,Q2982*-1)</f>
        <v>1110</v>
      </c>
      <c r="E2982" t="s">
        <v>894</v>
      </c>
      <c r="F2982" t="s">
        <v>3477</v>
      </c>
      <c r="G2982" s="8">
        <v>44774</v>
      </c>
      <c r="H2982" t="s">
        <v>67</v>
      </c>
      <c r="I2982" t="s">
        <v>81</v>
      </c>
      <c r="J2982" t="s">
        <v>54</v>
      </c>
      <c r="K2982" t="s">
        <v>29</v>
      </c>
      <c r="L2982" t="s">
        <v>895</v>
      </c>
      <c r="M2982" t="s">
        <v>4402</v>
      </c>
      <c r="O2982" t="s">
        <v>896</v>
      </c>
      <c r="P2982" t="s">
        <v>33</v>
      </c>
      <c r="Q2982" s="22">
        <v>1110</v>
      </c>
      <c r="R2982" t="s">
        <v>35</v>
      </c>
      <c r="S2982" t="s">
        <v>35</v>
      </c>
      <c r="T2982" t="s">
        <v>35</v>
      </c>
      <c r="U2982" t="s">
        <v>35</v>
      </c>
      <c r="V2982" t="s">
        <v>645</v>
      </c>
      <c r="W2982" t="s">
        <v>113</v>
      </c>
    </row>
    <row r="2983" spans="1:23" hidden="1" x14ac:dyDescent="0.25">
      <c r="A2983" s="7" t="str">
        <f>IFERROR(VLOOKUP(H2983,'Contas Orç'!A:B,2,0),"N/A")</f>
        <v>PJ-OUTROS SERVICOS CONTRATADOS-PJ</v>
      </c>
      <c r="B2983" s="7" t="str">
        <f t="shared" si="92"/>
        <v>330201006 - PJ-OUTROS SERVICOS CONTRATADOS-PJ</v>
      </c>
      <c r="C2983" s="25">
        <f t="shared" si="93"/>
        <v>44805</v>
      </c>
      <c r="D2983" s="27">
        <f>IF(K2983="CREDITO",Q2983,Q2983*-1)</f>
        <v>108350.57</v>
      </c>
      <c r="E2983" t="s">
        <v>894</v>
      </c>
      <c r="F2983" t="s">
        <v>3478</v>
      </c>
      <c r="G2983" s="8">
        <v>44805</v>
      </c>
      <c r="H2983" t="s">
        <v>67</v>
      </c>
      <c r="I2983" t="s">
        <v>68</v>
      </c>
      <c r="J2983" t="s">
        <v>69</v>
      </c>
      <c r="K2983" t="s">
        <v>29</v>
      </c>
      <c r="L2983" t="s">
        <v>895</v>
      </c>
      <c r="M2983" t="s">
        <v>4402</v>
      </c>
      <c r="O2983" t="s">
        <v>896</v>
      </c>
      <c r="P2983" t="s">
        <v>33</v>
      </c>
      <c r="Q2983" s="22">
        <v>108350.57</v>
      </c>
      <c r="R2983" t="s">
        <v>35</v>
      </c>
      <c r="S2983" t="s">
        <v>35</v>
      </c>
      <c r="T2983" t="s">
        <v>35</v>
      </c>
      <c r="U2983" t="s">
        <v>35</v>
      </c>
      <c r="V2983" t="s">
        <v>645</v>
      </c>
      <c r="W2983" t="s">
        <v>113</v>
      </c>
    </row>
    <row r="2984" spans="1:23" hidden="1" x14ac:dyDescent="0.25">
      <c r="A2984" s="7" t="str">
        <f>IFERROR(VLOOKUP(H2984,'Contas Orç'!A:B,2,0),"N/A")</f>
        <v>PJ-OUTROS SERVICOS CONTRATADOS-PJ</v>
      </c>
      <c r="B2984" s="7" t="str">
        <f t="shared" si="92"/>
        <v>330201006 - PJ-OUTROS SERVICOS CONTRATADOS-PJ</v>
      </c>
      <c r="C2984" s="25">
        <f t="shared" si="93"/>
        <v>44805</v>
      </c>
      <c r="D2984" s="27">
        <f>IF(K2984="CREDITO",Q2984,Q2984*-1)</f>
        <v>2700</v>
      </c>
      <c r="E2984" t="s">
        <v>894</v>
      </c>
      <c r="F2984" t="s">
        <v>3479</v>
      </c>
      <c r="G2984" s="8">
        <v>44805</v>
      </c>
      <c r="H2984" t="s">
        <v>67</v>
      </c>
      <c r="I2984" t="s">
        <v>2062</v>
      </c>
      <c r="J2984" t="s">
        <v>54</v>
      </c>
      <c r="K2984" t="s">
        <v>29</v>
      </c>
      <c r="L2984" t="s">
        <v>895</v>
      </c>
      <c r="M2984" t="s">
        <v>4402</v>
      </c>
      <c r="O2984" t="s">
        <v>896</v>
      </c>
      <c r="P2984" t="s">
        <v>33</v>
      </c>
      <c r="Q2984" s="22">
        <v>2700</v>
      </c>
      <c r="R2984" t="s">
        <v>35</v>
      </c>
      <c r="S2984" t="s">
        <v>35</v>
      </c>
      <c r="T2984" t="s">
        <v>35</v>
      </c>
      <c r="U2984" t="s">
        <v>35</v>
      </c>
      <c r="V2984" t="s">
        <v>645</v>
      </c>
      <c r="W2984" t="s">
        <v>113</v>
      </c>
    </row>
    <row r="2985" spans="1:23" hidden="1" x14ac:dyDescent="0.25">
      <c r="A2985" s="7" t="str">
        <f>IFERROR(VLOOKUP(H2985,'Contas Orç'!A:B,2,0),"N/A")</f>
        <v>PJ-OUTROS SERVICOS CONTRATADOS-PJ</v>
      </c>
      <c r="B2985" s="7" t="str">
        <f t="shared" si="92"/>
        <v>330201006 - PJ-OUTROS SERVICOS CONTRATADOS-PJ</v>
      </c>
      <c r="C2985" s="25">
        <f t="shared" si="93"/>
        <v>44805</v>
      </c>
      <c r="D2985" s="27">
        <f>IF(K2985="CREDITO",Q2985,Q2985*-1)</f>
        <v>70328.179999999993</v>
      </c>
      <c r="E2985" t="s">
        <v>894</v>
      </c>
      <c r="F2985" t="s">
        <v>3480</v>
      </c>
      <c r="G2985" s="8">
        <v>44805</v>
      </c>
      <c r="H2985" t="s">
        <v>67</v>
      </c>
      <c r="I2985" t="s">
        <v>40</v>
      </c>
      <c r="J2985" t="s">
        <v>54</v>
      </c>
      <c r="K2985" t="s">
        <v>29</v>
      </c>
      <c r="L2985" t="s">
        <v>895</v>
      </c>
      <c r="M2985" t="s">
        <v>4402</v>
      </c>
      <c r="O2985" t="s">
        <v>896</v>
      </c>
      <c r="P2985" t="s">
        <v>33</v>
      </c>
      <c r="Q2985" s="22">
        <v>70328.179999999993</v>
      </c>
      <c r="R2985" t="s">
        <v>35</v>
      </c>
      <c r="S2985" t="s">
        <v>35</v>
      </c>
      <c r="T2985" t="s">
        <v>35</v>
      </c>
      <c r="U2985" t="s">
        <v>35</v>
      </c>
      <c r="V2985" t="s">
        <v>645</v>
      </c>
      <c r="W2985" t="s">
        <v>113</v>
      </c>
    </row>
    <row r="2986" spans="1:23" hidden="1" x14ac:dyDescent="0.25">
      <c r="A2986" s="7" t="str">
        <f>IFERROR(VLOOKUP(H2986,'Contas Orç'!A:B,2,0),"N/A")</f>
        <v>PJ-OUTROS SERVICOS CONTRATADOS-PJ</v>
      </c>
      <c r="B2986" s="7" t="str">
        <f t="shared" si="92"/>
        <v>330201006 - PJ-OUTROS SERVICOS CONTRATADOS-PJ</v>
      </c>
      <c r="C2986" s="25">
        <f t="shared" si="93"/>
        <v>44805</v>
      </c>
      <c r="D2986" s="27">
        <f>IF(K2986="CREDITO",Q2986,Q2986*-1)</f>
        <v>1650</v>
      </c>
      <c r="E2986" t="s">
        <v>894</v>
      </c>
      <c r="F2986" t="s">
        <v>3481</v>
      </c>
      <c r="G2986" s="8">
        <v>44805</v>
      </c>
      <c r="H2986" t="s">
        <v>67</v>
      </c>
      <c r="I2986" t="s">
        <v>132</v>
      </c>
      <c r="J2986" t="s">
        <v>54</v>
      </c>
      <c r="K2986" t="s">
        <v>29</v>
      </c>
      <c r="L2986" t="s">
        <v>895</v>
      </c>
      <c r="M2986" t="s">
        <v>4402</v>
      </c>
      <c r="O2986" t="s">
        <v>896</v>
      </c>
      <c r="P2986" t="s">
        <v>33</v>
      </c>
      <c r="Q2986" s="22">
        <v>1650</v>
      </c>
      <c r="R2986" t="s">
        <v>35</v>
      </c>
      <c r="S2986" t="s">
        <v>35</v>
      </c>
      <c r="T2986" t="s">
        <v>35</v>
      </c>
      <c r="U2986" t="s">
        <v>35</v>
      </c>
      <c r="V2986" t="s">
        <v>645</v>
      </c>
      <c r="W2986" t="s">
        <v>113</v>
      </c>
    </row>
    <row r="2987" spans="1:23" hidden="1" x14ac:dyDescent="0.25">
      <c r="A2987" s="7" t="str">
        <f>IFERROR(VLOOKUP(H2987,'Contas Orç'!A:B,2,0),"N/A")</f>
        <v>PJ-OUTROS SERVICOS CONTRATADOS-PJ</v>
      </c>
      <c r="B2987" s="7" t="str">
        <f t="shared" si="92"/>
        <v>330201006 - PJ-OUTROS SERVICOS CONTRATADOS-PJ</v>
      </c>
      <c r="C2987" s="25">
        <f t="shared" si="93"/>
        <v>44805</v>
      </c>
      <c r="D2987" s="27">
        <f>IF(K2987="CREDITO",Q2987,Q2987*-1)</f>
        <v>16520</v>
      </c>
      <c r="E2987" t="s">
        <v>894</v>
      </c>
      <c r="F2987" t="s">
        <v>3482</v>
      </c>
      <c r="G2987" s="8">
        <v>44805</v>
      </c>
      <c r="H2987" t="s">
        <v>67</v>
      </c>
      <c r="I2987" t="s">
        <v>78</v>
      </c>
      <c r="J2987" t="s">
        <v>54</v>
      </c>
      <c r="K2987" t="s">
        <v>29</v>
      </c>
      <c r="L2987" t="s">
        <v>895</v>
      </c>
      <c r="M2987" t="s">
        <v>4402</v>
      </c>
      <c r="O2987" t="s">
        <v>896</v>
      </c>
      <c r="P2987" t="s">
        <v>33</v>
      </c>
      <c r="Q2987" s="22">
        <v>16520</v>
      </c>
      <c r="R2987" t="s">
        <v>35</v>
      </c>
      <c r="S2987" t="s">
        <v>35</v>
      </c>
      <c r="T2987" t="s">
        <v>35</v>
      </c>
      <c r="U2987" t="s">
        <v>35</v>
      </c>
      <c r="V2987" t="s">
        <v>645</v>
      </c>
      <c r="W2987" t="s">
        <v>113</v>
      </c>
    </row>
    <row r="2988" spans="1:23" hidden="1" x14ac:dyDescent="0.25">
      <c r="A2988" s="7" t="str">
        <f>IFERROR(VLOOKUP(H2988,'Contas Orç'!A:B,2,0),"N/A")</f>
        <v>PJ-OUTROS SERVICOS CONTRATADOS-PJ</v>
      </c>
      <c r="B2988" s="7" t="str">
        <f t="shared" si="92"/>
        <v>330201006 - PJ-OUTROS SERVICOS CONTRATADOS-PJ</v>
      </c>
      <c r="C2988" s="25">
        <f t="shared" si="93"/>
        <v>44805</v>
      </c>
      <c r="D2988" s="27">
        <f>IF(K2988="CREDITO",Q2988,Q2988*-1)</f>
        <v>2500</v>
      </c>
      <c r="E2988" t="s">
        <v>894</v>
      </c>
      <c r="F2988" t="s">
        <v>3483</v>
      </c>
      <c r="G2988" s="8">
        <v>44805</v>
      </c>
      <c r="H2988" t="s">
        <v>67</v>
      </c>
      <c r="I2988" t="s">
        <v>53</v>
      </c>
      <c r="J2988" t="s">
        <v>54</v>
      </c>
      <c r="K2988" t="s">
        <v>29</v>
      </c>
      <c r="L2988" t="s">
        <v>895</v>
      </c>
      <c r="M2988" t="s">
        <v>4402</v>
      </c>
      <c r="O2988" t="s">
        <v>896</v>
      </c>
      <c r="P2988" t="s">
        <v>33</v>
      </c>
      <c r="Q2988" s="22">
        <v>2500</v>
      </c>
      <c r="R2988" t="s">
        <v>35</v>
      </c>
      <c r="S2988" t="s">
        <v>35</v>
      </c>
      <c r="T2988" t="s">
        <v>35</v>
      </c>
      <c r="U2988" t="s">
        <v>35</v>
      </c>
      <c r="V2988" t="s">
        <v>645</v>
      </c>
      <c r="W2988" t="s">
        <v>113</v>
      </c>
    </row>
    <row r="2989" spans="1:23" hidden="1" x14ac:dyDescent="0.25">
      <c r="A2989" s="7" t="str">
        <f>IFERROR(VLOOKUP(H2989,'Contas Orç'!A:B,2,0),"N/A")</f>
        <v>PJ-OUTROS SERVICOS CONTRATADOS-PJ</v>
      </c>
      <c r="B2989" s="7" t="str">
        <f t="shared" si="92"/>
        <v>330201006 - PJ-OUTROS SERVICOS CONTRATADOS-PJ</v>
      </c>
      <c r="C2989" s="25">
        <f t="shared" si="93"/>
        <v>44835</v>
      </c>
      <c r="D2989" s="27">
        <f>IF(K2989="CREDITO",Q2989,Q2989*-1)</f>
        <v>109434.08</v>
      </c>
      <c r="E2989" t="s">
        <v>894</v>
      </c>
      <c r="F2989" t="s">
        <v>3484</v>
      </c>
      <c r="G2989" s="8">
        <v>44835</v>
      </c>
      <c r="H2989" t="s">
        <v>67</v>
      </c>
      <c r="I2989" t="s">
        <v>68</v>
      </c>
      <c r="J2989" t="s">
        <v>69</v>
      </c>
      <c r="K2989" t="s">
        <v>29</v>
      </c>
      <c r="L2989" t="s">
        <v>895</v>
      </c>
      <c r="M2989" t="s">
        <v>4402</v>
      </c>
      <c r="O2989" t="s">
        <v>896</v>
      </c>
      <c r="P2989" t="s">
        <v>33</v>
      </c>
      <c r="Q2989" s="22">
        <v>109434.08</v>
      </c>
      <c r="R2989" t="s">
        <v>35</v>
      </c>
      <c r="S2989" t="s">
        <v>35</v>
      </c>
      <c r="T2989" t="s">
        <v>35</v>
      </c>
      <c r="U2989" t="s">
        <v>35</v>
      </c>
      <c r="V2989" t="s">
        <v>645</v>
      </c>
      <c r="W2989" t="s">
        <v>113</v>
      </c>
    </row>
    <row r="2990" spans="1:23" hidden="1" x14ac:dyDescent="0.25">
      <c r="A2990" s="7" t="str">
        <f>IFERROR(VLOOKUP(H2990,'Contas Orç'!A:B,2,0),"N/A")</f>
        <v>PJ-OUTROS SERVICOS CONTRATADOS-PJ</v>
      </c>
      <c r="B2990" s="7" t="str">
        <f t="shared" si="92"/>
        <v>330201006 - PJ-OUTROS SERVICOS CONTRATADOS-PJ</v>
      </c>
      <c r="C2990" s="25">
        <f t="shared" si="93"/>
        <v>44835</v>
      </c>
      <c r="D2990" s="27">
        <f>IF(K2990="CREDITO",Q2990,Q2990*-1)</f>
        <v>2727</v>
      </c>
      <c r="E2990" t="s">
        <v>894</v>
      </c>
      <c r="F2990" t="s">
        <v>3485</v>
      </c>
      <c r="G2990" s="8">
        <v>44835</v>
      </c>
      <c r="H2990" t="s">
        <v>67</v>
      </c>
      <c r="I2990" t="s">
        <v>2062</v>
      </c>
      <c r="J2990" t="s">
        <v>54</v>
      </c>
      <c r="K2990" t="s">
        <v>29</v>
      </c>
      <c r="L2990" t="s">
        <v>895</v>
      </c>
      <c r="M2990" t="s">
        <v>4402</v>
      </c>
      <c r="O2990" t="s">
        <v>896</v>
      </c>
      <c r="P2990" t="s">
        <v>33</v>
      </c>
      <c r="Q2990" s="22">
        <v>2727</v>
      </c>
      <c r="R2990" t="s">
        <v>35</v>
      </c>
      <c r="S2990" t="s">
        <v>35</v>
      </c>
      <c r="T2990" t="s">
        <v>35</v>
      </c>
      <c r="U2990" t="s">
        <v>35</v>
      </c>
      <c r="V2990" t="s">
        <v>645</v>
      </c>
      <c r="W2990" t="s">
        <v>113</v>
      </c>
    </row>
    <row r="2991" spans="1:23" hidden="1" x14ac:dyDescent="0.25">
      <c r="A2991" s="7" t="str">
        <f>IFERROR(VLOOKUP(H2991,'Contas Orç'!A:B,2,0),"N/A")</f>
        <v>PJ-OUTROS SERVICOS CONTRATADOS-PJ</v>
      </c>
      <c r="B2991" s="7" t="str">
        <f t="shared" si="92"/>
        <v>330201006 - PJ-OUTROS SERVICOS CONTRATADOS-PJ</v>
      </c>
      <c r="C2991" s="25">
        <f t="shared" si="93"/>
        <v>44835</v>
      </c>
      <c r="D2991" s="27">
        <f>IF(K2991="CREDITO",Q2991,Q2991*-1)</f>
        <v>71031.460000000006</v>
      </c>
      <c r="E2991" t="s">
        <v>894</v>
      </c>
      <c r="F2991" t="s">
        <v>3486</v>
      </c>
      <c r="G2991" s="8">
        <v>44835</v>
      </c>
      <c r="H2991" t="s">
        <v>67</v>
      </c>
      <c r="I2991" t="s">
        <v>40</v>
      </c>
      <c r="J2991" t="s">
        <v>54</v>
      </c>
      <c r="K2991" t="s">
        <v>29</v>
      </c>
      <c r="L2991" t="s">
        <v>895</v>
      </c>
      <c r="M2991" t="s">
        <v>4402</v>
      </c>
      <c r="O2991" t="s">
        <v>896</v>
      </c>
      <c r="P2991" t="s">
        <v>33</v>
      </c>
      <c r="Q2991" s="22">
        <v>71031.460000000006</v>
      </c>
      <c r="R2991" t="s">
        <v>35</v>
      </c>
      <c r="S2991" t="s">
        <v>35</v>
      </c>
      <c r="T2991" t="s">
        <v>35</v>
      </c>
      <c r="U2991" t="s">
        <v>35</v>
      </c>
      <c r="V2991" t="s">
        <v>645</v>
      </c>
      <c r="W2991" t="s">
        <v>113</v>
      </c>
    </row>
    <row r="2992" spans="1:23" hidden="1" x14ac:dyDescent="0.25">
      <c r="A2992" s="7" t="str">
        <f>IFERROR(VLOOKUP(H2992,'Contas Orç'!A:B,2,0),"N/A")</f>
        <v>PJ-OUTROS SERVICOS CONTRATADOS-PJ</v>
      </c>
      <c r="B2992" s="7" t="str">
        <f t="shared" si="92"/>
        <v>330201006 - PJ-OUTROS SERVICOS CONTRATADOS-PJ</v>
      </c>
      <c r="C2992" s="25">
        <f t="shared" si="93"/>
        <v>44835</v>
      </c>
      <c r="D2992" s="27">
        <f>IF(K2992="CREDITO",Q2992,Q2992*-1)</f>
        <v>1666.5</v>
      </c>
      <c r="E2992" t="s">
        <v>894</v>
      </c>
      <c r="F2992" t="s">
        <v>3487</v>
      </c>
      <c r="G2992" s="8">
        <v>44835</v>
      </c>
      <c r="H2992" t="s">
        <v>67</v>
      </c>
      <c r="I2992" t="s">
        <v>132</v>
      </c>
      <c r="J2992" t="s">
        <v>54</v>
      </c>
      <c r="K2992" t="s">
        <v>29</v>
      </c>
      <c r="L2992" t="s">
        <v>895</v>
      </c>
      <c r="M2992" t="s">
        <v>4402</v>
      </c>
      <c r="O2992" t="s">
        <v>896</v>
      </c>
      <c r="P2992" t="s">
        <v>33</v>
      </c>
      <c r="Q2992" s="22">
        <v>1666.5</v>
      </c>
      <c r="R2992" t="s">
        <v>35</v>
      </c>
      <c r="S2992" t="s">
        <v>35</v>
      </c>
      <c r="T2992" t="s">
        <v>35</v>
      </c>
      <c r="U2992" t="s">
        <v>35</v>
      </c>
      <c r="V2992" t="s">
        <v>645</v>
      </c>
      <c r="W2992" t="s">
        <v>113</v>
      </c>
    </row>
    <row r="2993" spans="1:23" hidden="1" x14ac:dyDescent="0.25">
      <c r="A2993" s="7" t="str">
        <f>IFERROR(VLOOKUP(H2993,'Contas Orç'!A:B,2,0),"N/A")</f>
        <v>PJ-OUTROS SERVICOS CONTRATADOS-PJ</v>
      </c>
      <c r="B2993" s="7" t="str">
        <f t="shared" si="92"/>
        <v>330201006 - PJ-OUTROS SERVICOS CONTRATADOS-PJ</v>
      </c>
      <c r="C2993" s="25">
        <f t="shared" si="93"/>
        <v>44835</v>
      </c>
      <c r="D2993" s="27">
        <f>IF(K2993="CREDITO",Q2993,Q2993*-1)</f>
        <v>16685.2</v>
      </c>
      <c r="E2993" t="s">
        <v>894</v>
      </c>
      <c r="F2993" t="s">
        <v>3488</v>
      </c>
      <c r="G2993" s="8">
        <v>44835</v>
      </c>
      <c r="H2993" t="s">
        <v>67</v>
      </c>
      <c r="I2993" t="s">
        <v>78</v>
      </c>
      <c r="J2993" t="s">
        <v>54</v>
      </c>
      <c r="K2993" t="s">
        <v>29</v>
      </c>
      <c r="L2993" t="s">
        <v>895</v>
      </c>
      <c r="M2993" t="s">
        <v>4402</v>
      </c>
      <c r="O2993" t="s">
        <v>896</v>
      </c>
      <c r="P2993" t="s">
        <v>33</v>
      </c>
      <c r="Q2993" s="22">
        <v>16685.2</v>
      </c>
      <c r="R2993" t="s">
        <v>35</v>
      </c>
      <c r="S2993" t="s">
        <v>35</v>
      </c>
      <c r="T2993" t="s">
        <v>35</v>
      </c>
      <c r="U2993" t="s">
        <v>35</v>
      </c>
      <c r="V2993" t="s">
        <v>645</v>
      </c>
      <c r="W2993" t="s">
        <v>113</v>
      </c>
    </row>
    <row r="2994" spans="1:23" hidden="1" x14ac:dyDescent="0.25">
      <c r="A2994" s="7" t="str">
        <f>IFERROR(VLOOKUP(H2994,'Contas Orç'!A:B,2,0),"N/A")</f>
        <v>PJ-OUTROS SERVICOS CONTRATADOS-PJ</v>
      </c>
      <c r="B2994" s="7" t="str">
        <f t="shared" si="92"/>
        <v>330201006 - PJ-OUTROS SERVICOS CONTRATADOS-PJ</v>
      </c>
      <c r="C2994" s="25">
        <f t="shared" si="93"/>
        <v>44835</v>
      </c>
      <c r="D2994" s="27">
        <f>IF(K2994="CREDITO",Q2994,Q2994*-1)</f>
        <v>2525</v>
      </c>
      <c r="E2994" t="s">
        <v>894</v>
      </c>
      <c r="F2994" t="s">
        <v>3489</v>
      </c>
      <c r="G2994" s="8">
        <v>44835</v>
      </c>
      <c r="H2994" t="s">
        <v>67</v>
      </c>
      <c r="I2994" t="s">
        <v>53</v>
      </c>
      <c r="J2994" t="s">
        <v>54</v>
      </c>
      <c r="K2994" t="s">
        <v>29</v>
      </c>
      <c r="L2994" t="s">
        <v>895</v>
      </c>
      <c r="M2994" t="s">
        <v>4402</v>
      </c>
      <c r="O2994" t="s">
        <v>896</v>
      </c>
      <c r="P2994" t="s">
        <v>33</v>
      </c>
      <c r="Q2994" s="22">
        <v>2525</v>
      </c>
      <c r="R2994" t="s">
        <v>35</v>
      </c>
      <c r="S2994" t="s">
        <v>35</v>
      </c>
      <c r="T2994" t="s">
        <v>35</v>
      </c>
      <c r="U2994" t="s">
        <v>35</v>
      </c>
      <c r="V2994" t="s">
        <v>645</v>
      </c>
      <c r="W2994" t="s">
        <v>113</v>
      </c>
    </row>
    <row r="2995" spans="1:23" hidden="1" x14ac:dyDescent="0.25">
      <c r="A2995" s="7" t="str">
        <f>IFERROR(VLOOKUP(H2995,'Contas Orç'!A:B,2,0),"N/A")</f>
        <v>PJ-OUTROS SERVICOS CONTRATADOS-PJ</v>
      </c>
      <c r="B2995" s="7" t="str">
        <f t="shared" si="92"/>
        <v>330201006 - PJ-OUTROS SERVICOS CONTRATADOS-PJ</v>
      </c>
      <c r="C2995" s="25">
        <f t="shared" si="93"/>
        <v>44866</v>
      </c>
      <c r="D2995" s="27">
        <f>IF(K2995="CREDITO",Q2995,Q2995*-1)</f>
        <v>110528.42</v>
      </c>
      <c r="E2995" t="s">
        <v>894</v>
      </c>
      <c r="F2995" t="s">
        <v>3490</v>
      </c>
      <c r="G2995" s="8">
        <v>44866</v>
      </c>
      <c r="H2995" t="s">
        <v>67</v>
      </c>
      <c r="I2995" t="s">
        <v>68</v>
      </c>
      <c r="J2995" t="s">
        <v>69</v>
      </c>
      <c r="K2995" t="s">
        <v>29</v>
      </c>
      <c r="L2995" t="s">
        <v>895</v>
      </c>
      <c r="M2995" t="s">
        <v>4402</v>
      </c>
      <c r="O2995" t="s">
        <v>896</v>
      </c>
      <c r="P2995" t="s">
        <v>33</v>
      </c>
      <c r="Q2995" s="22">
        <v>110528.42</v>
      </c>
      <c r="R2995" t="s">
        <v>35</v>
      </c>
      <c r="S2995" t="s">
        <v>35</v>
      </c>
      <c r="T2995" t="s">
        <v>35</v>
      </c>
      <c r="U2995" t="s">
        <v>35</v>
      </c>
      <c r="V2995" t="s">
        <v>645</v>
      </c>
      <c r="W2995" t="s">
        <v>113</v>
      </c>
    </row>
    <row r="2996" spans="1:23" hidden="1" x14ac:dyDescent="0.25">
      <c r="A2996" s="7" t="str">
        <f>IFERROR(VLOOKUP(H2996,'Contas Orç'!A:B,2,0),"N/A")</f>
        <v>PJ-OUTROS SERVICOS CONTRATADOS-PJ</v>
      </c>
      <c r="B2996" s="7" t="str">
        <f t="shared" si="92"/>
        <v>330201006 - PJ-OUTROS SERVICOS CONTRATADOS-PJ</v>
      </c>
      <c r="C2996" s="25">
        <f t="shared" si="93"/>
        <v>44866</v>
      </c>
      <c r="D2996" s="27">
        <f>IF(K2996="CREDITO",Q2996,Q2996*-1)</f>
        <v>2754.27</v>
      </c>
      <c r="E2996" t="s">
        <v>894</v>
      </c>
      <c r="F2996" t="s">
        <v>3491</v>
      </c>
      <c r="G2996" s="8">
        <v>44866</v>
      </c>
      <c r="H2996" t="s">
        <v>67</v>
      </c>
      <c r="I2996" t="s">
        <v>2062</v>
      </c>
      <c r="J2996" t="s">
        <v>54</v>
      </c>
      <c r="K2996" t="s">
        <v>29</v>
      </c>
      <c r="L2996" t="s">
        <v>895</v>
      </c>
      <c r="M2996" t="s">
        <v>4402</v>
      </c>
      <c r="O2996" t="s">
        <v>896</v>
      </c>
      <c r="P2996" t="s">
        <v>33</v>
      </c>
      <c r="Q2996" s="22">
        <v>2754.27</v>
      </c>
      <c r="R2996" t="s">
        <v>35</v>
      </c>
      <c r="S2996" t="s">
        <v>35</v>
      </c>
      <c r="T2996" t="s">
        <v>35</v>
      </c>
      <c r="U2996" t="s">
        <v>35</v>
      </c>
      <c r="V2996" t="s">
        <v>645</v>
      </c>
      <c r="W2996" t="s">
        <v>113</v>
      </c>
    </row>
    <row r="2997" spans="1:23" hidden="1" x14ac:dyDescent="0.25">
      <c r="A2997" s="7" t="str">
        <f>IFERROR(VLOOKUP(H2997,'Contas Orç'!A:B,2,0),"N/A")</f>
        <v>PJ-OUTROS SERVICOS CONTRATADOS-PJ</v>
      </c>
      <c r="B2997" s="7" t="str">
        <f t="shared" si="92"/>
        <v>330201006 - PJ-OUTROS SERVICOS CONTRATADOS-PJ</v>
      </c>
      <c r="C2997" s="25">
        <f t="shared" si="93"/>
        <v>44866</v>
      </c>
      <c r="D2997" s="27">
        <f>IF(K2997="CREDITO",Q2997,Q2997*-1)</f>
        <v>71741.78</v>
      </c>
      <c r="E2997" t="s">
        <v>894</v>
      </c>
      <c r="F2997" t="s">
        <v>3492</v>
      </c>
      <c r="G2997" s="8">
        <v>44866</v>
      </c>
      <c r="H2997" t="s">
        <v>67</v>
      </c>
      <c r="I2997" t="s">
        <v>40</v>
      </c>
      <c r="J2997" t="s">
        <v>54</v>
      </c>
      <c r="K2997" t="s">
        <v>29</v>
      </c>
      <c r="L2997" t="s">
        <v>895</v>
      </c>
      <c r="M2997" t="s">
        <v>4402</v>
      </c>
      <c r="O2997" t="s">
        <v>896</v>
      </c>
      <c r="P2997" t="s">
        <v>33</v>
      </c>
      <c r="Q2997" s="22">
        <v>71741.78</v>
      </c>
      <c r="R2997" t="s">
        <v>35</v>
      </c>
      <c r="S2997" t="s">
        <v>35</v>
      </c>
      <c r="T2997" t="s">
        <v>35</v>
      </c>
      <c r="U2997" t="s">
        <v>35</v>
      </c>
      <c r="V2997" t="s">
        <v>645</v>
      </c>
      <c r="W2997" t="s">
        <v>113</v>
      </c>
    </row>
    <row r="2998" spans="1:23" hidden="1" x14ac:dyDescent="0.25">
      <c r="A2998" s="7" t="str">
        <f>IFERROR(VLOOKUP(H2998,'Contas Orç'!A:B,2,0),"N/A")</f>
        <v>PJ-OUTROS SERVICOS CONTRATADOS-PJ</v>
      </c>
      <c r="B2998" s="7" t="str">
        <f t="shared" si="92"/>
        <v>330201006 - PJ-OUTROS SERVICOS CONTRATADOS-PJ</v>
      </c>
      <c r="C2998" s="25">
        <f t="shared" si="93"/>
        <v>44866</v>
      </c>
      <c r="D2998" s="27">
        <f>IF(K2998="CREDITO",Q2998,Q2998*-1)</f>
        <v>1683.17</v>
      </c>
      <c r="E2998" t="s">
        <v>894</v>
      </c>
      <c r="F2998" t="s">
        <v>3493</v>
      </c>
      <c r="G2998" s="8">
        <v>44866</v>
      </c>
      <c r="H2998" t="s">
        <v>67</v>
      </c>
      <c r="I2998" t="s">
        <v>132</v>
      </c>
      <c r="J2998" t="s">
        <v>54</v>
      </c>
      <c r="K2998" t="s">
        <v>29</v>
      </c>
      <c r="L2998" t="s">
        <v>895</v>
      </c>
      <c r="M2998" t="s">
        <v>4402</v>
      </c>
      <c r="O2998" t="s">
        <v>896</v>
      </c>
      <c r="P2998" t="s">
        <v>33</v>
      </c>
      <c r="Q2998" s="22">
        <v>1683.17</v>
      </c>
      <c r="R2998" t="s">
        <v>35</v>
      </c>
      <c r="S2998" t="s">
        <v>35</v>
      </c>
      <c r="T2998" t="s">
        <v>35</v>
      </c>
      <c r="U2998" t="s">
        <v>35</v>
      </c>
      <c r="V2998" t="s">
        <v>645</v>
      </c>
      <c r="W2998" t="s">
        <v>113</v>
      </c>
    </row>
    <row r="2999" spans="1:23" hidden="1" x14ac:dyDescent="0.25">
      <c r="A2999" s="7" t="str">
        <f>IFERROR(VLOOKUP(H2999,'Contas Orç'!A:B,2,0),"N/A")</f>
        <v>PJ-OUTROS SERVICOS CONTRATADOS-PJ</v>
      </c>
      <c r="B2999" s="7" t="str">
        <f t="shared" si="92"/>
        <v>330201006 - PJ-OUTROS SERVICOS CONTRATADOS-PJ</v>
      </c>
      <c r="C2999" s="25">
        <f t="shared" si="93"/>
        <v>44866</v>
      </c>
      <c r="D2999" s="27">
        <f>IF(K2999="CREDITO",Q2999,Q2999*-1)</f>
        <v>16852.05</v>
      </c>
      <c r="E2999" t="s">
        <v>894</v>
      </c>
      <c r="F2999" t="s">
        <v>3494</v>
      </c>
      <c r="G2999" s="8">
        <v>44866</v>
      </c>
      <c r="H2999" t="s">
        <v>67</v>
      </c>
      <c r="I2999" t="s">
        <v>78</v>
      </c>
      <c r="J2999" t="s">
        <v>54</v>
      </c>
      <c r="K2999" t="s">
        <v>29</v>
      </c>
      <c r="L2999" t="s">
        <v>895</v>
      </c>
      <c r="M2999" t="s">
        <v>4402</v>
      </c>
      <c r="O2999" t="s">
        <v>896</v>
      </c>
      <c r="P2999" t="s">
        <v>33</v>
      </c>
      <c r="Q2999" s="22">
        <v>16852.05</v>
      </c>
      <c r="R2999" t="s">
        <v>35</v>
      </c>
      <c r="S2999" t="s">
        <v>35</v>
      </c>
      <c r="T2999" t="s">
        <v>35</v>
      </c>
      <c r="U2999" t="s">
        <v>35</v>
      </c>
      <c r="V2999" t="s">
        <v>645</v>
      </c>
      <c r="W2999" t="s">
        <v>113</v>
      </c>
    </row>
    <row r="3000" spans="1:23" hidden="1" x14ac:dyDescent="0.25">
      <c r="A3000" s="7" t="str">
        <f>IFERROR(VLOOKUP(H3000,'Contas Orç'!A:B,2,0),"N/A")</f>
        <v>PJ-OUTROS SERVICOS CONTRATADOS-PJ</v>
      </c>
      <c r="B3000" s="7" t="str">
        <f t="shared" si="92"/>
        <v>330201006 - PJ-OUTROS SERVICOS CONTRATADOS-PJ</v>
      </c>
      <c r="C3000" s="25">
        <f t="shared" si="93"/>
        <v>44866</v>
      </c>
      <c r="D3000" s="27">
        <f>IF(K3000="CREDITO",Q3000,Q3000*-1)</f>
        <v>2550.25</v>
      </c>
      <c r="E3000" t="s">
        <v>894</v>
      </c>
      <c r="F3000" t="s">
        <v>3495</v>
      </c>
      <c r="G3000" s="8">
        <v>44866</v>
      </c>
      <c r="H3000" t="s">
        <v>67</v>
      </c>
      <c r="I3000" t="s">
        <v>53</v>
      </c>
      <c r="J3000" t="s">
        <v>54</v>
      </c>
      <c r="K3000" t="s">
        <v>29</v>
      </c>
      <c r="L3000" t="s">
        <v>895</v>
      </c>
      <c r="M3000" t="s">
        <v>4402</v>
      </c>
      <c r="O3000" t="s">
        <v>896</v>
      </c>
      <c r="P3000" t="s">
        <v>33</v>
      </c>
      <c r="Q3000" s="22">
        <v>2550.25</v>
      </c>
      <c r="R3000" t="s">
        <v>35</v>
      </c>
      <c r="S3000" t="s">
        <v>35</v>
      </c>
      <c r="T3000" t="s">
        <v>35</v>
      </c>
      <c r="U3000" t="s">
        <v>35</v>
      </c>
      <c r="V3000" t="s">
        <v>645</v>
      </c>
      <c r="W3000" t="s">
        <v>113</v>
      </c>
    </row>
    <row r="3001" spans="1:23" hidden="1" x14ac:dyDescent="0.25">
      <c r="A3001" s="7" t="str">
        <f>IFERROR(VLOOKUP(H3001,'Contas Orç'!A:B,2,0),"N/A")</f>
        <v>PJ-OUTROS SERVICOS CONTRATADOS-PJ</v>
      </c>
      <c r="B3001" s="7" t="str">
        <f t="shared" si="92"/>
        <v>330201006 - PJ-OUTROS SERVICOS CONTRATADOS-PJ</v>
      </c>
      <c r="C3001" s="25">
        <f t="shared" si="93"/>
        <v>44896</v>
      </c>
      <c r="D3001" s="27">
        <f>IF(K3001="CREDITO",Q3001,Q3001*-1)</f>
        <v>111633.7</v>
      </c>
      <c r="E3001" t="s">
        <v>894</v>
      </c>
      <c r="F3001" t="s">
        <v>3496</v>
      </c>
      <c r="G3001" s="8">
        <v>44896</v>
      </c>
      <c r="H3001" t="s">
        <v>67</v>
      </c>
      <c r="I3001" t="s">
        <v>68</v>
      </c>
      <c r="J3001" t="s">
        <v>69</v>
      </c>
      <c r="K3001" t="s">
        <v>29</v>
      </c>
      <c r="L3001" t="s">
        <v>895</v>
      </c>
      <c r="M3001" t="s">
        <v>4402</v>
      </c>
      <c r="O3001" t="s">
        <v>896</v>
      </c>
      <c r="P3001" t="s">
        <v>33</v>
      </c>
      <c r="Q3001" s="22">
        <v>111633.7</v>
      </c>
      <c r="R3001" t="s">
        <v>35</v>
      </c>
      <c r="S3001" t="s">
        <v>35</v>
      </c>
      <c r="T3001" t="s">
        <v>35</v>
      </c>
      <c r="U3001" t="s">
        <v>35</v>
      </c>
      <c r="V3001" t="s">
        <v>645</v>
      </c>
      <c r="W3001" t="s">
        <v>113</v>
      </c>
    </row>
    <row r="3002" spans="1:23" hidden="1" x14ac:dyDescent="0.25">
      <c r="A3002" s="7" t="str">
        <f>IFERROR(VLOOKUP(H3002,'Contas Orç'!A:B,2,0),"N/A")</f>
        <v>PJ-OUTROS SERVICOS CONTRATADOS-PJ</v>
      </c>
      <c r="B3002" s="7" t="str">
        <f t="shared" si="92"/>
        <v>330201006 - PJ-OUTROS SERVICOS CONTRATADOS-PJ</v>
      </c>
      <c r="C3002" s="25">
        <f t="shared" si="93"/>
        <v>44896</v>
      </c>
      <c r="D3002" s="27">
        <f>IF(K3002="CREDITO",Q3002,Q3002*-1)</f>
        <v>2781.81</v>
      </c>
      <c r="E3002" t="s">
        <v>894</v>
      </c>
      <c r="F3002" t="s">
        <v>3497</v>
      </c>
      <c r="G3002" s="8">
        <v>44896</v>
      </c>
      <c r="H3002" t="s">
        <v>67</v>
      </c>
      <c r="I3002" t="s">
        <v>2062</v>
      </c>
      <c r="J3002" t="s">
        <v>54</v>
      </c>
      <c r="K3002" t="s">
        <v>29</v>
      </c>
      <c r="L3002" t="s">
        <v>895</v>
      </c>
      <c r="M3002" t="s">
        <v>4402</v>
      </c>
      <c r="O3002" t="s">
        <v>896</v>
      </c>
      <c r="P3002" t="s">
        <v>33</v>
      </c>
      <c r="Q3002" s="22">
        <v>2781.81</v>
      </c>
      <c r="R3002" t="s">
        <v>35</v>
      </c>
      <c r="S3002" t="s">
        <v>35</v>
      </c>
      <c r="T3002" t="s">
        <v>35</v>
      </c>
      <c r="U3002" t="s">
        <v>35</v>
      </c>
      <c r="V3002" t="s">
        <v>645</v>
      </c>
      <c r="W3002" t="s">
        <v>113</v>
      </c>
    </row>
    <row r="3003" spans="1:23" hidden="1" x14ac:dyDescent="0.25">
      <c r="A3003" s="7" t="str">
        <f>IFERROR(VLOOKUP(H3003,'Contas Orç'!A:B,2,0),"N/A")</f>
        <v>PJ-OUTROS SERVICOS CONTRATADOS-PJ</v>
      </c>
      <c r="B3003" s="7" t="str">
        <f t="shared" si="92"/>
        <v>330201006 - PJ-OUTROS SERVICOS CONTRATADOS-PJ</v>
      </c>
      <c r="C3003" s="25">
        <f t="shared" si="93"/>
        <v>44896</v>
      </c>
      <c r="D3003" s="27">
        <f>IF(K3003="CREDITO",Q3003,Q3003*-1)</f>
        <v>72459.19</v>
      </c>
      <c r="E3003" t="s">
        <v>894</v>
      </c>
      <c r="F3003" t="s">
        <v>3498</v>
      </c>
      <c r="G3003" s="8">
        <v>44896</v>
      </c>
      <c r="H3003" t="s">
        <v>67</v>
      </c>
      <c r="I3003" t="s">
        <v>40</v>
      </c>
      <c r="J3003" t="s">
        <v>54</v>
      </c>
      <c r="K3003" t="s">
        <v>29</v>
      </c>
      <c r="L3003" t="s">
        <v>895</v>
      </c>
      <c r="M3003" t="s">
        <v>4402</v>
      </c>
      <c r="O3003" t="s">
        <v>896</v>
      </c>
      <c r="P3003" t="s">
        <v>33</v>
      </c>
      <c r="Q3003" s="22">
        <v>72459.19</v>
      </c>
      <c r="R3003" t="s">
        <v>35</v>
      </c>
      <c r="S3003" t="s">
        <v>35</v>
      </c>
      <c r="T3003" t="s">
        <v>35</v>
      </c>
      <c r="U3003" t="s">
        <v>35</v>
      </c>
      <c r="V3003" t="s">
        <v>645</v>
      </c>
      <c r="W3003" t="s">
        <v>113</v>
      </c>
    </row>
    <row r="3004" spans="1:23" hidden="1" x14ac:dyDescent="0.25">
      <c r="A3004" s="7" t="str">
        <f>IFERROR(VLOOKUP(H3004,'Contas Orç'!A:B,2,0),"N/A")</f>
        <v>PJ-OUTROS SERVICOS CONTRATADOS-PJ</v>
      </c>
      <c r="B3004" s="7" t="str">
        <f t="shared" si="92"/>
        <v>330201006 - PJ-OUTROS SERVICOS CONTRATADOS-PJ</v>
      </c>
      <c r="C3004" s="25">
        <f t="shared" si="93"/>
        <v>44896</v>
      </c>
      <c r="D3004" s="27">
        <f>IF(K3004="CREDITO",Q3004,Q3004*-1)</f>
        <v>1700</v>
      </c>
      <c r="E3004" t="s">
        <v>894</v>
      </c>
      <c r="F3004" t="s">
        <v>3499</v>
      </c>
      <c r="G3004" s="8">
        <v>44896</v>
      </c>
      <c r="H3004" t="s">
        <v>67</v>
      </c>
      <c r="I3004" t="s">
        <v>132</v>
      </c>
      <c r="J3004" t="s">
        <v>54</v>
      </c>
      <c r="K3004" t="s">
        <v>29</v>
      </c>
      <c r="L3004" t="s">
        <v>895</v>
      </c>
      <c r="M3004" t="s">
        <v>4402</v>
      </c>
      <c r="O3004" t="s">
        <v>896</v>
      </c>
      <c r="P3004" t="s">
        <v>33</v>
      </c>
      <c r="Q3004" s="22">
        <v>1700</v>
      </c>
      <c r="R3004" t="s">
        <v>35</v>
      </c>
      <c r="S3004" t="s">
        <v>35</v>
      </c>
      <c r="T3004" t="s">
        <v>35</v>
      </c>
      <c r="U3004" t="s">
        <v>35</v>
      </c>
      <c r="V3004" t="s">
        <v>645</v>
      </c>
      <c r="W3004" t="s">
        <v>113</v>
      </c>
    </row>
    <row r="3005" spans="1:23" hidden="1" x14ac:dyDescent="0.25">
      <c r="A3005" s="7" t="str">
        <f>IFERROR(VLOOKUP(H3005,'Contas Orç'!A:B,2,0),"N/A")</f>
        <v>PJ-OUTROS SERVICOS CONTRATADOS-PJ</v>
      </c>
      <c r="B3005" s="7" t="str">
        <f t="shared" si="92"/>
        <v>330201006 - PJ-OUTROS SERVICOS CONTRATADOS-PJ</v>
      </c>
      <c r="C3005" s="25">
        <f t="shared" si="93"/>
        <v>44896</v>
      </c>
      <c r="D3005" s="27">
        <f>IF(K3005="CREDITO",Q3005,Q3005*-1)</f>
        <v>17020.57</v>
      </c>
      <c r="E3005" t="s">
        <v>894</v>
      </c>
      <c r="F3005" t="s">
        <v>3500</v>
      </c>
      <c r="G3005" s="8">
        <v>44896</v>
      </c>
      <c r="H3005" t="s">
        <v>67</v>
      </c>
      <c r="I3005" t="s">
        <v>78</v>
      </c>
      <c r="J3005" t="s">
        <v>54</v>
      </c>
      <c r="K3005" t="s">
        <v>29</v>
      </c>
      <c r="L3005" t="s">
        <v>895</v>
      </c>
      <c r="M3005" t="s">
        <v>4402</v>
      </c>
      <c r="O3005" t="s">
        <v>896</v>
      </c>
      <c r="P3005" t="s">
        <v>33</v>
      </c>
      <c r="Q3005" s="22">
        <v>17020.57</v>
      </c>
      <c r="R3005" t="s">
        <v>35</v>
      </c>
      <c r="S3005" t="s">
        <v>35</v>
      </c>
      <c r="T3005" t="s">
        <v>35</v>
      </c>
      <c r="U3005" t="s">
        <v>35</v>
      </c>
      <c r="V3005" t="s">
        <v>645</v>
      </c>
      <c r="W3005" t="s">
        <v>113</v>
      </c>
    </row>
    <row r="3006" spans="1:23" hidden="1" x14ac:dyDescent="0.25">
      <c r="A3006" s="7" t="str">
        <f>IFERROR(VLOOKUP(H3006,'Contas Orç'!A:B,2,0),"N/A")</f>
        <v>PJ-OUTROS SERVICOS CONTRATADOS-PJ</v>
      </c>
      <c r="B3006" s="7" t="str">
        <f t="shared" si="92"/>
        <v>330201006 - PJ-OUTROS SERVICOS CONTRATADOS-PJ</v>
      </c>
      <c r="C3006" s="25">
        <f t="shared" si="93"/>
        <v>44896</v>
      </c>
      <c r="D3006" s="27">
        <f>IF(K3006="CREDITO",Q3006,Q3006*-1)</f>
        <v>2575.75</v>
      </c>
      <c r="E3006" t="s">
        <v>894</v>
      </c>
      <c r="F3006" t="s">
        <v>3501</v>
      </c>
      <c r="G3006" s="8">
        <v>44896</v>
      </c>
      <c r="H3006" t="s">
        <v>67</v>
      </c>
      <c r="I3006" t="s">
        <v>53</v>
      </c>
      <c r="J3006" t="s">
        <v>54</v>
      </c>
      <c r="K3006" t="s">
        <v>29</v>
      </c>
      <c r="L3006" t="s">
        <v>895</v>
      </c>
      <c r="M3006" t="s">
        <v>4402</v>
      </c>
      <c r="O3006" t="s">
        <v>896</v>
      </c>
      <c r="P3006" t="s">
        <v>33</v>
      </c>
      <c r="Q3006" s="22">
        <v>2575.75</v>
      </c>
      <c r="R3006" t="s">
        <v>35</v>
      </c>
      <c r="S3006" t="s">
        <v>35</v>
      </c>
      <c r="T3006" t="s">
        <v>35</v>
      </c>
      <c r="U3006" t="s">
        <v>35</v>
      </c>
      <c r="V3006" t="s">
        <v>645</v>
      </c>
      <c r="W3006" t="s">
        <v>113</v>
      </c>
    </row>
    <row r="3007" spans="1:23" hidden="1" x14ac:dyDescent="0.25">
      <c r="A3007" s="7" t="str">
        <f>IFERROR(VLOOKUP(H3007,'Contas Orç'!A:B,2,0),"N/A")</f>
        <v>PF-CONSULTORIA E ASSESSORIA</v>
      </c>
      <c r="B3007" s="7" t="str">
        <f t="shared" si="92"/>
        <v>330202001 - PF-CONSULTORIA E ASSESSORIA</v>
      </c>
      <c r="C3007" s="25">
        <f t="shared" si="93"/>
        <v>44562</v>
      </c>
      <c r="D3007" s="27">
        <f>IF(K3007="CREDITO",Q3007,Q3007*-1)</f>
        <v>5000</v>
      </c>
      <c r="E3007" t="s">
        <v>894</v>
      </c>
      <c r="F3007" t="s">
        <v>3502</v>
      </c>
      <c r="G3007" s="8">
        <v>44562</v>
      </c>
      <c r="H3007" t="s">
        <v>156</v>
      </c>
      <c r="I3007" t="s">
        <v>53</v>
      </c>
      <c r="J3007" t="s">
        <v>60</v>
      </c>
      <c r="K3007" t="s">
        <v>29</v>
      </c>
      <c r="L3007" t="s">
        <v>895</v>
      </c>
      <c r="M3007" t="s">
        <v>4402</v>
      </c>
      <c r="O3007" t="s">
        <v>896</v>
      </c>
      <c r="P3007" t="s">
        <v>33</v>
      </c>
      <c r="Q3007" s="22">
        <v>5000</v>
      </c>
      <c r="R3007" t="s">
        <v>35</v>
      </c>
      <c r="S3007" t="s">
        <v>35</v>
      </c>
      <c r="T3007" t="s">
        <v>35</v>
      </c>
      <c r="U3007" t="s">
        <v>35</v>
      </c>
      <c r="V3007" t="s">
        <v>645</v>
      </c>
      <c r="W3007" t="s">
        <v>113</v>
      </c>
    </row>
    <row r="3008" spans="1:23" hidden="1" x14ac:dyDescent="0.25">
      <c r="A3008" s="7" t="str">
        <f>IFERROR(VLOOKUP(H3008,'Contas Orç'!A:B,2,0),"N/A")</f>
        <v>PF-CONSULTORIA E ASSESSORIA</v>
      </c>
      <c r="B3008" s="7" t="str">
        <f t="shared" si="92"/>
        <v>330202001 - PF-CONSULTORIA E ASSESSORIA</v>
      </c>
      <c r="C3008" s="25">
        <f t="shared" si="93"/>
        <v>44562</v>
      </c>
      <c r="D3008" s="27">
        <f>IF(K3008="CREDITO",Q3008,Q3008*-1)</f>
        <v>153342.56</v>
      </c>
      <c r="E3008" t="s">
        <v>894</v>
      </c>
      <c r="F3008" t="s">
        <v>3503</v>
      </c>
      <c r="G3008" s="8">
        <v>44562</v>
      </c>
      <c r="H3008" t="s">
        <v>156</v>
      </c>
      <c r="I3008" t="s">
        <v>40</v>
      </c>
      <c r="J3008" t="s">
        <v>54</v>
      </c>
      <c r="K3008" t="s">
        <v>29</v>
      </c>
      <c r="L3008" t="s">
        <v>895</v>
      </c>
      <c r="M3008" t="s">
        <v>4402</v>
      </c>
      <c r="O3008" t="s">
        <v>896</v>
      </c>
      <c r="P3008" t="s">
        <v>33</v>
      </c>
      <c r="Q3008" s="22">
        <v>153342.56</v>
      </c>
      <c r="R3008" t="s">
        <v>35</v>
      </c>
      <c r="S3008" t="s">
        <v>35</v>
      </c>
      <c r="T3008" t="s">
        <v>35</v>
      </c>
      <c r="U3008" t="s">
        <v>35</v>
      </c>
      <c r="V3008" t="s">
        <v>645</v>
      </c>
      <c r="W3008" t="s">
        <v>113</v>
      </c>
    </row>
    <row r="3009" spans="1:23" hidden="1" x14ac:dyDescent="0.25">
      <c r="A3009" s="7" t="str">
        <f>IFERROR(VLOOKUP(H3009,'Contas Orç'!A:B,2,0),"N/A")</f>
        <v>PF-CONSULTORIA E ASSESSORIA</v>
      </c>
      <c r="B3009" s="7" t="str">
        <f t="shared" si="92"/>
        <v>330202001 - PF-CONSULTORIA E ASSESSORIA</v>
      </c>
      <c r="C3009" s="25">
        <f t="shared" si="93"/>
        <v>44562</v>
      </c>
      <c r="D3009" s="27">
        <f>IF(K3009="CREDITO",Q3009,Q3009*-1)</f>
        <v>1795.56</v>
      </c>
      <c r="E3009" t="s">
        <v>894</v>
      </c>
      <c r="F3009" t="s">
        <v>3504</v>
      </c>
      <c r="G3009" s="8">
        <v>44562</v>
      </c>
      <c r="H3009" t="s">
        <v>156</v>
      </c>
      <c r="I3009" t="s">
        <v>75</v>
      </c>
      <c r="J3009" t="s">
        <v>54</v>
      </c>
      <c r="K3009" t="s">
        <v>29</v>
      </c>
      <c r="L3009" t="s">
        <v>895</v>
      </c>
      <c r="M3009" t="s">
        <v>4402</v>
      </c>
      <c r="O3009" t="s">
        <v>896</v>
      </c>
      <c r="P3009" t="s">
        <v>33</v>
      </c>
      <c r="Q3009" s="22">
        <v>1795.56</v>
      </c>
      <c r="R3009" t="s">
        <v>35</v>
      </c>
      <c r="S3009" t="s">
        <v>35</v>
      </c>
      <c r="T3009" t="s">
        <v>35</v>
      </c>
      <c r="U3009" t="s">
        <v>35</v>
      </c>
      <c r="V3009" t="s">
        <v>645</v>
      </c>
      <c r="W3009" t="s">
        <v>113</v>
      </c>
    </row>
    <row r="3010" spans="1:23" hidden="1" x14ac:dyDescent="0.25">
      <c r="A3010" s="7" t="str">
        <f>IFERROR(VLOOKUP(H3010,'Contas Orç'!A:B,2,0),"N/A")</f>
        <v>PF-CONSULTORIA E ASSESSORIA</v>
      </c>
      <c r="B3010" s="7" t="str">
        <f t="shared" si="92"/>
        <v>330202001 - PF-CONSULTORIA E ASSESSORIA</v>
      </c>
      <c r="C3010" s="25">
        <f t="shared" si="93"/>
        <v>44593</v>
      </c>
      <c r="D3010" s="27">
        <f>IF(K3010="CREDITO",Q3010,Q3010*-1)</f>
        <v>5000</v>
      </c>
      <c r="E3010" t="s">
        <v>894</v>
      </c>
      <c r="F3010" t="s">
        <v>3505</v>
      </c>
      <c r="G3010" s="8">
        <v>44593</v>
      </c>
      <c r="H3010" t="s">
        <v>156</v>
      </c>
      <c r="I3010" t="s">
        <v>53</v>
      </c>
      <c r="J3010" t="s">
        <v>60</v>
      </c>
      <c r="K3010" t="s">
        <v>29</v>
      </c>
      <c r="L3010" t="s">
        <v>895</v>
      </c>
      <c r="M3010" t="s">
        <v>4402</v>
      </c>
      <c r="O3010" t="s">
        <v>896</v>
      </c>
      <c r="P3010" t="s">
        <v>33</v>
      </c>
      <c r="Q3010" s="22">
        <v>5000</v>
      </c>
      <c r="R3010" t="s">
        <v>35</v>
      </c>
      <c r="S3010" t="s">
        <v>35</v>
      </c>
      <c r="T3010" t="s">
        <v>35</v>
      </c>
      <c r="U3010" t="s">
        <v>35</v>
      </c>
      <c r="V3010" t="s">
        <v>645</v>
      </c>
      <c r="W3010" t="s">
        <v>113</v>
      </c>
    </row>
    <row r="3011" spans="1:23" hidden="1" x14ac:dyDescent="0.25">
      <c r="A3011" s="7" t="str">
        <f>IFERROR(VLOOKUP(H3011,'Contas Orç'!A:B,2,0),"N/A")</f>
        <v>PF-CONSULTORIA E ASSESSORIA</v>
      </c>
      <c r="B3011" s="7" t="str">
        <f t="shared" ref="B3011:B3074" si="94">_xlfn.CONCAT(H3011," - ",A3011)</f>
        <v>330202001 - PF-CONSULTORIA E ASSESSORIA</v>
      </c>
      <c r="C3011" s="25">
        <f t="shared" ref="C3011:C3074" si="95">DATE(YEAR(G3011),MONTH(G3011),1)</f>
        <v>44593</v>
      </c>
      <c r="D3011" s="27">
        <f>IF(K3011="CREDITO",Q3011,Q3011*-1)</f>
        <v>111002.24000000001</v>
      </c>
      <c r="E3011" t="s">
        <v>894</v>
      </c>
      <c r="F3011" t="s">
        <v>3506</v>
      </c>
      <c r="G3011" s="8">
        <v>44593</v>
      </c>
      <c r="H3011" t="s">
        <v>156</v>
      </c>
      <c r="I3011" t="s">
        <v>40</v>
      </c>
      <c r="J3011" t="s">
        <v>54</v>
      </c>
      <c r="K3011" t="s">
        <v>29</v>
      </c>
      <c r="L3011" t="s">
        <v>895</v>
      </c>
      <c r="M3011" t="s">
        <v>4402</v>
      </c>
      <c r="O3011" t="s">
        <v>896</v>
      </c>
      <c r="P3011" t="s">
        <v>33</v>
      </c>
      <c r="Q3011" s="22">
        <v>111002.24000000001</v>
      </c>
      <c r="R3011" t="s">
        <v>35</v>
      </c>
      <c r="S3011" t="s">
        <v>35</v>
      </c>
      <c r="T3011" t="s">
        <v>35</v>
      </c>
      <c r="U3011" t="s">
        <v>35</v>
      </c>
      <c r="V3011" t="s">
        <v>645</v>
      </c>
      <c r="W3011" t="s">
        <v>113</v>
      </c>
    </row>
    <row r="3012" spans="1:23" hidden="1" x14ac:dyDescent="0.25">
      <c r="A3012" s="7" t="str">
        <f>IFERROR(VLOOKUP(H3012,'Contas Orç'!A:B,2,0),"N/A")</f>
        <v>PF-CONSULTORIA E ASSESSORIA</v>
      </c>
      <c r="B3012" s="7" t="str">
        <f t="shared" si="94"/>
        <v>330202001 - PF-CONSULTORIA E ASSESSORIA</v>
      </c>
      <c r="C3012" s="25">
        <f t="shared" si="95"/>
        <v>44593</v>
      </c>
      <c r="D3012" s="27">
        <f>IF(K3012="CREDITO",Q3012,Q3012*-1)</f>
        <v>1795.61</v>
      </c>
      <c r="E3012" t="s">
        <v>894</v>
      </c>
      <c r="F3012" t="s">
        <v>3507</v>
      </c>
      <c r="G3012" s="8">
        <v>44593</v>
      </c>
      <c r="H3012" t="s">
        <v>156</v>
      </c>
      <c r="I3012" t="s">
        <v>75</v>
      </c>
      <c r="J3012" t="s">
        <v>54</v>
      </c>
      <c r="K3012" t="s">
        <v>29</v>
      </c>
      <c r="L3012" t="s">
        <v>895</v>
      </c>
      <c r="M3012" t="s">
        <v>4402</v>
      </c>
      <c r="O3012" t="s">
        <v>896</v>
      </c>
      <c r="P3012" t="s">
        <v>33</v>
      </c>
      <c r="Q3012" s="22">
        <v>1795.61</v>
      </c>
      <c r="R3012" t="s">
        <v>35</v>
      </c>
      <c r="S3012" t="s">
        <v>35</v>
      </c>
      <c r="T3012" t="s">
        <v>35</v>
      </c>
      <c r="U3012" t="s">
        <v>35</v>
      </c>
      <c r="V3012" t="s">
        <v>645</v>
      </c>
      <c r="W3012" t="s">
        <v>113</v>
      </c>
    </row>
    <row r="3013" spans="1:23" hidden="1" x14ac:dyDescent="0.25">
      <c r="A3013" s="7" t="str">
        <f>IFERROR(VLOOKUP(H3013,'Contas Orç'!A:B,2,0),"N/A")</f>
        <v>PF-CONSULTORIA E ASSESSORIA</v>
      </c>
      <c r="B3013" s="7" t="str">
        <f t="shared" si="94"/>
        <v>330202001 - PF-CONSULTORIA E ASSESSORIA</v>
      </c>
      <c r="C3013" s="25">
        <f t="shared" si="95"/>
        <v>44621</v>
      </c>
      <c r="D3013" s="27">
        <f>IF(K3013="CREDITO",Q3013,Q3013*-1)</f>
        <v>5000</v>
      </c>
      <c r="E3013" t="s">
        <v>894</v>
      </c>
      <c r="F3013" t="s">
        <v>3508</v>
      </c>
      <c r="G3013" s="8">
        <v>44621</v>
      </c>
      <c r="H3013" t="s">
        <v>156</v>
      </c>
      <c r="I3013" t="s">
        <v>53</v>
      </c>
      <c r="J3013" t="s">
        <v>60</v>
      </c>
      <c r="K3013" t="s">
        <v>29</v>
      </c>
      <c r="L3013" t="s">
        <v>895</v>
      </c>
      <c r="M3013" t="s">
        <v>4402</v>
      </c>
      <c r="O3013" t="s">
        <v>896</v>
      </c>
      <c r="P3013" t="s">
        <v>33</v>
      </c>
      <c r="Q3013" s="22">
        <v>5000</v>
      </c>
      <c r="R3013" t="s">
        <v>35</v>
      </c>
      <c r="S3013" t="s">
        <v>35</v>
      </c>
      <c r="T3013" t="s">
        <v>35</v>
      </c>
      <c r="U3013" t="s">
        <v>35</v>
      </c>
      <c r="V3013" t="s">
        <v>645</v>
      </c>
      <c r="W3013" t="s">
        <v>113</v>
      </c>
    </row>
    <row r="3014" spans="1:23" hidden="1" x14ac:dyDescent="0.25">
      <c r="A3014" s="7" t="str">
        <f>IFERROR(VLOOKUP(H3014,'Contas Orç'!A:B,2,0),"N/A")</f>
        <v>PF-CONSULTORIA E ASSESSORIA</v>
      </c>
      <c r="B3014" s="7" t="str">
        <f t="shared" si="94"/>
        <v>330202001 - PF-CONSULTORIA E ASSESSORIA</v>
      </c>
      <c r="C3014" s="25">
        <f t="shared" si="95"/>
        <v>44621</v>
      </c>
      <c r="D3014" s="27">
        <f>IF(K3014="CREDITO",Q3014,Q3014*-1)</f>
        <v>1396</v>
      </c>
      <c r="E3014" t="s">
        <v>894</v>
      </c>
      <c r="F3014" t="s">
        <v>3509</v>
      </c>
      <c r="G3014" s="8">
        <v>44621</v>
      </c>
      <c r="H3014" t="s">
        <v>156</v>
      </c>
      <c r="I3014" t="s">
        <v>125</v>
      </c>
      <c r="J3014" t="s">
        <v>95</v>
      </c>
      <c r="K3014" t="s">
        <v>29</v>
      </c>
      <c r="L3014" t="s">
        <v>895</v>
      </c>
      <c r="M3014" t="s">
        <v>4402</v>
      </c>
      <c r="O3014" t="s">
        <v>896</v>
      </c>
      <c r="P3014" t="s">
        <v>33</v>
      </c>
      <c r="Q3014" s="22">
        <v>1396</v>
      </c>
      <c r="R3014" t="s">
        <v>35</v>
      </c>
      <c r="S3014" t="s">
        <v>35</v>
      </c>
      <c r="T3014" t="s">
        <v>35</v>
      </c>
      <c r="U3014" t="s">
        <v>35</v>
      </c>
      <c r="V3014" t="s">
        <v>645</v>
      </c>
      <c r="W3014" t="s">
        <v>113</v>
      </c>
    </row>
    <row r="3015" spans="1:23" hidden="1" x14ac:dyDescent="0.25">
      <c r="A3015" s="7" t="str">
        <f>IFERROR(VLOOKUP(H3015,'Contas Orç'!A:B,2,0),"N/A")</f>
        <v>PF-CONSULTORIA E ASSESSORIA</v>
      </c>
      <c r="B3015" s="7" t="str">
        <f t="shared" si="94"/>
        <v>330202001 - PF-CONSULTORIA E ASSESSORIA</v>
      </c>
      <c r="C3015" s="25">
        <f t="shared" si="95"/>
        <v>44621</v>
      </c>
      <c r="D3015" s="27">
        <f>IF(K3015="CREDITO",Q3015,Q3015*-1)</f>
        <v>121305.5</v>
      </c>
      <c r="E3015" t="s">
        <v>894</v>
      </c>
      <c r="F3015" t="s">
        <v>3510</v>
      </c>
      <c r="G3015" s="8">
        <v>44621</v>
      </c>
      <c r="H3015" t="s">
        <v>156</v>
      </c>
      <c r="I3015" t="s">
        <v>40</v>
      </c>
      <c r="J3015" t="s">
        <v>54</v>
      </c>
      <c r="K3015" t="s">
        <v>29</v>
      </c>
      <c r="L3015" t="s">
        <v>895</v>
      </c>
      <c r="M3015" t="s">
        <v>4402</v>
      </c>
      <c r="O3015" t="s">
        <v>896</v>
      </c>
      <c r="P3015" t="s">
        <v>33</v>
      </c>
      <c r="Q3015" s="22">
        <v>121305.5</v>
      </c>
      <c r="R3015" t="s">
        <v>35</v>
      </c>
      <c r="S3015" t="s">
        <v>35</v>
      </c>
      <c r="T3015" t="s">
        <v>35</v>
      </c>
      <c r="U3015" t="s">
        <v>35</v>
      </c>
      <c r="V3015" t="s">
        <v>645</v>
      </c>
      <c r="W3015" t="s">
        <v>113</v>
      </c>
    </row>
    <row r="3016" spans="1:23" hidden="1" x14ac:dyDescent="0.25">
      <c r="A3016" s="7" t="str">
        <f>IFERROR(VLOOKUP(H3016,'Contas Orç'!A:B,2,0),"N/A")</f>
        <v>PF-CONSULTORIA E ASSESSORIA</v>
      </c>
      <c r="B3016" s="7" t="str">
        <f t="shared" si="94"/>
        <v>330202001 - PF-CONSULTORIA E ASSESSORIA</v>
      </c>
      <c r="C3016" s="25">
        <f t="shared" si="95"/>
        <v>44621</v>
      </c>
      <c r="D3016" s="27">
        <f>IF(K3016="CREDITO",Q3016,Q3016*-1)</f>
        <v>399.61</v>
      </c>
      <c r="E3016" t="s">
        <v>894</v>
      </c>
      <c r="F3016" t="s">
        <v>3511</v>
      </c>
      <c r="G3016" s="8">
        <v>44621</v>
      </c>
      <c r="H3016" t="s">
        <v>156</v>
      </c>
      <c r="I3016" t="s">
        <v>75</v>
      </c>
      <c r="J3016" t="s">
        <v>54</v>
      </c>
      <c r="K3016" t="s">
        <v>29</v>
      </c>
      <c r="L3016" t="s">
        <v>895</v>
      </c>
      <c r="M3016" t="s">
        <v>4402</v>
      </c>
      <c r="O3016" t="s">
        <v>896</v>
      </c>
      <c r="P3016" t="s">
        <v>33</v>
      </c>
      <c r="Q3016">
        <v>399.61</v>
      </c>
      <c r="R3016" t="s">
        <v>35</v>
      </c>
      <c r="S3016" t="s">
        <v>35</v>
      </c>
      <c r="T3016" t="s">
        <v>35</v>
      </c>
      <c r="U3016" t="s">
        <v>35</v>
      </c>
      <c r="V3016" t="s">
        <v>645</v>
      </c>
      <c r="W3016" t="s">
        <v>113</v>
      </c>
    </row>
    <row r="3017" spans="1:23" hidden="1" x14ac:dyDescent="0.25">
      <c r="A3017" s="7" t="str">
        <f>IFERROR(VLOOKUP(H3017,'Contas Orç'!A:B,2,0),"N/A")</f>
        <v>PF-CONSULTORIA E ASSESSORIA</v>
      </c>
      <c r="B3017" s="7" t="str">
        <f t="shared" si="94"/>
        <v>330202001 - PF-CONSULTORIA E ASSESSORIA</v>
      </c>
      <c r="C3017" s="25">
        <f t="shared" si="95"/>
        <v>44652</v>
      </c>
      <c r="D3017" s="27">
        <f>IF(K3017="CREDITO",Q3017,Q3017*-1)</f>
        <v>5000</v>
      </c>
      <c r="E3017" t="s">
        <v>894</v>
      </c>
      <c r="F3017" t="s">
        <v>3512</v>
      </c>
      <c r="G3017" s="8">
        <v>44652</v>
      </c>
      <c r="H3017" t="s">
        <v>156</v>
      </c>
      <c r="I3017" t="s">
        <v>53</v>
      </c>
      <c r="J3017" t="s">
        <v>60</v>
      </c>
      <c r="K3017" t="s">
        <v>29</v>
      </c>
      <c r="L3017" t="s">
        <v>895</v>
      </c>
      <c r="M3017" t="s">
        <v>4402</v>
      </c>
      <c r="O3017" t="s">
        <v>896</v>
      </c>
      <c r="P3017" t="s">
        <v>33</v>
      </c>
      <c r="Q3017" s="22">
        <v>5000</v>
      </c>
      <c r="R3017" t="s">
        <v>35</v>
      </c>
      <c r="S3017" t="s">
        <v>35</v>
      </c>
      <c r="T3017" t="s">
        <v>35</v>
      </c>
      <c r="U3017" t="s">
        <v>35</v>
      </c>
      <c r="V3017" t="s">
        <v>645</v>
      </c>
      <c r="W3017" t="s">
        <v>113</v>
      </c>
    </row>
    <row r="3018" spans="1:23" hidden="1" x14ac:dyDescent="0.25">
      <c r="A3018" s="7" t="str">
        <f>IFERROR(VLOOKUP(H3018,'Contas Orç'!A:B,2,0),"N/A")</f>
        <v>PF-CONSULTORIA E ASSESSORIA</v>
      </c>
      <c r="B3018" s="7" t="str">
        <f t="shared" si="94"/>
        <v>330202001 - PF-CONSULTORIA E ASSESSORIA</v>
      </c>
      <c r="C3018" s="25">
        <f t="shared" si="95"/>
        <v>44652</v>
      </c>
      <c r="D3018" s="27">
        <f>IF(K3018="CREDITO",Q3018,Q3018*-1)</f>
        <v>1396</v>
      </c>
      <c r="E3018" t="s">
        <v>894</v>
      </c>
      <c r="F3018" t="s">
        <v>3513</v>
      </c>
      <c r="G3018" s="8">
        <v>44652</v>
      </c>
      <c r="H3018" t="s">
        <v>156</v>
      </c>
      <c r="I3018" t="s">
        <v>125</v>
      </c>
      <c r="J3018" t="s">
        <v>95</v>
      </c>
      <c r="K3018" t="s">
        <v>29</v>
      </c>
      <c r="L3018" t="s">
        <v>895</v>
      </c>
      <c r="M3018" t="s">
        <v>4402</v>
      </c>
      <c r="O3018" t="s">
        <v>896</v>
      </c>
      <c r="P3018" t="s">
        <v>33</v>
      </c>
      <c r="Q3018" s="22">
        <v>1396</v>
      </c>
      <c r="R3018" t="s">
        <v>35</v>
      </c>
      <c r="S3018" t="s">
        <v>35</v>
      </c>
      <c r="T3018" t="s">
        <v>35</v>
      </c>
      <c r="U3018" t="s">
        <v>35</v>
      </c>
      <c r="V3018" t="s">
        <v>645</v>
      </c>
      <c r="W3018" t="s">
        <v>113</v>
      </c>
    </row>
    <row r="3019" spans="1:23" hidden="1" x14ac:dyDescent="0.25">
      <c r="A3019" s="7" t="str">
        <f>IFERROR(VLOOKUP(H3019,'Contas Orç'!A:B,2,0),"N/A")</f>
        <v>PF-CONSULTORIA E ASSESSORIA</v>
      </c>
      <c r="B3019" s="7" t="str">
        <f t="shared" si="94"/>
        <v>330202001 - PF-CONSULTORIA E ASSESSORIA</v>
      </c>
      <c r="C3019" s="25">
        <f t="shared" si="95"/>
        <v>44652</v>
      </c>
      <c r="D3019" s="27">
        <f>IF(K3019="CREDITO",Q3019,Q3019*-1)</f>
        <v>126857.62</v>
      </c>
      <c r="E3019" t="s">
        <v>894</v>
      </c>
      <c r="F3019" t="s">
        <v>3514</v>
      </c>
      <c r="G3019" s="8">
        <v>44652</v>
      </c>
      <c r="H3019" t="s">
        <v>156</v>
      </c>
      <c r="I3019" t="s">
        <v>40</v>
      </c>
      <c r="J3019" t="s">
        <v>54</v>
      </c>
      <c r="K3019" t="s">
        <v>29</v>
      </c>
      <c r="L3019" t="s">
        <v>895</v>
      </c>
      <c r="M3019" t="s">
        <v>4402</v>
      </c>
      <c r="O3019" t="s">
        <v>896</v>
      </c>
      <c r="P3019" t="s">
        <v>33</v>
      </c>
      <c r="Q3019" s="22">
        <v>126857.62</v>
      </c>
      <c r="R3019" t="s">
        <v>35</v>
      </c>
      <c r="S3019" t="s">
        <v>35</v>
      </c>
      <c r="T3019" t="s">
        <v>35</v>
      </c>
      <c r="U3019" t="s">
        <v>35</v>
      </c>
      <c r="V3019" t="s">
        <v>645</v>
      </c>
      <c r="W3019" t="s">
        <v>113</v>
      </c>
    </row>
    <row r="3020" spans="1:23" hidden="1" x14ac:dyDescent="0.25">
      <c r="A3020" s="7" t="str">
        <f>IFERROR(VLOOKUP(H3020,'Contas Orç'!A:B,2,0),"N/A")</f>
        <v>PF-CONSULTORIA E ASSESSORIA</v>
      </c>
      <c r="B3020" s="7" t="str">
        <f t="shared" si="94"/>
        <v>330202001 - PF-CONSULTORIA E ASSESSORIA</v>
      </c>
      <c r="C3020" s="25">
        <f t="shared" si="95"/>
        <v>44652</v>
      </c>
      <c r="D3020" s="27">
        <f>IF(K3020="CREDITO",Q3020,Q3020*-1)</f>
        <v>399.61</v>
      </c>
      <c r="E3020" t="s">
        <v>894</v>
      </c>
      <c r="F3020" t="s">
        <v>3515</v>
      </c>
      <c r="G3020" s="8">
        <v>44652</v>
      </c>
      <c r="H3020" t="s">
        <v>156</v>
      </c>
      <c r="I3020" t="s">
        <v>75</v>
      </c>
      <c r="J3020" t="s">
        <v>54</v>
      </c>
      <c r="K3020" t="s">
        <v>29</v>
      </c>
      <c r="L3020" t="s">
        <v>895</v>
      </c>
      <c r="M3020" t="s">
        <v>4402</v>
      </c>
      <c r="O3020" t="s">
        <v>896</v>
      </c>
      <c r="P3020" t="s">
        <v>33</v>
      </c>
      <c r="Q3020">
        <v>399.61</v>
      </c>
      <c r="R3020" t="s">
        <v>35</v>
      </c>
      <c r="S3020" t="s">
        <v>35</v>
      </c>
      <c r="T3020" t="s">
        <v>35</v>
      </c>
      <c r="U3020" t="s">
        <v>35</v>
      </c>
      <c r="V3020" t="s">
        <v>645</v>
      </c>
      <c r="W3020" t="s">
        <v>113</v>
      </c>
    </row>
    <row r="3021" spans="1:23" hidden="1" x14ac:dyDescent="0.25">
      <c r="A3021" s="7" t="str">
        <f>IFERROR(VLOOKUP(H3021,'Contas Orç'!A:B,2,0),"N/A")</f>
        <v>PF-CONSULTORIA E ASSESSORIA</v>
      </c>
      <c r="B3021" s="7" t="str">
        <f t="shared" si="94"/>
        <v>330202001 - PF-CONSULTORIA E ASSESSORIA</v>
      </c>
      <c r="C3021" s="25">
        <f t="shared" si="95"/>
        <v>44682</v>
      </c>
      <c r="D3021" s="27">
        <f>IF(K3021="CREDITO",Q3021,Q3021*-1)</f>
        <v>1396</v>
      </c>
      <c r="E3021" t="s">
        <v>894</v>
      </c>
      <c r="F3021" t="s">
        <v>3516</v>
      </c>
      <c r="G3021" s="8">
        <v>44682</v>
      </c>
      <c r="H3021" t="s">
        <v>156</v>
      </c>
      <c r="I3021" t="s">
        <v>125</v>
      </c>
      <c r="J3021" t="s">
        <v>95</v>
      </c>
      <c r="K3021" t="s">
        <v>29</v>
      </c>
      <c r="L3021" t="s">
        <v>895</v>
      </c>
      <c r="M3021" t="s">
        <v>4402</v>
      </c>
      <c r="O3021" t="s">
        <v>896</v>
      </c>
      <c r="P3021" t="s">
        <v>33</v>
      </c>
      <c r="Q3021" s="22">
        <v>1396</v>
      </c>
      <c r="R3021" t="s">
        <v>35</v>
      </c>
      <c r="S3021" t="s">
        <v>35</v>
      </c>
      <c r="T3021" t="s">
        <v>35</v>
      </c>
      <c r="U3021" t="s">
        <v>35</v>
      </c>
      <c r="V3021" t="s">
        <v>645</v>
      </c>
      <c r="W3021" t="s">
        <v>113</v>
      </c>
    </row>
    <row r="3022" spans="1:23" hidden="1" x14ac:dyDescent="0.25">
      <c r="A3022" s="7" t="str">
        <f>IFERROR(VLOOKUP(H3022,'Contas Orç'!A:B,2,0),"N/A")</f>
        <v>PF-CONSULTORIA E ASSESSORIA</v>
      </c>
      <c r="B3022" s="7" t="str">
        <f t="shared" si="94"/>
        <v>330202001 - PF-CONSULTORIA E ASSESSORIA</v>
      </c>
      <c r="C3022" s="25">
        <f t="shared" si="95"/>
        <v>44682</v>
      </c>
      <c r="D3022" s="27">
        <f>IF(K3022="CREDITO",Q3022,Q3022*-1)</f>
        <v>323308.59999999998</v>
      </c>
      <c r="E3022" t="s">
        <v>894</v>
      </c>
      <c r="F3022" t="s">
        <v>3517</v>
      </c>
      <c r="G3022" s="8">
        <v>44682</v>
      </c>
      <c r="H3022" t="s">
        <v>156</v>
      </c>
      <c r="I3022" t="s">
        <v>40</v>
      </c>
      <c r="J3022" t="s">
        <v>54</v>
      </c>
      <c r="K3022" t="s">
        <v>29</v>
      </c>
      <c r="L3022" t="s">
        <v>895</v>
      </c>
      <c r="M3022" t="s">
        <v>4402</v>
      </c>
      <c r="O3022" t="s">
        <v>896</v>
      </c>
      <c r="P3022" t="s">
        <v>33</v>
      </c>
      <c r="Q3022" s="22">
        <v>323308.59999999998</v>
      </c>
      <c r="R3022" t="s">
        <v>35</v>
      </c>
      <c r="S3022" t="s">
        <v>35</v>
      </c>
      <c r="T3022" t="s">
        <v>35</v>
      </c>
      <c r="U3022" t="s">
        <v>35</v>
      </c>
      <c r="V3022" t="s">
        <v>645</v>
      </c>
      <c r="W3022" t="s">
        <v>113</v>
      </c>
    </row>
    <row r="3023" spans="1:23" hidden="1" x14ac:dyDescent="0.25">
      <c r="A3023" s="7" t="str">
        <f>IFERROR(VLOOKUP(H3023,'Contas Orç'!A:B,2,0),"N/A")</f>
        <v>PF-CONSULTORIA E ASSESSORIA</v>
      </c>
      <c r="B3023" s="7" t="str">
        <f t="shared" si="94"/>
        <v>330202001 - PF-CONSULTORIA E ASSESSORIA</v>
      </c>
      <c r="C3023" s="25">
        <f t="shared" si="95"/>
        <v>44682</v>
      </c>
      <c r="D3023" s="27">
        <f>IF(K3023="CREDITO",Q3023,Q3023*-1)</f>
        <v>399.61</v>
      </c>
      <c r="E3023" t="s">
        <v>894</v>
      </c>
      <c r="F3023" t="s">
        <v>3518</v>
      </c>
      <c r="G3023" s="8">
        <v>44682</v>
      </c>
      <c r="H3023" t="s">
        <v>156</v>
      </c>
      <c r="I3023" t="s">
        <v>75</v>
      </c>
      <c r="J3023" t="s">
        <v>54</v>
      </c>
      <c r="K3023" t="s">
        <v>29</v>
      </c>
      <c r="L3023" t="s">
        <v>895</v>
      </c>
      <c r="M3023" t="s">
        <v>4402</v>
      </c>
      <c r="O3023" t="s">
        <v>896</v>
      </c>
      <c r="P3023" t="s">
        <v>33</v>
      </c>
      <c r="Q3023">
        <v>399.61</v>
      </c>
      <c r="R3023" t="s">
        <v>35</v>
      </c>
      <c r="S3023" t="s">
        <v>35</v>
      </c>
      <c r="T3023" t="s">
        <v>35</v>
      </c>
      <c r="U3023" t="s">
        <v>35</v>
      </c>
      <c r="V3023" t="s">
        <v>645</v>
      </c>
      <c r="W3023" t="s">
        <v>113</v>
      </c>
    </row>
    <row r="3024" spans="1:23" hidden="1" x14ac:dyDescent="0.25">
      <c r="A3024" s="7" t="str">
        <f>IFERROR(VLOOKUP(H3024,'Contas Orç'!A:B,2,0),"N/A")</f>
        <v>PF-CONSULTORIA E ASSESSORIA</v>
      </c>
      <c r="B3024" s="7" t="str">
        <f t="shared" si="94"/>
        <v>330202001 - PF-CONSULTORIA E ASSESSORIA</v>
      </c>
      <c r="C3024" s="25">
        <f t="shared" si="95"/>
        <v>44682</v>
      </c>
      <c r="D3024" s="27">
        <f>IF(K3024="CREDITO",Q3024,Q3024*-1)</f>
        <v>5000</v>
      </c>
      <c r="E3024" t="s">
        <v>894</v>
      </c>
      <c r="F3024" t="s">
        <v>3519</v>
      </c>
      <c r="G3024" s="8">
        <v>44682</v>
      </c>
      <c r="H3024" t="s">
        <v>156</v>
      </c>
      <c r="I3024" t="s">
        <v>53</v>
      </c>
      <c r="J3024" t="s">
        <v>54</v>
      </c>
      <c r="K3024" t="s">
        <v>29</v>
      </c>
      <c r="L3024" t="s">
        <v>895</v>
      </c>
      <c r="M3024" t="s">
        <v>4402</v>
      </c>
      <c r="O3024" t="s">
        <v>896</v>
      </c>
      <c r="P3024" t="s">
        <v>33</v>
      </c>
      <c r="Q3024" s="22">
        <v>5000</v>
      </c>
      <c r="R3024" t="s">
        <v>35</v>
      </c>
      <c r="S3024" t="s">
        <v>35</v>
      </c>
      <c r="T3024" t="s">
        <v>35</v>
      </c>
      <c r="U3024" t="s">
        <v>35</v>
      </c>
      <c r="V3024" t="s">
        <v>645</v>
      </c>
      <c r="W3024" t="s">
        <v>113</v>
      </c>
    </row>
    <row r="3025" spans="1:23" hidden="1" x14ac:dyDescent="0.25">
      <c r="A3025" s="7" t="str">
        <f>IFERROR(VLOOKUP(H3025,'Contas Orç'!A:B,2,0),"N/A")</f>
        <v>PF-CONSULTORIA E ASSESSORIA</v>
      </c>
      <c r="B3025" s="7" t="str">
        <f t="shared" si="94"/>
        <v>330202001 - PF-CONSULTORIA E ASSESSORIA</v>
      </c>
      <c r="C3025" s="25">
        <f t="shared" si="95"/>
        <v>44713</v>
      </c>
      <c r="D3025" s="27">
        <f>IF(K3025="CREDITO",Q3025,Q3025*-1)</f>
        <v>5000</v>
      </c>
      <c r="E3025" t="s">
        <v>894</v>
      </c>
      <c r="F3025" t="s">
        <v>3520</v>
      </c>
      <c r="G3025" s="8">
        <v>44713</v>
      </c>
      <c r="H3025" t="s">
        <v>156</v>
      </c>
      <c r="I3025" t="s">
        <v>53</v>
      </c>
      <c r="J3025" t="s">
        <v>60</v>
      </c>
      <c r="K3025" t="s">
        <v>29</v>
      </c>
      <c r="L3025" t="s">
        <v>895</v>
      </c>
      <c r="M3025" t="s">
        <v>4402</v>
      </c>
      <c r="O3025" t="s">
        <v>896</v>
      </c>
      <c r="P3025" t="s">
        <v>33</v>
      </c>
      <c r="Q3025" s="22">
        <v>5000</v>
      </c>
      <c r="R3025" t="s">
        <v>35</v>
      </c>
      <c r="S3025" t="s">
        <v>35</v>
      </c>
      <c r="T3025" t="s">
        <v>35</v>
      </c>
      <c r="U3025" t="s">
        <v>35</v>
      </c>
      <c r="V3025" t="s">
        <v>645</v>
      </c>
      <c r="W3025" t="s">
        <v>113</v>
      </c>
    </row>
    <row r="3026" spans="1:23" hidden="1" x14ac:dyDescent="0.25">
      <c r="A3026" s="7" t="str">
        <f>IFERROR(VLOOKUP(H3026,'Contas Orç'!A:B,2,0),"N/A")</f>
        <v>PF-CONSULTORIA E ASSESSORIA</v>
      </c>
      <c r="B3026" s="7" t="str">
        <f t="shared" si="94"/>
        <v>330202001 - PF-CONSULTORIA E ASSESSORIA</v>
      </c>
      <c r="C3026" s="25">
        <f t="shared" si="95"/>
        <v>44713</v>
      </c>
      <c r="D3026" s="27">
        <f>IF(K3026="CREDITO",Q3026,Q3026*-1)</f>
        <v>1396</v>
      </c>
      <c r="E3026" t="s">
        <v>894</v>
      </c>
      <c r="F3026" t="s">
        <v>3521</v>
      </c>
      <c r="G3026" s="8">
        <v>44713</v>
      </c>
      <c r="H3026" t="s">
        <v>156</v>
      </c>
      <c r="I3026" t="s">
        <v>125</v>
      </c>
      <c r="J3026" t="s">
        <v>95</v>
      </c>
      <c r="K3026" t="s">
        <v>29</v>
      </c>
      <c r="L3026" t="s">
        <v>895</v>
      </c>
      <c r="M3026" t="s">
        <v>4402</v>
      </c>
      <c r="O3026" t="s">
        <v>896</v>
      </c>
      <c r="P3026" t="s">
        <v>33</v>
      </c>
      <c r="Q3026" s="22">
        <v>1396</v>
      </c>
      <c r="R3026" t="s">
        <v>35</v>
      </c>
      <c r="S3026" t="s">
        <v>35</v>
      </c>
      <c r="T3026" t="s">
        <v>35</v>
      </c>
      <c r="U3026" t="s">
        <v>35</v>
      </c>
      <c r="V3026" t="s">
        <v>645</v>
      </c>
      <c r="W3026" t="s">
        <v>113</v>
      </c>
    </row>
    <row r="3027" spans="1:23" hidden="1" x14ac:dyDescent="0.25">
      <c r="A3027" s="7" t="str">
        <f>IFERROR(VLOOKUP(H3027,'Contas Orç'!A:B,2,0),"N/A")</f>
        <v>PF-CONSULTORIA E ASSESSORIA</v>
      </c>
      <c r="B3027" s="7" t="str">
        <f t="shared" si="94"/>
        <v>330202001 - PF-CONSULTORIA E ASSESSORIA</v>
      </c>
      <c r="C3027" s="25">
        <f t="shared" si="95"/>
        <v>44713</v>
      </c>
      <c r="D3027" s="27">
        <f>IF(K3027="CREDITO",Q3027,Q3027*-1)</f>
        <v>158152.64000000001</v>
      </c>
      <c r="E3027" t="s">
        <v>894</v>
      </c>
      <c r="F3027" t="s">
        <v>3522</v>
      </c>
      <c r="G3027" s="8">
        <v>44713</v>
      </c>
      <c r="H3027" t="s">
        <v>156</v>
      </c>
      <c r="I3027" t="s">
        <v>40</v>
      </c>
      <c r="J3027" t="s">
        <v>54</v>
      </c>
      <c r="K3027" t="s">
        <v>29</v>
      </c>
      <c r="L3027" t="s">
        <v>895</v>
      </c>
      <c r="M3027" t="s">
        <v>4402</v>
      </c>
      <c r="O3027" t="s">
        <v>896</v>
      </c>
      <c r="P3027" t="s">
        <v>33</v>
      </c>
      <c r="Q3027" s="22">
        <v>158152.64000000001</v>
      </c>
      <c r="R3027" t="s">
        <v>35</v>
      </c>
      <c r="S3027" t="s">
        <v>35</v>
      </c>
      <c r="T3027" t="s">
        <v>35</v>
      </c>
      <c r="U3027" t="s">
        <v>35</v>
      </c>
      <c r="V3027" t="s">
        <v>645</v>
      </c>
      <c r="W3027" t="s">
        <v>113</v>
      </c>
    </row>
    <row r="3028" spans="1:23" hidden="1" x14ac:dyDescent="0.25">
      <c r="A3028" s="7" t="str">
        <f>IFERROR(VLOOKUP(H3028,'Contas Orç'!A:B,2,0),"N/A")</f>
        <v>PF-CONSULTORIA E ASSESSORIA</v>
      </c>
      <c r="B3028" s="7" t="str">
        <f t="shared" si="94"/>
        <v>330202001 - PF-CONSULTORIA E ASSESSORIA</v>
      </c>
      <c r="C3028" s="25">
        <f t="shared" si="95"/>
        <v>44713</v>
      </c>
      <c r="D3028" s="27">
        <f>IF(K3028="CREDITO",Q3028,Q3028*-1)</f>
        <v>399.61</v>
      </c>
      <c r="E3028" t="s">
        <v>894</v>
      </c>
      <c r="F3028" t="s">
        <v>3523</v>
      </c>
      <c r="G3028" s="8">
        <v>44713</v>
      </c>
      <c r="H3028" t="s">
        <v>156</v>
      </c>
      <c r="I3028" t="s">
        <v>75</v>
      </c>
      <c r="J3028" t="s">
        <v>54</v>
      </c>
      <c r="K3028" t="s">
        <v>29</v>
      </c>
      <c r="L3028" t="s">
        <v>895</v>
      </c>
      <c r="M3028" t="s">
        <v>4402</v>
      </c>
      <c r="O3028" t="s">
        <v>896</v>
      </c>
      <c r="P3028" t="s">
        <v>33</v>
      </c>
      <c r="Q3028">
        <v>399.61</v>
      </c>
      <c r="R3028" t="s">
        <v>35</v>
      </c>
      <c r="S3028" t="s">
        <v>35</v>
      </c>
      <c r="T3028" t="s">
        <v>35</v>
      </c>
      <c r="U3028" t="s">
        <v>35</v>
      </c>
      <c r="V3028" t="s">
        <v>645</v>
      </c>
      <c r="W3028" t="s">
        <v>113</v>
      </c>
    </row>
    <row r="3029" spans="1:23" hidden="1" x14ac:dyDescent="0.25">
      <c r="A3029" s="7" t="str">
        <f>IFERROR(VLOOKUP(H3029,'Contas Orç'!A:B,2,0),"N/A")</f>
        <v>PF-CONSULTORIA E ASSESSORIA</v>
      </c>
      <c r="B3029" s="7" t="str">
        <f t="shared" si="94"/>
        <v>330202001 - PF-CONSULTORIA E ASSESSORIA</v>
      </c>
      <c r="C3029" s="25">
        <f t="shared" si="95"/>
        <v>44743</v>
      </c>
      <c r="D3029" s="27">
        <f>IF(K3029="CREDITO",Q3029,Q3029*-1)</f>
        <v>5000</v>
      </c>
      <c r="E3029" t="s">
        <v>894</v>
      </c>
      <c r="F3029" t="s">
        <v>3524</v>
      </c>
      <c r="G3029" s="8">
        <v>44743</v>
      </c>
      <c r="H3029" t="s">
        <v>156</v>
      </c>
      <c r="I3029" t="s">
        <v>53</v>
      </c>
      <c r="J3029" t="s">
        <v>60</v>
      </c>
      <c r="K3029" t="s">
        <v>29</v>
      </c>
      <c r="L3029" t="s">
        <v>895</v>
      </c>
      <c r="M3029" t="s">
        <v>4402</v>
      </c>
      <c r="O3029" t="s">
        <v>896</v>
      </c>
      <c r="P3029" t="s">
        <v>33</v>
      </c>
      <c r="Q3029" s="22">
        <v>5000</v>
      </c>
      <c r="R3029" t="s">
        <v>35</v>
      </c>
      <c r="S3029" t="s">
        <v>35</v>
      </c>
      <c r="T3029" t="s">
        <v>35</v>
      </c>
      <c r="U3029" t="s">
        <v>35</v>
      </c>
      <c r="V3029" t="s">
        <v>645</v>
      </c>
      <c r="W3029" t="s">
        <v>113</v>
      </c>
    </row>
    <row r="3030" spans="1:23" hidden="1" x14ac:dyDescent="0.25">
      <c r="A3030" s="7" t="str">
        <f>IFERROR(VLOOKUP(H3030,'Contas Orç'!A:B,2,0),"N/A")</f>
        <v>PF-CONSULTORIA E ASSESSORIA</v>
      </c>
      <c r="B3030" s="7" t="str">
        <f t="shared" si="94"/>
        <v>330202001 - PF-CONSULTORIA E ASSESSORIA</v>
      </c>
      <c r="C3030" s="25">
        <f t="shared" si="95"/>
        <v>44743</v>
      </c>
      <c r="D3030" s="27">
        <f>IF(K3030="CREDITO",Q3030,Q3030*-1)</f>
        <v>1396</v>
      </c>
      <c r="E3030" t="s">
        <v>894</v>
      </c>
      <c r="F3030" t="s">
        <v>3525</v>
      </c>
      <c r="G3030" s="8">
        <v>44743</v>
      </c>
      <c r="H3030" t="s">
        <v>156</v>
      </c>
      <c r="I3030" t="s">
        <v>125</v>
      </c>
      <c r="J3030" t="s">
        <v>95</v>
      </c>
      <c r="K3030" t="s">
        <v>29</v>
      </c>
      <c r="L3030" t="s">
        <v>895</v>
      </c>
      <c r="M3030" t="s">
        <v>4402</v>
      </c>
      <c r="O3030" t="s">
        <v>896</v>
      </c>
      <c r="P3030" t="s">
        <v>33</v>
      </c>
      <c r="Q3030" s="22">
        <v>1396</v>
      </c>
      <c r="R3030" t="s">
        <v>35</v>
      </c>
      <c r="S3030" t="s">
        <v>35</v>
      </c>
      <c r="T3030" t="s">
        <v>35</v>
      </c>
      <c r="U3030" t="s">
        <v>35</v>
      </c>
      <c r="V3030" t="s">
        <v>645</v>
      </c>
      <c r="W3030" t="s">
        <v>113</v>
      </c>
    </row>
    <row r="3031" spans="1:23" hidden="1" x14ac:dyDescent="0.25">
      <c r="A3031" s="7" t="str">
        <f>IFERROR(VLOOKUP(H3031,'Contas Orç'!A:B,2,0),"N/A")</f>
        <v>PF-CONSULTORIA E ASSESSORIA</v>
      </c>
      <c r="B3031" s="7" t="str">
        <f t="shared" si="94"/>
        <v>330202001 - PF-CONSULTORIA E ASSESSORIA</v>
      </c>
      <c r="C3031" s="25">
        <f t="shared" si="95"/>
        <v>44743</v>
      </c>
      <c r="D3031" s="27">
        <f>IF(K3031="CREDITO",Q3031,Q3031*-1)</f>
        <v>148005.4</v>
      </c>
      <c r="E3031" t="s">
        <v>894</v>
      </c>
      <c r="F3031" t="s">
        <v>3526</v>
      </c>
      <c r="G3031" s="8">
        <v>44743</v>
      </c>
      <c r="H3031" t="s">
        <v>156</v>
      </c>
      <c r="I3031" t="s">
        <v>40</v>
      </c>
      <c r="J3031" t="s">
        <v>54</v>
      </c>
      <c r="K3031" t="s">
        <v>29</v>
      </c>
      <c r="L3031" t="s">
        <v>895</v>
      </c>
      <c r="M3031" t="s">
        <v>4402</v>
      </c>
      <c r="O3031" t="s">
        <v>896</v>
      </c>
      <c r="P3031" t="s">
        <v>33</v>
      </c>
      <c r="Q3031" s="22">
        <v>148005.4</v>
      </c>
      <c r="R3031" t="s">
        <v>35</v>
      </c>
      <c r="S3031" t="s">
        <v>35</v>
      </c>
      <c r="T3031" t="s">
        <v>35</v>
      </c>
      <c r="U3031" t="s">
        <v>35</v>
      </c>
      <c r="V3031" t="s">
        <v>645</v>
      </c>
      <c r="W3031" t="s">
        <v>113</v>
      </c>
    </row>
    <row r="3032" spans="1:23" hidden="1" x14ac:dyDescent="0.25">
      <c r="A3032" s="7" t="str">
        <f>IFERROR(VLOOKUP(H3032,'Contas Orç'!A:B,2,0),"N/A")</f>
        <v>PF-CONSULTORIA E ASSESSORIA</v>
      </c>
      <c r="B3032" s="7" t="str">
        <f t="shared" si="94"/>
        <v>330202001 - PF-CONSULTORIA E ASSESSORIA</v>
      </c>
      <c r="C3032" s="25">
        <f t="shared" si="95"/>
        <v>44743</v>
      </c>
      <c r="D3032" s="27">
        <f>IF(K3032="CREDITO",Q3032,Q3032*-1)</f>
        <v>399.61</v>
      </c>
      <c r="E3032" t="s">
        <v>894</v>
      </c>
      <c r="F3032" t="s">
        <v>3527</v>
      </c>
      <c r="G3032" s="8">
        <v>44743</v>
      </c>
      <c r="H3032" t="s">
        <v>156</v>
      </c>
      <c r="I3032" t="s">
        <v>75</v>
      </c>
      <c r="J3032" t="s">
        <v>54</v>
      </c>
      <c r="K3032" t="s">
        <v>29</v>
      </c>
      <c r="L3032" t="s">
        <v>895</v>
      </c>
      <c r="M3032" t="s">
        <v>4402</v>
      </c>
      <c r="O3032" t="s">
        <v>896</v>
      </c>
      <c r="P3032" t="s">
        <v>33</v>
      </c>
      <c r="Q3032">
        <v>399.61</v>
      </c>
      <c r="R3032" t="s">
        <v>35</v>
      </c>
      <c r="S3032" t="s">
        <v>35</v>
      </c>
      <c r="T3032" t="s">
        <v>35</v>
      </c>
      <c r="U3032" t="s">
        <v>35</v>
      </c>
      <c r="V3032" t="s">
        <v>645</v>
      </c>
      <c r="W3032" t="s">
        <v>113</v>
      </c>
    </row>
    <row r="3033" spans="1:23" hidden="1" x14ac:dyDescent="0.25">
      <c r="A3033" s="7" t="str">
        <f>IFERROR(VLOOKUP(H3033,'Contas Orç'!A:B,2,0),"N/A")</f>
        <v>PF-CONSULTORIA E ASSESSORIA</v>
      </c>
      <c r="B3033" s="7" t="str">
        <f t="shared" si="94"/>
        <v>330202001 - PF-CONSULTORIA E ASSESSORIA</v>
      </c>
      <c r="C3033" s="25">
        <f t="shared" si="95"/>
        <v>44774</v>
      </c>
      <c r="D3033" s="27">
        <f>IF(K3033="CREDITO",Q3033,Q3033*-1)</f>
        <v>5000</v>
      </c>
      <c r="E3033" t="s">
        <v>894</v>
      </c>
      <c r="F3033" t="s">
        <v>3528</v>
      </c>
      <c r="G3033" s="8">
        <v>44774</v>
      </c>
      <c r="H3033" t="s">
        <v>156</v>
      </c>
      <c r="I3033" t="s">
        <v>53</v>
      </c>
      <c r="J3033" t="s">
        <v>60</v>
      </c>
      <c r="K3033" t="s">
        <v>29</v>
      </c>
      <c r="L3033" t="s">
        <v>895</v>
      </c>
      <c r="M3033" t="s">
        <v>4402</v>
      </c>
      <c r="O3033" t="s">
        <v>896</v>
      </c>
      <c r="P3033" t="s">
        <v>33</v>
      </c>
      <c r="Q3033" s="22">
        <v>5000</v>
      </c>
      <c r="R3033" t="s">
        <v>35</v>
      </c>
      <c r="S3033" t="s">
        <v>35</v>
      </c>
      <c r="T3033" t="s">
        <v>35</v>
      </c>
      <c r="U3033" t="s">
        <v>35</v>
      </c>
      <c r="V3033" t="s">
        <v>645</v>
      </c>
      <c r="W3033" t="s">
        <v>113</v>
      </c>
    </row>
    <row r="3034" spans="1:23" hidden="1" x14ac:dyDescent="0.25">
      <c r="A3034" s="7" t="str">
        <f>IFERROR(VLOOKUP(H3034,'Contas Orç'!A:B,2,0),"N/A")</f>
        <v>PF-CONSULTORIA E ASSESSORIA</v>
      </c>
      <c r="B3034" s="7" t="str">
        <f t="shared" si="94"/>
        <v>330202001 - PF-CONSULTORIA E ASSESSORIA</v>
      </c>
      <c r="C3034" s="25">
        <f t="shared" si="95"/>
        <v>44774</v>
      </c>
      <c r="D3034" s="27">
        <f>IF(K3034="CREDITO",Q3034,Q3034*-1)</f>
        <v>1396</v>
      </c>
      <c r="E3034" t="s">
        <v>894</v>
      </c>
      <c r="F3034" t="s">
        <v>3529</v>
      </c>
      <c r="G3034" s="8">
        <v>44774</v>
      </c>
      <c r="H3034" t="s">
        <v>156</v>
      </c>
      <c r="I3034" t="s">
        <v>125</v>
      </c>
      <c r="J3034" t="s">
        <v>95</v>
      </c>
      <c r="K3034" t="s">
        <v>29</v>
      </c>
      <c r="L3034" t="s">
        <v>895</v>
      </c>
      <c r="M3034" t="s">
        <v>4402</v>
      </c>
      <c r="O3034" t="s">
        <v>896</v>
      </c>
      <c r="P3034" t="s">
        <v>33</v>
      </c>
      <c r="Q3034" s="22">
        <v>1396</v>
      </c>
      <c r="R3034" t="s">
        <v>35</v>
      </c>
      <c r="S3034" t="s">
        <v>35</v>
      </c>
      <c r="T3034" t="s">
        <v>35</v>
      </c>
      <c r="U3034" t="s">
        <v>35</v>
      </c>
      <c r="V3034" t="s">
        <v>645</v>
      </c>
      <c r="W3034" t="s">
        <v>113</v>
      </c>
    </row>
    <row r="3035" spans="1:23" hidden="1" x14ac:dyDescent="0.25">
      <c r="A3035" s="7" t="str">
        <f>IFERROR(VLOOKUP(H3035,'Contas Orç'!A:B,2,0),"N/A")</f>
        <v>PF-CONSULTORIA E ASSESSORIA</v>
      </c>
      <c r="B3035" s="7" t="str">
        <f t="shared" si="94"/>
        <v>330202001 - PF-CONSULTORIA E ASSESSORIA</v>
      </c>
      <c r="C3035" s="25">
        <f t="shared" si="95"/>
        <v>44774</v>
      </c>
      <c r="D3035" s="27">
        <f>IF(K3035="CREDITO",Q3035,Q3035*-1)</f>
        <v>268764.18</v>
      </c>
      <c r="E3035" t="s">
        <v>894</v>
      </c>
      <c r="F3035" t="s">
        <v>3530</v>
      </c>
      <c r="G3035" s="8">
        <v>44774</v>
      </c>
      <c r="H3035" t="s">
        <v>156</v>
      </c>
      <c r="I3035" t="s">
        <v>40</v>
      </c>
      <c r="J3035" t="s">
        <v>54</v>
      </c>
      <c r="K3035" t="s">
        <v>29</v>
      </c>
      <c r="L3035" t="s">
        <v>895</v>
      </c>
      <c r="M3035" t="s">
        <v>4402</v>
      </c>
      <c r="O3035" t="s">
        <v>896</v>
      </c>
      <c r="P3035" t="s">
        <v>33</v>
      </c>
      <c r="Q3035" s="22">
        <v>268764.18</v>
      </c>
      <c r="R3035" t="s">
        <v>35</v>
      </c>
      <c r="S3035" t="s">
        <v>35</v>
      </c>
      <c r="T3035" t="s">
        <v>35</v>
      </c>
      <c r="U3035" t="s">
        <v>35</v>
      </c>
      <c r="V3035" t="s">
        <v>645</v>
      </c>
      <c r="W3035" t="s">
        <v>113</v>
      </c>
    </row>
    <row r="3036" spans="1:23" hidden="1" x14ac:dyDescent="0.25">
      <c r="A3036" s="7" t="str">
        <f>IFERROR(VLOOKUP(H3036,'Contas Orç'!A:B,2,0),"N/A")</f>
        <v>PF-CONSULTORIA E ASSESSORIA</v>
      </c>
      <c r="B3036" s="7" t="str">
        <f t="shared" si="94"/>
        <v>330202001 - PF-CONSULTORIA E ASSESSORIA</v>
      </c>
      <c r="C3036" s="25">
        <f t="shared" si="95"/>
        <v>44774</v>
      </c>
      <c r="D3036" s="27">
        <f>IF(K3036="CREDITO",Q3036,Q3036*-1)</f>
        <v>399.61</v>
      </c>
      <c r="E3036" t="s">
        <v>894</v>
      </c>
      <c r="F3036" t="s">
        <v>3531</v>
      </c>
      <c r="G3036" s="8">
        <v>44774</v>
      </c>
      <c r="H3036" t="s">
        <v>156</v>
      </c>
      <c r="I3036" t="s">
        <v>75</v>
      </c>
      <c r="J3036" t="s">
        <v>54</v>
      </c>
      <c r="K3036" t="s">
        <v>29</v>
      </c>
      <c r="L3036" t="s">
        <v>895</v>
      </c>
      <c r="M3036" t="s">
        <v>4402</v>
      </c>
      <c r="O3036" t="s">
        <v>896</v>
      </c>
      <c r="P3036" t="s">
        <v>33</v>
      </c>
      <c r="Q3036">
        <v>399.61</v>
      </c>
      <c r="R3036" t="s">
        <v>35</v>
      </c>
      <c r="S3036" t="s">
        <v>35</v>
      </c>
      <c r="T3036" t="s">
        <v>35</v>
      </c>
      <c r="U3036" t="s">
        <v>35</v>
      </c>
      <c r="V3036" t="s">
        <v>645</v>
      </c>
      <c r="W3036" t="s">
        <v>113</v>
      </c>
    </row>
    <row r="3037" spans="1:23" hidden="1" x14ac:dyDescent="0.25">
      <c r="A3037" s="7" t="str">
        <f>IFERROR(VLOOKUP(H3037,'Contas Orç'!A:B,2,0),"N/A")</f>
        <v>PF-CONSULTORIA E ASSESSORIA</v>
      </c>
      <c r="B3037" s="7" t="str">
        <f t="shared" si="94"/>
        <v>330202001 - PF-CONSULTORIA E ASSESSORIA</v>
      </c>
      <c r="C3037" s="25">
        <f t="shared" si="95"/>
        <v>44805</v>
      </c>
      <c r="D3037" s="27">
        <f>IF(K3037="CREDITO",Q3037,Q3037*-1)</f>
        <v>1515.92</v>
      </c>
      <c r="E3037" t="s">
        <v>894</v>
      </c>
      <c r="F3037" t="s">
        <v>3532</v>
      </c>
      <c r="G3037" s="8">
        <v>44805</v>
      </c>
      <c r="H3037" t="s">
        <v>156</v>
      </c>
      <c r="I3037" t="s">
        <v>125</v>
      </c>
      <c r="J3037" t="s">
        <v>95</v>
      </c>
      <c r="K3037" t="s">
        <v>29</v>
      </c>
      <c r="L3037" t="s">
        <v>895</v>
      </c>
      <c r="M3037" t="s">
        <v>4402</v>
      </c>
      <c r="O3037" t="s">
        <v>896</v>
      </c>
      <c r="P3037" t="s">
        <v>33</v>
      </c>
      <c r="Q3037" s="22">
        <v>1515.92</v>
      </c>
      <c r="R3037" t="s">
        <v>35</v>
      </c>
      <c r="S3037" t="s">
        <v>35</v>
      </c>
      <c r="T3037" t="s">
        <v>35</v>
      </c>
      <c r="U3037" t="s">
        <v>35</v>
      </c>
      <c r="V3037" t="s">
        <v>645</v>
      </c>
      <c r="W3037" t="s">
        <v>113</v>
      </c>
    </row>
    <row r="3038" spans="1:23" hidden="1" x14ac:dyDescent="0.25">
      <c r="A3038" s="7" t="str">
        <f>IFERROR(VLOOKUP(H3038,'Contas Orç'!A:B,2,0),"N/A")</f>
        <v>PF-CONSULTORIA E ASSESSORIA</v>
      </c>
      <c r="B3038" s="7" t="str">
        <f t="shared" si="94"/>
        <v>330202001 - PF-CONSULTORIA E ASSESSORIA</v>
      </c>
      <c r="C3038" s="25">
        <f t="shared" si="95"/>
        <v>44805</v>
      </c>
      <c r="D3038" s="27">
        <f>IF(K3038="CREDITO",Q3038,Q3038*-1)</f>
        <v>117695.95</v>
      </c>
      <c r="E3038" t="s">
        <v>894</v>
      </c>
      <c r="F3038" t="s">
        <v>3533</v>
      </c>
      <c r="G3038" s="8">
        <v>44805</v>
      </c>
      <c r="H3038" t="s">
        <v>156</v>
      </c>
      <c r="I3038" t="s">
        <v>40</v>
      </c>
      <c r="J3038" t="s">
        <v>54</v>
      </c>
      <c r="K3038" t="s">
        <v>29</v>
      </c>
      <c r="L3038" t="s">
        <v>895</v>
      </c>
      <c r="M3038" t="s">
        <v>4402</v>
      </c>
      <c r="O3038" t="s">
        <v>896</v>
      </c>
      <c r="P3038" t="s">
        <v>33</v>
      </c>
      <c r="Q3038" s="22">
        <v>117695.95</v>
      </c>
      <c r="R3038" t="s">
        <v>35</v>
      </c>
      <c r="S3038" t="s">
        <v>35</v>
      </c>
      <c r="T3038" t="s">
        <v>35</v>
      </c>
      <c r="U3038" t="s">
        <v>35</v>
      </c>
      <c r="V3038" t="s">
        <v>645</v>
      </c>
      <c r="W3038" t="s">
        <v>113</v>
      </c>
    </row>
    <row r="3039" spans="1:23" hidden="1" x14ac:dyDescent="0.25">
      <c r="A3039" s="7" t="str">
        <f>IFERROR(VLOOKUP(H3039,'Contas Orç'!A:B,2,0),"N/A")</f>
        <v>PF-CONSULTORIA E ASSESSORIA</v>
      </c>
      <c r="B3039" s="7" t="str">
        <f t="shared" si="94"/>
        <v>330202001 - PF-CONSULTORIA E ASSESSORIA</v>
      </c>
      <c r="C3039" s="25">
        <f t="shared" si="95"/>
        <v>44805</v>
      </c>
      <c r="D3039" s="27">
        <f>IF(K3039="CREDITO",Q3039,Q3039*-1)</f>
        <v>399.61</v>
      </c>
      <c r="E3039" t="s">
        <v>894</v>
      </c>
      <c r="F3039" t="s">
        <v>3534</v>
      </c>
      <c r="G3039" s="8">
        <v>44805</v>
      </c>
      <c r="H3039" t="s">
        <v>156</v>
      </c>
      <c r="I3039" t="s">
        <v>75</v>
      </c>
      <c r="J3039" t="s">
        <v>54</v>
      </c>
      <c r="K3039" t="s">
        <v>29</v>
      </c>
      <c r="L3039" t="s">
        <v>895</v>
      </c>
      <c r="M3039" t="s">
        <v>4402</v>
      </c>
      <c r="O3039" t="s">
        <v>896</v>
      </c>
      <c r="P3039" t="s">
        <v>33</v>
      </c>
      <c r="Q3039">
        <v>399.61</v>
      </c>
      <c r="R3039" t="s">
        <v>35</v>
      </c>
      <c r="S3039" t="s">
        <v>35</v>
      </c>
      <c r="T3039" t="s">
        <v>35</v>
      </c>
      <c r="U3039" t="s">
        <v>35</v>
      </c>
      <c r="V3039" t="s">
        <v>645</v>
      </c>
      <c r="W3039" t="s">
        <v>113</v>
      </c>
    </row>
    <row r="3040" spans="1:23" hidden="1" x14ac:dyDescent="0.25">
      <c r="A3040" s="7" t="str">
        <f>IFERROR(VLOOKUP(H3040,'Contas Orç'!A:B,2,0),"N/A")</f>
        <v>PF-CONSULTORIA E ASSESSORIA</v>
      </c>
      <c r="B3040" s="7" t="str">
        <f t="shared" si="94"/>
        <v>330202001 - PF-CONSULTORIA E ASSESSORIA</v>
      </c>
      <c r="C3040" s="25">
        <f t="shared" si="95"/>
        <v>44805</v>
      </c>
      <c r="D3040" s="27">
        <f>IF(K3040="CREDITO",Q3040,Q3040*-1)</f>
        <v>5000</v>
      </c>
      <c r="E3040" t="s">
        <v>894</v>
      </c>
      <c r="F3040" t="s">
        <v>3535</v>
      </c>
      <c r="G3040" s="8">
        <v>44805</v>
      </c>
      <c r="H3040" t="s">
        <v>156</v>
      </c>
      <c r="I3040" t="s">
        <v>53</v>
      </c>
      <c r="J3040" t="s">
        <v>54</v>
      </c>
      <c r="K3040" t="s">
        <v>29</v>
      </c>
      <c r="L3040" t="s">
        <v>895</v>
      </c>
      <c r="M3040" t="s">
        <v>4402</v>
      </c>
      <c r="O3040" t="s">
        <v>896</v>
      </c>
      <c r="P3040" t="s">
        <v>33</v>
      </c>
      <c r="Q3040" s="22">
        <v>5000</v>
      </c>
      <c r="R3040" t="s">
        <v>35</v>
      </c>
      <c r="S3040" t="s">
        <v>35</v>
      </c>
      <c r="T3040" t="s">
        <v>35</v>
      </c>
      <c r="U3040" t="s">
        <v>35</v>
      </c>
      <c r="V3040" t="s">
        <v>645</v>
      </c>
      <c r="W3040" t="s">
        <v>113</v>
      </c>
    </row>
    <row r="3041" spans="1:23" hidden="1" x14ac:dyDescent="0.25">
      <c r="A3041" s="7" t="str">
        <f>IFERROR(VLOOKUP(H3041,'Contas Orç'!A:B,2,0),"N/A")</f>
        <v>PF-CONSULTORIA E ASSESSORIA</v>
      </c>
      <c r="B3041" s="7" t="str">
        <f t="shared" si="94"/>
        <v>330202001 - PF-CONSULTORIA E ASSESSORIA</v>
      </c>
      <c r="C3041" s="25">
        <f t="shared" si="95"/>
        <v>44835</v>
      </c>
      <c r="D3041" s="27">
        <f>IF(K3041="CREDITO",Q3041,Q3041*-1)</f>
        <v>1531.08</v>
      </c>
      <c r="E3041" t="s">
        <v>894</v>
      </c>
      <c r="F3041" t="s">
        <v>3536</v>
      </c>
      <c r="G3041" s="8">
        <v>44835</v>
      </c>
      <c r="H3041" t="s">
        <v>156</v>
      </c>
      <c r="I3041" t="s">
        <v>125</v>
      </c>
      <c r="J3041" t="s">
        <v>95</v>
      </c>
      <c r="K3041" t="s">
        <v>29</v>
      </c>
      <c r="L3041" t="s">
        <v>895</v>
      </c>
      <c r="M3041" t="s">
        <v>4402</v>
      </c>
      <c r="O3041" t="s">
        <v>896</v>
      </c>
      <c r="P3041" t="s">
        <v>33</v>
      </c>
      <c r="Q3041" s="22">
        <v>1531.08</v>
      </c>
      <c r="R3041" t="s">
        <v>35</v>
      </c>
      <c r="S3041" t="s">
        <v>35</v>
      </c>
      <c r="T3041" t="s">
        <v>35</v>
      </c>
      <c r="U3041" t="s">
        <v>35</v>
      </c>
      <c r="V3041" t="s">
        <v>645</v>
      </c>
      <c r="W3041" t="s">
        <v>113</v>
      </c>
    </row>
    <row r="3042" spans="1:23" hidden="1" x14ac:dyDescent="0.25">
      <c r="A3042" s="7" t="str">
        <f>IFERROR(VLOOKUP(H3042,'Contas Orç'!A:B,2,0),"N/A")</f>
        <v>PF-CONSULTORIA E ASSESSORIA</v>
      </c>
      <c r="B3042" s="7" t="str">
        <f t="shared" si="94"/>
        <v>330202001 - PF-CONSULTORIA E ASSESSORIA</v>
      </c>
      <c r="C3042" s="25">
        <f t="shared" si="95"/>
        <v>44835</v>
      </c>
      <c r="D3042" s="27">
        <f>IF(K3042="CREDITO",Q3042,Q3042*-1)</f>
        <v>118872.91</v>
      </c>
      <c r="E3042" t="s">
        <v>894</v>
      </c>
      <c r="F3042" t="s">
        <v>3537</v>
      </c>
      <c r="G3042" s="8">
        <v>44835</v>
      </c>
      <c r="H3042" t="s">
        <v>156</v>
      </c>
      <c r="I3042" t="s">
        <v>40</v>
      </c>
      <c r="J3042" t="s">
        <v>54</v>
      </c>
      <c r="K3042" t="s">
        <v>29</v>
      </c>
      <c r="L3042" t="s">
        <v>895</v>
      </c>
      <c r="M3042" t="s">
        <v>4402</v>
      </c>
      <c r="O3042" t="s">
        <v>896</v>
      </c>
      <c r="P3042" t="s">
        <v>33</v>
      </c>
      <c r="Q3042" s="22">
        <v>118872.91</v>
      </c>
      <c r="R3042" t="s">
        <v>35</v>
      </c>
      <c r="S3042" t="s">
        <v>35</v>
      </c>
      <c r="T3042" t="s">
        <v>35</v>
      </c>
      <c r="U3042" t="s">
        <v>35</v>
      </c>
      <c r="V3042" t="s">
        <v>645</v>
      </c>
      <c r="W3042" t="s">
        <v>113</v>
      </c>
    </row>
    <row r="3043" spans="1:23" hidden="1" x14ac:dyDescent="0.25">
      <c r="A3043" s="7" t="str">
        <f>IFERROR(VLOOKUP(H3043,'Contas Orç'!A:B,2,0),"N/A")</f>
        <v>PF-CONSULTORIA E ASSESSORIA</v>
      </c>
      <c r="B3043" s="7" t="str">
        <f t="shared" si="94"/>
        <v>330202001 - PF-CONSULTORIA E ASSESSORIA</v>
      </c>
      <c r="C3043" s="25">
        <f t="shared" si="95"/>
        <v>44835</v>
      </c>
      <c r="D3043" s="27">
        <f>IF(K3043="CREDITO",Q3043,Q3043*-1)</f>
        <v>403.61</v>
      </c>
      <c r="E3043" t="s">
        <v>894</v>
      </c>
      <c r="F3043" t="s">
        <v>3538</v>
      </c>
      <c r="G3043" s="8">
        <v>44835</v>
      </c>
      <c r="H3043" t="s">
        <v>156</v>
      </c>
      <c r="I3043" t="s">
        <v>75</v>
      </c>
      <c r="J3043" t="s">
        <v>54</v>
      </c>
      <c r="K3043" t="s">
        <v>29</v>
      </c>
      <c r="L3043" t="s">
        <v>895</v>
      </c>
      <c r="M3043" t="s">
        <v>4402</v>
      </c>
      <c r="O3043" t="s">
        <v>896</v>
      </c>
      <c r="P3043" t="s">
        <v>33</v>
      </c>
      <c r="Q3043">
        <v>403.61</v>
      </c>
      <c r="R3043" t="s">
        <v>35</v>
      </c>
      <c r="S3043" t="s">
        <v>35</v>
      </c>
      <c r="T3043" t="s">
        <v>35</v>
      </c>
      <c r="U3043" t="s">
        <v>35</v>
      </c>
      <c r="V3043" t="s">
        <v>645</v>
      </c>
      <c r="W3043" t="s">
        <v>113</v>
      </c>
    </row>
    <row r="3044" spans="1:23" hidden="1" x14ac:dyDescent="0.25">
      <c r="A3044" s="7" t="str">
        <f>IFERROR(VLOOKUP(H3044,'Contas Orç'!A:B,2,0),"N/A")</f>
        <v>PF-CONSULTORIA E ASSESSORIA</v>
      </c>
      <c r="B3044" s="7" t="str">
        <f t="shared" si="94"/>
        <v>330202001 - PF-CONSULTORIA E ASSESSORIA</v>
      </c>
      <c r="C3044" s="25">
        <f t="shared" si="95"/>
        <v>44835</v>
      </c>
      <c r="D3044" s="27">
        <f>IF(K3044="CREDITO",Q3044,Q3044*-1)</f>
        <v>5050</v>
      </c>
      <c r="E3044" t="s">
        <v>894</v>
      </c>
      <c r="F3044" t="s">
        <v>3539</v>
      </c>
      <c r="G3044" s="8">
        <v>44835</v>
      </c>
      <c r="H3044" t="s">
        <v>156</v>
      </c>
      <c r="I3044" t="s">
        <v>53</v>
      </c>
      <c r="J3044" t="s">
        <v>54</v>
      </c>
      <c r="K3044" t="s">
        <v>29</v>
      </c>
      <c r="L3044" t="s">
        <v>895</v>
      </c>
      <c r="M3044" t="s">
        <v>4402</v>
      </c>
      <c r="O3044" t="s">
        <v>896</v>
      </c>
      <c r="P3044" t="s">
        <v>33</v>
      </c>
      <c r="Q3044" s="22">
        <v>5050</v>
      </c>
      <c r="R3044" t="s">
        <v>35</v>
      </c>
      <c r="S3044" t="s">
        <v>35</v>
      </c>
      <c r="T3044" t="s">
        <v>35</v>
      </c>
      <c r="U3044" t="s">
        <v>35</v>
      </c>
      <c r="V3044" t="s">
        <v>645</v>
      </c>
      <c r="W3044" t="s">
        <v>113</v>
      </c>
    </row>
    <row r="3045" spans="1:23" hidden="1" x14ac:dyDescent="0.25">
      <c r="A3045" s="7" t="str">
        <f>IFERROR(VLOOKUP(H3045,'Contas Orç'!A:B,2,0),"N/A")</f>
        <v>PF-CONSULTORIA E ASSESSORIA</v>
      </c>
      <c r="B3045" s="7" t="str">
        <f t="shared" si="94"/>
        <v>330202001 - PF-CONSULTORIA E ASSESSORIA</v>
      </c>
      <c r="C3045" s="25">
        <f t="shared" si="95"/>
        <v>44866</v>
      </c>
      <c r="D3045" s="27">
        <f>IF(K3045="CREDITO",Q3045,Q3045*-1)</f>
        <v>1546.39</v>
      </c>
      <c r="E3045" t="s">
        <v>894</v>
      </c>
      <c r="F3045" t="s">
        <v>3540</v>
      </c>
      <c r="G3045" s="8">
        <v>44866</v>
      </c>
      <c r="H3045" t="s">
        <v>156</v>
      </c>
      <c r="I3045" t="s">
        <v>125</v>
      </c>
      <c r="J3045" t="s">
        <v>95</v>
      </c>
      <c r="K3045" t="s">
        <v>29</v>
      </c>
      <c r="L3045" t="s">
        <v>895</v>
      </c>
      <c r="M3045" t="s">
        <v>4402</v>
      </c>
      <c r="O3045" t="s">
        <v>896</v>
      </c>
      <c r="P3045" t="s">
        <v>33</v>
      </c>
      <c r="Q3045" s="22">
        <v>1546.39</v>
      </c>
      <c r="R3045" t="s">
        <v>35</v>
      </c>
      <c r="S3045" t="s">
        <v>35</v>
      </c>
      <c r="T3045" t="s">
        <v>35</v>
      </c>
      <c r="U3045" t="s">
        <v>35</v>
      </c>
      <c r="V3045" t="s">
        <v>645</v>
      </c>
      <c r="W3045" t="s">
        <v>113</v>
      </c>
    </row>
    <row r="3046" spans="1:23" hidden="1" x14ac:dyDescent="0.25">
      <c r="A3046" s="7" t="str">
        <f>IFERROR(VLOOKUP(H3046,'Contas Orç'!A:B,2,0),"N/A")</f>
        <v>PF-CONSULTORIA E ASSESSORIA</v>
      </c>
      <c r="B3046" s="7" t="str">
        <f t="shared" si="94"/>
        <v>330202001 - PF-CONSULTORIA E ASSESSORIA</v>
      </c>
      <c r="C3046" s="25">
        <f t="shared" si="95"/>
        <v>44866</v>
      </c>
      <c r="D3046" s="27">
        <f>IF(K3046="CREDITO",Q3046,Q3046*-1)</f>
        <v>120061.64</v>
      </c>
      <c r="E3046" t="s">
        <v>894</v>
      </c>
      <c r="F3046" t="s">
        <v>3541</v>
      </c>
      <c r="G3046" s="8">
        <v>44866</v>
      </c>
      <c r="H3046" t="s">
        <v>156</v>
      </c>
      <c r="I3046" t="s">
        <v>40</v>
      </c>
      <c r="J3046" t="s">
        <v>54</v>
      </c>
      <c r="K3046" t="s">
        <v>29</v>
      </c>
      <c r="L3046" t="s">
        <v>895</v>
      </c>
      <c r="M3046" t="s">
        <v>4402</v>
      </c>
      <c r="O3046" t="s">
        <v>896</v>
      </c>
      <c r="P3046" t="s">
        <v>33</v>
      </c>
      <c r="Q3046" s="22">
        <v>120061.64</v>
      </c>
      <c r="R3046" t="s">
        <v>35</v>
      </c>
      <c r="S3046" t="s">
        <v>35</v>
      </c>
      <c r="T3046" t="s">
        <v>35</v>
      </c>
      <c r="U3046" t="s">
        <v>35</v>
      </c>
      <c r="V3046" t="s">
        <v>645</v>
      </c>
      <c r="W3046" t="s">
        <v>113</v>
      </c>
    </row>
    <row r="3047" spans="1:23" hidden="1" x14ac:dyDescent="0.25">
      <c r="A3047" s="7" t="str">
        <f>IFERROR(VLOOKUP(H3047,'Contas Orç'!A:B,2,0),"N/A")</f>
        <v>PF-CONSULTORIA E ASSESSORIA</v>
      </c>
      <c r="B3047" s="7" t="str">
        <f t="shared" si="94"/>
        <v>330202001 - PF-CONSULTORIA E ASSESSORIA</v>
      </c>
      <c r="C3047" s="25">
        <f t="shared" si="95"/>
        <v>44866</v>
      </c>
      <c r="D3047" s="27">
        <f>IF(K3047="CREDITO",Q3047,Q3047*-1)</f>
        <v>407.64</v>
      </c>
      <c r="E3047" t="s">
        <v>894</v>
      </c>
      <c r="F3047" t="s">
        <v>3542</v>
      </c>
      <c r="G3047" s="8">
        <v>44866</v>
      </c>
      <c r="H3047" t="s">
        <v>156</v>
      </c>
      <c r="I3047" t="s">
        <v>75</v>
      </c>
      <c r="J3047" t="s">
        <v>54</v>
      </c>
      <c r="K3047" t="s">
        <v>29</v>
      </c>
      <c r="L3047" t="s">
        <v>895</v>
      </c>
      <c r="M3047" t="s">
        <v>4402</v>
      </c>
      <c r="O3047" t="s">
        <v>896</v>
      </c>
      <c r="P3047" t="s">
        <v>33</v>
      </c>
      <c r="Q3047">
        <v>407.64</v>
      </c>
      <c r="R3047" t="s">
        <v>35</v>
      </c>
      <c r="S3047" t="s">
        <v>35</v>
      </c>
      <c r="T3047" t="s">
        <v>35</v>
      </c>
      <c r="U3047" t="s">
        <v>35</v>
      </c>
      <c r="V3047" t="s">
        <v>645</v>
      </c>
      <c r="W3047" t="s">
        <v>113</v>
      </c>
    </row>
    <row r="3048" spans="1:23" hidden="1" x14ac:dyDescent="0.25">
      <c r="A3048" s="7" t="str">
        <f>IFERROR(VLOOKUP(H3048,'Contas Orç'!A:B,2,0),"N/A")</f>
        <v>PF-CONSULTORIA E ASSESSORIA</v>
      </c>
      <c r="B3048" s="7" t="str">
        <f t="shared" si="94"/>
        <v>330202001 - PF-CONSULTORIA E ASSESSORIA</v>
      </c>
      <c r="C3048" s="25">
        <f t="shared" si="95"/>
        <v>44866</v>
      </c>
      <c r="D3048" s="27">
        <f>IF(K3048="CREDITO",Q3048,Q3048*-1)</f>
        <v>5100.5</v>
      </c>
      <c r="E3048" t="s">
        <v>894</v>
      </c>
      <c r="F3048" t="s">
        <v>3543</v>
      </c>
      <c r="G3048" s="8">
        <v>44866</v>
      </c>
      <c r="H3048" t="s">
        <v>156</v>
      </c>
      <c r="I3048" t="s">
        <v>53</v>
      </c>
      <c r="J3048" t="s">
        <v>54</v>
      </c>
      <c r="K3048" t="s">
        <v>29</v>
      </c>
      <c r="L3048" t="s">
        <v>895</v>
      </c>
      <c r="M3048" t="s">
        <v>4402</v>
      </c>
      <c r="O3048" t="s">
        <v>896</v>
      </c>
      <c r="P3048" t="s">
        <v>33</v>
      </c>
      <c r="Q3048" s="22">
        <v>5100.5</v>
      </c>
      <c r="R3048" t="s">
        <v>35</v>
      </c>
      <c r="S3048" t="s">
        <v>35</v>
      </c>
      <c r="T3048" t="s">
        <v>35</v>
      </c>
      <c r="U3048" t="s">
        <v>35</v>
      </c>
      <c r="V3048" t="s">
        <v>645</v>
      </c>
      <c r="W3048" t="s">
        <v>113</v>
      </c>
    </row>
    <row r="3049" spans="1:23" hidden="1" x14ac:dyDescent="0.25">
      <c r="A3049" s="7" t="str">
        <f>IFERROR(VLOOKUP(H3049,'Contas Orç'!A:B,2,0),"N/A")</f>
        <v>PF-CONSULTORIA E ASSESSORIA</v>
      </c>
      <c r="B3049" s="7" t="str">
        <f t="shared" si="94"/>
        <v>330202001 - PF-CONSULTORIA E ASSESSORIA</v>
      </c>
      <c r="C3049" s="25">
        <f t="shared" si="95"/>
        <v>44896</v>
      </c>
      <c r="D3049" s="27">
        <f>IF(K3049="CREDITO",Q3049,Q3049*-1)</f>
        <v>1561.85</v>
      </c>
      <c r="E3049" t="s">
        <v>894</v>
      </c>
      <c r="F3049" t="s">
        <v>3544</v>
      </c>
      <c r="G3049" s="8">
        <v>44896</v>
      </c>
      <c r="H3049" t="s">
        <v>156</v>
      </c>
      <c r="I3049" t="s">
        <v>125</v>
      </c>
      <c r="J3049" t="s">
        <v>95</v>
      </c>
      <c r="K3049" t="s">
        <v>29</v>
      </c>
      <c r="L3049" t="s">
        <v>895</v>
      </c>
      <c r="M3049" t="s">
        <v>4402</v>
      </c>
      <c r="O3049" t="s">
        <v>896</v>
      </c>
      <c r="P3049" t="s">
        <v>33</v>
      </c>
      <c r="Q3049" s="22">
        <v>1561.85</v>
      </c>
      <c r="R3049" t="s">
        <v>35</v>
      </c>
      <c r="S3049" t="s">
        <v>35</v>
      </c>
      <c r="T3049" t="s">
        <v>35</v>
      </c>
      <c r="U3049" t="s">
        <v>35</v>
      </c>
      <c r="V3049" t="s">
        <v>645</v>
      </c>
      <c r="W3049" t="s">
        <v>113</v>
      </c>
    </row>
    <row r="3050" spans="1:23" hidden="1" x14ac:dyDescent="0.25">
      <c r="A3050" s="7" t="str">
        <f>IFERROR(VLOOKUP(H3050,'Contas Orç'!A:B,2,0),"N/A")</f>
        <v>PF-CONSULTORIA E ASSESSORIA</v>
      </c>
      <c r="B3050" s="7" t="str">
        <f t="shared" si="94"/>
        <v>330202001 - PF-CONSULTORIA E ASSESSORIA</v>
      </c>
      <c r="C3050" s="25">
        <f t="shared" si="95"/>
        <v>44896</v>
      </c>
      <c r="D3050" s="27">
        <f>IF(K3050="CREDITO",Q3050,Q3050*-1)</f>
        <v>121262.25</v>
      </c>
      <c r="E3050" t="s">
        <v>894</v>
      </c>
      <c r="F3050" t="s">
        <v>3545</v>
      </c>
      <c r="G3050" s="8">
        <v>44896</v>
      </c>
      <c r="H3050" t="s">
        <v>156</v>
      </c>
      <c r="I3050" t="s">
        <v>40</v>
      </c>
      <c r="J3050" t="s">
        <v>54</v>
      </c>
      <c r="K3050" t="s">
        <v>29</v>
      </c>
      <c r="L3050" t="s">
        <v>895</v>
      </c>
      <c r="M3050" t="s">
        <v>4402</v>
      </c>
      <c r="O3050" t="s">
        <v>896</v>
      </c>
      <c r="P3050" t="s">
        <v>33</v>
      </c>
      <c r="Q3050" s="22">
        <v>121262.25</v>
      </c>
      <c r="R3050" t="s">
        <v>35</v>
      </c>
      <c r="S3050" t="s">
        <v>35</v>
      </c>
      <c r="T3050" t="s">
        <v>35</v>
      </c>
      <c r="U3050" t="s">
        <v>35</v>
      </c>
      <c r="V3050" t="s">
        <v>645</v>
      </c>
      <c r="W3050" t="s">
        <v>113</v>
      </c>
    </row>
    <row r="3051" spans="1:23" hidden="1" x14ac:dyDescent="0.25">
      <c r="A3051" s="7" t="str">
        <f>IFERROR(VLOOKUP(H3051,'Contas Orç'!A:B,2,0),"N/A")</f>
        <v>PF-CONSULTORIA E ASSESSORIA</v>
      </c>
      <c r="B3051" s="7" t="str">
        <f t="shared" si="94"/>
        <v>330202001 - PF-CONSULTORIA E ASSESSORIA</v>
      </c>
      <c r="C3051" s="25">
        <f t="shared" si="95"/>
        <v>44896</v>
      </c>
      <c r="D3051" s="27">
        <f>IF(K3051="CREDITO",Q3051,Q3051*-1)</f>
        <v>411.72</v>
      </c>
      <c r="E3051" t="s">
        <v>894</v>
      </c>
      <c r="F3051" t="s">
        <v>3546</v>
      </c>
      <c r="G3051" s="8">
        <v>44896</v>
      </c>
      <c r="H3051" t="s">
        <v>156</v>
      </c>
      <c r="I3051" t="s">
        <v>75</v>
      </c>
      <c r="J3051" t="s">
        <v>54</v>
      </c>
      <c r="K3051" t="s">
        <v>29</v>
      </c>
      <c r="L3051" t="s">
        <v>895</v>
      </c>
      <c r="M3051" t="s">
        <v>4402</v>
      </c>
      <c r="O3051" t="s">
        <v>896</v>
      </c>
      <c r="P3051" t="s">
        <v>33</v>
      </c>
      <c r="Q3051">
        <v>411.72</v>
      </c>
      <c r="R3051" t="s">
        <v>35</v>
      </c>
      <c r="S3051" t="s">
        <v>35</v>
      </c>
      <c r="T3051" t="s">
        <v>35</v>
      </c>
      <c r="U3051" t="s">
        <v>35</v>
      </c>
      <c r="V3051" t="s">
        <v>645</v>
      </c>
      <c r="W3051" t="s">
        <v>113</v>
      </c>
    </row>
    <row r="3052" spans="1:23" hidden="1" x14ac:dyDescent="0.25">
      <c r="A3052" s="7" t="str">
        <f>IFERROR(VLOOKUP(H3052,'Contas Orç'!A:B,2,0),"N/A")</f>
        <v>PF-CONSULTORIA E ASSESSORIA</v>
      </c>
      <c r="B3052" s="7" t="str">
        <f t="shared" si="94"/>
        <v>330202001 - PF-CONSULTORIA E ASSESSORIA</v>
      </c>
      <c r="C3052" s="25">
        <f t="shared" si="95"/>
        <v>44896</v>
      </c>
      <c r="D3052" s="27">
        <f>IF(K3052="CREDITO",Q3052,Q3052*-1)</f>
        <v>5151.51</v>
      </c>
      <c r="E3052" t="s">
        <v>894</v>
      </c>
      <c r="F3052" t="s">
        <v>3547</v>
      </c>
      <c r="G3052" s="8">
        <v>44896</v>
      </c>
      <c r="H3052" t="s">
        <v>156</v>
      </c>
      <c r="I3052" t="s">
        <v>53</v>
      </c>
      <c r="J3052" t="s">
        <v>54</v>
      </c>
      <c r="K3052" t="s">
        <v>29</v>
      </c>
      <c r="L3052" t="s">
        <v>895</v>
      </c>
      <c r="M3052" t="s">
        <v>4402</v>
      </c>
      <c r="O3052" t="s">
        <v>896</v>
      </c>
      <c r="P3052" t="s">
        <v>33</v>
      </c>
      <c r="Q3052" s="22">
        <v>5151.51</v>
      </c>
      <c r="R3052" t="s">
        <v>35</v>
      </c>
      <c r="S3052" t="s">
        <v>35</v>
      </c>
      <c r="T3052" t="s">
        <v>35</v>
      </c>
      <c r="U3052" t="s">
        <v>35</v>
      </c>
      <c r="V3052" t="s">
        <v>645</v>
      </c>
      <c r="W3052" t="s">
        <v>113</v>
      </c>
    </row>
    <row r="3053" spans="1:23" hidden="1" x14ac:dyDescent="0.25">
      <c r="A3053" s="7" t="str">
        <f>IFERROR(VLOOKUP(H3053,'Contas Orç'!A:B,2,0),"N/A")</f>
        <v>PF-OUTROS SERVICOS CONTRATADOS-PF</v>
      </c>
      <c r="B3053" s="7" t="str">
        <f t="shared" si="94"/>
        <v>330202003 - PF-OUTROS SERVICOS CONTRATADOS-PF</v>
      </c>
      <c r="C3053" s="25">
        <f t="shared" si="95"/>
        <v>44805</v>
      </c>
      <c r="D3053" s="27">
        <f>IF(K3053="CREDITO",Q3053,Q3053*-1)</f>
        <v>150</v>
      </c>
      <c r="E3053" t="s">
        <v>894</v>
      </c>
      <c r="F3053" t="s">
        <v>3548</v>
      </c>
      <c r="G3053" s="8">
        <v>44805</v>
      </c>
      <c r="H3053" t="s">
        <v>585</v>
      </c>
      <c r="I3053" t="s">
        <v>53</v>
      </c>
      <c r="J3053" t="s">
        <v>54</v>
      </c>
      <c r="K3053" t="s">
        <v>29</v>
      </c>
      <c r="L3053" t="s">
        <v>895</v>
      </c>
      <c r="M3053" t="s">
        <v>4402</v>
      </c>
      <c r="O3053" t="s">
        <v>896</v>
      </c>
      <c r="P3053" t="s">
        <v>33</v>
      </c>
      <c r="Q3053">
        <v>150</v>
      </c>
      <c r="R3053" t="s">
        <v>35</v>
      </c>
      <c r="S3053" t="s">
        <v>35</v>
      </c>
      <c r="T3053" t="s">
        <v>35</v>
      </c>
      <c r="U3053" t="s">
        <v>35</v>
      </c>
      <c r="V3053" t="s">
        <v>645</v>
      </c>
      <c r="W3053" t="s">
        <v>113</v>
      </c>
    </row>
    <row r="3054" spans="1:23" hidden="1" x14ac:dyDescent="0.25">
      <c r="A3054" s="7" t="str">
        <f>IFERROR(VLOOKUP(H3054,'Contas Orç'!A:B,2,0),"N/A")</f>
        <v>PF-OUTROS SERVICOS CONTRATADOS-PF</v>
      </c>
      <c r="B3054" s="7" t="str">
        <f t="shared" si="94"/>
        <v>330202003 - PF-OUTROS SERVICOS CONTRATADOS-PF</v>
      </c>
      <c r="C3054" s="25">
        <f t="shared" si="95"/>
        <v>44835</v>
      </c>
      <c r="D3054" s="27">
        <f>IF(K3054="CREDITO",Q3054,Q3054*-1)</f>
        <v>151.5</v>
      </c>
      <c r="E3054" t="s">
        <v>894</v>
      </c>
      <c r="F3054" t="s">
        <v>3549</v>
      </c>
      <c r="G3054" s="8">
        <v>44835</v>
      </c>
      <c r="H3054" t="s">
        <v>585</v>
      </c>
      <c r="I3054" t="s">
        <v>53</v>
      </c>
      <c r="J3054" t="s">
        <v>54</v>
      </c>
      <c r="K3054" t="s">
        <v>29</v>
      </c>
      <c r="L3054" t="s">
        <v>895</v>
      </c>
      <c r="M3054" t="s">
        <v>4402</v>
      </c>
      <c r="O3054" t="s">
        <v>896</v>
      </c>
      <c r="P3054" t="s">
        <v>33</v>
      </c>
      <c r="Q3054">
        <v>151.5</v>
      </c>
      <c r="R3054" t="s">
        <v>35</v>
      </c>
      <c r="S3054" t="s">
        <v>35</v>
      </c>
      <c r="T3054" t="s">
        <v>35</v>
      </c>
      <c r="U3054" t="s">
        <v>35</v>
      </c>
      <c r="V3054" t="s">
        <v>645</v>
      </c>
      <c r="W3054" t="s">
        <v>113</v>
      </c>
    </row>
    <row r="3055" spans="1:23" hidden="1" x14ac:dyDescent="0.25">
      <c r="A3055" s="7" t="str">
        <f>IFERROR(VLOOKUP(H3055,'Contas Orç'!A:B,2,0),"N/A")</f>
        <v>PF-OUTROS SERVICOS CONTRATADOS-PF</v>
      </c>
      <c r="B3055" s="7" t="str">
        <f t="shared" si="94"/>
        <v>330202003 - PF-OUTROS SERVICOS CONTRATADOS-PF</v>
      </c>
      <c r="C3055" s="25">
        <f t="shared" si="95"/>
        <v>44866</v>
      </c>
      <c r="D3055" s="27">
        <f>IF(K3055="CREDITO",Q3055,Q3055*-1)</f>
        <v>153.02000000000001</v>
      </c>
      <c r="E3055" t="s">
        <v>894</v>
      </c>
      <c r="F3055" t="s">
        <v>3550</v>
      </c>
      <c r="G3055" s="8">
        <v>44866</v>
      </c>
      <c r="H3055" t="s">
        <v>585</v>
      </c>
      <c r="I3055" t="s">
        <v>53</v>
      </c>
      <c r="J3055" t="s">
        <v>54</v>
      </c>
      <c r="K3055" t="s">
        <v>29</v>
      </c>
      <c r="L3055" t="s">
        <v>895</v>
      </c>
      <c r="M3055" t="s">
        <v>4402</v>
      </c>
      <c r="O3055" t="s">
        <v>896</v>
      </c>
      <c r="P3055" t="s">
        <v>33</v>
      </c>
      <c r="Q3055">
        <v>153.02000000000001</v>
      </c>
      <c r="R3055" t="s">
        <v>35</v>
      </c>
      <c r="S3055" t="s">
        <v>35</v>
      </c>
      <c r="T3055" t="s">
        <v>35</v>
      </c>
      <c r="U3055" t="s">
        <v>35</v>
      </c>
      <c r="V3055" t="s">
        <v>645</v>
      </c>
      <c r="W3055" t="s">
        <v>113</v>
      </c>
    </row>
    <row r="3056" spans="1:23" hidden="1" x14ac:dyDescent="0.25">
      <c r="A3056" s="7" t="str">
        <f>IFERROR(VLOOKUP(H3056,'Contas Orç'!A:B,2,0),"N/A")</f>
        <v>PF-OUTROS SERVICOS CONTRATADOS-PF</v>
      </c>
      <c r="B3056" s="7" t="str">
        <f t="shared" si="94"/>
        <v>330202003 - PF-OUTROS SERVICOS CONTRATADOS-PF</v>
      </c>
      <c r="C3056" s="25">
        <f t="shared" si="95"/>
        <v>44896</v>
      </c>
      <c r="D3056" s="27">
        <f>IF(K3056="CREDITO",Q3056,Q3056*-1)</f>
        <v>154.55000000000001</v>
      </c>
      <c r="E3056" t="s">
        <v>894</v>
      </c>
      <c r="F3056" t="s">
        <v>3551</v>
      </c>
      <c r="G3056" s="8">
        <v>44896</v>
      </c>
      <c r="H3056" t="s">
        <v>585</v>
      </c>
      <c r="I3056" t="s">
        <v>53</v>
      </c>
      <c r="J3056" t="s">
        <v>54</v>
      </c>
      <c r="K3056" t="s">
        <v>29</v>
      </c>
      <c r="L3056" t="s">
        <v>895</v>
      </c>
      <c r="M3056" t="s">
        <v>4402</v>
      </c>
      <c r="O3056" t="s">
        <v>896</v>
      </c>
      <c r="P3056" t="s">
        <v>33</v>
      </c>
      <c r="Q3056">
        <v>154.55000000000001</v>
      </c>
      <c r="R3056" t="s">
        <v>35</v>
      </c>
      <c r="S3056" t="s">
        <v>35</v>
      </c>
      <c r="T3056" t="s">
        <v>35</v>
      </c>
      <c r="U3056" t="s">
        <v>35</v>
      </c>
      <c r="V3056" t="s">
        <v>645</v>
      </c>
      <c r="W3056" t="s">
        <v>113</v>
      </c>
    </row>
    <row r="3057" spans="1:23" hidden="1" x14ac:dyDescent="0.25">
      <c r="A3057" s="7" t="str">
        <f>IFERROR(VLOOKUP(H3057,'Contas Orç'!A:B,2,0),"N/A")</f>
        <v>COMBUSTIVEIS</v>
      </c>
      <c r="B3057" s="7" t="str">
        <f t="shared" si="94"/>
        <v>330301001 - COMBUSTIVEIS</v>
      </c>
      <c r="C3057" s="25">
        <f t="shared" si="95"/>
        <v>44562</v>
      </c>
      <c r="D3057" s="27">
        <f>IF(K3057="CREDITO",Q3057,Q3057*-1)</f>
        <v>701.66</v>
      </c>
      <c r="E3057" t="s">
        <v>894</v>
      </c>
      <c r="F3057" t="s">
        <v>3552</v>
      </c>
      <c r="G3057" s="8">
        <v>44562</v>
      </c>
      <c r="H3057" t="s">
        <v>270</v>
      </c>
      <c r="I3057" t="s">
        <v>68</v>
      </c>
      <c r="J3057" t="s">
        <v>69</v>
      </c>
      <c r="K3057" t="s">
        <v>29</v>
      </c>
      <c r="L3057" t="s">
        <v>895</v>
      </c>
      <c r="M3057" t="s">
        <v>4402</v>
      </c>
      <c r="O3057" t="s">
        <v>896</v>
      </c>
      <c r="P3057" t="s">
        <v>33</v>
      </c>
      <c r="Q3057">
        <v>701.66</v>
      </c>
      <c r="R3057" t="s">
        <v>35</v>
      </c>
      <c r="S3057" t="s">
        <v>35</v>
      </c>
      <c r="T3057" t="s">
        <v>35</v>
      </c>
      <c r="U3057" t="s">
        <v>35</v>
      </c>
      <c r="V3057" t="s">
        <v>645</v>
      </c>
      <c r="W3057" t="s">
        <v>113</v>
      </c>
    </row>
    <row r="3058" spans="1:23" hidden="1" x14ac:dyDescent="0.25">
      <c r="A3058" s="7" t="str">
        <f>IFERROR(VLOOKUP(H3058,'Contas Orç'!A:B,2,0),"N/A")</f>
        <v>COMBUSTIVEIS</v>
      </c>
      <c r="B3058" s="7" t="str">
        <f t="shared" si="94"/>
        <v>330301001 - COMBUSTIVEIS</v>
      </c>
      <c r="C3058" s="25">
        <f t="shared" si="95"/>
        <v>44562</v>
      </c>
      <c r="D3058" s="27">
        <f>IF(K3058="CREDITO",Q3058,Q3058*-1)</f>
        <v>859.85</v>
      </c>
      <c r="E3058" t="s">
        <v>894</v>
      </c>
      <c r="F3058" t="s">
        <v>3553</v>
      </c>
      <c r="G3058" s="8">
        <v>44562</v>
      </c>
      <c r="H3058" t="s">
        <v>270</v>
      </c>
      <c r="I3058" t="s">
        <v>2062</v>
      </c>
      <c r="J3058" t="s">
        <v>54</v>
      </c>
      <c r="K3058" t="s">
        <v>29</v>
      </c>
      <c r="L3058" t="s">
        <v>895</v>
      </c>
      <c r="M3058" t="s">
        <v>4402</v>
      </c>
      <c r="O3058" t="s">
        <v>896</v>
      </c>
      <c r="P3058" t="s">
        <v>33</v>
      </c>
      <c r="Q3058">
        <v>859.85</v>
      </c>
      <c r="R3058" t="s">
        <v>35</v>
      </c>
      <c r="S3058" t="s">
        <v>35</v>
      </c>
      <c r="T3058" t="s">
        <v>35</v>
      </c>
      <c r="U3058" t="s">
        <v>35</v>
      </c>
      <c r="V3058" t="s">
        <v>645</v>
      </c>
      <c r="W3058" t="s">
        <v>113</v>
      </c>
    </row>
    <row r="3059" spans="1:23" hidden="1" x14ac:dyDescent="0.25">
      <c r="A3059" s="7" t="str">
        <f>IFERROR(VLOOKUP(H3059,'Contas Orç'!A:B,2,0),"N/A")</f>
        <v>COMBUSTIVEIS</v>
      </c>
      <c r="B3059" s="7" t="str">
        <f t="shared" si="94"/>
        <v>330301001 - COMBUSTIVEIS</v>
      </c>
      <c r="C3059" s="25">
        <f t="shared" si="95"/>
        <v>44562</v>
      </c>
      <c r="D3059" s="27">
        <f>IF(K3059="CREDITO",Q3059,Q3059*-1)</f>
        <v>1325.58</v>
      </c>
      <c r="E3059" t="s">
        <v>894</v>
      </c>
      <c r="F3059" t="s">
        <v>3554</v>
      </c>
      <c r="G3059" s="8">
        <v>44562</v>
      </c>
      <c r="H3059" t="s">
        <v>270</v>
      </c>
      <c r="I3059" t="s">
        <v>40</v>
      </c>
      <c r="J3059" t="s">
        <v>54</v>
      </c>
      <c r="K3059" t="s">
        <v>29</v>
      </c>
      <c r="L3059" t="s">
        <v>895</v>
      </c>
      <c r="M3059" t="s">
        <v>4402</v>
      </c>
      <c r="O3059" t="s">
        <v>896</v>
      </c>
      <c r="P3059" t="s">
        <v>33</v>
      </c>
      <c r="Q3059" s="22">
        <v>1325.58</v>
      </c>
      <c r="R3059" t="s">
        <v>35</v>
      </c>
      <c r="S3059" t="s">
        <v>35</v>
      </c>
      <c r="T3059" t="s">
        <v>35</v>
      </c>
      <c r="U3059" t="s">
        <v>35</v>
      </c>
      <c r="V3059" t="s">
        <v>645</v>
      </c>
      <c r="W3059" t="s">
        <v>113</v>
      </c>
    </row>
    <row r="3060" spans="1:23" hidden="1" x14ac:dyDescent="0.25">
      <c r="A3060" s="7" t="str">
        <f>IFERROR(VLOOKUP(H3060,'Contas Orç'!A:B,2,0),"N/A")</f>
        <v>COMBUSTIVEIS</v>
      </c>
      <c r="B3060" s="7" t="str">
        <f t="shared" si="94"/>
        <v>330301001 - COMBUSTIVEIS</v>
      </c>
      <c r="C3060" s="25">
        <f t="shared" si="95"/>
        <v>44593</v>
      </c>
      <c r="D3060" s="27">
        <f>IF(K3060="CREDITO",Q3060,Q3060*-1)</f>
        <v>544.24</v>
      </c>
      <c r="E3060" t="s">
        <v>894</v>
      </c>
      <c r="F3060" t="s">
        <v>3555</v>
      </c>
      <c r="G3060" s="8">
        <v>44593</v>
      </c>
      <c r="H3060" t="s">
        <v>270</v>
      </c>
      <c r="I3060" t="s">
        <v>68</v>
      </c>
      <c r="J3060" t="s">
        <v>69</v>
      </c>
      <c r="K3060" t="s">
        <v>29</v>
      </c>
      <c r="L3060" t="s">
        <v>895</v>
      </c>
      <c r="M3060" t="s">
        <v>4402</v>
      </c>
      <c r="O3060" t="s">
        <v>896</v>
      </c>
      <c r="P3060" t="s">
        <v>33</v>
      </c>
      <c r="Q3060">
        <v>544.24</v>
      </c>
      <c r="R3060" t="s">
        <v>35</v>
      </c>
      <c r="S3060" t="s">
        <v>35</v>
      </c>
      <c r="T3060" t="s">
        <v>35</v>
      </c>
      <c r="U3060" t="s">
        <v>35</v>
      </c>
      <c r="V3060" t="s">
        <v>645</v>
      </c>
      <c r="W3060" t="s">
        <v>113</v>
      </c>
    </row>
    <row r="3061" spans="1:23" hidden="1" x14ac:dyDescent="0.25">
      <c r="A3061" s="7" t="str">
        <f>IFERROR(VLOOKUP(H3061,'Contas Orç'!A:B,2,0),"N/A")</f>
        <v>COMBUSTIVEIS</v>
      </c>
      <c r="B3061" s="7" t="str">
        <f t="shared" si="94"/>
        <v>330301001 - COMBUSTIVEIS</v>
      </c>
      <c r="C3061" s="25">
        <f t="shared" si="95"/>
        <v>44593</v>
      </c>
      <c r="D3061" s="27">
        <f>IF(K3061="CREDITO",Q3061,Q3061*-1)</f>
        <v>1457.09</v>
      </c>
      <c r="E3061" t="s">
        <v>894</v>
      </c>
      <c r="F3061" t="s">
        <v>3556</v>
      </c>
      <c r="G3061" s="8">
        <v>44593</v>
      </c>
      <c r="H3061" t="s">
        <v>270</v>
      </c>
      <c r="I3061" t="s">
        <v>40</v>
      </c>
      <c r="J3061" t="s">
        <v>54</v>
      </c>
      <c r="K3061" t="s">
        <v>29</v>
      </c>
      <c r="L3061" t="s">
        <v>895</v>
      </c>
      <c r="M3061" t="s">
        <v>4402</v>
      </c>
      <c r="O3061" t="s">
        <v>896</v>
      </c>
      <c r="P3061" t="s">
        <v>33</v>
      </c>
      <c r="Q3061" s="22">
        <v>1457.09</v>
      </c>
      <c r="R3061" t="s">
        <v>35</v>
      </c>
      <c r="S3061" t="s">
        <v>35</v>
      </c>
      <c r="T3061" t="s">
        <v>35</v>
      </c>
      <c r="U3061" t="s">
        <v>35</v>
      </c>
      <c r="V3061" t="s">
        <v>645</v>
      </c>
      <c r="W3061" t="s">
        <v>113</v>
      </c>
    </row>
    <row r="3062" spans="1:23" hidden="1" x14ac:dyDescent="0.25">
      <c r="A3062" s="7" t="str">
        <f>IFERROR(VLOOKUP(H3062,'Contas Orç'!A:B,2,0),"N/A")</f>
        <v>COMBUSTIVEIS</v>
      </c>
      <c r="B3062" s="7" t="str">
        <f t="shared" si="94"/>
        <v>330301001 - COMBUSTIVEIS</v>
      </c>
      <c r="C3062" s="25">
        <f t="shared" si="95"/>
        <v>44621</v>
      </c>
      <c r="D3062" s="27">
        <f>IF(K3062="CREDITO",Q3062,Q3062*-1)</f>
        <v>443.53</v>
      </c>
      <c r="E3062" t="s">
        <v>894</v>
      </c>
      <c r="F3062" t="s">
        <v>3557</v>
      </c>
      <c r="G3062" s="8">
        <v>44621</v>
      </c>
      <c r="H3062" t="s">
        <v>270</v>
      </c>
      <c r="I3062" t="s">
        <v>68</v>
      </c>
      <c r="J3062" t="s">
        <v>69</v>
      </c>
      <c r="K3062" t="s">
        <v>29</v>
      </c>
      <c r="L3062" t="s">
        <v>895</v>
      </c>
      <c r="M3062" t="s">
        <v>4402</v>
      </c>
      <c r="O3062" t="s">
        <v>896</v>
      </c>
      <c r="P3062" t="s">
        <v>33</v>
      </c>
      <c r="Q3062">
        <v>443.53</v>
      </c>
      <c r="R3062" t="s">
        <v>35</v>
      </c>
      <c r="S3062" t="s">
        <v>35</v>
      </c>
      <c r="T3062" t="s">
        <v>35</v>
      </c>
      <c r="U3062" t="s">
        <v>35</v>
      </c>
      <c r="V3062" t="s">
        <v>645</v>
      </c>
      <c r="W3062" t="s">
        <v>113</v>
      </c>
    </row>
    <row r="3063" spans="1:23" hidden="1" x14ac:dyDescent="0.25">
      <c r="A3063" s="7" t="str">
        <f>IFERROR(VLOOKUP(H3063,'Contas Orç'!A:B,2,0),"N/A")</f>
        <v>COMBUSTIVEIS</v>
      </c>
      <c r="B3063" s="7" t="str">
        <f t="shared" si="94"/>
        <v>330301001 - COMBUSTIVEIS</v>
      </c>
      <c r="C3063" s="25">
        <f t="shared" si="95"/>
        <v>44621</v>
      </c>
      <c r="D3063" s="27">
        <f>IF(K3063="CREDITO",Q3063,Q3063*-1)</f>
        <v>1016.24</v>
      </c>
      <c r="E3063" t="s">
        <v>894</v>
      </c>
      <c r="F3063" t="s">
        <v>3558</v>
      </c>
      <c r="G3063" s="8">
        <v>44621</v>
      </c>
      <c r="H3063" t="s">
        <v>270</v>
      </c>
      <c r="I3063" t="s">
        <v>40</v>
      </c>
      <c r="J3063" t="s">
        <v>54</v>
      </c>
      <c r="K3063" t="s">
        <v>29</v>
      </c>
      <c r="L3063" t="s">
        <v>895</v>
      </c>
      <c r="M3063" t="s">
        <v>4402</v>
      </c>
      <c r="O3063" t="s">
        <v>896</v>
      </c>
      <c r="P3063" t="s">
        <v>33</v>
      </c>
      <c r="Q3063" s="22">
        <v>1016.24</v>
      </c>
      <c r="R3063" t="s">
        <v>35</v>
      </c>
      <c r="S3063" t="s">
        <v>35</v>
      </c>
      <c r="T3063" t="s">
        <v>35</v>
      </c>
      <c r="U3063" t="s">
        <v>35</v>
      </c>
      <c r="V3063" t="s">
        <v>645</v>
      </c>
      <c r="W3063" t="s">
        <v>113</v>
      </c>
    </row>
    <row r="3064" spans="1:23" hidden="1" x14ac:dyDescent="0.25">
      <c r="A3064" s="7" t="str">
        <f>IFERROR(VLOOKUP(H3064,'Contas Orç'!A:B,2,0),"N/A")</f>
        <v>COMBUSTIVEIS</v>
      </c>
      <c r="B3064" s="7" t="str">
        <f t="shared" si="94"/>
        <v>330301001 - COMBUSTIVEIS</v>
      </c>
      <c r="C3064" s="25">
        <f t="shared" si="95"/>
        <v>44652</v>
      </c>
      <c r="D3064" s="27">
        <f>IF(K3064="CREDITO",Q3064,Q3064*-1)</f>
        <v>832.71</v>
      </c>
      <c r="E3064" t="s">
        <v>894</v>
      </c>
      <c r="F3064" t="s">
        <v>3559</v>
      </c>
      <c r="G3064" s="8">
        <v>44652</v>
      </c>
      <c r="H3064" t="s">
        <v>270</v>
      </c>
      <c r="I3064" t="s">
        <v>68</v>
      </c>
      <c r="J3064" t="s">
        <v>69</v>
      </c>
      <c r="K3064" t="s">
        <v>29</v>
      </c>
      <c r="L3064" t="s">
        <v>895</v>
      </c>
      <c r="M3064" t="s">
        <v>4402</v>
      </c>
      <c r="O3064" t="s">
        <v>896</v>
      </c>
      <c r="P3064" t="s">
        <v>33</v>
      </c>
      <c r="Q3064">
        <v>832.71</v>
      </c>
      <c r="R3064" t="s">
        <v>35</v>
      </c>
      <c r="S3064" t="s">
        <v>35</v>
      </c>
      <c r="T3064" t="s">
        <v>35</v>
      </c>
      <c r="U3064" t="s">
        <v>35</v>
      </c>
      <c r="V3064" t="s">
        <v>645</v>
      </c>
      <c r="W3064" t="s">
        <v>113</v>
      </c>
    </row>
    <row r="3065" spans="1:23" hidden="1" x14ac:dyDescent="0.25">
      <c r="A3065" s="7" t="str">
        <f>IFERROR(VLOOKUP(H3065,'Contas Orç'!A:B,2,0),"N/A")</f>
        <v>COMBUSTIVEIS</v>
      </c>
      <c r="B3065" s="7" t="str">
        <f t="shared" si="94"/>
        <v>330301001 - COMBUSTIVEIS</v>
      </c>
      <c r="C3065" s="25">
        <f t="shared" si="95"/>
        <v>44652</v>
      </c>
      <c r="D3065" s="27">
        <f>IF(K3065="CREDITO",Q3065,Q3065*-1)</f>
        <v>1520.45</v>
      </c>
      <c r="E3065" t="s">
        <v>894</v>
      </c>
      <c r="F3065" t="s">
        <v>3560</v>
      </c>
      <c r="G3065" s="8">
        <v>44652</v>
      </c>
      <c r="H3065" t="s">
        <v>270</v>
      </c>
      <c r="I3065" t="s">
        <v>40</v>
      </c>
      <c r="J3065" t="s">
        <v>54</v>
      </c>
      <c r="K3065" t="s">
        <v>29</v>
      </c>
      <c r="L3065" t="s">
        <v>895</v>
      </c>
      <c r="M3065" t="s">
        <v>4402</v>
      </c>
      <c r="O3065" t="s">
        <v>896</v>
      </c>
      <c r="P3065" t="s">
        <v>33</v>
      </c>
      <c r="Q3065" s="22">
        <v>1520.45</v>
      </c>
      <c r="R3065" t="s">
        <v>35</v>
      </c>
      <c r="S3065" t="s">
        <v>35</v>
      </c>
      <c r="T3065" t="s">
        <v>35</v>
      </c>
      <c r="U3065" t="s">
        <v>35</v>
      </c>
      <c r="V3065" t="s">
        <v>645</v>
      </c>
      <c r="W3065" t="s">
        <v>113</v>
      </c>
    </row>
    <row r="3066" spans="1:23" hidden="1" x14ac:dyDescent="0.25">
      <c r="A3066" s="7" t="str">
        <f>IFERROR(VLOOKUP(H3066,'Contas Orç'!A:B,2,0),"N/A")</f>
        <v>COMBUSTIVEIS</v>
      </c>
      <c r="B3066" s="7" t="str">
        <f t="shared" si="94"/>
        <v>330301001 - COMBUSTIVEIS</v>
      </c>
      <c r="C3066" s="25">
        <f t="shared" si="95"/>
        <v>44682</v>
      </c>
      <c r="D3066" s="27">
        <f>IF(K3066="CREDITO",Q3066,Q3066*-1)</f>
        <v>1685.19</v>
      </c>
      <c r="E3066" t="s">
        <v>894</v>
      </c>
      <c r="F3066" t="s">
        <v>3561</v>
      </c>
      <c r="G3066" s="8">
        <v>44682</v>
      </c>
      <c r="H3066" t="s">
        <v>270</v>
      </c>
      <c r="I3066" t="s">
        <v>68</v>
      </c>
      <c r="J3066" t="s">
        <v>69</v>
      </c>
      <c r="K3066" t="s">
        <v>29</v>
      </c>
      <c r="L3066" t="s">
        <v>895</v>
      </c>
      <c r="M3066" t="s">
        <v>4402</v>
      </c>
      <c r="O3066" t="s">
        <v>896</v>
      </c>
      <c r="P3066" t="s">
        <v>33</v>
      </c>
      <c r="Q3066" s="22">
        <v>1685.19</v>
      </c>
      <c r="R3066" t="s">
        <v>35</v>
      </c>
      <c r="S3066" t="s">
        <v>35</v>
      </c>
      <c r="T3066" t="s">
        <v>35</v>
      </c>
      <c r="U3066" t="s">
        <v>35</v>
      </c>
      <c r="V3066" t="s">
        <v>645</v>
      </c>
      <c r="W3066" t="s">
        <v>113</v>
      </c>
    </row>
    <row r="3067" spans="1:23" hidden="1" x14ac:dyDescent="0.25">
      <c r="A3067" s="7" t="str">
        <f>IFERROR(VLOOKUP(H3067,'Contas Orç'!A:B,2,0),"N/A")</f>
        <v>COMBUSTIVEIS</v>
      </c>
      <c r="B3067" s="7" t="str">
        <f t="shared" si="94"/>
        <v>330301001 - COMBUSTIVEIS</v>
      </c>
      <c r="C3067" s="25">
        <f t="shared" si="95"/>
        <v>44682</v>
      </c>
      <c r="D3067" s="27">
        <f>IF(K3067="CREDITO",Q3067,Q3067*-1)</f>
        <v>1467.93</v>
      </c>
      <c r="E3067" t="s">
        <v>894</v>
      </c>
      <c r="F3067" t="s">
        <v>3562</v>
      </c>
      <c r="G3067" s="8">
        <v>44682</v>
      </c>
      <c r="H3067" t="s">
        <v>270</v>
      </c>
      <c r="I3067" t="s">
        <v>40</v>
      </c>
      <c r="J3067" t="s">
        <v>54</v>
      </c>
      <c r="K3067" t="s">
        <v>29</v>
      </c>
      <c r="L3067" t="s">
        <v>895</v>
      </c>
      <c r="M3067" t="s">
        <v>4402</v>
      </c>
      <c r="O3067" t="s">
        <v>896</v>
      </c>
      <c r="P3067" t="s">
        <v>33</v>
      </c>
      <c r="Q3067" s="22">
        <v>1467.93</v>
      </c>
      <c r="R3067" t="s">
        <v>35</v>
      </c>
      <c r="S3067" t="s">
        <v>35</v>
      </c>
      <c r="T3067" t="s">
        <v>35</v>
      </c>
      <c r="U3067" t="s">
        <v>35</v>
      </c>
      <c r="V3067" t="s">
        <v>645</v>
      </c>
      <c r="W3067" t="s">
        <v>113</v>
      </c>
    </row>
    <row r="3068" spans="1:23" hidden="1" x14ac:dyDescent="0.25">
      <c r="A3068" s="7" t="str">
        <f>IFERROR(VLOOKUP(H3068,'Contas Orç'!A:B,2,0),"N/A")</f>
        <v>COMBUSTIVEIS</v>
      </c>
      <c r="B3068" s="7" t="str">
        <f t="shared" si="94"/>
        <v>330301001 - COMBUSTIVEIS</v>
      </c>
      <c r="C3068" s="25">
        <f t="shared" si="95"/>
        <v>44682</v>
      </c>
      <c r="D3068" s="27">
        <f>IF(K3068="CREDITO",Q3068,Q3068*-1)</f>
        <v>1615.17</v>
      </c>
      <c r="E3068" t="s">
        <v>894</v>
      </c>
      <c r="F3068" t="s">
        <v>3563</v>
      </c>
      <c r="G3068" s="8">
        <v>44682</v>
      </c>
      <c r="H3068" t="s">
        <v>270</v>
      </c>
      <c r="I3068" t="s">
        <v>136</v>
      </c>
      <c r="J3068" t="s">
        <v>54</v>
      </c>
      <c r="K3068" t="s">
        <v>29</v>
      </c>
      <c r="L3068" t="s">
        <v>895</v>
      </c>
      <c r="M3068" t="s">
        <v>4402</v>
      </c>
      <c r="O3068" t="s">
        <v>896</v>
      </c>
      <c r="P3068" t="s">
        <v>33</v>
      </c>
      <c r="Q3068" s="22">
        <v>1615.17</v>
      </c>
      <c r="R3068" t="s">
        <v>35</v>
      </c>
      <c r="S3068" t="s">
        <v>35</v>
      </c>
      <c r="T3068" t="s">
        <v>35</v>
      </c>
      <c r="U3068" t="s">
        <v>35</v>
      </c>
      <c r="V3068" t="s">
        <v>645</v>
      </c>
      <c r="W3068" t="s">
        <v>113</v>
      </c>
    </row>
    <row r="3069" spans="1:23" hidden="1" x14ac:dyDescent="0.25">
      <c r="A3069" s="7" t="str">
        <f>IFERROR(VLOOKUP(H3069,'Contas Orç'!A:B,2,0),"N/A")</f>
        <v>COMBUSTIVEIS</v>
      </c>
      <c r="B3069" s="7" t="str">
        <f t="shared" si="94"/>
        <v>330301001 - COMBUSTIVEIS</v>
      </c>
      <c r="C3069" s="25">
        <f t="shared" si="95"/>
        <v>44713</v>
      </c>
      <c r="D3069" s="27">
        <f>IF(K3069="CREDITO",Q3069,Q3069*-1)</f>
        <v>1229.79</v>
      </c>
      <c r="E3069" t="s">
        <v>894</v>
      </c>
      <c r="F3069" t="s">
        <v>3564</v>
      </c>
      <c r="G3069" s="8">
        <v>44713</v>
      </c>
      <c r="H3069" t="s">
        <v>270</v>
      </c>
      <c r="I3069" t="s">
        <v>68</v>
      </c>
      <c r="J3069" t="s">
        <v>69</v>
      </c>
      <c r="K3069" t="s">
        <v>29</v>
      </c>
      <c r="L3069" t="s">
        <v>895</v>
      </c>
      <c r="M3069" t="s">
        <v>4402</v>
      </c>
      <c r="O3069" t="s">
        <v>896</v>
      </c>
      <c r="P3069" t="s">
        <v>33</v>
      </c>
      <c r="Q3069" s="22">
        <v>1229.79</v>
      </c>
      <c r="R3069" t="s">
        <v>35</v>
      </c>
      <c r="S3069" t="s">
        <v>35</v>
      </c>
      <c r="T3069" t="s">
        <v>35</v>
      </c>
      <c r="U3069" t="s">
        <v>35</v>
      </c>
      <c r="V3069" t="s">
        <v>645</v>
      </c>
      <c r="W3069" t="s">
        <v>113</v>
      </c>
    </row>
    <row r="3070" spans="1:23" hidden="1" x14ac:dyDescent="0.25">
      <c r="A3070" s="7" t="str">
        <f>IFERROR(VLOOKUP(H3070,'Contas Orç'!A:B,2,0),"N/A")</f>
        <v>COMBUSTIVEIS</v>
      </c>
      <c r="B3070" s="7" t="str">
        <f t="shared" si="94"/>
        <v>330301001 - COMBUSTIVEIS</v>
      </c>
      <c r="C3070" s="25">
        <f t="shared" si="95"/>
        <v>44713</v>
      </c>
      <c r="D3070" s="27">
        <f>IF(K3070="CREDITO",Q3070,Q3070*-1)</f>
        <v>424.98</v>
      </c>
      <c r="E3070" t="s">
        <v>894</v>
      </c>
      <c r="F3070" t="s">
        <v>3565</v>
      </c>
      <c r="G3070" s="8">
        <v>44713</v>
      </c>
      <c r="H3070" t="s">
        <v>270</v>
      </c>
      <c r="I3070" t="s">
        <v>2062</v>
      </c>
      <c r="J3070" t="s">
        <v>54</v>
      </c>
      <c r="K3070" t="s">
        <v>29</v>
      </c>
      <c r="L3070" t="s">
        <v>895</v>
      </c>
      <c r="M3070" t="s">
        <v>4402</v>
      </c>
      <c r="O3070" t="s">
        <v>896</v>
      </c>
      <c r="P3070" t="s">
        <v>33</v>
      </c>
      <c r="Q3070">
        <v>424.98</v>
      </c>
      <c r="R3070" t="s">
        <v>35</v>
      </c>
      <c r="S3070" t="s">
        <v>35</v>
      </c>
      <c r="T3070" t="s">
        <v>35</v>
      </c>
      <c r="U3070" t="s">
        <v>35</v>
      </c>
      <c r="V3070" t="s">
        <v>645</v>
      </c>
      <c r="W3070" t="s">
        <v>113</v>
      </c>
    </row>
    <row r="3071" spans="1:23" hidden="1" x14ac:dyDescent="0.25">
      <c r="A3071" s="7" t="str">
        <f>IFERROR(VLOOKUP(H3071,'Contas Orç'!A:B,2,0),"N/A")</f>
        <v>COMBUSTIVEIS</v>
      </c>
      <c r="B3071" s="7" t="str">
        <f t="shared" si="94"/>
        <v>330301001 - COMBUSTIVEIS</v>
      </c>
      <c r="C3071" s="25">
        <f t="shared" si="95"/>
        <v>44713</v>
      </c>
      <c r="D3071" s="27">
        <f>IF(K3071="CREDITO",Q3071,Q3071*-1)</f>
        <v>1749.89</v>
      </c>
      <c r="E3071" t="s">
        <v>894</v>
      </c>
      <c r="F3071" t="s">
        <v>3566</v>
      </c>
      <c r="G3071" s="8">
        <v>44713</v>
      </c>
      <c r="H3071" t="s">
        <v>270</v>
      </c>
      <c r="I3071" t="s">
        <v>40</v>
      </c>
      <c r="J3071" t="s">
        <v>54</v>
      </c>
      <c r="K3071" t="s">
        <v>29</v>
      </c>
      <c r="L3071" t="s">
        <v>895</v>
      </c>
      <c r="M3071" t="s">
        <v>4402</v>
      </c>
      <c r="O3071" t="s">
        <v>896</v>
      </c>
      <c r="P3071" t="s">
        <v>33</v>
      </c>
      <c r="Q3071" s="22">
        <v>1749.89</v>
      </c>
      <c r="R3071" t="s">
        <v>35</v>
      </c>
      <c r="S3071" t="s">
        <v>35</v>
      </c>
      <c r="T3071" t="s">
        <v>35</v>
      </c>
      <c r="U3071" t="s">
        <v>35</v>
      </c>
      <c r="V3071" t="s">
        <v>645</v>
      </c>
      <c r="W3071" t="s">
        <v>113</v>
      </c>
    </row>
    <row r="3072" spans="1:23" hidden="1" x14ac:dyDescent="0.25">
      <c r="A3072" s="7" t="str">
        <f>IFERROR(VLOOKUP(H3072,'Contas Orç'!A:B,2,0),"N/A")</f>
        <v>COMBUSTIVEIS</v>
      </c>
      <c r="B3072" s="7" t="str">
        <f t="shared" si="94"/>
        <v>330301001 - COMBUSTIVEIS</v>
      </c>
      <c r="C3072" s="25">
        <f t="shared" si="95"/>
        <v>44743</v>
      </c>
      <c r="D3072" s="27">
        <f>IF(K3072="CREDITO",Q3072,Q3072*-1)</f>
        <v>443.29</v>
      </c>
      <c r="E3072" t="s">
        <v>894</v>
      </c>
      <c r="F3072" t="s">
        <v>3567</v>
      </c>
      <c r="G3072" s="8">
        <v>44743</v>
      </c>
      <c r="H3072" t="s">
        <v>270</v>
      </c>
      <c r="I3072" t="s">
        <v>68</v>
      </c>
      <c r="J3072" t="s">
        <v>69</v>
      </c>
      <c r="K3072" t="s">
        <v>29</v>
      </c>
      <c r="L3072" t="s">
        <v>895</v>
      </c>
      <c r="M3072" t="s">
        <v>4402</v>
      </c>
      <c r="O3072" t="s">
        <v>896</v>
      </c>
      <c r="P3072" t="s">
        <v>33</v>
      </c>
      <c r="Q3072">
        <v>443.29</v>
      </c>
      <c r="R3072" t="s">
        <v>35</v>
      </c>
      <c r="S3072" t="s">
        <v>35</v>
      </c>
      <c r="T3072" t="s">
        <v>35</v>
      </c>
      <c r="U3072" t="s">
        <v>35</v>
      </c>
      <c r="V3072" t="s">
        <v>645</v>
      </c>
      <c r="W3072" t="s">
        <v>113</v>
      </c>
    </row>
    <row r="3073" spans="1:23" hidden="1" x14ac:dyDescent="0.25">
      <c r="A3073" s="7" t="str">
        <f>IFERROR(VLOOKUP(H3073,'Contas Orç'!A:B,2,0),"N/A")</f>
        <v>COMBUSTIVEIS</v>
      </c>
      <c r="B3073" s="7" t="str">
        <f t="shared" si="94"/>
        <v>330301001 - COMBUSTIVEIS</v>
      </c>
      <c r="C3073" s="25">
        <f t="shared" si="95"/>
        <v>44743</v>
      </c>
      <c r="D3073" s="27">
        <f>IF(K3073="CREDITO",Q3073,Q3073*-1)</f>
        <v>1690.14</v>
      </c>
      <c r="E3073" t="s">
        <v>894</v>
      </c>
      <c r="F3073" t="s">
        <v>3568</v>
      </c>
      <c r="G3073" s="8">
        <v>44743</v>
      </c>
      <c r="H3073" t="s">
        <v>270</v>
      </c>
      <c r="I3073" t="s">
        <v>40</v>
      </c>
      <c r="J3073" t="s">
        <v>54</v>
      </c>
      <c r="K3073" t="s">
        <v>29</v>
      </c>
      <c r="L3073" t="s">
        <v>895</v>
      </c>
      <c r="M3073" t="s">
        <v>4402</v>
      </c>
      <c r="O3073" t="s">
        <v>896</v>
      </c>
      <c r="P3073" t="s">
        <v>33</v>
      </c>
      <c r="Q3073" s="22">
        <v>1690.14</v>
      </c>
      <c r="R3073" t="s">
        <v>35</v>
      </c>
      <c r="S3073" t="s">
        <v>35</v>
      </c>
      <c r="T3073" t="s">
        <v>35</v>
      </c>
      <c r="U3073" t="s">
        <v>35</v>
      </c>
      <c r="V3073" t="s">
        <v>645</v>
      </c>
      <c r="W3073" t="s">
        <v>113</v>
      </c>
    </row>
    <row r="3074" spans="1:23" hidden="1" x14ac:dyDescent="0.25">
      <c r="A3074" s="7" t="str">
        <f>IFERROR(VLOOKUP(H3074,'Contas Orç'!A:B,2,0),"N/A")</f>
        <v>COMBUSTIVEIS</v>
      </c>
      <c r="B3074" s="7" t="str">
        <f t="shared" si="94"/>
        <v>330301001 - COMBUSTIVEIS</v>
      </c>
      <c r="C3074" s="25">
        <f t="shared" si="95"/>
        <v>44774</v>
      </c>
      <c r="D3074" s="27">
        <f>IF(K3074="CREDITO",Q3074,Q3074*-1)</f>
        <v>283.58999999999997</v>
      </c>
      <c r="E3074" t="s">
        <v>894</v>
      </c>
      <c r="F3074" t="s">
        <v>3569</v>
      </c>
      <c r="G3074" s="8">
        <v>44774</v>
      </c>
      <c r="H3074" t="s">
        <v>270</v>
      </c>
      <c r="I3074" t="s">
        <v>68</v>
      </c>
      <c r="J3074" t="s">
        <v>69</v>
      </c>
      <c r="K3074" t="s">
        <v>29</v>
      </c>
      <c r="L3074" t="s">
        <v>895</v>
      </c>
      <c r="M3074" t="s">
        <v>4402</v>
      </c>
      <c r="O3074" t="s">
        <v>896</v>
      </c>
      <c r="P3074" t="s">
        <v>33</v>
      </c>
      <c r="Q3074">
        <v>283.58999999999997</v>
      </c>
      <c r="R3074" t="s">
        <v>35</v>
      </c>
      <c r="S3074" t="s">
        <v>35</v>
      </c>
      <c r="T3074" t="s">
        <v>35</v>
      </c>
      <c r="U3074" t="s">
        <v>35</v>
      </c>
      <c r="V3074" t="s">
        <v>645</v>
      </c>
      <c r="W3074" t="s">
        <v>113</v>
      </c>
    </row>
    <row r="3075" spans="1:23" hidden="1" x14ac:dyDescent="0.25">
      <c r="A3075" s="7" t="str">
        <f>IFERROR(VLOOKUP(H3075,'Contas Orç'!A:B,2,0),"N/A")</f>
        <v>COMBUSTIVEIS</v>
      </c>
      <c r="B3075" s="7" t="str">
        <f t="shared" ref="B3075:B3138" si="96">_xlfn.CONCAT(H3075," - ",A3075)</f>
        <v>330301001 - COMBUSTIVEIS</v>
      </c>
      <c r="C3075" s="25">
        <f t="shared" ref="C3075:C3138" si="97">DATE(YEAR(G3075),MONTH(G3075),1)</f>
        <v>44774</v>
      </c>
      <c r="D3075" s="27">
        <f>IF(K3075="CREDITO",Q3075,Q3075*-1)</f>
        <v>230.57</v>
      </c>
      <c r="E3075" t="s">
        <v>894</v>
      </c>
      <c r="F3075" t="s">
        <v>3570</v>
      </c>
      <c r="G3075" s="8">
        <v>44774</v>
      </c>
      <c r="H3075" t="s">
        <v>270</v>
      </c>
      <c r="I3075" t="s">
        <v>2062</v>
      </c>
      <c r="J3075" t="s">
        <v>54</v>
      </c>
      <c r="K3075" t="s">
        <v>29</v>
      </c>
      <c r="L3075" t="s">
        <v>895</v>
      </c>
      <c r="M3075" t="s">
        <v>4402</v>
      </c>
      <c r="O3075" t="s">
        <v>896</v>
      </c>
      <c r="P3075" t="s">
        <v>33</v>
      </c>
      <c r="Q3075">
        <v>230.57</v>
      </c>
      <c r="R3075" t="s">
        <v>35</v>
      </c>
      <c r="S3075" t="s">
        <v>35</v>
      </c>
      <c r="T3075" t="s">
        <v>35</v>
      </c>
      <c r="U3075" t="s">
        <v>35</v>
      </c>
      <c r="V3075" t="s">
        <v>645</v>
      </c>
      <c r="W3075" t="s">
        <v>113</v>
      </c>
    </row>
    <row r="3076" spans="1:23" hidden="1" x14ac:dyDescent="0.25">
      <c r="A3076" s="7" t="str">
        <f>IFERROR(VLOOKUP(H3076,'Contas Orç'!A:B,2,0),"N/A")</f>
        <v>COMBUSTIVEIS</v>
      </c>
      <c r="B3076" s="7" t="str">
        <f t="shared" si="96"/>
        <v>330301001 - COMBUSTIVEIS</v>
      </c>
      <c r="C3076" s="25">
        <f t="shared" si="97"/>
        <v>44774</v>
      </c>
      <c r="D3076" s="27">
        <f>IF(K3076="CREDITO",Q3076,Q3076*-1)</f>
        <v>1333.04</v>
      </c>
      <c r="E3076" t="s">
        <v>894</v>
      </c>
      <c r="F3076" t="s">
        <v>3571</v>
      </c>
      <c r="G3076" s="8">
        <v>44774</v>
      </c>
      <c r="H3076" t="s">
        <v>270</v>
      </c>
      <c r="I3076" t="s">
        <v>40</v>
      </c>
      <c r="J3076" t="s">
        <v>54</v>
      </c>
      <c r="K3076" t="s">
        <v>29</v>
      </c>
      <c r="L3076" t="s">
        <v>895</v>
      </c>
      <c r="M3076" t="s">
        <v>4402</v>
      </c>
      <c r="O3076" t="s">
        <v>896</v>
      </c>
      <c r="P3076" t="s">
        <v>33</v>
      </c>
      <c r="Q3076" s="22">
        <v>1333.04</v>
      </c>
      <c r="R3076" t="s">
        <v>35</v>
      </c>
      <c r="S3076" t="s">
        <v>35</v>
      </c>
      <c r="T3076" t="s">
        <v>35</v>
      </c>
      <c r="U3076" t="s">
        <v>35</v>
      </c>
      <c r="V3076" t="s">
        <v>645</v>
      </c>
      <c r="W3076" t="s">
        <v>113</v>
      </c>
    </row>
    <row r="3077" spans="1:23" hidden="1" x14ac:dyDescent="0.25">
      <c r="A3077" s="7" t="str">
        <f>IFERROR(VLOOKUP(H3077,'Contas Orç'!A:B,2,0),"N/A")</f>
        <v>COMBUSTIVEIS</v>
      </c>
      <c r="B3077" s="7" t="str">
        <f t="shared" si="96"/>
        <v>330301001 - COMBUSTIVEIS</v>
      </c>
      <c r="C3077" s="25">
        <f t="shared" si="97"/>
        <v>44805</v>
      </c>
      <c r="D3077" s="27">
        <f>IF(K3077="CREDITO",Q3077,Q3077*-1)</f>
        <v>640.66</v>
      </c>
      <c r="E3077" t="s">
        <v>894</v>
      </c>
      <c r="F3077" t="s">
        <v>3572</v>
      </c>
      <c r="G3077" s="8">
        <v>44805</v>
      </c>
      <c r="H3077" t="s">
        <v>270</v>
      </c>
      <c r="I3077" t="s">
        <v>68</v>
      </c>
      <c r="J3077" t="s">
        <v>69</v>
      </c>
      <c r="K3077" t="s">
        <v>29</v>
      </c>
      <c r="L3077" t="s">
        <v>895</v>
      </c>
      <c r="M3077" t="s">
        <v>4402</v>
      </c>
      <c r="O3077" t="s">
        <v>896</v>
      </c>
      <c r="P3077" t="s">
        <v>33</v>
      </c>
      <c r="Q3077">
        <v>640.66</v>
      </c>
      <c r="R3077" t="s">
        <v>35</v>
      </c>
      <c r="S3077" t="s">
        <v>35</v>
      </c>
      <c r="T3077" t="s">
        <v>35</v>
      </c>
      <c r="U3077" t="s">
        <v>35</v>
      </c>
      <c r="V3077" t="s">
        <v>645</v>
      </c>
      <c r="W3077" t="s">
        <v>113</v>
      </c>
    </row>
    <row r="3078" spans="1:23" hidden="1" x14ac:dyDescent="0.25">
      <c r="A3078" s="7" t="str">
        <f>IFERROR(VLOOKUP(H3078,'Contas Orç'!A:B,2,0),"N/A")</f>
        <v>COMBUSTIVEIS</v>
      </c>
      <c r="B3078" s="7" t="str">
        <f t="shared" si="96"/>
        <v>330301001 - COMBUSTIVEIS</v>
      </c>
      <c r="C3078" s="25">
        <f t="shared" si="97"/>
        <v>44805</v>
      </c>
      <c r="D3078" s="27">
        <f>IF(K3078="CREDITO",Q3078,Q3078*-1)</f>
        <v>232.43</v>
      </c>
      <c r="E3078" t="s">
        <v>894</v>
      </c>
      <c r="F3078" t="s">
        <v>3573</v>
      </c>
      <c r="G3078" s="8">
        <v>44805</v>
      </c>
      <c r="H3078" t="s">
        <v>270</v>
      </c>
      <c r="I3078" t="s">
        <v>2062</v>
      </c>
      <c r="J3078" t="s">
        <v>54</v>
      </c>
      <c r="K3078" t="s">
        <v>29</v>
      </c>
      <c r="L3078" t="s">
        <v>895</v>
      </c>
      <c r="M3078" t="s">
        <v>4402</v>
      </c>
      <c r="O3078" t="s">
        <v>896</v>
      </c>
      <c r="P3078" t="s">
        <v>33</v>
      </c>
      <c r="Q3078">
        <v>232.43</v>
      </c>
      <c r="R3078" t="s">
        <v>35</v>
      </c>
      <c r="S3078" t="s">
        <v>35</v>
      </c>
      <c r="T3078" t="s">
        <v>35</v>
      </c>
      <c r="U3078" t="s">
        <v>35</v>
      </c>
      <c r="V3078" t="s">
        <v>645</v>
      </c>
      <c r="W3078" t="s">
        <v>113</v>
      </c>
    </row>
    <row r="3079" spans="1:23" hidden="1" x14ac:dyDescent="0.25">
      <c r="A3079" s="7" t="str">
        <f>IFERROR(VLOOKUP(H3079,'Contas Orç'!A:B,2,0),"N/A")</f>
        <v>COMBUSTIVEIS</v>
      </c>
      <c r="B3079" s="7" t="str">
        <f t="shared" si="96"/>
        <v>330301001 - COMBUSTIVEIS</v>
      </c>
      <c r="C3079" s="25">
        <f t="shared" si="97"/>
        <v>44805</v>
      </c>
      <c r="D3079" s="27">
        <f>IF(K3079="CREDITO",Q3079,Q3079*-1)</f>
        <v>9655.42</v>
      </c>
      <c r="E3079" t="s">
        <v>894</v>
      </c>
      <c r="F3079" t="s">
        <v>3574</v>
      </c>
      <c r="G3079" s="8">
        <v>44805</v>
      </c>
      <c r="H3079" t="s">
        <v>270</v>
      </c>
      <c r="I3079" t="s">
        <v>40</v>
      </c>
      <c r="J3079" t="s">
        <v>54</v>
      </c>
      <c r="K3079" t="s">
        <v>29</v>
      </c>
      <c r="L3079" t="s">
        <v>895</v>
      </c>
      <c r="M3079" t="s">
        <v>4402</v>
      </c>
      <c r="O3079" t="s">
        <v>896</v>
      </c>
      <c r="P3079" t="s">
        <v>33</v>
      </c>
      <c r="Q3079" s="22">
        <v>9655.42</v>
      </c>
      <c r="R3079" t="s">
        <v>35</v>
      </c>
      <c r="S3079" t="s">
        <v>35</v>
      </c>
      <c r="T3079" t="s">
        <v>35</v>
      </c>
      <c r="U3079" t="s">
        <v>35</v>
      </c>
      <c r="V3079" t="s">
        <v>645</v>
      </c>
      <c r="W3079" t="s">
        <v>113</v>
      </c>
    </row>
    <row r="3080" spans="1:23" hidden="1" x14ac:dyDescent="0.25">
      <c r="A3080" s="7" t="str">
        <f>IFERROR(VLOOKUP(H3080,'Contas Orç'!A:B,2,0),"N/A")</f>
        <v>COMBUSTIVEIS</v>
      </c>
      <c r="B3080" s="7" t="str">
        <f t="shared" si="96"/>
        <v>330301001 - COMBUSTIVEIS</v>
      </c>
      <c r="C3080" s="25">
        <f t="shared" si="97"/>
        <v>44805</v>
      </c>
      <c r="D3080" s="27">
        <f>IF(K3080="CREDITO",Q3080,Q3080*-1)</f>
        <v>2830</v>
      </c>
      <c r="E3080" t="s">
        <v>894</v>
      </c>
      <c r="F3080" t="s">
        <v>3575</v>
      </c>
      <c r="G3080" s="8">
        <v>44805</v>
      </c>
      <c r="H3080" t="s">
        <v>270</v>
      </c>
      <c r="I3080" t="s">
        <v>81</v>
      </c>
      <c r="J3080" t="s">
        <v>54</v>
      </c>
      <c r="K3080" t="s">
        <v>29</v>
      </c>
      <c r="L3080" t="s">
        <v>895</v>
      </c>
      <c r="M3080" t="s">
        <v>4402</v>
      </c>
      <c r="O3080" t="s">
        <v>896</v>
      </c>
      <c r="P3080" t="s">
        <v>33</v>
      </c>
      <c r="Q3080" s="22">
        <v>2830</v>
      </c>
      <c r="R3080" t="s">
        <v>35</v>
      </c>
      <c r="S3080" t="s">
        <v>35</v>
      </c>
      <c r="T3080" t="s">
        <v>35</v>
      </c>
      <c r="U3080" t="s">
        <v>35</v>
      </c>
      <c r="V3080" t="s">
        <v>645</v>
      </c>
      <c r="W3080" t="s">
        <v>113</v>
      </c>
    </row>
    <row r="3081" spans="1:23" hidden="1" x14ac:dyDescent="0.25">
      <c r="A3081" s="7" t="str">
        <f>IFERROR(VLOOKUP(H3081,'Contas Orç'!A:B,2,0),"N/A")</f>
        <v>COMBUSTIVEIS</v>
      </c>
      <c r="B3081" s="7" t="str">
        <f t="shared" si="96"/>
        <v>330301001 - COMBUSTIVEIS</v>
      </c>
      <c r="C3081" s="25">
        <f t="shared" si="97"/>
        <v>44835</v>
      </c>
      <c r="D3081" s="27">
        <f>IF(K3081="CREDITO",Q3081,Q3081*-1)</f>
        <v>647.07000000000005</v>
      </c>
      <c r="E3081" t="s">
        <v>894</v>
      </c>
      <c r="F3081" t="s">
        <v>3576</v>
      </c>
      <c r="G3081" s="8">
        <v>44835</v>
      </c>
      <c r="H3081" t="s">
        <v>270</v>
      </c>
      <c r="I3081" t="s">
        <v>68</v>
      </c>
      <c r="J3081" t="s">
        <v>69</v>
      </c>
      <c r="K3081" t="s">
        <v>29</v>
      </c>
      <c r="L3081" t="s">
        <v>895</v>
      </c>
      <c r="M3081" t="s">
        <v>4402</v>
      </c>
      <c r="O3081" t="s">
        <v>896</v>
      </c>
      <c r="P3081" t="s">
        <v>33</v>
      </c>
      <c r="Q3081">
        <v>647.07000000000005</v>
      </c>
      <c r="R3081" t="s">
        <v>35</v>
      </c>
      <c r="S3081" t="s">
        <v>35</v>
      </c>
      <c r="T3081" t="s">
        <v>35</v>
      </c>
      <c r="U3081" t="s">
        <v>35</v>
      </c>
      <c r="V3081" t="s">
        <v>645</v>
      </c>
      <c r="W3081" t="s">
        <v>113</v>
      </c>
    </row>
    <row r="3082" spans="1:23" hidden="1" x14ac:dyDescent="0.25">
      <c r="A3082" s="7" t="str">
        <f>IFERROR(VLOOKUP(H3082,'Contas Orç'!A:B,2,0),"N/A")</f>
        <v>COMBUSTIVEIS</v>
      </c>
      <c r="B3082" s="7" t="str">
        <f t="shared" si="96"/>
        <v>330301001 - COMBUSTIVEIS</v>
      </c>
      <c r="C3082" s="25">
        <f t="shared" si="97"/>
        <v>44835</v>
      </c>
      <c r="D3082" s="27">
        <f>IF(K3082="CREDITO",Q3082,Q3082*-1)</f>
        <v>234.75</v>
      </c>
      <c r="E3082" t="s">
        <v>894</v>
      </c>
      <c r="F3082" t="s">
        <v>3577</v>
      </c>
      <c r="G3082" s="8">
        <v>44835</v>
      </c>
      <c r="H3082" t="s">
        <v>270</v>
      </c>
      <c r="I3082" t="s">
        <v>2062</v>
      </c>
      <c r="J3082" t="s">
        <v>54</v>
      </c>
      <c r="K3082" t="s">
        <v>29</v>
      </c>
      <c r="L3082" t="s">
        <v>895</v>
      </c>
      <c r="M3082" t="s">
        <v>4402</v>
      </c>
      <c r="O3082" t="s">
        <v>896</v>
      </c>
      <c r="P3082" t="s">
        <v>33</v>
      </c>
      <c r="Q3082">
        <v>234.75</v>
      </c>
      <c r="R3082" t="s">
        <v>35</v>
      </c>
      <c r="S3082" t="s">
        <v>35</v>
      </c>
      <c r="T3082" t="s">
        <v>35</v>
      </c>
      <c r="U3082" t="s">
        <v>35</v>
      </c>
      <c r="V3082" t="s">
        <v>645</v>
      </c>
      <c r="W3082" t="s">
        <v>113</v>
      </c>
    </row>
    <row r="3083" spans="1:23" hidden="1" x14ac:dyDescent="0.25">
      <c r="A3083" s="7" t="str">
        <f>IFERROR(VLOOKUP(H3083,'Contas Orç'!A:B,2,0),"N/A")</f>
        <v>COMBUSTIVEIS</v>
      </c>
      <c r="B3083" s="7" t="str">
        <f t="shared" si="96"/>
        <v>330301001 - COMBUSTIVEIS</v>
      </c>
      <c r="C3083" s="25">
        <f t="shared" si="97"/>
        <v>44835</v>
      </c>
      <c r="D3083" s="27">
        <f>IF(K3083="CREDITO",Q3083,Q3083*-1)</f>
        <v>9751.9699999999993</v>
      </c>
      <c r="E3083" t="s">
        <v>894</v>
      </c>
      <c r="F3083" t="s">
        <v>3578</v>
      </c>
      <c r="G3083" s="8">
        <v>44835</v>
      </c>
      <c r="H3083" t="s">
        <v>270</v>
      </c>
      <c r="I3083" t="s">
        <v>40</v>
      </c>
      <c r="J3083" t="s">
        <v>54</v>
      </c>
      <c r="K3083" t="s">
        <v>29</v>
      </c>
      <c r="L3083" t="s">
        <v>895</v>
      </c>
      <c r="M3083" t="s">
        <v>4402</v>
      </c>
      <c r="O3083" t="s">
        <v>896</v>
      </c>
      <c r="P3083" t="s">
        <v>33</v>
      </c>
      <c r="Q3083" s="22">
        <v>9751.9699999999993</v>
      </c>
      <c r="R3083" t="s">
        <v>35</v>
      </c>
      <c r="S3083" t="s">
        <v>35</v>
      </c>
      <c r="T3083" t="s">
        <v>35</v>
      </c>
      <c r="U3083" t="s">
        <v>35</v>
      </c>
      <c r="V3083" t="s">
        <v>645</v>
      </c>
      <c r="W3083" t="s">
        <v>113</v>
      </c>
    </row>
    <row r="3084" spans="1:23" hidden="1" x14ac:dyDescent="0.25">
      <c r="A3084" s="7" t="str">
        <f>IFERROR(VLOOKUP(H3084,'Contas Orç'!A:B,2,0),"N/A")</f>
        <v>COMBUSTIVEIS</v>
      </c>
      <c r="B3084" s="7" t="str">
        <f t="shared" si="96"/>
        <v>330301001 - COMBUSTIVEIS</v>
      </c>
      <c r="C3084" s="25">
        <f t="shared" si="97"/>
        <v>44835</v>
      </c>
      <c r="D3084" s="27">
        <f>IF(K3084="CREDITO",Q3084,Q3084*-1)</f>
        <v>2858.3</v>
      </c>
      <c r="E3084" t="s">
        <v>894</v>
      </c>
      <c r="F3084" t="s">
        <v>3579</v>
      </c>
      <c r="G3084" s="8">
        <v>44835</v>
      </c>
      <c r="H3084" t="s">
        <v>270</v>
      </c>
      <c r="I3084" t="s">
        <v>81</v>
      </c>
      <c r="J3084" t="s">
        <v>54</v>
      </c>
      <c r="K3084" t="s">
        <v>29</v>
      </c>
      <c r="L3084" t="s">
        <v>895</v>
      </c>
      <c r="M3084" t="s">
        <v>4402</v>
      </c>
      <c r="O3084" t="s">
        <v>896</v>
      </c>
      <c r="P3084" t="s">
        <v>33</v>
      </c>
      <c r="Q3084" s="22">
        <v>2858.3</v>
      </c>
      <c r="R3084" t="s">
        <v>35</v>
      </c>
      <c r="S3084" t="s">
        <v>35</v>
      </c>
      <c r="T3084" t="s">
        <v>35</v>
      </c>
      <c r="U3084" t="s">
        <v>35</v>
      </c>
      <c r="V3084" t="s">
        <v>645</v>
      </c>
      <c r="W3084" t="s">
        <v>113</v>
      </c>
    </row>
    <row r="3085" spans="1:23" hidden="1" x14ac:dyDescent="0.25">
      <c r="A3085" s="7" t="str">
        <f>IFERROR(VLOOKUP(H3085,'Contas Orç'!A:B,2,0),"N/A")</f>
        <v>COMBUSTIVEIS</v>
      </c>
      <c r="B3085" s="7" t="str">
        <f t="shared" si="96"/>
        <v>330301001 - COMBUSTIVEIS</v>
      </c>
      <c r="C3085" s="25">
        <f t="shared" si="97"/>
        <v>44866</v>
      </c>
      <c r="D3085" s="27">
        <f>IF(K3085="CREDITO",Q3085,Q3085*-1)</f>
        <v>653.54</v>
      </c>
      <c r="E3085" t="s">
        <v>894</v>
      </c>
      <c r="F3085" t="s">
        <v>3580</v>
      </c>
      <c r="G3085" s="8">
        <v>44866</v>
      </c>
      <c r="H3085" t="s">
        <v>270</v>
      </c>
      <c r="I3085" t="s">
        <v>68</v>
      </c>
      <c r="J3085" t="s">
        <v>69</v>
      </c>
      <c r="K3085" t="s">
        <v>29</v>
      </c>
      <c r="L3085" t="s">
        <v>895</v>
      </c>
      <c r="M3085" t="s">
        <v>4402</v>
      </c>
      <c r="O3085" t="s">
        <v>896</v>
      </c>
      <c r="P3085" t="s">
        <v>33</v>
      </c>
      <c r="Q3085">
        <v>653.54</v>
      </c>
      <c r="R3085" t="s">
        <v>35</v>
      </c>
      <c r="S3085" t="s">
        <v>35</v>
      </c>
      <c r="T3085" t="s">
        <v>35</v>
      </c>
      <c r="U3085" t="s">
        <v>35</v>
      </c>
      <c r="V3085" t="s">
        <v>645</v>
      </c>
      <c r="W3085" t="s">
        <v>113</v>
      </c>
    </row>
    <row r="3086" spans="1:23" hidden="1" x14ac:dyDescent="0.25">
      <c r="A3086" s="7" t="str">
        <f>IFERROR(VLOOKUP(H3086,'Contas Orç'!A:B,2,0),"N/A")</f>
        <v>COMBUSTIVEIS</v>
      </c>
      <c r="B3086" s="7" t="str">
        <f t="shared" si="96"/>
        <v>330301001 - COMBUSTIVEIS</v>
      </c>
      <c r="C3086" s="25">
        <f t="shared" si="97"/>
        <v>44866</v>
      </c>
      <c r="D3086" s="27">
        <f>IF(K3086="CREDITO",Q3086,Q3086*-1)</f>
        <v>237.1</v>
      </c>
      <c r="E3086" t="s">
        <v>894</v>
      </c>
      <c r="F3086" t="s">
        <v>3581</v>
      </c>
      <c r="G3086" s="8">
        <v>44866</v>
      </c>
      <c r="H3086" t="s">
        <v>270</v>
      </c>
      <c r="I3086" t="s">
        <v>2062</v>
      </c>
      <c r="J3086" t="s">
        <v>54</v>
      </c>
      <c r="K3086" t="s">
        <v>29</v>
      </c>
      <c r="L3086" t="s">
        <v>895</v>
      </c>
      <c r="M3086" t="s">
        <v>4402</v>
      </c>
      <c r="O3086" t="s">
        <v>896</v>
      </c>
      <c r="P3086" t="s">
        <v>33</v>
      </c>
      <c r="Q3086">
        <v>237.1</v>
      </c>
      <c r="R3086" t="s">
        <v>35</v>
      </c>
      <c r="S3086" t="s">
        <v>35</v>
      </c>
      <c r="T3086" t="s">
        <v>35</v>
      </c>
      <c r="U3086" t="s">
        <v>35</v>
      </c>
      <c r="V3086" t="s">
        <v>645</v>
      </c>
      <c r="W3086" t="s">
        <v>113</v>
      </c>
    </row>
    <row r="3087" spans="1:23" hidden="1" x14ac:dyDescent="0.25">
      <c r="A3087" s="7" t="str">
        <f>IFERROR(VLOOKUP(H3087,'Contas Orç'!A:B,2,0),"N/A")</f>
        <v>COMBUSTIVEIS</v>
      </c>
      <c r="B3087" s="7" t="str">
        <f t="shared" si="96"/>
        <v>330301001 - COMBUSTIVEIS</v>
      </c>
      <c r="C3087" s="25">
        <f t="shared" si="97"/>
        <v>44866</v>
      </c>
      <c r="D3087" s="27">
        <f>IF(K3087="CREDITO",Q3087,Q3087*-1)</f>
        <v>9849.49</v>
      </c>
      <c r="E3087" t="s">
        <v>894</v>
      </c>
      <c r="F3087" t="s">
        <v>3582</v>
      </c>
      <c r="G3087" s="8">
        <v>44866</v>
      </c>
      <c r="H3087" t="s">
        <v>270</v>
      </c>
      <c r="I3087" t="s">
        <v>40</v>
      </c>
      <c r="J3087" t="s">
        <v>54</v>
      </c>
      <c r="K3087" t="s">
        <v>29</v>
      </c>
      <c r="L3087" t="s">
        <v>895</v>
      </c>
      <c r="M3087" t="s">
        <v>4402</v>
      </c>
      <c r="O3087" t="s">
        <v>896</v>
      </c>
      <c r="P3087" t="s">
        <v>33</v>
      </c>
      <c r="Q3087" s="22">
        <v>9849.49</v>
      </c>
      <c r="R3087" t="s">
        <v>35</v>
      </c>
      <c r="S3087" t="s">
        <v>35</v>
      </c>
      <c r="T3087" t="s">
        <v>35</v>
      </c>
      <c r="U3087" t="s">
        <v>35</v>
      </c>
      <c r="V3087" t="s">
        <v>645</v>
      </c>
      <c r="W3087" t="s">
        <v>113</v>
      </c>
    </row>
    <row r="3088" spans="1:23" hidden="1" x14ac:dyDescent="0.25">
      <c r="A3088" s="7" t="str">
        <f>IFERROR(VLOOKUP(H3088,'Contas Orç'!A:B,2,0),"N/A")</f>
        <v>COMBUSTIVEIS</v>
      </c>
      <c r="B3088" s="7" t="str">
        <f t="shared" si="96"/>
        <v>330301001 - COMBUSTIVEIS</v>
      </c>
      <c r="C3088" s="25">
        <f t="shared" si="97"/>
        <v>44866</v>
      </c>
      <c r="D3088" s="27">
        <f>IF(K3088="CREDITO",Q3088,Q3088*-1)</f>
        <v>2886.88</v>
      </c>
      <c r="E3088" t="s">
        <v>894</v>
      </c>
      <c r="F3088" t="s">
        <v>3583</v>
      </c>
      <c r="G3088" s="8">
        <v>44866</v>
      </c>
      <c r="H3088" t="s">
        <v>270</v>
      </c>
      <c r="I3088" t="s">
        <v>81</v>
      </c>
      <c r="J3088" t="s">
        <v>54</v>
      </c>
      <c r="K3088" t="s">
        <v>29</v>
      </c>
      <c r="L3088" t="s">
        <v>895</v>
      </c>
      <c r="M3088" t="s">
        <v>4402</v>
      </c>
      <c r="O3088" t="s">
        <v>896</v>
      </c>
      <c r="P3088" t="s">
        <v>33</v>
      </c>
      <c r="Q3088" s="22">
        <v>2886.88</v>
      </c>
      <c r="R3088" t="s">
        <v>35</v>
      </c>
      <c r="S3088" t="s">
        <v>35</v>
      </c>
      <c r="T3088" t="s">
        <v>35</v>
      </c>
      <c r="U3088" t="s">
        <v>35</v>
      </c>
      <c r="V3088" t="s">
        <v>645</v>
      </c>
      <c r="W3088" t="s">
        <v>113</v>
      </c>
    </row>
    <row r="3089" spans="1:23" hidden="1" x14ac:dyDescent="0.25">
      <c r="A3089" s="7" t="str">
        <f>IFERROR(VLOOKUP(H3089,'Contas Orç'!A:B,2,0),"N/A")</f>
        <v>COMBUSTIVEIS</v>
      </c>
      <c r="B3089" s="7" t="str">
        <f t="shared" si="96"/>
        <v>330301001 - COMBUSTIVEIS</v>
      </c>
      <c r="C3089" s="25">
        <f t="shared" si="97"/>
        <v>44896</v>
      </c>
      <c r="D3089" s="27">
        <f>IF(K3089="CREDITO",Q3089,Q3089*-1)</f>
        <v>660.07</v>
      </c>
      <c r="E3089" t="s">
        <v>894</v>
      </c>
      <c r="F3089" t="s">
        <v>3584</v>
      </c>
      <c r="G3089" s="8">
        <v>44896</v>
      </c>
      <c r="H3089" t="s">
        <v>270</v>
      </c>
      <c r="I3089" t="s">
        <v>68</v>
      </c>
      <c r="J3089" t="s">
        <v>69</v>
      </c>
      <c r="K3089" t="s">
        <v>29</v>
      </c>
      <c r="L3089" t="s">
        <v>895</v>
      </c>
      <c r="M3089" t="s">
        <v>4402</v>
      </c>
      <c r="O3089" t="s">
        <v>896</v>
      </c>
      <c r="P3089" t="s">
        <v>33</v>
      </c>
      <c r="Q3089">
        <v>660.07</v>
      </c>
      <c r="R3089" t="s">
        <v>35</v>
      </c>
      <c r="S3089" t="s">
        <v>35</v>
      </c>
      <c r="T3089" t="s">
        <v>35</v>
      </c>
      <c r="U3089" t="s">
        <v>35</v>
      </c>
      <c r="V3089" t="s">
        <v>645</v>
      </c>
      <c r="W3089" t="s">
        <v>113</v>
      </c>
    </row>
    <row r="3090" spans="1:23" hidden="1" x14ac:dyDescent="0.25">
      <c r="A3090" s="7" t="str">
        <f>IFERROR(VLOOKUP(H3090,'Contas Orç'!A:B,2,0),"N/A")</f>
        <v>COMBUSTIVEIS</v>
      </c>
      <c r="B3090" s="7" t="str">
        <f t="shared" si="96"/>
        <v>330301001 - COMBUSTIVEIS</v>
      </c>
      <c r="C3090" s="25">
        <f t="shared" si="97"/>
        <v>44896</v>
      </c>
      <c r="D3090" s="27">
        <f>IF(K3090="CREDITO",Q3090,Q3090*-1)</f>
        <v>239.47</v>
      </c>
      <c r="E3090" t="s">
        <v>894</v>
      </c>
      <c r="F3090" t="s">
        <v>3585</v>
      </c>
      <c r="G3090" s="8">
        <v>44896</v>
      </c>
      <c r="H3090" t="s">
        <v>270</v>
      </c>
      <c r="I3090" t="s">
        <v>2062</v>
      </c>
      <c r="J3090" t="s">
        <v>54</v>
      </c>
      <c r="K3090" t="s">
        <v>29</v>
      </c>
      <c r="L3090" t="s">
        <v>895</v>
      </c>
      <c r="M3090" t="s">
        <v>4402</v>
      </c>
      <c r="O3090" t="s">
        <v>896</v>
      </c>
      <c r="P3090" t="s">
        <v>33</v>
      </c>
      <c r="Q3090">
        <v>239.47</v>
      </c>
      <c r="R3090" t="s">
        <v>35</v>
      </c>
      <c r="S3090" t="s">
        <v>35</v>
      </c>
      <c r="T3090" t="s">
        <v>35</v>
      </c>
      <c r="U3090" t="s">
        <v>35</v>
      </c>
      <c r="V3090" t="s">
        <v>645</v>
      </c>
      <c r="W3090" t="s">
        <v>113</v>
      </c>
    </row>
    <row r="3091" spans="1:23" hidden="1" x14ac:dyDescent="0.25">
      <c r="A3091" s="7" t="str">
        <f>IFERROR(VLOOKUP(H3091,'Contas Orç'!A:B,2,0),"N/A")</f>
        <v>COMBUSTIVEIS</v>
      </c>
      <c r="B3091" s="7" t="str">
        <f t="shared" si="96"/>
        <v>330301001 - COMBUSTIVEIS</v>
      </c>
      <c r="C3091" s="25">
        <f t="shared" si="97"/>
        <v>44896</v>
      </c>
      <c r="D3091" s="27">
        <f>IF(K3091="CREDITO",Q3091,Q3091*-1)</f>
        <v>9947.99</v>
      </c>
      <c r="E3091" t="s">
        <v>894</v>
      </c>
      <c r="F3091" t="s">
        <v>3586</v>
      </c>
      <c r="G3091" s="8">
        <v>44896</v>
      </c>
      <c r="H3091" t="s">
        <v>270</v>
      </c>
      <c r="I3091" t="s">
        <v>40</v>
      </c>
      <c r="J3091" t="s">
        <v>54</v>
      </c>
      <c r="K3091" t="s">
        <v>29</v>
      </c>
      <c r="L3091" t="s">
        <v>895</v>
      </c>
      <c r="M3091" t="s">
        <v>4402</v>
      </c>
      <c r="O3091" t="s">
        <v>896</v>
      </c>
      <c r="P3091" t="s">
        <v>33</v>
      </c>
      <c r="Q3091" s="22">
        <v>9947.99</v>
      </c>
      <c r="R3091" t="s">
        <v>35</v>
      </c>
      <c r="S3091" t="s">
        <v>35</v>
      </c>
      <c r="T3091" t="s">
        <v>35</v>
      </c>
      <c r="U3091" t="s">
        <v>35</v>
      </c>
      <c r="V3091" t="s">
        <v>645</v>
      </c>
      <c r="W3091" t="s">
        <v>113</v>
      </c>
    </row>
    <row r="3092" spans="1:23" hidden="1" x14ac:dyDescent="0.25">
      <c r="A3092" s="7" t="str">
        <f>IFERROR(VLOOKUP(H3092,'Contas Orç'!A:B,2,0),"N/A")</f>
        <v>COMBUSTIVEIS</v>
      </c>
      <c r="B3092" s="7" t="str">
        <f t="shared" si="96"/>
        <v>330301001 - COMBUSTIVEIS</v>
      </c>
      <c r="C3092" s="25">
        <f t="shared" si="97"/>
        <v>44896</v>
      </c>
      <c r="D3092" s="27">
        <f>IF(K3092="CREDITO",Q3092,Q3092*-1)</f>
        <v>2915.75</v>
      </c>
      <c r="E3092" t="s">
        <v>894</v>
      </c>
      <c r="F3092" t="s">
        <v>3587</v>
      </c>
      <c r="G3092" s="8">
        <v>44896</v>
      </c>
      <c r="H3092" t="s">
        <v>270</v>
      </c>
      <c r="I3092" t="s">
        <v>81</v>
      </c>
      <c r="J3092" t="s">
        <v>54</v>
      </c>
      <c r="K3092" t="s">
        <v>29</v>
      </c>
      <c r="L3092" t="s">
        <v>895</v>
      </c>
      <c r="M3092" t="s">
        <v>4402</v>
      </c>
      <c r="O3092" t="s">
        <v>896</v>
      </c>
      <c r="P3092" t="s">
        <v>33</v>
      </c>
      <c r="Q3092" s="22">
        <v>2915.75</v>
      </c>
      <c r="R3092" t="s">
        <v>35</v>
      </c>
      <c r="S3092" t="s">
        <v>35</v>
      </c>
      <c r="T3092" t="s">
        <v>35</v>
      </c>
      <c r="U3092" t="s">
        <v>35</v>
      </c>
      <c r="V3092" t="s">
        <v>645</v>
      </c>
      <c r="W3092" t="s">
        <v>113</v>
      </c>
    </row>
    <row r="3093" spans="1:23" hidden="1" x14ac:dyDescent="0.25">
      <c r="A3093" s="7" t="str">
        <f>IFERROR(VLOOKUP(H3093,'Contas Orç'!A:B,2,0),"N/A")</f>
        <v>LUBRIFICANTES</v>
      </c>
      <c r="B3093" s="7" t="str">
        <f t="shared" si="96"/>
        <v>330301002 - LUBRIFICANTES</v>
      </c>
      <c r="C3093" s="25">
        <f t="shared" si="97"/>
        <v>44562</v>
      </c>
      <c r="D3093" s="27">
        <f>IF(K3093="CREDITO",Q3093,Q3093*-1)</f>
        <v>38</v>
      </c>
      <c r="E3093" t="s">
        <v>894</v>
      </c>
      <c r="F3093" t="s">
        <v>3588</v>
      </c>
      <c r="G3093" s="8">
        <v>44562</v>
      </c>
      <c r="H3093" t="s">
        <v>586</v>
      </c>
      <c r="I3093" t="s">
        <v>2062</v>
      </c>
      <c r="J3093" t="s">
        <v>54</v>
      </c>
      <c r="K3093" t="s">
        <v>29</v>
      </c>
      <c r="L3093" t="s">
        <v>895</v>
      </c>
      <c r="M3093" t="s">
        <v>4402</v>
      </c>
      <c r="O3093" t="s">
        <v>896</v>
      </c>
      <c r="P3093" t="s">
        <v>33</v>
      </c>
      <c r="Q3093">
        <v>38</v>
      </c>
      <c r="R3093" t="s">
        <v>35</v>
      </c>
      <c r="S3093" t="s">
        <v>35</v>
      </c>
      <c r="T3093" t="s">
        <v>35</v>
      </c>
      <c r="U3093" t="s">
        <v>35</v>
      </c>
      <c r="V3093" t="s">
        <v>645</v>
      </c>
      <c r="W3093" t="s">
        <v>113</v>
      </c>
    </row>
    <row r="3094" spans="1:23" hidden="1" x14ac:dyDescent="0.25">
      <c r="A3094" s="7" t="str">
        <f>IFERROR(VLOOKUP(H3094,'Contas Orç'!A:B,2,0),"N/A")</f>
        <v>LUBRIFICANTES</v>
      </c>
      <c r="B3094" s="7" t="str">
        <f t="shared" si="96"/>
        <v>330301002 - LUBRIFICANTES</v>
      </c>
      <c r="C3094" s="25">
        <f t="shared" si="97"/>
        <v>44562</v>
      </c>
      <c r="D3094" s="27">
        <f>IF(K3094="CREDITO",Q3094,Q3094*-1)</f>
        <v>247.57</v>
      </c>
      <c r="E3094" t="s">
        <v>894</v>
      </c>
      <c r="F3094" t="s">
        <v>3589</v>
      </c>
      <c r="G3094" s="8">
        <v>44562</v>
      </c>
      <c r="H3094" t="s">
        <v>586</v>
      </c>
      <c r="I3094" t="s">
        <v>40</v>
      </c>
      <c r="J3094" t="s">
        <v>54</v>
      </c>
      <c r="K3094" t="s">
        <v>29</v>
      </c>
      <c r="L3094" t="s">
        <v>895</v>
      </c>
      <c r="M3094" t="s">
        <v>4402</v>
      </c>
      <c r="O3094" t="s">
        <v>896</v>
      </c>
      <c r="P3094" t="s">
        <v>33</v>
      </c>
      <c r="Q3094">
        <v>247.57</v>
      </c>
      <c r="R3094" t="s">
        <v>35</v>
      </c>
      <c r="S3094" t="s">
        <v>35</v>
      </c>
      <c r="T3094" t="s">
        <v>35</v>
      </c>
      <c r="U3094" t="s">
        <v>35</v>
      </c>
      <c r="V3094" t="s">
        <v>645</v>
      </c>
      <c r="W3094" t="s">
        <v>113</v>
      </c>
    </row>
    <row r="3095" spans="1:23" hidden="1" x14ac:dyDescent="0.25">
      <c r="A3095" s="7" t="str">
        <f>IFERROR(VLOOKUP(H3095,'Contas Orç'!A:B,2,0),"N/A")</f>
        <v>LUBRIFICANTES</v>
      </c>
      <c r="B3095" s="7" t="str">
        <f t="shared" si="96"/>
        <v>330301002 - LUBRIFICANTES</v>
      </c>
      <c r="C3095" s="25">
        <f t="shared" si="97"/>
        <v>44593</v>
      </c>
      <c r="D3095" s="27">
        <f>IF(K3095="CREDITO",Q3095,Q3095*-1)</f>
        <v>814.7</v>
      </c>
      <c r="E3095" t="s">
        <v>894</v>
      </c>
      <c r="F3095" t="s">
        <v>3590</v>
      </c>
      <c r="G3095" s="8">
        <v>44593</v>
      </c>
      <c r="H3095" t="s">
        <v>586</v>
      </c>
      <c r="I3095" t="s">
        <v>2062</v>
      </c>
      <c r="J3095" t="s">
        <v>54</v>
      </c>
      <c r="K3095" t="s">
        <v>29</v>
      </c>
      <c r="L3095" t="s">
        <v>895</v>
      </c>
      <c r="M3095" t="s">
        <v>4402</v>
      </c>
      <c r="O3095" t="s">
        <v>896</v>
      </c>
      <c r="P3095" t="s">
        <v>33</v>
      </c>
      <c r="Q3095">
        <v>814.7</v>
      </c>
      <c r="R3095" t="s">
        <v>35</v>
      </c>
      <c r="S3095" t="s">
        <v>35</v>
      </c>
      <c r="T3095" t="s">
        <v>35</v>
      </c>
      <c r="U3095" t="s">
        <v>35</v>
      </c>
      <c r="V3095" t="s">
        <v>645</v>
      </c>
      <c r="W3095" t="s">
        <v>113</v>
      </c>
    </row>
    <row r="3096" spans="1:23" hidden="1" x14ac:dyDescent="0.25">
      <c r="A3096" s="7" t="str">
        <f>IFERROR(VLOOKUP(H3096,'Contas Orç'!A:B,2,0),"N/A")</f>
        <v>LUBRIFICANTES</v>
      </c>
      <c r="B3096" s="7" t="str">
        <f t="shared" si="96"/>
        <v>330301002 - LUBRIFICANTES</v>
      </c>
      <c r="C3096" s="25">
        <f t="shared" si="97"/>
        <v>44593</v>
      </c>
      <c r="D3096" s="27">
        <f>IF(K3096="CREDITO",Q3096,Q3096*-1)</f>
        <v>157.54</v>
      </c>
      <c r="E3096" t="s">
        <v>894</v>
      </c>
      <c r="F3096" t="s">
        <v>3591</v>
      </c>
      <c r="G3096" s="8">
        <v>44593</v>
      </c>
      <c r="H3096" t="s">
        <v>586</v>
      </c>
      <c r="I3096" t="s">
        <v>40</v>
      </c>
      <c r="J3096" t="s">
        <v>54</v>
      </c>
      <c r="K3096" t="s">
        <v>29</v>
      </c>
      <c r="L3096" t="s">
        <v>895</v>
      </c>
      <c r="M3096" t="s">
        <v>4402</v>
      </c>
      <c r="O3096" t="s">
        <v>896</v>
      </c>
      <c r="P3096" t="s">
        <v>33</v>
      </c>
      <c r="Q3096">
        <v>157.54</v>
      </c>
      <c r="R3096" t="s">
        <v>35</v>
      </c>
      <c r="S3096" t="s">
        <v>35</v>
      </c>
      <c r="T3096" t="s">
        <v>35</v>
      </c>
      <c r="U3096" t="s">
        <v>35</v>
      </c>
      <c r="V3096" t="s">
        <v>645</v>
      </c>
      <c r="W3096" t="s">
        <v>113</v>
      </c>
    </row>
    <row r="3097" spans="1:23" hidden="1" x14ac:dyDescent="0.25">
      <c r="A3097" s="7" t="str">
        <f>IFERROR(VLOOKUP(H3097,'Contas Orç'!A:B,2,0),"N/A")</f>
        <v>LUBRIFICANTES</v>
      </c>
      <c r="B3097" s="7" t="str">
        <f t="shared" si="96"/>
        <v>330301002 - LUBRIFICANTES</v>
      </c>
      <c r="C3097" s="25">
        <f t="shared" si="97"/>
        <v>44593</v>
      </c>
      <c r="D3097" s="27">
        <f>IF(K3097="CREDITO",Q3097,Q3097*-1)</f>
        <v>230.82</v>
      </c>
      <c r="E3097" t="s">
        <v>894</v>
      </c>
      <c r="F3097" t="s">
        <v>3592</v>
      </c>
      <c r="G3097" s="8">
        <v>44593</v>
      </c>
      <c r="H3097" t="s">
        <v>586</v>
      </c>
      <c r="I3097" t="s">
        <v>136</v>
      </c>
      <c r="J3097" t="s">
        <v>54</v>
      </c>
      <c r="K3097" t="s">
        <v>29</v>
      </c>
      <c r="L3097" t="s">
        <v>895</v>
      </c>
      <c r="M3097" t="s">
        <v>4402</v>
      </c>
      <c r="O3097" t="s">
        <v>896</v>
      </c>
      <c r="P3097" t="s">
        <v>33</v>
      </c>
      <c r="Q3097">
        <v>230.82</v>
      </c>
      <c r="R3097" t="s">
        <v>35</v>
      </c>
      <c r="S3097" t="s">
        <v>35</v>
      </c>
      <c r="T3097" t="s">
        <v>35</v>
      </c>
      <c r="U3097" t="s">
        <v>35</v>
      </c>
      <c r="V3097" t="s">
        <v>645</v>
      </c>
      <c r="W3097" t="s">
        <v>113</v>
      </c>
    </row>
    <row r="3098" spans="1:23" hidden="1" x14ac:dyDescent="0.25">
      <c r="A3098" s="7" t="str">
        <f>IFERROR(VLOOKUP(H3098,'Contas Orç'!A:B,2,0),"N/A")</f>
        <v>LUBRIFICANTES</v>
      </c>
      <c r="B3098" s="7" t="str">
        <f t="shared" si="96"/>
        <v>330301002 - LUBRIFICANTES</v>
      </c>
      <c r="C3098" s="25">
        <f t="shared" si="97"/>
        <v>44621</v>
      </c>
      <c r="D3098" s="27">
        <f>IF(K3098="CREDITO",Q3098,Q3098*-1)</f>
        <v>158.52000000000001</v>
      </c>
      <c r="E3098" t="s">
        <v>894</v>
      </c>
      <c r="F3098" t="s">
        <v>3593</v>
      </c>
      <c r="G3098" s="8">
        <v>44621</v>
      </c>
      <c r="H3098" t="s">
        <v>586</v>
      </c>
      <c r="I3098" t="s">
        <v>40</v>
      </c>
      <c r="J3098" t="s">
        <v>54</v>
      </c>
      <c r="K3098" t="s">
        <v>29</v>
      </c>
      <c r="L3098" t="s">
        <v>895</v>
      </c>
      <c r="M3098" t="s">
        <v>4402</v>
      </c>
      <c r="O3098" t="s">
        <v>896</v>
      </c>
      <c r="P3098" t="s">
        <v>33</v>
      </c>
      <c r="Q3098">
        <v>158.52000000000001</v>
      </c>
      <c r="R3098" t="s">
        <v>35</v>
      </c>
      <c r="S3098" t="s">
        <v>35</v>
      </c>
      <c r="T3098" t="s">
        <v>35</v>
      </c>
      <c r="U3098" t="s">
        <v>35</v>
      </c>
      <c r="V3098" t="s">
        <v>645</v>
      </c>
      <c r="W3098" t="s">
        <v>113</v>
      </c>
    </row>
    <row r="3099" spans="1:23" hidden="1" x14ac:dyDescent="0.25">
      <c r="A3099" s="7" t="str">
        <f>IFERROR(VLOOKUP(H3099,'Contas Orç'!A:B,2,0),"N/A")</f>
        <v>LUBRIFICANTES</v>
      </c>
      <c r="B3099" s="7" t="str">
        <f t="shared" si="96"/>
        <v>330301002 - LUBRIFICANTES</v>
      </c>
      <c r="C3099" s="25">
        <f t="shared" si="97"/>
        <v>44682</v>
      </c>
      <c r="D3099" s="27">
        <f>IF(K3099="CREDITO",Q3099,Q3099*-1)</f>
        <v>228.27</v>
      </c>
      <c r="E3099" t="s">
        <v>894</v>
      </c>
      <c r="F3099" t="s">
        <v>3594</v>
      </c>
      <c r="G3099" s="8">
        <v>44682</v>
      </c>
      <c r="H3099" t="s">
        <v>586</v>
      </c>
      <c r="I3099" t="s">
        <v>40</v>
      </c>
      <c r="J3099" t="s">
        <v>54</v>
      </c>
      <c r="K3099" t="s">
        <v>29</v>
      </c>
      <c r="L3099" t="s">
        <v>895</v>
      </c>
      <c r="M3099" t="s">
        <v>4402</v>
      </c>
      <c r="O3099" t="s">
        <v>896</v>
      </c>
      <c r="P3099" t="s">
        <v>33</v>
      </c>
      <c r="Q3099">
        <v>228.27</v>
      </c>
      <c r="R3099" t="s">
        <v>35</v>
      </c>
      <c r="S3099" t="s">
        <v>35</v>
      </c>
      <c r="T3099" t="s">
        <v>35</v>
      </c>
      <c r="U3099" t="s">
        <v>35</v>
      </c>
      <c r="V3099" t="s">
        <v>645</v>
      </c>
      <c r="W3099" t="s">
        <v>113</v>
      </c>
    </row>
    <row r="3100" spans="1:23" hidden="1" x14ac:dyDescent="0.25">
      <c r="A3100" s="7" t="str">
        <f>IFERROR(VLOOKUP(H3100,'Contas Orç'!A:B,2,0),"N/A")</f>
        <v>LUBRIFICANTES</v>
      </c>
      <c r="B3100" s="7" t="str">
        <f t="shared" si="96"/>
        <v>330301002 - LUBRIFICANTES</v>
      </c>
      <c r="C3100" s="25">
        <f t="shared" si="97"/>
        <v>44713</v>
      </c>
      <c r="D3100" s="27">
        <f>IF(K3100="CREDITO",Q3100,Q3100*-1)</f>
        <v>477.6</v>
      </c>
      <c r="E3100" t="s">
        <v>894</v>
      </c>
      <c r="F3100" t="s">
        <v>3595</v>
      </c>
      <c r="G3100" s="8">
        <v>44713</v>
      </c>
      <c r="H3100" t="s">
        <v>586</v>
      </c>
      <c r="I3100" t="s">
        <v>2062</v>
      </c>
      <c r="J3100" t="s">
        <v>54</v>
      </c>
      <c r="K3100" t="s">
        <v>29</v>
      </c>
      <c r="L3100" t="s">
        <v>895</v>
      </c>
      <c r="M3100" t="s">
        <v>4402</v>
      </c>
      <c r="O3100" t="s">
        <v>896</v>
      </c>
      <c r="P3100" t="s">
        <v>33</v>
      </c>
      <c r="Q3100">
        <v>477.6</v>
      </c>
      <c r="R3100" t="s">
        <v>35</v>
      </c>
      <c r="S3100" t="s">
        <v>35</v>
      </c>
      <c r="T3100" t="s">
        <v>35</v>
      </c>
      <c r="U3100" t="s">
        <v>35</v>
      </c>
      <c r="V3100" t="s">
        <v>645</v>
      </c>
      <c r="W3100" t="s">
        <v>113</v>
      </c>
    </row>
    <row r="3101" spans="1:23" hidden="1" x14ac:dyDescent="0.25">
      <c r="A3101" s="7" t="str">
        <f>IFERROR(VLOOKUP(H3101,'Contas Orç'!A:B,2,0),"N/A")</f>
        <v>LUBRIFICANTES</v>
      </c>
      <c r="B3101" s="7" t="str">
        <f t="shared" si="96"/>
        <v>330301002 - LUBRIFICANTES</v>
      </c>
      <c r="C3101" s="25">
        <f t="shared" si="97"/>
        <v>44743</v>
      </c>
      <c r="D3101" s="27">
        <f>IF(K3101="CREDITO",Q3101,Q3101*-1)</f>
        <v>784.4</v>
      </c>
      <c r="E3101" t="s">
        <v>894</v>
      </c>
      <c r="F3101" t="s">
        <v>3596</v>
      </c>
      <c r="G3101" s="8">
        <v>44743</v>
      </c>
      <c r="H3101" t="s">
        <v>586</v>
      </c>
      <c r="I3101" t="s">
        <v>2062</v>
      </c>
      <c r="J3101" t="s">
        <v>54</v>
      </c>
      <c r="K3101" t="s">
        <v>29</v>
      </c>
      <c r="L3101" t="s">
        <v>895</v>
      </c>
      <c r="M3101" t="s">
        <v>4402</v>
      </c>
      <c r="O3101" t="s">
        <v>896</v>
      </c>
      <c r="P3101" t="s">
        <v>33</v>
      </c>
      <c r="Q3101">
        <v>784.4</v>
      </c>
      <c r="R3101" t="s">
        <v>35</v>
      </c>
      <c r="S3101" t="s">
        <v>35</v>
      </c>
      <c r="T3101" t="s">
        <v>35</v>
      </c>
      <c r="U3101" t="s">
        <v>35</v>
      </c>
      <c r="V3101" t="s">
        <v>645</v>
      </c>
      <c r="W3101" t="s">
        <v>113</v>
      </c>
    </row>
    <row r="3102" spans="1:23" hidden="1" x14ac:dyDescent="0.25">
      <c r="A3102" s="7" t="str">
        <f>IFERROR(VLOOKUP(H3102,'Contas Orç'!A:B,2,0),"N/A")</f>
        <v>LUBRIFICANTES</v>
      </c>
      <c r="B3102" s="7" t="str">
        <f t="shared" si="96"/>
        <v>330301002 - LUBRIFICANTES</v>
      </c>
      <c r="C3102" s="25">
        <f t="shared" si="97"/>
        <v>44743</v>
      </c>
      <c r="D3102" s="27">
        <f>IF(K3102="CREDITO",Q3102,Q3102*-1)</f>
        <v>119.57</v>
      </c>
      <c r="E3102" t="s">
        <v>894</v>
      </c>
      <c r="F3102" t="s">
        <v>3597</v>
      </c>
      <c r="G3102" s="8">
        <v>44743</v>
      </c>
      <c r="H3102" t="s">
        <v>586</v>
      </c>
      <c r="I3102" t="s">
        <v>40</v>
      </c>
      <c r="J3102" t="s">
        <v>54</v>
      </c>
      <c r="K3102" t="s">
        <v>29</v>
      </c>
      <c r="L3102" t="s">
        <v>895</v>
      </c>
      <c r="M3102" t="s">
        <v>4402</v>
      </c>
      <c r="O3102" t="s">
        <v>896</v>
      </c>
      <c r="P3102" t="s">
        <v>33</v>
      </c>
      <c r="Q3102">
        <v>119.57</v>
      </c>
      <c r="R3102" t="s">
        <v>35</v>
      </c>
      <c r="S3102" t="s">
        <v>35</v>
      </c>
      <c r="T3102" t="s">
        <v>35</v>
      </c>
      <c r="U3102" t="s">
        <v>35</v>
      </c>
      <c r="V3102" t="s">
        <v>645</v>
      </c>
      <c r="W3102" t="s">
        <v>113</v>
      </c>
    </row>
    <row r="3103" spans="1:23" hidden="1" x14ac:dyDescent="0.25">
      <c r="A3103" s="7" t="str">
        <f>IFERROR(VLOOKUP(H3103,'Contas Orç'!A:B,2,0),"N/A")</f>
        <v>LUBRIFICANTES</v>
      </c>
      <c r="B3103" s="7" t="str">
        <f t="shared" si="96"/>
        <v>330301002 - LUBRIFICANTES</v>
      </c>
      <c r="C3103" s="25">
        <f t="shared" si="97"/>
        <v>44774</v>
      </c>
      <c r="D3103" s="27">
        <f>IF(K3103="CREDITO",Q3103,Q3103*-1)</f>
        <v>30.88</v>
      </c>
      <c r="E3103" t="s">
        <v>894</v>
      </c>
      <c r="F3103" t="s">
        <v>3598</v>
      </c>
      <c r="G3103" s="8">
        <v>44774</v>
      </c>
      <c r="H3103" t="s">
        <v>586</v>
      </c>
      <c r="I3103" t="s">
        <v>40</v>
      </c>
      <c r="J3103" t="s">
        <v>54</v>
      </c>
      <c r="K3103" t="s">
        <v>29</v>
      </c>
      <c r="L3103" t="s">
        <v>895</v>
      </c>
      <c r="M3103" t="s">
        <v>4402</v>
      </c>
      <c r="O3103" t="s">
        <v>896</v>
      </c>
      <c r="P3103" t="s">
        <v>33</v>
      </c>
      <c r="Q3103">
        <v>30.88</v>
      </c>
      <c r="R3103" t="s">
        <v>35</v>
      </c>
      <c r="S3103" t="s">
        <v>35</v>
      </c>
      <c r="T3103" t="s">
        <v>35</v>
      </c>
      <c r="U3103" t="s">
        <v>35</v>
      </c>
      <c r="V3103" t="s">
        <v>645</v>
      </c>
      <c r="W3103" t="s">
        <v>113</v>
      </c>
    </row>
    <row r="3104" spans="1:23" hidden="1" x14ac:dyDescent="0.25">
      <c r="A3104" s="7" t="str">
        <f>IFERROR(VLOOKUP(H3104,'Contas Orç'!A:B,2,0),"N/A")</f>
        <v>LUBRIFICANTES</v>
      </c>
      <c r="B3104" s="7" t="str">
        <f t="shared" si="96"/>
        <v>330301002 - LUBRIFICANTES</v>
      </c>
      <c r="C3104" s="25">
        <f t="shared" si="97"/>
        <v>44805</v>
      </c>
      <c r="D3104" s="27">
        <f>IF(K3104="CREDITO",Q3104,Q3104*-1)</f>
        <v>171.15</v>
      </c>
      <c r="E3104" t="s">
        <v>894</v>
      </c>
      <c r="F3104" t="s">
        <v>3599</v>
      </c>
      <c r="G3104" s="8">
        <v>44805</v>
      </c>
      <c r="H3104" t="s">
        <v>586</v>
      </c>
      <c r="I3104" t="s">
        <v>40</v>
      </c>
      <c r="J3104" t="s">
        <v>54</v>
      </c>
      <c r="K3104" t="s">
        <v>29</v>
      </c>
      <c r="L3104" t="s">
        <v>895</v>
      </c>
      <c r="M3104" t="s">
        <v>4402</v>
      </c>
      <c r="O3104" t="s">
        <v>896</v>
      </c>
      <c r="P3104" t="s">
        <v>33</v>
      </c>
      <c r="Q3104">
        <v>171.15</v>
      </c>
      <c r="R3104" t="s">
        <v>35</v>
      </c>
      <c r="S3104" t="s">
        <v>35</v>
      </c>
      <c r="T3104" t="s">
        <v>35</v>
      </c>
      <c r="U3104" t="s">
        <v>35</v>
      </c>
      <c r="V3104" t="s">
        <v>645</v>
      </c>
      <c r="W3104" t="s">
        <v>113</v>
      </c>
    </row>
    <row r="3105" spans="1:23" hidden="1" x14ac:dyDescent="0.25">
      <c r="A3105" s="7" t="str">
        <f>IFERROR(VLOOKUP(H3105,'Contas Orç'!A:B,2,0),"N/A")</f>
        <v>LUBRIFICANTES</v>
      </c>
      <c r="B3105" s="7" t="str">
        <f t="shared" si="96"/>
        <v>330301002 - LUBRIFICANTES</v>
      </c>
      <c r="C3105" s="25">
        <f t="shared" si="97"/>
        <v>44835</v>
      </c>
      <c r="D3105" s="27">
        <f>IF(K3105="CREDITO",Q3105,Q3105*-1)</f>
        <v>172.86</v>
      </c>
      <c r="E3105" t="s">
        <v>894</v>
      </c>
      <c r="F3105" t="s">
        <v>3600</v>
      </c>
      <c r="G3105" s="8">
        <v>44835</v>
      </c>
      <c r="H3105" t="s">
        <v>586</v>
      </c>
      <c r="I3105" t="s">
        <v>40</v>
      </c>
      <c r="J3105" t="s">
        <v>54</v>
      </c>
      <c r="K3105" t="s">
        <v>29</v>
      </c>
      <c r="L3105" t="s">
        <v>895</v>
      </c>
      <c r="M3105" t="s">
        <v>4402</v>
      </c>
      <c r="O3105" t="s">
        <v>896</v>
      </c>
      <c r="P3105" t="s">
        <v>33</v>
      </c>
      <c r="Q3105">
        <v>172.86</v>
      </c>
      <c r="R3105" t="s">
        <v>35</v>
      </c>
      <c r="S3105" t="s">
        <v>35</v>
      </c>
      <c r="T3105" t="s">
        <v>35</v>
      </c>
      <c r="U3105" t="s">
        <v>35</v>
      </c>
      <c r="V3105" t="s">
        <v>645</v>
      </c>
      <c r="W3105" t="s">
        <v>113</v>
      </c>
    </row>
    <row r="3106" spans="1:23" hidden="1" x14ac:dyDescent="0.25">
      <c r="A3106" s="7" t="str">
        <f>IFERROR(VLOOKUP(H3106,'Contas Orç'!A:B,2,0),"N/A")</f>
        <v>LUBRIFICANTES</v>
      </c>
      <c r="B3106" s="7" t="str">
        <f t="shared" si="96"/>
        <v>330301002 - LUBRIFICANTES</v>
      </c>
      <c r="C3106" s="25">
        <f t="shared" si="97"/>
        <v>44866</v>
      </c>
      <c r="D3106" s="27">
        <f>IF(K3106="CREDITO",Q3106,Q3106*-1)</f>
        <v>174.59</v>
      </c>
      <c r="E3106" t="s">
        <v>894</v>
      </c>
      <c r="F3106" t="s">
        <v>3601</v>
      </c>
      <c r="G3106" s="8">
        <v>44866</v>
      </c>
      <c r="H3106" t="s">
        <v>586</v>
      </c>
      <c r="I3106" t="s">
        <v>40</v>
      </c>
      <c r="J3106" t="s">
        <v>54</v>
      </c>
      <c r="K3106" t="s">
        <v>29</v>
      </c>
      <c r="L3106" t="s">
        <v>895</v>
      </c>
      <c r="M3106" t="s">
        <v>4402</v>
      </c>
      <c r="O3106" t="s">
        <v>896</v>
      </c>
      <c r="P3106" t="s">
        <v>33</v>
      </c>
      <c r="Q3106">
        <v>174.59</v>
      </c>
      <c r="R3106" t="s">
        <v>35</v>
      </c>
      <c r="S3106" t="s">
        <v>35</v>
      </c>
      <c r="T3106" t="s">
        <v>35</v>
      </c>
      <c r="U3106" t="s">
        <v>35</v>
      </c>
      <c r="V3106" t="s">
        <v>645</v>
      </c>
      <c r="W3106" t="s">
        <v>113</v>
      </c>
    </row>
    <row r="3107" spans="1:23" hidden="1" x14ac:dyDescent="0.25">
      <c r="A3107" s="7" t="str">
        <f>IFERROR(VLOOKUP(H3107,'Contas Orç'!A:B,2,0),"N/A")</f>
        <v>LUBRIFICANTES</v>
      </c>
      <c r="B3107" s="7" t="str">
        <f t="shared" si="96"/>
        <v>330301002 - LUBRIFICANTES</v>
      </c>
      <c r="C3107" s="25">
        <f t="shared" si="97"/>
        <v>44896</v>
      </c>
      <c r="D3107" s="27">
        <f>IF(K3107="CREDITO",Q3107,Q3107*-1)</f>
        <v>176.34</v>
      </c>
      <c r="E3107" t="s">
        <v>894</v>
      </c>
      <c r="F3107" t="s">
        <v>3602</v>
      </c>
      <c r="G3107" s="8">
        <v>44896</v>
      </c>
      <c r="H3107" t="s">
        <v>586</v>
      </c>
      <c r="I3107" t="s">
        <v>40</v>
      </c>
      <c r="J3107" t="s">
        <v>54</v>
      </c>
      <c r="K3107" t="s">
        <v>29</v>
      </c>
      <c r="L3107" t="s">
        <v>895</v>
      </c>
      <c r="M3107" t="s">
        <v>4402</v>
      </c>
      <c r="O3107" t="s">
        <v>896</v>
      </c>
      <c r="P3107" t="s">
        <v>33</v>
      </c>
      <c r="Q3107">
        <v>176.34</v>
      </c>
      <c r="R3107" t="s">
        <v>35</v>
      </c>
      <c r="S3107" t="s">
        <v>35</v>
      </c>
      <c r="T3107" t="s">
        <v>35</v>
      </c>
      <c r="U3107" t="s">
        <v>35</v>
      </c>
      <c r="V3107" t="s">
        <v>645</v>
      </c>
      <c r="W3107" t="s">
        <v>113</v>
      </c>
    </row>
    <row r="3108" spans="1:23" hidden="1" x14ac:dyDescent="0.25">
      <c r="A3108" s="7" t="str">
        <f>IFERROR(VLOOKUP(H3108,'Contas Orç'!A:B,2,0),"N/A")</f>
        <v>PNEUS E RECAPAGENS</v>
      </c>
      <c r="B3108" s="7" t="str">
        <f t="shared" si="96"/>
        <v>330301003 - PNEUS E RECAPAGENS</v>
      </c>
      <c r="C3108" s="25">
        <f t="shared" si="97"/>
        <v>44743</v>
      </c>
      <c r="D3108" s="27">
        <f>IF(K3108="CREDITO",Q3108,Q3108*-1)</f>
        <v>14520</v>
      </c>
      <c r="E3108" t="s">
        <v>894</v>
      </c>
      <c r="F3108" t="s">
        <v>3603</v>
      </c>
      <c r="G3108" s="8">
        <v>44743</v>
      </c>
      <c r="H3108" t="s">
        <v>587</v>
      </c>
      <c r="I3108" t="s">
        <v>2062</v>
      </c>
      <c r="J3108" t="s">
        <v>54</v>
      </c>
      <c r="K3108" t="s">
        <v>29</v>
      </c>
      <c r="L3108" t="s">
        <v>895</v>
      </c>
      <c r="M3108" t="s">
        <v>4402</v>
      </c>
      <c r="O3108" t="s">
        <v>896</v>
      </c>
      <c r="P3108" t="s">
        <v>33</v>
      </c>
      <c r="Q3108" s="22">
        <v>14520</v>
      </c>
      <c r="R3108" t="s">
        <v>35</v>
      </c>
      <c r="S3108" t="s">
        <v>35</v>
      </c>
      <c r="T3108" t="s">
        <v>35</v>
      </c>
      <c r="U3108" t="s">
        <v>35</v>
      </c>
      <c r="V3108" t="s">
        <v>645</v>
      </c>
      <c r="W3108" t="s">
        <v>113</v>
      </c>
    </row>
    <row r="3109" spans="1:23" hidden="1" x14ac:dyDescent="0.25">
      <c r="A3109" s="7" t="str">
        <f>IFERROR(VLOOKUP(H3109,'Contas Orç'!A:B,2,0),"N/A")</f>
        <v>PNEUS E RECAPAGENS</v>
      </c>
      <c r="B3109" s="7" t="str">
        <f t="shared" si="96"/>
        <v>330301003 - PNEUS E RECAPAGENS</v>
      </c>
      <c r="C3109" s="25">
        <f t="shared" si="97"/>
        <v>44774</v>
      </c>
      <c r="D3109" s="27">
        <f>IF(K3109="CREDITO",Q3109,Q3109*-1)</f>
        <v>15380</v>
      </c>
      <c r="E3109" t="s">
        <v>894</v>
      </c>
      <c r="F3109" t="s">
        <v>3604</v>
      </c>
      <c r="G3109" s="8">
        <v>44774</v>
      </c>
      <c r="H3109" t="s">
        <v>587</v>
      </c>
      <c r="I3109" t="s">
        <v>2062</v>
      </c>
      <c r="J3109" t="s">
        <v>54</v>
      </c>
      <c r="K3109" t="s">
        <v>29</v>
      </c>
      <c r="L3109" t="s">
        <v>895</v>
      </c>
      <c r="M3109" t="s">
        <v>4402</v>
      </c>
      <c r="O3109" t="s">
        <v>896</v>
      </c>
      <c r="P3109" t="s">
        <v>33</v>
      </c>
      <c r="Q3109" s="22">
        <v>15380</v>
      </c>
      <c r="R3109" t="s">
        <v>35</v>
      </c>
      <c r="S3109" t="s">
        <v>35</v>
      </c>
      <c r="T3109" t="s">
        <v>35</v>
      </c>
      <c r="U3109" t="s">
        <v>35</v>
      </c>
      <c r="V3109" t="s">
        <v>645</v>
      </c>
      <c r="W3109" t="s">
        <v>113</v>
      </c>
    </row>
    <row r="3110" spans="1:23" hidden="1" x14ac:dyDescent="0.25">
      <c r="A3110" s="7" t="str">
        <f>IFERROR(VLOOKUP(H3110,'Contas Orç'!A:B,2,0),"N/A")</f>
        <v>PNEUS E RECAPAGENS</v>
      </c>
      <c r="B3110" s="7" t="str">
        <f t="shared" si="96"/>
        <v>330301003 - PNEUS E RECAPAGENS</v>
      </c>
      <c r="C3110" s="25">
        <f t="shared" si="97"/>
        <v>44774</v>
      </c>
      <c r="D3110" s="27">
        <f>IF(K3110="CREDITO",Q3110,Q3110*-1)</f>
        <v>25364.31</v>
      </c>
      <c r="E3110" t="s">
        <v>894</v>
      </c>
      <c r="F3110" t="s">
        <v>3605</v>
      </c>
      <c r="G3110" s="8">
        <v>44774</v>
      </c>
      <c r="H3110" t="s">
        <v>587</v>
      </c>
      <c r="I3110" t="s">
        <v>81</v>
      </c>
      <c r="J3110" t="s">
        <v>54</v>
      </c>
      <c r="K3110" t="s">
        <v>29</v>
      </c>
      <c r="L3110" t="s">
        <v>895</v>
      </c>
      <c r="M3110" t="s">
        <v>4402</v>
      </c>
      <c r="O3110" t="s">
        <v>896</v>
      </c>
      <c r="P3110" t="s">
        <v>33</v>
      </c>
      <c r="Q3110" s="22">
        <v>25364.31</v>
      </c>
      <c r="R3110" t="s">
        <v>35</v>
      </c>
      <c r="S3110" t="s">
        <v>35</v>
      </c>
      <c r="T3110" t="s">
        <v>35</v>
      </c>
      <c r="U3110" t="s">
        <v>35</v>
      </c>
      <c r="V3110" t="s">
        <v>645</v>
      </c>
      <c r="W3110" t="s">
        <v>113</v>
      </c>
    </row>
    <row r="3111" spans="1:23" hidden="1" x14ac:dyDescent="0.25">
      <c r="A3111" s="7" t="str">
        <f>IFERROR(VLOOKUP(H3111,'Contas Orç'!A:B,2,0),"N/A")</f>
        <v>PECAS E ACESSORIOS</v>
      </c>
      <c r="B3111" s="7" t="str">
        <f t="shared" si="96"/>
        <v>330301004 - PECAS E ACESSORIOS</v>
      </c>
      <c r="C3111" s="25">
        <f t="shared" si="97"/>
        <v>44562</v>
      </c>
      <c r="D3111" s="27">
        <f>IF(K3111="CREDITO",Q3111,Q3111*-1)</f>
        <v>671.45</v>
      </c>
      <c r="E3111" t="s">
        <v>894</v>
      </c>
      <c r="F3111" t="s">
        <v>3606</v>
      </c>
      <c r="G3111" s="8">
        <v>44562</v>
      </c>
      <c r="H3111" t="s">
        <v>39</v>
      </c>
      <c r="I3111" t="s">
        <v>99</v>
      </c>
      <c r="J3111" t="s">
        <v>28</v>
      </c>
      <c r="K3111" t="s">
        <v>29</v>
      </c>
      <c r="L3111" t="s">
        <v>895</v>
      </c>
      <c r="M3111" t="s">
        <v>4402</v>
      </c>
      <c r="O3111" t="s">
        <v>896</v>
      </c>
      <c r="P3111" t="s">
        <v>33</v>
      </c>
      <c r="Q3111">
        <v>671.45</v>
      </c>
      <c r="R3111" t="s">
        <v>35</v>
      </c>
      <c r="S3111" t="s">
        <v>35</v>
      </c>
      <c r="T3111" t="s">
        <v>35</v>
      </c>
      <c r="U3111" t="s">
        <v>35</v>
      </c>
      <c r="V3111" t="s">
        <v>645</v>
      </c>
      <c r="W3111" t="s">
        <v>113</v>
      </c>
    </row>
    <row r="3112" spans="1:23" hidden="1" x14ac:dyDescent="0.25">
      <c r="A3112" s="7" t="str">
        <f>IFERROR(VLOOKUP(H3112,'Contas Orç'!A:B,2,0),"N/A")</f>
        <v>PECAS E ACESSORIOS</v>
      </c>
      <c r="B3112" s="7" t="str">
        <f t="shared" si="96"/>
        <v>330301004 - PECAS E ACESSORIOS</v>
      </c>
      <c r="C3112" s="25">
        <f t="shared" si="97"/>
        <v>44562</v>
      </c>
      <c r="D3112" s="27">
        <f>IF(K3112="CREDITO",Q3112,Q3112*-1)</f>
        <v>7810.28</v>
      </c>
      <c r="E3112" t="s">
        <v>894</v>
      </c>
      <c r="F3112" t="s">
        <v>3607</v>
      </c>
      <c r="G3112" s="8">
        <v>44562</v>
      </c>
      <c r="H3112" t="s">
        <v>39</v>
      </c>
      <c r="I3112" t="s">
        <v>68</v>
      </c>
      <c r="J3112" t="s">
        <v>69</v>
      </c>
      <c r="K3112" t="s">
        <v>29</v>
      </c>
      <c r="L3112" t="s">
        <v>895</v>
      </c>
      <c r="M3112" t="s">
        <v>4402</v>
      </c>
      <c r="O3112" t="s">
        <v>896</v>
      </c>
      <c r="P3112" t="s">
        <v>33</v>
      </c>
      <c r="Q3112" s="22">
        <v>7810.28</v>
      </c>
      <c r="R3112" t="s">
        <v>35</v>
      </c>
      <c r="S3112" t="s">
        <v>35</v>
      </c>
      <c r="T3112" t="s">
        <v>35</v>
      </c>
      <c r="U3112" t="s">
        <v>35</v>
      </c>
      <c r="V3112" t="s">
        <v>645</v>
      </c>
      <c r="W3112" t="s">
        <v>113</v>
      </c>
    </row>
    <row r="3113" spans="1:23" hidden="1" x14ac:dyDescent="0.25">
      <c r="A3113" s="7" t="str">
        <f>IFERROR(VLOOKUP(H3113,'Contas Orç'!A:B,2,0),"N/A")</f>
        <v>PECAS E ACESSORIOS</v>
      </c>
      <c r="B3113" s="7" t="str">
        <f t="shared" si="96"/>
        <v>330301004 - PECAS E ACESSORIOS</v>
      </c>
      <c r="C3113" s="25">
        <f t="shared" si="97"/>
        <v>44562</v>
      </c>
      <c r="D3113" s="27">
        <f>IF(K3113="CREDITO",Q3113,Q3113*-1)</f>
        <v>3796.43</v>
      </c>
      <c r="E3113" t="s">
        <v>894</v>
      </c>
      <c r="F3113" t="s">
        <v>3608</v>
      </c>
      <c r="G3113" s="8">
        <v>44562</v>
      </c>
      <c r="H3113" t="s">
        <v>39</v>
      </c>
      <c r="I3113" t="s">
        <v>2062</v>
      </c>
      <c r="J3113" t="s">
        <v>54</v>
      </c>
      <c r="K3113" t="s">
        <v>29</v>
      </c>
      <c r="L3113" t="s">
        <v>895</v>
      </c>
      <c r="M3113" t="s">
        <v>4402</v>
      </c>
      <c r="O3113" t="s">
        <v>896</v>
      </c>
      <c r="P3113" t="s">
        <v>33</v>
      </c>
      <c r="Q3113" s="22">
        <v>3796.43</v>
      </c>
      <c r="R3113" t="s">
        <v>35</v>
      </c>
      <c r="S3113" t="s">
        <v>35</v>
      </c>
      <c r="T3113" t="s">
        <v>35</v>
      </c>
      <c r="U3113" t="s">
        <v>35</v>
      </c>
      <c r="V3113" t="s">
        <v>645</v>
      </c>
      <c r="W3113" t="s">
        <v>113</v>
      </c>
    </row>
    <row r="3114" spans="1:23" hidden="1" x14ac:dyDescent="0.25">
      <c r="A3114" s="7" t="str">
        <f>IFERROR(VLOOKUP(H3114,'Contas Orç'!A:B,2,0),"N/A")</f>
        <v>PECAS E ACESSORIOS</v>
      </c>
      <c r="B3114" s="7" t="str">
        <f t="shared" si="96"/>
        <v>330301004 - PECAS E ACESSORIOS</v>
      </c>
      <c r="C3114" s="25">
        <f t="shared" si="97"/>
        <v>44562</v>
      </c>
      <c r="D3114" s="27">
        <f>IF(K3114="CREDITO",Q3114,Q3114*-1)</f>
        <v>8502.7099999999991</v>
      </c>
      <c r="E3114" t="s">
        <v>894</v>
      </c>
      <c r="F3114" t="s">
        <v>3609</v>
      </c>
      <c r="G3114" s="8">
        <v>44562</v>
      </c>
      <c r="H3114" t="s">
        <v>39</v>
      </c>
      <c r="I3114" t="s">
        <v>40</v>
      </c>
      <c r="J3114" t="s">
        <v>54</v>
      </c>
      <c r="K3114" t="s">
        <v>29</v>
      </c>
      <c r="L3114" t="s">
        <v>895</v>
      </c>
      <c r="M3114" t="s">
        <v>4402</v>
      </c>
      <c r="O3114" t="s">
        <v>896</v>
      </c>
      <c r="P3114" t="s">
        <v>33</v>
      </c>
      <c r="Q3114" s="22">
        <v>8502.7099999999991</v>
      </c>
      <c r="R3114" t="s">
        <v>35</v>
      </c>
      <c r="S3114" t="s">
        <v>35</v>
      </c>
      <c r="T3114" t="s">
        <v>35</v>
      </c>
      <c r="U3114" t="s">
        <v>35</v>
      </c>
      <c r="V3114" t="s">
        <v>645</v>
      </c>
      <c r="W3114" t="s">
        <v>113</v>
      </c>
    </row>
    <row r="3115" spans="1:23" hidden="1" x14ac:dyDescent="0.25">
      <c r="A3115" s="7" t="str">
        <f>IFERROR(VLOOKUP(H3115,'Contas Orç'!A:B,2,0),"N/A")</f>
        <v>PECAS E ACESSORIOS</v>
      </c>
      <c r="B3115" s="7" t="str">
        <f t="shared" si="96"/>
        <v>330301004 - PECAS E ACESSORIOS</v>
      </c>
      <c r="C3115" s="25">
        <f t="shared" si="97"/>
        <v>44562</v>
      </c>
      <c r="D3115" s="27">
        <f>IF(K3115="CREDITO",Q3115,Q3115*-1)</f>
        <v>356.13</v>
      </c>
      <c r="E3115" t="s">
        <v>894</v>
      </c>
      <c r="F3115" t="s">
        <v>3610</v>
      </c>
      <c r="G3115" s="8">
        <v>44562</v>
      </c>
      <c r="H3115" t="s">
        <v>39</v>
      </c>
      <c r="I3115" t="s">
        <v>78</v>
      </c>
      <c r="J3115" t="s">
        <v>54</v>
      </c>
      <c r="K3115" t="s">
        <v>29</v>
      </c>
      <c r="L3115" t="s">
        <v>895</v>
      </c>
      <c r="M3115" t="s">
        <v>4402</v>
      </c>
      <c r="O3115" t="s">
        <v>896</v>
      </c>
      <c r="P3115" t="s">
        <v>33</v>
      </c>
      <c r="Q3115">
        <v>356.13</v>
      </c>
      <c r="R3115" t="s">
        <v>35</v>
      </c>
      <c r="S3115" t="s">
        <v>35</v>
      </c>
      <c r="T3115" t="s">
        <v>35</v>
      </c>
      <c r="U3115" t="s">
        <v>35</v>
      </c>
      <c r="V3115" t="s">
        <v>645</v>
      </c>
      <c r="W3115" t="s">
        <v>113</v>
      </c>
    </row>
    <row r="3116" spans="1:23" hidden="1" x14ac:dyDescent="0.25">
      <c r="A3116" s="7" t="str">
        <f>IFERROR(VLOOKUP(H3116,'Contas Orç'!A:B,2,0),"N/A")</f>
        <v>PECAS E ACESSORIOS</v>
      </c>
      <c r="B3116" s="7" t="str">
        <f t="shared" si="96"/>
        <v>330301004 - PECAS E ACESSORIOS</v>
      </c>
      <c r="C3116" s="25">
        <f t="shared" si="97"/>
        <v>44562</v>
      </c>
      <c r="D3116" s="27">
        <f>IF(K3116="CREDITO",Q3116,Q3116*-1)</f>
        <v>28021.62</v>
      </c>
      <c r="E3116" t="s">
        <v>894</v>
      </c>
      <c r="F3116" t="s">
        <v>3611</v>
      </c>
      <c r="G3116" s="8">
        <v>44562</v>
      </c>
      <c r="H3116" t="s">
        <v>39</v>
      </c>
      <c r="I3116" t="s">
        <v>81</v>
      </c>
      <c r="J3116" t="s">
        <v>54</v>
      </c>
      <c r="K3116" t="s">
        <v>29</v>
      </c>
      <c r="L3116" t="s">
        <v>895</v>
      </c>
      <c r="M3116" t="s">
        <v>4402</v>
      </c>
      <c r="O3116" t="s">
        <v>896</v>
      </c>
      <c r="P3116" t="s">
        <v>33</v>
      </c>
      <c r="Q3116" s="22">
        <v>28021.62</v>
      </c>
      <c r="R3116" t="s">
        <v>35</v>
      </c>
      <c r="S3116" t="s">
        <v>35</v>
      </c>
      <c r="T3116" t="s">
        <v>35</v>
      </c>
      <c r="U3116" t="s">
        <v>35</v>
      </c>
      <c r="V3116" t="s">
        <v>645</v>
      </c>
      <c r="W3116" t="s">
        <v>113</v>
      </c>
    </row>
    <row r="3117" spans="1:23" hidden="1" x14ac:dyDescent="0.25">
      <c r="A3117" s="7" t="str">
        <f>IFERROR(VLOOKUP(H3117,'Contas Orç'!A:B,2,0),"N/A")</f>
        <v>PECAS E ACESSORIOS</v>
      </c>
      <c r="B3117" s="7" t="str">
        <f t="shared" si="96"/>
        <v>330301004 - PECAS E ACESSORIOS</v>
      </c>
      <c r="C3117" s="25">
        <f t="shared" si="97"/>
        <v>44562</v>
      </c>
      <c r="D3117" s="27">
        <f>IF(K3117="CREDITO",Q3117,Q3117*-1)</f>
        <v>1933.67</v>
      </c>
      <c r="E3117" t="s">
        <v>894</v>
      </c>
      <c r="F3117" t="s">
        <v>3612</v>
      </c>
      <c r="G3117" s="8">
        <v>44562</v>
      </c>
      <c r="H3117" t="s">
        <v>39</v>
      </c>
      <c r="I3117" t="s">
        <v>136</v>
      </c>
      <c r="J3117" t="s">
        <v>54</v>
      </c>
      <c r="K3117" t="s">
        <v>29</v>
      </c>
      <c r="L3117" t="s">
        <v>895</v>
      </c>
      <c r="M3117" t="s">
        <v>4402</v>
      </c>
      <c r="O3117" t="s">
        <v>896</v>
      </c>
      <c r="P3117" t="s">
        <v>33</v>
      </c>
      <c r="Q3117" s="22">
        <v>1933.67</v>
      </c>
      <c r="R3117" t="s">
        <v>35</v>
      </c>
      <c r="S3117" t="s">
        <v>35</v>
      </c>
      <c r="T3117" t="s">
        <v>35</v>
      </c>
      <c r="U3117" t="s">
        <v>35</v>
      </c>
      <c r="V3117" t="s">
        <v>645</v>
      </c>
      <c r="W3117" t="s">
        <v>113</v>
      </c>
    </row>
    <row r="3118" spans="1:23" hidden="1" x14ac:dyDescent="0.25">
      <c r="A3118" s="7" t="str">
        <f>IFERROR(VLOOKUP(H3118,'Contas Orç'!A:B,2,0),"N/A")</f>
        <v>PECAS E ACESSORIOS</v>
      </c>
      <c r="B3118" s="7" t="str">
        <f t="shared" si="96"/>
        <v>330301004 - PECAS E ACESSORIOS</v>
      </c>
      <c r="C3118" s="25">
        <f t="shared" si="97"/>
        <v>44593</v>
      </c>
      <c r="D3118" s="27">
        <f>IF(K3118="CREDITO",Q3118,Q3118*-1)</f>
        <v>62.74</v>
      </c>
      <c r="E3118" t="s">
        <v>894</v>
      </c>
      <c r="F3118" t="s">
        <v>3613</v>
      </c>
      <c r="G3118" s="8">
        <v>44593</v>
      </c>
      <c r="H3118" t="s">
        <v>39</v>
      </c>
      <c r="I3118" t="s">
        <v>99</v>
      </c>
      <c r="J3118" t="s">
        <v>28</v>
      </c>
      <c r="K3118" t="s">
        <v>29</v>
      </c>
      <c r="L3118" t="s">
        <v>895</v>
      </c>
      <c r="M3118" t="s">
        <v>4402</v>
      </c>
      <c r="O3118" t="s">
        <v>896</v>
      </c>
      <c r="P3118" t="s">
        <v>33</v>
      </c>
      <c r="Q3118">
        <v>62.74</v>
      </c>
      <c r="R3118" t="s">
        <v>35</v>
      </c>
      <c r="S3118" t="s">
        <v>35</v>
      </c>
      <c r="T3118" t="s">
        <v>35</v>
      </c>
      <c r="U3118" t="s">
        <v>35</v>
      </c>
      <c r="V3118" t="s">
        <v>645</v>
      </c>
      <c r="W3118" t="s">
        <v>113</v>
      </c>
    </row>
    <row r="3119" spans="1:23" hidden="1" x14ac:dyDescent="0.25">
      <c r="A3119" s="7" t="str">
        <f>IFERROR(VLOOKUP(H3119,'Contas Orç'!A:B,2,0),"N/A")</f>
        <v>PECAS E ACESSORIOS</v>
      </c>
      <c r="B3119" s="7" t="str">
        <f t="shared" si="96"/>
        <v>330301004 - PECAS E ACESSORIOS</v>
      </c>
      <c r="C3119" s="25">
        <f t="shared" si="97"/>
        <v>44593</v>
      </c>
      <c r="D3119" s="27">
        <f>IF(K3119="CREDITO",Q3119,Q3119*-1)</f>
        <v>6812.48</v>
      </c>
      <c r="E3119" t="s">
        <v>894</v>
      </c>
      <c r="F3119" t="s">
        <v>3614</v>
      </c>
      <c r="G3119" s="8">
        <v>44593</v>
      </c>
      <c r="H3119" t="s">
        <v>39</v>
      </c>
      <c r="I3119" t="s">
        <v>68</v>
      </c>
      <c r="J3119" t="s">
        <v>69</v>
      </c>
      <c r="K3119" t="s">
        <v>29</v>
      </c>
      <c r="L3119" t="s">
        <v>895</v>
      </c>
      <c r="M3119" t="s">
        <v>4402</v>
      </c>
      <c r="O3119" t="s">
        <v>896</v>
      </c>
      <c r="P3119" t="s">
        <v>33</v>
      </c>
      <c r="Q3119" s="22">
        <v>6812.48</v>
      </c>
      <c r="R3119" t="s">
        <v>35</v>
      </c>
      <c r="S3119" t="s">
        <v>35</v>
      </c>
      <c r="T3119" t="s">
        <v>35</v>
      </c>
      <c r="U3119" t="s">
        <v>35</v>
      </c>
      <c r="V3119" t="s">
        <v>645</v>
      </c>
      <c r="W3119" t="s">
        <v>113</v>
      </c>
    </row>
    <row r="3120" spans="1:23" hidden="1" x14ac:dyDescent="0.25">
      <c r="A3120" s="7" t="str">
        <f>IFERROR(VLOOKUP(H3120,'Contas Orç'!A:B,2,0),"N/A")</f>
        <v>PECAS E ACESSORIOS</v>
      </c>
      <c r="B3120" s="7" t="str">
        <f t="shared" si="96"/>
        <v>330301004 - PECAS E ACESSORIOS</v>
      </c>
      <c r="C3120" s="25">
        <f t="shared" si="97"/>
        <v>44593</v>
      </c>
      <c r="D3120" s="27">
        <f>IF(K3120="CREDITO",Q3120,Q3120*-1)</f>
        <v>3469.8</v>
      </c>
      <c r="E3120" t="s">
        <v>894</v>
      </c>
      <c r="F3120" t="s">
        <v>3615</v>
      </c>
      <c r="G3120" s="8">
        <v>44593</v>
      </c>
      <c r="H3120" t="s">
        <v>39</v>
      </c>
      <c r="I3120" t="s">
        <v>2062</v>
      </c>
      <c r="J3120" t="s">
        <v>54</v>
      </c>
      <c r="K3120" t="s">
        <v>29</v>
      </c>
      <c r="L3120" t="s">
        <v>895</v>
      </c>
      <c r="M3120" t="s">
        <v>4402</v>
      </c>
      <c r="O3120" t="s">
        <v>896</v>
      </c>
      <c r="P3120" t="s">
        <v>33</v>
      </c>
      <c r="Q3120" s="22">
        <v>3469.8</v>
      </c>
      <c r="R3120" t="s">
        <v>35</v>
      </c>
      <c r="S3120" t="s">
        <v>35</v>
      </c>
      <c r="T3120" t="s">
        <v>35</v>
      </c>
      <c r="U3120" t="s">
        <v>35</v>
      </c>
      <c r="V3120" t="s">
        <v>645</v>
      </c>
      <c r="W3120" t="s">
        <v>113</v>
      </c>
    </row>
    <row r="3121" spans="1:23" hidden="1" x14ac:dyDescent="0.25">
      <c r="A3121" s="7" t="str">
        <f>IFERROR(VLOOKUP(H3121,'Contas Orç'!A:B,2,0),"N/A")</f>
        <v>PECAS E ACESSORIOS</v>
      </c>
      <c r="B3121" s="7" t="str">
        <f t="shared" si="96"/>
        <v>330301004 - PECAS E ACESSORIOS</v>
      </c>
      <c r="C3121" s="25">
        <f t="shared" si="97"/>
        <v>44593</v>
      </c>
      <c r="D3121" s="27">
        <f>IF(K3121="CREDITO",Q3121,Q3121*-1)</f>
        <v>9442.7999999999993</v>
      </c>
      <c r="E3121" t="s">
        <v>894</v>
      </c>
      <c r="F3121" t="s">
        <v>3616</v>
      </c>
      <c r="G3121" s="8">
        <v>44593</v>
      </c>
      <c r="H3121" t="s">
        <v>39</v>
      </c>
      <c r="I3121" t="s">
        <v>40</v>
      </c>
      <c r="J3121" t="s">
        <v>54</v>
      </c>
      <c r="K3121" t="s">
        <v>29</v>
      </c>
      <c r="L3121" t="s">
        <v>895</v>
      </c>
      <c r="M3121" t="s">
        <v>4402</v>
      </c>
      <c r="O3121" t="s">
        <v>896</v>
      </c>
      <c r="P3121" t="s">
        <v>33</v>
      </c>
      <c r="Q3121" s="22">
        <v>9442.7999999999993</v>
      </c>
      <c r="R3121" t="s">
        <v>35</v>
      </c>
      <c r="S3121" t="s">
        <v>35</v>
      </c>
      <c r="T3121" t="s">
        <v>35</v>
      </c>
      <c r="U3121" t="s">
        <v>35</v>
      </c>
      <c r="V3121" t="s">
        <v>645</v>
      </c>
      <c r="W3121" t="s">
        <v>113</v>
      </c>
    </row>
    <row r="3122" spans="1:23" hidden="1" x14ac:dyDescent="0.25">
      <c r="A3122" s="7" t="str">
        <f>IFERROR(VLOOKUP(H3122,'Contas Orç'!A:B,2,0),"N/A")</f>
        <v>PECAS E ACESSORIOS</v>
      </c>
      <c r="B3122" s="7" t="str">
        <f t="shared" si="96"/>
        <v>330301004 - PECAS E ACESSORIOS</v>
      </c>
      <c r="C3122" s="25">
        <f t="shared" si="97"/>
        <v>44593</v>
      </c>
      <c r="D3122" s="27">
        <f>IF(K3122="CREDITO",Q3122,Q3122*-1)</f>
        <v>4.0599999999999996</v>
      </c>
      <c r="E3122" t="s">
        <v>894</v>
      </c>
      <c r="F3122" t="s">
        <v>3617</v>
      </c>
      <c r="G3122" s="8">
        <v>44593</v>
      </c>
      <c r="H3122" t="s">
        <v>39</v>
      </c>
      <c r="I3122" t="s">
        <v>78</v>
      </c>
      <c r="J3122" t="s">
        <v>54</v>
      </c>
      <c r="K3122" t="s">
        <v>29</v>
      </c>
      <c r="L3122" t="s">
        <v>895</v>
      </c>
      <c r="M3122" t="s">
        <v>4402</v>
      </c>
      <c r="O3122" t="s">
        <v>896</v>
      </c>
      <c r="P3122" t="s">
        <v>33</v>
      </c>
      <c r="Q3122">
        <v>4.0599999999999996</v>
      </c>
      <c r="R3122" t="s">
        <v>35</v>
      </c>
      <c r="S3122" t="s">
        <v>35</v>
      </c>
      <c r="T3122" t="s">
        <v>35</v>
      </c>
      <c r="U3122" t="s">
        <v>35</v>
      </c>
      <c r="V3122" t="s">
        <v>645</v>
      </c>
      <c r="W3122" t="s">
        <v>113</v>
      </c>
    </row>
    <row r="3123" spans="1:23" hidden="1" x14ac:dyDescent="0.25">
      <c r="A3123" s="7" t="str">
        <f>IFERROR(VLOOKUP(H3123,'Contas Orç'!A:B,2,0),"N/A")</f>
        <v>PECAS E ACESSORIOS</v>
      </c>
      <c r="B3123" s="7" t="str">
        <f t="shared" si="96"/>
        <v>330301004 - PECAS E ACESSORIOS</v>
      </c>
      <c r="C3123" s="25">
        <f t="shared" si="97"/>
        <v>44593</v>
      </c>
      <c r="D3123" s="27">
        <f>IF(K3123="CREDITO",Q3123,Q3123*-1)</f>
        <v>8917</v>
      </c>
      <c r="E3123" t="s">
        <v>894</v>
      </c>
      <c r="F3123" t="s">
        <v>3618</v>
      </c>
      <c r="G3123" s="8">
        <v>44593</v>
      </c>
      <c r="H3123" t="s">
        <v>39</v>
      </c>
      <c r="I3123" t="s">
        <v>81</v>
      </c>
      <c r="J3123" t="s">
        <v>54</v>
      </c>
      <c r="K3123" t="s">
        <v>29</v>
      </c>
      <c r="L3123" t="s">
        <v>895</v>
      </c>
      <c r="M3123" t="s">
        <v>4402</v>
      </c>
      <c r="O3123" t="s">
        <v>896</v>
      </c>
      <c r="P3123" t="s">
        <v>33</v>
      </c>
      <c r="Q3123" s="22">
        <v>8917</v>
      </c>
      <c r="R3123" t="s">
        <v>35</v>
      </c>
      <c r="S3123" t="s">
        <v>35</v>
      </c>
      <c r="T3123" t="s">
        <v>35</v>
      </c>
      <c r="U3123" t="s">
        <v>35</v>
      </c>
      <c r="V3123" t="s">
        <v>645</v>
      </c>
      <c r="W3123" t="s">
        <v>113</v>
      </c>
    </row>
    <row r="3124" spans="1:23" hidden="1" x14ac:dyDescent="0.25">
      <c r="A3124" s="7" t="str">
        <f>IFERROR(VLOOKUP(H3124,'Contas Orç'!A:B,2,0),"N/A")</f>
        <v>PECAS E ACESSORIOS</v>
      </c>
      <c r="B3124" s="7" t="str">
        <f t="shared" si="96"/>
        <v>330301004 - PECAS E ACESSORIOS</v>
      </c>
      <c r="C3124" s="25">
        <f t="shared" si="97"/>
        <v>44593</v>
      </c>
      <c r="D3124" s="27">
        <f>IF(K3124="CREDITO",Q3124,Q3124*-1)</f>
        <v>3007.25</v>
      </c>
      <c r="E3124" t="s">
        <v>894</v>
      </c>
      <c r="F3124" t="s">
        <v>3619</v>
      </c>
      <c r="G3124" s="8">
        <v>44593</v>
      </c>
      <c r="H3124" t="s">
        <v>39</v>
      </c>
      <c r="I3124" t="s">
        <v>136</v>
      </c>
      <c r="J3124" t="s">
        <v>54</v>
      </c>
      <c r="K3124" t="s">
        <v>29</v>
      </c>
      <c r="L3124" t="s">
        <v>895</v>
      </c>
      <c r="M3124" t="s">
        <v>4402</v>
      </c>
      <c r="O3124" t="s">
        <v>896</v>
      </c>
      <c r="P3124" t="s">
        <v>33</v>
      </c>
      <c r="Q3124" s="22">
        <v>3007.25</v>
      </c>
      <c r="R3124" t="s">
        <v>35</v>
      </c>
      <c r="S3124" t="s">
        <v>35</v>
      </c>
      <c r="T3124" t="s">
        <v>35</v>
      </c>
      <c r="U3124" t="s">
        <v>35</v>
      </c>
      <c r="V3124" t="s">
        <v>645</v>
      </c>
      <c r="W3124" t="s">
        <v>113</v>
      </c>
    </row>
    <row r="3125" spans="1:23" hidden="1" x14ac:dyDescent="0.25">
      <c r="A3125" s="7" t="str">
        <f>IFERROR(VLOOKUP(H3125,'Contas Orç'!A:B,2,0),"N/A")</f>
        <v>PECAS E ACESSORIOS</v>
      </c>
      <c r="B3125" s="7" t="str">
        <f t="shared" si="96"/>
        <v>330301004 - PECAS E ACESSORIOS</v>
      </c>
      <c r="C3125" s="25">
        <f t="shared" si="97"/>
        <v>44621</v>
      </c>
      <c r="D3125" s="27">
        <f>IF(K3125="CREDITO",Q3125,Q3125*-1)</f>
        <v>6864.77</v>
      </c>
      <c r="E3125" t="s">
        <v>894</v>
      </c>
      <c r="F3125" t="s">
        <v>3620</v>
      </c>
      <c r="G3125" s="8">
        <v>44621</v>
      </c>
      <c r="H3125" t="s">
        <v>39</v>
      </c>
      <c r="I3125" t="s">
        <v>68</v>
      </c>
      <c r="J3125" t="s">
        <v>69</v>
      </c>
      <c r="K3125" t="s">
        <v>29</v>
      </c>
      <c r="L3125" t="s">
        <v>895</v>
      </c>
      <c r="M3125" t="s">
        <v>4402</v>
      </c>
      <c r="O3125" t="s">
        <v>896</v>
      </c>
      <c r="P3125" t="s">
        <v>33</v>
      </c>
      <c r="Q3125" s="22">
        <v>6864.77</v>
      </c>
      <c r="R3125" t="s">
        <v>35</v>
      </c>
      <c r="S3125" t="s">
        <v>35</v>
      </c>
      <c r="T3125" t="s">
        <v>35</v>
      </c>
      <c r="U3125" t="s">
        <v>35</v>
      </c>
      <c r="V3125" t="s">
        <v>645</v>
      </c>
      <c r="W3125" t="s">
        <v>113</v>
      </c>
    </row>
    <row r="3126" spans="1:23" hidden="1" x14ac:dyDescent="0.25">
      <c r="A3126" s="7" t="str">
        <f>IFERROR(VLOOKUP(H3126,'Contas Orç'!A:B,2,0),"N/A")</f>
        <v>PECAS E ACESSORIOS</v>
      </c>
      <c r="B3126" s="7" t="str">
        <f t="shared" si="96"/>
        <v>330301004 - PECAS E ACESSORIOS</v>
      </c>
      <c r="C3126" s="25">
        <f t="shared" si="97"/>
        <v>44621</v>
      </c>
      <c r="D3126" s="27">
        <f>IF(K3126="CREDITO",Q3126,Q3126*-1)</f>
        <v>10427.06</v>
      </c>
      <c r="E3126" t="s">
        <v>894</v>
      </c>
      <c r="F3126" t="s">
        <v>3621</v>
      </c>
      <c r="G3126" s="8">
        <v>44621</v>
      </c>
      <c r="H3126" t="s">
        <v>39</v>
      </c>
      <c r="I3126" t="s">
        <v>2062</v>
      </c>
      <c r="J3126" t="s">
        <v>54</v>
      </c>
      <c r="K3126" t="s">
        <v>29</v>
      </c>
      <c r="L3126" t="s">
        <v>895</v>
      </c>
      <c r="M3126" t="s">
        <v>4402</v>
      </c>
      <c r="O3126" t="s">
        <v>896</v>
      </c>
      <c r="P3126" t="s">
        <v>33</v>
      </c>
      <c r="Q3126" s="22">
        <v>10427.06</v>
      </c>
      <c r="R3126" t="s">
        <v>35</v>
      </c>
      <c r="S3126" t="s">
        <v>35</v>
      </c>
      <c r="T3126" t="s">
        <v>35</v>
      </c>
      <c r="U3126" t="s">
        <v>35</v>
      </c>
      <c r="V3126" t="s">
        <v>645</v>
      </c>
      <c r="W3126" t="s">
        <v>113</v>
      </c>
    </row>
    <row r="3127" spans="1:23" hidden="1" x14ac:dyDescent="0.25">
      <c r="A3127" s="7" t="str">
        <f>IFERROR(VLOOKUP(H3127,'Contas Orç'!A:B,2,0),"N/A")</f>
        <v>PECAS E ACESSORIOS</v>
      </c>
      <c r="B3127" s="7" t="str">
        <f t="shared" si="96"/>
        <v>330301004 - PECAS E ACESSORIOS</v>
      </c>
      <c r="C3127" s="25">
        <f t="shared" si="97"/>
        <v>44621</v>
      </c>
      <c r="D3127" s="27">
        <f>IF(K3127="CREDITO",Q3127,Q3127*-1)</f>
        <v>8706.73</v>
      </c>
      <c r="E3127" t="s">
        <v>894</v>
      </c>
      <c r="F3127" t="s">
        <v>3622</v>
      </c>
      <c r="G3127" s="8">
        <v>44621</v>
      </c>
      <c r="H3127" t="s">
        <v>39</v>
      </c>
      <c r="I3127" t="s">
        <v>40</v>
      </c>
      <c r="J3127" t="s">
        <v>54</v>
      </c>
      <c r="K3127" t="s">
        <v>29</v>
      </c>
      <c r="L3127" t="s">
        <v>895</v>
      </c>
      <c r="M3127" t="s">
        <v>4402</v>
      </c>
      <c r="O3127" t="s">
        <v>896</v>
      </c>
      <c r="P3127" t="s">
        <v>33</v>
      </c>
      <c r="Q3127" s="22">
        <v>8706.73</v>
      </c>
      <c r="R3127" t="s">
        <v>35</v>
      </c>
      <c r="S3127" t="s">
        <v>35</v>
      </c>
      <c r="T3127" t="s">
        <v>35</v>
      </c>
      <c r="U3127" t="s">
        <v>35</v>
      </c>
      <c r="V3127" t="s">
        <v>645</v>
      </c>
      <c r="W3127" t="s">
        <v>113</v>
      </c>
    </row>
    <row r="3128" spans="1:23" hidden="1" x14ac:dyDescent="0.25">
      <c r="A3128" s="7" t="str">
        <f>IFERROR(VLOOKUP(H3128,'Contas Orç'!A:B,2,0),"N/A")</f>
        <v>PECAS E ACESSORIOS</v>
      </c>
      <c r="B3128" s="7" t="str">
        <f t="shared" si="96"/>
        <v>330301004 - PECAS E ACESSORIOS</v>
      </c>
      <c r="C3128" s="25">
        <f t="shared" si="97"/>
        <v>44621</v>
      </c>
      <c r="D3128" s="27">
        <f>IF(K3128="CREDITO",Q3128,Q3128*-1)</f>
        <v>1995.31</v>
      </c>
      <c r="E3128" t="s">
        <v>894</v>
      </c>
      <c r="F3128" t="s">
        <v>3623</v>
      </c>
      <c r="G3128" s="8">
        <v>44621</v>
      </c>
      <c r="H3128" t="s">
        <v>39</v>
      </c>
      <c r="I3128" t="s">
        <v>136</v>
      </c>
      <c r="J3128" t="s">
        <v>54</v>
      </c>
      <c r="K3128" t="s">
        <v>29</v>
      </c>
      <c r="L3128" t="s">
        <v>895</v>
      </c>
      <c r="M3128" t="s">
        <v>4402</v>
      </c>
      <c r="O3128" t="s">
        <v>896</v>
      </c>
      <c r="P3128" t="s">
        <v>33</v>
      </c>
      <c r="Q3128" s="22">
        <v>1995.31</v>
      </c>
      <c r="R3128" t="s">
        <v>35</v>
      </c>
      <c r="S3128" t="s">
        <v>35</v>
      </c>
      <c r="T3128" t="s">
        <v>35</v>
      </c>
      <c r="U3128" t="s">
        <v>35</v>
      </c>
      <c r="V3128" t="s">
        <v>645</v>
      </c>
      <c r="W3128" t="s">
        <v>113</v>
      </c>
    </row>
    <row r="3129" spans="1:23" hidden="1" x14ac:dyDescent="0.25">
      <c r="A3129" s="7" t="str">
        <f>IFERROR(VLOOKUP(H3129,'Contas Orç'!A:B,2,0),"N/A")</f>
        <v>PECAS E ACESSORIOS</v>
      </c>
      <c r="B3129" s="7" t="str">
        <f t="shared" si="96"/>
        <v>330301004 - PECAS E ACESSORIOS</v>
      </c>
      <c r="C3129" s="25">
        <f t="shared" si="97"/>
        <v>44652</v>
      </c>
      <c r="D3129" s="27">
        <f>IF(K3129="CREDITO",Q3129,Q3129*-1)</f>
        <v>1337.87</v>
      </c>
      <c r="E3129" t="s">
        <v>894</v>
      </c>
      <c r="F3129" t="s">
        <v>3624</v>
      </c>
      <c r="G3129" s="8">
        <v>44652</v>
      </c>
      <c r="H3129" t="s">
        <v>39</v>
      </c>
      <c r="I3129" t="s">
        <v>99</v>
      </c>
      <c r="J3129" t="s">
        <v>28</v>
      </c>
      <c r="K3129" t="s">
        <v>29</v>
      </c>
      <c r="L3129" t="s">
        <v>895</v>
      </c>
      <c r="M3129" t="s">
        <v>4402</v>
      </c>
      <c r="O3129" t="s">
        <v>896</v>
      </c>
      <c r="P3129" t="s">
        <v>33</v>
      </c>
      <c r="Q3129" s="22">
        <v>1337.87</v>
      </c>
      <c r="R3129" t="s">
        <v>35</v>
      </c>
      <c r="S3129" t="s">
        <v>35</v>
      </c>
      <c r="T3129" t="s">
        <v>35</v>
      </c>
      <c r="U3129" t="s">
        <v>35</v>
      </c>
      <c r="V3129" t="s">
        <v>645</v>
      </c>
      <c r="W3129" t="s">
        <v>113</v>
      </c>
    </row>
    <row r="3130" spans="1:23" hidden="1" x14ac:dyDescent="0.25">
      <c r="A3130" s="7" t="str">
        <f>IFERROR(VLOOKUP(H3130,'Contas Orç'!A:B,2,0),"N/A")</f>
        <v>PECAS E ACESSORIOS</v>
      </c>
      <c r="B3130" s="7" t="str">
        <f t="shared" si="96"/>
        <v>330301004 - PECAS E ACESSORIOS</v>
      </c>
      <c r="C3130" s="25">
        <f t="shared" si="97"/>
        <v>44652</v>
      </c>
      <c r="D3130" s="27">
        <f>IF(K3130="CREDITO",Q3130,Q3130*-1)</f>
        <v>6671.13</v>
      </c>
      <c r="E3130" t="s">
        <v>894</v>
      </c>
      <c r="F3130" t="s">
        <v>3625</v>
      </c>
      <c r="G3130" s="8">
        <v>44652</v>
      </c>
      <c r="H3130" t="s">
        <v>39</v>
      </c>
      <c r="I3130" t="s">
        <v>68</v>
      </c>
      <c r="J3130" t="s">
        <v>69</v>
      </c>
      <c r="K3130" t="s">
        <v>29</v>
      </c>
      <c r="L3130" t="s">
        <v>895</v>
      </c>
      <c r="M3130" t="s">
        <v>4402</v>
      </c>
      <c r="O3130" t="s">
        <v>896</v>
      </c>
      <c r="P3130" t="s">
        <v>33</v>
      </c>
      <c r="Q3130" s="22">
        <v>6671.13</v>
      </c>
      <c r="R3130" t="s">
        <v>35</v>
      </c>
      <c r="S3130" t="s">
        <v>35</v>
      </c>
      <c r="T3130" t="s">
        <v>35</v>
      </c>
      <c r="U3130" t="s">
        <v>35</v>
      </c>
      <c r="V3130" t="s">
        <v>645</v>
      </c>
      <c r="W3130" t="s">
        <v>113</v>
      </c>
    </row>
    <row r="3131" spans="1:23" hidden="1" x14ac:dyDescent="0.25">
      <c r="A3131" s="7" t="str">
        <f>IFERROR(VLOOKUP(H3131,'Contas Orç'!A:B,2,0),"N/A")</f>
        <v>PECAS E ACESSORIOS</v>
      </c>
      <c r="B3131" s="7" t="str">
        <f t="shared" si="96"/>
        <v>330301004 - PECAS E ACESSORIOS</v>
      </c>
      <c r="C3131" s="25">
        <f t="shared" si="97"/>
        <v>44652</v>
      </c>
      <c r="D3131" s="27">
        <f>IF(K3131="CREDITO",Q3131,Q3131*-1)</f>
        <v>6150.06</v>
      </c>
      <c r="E3131" t="s">
        <v>894</v>
      </c>
      <c r="F3131" t="s">
        <v>3626</v>
      </c>
      <c r="G3131" s="8">
        <v>44652</v>
      </c>
      <c r="H3131" t="s">
        <v>39</v>
      </c>
      <c r="I3131" t="s">
        <v>2062</v>
      </c>
      <c r="J3131" t="s">
        <v>54</v>
      </c>
      <c r="K3131" t="s">
        <v>29</v>
      </c>
      <c r="L3131" t="s">
        <v>895</v>
      </c>
      <c r="M3131" t="s">
        <v>4402</v>
      </c>
      <c r="O3131" t="s">
        <v>896</v>
      </c>
      <c r="P3131" t="s">
        <v>33</v>
      </c>
      <c r="Q3131" s="22">
        <v>6150.06</v>
      </c>
      <c r="R3131" t="s">
        <v>35</v>
      </c>
      <c r="S3131" t="s">
        <v>35</v>
      </c>
      <c r="T3131" t="s">
        <v>35</v>
      </c>
      <c r="U3131" t="s">
        <v>35</v>
      </c>
      <c r="V3131" t="s">
        <v>645</v>
      </c>
      <c r="W3131" t="s">
        <v>113</v>
      </c>
    </row>
    <row r="3132" spans="1:23" hidden="1" x14ac:dyDescent="0.25">
      <c r="A3132" s="7" t="str">
        <f>IFERROR(VLOOKUP(H3132,'Contas Orç'!A:B,2,0),"N/A")</f>
        <v>PECAS E ACESSORIOS</v>
      </c>
      <c r="B3132" s="7" t="str">
        <f t="shared" si="96"/>
        <v>330301004 - PECAS E ACESSORIOS</v>
      </c>
      <c r="C3132" s="25">
        <f t="shared" si="97"/>
        <v>44652</v>
      </c>
      <c r="D3132" s="27">
        <f>IF(K3132="CREDITO",Q3132,Q3132*-1)</f>
        <v>10899.19</v>
      </c>
      <c r="E3132" t="s">
        <v>894</v>
      </c>
      <c r="F3132" t="s">
        <v>3627</v>
      </c>
      <c r="G3132" s="8">
        <v>44652</v>
      </c>
      <c r="H3132" t="s">
        <v>39</v>
      </c>
      <c r="I3132" t="s">
        <v>40</v>
      </c>
      <c r="J3132" t="s">
        <v>54</v>
      </c>
      <c r="K3132" t="s">
        <v>29</v>
      </c>
      <c r="L3132" t="s">
        <v>895</v>
      </c>
      <c r="M3132" t="s">
        <v>4402</v>
      </c>
      <c r="O3132" t="s">
        <v>896</v>
      </c>
      <c r="P3132" t="s">
        <v>33</v>
      </c>
      <c r="Q3132" s="22">
        <v>10899.19</v>
      </c>
      <c r="R3132" t="s">
        <v>35</v>
      </c>
      <c r="S3132" t="s">
        <v>35</v>
      </c>
      <c r="T3132" t="s">
        <v>35</v>
      </c>
      <c r="U3132" t="s">
        <v>35</v>
      </c>
      <c r="V3132" t="s">
        <v>645</v>
      </c>
      <c r="W3132" t="s">
        <v>113</v>
      </c>
    </row>
    <row r="3133" spans="1:23" hidden="1" x14ac:dyDescent="0.25">
      <c r="A3133" s="7" t="str">
        <f>IFERROR(VLOOKUP(H3133,'Contas Orç'!A:B,2,0),"N/A")</f>
        <v>PECAS E ACESSORIOS</v>
      </c>
      <c r="B3133" s="7" t="str">
        <f t="shared" si="96"/>
        <v>330301004 - PECAS E ACESSORIOS</v>
      </c>
      <c r="C3133" s="25">
        <f t="shared" si="97"/>
        <v>44652</v>
      </c>
      <c r="D3133" s="27">
        <f>IF(K3133="CREDITO",Q3133,Q3133*-1)</f>
        <v>91.06</v>
      </c>
      <c r="E3133" t="s">
        <v>894</v>
      </c>
      <c r="F3133" t="s">
        <v>3628</v>
      </c>
      <c r="G3133" s="8">
        <v>44652</v>
      </c>
      <c r="H3133" t="s">
        <v>39</v>
      </c>
      <c r="I3133" t="s">
        <v>99</v>
      </c>
      <c r="J3133" t="s">
        <v>54</v>
      </c>
      <c r="K3133" t="s">
        <v>29</v>
      </c>
      <c r="L3133" t="s">
        <v>895</v>
      </c>
      <c r="M3133" t="s">
        <v>4402</v>
      </c>
      <c r="O3133" t="s">
        <v>896</v>
      </c>
      <c r="P3133" t="s">
        <v>33</v>
      </c>
      <c r="Q3133">
        <v>91.06</v>
      </c>
      <c r="R3133" t="s">
        <v>35</v>
      </c>
      <c r="S3133" t="s">
        <v>35</v>
      </c>
      <c r="T3133" t="s">
        <v>35</v>
      </c>
      <c r="U3133" t="s">
        <v>35</v>
      </c>
      <c r="V3133" t="s">
        <v>645</v>
      </c>
      <c r="W3133" t="s">
        <v>113</v>
      </c>
    </row>
    <row r="3134" spans="1:23" hidden="1" x14ac:dyDescent="0.25">
      <c r="A3134" s="7" t="str">
        <f>IFERROR(VLOOKUP(H3134,'Contas Orç'!A:B,2,0),"N/A")</f>
        <v>PECAS E ACESSORIOS</v>
      </c>
      <c r="B3134" s="7" t="str">
        <f t="shared" si="96"/>
        <v>330301004 - PECAS E ACESSORIOS</v>
      </c>
      <c r="C3134" s="25">
        <f t="shared" si="97"/>
        <v>44652</v>
      </c>
      <c r="D3134" s="27">
        <f>IF(K3134="CREDITO",Q3134,Q3134*-1)</f>
        <v>20.55</v>
      </c>
      <c r="E3134" t="s">
        <v>894</v>
      </c>
      <c r="F3134" t="s">
        <v>3629</v>
      </c>
      <c r="G3134" s="8">
        <v>44652</v>
      </c>
      <c r="H3134" t="s">
        <v>39</v>
      </c>
      <c r="I3134" t="s">
        <v>78</v>
      </c>
      <c r="J3134" t="s">
        <v>54</v>
      </c>
      <c r="K3134" t="s">
        <v>29</v>
      </c>
      <c r="L3134" t="s">
        <v>895</v>
      </c>
      <c r="M3134" t="s">
        <v>4402</v>
      </c>
      <c r="O3134" t="s">
        <v>896</v>
      </c>
      <c r="P3134" t="s">
        <v>33</v>
      </c>
      <c r="Q3134">
        <v>20.55</v>
      </c>
      <c r="R3134" t="s">
        <v>35</v>
      </c>
      <c r="S3134" t="s">
        <v>35</v>
      </c>
      <c r="T3134" t="s">
        <v>35</v>
      </c>
      <c r="U3134" t="s">
        <v>35</v>
      </c>
      <c r="V3134" t="s">
        <v>645</v>
      </c>
      <c r="W3134" t="s">
        <v>113</v>
      </c>
    </row>
    <row r="3135" spans="1:23" hidden="1" x14ac:dyDescent="0.25">
      <c r="A3135" s="7" t="str">
        <f>IFERROR(VLOOKUP(H3135,'Contas Orç'!A:B,2,0),"N/A")</f>
        <v>PECAS E ACESSORIOS</v>
      </c>
      <c r="B3135" s="7" t="str">
        <f t="shared" si="96"/>
        <v>330301004 - PECAS E ACESSORIOS</v>
      </c>
      <c r="C3135" s="25">
        <f t="shared" si="97"/>
        <v>44652</v>
      </c>
      <c r="D3135" s="27">
        <f>IF(K3135="CREDITO",Q3135,Q3135*-1)</f>
        <v>671.25</v>
      </c>
      <c r="E3135" t="s">
        <v>894</v>
      </c>
      <c r="F3135" t="s">
        <v>3630</v>
      </c>
      <c r="G3135" s="8">
        <v>44652</v>
      </c>
      <c r="H3135" t="s">
        <v>39</v>
      </c>
      <c r="I3135" t="s">
        <v>81</v>
      </c>
      <c r="J3135" t="s">
        <v>54</v>
      </c>
      <c r="K3135" t="s">
        <v>29</v>
      </c>
      <c r="L3135" t="s">
        <v>895</v>
      </c>
      <c r="M3135" t="s">
        <v>4402</v>
      </c>
      <c r="O3135" t="s">
        <v>896</v>
      </c>
      <c r="P3135" t="s">
        <v>33</v>
      </c>
      <c r="Q3135">
        <v>671.25</v>
      </c>
      <c r="R3135" t="s">
        <v>35</v>
      </c>
      <c r="S3135" t="s">
        <v>35</v>
      </c>
      <c r="T3135" t="s">
        <v>35</v>
      </c>
      <c r="U3135" t="s">
        <v>35</v>
      </c>
      <c r="V3135" t="s">
        <v>645</v>
      </c>
      <c r="W3135" t="s">
        <v>113</v>
      </c>
    </row>
    <row r="3136" spans="1:23" hidden="1" x14ac:dyDescent="0.25">
      <c r="A3136" s="7" t="str">
        <f>IFERROR(VLOOKUP(H3136,'Contas Orç'!A:B,2,0),"N/A")</f>
        <v>PECAS E ACESSORIOS</v>
      </c>
      <c r="B3136" s="7" t="str">
        <f t="shared" si="96"/>
        <v>330301004 - PECAS E ACESSORIOS</v>
      </c>
      <c r="C3136" s="25">
        <f t="shared" si="97"/>
        <v>44652</v>
      </c>
      <c r="D3136" s="27">
        <f>IF(K3136="CREDITO",Q3136,Q3136*-1)</f>
        <v>2807.31</v>
      </c>
      <c r="E3136" t="s">
        <v>894</v>
      </c>
      <c r="F3136" t="s">
        <v>3631</v>
      </c>
      <c r="G3136" s="8">
        <v>44652</v>
      </c>
      <c r="H3136" t="s">
        <v>39</v>
      </c>
      <c r="I3136" t="s">
        <v>136</v>
      </c>
      <c r="J3136" t="s">
        <v>54</v>
      </c>
      <c r="K3136" t="s">
        <v>29</v>
      </c>
      <c r="L3136" t="s">
        <v>895</v>
      </c>
      <c r="M3136" t="s">
        <v>4402</v>
      </c>
      <c r="O3136" t="s">
        <v>896</v>
      </c>
      <c r="P3136" t="s">
        <v>33</v>
      </c>
      <c r="Q3136" s="22">
        <v>2807.31</v>
      </c>
      <c r="R3136" t="s">
        <v>35</v>
      </c>
      <c r="S3136" t="s">
        <v>35</v>
      </c>
      <c r="T3136" t="s">
        <v>35</v>
      </c>
      <c r="U3136" t="s">
        <v>35</v>
      </c>
      <c r="V3136" t="s">
        <v>645</v>
      </c>
      <c r="W3136" t="s">
        <v>113</v>
      </c>
    </row>
    <row r="3137" spans="1:23" hidden="1" x14ac:dyDescent="0.25">
      <c r="A3137" s="7" t="str">
        <f>IFERROR(VLOOKUP(H3137,'Contas Orç'!A:B,2,0),"N/A")</f>
        <v>PECAS E ACESSORIOS</v>
      </c>
      <c r="B3137" s="7" t="str">
        <f t="shared" si="96"/>
        <v>330301004 - PECAS E ACESSORIOS</v>
      </c>
      <c r="C3137" s="25">
        <f t="shared" si="97"/>
        <v>44682</v>
      </c>
      <c r="D3137" s="27">
        <f>IF(K3137="CREDITO",Q3137,Q3137*-1)</f>
        <v>659.19</v>
      </c>
      <c r="E3137" t="s">
        <v>894</v>
      </c>
      <c r="F3137" t="s">
        <v>3632</v>
      </c>
      <c r="G3137" s="8">
        <v>44682</v>
      </c>
      <c r="H3137" t="s">
        <v>39</v>
      </c>
      <c r="I3137" t="s">
        <v>99</v>
      </c>
      <c r="J3137" t="s">
        <v>28</v>
      </c>
      <c r="K3137" t="s">
        <v>29</v>
      </c>
      <c r="L3137" t="s">
        <v>895</v>
      </c>
      <c r="M3137" t="s">
        <v>4402</v>
      </c>
      <c r="O3137" t="s">
        <v>896</v>
      </c>
      <c r="P3137" t="s">
        <v>33</v>
      </c>
      <c r="Q3137">
        <v>659.19</v>
      </c>
      <c r="R3137" t="s">
        <v>35</v>
      </c>
      <c r="S3137" t="s">
        <v>35</v>
      </c>
      <c r="T3137" t="s">
        <v>35</v>
      </c>
      <c r="U3137" t="s">
        <v>35</v>
      </c>
      <c r="V3137" t="s">
        <v>645</v>
      </c>
      <c r="W3137" t="s">
        <v>113</v>
      </c>
    </row>
    <row r="3138" spans="1:23" hidden="1" x14ac:dyDescent="0.25">
      <c r="A3138" s="7" t="str">
        <f>IFERROR(VLOOKUP(H3138,'Contas Orç'!A:B,2,0),"N/A")</f>
        <v>PECAS E ACESSORIOS</v>
      </c>
      <c r="B3138" s="7" t="str">
        <f t="shared" si="96"/>
        <v>330301004 - PECAS E ACESSORIOS</v>
      </c>
      <c r="C3138" s="25">
        <f t="shared" si="97"/>
        <v>44682</v>
      </c>
      <c r="D3138" s="27">
        <f>IF(K3138="CREDITO",Q3138,Q3138*-1)</f>
        <v>6800.59</v>
      </c>
      <c r="E3138" t="s">
        <v>894</v>
      </c>
      <c r="F3138" t="s">
        <v>3633</v>
      </c>
      <c r="G3138" s="8">
        <v>44682</v>
      </c>
      <c r="H3138" t="s">
        <v>39</v>
      </c>
      <c r="I3138" t="s">
        <v>68</v>
      </c>
      <c r="J3138" t="s">
        <v>69</v>
      </c>
      <c r="K3138" t="s">
        <v>29</v>
      </c>
      <c r="L3138" t="s">
        <v>895</v>
      </c>
      <c r="M3138" t="s">
        <v>4402</v>
      </c>
      <c r="O3138" t="s">
        <v>896</v>
      </c>
      <c r="P3138" t="s">
        <v>33</v>
      </c>
      <c r="Q3138" s="22">
        <v>6800.59</v>
      </c>
      <c r="R3138" t="s">
        <v>35</v>
      </c>
      <c r="S3138" t="s">
        <v>35</v>
      </c>
      <c r="T3138" t="s">
        <v>35</v>
      </c>
      <c r="U3138" t="s">
        <v>35</v>
      </c>
      <c r="V3138" t="s">
        <v>645</v>
      </c>
      <c r="W3138" t="s">
        <v>113</v>
      </c>
    </row>
    <row r="3139" spans="1:23" hidden="1" x14ac:dyDescent="0.25">
      <c r="A3139" s="7" t="str">
        <f>IFERROR(VLOOKUP(H3139,'Contas Orç'!A:B,2,0),"N/A")</f>
        <v>PECAS E ACESSORIOS</v>
      </c>
      <c r="B3139" s="7" t="str">
        <f t="shared" ref="B3139:B3202" si="98">_xlfn.CONCAT(H3139," - ",A3139)</f>
        <v>330301004 - PECAS E ACESSORIOS</v>
      </c>
      <c r="C3139" s="25">
        <f t="shared" ref="C3139:C3202" si="99">DATE(YEAR(G3139),MONTH(G3139),1)</f>
        <v>44682</v>
      </c>
      <c r="D3139" s="27">
        <f>IF(K3139="CREDITO",Q3139,Q3139*-1)</f>
        <v>11262.34</v>
      </c>
      <c r="E3139" t="s">
        <v>894</v>
      </c>
      <c r="F3139" t="s">
        <v>3634</v>
      </c>
      <c r="G3139" s="8">
        <v>44682</v>
      </c>
      <c r="H3139" t="s">
        <v>39</v>
      </c>
      <c r="I3139" t="s">
        <v>2062</v>
      </c>
      <c r="J3139" t="s">
        <v>54</v>
      </c>
      <c r="K3139" t="s">
        <v>29</v>
      </c>
      <c r="L3139" t="s">
        <v>895</v>
      </c>
      <c r="M3139" t="s">
        <v>4402</v>
      </c>
      <c r="O3139" t="s">
        <v>896</v>
      </c>
      <c r="P3139" t="s">
        <v>33</v>
      </c>
      <c r="Q3139" s="22">
        <v>11262.34</v>
      </c>
      <c r="R3139" t="s">
        <v>35</v>
      </c>
      <c r="S3139" t="s">
        <v>35</v>
      </c>
      <c r="T3139" t="s">
        <v>35</v>
      </c>
      <c r="U3139" t="s">
        <v>35</v>
      </c>
      <c r="V3139" t="s">
        <v>645</v>
      </c>
      <c r="W3139" t="s">
        <v>113</v>
      </c>
    </row>
    <row r="3140" spans="1:23" hidden="1" x14ac:dyDescent="0.25">
      <c r="A3140" s="7" t="str">
        <f>IFERROR(VLOOKUP(H3140,'Contas Orç'!A:B,2,0),"N/A")</f>
        <v>PECAS E ACESSORIOS</v>
      </c>
      <c r="B3140" s="7" t="str">
        <f t="shared" si="98"/>
        <v>330301004 - PECAS E ACESSORIOS</v>
      </c>
      <c r="C3140" s="25">
        <f t="shared" si="99"/>
        <v>44682</v>
      </c>
      <c r="D3140" s="27">
        <f>IF(K3140="CREDITO",Q3140,Q3140*-1)</f>
        <v>9504.32</v>
      </c>
      <c r="E3140" t="s">
        <v>894</v>
      </c>
      <c r="F3140" t="s">
        <v>3635</v>
      </c>
      <c r="G3140" s="8">
        <v>44682</v>
      </c>
      <c r="H3140" t="s">
        <v>39</v>
      </c>
      <c r="I3140" t="s">
        <v>40</v>
      </c>
      <c r="J3140" t="s">
        <v>54</v>
      </c>
      <c r="K3140" t="s">
        <v>29</v>
      </c>
      <c r="L3140" t="s">
        <v>895</v>
      </c>
      <c r="M3140" t="s">
        <v>4402</v>
      </c>
      <c r="O3140" t="s">
        <v>896</v>
      </c>
      <c r="P3140" t="s">
        <v>33</v>
      </c>
      <c r="Q3140" s="22">
        <v>9504.32</v>
      </c>
      <c r="R3140" t="s">
        <v>35</v>
      </c>
      <c r="S3140" t="s">
        <v>35</v>
      </c>
      <c r="T3140" t="s">
        <v>35</v>
      </c>
      <c r="U3140" t="s">
        <v>35</v>
      </c>
      <c r="V3140" t="s">
        <v>645</v>
      </c>
      <c r="W3140" t="s">
        <v>113</v>
      </c>
    </row>
    <row r="3141" spans="1:23" hidden="1" x14ac:dyDescent="0.25">
      <c r="A3141" s="7" t="str">
        <f>IFERROR(VLOOKUP(H3141,'Contas Orç'!A:B,2,0),"N/A")</f>
        <v>PECAS E ACESSORIOS</v>
      </c>
      <c r="B3141" s="7" t="str">
        <f t="shared" si="98"/>
        <v>330301004 - PECAS E ACESSORIOS</v>
      </c>
      <c r="C3141" s="25">
        <f t="shared" si="99"/>
        <v>44682</v>
      </c>
      <c r="D3141" s="27">
        <f>IF(K3141="CREDITO",Q3141,Q3141*-1)</f>
        <v>522.78</v>
      </c>
      <c r="E3141" t="s">
        <v>894</v>
      </c>
      <c r="F3141" t="s">
        <v>3636</v>
      </c>
      <c r="G3141" s="8">
        <v>44682</v>
      </c>
      <c r="H3141" t="s">
        <v>39</v>
      </c>
      <c r="I3141" t="s">
        <v>132</v>
      </c>
      <c r="J3141" t="s">
        <v>54</v>
      </c>
      <c r="K3141" t="s">
        <v>29</v>
      </c>
      <c r="L3141" t="s">
        <v>895</v>
      </c>
      <c r="M3141" t="s">
        <v>4402</v>
      </c>
      <c r="O3141" t="s">
        <v>896</v>
      </c>
      <c r="P3141" t="s">
        <v>33</v>
      </c>
      <c r="Q3141">
        <v>522.78</v>
      </c>
      <c r="R3141" t="s">
        <v>35</v>
      </c>
      <c r="S3141" t="s">
        <v>35</v>
      </c>
      <c r="T3141" t="s">
        <v>35</v>
      </c>
      <c r="U3141" t="s">
        <v>35</v>
      </c>
      <c r="V3141" t="s">
        <v>645</v>
      </c>
      <c r="W3141" t="s">
        <v>113</v>
      </c>
    </row>
    <row r="3142" spans="1:23" hidden="1" x14ac:dyDescent="0.25">
      <c r="A3142" s="7" t="str">
        <f>IFERROR(VLOOKUP(H3142,'Contas Orç'!A:B,2,0),"N/A")</f>
        <v>PECAS E ACESSORIOS</v>
      </c>
      <c r="B3142" s="7" t="str">
        <f t="shared" si="98"/>
        <v>330301004 - PECAS E ACESSORIOS</v>
      </c>
      <c r="C3142" s="25">
        <f t="shared" si="99"/>
        <v>44682</v>
      </c>
      <c r="D3142" s="27">
        <f>IF(K3142="CREDITO",Q3142,Q3142*-1)</f>
        <v>2481.17</v>
      </c>
      <c r="E3142" t="s">
        <v>894</v>
      </c>
      <c r="F3142" t="s">
        <v>3637</v>
      </c>
      <c r="G3142" s="8">
        <v>44682</v>
      </c>
      <c r="H3142" t="s">
        <v>39</v>
      </c>
      <c r="I3142" t="s">
        <v>99</v>
      </c>
      <c r="J3142" t="s">
        <v>54</v>
      </c>
      <c r="K3142" t="s">
        <v>29</v>
      </c>
      <c r="L3142" t="s">
        <v>895</v>
      </c>
      <c r="M3142" t="s">
        <v>4402</v>
      </c>
      <c r="O3142" t="s">
        <v>896</v>
      </c>
      <c r="P3142" t="s">
        <v>33</v>
      </c>
      <c r="Q3142" s="22">
        <v>2481.17</v>
      </c>
      <c r="R3142" t="s">
        <v>35</v>
      </c>
      <c r="S3142" t="s">
        <v>35</v>
      </c>
      <c r="T3142" t="s">
        <v>35</v>
      </c>
      <c r="U3142" t="s">
        <v>35</v>
      </c>
      <c r="V3142" t="s">
        <v>645</v>
      </c>
      <c r="W3142" t="s">
        <v>113</v>
      </c>
    </row>
    <row r="3143" spans="1:23" hidden="1" x14ac:dyDescent="0.25">
      <c r="A3143" s="7" t="str">
        <f>IFERROR(VLOOKUP(H3143,'Contas Orç'!A:B,2,0),"N/A")</f>
        <v>PECAS E ACESSORIOS</v>
      </c>
      <c r="B3143" s="7" t="str">
        <f t="shared" si="98"/>
        <v>330301004 - PECAS E ACESSORIOS</v>
      </c>
      <c r="C3143" s="25">
        <f t="shared" si="99"/>
        <v>44682</v>
      </c>
      <c r="D3143" s="27">
        <f>IF(K3143="CREDITO",Q3143,Q3143*-1)</f>
        <v>2.95</v>
      </c>
      <c r="E3143" t="s">
        <v>894</v>
      </c>
      <c r="F3143" t="s">
        <v>3638</v>
      </c>
      <c r="G3143" s="8">
        <v>44682</v>
      </c>
      <c r="H3143" t="s">
        <v>39</v>
      </c>
      <c r="I3143" t="s">
        <v>78</v>
      </c>
      <c r="J3143" t="s">
        <v>54</v>
      </c>
      <c r="K3143" t="s">
        <v>29</v>
      </c>
      <c r="L3143" t="s">
        <v>895</v>
      </c>
      <c r="M3143" t="s">
        <v>4402</v>
      </c>
      <c r="O3143" t="s">
        <v>896</v>
      </c>
      <c r="P3143" t="s">
        <v>33</v>
      </c>
      <c r="Q3143">
        <v>2.95</v>
      </c>
      <c r="R3143" t="s">
        <v>35</v>
      </c>
      <c r="S3143" t="s">
        <v>35</v>
      </c>
      <c r="T3143" t="s">
        <v>35</v>
      </c>
      <c r="U3143" t="s">
        <v>35</v>
      </c>
      <c r="V3143" t="s">
        <v>645</v>
      </c>
      <c r="W3143" t="s">
        <v>113</v>
      </c>
    </row>
    <row r="3144" spans="1:23" hidden="1" x14ac:dyDescent="0.25">
      <c r="A3144" s="7" t="str">
        <f>IFERROR(VLOOKUP(H3144,'Contas Orç'!A:B,2,0),"N/A")</f>
        <v>PECAS E ACESSORIOS</v>
      </c>
      <c r="B3144" s="7" t="str">
        <f t="shared" si="98"/>
        <v>330301004 - PECAS E ACESSORIOS</v>
      </c>
      <c r="C3144" s="25">
        <f t="shared" si="99"/>
        <v>44682</v>
      </c>
      <c r="D3144" s="27">
        <f>IF(K3144="CREDITO",Q3144,Q3144*-1)</f>
        <v>369.78</v>
      </c>
      <c r="E3144" t="s">
        <v>894</v>
      </c>
      <c r="F3144" t="s">
        <v>3639</v>
      </c>
      <c r="G3144" s="8">
        <v>44682</v>
      </c>
      <c r="H3144" t="s">
        <v>39</v>
      </c>
      <c r="I3144" t="s">
        <v>81</v>
      </c>
      <c r="J3144" t="s">
        <v>54</v>
      </c>
      <c r="K3144" t="s">
        <v>29</v>
      </c>
      <c r="L3144" t="s">
        <v>895</v>
      </c>
      <c r="M3144" t="s">
        <v>4402</v>
      </c>
      <c r="O3144" t="s">
        <v>896</v>
      </c>
      <c r="P3144" t="s">
        <v>33</v>
      </c>
      <c r="Q3144">
        <v>369.78</v>
      </c>
      <c r="R3144" t="s">
        <v>35</v>
      </c>
      <c r="S3144" t="s">
        <v>35</v>
      </c>
      <c r="T3144" t="s">
        <v>35</v>
      </c>
      <c r="U3144" t="s">
        <v>35</v>
      </c>
      <c r="V3144" t="s">
        <v>645</v>
      </c>
      <c r="W3144" t="s">
        <v>113</v>
      </c>
    </row>
    <row r="3145" spans="1:23" hidden="1" x14ac:dyDescent="0.25">
      <c r="A3145" s="7" t="str">
        <f>IFERROR(VLOOKUP(H3145,'Contas Orç'!A:B,2,0),"N/A")</f>
        <v>PECAS E ACESSORIOS</v>
      </c>
      <c r="B3145" s="7" t="str">
        <f t="shared" si="98"/>
        <v>330301004 - PECAS E ACESSORIOS</v>
      </c>
      <c r="C3145" s="25">
        <f t="shared" si="99"/>
        <v>44682</v>
      </c>
      <c r="D3145" s="27">
        <f>IF(K3145="CREDITO",Q3145,Q3145*-1)</f>
        <v>5568.48</v>
      </c>
      <c r="E3145" t="s">
        <v>894</v>
      </c>
      <c r="F3145" t="s">
        <v>3640</v>
      </c>
      <c r="G3145" s="8">
        <v>44682</v>
      </c>
      <c r="H3145" t="s">
        <v>39</v>
      </c>
      <c r="I3145" t="s">
        <v>136</v>
      </c>
      <c r="J3145" t="s">
        <v>54</v>
      </c>
      <c r="K3145" t="s">
        <v>29</v>
      </c>
      <c r="L3145" t="s">
        <v>895</v>
      </c>
      <c r="M3145" t="s">
        <v>4402</v>
      </c>
      <c r="O3145" t="s">
        <v>896</v>
      </c>
      <c r="P3145" t="s">
        <v>33</v>
      </c>
      <c r="Q3145" s="22">
        <v>5568.48</v>
      </c>
      <c r="R3145" t="s">
        <v>35</v>
      </c>
      <c r="S3145" t="s">
        <v>35</v>
      </c>
      <c r="T3145" t="s">
        <v>35</v>
      </c>
      <c r="U3145" t="s">
        <v>35</v>
      </c>
      <c r="V3145" t="s">
        <v>645</v>
      </c>
      <c r="W3145" t="s">
        <v>113</v>
      </c>
    </row>
    <row r="3146" spans="1:23" hidden="1" x14ac:dyDescent="0.25">
      <c r="A3146" s="7" t="str">
        <f>IFERROR(VLOOKUP(H3146,'Contas Orç'!A:B,2,0),"N/A")</f>
        <v>PECAS E ACESSORIOS</v>
      </c>
      <c r="B3146" s="7" t="str">
        <f t="shared" si="98"/>
        <v>330301004 - PECAS E ACESSORIOS</v>
      </c>
      <c r="C3146" s="25">
        <f t="shared" si="99"/>
        <v>44713</v>
      </c>
      <c r="D3146" s="27">
        <f>IF(K3146="CREDITO",Q3146,Q3146*-1)</f>
        <v>6964.34</v>
      </c>
      <c r="E3146" t="s">
        <v>894</v>
      </c>
      <c r="F3146" t="s">
        <v>3641</v>
      </c>
      <c r="G3146" s="8">
        <v>44713</v>
      </c>
      <c r="H3146" t="s">
        <v>39</v>
      </c>
      <c r="I3146" t="s">
        <v>68</v>
      </c>
      <c r="J3146" t="s">
        <v>69</v>
      </c>
      <c r="K3146" t="s">
        <v>29</v>
      </c>
      <c r="L3146" t="s">
        <v>895</v>
      </c>
      <c r="M3146" t="s">
        <v>4402</v>
      </c>
      <c r="O3146" t="s">
        <v>896</v>
      </c>
      <c r="P3146" t="s">
        <v>33</v>
      </c>
      <c r="Q3146" s="22">
        <v>6964.34</v>
      </c>
      <c r="R3146" t="s">
        <v>35</v>
      </c>
      <c r="S3146" t="s">
        <v>35</v>
      </c>
      <c r="T3146" t="s">
        <v>35</v>
      </c>
      <c r="U3146" t="s">
        <v>35</v>
      </c>
      <c r="V3146" t="s">
        <v>645</v>
      </c>
      <c r="W3146" t="s">
        <v>113</v>
      </c>
    </row>
    <row r="3147" spans="1:23" hidden="1" x14ac:dyDescent="0.25">
      <c r="A3147" s="7" t="str">
        <f>IFERROR(VLOOKUP(H3147,'Contas Orç'!A:B,2,0),"N/A")</f>
        <v>PECAS E ACESSORIOS</v>
      </c>
      <c r="B3147" s="7" t="str">
        <f t="shared" si="98"/>
        <v>330301004 - PECAS E ACESSORIOS</v>
      </c>
      <c r="C3147" s="25">
        <f t="shared" si="99"/>
        <v>44713</v>
      </c>
      <c r="D3147" s="27">
        <f>IF(K3147="CREDITO",Q3147,Q3147*-1)</f>
        <v>14836.13</v>
      </c>
      <c r="E3147" t="s">
        <v>894</v>
      </c>
      <c r="F3147" t="s">
        <v>3642</v>
      </c>
      <c r="G3147" s="8">
        <v>44713</v>
      </c>
      <c r="H3147" t="s">
        <v>39</v>
      </c>
      <c r="I3147" t="s">
        <v>2062</v>
      </c>
      <c r="J3147" t="s">
        <v>54</v>
      </c>
      <c r="K3147" t="s">
        <v>29</v>
      </c>
      <c r="L3147" t="s">
        <v>895</v>
      </c>
      <c r="M3147" t="s">
        <v>4402</v>
      </c>
      <c r="O3147" t="s">
        <v>896</v>
      </c>
      <c r="P3147" t="s">
        <v>33</v>
      </c>
      <c r="Q3147" s="22">
        <v>14836.13</v>
      </c>
      <c r="R3147" t="s">
        <v>35</v>
      </c>
      <c r="S3147" t="s">
        <v>35</v>
      </c>
      <c r="T3147" t="s">
        <v>35</v>
      </c>
      <c r="U3147" t="s">
        <v>35</v>
      </c>
      <c r="V3147" t="s">
        <v>645</v>
      </c>
      <c r="W3147" t="s">
        <v>113</v>
      </c>
    </row>
    <row r="3148" spans="1:23" hidden="1" x14ac:dyDescent="0.25">
      <c r="A3148" s="7" t="str">
        <f>IFERROR(VLOOKUP(H3148,'Contas Orç'!A:B,2,0),"N/A")</f>
        <v>PECAS E ACESSORIOS</v>
      </c>
      <c r="B3148" s="7" t="str">
        <f t="shared" si="98"/>
        <v>330301004 - PECAS E ACESSORIOS</v>
      </c>
      <c r="C3148" s="25">
        <f t="shared" si="99"/>
        <v>44713</v>
      </c>
      <c r="D3148" s="27">
        <f>IF(K3148="CREDITO",Q3148,Q3148*-1)</f>
        <v>9485.7800000000007</v>
      </c>
      <c r="E3148" t="s">
        <v>894</v>
      </c>
      <c r="F3148" t="s">
        <v>3643</v>
      </c>
      <c r="G3148" s="8">
        <v>44713</v>
      </c>
      <c r="H3148" t="s">
        <v>39</v>
      </c>
      <c r="I3148" t="s">
        <v>40</v>
      </c>
      <c r="J3148" t="s">
        <v>54</v>
      </c>
      <c r="K3148" t="s">
        <v>29</v>
      </c>
      <c r="L3148" t="s">
        <v>895</v>
      </c>
      <c r="M3148" t="s">
        <v>4402</v>
      </c>
      <c r="O3148" t="s">
        <v>896</v>
      </c>
      <c r="P3148" t="s">
        <v>33</v>
      </c>
      <c r="Q3148" s="22">
        <v>9485.7800000000007</v>
      </c>
      <c r="R3148" t="s">
        <v>35</v>
      </c>
      <c r="S3148" t="s">
        <v>35</v>
      </c>
      <c r="T3148" t="s">
        <v>35</v>
      </c>
      <c r="U3148" t="s">
        <v>35</v>
      </c>
      <c r="V3148" t="s">
        <v>645</v>
      </c>
      <c r="W3148" t="s">
        <v>113</v>
      </c>
    </row>
    <row r="3149" spans="1:23" hidden="1" x14ac:dyDescent="0.25">
      <c r="A3149" s="7" t="str">
        <f>IFERROR(VLOOKUP(H3149,'Contas Orç'!A:B,2,0),"N/A")</f>
        <v>PECAS E ACESSORIOS</v>
      </c>
      <c r="B3149" s="7" t="str">
        <f t="shared" si="98"/>
        <v>330301004 - PECAS E ACESSORIOS</v>
      </c>
      <c r="C3149" s="25">
        <f t="shared" si="99"/>
        <v>44713</v>
      </c>
      <c r="D3149" s="27">
        <f>IF(K3149="CREDITO",Q3149,Q3149*-1)</f>
        <v>481.52</v>
      </c>
      <c r="E3149" t="s">
        <v>894</v>
      </c>
      <c r="F3149" t="s">
        <v>3644</v>
      </c>
      <c r="G3149" s="8">
        <v>44713</v>
      </c>
      <c r="H3149" t="s">
        <v>39</v>
      </c>
      <c r="I3149" t="s">
        <v>132</v>
      </c>
      <c r="J3149" t="s">
        <v>54</v>
      </c>
      <c r="K3149" t="s">
        <v>29</v>
      </c>
      <c r="L3149" t="s">
        <v>895</v>
      </c>
      <c r="M3149" t="s">
        <v>4402</v>
      </c>
      <c r="O3149" t="s">
        <v>896</v>
      </c>
      <c r="P3149" t="s">
        <v>33</v>
      </c>
      <c r="Q3149">
        <v>481.52</v>
      </c>
      <c r="R3149" t="s">
        <v>35</v>
      </c>
      <c r="S3149" t="s">
        <v>35</v>
      </c>
      <c r="T3149" t="s">
        <v>35</v>
      </c>
      <c r="U3149" t="s">
        <v>35</v>
      </c>
      <c r="V3149" t="s">
        <v>645</v>
      </c>
      <c r="W3149" t="s">
        <v>113</v>
      </c>
    </row>
    <row r="3150" spans="1:23" hidden="1" x14ac:dyDescent="0.25">
      <c r="A3150" s="7" t="str">
        <f>IFERROR(VLOOKUP(H3150,'Contas Orç'!A:B,2,0),"N/A")</f>
        <v>PECAS E ACESSORIOS</v>
      </c>
      <c r="B3150" s="7" t="str">
        <f t="shared" si="98"/>
        <v>330301004 - PECAS E ACESSORIOS</v>
      </c>
      <c r="C3150" s="25">
        <f t="shared" si="99"/>
        <v>44713</v>
      </c>
      <c r="D3150" s="27">
        <f>IF(K3150="CREDITO",Q3150,Q3150*-1)</f>
        <v>1187.6199999999999</v>
      </c>
      <c r="E3150" t="s">
        <v>894</v>
      </c>
      <c r="F3150" t="s">
        <v>3645</v>
      </c>
      <c r="G3150" s="8">
        <v>44713</v>
      </c>
      <c r="H3150" t="s">
        <v>39</v>
      </c>
      <c r="I3150" t="s">
        <v>99</v>
      </c>
      <c r="J3150" t="s">
        <v>54</v>
      </c>
      <c r="K3150" t="s">
        <v>29</v>
      </c>
      <c r="L3150" t="s">
        <v>895</v>
      </c>
      <c r="M3150" t="s">
        <v>4402</v>
      </c>
      <c r="O3150" t="s">
        <v>896</v>
      </c>
      <c r="P3150" t="s">
        <v>33</v>
      </c>
      <c r="Q3150" s="22">
        <v>1187.6199999999999</v>
      </c>
      <c r="R3150" t="s">
        <v>35</v>
      </c>
      <c r="S3150" t="s">
        <v>35</v>
      </c>
      <c r="T3150" t="s">
        <v>35</v>
      </c>
      <c r="U3150" t="s">
        <v>35</v>
      </c>
      <c r="V3150" t="s">
        <v>645</v>
      </c>
      <c r="W3150" t="s">
        <v>113</v>
      </c>
    </row>
    <row r="3151" spans="1:23" hidden="1" x14ac:dyDescent="0.25">
      <c r="A3151" s="7" t="str">
        <f>IFERROR(VLOOKUP(H3151,'Contas Orç'!A:B,2,0),"N/A")</f>
        <v>PECAS E ACESSORIOS</v>
      </c>
      <c r="B3151" s="7" t="str">
        <f t="shared" si="98"/>
        <v>330301004 - PECAS E ACESSORIOS</v>
      </c>
      <c r="C3151" s="25">
        <f t="shared" si="99"/>
        <v>44713</v>
      </c>
      <c r="D3151" s="27">
        <f>IF(K3151="CREDITO",Q3151,Q3151*-1)</f>
        <v>57.31</v>
      </c>
      <c r="E3151" t="s">
        <v>894</v>
      </c>
      <c r="F3151" t="s">
        <v>3646</v>
      </c>
      <c r="G3151" s="8">
        <v>44713</v>
      </c>
      <c r="H3151" t="s">
        <v>39</v>
      </c>
      <c r="I3151" t="s">
        <v>78</v>
      </c>
      <c r="J3151" t="s">
        <v>54</v>
      </c>
      <c r="K3151" t="s">
        <v>29</v>
      </c>
      <c r="L3151" t="s">
        <v>895</v>
      </c>
      <c r="M3151" t="s">
        <v>4402</v>
      </c>
      <c r="O3151" t="s">
        <v>896</v>
      </c>
      <c r="P3151" t="s">
        <v>33</v>
      </c>
      <c r="Q3151">
        <v>57.31</v>
      </c>
      <c r="R3151" t="s">
        <v>35</v>
      </c>
      <c r="S3151" t="s">
        <v>35</v>
      </c>
      <c r="T3151" t="s">
        <v>35</v>
      </c>
      <c r="U3151" t="s">
        <v>35</v>
      </c>
      <c r="V3151" t="s">
        <v>645</v>
      </c>
      <c r="W3151" t="s">
        <v>113</v>
      </c>
    </row>
    <row r="3152" spans="1:23" hidden="1" x14ac:dyDescent="0.25">
      <c r="A3152" s="7" t="str">
        <f>IFERROR(VLOOKUP(H3152,'Contas Orç'!A:B,2,0),"N/A")</f>
        <v>PECAS E ACESSORIOS</v>
      </c>
      <c r="B3152" s="7" t="str">
        <f t="shared" si="98"/>
        <v>330301004 - PECAS E ACESSORIOS</v>
      </c>
      <c r="C3152" s="25">
        <f t="shared" si="99"/>
        <v>44713</v>
      </c>
      <c r="D3152" s="27">
        <f>IF(K3152="CREDITO",Q3152,Q3152*-1)</f>
        <v>305.73</v>
      </c>
      <c r="E3152" t="s">
        <v>894</v>
      </c>
      <c r="F3152" t="s">
        <v>3647</v>
      </c>
      <c r="G3152" s="8">
        <v>44713</v>
      </c>
      <c r="H3152" t="s">
        <v>39</v>
      </c>
      <c r="I3152" t="s">
        <v>81</v>
      </c>
      <c r="J3152" t="s">
        <v>54</v>
      </c>
      <c r="K3152" t="s">
        <v>29</v>
      </c>
      <c r="L3152" t="s">
        <v>895</v>
      </c>
      <c r="M3152" t="s">
        <v>4402</v>
      </c>
      <c r="O3152" t="s">
        <v>896</v>
      </c>
      <c r="P3152" t="s">
        <v>33</v>
      </c>
      <c r="Q3152">
        <v>305.73</v>
      </c>
      <c r="R3152" t="s">
        <v>35</v>
      </c>
      <c r="S3152" t="s">
        <v>35</v>
      </c>
      <c r="T3152" t="s">
        <v>35</v>
      </c>
      <c r="U3152" t="s">
        <v>35</v>
      </c>
      <c r="V3152" t="s">
        <v>645</v>
      </c>
      <c r="W3152" t="s">
        <v>113</v>
      </c>
    </row>
    <row r="3153" spans="1:23" hidden="1" x14ac:dyDescent="0.25">
      <c r="A3153" s="7" t="str">
        <f>IFERROR(VLOOKUP(H3153,'Contas Orç'!A:B,2,0),"N/A")</f>
        <v>PECAS E ACESSORIOS</v>
      </c>
      <c r="B3153" s="7" t="str">
        <f t="shared" si="98"/>
        <v>330301004 - PECAS E ACESSORIOS</v>
      </c>
      <c r="C3153" s="25">
        <f t="shared" si="99"/>
        <v>44713</v>
      </c>
      <c r="D3153" s="27">
        <f>IF(K3153="CREDITO",Q3153,Q3153*-1)</f>
        <v>2777.7</v>
      </c>
      <c r="E3153" t="s">
        <v>894</v>
      </c>
      <c r="F3153" t="s">
        <v>3648</v>
      </c>
      <c r="G3153" s="8">
        <v>44713</v>
      </c>
      <c r="H3153" t="s">
        <v>39</v>
      </c>
      <c r="I3153" t="s">
        <v>136</v>
      </c>
      <c r="J3153" t="s">
        <v>54</v>
      </c>
      <c r="K3153" t="s">
        <v>29</v>
      </c>
      <c r="L3153" t="s">
        <v>895</v>
      </c>
      <c r="M3153" t="s">
        <v>4402</v>
      </c>
      <c r="O3153" t="s">
        <v>896</v>
      </c>
      <c r="P3153" t="s">
        <v>33</v>
      </c>
      <c r="Q3153" s="22">
        <v>2777.7</v>
      </c>
      <c r="R3153" t="s">
        <v>35</v>
      </c>
      <c r="S3153" t="s">
        <v>35</v>
      </c>
      <c r="T3153" t="s">
        <v>35</v>
      </c>
      <c r="U3153" t="s">
        <v>35</v>
      </c>
      <c r="V3153" t="s">
        <v>645</v>
      </c>
      <c r="W3153" t="s">
        <v>113</v>
      </c>
    </row>
    <row r="3154" spans="1:23" hidden="1" x14ac:dyDescent="0.25">
      <c r="A3154" s="7" t="str">
        <f>IFERROR(VLOOKUP(H3154,'Contas Orç'!A:B,2,0),"N/A")</f>
        <v>PECAS E ACESSORIOS</v>
      </c>
      <c r="B3154" s="7" t="str">
        <f t="shared" si="98"/>
        <v>330301004 - PECAS E ACESSORIOS</v>
      </c>
      <c r="C3154" s="25">
        <f t="shared" si="99"/>
        <v>44743</v>
      </c>
      <c r="D3154" s="27">
        <f>IF(K3154="CREDITO",Q3154,Q3154*-1)</f>
        <v>6024.06</v>
      </c>
      <c r="E3154" t="s">
        <v>894</v>
      </c>
      <c r="F3154" t="s">
        <v>3649</v>
      </c>
      <c r="G3154" s="8">
        <v>44743</v>
      </c>
      <c r="H3154" t="s">
        <v>39</v>
      </c>
      <c r="I3154" t="s">
        <v>68</v>
      </c>
      <c r="J3154" t="s">
        <v>69</v>
      </c>
      <c r="K3154" t="s">
        <v>29</v>
      </c>
      <c r="L3154" t="s">
        <v>895</v>
      </c>
      <c r="M3154" t="s">
        <v>4402</v>
      </c>
      <c r="O3154" t="s">
        <v>896</v>
      </c>
      <c r="P3154" t="s">
        <v>33</v>
      </c>
      <c r="Q3154" s="22">
        <v>6024.06</v>
      </c>
      <c r="R3154" t="s">
        <v>35</v>
      </c>
      <c r="S3154" t="s">
        <v>35</v>
      </c>
      <c r="T3154" t="s">
        <v>35</v>
      </c>
      <c r="U3154" t="s">
        <v>35</v>
      </c>
      <c r="V3154" t="s">
        <v>645</v>
      </c>
      <c r="W3154" t="s">
        <v>113</v>
      </c>
    </row>
    <row r="3155" spans="1:23" hidden="1" x14ac:dyDescent="0.25">
      <c r="A3155" s="7" t="str">
        <f>IFERROR(VLOOKUP(H3155,'Contas Orç'!A:B,2,0),"N/A")</f>
        <v>PECAS E ACESSORIOS</v>
      </c>
      <c r="B3155" s="7" t="str">
        <f t="shared" si="98"/>
        <v>330301004 - PECAS E ACESSORIOS</v>
      </c>
      <c r="C3155" s="25">
        <f t="shared" si="99"/>
        <v>44743</v>
      </c>
      <c r="D3155" s="27">
        <f>IF(K3155="CREDITO",Q3155,Q3155*-1)</f>
        <v>6017</v>
      </c>
      <c r="E3155" t="s">
        <v>894</v>
      </c>
      <c r="F3155" t="s">
        <v>3650</v>
      </c>
      <c r="G3155" s="8">
        <v>44743</v>
      </c>
      <c r="H3155" t="s">
        <v>39</v>
      </c>
      <c r="I3155" t="s">
        <v>2062</v>
      </c>
      <c r="J3155" t="s">
        <v>54</v>
      </c>
      <c r="K3155" t="s">
        <v>29</v>
      </c>
      <c r="L3155" t="s">
        <v>895</v>
      </c>
      <c r="M3155" t="s">
        <v>4402</v>
      </c>
      <c r="O3155" t="s">
        <v>896</v>
      </c>
      <c r="P3155" t="s">
        <v>33</v>
      </c>
      <c r="Q3155" s="22">
        <v>6017</v>
      </c>
      <c r="R3155" t="s">
        <v>35</v>
      </c>
      <c r="S3155" t="s">
        <v>35</v>
      </c>
      <c r="T3155" t="s">
        <v>35</v>
      </c>
      <c r="U3155" t="s">
        <v>35</v>
      </c>
      <c r="V3155" t="s">
        <v>645</v>
      </c>
      <c r="W3155" t="s">
        <v>113</v>
      </c>
    </row>
    <row r="3156" spans="1:23" hidden="1" x14ac:dyDescent="0.25">
      <c r="A3156" s="7" t="str">
        <f>IFERROR(VLOOKUP(H3156,'Contas Orç'!A:B,2,0),"N/A")</f>
        <v>PECAS E ACESSORIOS</v>
      </c>
      <c r="B3156" s="7" t="str">
        <f t="shared" si="98"/>
        <v>330301004 - PECAS E ACESSORIOS</v>
      </c>
      <c r="C3156" s="25">
        <f t="shared" si="99"/>
        <v>44743</v>
      </c>
      <c r="D3156" s="27">
        <f>IF(K3156="CREDITO",Q3156,Q3156*-1)</f>
        <v>8081.8</v>
      </c>
      <c r="E3156" t="s">
        <v>894</v>
      </c>
      <c r="F3156" t="s">
        <v>3651</v>
      </c>
      <c r="G3156" s="8">
        <v>44743</v>
      </c>
      <c r="H3156" t="s">
        <v>39</v>
      </c>
      <c r="I3156" t="s">
        <v>40</v>
      </c>
      <c r="J3156" t="s">
        <v>54</v>
      </c>
      <c r="K3156" t="s">
        <v>29</v>
      </c>
      <c r="L3156" t="s">
        <v>895</v>
      </c>
      <c r="M3156" t="s">
        <v>4402</v>
      </c>
      <c r="O3156" t="s">
        <v>896</v>
      </c>
      <c r="P3156" t="s">
        <v>33</v>
      </c>
      <c r="Q3156" s="22">
        <v>8081.8</v>
      </c>
      <c r="R3156" t="s">
        <v>35</v>
      </c>
      <c r="S3156" t="s">
        <v>35</v>
      </c>
      <c r="T3156" t="s">
        <v>35</v>
      </c>
      <c r="U3156" t="s">
        <v>35</v>
      </c>
      <c r="V3156" t="s">
        <v>645</v>
      </c>
      <c r="W3156" t="s">
        <v>113</v>
      </c>
    </row>
    <row r="3157" spans="1:23" hidden="1" x14ac:dyDescent="0.25">
      <c r="A3157" s="7" t="str">
        <f>IFERROR(VLOOKUP(H3157,'Contas Orç'!A:B,2,0),"N/A")</f>
        <v>PECAS E ACESSORIOS</v>
      </c>
      <c r="B3157" s="7" t="str">
        <f t="shared" si="98"/>
        <v>330301004 - PECAS E ACESSORIOS</v>
      </c>
      <c r="C3157" s="25">
        <f t="shared" si="99"/>
        <v>44743</v>
      </c>
      <c r="D3157" s="27">
        <f>IF(K3157="CREDITO",Q3157,Q3157*-1)</f>
        <v>240.01</v>
      </c>
      <c r="E3157" t="s">
        <v>894</v>
      </c>
      <c r="F3157" t="s">
        <v>3652</v>
      </c>
      <c r="G3157" s="8">
        <v>44743</v>
      </c>
      <c r="H3157" t="s">
        <v>39</v>
      </c>
      <c r="I3157" t="s">
        <v>132</v>
      </c>
      <c r="J3157" t="s">
        <v>54</v>
      </c>
      <c r="K3157" t="s">
        <v>29</v>
      </c>
      <c r="L3157" t="s">
        <v>895</v>
      </c>
      <c r="M3157" t="s">
        <v>4402</v>
      </c>
      <c r="O3157" t="s">
        <v>896</v>
      </c>
      <c r="P3157" t="s">
        <v>33</v>
      </c>
      <c r="Q3157">
        <v>240.01</v>
      </c>
      <c r="R3157" t="s">
        <v>35</v>
      </c>
      <c r="S3157" t="s">
        <v>35</v>
      </c>
      <c r="T3157" t="s">
        <v>35</v>
      </c>
      <c r="U3157" t="s">
        <v>35</v>
      </c>
      <c r="V3157" t="s">
        <v>645</v>
      </c>
      <c r="W3157" t="s">
        <v>113</v>
      </c>
    </row>
    <row r="3158" spans="1:23" hidden="1" x14ac:dyDescent="0.25">
      <c r="A3158" s="7" t="str">
        <f>IFERROR(VLOOKUP(H3158,'Contas Orç'!A:B,2,0),"N/A")</f>
        <v>PECAS E ACESSORIOS</v>
      </c>
      <c r="B3158" s="7" t="str">
        <f t="shared" si="98"/>
        <v>330301004 - PECAS E ACESSORIOS</v>
      </c>
      <c r="C3158" s="25">
        <f t="shared" si="99"/>
        <v>44743</v>
      </c>
      <c r="D3158" s="27">
        <f>IF(K3158="CREDITO",Q3158,Q3158*-1)</f>
        <v>1851.28</v>
      </c>
      <c r="E3158" t="s">
        <v>894</v>
      </c>
      <c r="F3158" t="s">
        <v>3653</v>
      </c>
      <c r="G3158" s="8">
        <v>44743</v>
      </c>
      <c r="H3158" t="s">
        <v>39</v>
      </c>
      <c r="I3158" t="s">
        <v>99</v>
      </c>
      <c r="J3158" t="s">
        <v>54</v>
      </c>
      <c r="K3158" t="s">
        <v>29</v>
      </c>
      <c r="L3158" t="s">
        <v>895</v>
      </c>
      <c r="M3158" t="s">
        <v>4402</v>
      </c>
      <c r="O3158" t="s">
        <v>896</v>
      </c>
      <c r="P3158" t="s">
        <v>33</v>
      </c>
      <c r="Q3158" s="22">
        <v>1851.28</v>
      </c>
      <c r="R3158" t="s">
        <v>35</v>
      </c>
      <c r="S3158" t="s">
        <v>35</v>
      </c>
      <c r="T3158" t="s">
        <v>35</v>
      </c>
      <c r="U3158" t="s">
        <v>35</v>
      </c>
      <c r="V3158" t="s">
        <v>645</v>
      </c>
      <c r="W3158" t="s">
        <v>113</v>
      </c>
    </row>
    <row r="3159" spans="1:23" hidden="1" x14ac:dyDescent="0.25">
      <c r="A3159" s="7" t="str">
        <f>IFERROR(VLOOKUP(H3159,'Contas Orç'!A:B,2,0),"N/A")</f>
        <v>PECAS E ACESSORIOS</v>
      </c>
      <c r="B3159" s="7" t="str">
        <f t="shared" si="98"/>
        <v>330301004 - PECAS E ACESSORIOS</v>
      </c>
      <c r="C3159" s="25">
        <f t="shared" si="99"/>
        <v>44743</v>
      </c>
      <c r="D3159" s="27">
        <f>IF(K3159="CREDITO",Q3159,Q3159*-1)</f>
        <v>6.9</v>
      </c>
      <c r="E3159" t="s">
        <v>894</v>
      </c>
      <c r="F3159" t="s">
        <v>3654</v>
      </c>
      <c r="G3159" s="8">
        <v>44743</v>
      </c>
      <c r="H3159" t="s">
        <v>39</v>
      </c>
      <c r="I3159" t="s">
        <v>78</v>
      </c>
      <c r="J3159" t="s">
        <v>54</v>
      </c>
      <c r="K3159" t="s">
        <v>29</v>
      </c>
      <c r="L3159" t="s">
        <v>895</v>
      </c>
      <c r="M3159" t="s">
        <v>4402</v>
      </c>
      <c r="O3159" t="s">
        <v>896</v>
      </c>
      <c r="P3159" t="s">
        <v>33</v>
      </c>
      <c r="Q3159">
        <v>6.9</v>
      </c>
      <c r="R3159" t="s">
        <v>35</v>
      </c>
      <c r="S3159" t="s">
        <v>35</v>
      </c>
      <c r="T3159" t="s">
        <v>35</v>
      </c>
      <c r="U3159" t="s">
        <v>35</v>
      </c>
      <c r="V3159" t="s">
        <v>645</v>
      </c>
      <c r="W3159" t="s">
        <v>113</v>
      </c>
    </row>
    <row r="3160" spans="1:23" hidden="1" x14ac:dyDescent="0.25">
      <c r="A3160" s="7" t="str">
        <f>IFERROR(VLOOKUP(H3160,'Contas Orç'!A:B,2,0),"N/A")</f>
        <v>PECAS E ACESSORIOS</v>
      </c>
      <c r="B3160" s="7" t="str">
        <f t="shared" si="98"/>
        <v>330301004 - PECAS E ACESSORIOS</v>
      </c>
      <c r="C3160" s="25">
        <f t="shared" si="99"/>
        <v>44743</v>
      </c>
      <c r="D3160" s="27">
        <f>IF(K3160="CREDITO",Q3160,Q3160*-1)</f>
        <v>515.02</v>
      </c>
      <c r="E3160" t="s">
        <v>894</v>
      </c>
      <c r="F3160" t="s">
        <v>3655</v>
      </c>
      <c r="G3160" s="8">
        <v>44743</v>
      </c>
      <c r="H3160" t="s">
        <v>39</v>
      </c>
      <c r="I3160" t="s">
        <v>81</v>
      </c>
      <c r="J3160" t="s">
        <v>54</v>
      </c>
      <c r="K3160" t="s">
        <v>29</v>
      </c>
      <c r="L3160" t="s">
        <v>895</v>
      </c>
      <c r="M3160" t="s">
        <v>4402</v>
      </c>
      <c r="O3160" t="s">
        <v>896</v>
      </c>
      <c r="P3160" t="s">
        <v>33</v>
      </c>
      <c r="Q3160">
        <v>515.02</v>
      </c>
      <c r="R3160" t="s">
        <v>35</v>
      </c>
      <c r="S3160" t="s">
        <v>35</v>
      </c>
      <c r="T3160" t="s">
        <v>35</v>
      </c>
      <c r="U3160" t="s">
        <v>35</v>
      </c>
      <c r="V3160" t="s">
        <v>645</v>
      </c>
      <c r="W3160" t="s">
        <v>113</v>
      </c>
    </row>
    <row r="3161" spans="1:23" hidden="1" x14ac:dyDescent="0.25">
      <c r="A3161" s="7" t="str">
        <f>IFERROR(VLOOKUP(H3161,'Contas Orç'!A:B,2,0),"N/A")</f>
        <v>PECAS E ACESSORIOS</v>
      </c>
      <c r="B3161" s="7" t="str">
        <f t="shared" si="98"/>
        <v>330301004 - PECAS E ACESSORIOS</v>
      </c>
      <c r="C3161" s="25">
        <f t="shared" si="99"/>
        <v>44743</v>
      </c>
      <c r="D3161" s="27">
        <f>IF(K3161="CREDITO",Q3161,Q3161*-1)</f>
        <v>2260.31</v>
      </c>
      <c r="E3161" t="s">
        <v>894</v>
      </c>
      <c r="F3161" t="s">
        <v>3656</v>
      </c>
      <c r="G3161" s="8">
        <v>44743</v>
      </c>
      <c r="H3161" t="s">
        <v>39</v>
      </c>
      <c r="I3161" t="s">
        <v>136</v>
      </c>
      <c r="J3161" t="s">
        <v>54</v>
      </c>
      <c r="K3161" t="s">
        <v>29</v>
      </c>
      <c r="L3161" t="s">
        <v>895</v>
      </c>
      <c r="M3161" t="s">
        <v>4402</v>
      </c>
      <c r="O3161" t="s">
        <v>896</v>
      </c>
      <c r="P3161" t="s">
        <v>33</v>
      </c>
      <c r="Q3161" s="22">
        <v>2260.31</v>
      </c>
      <c r="R3161" t="s">
        <v>35</v>
      </c>
      <c r="S3161" t="s">
        <v>35</v>
      </c>
      <c r="T3161" t="s">
        <v>35</v>
      </c>
      <c r="U3161" t="s">
        <v>35</v>
      </c>
      <c r="V3161" t="s">
        <v>645</v>
      </c>
      <c r="W3161" t="s">
        <v>113</v>
      </c>
    </row>
    <row r="3162" spans="1:23" hidden="1" x14ac:dyDescent="0.25">
      <c r="A3162" s="7" t="str">
        <f>IFERROR(VLOOKUP(H3162,'Contas Orç'!A:B,2,0),"N/A")</f>
        <v>PECAS E ACESSORIOS</v>
      </c>
      <c r="B3162" s="7" t="str">
        <f t="shared" si="98"/>
        <v>330301004 - PECAS E ACESSORIOS</v>
      </c>
      <c r="C3162" s="25">
        <f t="shared" si="99"/>
        <v>44774</v>
      </c>
      <c r="D3162" s="27">
        <f>IF(K3162="CREDITO",Q3162,Q3162*-1)</f>
        <v>958.79</v>
      </c>
      <c r="E3162" t="s">
        <v>894</v>
      </c>
      <c r="F3162" t="s">
        <v>3657</v>
      </c>
      <c r="G3162" s="8">
        <v>44774</v>
      </c>
      <c r="H3162" t="s">
        <v>39</v>
      </c>
      <c r="I3162" t="s">
        <v>99</v>
      </c>
      <c r="J3162" t="s">
        <v>28</v>
      </c>
      <c r="K3162" t="s">
        <v>29</v>
      </c>
      <c r="L3162" t="s">
        <v>895</v>
      </c>
      <c r="M3162" t="s">
        <v>4402</v>
      </c>
      <c r="O3162" t="s">
        <v>896</v>
      </c>
      <c r="P3162" t="s">
        <v>33</v>
      </c>
      <c r="Q3162">
        <v>958.79</v>
      </c>
      <c r="R3162" t="s">
        <v>35</v>
      </c>
      <c r="S3162" t="s">
        <v>35</v>
      </c>
      <c r="T3162" t="s">
        <v>35</v>
      </c>
      <c r="U3162" t="s">
        <v>35</v>
      </c>
      <c r="V3162" t="s">
        <v>645</v>
      </c>
      <c r="W3162" t="s">
        <v>113</v>
      </c>
    </row>
    <row r="3163" spans="1:23" hidden="1" x14ac:dyDescent="0.25">
      <c r="A3163" s="7" t="str">
        <f>IFERROR(VLOOKUP(H3163,'Contas Orç'!A:B,2,0),"N/A")</f>
        <v>PECAS E ACESSORIOS</v>
      </c>
      <c r="B3163" s="7" t="str">
        <f t="shared" si="98"/>
        <v>330301004 - PECAS E ACESSORIOS</v>
      </c>
      <c r="C3163" s="25">
        <f t="shared" si="99"/>
        <v>44774</v>
      </c>
      <c r="D3163" s="27">
        <f>IF(K3163="CREDITO",Q3163,Q3163*-1)</f>
        <v>10181.18</v>
      </c>
      <c r="E3163" t="s">
        <v>894</v>
      </c>
      <c r="F3163" t="s">
        <v>3658</v>
      </c>
      <c r="G3163" s="8">
        <v>44774</v>
      </c>
      <c r="H3163" t="s">
        <v>39</v>
      </c>
      <c r="I3163" t="s">
        <v>68</v>
      </c>
      <c r="J3163" t="s">
        <v>69</v>
      </c>
      <c r="K3163" t="s">
        <v>29</v>
      </c>
      <c r="L3163" t="s">
        <v>895</v>
      </c>
      <c r="M3163" t="s">
        <v>4402</v>
      </c>
      <c r="O3163" t="s">
        <v>896</v>
      </c>
      <c r="P3163" t="s">
        <v>33</v>
      </c>
      <c r="Q3163" s="22">
        <v>10181.18</v>
      </c>
      <c r="R3163" t="s">
        <v>35</v>
      </c>
      <c r="S3163" t="s">
        <v>35</v>
      </c>
      <c r="T3163" t="s">
        <v>35</v>
      </c>
      <c r="U3163" t="s">
        <v>35</v>
      </c>
      <c r="V3163" t="s">
        <v>645</v>
      </c>
      <c r="W3163" t="s">
        <v>113</v>
      </c>
    </row>
    <row r="3164" spans="1:23" hidden="1" x14ac:dyDescent="0.25">
      <c r="A3164" s="7" t="str">
        <f>IFERROR(VLOOKUP(H3164,'Contas Orç'!A:B,2,0),"N/A")</f>
        <v>PECAS E ACESSORIOS</v>
      </c>
      <c r="B3164" s="7" t="str">
        <f t="shared" si="98"/>
        <v>330301004 - PECAS E ACESSORIOS</v>
      </c>
      <c r="C3164" s="25">
        <f t="shared" si="99"/>
        <v>44774</v>
      </c>
      <c r="D3164" s="27">
        <f>IF(K3164="CREDITO",Q3164,Q3164*-1)</f>
        <v>1204.32</v>
      </c>
      <c r="E3164" t="s">
        <v>894</v>
      </c>
      <c r="F3164" t="s">
        <v>3659</v>
      </c>
      <c r="G3164" s="8">
        <v>44774</v>
      </c>
      <c r="H3164" t="s">
        <v>39</v>
      </c>
      <c r="I3164" t="s">
        <v>2062</v>
      </c>
      <c r="J3164" t="s">
        <v>54</v>
      </c>
      <c r="K3164" t="s">
        <v>29</v>
      </c>
      <c r="L3164" t="s">
        <v>895</v>
      </c>
      <c r="M3164" t="s">
        <v>4402</v>
      </c>
      <c r="O3164" t="s">
        <v>896</v>
      </c>
      <c r="P3164" t="s">
        <v>33</v>
      </c>
      <c r="Q3164" s="22">
        <v>1204.32</v>
      </c>
      <c r="R3164" t="s">
        <v>35</v>
      </c>
      <c r="S3164" t="s">
        <v>35</v>
      </c>
      <c r="T3164" t="s">
        <v>35</v>
      </c>
      <c r="U3164" t="s">
        <v>35</v>
      </c>
      <c r="V3164" t="s">
        <v>645</v>
      </c>
      <c r="W3164" t="s">
        <v>113</v>
      </c>
    </row>
    <row r="3165" spans="1:23" hidden="1" x14ac:dyDescent="0.25">
      <c r="A3165" s="7" t="str">
        <f>IFERROR(VLOOKUP(H3165,'Contas Orç'!A:B,2,0),"N/A")</f>
        <v>PECAS E ACESSORIOS</v>
      </c>
      <c r="B3165" s="7" t="str">
        <f t="shared" si="98"/>
        <v>330301004 - PECAS E ACESSORIOS</v>
      </c>
      <c r="C3165" s="25">
        <f t="shared" si="99"/>
        <v>44774</v>
      </c>
      <c r="D3165" s="27">
        <f>IF(K3165="CREDITO",Q3165,Q3165*-1)</f>
        <v>6731.54</v>
      </c>
      <c r="E3165" t="s">
        <v>894</v>
      </c>
      <c r="F3165" t="s">
        <v>3660</v>
      </c>
      <c r="G3165" s="8">
        <v>44774</v>
      </c>
      <c r="H3165" t="s">
        <v>39</v>
      </c>
      <c r="I3165" t="s">
        <v>40</v>
      </c>
      <c r="J3165" t="s">
        <v>54</v>
      </c>
      <c r="K3165" t="s">
        <v>29</v>
      </c>
      <c r="L3165" t="s">
        <v>895</v>
      </c>
      <c r="M3165" t="s">
        <v>4402</v>
      </c>
      <c r="O3165" t="s">
        <v>896</v>
      </c>
      <c r="P3165" t="s">
        <v>33</v>
      </c>
      <c r="Q3165" s="22">
        <v>6731.54</v>
      </c>
      <c r="R3165" t="s">
        <v>35</v>
      </c>
      <c r="S3165" t="s">
        <v>35</v>
      </c>
      <c r="T3165" t="s">
        <v>35</v>
      </c>
      <c r="U3165" t="s">
        <v>35</v>
      </c>
      <c r="V3165" t="s">
        <v>645</v>
      </c>
      <c r="W3165" t="s">
        <v>113</v>
      </c>
    </row>
    <row r="3166" spans="1:23" hidden="1" x14ac:dyDescent="0.25">
      <c r="A3166" s="7" t="str">
        <f>IFERROR(VLOOKUP(H3166,'Contas Orç'!A:B,2,0),"N/A")</f>
        <v>PECAS E ACESSORIOS</v>
      </c>
      <c r="B3166" s="7" t="str">
        <f t="shared" si="98"/>
        <v>330301004 - PECAS E ACESSORIOS</v>
      </c>
      <c r="C3166" s="25">
        <f t="shared" si="99"/>
        <v>44774</v>
      </c>
      <c r="D3166" s="27">
        <f>IF(K3166="CREDITO",Q3166,Q3166*-1)</f>
        <v>787.12</v>
      </c>
      <c r="E3166" t="s">
        <v>894</v>
      </c>
      <c r="F3166" t="s">
        <v>3661</v>
      </c>
      <c r="G3166" s="8">
        <v>44774</v>
      </c>
      <c r="H3166" t="s">
        <v>39</v>
      </c>
      <c r="I3166" t="s">
        <v>132</v>
      </c>
      <c r="J3166" t="s">
        <v>54</v>
      </c>
      <c r="K3166" t="s">
        <v>29</v>
      </c>
      <c r="L3166" t="s">
        <v>895</v>
      </c>
      <c r="M3166" t="s">
        <v>4402</v>
      </c>
      <c r="O3166" t="s">
        <v>896</v>
      </c>
      <c r="P3166" t="s">
        <v>33</v>
      </c>
      <c r="Q3166">
        <v>787.12</v>
      </c>
      <c r="R3166" t="s">
        <v>35</v>
      </c>
      <c r="S3166" t="s">
        <v>35</v>
      </c>
      <c r="T3166" t="s">
        <v>35</v>
      </c>
      <c r="U3166" t="s">
        <v>35</v>
      </c>
      <c r="V3166" t="s">
        <v>645</v>
      </c>
      <c r="W3166" t="s">
        <v>113</v>
      </c>
    </row>
    <row r="3167" spans="1:23" hidden="1" x14ac:dyDescent="0.25">
      <c r="A3167" s="7" t="str">
        <f>IFERROR(VLOOKUP(H3167,'Contas Orç'!A:B,2,0),"N/A")</f>
        <v>PECAS E ACESSORIOS</v>
      </c>
      <c r="B3167" s="7" t="str">
        <f t="shared" si="98"/>
        <v>330301004 - PECAS E ACESSORIOS</v>
      </c>
      <c r="C3167" s="25">
        <f t="shared" si="99"/>
        <v>44774</v>
      </c>
      <c r="D3167" s="27">
        <f>IF(K3167="CREDITO",Q3167,Q3167*-1)</f>
        <v>1508.63</v>
      </c>
      <c r="E3167" t="s">
        <v>894</v>
      </c>
      <c r="F3167" t="s">
        <v>3662</v>
      </c>
      <c r="G3167" s="8">
        <v>44774</v>
      </c>
      <c r="H3167" t="s">
        <v>39</v>
      </c>
      <c r="I3167" t="s">
        <v>99</v>
      </c>
      <c r="J3167" t="s">
        <v>54</v>
      </c>
      <c r="K3167" t="s">
        <v>29</v>
      </c>
      <c r="L3167" t="s">
        <v>895</v>
      </c>
      <c r="M3167" t="s">
        <v>4402</v>
      </c>
      <c r="O3167" t="s">
        <v>896</v>
      </c>
      <c r="P3167" t="s">
        <v>33</v>
      </c>
      <c r="Q3167" s="22">
        <v>1508.63</v>
      </c>
      <c r="R3167" t="s">
        <v>35</v>
      </c>
      <c r="S3167" t="s">
        <v>35</v>
      </c>
      <c r="T3167" t="s">
        <v>35</v>
      </c>
      <c r="U3167" t="s">
        <v>35</v>
      </c>
      <c r="V3167" t="s">
        <v>645</v>
      </c>
      <c r="W3167" t="s">
        <v>113</v>
      </c>
    </row>
    <row r="3168" spans="1:23" hidden="1" x14ac:dyDescent="0.25">
      <c r="A3168" s="7" t="str">
        <f>IFERROR(VLOOKUP(H3168,'Contas Orç'!A:B,2,0),"N/A")</f>
        <v>PECAS E ACESSORIOS</v>
      </c>
      <c r="B3168" s="7" t="str">
        <f t="shared" si="98"/>
        <v>330301004 - PECAS E ACESSORIOS</v>
      </c>
      <c r="C3168" s="25">
        <f t="shared" si="99"/>
        <v>44774</v>
      </c>
      <c r="D3168" s="27">
        <f>IF(K3168="CREDITO",Q3168,Q3168*-1)</f>
        <v>3.73</v>
      </c>
      <c r="E3168" t="s">
        <v>894</v>
      </c>
      <c r="F3168" t="s">
        <v>3663</v>
      </c>
      <c r="G3168" s="8">
        <v>44774</v>
      </c>
      <c r="H3168" t="s">
        <v>39</v>
      </c>
      <c r="I3168" t="s">
        <v>78</v>
      </c>
      <c r="J3168" t="s">
        <v>54</v>
      </c>
      <c r="K3168" t="s">
        <v>29</v>
      </c>
      <c r="L3168" t="s">
        <v>895</v>
      </c>
      <c r="M3168" t="s">
        <v>4402</v>
      </c>
      <c r="O3168" t="s">
        <v>896</v>
      </c>
      <c r="P3168" t="s">
        <v>33</v>
      </c>
      <c r="Q3168">
        <v>3.73</v>
      </c>
      <c r="R3168" t="s">
        <v>35</v>
      </c>
      <c r="S3168" t="s">
        <v>35</v>
      </c>
      <c r="T3168" t="s">
        <v>35</v>
      </c>
      <c r="U3168" t="s">
        <v>35</v>
      </c>
      <c r="V3168" t="s">
        <v>645</v>
      </c>
      <c r="W3168" t="s">
        <v>113</v>
      </c>
    </row>
    <row r="3169" spans="1:23" hidden="1" x14ac:dyDescent="0.25">
      <c r="A3169" s="7" t="str">
        <f>IFERROR(VLOOKUP(H3169,'Contas Orç'!A:B,2,0),"N/A")</f>
        <v>PECAS E ACESSORIOS</v>
      </c>
      <c r="B3169" s="7" t="str">
        <f t="shared" si="98"/>
        <v>330301004 - PECAS E ACESSORIOS</v>
      </c>
      <c r="C3169" s="25">
        <f t="shared" si="99"/>
        <v>44774</v>
      </c>
      <c r="D3169" s="27">
        <f>IF(K3169="CREDITO",Q3169,Q3169*-1)</f>
        <v>13868.01</v>
      </c>
      <c r="E3169" t="s">
        <v>894</v>
      </c>
      <c r="F3169" t="s">
        <v>3664</v>
      </c>
      <c r="G3169" s="8">
        <v>44774</v>
      </c>
      <c r="H3169" t="s">
        <v>39</v>
      </c>
      <c r="I3169" t="s">
        <v>81</v>
      </c>
      <c r="J3169" t="s">
        <v>54</v>
      </c>
      <c r="K3169" t="s">
        <v>29</v>
      </c>
      <c r="L3169" t="s">
        <v>895</v>
      </c>
      <c r="M3169" t="s">
        <v>4402</v>
      </c>
      <c r="O3169" t="s">
        <v>896</v>
      </c>
      <c r="P3169" t="s">
        <v>33</v>
      </c>
      <c r="Q3169" s="22">
        <v>13868.01</v>
      </c>
      <c r="R3169" t="s">
        <v>35</v>
      </c>
      <c r="S3169" t="s">
        <v>35</v>
      </c>
      <c r="T3169" t="s">
        <v>35</v>
      </c>
      <c r="U3169" t="s">
        <v>35</v>
      </c>
      <c r="V3169" t="s">
        <v>645</v>
      </c>
      <c r="W3169" t="s">
        <v>113</v>
      </c>
    </row>
    <row r="3170" spans="1:23" hidden="1" x14ac:dyDescent="0.25">
      <c r="A3170" s="7" t="str">
        <f>IFERROR(VLOOKUP(H3170,'Contas Orç'!A:B,2,0),"N/A")</f>
        <v>PECAS E ACESSORIOS</v>
      </c>
      <c r="B3170" s="7" t="str">
        <f t="shared" si="98"/>
        <v>330301004 - PECAS E ACESSORIOS</v>
      </c>
      <c r="C3170" s="25">
        <f t="shared" si="99"/>
        <v>44774</v>
      </c>
      <c r="D3170" s="27">
        <f>IF(K3170="CREDITO",Q3170,Q3170*-1)</f>
        <v>1495.87</v>
      </c>
      <c r="E3170" t="s">
        <v>894</v>
      </c>
      <c r="F3170" t="s">
        <v>3665</v>
      </c>
      <c r="G3170" s="8">
        <v>44774</v>
      </c>
      <c r="H3170" t="s">
        <v>39</v>
      </c>
      <c r="I3170" t="s">
        <v>136</v>
      </c>
      <c r="J3170" t="s">
        <v>54</v>
      </c>
      <c r="K3170" t="s">
        <v>29</v>
      </c>
      <c r="L3170" t="s">
        <v>895</v>
      </c>
      <c r="M3170" t="s">
        <v>4402</v>
      </c>
      <c r="O3170" t="s">
        <v>896</v>
      </c>
      <c r="P3170" t="s">
        <v>33</v>
      </c>
      <c r="Q3170" s="22">
        <v>1495.87</v>
      </c>
      <c r="R3170" t="s">
        <v>35</v>
      </c>
      <c r="S3170" t="s">
        <v>35</v>
      </c>
      <c r="T3170" t="s">
        <v>35</v>
      </c>
      <c r="U3170" t="s">
        <v>35</v>
      </c>
      <c r="V3170" t="s">
        <v>645</v>
      </c>
      <c r="W3170" t="s">
        <v>113</v>
      </c>
    </row>
    <row r="3171" spans="1:23" hidden="1" x14ac:dyDescent="0.25">
      <c r="A3171" s="7" t="str">
        <f>IFERROR(VLOOKUP(H3171,'Contas Orç'!A:B,2,0),"N/A")</f>
        <v>PECAS E ACESSORIOS</v>
      </c>
      <c r="B3171" s="7" t="str">
        <f t="shared" si="98"/>
        <v>330301004 - PECAS E ACESSORIOS</v>
      </c>
      <c r="C3171" s="25">
        <f t="shared" si="99"/>
        <v>44805</v>
      </c>
      <c r="D3171" s="27">
        <f>IF(K3171="CREDITO",Q3171,Q3171*-1)</f>
        <v>8745.92</v>
      </c>
      <c r="E3171" t="s">
        <v>894</v>
      </c>
      <c r="F3171" t="s">
        <v>3666</v>
      </c>
      <c r="G3171" s="8">
        <v>44805</v>
      </c>
      <c r="H3171" t="s">
        <v>39</v>
      </c>
      <c r="I3171" t="s">
        <v>68</v>
      </c>
      <c r="J3171" t="s">
        <v>69</v>
      </c>
      <c r="K3171" t="s">
        <v>29</v>
      </c>
      <c r="L3171" t="s">
        <v>895</v>
      </c>
      <c r="M3171" t="s">
        <v>4402</v>
      </c>
      <c r="O3171" t="s">
        <v>896</v>
      </c>
      <c r="P3171" t="s">
        <v>33</v>
      </c>
      <c r="Q3171" s="22">
        <v>8745.92</v>
      </c>
      <c r="R3171" t="s">
        <v>35</v>
      </c>
      <c r="S3171" t="s">
        <v>35</v>
      </c>
      <c r="T3171" t="s">
        <v>35</v>
      </c>
      <c r="U3171" t="s">
        <v>35</v>
      </c>
      <c r="V3171" t="s">
        <v>645</v>
      </c>
      <c r="W3171" t="s">
        <v>113</v>
      </c>
    </row>
    <row r="3172" spans="1:23" hidden="1" x14ac:dyDescent="0.25">
      <c r="A3172" s="7" t="str">
        <f>IFERROR(VLOOKUP(H3172,'Contas Orç'!A:B,2,0),"N/A")</f>
        <v>PECAS E ACESSORIOS</v>
      </c>
      <c r="B3172" s="7" t="str">
        <f t="shared" si="98"/>
        <v>330301004 - PECAS E ACESSORIOS</v>
      </c>
      <c r="C3172" s="25">
        <f t="shared" si="99"/>
        <v>44805</v>
      </c>
      <c r="D3172" s="27">
        <f>IF(K3172="CREDITO",Q3172,Q3172*-1)</f>
        <v>1622.92</v>
      </c>
      <c r="E3172" t="s">
        <v>894</v>
      </c>
      <c r="F3172" t="s">
        <v>3667</v>
      </c>
      <c r="G3172" s="8">
        <v>44805</v>
      </c>
      <c r="H3172" t="s">
        <v>39</v>
      </c>
      <c r="I3172" t="s">
        <v>2062</v>
      </c>
      <c r="J3172" t="s">
        <v>54</v>
      </c>
      <c r="K3172" t="s">
        <v>29</v>
      </c>
      <c r="L3172" t="s">
        <v>895</v>
      </c>
      <c r="M3172" t="s">
        <v>4402</v>
      </c>
      <c r="O3172" t="s">
        <v>896</v>
      </c>
      <c r="P3172" t="s">
        <v>33</v>
      </c>
      <c r="Q3172" s="22">
        <v>1622.92</v>
      </c>
      <c r="R3172" t="s">
        <v>35</v>
      </c>
      <c r="S3172" t="s">
        <v>35</v>
      </c>
      <c r="T3172" t="s">
        <v>35</v>
      </c>
      <c r="U3172" t="s">
        <v>35</v>
      </c>
      <c r="V3172" t="s">
        <v>645</v>
      </c>
      <c r="W3172" t="s">
        <v>113</v>
      </c>
    </row>
    <row r="3173" spans="1:23" hidden="1" x14ac:dyDescent="0.25">
      <c r="A3173" s="7" t="str">
        <f>IFERROR(VLOOKUP(H3173,'Contas Orç'!A:B,2,0),"N/A")</f>
        <v>PECAS E ACESSORIOS</v>
      </c>
      <c r="B3173" s="7" t="str">
        <f t="shared" si="98"/>
        <v>330301004 - PECAS E ACESSORIOS</v>
      </c>
      <c r="C3173" s="25">
        <f t="shared" si="99"/>
        <v>44805</v>
      </c>
      <c r="D3173" s="27">
        <f>IF(K3173="CREDITO",Q3173,Q3173*-1)</f>
        <v>7615.74</v>
      </c>
      <c r="E3173" t="s">
        <v>894</v>
      </c>
      <c r="F3173" t="s">
        <v>3668</v>
      </c>
      <c r="G3173" s="8">
        <v>44805</v>
      </c>
      <c r="H3173" t="s">
        <v>39</v>
      </c>
      <c r="I3173" t="s">
        <v>40</v>
      </c>
      <c r="J3173" t="s">
        <v>54</v>
      </c>
      <c r="K3173" t="s">
        <v>29</v>
      </c>
      <c r="L3173" t="s">
        <v>895</v>
      </c>
      <c r="M3173" t="s">
        <v>4402</v>
      </c>
      <c r="O3173" t="s">
        <v>896</v>
      </c>
      <c r="P3173" t="s">
        <v>33</v>
      </c>
      <c r="Q3173" s="22">
        <v>7615.74</v>
      </c>
      <c r="R3173" t="s">
        <v>35</v>
      </c>
      <c r="S3173" t="s">
        <v>35</v>
      </c>
      <c r="T3173" t="s">
        <v>35</v>
      </c>
      <c r="U3173" t="s">
        <v>35</v>
      </c>
      <c r="V3173" t="s">
        <v>645</v>
      </c>
      <c r="W3173" t="s">
        <v>113</v>
      </c>
    </row>
    <row r="3174" spans="1:23" hidden="1" x14ac:dyDescent="0.25">
      <c r="A3174" s="7" t="str">
        <f>IFERROR(VLOOKUP(H3174,'Contas Orç'!A:B,2,0),"N/A")</f>
        <v>PECAS E ACESSORIOS</v>
      </c>
      <c r="B3174" s="7" t="str">
        <f t="shared" si="98"/>
        <v>330301004 - PECAS E ACESSORIOS</v>
      </c>
      <c r="C3174" s="25">
        <f t="shared" si="99"/>
        <v>44805</v>
      </c>
      <c r="D3174" s="27">
        <f>IF(K3174="CREDITO",Q3174,Q3174*-1)</f>
        <v>200.01</v>
      </c>
      <c r="E3174" t="s">
        <v>894</v>
      </c>
      <c r="F3174" t="s">
        <v>3669</v>
      </c>
      <c r="G3174" s="8">
        <v>44805</v>
      </c>
      <c r="H3174" t="s">
        <v>39</v>
      </c>
      <c r="I3174" t="s">
        <v>132</v>
      </c>
      <c r="J3174" t="s">
        <v>54</v>
      </c>
      <c r="K3174" t="s">
        <v>29</v>
      </c>
      <c r="L3174" t="s">
        <v>895</v>
      </c>
      <c r="M3174" t="s">
        <v>4402</v>
      </c>
      <c r="O3174" t="s">
        <v>896</v>
      </c>
      <c r="P3174" t="s">
        <v>33</v>
      </c>
      <c r="Q3174">
        <v>200.01</v>
      </c>
      <c r="R3174" t="s">
        <v>35</v>
      </c>
      <c r="S3174" t="s">
        <v>35</v>
      </c>
      <c r="T3174" t="s">
        <v>35</v>
      </c>
      <c r="U3174" t="s">
        <v>35</v>
      </c>
      <c r="V3174" t="s">
        <v>645</v>
      </c>
      <c r="W3174" t="s">
        <v>113</v>
      </c>
    </row>
    <row r="3175" spans="1:23" hidden="1" x14ac:dyDescent="0.25">
      <c r="A3175" s="7" t="str">
        <f>IFERROR(VLOOKUP(H3175,'Contas Orç'!A:B,2,0),"N/A")</f>
        <v>PECAS E ACESSORIOS</v>
      </c>
      <c r="B3175" s="7" t="str">
        <f t="shared" si="98"/>
        <v>330301004 - PECAS E ACESSORIOS</v>
      </c>
      <c r="C3175" s="25">
        <f t="shared" si="99"/>
        <v>44805</v>
      </c>
      <c r="D3175" s="27">
        <f>IF(K3175="CREDITO",Q3175,Q3175*-1)</f>
        <v>1492.5</v>
      </c>
      <c r="E3175" t="s">
        <v>894</v>
      </c>
      <c r="F3175" t="s">
        <v>3670</v>
      </c>
      <c r="G3175" s="8">
        <v>44805</v>
      </c>
      <c r="H3175" t="s">
        <v>39</v>
      </c>
      <c r="I3175" t="s">
        <v>99</v>
      </c>
      <c r="J3175" t="s">
        <v>54</v>
      </c>
      <c r="K3175" t="s">
        <v>29</v>
      </c>
      <c r="L3175" t="s">
        <v>895</v>
      </c>
      <c r="M3175" t="s">
        <v>4402</v>
      </c>
      <c r="O3175" t="s">
        <v>896</v>
      </c>
      <c r="P3175" t="s">
        <v>33</v>
      </c>
      <c r="Q3175" s="22">
        <v>1492.5</v>
      </c>
      <c r="R3175" t="s">
        <v>35</v>
      </c>
      <c r="S3175" t="s">
        <v>35</v>
      </c>
      <c r="T3175" t="s">
        <v>35</v>
      </c>
      <c r="U3175" t="s">
        <v>35</v>
      </c>
      <c r="V3175" t="s">
        <v>645</v>
      </c>
      <c r="W3175" t="s">
        <v>113</v>
      </c>
    </row>
    <row r="3176" spans="1:23" hidden="1" x14ac:dyDescent="0.25">
      <c r="A3176" s="7" t="str">
        <f>IFERROR(VLOOKUP(H3176,'Contas Orç'!A:B,2,0),"N/A")</f>
        <v>PECAS E ACESSORIOS</v>
      </c>
      <c r="B3176" s="7" t="str">
        <f t="shared" si="98"/>
        <v>330301004 - PECAS E ACESSORIOS</v>
      </c>
      <c r="C3176" s="25">
        <f t="shared" si="99"/>
        <v>44805</v>
      </c>
      <c r="D3176" s="27">
        <f>IF(K3176="CREDITO",Q3176,Q3176*-1)</f>
        <v>557.77</v>
      </c>
      <c r="E3176" t="s">
        <v>894</v>
      </c>
      <c r="F3176" t="s">
        <v>3671</v>
      </c>
      <c r="G3176" s="8">
        <v>44805</v>
      </c>
      <c r="H3176" t="s">
        <v>39</v>
      </c>
      <c r="I3176" t="s">
        <v>81</v>
      </c>
      <c r="J3176" t="s">
        <v>54</v>
      </c>
      <c r="K3176" t="s">
        <v>29</v>
      </c>
      <c r="L3176" t="s">
        <v>895</v>
      </c>
      <c r="M3176" t="s">
        <v>4402</v>
      </c>
      <c r="O3176" t="s">
        <v>896</v>
      </c>
      <c r="P3176" t="s">
        <v>33</v>
      </c>
      <c r="Q3176">
        <v>557.77</v>
      </c>
      <c r="R3176" t="s">
        <v>35</v>
      </c>
      <c r="S3176" t="s">
        <v>35</v>
      </c>
      <c r="T3176" t="s">
        <v>35</v>
      </c>
      <c r="U3176" t="s">
        <v>35</v>
      </c>
      <c r="V3176" t="s">
        <v>645</v>
      </c>
      <c r="W3176" t="s">
        <v>113</v>
      </c>
    </row>
    <row r="3177" spans="1:23" hidden="1" x14ac:dyDescent="0.25">
      <c r="A3177" s="7" t="str">
        <f>IFERROR(VLOOKUP(H3177,'Contas Orç'!A:B,2,0),"N/A")</f>
        <v>PECAS E ACESSORIOS</v>
      </c>
      <c r="B3177" s="7" t="str">
        <f t="shared" si="98"/>
        <v>330301004 - PECAS E ACESSORIOS</v>
      </c>
      <c r="C3177" s="25">
        <f t="shared" si="99"/>
        <v>44805</v>
      </c>
      <c r="D3177" s="27">
        <f>IF(K3177="CREDITO",Q3177,Q3177*-1)</f>
        <v>2071.7199999999998</v>
      </c>
      <c r="E3177" t="s">
        <v>894</v>
      </c>
      <c r="F3177" t="s">
        <v>3672</v>
      </c>
      <c r="G3177" s="8">
        <v>44805</v>
      </c>
      <c r="H3177" t="s">
        <v>39</v>
      </c>
      <c r="I3177" t="s">
        <v>136</v>
      </c>
      <c r="J3177" t="s">
        <v>54</v>
      </c>
      <c r="K3177" t="s">
        <v>29</v>
      </c>
      <c r="L3177" t="s">
        <v>895</v>
      </c>
      <c r="M3177" t="s">
        <v>4402</v>
      </c>
      <c r="O3177" t="s">
        <v>896</v>
      </c>
      <c r="P3177" t="s">
        <v>33</v>
      </c>
      <c r="Q3177" s="22">
        <v>2071.7199999999998</v>
      </c>
      <c r="R3177" t="s">
        <v>35</v>
      </c>
      <c r="S3177" t="s">
        <v>35</v>
      </c>
      <c r="T3177" t="s">
        <v>35</v>
      </c>
      <c r="U3177" t="s">
        <v>35</v>
      </c>
      <c r="V3177" t="s">
        <v>645</v>
      </c>
      <c r="W3177" t="s">
        <v>113</v>
      </c>
    </row>
    <row r="3178" spans="1:23" hidden="1" x14ac:dyDescent="0.25">
      <c r="A3178" s="7" t="str">
        <f>IFERROR(VLOOKUP(H3178,'Contas Orç'!A:B,2,0),"N/A")</f>
        <v>PECAS E ACESSORIOS</v>
      </c>
      <c r="B3178" s="7" t="str">
        <f t="shared" si="98"/>
        <v>330301004 - PECAS E ACESSORIOS</v>
      </c>
      <c r="C3178" s="25">
        <f t="shared" si="99"/>
        <v>44835</v>
      </c>
      <c r="D3178" s="27">
        <f>IF(K3178="CREDITO",Q3178,Q3178*-1)</f>
        <v>8833.3799999999992</v>
      </c>
      <c r="E3178" t="s">
        <v>894</v>
      </c>
      <c r="F3178" t="s">
        <v>3673</v>
      </c>
      <c r="G3178" s="8">
        <v>44835</v>
      </c>
      <c r="H3178" t="s">
        <v>39</v>
      </c>
      <c r="I3178" t="s">
        <v>68</v>
      </c>
      <c r="J3178" t="s">
        <v>69</v>
      </c>
      <c r="K3178" t="s">
        <v>29</v>
      </c>
      <c r="L3178" t="s">
        <v>895</v>
      </c>
      <c r="M3178" t="s">
        <v>4402</v>
      </c>
      <c r="O3178" t="s">
        <v>896</v>
      </c>
      <c r="P3178" t="s">
        <v>33</v>
      </c>
      <c r="Q3178" s="22">
        <v>8833.3799999999992</v>
      </c>
      <c r="R3178" t="s">
        <v>35</v>
      </c>
      <c r="S3178" t="s">
        <v>35</v>
      </c>
      <c r="T3178" t="s">
        <v>35</v>
      </c>
      <c r="U3178" t="s">
        <v>35</v>
      </c>
      <c r="V3178" t="s">
        <v>645</v>
      </c>
      <c r="W3178" t="s">
        <v>113</v>
      </c>
    </row>
    <row r="3179" spans="1:23" hidden="1" x14ac:dyDescent="0.25">
      <c r="A3179" s="7" t="str">
        <f>IFERROR(VLOOKUP(H3179,'Contas Orç'!A:B,2,0),"N/A")</f>
        <v>PECAS E ACESSORIOS</v>
      </c>
      <c r="B3179" s="7" t="str">
        <f t="shared" si="98"/>
        <v>330301004 - PECAS E ACESSORIOS</v>
      </c>
      <c r="C3179" s="25">
        <f t="shared" si="99"/>
        <v>44835</v>
      </c>
      <c r="D3179" s="27">
        <f>IF(K3179="CREDITO",Q3179,Q3179*-1)</f>
        <v>1639.15</v>
      </c>
      <c r="E3179" t="s">
        <v>894</v>
      </c>
      <c r="F3179" t="s">
        <v>3674</v>
      </c>
      <c r="G3179" s="8">
        <v>44835</v>
      </c>
      <c r="H3179" t="s">
        <v>39</v>
      </c>
      <c r="I3179" t="s">
        <v>2062</v>
      </c>
      <c r="J3179" t="s">
        <v>54</v>
      </c>
      <c r="K3179" t="s">
        <v>29</v>
      </c>
      <c r="L3179" t="s">
        <v>895</v>
      </c>
      <c r="M3179" t="s">
        <v>4402</v>
      </c>
      <c r="O3179" t="s">
        <v>896</v>
      </c>
      <c r="P3179" t="s">
        <v>33</v>
      </c>
      <c r="Q3179" s="22">
        <v>1639.15</v>
      </c>
      <c r="R3179" t="s">
        <v>35</v>
      </c>
      <c r="S3179" t="s">
        <v>35</v>
      </c>
      <c r="T3179" t="s">
        <v>35</v>
      </c>
      <c r="U3179" t="s">
        <v>35</v>
      </c>
      <c r="V3179" t="s">
        <v>645</v>
      </c>
      <c r="W3179" t="s">
        <v>113</v>
      </c>
    </row>
    <row r="3180" spans="1:23" hidden="1" x14ac:dyDescent="0.25">
      <c r="A3180" s="7" t="str">
        <f>IFERROR(VLOOKUP(H3180,'Contas Orç'!A:B,2,0),"N/A")</f>
        <v>PECAS E ACESSORIOS</v>
      </c>
      <c r="B3180" s="7" t="str">
        <f t="shared" si="98"/>
        <v>330301004 - PECAS E ACESSORIOS</v>
      </c>
      <c r="C3180" s="25">
        <f t="shared" si="99"/>
        <v>44835</v>
      </c>
      <c r="D3180" s="27">
        <f>IF(K3180="CREDITO",Q3180,Q3180*-1)</f>
        <v>7691.9</v>
      </c>
      <c r="E3180" t="s">
        <v>894</v>
      </c>
      <c r="F3180" t="s">
        <v>3675</v>
      </c>
      <c r="G3180" s="8">
        <v>44835</v>
      </c>
      <c r="H3180" t="s">
        <v>39</v>
      </c>
      <c r="I3180" t="s">
        <v>40</v>
      </c>
      <c r="J3180" t="s">
        <v>54</v>
      </c>
      <c r="K3180" t="s">
        <v>29</v>
      </c>
      <c r="L3180" t="s">
        <v>895</v>
      </c>
      <c r="M3180" t="s">
        <v>4402</v>
      </c>
      <c r="O3180" t="s">
        <v>896</v>
      </c>
      <c r="P3180" t="s">
        <v>33</v>
      </c>
      <c r="Q3180" s="22">
        <v>7691.9</v>
      </c>
      <c r="R3180" t="s">
        <v>35</v>
      </c>
      <c r="S3180" t="s">
        <v>35</v>
      </c>
      <c r="T3180" t="s">
        <v>35</v>
      </c>
      <c r="U3180" t="s">
        <v>35</v>
      </c>
      <c r="V3180" t="s">
        <v>645</v>
      </c>
      <c r="W3180" t="s">
        <v>113</v>
      </c>
    </row>
    <row r="3181" spans="1:23" hidden="1" x14ac:dyDescent="0.25">
      <c r="A3181" s="7" t="str">
        <f>IFERROR(VLOOKUP(H3181,'Contas Orç'!A:B,2,0),"N/A")</f>
        <v>PECAS E ACESSORIOS</v>
      </c>
      <c r="B3181" s="7" t="str">
        <f t="shared" si="98"/>
        <v>330301004 - PECAS E ACESSORIOS</v>
      </c>
      <c r="C3181" s="25">
        <f t="shared" si="99"/>
        <v>44835</v>
      </c>
      <c r="D3181" s="27">
        <f>IF(K3181="CREDITO",Q3181,Q3181*-1)</f>
        <v>202.01</v>
      </c>
      <c r="E3181" t="s">
        <v>894</v>
      </c>
      <c r="F3181" t="s">
        <v>3676</v>
      </c>
      <c r="G3181" s="8">
        <v>44835</v>
      </c>
      <c r="H3181" t="s">
        <v>39</v>
      </c>
      <c r="I3181" t="s">
        <v>132</v>
      </c>
      <c r="J3181" t="s">
        <v>54</v>
      </c>
      <c r="K3181" t="s">
        <v>29</v>
      </c>
      <c r="L3181" t="s">
        <v>895</v>
      </c>
      <c r="M3181" t="s">
        <v>4402</v>
      </c>
      <c r="O3181" t="s">
        <v>896</v>
      </c>
      <c r="P3181" t="s">
        <v>33</v>
      </c>
      <c r="Q3181">
        <v>202.01</v>
      </c>
      <c r="R3181" t="s">
        <v>35</v>
      </c>
      <c r="S3181" t="s">
        <v>35</v>
      </c>
      <c r="T3181" t="s">
        <v>35</v>
      </c>
      <c r="U3181" t="s">
        <v>35</v>
      </c>
      <c r="V3181" t="s">
        <v>645</v>
      </c>
      <c r="W3181" t="s">
        <v>113</v>
      </c>
    </row>
    <row r="3182" spans="1:23" hidden="1" x14ac:dyDescent="0.25">
      <c r="A3182" s="7" t="str">
        <f>IFERROR(VLOOKUP(H3182,'Contas Orç'!A:B,2,0),"N/A")</f>
        <v>PECAS E ACESSORIOS</v>
      </c>
      <c r="B3182" s="7" t="str">
        <f t="shared" si="98"/>
        <v>330301004 - PECAS E ACESSORIOS</v>
      </c>
      <c r="C3182" s="25">
        <f t="shared" si="99"/>
        <v>44835</v>
      </c>
      <c r="D3182" s="27">
        <f>IF(K3182="CREDITO",Q3182,Q3182*-1)</f>
        <v>1507.43</v>
      </c>
      <c r="E3182" t="s">
        <v>894</v>
      </c>
      <c r="F3182" t="s">
        <v>3677</v>
      </c>
      <c r="G3182" s="8">
        <v>44835</v>
      </c>
      <c r="H3182" t="s">
        <v>39</v>
      </c>
      <c r="I3182" t="s">
        <v>99</v>
      </c>
      <c r="J3182" t="s">
        <v>54</v>
      </c>
      <c r="K3182" t="s">
        <v>29</v>
      </c>
      <c r="L3182" t="s">
        <v>895</v>
      </c>
      <c r="M3182" t="s">
        <v>4402</v>
      </c>
      <c r="O3182" t="s">
        <v>896</v>
      </c>
      <c r="P3182" t="s">
        <v>33</v>
      </c>
      <c r="Q3182" s="22">
        <v>1507.43</v>
      </c>
      <c r="R3182" t="s">
        <v>35</v>
      </c>
      <c r="S3182" t="s">
        <v>35</v>
      </c>
      <c r="T3182" t="s">
        <v>35</v>
      </c>
      <c r="U3182" t="s">
        <v>35</v>
      </c>
      <c r="V3182" t="s">
        <v>645</v>
      </c>
      <c r="W3182" t="s">
        <v>113</v>
      </c>
    </row>
    <row r="3183" spans="1:23" hidden="1" x14ac:dyDescent="0.25">
      <c r="A3183" s="7" t="str">
        <f>IFERROR(VLOOKUP(H3183,'Contas Orç'!A:B,2,0),"N/A")</f>
        <v>PECAS E ACESSORIOS</v>
      </c>
      <c r="B3183" s="7" t="str">
        <f t="shared" si="98"/>
        <v>330301004 - PECAS E ACESSORIOS</v>
      </c>
      <c r="C3183" s="25">
        <f t="shared" si="99"/>
        <v>44835</v>
      </c>
      <c r="D3183" s="27">
        <f>IF(K3183="CREDITO",Q3183,Q3183*-1)</f>
        <v>563.35</v>
      </c>
      <c r="E3183" t="s">
        <v>894</v>
      </c>
      <c r="F3183" t="s">
        <v>3678</v>
      </c>
      <c r="G3183" s="8">
        <v>44835</v>
      </c>
      <c r="H3183" t="s">
        <v>39</v>
      </c>
      <c r="I3183" t="s">
        <v>81</v>
      </c>
      <c r="J3183" t="s">
        <v>54</v>
      </c>
      <c r="K3183" t="s">
        <v>29</v>
      </c>
      <c r="L3183" t="s">
        <v>895</v>
      </c>
      <c r="M3183" t="s">
        <v>4402</v>
      </c>
      <c r="O3183" t="s">
        <v>896</v>
      </c>
      <c r="P3183" t="s">
        <v>33</v>
      </c>
      <c r="Q3183">
        <v>563.35</v>
      </c>
      <c r="R3183" t="s">
        <v>35</v>
      </c>
      <c r="S3183" t="s">
        <v>35</v>
      </c>
      <c r="T3183" t="s">
        <v>35</v>
      </c>
      <c r="U3183" t="s">
        <v>35</v>
      </c>
      <c r="V3183" t="s">
        <v>645</v>
      </c>
      <c r="W3183" t="s">
        <v>113</v>
      </c>
    </row>
    <row r="3184" spans="1:23" hidden="1" x14ac:dyDescent="0.25">
      <c r="A3184" s="7" t="str">
        <f>IFERROR(VLOOKUP(H3184,'Contas Orç'!A:B,2,0),"N/A")</f>
        <v>PECAS E ACESSORIOS</v>
      </c>
      <c r="B3184" s="7" t="str">
        <f t="shared" si="98"/>
        <v>330301004 - PECAS E ACESSORIOS</v>
      </c>
      <c r="C3184" s="25">
        <f t="shared" si="99"/>
        <v>44835</v>
      </c>
      <c r="D3184" s="27">
        <f>IF(K3184="CREDITO",Q3184,Q3184*-1)</f>
        <v>2092.44</v>
      </c>
      <c r="E3184" t="s">
        <v>894</v>
      </c>
      <c r="F3184" t="s">
        <v>3679</v>
      </c>
      <c r="G3184" s="8">
        <v>44835</v>
      </c>
      <c r="H3184" t="s">
        <v>39</v>
      </c>
      <c r="I3184" t="s">
        <v>136</v>
      </c>
      <c r="J3184" t="s">
        <v>54</v>
      </c>
      <c r="K3184" t="s">
        <v>29</v>
      </c>
      <c r="L3184" t="s">
        <v>895</v>
      </c>
      <c r="M3184" t="s">
        <v>4402</v>
      </c>
      <c r="O3184" t="s">
        <v>896</v>
      </c>
      <c r="P3184" t="s">
        <v>33</v>
      </c>
      <c r="Q3184" s="22">
        <v>2092.44</v>
      </c>
      <c r="R3184" t="s">
        <v>35</v>
      </c>
      <c r="S3184" t="s">
        <v>35</v>
      </c>
      <c r="T3184" t="s">
        <v>35</v>
      </c>
      <c r="U3184" t="s">
        <v>35</v>
      </c>
      <c r="V3184" t="s">
        <v>645</v>
      </c>
      <c r="W3184" t="s">
        <v>113</v>
      </c>
    </row>
    <row r="3185" spans="1:23" hidden="1" x14ac:dyDescent="0.25">
      <c r="A3185" s="7" t="str">
        <f>IFERROR(VLOOKUP(H3185,'Contas Orç'!A:B,2,0),"N/A")</f>
        <v>PECAS E ACESSORIOS</v>
      </c>
      <c r="B3185" s="7" t="str">
        <f t="shared" si="98"/>
        <v>330301004 - PECAS E ACESSORIOS</v>
      </c>
      <c r="C3185" s="25">
        <f t="shared" si="99"/>
        <v>44866</v>
      </c>
      <c r="D3185" s="27">
        <f>IF(K3185="CREDITO",Q3185,Q3185*-1)</f>
        <v>8921.7099999999991</v>
      </c>
      <c r="E3185" t="s">
        <v>894</v>
      </c>
      <c r="F3185" t="s">
        <v>3680</v>
      </c>
      <c r="G3185" s="8">
        <v>44866</v>
      </c>
      <c r="H3185" t="s">
        <v>39</v>
      </c>
      <c r="I3185" t="s">
        <v>68</v>
      </c>
      <c r="J3185" t="s">
        <v>69</v>
      </c>
      <c r="K3185" t="s">
        <v>29</v>
      </c>
      <c r="L3185" t="s">
        <v>895</v>
      </c>
      <c r="M3185" t="s">
        <v>4402</v>
      </c>
      <c r="O3185" t="s">
        <v>896</v>
      </c>
      <c r="P3185" t="s">
        <v>33</v>
      </c>
      <c r="Q3185" s="22">
        <v>8921.7099999999991</v>
      </c>
      <c r="R3185" t="s">
        <v>35</v>
      </c>
      <c r="S3185" t="s">
        <v>35</v>
      </c>
      <c r="T3185" t="s">
        <v>35</v>
      </c>
      <c r="U3185" t="s">
        <v>35</v>
      </c>
      <c r="V3185" t="s">
        <v>645</v>
      </c>
      <c r="W3185" t="s">
        <v>113</v>
      </c>
    </row>
    <row r="3186" spans="1:23" hidden="1" x14ac:dyDescent="0.25">
      <c r="A3186" s="7" t="str">
        <f>IFERROR(VLOOKUP(H3186,'Contas Orç'!A:B,2,0),"N/A")</f>
        <v>PECAS E ACESSORIOS</v>
      </c>
      <c r="B3186" s="7" t="str">
        <f t="shared" si="98"/>
        <v>330301004 - PECAS E ACESSORIOS</v>
      </c>
      <c r="C3186" s="25">
        <f t="shared" si="99"/>
        <v>44866</v>
      </c>
      <c r="D3186" s="27">
        <f>IF(K3186="CREDITO",Q3186,Q3186*-1)</f>
        <v>1655.54</v>
      </c>
      <c r="E3186" t="s">
        <v>894</v>
      </c>
      <c r="F3186" t="s">
        <v>3681</v>
      </c>
      <c r="G3186" s="8">
        <v>44866</v>
      </c>
      <c r="H3186" t="s">
        <v>39</v>
      </c>
      <c r="I3186" t="s">
        <v>2062</v>
      </c>
      <c r="J3186" t="s">
        <v>54</v>
      </c>
      <c r="K3186" t="s">
        <v>29</v>
      </c>
      <c r="L3186" t="s">
        <v>895</v>
      </c>
      <c r="M3186" t="s">
        <v>4402</v>
      </c>
      <c r="O3186" t="s">
        <v>896</v>
      </c>
      <c r="P3186" t="s">
        <v>33</v>
      </c>
      <c r="Q3186" s="22">
        <v>1655.54</v>
      </c>
      <c r="R3186" t="s">
        <v>35</v>
      </c>
      <c r="S3186" t="s">
        <v>35</v>
      </c>
      <c r="T3186" t="s">
        <v>35</v>
      </c>
      <c r="U3186" t="s">
        <v>35</v>
      </c>
      <c r="V3186" t="s">
        <v>645</v>
      </c>
      <c r="W3186" t="s">
        <v>113</v>
      </c>
    </row>
    <row r="3187" spans="1:23" hidden="1" x14ac:dyDescent="0.25">
      <c r="A3187" s="7" t="str">
        <f>IFERROR(VLOOKUP(H3187,'Contas Orç'!A:B,2,0),"N/A")</f>
        <v>PECAS E ACESSORIOS</v>
      </c>
      <c r="B3187" s="7" t="str">
        <f t="shared" si="98"/>
        <v>330301004 - PECAS E ACESSORIOS</v>
      </c>
      <c r="C3187" s="25">
        <f t="shared" si="99"/>
        <v>44866</v>
      </c>
      <c r="D3187" s="27">
        <f>IF(K3187="CREDITO",Q3187,Q3187*-1)</f>
        <v>7768.82</v>
      </c>
      <c r="E3187" t="s">
        <v>894</v>
      </c>
      <c r="F3187" t="s">
        <v>3682</v>
      </c>
      <c r="G3187" s="8">
        <v>44866</v>
      </c>
      <c r="H3187" t="s">
        <v>39</v>
      </c>
      <c r="I3187" t="s">
        <v>40</v>
      </c>
      <c r="J3187" t="s">
        <v>54</v>
      </c>
      <c r="K3187" t="s">
        <v>29</v>
      </c>
      <c r="L3187" t="s">
        <v>895</v>
      </c>
      <c r="M3187" t="s">
        <v>4402</v>
      </c>
      <c r="O3187" t="s">
        <v>896</v>
      </c>
      <c r="P3187" t="s">
        <v>33</v>
      </c>
      <c r="Q3187" s="22">
        <v>7768.82</v>
      </c>
      <c r="R3187" t="s">
        <v>35</v>
      </c>
      <c r="S3187" t="s">
        <v>35</v>
      </c>
      <c r="T3187" t="s">
        <v>35</v>
      </c>
      <c r="U3187" t="s">
        <v>35</v>
      </c>
      <c r="V3187" t="s">
        <v>645</v>
      </c>
      <c r="W3187" t="s">
        <v>113</v>
      </c>
    </row>
    <row r="3188" spans="1:23" hidden="1" x14ac:dyDescent="0.25">
      <c r="A3188" s="7" t="str">
        <f>IFERROR(VLOOKUP(H3188,'Contas Orç'!A:B,2,0),"N/A")</f>
        <v>PECAS E ACESSORIOS</v>
      </c>
      <c r="B3188" s="7" t="str">
        <f t="shared" si="98"/>
        <v>330301004 - PECAS E ACESSORIOS</v>
      </c>
      <c r="C3188" s="25">
        <f t="shared" si="99"/>
        <v>44866</v>
      </c>
      <c r="D3188" s="27">
        <f>IF(K3188="CREDITO",Q3188,Q3188*-1)</f>
        <v>204.03</v>
      </c>
      <c r="E3188" t="s">
        <v>894</v>
      </c>
      <c r="F3188" t="s">
        <v>3683</v>
      </c>
      <c r="G3188" s="8">
        <v>44866</v>
      </c>
      <c r="H3188" t="s">
        <v>39</v>
      </c>
      <c r="I3188" t="s">
        <v>132</v>
      </c>
      <c r="J3188" t="s">
        <v>54</v>
      </c>
      <c r="K3188" t="s">
        <v>29</v>
      </c>
      <c r="L3188" t="s">
        <v>895</v>
      </c>
      <c r="M3188" t="s">
        <v>4402</v>
      </c>
      <c r="O3188" t="s">
        <v>896</v>
      </c>
      <c r="P3188" t="s">
        <v>33</v>
      </c>
      <c r="Q3188">
        <v>204.03</v>
      </c>
      <c r="R3188" t="s">
        <v>35</v>
      </c>
      <c r="S3188" t="s">
        <v>35</v>
      </c>
      <c r="T3188" t="s">
        <v>35</v>
      </c>
      <c r="U3188" t="s">
        <v>35</v>
      </c>
      <c r="V3188" t="s">
        <v>645</v>
      </c>
      <c r="W3188" t="s">
        <v>113</v>
      </c>
    </row>
    <row r="3189" spans="1:23" hidden="1" x14ac:dyDescent="0.25">
      <c r="A3189" s="7" t="str">
        <f>IFERROR(VLOOKUP(H3189,'Contas Orç'!A:B,2,0),"N/A")</f>
        <v>PECAS E ACESSORIOS</v>
      </c>
      <c r="B3189" s="7" t="str">
        <f t="shared" si="98"/>
        <v>330301004 - PECAS E ACESSORIOS</v>
      </c>
      <c r="C3189" s="25">
        <f t="shared" si="99"/>
        <v>44866</v>
      </c>
      <c r="D3189" s="27">
        <f>IF(K3189="CREDITO",Q3189,Q3189*-1)</f>
        <v>1522.5</v>
      </c>
      <c r="E3189" t="s">
        <v>894</v>
      </c>
      <c r="F3189" t="s">
        <v>3684</v>
      </c>
      <c r="G3189" s="8">
        <v>44866</v>
      </c>
      <c r="H3189" t="s">
        <v>39</v>
      </c>
      <c r="I3189" t="s">
        <v>99</v>
      </c>
      <c r="J3189" t="s">
        <v>54</v>
      </c>
      <c r="K3189" t="s">
        <v>29</v>
      </c>
      <c r="L3189" t="s">
        <v>895</v>
      </c>
      <c r="M3189" t="s">
        <v>4402</v>
      </c>
      <c r="O3189" t="s">
        <v>896</v>
      </c>
      <c r="P3189" t="s">
        <v>33</v>
      </c>
      <c r="Q3189" s="22">
        <v>1522.5</v>
      </c>
      <c r="R3189" t="s">
        <v>35</v>
      </c>
      <c r="S3189" t="s">
        <v>35</v>
      </c>
      <c r="T3189" t="s">
        <v>35</v>
      </c>
      <c r="U3189" t="s">
        <v>35</v>
      </c>
      <c r="V3189" t="s">
        <v>645</v>
      </c>
      <c r="W3189" t="s">
        <v>113</v>
      </c>
    </row>
    <row r="3190" spans="1:23" hidden="1" x14ac:dyDescent="0.25">
      <c r="A3190" s="7" t="str">
        <f>IFERROR(VLOOKUP(H3190,'Contas Orç'!A:B,2,0),"N/A")</f>
        <v>PECAS E ACESSORIOS</v>
      </c>
      <c r="B3190" s="7" t="str">
        <f t="shared" si="98"/>
        <v>330301004 - PECAS E ACESSORIOS</v>
      </c>
      <c r="C3190" s="25">
        <f t="shared" si="99"/>
        <v>44866</v>
      </c>
      <c r="D3190" s="27">
        <f>IF(K3190="CREDITO",Q3190,Q3190*-1)</f>
        <v>568.98</v>
      </c>
      <c r="E3190" t="s">
        <v>894</v>
      </c>
      <c r="F3190" t="s">
        <v>3685</v>
      </c>
      <c r="G3190" s="8">
        <v>44866</v>
      </c>
      <c r="H3190" t="s">
        <v>39</v>
      </c>
      <c r="I3190" t="s">
        <v>81</v>
      </c>
      <c r="J3190" t="s">
        <v>54</v>
      </c>
      <c r="K3190" t="s">
        <v>29</v>
      </c>
      <c r="L3190" t="s">
        <v>895</v>
      </c>
      <c r="M3190" t="s">
        <v>4402</v>
      </c>
      <c r="O3190" t="s">
        <v>896</v>
      </c>
      <c r="P3190" t="s">
        <v>33</v>
      </c>
      <c r="Q3190">
        <v>568.98</v>
      </c>
      <c r="R3190" t="s">
        <v>35</v>
      </c>
      <c r="S3190" t="s">
        <v>35</v>
      </c>
      <c r="T3190" t="s">
        <v>35</v>
      </c>
      <c r="U3190" t="s">
        <v>35</v>
      </c>
      <c r="V3190" t="s">
        <v>645</v>
      </c>
      <c r="W3190" t="s">
        <v>113</v>
      </c>
    </row>
    <row r="3191" spans="1:23" hidden="1" x14ac:dyDescent="0.25">
      <c r="A3191" s="7" t="str">
        <f>IFERROR(VLOOKUP(H3191,'Contas Orç'!A:B,2,0),"N/A")</f>
        <v>PECAS E ACESSORIOS</v>
      </c>
      <c r="B3191" s="7" t="str">
        <f t="shared" si="98"/>
        <v>330301004 - PECAS E ACESSORIOS</v>
      </c>
      <c r="C3191" s="25">
        <f t="shared" si="99"/>
        <v>44866</v>
      </c>
      <c r="D3191" s="27">
        <f>IF(K3191="CREDITO",Q3191,Q3191*-1)</f>
        <v>2113.36</v>
      </c>
      <c r="E3191" t="s">
        <v>894</v>
      </c>
      <c r="F3191" t="s">
        <v>3686</v>
      </c>
      <c r="G3191" s="8">
        <v>44866</v>
      </c>
      <c r="H3191" t="s">
        <v>39</v>
      </c>
      <c r="I3191" t="s">
        <v>136</v>
      </c>
      <c r="J3191" t="s">
        <v>54</v>
      </c>
      <c r="K3191" t="s">
        <v>29</v>
      </c>
      <c r="L3191" t="s">
        <v>895</v>
      </c>
      <c r="M3191" t="s">
        <v>4402</v>
      </c>
      <c r="O3191" t="s">
        <v>896</v>
      </c>
      <c r="P3191" t="s">
        <v>33</v>
      </c>
      <c r="Q3191" s="22">
        <v>2113.36</v>
      </c>
      <c r="R3191" t="s">
        <v>35</v>
      </c>
      <c r="S3191" t="s">
        <v>35</v>
      </c>
      <c r="T3191" t="s">
        <v>35</v>
      </c>
      <c r="U3191" t="s">
        <v>35</v>
      </c>
      <c r="V3191" t="s">
        <v>645</v>
      </c>
      <c r="W3191" t="s">
        <v>113</v>
      </c>
    </row>
    <row r="3192" spans="1:23" hidden="1" x14ac:dyDescent="0.25">
      <c r="A3192" s="7" t="str">
        <f>IFERROR(VLOOKUP(H3192,'Contas Orç'!A:B,2,0),"N/A")</f>
        <v>PECAS E ACESSORIOS</v>
      </c>
      <c r="B3192" s="7" t="str">
        <f t="shared" si="98"/>
        <v>330301004 - PECAS E ACESSORIOS</v>
      </c>
      <c r="C3192" s="25">
        <f t="shared" si="99"/>
        <v>44896</v>
      </c>
      <c r="D3192" s="27">
        <f>IF(K3192="CREDITO",Q3192,Q3192*-1)</f>
        <v>9010.93</v>
      </c>
      <c r="E3192" t="s">
        <v>894</v>
      </c>
      <c r="F3192" t="s">
        <v>3687</v>
      </c>
      <c r="G3192" s="8">
        <v>44896</v>
      </c>
      <c r="H3192" t="s">
        <v>39</v>
      </c>
      <c r="I3192" t="s">
        <v>68</v>
      </c>
      <c r="J3192" t="s">
        <v>69</v>
      </c>
      <c r="K3192" t="s">
        <v>29</v>
      </c>
      <c r="L3192" t="s">
        <v>895</v>
      </c>
      <c r="M3192" t="s">
        <v>4402</v>
      </c>
      <c r="O3192" t="s">
        <v>896</v>
      </c>
      <c r="P3192" t="s">
        <v>33</v>
      </c>
      <c r="Q3192" s="22">
        <v>9010.93</v>
      </c>
      <c r="R3192" t="s">
        <v>35</v>
      </c>
      <c r="S3192" t="s">
        <v>35</v>
      </c>
      <c r="T3192" t="s">
        <v>35</v>
      </c>
      <c r="U3192" t="s">
        <v>35</v>
      </c>
      <c r="V3192" t="s">
        <v>645</v>
      </c>
      <c r="W3192" t="s">
        <v>113</v>
      </c>
    </row>
    <row r="3193" spans="1:23" hidden="1" x14ac:dyDescent="0.25">
      <c r="A3193" s="7" t="str">
        <f>IFERROR(VLOOKUP(H3193,'Contas Orç'!A:B,2,0),"N/A")</f>
        <v>PECAS E ACESSORIOS</v>
      </c>
      <c r="B3193" s="7" t="str">
        <f t="shared" si="98"/>
        <v>330301004 - PECAS E ACESSORIOS</v>
      </c>
      <c r="C3193" s="25">
        <f t="shared" si="99"/>
        <v>44896</v>
      </c>
      <c r="D3193" s="27">
        <f>IF(K3193="CREDITO",Q3193,Q3193*-1)</f>
        <v>1672.1</v>
      </c>
      <c r="E3193" t="s">
        <v>894</v>
      </c>
      <c r="F3193" t="s">
        <v>3688</v>
      </c>
      <c r="G3193" s="8">
        <v>44896</v>
      </c>
      <c r="H3193" t="s">
        <v>39</v>
      </c>
      <c r="I3193" t="s">
        <v>2062</v>
      </c>
      <c r="J3193" t="s">
        <v>54</v>
      </c>
      <c r="K3193" t="s">
        <v>29</v>
      </c>
      <c r="L3193" t="s">
        <v>895</v>
      </c>
      <c r="M3193" t="s">
        <v>4402</v>
      </c>
      <c r="O3193" t="s">
        <v>896</v>
      </c>
      <c r="P3193" t="s">
        <v>33</v>
      </c>
      <c r="Q3193" s="22">
        <v>1672.1</v>
      </c>
      <c r="R3193" t="s">
        <v>35</v>
      </c>
      <c r="S3193" t="s">
        <v>35</v>
      </c>
      <c r="T3193" t="s">
        <v>35</v>
      </c>
      <c r="U3193" t="s">
        <v>35</v>
      </c>
      <c r="V3193" t="s">
        <v>645</v>
      </c>
      <c r="W3193" t="s">
        <v>113</v>
      </c>
    </row>
    <row r="3194" spans="1:23" hidden="1" x14ac:dyDescent="0.25">
      <c r="A3194" s="7" t="str">
        <f>IFERROR(VLOOKUP(H3194,'Contas Orç'!A:B,2,0),"N/A")</f>
        <v>PECAS E ACESSORIOS</v>
      </c>
      <c r="B3194" s="7" t="str">
        <f t="shared" si="98"/>
        <v>330301004 - PECAS E ACESSORIOS</v>
      </c>
      <c r="C3194" s="25">
        <f t="shared" si="99"/>
        <v>44896</v>
      </c>
      <c r="D3194" s="27">
        <f>IF(K3194="CREDITO",Q3194,Q3194*-1)</f>
        <v>7846.5</v>
      </c>
      <c r="E3194" t="s">
        <v>894</v>
      </c>
      <c r="F3194" t="s">
        <v>3689</v>
      </c>
      <c r="G3194" s="8">
        <v>44896</v>
      </c>
      <c r="H3194" t="s">
        <v>39</v>
      </c>
      <c r="I3194" t="s">
        <v>40</v>
      </c>
      <c r="J3194" t="s">
        <v>54</v>
      </c>
      <c r="K3194" t="s">
        <v>29</v>
      </c>
      <c r="L3194" t="s">
        <v>895</v>
      </c>
      <c r="M3194" t="s">
        <v>4402</v>
      </c>
      <c r="O3194" t="s">
        <v>896</v>
      </c>
      <c r="P3194" t="s">
        <v>33</v>
      </c>
      <c r="Q3194" s="22">
        <v>7846.5</v>
      </c>
      <c r="R3194" t="s">
        <v>35</v>
      </c>
      <c r="S3194" t="s">
        <v>35</v>
      </c>
      <c r="T3194" t="s">
        <v>35</v>
      </c>
      <c r="U3194" t="s">
        <v>35</v>
      </c>
      <c r="V3194" t="s">
        <v>645</v>
      </c>
      <c r="W3194" t="s">
        <v>113</v>
      </c>
    </row>
    <row r="3195" spans="1:23" hidden="1" x14ac:dyDescent="0.25">
      <c r="A3195" s="7" t="str">
        <f>IFERROR(VLOOKUP(H3195,'Contas Orç'!A:B,2,0),"N/A")</f>
        <v>PECAS E ACESSORIOS</v>
      </c>
      <c r="B3195" s="7" t="str">
        <f t="shared" si="98"/>
        <v>330301004 - PECAS E ACESSORIOS</v>
      </c>
      <c r="C3195" s="25">
        <f t="shared" si="99"/>
        <v>44896</v>
      </c>
      <c r="D3195" s="27">
        <f>IF(K3195="CREDITO",Q3195,Q3195*-1)</f>
        <v>206.07</v>
      </c>
      <c r="E3195" t="s">
        <v>894</v>
      </c>
      <c r="F3195" t="s">
        <v>3690</v>
      </c>
      <c r="G3195" s="8">
        <v>44896</v>
      </c>
      <c r="H3195" t="s">
        <v>39</v>
      </c>
      <c r="I3195" t="s">
        <v>132</v>
      </c>
      <c r="J3195" t="s">
        <v>54</v>
      </c>
      <c r="K3195" t="s">
        <v>29</v>
      </c>
      <c r="L3195" t="s">
        <v>895</v>
      </c>
      <c r="M3195" t="s">
        <v>4402</v>
      </c>
      <c r="O3195" t="s">
        <v>896</v>
      </c>
      <c r="P3195" t="s">
        <v>33</v>
      </c>
      <c r="Q3195">
        <v>206.07</v>
      </c>
      <c r="R3195" t="s">
        <v>35</v>
      </c>
      <c r="S3195" t="s">
        <v>35</v>
      </c>
      <c r="T3195" t="s">
        <v>35</v>
      </c>
      <c r="U3195" t="s">
        <v>35</v>
      </c>
      <c r="V3195" t="s">
        <v>645</v>
      </c>
      <c r="W3195" t="s">
        <v>113</v>
      </c>
    </row>
    <row r="3196" spans="1:23" hidden="1" x14ac:dyDescent="0.25">
      <c r="A3196" s="7" t="str">
        <f>IFERROR(VLOOKUP(H3196,'Contas Orç'!A:B,2,0),"N/A")</f>
        <v>PECAS E ACESSORIOS</v>
      </c>
      <c r="B3196" s="7" t="str">
        <f t="shared" si="98"/>
        <v>330301004 - PECAS E ACESSORIOS</v>
      </c>
      <c r="C3196" s="25">
        <f t="shared" si="99"/>
        <v>44896</v>
      </c>
      <c r="D3196" s="27">
        <f>IF(K3196="CREDITO",Q3196,Q3196*-1)</f>
        <v>1537.72</v>
      </c>
      <c r="E3196" t="s">
        <v>894</v>
      </c>
      <c r="F3196" t="s">
        <v>3691</v>
      </c>
      <c r="G3196" s="8">
        <v>44896</v>
      </c>
      <c r="H3196" t="s">
        <v>39</v>
      </c>
      <c r="I3196" t="s">
        <v>99</v>
      </c>
      <c r="J3196" t="s">
        <v>54</v>
      </c>
      <c r="K3196" t="s">
        <v>29</v>
      </c>
      <c r="L3196" t="s">
        <v>895</v>
      </c>
      <c r="M3196" t="s">
        <v>4402</v>
      </c>
      <c r="O3196" t="s">
        <v>896</v>
      </c>
      <c r="P3196" t="s">
        <v>33</v>
      </c>
      <c r="Q3196" s="22">
        <v>1537.72</v>
      </c>
      <c r="R3196" t="s">
        <v>35</v>
      </c>
      <c r="S3196" t="s">
        <v>35</v>
      </c>
      <c r="T3196" t="s">
        <v>35</v>
      </c>
      <c r="U3196" t="s">
        <v>35</v>
      </c>
      <c r="V3196" t="s">
        <v>645</v>
      </c>
      <c r="W3196" t="s">
        <v>113</v>
      </c>
    </row>
    <row r="3197" spans="1:23" hidden="1" x14ac:dyDescent="0.25">
      <c r="A3197" s="7" t="str">
        <f>IFERROR(VLOOKUP(H3197,'Contas Orç'!A:B,2,0),"N/A")</f>
        <v>PECAS E ACESSORIOS</v>
      </c>
      <c r="B3197" s="7" t="str">
        <f t="shared" si="98"/>
        <v>330301004 - PECAS E ACESSORIOS</v>
      </c>
      <c r="C3197" s="25">
        <f t="shared" si="99"/>
        <v>44896</v>
      </c>
      <c r="D3197" s="27">
        <f>IF(K3197="CREDITO",Q3197,Q3197*-1)</f>
        <v>574.66999999999996</v>
      </c>
      <c r="E3197" t="s">
        <v>894</v>
      </c>
      <c r="F3197" t="s">
        <v>3692</v>
      </c>
      <c r="G3197" s="8">
        <v>44896</v>
      </c>
      <c r="H3197" t="s">
        <v>39</v>
      </c>
      <c r="I3197" t="s">
        <v>81</v>
      </c>
      <c r="J3197" t="s">
        <v>54</v>
      </c>
      <c r="K3197" t="s">
        <v>29</v>
      </c>
      <c r="L3197" t="s">
        <v>895</v>
      </c>
      <c r="M3197" t="s">
        <v>4402</v>
      </c>
      <c r="O3197" t="s">
        <v>896</v>
      </c>
      <c r="P3197" t="s">
        <v>33</v>
      </c>
      <c r="Q3197">
        <v>574.66999999999996</v>
      </c>
      <c r="R3197" t="s">
        <v>35</v>
      </c>
      <c r="S3197" t="s">
        <v>35</v>
      </c>
      <c r="T3197" t="s">
        <v>35</v>
      </c>
      <c r="U3197" t="s">
        <v>35</v>
      </c>
      <c r="V3197" t="s">
        <v>645</v>
      </c>
      <c r="W3197" t="s">
        <v>113</v>
      </c>
    </row>
    <row r="3198" spans="1:23" hidden="1" x14ac:dyDescent="0.25">
      <c r="A3198" s="7" t="str">
        <f>IFERROR(VLOOKUP(H3198,'Contas Orç'!A:B,2,0),"N/A")</f>
        <v>PECAS E ACESSORIOS</v>
      </c>
      <c r="B3198" s="7" t="str">
        <f t="shared" si="98"/>
        <v>330301004 - PECAS E ACESSORIOS</v>
      </c>
      <c r="C3198" s="25">
        <f t="shared" si="99"/>
        <v>44896</v>
      </c>
      <c r="D3198" s="27">
        <f>IF(K3198="CREDITO",Q3198,Q3198*-1)</f>
        <v>2134.5</v>
      </c>
      <c r="E3198" t="s">
        <v>894</v>
      </c>
      <c r="F3198" t="s">
        <v>3693</v>
      </c>
      <c r="G3198" s="8">
        <v>44896</v>
      </c>
      <c r="H3198" t="s">
        <v>39</v>
      </c>
      <c r="I3198" t="s">
        <v>136</v>
      </c>
      <c r="J3198" t="s">
        <v>54</v>
      </c>
      <c r="K3198" t="s">
        <v>29</v>
      </c>
      <c r="L3198" t="s">
        <v>895</v>
      </c>
      <c r="M3198" t="s">
        <v>4402</v>
      </c>
      <c r="O3198" t="s">
        <v>896</v>
      </c>
      <c r="P3198" t="s">
        <v>33</v>
      </c>
      <c r="Q3198" s="22">
        <v>2134.5</v>
      </c>
      <c r="R3198" t="s">
        <v>35</v>
      </c>
      <c r="S3198" t="s">
        <v>35</v>
      </c>
      <c r="T3198" t="s">
        <v>35</v>
      </c>
      <c r="U3198" t="s">
        <v>35</v>
      </c>
      <c r="V3198" t="s">
        <v>645</v>
      </c>
      <c r="W3198" t="s">
        <v>113</v>
      </c>
    </row>
    <row r="3199" spans="1:23" hidden="1" x14ac:dyDescent="0.25">
      <c r="A3199" s="7" t="str">
        <f>IFERROR(VLOOKUP(H3199,'Contas Orç'!A:B,2,0),"N/A")</f>
        <v>FERRAMENTAS</v>
      </c>
      <c r="B3199" s="7" t="str">
        <f t="shared" si="98"/>
        <v>330301005 - FERRAMENTAS</v>
      </c>
      <c r="C3199" s="25">
        <f t="shared" si="99"/>
        <v>44562</v>
      </c>
      <c r="D3199" s="27">
        <f>IF(K3199="CREDITO",Q3199,Q3199*-1)</f>
        <v>11.43</v>
      </c>
      <c r="E3199" t="s">
        <v>894</v>
      </c>
      <c r="F3199" t="s">
        <v>3694</v>
      </c>
      <c r="G3199" s="8">
        <v>44562</v>
      </c>
      <c r="H3199" t="s">
        <v>588</v>
      </c>
      <c r="I3199" t="s">
        <v>81</v>
      </c>
      <c r="J3199" t="s">
        <v>54</v>
      </c>
      <c r="K3199" t="s">
        <v>29</v>
      </c>
      <c r="L3199" t="s">
        <v>895</v>
      </c>
      <c r="M3199" t="s">
        <v>4402</v>
      </c>
      <c r="O3199" t="s">
        <v>896</v>
      </c>
      <c r="P3199" t="s">
        <v>33</v>
      </c>
      <c r="Q3199">
        <v>11.43</v>
      </c>
      <c r="R3199" t="s">
        <v>35</v>
      </c>
      <c r="S3199" t="s">
        <v>35</v>
      </c>
      <c r="T3199" t="s">
        <v>35</v>
      </c>
      <c r="U3199" t="s">
        <v>35</v>
      </c>
      <c r="V3199" t="s">
        <v>645</v>
      </c>
      <c r="W3199" t="s">
        <v>113</v>
      </c>
    </row>
    <row r="3200" spans="1:23" hidden="1" x14ac:dyDescent="0.25">
      <c r="A3200" s="7" t="str">
        <f>IFERROR(VLOOKUP(H3200,'Contas Orç'!A:B,2,0),"N/A")</f>
        <v>FERRAMENTAS</v>
      </c>
      <c r="B3200" s="7" t="str">
        <f t="shared" si="98"/>
        <v>330301005 - FERRAMENTAS</v>
      </c>
      <c r="C3200" s="25">
        <f t="shared" si="99"/>
        <v>44593</v>
      </c>
      <c r="D3200" s="27">
        <f>IF(K3200="CREDITO",Q3200,Q3200*-1)</f>
        <v>422</v>
      </c>
      <c r="E3200" t="s">
        <v>894</v>
      </c>
      <c r="F3200" t="s">
        <v>3695</v>
      </c>
      <c r="G3200" s="8">
        <v>44593</v>
      </c>
      <c r="H3200" t="s">
        <v>588</v>
      </c>
      <c r="I3200" t="s">
        <v>81</v>
      </c>
      <c r="J3200" t="s">
        <v>54</v>
      </c>
      <c r="K3200" t="s">
        <v>29</v>
      </c>
      <c r="L3200" t="s">
        <v>895</v>
      </c>
      <c r="M3200" t="s">
        <v>4402</v>
      </c>
      <c r="O3200" t="s">
        <v>896</v>
      </c>
      <c r="P3200" t="s">
        <v>33</v>
      </c>
      <c r="Q3200">
        <v>422</v>
      </c>
      <c r="R3200" t="s">
        <v>35</v>
      </c>
      <c r="S3200" t="s">
        <v>35</v>
      </c>
      <c r="T3200" t="s">
        <v>35</v>
      </c>
      <c r="U3200" t="s">
        <v>35</v>
      </c>
      <c r="V3200" t="s">
        <v>645</v>
      </c>
      <c r="W3200" t="s">
        <v>113</v>
      </c>
    </row>
    <row r="3201" spans="1:23" hidden="1" x14ac:dyDescent="0.25">
      <c r="A3201" s="7" t="str">
        <f>IFERROR(VLOOKUP(H3201,'Contas Orç'!A:B,2,0),"N/A")</f>
        <v>FERRAMENTAS</v>
      </c>
      <c r="B3201" s="7" t="str">
        <f t="shared" si="98"/>
        <v>330301005 - FERRAMENTAS</v>
      </c>
      <c r="C3201" s="25">
        <f t="shared" si="99"/>
        <v>44652</v>
      </c>
      <c r="D3201" s="27">
        <f>IF(K3201="CREDITO",Q3201,Q3201*-1)</f>
        <v>2945.75</v>
      </c>
      <c r="E3201" t="s">
        <v>894</v>
      </c>
      <c r="F3201" t="s">
        <v>3696</v>
      </c>
      <c r="G3201" s="8">
        <v>44652</v>
      </c>
      <c r="H3201" t="s">
        <v>588</v>
      </c>
      <c r="I3201" t="s">
        <v>81</v>
      </c>
      <c r="J3201" t="s">
        <v>54</v>
      </c>
      <c r="K3201" t="s">
        <v>29</v>
      </c>
      <c r="L3201" t="s">
        <v>895</v>
      </c>
      <c r="M3201" t="s">
        <v>4402</v>
      </c>
      <c r="O3201" t="s">
        <v>896</v>
      </c>
      <c r="P3201" t="s">
        <v>33</v>
      </c>
      <c r="Q3201" s="22">
        <v>2945.75</v>
      </c>
      <c r="R3201" t="s">
        <v>35</v>
      </c>
      <c r="S3201" t="s">
        <v>35</v>
      </c>
      <c r="T3201" t="s">
        <v>35</v>
      </c>
      <c r="U3201" t="s">
        <v>35</v>
      </c>
      <c r="V3201" t="s">
        <v>645</v>
      </c>
      <c r="W3201" t="s">
        <v>113</v>
      </c>
    </row>
    <row r="3202" spans="1:23" hidden="1" x14ac:dyDescent="0.25">
      <c r="A3202" s="7" t="str">
        <f>IFERROR(VLOOKUP(H3202,'Contas Orç'!A:B,2,0),"N/A")</f>
        <v>FERRAMENTAS</v>
      </c>
      <c r="B3202" s="7" t="str">
        <f t="shared" si="98"/>
        <v>330301005 - FERRAMENTAS</v>
      </c>
      <c r="C3202" s="25">
        <f t="shared" si="99"/>
        <v>44652</v>
      </c>
      <c r="D3202" s="27">
        <f>IF(K3202="CREDITO",Q3202,Q3202*-1)</f>
        <v>25.9</v>
      </c>
      <c r="E3202" t="s">
        <v>894</v>
      </c>
      <c r="F3202" t="s">
        <v>3697</v>
      </c>
      <c r="G3202" s="8">
        <v>44652</v>
      </c>
      <c r="H3202" t="s">
        <v>588</v>
      </c>
      <c r="I3202" t="s">
        <v>136</v>
      </c>
      <c r="J3202" t="s">
        <v>54</v>
      </c>
      <c r="K3202" t="s">
        <v>29</v>
      </c>
      <c r="L3202" t="s">
        <v>895</v>
      </c>
      <c r="M3202" t="s">
        <v>4402</v>
      </c>
      <c r="O3202" t="s">
        <v>896</v>
      </c>
      <c r="P3202" t="s">
        <v>33</v>
      </c>
      <c r="Q3202">
        <v>25.9</v>
      </c>
      <c r="R3202" t="s">
        <v>35</v>
      </c>
      <c r="S3202" t="s">
        <v>35</v>
      </c>
      <c r="T3202" t="s">
        <v>35</v>
      </c>
      <c r="U3202" t="s">
        <v>35</v>
      </c>
      <c r="V3202" t="s">
        <v>645</v>
      </c>
      <c r="W3202" t="s">
        <v>113</v>
      </c>
    </row>
    <row r="3203" spans="1:23" hidden="1" x14ac:dyDescent="0.25">
      <c r="A3203" s="7" t="str">
        <f>IFERROR(VLOOKUP(H3203,'Contas Orç'!A:B,2,0),"N/A")</f>
        <v>FERRAMENTAS</v>
      </c>
      <c r="B3203" s="7" t="str">
        <f t="shared" ref="B3203:B3266" si="100">_xlfn.CONCAT(H3203," - ",A3203)</f>
        <v>330301005 - FERRAMENTAS</v>
      </c>
      <c r="C3203" s="25">
        <f t="shared" ref="C3203:C3266" si="101">DATE(YEAR(G3203),MONTH(G3203),1)</f>
        <v>44682</v>
      </c>
      <c r="D3203" s="27">
        <f>IF(K3203="CREDITO",Q3203,Q3203*-1)</f>
        <v>19692.75</v>
      </c>
      <c r="E3203" t="s">
        <v>894</v>
      </c>
      <c r="F3203" t="s">
        <v>3698</v>
      </c>
      <c r="G3203" s="8">
        <v>44682</v>
      </c>
      <c r="H3203" t="s">
        <v>588</v>
      </c>
      <c r="I3203" t="s">
        <v>99</v>
      </c>
      <c r="J3203" t="s">
        <v>54</v>
      </c>
      <c r="K3203" t="s">
        <v>29</v>
      </c>
      <c r="L3203" t="s">
        <v>895</v>
      </c>
      <c r="M3203" t="s">
        <v>4402</v>
      </c>
      <c r="O3203" t="s">
        <v>896</v>
      </c>
      <c r="P3203" t="s">
        <v>33</v>
      </c>
      <c r="Q3203" s="22">
        <v>19692.75</v>
      </c>
      <c r="R3203" t="s">
        <v>35</v>
      </c>
      <c r="S3203" t="s">
        <v>35</v>
      </c>
      <c r="T3203" t="s">
        <v>35</v>
      </c>
      <c r="U3203" t="s">
        <v>35</v>
      </c>
      <c r="V3203" t="s">
        <v>645</v>
      </c>
      <c r="W3203" t="s">
        <v>113</v>
      </c>
    </row>
    <row r="3204" spans="1:23" hidden="1" x14ac:dyDescent="0.25">
      <c r="A3204" s="7" t="str">
        <f>IFERROR(VLOOKUP(H3204,'Contas Orç'!A:B,2,0),"N/A")</f>
        <v>FERRAMENTAS</v>
      </c>
      <c r="B3204" s="7" t="str">
        <f t="shared" si="100"/>
        <v>330301005 - FERRAMENTAS</v>
      </c>
      <c r="C3204" s="25">
        <f t="shared" si="101"/>
        <v>44713</v>
      </c>
      <c r="D3204" s="27">
        <f>IF(K3204="CREDITO",Q3204,Q3204*-1)</f>
        <v>29.8</v>
      </c>
      <c r="E3204" t="s">
        <v>894</v>
      </c>
      <c r="F3204" t="s">
        <v>3699</v>
      </c>
      <c r="G3204" s="8">
        <v>44713</v>
      </c>
      <c r="H3204" t="s">
        <v>588</v>
      </c>
      <c r="I3204" t="s">
        <v>81</v>
      </c>
      <c r="J3204" t="s">
        <v>54</v>
      </c>
      <c r="K3204" t="s">
        <v>29</v>
      </c>
      <c r="L3204" t="s">
        <v>895</v>
      </c>
      <c r="M3204" t="s">
        <v>4402</v>
      </c>
      <c r="O3204" t="s">
        <v>896</v>
      </c>
      <c r="P3204" t="s">
        <v>33</v>
      </c>
      <c r="Q3204">
        <v>29.8</v>
      </c>
      <c r="R3204" t="s">
        <v>35</v>
      </c>
      <c r="S3204" t="s">
        <v>35</v>
      </c>
      <c r="T3204" t="s">
        <v>35</v>
      </c>
      <c r="U3204" t="s">
        <v>35</v>
      </c>
      <c r="V3204" t="s">
        <v>645</v>
      </c>
      <c r="W3204" t="s">
        <v>113</v>
      </c>
    </row>
    <row r="3205" spans="1:23" hidden="1" x14ac:dyDescent="0.25">
      <c r="A3205" s="7" t="str">
        <f>IFERROR(VLOOKUP(H3205,'Contas Orç'!A:B,2,0),"N/A")</f>
        <v>FERRAMENTAS</v>
      </c>
      <c r="B3205" s="7" t="str">
        <f t="shared" si="100"/>
        <v>330301005 - FERRAMENTAS</v>
      </c>
      <c r="C3205" s="25">
        <f t="shared" si="101"/>
        <v>44743</v>
      </c>
      <c r="D3205" s="27">
        <f>IF(K3205="CREDITO",Q3205,Q3205*-1)</f>
        <v>133.22999999999999</v>
      </c>
      <c r="E3205" t="s">
        <v>894</v>
      </c>
      <c r="F3205" t="s">
        <v>3700</v>
      </c>
      <c r="G3205" s="8">
        <v>44743</v>
      </c>
      <c r="H3205" t="s">
        <v>588</v>
      </c>
      <c r="I3205" t="s">
        <v>132</v>
      </c>
      <c r="J3205" t="s">
        <v>54</v>
      </c>
      <c r="K3205" t="s">
        <v>29</v>
      </c>
      <c r="L3205" t="s">
        <v>895</v>
      </c>
      <c r="M3205" t="s">
        <v>4402</v>
      </c>
      <c r="O3205" t="s">
        <v>896</v>
      </c>
      <c r="P3205" t="s">
        <v>33</v>
      </c>
      <c r="Q3205">
        <v>133.22999999999999</v>
      </c>
      <c r="R3205" t="s">
        <v>35</v>
      </c>
      <c r="S3205" t="s">
        <v>35</v>
      </c>
      <c r="T3205" t="s">
        <v>35</v>
      </c>
      <c r="U3205" t="s">
        <v>35</v>
      </c>
      <c r="V3205" t="s">
        <v>645</v>
      </c>
      <c r="W3205" t="s">
        <v>113</v>
      </c>
    </row>
    <row r="3206" spans="1:23" hidden="1" x14ac:dyDescent="0.25">
      <c r="A3206" s="7" t="str">
        <f>IFERROR(VLOOKUP(H3206,'Contas Orç'!A:B,2,0),"N/A")</f>
        <v>FERRAMENTAS</v>
      </c>
      <c r="B3206" s="7" t="str">
        <f t="shared" si="100"/>
        <v>330301005 - FERRAMENTAS</v>
      </c>
      <c r="C3206" s="25">
        <f t="shared" si="101"/>
        <v>44743</v>
      </c>
      <c r="D3206" s="27">
        <f>IF(K3206="CREDITO",Q3206,Q3206*-1)</f>
        <v>2924.99</v>
      </c>
      <c r="E3206" t="s">
        <v>894</v>
      </c>
      <c r="F3206" t="s">
        <v>3701</v>
      </c>
      <c r="G3206" s="8">
        <v>44743</v>
      </c>
      <c r="H3206" t="s">
        <v>588</v>
      </c>
      <c r="I3206" t="s">
        <v>81</v>
      </c>
      <c r="J3206" t="s">
        <v>54</v>
      </c>
      <c r="K3206" t="s">
        <v>29</v>
      </c>
      <c r="L3206" t="s">
        <v>895</v>
      </c>
      <c r="M3206" t="s">
        <v>4402</v>
      </c>
      <c r="O3206" t="s">
        <v>896</v>
      </c>
      <c r="P3206" t="s">
        <v>33</v>
      </c>
      <c r="Q3206" s="22">
        <v>2924.99</v>
      </c>
      <c r="R3206" t="s">
        <v>35</v>
      </c>
      <c r="S3206" t="s">
        <v>35</v>
      </c>
      <c r="T3206" t="s">
        <v>35</v>
      </c>
      <c r="U3206" t="s">
        <v>35</v>
      </c>
      <c r="V3206" t="s">
        <v>645</v>
      </c>
      <c r="W3206" t="s">
        <v>113</v>
      </c>
    </row>
    <row r="3207" spans="1:23" hidden="1" x14ac:dyDescent="0.25">
      <c r="A3207" s="7" t="str">
        <f>IFERROR(VLOOKUP(H3207,'Contas Orç'!A:B,2,0),"N/A")</f>
        <v>FERRAMENTAS</v>
      </c>
      <c r="B3207" s="7" t="str">
        <f t="shared" si="100"/>
        <v>330301005 - FERRAMENTAS</v>
      </c>
      <c r="C3207" s="25">
        <f t="shared" si="101"/>
        <v>44774</v>
      </c>
      <c r="D3207" s="27">
        <f>IF(K3207="CREDITO",Q3207,Q3207*-1)</f>
        <v>720</v>
      </c>
      <c r="E3207" t="s">
        <v>894</v>
      </c>
      <c r="F3207" t="s">
        <v>3702</v>
      </c>
      <c r="G3207" s="8">
        <v>44774</v>
      </c>
      <c r="H3207" t="s">
        <v>588</v>
      </c>
      <c r="I3207" t="s">
        <v>40</v>
      </c>
      <c r="J3207" t="s">
        <v>54</v>
      </c>
      <c r="K3207" t="s">
        <v>29</v>
      </c>
      <c r="L3207" t="s">
        <v>895</v>
      </c>
      <c r="M3207" t="s">
        <v>4402</v>
      </c>
      <c r="O3207" t="s">
        <v>896</v>
      </c>
      <c r="P3207" t="s">
        <v>33</v>
      </c>
      <c r="Q3207">
        <v>720</v>
      </c>
      <c r="R3207" t="s">
        <v>35</v>
      </c>
      <c r="S3207" t="s">
        <v>35</v>
      </c>
      <c r="T3207" t="s">
        <v>35</v>
      </c>
      <c r="U3207" t="s">
        <v>35</v>
      </c>
      <c r="V3207" t="s">
        <v>645</v>
      </c>
      <c r="W3207" t="s">
        <v>113</v>
      </c>
    </row>
    <row r="3208" spans="1:23" hidden="1" x14ac:dyDescent="0.25">
      <c r="A3208" s="7" t="str">
        <f>IFERROR(VLOOKUP(H3208,'Contas Orç'!A:B,2,0),"N/A")</f>
        <v>FERRAMENTAS</v>
      </c>
      <c r="B3208" s="7" t="str">
        <f t="shared" si="100"/>
        <v>330301005 - FERRAMENTAS</v>
      </c>
      <c r="C3208" s="25">
        <f t="shared" si="101"/>
        <v>44774</v>
      </c>
      <c r="D3208" s="27">
        <f>IF(K3208="CREDITO",Q3208,Q3208*-1)</f>
        <v>4998.78</v>
      </c>
      <c r="E3208" t="s">
        <v>894</v>
      </c>
      <c r="F3208" t="s">
        <v>3703</v>
      </c>
      <c r="G3208" s="8">
        <v>44774</v>
      </c>
      <c r="H3208" t="s">
        <v>588</v>
      </c>
      <c r="I3208" t="s">
        <v>81</v>
      </c>
      <c r="J3208" t="s">
        <v>54</v>
      </c>
      <c r="K3208" t="s">
        <v>29</v>
      </c>
      <c r="L3208" t="s">
        <v>895</v>
      </c>
      <c r="M3208" t="s">
        <v>4402</v>
      </c>
      <c r="O3208" t="s">
        <v>896</v>
      </c>
      <c r="P3208" t="s">
        <v>33</v>
      </c>
      <c r="Q3208" s="22">
        <v>4998.78</v>
      </c>
      <c r="R3208" t="s">
        <v>35</v>
      </c>
      <c r="S3208" t="s">
        <v>35</v>
      </c>
      <c r="T3208" t="s">
        <v>35</v>
      </c>
      <c r="U3208" t="s">
        <v>35</v>
      </c>
      <c r="V3208" t="s">
        <v>645</v>
      </c>
      <c r="W3208" t="s">
        <v>113</v>
      </c>
    </row>
    <row r="3209" spans="1:23" hidden="1" x14ac:dyDescent="0.25">
      <c r="A3209" s="7" t="str">
        <f>IFERROR(VLOOKUP(H3209,'Contas Orç'!A:B,2,0),"N/A")</f>
        <v>SERVICOS E MANUTENCAO DE VEICULOS EQ</v>
      </c>
      <c r="B3209" s="7" t="str">
        <f t="shared" si="100"/>
        <v>330301006 - SERVICOS E MANUTENCAO DE VEICULOS EQ</v>
      </c>
      <c r="C3209" s="25">
        <f t="shared" si="101"/>
        <v>44682</v>
      </c>
      <c r="D3209" s="27">
        <f>IF(K3209="CREDITO",Q3209,Q3209*-1)</f>
        <v>200</v>
      </c>
      <c r="E3209" t="s">
        <v>894</v>
      </c>
      <c r="F3209" t="s">
        <v>3704</v>
      </c>
      <c r="G3209" s="8">
        <v>44682</v>
      </c>
      <c r="H3209" t="s">
        <v>589</v>
      </c>
      <c r="I3209" t="s">
        <v>40</v>
      </c>
      <c r="J3209" t="s">
        <v>54</v>
      </c>
      <c r="K3209" t="s">
        <v>29</v>
      </c>
      <c r="L3209" t="s">
        <v>895</v>
      </c>
      <c r="M3209" t="s">
        <v>4402</v>
      </c>
      <c r="O3209" t="s">
        <v>896</v>
      </c>
      <c r="P3209" t="s">
        <v>33</v>
      </c>
      <c r="Q3209">
        <v>200</v>
      </c>
      <c r="R3209" t="s">
        <v>35</v>
      </c>
      <c r="S3209" t="s">
        <v>35</v>
      </c>
      <c r="T3209" t="s">
        <v>35</v>
      </c>
      <c r="U3209" t="s">
        <v>35</v>
      </c>
      <c r="V3209" t="s">
        <v>645</v>
      </c>
      <c r="W3209" t="s">
        <v>113</v>
      </c>
    </row>
    <row r="3210" spans="1:23" hidden="1" x14ac:dyDescent="0.25">
      <c r="A3210" s="7" t="str">
        <f>IFERROR(VLOOKUP(H3210,'Contas Orç'!A:B,2,0),"N/A")</f>
        <v>LICENCIAMENTO - IPVA - DPVAT</v>
      </c>
      <c r="B3210" s="7" t="str">
        <f t="shared" si="100"/>
        <v>330301007 - LICENCIAMENTO - IPVA - DPVAT</v>
      </c>
      <c r="C3210" s="25">
        <f t="shared" si="101"/>
        <v>44562</v>
      </c>
      <c r="D3210" s="27">
        <f>IF(K3210="CREDITO",Q3210,Q3210*-1)</f>
        <v>105408.9</v>
      </c>
      <c r="E3210" t="s">
        <v>894</v>
      </c>
      <c r="F3210" t="s">
        <v>3705</v>
      </c>
      <c r="G3210" s="8">
        <v>44562</v>
      </c>
      <c r="H3210" t="s">
        <v>590</v>
      </c>
      <c r="I3210" t="s">
        <v>2062</v>
      </c>
      <c r="J3210" t="s">
        <v>54</v>
      </c>
      <c r="K3210" t="s">
        <v>29</v>
      </c>
      <c r="L3210" t="s">
        <v>895</v>
      </c>
      <c r="M3210" t="s">
        <v>4402</v>
      </c>
      <c r="O3210" t="s">
        <v>896</v>
      </c>
      <c r="P3210" t="s">
        <v>33</v>
      </c>
      <c r="Q3210" s="22">
        <v>105408.9</v>
      </c>
      <c r="R3210" t="s">
        <v>35</v>
      </c>
      <c r="S3210" t="s">
        <v>35</v>
      </c>
      <c r="T3210" t="s">
        <v>35</v>
      </c>
      <c r="U3210" t="s">
        <v>35</v>
      </c>
      <c r="V3210" t="s">
        <v>645</v>
      </c>
      <c r="W3210" t="s">
        <v>113</v>
      </c>
    </row>
    <row r="3211" spans="1:23" hidden="1" x14ac:dyDescent="0.25">
      <c r="A3211" s="7" t="str">
        <f>IFERROR(VLOOKUP(H3211,'Contas Orç'!A:B,2,0),"N/A")</f>
        <v>LICENCIAMENTO - IPVA - DPVAT</v>
      </c>
      <c r="B3211" s="7" t="str">
        <f t="shared" si="100"/>
        <v>330301007 - LICENCIAMENTO - IPVA - DPVAT</v>
      </c>
      <c r="C3211" s="25">
        <f t="shared" si="101"/>
        <v>44562</v>
      </c>
      <c r="D3211" s="27">
        <f>IF(K3211="CREDITO",Q3211,Q3211*-1)</f>
        <v>8264.01</v>
      </c>
      <c r="E3211" t="s">
        <v>894</v>
      </c>
      <c r="F3211" t="s">
        <v>3706</v>
      </c>
      <c r="G3211" s="8">
        <v>44562</v>
      </c>
      <c r="H3211" t="s">
        <v>590</v>
      </c>
      <c r="I3211" t="s">
        <v>40</v>
      </c>
      <c r="J3211" t="s">
        <v>54</v>
      </c>
      <c r="K3211" t="s">
        <v>29</v>
      </c>
      <c r="L3211" t="s">
        <v>895</v>
      </c>
      <c r="M3211" t="s">
        <v>4402</v>
      </c>
      <c r="O3211" t="s">
        <v>896</v>
      </c>
      <c r="P3211" t="s">
        <v>33</v>
      </c>
      <c r="Q3211" s="22">
        <v>8264.01</v>
      </c>
      <c r="R3211" t="s">
        <v>35</v>
      </c>
      <c r="S3211" t="s">
        <v>35</v>
      </c>
      <c r="T3211" t="s">
        <v>35</v>
      </c>
      <c r="U3211" t="s">
        <v>35</v>
      </c>
      <c r="V3211" t="s">
        <v>645</v>
      </c>
      <c r="W3211" t="s">
        <v>113</v>
      </c>
    </row>
    <row r="3212" spans="1:23" hidden="1" x14ac:dyDescent="0.25">
      <c r="A3212" s="7" t="str">
        <f>IFERROR(VLOOKUP(H3212,'Contas Orç'!A:B,2,0),"N/A")</f>
        <v>LICENCIAMENTO - IPVA - DPVAT</v>
      </c>
      <c r="B3212" s="7" t="str">
        <f t="shared" si="100"/>
        <v>330301007 - LICENCIAMENTO - IPVA - DPVAT</v>
      </c>
      <c r="C3212" s="25">
        <f t="shared" si="101"/>
        <v>44652</v>
      </c>
      <c r="D3212" s="27">
        <f>IF(K3212="CREDITO",Q3212,Q3212*-1)</f>
        <v>181.52</v>
      </c>
      <c r="E3212" t="s">
        <v>894</v>
      </c>
      <c r="F3212" t="s">
        <v>3707</v>
      </c>
      <c r="G3212" s="8">
        <v>44652</v>
      </c>
      <c r="H3212" t="s">
        <v>590</v>
      </c>
      <c r="I3212" t="s">
        <v>2062</v>
      </c>
      <c r="J3212" t="s">
        <v>54</v>
      </c>
      <c r="K3212" t="s">
        <v>29</v>
      </c>
      <c r="L3212" t="s">
        <v>895</v>
      </c>
      <c r="M3212" t="s">
        <v>4402</v>
      </c>
      <c r="O3212" t="s">
        <v>896</v>
      </c>
      <c r="P3212" t="s">
        <v>33</v>
      </c>
      <c r="Q3212">
        <v>181.52</v>
      </c>
      <c r="R3212" t="s">
        <v>35</v>
      </c>
      <c r="S3212" t="s">
        <v>35</v>
      </c>
      <c r="T3212" t="s">
        <v>35</v>
      </c>
      <c r="U3212" t="s">
        <v>35</v>
      </c>
      <c r="V3212" t="s">
        <v>645</v>
      </c>
      <c r="W3212" t="s">
        <v>113</v>
      </c>
    </row>
    <row r="3213" spans="1:23" hidden="1" x14ac:dyDescent="0.25">
      <c r="A3213" s="7" t="str">
        <f>IFERROR(VLOOKUP(H3213,'Contas Orç'!A:B,2,0),"N/A")</f>
        <v>LICENCIAMENTO - IPVA - DPVAT</v>
      </c>
      <c r="B3213" s="7" t="str">
        <f t="shared" si="100"/>
        <v>330301007 - LICENCIAMENTO - IPVA - DPVAT</v>
      </c>
      <c r="C3213" s="25">
        <f t="shared" si="101"/>
        <v>44682</v>
      </c>
      <c r="D3213" s="27">
        <f>IF(K3213="CREDITO",Q3213,Q3213*-1)</f>
        <v>3186.24</v>
      </c>
      <c r="E3213" t="s">
        <v>894</v>
      </c>
      <c r="F3213" t="s">
        <v>3708</v>
      </c>
      <c r="G3213" s="8">
        <v>44682</v>
      </c>
      <c r="H3213" t="s">
        <v>590</v>
      </c>
      <c r="I3213" t="s">
        <v>2062</v>
      </c>
      <c r="J3213" t="s">
        <v>54</v>
      </c>
      <c r="K3213" t="s">
        <v>29</v>
      </c>
      <c r="L3213" t="s">
        <v>895</v>
      </c>
      <c r="M3213" t="s">
        <v>4402</v>
      </c>
      <c r="O3213" t="s">
        <v>896</v>
      </c>
      <c r="P3213" t="s">
        <v>33</v>
      </c>
      <c r="Q3213" s="22">
        <v>3186.24</v>
      </c>
      <c r="R3213" t="s">
        <v>35</v>
      </c>
      <c r="S3213" t="s">
        <v>35</v>
      </c>
      <c r="T3213" t="s">
        <v>35</v>
      </c>
      <c r="U3213" t="s">
        <v>35</v>
      </c>
      <c r="V3213" t="s">
        <v>645</v>
      </c>
      <c r="W3213" t="s">
        <v>113</v>
      </c>
    </row>
    <row r="3214" spans="1:23" hidden="1" x14ac:dyDescent="0.25">
      <c r="A3214" s="7" t="str">
        <f>IFERROR(VLOOKUP(H3214,'Contas Orç'!A:B,2,0),"N/A")</f>
        <v>LICENCIAMENTO - IPVA - DPVAT</v>
      </c>
      <c r="B3214" s="7" t="str">
        <f t="shared" si="100"/>
        <v>330301007 - LICENCIAMENTO - IPVA - DPVAT</v>
      </c>
      <c r="C3214" s="25">
        <f t="shared" si="101"/>
        <v>44743</v>
      </c>
      <c r="D3214" s="27">
        <f>IF(K3214="CREDITO",Q3214,Q3214*-1)</f>
        <v>2040.08</v>
      </c>
      <c r="E3214" t="s">
        <v>894</v>
      </c>
      <c r="F3214" t="s">
        <v>3709</v>
      </c>
      <c r="G3214" s="8">
        <v>44743</v>
      </c>
      <c r="H3214" t="s">
        <v>590</v>
      </c>
      <c r="I3214" t="s">
        <v>40</v>
      </c>
      <c r="J3214" t="s">
        <v>54</v>
      </c>
      <c r="K3214" t="s">
        <v>29</v>
      </c>
      <c r="L3214" t="s">
        <v>895</v>
      </c>
      <c r="M3214" t="s">
        <v>4402</v>
      </c>
      <c r="O3214" t="s">
        <v>896</v>
      </c>
      <c r="P3214" t="s">
        <v>33</v>
      </c>
      <c r="Q3214" s="22">
        <v>2040.08</v>
      </c>
      <c r="R3214" t="s">
        <v>35</v>
      </c>
      <c r="S3214" t="s">
        <v>35</v>
      </c>
      <c r="T3214" t="s">
        <v>35</v>
      </c>
      <c r="U3214" t="s">
        <v>35</v>
      </c>
      <c r="V3214" t="s">
        <v>645</v>
      </c>
      <c r="W3214" t="s">
        <v>113</v>
      </c>
    </row>
    <row r="3215" spans="1:23" hidden="1" x14ac:dyDescent="0.25">
      <c r="A3215" s="7" t="str">
        <f>IFERROR(VLOOKUP(H3215,'Contas Orç'!A:B,2,0),"N/A")</f>
        <v>LICENCIAMENTO - IPVA - DPVAT</v>
      </c>
      <c r="B3215" s="7" t="str">
        <f t="shared" si="100"/>
        <v>330301007 - LICENCIAMENTO - IPVA - DPVAT</v>
      </c>
      <c r="C3215" s="25">
        <f t="shared" si="101"/>
        <v>44774</v>
      </c>
      <c r="D3215" s="27">
        <f>IF(K3215="CREDITO",Q3215,Q3215*-1)</f>
        <v>1943.08</v>
      </c>
      <c r="E3215" t="s">
        <v>894</v>
      </c>
      <c r="F3215" t="s">
        <v>3710</v>
      </c>
      <c r="G3215" s="8">
        <v>44774</v>
      </c>
      <c r="H3215" t="s">
        <v>590</v>
      </c>
      <c r="I3215" t="s">
        <v>40</v>
      </c>
      <c r="J3215" t="s">
        <v>54</v>
      </c>
      <c r="K3215" t="s">
        <v>29</v>
      </c>
      <c r="L3215" t="s">
        <v>895</v>
      </c>
      <c r="M3215" t="s">
        <v>4402</v>
      </c>
      <c r="O3215" t="s">
        <v>896</v>
      </c>
      <c r="P3215" t="s">
        <v>33</v>
      </c>
      <c r="Q3215" s="22">
        <v>1943.08</v>
      </c>
      <c r="R3215" t="s">
        <v>35</v>
      </c>
      <c r="S3215" t="s">
        <v>35</v>
      </c>
      <c r="T3215" t="s">
        <v>35</v>
      </c>
      <c r="U3215" t="s">
        <v>35</v>
      </c>
      <c r="V3215" t="s">
        <v>645</v>
      </c>
      <c r="W3215" t="s">
        <v>113</v>
      </c>
    </row>
    <row r="3216" spans="1:23" hidden="1" x14ac:dyDescent="0.25">
      <c r="A3216" s="7" t="str">
        <f>IFERROR(VLOOKUP(H3216,'Contas Orç'!A:B,2,0),"N/A")</f>
        <v>LICENCIAMENTO - IPVA - DPVAT</v>
      </c>
      <c r="B3216" s="7" t="str">
        <f t="shared" si="100"/>
        <v>330301007 - LICENCIAMENTO - IPVA - DPVAT</v>
      </c>
      <c r="C3216" s="25">
        <f t="shared" si="101"/>
        <v>44805</v>
      </c>
      <c r="D3216" s="27">
        <f>IF(K3216="CREDITO",Q3216,Q3216*-1)</f>
        <v>181.52</v>
      </c>
      <c r="E3216" t="s">
        <v>894</v>
      </c>
      <c r="F3216" t="s">
        <v>3711</v>
      </c>
      <c r="G3216" s="8">
        <v>44805</v>
      </c>
      <c r="H3216" t="s">
        <v>590</v>
      </c>
      <c r="I3216" t="s">
        <v>2062</v>
      </c>
      <c r="J3216" t="s">
        <v>54</v>
      </c>
      <c r="K3216" t="s">
        <v>29</v>
      </c>
      <c r="L3216" t="s">
        <v>895</v>
      </c>
      <c r="M3216" t="s">
        <v>4402</v>
      </c>
      <c r="O3216" t="s">
        <v>896</v>
      </c>
      <c r="P3216" t="s">
        <v>33</v>
      </c>
      <c r="Q3216">
        <v>181.52</v>
      </c>
      <c r="R3216" t="s">
        <v>35</v>
      </c>
      <c r="S3216" t="s">
        <v>35</v>
      </c>
      <c r="T3216" t="s">
        <v>35</v>
      </c>
      <c r="U3216" t="s">
        <v>35</v>
      </c>
      <c r="V3216" t="s">
        <v>645</v>
      </c>
      <c r="W3216" t="s">
        <v>113</v>
      </c>
    </row>
    <row r="3217" spans="1:23" hidden="1" x14ac:dyDescent="0.25">
      <c r="A3217" s="7" t="str">
        <f>IFERROR(VLOOKUP(H3217,'Contas Orç'!A:B,2,0),"N/A")</f>
        <v>LICENCIAMENTO - IPVA - DPVAT</v>
      </c>
      <c r="B3217" s="7" t="str">
        <f t="shared" si="100"/>
        <v>330301007 - LICENCIAMENTO - IPVA - DPVAT</v>
      </c>
      <c r="C3217" s="25">
        <f t="shared" si="101"/>
        <v>44805</v>
      </c>
      <c r="D3217" s="27">
        <f>IF(K3217="CREDITO",Q3217,Q3217*-1)</f>
        <v>3716.19</v>
      </c>
      <c r="E3217" t="s">
        <v>894</v>
      </c>
      <c r="F3217" t="s">
        <v>3712</v>
      </c>
      <c r="G3217" s="8">
        <v>44805</v>
      </c>
      <c r="H3217" t="s">
        <v>590</v>
      </c>
      <c r="I3217" t="s">
        <v>40</v>
      </c>
      <c r="J3217" t="s">
        <v>54</v>
      </c>
      <c r="K3217" t="s">
        <v>29</v>
      </c>
      <c r="L3217" t="s">
        <v>895</v>
      </c>
      <c r="M3217" t="s">
        <v>4402</v>
      </c>
      <c r="O3217" t="s">
        <v>896</v>
      </c>
      <c r="P3217" t="s">
        <v>33</v>
      </c>
      <c r="Q3217" s="22">
        <v>3716.19</v>
      </c>
      <c r="R3217" t="s">
        <v>35</v>
      </c>
      <c r="S3217" t="s">
        <v>35</v>
      </c>
      <c r="T3217" t="s">
        <v>35</v>
      </c>
      <c r="U3217" t="s">
        <v>35</v>
      </c>
      <c r="V3217" t="s">
        <v>645</v>
      </c>
      <c r="W3217" t="s">
        <v>113</v>
      </c>
    </row>
    <row r="3218" spans="1:23" hidden="1" x14ac:dyDescent="0.25">
      <c r="A3218" s="7" t="str">
        <f>IFERROR(VLOOKUP(H3218,'Contas Orç'!A:B,2,0),"N/A")</f>
        <v>LICENCIAMENTO - IPVA - DPVAT</v>
      </c>
      <c r="B3218" s="7" t="str">
        <f t="shared" si="100"/>
        <v>330301007 - LICENCIAMENTO - IPVA - DPVAT</v>
      </c>
      <c r="C3218" s="25">
        <f t="shared" si="101"/>
        <v>44835</v>
      </c>
      <c r="D3218" s="27">
        <f>IF(K3218="CREDITO",Q3218,Q3218*-1)</f>
        <v>183.34</v>
      </c>
      <c r="E3218" t="s">
        <v>894</v>
      </c>
      <c r="F3218" t="s">
        <v>3713</v>
      </c>
      <c r="G3218" s="8">
        <v>44835</v>
      </c>
      <c r="H3218" t="s">
        <v>590</v>
      </c>
      <c r="I3218" t="s">
        <v>2062</v>
      </c>
      <c r="J3218" t="s">
        <v>54</v>
      </c>
      <c r="K3218" t="s">
        <v>29</v>
      </c>
      <c r="L3218" t="s">
        <v>895</v>
      </c>
      <c r="M3218" t="s">
        <v>4402</v>
      </c>
      <c r="O3218" t="s">
        <v>896</v>
      </c>
      <c r="P3218" t="s">
        <v>33</v>
      </c>
      <c r="Q3218">
        <v>183.34</v>
      </c>
      <c r="R3218" t="s">
        <v>35</v>
      </c>
      <c r="S3218" t="s">
        <v>35</v>
      </c>
      <c r="T3218" t="s">
        <v>35</v>
      </c>
      <c r="U3218" t="s">
        <v>35</v>
      </c>
      <c r="V3218" t="s">
        <v>645</v>
      </c>
      <c r="W3218" t="s">
        <v>113</v>
      </c>
    </row>
    <row r="3219" spans="1:23" hidden="1" x14ac:dyDescent="0.25">
      <c r="A3219" s="7" t="str">
        <f>IFERROR(VLOOKUP(H3219,'Contas Orç'!A:B,2,0),"N/A")</f>
        <v>LICENCIAMENTO - IPVA - DPVAT</v>
      </c>
      <c r="B3219" s="7" t="str">
        <f t="shared" si="100"/>
        <v>330301007 - LICENCIAMENTO - IPVA - DPVAT</v>
      </c>
      <c r="C3219" s="25">
        <f t="shared" si="101"/>
        <v>44835</v>
      </c>
      <c r="D3219" s="27">
        <f>IF(K3219="CREDITO",Q3219,Q3219*-1)</f>
        <v>3753.35</v>
      </c>
      <c r="E3219" t="s">
        <v>894</v>
      </c>
      <c r="F3219" t="s">
        <v>3714</v>
      </c>
      <c r="G3219" s="8">
        <v>44835</v>
      </c>
      <c r="H3219" t="s">
        <v>590</v>
      </c>
      <c r="I3219" t="s">
        <v>40</v>
      </c>
      <c r="J3219" t="s">
        <v>54</v>
      </c>
      <c r="K3219" t="s">
        <v>29</v>
      </c>
      <c r="L3219" t="s">
        <v>895</v>
      </c>
      <c r="M3219" t="s">
        <v>4402</v>
      </c>
      <c r="O3219" t="s">
        <v>896</v>
      </c>
      <c r="P3219" t="s">
        <v>33</v>
      </c>
      <c r="Q3219" s="22">
        <v>3753.35</v>
      </c>
      <c r="R3219" t="s">
        <v>35</v>
      </c>
      <c r="S3219" t="s">
        <v>35</v>
      </c>
      <c r="T3219" t="s">
        <v>35</v>
      </c>
      <c r="U3219" t="s">
        <v>35</v>
      </c>
      <c r="V3219" t="s">
        <v>645</v>
      </c>
      <c r="W3219" t="s">
        <v>113</v>
      </c>
    </row>
    <row r="3220" spans="1:23" hidden="1" x14ac:dyDescent="0.25">
      <c r="A3220" s="7" t="str">
        <f>IFERROR(VLOOKUP(H3220,'Contas Orç'!A:B,2,0),"N/A")</f>
        <v>LICENCIAMENTO - IPVA - DPVAT</v>
      </c>
      <c r="B3220" s="7" t="str">
        <f t="shared" si="100"/>
        <v>330301007 - LICENCIAMENTO - IPVA - DPVAT</v>
      </c>
      <c r="C3220" s="25">
        <f t="shared" si="101"/>
        <v>44866</v>
      </c>
      <c r="D3220" s="27">
        <f>IF(K3220="CREDITO",Q3220,Q3220*-1)</f>
        <v>185.17</v>
      </c>
      <c r="E3220" t="s">
        <v>894</v>
      </c>
      <c r="F3220" t="s">
        <v>3715</v>
      </c>
      <c r="G3220" s="8">
        <v>44866</v>
      </c>
      <c r="H3220" t="s">
        <v>590</v>
      </c>
      <c r="I3220" t="s">
        <v>2062</v>
      </c>
      <c r="J3220" t="s">
        <v>54</v>
      </c>
      <c r="K3220" t="s">
        <v>29</v>
      </c>
      <c r="L3220" t="s">
        <v>895</v>
      </c>
      <c r="M3220" t="s">
        <v>4402</v>
      </c>
      <c r="O3220" t="s">
        <v>896</v>
      </c>
      <c r="P3220" t="s">
        <v>33</v>
      </c>
      <c r="Q3220">
        <v>185.17</v>
      </c>
      <c r="R3220" t="s">
        <v>35</v>
      </c>
      <c r="S3220" t="s">
        <v>35</v>
      </c>
      <c r="T3220" t="s">
        <v>35</v>
      </c>
      <c r="U3220" t="s">
        <v>35</v>
      </c>
      <c r="V3220" t="s">
        <v>645</v>
      </c>
      <c r="W3220" t="s">
        <v>113</v>
      </c>
    </row>
    <row r="3221" spans="1:23" hidden="1" x14ac:dyDescent="0.25">
      <c r="A3221" s="7" t="str">
        <f>IFERROR(VLOOKUP(H3221,'Contas Orç'!A:B,2,0),"N/A")</f>
        <v>LICENCIAMENTO - IPVA - DPVAT</v>
      </c>
      <c r="B3221" s="7" t="str">
        <f t="shared" si="100"/>
        <v>330301007 - LICENCIAMENTO - IPVA - DPVAT</v>
      </c>
      <c r="C3221" s="25">
        <f t="shared" si="101"/>
        <v>44866</v>
      </c>
      <c r="D3221" s="27">
        <f>IF(K3221="CREDITO",Q3221,Q3221*-1)</f>
        <v>3790.89</v>
      </c>
      <c r="E3221" t="s">
        <v>894</v>
      </c>
      <c r="F3221" t="s">
        <v>3716</v>
      </c>
      <c r="G3221" s="8">
        <v>44866</v>
      </c>
      <c r="H3221" t="s">
        <v>590</v>
      </c>
      <c r="I3221" t="s">
        <v>40</v>
      </c>
      <c r="J3221" t="s">
        <v>54</v>
      </c>
      <c r="K3221" t="s">
        <v>29</v>
      </c>
      <c r="L3221" t="s">
        <v>895</v>
      </c>
      <c r="M3221" t="s">
        <v>4402</v>
      </c>
      <c r="O3221" t="s">
        <v>896</v>
      </c>
      <c r="P3221" t="s">
        <v>33</v>
      </c>
      <c r="Q3221" s="22">
        <v>3790.89</v>
      </c>
      <c r="R3221" t="s">
        <v>35</v>
      </c>
      <c r="S3221" t="s">
        <v>35</v>
      </c>
      <c r="T3221" t="s">
        <v>35</v>
      </c>
      <c r="U3221" t="s">
        <v>35</v>
      </c>
      <c r="V3221" t="s">
        <v>645</v>
      </c>
      <c r="W3221" t="s">
        <v>113</v>
      </c>
    </row>
    <row r="3222" spans="1:23" hidden="1" x14ac:dyDescent="0.25">
      <c r="A3222" s="7" t="str">
        <f>IFERROR(VLOOKUP(H3222,'Contas Orç'!A:B,2,0),"N/A")</f>
        <v>LICENCIAMENTO - IPVA - DPVAT</v>
      </c>
      <c r="B3222" s="7" t="str">
        <f t="shared" si="100"/>
        <v>330301007 - LICENCIAMENTO - IPVA - DPVAT</v>
      </c>
      <c r="C3222" s="25">
        <f t="shared" si="101"/>
        <v>44896</v>
      </c>
      <c r="D3222" s="27">
        <f>IF(K3222="CREDITO",Q3222,Q3222*-1)</f>
        <v>187.02</v>
      </c>
      <c r="E3222" t="s">
        <v>894</v>
      </c>
      <c r="F3222" t="s">
        <v>3717</v>
      </c>
      <c r="G3222" s="8">
        <v>44896</v>
      </c>
      <c r="H3222" t="s">
        <v>590</v>
      </c>
      <c r="I3222" t="s">
        <v>2062</v>
      </c>
      <c r="J3222" t="s">
        <v>54</v>
      </c>
      <c r="K3222" t="s">
        <v>29</v>
      </c>
      <c r="L3222" t="s">
        <v>895</v>
      </c>
      <c r="M3222" t="s">
        <v>4402</v>
      </c>
      <c r="O3222" t="s">
        <v>896</v>
      </c>
      <c r="P3222" t="s">
        <v>33</v>
      </c>
      <c r="Q3222">
        <v>187.02</v>
      </c>
      <c r="R3222" t="s">
        <v>35</v>
      </c>
      <c r="S3222" t="s">
        <v>35</v>
      </c>
      <c r="T3222" t="s">
        <v>35</v>
      </c>
      <c r="U3222" t="s">
        <v>35</v>
      </c>
      <c r="V3222" t="s">
        <v>645</v>
      </c>
      <c r="W3222" t="s">
        <v>113</v>
      </c>
    </row>
    <row r="3223" spans="1:23" hidden="1" x14ac:dyDescent="0.25">
      <c r="A3223" s="7" t="str">
        <f>IFERROR(VLOOKUP(H3223,'Contas Orç'!A:B,2,0),"N/A")</f>
        <v>LICENCIAMENTO - IPVA - DPVAT</v>
      </c>
      <c r="B3223" s="7" t="str">
        <f t="shared" si="100"/>
        <v>330301007 - LICENCIAMENTO - IPVA - DPVAT</v>
      </c>
      <c r="C3223" s="25">
        <f t="shared" si="101"/>
        <v>44896</v>
      </c>
      <c r="D3223" s="27">
        <f>IF(K3223="CREDITO",Q3223,Q3223*-1)</f>
        <v>3828.79</v>
      </c>
      <c r="E3223" t="s">
        <v>894</v>
      </c>
      <c r="F3223" t="s">
        <v>3718</v>
      </c>
      <c r="G3223" s="8">
        <v>44896</v>
      </c>
      <c r="H3223" t="s">
        <v>590</v>
      </c>
      <c r="I3223" t="s">
        <v>40</v>
      </c>
      <c r="J3223" t="s">
        <v>54</v>
      </c>
      <c r="K3223" t="s">
        <v>29</v>
      </c>
      <c r="L3223" t="s">
        <v>895</v>
      </c>
      <c r="M3223" t="s">
        <v>4402</v>
      </c>
      <c r="O3223" t="s">
        <v>896</v>
      </c>
      <c r="P3223" t="s">
        <v>33</v>
      </c>
      <c r="Q3223" s="22">
        <v>3828.79</v>
      </c>
      <c r="R3223" t="s">
        <v>35</v>
      </c>
      <c r="S3223" t="s">
        <v>35</v>
      </c>
      <c r="T3223" t="s">
        <v>35</v>
      </c>
      <c r="U3223" t="s">
        <v>35</v>
      </c>
      <c r="V3223" t="s">
        <v>645</v>
      </c>
      <c r="W3223" t="s">
        <v>113</v>
      </c>
    </row>
    <row r="3224" spans="1:23" hidden="1" x14ac:dyDescent="0.25">
      <c r="A3224" s="7" t="str">
        <f>IFERROR(VLOOKUP(H3224,'Contas Orç'!A:B,2,0),"N/A")</f>
        <v>MULTAS DE TRANSITO</v>
      </c>
      <c r="B3224" s="7" t="str">
        <f t="shared" si="100"/>
        <v>330301008 - MULTAS DE TRANSITO</v>
      </c>
      <c r="C3224" s="25">
        <f t="shared" si="101"/>
        <v>44593</v>
      </c>
      <c r="D3224" s="27">
        <f>IF(K3224="CREDITO",Q3224,Q3224*-1)</f>
        <v>196.46</v>
      </c>
      <c r="E3224" t="s">
        <v>894</v>
      </c>
      <c r="F3224" t="s">
        <v>3719</v>
      </c>
      <c r="G3224" s="8">
        <v>44593</v>
      </c>
      <c r="H3224" t="s">
        <v>591</v>
      </c>
      <c r="I3224" t="s">
        <v>40</v>
      </c>
      <c r="J3224" t="s">
        <v>54</v>
      </c>
      <c r="K3224" t="s">
        <v>29</v>
      </c>
      <c r="L3224" t="s">
        <v>895</v>
      </c>
      <c r="M3224" t="s">
        <v>4402</v>
      </c>
      <c r="O3224" t="s">
        <v>896</v>
      </c>
      <c r="P3224" t="s">
        <v>33</v>
      </c>
      <c r="Q3224">
        <v>196.46</v>
      </c>
      <c r="R3224" t="s">
        <v>35</v>
      </c>
      <c r="S3224" t="s">
        <v>35</v>
      </c>
      <c r="T3224" t="s">
        <v>35</v>
      </c>
      <c r="U3224" t="s">
        <v>35</v>
      </c>
      <c r="V3224" t="s">
        <v>645</v>
      </c>
      <c r="W3224" t="s">
        <v>113</v>
      </c>
    </row>
    <row r="3225" spans="1:23" hidden="1" x14ac:dyDescent="0.25">
      <c r="A3225" s="7" t="str">
        <f>IFERROR(VLOOKUP(H3225,'Contas Orç'!A:B,2,0),"N/A")</f>
        <v>ALUGUEIS, ARREND. E CONDOMINIOS</v>
      </c>
      <c r="B3225" s="7" t="str">
        <f t="shared" si="100"/>
        <v>330401 - ALUGUEIS, ARREND. E CONDOMINIOS</v>
      </c>
      <c r="C3225" s="25">
        <f t="shared" si="101"/>
        <v>44562</v>
      </c>
      <c r="D3225" s="27">
        <f>IF(K3225="CREDITO",Q3225,Q3225*-1)</f>
        <v>20000</v>
      </c>
      <c r="E3225" t="s">
        <v>894</v>
      </c>
      <c r="F3225" t="s">
        <v>3720</v>
      </c>
      <c r="G3225" s="8">
        <v>44562</v>
      </c>
      <c r="H3225" t="s">
        <v>594</v>
      </c>
      <c r="I3225" t="s">
        <v>40</v>
      </c>
      <c r="J3225" t="s">
        <v>54</v>
      </c>
      <c r="K3225" t="s">
        <v>29</v>
      </c>
      <c r="L3225" t="s">
        <v>895</v>
      </c>
      <c r="M3225" t="s">
        <v>4402</v>
      </c>
      <c r="O3225" t="s">
        <v>896</v>
      </c>
      <c r="P3225" t="s">
        <v>33</v>
      </c>
      <c r="Q3225" s="22">
        <v>20000</v>
      </c>
      <c r="R3225" t="s">
        <v>35</v>
      </c>
      <c r="S3225" t="s">
        <v>35</v>
      </c>
      <c r="T3225" t="s">
        <v>35</v>
      </c>
      <c r="U3225" t="s">
        <v>35</v>
      </c>
      <c r="V3225" t="s">
        <v>645</v>
      </c>
      <c r="W3225" t="s">
        <v>113</v>
      </c>
    </row>
    <row r="3226" spans="1:23" hidden="1" x14ac:dyDescent="0.25">
      <c r="A3226" s="7" t="str">
        <f>IFERROR(VLOOKUP(H3226,'Contas Orç'!A:B,2,0),"N/A")</f>
        <v>ALUGUEIS, ARREND. E CONDOMINIOS</v>
      </c>
      <c r="B3226" s="7" t="str">
        <f t="shared" si="100"/>
        <v>330401 - ALUGUEIS, ARREND. E CONDOMINIOS</v>
      </c>
      <c r="C3226" s="25">
        <f t="shared" si="101"/>
        <v>44593</v>
      </c>
      <c r="D3226" s="27">
        <f>IF(K3226="CREDITO",Q3226,Q3226*-1)</f>
        <v>20000</v>
      </c>
      <c r="E3226" t="s">
        <v>894</v>
      </c>
      <c r="F3226" t="s">
        <v>3721</v>
      </c>
      <c r="G3226" s="8">
        <v>44593</v>
      </c>
      <c r="H3226" t="s">
        <v>594</v>
      </c>
      <c r="I3226" t="s">
        <v>40</v>
      </c>
      <c r="J3226" t="s">
        <v>54</v>
      </c>
      <c r="K3226" t="s">
        <v>29</v>
      </c>
      <c r="L3226" t="s">
        <v>895</v>
      </c>
      <c r="M3226" t="s">
        <v>4402</v>
      </c>
      <c r="O3226" t="s">
        <v>896</v>
      </c>
      <c r="P3226" t="s">
        <v>33</v>
      </c>
      <c r="Q3226" s="22">
        <v>20000</v>
      </c>
      <c r="R3226" t="s">
        <v>35</v>
      </c>
      <c r="S3226" t="s">
        <v>35</v>
      </c>
      <c r="T3226" t="s">
        <v>35</v>
      </c>
      <c r="U3226" t="s">
        <v>35</v>
      </c>
      <c r="V3226" t="s">
        <v>645</v>
      </c>
      <c r="W3226" t="s">
        <v>113</v>
      </c>
    </row>
    <row r="3227" spans="1:23" hidden="1" x14ac:dyDescent="0.25">
      <c r="A3227" s="7" t="str">
        <f>IFERROR(VLOOKUP(H3227,'Contas Orç'!A:B,2,0),"N/A")</f>
        <v>ALUGUEIS, ARREND. E CONDOMINIOS</v>
      </c>
      <c r="B3227" s="7" t="str">
        <f t="shared" si="100"/>
        <v>330401 - ALUGUEIS, ARREND. E CONDOMINIOS</v>
      </c>
      <c r="C3227" s="25">
        <f t="shared" si="101"/>
        <v>44621</v>
      </c>
      <c r="D3227" s="27">
        <f>IF(K3227="CREDITO",Q3227,Q3227*-1)</f>
        <v>20000</v>
      </c>
      <c r="E3227" t="s">
        <v>894</v>
      </c>
      <c r="F3227" t="s">
        <v>3722</v>
      </c>
      <c r="G3227" s="8">
        <v>44621</v>
      </c>
      <c r="H3227" t="s">
        <v>594</v>
      </c>
      <c r="I3227" t="s">
        <v>40</v>
      </c>
      <c r="J3227" t="s">
        <v>54</v>
      </c>
      <c r="K3227" t="s">
        <v>29</v>
      </c>
      <c r="L3227" t="s">
        <v>895</v>
      </c>
      <c r="M3227" t="s">
        <v>4402</v>
      </c>
      <c r="O3227" t="s">
        <v>896</v>
      </c>
      <c r="P3227" t="s">
        <v>33</v>
      </c>
      <c r="Q3227" s="22">
        <v>20000</v>
      </c>
      <c r="R3227" t="s">
        <v>35</v>
      </c>
      <c r="S3227" t="s">
        <v>35</v>
      </c>
      <c r="T3227" t="s">
        <v>35</v>
      </c>
      <c r="U3227" t="s">
        <v>35</v>
      </c>
      <c r="V3227" t="s">
        <v>645</v>
      </c>
      <c r="W3227" t="s">
        <v>113</v>
      </c>
    </row>
    <row r="3228" spans="1:23" hidden="1" x14ac:dyDescent="0.25">
      <c r="A3228" s="7" t="str">
        <f>IFERROR(VLOOKUP(H3228,'Contas Orç'!A:B,2,0),"N/A")</f>
        <v>ALUGUEIS, ARREND. E CONDOMINIOS</v>
      </c>
      <c r="B3228" s="7" t="str">
        <f t="shared" si="100"/>
        <v>330401 - ALUGUEIS, ARREND. E CONDOMINIOS</v>
      </c>
      <c r="C3228" s="25">
        <f t="shared" si="101"/>
        <v>44652</v>
      </c>
      <c r="D3228" s="27">
        <f>IF(K3228="CREDITO",Q3228,Q3228*-1)</f>
        <v>429.28</v>
      </c>
      <c r="E3228" t="s">
        <v>894</v>
      </c>
      <c r="F3228" t="s">
        <v>3723</v>
      </c>
      <c r="G3228" s="8">
        <v>44652</v>
      </c>
      <c r="H3228" t="s">
        <v>594</v>
      </c>
      <c r="I3228" t="s">
        <v>59</v>
      </c>
      <c r="J3228" t="s">
        <v>661</v>
      </c>
      <c r="K3228" t="s">
        <v>29</v>
      </c>
      <c r="L3228" t="s">
        <v>895</v>
      </c>
      <c r="M3228" t="s">
        <v>4402</v>
      </c>
      <c r="O3228" t="s">
        <v>896</v>
      </c>
      <c r="P3228" t="s">
        <v>33</v>
      </c>
      <c r="Q3228">
        <v>429.28</v>
      </c>
      <c r="R3228" t="s">
        <v>35</v>
      </c>
      <c r="S3228" t="s">
        <v>35</v>
      </c>
      <c r="T3228" t="s">
        <v>35</v>
      </c>
      <c r="U3228" t="s">
        <v>35</v>
      </c>
      <c r="V3228" t="s">
        <v>645</v>
      </c>
      <c r="W3228" t="s">
        <v>113</v>
      </c>
    </row>
    <row r="3229" spans="1:23" hidden="1" x14ac:dyDescent="0.25">
      <c r="A3229" s="7" t="str">
        <f>IFERROR(VLOOKUP(H3229,'Contas Orç'!A:B,2,0),"N/A")</f>
        <v>ALUGUEIS, ARREND. E CONDOMINIOS</v>
      </c>
      <c r="B3229" s="7" t="str">
        <f t="shared" si="100"/>
        <v>330401 - ALUGUEIS, ARREND. E CONDOMINIOS</v>
      </c>
      <c r="C3229" s="25">
        <f t="shared" si="101"/>
        <v>44652</v>
      </c>
      <c r="D3229" s="27">
        <f>IF(K3229="CREDITO",Q3229,Q3229*-1)</f>
        <v>20000</v>
      </c>
      <c r="E3229" t="s">
        <v>894</v>
      </c>
      <c r="F3229" t="s">
        <v>3724</v>
      </c>
      <c r="G3229" s="8">
        <v>44652</v>
      </c>
      <c r="H3229" t="s">
        <v>594</v>
      </c>
      <c r="I3229" t="s">
        <v>40</v>
      </c>
      <c r="J3229" t="s">
        <v>54</v>
      </c>
      <c r="K3229" t="s">
        <v>29</v>
      </c>
      <c r="L3229" t="s">
        <v>895</v>
      </c>
      <c r="M3229" t="s">
        <v>4402</v>
      </c>
      <c r="O3229" t="s">
        <v>896</v>
      </c>
      <c r="P3229" t="s">
        <v>33</v>
      </c>
      <c r="Q3229" s="22">
        <v>20000</v>
      </c>
      <c r="R3229" t="s">
        <v>35</v>
      </c>
      <c r="S3229" t="s">
        <v>35</v>
      </c>
      <c r="T3229" t="s">
        <v>35</v>
      </c>
      <c r="U3229" t="s">
        <v>35</v>
      </c>
      <c r="V3229" t="s">
        <v>645</v>
      </c>
      <c r="W3229" t="s">
        <v>113</v>
      </c>
    </row>
    <row r="3230" spans="1:23" hidden="1" x14ac:dyDescent="0.25">
      <c r="A3230" s="7" t="str">
        <f>IFERROR(VLOOKUP(H3230,'Contas Orç'!A:B,2,0),"N/A")</f>
        <v>ALUGUEIS, ARREND. E CONDOMINIOS</v>
      </c>
      <c r="B3230" s="7" t="str">
        <f t="shared" si="100"/>
        <v>330401 - ALUGUEIS, ARREND. E CONDOMINIOS</v>
      </c>
      <c r="C3230" s="25">
        <f t="shared" si="101"/>
        <v>44682</v>
      </c>
      <c r="D3230" s="27">
        <f>IF(K3230="CREDITO",Q3230,Q3230*-1)</f>
        <v>443.3</v>
      </c>
      <c r="E3230" t="s">
        <v>894</v>
      </c>
      <c r="F3230" t="s">
        <v>3725</v>
      </c>
      <c r="G3230" s="8">
        <v>44682</v>
      </c>
      <c r="H3230" t="s">
        <v>594</v>
      </c>
      <c r="I3230" t="s">
        <v>59</v>
      </c>
      <c r="J3230" t="s">
        <v>661</v>
      </c>
      <c r="K3230" t="s">
        <v>29</v>
      </c>
      <c r="L3230" t="s">
        <v>895</v>
      </c>
      <c r="M3230" t="s">
        <v>4402</v>
      </c>
      <c r="O3230" t="s">
        <v>896</v>
      </c>
      <c r="P3230" t="s">
        <v>33</v>
      </c>
      <c r="Q3230">
        <v>443.3</v>
      </c>
      <c r="R3230" t="s">
        <v>35</v>
      </c>
      <c r="S3230" t="s">
        <v>35</v>
      </c>
      <c r="T3230" t="s">
        <v>35</v>
      </c>
      <c r="U3230" t="s">
        <v>35</v>
      </c>
      <c r="V3230" t="s">
        <v>645</v>
      </c>
      <c r="W3230" t="s">
        <v>113</v>
      </c>
    </row>
    <row r="3231" spans="1:23" hidden="1" x14ac:dyDescent="0.25">
      <c r="A3231" s="7" t="str">
        <f>IFERROR(VLOOKUP(H3231,'Contas Orç'!A:B,2,0),"N/A")</f>
        <v>ALUGUEIS, ARREND. E CONDOMINIOS</v>
      </c>
      <c r="B3231" s="7" t="str">
        <f t="shared" si="100"/>
        <v>330401 - ALUGUEIS, ARREND. E CONDOMINIOS</v>
      </c>
      <c r="C3231" s="25">
        <f t="shared" si="101"/>
        <v>44682</v>
      </c>
      <c r="D3231" s="27">
        <f>IF(K3231="CREDITO",Q3231,Q3231*-1)</f>
        <v>20000</v>
      </c>
      <c r="E3231" t="s">
        <v>894</v>
      </c>
      <c r="F3231" t="s">
        <v>3726</v>
      </c>
      <c r="G3231" s="8">
        <v>44682</v>
      </c>
      <c r="H3231" t="s">
        <v>594</v>
      </c>
      <c r="I3231" t="s">
        <v>40</v>
      </c>
      <c r="J3231" t="s">
        <v>54</v>
      </c>
      <c r="K3231" t="s">
        <v>29</v>
      </c>
      <c r="L3231" t="s">
        <v>895</v>
      </c>
      <c r="M3231" t="s">
        <v>4402</v>
      </c>
      <c r="O3231" t="s">
        <v>896</v>
      </c>
      <c r="P3231" t="s">
        <v>33</v>
      </c>
      <c r="Q3231" s="22">
        <v>20000</v>
      </c>
      <c r="R3231" t="s">
        <v>35</v>
      </c>
      <c r="S3231" t="s">
        <v>35</v>
      </c>
      <c r="T3231" t="s">
        <v>35</v>
      </c>
      <c r="U3231" t="s">
        <v>35</v>
      </c>
      <c r="V3231" t="s">
        <v>645</v>
      </c>
      <c r="W3231" t="s">
        <v>113</v>
      </c>
    </row>
    <row r="3232" spans="1:23" hidden="1" x14ac:dyDescent="0.25">
      <c r="A3232" s="7" t="str">
        <f>IFERROR(VLOOKUP(H3232,'Contas Orç'!A:B,2,0),"N/A")</f>
        <v>ALUGUEIS, ARREND. E CONDOMINIOS</v>
      </c>
      <c r="B3232" s="7" t="str">
        <f t="shared" si="100"/>
        <v>330401 - ALUGUEIS, ARREND. E CONDOMINIOS</v>
      </c>
      <c r="C3232" s="25">
        <f t="shared" si="101"/>
        <v>44713</v>
      </c>
      <c r="D3232" s="27">
        <f>IF(K3232="CREDITO",Q3232,Q3232*-1)</f>
        <v>20000</v>
      </c>
      <c r="E3232" t="s">
        <v>894</v>
      </c>
      <c r="F3232" t="s">
        <v>3727</v>
      </c>
      <c r="G3232" s="8">
        <v>44713</v>
      </c>
      <c r="H3232" t="s">
        <v>594</v>
      </c>
      <c r="I3232" t="s">
        <v>40</v>
      </c>
      <c r="J3232" t="s">
        <v>54</v>
      </c>
      <c r="K3232" t="s">
        <v>29</v>
      </c>
      <c r="L3232" t="s">
        <v>895</v>
      </c>
      <c r="M3232" t="s">
        <v>4402</v>
      </c>
      <c r="O3232" t="s">
        <v>896</v>
      </c>
      <c r="P3232" t="s">
        <v>33</v>
      </c>
      <c r="Q3232" s="22">
        <v>20000</v>
      </c>
      <c r="R3232" t="s">
        <v>35</v>
      </c>
      <c r="S3232" t="s">
        <v>35</v>
      </c>
      <c r="T3232" t="s">
        <v>35</v>
      </c>
      <c r="U3232" t="s">
        <v>35</v>
      </c>
      <c r="V3232" t="s">
        <v>645</v>
      </c>
      <c r="W3232" t="s">
        <v>113</v>
      </c>
    </row>
    <row r="3233" spans="1:23" hidden="1" x14ac:dyDescent="0.25">
      <c r="A3233" s="7" t="str">
        <f>IFERROR(VLOOKUP(H3233,'Contas Orç'!A:B,2,0),"N/A")</f>
        <v>ALUGUEIS, ARREND. E CONDOMINIOS</v>
      </c>
      <c r="B3233" s="7" t="str">
        <f t="shared" si="100"/>
        <v>330401 - ALUGUEIS, ARREND. E CONDOMINIOS</v>
      </c>
      <c r="C3233" s="25">
        <f t="shared" si="101"/>
        <v>44743</v>
      </c>
      <c r="D3233" s="27">
        <f>IF(K3233="CREDITO",Q3233,Q3233*-1)</f>
        <v>2856.72</v>
      </c>
      <c r="E3233" t="s">
        <v>894</v>
      </c>
      <c r="F3233" t="s">
        <v>3728</v>
      </c>
      <c r="G3233" s="8">
        <v>44743</v>
      </c>
      <c r="H3233" t="s">
        <v>594</v>
      </c>
      <c r="I3233" t="s">
        <v>59</v>
      </c>
      <c r="J3233" t="s">
        <v>702</v>
      </c>
      <c r="K3233" t="s">
        <v>29</v>
      </c>
      <c r="L3233" t="s">
        <v>895</v>
      </c>
      <c r="M3233" t="s">
        <v>4402</v>
      </c>
      <c r="O3233" t="s">
        <v>896</v>
      </c>
      <c r="P3233" t="s">
        <v>33</v>
      </c>
      <c r="Q3233" s="22">
        <v>2856.72</v>
      </c>
      <c r="R3233" t="s">
        <v>35</v>
      </c>
      <c r="S3233" t="s">
        <v>35</v>
      </c>
      <c r="T3233" t="s">
        <v>35</v>
      </c>
      <c r="U3233" t="s">
        <v>35</v>
      </c>
      <c r="V3233" t="s">
        <v>645</v>
      </c>
      <c r="W3233" t="s">
        <v>113</v>
      </c>
    </row>
    <row r="3234" spans="1:23" hidden="1" x14ac:dyDescent="0.25">
      <c r="A3234" s="7" t="str">
        <f>IFERROR(VLOOKUP(H3234,'Contas Orç'!A:B,2,0),"N/A")</f>
        <v>ALUGUEIS, ARREND. E CONDOMINIOS</v>
      </c>
      <c r="B3234" s="7" t="str">
        <f t="shared" si="100"/>
        <v>330401 - ALUGUEIS, ARREND. E CONDOMINIOS</v>
      </c>
      <c r="C3234" s="25">
        <f t="shared" si="101"/>
        <v>44743</v>
      </c>
      <c r="D3234" s="27">
        <f>IF(K3234="CREDITO",Q3234,Q3234*-1)</f>
        <v>1626.93</v>
      </c>
      <c r="E3234" t="s">
        <v>894</v>
      </c>
      <c r="F3234" t="s">
        <v>3729</v>
      </c>
      <c r="G3234" s="8">
        <v>44743</v>
      </c>
      <c r="H3234" t="s">
        <v>594</v>
      </c>
      <c r="I3234" t="s">
        <v>53</v>
      </c>
      <c r="J3234" t="s">
        <v>661</v>
      </c>
      <c r="K3234" t="s">
        <v>29</v>
      </c>
      <c r="L3234" t="s">
        <v>895</v>
      </c>
      <c r="M3234" t="s">
        <v>4402</v>
      </c>
      <c r="O3234" t="s">
        <v>896</v>
      </c>
      <c r="P3234" t="s">
        <v>33</v>
      </c>
      <c r="Q3234" s="22">
        <v>1626.93</v>
      </c>
      <c r="R3234" t="s">
        <v>35</v>
      </c>
      <c r="S3234" t="s">
        <v>35</v>
      </c>
      <c r="T3234" t="s">
        <v>35</v>
      </c>
      <c r="U3234" t="s">
        <v>35</v>
      </c>
      <c r="V3234" t="s">
        <v>645</v>
      </c>
      <c r="W3234" t="s">
        <v>113</v>
      </c>
    </row>
    <row r="3235" spans="1:23" hidden="1" x14ac:dyDescent="0.25">
      <c r="A3235" s="7" t="str">
        <f>IFERROR(VLOOKUP(H3235,'Contas Orç'!A:B,2,0),"N/A")</f>
        <v>ALUGUEIS, ARREND. E CONDOMINIOS</v>
      </c>
      <c r="B3235" s="7" t="str">
        <f t="shared" si="100"/>
        <v>330401 - ALUGUEIS, ARREND. E CONDOMINIOS</v>
      </c>
      <c r="C3235" s="25">
        <f t="shared" si="101"/>
        <v>44743</v>
      </c>
      <c r="D3235" s="27">
        <f>IF(K3235="CREDITO",Q3235,Q3235*-1)</f>
        <v>20000</v>
      </c>
      <c r="E3235" t="s">
        <v>894</v>
      </c>
      <c r="F3235" t="s">
        <v>3730</v>
      </c>
      <c r="G3235" s="8">
        <v>44743</v>
      </c>
      <c r="H3235" t="s">
        <v>594</v>
      </c>
      <c r="I3235" t="s">
        <v>40</v>
      </c>
      <c r="J3235" t="s">
        <v>54</v>
      </c>
      <c r="K3235" t="s">
        <v>29</v>
      </c>
      <c r="L3235" t="s">
        <v>895</v>
      </c>
      <c r="M3235" t="s">
        <v>4402</v>
      </c>
      <c r="O3235" t="s">
        <v>896</v>
      </c>
      <c r="P3235" t="s">
        <v>33</v>
      </c>
      <c r="Q3235" s="22">
        <v>20000</v>
      </c>
      <c r="R3235" t="s">
        <v>35</v>
      </c>
      <c r="S3235" t="s">
        <v>35</v>
      </c>
      <c r="T3235" t="s">
        <v>35</v>
      </c>
      <c r="U3235" t="s">
        <v>35</v>
      </c>
      <c r="V3235" t="s">
        <v>645</v>
      </c>
      <c r="W3235" t="s">
        <v>113</v>
      </c>
    </row>
    <row r="3236" spans="1:23" hidden="1" x14ac:dyDescent="0.25">
      <c r="A3236" s="7" t="str">
        <f>IFERROR(VLOOKUP(H3236,'Contas Orç'!A:B,2,0),"N/A")</f>
        <v>ALUGUEIS, ARREND. E CONDOMINIOS</v>
      </c>
      <c r="B3236" s="7" t="str">
        <f t="shared" si="100"/>
        <v>330401 - ALUGUEIS, ARREND. E CONDOMINIOS</v>
      </c>
      <c r="C3236" s="25">
        <f t="shared" si="101"/>
        <v>44774</v>
      </c>
      <c r="D3236" s="27">
        <f>IF(K3236="CREDITO",Q3236,Q3236*-1)</f>
        <v>20000</v>
      </c>
      <c r="E3236" t="s">
        <v>894</v>
      </c>
      <c r="F3236" t="s">
        <v>3731</v>
      </c>
      <c r="G3236" s="8">
        <v>44774</v>
      </c>
      <c r="H3236" t="s">
        <v>594</v>
      </c>
      <c r="I3236" t="s">
        <v>40</v>
      </c>
      <c r="J3236" t="s">
        <v>54</v>
      </c>
      <c r="K3236" t="s">
        <v>29</v>
      </c>
      <c r="L3236" t="s">
        <v>895</v>
      </c>
      <c r="M3236" t="s">
        <v>4402</v>
      </c>
      <c r="O3236" t="s">
        <v>896</v>
      </c>
      <c r="P3236" t="s">
        <v>33</v>
      </c>
      <c r="Q3236" s="22">
        <v>20000</v>
      </c>
      <c r="R3236" t="s">
        <v>35</v>
      </c>
      <c r="S3236" t="s">
        <v>35</v>
      </c>
      <c r="T3236" t="s">
        <v>35</v>
      </c>
      <c r="U3236" t="s">
        <v>35</v>
      </c>
      <c r="V3236" t="s">
        <v>645</v>
      </c>
      <c r="W3236" t="s">
        <v>113</v>
      </c>
    </row>
    <row r="3237" spans="1:23" hidden="1" x14ac:dyDescent="0.25">
      <c r="A3237" s="7" t="str">
        <f>IFERROR(VLOOKUP(H3237,'Contas Orç'!A:B,2,0),"N/A")</f>
        <v>ALUGUEIS, ARREND. E CONDOMINIOS</v>
      </c>
      <c r="B3237" s="7" t="str">
        <f t="shared" si="100"/>
        <v>330401 - ALUGUEIS, ARREND. E CONDOMINIOS</v>
      </c>
      <c r="C3237" s="25">
        <f t="shared" si="101"/>
        <v>44805</v>
      </c>
      <c r="D3237" s="27">
        <f>IF(K3237="CREDITO",Q3237,Q3237*-1)</f>
        <v>434.83</v>
      </c>
      <c r="E3237" t="s">
        <v>894</v>
      </c>
      <c r="F3237" t="s">
        <v>3732</v>
      </c>
      <c r="G3237" s="8">
        <v>44805</v>
      </c>
      <c r="H3237" t="s">
        <v>594</v>
      </c>
      <c r="I3237" t="s">
        <v>59</v>
      </c>
      <c r="J3237" t="s">
        <v>661</v>
      </c>
      <c r="K3237" t="s">
        <v>29</v>
      </c>
      <c r="L3237" t="s">
        <v>895</v>
      </c>
      <c r="M3237" t="s">
        <v>4402</v>
      </c>
      <c r="O3237" t="s">
        <v>896</v>
      </c>
      <c r="P3237" t="s">
        <v>33</v>
      </c>
      <c r="Q3237">
        <v>434.83</v>
      </c>
      <c r="R3237" t="s">
        <v>35</v>
      </c>
      <c r="S3237" t="s">
        <v>35</v>
      </c>
      <c r="T3237" t="s">
        <v>35</v>
      </c>
      <c r="U3237" t="s">
        <v>35</v>
      </c>
      <c r="V3237" t="s">
        <v>645</v>
      </c>
      <c r="W3237" t="s">
        <v>113</v>
      </c>
    </row>
    <row r="3238" spans="1:23" hidden="1" x14ac:dyDescent="0.25">
      <c r="A3238" s="7" t="str">
        <f>IFERROR(VLOOKUP(H3238,'Contas Orç'!A:B,2,0),"N/A")</f>
        <v>ALUGUEIS, ARREND. E CONDOMINIOS</v>
      </c>
      <c r="B3238" s="7" t="str">
        <f t="shared" si="100"/>
        <v>330401 - ALUGUEIS, ARREND. E CONDOMINIOS</v>
      </c>
      <c r="C3238" s="25">
        <f t="shared" si="101"/>
        <v>44805</v>
      </c>
      <c r="D3238" s="27">
        <f>IF(K3238="CREDITO",Q3238,Q3238*-1)</f>
        <v>20000</v>
      </c>
      <c r="E3238" t="s">
        <v>894</v>
      </c>
      <c r="F3238" t="s">
        <v>3733</v>
      </c>
      <c r="G3238" s="8">
        <v>44805</v>
      </c>
      <c r="H3238" t="s">
        <v>594</v>
      </c>
      <c r="I3238" t="s">
        <v>40</v>
      </c>
      <c r="J3238" t="s">
        <v>54</v>
      </c>
      <c r="K3238" t="s">
        <v>29</v>
      </c>
      <c r="L3238" t="s">
        <v>895</v>
      </c>
      <c r="M3238" t="s">
        <v>4402</v>
      </c>
      <c r="O3238" t="s">
        <v>896</v>
      </c>
      <c r="P3238" t="s">
        <v>33</v>
      </c>
      <c r="Q3238" s="22">
        <v>20000</v>
      </c>
      <c r="R3238" t="s">
        <v>35</v>
      </c>
      <c r="S3238" t="s">
        <v>35</v>
      </c>
      <c r="T3238" t="s">
        <v>35</v>
      </c>
      <c r="U3238" t="s">
        <v>35</v>
      </c>
      <c r="V3238" t="s">
        <v>645</v>
      </c>
      <c r="W3238" t="s">
        <v>113</v>
      </c>
    </row>
    <row r="3239" spans="1:23" hidden="1" x14ac:dyDescent="0.25">
      <c r="A3239" s="7" t="str">
        <f>IFERROR(VLOOKUP(H3239,'Contas Orç'!A:B,2,0),"N/A")</f>
        <v>ALUGUEIS, ARREND. E CONDOMINIOS</v>
      </c>
      <c r="B3239" s="7" t="str">
        <f t="shared" si="100"/>
        <v>330401 - ALUGUEIS, ARREND. E CONDOMINIOS</v>
      </c>
      <c r="C3239" s="25">
        <f t="shared" si="101"/>
        <v>44835</v>
      </c>
      <c r="D3239" s="27">
        <f>IF(K3239="CREDITO",Q3239,Q3239*-1)</f>
        <v>439.18</v>
      </c>
      <c r="E3239" t="s">
        <v>894</v>
      </c>
      <c r="F3239" t="s">
        <v>3734</v>
      </c>
      <c r="G3239" s="8">
        <v>44835</v>
      </c>
      <c r="H3239" t="s">
        <v>594</v>
      </c>
      <c r="I3239" t="s">
        <v>59</v>
      </c>
      <c r="J3239" t="s">
        <v>661</v>
      </c>
      <c r="K3239" t="s">
        <v>29</v>
      </c>
      <c r="L3239" t="s">
        <v>895</v>
      </c>
      <c r="M3239" t="s">
        <v>4402</v>
      </c>
      <c r="O3239" t="s">
        <v>896</v>
      </c>
      <c r="P3239" t="s">
        <v>33</v>
      </c>
      <c r="Q3239">
        <v>439.18</v>
      </c>
      <c r="R3239" t="s">
        <v>35</v>
      </c>
      <c r="S3239" t="s">
        <v>35</v>
      </c>
      <c r="T3239" t="s">
        <v>35</v>
      </c>
      <c r="U3239" t="s">
        <v>35</v>
      </c>
      <c r="V3239" t="s">
        <v>645</v>
      </c>
      <c r="W3239" t="s">
        <v>113</v>
      </c>
    </row>
    <row r="3240" spans="1:23" hidden="1" x14ac:dyDescent="0.25">
      <c r="A3240" s="7" t="str">
        <f>IFERROR(VLOOKUP(H3240,'Contas Orç'!A:B,2,0),"N/A")</f>
        <v>ALUGUEIS, ARREND. E CONDOMINIOS</v>
      </c>
      <c r="B3240" s="7" t="str">
        <f t="shared" si="100"/>
        <v>330401 - ALUGUEIS, ARREND. E CONDOMINIOS</v>
      </c>
      <c r="C3240" s="25">
        <f t="shared" si="101"/>
        <v>44835</v>
      </c>
      <c r="D3240" s="27">
        <f>IF(K3240="CREDITO",Q3240,Q3240*-1)</f>
        <v>20200</v>
      </c>
      <c r="E3240" t="s">
        <v>894</v>
      </c>
      <c r="F3240" t="s">
        <v>3735</v>
      </c>
      <c r="G3240" s="8">
        <v>44835</v>
      </c>
      <c r="H3240" t="s">
        <v>594</v>
      </c>
      <c r="I3240" t="s">
        <v>40</v>
      </c>
      <c r="J3240" t="s">
        <v>54</v>
      </c>
      <c r="K3240" t="s">
        <v>29</v>
      </c>
      <c r="L3240" t="s">
        <v>895</v>
      </c>
      <c r="M3240" t="s">
        <v>4402</v>
      </c>
      <c r="O3240" t="s">
        <v>896</v>
      </c>
      <c r="P3240" t="s">
        <v>33</v>
      </c>
      <c r="Q3240" s="22">
        <v>20200</v>
      </c>
      <c r="R3240" t="s">
        <v>35</v>
      </c>
      <c r="S3240" t="s">
        <v>35</v>
      </c>
      <c r="T3240" t="s">
        <v>35</v>
      </c>
      <c r="U3240" t="s">
        <v>35</v>
      </c>
      <c r="V3240" t="s">
        <v>645</v>
      </c>
      <c r="W3240" t="s">
        <v>113</v>
      </c>
    </row>
    <row r="3241" spans="1:23" hidden="1" x14ac:dyDescent="0.25">
      <c r="A3241" s="7" t="str">
        <f>IFERROR(VLOOKUP(H3241,'Contas Orç'!A:B,2,0),"N/A")</f>
        <v>ALUGUEIS, ARREND. E CONDOMINIOS</v>
      </c>
      <c r="B3241" s="7" t="str">
        <f t="shared" si="100"/>
        <v>330401 - ALUGUEIS, ARREND. E CONDOMINIOS</v>
      </c>
      <c r="C3241" s="25">
        <f t="shared" si="101"/>
        <v>44866</v>
      </c>
      <c r="D3241" s="27">
        <f>IF(K3241="CREDITO",Q3241,Q3241*-1)</f>
        <v>443.57</v>
      </c>
      <c r="E3241" t="s">
        <v>894</v>
      </c>
      <c r="F3241" t="s">
        <v>3736</v>
      </c>
      <c r="G3241" s="8">
        <v>44866</v>
      </c>
      <c r="H3241" t="s">
        <v>594</v>
      </c>
      <c r="I3241" t="s">
        <v>59</v>
      </c>
      <c r="J3241" t="s">
        <v>661</v>
      </c>
      <c r="K3241" t="s">
        <v>29</v>
      </c>
      <c r="L3241" t="s">
        <v>895</v>
      </c>
      <c r="M3241" t="s">
        <v>4402</v>
      </c>
      <c r="O3241" t="s">
        <v>896</v>
      </c>
      <c r="P3241" t="s">
        <v>33</v>
      </c>
      <c r="Q3241">
        <v>443.57</v>
      </c>
      <c r="R3241" t="s">
        <v>35</v>
      </c>
      <c r="S3241" t="s">
        <v>35</v>
      </c>
      <c r="T3241" t="s">
        <v>35</v>
      </c>
      <c r="U3241" t="s">
        <v>35</v>
      </c>
      <c r="V3241" t="s">
        <v>645</v>
      </c>
      <c r="W3241" t="s">
        <v>113</v>
      </c>
    </row>
    <row r="3242" spans="1:23" hidden="1" x14ac:dyDescent="0.25">
      <c r="A3242" s="7" t="str">
        <f>IFERROR(VLOOKUP(H3242,'Contas Orç'!A:B,2,0),"N/A")</f>
        <v>ALUGUEIS, ARREND. E CONDOMINIOS</v>
      </c>
      <c r="B3242" s="7" t="str">
        <f t="shared" si="100"/>
        <v>330401 - ALUGUEIS, ARREND. E CONDOMINIOS</v>
      </c>
      <c r="C3242" s="25">
        <f t="shared" si="101"/>
        <v>44866</v>
      </c>
      <c r="D3242" s="27">
        <f>IF(K3242="CREDITO",Q3242,Q3242*-1)</f>
        <v>20402</v>
      </c>
      <c r="E3242" t="s">
        <v>894</v>
      </c>
      <c r="F3242" t="s">
        <v>3737</v>
      </c>
      <c r="G3242" s="8">
        <v>44866</v>
      </c>
      <c r="H3242" t="s">
        <v>594</v>
      </c>
      <c r="I3242" t="s">
        <v>40</v>
      </c>
      <c r="J3242" t="s">
        <v>54</v>
      </c>
      <c r="K3242" t="s">
        <v>29</v>
      </c>
      <c r="L3242" t="s">
        <v>895</v>
      </c>
      <c r="M3242" t="s">
        <v>4402</v>
      </c>
      <c r="O3242" t="s">
        <v>896</v>
      </c>
      <c r="P3242" t="s">
        <v>33</v>
      </c>
      <c r="Q3242" s="22">
        <v>20402</v>
      </c>
      <c r="R3242" t="s">
        <v>35</v>
      </c>
      <c r="S3242" t="s">
        <v>35</v>
      </c>
      <c r="T3242" t="s">
        <v>35</v>
      </c>
      <c r="U3242" t="s">
        <v>35</v>
      </c>
      <c r="V3242" t="s">
        <v>645</v>
      </c>
      <c r="W3242" t="s">
        <v>113</v>
      </c>
    </row>
    <row r="3243" spans="1:23" hidden="1" x14ac:dyDescent="0.25">
      <c r="A3243" s="7" t="str">
        <f>IFERROR(VLOOKUP(H3243,'Contas Orç'!A:B,2,0),"N/A")</f>
        <v>ALUGUEIS, ARREND. E CONDOMINIOS</v>
      </c>
      <c r="B3243" s="7" t="str">
        <f t="shared" si="100"/>
        <v>330401 - ALUGUEIS, ARREND. E CONDOMINIOS</v>
      </c>
      <c r="C3243" s="25">
        <f t="shared" si="101"/>
        <v>44896</v>
      </c>
      <c r="D3243" s="27">
        <f>IF(K3243="CREDITO",Q3243,Q3243*-1)</f>
        <v>448.01</v>
      </c>
      <c r="E3243" t="s">
        <v>894</v>
      </c>
      <c r="F3243" t="s">
        <v>3738</v>
      </c>
      <c r="G3243" s="8">
        <v>44896</v>
      </c>
      <c r="H3243" t="s">
        <v>594</v>
      </c>
      <c r="I3243" t="s">
        <v>59</v>
      </c>
      <c r="J3243" t="s">
        <v>661</v>
      </c>
      <c r="K3243" t="s">
        <v>29</v>
      </c>
      <c r="L3243" t="s">
        <v>895</v>
      </c>
      <c r="M3243" t="s">
        <v>4402</v>
      </c>
      <c r="O3243" t="s">
        <v>896</v>
      </c>
      <c r="P3243" t="s">
        <v>33</v>
      </c>
      <c r="Q3243">
        <v>448.01</v>
      </c>
      <c r="R3243" t="s">
        <v>35</v>
      </c>
      <c r="S3243" t="s">
        <v>35</v>
      </c>
      <c r="T3243" t="s">
        <v>35</v>
      </c>
      <c r="U3243" t="s">
        <v>35</v>
      </c>
      <c r="V3243" t="s">
        <v>645</v>
      </c>
      <c r="W3243" t="s">
        <v>113</v>
      </c>
    </row>
    <row r="3244" spans="1:23" hidden="1" x14ac:dyDescent="0.25">
      <c r="A3244" s="7" t="str">
        <f>IFERROR(VLOOKUP(H3244,'Contas Orç'!A:B,2,0),"N/A")</f>
        <v>ALUGUEIS, ARREND. E CONDOMINIOS</v>
      </c>
      <c r="B3244" s="7" t="str">
        <f t="shared" si="100"/>
        <v>330401 - ALUGUEIS, ARREND. E CONDOMINIOS</v>
      </c>
      <c r="C3244" s="25">
        <f t="shared" si="101"/>
        <v>44896</v>
      </c>
      <c r="D3244" s="27">
        <f>IF(K3244="CREDITO",Q3244,Q3244*-1)</f>
        <v>20606.02</v>
      </c>
      <c r="E3244" t="s">
        <v>894</v>
      </c>
      <c r="F3244" t="s">
        <v>3739</v>
      </c>
      <c r="G3244" s="8">
        <v>44896</v>
      </c>
      <c r="H3244" t="s">
        <v>594</v>
      </c>
      <c r="I3244" t="s">
        <v>40</v>
      </c>
      <c r="J3244" t="s">
        <v>54</v>
      </c>
      <c r="K3244" t="s">
        <v>29</v>
      </c>
      <c r="L3244" t="s">
        <v>895</v>
      </c>
      <c r="M3244" t="s">
        <v>4402</v>
      </c>
      <c r="O3244" t="s">
        <v>896</v>
      </c>
      <c r="P3244" t="s">
        <v>33</v>
      </c>
      <c r="Q3244" s="22">
        <v>20606.02</v>
      </c>
      <c r="R3244" t="s">
        <v>35</v>
      </c>
      <c r="S3244" t="s">
        <v>35</v>
      </c>
      <c r="T3244" t="s">
        <v>35</v>
      </c>
      <c r="U3244" t="s">
        <v>35</v>
      </c>
      <c r="V3244" t="s">
        <v>645</v>
      </c>
      <c r="W3244" t="s">
        <v>113</v>
      </c>
    </row>
    <row r="3245" spans="1:23" hidden="1" x14ac:dyDescent="0.25">
      <c r="A3245" s="7" t="str">
        <f>IFERROR(VLOOKUP(H3245,'Contas Orç'!A:B,2,0),"N/A")</f>
        <v>UTILIDADES</v>
      </c>
      <c r="B3245" s="7" t="str">
        <f t="shared" si="100"/>
        <v>330402 - UTILIDADES</v>
      </c>
      <c r="C3245" s="25">
        <f t="shared" si="101"/>
        <v>44621</v>
      </c>
      <c r="D3245" s="27">
        <f>IF(K3245="CREDITO",Q3245,Q3245*-1)</f>
        <v>2461.4499999999998</v>
      </c>
      <c r="E3245" t="s">
        <v>894</v>
      </c>
      <c r="F3245" t="s">
        <v>3740</v>
      </c>
      <c r="G3245" s="8">
        <v>44621</v>
      </c>
      <c r="H3245" t="s">
        <v>595</v>
      </c>
      <c r="I3245" t="s">
        <v>40</v>
      </c>
      <c r="J3245" t="s">
        <v>54</v>
      </c>
      <c r="K3245" t="s">
        <v>29</v>
      </c>
      <c r="L3245" t="s">
        <v>895</v>
      </c>
      <c r="M3245" t="s">
        <v>4402</v>
      </c>
      <c r="O3245" t="s">
        <v>896</v>
      </c>
      <c r="P3245" t="s">
        <v>33</v>
      </c>
      <c r="Q3245" s="22">
        <v>2461.4499999999998</v>
      </c>
      <c r="R3245" t="s">
        <v>35</v>
      </c>
      <c r="S3245" t="s">
        <v>35</v>
      </c>
      <c r="T3245" t="s">
        <v>35</v>
      </c>
      <c r="U3245" t="s">
        <v>35</v>
      </c>
      <c r="V3245" t="s">
        <v>645</v>
      </c>
      <c r="W3245" t="s">
        <v>113</v>
      </c>
    </row>
    <row r="3246" spans="1:23" hidden="1" x14ac:dyDescent="0.25">
      <c r="A3246" s="7" t="str">
        <f>IFERROR(VLOOKUP(H3246,'Contas Orç'!A:B,2,0),"N/A")</f>
        <v>UTILIDADES</v>
      </c>
      <c r="B3246" s="7" t="str">
        <f t="shared" si="100"/>
        <v>330402 - UTILIDADES</v>
      </c>
      <c r="C3246" s="25">
        <f t="shared" si="101"/>
        <v>44713</v>
      </c>
      <c r="D3246" s="27">
        <f>IF(K3246="CREDITO",Q3246,Q3246*-1)</f>
        <v>334.18</v>
      </c>
      <c r="E3246" t="s">
        <v>894</v>
      </c>
      <c r="F3246" t="s">
        <v>3741</v>
      </c>
      <c r="G3246" s="8">
        <v>44713</v>
      </c>
      <c r="H3246" t="s">
        <v>595</v>
      </c>
      <c r="I3246" t="s">
        <v>68</v>
      </c>
      <c r="J3246" t="s">
        <v>69</v>
      </c>
      <c r="K3246" t="s">
        <v>29</v>
      </c>
      <c r="L3246" t="s">
        <v>895</v>
      </c>
      <c r="M3246" t="s">
        <v>4402</v>
      </c>
      <c r="O3246" t="s">
        <v>896</v>
      </c>
      <c r="P3246" t="s">
        <v>33</v>
      </c>
      <c r="Q3246">
        <v>334.18</v>
      </c>
      <c r="R3246" t="s">
        <v>35</v>
      </c>
      <c r="S3246" t="s">
        <v>35</v>
      </c>
      <c r="T3246" t="s">
        <v>35</v>
      </c>
      <c r="U3246" t="s">
        <v>35</v>
      </c>
      <c r="V3246" t="s">
        <v>645</v>
      </c>
      <c r="W3246" t="s">
        <v>113</v>
      </c>
    </row>
    <row r="3247" spans="1:23" hidden="1" x14ac:dyDescent="0.25">
      <c r="A3247" s="7" t="str">
        <f>IFERROR(VLOOKUP(H3247,'Contas Orç'!A:B,2,0),"N/A")</f>
        <v>UTILIDADES</v>
      </c>
      <c r="B3247" s="7" t="str">
        <f t="shared" si="100"/>
        <v>330402 - UTILIDADES</v>
      </c>
      <c r="C3247" s="25">
        <f t="shared" si="101"/>
        <v>44743</v>
      </c>
      <c r="D3247" s="27">
        <f>IF(K3247="CREDITO",Q3247,Q3247*-1)</f>
        <v>4468.58</v>
      </c>
      <c r="E3247" t="s">
        <v>894</v>
      </c>
      <c r="F3247" t="s">
        <v>3742</v>
      </c>
      <c r="G3247" s="8">
        <v>44743</v>
      </c>
      <c r="H3247" t="s">
        <v>595</v>
      </c>
      <c r="I3247" t="s">
        <v>40</v>
      </c>
      <c r="J3247" t="s">
        <v>54</v>
      </c>
      <c r="K3247" t="s">
        <v>29</v>
      </c>
      <c r="L3247" t="s">
        <v>895</v>
      </c>
      <c r="M3247" t="s">
        <v>4402</v>
      </c>
      <c r="O3247" t="s">
        <v>896</v>
      </c>
      <c r="P3247" t="s">
        <v>33</v>
      </c>
      <c r="Q3247" s="22">
        <v>4468.58</v>
      </c>
      <c r="R3247" t="s">
        <v>35</v>
      </c>
      <c r="S3247" t="s">
        <v>35</v>
      </c>
      <c r="T3247" t="s">
        <v>35</v>
      </c>
      <c r="U3247" t="s">
        <v>35</v>
      </c>
      <c r="V3247" t="s">
        <v>645</v>
      </c>
      <c r="W3247" t="s">
        <v>113</v>
      </c>
    </row>
    <row r="3248" spans="1:23" hidden="1" x14ac:dyDescent="0.25">
      <c r="A3248" s="7" t="str">
        <f>IFERROR(VLOOKUP(H3248,'Contas Orç'!A:B,2,0),"N/A")</f>
        <v>UTILIDADES</v>
      </c>
      <c r="B3248" s="7" t="str">
        <f t="shared" si="100"/>
        <v>330402 - UTILIDADES</v>
      </c>
      <c r="C3248" s="25">
        <f t="shared" si="101"/>
        <v>44774</v>
      </c>
      <c r="D3248" s="27">
        <f>IF(K3248="CREDITO",Q3248,Q3248*-1)</f>
        <v>241.37</v>
      </c>
      <c r="E3248" t="s">
        <v>894</v>
      </c>
      <c r="F3248" t="s">
        <v>3743</v>
      </c>
      <c r="G3248" s="8">
        <v>44774</v>
      </c>
      <c r="H3248" t="s">
        <v>595</v>
      </c>
      <c r="I3248" t="s">
        <v>68</v>
      </c>
      <c r="J3248" t="s">
        <v>69</v>
      </c>
      <c r="K3248" t="s">
        <v>29</v>
      </c>
      <c r="L3248" t="s">
        <v>895</v>
      </c>
      <c r="M3248" t="s">
        <v>4402</v>
      </c>
      <c r="O3248" t="s">
        <v>896</v>
      </c>
      <c r="P3248" t="s">
        <v>33</v>
      </c>
      <c r="Q3248">
        <v>241.37</v>
      </c>
      <c r="R3248" t="s">
        <v>35</v>
      </c>
      <c r="S3248" t="s">
        <v>35</v>
      </c>
      <c r="T3248" t="s">
        <v>35</v>
      </c>
      <c r="U3248" t="s">
        <v>35</v>
      </c>
      <c r="V3248" t="s">
        <v>645</v>
      </c>
      <c r="W3248" t="s">
        <v>113</v>
      </c>
    </row>
    <row r="3249" spans="1:23" hidden="1" x14ac:dyDescent="0.25">
      <c r="A3249" s="7" t="str">
        <f>IFERROR(VLOOKUP(H3249,'Contas Orç'!A:B,2,0),"N/A")</f>
        <v>UTILIDADES</v>
      </c>
      <c r="B3249" s="7" t="str">
        <f t="shared" si="100"/>
        <v>330402 - UTILIDADES</v>
      </c>
      <c r="C3249" s="25">
        <f t="shared" si="101"/>
        <v>44774</v>
      </c>
      <c r="D3249" s="27">
        <f>IF(K3249="CREDITO",Q3249,Q3249*-1)</f>
        <v>4768.78</v>
      </c>
      <c r="E3249" t="s">
        <v>894</v>
      </c>
      <c r="F3249" t="s">
        <v>3744</v>
      </c>
      <c r="G3249" s="8">
        <v>44774</v>
      </c>
      <c r="H3249" t="s">
        <v>595</v>
      </c>
      <c r="I3249" t="s">
        <v>40</v>
      </c>
      <c r="J3249" t="s">
        <v>54</v>
      </c>
      <c r="K3249" t="s">
        <v>29</v>
      </c>
      <c r="L3249" t="s">
        <v>895</v>
      </c>
      <c r="M3249" t="s">
        <v>4402</v>
      </c>
      <c r="O3249" t="s">
        <v>896</v>
      </c>
      <c r="P3249" t="s">
        <v>33</v>
      </c>
      <c r="Q3249" s="22">
        <v>4768.78</v>
      </c>
      <c r="R3249" t="s">
        <v>35</v>
      </c>
      <c r="S3249" t="s">
        <v>35</v>
      </c>
      <c r="T3249" t="s">
        <v>35</v>
      </c>
      <c r="U3249" t="s">
        <v>35</v>
      </c>
      <c r="V3249" t="s">
        <v>645</v>
      </c>
      <c r="W3249" t="s">
        <v>113</v>
      </c>
    </row>
    <row r="3250" spans="1:23" hidden="1" x14ac:dyDescent="0.25">
      <c r="A3250" s="7" t="str">
        <f>IFERROR(VLOOKUP(H3250,'Contas Orç'!A:B,2,0),"N/A")</f>
        <v>UTILIDADES</v>
      </c>
      <c r="B3250" s="7" t="str">
        <f t="shared" si="100"/>
        <v>330402 - UTILIDADES</v>
      </c>
      <c r="C3250" s="25">
        <f t="shared" si="101"/>
        <v>44805</v>
      </c>
      <c r="D3250" s="27">
        <f>IF(K3250="CREDITO",Q3250,Q3250*-1)</f>
        <v>2144.25</v>
      </c>
      <c r="E3250" t="s">
        <v>894</v>
      </c>
      <c r="F3250" t="s">
        <v>3745</v>
      </c>
      <c r="G3250" s="8">
        <v>44805</v>
      </c>
      <c r="H3250" t="s">
        <v>595</v>
      </c>
      <c r="I3250" t="s">
        <v>40</v>
      </c>
      <c r="J3250" t="s">
        <v>54</v>
      </c>
      <c r="K3250" t="s">
        <v>29</v>
      </c>
      <c r="L3250" t="s">
        <v>895</v>
      </c>
      <c r="M3250" t="s">
        <v>4402</v>
      </c>
      <c r="O3250" t="s">
        <v>896</v>
      </c>
      <c r="P3250" t="s">
        <v>33</v>
      </c>
      <c r="Q3250" s="22">
        <v>2144.25</v>
      </c>
      <c r="R3250" t="s">
        <v>35</v>
      </c>
      <c r="S3250" t="s">
        <v>35</v>
      </c>
      <c r="T3250" t="s">
        <v>35</v>
      </c>
      <c r="U3250" t="s">
        <v>35</v>
      </c>
      <c r="V3250" t="s">
        <v>645</v>
      </c>
      <c r="W3250" t="s">
        <v>113</v>
      </c>
    </row>
    <row r="3251" spans="1:23" hidden="1" x14ac:dyDescent="0.25">
      <c r="A3251" s="7" t="str">
        <f>IFERROR(VLOOKUP(H3251,'Contas Orç'!A:B,2,0),"N/A")</f>
        <v>UTILIDADES</v>
      </c>
      <c r="B3251" s="7" t="str">
        <f t="shared" si="100"/>
        <v>330402 - UTILIDADES</v>
      </c>
      <c r="C3251" s="25">
        <f t="shared" si="101"/>
        <v>44835</v>
      </c>
      <c r="D3251" s="27">
        <f>IF(K3251="CREDITO",Q3251,Q3251*-1)</f>
        <v>2165.69</v>
      </c>
      <c r="E3251" t="s">
        <v>894</v>
      </c>
      <c r="F3251" t="s">
        <v>3746</v>
      </c>
      <c r="G3251" s="8">
        <v>44835</v>
      </c>
      <c r="H3251" t="s">
        <v>595</v>
      </c>
      <c r="I3251" t="s">
        <v>40</v>
      </c>
      <c r="J3251" t="s">
        <v>54</v>
      </c>
      <c r="K3251" t="s">
        <v>29</v>
      </c>
      <c r="L3251" t="s">
        <v>895</v>
      </c>
      <c r="M3251" t="s">
        <v>4402</v>
      </c>
      <c r="O3251" t="s">
        <v>896</v>
      </c>
      <c r="P3251" t="s">
        <v>33</v>
      </c>
      <c r="Q3251" s="22">
        <v>2165.69</v>
      </c>
      <c r="R3251" t="s">
        <v>35</v>
      </c>
      <c r="S3251" t="s">
        <v>35</v>
      </c>
      <c r="T3251" t="s">
        <v>35</v>
      </c>
      <c r="U3251" t="s">
        <v>35</v>
      </c>
      <c r="V3251" t="s">
        <v>645</v>
      </c>
      <c r="W3251" t="s">
        <v>113</v>
      </c>
    </row>
    <row r="3252" spans="1:23" hidden="1" x14ac:dyDescent="0.25">
      <c r="A3252" s="7" t="str">
        <f>IFERROR(VLOOKUP(H3252,'Contas Orç'!A:B,2,0),"N/A")</f>
        <v>UTILIDADES</v>
      </c>
      <c r="B3252" s="7" t="str">
        <f t="shared" si="100"/>
        <v>330402 - UTILIDADES</v>
      </c>
      <c r="C3252" s="25">
        <f t="shared" si="101"/>
        <v>44866</v>
      </c>
      <c r="D3252" s="27">
        <f>IF(K3252="CREDITO",Q3252,Q3252*-1)</f>
        <v>2187.35</v>
      </c>
      <c r="E3252" t="s">
        <v>894</v>
      </c>
      <c r="F3252" t="s">
        <v>3747</v>
      </c>
      <c r="G3252" s="8">
        <v>44866</v>
      </c>
      <c r="H3252" t="s">
        <v>595</v>
      </c>
      <c r="I3252" t="s">
        <v>40</v>
      </c>
      <c r="J3252" t="s">
        <v>54</v>
      </c>
      <c r="K3252" t="s">
        <v>29</v>
      </c>
      <c r="L3252" t="s">
        <v>895</v>
      </c>
      <c r="M3252" t="s">
        <v>4402</v>
      </c>
      <c r="O3252" t="s">
        <v>896</v>
      </c>
      <c r="P3252" t="s">
        <v>33</v>
      </c>
      <c r="Q3252" s="22">
        <v>2187.35</v>
      </c>
      <c r="R3252" t="s">
        <v>35</v>
      </c>
      <c r="S3252" t="s">
        <v>35</v>
      </c>
      <c r="T3252" t="s">
        <v>35</v>
      </c>
      <c r="U3252" t="s">
        <v>35</v>
      </c>
      <c r="V3252" t="s">
        <v>645</v>
      </c>
      <c r="W3252" t="s">
        <v>113</v>
      </c>
    </row>
    <row r="3253" spans="1:23" hidden="1" x14ac:dyDescent="0.25">
      <c r="A3253" s="7" t="str">
        <f>IFERROR(VLOOKUP(H3253,'Contas Orç'!A:B,2,0),"N/A")</f>
        <v>UTILIDADES</v>
      </c>
      <c r="B3253" s="7" t="str">
        <f t="shared" si="100"/>
        <v>330402 - UTILIDADES</v>
      </c>
      <c r="C3253" s="25">
        <f t="shared" si="101"/>
        <v>44896</v>
      </c>
      <c r="D3253" s="27">
        <f>IF(K3253="CREDITO",Q3253,Q3253*-1)</f>
        <v>2209.2199999999998</v>
      </c>
      <c r="E3253" t="s">
        <v>894</v>
      </c>
      <c r="F3253" t="s">
        <v>3748</v>
      </c>
      <c r="G3253" s="8">
        <v>44896</v>
      </c>
      <c r="H3253" t="s">
        <v>595</v>
      </c>
      <c r="I3253" t="s">
        <v>40</v>
      </c>
      <c r="J3253" t="s">
        <v>54</v>
      </c>
      <c r="K3253" t="s">
        <v>29</v>
      </c>
      <c r="L3253" t="s">
        <v>895</v>
      </c>
      <c r="M3253" t="s">
        <v>4402</v>
      </c>
      <c r="O3253" t="s">
        <v>896</v>
      </c>
      <c r="P3253" t="s">
        <v>33</v>
      </c>
      <c r="Q3253" s="22">
        <v>2209.2199999999998</v>
      </c>
      <c r="R3253" t="s">
        <v>35</v>
      </c>
      <c r="S3253" t="s">
        <v>35</v>
      </c>
      <c r="T3253" t="s">
        <v>35</v>
      </c>
      <c r="U3253" t="s">
        <v>35</v>
      </c>
      <c r="V3253" t="s">
        <v>645</v>
      </c>
      <c r="W3253" t="s">
        <v>113</v>
      </c>
    </row>
    <row r="3254" spans="1:23" hidden="1" x14ac:dyDescent="0.25">
      <c r="A3254" s="7" t="str">
        <f>IFERROR(VLOOKUP(H3254,'Contas Orç'!A:B,2,0),"N/A")</f>
        <v>COMUNICACAO</v>
      </c>
      <c r="B3254" s="7" t="str">
        <f t="shared" si="100"/>
        <v>330403 - COMUNICACAO</v>
      </c>
      <c r="C3254" s="25">
        <f t="shared" si="101"/>
        <v>44562</v>
      </c>
      <c r="D3254" s="27">
        <f>IF(K3254="CREDITO",Q3254,Q3254*-1)</f>
        <v>2515.36</v>
      </c>
      <c r="E3254" t="s">
        <v>894</v>
      </c>
      <c r="F3254" t="s">
        <v>3749</v>
      </c>
      <c r="G3254" s="8">
        <v>44562</v>
      </c>
      <c r="H3254" t="s">
        <v>596</v>
      </c>
      <c r="I3254" t="s">
        <v>2062</v>
      </c>
      <c r="J3254" t="s">
        <v>54</v>
      </c>
      <c r="K3254" t="s">
        <v>29</v>
      </c>
      <c r="L3254" t="s">
        <v>895</v>
      </c>
      <c r="M3254" t="s">
        <v>4402</v>
      </c>
      <c r="O3254" t="s">
        <v>896</v>
      </c>
      <c r="P3254" t="s">
        <v>33</v>
      </c>
      <c r="Q3254" s="22">
        <v>2515.36</v>
      </c>
      <c r="R3254" t="s">
        <v>35</v>
      </c>
      <c r="S3254" t="s">
        <v>35</v>
      </c>
      <c r="T3254" t="s">
        <v>35</v>
      </c>
      <c r="U3254" t="s">
        <v>35</v>
      </c>
      <c r="V3254" t="s">
        <v>645</v>
      </c>
      <c r="W3254" t="s">
        <v>113</v>
      </c>
    </row>
    <row r="3255" spans="1:23" hidden="1" x14ac:dyDescent="0.25">
      <c r="A3255" s="7" t="str">
        <f>IFERROR(VLOOKUP(H3255,'Contas Orç'!A:B,2,0),"N/A")</f>
        <v>COMUNICACAO</v>
      </c>
      <c r="B3255" s="7" t="str">
        <f t="shared" si="100"/>
        <v>330403 - COMUNICACAO</v>
      </c>
      <c r="C3255" s="25">
        <f t="shared" si="101"/>
        <v>44562</v>
      </c>
      <c r="D3255" s="27">
        <f>IF(K3255="CREDITO",Q3255,Q3255*-1)</f>
        <v>11765.98</v>
      </c>
      <c r="E3255" t="s">
        <v>894</v>
      </c>
      <c r="F3255" t="s">
        <v>3750</v>
      </c>
      <c r="G3255" s="8">
        <v>44562</v>
      </c>
      <c r="H3255" t="s">
        <v>596</v>
      </c>
      <c r="I3255" t="s">
        <v>40</v>
      </c>
      <c r="J3255" t="s">
        <v>54</v>
      </c>
      <c r="K3255" t="s">
        <v>29</v>
      </c>
      <c r="L3255" t="s">
        <v>895</v>
      </c>
      <c r="M3255" t="s">
        <v>4402</v>
      </c>
      <c r="O3255" t="s">
        <v>896</v>
      </c>
      <c r="P3255" t="s">
        <v>33</v>
      </c>
      <c r="Q3255" s="22">
        <v>11765.98</v>
      </c>
      <c r="R3255" t="s">
        <v>35</v>
      </c>
      <c r="S3255" t="s">
        <v>35</v>
      </c>
      <c r="T3255" t="s">
        <v>35</v>
      </c>
      <c r="U3255" t="s">
        <v>35</v>
      </c>
      <c r="V3255" t="s">
        <v>645</v>
      </c>
      <c r="W3255" t="s">
        <v>113</v>
      </c>
    </row>
    <row r="3256" spans="1:23" hidden="1" x14ac:dyDescent="0.25">
      <c r="A3256" s="7" t="str">
        <f>IFERROR(VLOOKUP(H3256,'Contas Orç'!A:B,2,0),"N/A")</f>
        <v>COMUNICACAO</v>
      </c>
      <c r="B3256" s="7" t="str">
        <f t="shared" si="100"/>
        <v>330403 - COMUNICACAO</v>
      </c>
      <c r="C3256" s="25">
        <f t="shared" si="101"/>
        <v>44593</v>
      </c>
      <c r="D3256" s="27">
        <f>IF(K3256="CREDITO",Q3256,Q3256*-1)</f>
        <v>1977.99</v>
      </c>
      <c r="E3256" t="s">
        <v>894</v>
      </c>
      <c r="F3256" t="s">
        <v>3751</v>
      </c>
      <c r="G3256" s="8">
        <v>44593</v>
      </c>
      <c r="H3256" t="s">
        <v>596</v>
      </c>
      <c r="I3256" t="s">
        <v>2062</v>
      </c>
      <c r="J3256" t="s">
        <v>54</v>
      </c>
      <c r="K3256" t="s">
        <v>29</v>
      </c>
      <c r="L3256" t="s">
        <v>895</v>
      </c>
      <c r="M3256" t="s">
        <v>4402</v>
      </c>
      <c r="O3256" t="s">
        <v>896</v>
      </c>
      <c r="P3256" t="s">
        <v>33</v>
      </c>
      <c r="Q3256" s="22">
        <v>1977.99</v>
      </c>
      <c r="R3256" t="s">
        <v>35</v>
      </c>
      <c r="S3256" t="s">
        <v>35</v>
      </c>
      <c r="T3256" t="s">
        <v>35</v>
      </c>
      <c r="U3256" t="s">
        <v>35</v>
      </c>
      <c r="V3256" t="s">
        <v>645</v>
      </c>
      <c r="W3256" t="s">
        <v>113</v>
      </c>
    </row>
    <row r="3257" spans="1:23" hidden="1" x14ac:dyDescent="0.25">
      <c r="A3257" s="7" t="str">
        <f>IFERROR(VLOOKUP(H3257,'Contas Orç'!A:B,2,0),"N/A")</f>
        <v>COMUNICACAO</v>
      </c>
      <c r="B3257" s="7" t="str">
        <f t="shared" si="100"/>
        <v>330403 - COMUNICACAO</v>
      </c>
      <c r="C3257" s="25">
        <f t="shared" si="101"/>
        <v>44593</v>
      </c>
      <c r="D3257" s="27">
        <f>IF(K3257="CREDITO",Q3257,Q3257*-1)</f>
        <v>11612.43</v>
      </c>
      <c r="E3257" t="s">
        <v>894</v>
      </c>
      <c r="F3257" t="s">
        <v>3752</v>
      </c>
      <c r="G3257" s="8">
        <v>44593</v>
      </c>
      <c r="H3257" t="s">
        <v>596</v>
      </c>
      <c r="I3257" t="s">
        <v>40</v>
      </c>
      <c r="J3257" t="s">
        <v>54</v>
      </c>
      <c r="K3257" t="s">
        <v>29</v>
      </c>
      <c r="L3257" t="s">
        <v>895</v>
      </c>
      <c r="M3257" t="s">
        <v>4402</v>
      </c>
      <c r="O3257" t="s">
        <v>896</v>
      </c>
      <c r="P3257" t="s">
        <v>33</v>
      </c>
      <c r="Q3257" s="22">
        <v>11612.43</v>
      </c>
      <c r="R3257" t="s">
        <v>35</v>
      </c>
      <c r="S3257" t="s">
        <v>35</v>
      </c>
      <c r="T3257" t="s">
        <v>35</v>
      </c>
      <c r="U3257" t="s">
        <v>35</v>
      </c>
      <c r="V3257" t="s">
        <v>645</v>
      </c>
      <c r="W3257" t="s">
        <v>113</v>
      </c>
    </row>
    <row r="3258" spans="1:23" hidden="1" x14ac:dyDescent="0.25">
      <c r="A3258" s="7" t="str">
        <f>IFERROR(VLOOKUP(H3258,'Contas Orç'!A:B,2,0),"N/A")</f>
        <v>COMUNICACAO</v>
      </c>
      <c r="B3258" s="7" t="str">
        <f t="shared" si="100"/>
        <v>330403 - COMUNICACAO</v>
      </c>
      <c r="C3258" s="25">
        <f t="shared" si="101"/>
        <v>44593</v>
      </c>
      <c r="D3258" s="27">
        <f>IF(K3258="CREDITO",Q3258,Q3258*-1)</f>
        <v>218.23</v>
      </c>
      <c r="E3258" t="s">
        <v>894</v>
      </c>
      <c r="F3258" t="s">
        <v>3753</v>
      </c>
      <c r="G3258" s="8">
        <v>44593</v>
      </c>
      <c r="H3258" t="s">
        <v>596</v>
      </c>
      <c r="I3258" t="s">
        <v>53</v>
      </c>
      <c r="J3258" t="s">
        <v>54</v>
      </c>
      <c r="K3258" t="s">
        <v>29</v>
      </c>
      <c r="L3258" t="s">
        <v>895</v>
      </c>
      <c r="M3258" t="s">
        <v>4402</v>
      </c>
      <c r="O3258" t="s">
        <v>896</v>
      </c>
      <c r="P3258" t="s">
        <v>33</v>
      </c>
      <c r="Q3258">
        <v>218.23</v>
      </c>
      <c r="R3258" t="s">
        <v>35</v>
      </c>
      <c r="S3258" t="s">
        <v>35</v>
      </c>
      <c r="T3258" t="s">
        <v>35</v>
      </c>
      <c r="U3258" t="s">
        <v>35</v>
      </c>
      <c r="V3258" t="s">
        <v>645</v>
      </c>
      <c r="W3258" t="s">
        <v>113</v>
      </c>
    </row>
    <row r="3259" spans="1:23" hidden="1" x14ac:dyDescent="0.25">
      <c r="A3259" s="7" t="str">
        <f>IFERROR(VLOOKUP(H3259,'Contas Orç'!A:B,2,0),"N/A")</f>
        <v>COMUNICACAO</v>
      </c>
      <c r="B3259" s="7" t="str">
        <f t="shared" si="100"/>
        <v>330403 - COMUNICACAO</v>
      </c>
      <c r="C3259" s="25">
        <f t="shared" si="101"/>
        <v>44621</v>
      </c>
      <c r="D3259" s="27">
        <f>IF(K3259="CREDITO",Q3259,Q3259*-1)</f>
        <v>1977.99</v>
      </c>
      <c r="E3259" t="s">
        <v>894</v>
      </c>
      <c r="F3259" t="s">
        <v>3754</v>
      </c>
      <c r="G3259" s="8">
        <v>44621</v>
      </c>
      <c r="H3259" t="s">
        <v>596</v>
      </c>
      <c r="I3259" t="s">
        <v>2062</v>
      </c>
      <c r="J3259" t="s">
        <v>54</v>
      </c>
      <c r="K3259" t="s">
        <v>29</v>
      </c>
      <c r="L3259" t="s">
        <v>895</v>
      </c>
      <c r="M3259" t="s">
        <v>4402</v>
      </c>
      <c r="O3259" t="s">
        <v>896</v>
      </c>
      <c r="P3259" t="s">
        <v>33</v>
      </c>
      <c r="Q3259" s="22">
        <v>1977.99</v>
      </c>
      <c r="R3259" t="s">
        <v>35</v>
      </c>
      <c r="S3259" t="s">
        <v>35</v>
      </c>
      <c r="T3259" t="s">
        <v>35</v>
      </c>
      <c r="U3259" t="s">
        <v>35</v>
      </c>
      <c r="V3259" t="s">
        <v>645</v>
      </c>
      <c r="W3259" t="s">
        <v>113</v>
      </c>
    </row>
    <row r="3260" spans="1:23" hidden="1" x14ac:dyDescent="0.25">
      <c r="A3260" s="7" t="str">
        <f>IFERROR(VLOOKUP(H3260,'Contas Orç'!A:B,2,0),"N/A")</f>
        <v>COMUNICACAO</v>
      </c>
      <c r="B3260" s="7" t="str">
        <f t="shared" si="100"/>
        <v>330403 - COMUNICACAO</v>
      </c>
      <c r="C3260" s="25">
        <f t="shared" si="101"/>
        <v>44621</v>
      </c>
      <c r="D3260" s="27">
        <f>IF(K3260="CREDITO",Q3260,Q3260*-1)</f>
        <v>10785.64</v>
      </c>
      <c r="E3260" t="s">
        <v>894</v>
      </c>
      <c r="F3260" t="s">
        <v>3755</v>
      </c>
      <c r="G3260" s="8">
        <v>44621</v>
      </c>
      <c r="H3260" t="s">
        <v>596</v>
      </c>
      <c r="I3260" t="s">
        <v>40</v>
      </c>
      <c r="J3260" t="s">
        <v>54</v>
      </c>
      <c r="K3260" t="s">
        <v>29</v>
      </c>
      <c r="L3260" t="s">
        <v>895</v>
      </c>
      <c r="M3260" t="s">
        <v>4402</v>
      </c>
      <c r="O3260" t="s">
        <v>896</v>
      </c>
      <c r="P3260" t="s">
        <v>33</v>
      </c>
      <c r="Q3260" s="22">
        <v>10785.64</v>
      </c>
      <c r="R3260" t="s">
        <v>35</v>
      </c>
      <c r="S3260" t="s">
        <v>35</v>
      </c>
      <c r="T3260" t="s">
        <v>35</v>
      </c>
      <c r="U3260" t="s">
        <v>35</v>
      </c>
      <c r="V3260" t="s">
        <v>645</v>
      </c>
      <c r="W3260" t="s">
        <v>113</v>
      </c>
    </row>
    <row r="3261" spans="1:23" hidden="1" x14ac:dyDescent="0.25">
      <c r="A3261" s="7" t="str">
        <f>IFERROR(VLOOKUP(H3261,'Contas Orç'!A:B,2,0),"N/A")</f>
        <v>COMUNICACAO</v>
      </c>
      <c r="B3261" s="7" t="str">
        <f t="shared" si="100"/>
        <v>330403 - COMUNICACAO</v>
      </c>
      <c r="C3261" s="25">
        <f t="shared" si="101"/>
        <v>44652</v>
      </c>
      <c r="D3261" s="27">
        <f>IF(K3261="CREDITO",Q3261,Q3261*-1)</f>
        <v>1868</v>
      </c>
      <c r="E3261" t="s">
        <v>894</v>
      </c>
      <c r="F3261" t="s">
        <v>3756</v>
      </c>
      <c r="G3261" s="8">
        <v>44652</v>
      </c>
      <c r="H3261" t="s">
        <v>596</v>
      </c>
      <c r="I3261" t="s">
        <v>2062</v>
      </c>
      <c r="J3261" t="s">
        <v>54</v>
      </c>
      <c r="K3261" t="s">
        <v>29</v>
      </c>
      <c r="L3261" t="s">
        <v>895</v>
      </c>
      <c r="M3261" t="s">
        <v>4402</v>
      </c>
      <c r="O3261" t="s">
        <v>896</v>
      </c>
      <c r="P3261" t="s">
        <v>33</v>
      </c>
      <c r="Q3261" s="22">
        <v>1868</v>
      </c>
      <c r="R3261" t="s">
        <v>35</v>
      </c>
      <c r="S3261" t="s">
        <v>35</v>
      </c>
      <c r="T3261" t="s">
        <v>35</v>
      </c>
      <c r="U3261" t="s">
        <v>35</v>
      </c>
      <c r="V3261" t="s">
        <v>645</v>
      </c>
      <c r="W3261" t="s">
        <v>113</v>
      </c>
    </row>
    <row r="3262" spans="1:23" hidden="1" x14ac:dyDescent="0.25">
      <c r="A3262" s="7" t="str">
        <f>IFERROR(VLOOKUP(H3262,'Contas Orç'!A:B,2,0),"N/A")</f>
        <v>COMUNICACAO</v>
      </c>
      <c r="B3262" s="7" t="str">
        <f t="shared" si="100"/>
        <v>330403 - COMUNICACAO</v>
      </c>
      <c r="C3262" s="25">
        <f t="shared" si="101"/>
        <v>44652</v>
      </c>
      <c r="D3262" s="27">
        <f>IF(K3262="CREDITO",Q3262,Q3262*-1)</f>
        <v>10933.99</v>
      </c>
      <c r="E3262" t="s">
        <v>894</v>
      </c>
      <c r="F3262" t="s">
        <v>3757</v>
      </c>
      <c r="G3262" s="8">
        <v>44652</v>
      </c>
      <c r="H3262" t="s">
        <v>596</v>
      </c>
      <c r="I3262" t="s">
        <v>40</v>
      </c>
      <c r="J3262" t="s">
        <v>54</v>
      </c>
      <c r="K3262" t="s">
        <v>29</v>
      </c>
      <c r="L3262" t="s">
        <v>895</v>
      </c>
      <c r="M3262" t="s">
        <v>4402</v>
      </c>
      <c r="O3262" t="s">
        <v>896</v>
      </c>
      <c r="P3262" t="s">
        <v>33</v>
      </c>
      <c r="Q3262" s="22">
        <v>10933.99</v>
      </c>
      <c r="R3262" t="s">
        <v>35</v>
      </c>
      <c r="S3262" t="s">
        <v>35</v>
      </c>
      <c r="T3262" t="s">
        <v>35</v>
      </c>
      <c r="U3262" t="s">
        <v>35</v>
      </c>
      <c r="V3262" t="s">
        <v>645</v>
      </c>
      <c r="W3262" t="s">
        <v>113</v>
      </c>
    </row>
    <row r="3263" spans="1:23" hidden="1" x14ac:dyDescent="0.25">
      <c r="A3263" s="7" t="str">
        <f>IFERROR(VLOOKUP(H3263,'Contas Orç'!A:B,2,0),"N/A")</f>
        <v>COMUNICACAO</v>
      </c>
      <c r="B3263" s="7" t="str">
        <f t="shared" si="100"/>
        <v>330403 - COMUNICACAO</v>
      </c>
      <c r="C3263" s="25">
        <f t="shared" si="101"/>
        <v>44652</v>
      </c>
      <c r="D3263" s="27">
        <f>IF(K3263="CREDITO",Q3263,Q3263*-1)</f>
        <v>218.23</v>
      </c>
      <c r="E3263" t="s">
        <v>894</v>
      </c>
      <c r="F3263" t="s">
        <v>3758</v>
      </c>
      <c r="G3263" s="8">
        <v>44652</v>
      </c>
      <c r="H3263" t="s">
        <v>596</v>
      </c>
      <c r="I3263" t="s">
        <v>53</v>
      </c>
      <c r="J3263" t="s">
        <v>54</v>
      </c>
      <c r="K3263" t="s">
        <v>29</v>
      </c>
      <c r="L3263" t="s">
        <v>895</v>
      </c>
      <c r="M3263" t="s">
        <v>4402</v>
      </c>
      <c r="O3263" t="s">
        <v>896</v>
      </c>
      <c r="P3263" t="s">
        <v>33</v>
      </c>
      <c r="Q3263">
        <v>218.23</v>
      </c>
      <c r="R3263" t="s">
        <v>35</v>
      </c>
      <c r="S3263" t="s">
        <v>35</v>
      </c>
      <c r="T3263" t="s">
        <v>35</v>
      </c>
      <c r="U3263" t="s">
        <v>35</v>
      </c>
      <c r="V3263" t="s">
        <v>645</v>
      </c>
      <c r="W3263" t="s">
        <v>113</v>
      </c>
    </row>
    <row r="3264" spans="1:23" hidden="1" x14ac:dyDescent="0.25">
      <c r="A3264" s="7" t="str">
        <f>IFERROR(VLOOKUP(H3264,'Contas Orç'!A:B,2,0),"N/A")</f>
        <v>COMUNICACAO</v>
      </c>
      <c r="B3264" s="7" t="str">
        <f t="shared" si="100"/>
        <v>330403 - COMUNICACAO</v>
      </c>
      <c r="C3264" s="25">
        <f t="shared" si="101"/>
        <v>44682</v>
      </c>
      <c r="D3264" s="27">
        <f>IF(K3264="CREDITO",Q3264,Q3264*-1)</f>
        <v>2257.9499999999998</v>
      </c>
      <c r="E3264" t="s">
        <v>894</v>
      </c>
      <c r="F3264" t="s">
        <v>3759</v>
      </c>
      <c r="G3264" s="8">
        <v>44682</v>
      </c>
      <c r="H3264" t="s">
        <v>596</v>
      </c>
      <c r="I3264" t="s">
        <v>2062</v>
      </c>
      <c r="J3264" t="s">
        <v>54</v>
      </c>
      <c r="K3264" t="s">
        <v>29</v>
      </c>
      <c r="L3264" t="s">
        <v>895</v>
      </c>
      <c r="M3264" t="s">
        <v>4402</v>
      </c>
      <c r="O3264" t="s">
        <v>896</v>
      </c>
      <c r="P3264" t="s">
        <v>33</v>
      </c>
      <c r="Q3264" s="22">
        <v>2257.9499999999998</v>
      </c>
      <c r="R3264" t="s">
        <v>35</v>
      </c>
      <c r="S3264" t="s">
        <v>35</v>
      </c>
      <c r="T3264" t="s">
        <v>35</v>
      </c>
      <c r="U3264" t="s">
        <v>35</v>
      </c>
      <c r="V3264" t="s">
        <v>645</v>
      </c>
      <c r="W3264" t="s">
        <v>113</v>
      </c>
    </row>
    <row r="3265" spans="1:23" hidden="1" x14ac:dyDescent="0.25">
      <c r="A3265" s="7" t="str">
        <f>IFERROR(VLOOKUP(H3265,'Contas Orç'!A:B,2,0),"N/A")</f>
        <v>COMUNICACAO</v>
      </c>
      <c r="B3265" s="7" t="str">
        <f t="shared" si="100"/>
        <v>330403 - COMUNICACAO</v>
      </c>
      <c r="C3265" s="25">
        <f t="shared" si="101"/>
        <v>44682</v>
      </c>
      <c r="D3265" s="27">
        <f>IF(K3265="CREDITO",Q3265,Q3265*-1)</f>
        <v>8902.25</v>
      </c>
      <c r="E3265" t="s">
        <v>894</v>
      </c>
      <c r="F3265" t="s">
        <v>3760</v>
      </c>
      <c r="G3265" s="8">
        <v>44682</v>
      </c>
      <c r="H3265" t="s">
        <v>596</v>
      </c>
      <c r="I3265" t="s">
        <v>40</v>
      </c>
      <c r="J3265" t="s">
        <v>54</v>
      </c>
      <c r="K3265" t="s">
        <v>29</v>
      </c>
      <c r="L3265" t="s">
        <v>895</v>
      </c>
      <c r="M3265" t="s">
        <v>4402</v>
      </c>
      <c r="O3265" t="s">
        <v>896</v>
      </c>
      <c r="P3265" t="s">
        <v>33</v>
      </c>
      <c r="Q3265" s="22">
        <v>8902.25</v>
      </c>
      <c r="R3265" t="s">
        <v>35</v>
      </c>
      <c r="S3265" t="s">
        <v>35</v>
      </c>
      <c r="T3265" t="s">
        <v>35</v>
      </c>
      <c r="U3265" t="s">
        <v>35</v>
      </c>
      <c r="V3265" t="s">
        <v>645</v>
      </c>
      <c r="W3265" t="s">
        <v>113</v>
      </c>
    </row>
    <row r="3266" spans="1:23" hidden="1" x14ac:dyDescent="0.25">
      <c r="A3266" s="7" t="str">
        <f>IFERROR(VLOOKUP(H3266,'Contas Orç'!A:B,2,0),"N/A")</f>
        <v>COMUNICACAO</v>
      </c>
      <c r="B3266" s="7" t="str">
        <f t="shared" si="100"/>
        <v>330403 - COMUNICACAO</v>
      </c>
      <c r="C3266" s="25">
        <f t="shared" si="101"/>
        <v>44713</v>
      </c>
      <c r="D3266" s="27">
        <f>IF(K3266="CREDITO",Q3266,Q3266*-1)</f>
        <v>1977.99</v>
      </c>
      <c r="E3266" t="s">
        <v>894</v>
      </c>
      <c r="F3266" t="s">
        <v>3761</v>
      </c>
      <c r="G3266" s="8">
        <v>44713</v>
      </c>
      <c r="H3266" t="s">
        <v>596</v>
      </c>
      <c r="I3266" t="s">
        <v>2062</v>
      </c>
      <c r="J3266" t="s">
        <v>54</v>
      </c>
      <c r="K3266" t="s">
        <v>29</v>
      </c>
      <c r="L3266" t="s">
        <v>895</v>
      </c>
      <c r="M3266" t="s">
        <v>4402</v>
      </c>
      <c r="O3266" t="s">
        <v>896</v>
      </c>
      <c r="P3266" t="s">
        <v>33</v>
      </c>
      <c r="Q3266" s="22">
        <v>1977.99</v>
      </c>
      <c r="R3266" t="s">
        <v>35</v>
      </c>
      <c r="S3266" t="s">
        <v>35</v>
      </c>
      <c r="T3266" t="s">
        <v>35</v>
      </c>
      <c r="U3266" t="s">
        <v>35</v>
      </c>
      <c r="V3266" t="s">
        <v>645</v>
      </c>
      <c r="W3266" t="s">
        <v>113</v>
      </c>
    </row>
    <row r="3267" spans="1:23" hidden="1" x14ac:dyDescent="0.25">
      <c r="A3267" s="7" t="str">
        <f>IFERROR(VLOOKUP(H3267,'Contas Orç'!A:B,2,0),"N/A")</f>
        <v>COMUNICACAO</v>
      </c>
      <c r="B3267" s="7" t="str">
        <f t="shared" ref="B3267:B3330" si="102">_xlfn.CONCAT(H3267," - ",A3267)</f>
        <v>330403 - COMUNICACAO</v>
      </c>
      <c r="C3267" s="25">
        <f t="shared" ref="C3267:C3330" si="103">DATE(YEAR(G3267),MONTH(G3267),1)</f>
        <v>44713</v>
      </c>
      <c r="D3267" s="27">
        <f>IF(K3267="CREDITO",Q3267,Q3267*-1)</f>
        <v>12878.97</v>
      </c>
      <c r="E3267" t="s">
        <v>894</v>
      </c>
      <c r="F3267" t="s">
        <v>3762</v>
      </c>
      <c r="G3267" s="8">
        <v>44713</v>
      </c>
      <c r="H3267" t="s">
        <v>596</v>
      </c>
      <c r="I3267" t="s">
        <v>40</v>
      </c>
      <c r="J3267" t="s">
        <v>54</v>
      </c>
      <c r="K3267" t="s">
        <v>29</v>
      </c>
      <c r="L3267" t="s">
        <v>895</v>
      </c>
      <c r="M3267" t="s">
        <v>4402</v>
      </c>
      <c r="O3267" t="s">
        <v>896</v>
      </c>
      <c r="P3267" t="s">
        <v>33</v>
      </c>
      <c r="Q3267" s="22">
        <v>12878.97</v>
      </c>
      <c r="R3267" t="s">
        <v>35</v>
      </c>
      <c r="S3267" t="s">
        <v>35</v>
      </c>
      <c r="T3267" t="s">
        <v>35</v>
      </c>
      <c r="U3267" t="s">
        <v>35</v>
      </c>
      <c r="V3267" t="s">
        <v>645</v>
      </c>
      <c r="W3267" t="s">
        <v>113</v>
      </c>
    </row>
    <row r="3268" spans="1:23" hidden="1" x14ac:dyDescent="0.25">
      <c r="A3268" s="7" t="str">
        <f>IFERROR(VLOOKUP(H3268,'Contas Orç'!A:B,2,0),"N/A")</f>
        <v>COMUNICACAO</v>
      </c>
      <c r="B3268" s="7" t="str">
        <f t="shared" si="102"/>
        <v>330403 - COMUNICACAO</v>
      </c>
      <c r="C3268" s="25">
        <f t="shared" si="103"/>
        <v>44743</v>
      </c>
      <c r="D3268" s="27">
        <f>IF(K3268="CREDITO",Q3268,Q3268*-1)</f>
        <v>1977.99</v>
      </c>
      <c r="E3268" t="s">
        <v>894</v>
      </c>
      <c r="F3268" t="s">
        <v>3763</v>
      </c>
      <c r="G3268" s="8">
        <v>44743</v>
      </c>
      <c r="H3268" t="s">
        <v>596</v>
      </c>
      <c r="I3268" t="s">
        <v>2062</v>
      </c>
      <c r="J3268" t="s">
        <v>54</v>
      </c>
      <c r="K3268" t="s">
        <v>29</v>
      </c>
      <c r="L3268" t="s">
        <v>895</v>
      </c>
      <c r="M3268" t="s">
        <v>4402</v>
      </c>
      <c r="O3268" t="s">
        <v>896</v>
      </c>
      <c r="P3268" t="s">
        <v>33</v>
      </c>
      <c r="Q3268" s="22">
        <v>1977.99</v>
      </c>
      <c r="R3268" t="s">
        <v>35</v>
      </c>
      <c r="S3268" t="s">
        <v>35</v>
      </c>
      <c r="T3268" t="s">
        <v>35</v>
      </c>
      <c r="U3268" t="s">
        <v>35</v>
      </c>
      <c r="V3268" t="s">
        <v>645</v>
      </c>
      <c r="W3268" t="s">
        <v>113</v>
      </c>
    </row>
    <row r="3269" spans="1:23" hidden="1" x14ac:dyDescent="0.25">
      <c r="A3269" s="7" t="str">
        <f>IFERROR(VLOOKUP(H3269,'Contas Orç'!A:B,2,0),"N/A")</f>
        <v>COMUNICACAO</v>
      </c>
      <c r="B3269" s="7" t="str">
        <f t="shared" si="102"/>
        <v>330403 - COMUNICACAO</v>
      </c>
      <c r="C3269" s="25">
        <f t="shared" si="103"/>
        <v>44743</v>
      </c>
      <c r="D3269" s="27">
        <f>IF(K3269="CREDITO",Q3269,Q3269*-1)</f>
        <v>8813.82</v>
      </c>
      <c r="E3269" t="s">
        <v>894</v>
      </c>
      <c r="F3269" t="s">
        <v>3764</v>
      </c>
      <c r="G3269" s="8">
        <v>44743</v>
      </c>
      <c r="H3269" t="s">
        <v>596</v>
      </c>
      <c r="I3269" t="s">
        <v>40</v>
      </c>
      <c r="J3269" t="s">
        <v>54</v>
      </c>
      <c r="K3269" t="s">
        <v>29</v>
      </c>
      <c r="L3269" t="s">
        <v>895</v>
      </c>
      <c r="M3269" t="s">
        <v>4402</v>
      </c>
      <c r="O3269" t="s">
        <v>896</v>
      </c>
      <c r="P3269" t="s">
        <v>33</v>
      </c>
      <c r="Q3269" s="22">
        <v>8813.82</v>
      </c>
      <c r="R3269" t="s">
        <v>35</v>
      </c>
      <c r="S3269" t="s">
        <v>35</v>
      </c>
      <c r="T3269" t="s">
        <v>35</v>
      </c>
      <c r="U3269" t="s">
        <v>35</v>
      </c>
      <c r="V3269" t="s">
        <v>645</v>
      </c>
      <c r="W3269" t="s">
        <v>113</v>
      </c>
    </row>
    <row r="3270" spans="1:23" hidden="1" x14ac:dyDescent="0.25">
      <c r="A3270" s="7" t="str">
        <f>IFERROR(VLOOKUP(H3270,'Contas Orç'!A:B,2,0),"N/A")</f>
        <v>COMUNICACAO</v>
      </c>
      <c r="B3270" s="7" t="str">
        <f t="shared" si="102"/>
        <v>330403 - COMUNICACAO</v>
      </c>
      <c r="C3270" s="25">
        <f t="shared" si="103"/>
        <v>44774</v>
      </c>
      <c r="D3270" s="27">
        <f>IF(K3270="CREDITO",Q3270,Q3270*-1)</f>
        <v>1986.76</v>
      </c>
      <c r="E3270" t="s">
        <v>894</v>
      </c>
      <c r="F3270" t="s">
        <v>3765</v>
      </c>
      <c r="G3270" s="8">
        <v>44774</v>
      </c>
      <c r="H3270" t="s">
        <v>596</v>
      </c>
      <c r="I3270" t="s">
        <v>2062</v>
      </c>
      <c r="J3270" t="s">
        <v>54</v>
      </c>
      <c r="K3270" t="s">
        <v>29</v>
      </c>
      <c r="L3270" t="s">
        <v>895</v>
      </c>
      <c r="M3270" t="s">
        <v>4402</v>
      </c>
      <c r="O3270" t="s">
        <v>896</v>
      </c>
      <c r="P3270" t="s">
        <v>33</v>
      </c>
      <c r="Q3270" s="22">
        <v>1986.76</v>
      </c>
      <c r="R3270" t="s">
        <v>35</v>
      </c>
      <c r="S3270" t="s">
        <v>35</v>
      </c>
      <c r="T3270" t="s">
        <v>35</v>
      </c>
      <c r="U3270" t="s">
        <v>35</v>
      </c>
      <c r="V3270" t="s">
        <v>645</v>
      </c>
      <c r="W3270" t="s">
        <v>113</v>
      </c>
    </row>
    <row r="3271" spans="1:23" hidden="1" x14ac:dyDescent="0.25">
      <c r="A3271" s="7" t="str">
        <f>IFERROR(VLOOKUP(H3271,'Contas Orç'!A:B,2,0),"N/A")</f>
        <v>COMUNICACAO</v>
      </c>
      <c r="B3271" s="7" t="str">
        <f t="shared" si="102"/>
        <v>330403 - COMUNICACAO</v>
      </c>
      <c r="C3271" s="25">
        <f t="shared" si="103"/>
        <v>44774</v>
      </c>
      <c r="D3271" s="27">
        <f>IF(K3271="CREDITO",Q3271,Q3271*-1)</f>
        <v>10736.3</v>
      </c>
      <c r="E3271" t="s">
        <v>894</v>
      </c>
      <c r="F3271" t="s">
        <v>3766</v>
      </c>
      <c r="G3271" s="8">
        <v>44774</v>
      </c>
      <c r="H3271" t="s">
        <v>596</v>
      </c>
      <c r="I3271" t="s">
        <v>40</v>
      </c>
      <c r="J3271" t="s">
        <v>54</v>
      </c>
      <c r="K3271" t="s">
        <v>29</v>
      </c>
      <c r="L3271" t="s">
        <v>895</v>
      </c>
      <c r="M3271" t="s">
        <v>4402</v>
      </c>
      <c r="O3271" t="s">
        <v>896</v>
      </c>
      <c r="P3271" t="s">
        <v>33</v>
      </c>
      <c r="Q3271" s="22">
        <v>10736.3</v>
      </c>
      <c r="R3271" t="s">
        <v>35</v>
      </c>
      <c r="S3271" t="s">
        <v>35</v>
      </c>
      <c r="T3271" t="s">
        <v>35</v>
      </c>
      <c r="U3271" t="s">
        <v>35</v>
      </c>
      <c r="V3271" t="s">
        <v>645</v>
      </c>
      <c r="W3271" t="s">
        <v>113</v>
      </c>
    </row>
    <row r="3272" spans="1:23" hidden="1" x14ac:dyDescent="0.25">
      <c r="A3272" s="7" t="str">
        <f>IFERROR(VLOOKUP(H3272,'Contas Orç'!A:B,2,0),"N/A")</f>
        <v>COMUNICACAO</v>
      </c>
      <c r="B3272" s="7" t="str">
        <f t="shared" si="102"/>
        <v>330403 - COMUNICACAO</v>
      </c>
      <c r="C3272" s="25">
        <f t="shared" si="103"/>
        <v>44805</v>
      </c>
      <c r="D3272" s="27">
        <f>IF(K3272="CREDITO",Q3272,Q3272*-1)</f>
        <v>1986.76</v>
      </c>
      <c r="E3272" t="s">
        <v>894</v>
      </c>
      <c r="F3272" t="s">
        <v>3767</v>
      </c>
      <c r="G3272" s="8">
        <v>44805</v>
      </c>
      <c r="H3272" t="s">
        <v>596</v>
      </c>
      <c r="I3272" t="s">
        <v>2062</v>
      </c>
      <c r="J3272" t="s">
        <v>54</v>
      </c>
      <c r="K3272" t="s">
        <v>29</v>
      </c>
      <c r="L3272" t="s">
        <v>895</v>
      </c>
      <c r="M3272" t="s">
        <v>4402</v>
      </c>
      <c r="O3272" t="s">
        <v>896</v>
      </c>
      <c r="P3272" t="s">
        <v>33</v>
      </c>
      <c r="Q3272" s="22">
        <v>1986.76</v>
      </c>
      <c r="R3272" t="s">
        <v>35</v>
      </c>
      <c r="S3272" t="s">
        <v>35</v>
      </c>
      <c r="T3272" t="s">
        <v>35</v>
      </c>
      <c r="U3272" t="s">
        <v>35</v>
      </c>
      <c r="V3272" t="s">
        <v>645</v>
      </c>
      <c r="W3272" t="s">
        <v>113</v>
      </c>
    </row>
    <row r="3273" spans="1:23" hidden="1" x14ac:dyDescent="0.25">
      <c r="A3273" s="7" t="str">
        <f>IFERROR(VLOOKUP(H3273,'Contas Orç'!A:B,2,0),"N/A")</f>
        <v>COMUNICACAO</v>
      </c>
      <c r="B3273" s="7" t="str">
        <f t="shared" si="102"/>
        <v>330403 - COMUNICACAO</v>
      </c>
      <c r="C3273" s="25">
        <f t="shared" si="103"/>
        <v>44805</v>
      </c>
      <c r="D3273" s="27">
        <f>IF(K3273="CREDITO",Q3273,Q3273*-1)</f>
        <v>13419.58</v>
      </c>
      <c r="E3273" t="s">
        <v>894</v>
      </c>
      <c r="F3273" t="s">
        <v>3768</v>
      </c>
      <c r="G3273" s="8">
        <v>44805</v>
      </c>
      <c r="H3273" t="s">
        <v>596</v>
      </c>
      <c r="I3273" t="s">
        <v>40</v>
      </c>
      <c r="J3273" t="s">
        <v>54</v>
      </c>
      <c r="K3273" t="s">
        <v>29</v>
      </c>
      <c r="L3273" t="s">
        <v>895</v>
      </c>
      <c r="M3273" t="s">
        <v>4402</v>
      </c>
      <c r="O3273" t="s">
        <v>896</v>
      </c>
      <c r="P3273" t="s">
        <v>33</v>
      </c>
      <c r="Q3273" s="22">
        <v>13419.58</v>
      </c>
      <c r="R3273" t="s">
        <v>35</v>
      </c>
      <c r="S3273" t="s">
        <v>35</v>
      </c>
      <c r="T3273" t="s">
        <v>35</v>
      </c>
      <c r="U3273" t="s">
        <v>35</v>
      </c>
      <c r="V3273" t="s">
        <v>645</v>
      </c>
      <c r="W3273" t="s">
        <v>113</v>
      </c>
    </row>
    <row r="3274" spans="1:23" hidden="1" x14ac:dyDescent="0.25">
      <c r="A3274" s="7" t="str">
        <f>IFERROR(VLOOKUP(H3274,'Contas Orç'!A:B,2,0),"N/A")</f>
        <v>COMUNICACAO</v>
      </c>
      <c r="B3274" s="7" t="str">
        <f t="shared" si="102"/>
        <v>330403 - COMUNICACAO</v>
      </c>
      <c r="C3274" s="25">
        <f t="shared" si="103"/>
        <v>44805</v>
      </c>
      <c r="D3274" s="27">
        <f>IF(K3274="CREDITO",Q3274,Q3274*-1)</f>
        <v>745</v>
      </c>
      <c r="E3274" t="s">
        <v>894</v>
      </c>
      <c r="F3274" t="s">
        <v>3769</v>
      </c>
      <c r="G3274" s="8">
        <v>44805</v>
      </c>
      <c r="H3274" t="s">
        <v>596</v>
      </c>
      <c r="I3274" t="s">
        <v>68</v>
      </c>
      <c r="J3274" t="s">
        <v>54</v>
      </c>
      <c r="K3274" t="s">
        <v>29</v>
      </c>
      <c r="L3274" t="s">
        <v>895</v>
      </c>
      <c r="M3274" t="s">
        <v>4402</v>
      </c>
      <c r="O3274" t="s">
        <v>896</v>
      </c>
      <c r="P3274" t="s">
        <v>33</v>
      </c>
      <c r="Q3274">
        <v>745</v>
      </c>
      <c r="R3274" t="s">
        <v>35</v>
      </c>
      <c r="S3274" t="s">
        <v>35</v>
      </c>
      <c r="T3274" t="s">
        <v>35</v>
      </c>
      <c r="U3274" t="s">
        <v>35</v>
      </c>
      <c r="V3274" t="s">
        <v>645</v>
      </c>
      <c r="W3274" t="s">
        <v>113</v>
      </c>
    </row>
    <row r="3275" spans="1:23" hidden="1" x14ac:dyDescent="0.25">
      <c r="A3275" s="7" t="str">
        <f>IFERROR(VLOOKUP(H3275,'Contas Orç'!A:B,2,0),"N/A")</f>
        <v>COMUNICACAO</v>
      </c>
      <c r="B3275" s="7" t="str">
        <f t="shared" si="102"/>
        <v>330403 - COMUNICACAO</v>
      </c>
      <c r="C3275" s="25">
        <f t="shared" si="103"/>
        <v>44835</v>
      </c>
      <c r="D3275" s="27">
        <f>IF(K3275="CREDITO",Q3275,Q3275*-1)</f>
        <v>2006.63</v>
      </c>
      <c r="E3275" t="s">
        <v>894</v>
      </c>
      <c r="F3275" t="s">
        <v>3770</v>
      </c>
      <c r="G3275" s="8">
        <v>44835</v>
      </c>
      <c r="H3275" t="s">
        <v>596</v>
      </c>
      <c r="I3275" t="s">
        <v>2062</v>
      </c>
      <c r="J3275" t="s">
        <v>54</v>
      </c>
      <c r="K3275" t="s">
        <v>29</v>
      </c>
      <c r="L3275" t="s">
        <v>895</v>
      </c>
      <c r="M3275" t="s">
        <v>4402</v>
      </c>
      <c r="O3275" t="s">
        <v>896</v>
      </c>
      <c r="P3275" t="s">
        <v>33</v>
      </c>
      <c r="Q3275" s="22">
        <v>2006.63</v>
      </c>
      <c r="R3275" t="s">
        <v>35</v>
      </c>
      <c r="S3275" t="s">
        <v>35</v>
      </c>
      <c r="T3275" t="s">
        <v>35</v>
      </c>
      <c r="U3275" t="s">
        <v>35</v>
      </c>
      <c r="V3275" t="s">
        <v>645</v>
      </c>
      <c r="W3275" t="s">
        <v>113</v>
      </c>
    </row>
    <row r="3276" spans="1:23" hidden="1" x14ac:dyDescent="0.25">
      <c r="A3276" s="7" t="str">
        <f>IFERROR(VLOOKUP(H3276,'Contas Orç'!A:B,2,0),"N/A")</f>
        <v>COMUNICACAO</v>
      </c>
      <c r="B3276" s="7" t="str">
        <f t="shared" si="102"/>
        <v>330403 - COMUNICACAO</v>
      </c>
      <c r="C3276" s="25">
        <f t="shared" si="103"/>
        <v>44835</v>
      </c>
      <c r="D3276" s="27">
        <f>IF(K3276="CREDITO",Q3276,Q3276*-1)</f>
        <v>13553.78</v>
      </c>
      <c r="E3276" t="s">
        <v>894</v>
      </c>
      <c r="F3276" t="s">
        <v>3771</v>
      </c>
      <c r="G3276" s="8">
        <v>44835</v>
      </c>
      <c r="H3276" t="s">
        <v>596</v>
      </c>
      <c r="I3276" t="s">
        <v>40</v>
      </c>
      <c r="J3276" t="s">
        <v>54</v>
      </c>
      <c r="K3276" t="s">
        <v>29</v>
      </c>
      <c r="L3276" t="s">
        <v>895</v>
      </c>
      <c r="M3276" t="s">
        <v>4402</v>
      </c>
      <c r="O3276" t="s">
        <v>896</v>
      </c>
      <c r="P3276" t="s">
        <v>33</v>
      </c>
      <c r="Q3276" s="22">
        <v>13553.78</v>
      </c>
      <c r="R3276" t="s">
        <v>35</v>
      </c>
      <c r="S3276" t="s">
        <v>35</v>
      </c>
      <c r="T3276" t="s">
        <v>35</v>
      </c>
      <c r="U3276" t="s">
        <v>35</v>
      </c>
      <c r="V3276" t="s">
        <v>645</v>
      </c>
      <c r="W3276" t="s">
        <v>113</v>
      </c>
    </row>
    <row r="3277" spans="1:23" hidden="1" x14ac:dyDescent="0.25">
      <c r="A3277" s="7" t="str">
        <f>IFERROR(VLOOKUP(H3277,'Contas Orç'!A:B,2,0),"N/A")</f>
        <v>COMUNICACAO</v>
      </c>
      <c r="B3277" s="7" t="str">
        <f t="shared" si="102"/>
        <v>330403 - COMUNICACAO</v>
      </c>
      <c r="C3277" s="25">
        <f t="shared" si="103"/>
        <v>44835</v>
      </c>
      <c r="D3277" s="27">
        <f>IF(K3277="CREDITO",Q3277,Q3277*-1)</f>
        <v>752.45</v>
      </c>
      <c r="E3277" t="s">
        <v>894</v>
      </c>
      <c r="F3277" t="s">
        <v>3772</v>
      </c>
      <c r="G3277" s="8">
        <v>44835</v>
      </c>
      <c r="H3277" t="s">
        <v>596</v>
      </c>
      <c r="I3277" t="s">
        <v>68</v>
      </c>
      <c r="J3277" t="s">
        <v>54</v>
      </c>
      <c r="K3277" t="s">
        <v>29</v>
      </c>
      <c r="L3277" t="s">
        <v>895</v>
      </c>
      <c r="M3277" t="s">
        <v>4402</v>
      </c>
      <c r="O3277" t="s">
        <v>896</v>
      </c>
      <c r="P3277" t="s">
        <v>33</v>
      </c>
      <c r="Q3277">
        <v>752.45</v>
      </c>
      <c r="R3277" t="s">
        <v>35</v>
      </c>
      <c r="S3277" t="s">
        <v>35</v>
      </c>
      <c r="T3277" t="s">
        <v>35</v>
      </c>
      <c r="U3277" t="s">
        <v>35</v>
      </c>
      <c r="V3277" t="s">
        <v>645</v>
      </c>
      <c r="W3277" t="s">
        <v>113</v>
      </c>
    </row>
    <row r="3278" spans="1:23" hidden="1" x14ac:dyDescent="0.25">
      <c r="A3278" s="7" t="str">
        <f>IFERROR(VLOOKUP(H3278,'Contas Orç'!A:B,2,0),"N/A")</f>
        <v>COMUNICACAO</v>
      </c>
      <c r="B3278" s="7" t="str">
        <f t="shared" si="102"/>
        <v>330403 - COMUNICACAO</v>
      </c>
      <c r="C3278" s="25">
        <f t="shared" si="103"/>
        <v>44866</v>
      </c>
      <c r="D3278" s="27">
        <f>IF(K3278="CREDITO",Q3278,Q3278*-1)</f>
        <v>2026.69</v>
      </c>
      <c r="E3278" t="s">
        <v>894</v>
      </c>
      <c r="F3278" t="s">
        <v>3773</v>
      </c>
      <c r="G3278" s="8">
        <v>44866</v>
      </c>
      <c r="H3278" t="s">
        <v>596</v>
      </c>
      <c r="I3278" t="s">
        <v>2062</v>
      </c>
      <c r="J3278" t="s">
        <v>54</v>
      </c>
      <c r="K3278" t="s">
        <v>29</v>
      </c>
      <c r="L3278" t="s">
        <v>895</v>
      </c>
      <c r="M3278" t="s">
        <v>4402</v>
      </c>
      <c r="O3278" t="s">
        <v>896</v>
      </c>
      <c r="P3278" t="s">
        <v>33</v>
      </c>
      <c r="Q3278" s="22">
        <v>2026.69</v>
      </c>
      <c r="R3278" t="s">
        <v>35</v>
      </c>
      <c r="S3278" t="s">
        <v>35</v>
      </c>
      <c r="T3278" t="s">
        <v>35</v>
      </c>
      <c r="U3278" t="s">
        <v>35</v>
      </c>
      <c r="V3278" t="s">
        <v>645</v>
      </c>
      <c r="W3278" t="s">
        <v>113</v>
      </c>
    </row>
    <row r="3279" spans="1:23" hidden="1" x14ac:dyDescent="0.25">
      <c r="A3279" s="7" t="str">
        <f>IFERROR(VLOOKUP(H3279,'Contas Orç'!A:B,2,0),"N/A")</f>
        <v>COMUNICACAO</v>
      </c>
      <c r="B3279" s="7" t="str">
        <f t="shared" si="102"/>
        <v>330403 - COMUNICACAO</v>
      </c>
      <c r="C3279" s="25">
        <f t="shared" si="103"/>
        <v>44866</v>
      </c>
      <c r="D3279" s="27">
        <f>IF(K3279="CREDITO",Q3279,Q3279*-1)</f>
        <v>13689.31</v>
      </c>
      <c r="E3279" t="s">
        <v>894</v>
      </c>
      <c r="F3279" t="s">
        <v>3774</v>
      </c>
      <c r="G3279" s="8">
        <v>44866</v>
      </c>
      <c r="H3279" t="s">
        <v>596</v>
      </c>
      <c r="I3279" t="s">
        <v>40</v>
      </c>
      <c r="J3279" t="s">
        <v>54</v>
      </c>
      <c r="K3279" t="s">
        <v>29</v>
      </c>
      <c r="L3279" t="s">
        <v>895</v>
      </c>
      <c r="M3279" t="s">
        <v>4402</v>
      </c>
      <c r="O3279" t="s">
        <v>896</v>
      </c>
      <c r="P3279" t="s">
        <v>33</v>
      </c>
      <c r="Q3279" s="22">
        <v>13689.31</v>
      </c>
      <c r="R3279" t="s">
        <v>35</v>
      </c>
      <c r="S3279" t="s">
        <v>35</v>
      </c>
      <c r="T3279" t="s">
        <v>35</v>
      </c>
      <c r="U3279" t="s">
        <v>35</v>
      </c>
      <c r="V3279" t="s">
        <v>645</v>
      </c>
      <c r="W3279" t="s">
        <v>113</v>
      </c>
    </row>
    <row r="3280" spans="1:23" hidden="1" x14ac:dyDescent="0.25">
      <c r="A3280" s="7" t="str">
        <f>IFERROR(VLOOKUP(H3280,'Contas Orç'!A:B,2,0),"N/A")</f>
        <v>COMUNICACAO</v>
      </c>
      <c r="B3280" s="7" t="str">
        <f t="shared" si="102"/>
        <v>330403 - COMUNICACAO</v>
      </c>
      <c r="C3280" s="25">
        <f t="shared" si="103"/>
        <v>44866</v>
      </c>
      <c r="D3280" s="27">
        <f>IF(K3280="CREDITO",Q3280,Q3280*-1)</f>
        <v>759.97</v>
      </c>
      <c r="E3280" t="s">
        <v>894</v>
      </c>
      <c r="F3280" t="s">
        <v>3775</v>
      </c>
      <c r="G3280" s="8">
        <v>44866</v>
      </c>
      <c r="H3280" t="s">
        <v>596</v>
      </c>
      <c r="I3280" t="s">
        <v>68</v>
      </c>
      <c r="J3280" t="s">
        <v>54</v>
      </c>
      <c r="K3280" t="s">
        <v>29</v>
      </c>
      <c r="L3280" t="s">
        <v>895</v>
      </c>
      <c r="M3280" t="s">
        <v>4402</v>
      </c>
      <c r="O3280" t="s">
        <v>896</v>
      </c>
      <c r="P3280" t="s">
        <v>33</v>
      </c>
      <c r="Q3280">
        <v>759.97</v>
      </c>
      <c r="R3280" t="s">
        <v>35</v>
      </c>
      <c r="S3280" t="s">
        <v>35</v>
      </c>
      <c r="T3280" t="s">
        <v>35</v>
      </c>
      <c r="U3280" t="s">
        <v>35</v>
      </c>
      <c r="V3280" t="s">
        <v>645</v>
      </c>
      <c r="W3280" t="s">
        <v>113</v>
      </c>
    </row>
    <row r="3281" spans="1:23" hidden="1" x14ac:dyDescent="0.25">
      <c r="A3281" s="7" t="str">
        <f>IFERROR(VLOOKUP(H3281,'Contas Orç'!A:B,2,0),"N/A")</f>
        <v>COMUNICACAO</v>
      </c>
      <c r="B3281" s="7" t="str">
        <f t="shared" si="102"/>
        <v>330403 - COMUNICACAO</v>
      </c>
      <c r="C3281" s="25">
        <f t="shared" si="103"/>
        <v>44896</v>
      </c>
      <c r="D3281" s="27">
        <f>IF(K3281="CREDITO",Q3281,Q3281*-1)</f>
        <v>2046.96</v>
      </c>
      <c r="E3281" t="s">
        <v>894</v>
      </c>
      <c r="F3281" t="s">
        <v>3776</v>
      </c>
      <c r="G3281" s="8">
        <v>44896</v>
      </c>
      <c r="H3281" t="s">
        <v>596</v>
      </c>
      <c r="I3281" t="s">
        <v>2062</v>
      </c>
      <c r="J3281" t="s">
        <v>54</v>
      </c>
      <c r="K3281" t="s">
        <v>29</v>
      </c>
      <c r="L3281" t="s">
        <v>895</v>
      </c>
      <c r="M3281" t="s">
        <v>4402</v>
      </c>
      <c r="O3281" t="s">
        <v>896</v>
      </c>
      <c r="P3281" t="s">
        <v>33</v>
      </c>
      <c r="Q3281" s="22">
        <v>2046.96</v>
      </c>
      <c r="R3281" t="s">
        <v>35</v>
      </c>
      <c r="S3281" t="s">
        <v>35</v>
      </c>
      <c r="T3281" t="s">
        <v>35</v>
      </c>
      <c r="U3281" t="s">
        <v>35</v>
      </c>
      <c r="V3281" t="s">
        <v>645</v>
      </c>
      <c r="W3281" t="s">
        <v>113</v>
      </c>
    </row>
    <row r="3282" spans="1:23" hidden="1" x14ac:dyDescent="0.25">
      <c r="A3282" s="7" t="str">
        <f>IFERROR(VLOOKUP(H3282,'Contas Orç'!A:B,2,0),"N/A")</f>
        <v>COMUNICACAO</v>
      </c>
      <c r="B3282" s="7" t="str">
        <f t="shared" si="102"/>
        <v>330403 - COMUNICACAO</v>
      </c>
      <c r="C3282" s="25">
        <f t="shared" si="103"/>
        <v>44896</v>
      </c>
      <c r="D3282" s="27">
        <f>IF(K3282="CREDITO",Q3282,Q3282*-1)</f>
        <v>13826.21</v>
      </c>
      <c r="E3282" t="s">
        <v>894</v>
      </c>
      <c r="F3282" t="s">
        <v>3777</v>
      </c>
      <c r="G3282" s="8">
        <v>44896</v>
      </c>
      <c r="H3282" t="s">
        <v>596</v>
      </c>
      <c r="I3282" t="s">
        <v>40</v>
      </c>
      <c r="J3282" t="s">
        <v>54</v>
      </c>
      <c r="K3282" t="s">
        <v>29</v>
      </c>
      <c r="L3282" t="s">
        <v>895</v>
      </c>
      <c r="M3282" t="s">
        <v>4402</v>
      </c>
      <c r="O3282" t="s">
        <v>896</v>
      </c>
      <c r="P3282" t="s">
        <v>33</v>
      </c>
      <c r="Q3282" s="22">
        <v>13826.21</v>
      </c>
      <c r="R3282" t="s">
        <v>35</v>
      </c>
      <c r="S3282" t="s">
        <v>35</v>
      </c>
      <c r="T3282" t="s">
        <v>35</v>
      </c>
      <c r="U3282" t="s">
        <v>35</v>
      </c>
      <c r="V3282" t="s">
        <v>645</v>
      </c>
      <c r="W3282" t="s">
        <v>113</v>
      </c>
    </row>
    <row r="3283" spans="1:23" hidden="1" x14ac:dyDescent="0.25">
      <c r="A3283" s="7" t="str">
        <f>IFERROR(VLOOKUP(H3283,'Contas Orç'!A:B,2,0),"N/A")</f>
        <v>COMUNICACAO</v>
      </c>
      <c r="B3283" s="7" t="str">
        <f t="shared" si="102"/>
        <v>330403 - COMUNICACAO</v>
      </c>
      <c r="C3283" s="25">
        <f t="shared" si="103"/>
        <v>44896</v>
      </c>
      <c r="D3283" s="27">
        <f>IF(K3283="CREDITO",Q3283,Q3283*-1)</f>
        <v>767.57</v>
      </c>
      <c r="E3283" t="s">
        <v>894</v>
      </c>
      <c r="F3283" t="s">
        <v>3778</v>
      </c>
      <c r="G3283" s="8">
        <v>44896</v>
      </c>
      <c r="H3283" t="s">
        <v>596</v>
      </c>
      <c r="I3283" t="s">
        <v>68</v>
      </c>
      <c r="J3283" t="s">
        <v>54</v>
      </c>
      <c r="K3283" t="s">
        <v>29</v>
      </c>
      <c r="L3283" t="s">
        <v>895</v>
      </c>
      <c r="M3283" t="s">
        <v>4402</v>
      </c>
      <c r="O3283" t="s">
        <v>896</v>
      </c>
      <c r="P3283" t="s">
        <v>33</v>
      </c>
      <c r="Q3283">
        <v>767.57</v>
      </c>
      <c r="R3283" t="s">
        <v>35</v>
      </c>
      <c r="S3283" t="s">
        <v>35</v>
      </c>
      <c r="T3283" t="s">
        <v>35</v>
      </c>
      <c r="U3283" t="s">
        <v>35</v>
      </c>
      <c r="V3283" t="s">
        <v>645</v>
      </c>
      <c r="W3283" t="s">
        <v>113</v>
      </c>
    </row>
    <row r="3284" spans="1:23" hidden="1" x14ac:dyDescent="0.25">
      <c r="A3284" s="7" t="str">
        <f>IFERROR(VLOOKUP(H3284,'Contas Orç'!A:B,2,0),"N/A")</f>
        <v>INFORMATICA</v>
      </c>
      <c r="B3284" s="7" t="str">
        <f t="shared" si="102"/>
        <v>330404 - INFORMATICA</v>
      </c>
      <c r="C3284" s="25">
        <f t="shared" si="103"/>
        <v>44562</v>
      </c>
      <c r="D3284" s="27">
        <f>IF(K3284="CREDITO",Q3284,Q3284*-1)</f>
        <v>812</v>
      </c>
      <c r="E3284" t="s">
        <v>894</v>
      </c>
      <c r="F3284" t="s">
        <v>3779</v>
      </c>
      <c r="G3284" s="8">
        <v>44562</v>
      </c>
      <c r="H3284" t="s">
        <v>597</v>
      </c>
      <c r="I3284" t="s">
        <v>2062</v>
      </c>
      <c r="J3284" t="s">
        <v>54</v>
      </c>
      <c r="K3284" t="s">
        <v>29</v>
      </c>
      <c r="L3284" t="s">
        <v>895</v>
      </c>
      <c r="M3284" t="s">
        <v>4402</v>
      </c>
      <c r="O3284" t="s">
        <v>896</v>
      </c>
      <c r="P3284" t="s">
        <v>33</v>
      </c>
      <c r="Q3284">
        <v>812</v>
      </c>
      <c r="R3284" t="s">
        <v>35</v>
      </c>
      <c r="S3284" t="s">
        <v>35</v>
      </c>
      <c r="T3284" t="s">
        <v>35</v>
      </c>
      <c r="U3284" t="s">
        <v>35</v>
      </c>
      <c r="V3284" t="s">
        <v>645</v>
      </c>
      <c r="W3284" t="s">
        <v>113</v>
      </c>
    </row>
    <row r="3285" spans="1:23" hidden="1" x14ac:dyDescent="0.25">
      <c r="A3285" s="7" t="str">
        <f>IFERROR(VLOOKUP(H3285,'Contas Orç'!A:B,2,0),"N/A")</f>
        <v>INFORMATICA</v>
      </c>
      <c r="B3285" s="7" t="str">
        <f t="shared" si="102"/>
        <v>330404 - INFORMATICA</v>
      </c>
      <c r="C3285" s="25">
        <f t="shared" si="103"/>
        <v>44562</v>
      </c>
      <c r="D3285" s="27">
        <f>IF(K3285="CREDITO",Q3285,Q3285*-1)</f>
        <v>182</v>
      </c>
      <c r="E3285" t="s">
        <v>894</v>
      </c>
      <c r="F3285" t="s">
        <v>3780</v>
      </c>
      <c r="G3285" s="8">
        <v>44562</v>
      </c>
      <c r="H3285" t="s">
        <v>597</v>
      </c>
      <c r="I3285" t="s">
        <v>78</v>
      </c>
      <c r="J3285" t="s">
        <v>54</v>
      </c>
      <c r="K3285" t="s">
        <v>29</v>
      </c>
      <c r="L3285" t="s">
        <v>895</v>
      </c>
      <c r="M3285" t="s">
        <v>4402</v>
      </c>
      <c r="O3285" t="s">
        <v>896</v>
      </c>
      <c r="P3285" t="s">
        <v>33</v>
      </c>
      <c r="Q3285">
        <v>182</v>
      </c>
      <c r="R3285" t="s">
        <v>35</v>
      </c>
      <c r="S3285" t="s">
        <v>35</v>
      </c>
      <c r="T3285" t="s">
        <v>35</v>
      </c>
      <c r="U3285" t="s">
        <v>35</v>
      </c>
      <c r="V3285" t="s">
        <v>645</v>
      </c>
      <c r="W3285" t="s">
        <v>113</v>
      </c>
    </row>
    <row r="3286" spans="1:23" hidden="1" x14ac:dyDescent="0.25">
      <c r="A3286" s="7" t="str">
        <f>IFERROR(VLOOKUP(H3286,'Contas Orç'!A:B,2,0),"N/A")</f>
        <v>INFORMATICA</v>
      </c>
      <c r="B3286" s="7" t="str">
        <f t="shared" si="102"/>
        <v>330404 - INFORMATICA</v>
      </c>
      <c r="C3286" s="25">
        <f t="shared" si="103"/>
        <v>44562</v>
      </c>
      <c r="D3286" s="27">
        <f>IF(K3286="CREDITO",Q3286,Q3286*-1)</f>
        <v>117.04</v>
      </c>
      <c r="E3286" t="s">
        <v>894</v>
      </c>
      <c r="F3286" t="s">
        <v>3781</v>
      </c>
      <c r="G3286" s="8">
        <v>44562</v>
      </c>
      <c r="H3286" t="s">
        <v>597</v>
      </c>
      <c r="I3286" t="s">
        <v>81</v>
      </c>
      <c r="J3286" t="s">
        <v>54</v>
      </c>
      <c r="K3286" t="s">
        <v>29</v>
      </c>
      <c r="L3286" t="s">
        <v>895</v>
      </c>
      <c r="M3286" t="s">
        <v>4402</v>
      </c>
      <c r="O3286" t="s">
        <v>896</v>
      </c>
      <c r="P3286" t="s">
        <v>33</v>
      </c>
      <c r="Q3286">
        <v>117.04</v>
      </c>
      <c r="R3286" t="s">
        <v>35</v>
      </c>
      <c r="S3286" t="s">
        <v>35</v>
      </c>
      <c r="T3286" t="s">
        <v>35</v>
      </c>
      <c r="U3286" t="s">
        <v>35</v>
      </c>
      <c r="V3286" t="s">
        <v>645</v>
      </c>
      <c r="W3286" t="s">
        <v>113</v>
      </c>
    </row>
    <row r="3287" spans="1:23" hidden="1" x14ac:dyDescent="0.25">
      <c r="A3287" s="7" t="str">
        <f>IFERROR(VLOOKUP(H3287,'Contas Orç'!A:B,2,0),"N/A")</f>
        <v>INFORMATICA</v>
      </c>
      <c r="B3287" s="7" t="str">
        <f t="shared" si="102"/>
        <v>330404 - INFORMATICA</v>
      </c>
      <c r="C3287" s="25">
        <f t="shared" si="103"/>
        <v>44593</v>
      </c>
      <c r="D3287" s="27">
        <f>IF(K3287="CREDITO",Q3287,Q3287*-1)</f>
        <v>2029</v>
      </c>
      <c r="E3287" t="s">
        <v>894</v>
      </c>
      <c r="F3287" t="s">
        <v>3782</v>
      </c>
      <c r="G3287" s="8">
        <v>44593</v>
      </c>
      <c r="H3287" t="s">
        <v>597</v>
      </c>
      <c r="I3287" t="s">
        <v>40</v>
      </c>
      <c r="J3287" t="s">
        <v>54</v>
      </c>
      <c r="K3287" t="s">
        <v>29</v>
      </c>
      <c r="L3287" t="s">
        <v>895</v>
      </c>
      <c r="M3287" t="s">
        <v>4402</v>
      </c>
      <c r="O3287" t="s">
        <v>896</v>
      </c>
      <c r="P3287" t="s">
        <v>33</v>
      </c>
      <c r="Q3287" s="22">
        <v>2029</v>
      </c>
      <c r="R3287" t="s">
        <v>35</v>
      </c>
      <c r="S3287" t="s">
        <v>35</v>
      </c>
      <c r="T3287" t="s">
        <v>35</v>
      </c>
      <c r="U3287" t="s">
        <v>35</v>
      </c>
      <c r="V3287" t="s">
        <v>645</v>
      </c>
      <c r="W3287" t="s">
        <v>113</v>
      </c>
    </row>
    <row r="3288" spans="1:23" hidden="1" x14ac:dyDescent="0.25">
      <c r="A3288" s="7" t="str">
        <f>IFERROR(VLOOKUP(H3288,'Contas Orç'!A:B,2,0),"N/A")</f>
        <v>INFORMATICA</v>
      </c>
      <c r="B3288" s="7" t="str">
        <f t="shared" si="102"/>
        <v>330404 - INFORMATICA</v>
      </c>
      <c r="C3288" s="25">
        <f t="shared" si="103"/>
        <v>44593</v>
      </c>
      <c r="D3288" s="27">
        <f>IF(K3288="CREDITO",Q3288,Q3288*-1)</f>
        <v>97</v>
      </c>
      <c r="E3288" t="s">
        <v>894</v>
      </c>
      <c r="F3288" t="s">
        <v>3783</v>
      </c>
      <c r="G3288" s="8">
        <v>44593</v>
      </c>
      <c r="H3288" t="s">
        <v>597</v>
      </c>
      <c r="I3288" t="s">
        <v>81</v>
      </c>
      <c r="J3288" t="s">
        <v>54</v>
      </c>
      <c r="K3288" t="s">
        <v>29</v>
      </c>
      <c r="L3288" t="s">
        <v>895</v>
      </c>
      <c r="M3288" t="s">
        <v>4402</v>
      </c>
      <c r="O3288" t="s">
        <v>896</v>
      </c>
      <c r="P3288" t="s">
        <v>33</v>
      </c>
      <c r="Q3288">
        <v>97</v>
      </c>
      <c r="R3288" t="s">
        <v>35</v>
      </c>
      <c r="S3288" t="s">
        <v>35</v>
      </c>
      <c r="T3288" t="s">
        <v>35</v>
      </c>
      <c r="U3288" t="s">
        <v>35</v>
      </c>
      <c r="V3288" t="s">
        <v>645</v>
      </c>
      <c r="W3288" t="s">
        <v>113</v>
      </c>
    </row>
    <row r="3289" spans="1:23" hidden="1" x14ac:dyDescent="0.25">
      <c r="A3289" s="7" t="str">
        <f>IFERROR(VLOOKUP(H3289,'Contas Orç'!A:B,2,0),"N/A")</f>
        <v>INFORMATICA</v>
      </c>
      <c r="B3289" s="7" t="str">
        <f t="shared" si="102"/>
        <v>330404 - INFORMATICA</v>
      </c>
      <c r="C3289" s="25">
        <f t="shared" si="103"/>
        <v>44652</v>
      </c>
      <c r="D3289" s="27">
        <f>IF(K3289="CREDITO",Q3289,Q3289*-1)</f>
        <v>89.9</v>
      </c>
      <c r="E3289" t="s">
        <v>894</v>
      </c>
      <c r="F3289" t="s">
        <v>3784</v>
      </c>
      <c r="G3289" s="8">
        <v>44652</v>
      </c>
      <c r="H3289" t="s">
        <v>597</v>
      </c>
      <c r="I3289" t="s">
        <v>40</v>
      </c>
      <c r="J3289" t="s">
        <v>54</v>
      </c>
      <c r="K3289" t="s">
        <v>29</v>
      </c>
      <c r="L3289" t="s">
        <v>895</v>
      </c>
      <c r="M3289" t="s">
        <v>4402</v>
      </c>
      <c r="O3289" t="s">
        <v>896</v>
      </c>
      <c r="P3289" t="s">
        <v>33</v>
      </c>
      <c r="Q3289">
        <v>89.9</v>
      </c>
      <c r="R3289" t="s">
        <v>35</v>
      </c>
      <c r="S3289" t="s">
        <v>35</v>
      </c>
      <c r="T3289" t="s">
        <v>35</v>
      </c>
      <c r="U3289" t="s">
        <v>35</v>
      </c>
      <c r="V3289" t="s">
        <v>645</v>
      </c>
      <c r="W3289" t="s">
        <v>113</v>
      </c>
    </row>
    <row r="3290" spans="1:23" hidden="1" x14ac:dyDescent="0.25">
      <c r="A3290" s="7" t="str">
        <f>IFERROR(VLOOKUP(H3290,'Contas Orç'!A:B,2,0),"N/A")</f>
        <v>INFORMATICA</v>
      </c>
      <c r="B3290" s="7" t="str">
        <f t="shared" si="102"/>
        <v>330404 - INFORMATICA</v>
      </c>
      <c r="C3290" s="25">
        <f t="shared" si="103"/>
        <v>44682</v>
      </c>
      <c r="D3290" s="27">
        <f>IF(K3290="CREDITO",Q3290,Q3290*-1)</f>
        <v>322</v>
      </c>
      <c r="E3290" t="s">
        <v>894</v>
      </c>
      <c r="F3290" t="s">
        <v>3785</v>
      </c>
      <c r="G3290" s="8">
        <v>44682</v>
      </c>
      <c r="H3290" t="s">
        <v>597</v>
      </c>
      <c r="I3290" t="s">
        <v>2062</v>
      </c>
      <c r="J3290" t="s">
        <v>54</v>
      </c>
      <c r="K3290" t="s">
        <v>29</v>
      </c>
      <c r="L3290" t="s">
        <v>895</v>
      </c>
      <c r="M3290" t="s">
        <v>4402</v>
      </c>
      <c r="O3290" t="s">
        <v>896</v>
      </c>
      <c r="P3290" t="s">
        <v>33</v>
      </c>
      <c r="Q3290">
        <v>322</v>
      </c>
      <c r="R3290" t="s">
        <v>35</v>
      </c>
      <c r="S3290" t="s">
        <v>35</v>
      </c>
      <c r="T3290" t="s">
        <v>35</v>
      </c>
      <c r="U3290" t="s">
        <v>35</v>
      </c>
      <c r="V3290" t="s">
        <v>645</v>
      </c>
      <c r="W3290" t="s">
        <v>113</v>
      </c>
    </row>
    <row r="3291" spans="1:23" hidden="1" x14ac:dyDescent="0.25">
      <c r="A3291" s="7" t="str">
        <f>IFERROR(VLOOKUP(H3291,'Contas Orç'!A:B,2,0),"N/A")</f>
        <v>INFORMATICA</v>
      </c>
      <c r="B3291" s="7" t="str">
        <f t="shared" si="102"/>
        <v>330404 - INFORMATICA</v>
      </c>
      <c r="C3291" s="25">
        <f t="shared" si="103"/>
        <v>44682</v>
      </c>
      <c r="D3291" s="27">
        <f>IF(K3291="CREDITO",Q3291,Q3291*-1)</f>
        <v>80</v>
      </c>
      <c r="E3291" t="s">
        <v>894</v>
      </c>
      <c r="F3291" t="s">
        <v>3786</v>
      </c>
      <c r="G3291" s="8">
        <v>44682</v>
      </c>
      <c r="H3291" t="s">
        <v>597</v>
      </c>
      <c r="I3291" t="s">
        <v>78</v>
      </c>
      <c r="J3291" t="s">
        <v>54</v>
      </c>
      <c r="K3291" t="s">
        <v>29</v>
      </c>
      <c r="L3291" t="s">
        <v>895</v>
      </c>
      <c r="M3291" t="s">
        <v>4402</v>
      </c>
      <c r="O3291" t="s">
        <v>896</v>
      </c>
      <c r="P3291" t="s">
        <v>33</v>
      </c>
      <c r="Q3291">
        <v>80</v>
      </c>
      <c r="R3291" t="s">
        <v>35</v>
      </c>
      <c r="S3291" t="s">
        <v>35</v>
      </c>
      <c r="T3291" t="s">
        <v>35</v>
      </c>
      <c r="U3291" t="s">
        <v>35</v>
      </c>
      <c r="V3291" t="s">
        <v>645</v>
      </c>
      <c r="W3291" t="s">
        <v>113</v>
      </c>
    </row>
    <row r="3292" spans="1:23" hidden="1" x14ac:dyDescent="0.25">
      <c r="A3292" s="7" t="str">
        <f>IFERROR(VLOOKUP(H3292,'Contas Orç'!A:B,2,0),"N/A")</f>
        <v>INFORMATICA</v>
      </c>
      <c r="B3292" s="7" t="str">
        <f t="shared" si="102"/>
        <v>330404 - INFORMATICA</v>
      </c>
      <c r="C3292" s="25">
        <f t="shared" si="103"/>
        <v>44682</v>
      </c>
      <c r="D3292" s="27">
        <f>IF(K3292="CREDITO",Q3292,Q3292*-1)</f>
        <v>430.9</v>
      </c>
      <c r="E3292" t="s">
        <v>894</v>
      </c>
      <c r="F3292" t="s">
        <v>3787</v>
      </c>
      <c r="G3292" s="8">
        <v>44682</v>
      </c>
      <c r="H3292" t="s">
        <v>597</v>
      </c>
      <c r="I3292" t="s">
        <v>136</v>
      </c>
      <c r="J3292" t="s">
        <v>54</v>
      </c>
      <c r="K3292" t="s">
        <v>29</v>
      </c>
      <c r="L3292" t="s">
        <v>895</v>
      </c>
      <c r="M3292" t="s">
        <v>4402</v>
      </c>
      <c r="O3292" t="s">
        <v>896</v>
      </c>
      <c r="P3292" t="s">
        <v>33</v>
      </c>
      <c r="Q3292">
        <v>430.9</v>
      </c>
      <c r="R3292" t="s">
        <v>35</v>
      </c>
      <c r="S3292" t="s">
        <v>35</v>
      </c>
      <c r="T3292" t="s">
        <v>35</v>
      </c>
      <c r="U3292" t="s">
        <v>35</v>
      </c>
      <c r="V3292" t="s">
        <v>645</v>
      </c>
      <c r="W3292" t="s">
        <v>113</v>
      </c>
    </row>
    <row r="3293" spans="1:23" hidden="1" x14ac:dyDescent="0.25">
      <c r="A3293" s="7" t="str">
        <f>IFERROR(VLOOKUP(H3293,'Contas Orç'!A:B,2,0),"N/A")</f>
        <v>INFORMATICA</v>
      </c>
      <c r="B3293" s="7" t="str">
        <f t="shared" si="102"/>
        <v>330404 - INFORMATICA</v>
      </c>
      <c r="C3293" s="25">
        <f t="shared" si="103"/>
        <v>44713</v>
      </c>
      <c r="D3293" s="27">
        <f>IF(K3293="CREDITO",Q3293,Q3293*-1)</f>
        <v>839.5</v>
      </c>
      <c r="E3293" t="s">
        <v>894</v>
      </c>
      <c r="F3293" t="s">
        <v>3788</v>
      </c>
      <c r="G3293" s="8">
        <v>44713</v>
      </c>
      <c r="H3293" t="s">
        <v>597</v>
      </c>
      <c r="I3293" t="s">
        <v>40</v>
      </c>
      <c r="J3293" t="s">
        <v>54</v>
      </c>
      <c r="K3293" t="s">
        <v>29</v>
      </c>
      <c r="L3293" t="s">
        <v>895</v>
      </c>
      <c r="M3293" t="s">
        <v>4402</v>
      </c>
      <c r="O3293" t="s">
        <v>896</v>
      </c>
      <c r="P3293" t="s">
        <v>33</v>
      </c>
      <c r="Q3293">
        <v>839.5</v>
      </c>
      <c r="R3293" t="s">
        <v>35</v>
      </c>
      <c r="S3293" t="s">
        <v>35</v>
      </c>
      <c r="T3293" t="s">
        <v>35</v>
      </c>
      <c r="U3293" t="s">
        <v>35</v>
      </c>
      <c r="V3293" t="s">
        <v>645</v>
      </c>
      <c r="W3293" t="s">
        <v>113</v>
      </c>
    </row>
    <row r="3294" spans="1:23" hidden="1" x14ac:dyDescent="0.25">
      <c r="A3294" s="7" t="str">
        <f>IFERROR(VLOOKUP(H3294,'Contas Orç'!A:B,2,0),"N/A")</f>
        <v>INFORMATICA</v>
      </c>
      <c r="B3294" s="7" t="str">
        <f t="shared" si="102"/>
        <v>330404 - INFORMATICA</v>
      </c>
      <c r="C3294" s="25">
        <f t="shared" si="103"/>
        <v>44713</v>
      </c>
      <c r="D3294" s="27">
        <f>IF(K3294="CREDITO",Q3294,Q3294*-1)</f>
        <v>512</v>
      </c>
      <c r="E3294" t="s">
        <v>894</v>
      </c>
      <c r="F3294" t="s">
        <v>3789</v>
      </c>
      <c r="G3294" s="8">
        <v>44713</v>
      </c>
      <c r="H3294" t="s">
        <v>597</v>
      </c>
      <c r="I3294" t="s">
        <v>99</v>
      </c>
      <c r="J3294" t="s">
        <v>54</v>
      </c>
      <c r="K3294" t="s">
        <v>29</v>
      </c>
      <c r="L3294" t="s">
        <v>895</v>
      </c>
      <c r="M3294" t="s">
        <v>4402</v>
      </c>
      <c r="O3294" t="s">
        <v>896</v>
      </c>
      <c r="P3294" t="s">
        <v>33</v>
      </c>
      <c r="Q3294">
        <v>512</v>
      </c>
      <c r="R3294" t="s">
        <v>35</v>
      </c>
      <c r="S3294" t="s">
        <v>35</v>
      </c>
      <c r="T3294" t="s">
        <v>35</v>
      </c>
      <c r="U3294" t="s">
        <v>35</v>
      </c>
      <c r="V3294" t="s">
        <v>645</v>
      </c>
      <c r="W3294" t="s">
        <v>113</v>
      </c>
    </row>
    <row r="3295" spans="1:23" hidden="1" x14ac:dyDescent="0.25">
      <c r="A3295" s="7" t="str">
        <f>IFERROR(VLOOKUP(H3295,'Contas Orç'!A:B,2,0),"N/A")</f>
        <v>INFORMATICA</v>
      </c>
      <c r="B3295" s="7" t="str">
        <f t="shared" si="102"/>
        <v>330404 - INFORMATICA</v>
      </c>
      <c r="C3295" s="25">
        <f t="shared" si="103"/>
        <v>44713</v>
      </c>
      <c r="D3295" s="27">
        <f>IF(K3295="CREDITO",Q3295,Q3295*-1)</f>
        <v>178.41</v>
      </c>
      <c r="E3295" t="s">
        <v>894</v>
      </c>
      <c r="F3295" t="s">
        <v>3790</v>
      </c>
      <c r="G3295" s="8">
        <v>44713</v>
      </c>
      <c r="H3295" t="s">
        <v>597</v>
      </c>
      <c r="I3295" t="s">
        <v>75</v>
      </c>
      <c r="J3295" t="s">
        <v>54</v>
      </c>
      <c r="K3295" t="s">
        <v>29</v>
      </c>
      <c r="L3295" t="s">
        <v>895</v>
      </c>
      <c r="M3295" t="s">
        <v>4402</v>
      </c>
      <c r="O3295" t="s">
        <v>896</v>
      </c>
      <c r="P3295" t="s">
        <v>33</v>
      </c>
      <c r="Q3295">
        <v>178.41</v>
      </c>
      <c r="R3295" t="s">
        <v>35</v>
      </c>
      <c r="S3295" t="s">
        <v>35</v>
      </c>
      <c r="T3295" t="s">
        <v>35</v>
      </c>
      <c r="U3295" t="s">
        <v>35</v>
      </c>
      <c r="V3295" t="s">
        <v>645</v>
      </c>
      <c r="W3295" t="s">
        <v>113</v>
      </c>
    </row>
    <row r="3296" spans="1:23" hidden="1" x14ac:dyDescent="0.25">
      <c r="A3296" s="7" t="str">
        <f>IFERROR(VLOOKUP(H3296,'Contas Orç'!A:B,2,0),"N/A")</f>
        <v>INFORMATICA</v>
      </c>
      <c r="B3296" s="7" t="str">
        <f t="shared" si="102"/>
        <v>330404 - INFORMATICA</v>
      </c>
      <c r="C3296" s="25">
        <f t="shared" si="103"/>
        <v>44743</v>
      </c>
      <c r="D3296" s="27">
        <f>IF(K3296="CREDITO",Q3296,Q3296*-1)</f>
        <v>699.89</v>
      </c>
      <c r="E3296" t="s">
        <v>894</v>
      </c>
      <c r="F3296" t="s">
        <v>3791</v>
      </c>
      <c r="G3296" s="8">
        <v>44743</v>
      </c>
      <c r="H3296" t="s">
        <v>597</v>
      </c>
      <c r="I3296" t="s">
        <v>78</v>
      </c>
      <c r="J3296" t="s">
        <v>54</v>
      </c>
      <c r="K3296" t="s">
        <v>29</v>
      </c>
      <c r="L3296" t="s">
        <v>895</v>
      </c>
      <c r="M3296" t="s">
        <v>4402</v>
      </c>
      <c r="O3296" t="s">
        <v>896</v>
      </c>
      <c r="P3296" t="s">
        <v>33</v>
      </c>
      <c r="Q3296">
        <v>699.89</v>
      </c>
      <c r="R3296" t="s">
        <v>35</v>
      </c>
      <c r="S3296" t="s">
        <v>35</v>
      </c>
      <c r="T3296" t="s">
        <v>35</v>
      </c>
      <c r="U3296" t="s">
        <v>35</v>
      </c>
      <c r="V3296" t="s">
        <v>645</v>
      </c>
      <c r="W3296" t="s">
        <v>113</v>
      </c>
    </row>
    <row r="3297" spans="1:23" hidden="1" x14ac:dyDescent="0.25">
      <c r="A3297" s="7" t="str">
        <f>IFERROR(VLOOKUP(H3297,'Contas Orç'!A:B,2,0),"N/A")</f>
        <v>INFORMATICA</v>
      </c>
      <c r="B3297" s="7" t="str">
        <f t="shared" si="102"/>
        <v>330404 - INFORMATICA</v>
      </c>
      <c r="C3297" s="25">
        <f t="shared" si="103"/>
        <v>44774</v>
      </c>
      <c r="D3297" s="27">
        <f>IF(K3297="CREDITO",Q3297,Q3297*-1)</f>
        <v>1391.05</v>
      </c>
      <c r="E3297" t="s">
        <v>894</v>
      </c>
      <c r="F3297" t="s">
        <v>3792</v>
      </c>
      <c r="G3297" s="8">
        <v>44774</v>
      </c>
      <c r="H3297" t="s">
        <v>597</v>
      </c>
      <c r="I3297" t="s">
        <v>40</v>
      </c>
      <c r="J3297" t="s">
        <v>54</v>
      </c>
      <c r="K3297" t="s">
        <v>29</v>
      </c>
      <c r="L3297" t="s">
        <v>895</v>
      </c>
      <c r="M3297" t="s">
        <v>4402</v>
      </c>
      <c r="O3297" t="s">
        <v>896</v>
      </c>
      <c r="P3297" t="s">
        <v>33</v>
      </c>
      <c r="Q3297" s="22">
        <v>1391.05</v>
      </c>
      <c r="R3297" t="s">
        <v>35</v>
      </c>
      <c r="S3297" t="s">
        <v>35</v>
      </c>
      <c r="T3297" t="s">
        <v>35</v>
      </c>
      <c r="U3297" t="s">
        <v>35</v>
      </c>
      <c r="V3297" t="s">
        <v>645</v>
      </c>
      <c r="W3297" t="s">
        <v>113</v>
      </c>
    </row>
    <row r="3298" spans="1:23" hidden="1" x14ac:dyDescent="0.25">
      <c r="A3298" s="7" t="str">
        <f>IFERROR(VLOOKUP(H3298,'Contas Orç'!A:B,2,0),"N/A")</f>
        <v>INFORMATICA</v>
      </c>
      <c r="B3298" s="7" t="str">
        <f t="shared" si="102"/>
        <v>330404 - INFORMATICA</v>
      </c>
      <c r="C3298" s="25">
        <f t="shared" si="103"/>
        <v>44805</v>
      </c>
      <c r="D3298" s="27">
        <f>IF(K3298="CREDITO",Q3298,Q3298*-1)</f>
        <v>100</v>
      </c>
      <c r="E3298" t="s">
        <v>894</v>
      </c>
      <c r="F3298" t="s">
        <v>3793</v>
      </c>
      <c r="G3298" s="8">
        <v>44805</v>
      </c>
      <c r="H3298" t="s">
        <v>597</v>
      </c>
      <c r="I3298" t="s">
        <v>40</v>
      </c>
      <c r="J3298" t="s">
        <v>54</v>
      </c>
      <c r="K3298" t="s">
        <v>29</v>
      </c>
      <c r="L3298" t="s">
        <v>895</v>
      </c>
      <c r="M3298" t="s">
        <v>4402</v>
      </c>
      <c r="O3298" t="s">
        <v>896</v>
      </c>
      <c r="P3298" t="s">
        <v>33</v>
      </c>
      <c r="Q3298">
        <v>100</v>
      </c>
      <c r="R3298" t="s">
        <v>35</v>
      </c>
      <c r="S3298" t="s">
        <v>35</v>
      </c>
      <c r="T3298" t="s">
        <v>35</v>
      </c>
      <c r="U3298" t="s">
        <v>35</v>
      </c>
      <c r="V3298" t="s">
        <v>645</v>
      </c>
      <c r="W3298" t="s">
        <v>113</v>
      </c>
    </row>
    <row r="3299" spans="1:23" hidden="1" x14ac:dyDescent="0.25">
      <c r="A3299" s="7" t="str">
        <f>IFERROR(VLOOKUP(H3299,'Contas Orç'!A:B,2,0),"N/A")</f>
        <v>INFORMATICA</v>
      </c>
      <c r="B3299" s="7" t="str">
        <f t="shared" si="102"/>
        <v>330404 - INFORMATICA</v>
      </c>
      <c r="C3299" s="25">
        <f t="shared" si="103"/>
        <v>44835</v>
      </c>
      <c r="D3299" s="27">
        <f>IF(K3299="CREDITO",Q3299,Q3299*-1)</f>
        <v>101</v>
      </c>
      <c r="E3299" t="s">
        <v>894</v>
      </c>
      <c r="F3299" t="s">
        <v>3794</v>
      </c>
      <c r="G3299" s="8">
        <v>44835</v>
      </c>
      <c r="H3299" t="s">
        <v>597</v>
      </c>
      <c r="I3299" t="s">
        <v>40</v>
      </c>
      <c r="J3299" t="s">
        <v>54</v>
      </c>
      <c r="K3299" t="s">
        <v>29</v>
      </c>
      <c r="L3299" t="s">
        <v>895</v>
      </c>
      <c r="M3299" t="s">
        <v>4402</v>
      </c>
      <c r="O3299" t="s">
        <v>896</v>
      </c>
      <c r="P3299" t="s">
        <v>33</v>
      </c>
      <c r="Q3299">
        <v>101</v>
      </c>
      <c r="R3299" t="s">
        <v>35</v>
      </c>
      <c r="S3299" t="s">
        <v>35</v>
      </c>
      <c r="T3299" t="s">
        <v>35</v>
      </c>
      <c r="U3299" t="s">
        <v>35</v>
      </c>
      <c r="V3299" t="s">
        <v>645</v>
      </c>
      <c r="W3299" t="s">
        <v>113</v>
      </c>
    </row>
    <row r="3300" spans="1:23" hidden="1" x14ac:dyDescent="0.25">
      <c r="A3300" s="7" t="str">
        <f>IFERROR(VLOOKUP(H3300,'Contas Orç'!A:B,2,0),"N/A")</f>
        <v>INFORMATICA</v>
      </c>
      <c r="B3300" s="7" t="str">
        <f t="shared" si="102"/>
        <v>330404 - INFORMATICA</v>
      </c>
      <c r="C3300" s="25">
        <f t="shared" si="103"/>
        <v>44866</v>
      </c>
      <c r="D3300" s="27">
        <f>IF(K3300="CREDITO",Q3300,Q3300*-1)</f>
        <v>102.01</v>
      </c>
      <c r="E3300" t="s">
        <v>894</v>
      </c>
      <c r="F3300" t="s">
        <v>3795</v>
      </c>
      <c r="G3300" s="8">
        <v>44866</v>
      </c>
      <c r="H3300" t="s">
        <v>597</v>
      </c>
      <c r="I3300" t="s">
        <v>40</v>
      </c>
      <c r="J3300" t="s">
        <v>54</v>
      </c>
      <c r="K3300" t="s">
        <v>29</v>
      </c>
      <c r="L3300" t="s">
        <v>895</v>
      </c>
      <c r="M3300" t="s">
        <v>4402</v>
      </c>
      <c r="O3300" t="s">
        <v>896</v>
      </c>
      <c r="P3300" t="s">
        <v>33</v>
      </c>
      <c r="Q3300">
        <v>102.01</v>
      </c>
      <c r="R3300" t="s">
        <v>35</v>
      </c>
      <c r="S3300" t="s">
        <v>35</v>
      </c>
      <c r="T3300" t="s">
        <v>35</v>
      </c>
      <c r="U3300" t="s">
        <v>35</v>
      </c>
      <c r="V3300" t="s">
        <v>645</v>
      </c>
      <c r="W3300" t="s">
        <v>113</v>
      </c>
    </row>
    <row r="3301" spans="1:23" hidden="1" x14ac:dyDescent="0.25">
      <c r="A3301" s="7" t="str">
        <f>IFERROR(VLOOKUP(H3301,'Contas Orç'!A:B,2,0),"N/A")</f>
        <v>INFORMATICA</v>
      </c>
      <c r="B3301" s="7" t="str">
        <f t="shared" si="102"/>
        <v>330404 - INFORMATICA</v>
      </c>
      <c r="C3301" s="25">
        <f t="shared" si="103"/>
        <v>44896</v>
      </c>
      <c r="D3301" s="27">
        <f>IF(K3301="CREDITO",Q3301,Q3301*-1)</f>
        <v>103.03</v>
      </c>
      <c r="E3301" t="s">
        <v>894</v>
      </c>
      <c r="F3301" t="s">
        <v>3796</v>
      </c>
      <c r="G3301" s="8">
        <v>44896</v>
      </c>
      <c r="H3301" t="s">
        <v>597</v>
      </c>
      <c r="I3301" t="s">
        <v>40</v>
      </c>
      <c r="J3301" t="s">
        <v>54</v>
      </c>
      <c r="K3301" t="s">
        <v>29</v>
      </c>
      <c r="L3301" t="s">
        <v>895</v>
      </c>
      <c r="M3301" t="s">
        <v>4402</v>
      </c>
      <c r="O3301" t="s">
        <v>896</v>
      </c>
      <c r="P3301" t="s">
        <v>33</v>
      </c>
      <c r="Q3301">
        <v>103.03</v>
      </c>
      <c r="R3301" t="s">
        <v>35</v>
      </c>
      <c r="S3301" t="s">
        <v>35</v>
      </c>
      <c r="T3301" t="s">
        <v>35</v>
      </c>
      <c r="U3301" t="s">
        <v>35</v>
      </c>
      <c r="V3301" t="s">
        <v>645</v>
      </c>
      <c r="W3301" t="s">
        <v>113</v>
      </c>
    </row>
    <row r="3302" spans="1:23" hidden="1" x14ac:dyDescent="0.25">
      <c r="A3302" s="7" t="str">
        <f>IFERROR(VLOOKUP(H3302,'Contas Orç'!A:B,2,0),"N/A")</f>
        <v>PREMIO DE SEGUROS</v>
      </c>
      <c r="B3302" s="7" t="str">
        <f t="shared" si="102"/>
        <v>330405 - PREMIO DE SEGUROS</v>
      </c>
      <c r="C3302" s="25">
        <f t="shared" si="103"/>
        <v>44562</v>
      </c>
      <c r="D3302" s="27">
        <f>IF(K3302="CREDITO",Q3302,Q3302*-1)</f>
        <v>4830.28</v>
      </c>
      <c r="E3302" t="s">
        <v>894</v>
      </c>
      <c r="F3302" t="s">
        <v>3797</v>
      </c>
      <c r="G3302" s="8">
        <v>44562</v>
      </c>
      <c r="H3302" t="s">
        <v>598</v>
      </c>
      <c r="I3302" t="s">
        <v>40</v>
      </c>
      <c r="J3302" t="s">
        <v>54</v>
      </c>
      <c r="K3302" t="s">
        <v>29</v>
      </c>
      <c r="L3302" t="s">
        <v>895</v>
      </c>
      <c r="M3302" t="s">
        <v>4402</v>
      </c>
      <c r="O3302" t="s">
        <v>896</v>
      </c>
      <c r="P3302" t="s">
        <v>33</v>
      </c>
      <c r="Q3302" s="22">
        <v>4830.28</v>
      </c>
      <c r="R3302" t="s">
        <v>35</v>
      </c>
      <c r="S3302" t="s">
        <v>35</v>
      </c>
      <c r="T3302" t="s">
        <v>35</v>
      </c>
      <c r="U3302" t="s">
        <v>35</v>
      </c>
      <c r="V3302" t="s">
        <v>645</v>
      </c>
      <c r="W3302" t="s">
        <v>113</v>
      </c>
    </row>
    <row r="3303" spans="1:23" hidden="1" x14ac:dyDescent="0.25">
      <c r="A3303" s="7" t="str">
        <f>IFERROR(VLOOKUP(H3303,'Contas Orç'!A:B,2,0),"N/A")</f>
        <v>PREMIO DE SEGUROS</v>
      </c>
      <c r="B3303" s="7" t="str">
        <f t="shared" si="102"/>
        <v>330405 - PREMIO DE SEGUROS</v>
      </c>
      <c r="C3303" s="25">
        <f t="shared" si="103"/>
        <v>44593</v>
      </c>
      <c r="D3303" s="27">
        <f>IF(K3303="CREDITO",Q3303,Q3303*-1)</f>
        <v>4830.28</v>
      </c>
      <c r="E3303" t="s">
        <v>894</v>
      </c>
      <c r="F3303" t="s">
        <v>3798</v>
      </c>
      <c r="G3303" s="8">
        <v>44593</v>
      </c>
      <c r="H3303" t="s">
        <v>598</v>
      </c>
      <c r="I3303" t="s">
        <v>40</v>
      </c>
      <c r="J3303" t="s">
        <v>54</v>
      </c>
      <c r="K3303" t="s">
        <v>29</v>
      </c>
      <c r="L3303" t="s">
        <v>895</v>
      </c>
      <c r="M3303" t="s">
        <v>4402</v>
      </c>
      <c r="O3303" t="s">
        <v>896</v>
      </c>
      <c r="P3303" t="s">
        <v>33</v>
      </c>
      <c r="Q3303" s="22">
        <v>4830.28</v>
      </c>
      <c r="R3303" t="s">
        <v>35</v>
      </c>
      <c r="S3303" t="s">
        <v>35</v>
      </c>
      <c r="T3303" t="s">
        <v>35</v>
      </c>
      <c r="U3303" t="s">
        <v>35</v>
      </c>
      <c r="V3303" t="s">
        <v>645</v>
      </c>
      <c r="W3303" t="s">
        <v>113</v>
      </c>
    </row>
    <row r="3304" spans="1:23" hidden="1" x14ac:dyDescent="0.25">
      <c r="A3304" s="7" t="str">
        <f>IFERROR(VLOOKUP(H3304,'Contas Orç'!A:B,2,0),"N/A")</f>
        <v>PREMIO DE SEGUROS</v>
      </c>
      <c r="B3304" s="7" t="str">
        <f t="shared" si="102"/>
        <v>330405 - PREMIO DE SEGUROS</v>
      </c>
      <c r="C3304" s="25">
        <f t="shared" si="103"/>
        <v>44621</v>
      </c>
      <c r="D3304" s="27">
        <f>IF(K3304="CREDITO",Q3304,Q3304*-1)</f>
        <v>3663.12</v>
      </c>
      <c r="E3304" t="s">
        <v>894</v>
      </c>
      <c r="F3304" t="s">
        <v>3799</v>
      </c>
      <c r="G3304" s="8">
        <v>44621</v>
      </c>
      <c r="H3304" t="s">
        <v>598</v>
      </c>
      <c r="I3304" t="s">
        <v>40</v>
      </c>
      <c r="J3304" t="s">
        <v>54</v>
      </c>
      <c r="K3304" t="s">
        <v>29</v>
      </c>
      <c r="L3304" t="s">
        <v>895</v>
      </c>
      <c r="M3304" t="s">
        <v>4402</v>
      </c>
      <c r="O3304" t="s">
        <v>896</v>
      </c>
      <c r="P3304" t="s">
        <v>33</v>
      </c>
      <c r="Q3304" s="22">
        <v>3663.12</v>
      </c>
      <c r="R3304" t="s">
        <v>35</v>
      </c>
      <c r="S3304" t="s">
        <v>35</v>
      </c>
      <c r="T3304" t="s">
        <v>35</v>
      </c>
      <c r="U3304" t="s">
        <v>35</v>
      </c>
      <c r="V3304" t="s">
        <v>645</v>
      </c>
      <c r="W3304" t="s">
        <v>113</v>
      </c>
    </row>
    <row r="3305" spans="1:23" hidden="1" x14ac:dyDescent="0.25">
      <c r="A3305" s="7" t="str">
        <f>IFERROR(VLOOKUP(H3305,'Contas Orç'!A:B,2,0),"N/A")</f>
        <v>PREMIO DE SEGUROS</v>
      </c>
      <c r="B3305" s="7" t="str">
        <f t="shared" si="102"/>
        <v>330405 - PREMIO DE SEGUROS</v>
      </c>
      <c r="C3305" s="25">
        <f t="shared" si="103"/>
        <v>44652</v>
      </c>
      <c r="D3305" s="27">
        <f>IF(K3305="CREDITO",Q3305,Q3305*-1)</f>
        <v>428.35</v>
      </c>
      <c r="E3305" t="s">
        <v>894</v>
      </c>
      <c r="F3305" t="s">
        <v>3800</v>
      </c>
      <c r="G3305" s="8">
        <v>44652</v>
      </c>
      <c r="H3305" t="s">
        <v>598</v>
      </c>
      <c r="I3305" t="s">
        <v>40</v>
      </c>
      <c r="J3305" t="s">
        <v>54</v>
      </c>
      <c r="K3305" t="s">
        <v>29</v>
      </c>
      <c r="L3305" t="s">
        <v>895</v>
      </c>
      <c r="M3305" t="s">
        <v>4402</v>
      </c>
      <c r="O3305" t="s">
        <v>896</v>
      </c>
      <c r="P3305" t="s">
        <v>33</v>
      </c>
      <c r="Q3305">
        <v>428.35</v>
      </c>
      <c r="R3305" t="s">
        <v>35</v>
      </c>
      <c r="S3305" t="s">
        <v>35</v>
      </c>
      <c r="T3305" t="s">
        <v>35</v>
      </c>
      <c r="U3305" t="s">
        <v>35</v>
      </c>
      <c r="V3305" t="s">
        <v>645</v>
      </c>
      <c r="W3305" t="s">
        <v>113</v>
      </c>
    </row>
    <row r="3306" spans="1:23" hidden="1" x14ac:dyDescent="0.25">
      <c r="A3306" s="7" t="str">
        <f>IFERROR(VLOOKUP(H3306,'Contas Orç'!A:B,2,0),"N/A")</f>
        <v>PREMIO DE SEGUROS</v>
      </c>
      <c r="B3306" s="7" t="str">
        <f t="shared" si="102"/>
        <v>330405 - PREMIO DE SEGUROS</v>
      </c>
      <c r="C3306" s="25">
        <f t="shared" si="103"/>
        <v>44682</v>
      </c>
      <c r="D3306" s="27">
        <f>IF(K3306="CREDITO",Q3306,Q3306*-1)</f>
        <v>428.35</v>
      </c>
      <c r="E3306" t="s">
        <v>894</v>
      </c>
      <c r="F3306" t="s">
        <v>3801</v>
      </c>
      <c r="G3306" s="8">
        <v>44682</v>
      </c>
      <c r="H3306" t="s">
        <v>598</v>
      </c>
      <c r="I3306" t="s">
        <v>40</v>
      </c>
      <c r="J3306" t="s">
        <v>54</v>
      </c>
      <c r="K3306" t="s">
        <v>29</v>
      </c>
      <c r="L3306" t="s">
        <v>895</v>
      </c>
      <c r="M3306" t="s">
        <v>4402</v>
      </c>
      <c r="O3306" t="s">
        <v>896</v>
      </c>
      <c r="P3306" t="s">
        <v>33</v>
      </c>
      <c r="Q3306">
        <v>428.35</v>
      </c>
      <c r="R3306" t="s">
        <v>35</v>
      </c>
      <c r="S3306" t="s">
        <v>35</v>
      </c>
      <c r="T3306" t="s">
        <v>35</v>
      </c>
      <c r="U3306" t="s">
        <v>35</v>
      </c>
      <c r="V3306" t="s">
        <v>645</v>
      </c>
      <c r="W3306" t="s">
        <v>113</v>
      </c>
    </row>
    <row r="3307" spans="1:23" hidden="1" x14ac:dyDescent="0.25">
      <c r="A3307" s="7" t="str">
        <f>IFERROR(VLOOKUP(H3307,'Contas Orç'!A:B,2,0),"N/A")</f>
        <v>PREMIO DE SEGUROS</v>
      </c>
      <c r="B3307" s="7" t="str">
        <f t="shared" si="102"/>
        <v>330405 - PREMIO DE SEGUROS</v>
      </c>
      <c r="C3307" s="25">
        <f t="shared" si="103"/>
        <v>44713</v>
      </c>
      <c r="D3307" s="27">
        <f>IF(K3307="CREDITO",Q3307,Q3307*-1)</f>
        <v>428.35</v>
      </c>
      <c r="E3307" t="s">
        <v>894</v>
      </c>
      <c r="F3307" t="s">
        <v>3802</v>
      </c>
      <c r="G3307" s="8">
        <v>44713</v>
      </c>
      <c r="H3307" t="s">
        <v>598</v>
      </c>
      <c r="I3307" t="s">
        <v>40</v>
      </c>
      <c r="J3307" t="s">
        <v>54</v>
      </c>
      <c r="K3307" t="s">
        <v>29</v>
      </c>
      <c r="L3307" t="s">
        <v>895</v>
      </c>
      <c r="M3307" t="s">
        <v>4402</v>
      </c>
      <c r="O3307" t="s">
        <v>896</v>
      </c>
      <c r="P3307" t="s">
        <v>33</v>
      </c>
      <c r="Q3307">
        <v>428.35</v>
      </c>
      <c r="R3307" t="s">
        <v>35</v>
      </c>
      <c r="S3307" t="s">
        <v>35</v>
      </c>
      <c r="T3307" t="s">
        <v>35</v>
      </c>
      <c r="U3307" t="s">
        <v>35</v>
      </c>
      <c r="V3307" t="s">
        <v>645</v>
      </c>
      <c r="W3307" t="s">
        <v>113</v>
      </c>
    </row>
    <row r="3308" spans="1:23" hidden="1" x14ac:dyDescent="0.25">
      <c r="A3308" s="7" t="str">
        <f>IFERROR(VLOOKUP(H3308,'Contas Orç'!A:B,2,0),"N/A")</f>
        <v>PREMIO DE SEGUROS</v>
      </c>
      <c r="B3308" s="7" t="str">
        <f t="shared" si="102"/>
        <v>330405 - PREMIO DE SEGUROS</v>
      </c>
      <c r="C3308" s="25">
        <f t="shared" si="103"/>
        <v>44743</v>
      </c>
      <c r="D3308" s="27">
        <f>IF(K3308="CREDITO",Q3308,Q3308*-1)</f>
        <v>428.35</v>
      </c>
      <c r="E3308" t="s">
        <v>894</v>
      </c>
      <c r="F3308" t="s">
        <v>3803</v>
      </c>
      <c r="G3308" s="8">
        <v>44743</v>
      </c>
      <c r="H3308" t="s">
        <v>598</v>
      </c>
      <c r="I3308" t="s">
        <v>40</v>
      </c>
      <c r="J3308" t="s">
        <v>54</v>
      </c>
      <c r="K3308" t="s">
        <v>29</v>
      </c>
      <c r="L3308" t="s">
        <v>895</v>
      </c>
      <c r="M3308" t="s">
        <v>4402</v>
      </c>
      <c r="O3308" t="s">
        <v>896</v>
      </c>
      <c r="P3308" t="s">
        <v>33</v>
      </c>
      <c r="Q3308">
        <v>428.35</v>
      </c>
      <c r="R3308" t="s">
        <v>35</v>
      </c>
      <c r="S3308" t="s">
        <v>35</v>
      </c>
      <c r="T3308" t="s">
        <v>35</v>
      </c>
      <c r="U3308" t="s">
        <v>35</v>
      </c>
      <c r="V3308" t="s">
        <v>645</v>
      </c>
      <c r="W3308" t="s">
        <v>113</v>
      </c>
    </row>
    <row r="3309" spans="1:23" hidden="1" x14ac:dyDescent="0.25">
      <c r="A3309" s="7" t="str">
        <f>IFERROR(VLOOKUP(H3309,'Contas Orç'!A:B,2,0),"N/A")</f>
        <v>MANUTENCAO E CONSERVACAO</v>
      </c>
      <c r="B3309" s="7" t="str">
        <f t="shared" si="102"/>
        <v>330406 - MANUTENCAO E CONSERVACAO</v>
      </c>
      <c r="C3309" s="25">
        <f t="shared" si="103"/>
        <v>44562</v>
      </c>
      <c r="D3309" s="27">
        <f>IF(K3309="CREDITO",Q3309,Q3309*-1)</f>
        <v>1520</v>
      </c>
      <c r="E3309" t="s">
        <v>894</v>
      </c>
      <c r="F3309" t="s">
        <v>3804</v>
      </c>
      <c r="G3309" s="8">
        <v>44562</v>
      </c>
      <c r="H3309" t="s">
        <v>322</v>
      </c>
      <c r="I3309" t="s">
        <v>68</v>
      </c>
      <c r="J3309" t="s">
        <v>69</v>
      </c>
      <c r="K3309" t="s">
        <v>29</v>
      </c>
      <c r="L3309" t="s">
        <v>895</v>
      </c>
      <c r="M3309" t="s">
        <v>4402</v>
      </c>
      <c r="O3309" t="s">
        <v>896</v>
      </c>
      <c r="P3309" t="s">
        <v>33</v>
      </c>
      <c r="Q3309" s="22">
        <v>1520</v>
      </c>
      <c r="R3309" t="s">
        <v>35</v>
      </c>
      <c r="S3309" t="s">
        <v>35</v>
      </c>
      <c r="T3309" t="s">
        <v>35</v>
      </c>
      <c r="U3309" t="s">
        <v>35</v>
      </c>
      <c r="V3309" t="s">
        <v>645</v>
      </c>
      <c r="W3309" t="s">
        <v>113</v>
      </c>
    </row>
    <row r="3310" spans="1:23" hidden="1" x14ac:dyDescent="0.25">
      <c r="A3310" s="7" t="str">
        <f>IFERROR(VLOOKUP(H3310,'Contas Orç'!A:B,2,0),"N/A")</f>
        <v>MANUTENCAO E CONSERVACAO</v>
      </c>
      <c r="B3310" s="7" t="str">
        <f t="shared" si="102"/>
        <v>330406 - MANUTENCAO E CONSERVACAO</v>
      </c>
      <c r="C3310" s="25">
        <f t="shared" si="103"/>
        <v>44562</v>
      </c>
      <c r="D3310" s="27">
        <f>IF(K3310="CREDITO",Q3310,Q3310*-1)</f>
        <v>165.45</v>
      </c>
      <c r="E3310" t="s">
        <v>894</v>
      </c>
      <c r="F3310" t="s">
        <v>3805</v>
      </c>
      <c r="G3310" s="8">
        <v>44562</v>
      </c>
      <c r="H3310" t="s">
        <v>322</v>
      </c>
      <c r="I3310" t="s">
        <v>81</v>
      </c>
      <c r="J3310" t="s">
        <v>54</v>
      </c>
      <c r="K3310" t="s">
        <v>29</v>
      </c>
      <c r="L3310" t="s">
        <v>895</v>
      </c>
      <c r="M3310" t="s">
        <v>4402</v>
      </c>
      <c r="O3310" t="s">
        <v>896</v>
      </c>
      <c r="P3310" t="s">
        <v>33</v>
      </c>
      <c r="Q3310">
        <v>165.45</v>
      </c>
      <c r="R3310" t="s">
        <v>35</v>
      </c>
      <c r="S3310" t="s">
        <v>35</v>
      </c>
      <c r="T3310" t="s">
        <v>35</v>
      </c>
      <c r="U3310" t="s">
        <v>35</v>
      </c>
      <c r="V3310" t="s">
        <v>645</v>
      </c>
      <c r="W3310" t="s">
        <v>113</v>
      </c>
    </row>
    <row r="3311" spans="1:23" hidden="1" x14ac:dyDescent="0.25">
      <c r="A3311" s="7" t="str">
        <f>IFERROR(VLOOKUP(H3311,'Contas Orç'!A:B,2,0),"N/A")</f>
        <v>MANUTENCAO E CONSERVACAO</v>
      </c>
      <c r="B3311" s="7" t="str">
        <f t="shared" si="102"/>
        <v>330406 - MANUTENCAO E CONSERVACAO</v>
      </c>
      <c r="C3311" s="25">
        <f t="shared" si="103"/>
        <v>44562</v>
      </c>
      <c r="D3311" s="27">
        <f>IF(K3311="CREDITO",Q3311,Q3311*-1)</f>
        <v>359.9</v>
      </c>
      <c r="E3311" t="s">
        <v>894</v>
      </c>
      <c r="F3311" t="s">
        <v>3806</v>
      </c>
      <c r="G3311" s="8">
        <v>44562</v>
      </c>
      <c r="H3311" t="s">
        <v>322</v>
      </c>
      <c r="I3311" t="s">
        <v>136</v>
      </c>
      <c r="J3311" t="s">
        <v>54</v>
      </c>
      <c r="K3311" t="s">
        <v>29</v>
      </c>
      <c r="L3311" t="s">
        <v>895</v>
      </c>
      <c r="M3311" t="s">
        <v>4402</v>
      </c>
      <c r="O3311" t="s">
        <v>896</v>
      </c>
      <c r="P3311" t="s">
        <v>33</v>
      </c>
      <c r="Q3311">
        <v>359.9</v>
      </c>
      <c r="R3311" t="s">
        <v>35</v>
      </c>
      <c r="S3311" t="s">
        <v>35</v>
      </c>
      <c r="T3311" t="s">
        <v>35</v>
      </c>
      <c r="U3311" t="s">
        <v>35</v>
      </c>
      <c r="V3311" t="s">
        <v>645</v>
      </c>
      <c r="W3311" t="s">
        <v>113</v>
      </c>
    </row>
    <row r="3312" spans="1:23" hidden="1" x14ac:dyDescent="0.25">
      <c r="A3312" s="7" t="str">
        <f>IFERROR(VLOOKUP(H3312,'Contas Orç'!A:B,2,0),"N/A")</f>
        <v>MANUTENCAO E CONSERVACAO</v>
      </c>
      <c r="B3312" s="7" t="str">
        <f t="shared" si="102"/>
        <v>330406 - MANUTENCAO E CONSERVACAO</v>
      </c>
      <c r="C3312" s="25">
        <f t="shared" si="103"/>
        <v>44593</v>
      </c>
      <c r="D3312" s="27">
        <f>IF(K3312="CREDITO",Q3312,Q3312*-1)</f>
        <v>395.1</v>
      </c>
      <c r="E3312" t="s">
        <v>894</v>
      </c>
      <c r="F3312" t="s">
        <v>3807</v>
      </c>
      <c r="G3312" s="8">
        <v>44593</v>
      </c>
      <c r="H3312" t="s">
        <v>322</v>
      </c>
      <c r="I3312" t="s">
        <v>2062</v>
      </c>
      <c r="J3312" t="s">
        <v>54</v>
      </c>
      <c r="K3312" t="s">
        <v>29</v>
      </c>
      <c r="L3312" t="s">
        <v>895</v>
      </c>
      <c r="M3312" t="s">
        <v>4402</v>
      </c>
      <c r="O3312" t="s">
        <v>896</v>
      </c>
      <c r="P3312" t="s">
        <v>33</v>
      </c>
      <c r="Q3312">
        <v>395.1</v>
      </c>
      <c r="R3312" t="s">
        <v>35</v>
      </c>
      <c r="S3312" t="s">
        <v>35</v>
      </c>
      <c r="T3312" t="s">
        <v>35</v>
      </c>
      <c r="U3312" t="s">
        <v>35</v>
      </c>
      <c r="V3312" t="s">
        <v>645</v>
      </c>
      <c r="W3312" t="s">
        <v>113</v>
      </c>
    </row>
    <row r="3313" spans="1:23" hidden="1" x14ac:dyDescent="0.25">
      <c r="A3313" s="7" t="str">
        <f>IFERROR(VLOOKUP(H3313,'Contas Orç'!A:B,2,0),"N/A")</f>
        <v>MANUTENCAO E CONSERVACAO</v>
      </c>
      <c r="B3313" s="7" t="str">
        <f t="shared" si="102"/>
        <v>330406 - MANUTENCAO E CONSERVACAO</v>
      </c>
      <c r="C3313" s="25">
        <f t="shared" si="103"/>
        <v>44593</v>
      </c>
      <c r="D3313" s="27">
        <f>IF(K3313="CREDITO",Q3313,Q3313*-1)</f>
        <v>768.9</v>
      </c>
      <c r="E3313" t="s">
        <v>894</v>
      </c>
      <c r="F3313" t="s">
        <v>3808</v>
      </c>
      <c r="G3313" s="8">
        <v>44593</v>
      </c>
      <c r="H3313" t="s">
        <v>322</v>
      </c>
      <c r="I3313" t="s">
        <v>40</v>
      </c>
      <c r="J3313" t="s">
        <v>54</v>
      </c>
      <c r="K3313" t="s">
        <v>29</v>
      </c>
      <c r="L3313" t="s">
        <v>895</v>
      </c>
      <c r="M3313" t="s">
        <v>4402</v>
      </c>
      <c r="O3313" t="s">
        <v>896</v>
      </c>
      <c r="P3313" t="s">
        <v>33</v>
      </c>
      <c r="Q3313">
        <v>768.9</v>
      </c>
      <c r="R3313" t="s">
        <v>35</v>
      </c>
      <c r="S3313" t="s">
        <v>35</v>
      </c>
      <c r="T3313" t="s">
        <v>35</v>
      </c>
      <c r="U3313" t="s">
        <v>35</v>
      </c>
      <c r="V3313" t="s">
        <v>645</v>
      </c>
      <c r="W3313" t="s">
        <v>113</v>
      </c>
    </row>
    <row r="3314" spans="1:23" hidden="1" x14ac:dyDescent="0.25">
      <c r="A3314" s="7" t="str">
        <f>IFERROR(VLOOKUP(H3314,'Contas Orç'!A:B,2,0),"N/A")</f>
        <v>MANUTENCAO E CONSERVACAO</v>
      </c>
      <c r="B3314" s="7" t="str">
        <f t="shared" si="102"/>
        <v>330406 - MANUTENCAO E CONSERVACAO</v>
      </c>
      <c r="C3314" s="25">
        <f t="shared" si="103"/>
        <v>44621</v>
      </c>
      <c r="D3314" s="27">
        <f>IF(K3314="CREDITO",Q3314,Q3314*-1)</f>
        <v>220</v>
      </c>
      <c r="E3314" t="s">
        <v>894</v>
      </c>
      <c r="F3314" t="s">
        <v>3809</v>
      </c>
      <c r="G3314" s="8">
        <v>44621</v>
      </c>
      <c r="H3314" t="s">
        <v>322</v>
      </c>
      <c r="I3314" t="s">
        <v>2062</v>
      </c>
      <c r="J3314" t="s">
        <v>54</v>
      </c>
      <c r="K3314" t="s">
        <v>29</v>
      </c>
      <c r="L3314" t="s">
        <v>895</v>
      </c>
      <c r="M3314" t="s">
        <v>4402</v>
      </c>
      <c r="O3314" t="s">
        <v>896</v>
      </c>
      <c r="P3314" t="s">
        <v>33</v>
      </c>
      <c r="Q3314">
        <v>220</v>
      </c>
      <c r="R3314" t="s">
        <v>35</v>
      </c>
      <c r="S3314" t="s">
        <v>35</v>
      </c>
      <c r="T3314" t="s">
        <v>35</v>
      </c>
      <c r="U3314" t="s">
        <v>35</v>
      </c>
      <c r="V3314" t="s">
        <v>645</v>
      </c>
      <c r="W3314" t="s">
        <v>113</v>
      </c>
    </row>
    <row r="3315" spans="1:23" hidden="1" x14ac:dyDescent="0.25">
      <c r="A3315" s="7" t="str">
        <f>IFERROR(VLOOKUP(H3315,'Contas Orç'!A:B,2,0),"N/A")</f>
        <v>MANUTENCAO E CONSERVACAO</v>
      </c>
      <c r="B3315" s="7" t="str">
        <f t="shared" si="102"/>
        <v>330406 - MANUTENCAO E CONSERVACAO</v>
      </c>
      <c r="C3315" s="25">
        <f t="shared" si="103"/>
        <v>44652</v>
      </c>
      <c r="D3315" s="27">
        <f>IF(K3315="CREDITO",Q3315,Q3315*-1)</f>
        <v>410</v>
      </c>
      <c r="E3315" t="s">
        <v>894</v>
      </c>
      <c r="F3315" t="s">
        <v>3810</v>
      </c>
      <c r="G3315" s="8">
        <v>44652</v>
      </c>
      <c r="H3315" t="s">
        <v>322</v>
      </c>
      <c r="I3315" t="s">
        <v>40</v>
      </c>
      <c r="J3315" t="s">
        <v>54</v>
      </c>
      <c r="K3315" t="s">
        <v>29</v>
      </c>
      <c r="L3315" t="s">
        <v>895</v>
      </c>
      <c r="M3315" t="s">
        <v>4402</v>
      </c>
      <c r="O3315" t="s">
        <v>896</v>
      </c>
      <c r="P3315" t="s">
        <v>33</v>
      </c>
      <c r="Q3315">
        <v>410</v>
      </c>
      <c r="R3315" t="s">
        <v>35</v>
      </c>
      <c r="S3315" t="s">
        <v>35</v>
      </c>
      <c r="T3315" t="s">
        <v>35</v>
      </c>
      <c r="U3315" t="s">
        <v>35</v>
      </c>
      <c r="V3315" t="s">
        <v>645</v>
      </c>
      <c r="W3315" t="s">
        <v>113</v>
      </c>
    </row>
    <row r="3316" spans="1:23" hidden="1" x14ac:dyDescent="0.25">
      <c r="A3316" s="7" t="str">
        <f>IFERROR(VLOOKUP(H3316,'Contas Orç'!A:B,2,0),"N/A")</f>
        <v>MANUTENCAO E CONSERVACAO</v>
      </c>
      <c r="B3316" s="7" t="str">
        <f t="shared" si="102"/>
        <v>330406 - MANUTENCAO E CONSERVACAO</v>
      </c>
      <c r="C3316" s="25">
        <f t="shared" si="103"/>
        <v>44652</v>
      </c>
      <c r="D3316" s="27">
        <f>IF(K3316="CREDITO",Q3316,Q3316*-1)</f>
        <v>7456.1</v>
      </c>
      <c r="E3316" t="s">
        <v>894</v>
      </c>
      <c r="F3316" t="s">
        <v>3811</v>
      </c>
      <c r="G3316" s="8">
        <v>44652</v>
      </c>
      <c r="H3316" t="s">
        <v>322</v>
      </c>
      <c r="I3316" t="s">
        <v>136</v>
      </c>
      <c r="J3316" t="s">
        <v>54</v>
      </c>
      <c r="K3316" t="s">
        <v>29</v>
      </c>
      <c r="L3316" t="s">
        <v>895</v>
      </c>
      <c r="M3316" t="s">
        <v>4402</v>
      </c>
      <c r="O3316" t="s">
        <v>896</v>
      </c>
      <c r="P3316" t="s">
        <v>33</v>
      </c>
      <c r="Q3316" s="22">
        <v>7456.1</v>
      </c>
      <c r="R3316" t="s">
        <v>35</v>
      </c>
      <c r="S3316" t="s">
        <v>35</v>
      </c>
      <c r="T3316" t="s">
        <v>35</v>
      </c>
      <c r="U3316" t="s">
        <v>35</v>
      </c>
      <c r="V3316" t="s">
        <v>645</v>
      </c>
      <c r="W3316" t="s">
        <v>113</v>
      </c>
    </row>
    <row r="3317" spans="1:23" hidden="1" x14ac:dyDescent="0.25">
      <c r="A3317" s="7" t="str">
        <f>IFERROR(VLOOKUP(H3317,'Contas Orç'!A:B,2,0),"N/A")</f>
        <v>MANUTENCAO E CONSERVACAO</v>
      </c>
      <c r="B3317" s="7" t="str">
        <f t="shared" si="102"/>
        <v>330406 - MANUTENCAO E CONSERVACAO</v>
      </c>
      <c r="C3317" s="25">
        <f t="shared" si="103"/>
        <v>44682</v>
      </c>
      <c r="D3317" s="27">
        <f>IF(K3317="CREDITO",Q3317,Q3317*-1)</f>
        <v>2358.98</v>
      </c>
      <c r="E3317" t="s">
        <v>894</v>
      </c>
      <c r="F3317" t="s">
        <v>3812</v>
      </c>
      <c r="G3317" s="8">
        <v>44682</v>
      </c>
      <c r="H3317" t="s">
        <v>322</v>
      </c>
      <c r="I3317" t="s">
        <v>2062</v>
      </c>
      <c r="J3317" t="s">
        <v>54</v>
      </c>
      <c r="K3317" t="s">
        <v>29</v>
      </c>
      <c r="L3317" t="s">
        <v>895</v>
      </c>
      <c r="M3317" t="s">
        <v>4402</v>
      </c>
      <c r="O3317" t="s">
        <v>896</v>
      </c>
      <c r="P3317" t="s">
        <v>33</v>
      </c>
      <c r="Q3317" s="22">
        <v>2358.98</v>
      </c>
      <c r="R3317" t="s">
        <v>35</v>
      </c>
      <c r="S3317" t="s">
        <v>35</v>
      </c>
      <c r="T3317" t="s">
        <v>35</v>
      </c>
      <c r="U3317" t="s">
        <v>35</v>
      </c>
      <c r="V3317" t="s">
        <v>645</v>
      </c>
      <c r="W3317" t="s">
        <v>113</v>
      </c>
    </row>
    <row r="3318" spans="1:23" hidden="1" x14ac:dyDescent="0.25">
      <c r="A3318" s="7" t="str">
        <f>IFERROR(VLOOKUP(H3318,'Contas Orç'!A:B,2,0),"N/A")</f>
        <v>MANUTENCAO E CONSERVACAO</v>
      </c>
      <c r="B3318" s="7" t="str">
        <f t="shared" si="102"/>
        <v>330406 - MANUTENCAO E CONSERVACAO</v>
      </c>
      <c r="C3318" s="25">
        <f t="shared" si="103"/>
        <v>44682</v>
      </c>
      <c r="D3318" s="27">
        <f>IF(K3318="CREDITO",Q3318,Q3318*-1)</f>
        <v>41.76</v>
      </c>
      <c r="E3318" t="s">
        <v>894</v>
      </c>
      <c r="F3318" t="s">
        <v>3813</v>
      </c>
      <c r="G3318" s="8">
        <v>44682</v>
      </c>
      <c r="H3318" t="s">
        <v>322</v>
      </c>
      <c r="I3318" t="s">
        <v>81</v>
      </c>
      <c r="J3318" t="s">
        <v>54</v>
      </c>
      <c r="K3318" t="s">
        <v>29</v>
      </c>
      <c r="L3318" t="s">
        <v>895</v>
      </c>
      <c r="M3318" t="s">
        <v>4402</v>
      </c>
      <c r="O3318" t="s">
        <v>896</v>
      </c>
      <c r="P3318" t="s">
        <v>33</v>
      </c>
      <c r="Q3318">
        <v>41.76</v>
      </c>
      <c r="R3318" t="s">
        <v>35</v>
      </c>
      <c r="S3318" t="s">
        <v>35</v>
      </c>
      <c r="T3318" t="s">
        <v>35</v>
      </c>
      <c r="U3318" t="s">
        <v>35</v>
      </c>
      <c r="V3318" t="s">
        <v>645</v>
      </c>
      <c r="W3318" t="s">
        <v>113</v>
      </c>
    </row>
    <row r="3319" spans="1:23" hidden="1" x14ac:dyDescent="0.25">
      <c r="A3319" s="7" t="str">
        <f>IFERROR(VLOOKUP(H3319,'Contas Orç'!A:B,2,0),"N/A")</f>
        <v>MANUTENCAO E CONSERVACAO</v>
      </c>
      <c r="B3319" s="7" t="str">
        <f t="shared" si="102"/>
        <v>330406 - MANUTENCAO E CONSERVACAO</v>
      </c>
      <c r="C3319" s="25">
        <f t="shared" si="103"/>
        <v>44682</v>
      </c>
      <c r="D3319" s="27">
        <f>IF(K3319="CREDITO",Q3319,Q3319*-1)</f>
        <v>611.95000000000005</v>
      </c>
      <c r="E3319" t="s">
        <v>894</v>
      </c>
      <c r="F3319" t="s">
        <v>3814</v>
      </c>
      <c r="G3319" s="8">
        <v>44682</v>
      </c>
      <c r="H3319" t="s">
        <v>322</v>
      </c>
      <c r="I3319" t="s">
        <v>136</v>
      </c>
      <c r="J3319" t="s">
        <v>54</v>
      </c>
      <c r="K3319" t="s">
        <v>29</v>
      </c>
      <c r="L3319" t="s">
        <v>895</v>
      </c>
      <c r="M3319" t="s">
        <v>4402</v>
      </c>
      <c r="O3319" t="s">
        <v>896</v>
      </c>
      <c r="P3319" t="s">
        <v>33</v>
      </c>
      <c r="Q3319">
        <v>611.95000000000005</v>
      </c>
      <c r="R3319" t="s">
        <v>35</v>
      </c>
      <c r="S3319" t="s">
        <v>35</v>
      </c>
      <c r="T3319" t="s">
        <v>35</v>
      </c>
      <c r="U3319" t="s">
        <v>35</v>
      </c>
      <c r="V3319" t="s">
        <v>645</v>
      </c>
      <c r="W3319" t="s">
        <v>113</v>
      </c>
    </row>
    <row r="3320" spans="1:23" hidden="1" x14ac:dyDescent="0.25">
      <c r="A3320" s="7" t="str">
        <f>IFERROR(VLOOKUP(H3320,'Contas Orç'!A:B,2,0),"N/A")</f>
        <v>MANUTENCAO E CONSERVACAO</v>
      </c>
      <c r="B3320" s="7" t="str">
        <f t="shared" si="102"/>
        <v>330406 - MANUTENCAO E CONSERVACAO</v>
      </c>
      <c r="C3320" s="25">
        <f t="shared" si="103"/>
        <v>44713</v>
      </c>
      <c r="D3320" s="27">
        <f>IF(K3320="CREDITO",Q3320,Q3320*-1)</f>
        <v>2747.5</v>
      </c>
      <c r="E3320" t="s">
        <v>894</v>
      </c>
      <c r="F3320" t="s">
        <v>3815</v>
      </c>
      <c r="G3320" s="8">
        <v>44713</v>
      </c>
      <c r="H3320" t="s">
        <v>322</v>
      </c>
      <c r="I3320" t="s">
        <v>2062</v>
      </c>
      <c r="J3320" t="s">
        <v>54</v>
      </c>
      <c r="K3320" t="s">
        <v>29</v>
      </c>
      <c r="L3320" t="s">
        <v>895</v>
      </c>
      <c r="M3320" t="s">
        <v>4402</v>
      </c>
      <c r="O3320" t="s">
        <v>896</v>
      </c>
      <c r="P3320" t="s">
        <v>33</v>
      </c>
      <c r="Q3320" s="22">
        <v>2747.5</v>
      </c>
      <c r="R3320" t="s">
        <v>35</v>
      </c>
      <c r="S3320" t="s">
        <v>35</v>
      </c>
      <c r="T3320" t="s">
        <v>35</v>
      </c>
      <c r="U3320" t="s">
        <v>35</v>
      </c>
      <c r="V3320" t="s">
        <v>645</v>
      </c>
      <c r="W3320" t="s">
        <v>113</v>
      </c>
    </row>
    <row r="3321" spans="1:23" hidden="1" x14ac:dyDescent="0.25">
      <c r="A3321" s="7" t="str">
        <f>IFERROR(VLOOKUP(H3321,'Contas Orç'!A:B,2,0),"N/A")</f>
        <v>MANUTENCAO E CONSERVACAO</v>
      </c>
      <c r="B3321" s="7" t="str">
        <f t="shared" si="102"/>
        <v>330406 - MANUTENCAO E CONSERVACAO</v>
      </c>
      <c r="C3321" s="25">
        <f t="shared" si="103"/>
        <v>44743</v>
      </c>
      <c r="D3321" s="27">
        <f>IF(K3321="CREDITO",Q3321,Q3321*-1)</f>
        <v>25.45</v>
      </c>
      <c r="E3321" t="s">
        <v>894</v>
      </c>
      <c r="F3321" t="s">
        <v>3816</v>
      </c>
      <c r="G3321" s="8">
        <v>44743</v>
      </c>
      <c r="H3321" t="s">
        <v>322</v>
      </c>
      <c r="I3321" t="s">
        <v>68</v>
      </c>
      <c r="J3321" t="s">
        <v>69</v>
      </c>
      <c r="K3321" t="s">
        <v>29</v>
      </c>
      <c r="L3321" t="s">
        <v>895</v>
      </c>
      <c r="M3321" t="s">
        <v>4402</v>
      </c>
      <c r="O3321" t="s">
        <v>896</v>
      </c>
      <c r="P3321" t="s">
        <v>33</v>
      </c>
      <c r="Q3321">
        <v>25.45</v>
      </c>
      <c r="R3321" t="s">
        <v>35</v>
      </c>
      <c r="S3321" t="s">
        <v>35</v>
      </c>
      <c r="T3321" t="s">
        <v>35</v>
      </c>
      <c r="U3321" t="s">
        <v>35</v>
      </c>
      <c r="V3321" t="s">
        <v>645</v>
      </c>
      <c r="W3321" t="s">
        <v>113</v>
      </c>
    </row>
    <row r="3322" spans="1:23" hidden="1" x14ac:dyDescent="0.25">
      <c r="A3322" s="7" t="str">
        <f>IFERROR(VLOOKUP(H3322,'Contas Orç'!A:B,2,0),"N/A")</f>
        <v>MANUTENCAO E CONSERVACAO</v>
      </c>
      <c r="B3322" s="7" t="str">
        <f t="shared" si="102"/>
        <v>330406 - MANUTENCAO E CONSERVACAO</v>
      </c>
      <c r="C3322" s="25">
        <f t="shared" si="103"/>
        <v>44743</v>
      </c>
      <c r="D3322" s="27">
        <f>IF(K3322="CREDITO",Q3322,Q3322*-1)</f>
        <v>381.6</v>
      </c>
      <c r="E3322" t="s">
        <v>894</v>
      </c>
      <c r="F3322" t="s">
        <v>3817</v>
      </c>
      <c r="G3322" s="8">
        <v>44743</v>
      </c>
      <c r="H3322" t="s">
        <v>322</v>
      </c>
      <c r="I3322" t="s">
        <v>40</v>
      </c>
      <c r="J3322" t="s">
        <v>54</v>
      </c>
      <c r="K3322" t="s">
        <v>29</v>
      </c>
      <c r="L3322" t="s">
        <v>895</v>
      </c>
      <c r="M3322" t="s">
        <v>4402</v>
      </c>
      <c r="O3322" t="s">
        <v>896</v>
      </c>
      <c r="P3322" t="s">
        <v>33</v>
      </c>
      <c r="Q3322">
        <v>381.6</v>
      </c>
      <c r="R3322" t="s">
        <v>35</v>
      </c>
      <c r="S3322" t="s">
        <v>35</v>
      </c>
      <c r="T3322" t="s">
        <v>35</v>
      </c>
      <c r="U3322" t="s">
        <v>35</v>
      </c>
      <c r="V3322" t="s">
        <v>645</v>
      </c>
      <c r="W3322" t="s">
        <v>113</v>
      </c>
    </row>
    <row r="3323" spans="1:23" hidden="1" x14ac:dyDescent="0.25">
      <c r="A3323" s="7" t="str">
        <f>IFERROR(VLOOKUP(H3323,'Contas Orç'!A:B,2,0),"N/A")</f>
        <v>MANUTENCAO E CONSERVACAO</v>
      </c>
      <c r="B3323" s="7" t="str">
        <f t="shared" si="102"/>
        <v>330406 - MANUTENCAO E CONSERVACAO</v>
      </c>
      <c r="C3323" s="25">
        <f t="shared" si="103"/>
        <v>44743</v>
      </c>
      <c r="D3323" s="27">
        <f>IF(K3323="CREDITO",Q3323,Q3323*-1)</f>
        <v>6112.3</v>
      </c>
      <c r="E3323" t="s">
        <v>894</v>
      </c>
      <c r="F3323" t="s">
        <v>3818</v>
      </c>
      <c r="G3323" s="8">
        <v>44743</v>
      </c>
      <c r="H3323" t="s">
        <v>322</v>
      </c>
      <c r="I3323" t="s">
        <v>81</v>
      </c>
      <c r="J3323" t="s">
        <v>54</v>
      </c>
      <c r="K3323" t="s">
        <v>29</v>
      </c>
      <c r="L3323" t="s">
        <v>895</v>
      </c>
      <c r="M3323" t="s">
        <v>4402</v>
      </c>
      <c r="O3323" t="s">
        <v>896</v>
      </c>
      <c r="P3323" t="s">
        <v>33</v>
      </c>
      <c r="Q3323" s="22">
        <v>6112.3</v>
      </c>
      <c r="R3323" t="s">
        <v>35</v>
      </c>
      <c r="S3323" t="s">
        <v>35</v>
      </c>
      <c r="T3323" t="s">
        <v>35</v>
      </c>
      <c r="U3323" t="s">
        <v>35</v>
      </c>
      <c r="V3323" t="s">
        <v>645</v>
      </c>
      <c r="W3323" t="s">
        <v>113</v>
      </c>
    </row>
    <row r="3324" spans="1:23" hidden="1" x14ac:dyDescent="0.25">
      <c r="A3324" s="7" t="str">
        <f>IFERROR(VLOOKUP(H3324,'Contas Orç'!A:B,2,0),"N/A")</f>
        <v>MANUTENCAO E CONSERVACAO</v>
      </c>
      <c r="B3324" s="7" t="str">
        <f t="shared" si="102"/>
        <v>330406 - MANUTENCAO E CONSERVACAO</v>
      </c>
      <c r="C3324" s="25">
        <f t="shared" si="103"/>
        <v>44774</v>
      </c>
      <c r="D3324" s="27">
        <f>IF(K3324="CREDITO",Q3324,Q3324*-1)</f>
        <v>2</v>
      </c>
      <c r="E3324" t="s">
        <v>894</v>
      </c>
      <c r="F3324" t="s">
        <v>3819</v>
      </c>
      <c r="G3324" s="8">
        <v>44774</v>
      </c>
      <c r="H3324" t="s">
        <v>322</v>
      </c>
      <c r="I3324" t="s">
        <v>40</v>
      </c>
      <c r="J3324" t="s">
        <v>54</v>
      </c>
      <c r="K3324" t="s">
        <v>29</v>
      </c>
      <c r="L3324" t="s">
        <v>895</v>
      </c>
      <c r="M3324" t="s">
        <v>4402</v>
      </c>
      <c r="O3324" t="s">
        <v>896</v>
      </c>
      <c r="P3324" t="s">
        <v>33</v>
      </c>
      <c r="Q3324">
        <v>2</v>
      </c>
      <c r="R3324" t="s">
        <v>35</v>
      </c>
      <c r="S3324" t="s">
        <v>35</v>
      </c>
      <c r="T3324" t="s">
        <v>35</v>
      </c>
      <c r="U3324" t="s">
        <v>35</v>
      </c>
      <c r="V3324" t="s">
        <v>645</v>
      </c>
      <c r="W3324" t="s">
        <v>113</v>
      </c>
    </row>
    <row r="3325" spans="1:23" hidden="1" x14ac:dyDescent="0.25">
      <c r="A3325" s="7" t="str">
        <f>IFERROR(VLOOKUP(H3325,'Contas Orç'!A:B,2,0),"N/A")</f>
        <v>MANUTENCAO E CONSERVACAO</v>
      </c>
      <c r="B3325" s="7" t="str">
        <f t="shared" si="102"/>
        <v>330406 - MANUTENCAO E CONSERVACAO</v>
      </c>
      <c r="C3325" s="25">
        <f t="shared" si="103"/>
        <v>44805</v>
      </c>
      <c r="D3325" s="27">
        <f>IF(K3325="CREDITO",Q3325,Q3325*-1)</f>
        <v>90</v>
      </c>
      <c r="E3325" t="s">
        <v>894</v>
      </c>
      <c r="F3325" t="s">
        <v>3820</v>
      </c>
      <c r="G3325" s="8">
        <v>44805</v>
      </c>
      <c r="H3325" t="s">
        <v>322</v>
      </c>
      <c r="I3325" t="s">
        <v>68</v>
      </c>
      <c r="J3325" t="s">
        <v>69</v>
      </c>
      <c r="K3325" t="s">
        <v>29</v>
      </c>
      <c r="L3325" t="s">
        <v>895</v>
      </c>
      <c r="M3325" t="s">
        <v>4402</v>
      </c>
      <c r="O3325" t="s">
        <v>896</v>
      </c>
      <c r="P3325" t="s">
        <v>33</v>
      </c>
      <c r="Q3325">
        <v>90</v>
      </c>
      <c r="R3325" t="s">
        <v>35</v>
      </c>
      <c r="S3325" t="s">
        <v>35</v>
      </c>
      <c r="T3325" t="s">
        <v>35</v>
      </c>
      <c r="U3325" t="s">
        <v>35</v>
      </c>
      <c r="V3325" t="s">
        <v>645</v>
      </c>
      <c r="W3325" t="s">
        <v>113</v>
      </c>
    </row>
    <row r="3326" spans="1:23" hidden="1" x14ac:dyDescent="0.25">
      <c r="A3326" s="7" t="str">
        <f>IFERROR(VLOOKUP(H3326,'Contas Orç'!A:B,2,0),"N/A")</f>
        <v>MANUTENCAO E CONSERVACAO</v>
      </c>
      <c r="B3326" s="7" t="str">
        <f t="shared" si="102"/>
        <v>330406 - MANUTENCAO E CONSERVACAO</v>
      </c>
      <c r="C3326" s="25">
        <f t="shared" si="103"/>
        <v>44805</v>
      </c>
      <c r="D3326" s="27">
        <f>IF(K3326="CREDITO",Q3326,Q3326*-1)</f>
        <v>41.76</v>
      </c>
      <c r="E3326" t="s">
        <v>894</v>
      </c>
      <c r="F3326" t="s">
        <v>3821</v>
      </c>
      <c r="G3326" s="8">
        <v>44805</v>
      </c>
      <c r="H3326" t="s">
        <v>322</v>
      </c>
      <c r="I3326" t="s">
        <v>81</v>
      </c>
      <c r="J3326" t="s">
        <v>54</v>
      </c>
      <c r="K3326" t="s">
        <v>29</v>
      </c>
      <c r="L3326" t="s">
        <v>895</v>
      </c>
      <c r="M3326" t="s">
        <v>4402</v>
      </c>
      <c r="O3326" t="s">
        <v>896</v>
      </c>
      <c r="P3326" t="s">
        <v>33</v>
      </c>
      <c r="Q3326">
        <v>41.76</v>
      </c>
      <c r="R3326" t="s">
        <v>35</v>
      </c>
      <c r="S3326" t="s">
        <v>35</v>
      </c>
      <c r="T3326" t="s">
        <v>35</v>
      </c>
      <c r="U3326" t="s">
        <v>35</v>
      </c>
      <c r="V3326" t="s">
        <v>645</v>
      </c>
      <c r="W3326" t="s">
        <v>113</v>
      </c>
    </row>
    <row r="3327" spans="1:23" hidden="1" x14ac:dyDescent="0.25">
      <c r="A3327" s="7" t="str">
        <f>IFERROR(VLOOKUP(H3327,'Contas Orç'!A:B,2,0),"N/A")</f>
        <v>MANUTENCAO E CONSERVACAO</v>
      </c>
      <c r="B3327" s="7" t="str">
        <f t="shared" si="102"/>
        <v>330406 - MANUTENCAO E CONSERVACAO</v>
      </c>
      <c r="C3327" s="25">
        <f t="shared" si="103"/>
        <v>44835</v>
      </c>
      <c r="D3327" s="27">
        <f>IF(K3327="CREDITO",Q3327,Q3327*-1)</f>
        <v>90.9</v>
      </c>
      <c r="E3327" t="s">
        <v>894</v>
      </c>
      <c r="F3327" t="s">
        <v>3822</v>
      </c>
      <c r="G3327" s="8">
        <v>44835</v>
      </c>
      <c r="H3327" t="s">
        <v>322</v>
      </c>
      <c r="I3327" t="s">
        <v>68</v>
      </c>
      <c r="J3327" t="s">
        <v>69</v>
      </c>
      <c r="K3327" t="s">
        <v>29</v>
      </c>
      <c r="L3327" t="s">
        <v>895</v>
      </c>
      <c r="M3327" t="s">
        <v>4402</v>
      </c>
      <c r="O3327" t="s">
        <v>896</v>
      </c>
      <c r="P3327" t="s">
        <v>33</v>
      </c>
      <c r="Q3327">
        <v>90.9</v>
      </c>
      <c r="R3327" t="s">
        <v>35</v>
      </c>
      <c r="S3327" t="s">
        <v>35</v>
      </c>
      <c r="T3327" t="s">
        <v>35</v>
      </c>
      <c r="U3327" t="s">
        <v>35</v>
      </c>
      <c r="V3327" t="s">
        <v>645</v>
      </c>
      <c r="W3327" t="s">
        <v>113</v>
      </c>
    </row>
    <row r="3328" spans="1:23" hidden="1" x14ac:dyDescent="0.25">
      <c r="A3328" s="7" t="str">
        <f>IFERROR(VLOOKUP(H3328,'Contas Orç'!A:B,2,0),"N/A")</f>
        <v>MANUTENCAO E CONSERVACAO</v>
      </c>
      <c r="B3328" s="7" t="str">
        <f t="shared" si="102"/>
        <v>330406 - MANUTENCAO E CONSERVACAO</v>
      </c>
      <c r="C3328" s="25">
        <f t="shared" si="103"/>
        <v>44835</v>
      </c>
      <c r="D3328" s="27">
        <f>IF(K3328="CREDITO",Q3328,Q3328*-1)</f>
        <v>42.18</v>
      </c>
      <c r="E3328" t="s">
        <v>894</v>
      </c>
      <c r="F3328" t="s">
        <v>3823</v>
      </c>
      <c r="G3328" s="8">
        <v>44835</v>
      </c>
      <c r="H3328" t="s">
        <v>322</v>
      </c>
      <c r="I3328" t="s">
        <v>81</v>
      </c>
      <c r="J3328" t="s">
        <v>54</v>
      </c>
      <c r="K3328" t="s">
        <v>29</v>
      </c>
      <c r="L3328" t="s">
        <v>895</v>
      </c>
      <c r="M3328" t="s">
        <v>4402</v>
      </c>
      <c r="O3328" t="s">
        <v>896</v>
      </c>
      <c r="P3328" t="s">
        <v>33</v>
      </c>
      <c r="Q3328">
        <v>42.18</v>
      </c>
      <c r="R3328" t="s">
        <v>35</v>
      </c>
      <c r="S3328" t="s">
        <v>35</v>
      </c>
      <c r="T3328" t="s">
        <v>35</v>
      </c>
      <c r="U3328" t="s">
        <v>35</v>
      </c>
      <c r="V3328" t="s">
        <v>645</v>
      </c>
      <c r="W3328" t="s">
        <v>113</v>
      </c>
    </row>
    <row r="3329" spans="1:23" hidden="1" x14ac:dyDescent="0.25">
      <c r="A3329" s="7" t="str">
        <f>IFERROR(VLOOKUP(H3329,'Contas Orç'!A:B,2,0),"N/A")</f>
        <v>MANUTENCAO E CONSERVACAO</v>
      </c>
      <c r="B3329" s="7" t="str">
        <f t="shared" si="102"/>
        <v>330406 - MANUTENCAO E CONSERVACAO</v>
      </c>
      <c r="C3329" s="25">
        <f t="shared" si="103"/>
        <v>44866</v>
      </c>
      <c r="D3329" s="27">
        <f>IF(K3329="CREDITO",Q3329,Q3329*-1)</f>
        <v>91.81</v>
      </c>
      <c r="E3329" t="s">
        <v>894</v>
      </c>
      <c r="F3329" t="s">
        <v>3824</v>
      </c>
      <c r="G3329" s="8">
        <v>44866</v>
      </c>
      <c r="H3329" t="s">
        <v>322</v>
      </c>
      <c r="I3329" t="s">
        <v>68</v>
      </c>
      <c r="J3329" t="s">
        <v>69</v>
      </c>
      <c r="K3329" t="s">
        <v>29</v>
      </c>
      <c r="L3329" t="s">
        <v>895</v>
      </c>
      <c r="M3329" t="s">
        <v>4402</v>
      </c>
      <c r="O3329" t="s">
        <v>896</v>
      </c>
      <c r="P3329" t="s">
        <v>33</v>
      </c>
      <c r="Q3329">
        <v>91.81</v>
      </c>
      <c r="R3329" t="s">
        <v>35</v>
      </c>
      <c r="S3329" t="s">
        <v>35</v>
      </c>
      <c r="T3329" t="s">
        <v>35</v>
      </c>
      <c r="U3329" t="s">
        <v>35</v>
      </c>
      <c r="V3329" t="s">
        <v>645</v>
      </c>
      <c r="W3329" t="s">
        <v>113</v>
      </c>
    </row>
    <row r="3330" spans="1:23" hidden="1" x14ac:dyDescent="0.25">
      <c r="A3330" s="7" t="str">
        <f>IFERROR(VLOOKUP(H3330,'Contas Orç'!A:B,2,0),"N/A")</f>
        <v>MANUTENCAO E CONSERVACAO</v>
      </c>
      <c r="B3330" s="7" t="str">
        <f t="shared" si="102"/>
        <v>330406 - MANUTENCAO E CONSERVACAO</v>
      </c>
      <c r="C3330" s="25">
        <f t="shared" si="103"/>
        <v>44866</v>
      </c>
      <c r="D3330" s="27">
        <f>IF(K3330="CREDITO",Q3330,Q3330*-1)</f>
        <v>42.6</v>
      </c>
      <c r="E3330" t="s">
        <v>894</v>
      </c>
      <c r="F3330" t="s">
        <v>3825</v>
      </c>
      <c r="G3330" s="8">
        <v>44866</v>
      </c>
      <c r="H3330" t="s">
        <v>322</v>
      </c>
      <c r="I3330" t="s">
        <v>81</v>
      </c>
      <c r="J3330" t="s">
        <v>54</v>
      </c>
      <c r="K3330" t="s">
        <v>29</v>
      </c>
      <c r="L3330" t="s">
        <v>895</v>
      </c>
      <c r="M3330" t="s">
        <v>4402</v>
      </c>
      <c r="O3330" t="s">
        <v>896</v>
      </c>
      <c r="P3330" t="s">
        <v>33</v>
      </c>
      <c r="Q3330">
        <v>42.6</v>
      </c>
      <c r="R3330" t="s">
        <v>35</v>
      </c>
      <c r="S3330" t="s">
        <v>35</v>
      </c>
      <c r="T3330" t="s">
        <v>35</v>
      </c>
      <c r="U3330" t="s">
        <v>35</v>
      </c>
      <c r="V3330" t="s">
        <v>645</v>
      </c>
      <c r="W3330" t="s">
        <v>113</v>
      </c>
    </row>
    <row r="3331" spans="1:23" hidden="1" x14ac:dyDescent="0.25">
      <c r="A3331" s="7" t="str">
        <f>IFERROR(VLOOKUP(H3331,'Contas Orç'!A:B,2,0),"N/A")</f>
        <v>MANUTENCAO E CONSERVACAO</v>
      </c>
      <c r="B3331" s="7" t="str">
        <f t="shared" ref="B3331:B3394" si="104">_xlfn.CONCAT(H3331," - ",A3331)</f>
        <v>330406 - MANUTENCAO E CONSERVACAO</v>
      </c>
      <c r="C3331" s="25">
        <f t="shared" ref="C3331:C3394" si="105">DATE(YEAR(G3331),MONTH(G3331),1)</f>
        <v>44896</v>
      </c>
      <c r="D3331" s="27">
        <f>IF(K3331="CREDITO",Q3331,Q3331*-1)</f>
        <v>92.73</v>
      </c>
      <c r="E3331" t="s">
        <v>894</v>
      </c>
      <c r="F3331" t="s">
        <v>3826</v>
      </c>
      <c r="G3331" s="8">
        <v>44896</v>
      </c>
      <c r="H3331" t="s">
        <v>322</v>
      </c>
      <c r="I3331" t="s">
        <v>68</v>
      </c>
      <c r="J3331" t="s">
        <v>69</v>
      </c>
      <c r="K3331" t="s">
        <v>29</v>
      </c>
      <c r="L3331" t="s">
        <v>895</v>
      </c>
      <c r="M3331" t="s">
        <v>4402</v>
      </c>
      <c r="O3331" t="s">
        <v>896</v>
      </c>
      <c r="P3331" t="s">
        <v>33</v>
      </c>
      <c r="Q3331">
        <v>92.73</v>
      </c>
      <c r="R3331" t="s">
        <v>35</v>
      </c>
      <c r="S3331" t="s">
        <v>35</v>
      </c>
      <c r="T3331" t="s">
        <v>35</v>
      </c>
      <c r="U3331" t="s">
        <v>35</v>
      </c>
      <c r="V3331" t="s">
        <v>645</v>
      </c>
      <c r="W3331" t="s">
        <v>113</v>
      </c>
    </row>
    <row r="3332" spans="1:23" hidden="1" x14ac:dyDescent="0.25">
      <c r="A3332" s="7" t="str">
        <f>IFERROR(VLOOKUP(H3332,'Contas Orç'!A:B,2,0),"N/A")</f>
        <v>MANUTENCAO E CONSERVACAO</v>
      </c>
      <c r="B3332" s="7" t="str">
        <f t="shared" si="104"/>
        <v>330406 - MANUTENCAO E CONSERVACAO</v>
      </c>
      <c r="C3332" s="25">
        <f t="shared" si="105"/>
        <v>44896</v>
      </c>
      <c r="D3332" s="27">
        <f>IF(K3332="CREDITO",Q3332,Q3332*-1)</f>
        <v>43.03</v>
      </c>
      <c r="E3332" t="s">
        <v>894</v>
      </c>
      <c r="F3332" t="s">
        <v>3827</v>
      </c>
      <c r="G3332" s="8">
        <v>44896</v>
      </c>
      <c r="H3332" t="s">
        <v>322</v>
      </c>
      <c r="I3332" t="s">
        <v>81</v>
      </c>
      <c r="J3332" t="s">
        <v>54</v>
      </c>
      <c r="K3332" t="s">
        <v>29</v>
      </c>
      <c r="L3332" t="s">
        <v>895</v>
      </c>
      <c r="M3332" t="s">
        <v>4402</v>
      </c>
      <c r="O3332" t="s">
        <v>896</v>
      </c>
      <c r="P3332" t="s">
        <v>33</v>
      </c>
      <c r="Q3332">
        <v>43.03</v>
      </c>
      <c r="R3332" t="s">
        <v>35</v>
      </c>
      <c r="S3332" t="s">
        <v>35</v>
      </c>
      <c r="T3332" t="s">
        <v>35</v>
      </c>
      <c r="U3332" t="s">
        <v>35</v>
      </c>
      <c r="V3332" t="s">
        <v>645</v>
      </c>
      <c r="W3332" t="s">
        <v>113</v>
      </c>
    </row>
    <row r="3333" spans="1:23" hidden="1" x14ac:dyDescent="0.25">
      <c r="A3333" s="7" t="str">
        <f>IFERROR(VLOOKUP(H3333,'Contas Orç'!A:B,2,0),"N/A")</f>
        <v>VIAGENS E REPRESENTACAO</v>
      </c>
      <c r="B3333" s="7" t="str">
        <f t="shared" si="104"/>
        <v>330407 - VIAGENS E REPRESENTACAO</v>
      </c>
      <c r="C3333" s="25">
        <f t="shared" si="105"/>
        <v>44593</v>
      </c>
      <c r="D3333" s="27">
        <f>IF(K3333="CREDITO",Q3333,Q3333*-1)</f>
        <v>2805.84</v>
      </c>
      <c r="E3333" t="s">
        <v>894</v>
      </c>
      <c r="F3333" t="s">
        <v>3828</v>
      </c>
      <c r="G3333" s="8">
        <v>44593</v>
      </c>
      <c r="H3333" t="s">
        <v>599</v>
      </c>
      <c r="I3333" t="s">
        <v>2062</v>
      </c>
      <c r="J3333" t="s">
        <v>54</v>
      </c>
      <c r="K3333" t="s">
        <v>29</v>
      </c>
      <c r="L3333" t="s">
        <v>895</v>
      </c>
      <c r="M3333" t="s">
        <v>4402</v>
      </c>
      <c r="O3333" t="s">
        <v>896</v>
      </c>
      <c r="P3333" t="s">
        <v>33</v>
      </c>
      <c r="Q3333" s="22">
        <v>2805.84</v>
      </c>
      <c r="R3333" t="s">
        <v>35</v>
      </c>
      <c r="S3333" t="s">
        <v>35</v>
      </c>
      <c r="T3333" t="s">
        <v>35</v>
      </c>
      <c r="U3333" t="s">
        <v>35</v>
      </c>
      <c r="V3333" t="s">
        <v>645</v>
      </c>
      <c r="W3333" t="s">
        <v>113</v>
      </c>
    </row>
    <row r="3334" spans="1:23" hidden="1" x14ac:dyDescent="0.25">
      <c r="A3334" s="7" t="str">
        <f>IFERROR(VLOOKUP(H3334,'Contas Orç'!A:B,2,0),"N/A")</f>
        <v>VIAGENS E REPRESENTACAO</v>
      </c>
      <c r="B3334" s="7" t="str">
        <f t="shared" si="104"/>
        <v>330407 - VIAGENS E REPRESENTACAO</v>
      </c>
      <c r="C3334" s="25">
        <f t="shared" si="105"/>
        <v>44593</v>
      </c>
      <c r="D3334" s="27">
        <f>IF(K3334="CREDITO",Q3334,Q3334*-1)</f>
        <v>7489.14</v>
      </c>
      <c r="E3334" t="s">
        <v>894</v>
      </c>
      <c r="F3334" t="s">
        <v>3829</v>
      </c>
      <c r="G3334" s="8">
        <v>44593</v>
      </c>
      <c r="H3334" t="s">
        <v>599</v>
      </c>
      <c r="I3334" t="s">
        <v>40</v>
      </c>
      <c r="J3334" t="s">
        <v>54</v>
      </c>
      <c r="K3334" t="s">
        <v>29</v>
      </c>
      <c r="L3334" t="s">
        <v>895</v>
      </c>
      <c r="M3334" t="s">
        <v>4402</v>
      </c>
      <c r="O3334" t="s">
        <v>896</v>
      </c>
      <c r="P3334" t="s">
        <v>33</v>
      </c>
      <c r="Q3334" s="22">
        <v>7489.14</v>
      </c>
      <c r="R3334" t="s">
        <v>35</v>
      </c>
      <c r="S3334" t="s">
        <v>35</v>
      </c>
      <c r="T3334" t="s">
        <v>35</v>
      </c>
      <c r="U3334" t="s">
        <v>35</v>
      </c>
      <c r="V3334" t="s">
        <v>645</v>
      </c>
      <c r="W3334" t="s">
        <v>113</v>
      </c>
    </row>
    <row r="3335" spans="1:23" hidden="1" x14ac:dyDescent="0.25">
      <c r="A3335" s="7" t="str">
        <f>IFERROR(VLOOKUP(H3335,'Contas Orç'!A:B,2,0),"N/A")</f>
        <v>VIAGENS E REPRESENTACAO</v>
      </c>
      <c r="B3335" s="7" t="str">
        <f t="shared" si="104"/>
        <v>330407 - VIAGENS E REPRESENTACAO</v>
      </c>
      <c r="C3335" s="25">
        <f t="shared" si="105"/>
        <v>44621</v>
      </c>
      <c r="D3335" s="27">
        <f>IF(K3335="CREDITO",Q3335,Q3335*-1)</f>
        <v>4758.1499999999996</v>
      </c>
      <c r="E3335" t="s">
        <v>894</v>
      </c>
      <c r="F3335" t="s">
        <v>3830</v>
      </c>
      <c r="G3335" s="8">
        <v>44621</v>
      </c>
      <c r="H3335" t="s">
        <v>599</v>
      </c>
      <c r="I3335" t="s">
        <v>40</v>
      </c>
      <c r="J3335" t="s">
        <v>54</v>
      </c>
      <c r="K3335" t="s">
        <v>29</v>
      </c>
      <c r="L3335" t="s">
        <v>895</v>
      </c>
      <c r="M3335" t="s">
        <v>4402</v>
      </c>
      <c r="O3335" t="s">
        <v>896</v>
      </c>
      <c r="P3335" t="s">
        <v>33</v>
      </c>
      <c r="Q3335" s="22">
        <v>4758.1499999999996</v>
      </c>
      <c r="R3335" t="s">
        <v>35</v>
      </c>
      <c r="S3335" t="s">
        <v>35</v>
      </c>
      <c r="T3335" t="s">
        <v>35</v>
      </c>
      <c r="U3335" t="s">
        <v>35</v>
      </c>
      <c r="V3335" t="s">
        <v>645</v>
      </c>
      <c r="W3335" t="s">
        <v>113</v>
      </c>
    </row>
    <row r="3336" spans="1:23" hidden="1" x14ac:dyDescent="0.25">
      <c r="A3336" s="7" t="str">
        <f>IFERROR(VLOOKUP(H3336,'Contas Orç'!A:B,2,0),"N/A")</f>
        <v>VIAGENS E REPRESENTACAO</v>
      </c>
      <c r="B3336" s="7" t="str">
        <f t="shared" si="104"/>
        <v>330407 - VIAGENS E REPRESENTACAO</v>
      </c>
      <c r="C3336" s="25">
        <f t="shared" si="105"/>
        <v>44743</v>
      </c>
      <c r="D3336" s="27">
        <f>IF(K3336="CREDITO",Q3336,Q3336*-1)</f>
        <v>12927.44</v>
      </c>
      <c r="E3336" t="s">
        <v>894</v>
      </c>
      <c r="F3336" t="s">
        <v>3831</v>
      </c>
      <c r="G3336" s="8">
        <v>44743</v>
      </c>
      <c r="H3336" t="s">
        <v>599</v>
      </c>
      <c r="I3336" t="s">
        <v>40</v>
      </c>
      <c r="J3336" t="s">
        <v>54</v>
      </c>
      <c r="K3336" t="s">
        <v>29</v>
      </c>
      <c r="L3336" t="s">
        <v>895</v>
      </c>
      <c r="M3336" t="s">
        <v>4402</v>
      </c>
      <c r="O3336" t="s">
        <v>896</v>
      </c>
      <c r="P3336" t="s">
        <v>33</v>
      </c>
      <c r="Q3336" s="22">
        <v>12927.44</v>
      </c>
      <c r="R3336" t="s">
        <v>35</v>
      </c>
      <c r="S3336" t="s">
        <v>35</v>
      </c>
      <c r="T3336" t="s">
        <v>35</v>
      </c>
      <c r="U3336" t="s">
        <v>35</v>
      </c>
      <c r="V3336" t="s">
        <v>645</v>
      </c>
      <c r="W3336" t="s">
        <v>113</v>
      </c>
    </row>
    <row r="3337" spans="1:23" hidden="1" x14ac:dyDescent="0.25">
      <c r="A3337" s="7" t="str">
        <f>IFERROR(VLOOKUP(H3337,'Contas Orç'!A:B,2,0),"N/A")</f>
        <v>VIAGENS E REPRESENTACAO</v>
      </c>
      <c r="B3337" s="7" t="str">
        <f t="shared" si="104"/>
        <v>330407 - VIAGENS E REPRESENTACAO</v>
      </c>
      <c r="C3337" s="25">
        <f t="shared" si="105"/>
        <v>44774</v>
      </c>
      <c r="D3337" s="27">
        <f>IF(K3337="CREDITO",Q3337,Q3337*-1)</f>
        <v>8149.4</v>
      </c>
      <c r="E3337" t="s">
        <v>894</v>
      </c>
      <c r="F3337" t="s">
        <v>3832</v>
      </c>
      <c r="G3337" s="8">
        <v>44774</v>
      </c>
      <c r="H3337" t="s">
        <v>599</v>
      </c>
      <c r="I3337" t="s">
        <v>2062</v>
      </c>
      <c r="J3337" t="s">
        <v>54</v>
      </c>
      <c r="K3337" t="s">
        <v>29</v>
      </c>
      <c r="L3337" t="s">
        <v>895</v>
      </c>
      <c r="M3337" t="s">
        <v>4402</v>
      </c>
      <c r="O3337" t="s">
        <v>896</v>
      </c>
      <c r="P3337" t="s">
        <v>33</v>
      </c>
      <c r="Q3337" s="22">
        <v>8149.4</v>
      </c>
      <c r="R3337" t="s">
        <v>35</v>
      </c>
      <c r="S3337" t="s">
        <v>35</v>
      </c>
      <c r="T3337" t="s">
        <v>35</v>
      </c>
      <c r="U3337" t="s">
        <v>35</v>
      </c>
      <c r="V3337" t="s">
        <v>645</v>
      </c>
      <c r="W3337" t="s">
        <v>113</v>
      </c>
    </row>
    <row r="3338" spans="1:23" hidden="1" x14ac:dyDescent="0.25">
      <c r="A3338" s="7" t="str">
        <f>IFERROR(VLOOKUP(H3338,'Contas Orç'!A:B,2,0),"N/A")</f>
        <v>VIAGENS E REPRESENTACAO</v>
      </c>
      <c r="B3338" s="7" t="str">
        <f t="shared" si="104"/>
        <v>330407 - VIAGENS E REPRESENTACAO</v>
      </c>
      <c r="C3338" s="25">
        <f t="shared" si="105"/>
        <v>44774</v>
      </c>
      <c r="D3338" s="27">
        <f>IF(K3338="CREDITO",Q3338,Q3338*-1)</f>
        <v>5610</v>
      </c>
      <c r="E3338" t="s">
        <v>894</v>
      </c>
      <c r="F3338" t="s">
        <v>3833</v>
      </c>
      <c r="G3338" s="8">
        <v>44774</v>
      </c>
      <c r="H3338" t="s">
        <v>599</v>
      </c>
      <c r="I3338" t="s">
        <v>40</v>
      </c>
      <c r="J3338" t="s">
        <v>54</v>
      </c>
      <c r="K3338" t="s">
        <v>29</v>
      </c>
      <c r="L3338" t="s">
        <v>895</v>
      </c>
      <c r="M3338" t="s">
        <v>4402</v>
      </c>
      <c r="O3338" t="s">
        <v>896</v>
      </c>
      <c r="P3338" t="s">
        <v>33</v>
      </c>
      <c r="Q3338" s="22">
        <v>5610</v>
      </c>
      <c r="R3338" t="s">
        <v>35</v>
      </c>
      <c r="S3338" t="s">
        <v>35</v>
      </c>
      <c r="T3338" t="s">
        <v>35</v>
      </c>
      <c r="U3338" t="s">
        <v>35</v>
      </c>
      <c r="V3338" t="s">
        <v>645</v>
      </c>
      <c r="W3338" t="s">
        <v>113</v>
      </c>
    </row>
    <row r="3339" spans="1:23" hidden="1" x14ac:dyDescent="0.25">
      <c r="A3339" s="7" t="str">
        <f>IFERROR(VLOOKUP(H3339,'Contas Orç'!A:B,2,0),"N/A")</f>
        <v>VIAGENS E REPRESENTACAO</v>
      </c>
      <c r="B3339" s="7" t="str">
        <f t="shared" si="104"/>
        <v>330407 - VIAGENS E REPRESENTACAO</v>
      </c>
      <c r="C3339" s="25">
        <f t="shared" si="105"/>
        <v>44805</v>
      </c>
      <c r="D3339" s="27">
        <f>IF(K3339="CREDITO",Q3339,Q3339*-1)</f>
        <v>5127.3</v>
      </c>
      <c r="E3339" t="s">
        <v>894</v>
      </c>
      <c r="F3339" t="s">
        <v>3834</v>
      </c>
      <c r="G3339" s="8">
        <v>44805</v>
      </c>
      <c r="H3339" t="s">
        <v>599</v>
      </c>
      <c r="I3339" t="s">
        <v>136</v>
      </c>
      <c r="J3339" t="s">
        <v>54</v>
      </c>
      <c r="K3339" t="s">
        <v>29</v>
      </c>
      <c r="L3339" t="s">
        <v>895</v>
      </c>
      <c r="M3339" t="s">
        <v>4402</v>
      </c>
      <c r="O3339" t="s">
        <v>896</v>
      </c>
      <c r="P3339" t="s">
        <v>33</v>
      </c>
      <c r="Q3339" s="22">
        <v>5127.3</v>
      </c>
      <c r="R3339" t="s">
        <v>35</v>
      </c>
      <c r="S3339" t="s">
        <v>35</v>
      </c>
      <c r="T3339" t="s">
        <v>35</v>
      </c>
      <c r="U3339" t="s">
        <v>35</v>
      </c>
      <c r="V3339" t="s">
        <v>645</v>
      </c>
      <c r="W3339" t="s">
        <v>113</v>
      </c>
    </row>
    <row r="3340" spans="1:23" hidden="1" x14ac:dyDescent="0.25">
      <c r="A3340" s="7" t="str">
        <f>IFERROR(VLOOKUP(H3340,'Contas Orç'!A:B,2,0),"N/A")</f>
        <v>VIAGENS E REPRESENTACAO</v>
      </c>
      <c r="B3340" s="7" t="str">
        <f t="shared" si="104"/>
        <v>330407 - VIAGENS E REPRESENTACAO</v>
      </c>
      <c r="C3340" s="25">
        <f t="shared" si="105"/>
        <v>44835</v>
      </c>
      <c r="D3340" s="27">
        <f>IF(K3340="CREDITO",Q3340,Q3340*-1)</f>
        <v>5178.57</v>
      </c>
      <c r="E3340" t="s">
        <v>894</v>
      </c>
      <c r="F3340" t="s">
        <v>3835</v>
      </c>
      <c r="G3340" s="8">
        <v>44835</v>
      </c>
      <c r="H3340" t="s">
        <v>599</v>
      </c>
      <c r="I3340" t="s">
        <v>136</v>
      </c>
      <c r="J3340" t="s">
        <v>54</v>
      </c>
      <c r="K3340" t="s">
        <v>29</v>
      </c>
      <c r="L3340" t="s">
        <v>895</v>
      </c>
      <c r="M3340" t="s">
        <v>4402</v>
      </c>
      <c r="O3340" t="s">
        <v>896</v>
      </c>
      <c r="P3340" t="s">
        <v>33</v>
      </c>
      <c r="Q3340" s="22">
        <v>5178.57</v>
      </c>
      <c r="R3340" t="s">
        <v>35</v>
      </c>
      <c r="S3340" t="s">
        <v>35</v>
      </c>
      <c r="T3340" t="s">
        <v>35</v>
      </c>
      <c r="U3340" t="s">
        <v>35</v>
      </c>
      <c r="V3340" t="s">
        <v>645</v>
      </c>
      <c r="W3340" t="s">
        <v>113</v>
      </c>
    </row>
    <row r="3341" spans="1:23" hidden="1" x14ac:dyDescent="0.25">
      <c r="A3341" s="7" t="str">
        <f>IFERROR(VLOOKUP(H3341,'Contas Orç'!A:B,2,0),"N/A")</f>
        <v>VIAGENS E REPRESENTACAO</v>
      </c>
      <c r="B3341" s="7" t="str">
        <f t="shared" si="104"/>
        <v>330407 - VIAGENS E REPRESENTACAO</v>
      </c>
      <c r="C3341" s="25">
        <f t="shared" si="105"/>
        <v>44866</v>
      </c>
      <c r="D3341" s="27">
        <f>IF(K3341="CREDITO",Q3341,Q3341*-1)</f>
        <v>5230.3599999999997</v>
      </c>
      <c r="E3341" t="s">
        <v>894</v>
      </c>
      <c r="F3341" t="s">
        <v>3836</v>
      </c>
      <c r="G3341" s="8">
        <v>44866</v>
      </c>
      <c r="H3341" t="s">
        <v>599</v>
      </c>
      <c r="I3341" t="s">
        <v>136</v>
      </c>
      <c r="J3341" t="s">
        <v>54</v>
      </c>
      <c r="K3341" t="s">
        <v>29</v>
      </c>
      <c r="L3341" t="s">
        <v>895</v>
      </c>
      <c r="M3341" t="s">
        <v>4402</v>
      </c>
      <c r="O3341" t="s">
        <v>896</v>
      </c>
      <c r="P3341" t="s">
        <v>33</v>
      </c>
      <c r="Q3341" s="22">
        <v>5230.3599999999997</v>
      </c>
      <c r="R3341" t="s">
        <v>35</v>
      </c>
      <c r="S3341" t="s">
        <v>35</v>
      </c>
      <c r="T3341" t="s">
        <v>35</v>
      </c>
      <c r="U3341" t="s">
        <v>35</v>
      </c>
      <c r="V3341" t="s">
        <v>645</v>
      </c>
      <c r="W3341" t="s">
        <v>113</v>
      </c>
    </row>
    <row r="3342" spans="1:23" hidden="1" x14ac:dyDescent="0.25">
      <c r="A3342" s="7" t="str">
        <f>IFERROR(VLOOKUP(H3342,'Contas Orç'!A:B,2,0),"N/A")</f>
        <v>VIAGENS E REPRESENTACAO</v>
      </c>
      <c r="B3342" s="7" t="str">
        <f t="shared" si="104"/>
        <v>330407 - VIAGENS E REPRESENTACAO</v>
      </c>
      <c r="C3342" s="25">
        <f t="shared" si="105"/>
        <v>44896</v>
      </c>
      <c r="D3342" s="27">
        <f>IF(K3342="CREDITO",Q3342,Q3342*-1)</f>
        <v>5282.66</v>
      </c>
      <c r="E3342" t="s">
        <v>894</v>
      </c>
      <c r="F3342" t="s">
        <v>3837</v>
      </c>
      <c r="G3342" s="8">
        <v>44896</v>
      </c>
      <c r="H3342" t="s">
        <v>599</v>
      </c>
      <c r="I3342" t="s">
        <v>136</v>
      </c>
      <c r="J3342" t="s">
        <v>54</v>
      </c>
      <c r="K3342" t="s">
        <v>29</v>
      </c>
      <c r="L3342" t="s">
        <v>895</v>
      </c>
      <c r="M3342" t="s">
        <v>4402</v>
      </c>
      <c r="O3342" t="s">
        <v>896</v>
      </c>
      <c r="P3342" t="s">
        <v>33</v>
      </c>
      <c r="Q3342" s="22">
        <v>5282.66</v>
      </c>
      <c r="R3342" t="s">
        <v>35</v>
      </c>
      <c r="S3342" t="s">
        <v>35</v>
      </c>
      <c r="T3342" t="s">
        <v>35</v>
      </c>
      <c r="U3342" t="s">
        <v>35</v>
      </c>
      <c r="V3342" t="s">
        <v>645</v>
      </c>
      <c r="W3342" t="s">
        <v>113</v>
      </c>
    </row>
    <row r="3343" spans="1:23" hidden="1" x14ac:dyDescent="0.25">
      <c r="A3343" s="7" t="str">
        <f>IFERROR(VLOOKUP(H3343,'Contas Orç'!A:B,2,0),"N/A")</f>
        <v>IMPOSTOS, MULTAS E TAXAS DIVERSAS</v>
      </c>
      <c r="B3343" s="7" t="str">
        <f t="shared" si="104"/>
        <v>330408 - IMPOSTOS, MULTAS E TAXAS DIVERSAS</v>
      </c>
      <c r="C3343" s="25">
        <f t="shared" si="105"/>
        <v>44562</v>
      </c>
      <c r="D3343" s="27">
        <f>IF(K3343="CREDITO",Q3343,Q3343*-1)</f>
        <v>1423.52</v>
      </c>
      <c r="E3343" t="s">
        <v>894</v>
      </c>
      <c r="F3343" t="s">
        <v>3838</v>
      </c>
      <c r="G3343" s="8">
        <v>44562</v>
      </c>
      <c r="H3343" t="s">
        <v>600</v>
      </c>
      <c r="I3343" t="s">
        <v>27</v>
      </c>
      <c r="J3343" t="s">
        <v>28</v>
      </c>
      <c r="K3343" t="s">
        <v>29</v>
      </c>
      <c r="L3343" t="s">
        <v>895</v>
      </c>
      <c r="M3343" t="s">
        <v>4402</v>
      </c>
      <c r="O3343" t="s">
        <v>896</v>
      </c>
      <c r="P3343" t="s">
        <v>33</v>
      </c>
      <c r="Q3343" s="22">
        <v>1423.52</v>
      </c>
      <c r="R3343" t="s">
        <v>35</v>
      </c>
      <c r="S3343" t="s">
        <v>35</v>
      </c>
      <c r="T3343" t="s">
        <v>35</v>
      </c>
      <c r="U3343" t="s">
        <v>35</v>
      </c>
      <c r="V3343" t="s">
        <v>645</v>
      </c>
      <c r="W3343" t="s">
        <v>113</v>
      </c>
    </row>
    <row r="3344" spans="1:23" hidden="1" x14ac:dyDescent="0.25">
      <c r="A3344" s="7" t="str">
        <f>IFERROR(VLOOKUP(H3344,'Contas Orç'!A:B,2,0),"N/A")</f>
        <v>IMPOSTOS, MULTAS E TAXAS DIVERSAS</v>
      </c>
      <c r="B3344" s="7" t="str">
        <f t="shared" si="104"/>
        <v>330408 - IMPOSTOS, MULTAS E TAXAS DIVERSAS</v>
      </c>
      <c r="C3344" s="25">
        <f t="shared" si="105"/>
        <v>44562</v>
      </c>
      <c r="D3344" s="27">
        <f>IF(K3344="CREDITO",Q3344,Q3344*-1)</f>
        <v>1411.58</v>
      </c>
      <c r="E3344" t="s">
        <v>894</v>
      </c>
      <c r="F3344" t="s">
        <v>3839</v>
      </c>
      <c r="G3344" s="8">
        <v>44562</v>
      </c>
      <c r="H3344" t="s">
        <v>600</v>
      </c>
      <c r="I3344" t="s">
        <v>68</v>
      </c>
      <c r="J3344" t="s">
        <v>69</v>
      </c>
      <c r="K3344" t="s">
        <v>29</v>
      </c>
      <c r="L3344" t="s">
        <v>895</v>
      </c>
      <c r="M3344" t="s">
        <v>4402</v>
      </c>
      <c r="O3344" t="s">
        <v>896</v>
      </c>
      <c r="P3344" t="s">
        <v>33</v>
      </c>
      <c r="Q3344" s="22">
        <v>1411.58</v>
      </c>
      <c r="R3344" t="s">
        <v>35</v>
      </c>
      <c r="S3344" t="s">
        <v>35</v>
      </c>
      <c r="T3344" t="s">
        <v>35</v>
      </c>
      <c r="U3344" t="s">
        <v>35</v>
      </c>
      <c r="V3344" t="s">
        <v>645</v>
      </c>
      <c r="W3344" t="s">
        <v>113</v>
      </c>
    </row>
    <row r="3345" spans="1:23" hidden="1" x14ac:dyDescent="0.25">
      <c r="A3345" s="7" t="str">
        <f>IFERROR(VLOOKUP(H3345,'Contas Orç'!A:B,2,0),"N/A")</f>
        <v>IMPOSTOS, MULTAS E TAXAS DIVERSAS</v>
      </c>
      <c r="B3345" s="7" t="str">
        <f t="shared" si="104"/>
        <v>330408 - IMPOSTOS, MULTAS E TAXAS DIVERSAS</v>
      </c>
      <c r="C3345" s="25">
        <f t="shared" si="105"/>
        <v>44562</v>
      </c>
      <c r="D3345" s="27">
        <f>IF(K3345="CREDITO",Q3345,Q3345*-1)</f>
        <v>1263.8499999999999</v>
      </c>
      <c r="E3345" t="s">
        <v>894</v>
      </c>
      <c r="F3345" t="s">
        <v>3840</v>
      </c>
      <c r="G3345" s="8">
        <v>44562</v>
      </c>
      <c r="H3345" t="s">
        <v>600</v>
      </c>
      <c r="I3345" t="s">
        <v>40</v>
      </c>
      <c r="J3345" t="s">
        <v>54</v>
      </c>
      <c r="K3345" t="s">
        <v>29</v>
      </c>
      <c r="L3345" t="s">
        <v>895</v>
      </c>
      <c r="M3345" t="s">
        <v>4402</v>
      </c>
      <c r="O3345" t="s">
        <v>896</v>
      </c>
      <c r="P3345" t="s">
        <v>33</v>
      </c>
      <c r="Q3345" s="22">
        <v>1263.8499999999999</v>
      </c>
      <c r="R3345" t="s">
        <v>35</v>
      </c>
      <c r="S3345" t="s">
        <v>35</v>
      </c>
      <c r="T3345" t="s">
        <v>35</v>
      </c>
      <c r="U3345" t="s">
        <v>35</v>
      </c>
      <c r="V3345" t="s">
        <v>645</v>
      </c>
      <c r="W3345" t="s">
        <v>113</v>
      </c>
    </row>
    <row r="3346" spans="1:23" hidden="1" x14ac:dyDescent="0.25">
      <c r="A3346" s="7" t="str">
        <f>IFERROR(VLOOKUP(H3346,'Contas Orç'!A:B,2,0),"N/A")</f>
        <v>IMPOSTOS, MULTAS E TAXAS DIVERSAS</v>
      </c>
      <c r="B3346" s="7" t="str">
        <f t="shared" si="104"/>
        <v>330408 - IMPOSTOS, MULTAS E TAXAS DIVERSAS</v>
      </c>
      <c r="C3346" s="25">
        <f t="shared" si="105"/>
        <v>44562</v>
      </c>
      <c r="D3346" s="27">
        <f>IF(K3346="CREDITO",Q3346,Q3346*-1)</f>
        <v>577.11</v>
      </c>
      <c r="E3346" t="s">
        <v>894</v>
      </c>
      <c r="F3346" t="s">
        <v>3841</v>
      </c>
      <c r="G3346" s="8">
        <v>44562</v>
      </c>
      <c r="H3346" t="s">
        <v>600</v>
      </c>
      <c r="I3346" t="s">
        <v>53</v>
      </c>
      <c r="J3346" t="s">
        <v>54</v>
      </c>
      <c r="K3346" t="s">
        <v>29</v>
      </c>
      <c r="L3346" t="s">
        <v>895</v>
      </c>
      <c r="M3346" t="s">
        <v>4402</v>
      </c>
      <c r="O3346" t="s">
        <v>896</v>
      </c>
      <c r="P3346" t="s">
        <v>33</v>
      </c>
      <c r="Q3346">
        <v>577.11</v>
      </c>
      <c r="R3346" t="s">
        <v>35</v>
      </c>
      <c r="S3346" t="s">
        <v>35</v>
      </c>
      <c r="T3346" t="s">
        <v>35</v>
      </c>
      <c r="U3346" t="s">
        <v>35</v>
      </c>
      <c r="V3346" t="s">
        <v>645</v>
      </c>
      <c r="W3346" t="s">
        <v>113</v>
      </c>
    </row>
    <row r="3347" spans="1:23" hidden="1" x14ac:dyDescent="0.25">
      <c r="A3347" s="7" t="str">
        <f>IFERROR(VLOOKUP(H3347,'Contas Orç'!A:B,2,0),"N/A")</f>
        <v>IMPOSTOS, MULTAS E TAXAS DIVERSAS</v>
      </c>
      <c r="B3347" s="7" t="str">
        <f t="shared" si="104"/>
        <v>330408 - IMPOSTOS, MULTAS E TAXAS DIVERSAS</v>
      </c>
      <c r="C3347" s="25">
        <f t="shared" si="105"/>
        <v>44593</v>
      </c>
      <c r="D3347" s="27">
        <f>IF(K3347="CREDITO",Q3347,Q3347*-1)</f>
        <v>207.34</v>
      </c>
      <c r="E3347" t="s">
        <v>894</v>
      </c>
      <c r="F3347" t="s">
        <v>3842</v>
      </c>
      <c r="G3347" s="8">
        <v>44593</v>
      </c>
      <c r="H3347" t="s">
        <v>600</v>
      </c>
      <c r="I3347" t="s">
        <v>88</v>
      </c>
      <c r="J3347" t="s">
        <v>28</v>
      </c>
      <c r="K3347" t="s">
        <v>29</v>
      </c>
      <c r="L3347" t="s">
        <v>895</v>
      </c>
      <c r="M3347" t="s">
        <v>4402</v>
      </c>
      <c r="O3347" t="s">
        <v>896</v>
      </c>
      <c r="P3347" t="s">
        <v>33</v>
      </c>
      <c r="Q3347">
        <v>207.34</v>
      </c>
      <c r="R3347" t="s">
        <v>35</v>
      </c>
      <c r="S3347" t="s">
        <v>35</v>
      </c>
      <c r="T3347" t="s">
        <v>35</v>
      </c>
      <c r="U3347" t="s">
        <v>35</v>
      </c>
      <c r="V3347" t="s">
        <v>645</v>
      </c>
      <c r="W3347" t="s">
        <v>113</v>
      </c>
    </row>
    <row r="3348" spans="1:23" hidden="1" x14ac:dyDescent="0.25">
      <c r="A3348" s="7" t="str">
        <f>IFERROR(VLOOKUP(H3348,'Contas Orç'!A:B,2,0),"N/A")</f>
        <v>IMPOSTOS, MULTAS E TAXAS DIVERSAS</v>
      </c>
      <c r="B3348" s="7" t="str">
        <f t="shared" si="104"/>
        <v>330408 - IMPOSTOS, MULTAS E TAXAS DIVERSAS</v>
      </c>
      <c r="C3348" s="25">
        <f t="shared" si="105"/>
        <v>44593</v>
      </c>
      <c r="D3348" s="27">
        <f>IF(K3348="CREDITO",Q3348,Q3348*-1)</f>
        <v>4476.71</v>
      </c>
      <c r="E3348" t="s">
        <v>894</v>
      </c>
      <c r="F3348" t="s">
        <v>3843</v>
      </c>
      <c r="G3348" s="8">
        <v>44593</v>
      </c>
      <c r="H3348" t="s">
        <v>600</v>
      </c>
      <c r="I3348" t="s">
        <v>27</v>
      </c>
      <c r="J3348" t="s">
        <v>28</v>
      </c>
      <c r="K3348" t="s">
        <v>29</v>
      </c>
      <c r="L3348" t="s">
        <v>895</v>
      </c>
      <c r="M3348" t="s">
        <v>4402</v>
      </c>
      <c r="O3348" t="s">
        <v>896</v>
      </c>
      <c r="P3348" t="s">
        <v>33</v>
      </c>
      <c r="Q3348" s="22">
        <v>4476.71</v>
      </c>
      <c r="R3348" t="s">
        <v>35</v>
      </c>
      <c r="S3348" t="s">
        <v>35</v>
      </c>
      <c r="T3348" t="s">
        <v>35</v>
      </c>
      <c r="U3348" t="s">
        <v>35</v>
      </c>
      <c r="V3348" t="s">
        <v>645</v>
      </c>
      <c r="W3348" t="s">
        <v>113</v>
      </c>
    </row>
    <row r="3349" spans="1:23" hidden="1" x14ac:dyDescent="0.25">
      <c r="A3349" s="7" t="str">
        <f>IFERROR(VLOOKUP(H3349,'Contas Orç'!A:B,2,0),"N/A")</f>
        <v>IMPOSTOS, MULTAS E TAXAS DIVERSAS</v>
      </c>
      <c r="B3349" s="7" t="str">
        <f t="shared" si="104"/>
        <v>330408 - IMPOSTOS, MULTAS E TAXAS DIVERSAS</v>
      </c>
      <c r="C3349" s="25">
        <f t="shared" si="105"/>
        <v>44593</v>
      </c>
      <c r="D3349" s="27">
        <f>IF(K3349="CREDITO",Q3349,Q3349*-1)</f>
        <v>46.06</v>
      </c>
      <c r="E3349" t="s">
        <v>894</v>
      </c>
      <c r="F3349" t="s">
        <v>3844</v>
      </c>
      <c r="G3349" s="8">
        <v>44593</v>
      </c>
      <c r="H3349" t="s">
        <v>600</v>
      </c>
      <c r="I3349" t="s">
        <v>40</v>
      </c>
      <c r="J3349" t="s">
        <v>54</v>
      </c>
      <c r="K3349" t="s">
        <v>29</v>
      </c>
      <c r="L3349" t="s">
        <v>895</v>
      </c>
      <c r="M3349" t="s">
        <v>4402</v>
      </c>
      <c r="O3349" t="s">
        <v>896</v>
      </c>
      <c r="P3349" t="s">
        <v>33</v>
      </c>
      <c r="Q3349">
        <v>46.06</v>
      </c>
      <c r="R3349" t="s">
        <v>35</v>
      </c>
      <c r="S3349" t="s">
        <v>35</v>
      </c>
      <c r="T3349" t="s">
        <v>35</v>
      </c>
      <c r="U3349" t="s">
        <v>35</v>
      </c>
      <c r="V3349" t="s">
        <v>645</v>
      </c>
      <c r="W3349" t="s">
        <v>113</v>
      </c>
    </row>
    <row r="3350" spans="1:23" hidden="1" x14ac:dyDescent="0.25">
      <c r="A3350" s="7" t="str">
        <f>IFERROR(VLOOKUP(H3350,'Contas Orç'!A:B,2,0),"N/A")</f>
        <v>IMPOSTOS, MULTAS E TAXAS DIVERSAS</v>
      </c>
      <c r="B3350" s="7" t="str">
        <f t="shared" si="104"/>
        <v>330408 - IMPOSTOS, MULTAS E TAXAS DIVERSAS</v>
      </c>
      <c r="C3350" s="25">
        <f t="shared" si="105"/>
        <v>44593</v>
      </c>
      <c r="D3350" s="27">
        <f>IF(K3350="CREDITO",Q3350,Q3350*-1)</f>
        <v>5000</v>
      </c>
      <c r="E3350" t="s">
        <v>894</v>
      </c>
      <c r="F3350" t="s">
        <v>3845</v>
      </c>
      <c r="G3350" s="8">
        <v>44593</v>
      </c>
      <c r="H3350" t="s">
        <v>600</v>
      </c>
      <c r="I3350" t="s">
        <v>53</v>
      </c>
      <c r="J3350" t="s">
        <v>54</v>
      </c>
      <c r="K3350" t="s">
        <v>29</v>
      </c>
      <c r="L3350" t="s">
        <v>895</v>
      </c>
      <c r="M3350" t="s">
        <v>4402</v>
      </c>
      <c r="O3350" t="s">
        <v>896</v>
      </c>
      <c r="P3350" t="s">
        <v>33</v>
      </c>
      <c r="Q3350" s="22">
        <v>5000</v>
      </c>
      <c r="R3350" t="s">
        <v>35</v>
      </c>
      <c r="S3350" t="s">
        <v>35</v>
      </c>
      <c r="T3350" t="s">
        <v>35</v>
      </c>
      <c r="U3350" t="s">
        <v>35</v>
      </c>
      <c r="V3350" t="s">
        <v>645</v>
      </c>
      <c r="W3350" t="s">
        <v>113</v>
      </c>
    </row>
    <row r="3351" spans="1:23" hidden="1" x14ac:dyDescent="0.25">
      <c r="A3351" s="7" t="str">
        <f>IFERROR(VLOOKUP(H3351,'Contas Orç'!A:B,2,0),"N/A")</f>
        <v>IMPOSTOS, MULTAS E TAXAS DIVERSAS</v>
      </c>
      <c r="B3351" s="7" t="str">
        <f t="shared" si="104"/>
        <v>330408 - IMPOSTOS, MULTAS E TAXAS DIVERSAS</v>
      </c>
      <c r="C3351" s="25">
        <f t="shared" si="105"/>
        <v>44621</v>
      </c>
      <c r="D3351" s="27">
        <f>IF(K3351="CREDITO",Q3351,Q3351*-1)</f>
        <v>546.41999999999996</v>
      </c>
      <c r="E3351" t="s">
        <v>894</v>
      </c>
      <c r="F3351" t="s">
        <v>3846</v>
      </c>
      <c r="G3351" s="8">
        <v>44621</v>
      </c>
      <c r="H3351" t="s">
        <v>600</v>
      </c>
      <c r="I3351" t="s">
        <v>27</v>
      </c>
      <c r="J3351" t="s">
        <v>28</v>
      </c>
      <c r="K3351" t="s">
        <v>29</v>
      </c>
      <c r="L3351" t="s">
        <v>895</v>
      </c>
      <c r="M3351" t="s">
        <v>4402</v>
      </c>
      <c r="O3351" t="s">
        <v>896</v>
      </c>
      <c r="P3351" t="s">
        <v>33</v>
      </c>
      <c r="Q3351">
        <v>546.41999999999996</v>
      </c>
      <c r="R3351" t="s">
        <v>35</v>
      </c>
      <c r="S3351" t="s">
        <v>35</v>
      </c>
      <c r="T3351" t="s">
        <v>35</v>
      </c>
      <c r="U3351" t="s">
        <v>35</v>
      </c>
      <c r="V3351" t="s">
        <v>645</v>
      </c>
      <c r="W3351" t="s">
        <v>113</v>
      </c>
    </row>
    <row r="3352" spans="1:23" hidden="1" x14ac:dyDescent="0.25">
      <c r="A3352" s="7" t="str">
        <f>IFERROR(VLOOKUP(H3352,'Contas Orç'!A:B,2,0),"N/A")</f>
        <v>IMPOSTOS, MULTAS E TAXAS DIVERSAS</v>
      </c>
      <c r="B3352" s="7" t="str">
        <f t="shared" si="104"/>
        <v>330408 - IMPOSTOS, MULTAS E TAXAS DIVERSAS</v>
      </c>
      <c r="C3352" s="25">
        <f t="shared" si="105"/>
        <v>44621</v>
      </c>
      <c r="D3352" s="27">
        <f>IF(K3352="CREDITO",Q3352,Q3352*-1)</f>
        <v>2413.7399999999998</v>
      </c>
      <c r="E3352" t="s">
        <v>894</v>
      </c>
      <c r="F3352" t="s">
        <v>3847</v>
      </c>
      <c r="G3352" s="8">
        <v>44621</v>
      </c>
      <c r="H3352" t="s">
        <v>600</v>
      </c>
      <c r="I3352" t="s">
        <v>59</v>
      </c>
      <c r="J3352" t="s">
        <v>60</v>
      </c>
      <c r="K3352" t="s">
        <v>29</v>
      </c>
      <c r="L3352" t="s">
        <v>895</v>
      </c>
      <c r="M3352" t="s">
        <v>4402</v>
      </c>
      <c r="O3352" t="s">
        <v>896</v>
      </c>
      <c r="P3352" t="s">
        <v>33</v>
      </c>
      <c r="Q3352" s="22">
        <v>2413.7399999999998</v>
      </c>
      <c r="R3352" t="s">
        <v>35</v>
      </c>
      <c r="S3352" t="s">
        <v>35</v>
      </c>
      <c r="T3352" t="s">
        <v>35</v>
      </c>
      <c r="U3352" t="s">
        <v>35</v>
      </c>
      <c r="V3352" t="s">
        <v>645</v>
      </c>
      <c r="W3352" t="s">
        <v>113</v>
      </c>
    </row>
    <row r="3353" spans="1:23" hidden="1" x14ac:dyDescent="0.25">
      <c r="A3353" s="7" t="str">
        <f>IFERROR(VLOOKUP(H3353,'Contas Orç'!A:B,2,0),"N/A")</f>
        <v>IMPOSTOS, MULTAS E TAXAS DIVERSAS</v>
      </c>
      <c r="B3353" s="7" t="str">
        <f t="shared" si="104"/>
        <v>330408 - IMPOSTOS, MULTAS E TAXAS DIVERSAS</v>
      </c>
      <c r="C3353" s="25">
        <f t="shared" si="105"/>
        <v>44621</v>
      </c>
      <c r="D3353" s="27">
        <f>IF(K3353="CREDITO",Q3353,Q3353*-1)</f>
        <v>2084.87</v>
      </c>
      <c r="E3353" t="s">
        <v>894</v>
      </c>
      <c r="F3353" t="s">
        <v>3848</v>
      </c>
      <c r="G3353" s="8">
        <v>44621</v>
      </c>
      <c r="H3353" t="s">
        <v>600</v>
      </c>
      <c r="I3353" t="s">
        <v>68</v>
      </c>
      <c r="J3353" t="s">
        <v>69</v>
      </c>
      <c r="K3353" t="s">
        <v>29</v>
      </c>
      <c r="L3353" t="s">
        <v>895</v>
      </c>
      <c r="M3353" t="s">
        <v>4402</v>
      </c>
      <c r="O3353" t="s">
        <v>896</v>
      </c>
      <c r="P3353" t="s">
        <v>33</v>
      </c>
      <c r="Q3353" s="22">
        <v>2084.87</v>
      </c>
      <c r="R3353" t="s">
        <v>35</v>
      </c>
      <c r="S3353" t="s">
        <v>35</v>
      </c>
      <c r="T3353" t="s">
        <v>35</v>
      </c>
      <c r="U3353" t="s">
        <v>35</v>
      </c>
      <c r="V3353" t="s">
        <v>645</v>
      </c>
      <c r="W3353" t="s">
        <v>113</v>
      </c>
    </row>
    <row r="3354" spans="1:23" hidden="1" x14ac:dyDescent="0.25">
      <c r="A3354" s="7" t="str">
        <f>IFERROR(VLOOKUP(H3354,'Contas Orç'!A:B,2,0),"N/A")</f>
        <v>IMPOSTOS, MULTAS E TAXAS DIVERSAS</v>
      </c>
      <c r="B3354" s="7" t="str">
        <f t="shared" si="104"/>
        <v>330408 - IMPOSTOS, MULTAS E TAXAS DIVERSAS</v>
      </c>
      <c r="C3354" s="25">
        <f t="shared" si="105"/>
        <v>44621</v>
      </c>
      <c r="D3354" s="27">
        <f>IF(K3354="CREDITO",Q3354,Q3354*-1)</f>
        <v>466.76</v>
      </c>
      <c r="E3354" t="s">
        <v>894</v>
      </c>
      <c r="F3354" t="s">
        <v>3849</v>
      </c>
      <c r="G3354" s="8">
        <v>44621</v>
      </c>
      <c r="H3354" t="s">
        <v>600</v>
      </c>
      <c r="I3354" t="s">
        <v>53</v>
      </c>
      <c r="J3354" t="s">
        <v>54</v>
      </c>
      <c r="K3354" t="s">
        <v>29</v>
      </c>
      <c r="L3354" t="s">
        <v>895</v>
      </c>
      <c r="M3354" t="s">
        <v>4402</v>
      </c>
      <c r="O3354" t="s">
        <v>896</v>
      </c>
      <c r="P3354" t="s">
        <v>33</v>
      </c>
      <c r="Q3354">
        <v>466.76</v>
      </c>
      <c r="R3354" t="s">
        <v>35</v>
      </c>
      <c r="S3354" t="s">
        <v>35</v>
      </c>
      <c r="T3354" t="s">
        <v>35</v>
      </c>
      <c r="U3354" t="s">
        <v>35</v>
      </c>
      <c r="V3354" t="s">
        <v>645</v>
      </c>
      <c r="W3354" t="s">
        <v>113</v>
      </c>
    </row>
    <row r="3355" spans="1:23" hidden="1" x14ac:dyDescent="0.25">
      <c r="A3355" s="7" t="str">
        <f>IFERROR(VLOOKUP(H3355,'Contas Orç'!A:B,2,0),"N/A")</f>
        <v>IMPOSTOS, MULTAS E TAXAS DIVERSAS</v>
      </c>
      <c r="B3355" s="7" t="str">
        <f t="shared" si="104"/>
        <v>330408 - IMPOSTOS, MULTAS E TAXAS DIVERSAS</v>
      </c>
      <c r="C3355" s="25">
        <f t="shared" si="105"/>
        <v>44652</v>
      </c>
      <c r="D3355" s="27">
        <f>IF(K3355="CREDITO",Q3355,Q3355*-1)</f>
        <v>207.45</v>
      </c>
      <c r="E3355" t="s">
        <v>894</v>
      </c>
      <c r="F3355" t="s">
        <v>3850</v>
      </c>
      <c r="G3355" s="8">
        <v>44652</v>
      </c>
      <c r="H3355" t="s">
        <v>600</v>
      </c>
      <c r="I3355" t="s">
        <v>59</v>
      </c>
      <c r="J3355" t="s">
        <v>60</v>
      </c>
      <c r="K3355" t="s">
        <v>29</v>
      </c>
      <c r="L3355" t="s">
        <v>895</v>
      </c>
      <c r="M3355" t="s">
        <v>4402</v>
      </c>
      <c r="O3355" t="s">
        <v>896</v>
      </c>
      <c r="P3355" t="s">
        <v>33</v>
      </c>
      <c r="Q3355">
        <v>207.45</v>
      </c>
      <c r="R3355" t="s">
        <v>35</v>
      </c>
      <c r="S3355" t="s">
        <v>35</v>
      </c>
      <c r="T3355" t="s">
        <v>35</v>
      </c>
      <c r="U3355" t="s">
        <v>35</v>
      </c>
      <c r="V3355" t="s">
        <v>645</v>
      </c>
      <c r="W3355" t="s">
        <v>113</v>
      </c>
    </row>
    <row r="3356" spans="1:23" hidden="1" x14ac:dyDescent="0.25">
      <c r="A3356" s="7" t="str">
        <f>IFERROR(VLOOKUP(H3356,'Contas Orç'!A:B,2,0),"N/A")</f>
        <v>IMPOSTOS, MULTAS E TAXAS DIVERSAS</v>
      </c>
      <c r="B3356" s="7" t="str">
        <f t="shared" si="104"/>
        <v>330408 - IMPOSTOS, MULTAS E TAXAS DIVERSAS</v>
      </c>
      <c r="C3356" s="25">
        <f t="shared" si="105"/>
        <v>44652</v>
      </c>
      <c r="D3356" s="27">
        <f>IF(K3356="CREDITO",Q3356,Q3356*-1)</f>
        <v>285.88</v>
      </c>
      <c r="E3356" t="s">
        <v>894</v>
      </c>
      <c r="F3356" t="s">
        <v>3851</v>
      </c>
      <c r="G3356" s="8">
        <v>44652</v>
      </c>
      <c r="H3356" t="s">
        <v>600</v>
      </c>
      <c r="I3356" t="s">
        <v>40</v>
      </c>
      <c r="J3356" t="s">
        <v>54</v>
      </c>
      <c r="K3356" t="s">
        <v>29</v>
      </c>
      <c r="L3356" t="s">
        <v>895</v>
      </c>
      <c r="M3356" t="s">
        <v>4402</v>
      </c>
      <c r="O3356" t="s">
        <v>896</v>
      </c>
      <c r="P3356" t="s">
        <v>33</v>
      </c>
      <c r="Q3356">
        <v>285.88</v>
      </c>
      <c r="R3356" t="s">
        <v>35</v>
      </c>
      <c r="S3356" t="s">
        <v>35</v>
      </c>
      <c r="T3356" t="s">
        <v>35</v>
      </c>
      <c r="U3356" t="s">
        <v>35</v>
      </c>
      <c r="V3356" t="s">
        <v>645</v>
      </c>
      <c r="W3356" t="s">
        <v>113</v>
      </c>
    </row>
    <row r="3357" spans="1:23" hidden="1" x14ac:dyDescent="0.25">
      <c r="A3357" s="7" t="str">
        <f>IFERROR(VLOOKUP(H3357,'Contas Orç'!A:B,2,0),"N/A")</f>
        <v>IMPOSTOS, MULTAS E TAXAS DIVERSAS</v>
      </c>
      <c r="B3357" s="7" t="str">
        <f t="shared" si="104"/>
        <v>330408 - IMPOSTOS, MULTAS E TAXAS DIVERSAS</v>
      </c>
      <c r="C3357" s="25">
        <f t="shared" si="105"/>
        <v>44652</v>
      </c>
      <c r="D3357" s="27">
        <f>IF(K3357="CREDITO",Q3357,Q3357*-1)</f>
        <v>437.16</v>
      </c>
      <c r="E3357" t="s">
        <v>894</v>
      </c>
      <c r="F3357" t="s">
        <v>3852</v>
      </c>
      <c r="G3357" s="8">
        <v>44652</v>
      </c>
      <c r="H3357" t="s">
        <v>600</v>
      </c>
      <c r="I3357" t="s">
        <v>53</v>
      </c>
      <c r="J3357" t="s">
        <v>54</v>
      </c>
      <c r="K3357" t="s">
        <v>29</v>
      </c>
      <c r="L3357" t="s">
        <v>895</v>
      </c>
      <c r="M3357" t="s">
        <v>4402</v>
      </c>
      <c r="O3357" t="s">
        <v>896</v>
      </c>
      <c r="P3357" t="s">
        <v>33</v>
      </c>
      <c r="Q3357">
        <v>437.16</v>
      </c>
      <c r="R3357" t="s">
        <v>35</v>
      </c>
      <c r="S3357" t="s">
        <v>35</v>
      </c>
      <c r="T3357" t="s">
        <v>35</v>
      </c>
      <c r="U3357" t="s">
        <v>35</v>
      </c>
      <c r="V3357" t="s">
        <v>645</v>
      </c>
      <c r="W3357" t="s">
        <v>113</v>
      </c>
    </row>
    <row r="3358" spans="1:23" hidden="1" x14ac:dyDescent="0.25">
      <c r="A3358" s="7" t="str">
        <f>IFERROR(VLOOKUP(H3358,'Contas Orç'!A:B,2,0),"N/A")</f>
        <v>IMPOSTOS, MULTAS E TAXAS DIVERSAS</v>
      </c>
      <c r="B3358" s="7" t="str">
        <f t="shared" si="104"/>
        <v>330408 - IMPOSTOS, MULTAS E TAXAS DIVERSAS</v>
      </c>
      <c r="C3358" s="25">
        <f t="shared" si="105"/>
        <v>44682</v>
      </c>
      <c r="D3358" s="27">
        <f>IF(K3358="CREDITO",Q3358,Q3358*-1)</f>
        <v>1866.06</v>
      </c>
      <c r="E3358" t="s">
        <v>894</v>
      </c>
      <c r="F3358" t="s">
        <v>3853</v>
      </c>
      <c r="G3358" s="8">
        <v>44682</v>
      </c>
      <c r="H3358" t="s">
        <v>600</v>
      </c>
      <c r="I3358" t="s">
        <v>27</v>
      </c>
      <c r="J3358" t="s">
        <v>28</v>
      </c>
      <c r="K3358" t="s">
        <v>29</v>
      </c>
      <c r="L3358" t="s">
        <v>895</v>
      </c>
      <c r="M3358" t="s">
        <v>4402</v>
      </c>
      <c r="O3358" t="s">
        <v>896</v>
      </c>
      <c r="P3358" t="s">
        <v>33</v>
      </c>
      <c r="Q3358" s="22">
        <v>1866.06</v>
      </c>
      <c r="R3358" t="s">
        <v>35</v>
      </c>
      <c r="S3358" t="s">
        <v>35</v>
      </c>
      <c r="T3358" t="s">
        <v>35</v>
      </c>
      <c r="U3358" t="s">
        <v>35</v>
      </c>
      <c r="V3358" t="s">
        <v>645</v>
      </c>
      <c r="W3358" t="s">
        <v>113</v>
      </c>
    </row>
    <row r="3359" spans="1:23" hidden="1" x14ac:dyDescent="0.25">
      <c r="A3359" s="7" t="str">
        <f>IFERROR(VLOOKUP(H3359,'Contas Orç'!A:B,2,0),"N/A")</f>
        <v>IMPOSTOS, MULTAS E TAXAS DIVERSAS</v>
      </c>
      <c r="B3359" s="7" t="str">
        <f t="shared" si="104"/>
        <v>330408 - IMPOSTOS, MULTAS E TAXAS DIVERSAS</v>
      </c>
      <c r="C3359" s="25">
        <f t="shared" si="105"/>
        <v>44682</v>
      </c>
      <c r="D3359" s="27">
        <f>IF(K3359="CREDITO",Q3359,Q3359*-1)</f>
        <v>482.1</v>
      </c>
      <c r="E3359" t="s">
        <v>894</v>
      </c>
      <c r="F3359" t="s">
        <v>3854</v>
      </c>
      <c r="G3359" s="8">
        <v>44682</v>
      </c>
      <c r="H3359" t="s">
        <v>600</v>
      </c>
      <c r="I3359" t="s">
        <v>59</v>
      </c>
      <c r="J3359" t="s">
        <v>60</v>
      </c>
      <c r="K3359" t="s">
        <v>29</v>
      </c>
      <c r="L3359" t="s">
        <v>895</v>
      </c>
      <c r="M3359" t="s">
        <v>4402</v>
      </c>
      <c r="O3359" t="s">
        <v>896</v>
      </c>
      <c r="P3359" t="s">
        <v>33</v>
      </c>
      <c r="Q3359">
        <v>482.1</v>
      </c>
      <c r="R3359" t="s">
        <v>35</v>
      </c>
      <c r="S3359" t="s">
        <v>35</v>
      </c>
      <c r="T3359" t="s">
        <v>35</v>
      </c>
      <c r="U3359" t="s">
        <v>35</v>
      </c>
      <c r="V3359" t="s">
        <v>645</v>
      </c>
      <c r="W3359" t="s">
        <v>113</v>
      </c>
    </row>
    <row r="3360" spans="1:23" hidden="1" x14ac:dyDescent="0.25">
      <c r="A3360" s="7" t="str">
        <f>IFERROR(VLOOKUP(H3360,'Contas Orç'!A:B,2,0),"N/A")</f>
        <v>IMPOSTOS, MULTAS E TAXAS DIVERSAS</v>
      </c>
      <c r="B3360" s="7" t="str">
        <f t="shared" si="104"/>
        <v>330408 - IMPOSTOS, MULTAS E TAXAS DIVERSAS</v>
      </c>
      <c r="C3360" s="25">
        <f t="shared" si="105"/>
        <v>44682</v>
      </c>
      <c r="D3360" s="27">
        <f>IF(K3360="CREDITO",Q3360,Q3360*-1)</f>
        <v>43569.84</v>
      </c>
      <c r="E3360" t="s">
        <v>894</v>
      </c>
      <c r="F3360" t="s">
        <v>3855</v>
      </c>
      <c r="G3360" s="8">
        <v>44682</v>
      </c>
      <c r="H3360" t="s">
        <v>600</v>
      </c>
      <c r="I3360" t="s">
        <v>68</v>
      </c>
      <c r="J3360" t="s">
        <v>69</v>
      </c>
      <c r="K3360" t="s">
        <v>29</v>
      </c>
      <c r="L3360" t="s">
        <v>895</v>
      </c>
      <c r="M3360" t="s">
        <v>4402</v>
      </c>
      <c r="O3360" t="s">
        <v>896</v>
      </c>
      <c r="P3360" t="s">
        <v>33</v>
      </c>
      <c r="Q3360" s="22">
        <v>43569.84</v>
      </c>
      <c r="R3360" t="s">
        <v>35</v>
      </c>
      <c r="S3360" t="s">
        <v>35</v>
      </c>
      <c r="T3360" t="s">
        <v>35</v>
      </c>
      <c r="U3360" t="s">
        <v>35</v>
      </c>
      <c r="V3360" t="s">
        <v>645</v>
      </c>
      <c r="W3360" t="s">
        <v>113</v>
      </c>
    </row>
    <row r="3361" spans="1:23" hidden="1" x14ac:dyDescent="0.25">
      <c r="A3361" s="7" t="str">
        <f>IFERROR(VLOOKUP(H3361,'Contas Orç'!A:B,2,0),"N/A")</f>
        <v>IMPOSTOS, MULTAS E TAXAS DIVERSAS</v>
      </c>
      <c r="B3361" s="7" t="str">
        <f t="shared" si="104"/>
        <v>330408 - IMPOSTOS, MULTAS E TAXAS DIVERSAS</v>
      </c>
      <c r="C3361" s="25">
        <f t="shared" si="105"/>
        <v>44682</v>
      </c>
      <c r="D3361" s="27">
        <f>IF(K3361="CREDITO",Q3361,Q3361*-1)</f>
        <v>51.28</v>
      </c>
      <c r="E3361" t="s">
        <v>894</v>
      </c>
      <c r="F3361" t="s">
        <v>3856</v>
      </c>
      <c r="G3361" s="8">
        <v>44682</v>
      </c>
      <c r="H3361" t="s">
        <v>600</v>
      </c>
      <c r="I3361" t="s">
        <v>53</v>
      </c>
      <c r="J3361" t="s">
        <v>54</v>
      </c>
      <c r="K3361" t="s">
        <v>29</v>
      </c>
      <c r="L3361" t="s">
        <v>895</v>
      </c>
      <c r="M3361" t="s">
        <v>4402</v>
      </c>
      <c r="O3361" t="s">
        <v>896</v>
      </c>
      <c r="P3361" t="s">
        <v>33</v>
      </c>
      <c r="Q3361">
        <v>51.28</v>
      </c>
      <c r="R3361" t="s">
        <v>35</v>
      </c>
      <c r="S3361" t="s">
        <v>35</v>
      </c>
      <c r="T3361" t="s">
        <v>35</v>
      </c>
      <c r="U3361" t="s">
        <v>35</v>
      </c>
      <c r="V3361" t="s">
        <v>645</v>
      </c>
      <c r="W3361" t="s">
        <v>113</v>
      </c>
    </row>
    <row r="3362" spans="1:23" hidden="1" x14ac:dyDescent="0.25">
      <c r="A3362" s="7" t="str">
        <f>IFERROR(VLOOKUP(H3362,'Contas Orç'!A:B,2,0),"N/A")</f>
        <v>IMPOSTOS, MULTAS E TAXAS DIVERSAS</v>
      </c>
      <c r="B3362" s="7" t="str">
        <f t="shared" si="104"/>
        <v>330408 - IMPOSTOS, MULTAS E TAXAS DIVERSAS</v>
      </c>
      <c r="C3362" s="25">
        <f t="shared" si="105"/>
        <v>44713</v>
      </c>
      <c r="D3362" s="27">
        <f>IF(K3362="CREDITO",Q3362,Q3362*-1)</f>
        <v>2974.16</v>
      </c>
      <c r="E3362" t="s">
        <v>894</v>
      </c>
      <c r="F3362" t="s">
        <v>3857</v>
      </c>
      <c r="G3362" s="8">
        <v>44713</v>
      </c>
      <c r="H3362" t="s">
        <v>600</v>
      </c>
      <c r="I3362" t="s">
        <v>27</v>
      </c>
      <c r="J3362" t="s">
        <v>28</v>
      </c>
      <c r="K3362" t="s">
        <v>29</v>
      </c>
      <c r="L3362" t="s">
        <v>895</v>
      </c>
      <c r="M3362" t="s">
        <v>4402</v>
      </c>
      <c r="O3362" t="s">
        <v>896</v>
      </c>
      <c r="P3362" t="s">
        <v>33</v>
      </c>
      <c r="Q3362" s="22">
        <v>2974.16</v>
      </c>
      <c r="R3362" t="s">
        <v>35</v>
      </c>
      <c r="S3362" t="s">
        <v>35</v>
      </c>
      <c r="T3362" t="s">
        <v>35</v>
      </c>
      <c r="U3362" t="s">
        <v>35</v>
      </c>
      <c r="V3362" t="s">
        <v>645</v>
      </c>
      <c r="W3362" t="s">
        <v>113</v>
      </c>
    </row>
    <row r="3363" spans="1:23" hidden="1" x14ac:dyDescent="0.25">
      <c r="A3363" s="7" t="str">
        <f>IFERROR(VLOOKUP(H3363,'Contas Orç'!A:B,2,0),"N/A")</f>
        <v>IMPOSTOS, MULTAS E TAXAS DIVERSAS</v>
      </c>
      <c r="B3363" s="7" t="str">
        <f t="shared" si="104"/>
        <v>330408 - IMPOSTOS, MULTAS E TAXAS DIVERSAS</v>
      </c>
      <c r="C3363" s="25">
        <f t="shared" si="105"/>
        <v>44713</v>
      </c>
      <c r="D3363" s="27">
        <f>IF(K3363="CREDITO",Q3363,Q3363*-1)</f>
        <v>7497</v>
      </c>
      <c r="E3363" t="s">
        <v>894</v>
      </c>
      <c r="F3363" t="s">
        <v>3858</v>
      </c>
      <c r="G3363" s="8">
        <v>44713</v>
      </c>
      <c r="H3363" t="s">
        <v>600</v>
      </c>
      <c r="I3363" t="s">
        <v>68</v>
      </c>
      <c r="J3363" t="s">
        <v>69</v>
      </c>
      <c r="K3363" t="s">
        <v>29</v>
      </c>
      <c r="L3363" t="s">
        <v>895</v>
      </c>
      <c r="M3363" t="s">
        <v>4402</v>
      </c>
      <c r="O3363" t="s">
        <v>896</v>
      </c>
      <c r="P3363" t="s">
        <v>33</v>
      </c>
      <c r="Q3363" s="22">
        <v>7497</v>
      </c>
      <c r="R3363" t="s">
        <v>35</v>
      </c>
      <c r="S3363" t="s">
        <v>35</v>
      </c>
      <c r="T3363" t="s">
        <v>35</v>
      </c>
      <c r="U3363" t="s">
        <v>35</v>
      </c>
      <c r="V3363" t="s">
        <v>645</v>
      </c>
      <c r="W3363" t="s">
        <v>113</v>
      </c>
    </row>
    <row r="3364" spans="1:23" hidden="1" x14ac:dyDescent="0.25">
      <c r="A3364" s="7" t="str">
        <f>IFERROR(VLOOKUP(H3364,'Contas Orç'!A:B,2,0),"N/A")</f>
        <v>IMPOSTOS, MULTAS E TAXAS DIVERSAS</v>
      </c>
      <c r="B3364" s="7" t="str">
        <f t="shared" si="104"/>
        <v>330408 - IMPOSTOS, MULTAS E TAXAS DIVERSAS</v>
      </c>
      <c r="C3364" s="25">
        <f t="shared" si="105"/>
        <v>44713</v>
      </c>
      <c r="D3364" s="27">
        <f>IF(K3364="CREDITO",Q3364,Q3364*-1)</f>
        <v>65</v>
      </c>
      <c r="E3364" t="s">
        <v>894</v>
      </c>
      <c r="F3364" t="s">
        <v>3859</v>
      </c>
      <c r="G3364" s="8">
        <v>44713</v>
      </c>
      <c r="H3364" t="s">
        <v>600</v>
      </c>
      <c r="I3364" t="s">
        <v>40</v>
      </c>
      <c r="J3364" t="s">
        <v>54</v>
      </c>
      <c r="K3364" t="s">
        <v>29</v>
      </c>
      <c r="L3364" t="s">
        <v>895</v>
      </c>
      <c r="M3364" t="s">
        <v>4402</v>
      </c>
      <c r="O3364" t="s">
        <v>896</v>
      </c>
      <c r="P3364" t="s">
        <v>33</v>
      </c>
      <c r="Q3364">
        <v>65</v>
      </c>
      <c r="R3364" t="s">
        <v>35</v>
      </c>
      <c r="S3364" t="s">
        <v>35</v>
      </c>
      <c r="T3364" t="s">
        <v>35</v>
      </c>
      <c r="U3364" t="s">
        <v>35</v>
      </c>
      <c r="V3364" t="s">
        <v>645</v>
      </c>
      <c r="W3364" t="s">
        <v>113</v>
      </c>
    </row>
    <row r="3365" spans="1:23" hidden="1" x14ac:dyDescent="0.25">
      <c r="A3365" s="7" t="str">
        <f>IFERROR(VLOOKUP(H3365,'Contas Orç'!A:B,2,0),"N/A")</f>
        <v>IMPOSTOS, MULTAS E TAXAS DIVERSAS</v>
      </c>
      <c r="B3365" s="7" t="str">
        <f t="shared" si="104"/>
        <v>330408 - IMPOSTOS, MULTAS E TAXAS DIVERSAS</v>
      </c>
      <c r="C3365" s="25">
        <f t="shared" si="105"/>
        <v>44743</v>
      </c>
      <c r="D3365" s="27">
        <f>IF(K3365="CREDITO",Q3365,Q3365*-1)</f>
        <v>2590.59</v>
      </c>
      <c r="E3365" t="s">
        <v>894</v>
      </c>
      <c r="F3365" t="s">
        <v>3860</v>
      </c>
      <c r="G3365" s="8">
        <v>44743</v>
      </c>
      <c r="H3365" t="s">
        <v>600</v>
      </c>
      <c r="I3365" t="s">
        <v>27</v>
      </c>
      <c r="J3365" t="s">
        <v>28</v>
      </c>
      <c r="K3365" t="s">
        <v>29</v>
      </c>
      <c r="L3365" t="s">
        <v>895</v>
      </c>
      <c r="M3365" t="s">
        <v>4402</v>
      </c>
      <c r="O3365" t="s">
        <v>896</v>
      </c>
      <c r="P3365" t="s">
        <v>33</v>
      </c>
      <c r="Q3365" s="22">
        <v>2590.59</v>
      </c>
      <c r="R3365" t="s">
        <v>35</v>
      </c>
      <c r="S3365" t="s">
        <v>35</v>
      </c>
      <c r="T3365" t="s">
        <v>35</v>
      </c>
      <c r="U3365" t="s">
        <v>35</v>
      </c>
      <c r="V3365" t="s">
        <v>645</v>
      </c>
      <c r="W3365" t="s">
        <v>113</v>
      </c>
    </row>
    <row r="3366" spans="1:23" hidden="1" x14ac:dyDescent="0.25">
      <c r="A3366" s="7" t="str">
        <f>IFERROR(VLOOKUP(H3366,'Contas Orç'!A:B,2,0),"N/A")</f>
        <v>IMPOSTOS, MULTAS E TAXAS DIVERSAS</v>
      </c>
      <c r="B3366" s="7" t="str">
        <f t="shared" si="104"/>
        <v>330408 - IMPOSTOS, MULTAS E TAXAS DIVERSAS</v>
      </c>
      <c r="C3366" s="25">
        <f t="shared" si="105"/>
        <v>44743</v>
      </c>
      <c r="D3366" s="27">
        <f>IF(K3366="CREDITO",Q3366,Q3366*-1)</f>
        <v>254.13</v>
      </c>
      <c r="E3366" t="s">
        <v>894</v>
      </c>
      <c r="F3366" t="s">
        <v>3861</v>
      </c>
      <c r="G3366" s="8">
        <v>44743</v>
      </c>
      <c r="H3366" t="s">
        <v>600</v>
      </c>
      <c r="I3366" t="s">
        <v>59</v>
      </c>
      <c r="J3366" t="s">
        <v>60</v>
      </c>
      <c r="K3366" t="s">
        <v>29</v>
      </c>
      <c r="L3366" t="s">
        <v>895</v>
      </c>
      <c r="M3366" t="s">
        <v>4402</v>
      </c>
      <c r="O3366" t="s">
        <v>896</v>
      </c>
      <c r="P3366" t="s">
        <v>33</v>
      </c>
      <c r="Q3366">
        <v>254.13</v>
      </c>
      <c r="R3366" t="s">
        <v>35</v>
      </c>
      <c r="S3366" t="s">
        <v>35</v>
      </c>
      <c r="T3366" t="s">
        <v>35</v>
      </c>
      <c r="U3366" t="s">
        <v>35</v>
      </c>
      <c r="V3366" t="s">
        <v>645</v>
      </c>
      <c r="W3366" t="s">
        <v>113</v>
      </c>
    </row>
    <row r="3367" spans="1:23" hidden="1" x14ac:dyDescent="0.25">
      <c r="A3367" s="7" t="str">
        <f>IFERROR(VLOOKUP(H3367,'Contas Orç'!A:B,2,0),"N/A")</f>
        <v>IMPOSTOS, MULTAS E TAXAS DIVERSAS</v>
      </c>
      <c r="B3367" s="7" t="str">
        <f t="shared" si="104"/>
        <v>330408 - IMPOSTOS, MULTAS E TAXAS DIVERSAS</v>
      </c>
      <c r="C3367" s="25">
        <f t="shared" si="105"/>
        <v>44743</v>
      </c>
      <c r="D3367" s="27">
        <f>IF(K3367="CREDITO",Q3367,Q3367*-1)</f>
        <v>1201.97</v>
      </c>
      <c r="E3367" t="s">
        <v>894</v>
      </c>
      <c r="F3367" t="s">
        <v>3862</v>
      </c>
      <c r="G3367" s="8">
        <v>44743</v>
      </c>
      <c r="H3367" t="s">
        <v>600</v>
      </c>
      <c r="I3367" t="s">
        <v>68</v>
      </c>
      <c r="J3367" t="s">
        <v>69</v>
      </c>
      <c r="K3367" t="s">
        <v>29</v>
      </c>
      <c r="L3367" t="s">
        <v>895</v>
      </c>
      <c r="M3367" t="s">
        <v>4402</v>
      </c>
      <c r="O3367" t="s">
        <v>896</v>
      </c>
      <c r="P3367" t="s">
        <v>33</v>
      </c>
      <c r="Q3367" s="22">
        <v>1201.97</v>
      </c>
      <c r="R3367" t="s">
        <v>35</v>
      </c>
      <c r="S3367" t="s">
        <v>35</v>
      </c>
      <c r="T3367" t="s">
        <v>35</v>
      </c>
      <c r="U3367" t="s">
        <v>35</v>
      </c>
      <c r="V3367" t="s">
        <v>645</v>
      </c>
      <c r="W3367" t="s">
        <v>113</v>
      </c>
    </row>
    <row r="3368" spans="1:23" hidden="1" x14ac:dyDescent="0.25">
      <c r="A3368" s="7" t="str">
        <f>IFERROR(VLOOKUP(H3368,'Contas Orç'!A:B,2,0),"N/A")</f>
        <v>IMPOSTOS, MULTAS E TAXAS DIVERSAS</v>
      </c>
      <c r="B3368" s="7" t="str">
        <f t="shared" si="104"/>
        <v>330408 - IMPOSTOS, MULTAS E TAXAS DIVERSAS</v>
      </c>
      <c r="C3368" s="25">
        <f t="shared" si="105"/>
        <v>44743</v>
      </c>
      <c r="D3368" s="27">
        <f>IF(K3368="CREDITO",Q3368,Q3368*-1)</f>
        <v>3948.72</v>
      </c>
      <c r="E3368" t="s">
        <v>894</v>
      </c>
      <c r="F3368" t="s">
        <v>3863</v>
      </c>
      <c r="G3368" s="8">
        <v>44743</v>
      </c>
      <c r="H3368" t="s">
        <v>600</v>
      </c>
      <c r="I3368" t="s">
        <v>40</v>
      </c>
      <c r="J3368" t="s">
        <v>54</v>
      </c>
      <c r="K3368" t="s">
        <v>29</v>
      </c>
      <c r="L3368" t="s">
        <v>895</v>
      </c>
      <c r="M3368" t="s">
        <v>4402</v>
      </c>
      <c r="O3368" t="s">
        <v>896</v>
      </c>
      <c r="P3368" t="s">
        <v>33</v>
      </c>
      <c r="Q3368" s="22">
        <v>3948.72</v>
      </c>
      <c r="R3368" t="s">
        <v>35</v>
      </c>
      <c r="S3368" t="s">
        <v>35</v>
      </c>
      <c r="T3368" t="s">
        <v>35</v>
      </c>
      <c r="U3368" t="s">
        <v>35</v>
      </c>
      <c r="V3368" t="s">
        <v>645</v>
      </c>
      <c r="W3368" t="s">
        <v>113</v>
      </c>
    </row>
    <row r="3369" spans="1:23" hidden="1" x14ac:dyDescent="0.25">
      <c r="A3369" s="7" t="str">
        <f>IFERROR(VLOOKUP(H3369,'Contas Orç'!A:B,2,0),"N/A")</f>
        <v>IMPOSTOS, MULTAS E TAXAS DIVERSAS</v>
      </c>
      <c r="B3369" s="7" t="str">
        <f t="shared" si="104"/>
        <v>330408 - IMPOSTOS, MULTAS E TAXAS DIVERSAS</v>
      </c>
      <c r="C3369" s="25">
        <f t="shared" si="105"/>
        <v>44743</v>
      </c>
      <c r="D3369" s="27">
        <f>IF(K3369="CREDITO",Q3369,Q3369*-1)</f>
        <v>255.51</v>
      </c>
      <c r="E3369" t="s">
        <v>894</v>
      </c>
      <c r="F3369" t="s">
        <v>3864</v>
      </c>
      <c r="G3369" s="8">
        <v>44743</v>
      </c>
      <c r="H3369" t="s">
        <v>600</v>
      </c>
      <c r="I3369" t="s">
        <v>53</v>
      </c>
      <c r="J3369" t="s">
        <v>54</v>
      </c>
      <c r="K3369" t="s">
        <v>29</v>
      </c>
      <c r="L3369" t="s">
        <v>895</v>
      </c>
      <c r="M3369" t="s">
        <v>4402</v>
      </c>
      <c r="O3369" t="s">
        <v>896</v>
      </c>
      <c r="P3369" t="s">
        <v>33</v>
      </c>
      <c r="Q3369">
        <v>255.51</v>
      </c>
      <c r="R3369" t="s">
        <v>35</v>
      </c>
      <c r="S3369" t="s">
        <v>35</v>
      </c>
      <c r="T3369" t="s">
        <v>35</v>
      </c>
      <c r="U3369" t="s">
        <v>35</v>
      </c>
      <c r="V3369" t="s">
        <v>645</v>
      </c>
      <c r="W3369" t="s">
        <v>113</v>
      </c>
    </row>
    <row r="3370" spans="1:23" hidden="1" x14ac:dyDescent="0.25">
      <c r="A3370" s="7" t="str">
        <f>IFERROR(VLOOKUP(H3370,'Contas Orç'!A:B,2,0),"N/A")</f>
        <v>IMPOSTOS, MULTAS E TAXAS DIVERSAS</v>
      </c>
      <c r="B3370" s="7" t="str">
        <f t="shared" si="104"/>
        <v>330408 - IMPOSTOS, MULTAS E TAXAS DIVERSAS</v>
      </c>
      <c r="C3370" s="25">
        <f t="shared" si="105"/>
        <v>44774</v>
      </c>
      <c r="D3370" s="27">
        <f>IF(K3370="CREDITO",Q3370,Q3370*-1)</f>
        <v>2143.62</v>
      </c>
      <c r="E3370" t="s">
        <v>894</v>
      </c>
      <c r="F3370" t="s">
        <v>3865</v>
      </c>
      <c r="G3370" s="8">
        <v>44774</v>
      </c>
      <c r="H3370" t="s">
        <v>600</v>
      </c>
      <c r="I3370" t="s">
        <v>27</v>
      </c>
      <c r="J3370" t="s">
        <v>28</v>
      </c>
      <c r="K3370" t="s">
        <v>29</v>
      </c>
      <c r="L3370" t="s">
        <v>895</v>
      </c>
      <c r="M3370" t="s">
        <v>4402</v>
      </c>
      <c r="O3370" t="s">
        <v>896</v>
      </c>
      <c r="P3370" t="s">
        <v>33</v>
      </c>
      <c r="Q3370" s="22">
        <v>2143.62</v>
      </c>
      <c r="R3370" t="s">
        <v>35</v>
      </c>
      <c r="S3370" t="s">
        <v>35</v>
      </c>
      <c r="T3370" t="s">
        <v>35</v>
      </c>
      <c r="U3370" t="s">
        <v>35</v>
      </c>
      <c r="V3370" t="s">
        <v>645</v>
      </c>
      <c r="W3370" t="s">
        <v>113</v>
      </c>
    </row>
    <row r="3371" spans="1:23" hidden="1" x14ac:dyDescent="0.25">
      <c r="A3371" s="7" t="str">
        <f>IFERROR(VLOOKUP(H3371,'Contas Orç'!A:B,2,0),"N/A")</f>
        <v>IMPOSTOS, MULTAS E TAXAS DIVERSAS</v>
      </c>
      <c r="B3371" s="7" t="str">
        <f t="shared" si="104"/>
        <v>330408 - IMPOSTOS, MULTAS E TAXAS DIVERSAS</v>
      </c>
      <c r="C3371" s="25">
        <f t="shared" si="105"/>
        <v>44774</v>
      </c>
      <c r="D3371" s="27">
        <f>IF(K3371="CREDITO",Q3371,Q3371*-1)</f>
        <v>1121.3599999999999</v>
      </c>
      <c r="E3371" t="s">
        <v>894</v>
      </c>
      <c r="F3371" t="s">
        <v>3866</v>
      </c>
      <c r="G3371" s="8">
        <v>44774</v>
      </c>
      <c r="H3371" t="s">
        <v>600</v>
      </c>
      <c r="I3371" t="s">
        <v>59</v>
      </c>
      <c r="J3371" t="s">
        <v>60</v>
      </c>
      <c r="K3371" t="s">
        <v>29</v>
      </c>
      <c r="L3371" t="s">
        <v>895</v>
      </c>
      <c r="M3371" t="s">
        <v>4402</v>
      </c>
      <c r="O3371" t="s">
        <v>896</v>
      </c>
      <c r="P3371" t="s">
        <v>33</v>
      </c>
      <c r="Q3371" s="22">
        <v>1121.3599999999999</v>
      </c>
      <c r="R3371" t="s">
        <v>35</v>
      </c>
      <c r="S3371" t="s">
        <v>35</v>
      </c>
      <c r="T3371" t="s">
        <v>35</v>
      </c>
      <c r="U3371" t="s">
        <v>35</v>
      </c>
      <c r="V3371" t="s">
        <v>645</v>
      </c>
      <c r="W3371" t="s">
        <v>113</v>
      </c>
    </row>
    <row r="3372" spans="1:23" hidden="1" x14ac:dyDescent="0.25">
      <c r="A3372" s="7" t="str">
        <f>IFERROR(VLOOKUP(H3372,'Contas Orç'!A:B,2,0),"N/A")</f>
        <v>IMPOSTOS, MULTAS E TAXAS DIVERSAS</v>
      </c>
      <c r="B3372" s="7" t="str">
        <f t="shared" si="104"/>
        <v>330408 - IMPOSTOS, MULTAS E TAXAS DIVERSAS</v>
      </c>
      <c r="C3372" s="25">
        <f t="shared" si="105"/>
        <v>44774</v>
      </c>
      <c r="D3372" s="27">
        <f>IF(K3372="CREDITO",Q3372,Q3372*-1)</f>
        <v>190.06</v>
      </c>
      <c r="E3372" t="s">
        <v>894</v>
      </c>
      <c r="F3372" t="s">
        <v>3867</v>
      </c>
      <c r="G3372" s="8">
        <v>44774</v>
      </c>
      <c r="H3372" t="s">
        <v>600</v>
      </c>
      <c r="I3372" t="s">
        <v>68</v>
      </c>
      <c r="J3372" t="s">
        <v>69</v>
      </c>
      <c r="K3372" t="s">
        <v>29</v>
      </c>
      <c r="L3372" t="s">
        <v>895</v>
      </c>
      <c r="M3372" t="s">
        <v>4402</v>
      </c>
      <c r="O3372" t="s">
        <v>896</v>
      </c>
      <c r="P3372" t="s">
        <v>33</v>
      </c>
      <c r="Q3372">
        <v>190.06</v>
      </c>
      <c r="R3372" t="s">
        <v>35</v>
      </c>
      <c r="S3372" t="s">
        <v>35</v>
      </c>
      <c r="T3372" t="s">
        <v>35</v>
      </c>
      <c r="U3372" t="s">
        <v>35</v>
      </c>
      <c r="V3372" t="s">
        <v>645</v>
      </c>
      <c r="W3372" t="s">
        <v>113</v>
      </c>
    </row>
    <row r="3373" spans="1:23" hidden="1" x14ac:dyDescent="0.25">
      <c r="A3373" s="7" t="str">
        <f>IFERROR(VLOOKUP(H3373,'Contas Orç'!A:B,2,0),"N/A")</f>
        <v>IMPOSTOS, MULTAS E TAXAS DIVERSAS</v>
      </c>
      <c r="B3373" s="7" t="str">
        <f t="shared" si="104"/>
        <v>330408 - IMPOSTOS, MULTAS E TAXAS DIVERSAS</v>
      </c>
      <c r="C3373" s="25">
        <f t="shared" si="105"/>
        <v>44774</v>
      </c>
      <c r="D3373" s="27">
        <f>IF(K3373="CREDITO",Q3373,Q3373*-1)</f>
        <v>5719.37</v>
      </c>
      <c r="E3373" t="s">
        <v>894</v>
      </c>
      <c r="F3373" t="s">
        <v>3868</v>
      </c>
      <c r="G3373" s="8">
        <v>44774</v>
      </c>
      <c r="H3373" t="s">
        <v>600</v>
      </c>
      <c r="I3373" t="s">
        <v>40</v>
      </c>
      <c r="J3373" t="s">
        <v>54</v>
      </c>
      <c r="K3373" t="s">
        <v>29</v>
      </c>
      <c r="L3373" t="s">
        <v>895</v>
      </c>
      <c r="M3373" t="s">
        <v>4402</v>
      </c>
      <c r="O3373" t="s">
        <v>896</v>
      </c>
      <c r="P3373" t="s">
        <v>33</v>
      </c>
      <c r="Q3373" s="22">
        <v>5719.37</v>
      </c>
      <c r="R3373" t="s">
        <v>35</v>
      </c>
      <c r="S3373" t="s">
        <v>35</v>
      </c>
      <c r="T3373" t="s">
        <v>35</v>
      </c>
      <c r="U3373" t="s">
        <v>35</v>
      </c>
      <c r="V3373" t="s">
        <v>645</v>
      </c>
      <c r="W3373" t="s">
        <v>113</v>
      </c>
    </row>
    <row r="3374" spans="1:23" hidden="1" x14ac:dyDescent="0.25">
      <c r="A3374" s="7" t="str">
        <f>IFERROR(VLOOKUP(H3374,'Contas Orç'!A:B,2,0),"N/A")</f>
        <v>IMPOSTOS, MULTAS E TAXAS DIVERSAS</v>
      </c>
      <c r="B3374" s="7" t="str">
        <f t="shared" si="104"/>
        <v>330408 - IMPOSTOS, MULTAS E TAXAS DIVERSAS</v>
      </c>
      <c r="C3374" s="25">
        <f t="shared" si="105"/>
        <v>44805</v>
      </c>
      <c r="D3374" s="27">
        <f>IF(K3374="CREDITO",Q3374,Q3374*-1)</f>
        <v>2026.72</v>
      </c>
      <c r="E3374" t="s">
        <v>894</v>
      </c>
      <c r="F3374" t="s">
        <v>3869</v>
      </c>
      <c r="G3374" s="8">
        <v>44805</v>
      </c>
      <c r="H3374" t="s">
        <v>600</v>
      </c>
      <c r="I3374" t="s">
        <v>27</v>
      </c>
      <c r="J3374" t="s">
        <v>28</v>
      </c>
      <c r="K3374" t="s">
        <v>29</v>
      </c>
      <c r="L3374" t="s">
        <v>895</v>
      </c>
      <c r="M3374" t="s">
        <v>4402</v>
      </c>
      <c r="O3374" t="s">
        <v>896</v>
      </c>
      <c r="P3374" t="s">
        <v>33</v>
      </c>
      <c r="Q3374" s="22">
        <v>2026.72</v>
      </c>
      <c r="R3374" t="s">
        <v>35</v>
      </c>
      <c r="S3374" t="s">
        <v>35</v>
      </c>
      <c r="T3374" t="s">
        <v>35</v>
      </c>
      <c r="U3374" t="s">
        <v>35</v>
      </c>
      <c r="V3374" t="s">
        <v>645</v>
      </c>
      <c r="W3374" t="s">
        <v>113</v>
      </c>
    </row>
    <row r="3375" spans="1:23" hidden="1" x14ac:dyDescent="0.25">
      <c r="A3375" s="7" t="str">
        <f>IFERROR(VLOOKUP(H3375,'Contas Orç'!A:B,2,0),"N/A")</f>
        <v>IMPOSTOS, MULTAS E TAXAS DIVERSAS</v>
      </c>
      <c r="B3375" s="7" t="str">
        <f t="shared" si="104"/>
        <v>330408 - IMPOSTOS, MULTAS E TAXAS DIVERSAS</v>
      </c>
      <c r="C3375" s="25">
        <f t="shared" si="105"/>
        <v>44805</v>
      </c>
      <c r="D3375" s="27">
        <f>IF(K3375="CREDITO",Q3375,Q3375*-1)</f>
        <v>197.08</v>
      </c>
      <c r="E3375" t="s">
        <v>894</v>
      </c>
      <c r="F3375" t="s">
        <v>3870</v>
      </c>
      <c r="G3375" s="8">
        <v>44805</v>
      </c>
      <c r="H3375" t="s">
        <v>600</v>
      </c>
      <c r="I3375" t="s">
        <v>59</v>
      </c>
      <c r="J3375" t="s">
        <v>60</v>
      </c>
      <c r="K3375" t="s">
        <v>29</v>
      </c>
      <c r="L3375" t="s">
        <v>895</v>
      </c>
      <c r="M3375" t="s">
        <v>4402</v>
      </c>
      <c r="O3375" t="s">
        <v>896</v>
      </c>
      <c r="P3375" t="s">
        <v>33</v>
      </c>
      <c r="Q3375">
        <v>197.08</v>
      </c>
      <c r="R3375" t="s">
        <v>35</v>
      </c>
      <c r="S3375" t="s">
        <v>35</v>
      </c>
      <c r="T3375" t="s">
        <v>35</v>
      </c>
      <c r="U3375" t="s">
        <v>35</v>
      </c>
      <c r="V3375" t="s">
        <v>645</v>
      </c>
      <c r="W3375" t="s">
        <v>113</v>
      </c>
    </row>
    <row r="3376" spans="1:23" hidden="1" x14ac:dyDescent="0.25">
      <c r="A3376" s="7" t="str">
        <f>IFERROR(VLOOKUP(H3376,'Contas Orç'!A:B,2,0),"N/A")</f>
        <v>IMPOSTOS, MULTAS E TAXAS DIVERSAS</v>
      </c>
      <c r="B3376" s="7" t="str">
        <f t="shared" si="104"/>
        <v>330408 - IMPOSTOS, MULTAS E TAXAS DIVERSAS</v>
      </c>
      <c r="C3376" s="25">
        <f t="shared" si="105"/>
        <v>44805</v>
      </c>
      <c r="D3376" s="27">
        <f>IF(K3376="CREDITO",Q3376,Q3376*-1)</f>
        <v>1594.19</v>
      </c>
      <c r="E3376" t="s">
        <v>894</v>
      </c>
      <c r="F3376" t="s">
        <v>3871</v>
      </c>
      <c r="G3376" s="8">
        <v>44805</v>
      </c>
      <c r="H3376" t="s">
        <v>600</v>
      </c>
      <c r="I3376" t="s">
        <v>68</v>
      </c>
      <c r="J3376" t="s">
        <v>69</v>
      </c>
      <c r="K3376" t="s">
        <v>29</v>
      </c>
      <c r="L3376" t="s">
        <v>895</v>
      </c>
      <c r="M3376" t="s">
        <v>4402</v>
      </c>
      <c r="O3376" t="s">
        <v>896</v>
      </c>
      <c r="P3376" t="s">
        <v>33</v>
      </c>
      <c r="Q3376" s="22">
        <v>1594.19</v>
      </c>
      <c r="R3376" t="s">
        <v>35</v>
      </c>
      <c r="S3376" t="s">
        <v>35</v>
      </c>
      <c r="T3376" t="s">
        <v>35</v>
      </c>
      <c r="U3376" t="s">
        <v>35</v>
      </c>
      <c r="V3376" t="s">
        <v>645</v>
      </c>
      <c r="W3376" t="s">
        <v>113</v>
      </c>
    </row>
    <row r="3377" spans="1:23" hidden="1" x14ac:dyDescent="0.25">
      <c r="A3377" s="7" t="str">
        <f>IFERROR(VLOOKUP(H3377,'Contas Orç'!A:B,2,0),"N/A")</f>
        <v>IMPOSTOS, MULTAS E TAXAS DIVERSAS</v>
      </c>
      <c r="B3377" s="7" t="str">
        <f t="shared" si="104"/>
        <v>330408 - IMPOSTOS, MULTAS E TAXAS DIVERSAS</v>
      </c>
      <c r="C3377" s="25">
        <f t="shared" si="105"/>
        <v>44805</v>
      </c>
      <c r="D3377" s="27">
        <f>IF(K3377="CREDITO",Q3377,Q3377*-1)</f>
        <v>3624.41</v>
      </c>
      <c r="E3377" t="s">
        <v>894</v>
      </c>
      <c r="F3377" t="s">
        <v>3872</v>
      </c>
      <c r="G3377" s="8">
        <v>44805</v>
      </c>
      <c r="H3377" t="s">
        <v>600</v>
      </c>
      <c r="I3377" t="s">
        <v>40</v>
      </c>
      <c r="J3377" t="s">
        <v>54</v>
      </c>
      <c r="K3377" t="s">
        <v>29</v>
      </c>
      <c r="L3377" t="s">
        <v>895</v>
      </c>
      <c r="M3377" t="s">
        <v>4402</v>
      </c>
      <c r="O3377" t="s">
        <v>896</v>
      </c>
      <c r="P3377" t="s">
        <v>33</v>
      </c>
      <c r="Q3377" s="22">
        <v>3624.41</v>
      </c>
      <c r="R3377" t="s">
        <v>35</v>
      </c>
      <c r="S3377" t="s">
        <v>35</v>
      </c>
      <c r="T3377" t="s">
        <v>35</v>
      </c>
      <c r="U3377" t="s">
        <v>35</v>
      </c>
      <c r="V3377" t="s">
        <v>645</v>
      </c>
      <c r="W3377" t="s">
        <v>113</v>
      </c>
    </row>
    <row r="3378" spans="1:23" hidden="1" x14ac:dyDescent="0.25">
      <c r="A3378" s="7" t="str">
        <f>IFERROR(VLOOKUP(H3378,'Contas Orç'!A:B,2,0),"N/A")</f>
        <v>IMPOSTOS, MULTAS E TAXAS DIVERSAS</v>
      </c>
      <c r="B3378" s="7" t="str">
        <f t="shared" si="104"/>
        <v>330408 - IMPOSTOS, MULTAS E TAXAS DIVERSAS</v>
      </c>
      <c r="C3378" s="25">
        <f t="shared" si="105"/>
        <v>44835</v>
      </c>
      <c r="D3378" s="27">
        <f>IF(K3378="CREDITO",Q3378,Q3378*-1)</f>
        <v>2046.99</v>
      </c>
      <c r="E3378" t="s">
        <v>894</v>
      </c>
      <c r="F3378" t="s">
        <v>3873</v>
      </c>
      <c r="G3378" s="8">
        <v>44835</v>
      </c>
      <c r="H3378" t="s">
        <v>600</v>
      </c>
      <c r="I3378" t="s">
        <v>27</v>
      </c>
      <c r="J3378" t="s">
        <v>28</v>
      </c>
      <c r="K3378" t="s">
        <v>29</v>
      </c>
      <c r="L3378" t="s">
        <v>895</v>
      </c>
      <c r="M3378" t="s">
        <v>4402</v>
      </c>
      <c r="O3378" t="s">
        <v>896</v>
      </c>
      <c r="P3378" t="s">
        <v>33</v>
      </c>
      <c r="Q3378" s="22">
        <v>2046.99</v>
      </c>
      <c r="R3378" t="s">
        <v>35</v>
      </c>
      <c r="S3378" t="s">
        <v>35</v>
      </c>
      <c r="T3378" t="s">
        <v>35</v>
      </c>
      <c r="U3378" t="s">
        <v>35</v>
      </c>
      <c r="V3378" t="s">
        <v>645</v>
      </c>
      <c r="W3378" t="s">
        <v>113</v>
      </c>
    </row>
    <row r="3379" spans="1:23" hidden="1" x14ac:dyDescent="0.25">
      <c r="A3379" s="7" t="str">
        <f>IFERROR(VLOOKUP(H3379,'Contas Orç'!A:B,2,0),"N/A")</f>
        <v>IMPOSTOS, MULTAS E TAXAS DIVERSAS</v>
      </c>
      <c r="B3379" s="7" t="str">
        <f t="shared" si="104"/>
        <v>330408 - IMPOSTOS, MULTAS E TAXAS DIVERSAS</v>
      </c>
      <c r="C3379" s="25">
        <f t="shared" si="105"/>
        <v>44835</v>
      </c>
      <c r="D3379" s="27">
        <f>IF(K3379="CREDITO",Q3379,Q3379*-1)</f>
        <v>199.05</v>
      </c>
      <c r="E3379" t="s">
        <v>894</v>
      </c>
      <c r="F3379" t="s">
        <v>3874</v>
      </c>
      <c r="G3379" s="8">
        <v>44835</v>
      </c>
      <c r="H3379" t="s">
        <v>600</v>
      </c>
      <c r="I3379" t="s">
        <v>59</v>
      </c>
      <c r="J3379" t="s">
        <v>60</v>
      </c>
      <c r="K3379" t="s">
        <v>29</v>
      </c>
      <c r="L3379" t="s">
        <v>895</v>
      </c>
      <c r="M3379" t="s">
        <v>4402</v>
      </c>
      <c r="O3379" t="s">
        <v>896</v>
      </c>
      <c r="P3379" t="s">
        <v>33</v>
      </c>
      <c r="Q3379">
        <v>199.05</v>
      </c>
      <c r="R3379" t="s">
        <v>35</v>
      </c>
      <c r="S3379" t="s">
        <v>35</v>
      </c>
      <c r="T3379" t="s">
        <v>35</v>
      </c>
      <c r="U3379" t="s">
        <v>35</v>
      </c>
      <c r="V3379" t="s">
        <v>645</v>
      </c>
      <c r="W3379" t="s">
        <v>113</v>
      </c>
    </row>
    <row r="3380" spans="1:23" hidden="1" x14ac:dyDescent="0.25">
      <c r="A3380" s="7" t="str">
        <f>IFERROR(VLOOKUP(H3380,'Contas Orç'!A:B,2,0),"N/A")</f>
        <v>IMPOSTOS, MULTAS E TAXAS DIVERSAS</v>
      </c>
      <c r="B3380" s="7" t="str">
        <f t="shared" si="104"/>
        <v>330408 - IMPOSTOS, MULTAS E TAXAS DIVERSAS</v>
      </c>
      <c r="C3380" s="25">
        <f t="shared" si="105"/>
        <v>44835</v>
      </c>
      <c r="D3380" s="27">
        <f>IF(K3380="CREDITO",Q3380,Q3380*-1)</f>
        <v>1610.13</v>
      </c>
      <c r="E3380" t="s">
        <v>894</v>
      </c>
      <c r="F3380" t="s">
        <v>3875</v>
      </c>
      <c r="G3380" s="8">
        <v>44835</v>
      </c>
      <c r="H3380" t="s">
        <v>600</v>
      </c>
      <c r="I3380" t="s">
        <v>68</v>
      </c>
      <c r="J3380" t="s">
        <v>69</v>
      </c>
      <c r="K3380" t="s">
        <v>29</v>
      </c>
      <c r="L3380" t="s">
        <v>895</v>
      </c>
      <c r="M3380" t="s">
        <v>4402</v>
      </c>
      <c r="O3380" t="s">
        <v>896</v>
      </c>
      <c r="P3380" t="s">
        <v>33</v>
      </c>
      <c r="Q3380" s="22">
        <v>1610.13</v>
      </c>
      <c r="R3380" t="s">
        <v>35</v>
      </c>
      <c r="S3380" t="s">
        <v>35</v>
      </c>
      <c r="T3380" t="s">
        <v>35</v>
      </c>
      <c r="U3380" t="s">
        <v>35</v>
      </c>
      <c r="V3380" t="s">
        <v>645</v>
      </c>
      <c r="W3380" t="s">
        <v>113</v>
      </c>
    </row>
    <row r="3381" spans="1:23" hidden="1" x14ac:dyDescent="0.25">
      <c r="A3381" s="7" t="str">
        <f>IFERROR(VLOOKUP(H3381,'Contas Orç'!A:B,2,0),"N/A")</f>
        <v>IMPOSTOS, MULTAS E TAXAS DIVERSAS</v>
      </c>
      <c r="B3381" s="7" t="str">
        <f t="shared" si="104"/>
        <v>330408 - IMPOSTOS, MULTAS E TAXAS DIVERSAS</v>
      </c>
      <c r="C3381" s="25">
        <f t="shared" si="105"/>
        <v>44835</v>
      </c>
      <c r="D3381" s="27">
        <f>IF(K3381="CREDITO",Q3381,Q3381*-1)</f>
        <v>3660.65</v>
      </c>
      <c r="E3381" t="s">
        <v>894</v>
      </c>
      <c r="F3381" t="s">
        <v>3876</v>
      </c>
      <c r="G3381" s="8">
        <v>44835</v>
      </c>
      <c r="H3381" t="s">
        <v>600</v>
      </c>
      <c r="I3381" t="s">
        <v>40</v>
      </c>
      <c r="J3381" t="s">
        <v>54</v>
      </c>
      <c r="K3381" t="s">
        <v>29</v>
      </c>
      <c r="L3381" t="s">
        <v>895</v>
      </c>
      <c r="M3381" t="s">
        <v>4402</v>
      </c>
      <c r="O3381" t="s">
        <v>896</v>
      </c>
      <c r="P3381" t="s">
        <v>33</v>
      </c>
      <c r="Q3381" s="22">
        <v>3660.65</v>
      </c>
      <c r="R3381" t="s">
        <v>35</v>
      </c>
      <c r="S3381" t="s">
        <v>35</v>
      </c>
      <c r="T3381" t="s">
        <v>35</v>
      </c>
      <c r="U3381" t="s">
        <v>35</v>
      </c>
      <c r="V3381" t="s">
        <v>645</v>
      </c>
      <c r="W3381" t="s">
        <v>113</v>
      </c>
    </row>
    <row r="3382" spans="1:23" hidden="1" x14ac:dyDescent="0.25">
      <c r="A3382" s="7" t="str">
        <f>IFERROR(VLOOKUP(H3382,'Contas Orç'!A:B,2,0),"N/A")</f>
        <v>IMPOSTOS, MULTAS E TAXAS DIVERSAS</v>
      </c>
      <c r="B3382" s="7" t="str">
        <f t="shared" si="104"/>
        <v>330408 - IMPOSTOS, MULTAS E TAXAS DIVERSAS</v>
      </c>
      <c r="C3382" s="25">
        <f t="shared" si="105"/>
        <v>44866</v>
      </c>
      <c r="D3382" s="27">
        <f>IF(K3382="CREDITO",Q3382,Q3382*-1)</f>
        <v>2067.46</v>
      </c>
      <c r="E3382" t="s">
        <v>894</v>
      </c>
      <c r="F3382" t="s">
        <v>3877</v>
      </c>
      <c r="G3382" s="8">
        <v>44866</v>
      </c>
      <c r="H3382" t="s">
        <v>600</v>
      </c>
      <c r="I3382" t="s">
        <v>27</v>
      </c>
      <c r="J3382" t="s">
        <v>28</v>
      </c>
      <c r="K3382" t="s">
        <v>29</v>
      </c>
      <c r="L3382" t="s">
        <v>895</v>
      </c>
      <c r="M3382" t="s">
        <v>4402</v>
      </c>
      <c r="O3382" t="s">
        <v>896</v>
      </c>
      <c r="P3382" t="s">
        <v>33</v>
      </c>
      <c r="Q3382" s="22">
        <v>2067.46</v>
      </c>
      <c r="R3382" t="s">
        <v>35</v>
      </c>
      <c r="S3382" t="s">
        <v>35</v>
      </c>
      <c r="T3382" t="s">
        <v>35</v>
      </c>
      <c r="U3382" t="s">
        <v>35</v>
      </c>
      <c r="V3382" t="s">
        <v>645</v>
      </c>
      <c r="W3382" t="s">
        <v>113</v>
      </c>
    </row>
    <row r="3383" spans="1:23" hidden="1" x14ac:dyDescent="0.25">
      <c r="A3383" s="7" t="str">
        <f>IFERROR(VLOOKUP(H3383,'Contas Orç'!A:B,2,0),"N/A")</f>
        <v>IMPOSTOS, MULTAS E TAXAS DIVERSAS</v>
      </c>
      <c r="B3383" s="7" t="str">
        <f t="shared" si="104"/>
        <v>330408 - IMPOSTOS, MULTAS E TAXAS DIVERSAS</v>
      </c>
      <c r="C3383" s="25">
        <f t="shared" si="105"/>
        <v>44866</v>
      </c>
      <c r="D3383" s="27">
        <f>IF(K3383="CREDITO",Q3383,Q3383*-1)</f>
        <v>201.04</v>
      </c>
      <c r="E3383" t="s">
        <v>894</v>
      </c>
      <c r="F3383" t="s">
        <v>3878</v>
      </c>
      <c r="G3383" s="8">
        <v>44866</v>
      </c>
      <c r="H3383" t="s">
        <v>600</v>
      </c>
      <c r="I3383" t="s">
        <v>59</v>
      </c>
      <c r="J3383" t="s">
        <v>60</v>
      </c>
      <c r="K3383" t="s">
        <v>29</v>
      </c>
      <c r="L3383" t="s">
        <v>895</v>
      </c>
      <c r="M3383" t="s">
        <v>4402</v>
      </c>
      <c r="O3383" t="s">
        <v>896</v>
      </c>
      <c r="P3383" t="s">
        <v>33</v>
      </c>
      <c r="Q3383">
        <v>201.04</v>
      </c>
      <c r="R3383" t="s">
        <v>35</v>
      </c>
      <c r="S3383" t="s">
        <v>35</v>
      </c>
      <c r="T3383" t="s">
        <v>35</v>
      </c>
      <c r="U3383" t="s">
        <v>35</v>
      </c>
      <c r="V3383" t="s">
        <v>645</v>
      </c>
      <c r="W3383" t="s">
        <v>113</v>
      </c>
    </row>
    <row r="3384" spans="1:23" hidden="1" x14ac:dyDescent="0.25">
      <c r="A3384" s="7" t="str">
        <f>IFERROR(VLOOKUP(H3384,'Contas Orç'!A:B,2,0),"N/A")</f>
        <v>IMPOSTOS, MULTAS E TAXAS DIVERSAS</v>
      </c>
      <c r="B3384" s="7" t="str">
        <f t="shared" si="104"/>
        <v>330408 - IMPOSTOS, MULTAS E TAXAS DIVERSAS</v>
      </c>
      <c r="C3384" s="25">
        <f t="shared" si="105"/>
        <v>44866</v>
      </c>
      <c r="D3384" s="27">
        <f>IF(K3384="CREDITO",Q3384,Q3384*-1)</f>
        <v>1626.23</v>
      </c>
      <c r="E3384" t="s">
        <v>894</v>
      </c>
      <c r="F3384" t="s">
        <v>3879</v>
      </c>
      <c r="G3384" s="8">
        <v>44866</v>
      </c>
      <c r="H3384" t="s">
        <v>600</v>
      </c>
      <c r="I3384" t="s">
        <v>68</v>
      </c>
      <c r="J3384" t="s">
        <v>69</v>
      </c>
      <c r="K3384" t="s">
        <v>29</v>
      </c>
      <c r="L3384" t="s">
        <v>895</v>
      </c>
      <c r="M3384" t="s">
        <v>4402</v>
      </c>
      <c r="O3384" t="s">
        <v>896</v>
      </c>
      <c r="P3384" t="s">
        <v>33</v>
      </c>
      <c r="Q3384" s="22">
        <v>1626.23</v>
      </c>
      <c r="R3384" t="s">
        <v>35</v>
      </c>
      <c r="S3384" t="s">
        <v>35</v>
      </c>
      <c r="T3384" t="s">
        <v>35</v>
      </c>
      <c r="U3384" t="s">
        <v>35</v>
      </c>
      <c r="V3384" t="s">
        <v>645</v>
      </c>
      <c r="W3384" t="s">
        <v>113</v>
      </c>
    </row>
    <row r="3385" spans="1:23" hidden="1" x14ac:dyDescent="0.25">
      <c r="A3385" s="7" t="str">
        <f>IFERROR(VLOOKUP(H3385,'Contas Orç'!A:B,2,0),"N/A")</f>
        <v>IMPOSTOS, MULTAS E TAXAS DIVERSAS</v>
      </c>
      <c r="B3385" s="7" t="str">
        <f t="shared" si="104"/>
        <v>330408 - IMPOSTOS, MULTAS E TAXAS DIVERSAS</v>
      </c>
      <c r="C3385" s="25">
        <f t="shared" si="105"/>
        <v>44866</v>
      </c>
      <c r="D3385" s="27">
        <f>IF(K3385="CREDITO",Q3385,Q3385*-1)</f>
        <v>3697.26</v>
      </c>
      <c r="E3385" t="s">
        <v>894</v>
      </c>
      <c r="F3385" t="s">
        <v>3880</v>
      </c>
      <c r="G3385" s="8">
        <v>44866</v>
      </c>
      <c r="H3385" t="s">
        <v>600</v>
      </c>
      <c r="I3385" t="s">
        <v>40</v>
      </c>
      <c r="J3385" t="s">
        <v>54</v>
      </c>
      <c r="K3385" t="s">
        <v>29</v>
      </c>
      <c r="L3385" t="s">
        <v>895</v>
      </c>
      <c r="M3385" t="s">
        <v>4402</v>
      </c>
      <c r="O3385" t="s">
        <v>896</v>
      </c>
      <c r="P3385" t="s">
        <v>33</v>
      </c>
      <c r="Q3385" s="22">
        <v>3697.26</v>
      </c>
      <c r="R3385" t="s">
        <v>35</v>
      </c>
      <c r="S3385" t="s">
        <v>35</v>
      </c>
      <c r="T3385" t="s">
        <v>35</v>
      </c>
      <c r="U3385" t="s">
        <v>35</v>
      </c>
      <c r="V3385" t="s">
        <v>645</v>
      </c>
      <c r="W3385" t="s">
        <v>113</v>
      </c>
    </row>
    <row r="3386" spans="1:23" hidden="1" x14ac:dyDescent="0.25">
      <c r="A3386" s="7" t="str">
        <f>IFERROR(VLOOKUP(H3386,'Contas Orç'!A:B,2,0),"N/A")</f>
        <v>IMPOSTOS, MULTAS E TAXAS DIVERSAS</v>
      </c>
      <c r="B3386" s="7" t="str">
        <f t="shared" si="104"/>
        <v>330408 - IMPOSTOS, MULTAS E TAXAS DIVERSAS</v>
      </c>
      <c r="C3386" s="25">
        <f t="shared" si="105"/>
        <v>44896</v>
      </c>
      <c r="D3386" s="27">
        <f>IF(K3386="CREDITO",Q3386,Q3386*-1)</f>
        <v>2088.13</v>
      </c>
      <c r="E3386" t="s">
        <v>894</v>
      </c>
      <c r="F3386" t="s">
        <v>3881</v>
      </c>
      <c r="G3386" s="8">
        <v>44896</v>
      </c>
      <c r="H3386" t="s">
        <v>600</v>
      </c>
      <c r="I3386" t="s">
        <v>27</v>
      </c>
      <c r="J3386" t="s">
        <v>28</v>
      </c>
      <c r="K3386" t="s">
        <v>29</v>
      </c>
      <c r="L3386" t="s">
        <v>895</v>
      </c>
      <c r="M3386" t="s">
        <v>4402</v>
      </c>
      <c r="O3386" t="s">
        <v>896</v>
      </c>
      <c r="P3386" t="s">
        <v>33</v>
      </c>
      <c r="Q3386" s="22">
        <v>2088.13</v>
      </c>
      <c r="R3386" t="s">
        <v>35</v>
      </c>
      <c r="S3386" t="s">
        <v>35</v>
      </c>
      <c r="T3386" t="s">
        <v>35</v>
      </c>
      <c r="U3386" t="s">
        <v>35</v>
      </c>
      <c r="V3386" t="s">
        <v>645</v>
      </c>
      <c r="W3386" t="s">
        <v>113</v>
      </c>
    </row>
    <row r="3387" spans="1:23" hidden="1" x14ac:dyDescent="0.25">
      <c r="A3387" s="7" t="str">
        <f>IFERROR(VLOOKUP(H3387,'Contas Orç'!A:B,2,0),"N/A")</f>
        <v>IMPOSTOS, MULTAS E TAXAS DIVERSAS</v>
      </c>
      <c r="B3387" s="7" t="str">
        <f t="shared" si="104"/>
        <v>330408 - IMPOSTOS, MULTAS E TAXAS DIVERSAS</v>
      </c>
      <c r="C3387" s="25">
        <f t="shared" si="105"/>
        <v>44896</v>
      </c>
      <c r="D3387" s="27">
        <f>IF(K3387="CREDITO",Q3387,Q3387*-1)</f>
        <v>203.05</v>
      </c>
      <c r="E3387" t="s">
        <v>894</v>
      </c>
      <c r="F3387" t="s">
        <v>3882</v>
      </c>
      <c r="G3387" s="8">
        <v>44896</v>
      </c>
      <c r="H3387" t="s">
        <v>600</v>
      </c>
      <c r="I3387" t="s">
        <v>59</v>
      </c>
      <c r="J3387" t="s">
        <v>60</v>
      </c>
      <c r="K3387" t="s">
        <v>29</v>
      </c>
      <c r="L3387" t="s">
        <v>895</v>
      </c>
      <c r="M3387" t="s">
        <v>4402</v>
      </c>
      <c r="O3387" t="s">
        <v>896</v>
      </c>
      <c r="P3387" t="s">
        <v>33</v>
      </c>
      <c r="Q3387">
        <v>203.05</v>
      </c>
      <c r="R3387" t="s">
        <v>35</v>
      </c>
      <c r="S3387" t="s">
        <v>35</v>
      </c>
      <c r="T3387" t="s">
        <v>35</v>
      </c>
      <c r="U3387" t="s">
        <v>35</v>
      </c>
      <c r="V3387" t="s">
        <v>645</v>
      </c>
      <c r="W3387" t="s">
        <v>113</v>
      </c>
    </row>
    <row r="3388" spans="1:23" hidden="1" x14ac:dyDescent="0.25">
      <c r="A3388" s="7" t="str">
        <f>IFERROR(VLOOKUP(H3388,'Contas Orç'!A:B,2,0),"N/A")</f>
        <v>IMPOSTOS, MULTAS E TAXAS DIVERSAS</v>
      </c>
      <c r="B3388" s="7" t="str">
        <f t="shared" si="104"/>
        <v>330408 - IMPOSTOS, MULTAS E TAXAS DIVERSAS</v>
      </c>
      <c r="C3388" s="25">
        <f t="shared" si="105"/>
        <v>44896</v>
      </c>
      <c r="D3388" s="27">
        <f>IF(K3388="CREDITO",Q3388,Q3388*-1)</f>
        <v>1642.5</v>
      </c>
      <c r="E3388" t="s">
        <v>894</v>
      </c>
      <c r="F3388" t="s">
        <v>3883</v>
      </c>
      <c r="G3388" s="8">
        <v>44896</v>
      </c>
      <c r="H3388" t="s">
        <v>600</v>
      </c>
      <c r="I3388" t="s">
        <v>68</v>
      </c>
      <c r="J3388" t="s">
        <v>69</v>
      </c>
      <c r="K3388" t="s">
        <v>29</v>
      </c>
      <c r="L3388" t="s">
        <v>895</v>
      </c>
      <c r="M3388" t="s">
        <v>4402</v>
      </c>
      <c r="O3388" t="s">
        <v>896</v>
      </c>
      <c r="P3388" t="s">
        <v>33</v>
      </c>
      <c r="Q3388" s="22">
        <v>1642.5</v>
      </c>
      <c r="R3388" t="s">
        <v>35</v>
      </c>
      <c r="S3388" t="s">
        <v>35</v>
      </c>
      <c r="T3388" t="s">
        <v>35</v>
      </c>
      <c r="U3388" t="s">
        <v>35</v>
      </c>
      <c r="V3388" t="s">
        <v>645</v>
      </c>
      <c r="W3388" t="s">
        <v>113</v>
      </c>
    </row>
    <row r="3389" spans="1:23" hidden="1" x14ac:dyDescent="0.25">
      <c r="A3389" s="7" t="str">
        <f>IFERROR(VLOOKUP(H3389,'Contas Orç'!A:B,2,0),"N/A")</f>
        <v>IMPOSTOS, MULTAS E TAXAS DIVERSAS</v>
      </c>
      <c r="B3389" s="7" t="str">
        <f t="shared" si="104"/>
        <v>330408 - IMPOSTOS, MULTAS E TAXAS DIVERSAS</v>
      </c>
      <c r="C3389" s="25">
        <f t="shared" si="105"/>
        <v>44896</v>
      </c>
      <c r="D3389" s="27">
        <f>IF(K3389="CREDITO",Q3389,Q3389*-1)</f>
        <v>3734.23</v>
      </c>
      <c r="E3389" t="s">
        <v>894</v>
      </c>
      <c r="F3389" t="s">
        <v>3884</v>
      </c>
      <c r="G3389" s="8">
        <v>44896</v>
      </c>
      <c r="H3389" t="s">
        <v>600</v>
      </c>
      <c r="I3389" t="s">
        <v>40</v>
      </c>
      <c r="J3389" t="s">
        <v>54</v>
      </c>
      <c r="K3389" t="s">
        <v>29</v>
      </c>
      <c r="L3389" t="s">
        <v>895</v>
      </c>
      <c r="M3389" t="s">
        <v>4402</v>
      </c>
      <c r="O3389" t="s">
        <v>896</v>
      </c>
      <c r="P3389" t="s">
        <v>33</v>
      </c>
      <c r="Q3389" s="22">
        <v>3734.23</v>
      </c>
      <c r="R3389" t="s">
        <v>35</v>
      </c>
      <c r="S3389" t="s">
        <v>35</v>
      </c>
      <c r="T3389" t="s">
        <v>35</v>
      </c>
      <c r="U3389" t="s">
        <v>35</v>
      </c>
      <c r="V3389" t="s">
        <v>645</v>
      </c>
      <c r="W3389" t="s">
        <v>113</v>
      </c>
    </row>
    <row r="3390" spans="1:23" hidden="1" x14ac:dyDescent="0.25">
      <c r="A3390" s="7" t="str">
        <f>IFERROR(VLOOKUP(H3390,'Contas Orç'!A:B,2,0),"N/A")</f>
        <v>DESPESAS GERAIS</v>
      </c>
      <c r="B3390" s="7" t="str">
        <f t="shared" si="104"/>
        <v>330409 - DESPESAS GERAIS</v>
      </c>
      <c r="C3390" s="25">
        <f t="shared" si="105"/>
        <v>44562</v>
      </c>
      <c r="D3390" s="27">
        <f>IF(K3390="CREDITO",Q3390,Q3390*-1)</f>
        <v>143.16999999999999</v>
      </c>
      <c r="E3390" t="s">
        <v>894</v>
      </c>
      <c r="F3390" t="s">
        <v>3885</v>
      </c>
      <c r="G3390" s="8">
        <v>44562</v>
      </c>
      <c r="H3390" t="s">
        <v>160</v>
      </c>
      <c r="I3390" t="s">
        <v>99</v>
      </c>
      <c r="J3390" t="s">
        <v>28</v>
      </c>
      <c r="K3390" t="s">
        <v>29</v>
      </c>
      <c r="L3390" t="s">
        <v>895</v>
      </c>
      <c r="M3390" t="s">
        <v>4402</v>
      </c>
      <c r="O3390" t="s">
        <v>896</v>
      </c>
      <c r="P3390" t="s">
        <v>33</v>
      </c>
      <c r="Q3390">
        <v>143.16999999999999</v>
      </c>
      <c r="R3390" t="s">
        <v>35</v>
      </c>
      <c r="S3390" t="s">
        <v>35</v>
      </c>
      <c r="T3390" t="s">
        <v>35</v>
      </c>
      <c r="U3390" t="s">
        <v>35</v>
      </c>
      <c r="V3390" t="s">
        <v>645</v>
      </c>
      <c r="W3390" t="s">
        <v>113</v>
      </c>
    </row>
    <row r="3391" spans="1:23" hidden="1" x14ac:dyDescent="0.25">
      <c r="A3391" s="7" t="str">
        <f>IFERROR(VLOOKUP(H3391,'Contas Orç'!A:B,2,0),"N/A")</f>
        <v>DESPESAS GERAIS</v>
      </c>
      <c r="B3391" s="7" t="str">
        <f t="shared" si="104"/>
        <v>330409 - DESPESAS GERAIS</v>
      </c>
      <c r="C3391" s="25">
        <f t="shared" si="105"/>
        <v>44562</v>
      </c>
      <c r="D3391" s="27">
        <f>IF(K3391="CREDITO",Q3391,Q3391*-1)</f>
        <v>80</v>
      </c>
      <c r="E3391" t="s">
        <v>894</v>
      </c>
      <c r="F3391" t="s">
        <v>3886</v>
      </c>
      <c r="G3391" s="8">
        <v>44562</v>
      </c>
      <c r="H3391" t="s">
        <v>160</v>
      </c>
      <c r="I3391" t="s">
        <v>78</v>
      </c>
      <c r="J3391" t="s">
        <v>28</v>
      </c>
      <c r="K3391" t="s">
        <v>29</v>
      </c>
      <c r="L3391" t="s">
        <v>895</v>
      </c>
      <c r="M3391" t="s">
        <v>4402</v>
      </c>
      <c r="O3391" t="s">
        <v>896</v>
      </c>
      <c r="P3391" t="s">
        <v>33</v>
      </c>
      <c r="Q3391">
        <v>80</v>
      </c>
      <c r="R3391" t="s">
        <v>35</v>
      </c>
      <c r="S3391" t="s">
        <v>35</v>
      </c>
      <c r="T3391" t="s">
        <v>35</v>
      </c>
      <c r="U3391" t="s">
        <v>35</v>
      </c>
      <c r="V3391" t="s">
        <v>645</v>
      </c>
      <c r="W3391" t="s">
        <v>113</v>
      </c>
    </row>
    <row r="3392" spans="1:23" hidden="1" x14ac:dyDescent="0.25">
      <c r="A3392" s="7" t="str">
        <f>IFERROR(VLOOKUP(H3392,'Contas Orç'!A:B,2,0),"N/A")</f>
        <v>DESPESAS GERAIS</v>
      </c>
      <c r="B3392" s="7" t="str">
        <f t="shared" si="104"/>
        <v>330409 - DESPESAS GERAIS</v>
      </c>
      <c r="C3392" s="25">
        <f t="shared" si="105"/>
        <v>44562</v>
      </c>
      <c r="D3392" s="27">
        <f>IF(K3392="CREDITO",Q3392,Q3392*-1)</f>
        <v>400.25</v>
      </c>
      <c r="E3392" t="s">
        <v>894</v>
      </c>
      <c r="F3392" t="s">
        <v>3887</v>
      </c>
      <c r="G3392" s="8">
        <v>44562</v>
      </c>
      <c r="H3392" t="s">
        <v>160</v>
      </c>
      <c r="I3392" t="s">
        <v>68</v>
      </c>
      <c r="J3392" t="s">
        <v>69</v>
      </c>
      <c r="K3392" t="s">
        <v>29</v>
      </c>
      <c r="L3392" t="s">
        <v>895</v>
      </c>
      <c r="M3392" t="s">
        <v>4402</v>
      </c>
      <c r="O3392" t="s">
        <v>896</v>
      </c>
      <c r="P3392" t="s">
        <v>33</v>
      </c>
      <c r="Q3392">
        <v>400.25</v>
      </c>
      <c r="R3392" t="s">
        <v>35</v>
      </c>
      <c r="S3392" t="s">
        <v>35</v>
      </c>
      <c r="T3392" t="s">
        <v>35</v>
      </c>
      <c r="U3392" t="s">
        <v>35</v>
      </c>
      <c r="V3392" t="s">
        <v>645</v>
      </c>
      <c r="W3392" t="s">
        <v>113</v>
      </c>
    </row>
    <row r="3393" spans="1:23" hidden="1" x14ac:dyDescent="0.25">
      <c r="A3393" s="7" t="str">
        <f>IFERROR(VLOOKUP(H3393,'Contas Orç'!A:B,2,0),"N/A")</f>
        <v>DESPESAS GERAIS</v>
      </c>
      <c r="B3393" s="7" t="str">
        <f t="shared" si="104"/>
        <v>330409 - DESPESAS GERAIS</v>
      </c>
      <c r="C3393" s="25">
        <f t="shared" si="105"/>
        <v>44562</v>
      </c>
      <c r="D3393" s="27">
        <f>IF(K3393="CREDITO",Q3393,Q3393*-1)</f>
        <v>4014.66</v>
      </c>
      <c r="E3393" t="s">
        <v>894</v>
      </c>
      <c r="F3393" t="s">
        <v>3888</v>
      </c>
      <c r="G3393" s="8">
        <v>44562</v>
      </c>
      <c r="H3393" t="s">
        <v>160</v>
      </c>
      <c r="I3393" t="s">
        <v>40</v>
      </c>
      <c r="J3393" t="s">
        <v>54</v>
      </c>
      <c r="K3393" t="s">
        <v>29</v>
      </c>
      <c r="L3393" t="s">
        <v>895</v>
      </c>
      <c r="M3393" t="s">
        <v>4402</v>
      </c>
      <c r="O3393" t="s">
        <v>896</v>
      </c>
      <c r="P3393" t="s">
        <v>33</v>
      </c>
      <c r="Q3393" s="22">
        <v>4014.66</v>
      </c>
      <c r="R3393" t="s">
        <v>35</v>
      </c>
      <c r="S3393" t="s">
        <v>35</v>
      </c>
      <c r="T3393" t="s">
        <v>35</v>
      </c>
      <c r="U3393" t="s">
        <v>35</v>
      </c>
      <c r="V3393" t="s">
        <v>645</v>
      </c>
      <c r="W3393" t="s">
        <v>113</v>
      </c>
    </row>
    <row r="3394" spans="1:23" hidden="1" x14ac:dyDescent="0.25">
      <c r="A3394" s="7" t="str">
        <f>IFERROR(VLOOKUP(H3394,'Contas Orç'!A:B,2,0),"N/A")</f>
        <v>DESPESAS GERAIS</v>
      </c>
      <c r="B3394" s="7" t="str">
        <f t="shared" si="104"/>
        <v>330409 - DESPESAS GERAIS</v>
      </c>
      <c r="C3394" s="25">
        <f t="shared" si="105"/>
        <v>44562</v>
      </c>
      <c r="D3394" s="27">
        <f>IF(K3394="CREDITO",Q3394,Q3394*-1)</f>
        <v>3.9</v>
      </c>
      <c r="E3394" t="s">
        <v>894</v>
      </c>
      <c r="F3394" t="s">
        <v>3889</v>
      </c>
      <c r="G3394" s="8">
        <v>44562</v>
      </c>
      <c r="H3394" t="s">
        <v>160</v>
      </c>
      <c r="I3394" t="s">
        <v>121</v>
      </c>
      <c r="J3394" t="s">
        <v>54</v>
      </c>
      <c r="K3394" t="s">
        <v>29</v>
      </c>
      <c r="L3394" t="s">
        <v>895</v>
      </c>
      <c r="M3394" t="s">
        <v>4402</v>
      </c>
      <c r="O3394" t="s">
        <v>896</v>
      </c>
      <c r="P3394" t="s">
        <v>33</v>
      </c>
      <c r="Q3394">
        <v>3.9</v>
      </c>
      <c r="R3394" t="s">
        <v>35</v>
      </c>
      <c r="S3394" t="s">
        <v>35</v>
      </c>
      <c r="T3394" t="s">
        <v>35</v>
      </c>
      <c r="U3394" t="s">
        <v>35</v>
      </c>
      <c r="V3394" t="s">
        <v>645</v>
      </c>
      <c r="W3394" t="s">
        <v>113</v>
      </c>
    </row>
    <row r="3395" spans="1:23" hidden="1" x14ac:dyDescent="0.25">
      <c r="A3395" s="7" t="str">
        <f>IFERROR(VLOOKUP(H3395,'Contas Orç'!A:B,2,0),"N/A")</f>
        <v>DESPESAS GERAIS</v>
      </c>
      <c r="B3395" s="7" t="str">
        <f t="shared" ref="B3395:B3458" si="106">_xlfn.CONCAT(H3395," - ",A3395)</f>
        <v>330409 - DESPESAS GERAIS</v>
      </c>
      <c r="C3395" s="25">
        <f t="shared" ref="C3395:C3458" si="107">DATE(YEAR(G3395),MONTH(G3395),1)</f>
        <v>44562</v>
      </c>
      <c r="D3395" s="27">
        <f>IF(K3395="CREDITO",Q3395,Q3395*-1)</f>
        <v>667.03</v>
      </c>
      <c r="E3395" t="s">
        <v>894</v>
      </c>
      <c r="F3395" t="s">
        <v>3890</v>
      </c>
      <c r="G3395" s="8">
        <v>44562</v>
      </c>
      <c r="H3395" t="s">
        <v>160</v>
      </c>
      <c r="I3395" t="s">
        <v>132</v>
      </c>
      <c r="J3395" t="s">
        <v>54</v>
      </c>
      <c r="K3395" t="s">
        <v>29</v>
      </c>
      <c r="L3395" t="s">
        <v>895</v>
      </c>
      <c r="M3395" t="s">
        <v>4402</v>
      </c>
      <c r="O3395" t="s">
        <v>896</v>
      </c>
      <c r="P3395" t="s">
        <v>33</v>
      </c>
      <c r="Q3395">
        <v>667.03</v>
      </c>
      <c r="R3395" t="s">
        <v>35</v>
      </c>
      <c r="S3395" t="s">
        <v>35</v>
      </c>
      <c r="T3395" t="s">
        <v>35</v>
      </c>
      <c r="U3395" t="s">
        <v>35</v>
      </c>
      <c r="V3395" t="s">
        <v>645</v>
      </c>
      <c r="W3395" t="s">
        <v>113</v>
      </c>
    </row>
    <row r="3396" spans="1:23" hidden="1" x14ac:dyDescent="0.25">
      <c r="A3396" s="7" t="str">
        <f>IFERROR(VLOOKUP(H3396,'Contas Orç'!A:B,2,0),"N/A")</f>
        <v>DESPESAS GERAIS</v>
      </c>
      <c r="B3396" s="7" t="str">
        <f t="shared" si="106"/>
        <v>330409 - DESPESAS GERAIS</v>
      </c>
      <c r="C3396" s="25">
        <f t="shared" si="107"/>
        <v>44562</v>
      </c>
      <c r="D3396" s="27">
        <f>IF(K3396="CREDITO",Q3396,Q3396*-1)</f>
        <v>33.590000000000003</v>
      </c>
      <c r="E3396" t="s">
        <v>894</v>
      </c>
      <c r="F3396" t="s">
        <v>3891</v>
      </c>
      <c r="G3396" s="8">
        <v>44562</v>
      </c>
      <c r="H3396" t="s">
        <v>160</v>
      </c>
      <c r="I3396" t="s">
        <v>114</v>
      </c>
      <c r="J3396" t="s">
        <v>54</v>
      </c>
      <c r="K3396" t="s">
        <v>29</v>
      </c>
      <c r="L3396" t="s">
        <v>895</v>
      </c>
      <c r="M3396" t="s">
        <v>4402</v>
      </c>
      <c r="O3396" t="s">
        <v>896</v>
      </c>
      <c r="P3396" t="s">
        <v>33</v>
      </c>
      <c r="Q3396">
        <v>33.590000000000003</v>
      </c>
      <c r="R3396" t="s">
        <v>35</v>
      </c>
      <c r="S3396" t="s">
        <v>35</v>
      </c>
      <c r="T3396" t="s">
        <v>35</v>
      </c>
      <c r="U3396" t="s">
        <v>35</v>
      </c>
      <c r="V3396" t="s">
        <v>645</v>
      </c>
      <c r="W3396" t="s">
        <v>113</v>
      </c>
    </row>
    <row r="3397" spans="1:23" hidden="1" x14ac:dyDescent="0.25">
      <c r="A3397" s="7" t="str">
        <f>IFERROR(VLOOKUP(H3397,'Contas Orç'!A:B,2,0),"N/A")</f>
        <v>DESPESAS GERAIS</v>
      </c>
      <c r="B3397" s="7" t="str">
        <f t="shared" si="106"/>
        <v>330409 - DESPESAS GERAIS</v>
      </c>
      <c r="C3397" s="25">
        <f t="shared" si="107"/>
        <v>44562</v>
      </c>
      <c r="D3397" s="27">
        <f>IF(K3397="CREDITO",Q3397,Q3397*-1)</f>
        <v>26.14</v>
      </c>
      <c r="E3397" t="s">
        <v>894</v>
      </c>
      <c r="F3397" t="s">
        <v>3892</v>
      </c>
      <c r="G3397" s="8">
        <v>44562</v>
      </c>
      <c r="H3397" t="s">
        <v>160</v>
      </c>
      <c r="I3397" t="s">
        <v>75</v>
      </c>
      <c r="J3397" t="s">
        <v>54</v>
      </c>
      <c r="K3397" t="s">
        <v>29</v>
      </c>
      <c r="L3397" t="s">
        <v>895</v>
      </c>
      <c r="M3397" t="s">
        <v>4402</v>
      </c>
      <c r="O3397" t="s">
        <v>896</v>
      </c>
      <c r="P3397" t="s">
        <v>33</v>
      </c>
      <c r="Q3397">
        <v>26.14</v>
      </c>
      <c r="R3397" t="s">
        <v>35</v>
      </c>
      <c r="S3397" t="s">
        <v>35</v>
      </c>
      <c r="T3397" t="s">
        <v>35</v>
      </c>
      <c r="U3397" t="s">
        <v>35</v>
      </c>
      <c r="V3397" t="s">
        <v>645</v>
      </c>
      <c r="W3397" t="s">
        <v>113</v>
      </c>
    </row>
    <row r="3398" spans="1:23" hidden="1" x14ac:dyDescent="0.25">
      <c r="A3398" s="7" t="str">
        <f>IFERROR(VLOOKUP(H3398,'Contas Orç'!A:B,2,0),"N/A")</f>
        <v>DESPESAS GERAIS</v>
      </c>
      <c r="B3398" s="7" t="str">
        <f t="shared" si="106"/>
        <v>330409 - DESPESAS GERAIS</v>
      </c>
      <c r="C3398" s="25">
        <f t="shared" si="107"/>
        <v>44562</v>
      </c>
      <c r="D3398" s="27">
        <f>IF(K3398="CREDITO",Q3398,Q3398*-1)</f>
        <v>11</v>
      </c>
      <c r="E3398" t="s">
        <v>894</v>
      </c>
      <c r="F3398" t="s">
        <v>3893</v>
      </c>
      <c r="G3398" s="8">
        <v>44562</v>
      </c>
      <c r="H3398" t="s">
        <v>160</v>
      </c>
      <c r="I3398" t="s">
        <v>78</v>
      </c>
      <c r="J3398" t="s">
        <v>54</v>
      </c>
      <c r="K3398" t="s">
        <v>29</v>
      </c>
      <c r="L3398" t="s">
        <v>895</v>
      </c>
      <c r="M3398" t="s">
        <v>4402</v>
      </c>
      <c r="O3398" t="s">
        <v>896</v>
      </c>
      <c r="P3398" t="s">
        <v>33</v>
      </c>
      <c r="Q3398">
        <v>11</v>
      </c>
      <c r="R3398" t="s">
        <v>35</v>
      </c>
      <c r="S3398" t="s">
        <v>35</v>
      </c>
      <c r="T3398" t="s">
        <v>35</v>
      </c>
      <c r="U3398" t="s">
        <v>35</v>
      </c>
      <c r="V3398" t="s">
        <v>645</v>
      </c>
      <c r="W3398" t="s">
        <v>113</v>
      </c>
    </row>
    <row r="3399" spans="1:23" hidden="1" x14ac:dyDescent="0.25">
      <c r="A3399" s="7" t="str">
        <f>IFERROR(VLOOKUP(H3399,'Contas Orç'!A:B,2,0),"N/A")</f>
        <v>DESPESAS GERAIS</v>
      </c>
      <c r="B3399" s="7" t="str">
        <f t="shared" si="106"/>
        <v>330409 - DESPESAS GERAIS</v>
      </c>
      <c r="C3399" s="25">
        <f t="shared" si="107"/>
        <v>44562</v>
      </c>
      <c r="D3399" s="27">
        <f>IF(K3399="CREDITO",Q3399,Q3399*-1)</f>
        <v>1291.98</v>
      </c>
      <c r="E3399" t="s">
        <v>894</v>
      </c>
      <c r="F3399" t="s">
        <v>3894</v>
      </c>
      <c r="G3399" s="8">
        <v>44562</v>
      </c>
      <c r="H3399" t="s">
        <v>160</v>
      </c>
      <c r="I3399" t="s">
        <v>81</v>
      </c>
      <c r="J3399" t="s">
        <v>54</v>
      </c>
      <c r="K3399" t="s">
        <v>29</v>
      </c>
      <c r="L3399" t="s">
        <v>895</v>
      </c>
      <c r="M3399" t="s">
        <v>4402</v>
      </c>
      <c r="O3399" t="s">
        <v>896</v>
      </c>
      <c r="P3399" t="s">
        <v>33</v>
      </c>
      <c r="Q3399" s="22">
        <v>1291.98</v>
      </c>
      <c r="R3399" t="s">
        <v>35</v>
      </c>
      <c r="S3399" t="s">
        <v>35</v>
      </c>
      <c r="T3399" t="s">
        <v>35</v>
      </c>
      <c r="U3399" t="s">
        <v>35</v>
      </c>
      <c r="V3399" t="s">
        <v>645</v>
      </c>
      <c r="W3399" t="s">
        <v>113</v>
      </c>
    </row>
    <row r="3400" spans="1:23" hidden="1" x14ac:dyDescent="0.25">
      <c r="A3400" s="7" t="str">
        <f>IFERROR(VLOOKUP(H3400,'Contas Orç'!A:B,2,0),"N/A")</f>
        <v>DESPESAS GERAIS</v>
      </c>
      <c r="B3400" s="7" t="str">
        <f t="shared" si="106"/>
        <v>330409 - DESPESAS GERAIS</v>
      </c>
      <c r="C3400" s="25">
        <f t="shared" si="107"/>
        <v>44562</v>
      </c>
      <c r="D3400" s="27">
        <f>IF(K3400="CREDITO",Q3400,Q3400*-1)</f>
        <v>9.3000000000000007</v>
      </c>
      <c r="E3400" t="s">
        <v>894</v>
      </c>
      <c r="F3400" t="s">
        <v>3895</v>
      </c>
      <c r="G3400" s="8">
        <v>44562</v>
      </c>
      <c r="H3400" t="s">
        <v>160</v>
      </c>
      <c r="I3400" t="s">
        <v>136</v>
      </c>
      <c r="J3400" t="s">
        <v>54</v>
      </c>
      <c r="K3400" t="s">
        <v>29</v>
      </c>
      <c r="L3400" t="s">
        <v>895</v>
      </c>
      <c r="M3400" t="s">
        <v>4402</v>
      </c>
      <c r="O3400" t="s">
        <v>896</v>
      </c>
      <c r="P3400" t="s">
        <v>33</v>
      </c>
      <c r="Q3400">
        <v>9.3000000000000007</v>
      </c>
      <c r="R3400" t="s">
        <v>35</v>
      </c>
      <c r="S3400" t="s">
        <v>35</v>
      </c>
      <c r="T3400" t="s">
        <v>35</v>
      </c>
      <c r="U3400" t="s">
        <v>35</v>
      </c>
      <c r="V3400" t="s">
        <v>645</v>
      </c>
      <c r="W3400" t="s">
        <v>113</v>
      </c>
    </row>
    <row r="3401" spans="1:23" hidden="1" x14ac:dyDescent="0.25">
      <c r="A3401" s="7" t="str">
        <f>IFERROR(VLOOKUP(H3401,'Contas Orç'!A:B,2,0),"N/A")</f>
        <v>DESPESAS GERAIS</v>
      </c>
      <c r="B3401" s="7" t="str">
        <f t="shared" si="106"/>
        <v>330409 - DESPESAS GERAIS</v>
      </c>
      <c r="C3401" s="25">
        <f t="shared" si="107"/>
        <v>44562</v>
      </c>
      <c r="D3401" s="27">
        <f>IF(K3401="CREDITO",Q3401,Q3401*-1)</f>
        <v>6438.94</v>
      </c>
      <c r="E3401" t="s">
        <v>894</v>
      </c>
      <c r="F3401" t="s">
        <v>3896</v>
      </c>
      <c r="G3401" s="8">
        <v>44562</v>
      </c>
      <c r="H3401" t="s">
        <v>160</v>
      </c>
      <c r="I3401" t="s">
        <v>53</v>
      </c>
      <c r="J3401" t="s">
        <v>54</v>
      </c>
      <c r="K3401" t="s">
        <v>29</v>
      </c>
      <c r="L3401" t="s">
        <v>895</v>
      </c>
      <c r="M3401" t="s">
        <v>4402</v>
      </c>
      <c r="O3401" t="s">
        <v>896</v>
      </c>
      <c r="P3401" t="s">
        <v>33</v>
      </c>
      <c r="Q3401" s="22">
        <v>6438.94</v>
      </c>
      <c r="R3401" t="s">
        <v>35</v>
      </c>
      <c r="S3401" t="s">
        <v>35</v>
      </c>
      <c r="T3401" t="s">
        <v>35</v>
      </c>
      <c r="U3401" t="s">
        <v>35</v>
      </c>
      <c r="V3401" t="s">
        <v>645</v>
      </c>
      <c r="W3401" t="s">
        <v>113</v>
      </c>
    </row>
    <row r="3402" spans="1:23" hidden="1" x14ac:dyDescent="0.25">
      <c r="A3402" s="7" t="str">
        <f>IFERROR(VLOOKUP(H3402,'Contas Orç'!A:B,2,0),"N/A")</f>
        <v>DESPESAS GERAIS</v>
      </c>
      <c r="B3402" s="7" t="str">
        <f t="shared" si="106"/>
        <v>330409 - DESPESAS GERAIS</v>
      </c>
      <c r="C3402" s="25">
        <f t="shared" si="107"/>
        <v>44593</v>
      </c>
      <c r="D3402" s="27">
        <f>IF(K3402="CREDITO",Q3402,Q3402*-1)</f>
        <v>293.31</v>
      </c>
      <c r="E3402" t="s">
        <v>894</v>
      </c>
      <c r="F3402" t="s">
        <v>3897</v>
      </c>
      <c r="G3402" s="8">
        <v>44593</v>
      </c>
      <c r="H3402" t="s">
        <v>160</v>
      </c>
      <c r="I3402" t="s">
        <v>99</v>
      </c>
      <c r="J3402" t="s">
        <v>28</v>
      </c>
      <c r="K3402" t="s">
        <v>29</v>
      </c>
      <c r="L3402" t="s">
        <v>895</v>
      </c>
      <c r="M3402" t="s">
        <v>4402</v>
      </c>
      <c r="O3402" t="s">
        <v>896</v>
      </c>
      <c r="P3402" t="s">
        <v>33</v>
      </c>
      <c r="Q3402">
        <v>293.31</v>
      </c>
      <c r="R3402" t="s">
        <v>35</v>
      </c>
      <c r="S3402" t="s">
        <v>35</v>
      </c>
      <c r="T3402" t="s">
        <v>35</v>
      </c>
      <c r="U3402" t="s">
        <v>35</v>
      </c>
      <c r="V3402" t="s">
        <v>645</v>
      </c>
      <c r="W3402" t="s">
        <v>113</v>
      </c>
    </row>
    <row r="3403" spans="1:23" hidden="1" x14ac:dyDescent="0.25">
      <c r="A3403" s="7" t="str">
        <f>IFERROR(VLOOKUP(H3403,'Contas Orç'!A:B,2,0),"N/A")</f>
        <v>DESPESAS GERAIS</v>
      </c>
      <c r="B3403" s="7" t="str">
        <f t="shared" si="106"/>
        <v>330409 - DESPESAS GERAIS</v>
      </c>
      <c r="C3403" s="25">
        <f t="shared" si="107"/>
        <v>44593</v>
      </c>
      <c r="D3403" s="27">
        <f>IF(K3403="CREDITO",Q3403,Q3403*-1)</f>
        <v>1302.45</v>
      </c>
      <c r="E3403" t="s">
        <v>894</v>
      </c>
      <c r="F3403" t="s">
        <v>3898</v>
      </c>
      <c r="G3403" s="8">
        <v>44593</v>
      </c>
      <c r="H3403" t="s">
        <v>160</v>
      </c>
      <c r="I3403" t="s">
        <v>68</v>
      </c>
      <c r="J3403" t="s">
        <v>69</v>
      </c>
      <c r="K3403" t="s">
        <v>29</v>
      </c>
      <c r="L3403" t="s">
        <v>895</v>
      </c>
      <c r="M3403" t="s">
        <v>4402</v>
      </c>
      <c r="O3403" t="s">
        <v>896</v>
      </c>
      <c r="P3403" t="s">
        <v>33</v>
      </c>
      <c r="Q3403" s="22">
        <v>1302.45</v>
      </c>
      <c r="R3403" t="s">
        <v>35</v>
      </c>
      <c r="S3403" t="s">
        <v>35</v>
      </c>
      <c r="T3403" t="s">
        <v>35</v>
      </c>
      <c r="U3403" t="s">
        <v>35</v>
      </c>
      <c r="V3403" t="s">
        <v>645</v>
      </c>
      <c r="W3403" t="s">
        <v>113</v>
      </c>
    </row>
    <row r="3404" spans="1:23" hidden="1" x14ac:dyDescent="0.25">
      <c r="A3404" s="7" t="str">
        <f>IFERROR(VLOOKUP(H3404,'Contas Orç'!A:B,2,0),"N/A")</f>
        <v>DESPESAS GERAIS</v>
      </c>
      <c r="B3404" s="7" t="str">
        <f t="shared" si="106"/>
        <v>330409 - DESPESAS GERAIS</v>
      </c>
      <c r="C3404" s="25">
        <f t="shared" si="107"/>
        <v>44593</v>
      </c>
      <c r="D3404" s="27">
        <f>IF(K3404="CREDITO",Q3404,Q3404*-1)</f>
        <v>3209.12</v>
      </c>
      <c r="E3404" t="s">
        <v>894</v>
      </c>
      <c r="F3404" t="s">
        <v>3899</v>
      </c>
      <c r="G3404" s="8">
        <v>44593</v>
      </c>
      <c r="H3404" t="s">
        <v>160</v>
      </c>
      <c r="I3404" t="s">
        <v>2062</v>
      </c>
      <c r="J3404" t="s">
        <v>54</v>
      </c>
      <c r="K3404" t="s">
        <v>29</v>
      </c>
      <c r="L3404" t="s">
        <v>895</v>
      </c>
      <c r="M3404" t="s">
        <v>4402</v>
      </c>
      <c r="O3404" t="s">
        <v>896</v>
      </c>
      <c r="P3404" t="s">
        <v>33</v>
      </c>
      <c r="Q3404" s="22">
        <v>3209.12</v>
      </c>
      <c r="R3404" t="s">
        <v>35</v>
      </c>
      <c r="S3404" t="s">
        <v>35</v>
      </c>
      <c r="T3404" t="s">
        <v>35</v>
      </c>
      <c r="U3404" t="s">
        <v>35</v>
      </c>
      <c r="V3404" t="s">
        <v>645</v>
      </c>
      <c r="W3404" t="s">
        <v>113</v>
      </c>
    </row>
    <row r="3405" spans="1:23" hidden="1" x14ac:dyDescent="0.25">
      <c r="A3405" s="7" t="str">
        <f>IFERROR(VLOOKUP(H3405,'Contas Orç'!A:B,2,0),"N/A")</f>
        <v>DESPESAS GERAIS</v>
      </c>
      <c r="B3405" s="7" t="str">
        <f t="shared" si="106"/>
        <v>330409 - DESPESAS GERAIS</v>
      </c>
      <c r="C3405" s="25">
        <f t="shared" si="107"/>
        <v>44593</v>
      </c>
      <c r="D3405" s="27">
        <f>IF(K3405="CREDITO",Q3405,Q3405*-1)</f>
        <v>6039.37</v>
      </c>
      <c r="E3405" t="s">
        <v>894</v>
      </c>
      <c r="F3405" t="s">
        <v>3900</v>
      </c>
      <c r="G3405" s="8">
        <v>44593</v>
      </c>
      <c r="H3405" t="s">
        <v>160</v>
      </c>
      <c r="I3405" t="s">
        <v>40</v>
      </c>
      <c r="J3405" t="s">
        <v>54</v>
      </c>
      <c r="K3405" t="s">
        <v>29</v>
      </c>
      <c r="L3405" t="s">
        <v>895</v>
      </c>
      <c r="M3405" t="s">
        <v>4402</v>
      </c>
      <c r="O3405" t="s">
        <v>896</v>
      </c>
      <c r="P3405" t="s">
        <v>33</v>
      </c>
      <c r="Q3405" s="22">
        <v>6039.37</v>
      </c>
      <c r="R3405" t="s">
        <v>35</v>
      </c>
      <c r="S3405" t="s">
        <v>35</v>
      </c>
      <c r="T3405" t="s">
        <v>35</v>
      </c>
      <c r="U3405" t="s">
        <v>35</v>
      </c>
      <c r="V3405" t="s">
        <v>645</v>
      </c>
      <c r="W3405" t="s">
        <v>113</v>
      </c>
    </row>
    <row r="3406" spans="1:23" hidden="1" x14ac:dyDescent="0.25">
      <c r="A3406" s="7" t="str">
        <f>IFERROR(VLOOKUP(H3406,'Contas Orç'!A:B,2,0),"N/A")</f>
        <v>DESPESAS GERAIS</v>
      </c>
      <c r="B3406" s="7" t="str">
        <f t="shared" si="106"/>
        <v>330409 - DESPESAS GERAIS</v>
      </c>
      <c r="C3406" s="25">
        <f t="shared" si="107"/>
        <v>44593</v>
      </c>
      <c r="D3406" s="27">
        <f>IF(K3406="CREDITO",Q3406,Q3406*-1)</f>
        <v>29.91</v>
      </c>
      <c r="E3406" t="s">
        <v>894</v>
      </c>
      <c r="F3406" t="s">
        <v>3901</v>
      </c>
      <c r="G3406" s="8">
        <v>44593</v>
      </c>
      <c r="H3406" t="s">
        <v>160</v>
      </c>
      <c r="I3406" t="s">
        <v>121</v>
      </c>
      <c r="J3406" t="s">
        <v>54</v>
      </c>
      <c r="K3406" t="s">
        <v>29</v>
      </c>
      <c r="L3406" t="s">
        <v>895</v>
      </c>
      <c r="M3406" t="s">
        <v>4402</v>
      </c>
      <c r="O3406" t="s">
        <v>896</v>
      </c>
      <c r="P3406" t="s">
        <v>33</v>
      </c>
      <c r="Q3406">
        <v>29.91</v>
      </c>
      <c r="R3406" t="s">
        <v>35</v>
      </c>
      <c r="S3406" t="s">
        <v>35</v>
      </c>
      <c r="T3406" t="s">
        <v>35</v>
      </c>
      <c r="U3406" t="s">
        <v>35</v>
      </c>
      <c r="V3406" t="s">
        <v>645</v>
      </c>
      <c r="W3406" t="s">
        <v>113</v>
      </c>
    </row>
    <row r="3407" spans="1:23" hidden="1" x14ac:dyDescent="0.25">
      <c r="A3407" s="7" t="str">
        <f>IFERROR(VLOOKUP(H3407,'Contas Orç'!A:B,2,0),"N/A")</f>
        <v>DESPESAS GERAIS</v>
      </c>
      <c r="B3407" s="7" t="str">
        <f t="shared" si="106"/>
        <v>330409 - DESPESAS GERAIS</v>
      </c>
      <c r="C3407" s="25">
        <f t="shared" si="107"/>
        <v>44593</v>
      </c>
      <c r="D3407" s="27">
        <f>IF(K3407="CREDITO",Q3407,Q3407*-1)</f>
        <v>187.88</v>
      </c>
      <c r="E3407" t="s">
        <v>894</v>
      </c>
      <c r="F3407" t="s">
        <v>3902</v>
      </c>
      <c r="G3407" s="8">
        <v>44593</v>
      </c>
      <c r="H3407" t="s">
        <v>160</v>
      </c>
      <c r="I3407" t="s">
        <v>132</v>
      </c>
      <c r="J3407" t="s">
        <v>54</v>
      </c>
      <c r="K3407" t="s">
        <v>29</v>
      </c>
      <c r="L3407" t="s">
        <v>895</v>
      </c>
      <c r="M3407" t="s">
        <v>4402</v>
      </c>
      <c r="O3407" t="s">
        <v>896</v>
      </c>
      <c r="P3407" t="s">
        <v>33</v>
      </c>
      <c r="Q3407">
        <v>187.88</v>
      </c>
      <c r="R3407" t="s">
        <v>35</v>
      </c>
      <c r="S3407" t="s">
        <v>35</v>
      </c>
      <c r="T3407" t="s">
        <v>35</v>
      </c>
      <c r="U3407" t="s">
        <v>35</v>
      </c>
      <c r="V3407" t="s">
        <v>645</v>
      </c>
      <c r="W3407" t="s">
        <v>113</v>
      </c>
    </row>
    <row r="3408" spans="1:23" hidden="1" x14ac:dyDescent="0.25">
      <c r="A3408" s="7" t="str">
        <f>IFERROR(VLOOKUP(H3408,'Contas Orç'!A:B,2,0),"N/A")</f>
        <v>DESPESAS GERAIS</v>
      </c>
      <c r="B3408" s="7" t="str">
        <f t="shared" si="106"/>
        <v>330409 - DESPESAS GERAIS</v>
      </c>
      <c r="C3408" s="25">
        <f t="shared" si="107"/>
        <v>44593</v>
      </c>
      <c r="D3408" s="27">
        <f>IF(K3408="CREDITO",Q3408,Q3408*-1)</f>
        <v>482.63</v>
      </c>
      <c r="E3408" t="s">
        <v>894</v>
      </c>
      <c r="F3408" t="s">
        <v>3903</v>
      </c>
      <c r="G3408" s="8">
        <v>44593</v>
      </c>
      <c r="H3408" t="s">
        <v>160</v>
      </c>
      <c r="I3408" t="s">
        <v>114</v>
      </c>
      <c r="J3408" t="s">
        <v>54</v>
      </c>
      <c r="K3408" t="s">
        <v>29</v>
      </c>
      <c r="L3408" t="s">
        <v>895</v>
      </c>
      <c r="M3408" t="s">
        <v>4402</v>
      </c>
      <c r="O3408" t="s">
        <v>896</v>
      </c>
      <c r="P3408" t="s">
        <v>33</v>
      </c>
      <c r="Q3408">
        <v>482.63</v>
      </c>
      <c r="R3408" t="s">
        <v>35</v>
      </c>
      <c r="S3408" t="s">
        <v>35</v>
      </c>
      <c r="T3408" t="s">
        <v>35</v>
      </c>
      <c r="U3408" t="s">
        <v>35</v>
      </c>
      <c r="V3408" t="s">
        <v>645</v>
      </c>
      <c r="W3408" t="s">
        <v>113</v>
      </c>
    </row>
    <row r="3409" spans="1:23" hidden="1" x14ac:dyDescent="0.25">
      <c r="A3409" s="7" t="str">
        <f>IFERROR(VLOOKUP(H3409,'Contas Orç'!A:B,2,0),"N/A")</f>
        <v>DESPESAS GERAIS</v>
      </c>
      <c r="B3409" s="7" t="str">
        <f t="shared" si="106"/>
        <v>330409 - DESPESAS GERAIS</v>
      </c>
      <c r="C3409" s="25">
        <f t="shared" si="107"/>
        <v>44593</v>
      </c>
      <c r="D3409" s="27">
        <f>IF(K3409="CREDITO",Q3409,Q3409*-1)</f>
        <v>68.55</v>
      </c>
      <c r="E3409" t="s">
        <v>894</v>
      </c>
      <c r="F3409" t="s">
        <v>3904</v>
      </c>
      <c r="G3409" s="8">
        <v>44593</v>
      </c>
      <c r="H3409" t="s">
        <v>160</v>
      </c>
      <c r="I3409" t="s">
        <v>99</v>
      </c>
      <c r="J3409" t="s">
        <v>54</v>
      </c>
      <c r="K3409" t="s">
        <v>29</v>
      </c>
      <c r="L3409" t="s">
        <v>895</v>
      </c>
      <c r="M3409" t="s">
        <v>4402</v>
      </c>
      <c r="O3409" t="s">
        <v>896</v>
      </c>
      <c r="P3409" t="s">
        <v>33</v>
      </c>
      <c r="Q3409">
        <v>68.55</v>
      </c>
      <c r="R3409" t="s">
        <v>35</v>
      </c>
      <c r="S3409" t="s">
        <v>35</v>
      </c>
      <c r="T3409" t="s">
        <v>35</v>
      </c>
      <c r="U3409" t="s">
        <v>35</v>
      </c>
      <c r="V3409" t="s">
        <v>645</v>
      </c>
      <c r="W3409" t="s">
        <v>113</v>
      </c>
    </row>
    <row r="3410" spans="1:23" hidden="1" x14ac:dyDescent="0.25">
      <c r="A3410" s="7" t="str">
        <f>IFERROR(VLOOKUP(H3410,'Contas Orç'!A:B,2,0),"N/A")</f>
        <v>DESPESAS GERAIS</v>
      </c>
      <c r="B3410" s="7" t="str">
        <f t="shared" si="106"/>
        <v>330409 - DESPESAS GERAIS</v>
      </c>
      <c r="C3410" s="25">
        <f t="shared" si="107"/>
        <v>44593</v>
      </c>
      <c r="D3410" s="27">
        <f>IF(K3410="CREDITO",Q3410,Q3410*-1)</f>
        <v>1216.21</v>
      </c>
      <c r="E3410" t="s">
        <v>894</v>
      </c>
      <c r="F3410" t="s">
        <v>3905</v>
      </c>
      <c r="G3410" s="8">
        <v>44593</v>
      </c>
      <c r="H3410" t="s">
        <v>160</v>
      </c>
      <c r="I3410" t="s">
        <v>81</v>
      </c>
      <c r="J3410" t="s">
        <v>54</v>
      </c>
      <c r="K3410" t="s">
        <v>29</v>
      </c>
      <c r="L3410" t="s">
        <v>895</v>
      </c>
      <c r="M3410" t="s">
        <v>4402</v>
      </c>
      <c r="O3410" t="s">
        <v>896</v>
      </c>
      <c r="P3410" t="s">
        <v>33</v>
      </c>
      <c r="Q3410" s="22">
        <v>1216.21</v>
      </c>
      <c r="R3410" t="s">
        <v>35</v>
      </c>
      <c r="S3410" t="s">
        <v>35</v>
      </c>
      <c r="T3410" t="s">
        <v>35</v>
      </c>
      <c r="U3410" t="s">
        <v>35</v>
      </c>
      <c r="V3410" t="s">
        <v>645</v>
      </c>
      <c r="W3410" t="s">
        <v>113</v>
      </c>
    </row>
    <row r="3411" spans="1:23" hidden="1" x14ac:dyDescent="0.25">
      <c r="A3411" s="7" t="str">
        <f>IFERROR(VLOOKUP(H3411,'Contas Orç'!A:B,2,0),"N/A")</f>
        <v>DESPESAS GERAIS</v>
      </c>
      <c r="B3411" s="7" t="str">
        <f t="shared" si="106"/>
        <v>330409 - DESPESAS GERAIS</v>
      </c>
      <c r="C3411" s="25">
        <f t="shared" si="107"/>
        <v>44593</v>
      </c>
      <c r="D3411" s="27">
        <f>IF(K3411="CREDITO",Q3411,Q3411*-1)</f>
        <v>388.63</v>
      </c>
      <c r="E3411" t="s">
        <v>894</v>
      </c>
      <c r="F3411" t="s">
        <v>3906</v>
      </c>
      <c r="G3411" s="8">
        <v>44593</v>
      </c>
      <c r="H3411" t="s">
        <v>160</v>
      </c>
      <c r="I3411" t="s">
        <v>136</v>
      </c>
      <c r="J3411" t="s">
        <v>54</v>
      </c>
      <c r="K3411" t="s">
        <v>29</v>
      </c>
      <c r="L3411" t="s">
        <v>895</v>
      </c>
      <c r="M3411" t="s">
        <v>4402</v>
      </c>
      <c r="O3411" t="s">
        <v>896</v>
      </c>
      <c r="P3411" t="s">
        <v>33</v>
      </c>
      <c r="Q3411">
        <v>388.63</v>
      </c>
      <c r="R3411" t="s">
        <v>35</v>
      </c>
      <c r="S3411" t="s">
        <v>35</v>
      </c>
      <c r="T3411" t="s">
        <v>35</v>
      </c>
      <c r="U3411" t="s">
        <v>35</v>
      </c>
      <c r="V3411" t="s">
        <v>645</v>
      </c>
      <c r="W3411" t="s">
        <v>113</v>
      </c>
    </row>
    <row r="3412" spans="1:23" hidden="1" x14ac:dyDescent="0.25">
      <c r="A3412" s="7" t="str">
        <f>IFERROR(VLOOKUP(H3412,'Contas Orç'!A:B,2,0),"N/A")</f>
        <v>DESPESAS GERAIS</v>
      </c>
      <c r="B3412" s="7" t="str">
        <f t="shared" si="106"/>
        <v>330409 - DESPESAS GERAIS</v>
      </c>
      <c r="C3412" s="25">
        <f t="shared" si="107"/>
        <v>44593</v>
      </c>
      <c r="D3412" s="27">
        <f>IF(K3412="CREDITO",Q3412,Q3412*-1)</f>
        <v>2466</v>
      </c>
      <c r="E3412" t="s">
        <v>894</v>
      </c>
      <c r="F3412" t="s">
        <v>3907</v>
      </c>
      <c r="G3412" s="8">
        <v>44593</v>
      </c>
      <c r="H3412" t="s">
        <v>160</v>
      </c>
      <c r="I3412" t="s">
        <v>53</v>
      </c>
      <c r="J3412" t="s">
        <v>54</v>
      </c>
      <c r="K3412" t="s">
        <v>29</v>
      </c>
      <c r="L3412" t="s">
        <v>895</v>
      </c>
      <c r="M3412" t="s">
        <v>4402</v>
      </c>
      <c r="O3412" t="s">
        <v>896</v>
      </c>
      <c r="P3412" t="s">
        <v>33</v>
      </c>
      <c r="Q3412" s="22">
        <v>2466</v>
      </c>
      <c r="R3412" t="s">
        <v>35</v>
      </c>
      <c r="S3412" t="s">
        <v>35</v>
      </c>
      <c r="T3412" t="s">
        <v>35</v>
      </c>
      <c r="U3412" t="s">
        <v>35</v>
      </c>
      <c r="V3412" t="s">
        <v>645</v>
      </c>
      <c r="W3412" t="s">
        <v>113</v>
      </c>
    </row>
    <row r="3413" spans="1:23" hidden="1" x14ac:dyDescent="0.25">
      <c r="A3413" s="7" t="str">
        <f>IFERROR(VLOOKUP(H3413,'Contas Orç'!A:B,2,0),"N/A")</f>
        <v>DESPESAS GERAIS</v>
      </c>
      <c r="B3413" s="7" t="str">
        <f t="shared" si="106"/>
        <v>330409 - DESPESAS GERAIS</v>
      </c>
      <c r="C3413" s="25">
        <f t="shared" si="107"/>
        <v>44621</v>
      </c>
      <c r="D3413" s="27">
        <f>IF(K3413="CREDITO",Q3413,Q3413*-1)</f>
        <v>123.34</v>
      </c>
      <c r="E3413" t="s">
        <v>894</v>
      </c>
      <c r="F3413" t="s">
        <v>3908</v>
      </c>
      <c r="G3413" s="8">
        <v>44621</v>
      </c>
      <c r="H3413" t="s">
        <v>160</v>
      </c>
      <c r="I3413" t="s">
        <v>68</v>
      </c>
      <c r="J3413" t="s">
        <v>69</v>
      </c>
      <c r="K3413" t="s">
        <v>29</v>
      </c>
      <c r="L3413" t="s">
        <v>895</v>
      </c>
      <c r="M3413" t="s">
        <v>4402</v>
      </c>
      <c r="O3413" t="s">
        <v>896</v>
      </c>
      <c r="P3413" t="s">
        <v>33</v>
      </c>
      <c r="Q3413">
        <v>123.34</v>
      </c>
      <c r="R3413" t="s">
        <v>35</v>
      </c>
      <c r="S3413" t="s">
        <v>35</v>
      </c>
      <c r="T3413" t="s">
        <v>35</v>
      </c>
      <c r="U3413" t="s">
        <v>35</v>
      </c>
      <c r="V3413" t="s">
        <v>645</v>
      </c>
      <c r="W3413" t="s">
        <v>113</v>
      </c>
    </row>
    <row r="3414" spans="1:23" hidden="1" x14ac:dyDescent="0.25">
      <c r="A3414" s="7" t="str">
        <f>IFERROR(VLOOKUP(H3414,'Contas Orç'!A:B,2,0),"N/A")</f>
        <v>DESPESAS GERAIS</v>
      </c>
      <c r="B3414" s="7" t="str">
        <f t="shared" si="106"/>
        <v>330409 - DESPESAS GERAIS</v>
      </c>
      <c r="C3414" s="25">
        <f t="shared" si="107"/>
        <v>44621</v>
      </c>
      <c r="D3414" s="27">
        <f>IF(K3414="CREDITO",Q3414,Q3414*-1)</f>
        <v>6787.2</v>
      </c>
      <c r="E3414" t="s">
        <v>894</v>
      </c>
      <c r="F3414" t="s">
        <v>3909</v>
      </c>
      <c r="G3414" s="8">
        <v>44621</v>
      </c>
      <c r="H3414" t="s">
        <v>160</v>
      </c>
      <c r="I3414" t="s">
        <v>40</v>
      </c>
      <c r="J3414" t="s">
        <v>54</v>
      </c>
      <c r="K3414" t="s">
        <v>29</v>
      </c>
      <c r="L3414" t="s">
        <v>895</v>
      </c>
      <c r="M3414" t="s">
        <v>4402</v>
      </c>
      <c r="O3414" t="s">
        <v>896</v>
      </c>
      <c r="P3414" t="s">
        <v>33</v>
      </c>
      <c r="Q3414" s="22">
        <v>6787.2</v>
      </c>
      <c r="R3414" t="s">
        <v>35</v>
      </c>
      <c r="S3414" t="s">
        <v>35</v>
      </c>
      <c r="T3414" t="s">
        <v>35</v>
      </c>
      <c r="U3414" t="s">
        <v>35</v>
      </c>
      <c r="V3414" t="s">
        <v>645</v>
      </c>
      <c r="W3414" t="s">
        <v>113</v>
      </c>
    </row>
    <row r="3415" spans="1:23" hidden="1" x14ac:dyDescent="0.25">
      <c r="A3415" s="7" t="str">
        <f>IFERROR(VLOOKUP(H3415,'Contas Orç'!A:B,2,0),"N/A")</f>
        <v>DESPESAS GERAIS</v>
      </c>
      <c r="B3415" s="7" t="str">
        <f t="shared" si="106"/>
        <v>330409 - DESPESAS GERAIS</v>
      </c>
      <c r="C3415" s="25">
        <f t="shared" si="107"/>
        <v>44621</v>
      </c>
      <c r="D3415" s="27">
        <f>IF(K3415="CREDITO",Q3415,Q3415*-1)</f>
        <v>38</v>
      </c>
      <c r="E3415" t="s">
        <v>894</v>
      </c>
      <c r="F3415" t="s">
        <v>3910</v>
      </c>
      <c r="G3415" s="8">
        <v>44621</v>
      </c>
      <c r="H3415" t="s">
        <v>160</v>
      </c>
      <c r="I3415" t="s">
        <v>81</v>
      </c>
      <c r="J3415" t="s">
        <v>54</v>
      </c>
      <c r="K3415" t="s">
        <v>29</v>
      </c>
      <c r="L3415" t="s">
        <v>895</v>
      </c>
      <c r="M3415" t="s">
        <v>4402</v>
      </c>
      <c r="O3415" t="s">
        <v>896</v>
      </c>
      <c r="P3415" t="s">
        <v>33</v>
      </c>
      <c r="Q3415">
        <v>38</v>
      </c>
      <c r="R3415" t="s">
        <v>35</v>
      </c>
      <c r="S3415" t="s">
        <v>35</v>
      </c>
      <c r="T3415" t="s">
        <v>35</v>
      </c>
      <c r="U3415" t="s">
        <v>35</v>
      </c>
      <c r="V3415" t="s">
        <v>645</v>
      </c>
      <c r="W3415" t="s">
        <v>113</v>
      </c>
    </row>
    <row r="3416" spans="1:23" hidden="1" x14ac:dyDescent="0.25">
      <c r="A3416" s="7" t="str">
        <f>IFERROR(VLOOKUP(H3416,'Contas Orç'!A:B,2,0),"N/A")</f>
        <v>DESPESAS GERAIS</v>
      </c>
      <c r="B3416" s="7" t="str">
        <f t="shared" si="106"/>
        <v>330409 - DESPESAS GERAIS</v>
      </c>
      <c r="C3416" s="25">
        <f t="shared" si="107"/>
        <v>44652</v>
      </c>
      <c r="D3416" s="27">
        <f>IF(K3416="CREDITO",Q3416,Q3416*-1)</f>
        <v>125.31</v>
      </c>
      <c r="E3416" t="s">
        <v>894</v>
      </c>
      <c r="F3416" t="s">
        <v>3911</v>
      </c>
      <c r="G3416" s="8">
        <v>44652</v>
      </c>
      <c r="H3416" t="s">
        <v>160</v>
      </c>
      <c r="I3416" t="s">
        <v>99</v>
      </c>
      <c r="J3416" t="s">
        <v>28</v>
      </c>
      <c r="K3416" t="s">
        <v>29</v>
      </c>
      <c r="L3416" t="s">
        <v>895</v>
      </c>
      <c r="M3416" t="s">
        <v>4402</v>
      </c>
      <c r="O3416" t="s">
        <v>896</v>
      </c>
      <c r="P3416" t="s">
        <v>33</v>
      </c>
      <c r="Q3416">
        <v>125.31</v>
      </c>
      <c r="R3416" t="s">
        <v>35</v>
      </c>
      <c r="S3416" t="s">
        <v>35</v>
      </c>
      <c r="T3416" t="s">
        <v>35</v>
      </c>
      <c r="U3416" t="s">
        <v>35</v>
      </c>
      <c r="V3416" t="s">
        <v>645</v>
      </c>
      <c r="W3416" t="s">
        <v>113</v>
      </c>
    </row>
    <row r="3417" spans="1:23" hidden="1" x14ac:dyDescent="0.25">
      <c r="A3417" s="7" t="str">
        <f>IFERROR(VLOOKUP(H3417,'Contas Orç'!A:B,2,0),"N/A")</f>
        <v>DESPESAS GERAIS</v>
      </c>
      <c r="B3417" s="7" t="str">
        <f t="shared" si="106"/>
        <v>330409 - DESPESAS GERAIS</v>
      </c>
      <c r="C3417" s="25">
        <f t="shared" si="107"/>
        <v>44652</v>
      </c>
      <c r="D3417" s="27">
        <f>IF(K3417="CREDITO",Q3417,Q3417*-1)</f>
        <v>514.69000000000005</v>
      </c>
      <c r="E3417" t="s">
        <v>894</v>
      </c>
      <c r="F3417" t="s">
        <v>3912</v>
      </c>
      <c r="G3417" s="8">
        <v>44652</v>
      </c>
      <c r="H3417" t="s">
        <v>160</v>
      </c>
      <c r="I3417" t="s">
        <v>68</v>
      </c>
      <c r="J3417" t="s">
        <v>69</v>
      </c>
      <c r="K3417" t="s">
        <v>29</v>
      </c>
      <c r="L3417" t="s">
        <v>895</v>
      </c>
      <c r="M3417" t="s">
        <v>4402</v>
      </c>
      <c r="O3417" t="s">
        <v>896</v>
      </c>
      <c r="P3417" t="s">
        <v>33</v>
      </c>
      <c r="Q3417">
        <v>514.69000000000005</v>
      </c>
      <c r="R3417" t="s">
        <v>35</v>
      </c>
      <c r="S3417" t="s">
        <v>35</v>
      </c>
      <c r="T3417" t="s">
        <v>35</v>
      </c>
      <c r="U3417" t="s">
        <v>35</v>
      </c>
      <c r="V3417" t="s">
        <v>645</v>
      </c>
      <c r="W3417" t="s">
        <v>113</v>
      </c>
    </row>
    <row r="3418" spans="1:23" hidden="1" x14ac:dyDescent="0.25">
      <c r="A3418" s="7" t="str">
        <f>IFERROR(VLOOKUP(H3418,'Contas Orç'!A:B,2,0),"N/A")</f>
        <v>DESPESAS GERAIS</v>
      </c>
      <c r="B3418" s="7" t="str">
        <f t="shared" si="106"/>
        <v>330409 - DESPESAS GERAIS</v>
      </c>
      <c r="C3418" s="25">
        <f t="shared" si="107"/>
        <v>44652</v>
      </c>
      <c r="D3418" s="27">
        <f>IF(K3418="CREDITO",Q3418,Q3418*-1)</f>
        <v>7597.22</v>
      </c>
      <c r="E3418" t="s">
        <v>894</v>
      </c>
      <c r="F3418" t="s">
        <v>3913</v>
      </c>
      <c r="G3418" s="8">
        <v>44652</v>
      </c>
      <c r="H3418" t="s">
        <v>160</v>
      </c>
      <c r="I3418" t="s">
        <v>40</v>
      </c>
      <c r="J3418" t="s">
        <v>54</v>
      </c>
      <c r="K3418" t="s">
        <v>29</v>
      </c>
      <c r="L3418" t="s">
        <v>895</v>
      </c>
      <c r="M3418" t="s">
        <v>4402</v>
      </c>
      <c r="O3418" t="s">
        <v>896</v>
      </c>
      <c r="P3418" t="s">
        <v>33</v>
      </c>
      <c r="Q3418" s="22">
        <v>7597.22</v>
      </c>
      <c r="R3418" t="s">
        <v>35</v>
      </c>
      <c r="S3418" t="s">
        <v>35</v>
      </c>
      <c r="T3418" t="s">
        <v>35</v>
      </c>
      <c r="U3418" t="s">
        <v>35</v>
      </c>
      <c r="V3418" t="s">
        <v>645</v>
      </c>
      <c r="W3418" t="s">
        <v>113</v>
      </c>
    </row>
    <row r="3419" spans="1:23" hidden="1" x14ac:dyDescent="0.25">
      <c r="A3419" s="7" t="str">
        <f>IFERROR(VLOOKUP(H3419,'Contas Orç'!A:B,2,0),"N/A")</f>
        <v>DESPESAS GERAIS</v>
      </c>
      <c r="B3419" s="7" t="str">
        <f t="shared" si="106"/>
        <v>330409 - DESPESAS GERAIS</v>
      </c>
      <c r="C3419" s="25">
        <f t="shared" si="107"/>
        <v>44652</v>
      </c>
      <c r="D3419" s="27">
        <f>IF(K3419="CREDITO",Q3419,Q3419*-1)</f>
        <v>271.32</v>
      </c>
      <c r="E3419" t="s">
        <v>894</v>
      </c>
      <c r="F3419" t="s">
        <v>3914</v>
      </c>
      <c r="G3419" s="8">
        <v>44652</v>
      </c>
      <c r="H3419" t="s">
        <v>160</v>
      </c>
      <c r="I3419" t="s">
        <v>1002</v>
      </c>
      <c r="J3419" t="s">
        <v>54</v>
      </c>
      <c r="K3419" t="s">
        <v>29</v>
      </c>
      <c r="L3419" t="s">
        <v>895</v>
      </c>
      <c r="M3419" t="s">
        <v>4402</v>
      </c>
      <c r="O3419" t="s">
        <v>896</v>
      </c>
      <c r="P3419" t="s">
        <v>33</v>
      </c>
      <c r="Q3419">
        <v>271.32</v>
      </c>
      <c r="R3419" t="s">
        <v>35</v>
      </c>
      <c r="S3419" t="s">
        <v>35</v>
      </c>
      <c r="T3419" t="s">
        <v>35</v>
      </c>
      <c r="U3419" t="s">
        <v>35</v>
      </c>
      <c r="V3419" t="s">
        <v>645</v>
      </c>
      <c r="W3419" t="s">
        <v>113</v>
      </c>
    </row>
    <row r="3420" spans="1:23" hidden="1" x14ac:dyDescent="0.25">
      <c r="A3420" s="7" t="str">
        <f>IFERROR(VLOOKUP(H3420,'Contas Orç'!A:B,2,0),"N/A")</f>
        <v>DESPESAS GERAIS</v>
      </c>
      <c r="B3420" s="7" t="str">
        <f t="shared" si="106"/>
        <v>330409 - DESPESAS GERAIS</v>
      </c>
      <c r="C3420" s="25">
        <f t="shared" si="107"/>
        <v>44652</v>
      </c>
      <c r="D3420" s="27">
        <f>IF(K3420="CREDITO",Q3420,Q3420*-1)</f>
        <v>20.399999999999999</v>
      </c>
      <c r="E3420" t="s">
        <v>894</v>
      </c>
      <c r="F3420" t="s">
        <v>3915</v>
      </c>
      <c r="G3420" s="8">
        <v>44652</v>
      </c>
      <c r="H3420" t="s">
        <v>160</v>
      </c>
      <c r="I3420" t="s">
        <v>121</v>
      </c>
      <c r="J3420" t="s">
        <v>54</v>
      </c>
      <c r="K3420" t="s">
        <v>29</v>
      </c>
      <c r="L3420" t="s">
        <v>895</v>
      </c>
      <c r="M3420" t="s">
        <v>4402</v>
      </c>
      <c r="O3420" t="s">
        <v>896</v>
      </c>
      <c r="P3420" t="s">
        <v>33</v>
      </c>
      <c r="Q3420">
        <v>20.399999999999999</v>
      </c>
      <c r="R3420" t="s">
        <v>35</v>
      </c>
      <c r="S3420" t="s">
        <v>35</v>
      </c>
      <c r="T3420" t="s">
        <v>35</v>
      </c>
      <c r="U3420" t="s">
        <v>35</v>
      </c>
      <c r="V3420" t="s">
        <v>645</v>
      </c>
      <c r="W3420" t="s">
        <v>113</v>
      </c>
    </row>
    <row r="3421" spans="1:23" hidden="1" x14ac:dyDescent="0.25">
      <c r="A3421" s="7" t="str">
        <f>IFERROR(VLOOKUP(H3421,'Contas Orç'!A:B,2,0),"N/A")</f>
        <v>DESPESAS GERAIS</v>
      </c>
      <c r="B3421" s="7" t="str">
        <f t="shared" si="106"/>
        <v>330409 - DESPESAS GERAIS</v>
      </c>
      <c r="C3421" s="25">
        <f t="shared" si="107"/>
        <v>44652</v>
      </c>
      <c r="D3421" s="27">
        <f>IF(K3421="CREDITO",Q3421,Q3421*-1)</f>
        <v>211.32</v>
      </c>
      <c r="E3421" t="s">
        <v>894</v>
      </c>
      <c r="F3421" t="s">
        <v>3916</v>
      </c>
      <c r="G3421" s="8">
        <v>44652</v>
      </c>
      <c r="H3421" t="s">
        <v>160</v>
      </c>
      <c r="I3421" t="s">
        <v>132</v>
      </c>
      <c r="J3421" t="s">
        <v>54</v>
      </c>
      <c r="K3421" t="s">
        <v>29</v>
      </c>
      <c r="L3421" t="s">
        <v>895</v>
      </c>
      <c r="M3421" t="s">
        <v>4402</v>
      </c>
      <c r="O3421" t="s">
        <v>896</v>
      </c>
      <c r="P3421" t="s">
        <v>33</v>
      </c>
      <c r="Q3421">
        <v>211.32</v>
      </c>
      <c r="R3421" t="s">
        <v>35</v>
      </c>
      <c r="S3421" t="s">
        <v>35</v>
      </c>
      <c r="T3421" t="s">
        <v>35</v>
      </c>
      <c r="U3421" t="s">
        <v>35</v>
      </c>
      <c r="V3421" t="s">
        <v>645</v>
      </c>
      <c r="W3421" t="s">
        <v>113</v>
      </c>
    </row>
    <row r="3422" spans="1:23" hidden="1" x14ac:dyDescent="0.25">
      <c r="A3422" s="7" t="str">
        <f>IFERROR(VLOOKUP(H3422,'Contas Orç'!A:B,2,0),"N/A")</f>
        <v>DESPESAS GERAIS</v>
      </c>
      <c r="B3422" s="7" t="str">
        <f t="shared" si="106"/>
        <v>330409 - DESPESAS GERAIS</v>
      </c>
      <c r="C3422" s="25">
        <f t="shared" si="107"/>
        <v>44652</v>
      </c>
      <c r="D3422" s="27">
        <f>IF(K3422="CREDITO",Q3422,Q3422*-1)</f>
        <v>8.8000000000000007</v>
      </c>
      <c r="E3422" t="s">
        <v>894</v>
      </c>
      <c r="F3422" t="s">
        <v>3917</v>
      </c>
      <c r="G3422" s="8">
        <v>44652</v>
      </c>
      <c r="H3422" t="s">
        <v>160</v>
      </c>
      <c r="I3422" t="s">
        <v>75</v>
      </c>
      <c r="J3422" t="s">
        <v>54</v>
      </c>
      <c r="K3422" t="s">
        <v>29</v>
      </c>
      <c r="L3422" t="s">
        <v>895</v>
      </c>
      <c r="M3422" t="s">
        <v>4402</v>
      </c>
      <c r="O3422" t="s">
        <v>896</v>
      </c>
      <c r="P3422" t="s">
        <v>33</v>
      </c>
      <c r="Q3422">
        <v>8.8000000000000007</v>
      </c>
      <c r="R3422" t="s">
        <v>35</v>
      </c>
      <c r="S3422" t="s">
        <v>35</v>
      </c>
      <c r="T3422" t="s">
        <v>35</v>
      </c>
      <c r="U3422" t="s">
        <v>35</v>
      </c>
      <c r="V3422" t="s">
        <v>645</v>
      </c>
      <c r="W3422" t="s">
        <v>113</v>
      </c>
    </row>
    <row r="3423" spans="1:23" hidden="1" x14ac:dyDescent="0.25">
      <c r="A3423" s="7" t="str">
        <f>IFERROR(VLOOKUP(H3423,'Contas Orç'!A:B,2,0),"N/A")</f>
        <v>DESPESAS GERAIS</v>
      </c>
      <c r="B3423" s="7" t="str">
        <f t="shared" si="106"/>
        <v>330409 - DESPESAS GERAIS</v>
      </c>
      <c r="C3423" s="25">
        <f t="shared" si="107"/>
        <v>44652</v>
      </c>
      <c r="D3423" s="27">
        <f>IF(K3423="CREDITO",Q3423,Q3423*-1)</f>
        <v>44.35</v>
      </c>
      <c r="E3423" t="s">
        <v>894</v>
      </c>
      <c r="F3423" t="s">
        <v>3918</v>
      </c>
      <c r="G3423" s="8">
        <v>44652</v>
      </c>
      <c r="H3423" t="s">
        <v>160</v>
      </c>
      <c r="I3423" t="s">
        <v>78</v>
      </c>
      <c r="J3423" t="s">
        <v>54</v>
      </c>
      <c r="K3423" t="s">
        <v>29</v>
      </c>
      <c r="L3423" t="s">
        <v>895</v>
      </c>
      <c r="M3423" t="s">
        <v>4402</v>
      </c>
      <c r="O3423" t="s">
        <v>896</v>
      </c>
      <c r="P3423" t="s">
        <v>33</v>
      </c>
      <c r="Q3423">
        <v>44.35</v>
      </c>
      <c r="R3423" t="s">
        <v>35</v>
      </c>
      <c r="S3423" t="s">
        <v>35</v>
      </c>
      <c r="T3423" t="s">
        <v>35</v>
      </c>
      <c r="U3423" t="s">
        <v>35</v>
      </c>
      <c r="V3423" t="s">
        <v>645</v>
      </c>
      <c r="W3423" t="s">
        <v>113</v>
      </c>
    </row>
    <row r="3424" spans="1:23" hidden="1" x14ac:dyDescent="0.25">
      <c r="A3424" s="7" t="str">
        <f>IFERROR(VLOOKUP(H3424,'Contas Orç'!A:B,2,0),"N/A")</f>
        <v>DESPESAS GERAIS</v>
      </c>
      <c r="B3424" s="7" t="str">
        <f t="shared" si="106"/>
        <v>330409 - DESPESAS GERAIS</v>
      </c>
      <c r="C3424" s="25">
        <f t="shared" si="107"/>
        <v>44652</v>
      </c>
      <c r="D3424" s="27">
        <f>IF(K3424="CREDITO",Q3424,Q3424*-1)</f>
        <v>654.54999999999995</v>
      </c>
      <c r="E3424" t="s">
        <v>894</v>
      </c>
      <c r="F3424" t="s">
        <v>3919</v>
      </c>
      <c r="G3424" s="8">
        <v>44652</v>
      </c>
      <c r="H3424" t="s">
        <v>160</v>
      </c>
      <c r="I3424" t="s">
        <v>81</v>
      </c>
      <c r="J3424" t="s">
        <v>54</v>
      </c>
      <c r="K3424" t="s">
        <v>29</v>
      </c>
      <c r="L3424" t="s">
        <v>895</v>
      </c>
      <c r="M3424" t="s">
        <v>4402</v>
      </c>
      <c r="O3424" t="s">
        <v>896</v>
      </c>
      <c r="P3424" t="s">
        <v>33</v>
      </c>
      <c r="Q3424">
        <v>654.54999999999995</v>
      </c>
      <c r="R3424" t="s">
        <v>35</v>
      </c>
      <c r="S3424" t="s">
        <v>35</v>
      </c>
      <c r="T3424" t="s">
        <v>35</v>
      </c>
      <c r="U3424" t="s">
        <v>35</v>
      </c>
      <c r="V3424" t="s">
        <v>645</v>
      </c>
      <c r="W3424" t="s">
        <v>113</v>
      </c>
    </row>
    <row r="3425" spans="1:23" hidden="1" x14ac:dyDescent="0.25">
      <c r="A3425" s="7" t="str">
        <f>IFERROR(VLOOKUP(H3425,'Contas Orç'!A:B,2,0),"N/A")</f>
        <v>DESPESAS GERAIS</v>
      </c>
      <c r="B3425" s="7" t="str">
        <f t="shared" si="106"/>
        <v>330409 - DESPESAS GERAIS</v>
      </c>
      <c r="C3425" s="25">
        <f t="shared" si="107"/>
        <v>44652</v>
      </c>
      <c r="D3425" s="27">
        <f>IF(K3425="CREDITO",Q3425,Q3425*-1)</f>
        <v>374.22</v>
      </c>
      <c r="E3425" t="s">
        <v>894</v>
      </c>
      <c r="F3425" t="s">
        <v>3920</v>
      </c>
      <c r="G3425" s="8">
        <v>44652</v>
      </c>
      <c r="H3425" t="s">
        <v>160</v>
      </c>
      <c r="I3425" t="s">
        <v>136</v>
      </c>
      <c r="J3425" t="s">
        <v>54</v>
      </c>
      <c r="K3425" t="s">
        <v>29</v>
      </c>
      <c r="L3425" t="s">
        <v>895</v>
      </c>
      <c r="M3425" t="s">
        <v>4402</v>
      </c>
      <c r="O3425" t="s">
        <v>896</v>
      </c>
      <c r="P3425" t="s">
        <v>33</v>
      </c>
      <c r="Q3425">
        <v>374.22</v>
      </c>
      <c r="R3425" t="s">
        <v>35</v>
      </c>
      <c r="S3425" t="s">
        <v>35</v>
      </c>
      <c r="T3425" t="s">
        <v>35</v>
      </c>
      <c r="U3425" t="s">
        <v>35</v>
      </c>
      <c r="V3425" t="s">
        <v>645</v>
      </c>
      <c r="W3425" t="s">
        <v>113</v>
      </c>
    </row>
    <row r="3426" spans="1:23" hidden="1" x14ac:dyDescent="0.25">
      <c r="A3426" s="7" t="str">
        <f>IFERROR(VLOOKUP(H3426,'Contas Orç'!A:B,2,0),"N/A")</f>
        <v>DESPESAS GERAIS</v>
      </c>
      <c r="B3426" s="7" t="str">
        <f t="shared" si="106"/>
        <v>330409 - DESPESAS GERAIS</v>
      </c>
      <c r="C3426" s="25">
        <f t="shared" si="107"/>
        <v>44652</v>
      </c>
      <c r="D3426" s="27">
        <f>IF(K3426="CREDITO",Q3426,Q3426*-1)</f>
        <v>240</v>
      </c>
      <c r="E3426" t="s">
        <v>894</v>
      </c>
      <c r="F3426" t="s">
        <v>3921</v>
      </c>
      <c r="G3426" s="8">
        <v>44652</v>
      </c>
      <c r="H3426" t="s">
        <v>160</v>
      </c>
      <c r="I3426" t="s">
        <v>53</v>
      </c>
      <c r="J3426" t="s">
        <v>54</v>
      </c>
      <c r="K3426" t="s">
        <v>29</v>
      </c>
      <c r="L3426" t="s">
        <v>895</v>
      </c>
      <c r="M3426" t="s">
        <v>4402</v>
      </c>
      <c r="O3426" t="s">
        <v>896</v>
      </c>
      <c r="P3426" t="s">
        <v>33</v>
      </c>
      <c r="Q3426">
        <v>240</v>
      </c>
      <c r="R3426" t="s">
        <v>35</v>
      </c>
      <c r="S3426" t="s">
        <v>35</v>
      </c>
      <c r="T3426" t="s">
        <v>35</v>
      </c>
      <c r="U3426" t="s">
        <v>35</v>
      </c>
      <c r="V3426" t="s">
        <v>645</v>
      </c>
      <c r="W3426" t="s">
        <v>113</v>
      </c>
    </row>
    <row r="3427" spans="1:23" hidden="1" x14ac:dyDescent="0.25">
      <c r="A3427" s="7" t="str">
        <f>IFERROR(VLOOKUP(H3427,'Contas Orç'!A:B,2,0),"N/A")</f>
        <v>DESPESAS GERAIS</v>
      </c>
      <c r="B3427" s="7" t="str">
        <f t="shared" si="106"/>
        <v>330409 - DESPESAS GERAIS</v>
      </c>
      <c r="C3427" s="25">
        <f t="shared" si="107"/>
        <v>44682</v>
      </c>
      <c r="D3427" s="27">
        <f>IF(K3427="CREDITO",Q3427,Q3427*-1)</f>
        <v>75.83</v>
      </c>
      <c r="E3427" t="s">
        <v>894</v>
      </c>
      <c r="F3427" t="s">
        <v>3922</v>
      </c>
      <c r="G3427" s="8">
        <v>44682</v>
      </c>
      <c r="H3427" t="s">
        <v>160</v>
      </c>
      <c r="I3427" t="s">
        <v>99</v>
      </c>
      <c r="J3427" t="s">
        <v>28</v>
      </c>
      <c r="K3427" t="s">
        <v>29</v>
      </c>
      <c r="L3427" t="s">
        <v>895</v>
      </c>
      <c r="M3427" t="s">
        <v>4402</v>
      </c>
      <c r="O3427" t="s">
        <v>896</v>
      </c>
      <c r="P3427" t="s">
        <v>33</v>
      </c>
      <c r="Q3427">
        <v>75.83</v>
      </c>
      <c r="R3427" t="s">
        <v>35</v>
      </c>
      <c r="S3427" t="s">
        <v>35</v>
      </c>
      <c r="T3427" t="s">
        <v>35</v>
      </c>
      <c r="U3427" t="s">
        <v>35</v>
      </c>
      <c r="V3427" t="s">
        <v>645</v>
      </c>
      <c r="W3427" t="s">
        <v>113</v>
      </c>
    </row>
    <row r="3428" spans="1:23" hidden="1" x14ac:dyDescent="0.25">
      <c r="A3428" s="7" t="str">
        <f>IFERROR(VLOOKUP(H3428,'Contas Orç'!A:B,2,0),"N/A")</f>
        <v>DESPESAS GERAIS</v>
      </c>
      <c r="B3428" s="7" t="str">
        <f t="shared" si="106"/>
        <v>330409 - DESPESAS GERAIS</v>
      </c>
      <c r="C3428" s="25">
        <f t="shared" si="107"/>
        <v>44682</v>
      </c>
      <c r="D3428" s="27">
        <f>IF(K3428="CREDITO",Q3428,Q3428*-1)</f>
        <v>116.08</v>
      </c>
      <c r="E3428" t="s">
        <v>894</v>
      </c>
      <c r="F3428" t="s">
        <v>3923</v>
      </c>
      <c r="G3428" s="8">
        <v>44682</v>
      </c>
      <c r="H3428" t="s">
        <v>160</v>
      </c>
      <c r="I3428" t="s">
        <v>81</v>
      </c>
      <c r="J3428" t="s">
        <v>1624</v>
      </c>
      <c r="K3428" t="s">
        <v>29</v>
      </c>
      <c r="L3428" t="s">
        <v>895</v>
      </c>
      <c r="M3428" t="s">
        <v>4402</v>
      </c>
      <c r="O3428" t="s">
        <v>896</v>
      </c>
      <c r="P3428" t="s">
        <v>33</v>
      </c>
      <c r="Q3428">
        <v>116.08</v>
      </c>
      <c r="R3428" t="s">
        <v>35</v>
      </c>
      <c r="S3428" t="s">
        <v>35</v>
      </c>
      <c r="T3428" t="s">
        <v>35</v>
      </c>
      <c r="U3428" t="s">
        <v>35</v>
      </c>
      <c r="V3428" t="s">
        <v>645</v>
      </c>
      <c r="W3428" t="s">
        <v>113</v>
      </c>
    </row>
    <row r="3429" spans="1:23" hidden="1" x14ac:dyDescent="0.25">
      <c r="A3429" s="7" t="str">
        <f>IFERROR(VLOOKUP(H3429,'Contas Orç'!A:B,2,0),"N/A")</f>
        <v>DESPESAS GERAIS</v>
      </c>
      <c r="B3429" s="7" t="str">
        <f t="shared" si="106"/>
        <v>330409 - DESPESAS GERAIS</v>
      </c>
      <c r="C3429" s="25">
        <f t="shared" si="107"/>
        <v>44682</v>
      </c>
      <c r="D3429" s="27">
        <f>IF(K3429="CREDITO",Q3429,Q3429*-1)</f>
        <v>151.08000000000001</v>
      </c>
      <c r="E3429" t="s">
        <v>894</v>
      </c>
      <c r="F3429" t="s">
        <v>3924</v>
      </c>
      <c r="G3429" s="8">
        <v>44682</v>
      </c>
      <c r="H3429" t="s">
        <v>160</v>
      </c>
      <c r="I3429" t="s">
        <v>68</v>
      </c>
      <c r="J3429" t="s">
        <v>69</v>
      </c>
      <c r="K3429" t="s">
        <v>29</v>
      </c>
      <c r="L3429" t="s">
        <v>895</v>
      </c>
      <c r="M3429" t="s">
        <v>4402</v>
      </c>
      <c r="O3429" t="s">
        <v>896</v>
      </c>
      <c r="P3429" t="s">
        <v>33</v>
      </c>
      <c r="Q3429">
        <v>151.08000000000001</v>
      </c>
      <c r="R3429" t="s">
        <v>35</v>
      </c>
      <c r="S3429" t="s">
        <v>35</v>
      </c>
      <c r="T3429" t="s">
        <v>35</v>
      </c>
      <c r="U3429" t="s">
        <v>35</v>
      </c>
      <c r="V3429" t="s">
        <v>645</v>
      </c>
      <c r="W3429" t="s">
        <v>113</v>
      </c>
    </row>
    <row r="3430" spans="1:23" hidden="1" x14ac:dyDescent="0.25">
      <c r="A3430" s="7" t="str">
        <f>IFERROR(VLOOKUP(H3430,'Contas Orç'!A:B,2,0),"N/A")</f>
        <v>DESPESAS GERAIS</v>
      </c>
      <c r="B3430" s="7" t="str">
        <f t="shared" si="106"/>
        <v>330409 - DESPESAS GERAIS</v>
      </c>
      <c r="C3430" s="25">
        <f t="shared" si="107"/>
        <v>44682</v>
      </c>
      <c r="D3430" s="27">
        <f>IF(K3430="CREDITO",Q3430,Q3430*-1)</f>
        <v>6969.6</v>
      </c>
      <c r="E3430" t="s">
        <v>894</v>
      </c>
      <c r="F3430" t="s">
        <v>3925</v>
      </c>
      <c r="G3430" s="8">
        <v>44682</v>
      </c>
      <c r="H3430" t="s">
        <v>160</v>
      </c>
      <c r="I3430" t="s">
        <v>2062</v>
      </c>
      <c r="J3430" t="s">
        <v>54</v>
      </c>
      <c r="K3430" t="s">
        <v>29</v>
      </c>
      <c r="L3430" t="s">
        <v>895</v>
      </c>
      <c r="M3430" t="s">
        <v>4402</v>
      </c>
      <c r="O3430" t="s">
        <v>896</v>
      </c>
      <c r="P3430" t="s">
        <v>33</v>
      </c>
      <c r="Q3430" s="22">
        <v>6969.6</v>
      </c>
      <c r="R3430" t="s">
        <v>35</v>
      </c>
      <c r="S3430" t="s">
        <v>35</v>
      </c>
      <c r="T3430" t="s">
        <v>35</v>
      </c>
      <c r="U3430" t="s">
        <v>35</v>
      </c>
      <c r="V3430" t="s">
        <v>645</v>
      </c>
      <c r="W3430" t="s">
        <v>113</v>
      </c>
    </row>
    <row r="3431" spans="1:23" hidden="1" x14ac:dyDescent="0.25">
      <c r="A3431" s="7" t="str">
        <f>IFERROR(VLOOKUP(H3431,'Contas Orç'!A:B,2,0),"N/A")</f>
        <v>DESPESAS GERAIS</v>
      </c>
      <c r="B3431" s="7" t="str">
        <f t="shared" si="106"/>
        <v>330409 - DESPESAS GERAIS</v>
      </c>
      <c r="C3431" s="25">
        <f t="shared" si="107"/>
        <v>44682</v>
      </c>
      <c r="D3431" s="27">
        <f>IF(K3431="CREDITO",Q3431,Q3431*-1)</f>
        <v>5061.79</v>
      </c>
      <c r="E3431" t="s">
        <v>894</v>
      </c>
      <c r="F3431" t="s">
        <v>3926</v>
      </c>
      <c r="G3431" s="8">
        <v>44682</v>
      </c>
      <c r="H3431" t="s">
        <v>160</v>
      </c>
      <c r="I3431" t="s">
        <v>40</v>
      </c>
      <c r="J3431" t="s">
        <v>54</v>
      </c>
      <c r="K3431" t="s">
        <v>29</v>
      </c>
      <c r="L3431" t="s">
        <v>895</v>
      </c>
      <c r="M3431" t="s">
        <v>4402</v>
      </c>
      <c r="O3431" t="s">
        <v>896</v>
      </c>
      <c r="P3431" t="s">
        <v>33</v>
      </c>
      <c r="Q3431" s="22">
        <v>5061.79</v>
      </c>
      <c r="R3431" t="s">
        <v>35</v>
      </c>
      <c r="S3431" t="s">
        <v>35</v>
      </c>
      <c r="T3431" t="s">
        <v>35</v>
      </c>
      <c r="U3431" t="s">
        <v>35</v>
      </c>
      <c r="V3431" t="s">
        <v>645</v>
      </c>
      <c r="W3431" t="s">
        <v>113</v>
      </c>
    </row>
    <row r="3432" spans="1:23" hidden="1" x14ac:dyDescent="0.25">
      <c r="A3432" s="7" t="str">
        <f>IFERROR(VLOOKUP(H3432,'Contas Orç'!A:B,2,0),"N/A")</f>
        <v>DESPESAS GERAIS</v>
      </c>
      <c r="B3432" s="7" t="str">
        <f t="shared" si="106"/>
        <v>330409 - DESPESAS GERAIS</v>
      </c>
      <c r="C3432" s="25">
        <f t="shared" si="107"/>
        <v>44682</v>
      </c>
      <c r="D3432" s="27">
        <f>IF(K3432="CREDITO",Q3432,Q3432*-1)</f>
        <v>1454.55</v>
      </c>
      <c r="E3432" t="s">
        <v>894</v>
      </c>
      <c r="F3432" t="s">
        <v>3927</v>
      </c>
      <c r="G3432" s="8">
        <v>44682</v>
      </c>
      <c r="H3432" t="s">
        <v>160</v>
      </c>
      <c r="I3432" t="s">
        <v>132</v>
      </c>
      <c r="J3432" t="s">
        <v>54</v>
      </c>
      <c r="K3432" t="s">
        <v>29</v>
      </c>
      <c r="L3432" t="s">
        <v>895</v>
      </c>
      <c r="M3432" t="s">
        <v>4402</v>
      </c>
      <c r="O3432" t="s">
        <v>896</v>
      </c>
      <c r="P3432" t="s">
        <v>33</v>
      </c>
      <c r="Q3432" s="22">
        <v>1454.55</v>
      </c>
      <c r="R3432" t="s">
        <v>35</v>
      </c>
      <c r="S3432" t="s">
        <v>35</v>
      </c>
      <c r="T3432" t="s">
        <v>35</v>
      </c>
      <c r="U3432" t="s">
        <v>35</v>
      </c>
      <c r="V3432" t="s">
        <v>645</v>
      </c>
      <c r="W3432" t="s">
        <v>113</v>
      </c>
    </row>
    <row r="3433" spans="1:23" hidden="1" x14ac:dyDescent="0.25">
      <c r="A3433" s="7" t="str">
        <f>IFERROR(VLOOKUP(H3433,'Contas Orç'!A:B,2,0),"N/A")</f>
        <v>DESPESAS GERAIS</v>
      </c>
      <c r="B3433" s="7" t="str">
        <f t="shared" si="106"/>
        <v>330409 - DESPESAS GERAIS</v>
      </c>
      <c r="C3433" s="25">
        <f t="shared" si="107"/>
        <v>44682</v>
      </c>
      <c r="D3433" s="27">
        <f>IF(K3433="CREDITO",Q3433,Q3433*-1)</f>
        <v>606.23</v>
      </c>
      <c r="E3433" t="s">
        <v>894</v>
      </c>
      <c r="F3433" t="s">
        <v>3928</v>
      </c>
      <c r="G3433" s="8">
        <v>44682</v>
      </c>
      <c r="H3433" t="s">
        <v>160</v>
      </c>
      <c r="I3433" t="s">
        <v>114</v>
      </c>
      <c r="J3433" t="s">
        <v>54</v>
      </c>
      <c r="K3433" t="s">
        <v>29</v>
      </c>
      <c r="L3433" t="s">
        <v>895</v>
      </c>
      <c r="M3433" t="s">
        <v>4402</v>
      </c>
      <c r="O3433" t="s">
        <v>896</v>
      </c>
      <c r="P3433" t="s">
        <v>33</v>
      </c>
      <c r="Q3433">
        <v>606.23</v>
      </c>
      <c r="R3433" t="s">
        <v>35</v>
      </c>
      <c r="S3433" t="s">
        <v>35</v>
      </c>
      <c r="T3433" t="s">
        <v>35</v>
      </c>
      <c r="U3433" t="s">
        <v>35</v>
      </c>
      <c r="V3433" t="s">
        <v>645</v>
      </c>
      <c r="W3433" t="s">
        <v>113</v>
      </c>
    </row>
    <row r="3434" spans="1:23" hidden="1" x14ac:dyDescent="0.25">
      <c r="A3434" s="7" t="str">
        <f>IFERROR(VLOOKUP(H3434,'Contas Orç'!A:B,2,0),"N/A")</f>
        <v>DESPESAS GERAIS</v>
      </c>
      <c r="B3434" s="7" t="str">
        <f t="shared" si="106"/>
        <v>330409 - DESPESAS GERAIS</v>
      </c>
      <c r="C3434" s="25">
        <f t="shared" si="107"/>
        <v>44682</v>
      </c>
      <c r="D3434" s="27">
        <f>IF(K3434="CREDITO",Q3434,Q3434*-1)</f>
        <v>46.82</v>
      </c>
      <c r="E3434" t="s">
        <v>894</v>
      </c>
      <c r="F3434" t="s">
        <v>3929</v>
      </c>
      <c r="G3434" s="8">
        <v>44682</v>
      </c>
      <c r="H3434" t="s">
        <v>160</v>
      </c>
      <c r="I3434" t="s">
        <v>99</v>
      </c>
      <c r="J3434" t="s">
        <v>54</v>
      </c>
      <c r="K3434" t="s">
        <v>29</v>
      </c>
      <c r="L3434" t="s">
        <v>895</v>
      </c>
      <c r="M3434" t="s">
        <v>4402</v>
      </c>
      <c r="O3434" t="s">
        <v>896</v>
      </c>
      <c r="P3434" t="s">
        <v>33</v>
      </c>
      <c r="Q3434">
        <v>46.82</v>
      </c>
      <c r="R3434" t="s">
        <v>35</v>
      </c>
      <c r="S3434" t="s">
        <v>35</v>
      </c>
      <c r="T3434" t="s">
        <v>35</v>
      </c>
      <c r="U3434" t="s">
        <v>35</v>
      </c>
      <c r="V3434" t="s">
        <v>645</v>
      </c>
      <c r="W3434" t="s">
        <v>113</v>
      </c>
    </row>
    <row r="3435" spans="1:23" hidden="1" x14ac:dyDescent="0.25">
      <c r="A3435" s="7" t="str">
        <f>IFERROR(VLOOKUP(H3435,'Contas Orç'!A:B,2,0),"N/A")</f>
        <v>DESPESAS GERAIS</v>
      </c>
      <c r="B3435" s="7" t="str">
        <f t="shared" si="106"/>
        <v>330409 - DESPESAS GERAIS</v>
      </c>
      <c r="C3435" s="25">
        <f t="shared" si="107"/>
        <v>44682</v>
      </c>
      <c r="D3435" s="27">
        <f>IF(K3435="CREDITO",Q3435,Q3435*-1)</f>
        <v>49.56</v>
      </c>
      <c r="E3435" t="s">
        <v>894</v>
      </c>
      <c r="F3435" t="s">
        <v>3930</v>
      </c>
      <c r="G3435" s="8">
        <v>44682</v>
      </c>
      <c r="H3435" t="s">
        <v>160</v>
      </c>
      <c r="I3435" t="s">
        <v>75</v>
      </c>
      <c r="J3435" t="s">
        <v>54</v>
      </c>
      <c r="K3435" t="s">
        <v>29</v>
      </c>
      <c r="L3435" t="s">
        <v>895</v>
      </c>
      <c r="M3435" t="s">
        <v>4402</v>
      </c>
      <c r="O3435" t="s">
        <v>896</v>
      </c>
      <c r="P3435" t="s">
        <v>33</v>
      </c>
      <c r="Q3435">
        <v>49.56</v>
      </c>
      <c r="R3435" t="s">
        <v>35</v>
      </c>
      <c r="S3435" t="s">
        <v>35</v>
      </c>
      <c r="T3435" t="s">
        <v>35</v>
      </c>
      <c r="U3435" t="s">
        <v>35</v>
      </c>
      <c r="V3435" t="s">
        <v>645</v>
      </c>
      <c r="W3435" t="s">
        <v>113</v>
      </c>
    </row>
    <row r="3436" spans="1:23" hidden="1" x14ac:dyDescent="0.25">
      <c r="A3436" s="7" t="str">
        <f>IFERROR(VLOOKUP(H3436,'Contas Orç'!A:B,2,0),"N/A")</f>
        <v>DESPESAS GERAIS</v>
      </c>
      <c r="B3436" s="7" t="str">
        <f t="shared" si="106"/>
        <v>330409 - DESPESAS GERAIS</v>
      </c>
      <c r="C3436" s="25">
        <f t="shared" si="107"/>
        <v>44682</v>
      </c>
      <c r="D3436" s="27">
        <f>IF(K3436="CREDITO",Q3436,Q3436*-1)</f>
        <v>124.58</v>
      </c>
      <c r="E3436" t="s">
        <v>894</v>
      </c>
      <c r="F3436" t="s">
        <v>3931</v>
      </c>
      <c r="G3436" s="8">
        <v>44682</v>
      </c>
      <c r="H3436" t="s">
        <v>160</v>
      </c>
      <c r="I3436" t="s">
        <v>78</v>
      </c>
      <c r="J3436" t="s">
        <v>54</v>
      </c>
      <c r="K3436" t="s">
        <v>29</v>
      </c>
      <c r="L3436" t="s">
        <v>895</v>
      </c>
      <c r="M3436" t="s">
        <v>4402</v>
      </c>
      <c r="O3436" t="s">
        <v>896</v>
      </c>
      <c r="P3436" t="s">
        <v>33</v>
      </c>
      <c r="Q3436">
        <v>124.58</v>
      </c>
      <c r="R3436" t="s">
        <v>35</v>
      </c>
      <c r="S3436" t="s">
        <v>35</v>
      </c>
      <c r="T3436" t="s">
        <v>35</v>
      </c>
      <c r="U3436" t="s">
        <v>35</v>
      </c>
      <c r="V3436" t="s">
        <v>645</v>
      </c>
      <c r="W3436" t="s">
        <v>113</v>
      </c>
    </row>
    <row r="3437" spans="1:23" hidden="1" x14ac:dyDescent="0.25">
      <c r="A3437" s="7" t="str">
        <f>IFERROR(VLOOKUP(H3437,'Contas Orç'!A:B,2,0),"N/A")</f>
        <v>DESPESAS GERAIS</v>
      </c>
      <c r="B3437" s="7" t="str">
        <f t="shared" si="106"/>
        <v>330409 - DESPESAS GERAIS</v>
      </c>
      <c r="C3437" s="25">
        <f t="shared" si="107"/>
        <v>44682</v>
      </c>
      <c r="D3437" s="27">
        <f>IF(K3437="CREDITO",Q3437,Q3437*-1)</f>
        <v>2946.63</v>
      </c>
      <c r="E3437" t="s">
        <v>894</v>
      </c>
      <c r="F3437" t="s">
        <v>3932</v>
      </c>
      <c r="G3437" s="8">
        <v>44682</v>
      </c>
      <c r="H3437" t="s">
        <v>160</v>
      </c>
      <c r="I3437" t="s">
        <v>81</v>
      </c>
      <c r="J3437" t="s">
        <v>54</v>
      </c>
      <c r="K3437" t="s">
        <v>29</v>
      </c>
      <c r="L3437" t="s">
        <v>895</v>
      </c>
      <c r="M3437" t="s">
        <v>4402</v>
      </c>
      <c r="O3437" t="s">
        <v>896</v>
      </c>
      <c r="P3437" t="s">
        <v>33</v>
      </c>
      <c r="Q3437" s="22">
        <v>2946.63</v>
      </c>
      <c r="R3437" t="s">
        <v>35</v>
      </c>
      <c r="S3437" t="s">
        <v>35</v>
      </c>
      <c r="T3437" t="s">
        <v>35</v>
      </c>
      <c r="U3437" t="s">
        <v>35</v>
      </c>
      <c r="V3437" t="s">
        <v>645</v>
      </c>
      <c r="W3437" t="s">
        <v>113</v>
      </c>
    </row>
    <row r="3438" spans="1:23" hidden="1" x14ac:dyDescent="0.25">
      <c r="A3438" s="7" t="str">
        <f>IFERROR(VLOOKUP(H3438,'Contas Orç'!A:B,2,0),"N/A")</f>
        <v>DESPESAS GERAIS</v>
      </c>
      <c r="B3438" s="7" t="str">
        <f t="shared" si="106"/>
        <v>330409 - DESPESAS GERAIS</v>
      </c>
      <c r="C3438" s="25">
        <f t="shared" si="107"/>
        <v>44682</v>
      </c>
      <c r="D3438" s="27">
        <f>IF(K3438="CREDITO",Q3438,Q3438*-1)</f>
        <v>416.92</v>
      </c>
      <c r="E3438" t="s">
        <v>894</v>
      </c>
      <c r="F3438" t="s">
        <v>3933</v>
      </c>
      <c r="G3438" s="8">
        <v>44682</v>
      </c>
      <c r="H3438" t="s">
        <v>160</v>
      </c>
      <c r="I3438" t="s">
        <v>136</v>
      </c>
      <c r="J3438" t="s">
        <v>54</v>
      </c>
      <c r="K3438" t="s">
        <v>29</v>
      </c>
      <c r="L3438" t="s">
        <v>895</v>
      </c>
      <c r="M3438" t="s">
        <v>4402</v>
      </c>
      <c r="O3438" t="s">
        <v>896</v>
      </c>
      <c r="P3438" t="s">
        <v>33</v>
      </c>
      <c r="Q3438">
        <v>416.92</v>
      </c>
      <c r="R3438" t="s">
        <v>35</v>
      </c>
      <c r="S3438" t="s">
        <v>35</v>
      </c>
      <c r="T3438" t="s">
        <v>35</v>
      </c>
      <c r="U3438" t="s">
        <v>35</v>
      </c>
      <c r="V3438" t="s">
        <v>645</v>
      </c>
      <c r="W3438" t="s">
        <v>113</v>
      </c>
    </row>
    <row r="3439" spans="1:23" hidden="1" x14ac:dyDescent="0.25">
      <c r="A3439" s="7" t="str">
        <f>IFERROR(VLOOKUP(H3439,'Contas Orç'!A:B,2,0),"N/A")</f>
        <v>DESPESAS GERAIS</v>
      </c>
      <c r="B3439" s="7" t="str">
        <f t="shared" si="106"/>
        <v>330409 - DESPESAS GERAIS</v>
      </c>
      <c r="C3439" s="25">
        <f t="shared" si="107"/>
        <v>44682</v>
      </c>
      <c r="D3439" s="27">
        <f>IF(K3439="CREDITO",Q3439,Q3439*-1)</f>
        <v>3888.8</v>
      </c>
      <c r="E3439" t="s">
        <v>894</v>
      </c>
      <c r="F3439" t="s">
        <v>3934</v>
      </c>
      <c r="G3439" s="8">
        <v>44682</v>
      </c>
      <c r="H3439" t="s">
        <v>160</v>
      </c>
      <c r="I3439" t="s">
        <v>59</v>
      </c>
      <c r="J3439" t="s">
        <v>54</v>
      </c>
      <c r="K3439" t="s">
        <v>29</v>
      </c>
      <c r="L3439" t="s">
        <v>895</v>
      </c>
      <c r="M3439" t="s">
        <v>4402</v>
      </c>
      <c r="O3439" t="s">
        <v>896</v>
      </c>
      <c r="P3439" t="s">
        <v>33</v>
      </c>
      <c r="Q3439" s="22">
        <v>3888.8</v>
      </c>
      <c r="R3439" t="s">
        <v>35</v>
      </c>
      <c r="S3439" t="s">
        <v>35</v>
      </c>
      <c r="T3439" t="s">
        <v>35</v>
      </c>
      <c r="U3439" t="s">
        <v>35</v>
      </c>
      <c r="V3439" t="s">
        <v>645</v>
      </c>
      <c r="W3439" t="s">
        <v>113</v>
      </c>
    </row>
    <row r="3440" spans="1:23" hidden="1" x14ac:dyDescent="0.25">
      <c r="A3440" s="7" t="str">
        <f>IFERROR(VLOOKUP(H3440,'Contas Orç'!A:B,2,0),"N/A")</f>
        <v>DESPESAS GERAIS</v>
      </c>
      <c r="B3440" s="7" t="str">
        <f t="shared" si="106"/>
        <v>330409 - DESPESAS GERAIS</v>
      </c>
      <c r="C3440" s="25">
        <f t="shared" si="107"/>
        <v>44713</v>
      </c>
      <c r="D3440" s="27">
        <f>IF(K3440="CREDITO",Q3440,Q3440*-1)</f>
        <v>74.33</v>
      </c>
      <c r="E3440" t="s">
        <v>894</v>
      </c>
      <c r="F3440" t="s">
        <v>3935</v>
      </c>
      <c r="G3440" s="8">
        <v>44713</v>
      </c>
      <c r="H3440" t="s">
        <v>160</v>
      </c>
      <c r="I3440" t="s">
        <v>99</v>
      </c>
      <c r="J3440" t="s">
        <v>28</v>
      </c>
      <c r="K3440" t="s">
        <v>29</v>
      </c>
      <c r="L3440" t="s">
        <v>895</v>
      </c>
      <c r="M3440" t="s">
        <v>4402</v>
      </c>
      <c r="O3440" t="s">
        <v>896</v>
      </c>
      <c r="P3440" t="s">
        <v>33</v>
      </c>
      <c r="Q3440">
        <v>74.33</v>
      </c>
      <c r="R3440" t="s">
        <v>35</v>
      </c>
      <c r="S3440" t="s">
        <v>35</v>
      </c>
      <c r="T3440" t="s">
        <v>35</v>
      </c>
      <c r="U3440" t="s">
        <v>35</v>
      </c>
      <c r="V3440" t="s">
        <v>645</v>
      </c>
      <c r="W3440" t="s">
        <v>113</v>
      </c>
    </row>
    <row r="3441" spans="1:23" hidden="1" x14ac:dyDescent="0.25">
      <c r="A3441" s="7" t="str">
        <f>IFERROR(VLOOKUP(H3441,'Contas Orç'!A:B,2,0),"N/A")</f>
        <v>DESPESAS GERAIS</v>
      </c>
      <c r="B3441" s="7" t="str">
        <f t="shared" si="106"/>
        <v>330409 - DESPESAS GERAIS</v>
      </c>
      <c r="C3441" s="25">
        <f t="shared" si="107"/>
        <v>44713</v>
      </c>
      <c r="D3441" s="27">
        <f>IF(K3441="CREDITO",Q3441,Q3441*-1)</f>
        <v>726.28</v>
      </c>
      <c r="E3441" t="s">
        <v>894</v>
      </c>
      <c r="F3441" t="s">
        <v>3936</v>
      </c>
      <c r="G3441" s="8">
        <v>44713</v>
      </c>
      <c r="H3441" t="s">
        <v>160</v>
      </c>
      <c r="I3441" t="s">
        <v>68</v>
      </c>
      <c r="J3441" t="s">
        <v>69</v>
      </c>
      <c r="K3441" t="s">
        <v>29</v>
      </c>
      <c r="L3441" t="s">
        <v>895</v>
      </c>
      <c r="M3441" t="s">
        <v>4402</v>
      </c>
      <c r="O3441" t="s">
        <v>896</v>
      </c>
      <c r="P3441" t="s">
        <v>33</v>
      </c>
      <c r="Q3441">
        <v>726.28</v>
      </c>
      <c r="R3441" t="s">
        <v>35</v>
      </c>
      <c r="S3441" t="s">
        <v>35</v>
      </c>
      <c r="T3441" t="s">
        <v>35</v>
      </c>
      <c r="U3441" t="s">
        <v>35</v>
      </c>
      <c r="V3441" t="s">
        <v>645</v>
      </c>
      <c r="W3441" t="s">
        <v>113</v>
      </c>
    </row>
    <row r="3442" spans="1:23" hidden="1" x14ac:dyDescent="0.25">
      <c r="A3442" s="7" t="str">
        <f>IFERROR(VLOOKUP(H3442,'Contas Orç'!A:B,2,0),"N/A")</f>
        <v>DESPESAS GERAIS</v>
      </c>
      <c r="B3442" s="7" t="str">
        <f t="shared" si="106"/>
        <v>330409 - DESPESAS GERAIS</v>
      </c>
      <c r="C3442" s="25">
        <f t="shared" si="107"/>
        <v>44713</v>
      </c>
      <c r="D3442" s="27">
        <f>IF(K3442="CREDITO",Q3442,Q3442*-1)</f>
        <v>6675.04</v>
      </c>
      <c r="E3442" t="s">
        <v>894</v>
      </c>
      <c r="F3442" t="s">
        <v>3937</v>
      </c>
      <c r="G3442" s="8">
        <v>44713</v>
      </c>
      <c r="H3442" t="s">
        <v>160</v>
      </c>
      <c r="I3442" t="s">
        <v>40</v>
      </c>
      <c r="J3442" t="s">
        <v>54</v>
      </c>
      <c r="K3442" t="s">
        <v>29</v>
      </c>
      <c r="L3442" t="s">
        <v>895</v>
      </c>
      <c r="M3442" t="s">
        <v>4402</v>
      </c>
      <c r="O3442" t="s">
        <v>896</v>
      </c>
      <c r="P3442" t="s">
        <v>33</v>
      </c>
      <c r="Q3442" s="22">
        <v>6675.04</v>
      </c>
      <c r="R3442" t="s">
        <v>35</v>
      </c>
      <c r="S3442" t="s">
        <v>35</v>
      </c>
      <c r="T3442" t="s">
        <v>35</v>
      </c>
      <c r="U3442" t="s">
        <v>35</v>
      </c>
      <c r="V3442" t="s">
        <v>645</v>
      </c>
      <c r="W3442" t="s">
        <v>113</v>
      </c>
    </row>
    <row r="3443" spans="1:23" hidden="1" x14ac:dyDescent="0.25">
      <c r="A3443" s="7" t="str">
        <f>IFERROR(VLOOKUP(H3443,'Contas Orç'!A:B,2,0),"N/A")</f>
        <v>DESPESAS GERAIS</v>
      </c>
      <c r="B3443" s="7" t="str">
        <f t="shared" si="106"/>
        <v>330409 - DESPESAS GERAIS</v>
      </c>
      <c r="C3443" s="25">
        <f t="shared" si="107"/>
        <v>44713</v>
      </c>
      <c r="D3443" s="27">
        <f>IF(K3443="CREDITO",Q3443,Q3443*-1)</f>
        <v>16.95</v>
      </c>
      <c r="E3443" t="s">
        <v>894</v>
      </c>
      <c r="F3443" t="s">
        <v>3938</v>
      </c>
      <c r="G3443" s="8">
        <v>44713</v>
      </c>
      <c r="H3443" t="s">
        <v>160</v>
      </c>
      <c r="I3443" t="s">
        <v>121</v>
      </c>
      <c r="J3443" t="s">
        <v>54</v>
      </c>
      <c r="K3443" t="s">
        <v>29</v>
      </c>
      <c r="L3443" t="s">
        <v>895</v>
      </c>
      <c r="M3443" t="s">
        <v>4402</v>
      </c>
      <c r="O3443" t="s">
        <v>896</v>
      </c>
      <c r="P3443" t="s">
        <v>33</v>
      </c>
      <c r="Q3443">
        <v>16.95</v>
      </c>
      <c r="R3443" t="s">
        <v>35</v>
      </c>
      <c r="S3443" t="s">
        <v>35</v>
      </c>
      <c r="T3443" t="s">
        <v>35</v>
      </c>
      <c r="U3443" t="s">
        <v>35</v>
      </c>
      <c r="V3443" t="s">
        <v>645</v>
      </c>
      <c r="W3443" t="s">
        <v>113</v>
      </c>
    </row>
    <row r="3444" spans="1:23" hidden="1" x14ac:dyDescent="0.25">
      <c r="A3444" s="7" t="str">
        <f>IFERROR(VLOOKUP(H3444,'Contas Orç'!A:B,2,0),"N/A")</f>
        <v>DESPESAS GERAIS</v>
      </c>
      <c r="B3444" s="7" t="str">
        <f t="shared" si="106"/>
        <v>330409 - DESPESAS GERAIS</v>
      </c>
      <c r="C3444" s="25">
        <f t="shared" si="107"/>
        <v>44713</v>
      </c>
      <c r="D3444" s="27">
        <f>IF(K3444="CREDITO",Q3444,Q3444*-1)</f>
        <v>177.72</v>
      </c>
      <c r="E3444" t="s">
        <v>894</v>
      </c>
      <c r="F3444" t="s">
        <v>3939</v>
      </c>
      <c r="G3444" s="8">
        <v>44713</v>
      </c>
      <c r="H3444" t="s">
        <v>160</v>
      </c>
      <c r="I3444" t="s">
        <v>132</v>
      </c>
      <c r="J3444" t="s">
        <v>54</v>
      </c>
      <c r="K3444" t="s">
        <v>29</v>
      </c>
      <c r="L3444" t="s">
        <v>895</v>
      </c>
      <c r="M3444" t="s">
        <v>4402</v>
      </c>
      <c r="O3444" t="s">
        <v>896</v>
      </c>
      <c r="P3444" t="s">
        <v>33</v>
      </c>
      <c r="Q3444">
        <v>177.72</v>
      </c>
      <c r="R3444" t="s">
        <v>35</v>
      </c>
      <c r="S3444" t="s">
        <v>35</v>
      </c>
      <c r="T3444" t="s">
        <v>35</v>
      </c>
      <c r="U3444" t="s">
        <v>35</v>
      </c>
      <c r="V3444" t="s">
        <v>645</v>
      </c>
      <c r="W3444" t="s">
        <v>113</v>
      </c>
    </row>
    <row r="3445" spans="1:23" hidden="1" x14ac:dyDescent="0.25">
      <c r="A3445" s="7" t="str">
        <f>IFERROR(VLOOKUP(H3445,'Contas Orç'!A:B,2,0),"N/A")</f>
        <v>DESPESAS GERAIS</v>
      </c>
      <c r="B3445" s="7" t="str">
        <f t="shared" si="106"/>
        <v>330409 - DESPESAS GERAIS</v>
      </c>
      <c r="C3445" s="25">
        <f t="shared" si="107"/>
        <v>44713</v>
      </c>
      <c r="D3445" s="27">
        <f>IF(K3445="CREDITO",Q3445,Q3445*-1)</f>
        <v>8.2899999999999991</v>
      </c>
      <c r="E3445" t="s">
        <v>894</v>
      </c>
      <c r="F3445" t="s">
        <v>3940</v>
      </c>
      <c r="G3445" s="8">
        <v>44713</v>
      </c>
      <c r="H3445" t="s">
        <v>160</v>
      </c>
      <c r="I3445" t="s">
        <v>78</v>
      </c>
      <c r="J3445" t="s">
        <v>54</v>
      </c>
      <c r="K3445" t="s">
        <v>29</v>
      </c>
      <c r="L3445" t="s">
        <v>895</v>
      </c>
      <c r="M3445" t="s">
        <v>4402</v>
      </c>
      <c r="O3445" t="s">
        <v>896</v>
      </c>
      <c r="P3445" t="s">
        <v>33</v>
      </c>
      <c r="Q3445">
        <v>8.2899999999999991</v>
      </c>
      <c r="R3445" t="s">
        <v>35</v>
      </c>
      <c r="S3445" t="s">
        <v>35</v>
      </c>
      <c r="T3445" t="s">
        <v>35</v>
      </c>
      <c r="U3445" t="s">
        <v>35</v>
      </c>
      <c r="V3445" t="s">
        <v>645</v>
      </c>
      <c r="W3445" t="s">
        <v>113</v>
      </c>
    </row>
    <row r="3446" spans="1:23" hidden="1" x14ac:dyDescent="0.25">
      <c r="A3446" s="7" t="str">
        <f>IFERROR(VLOOKUP(H3446,'Contas Orç'!A:B,2,0),"N/A")</f>
        <v>DESPESAS GERAIS</v>
      </c>
      <c r="B3446" s="7" t="str">
        <f t="shared" si="106"/>
        <v>330409 - DESPESAS GERAIS</v>
      </c>
      <c r="C3446" s="25">
        <f t="shared" si="107"/>
        <v>44713</v>
      </c>
      <c r="D3446" s="27">
        <f>IF(K3446="CREDITO",Q3446,Q3446*-1)</f>
        <v>1542.72</v>
      </c>
      <c r="E3446" t="s">
        <v>894</v>
      </c>
      <c r="F3446" t="s">
        <v>3941</v>
      </c>
      <c r="G3446" s="8">
        <v>44713</v>
      </c>
      <c r="H3446" t="s">
        <v>160</v>
      </c>
      <c r="I3446" t="s">
        <v>81</v>
      </c>
      <c r="J3446" t="s">
        <v>54</v>
      </c>
      <c r="K3446" t="s">
        <v>29</v>
      </c>
      <c r="L3446" t="s">
        <v>895</v>
      </c>
      <c r="M3446" t="s">
        <v>4402</v>
      </c>
      <c r="O3446" t="s">
        <v>896</v>
      </c>
      <c r="P3446" t="s">
        <v>33</v>
      </c>
      <c r="Q3446" s="22">
        <v>1542.72</v>
      </c>
      <c r="R3446" t="s">
        <v>35</v>
      </c>
      <c r="S3446" t="s">
        <v>35</v>
      </c>
      <c r="T3446" t="s">
        <v>35</v>
      </c>
      <c r="U3446" t="s">
        <v>35</v>
      </c>
      <c r="V3446" t="s">
        <v>645</v>
      </c>
      <c r="W3446" t="s">
        <v>113</v>
      </c>
    </row>
    <row r="3447" spans="1:23" hidden="1" x14ac:dyDescent="0.25">
      <c r="A3447" s="7" t="str">
        <f>IFERROR(VLOOKUP(H3447,'Contas Orç'!A:B,2,0),"N/A")</f>
        <v>DESPESAS GERAIS</v>
      </c>
      <c r="B3447" s="7" t="str">
        <f t="shared" si="106"/>
        <v>330409 - DESPESAS GERAIS</v>
      </c>
      <c r="C3447" s="25">
        <f t="shared" si="107"/>
        <v>44713</v>
      </c>
      <c r="D3447" s="27">
        <f>IF(K3447="CREDITO",Q3447,Q3447*-1)</f>
        <v>279.11</v>
      </c>
      <c r="E3447" t="s">
        <v>894</v>
      </c>
      <c r="F3447" t="s">
        <v>3942</v>
      </c>
      <c r="G3447" s="8">
        <v>44713</v>
      </c>
      <c r="H3447" t="s">
        <v>160</v>
      </c>
      <c r="I3447" t="s">
        <v>136</v>
      </c>
      <c r="J3447" t="s">
        <v>54</v>
      </c>
      <c r="K3447" t="s">
        <v>29</v>
      </c>
      <c r="L3447" t="s">
        <v>895</v>
      </c>
      <c r="M3447" t="s">
        <v>4402</v>
      </c>
      <c r="O3447" t="s">
        <v>896</v>
      </c>
      <c r="P3447" t="s">
        <v>33</v>
      </c>
      <c r="Q3447">
        <v>279.11</v>
      </c>
      <c r="R3447" t="s">
        <v>35</v>
      </c>
      <c r="S3447" t="s">
        <v>35</v>
      </c>
      <c r="T3447" t="s">
        <v>35</v>
      </c>
      <c r="U3447" t="s">
        <v>35</v>
      </c>
      <c r="V3447" t="s">
        <v>645</v>
      </c>
      <c r="W3447" t="s">
        <v>113</v>
      </c>
    </row>
    <row r="3448" spans="1:23" hidden="1" x14ac:dyDescent="0.25">
      <c r="A3448" s="7" t="str">
        <f>IFERROR(VLOOKUP(H3448,'Contas Orç'!A:B,2,0),"N/A")</f>
        <v>DESPESAS GERAIS</v>
      </c>
      <c r="B3448" s="7" t="str">
        <f t="shared" si="106"/>
        <v>330409 - DESPESAS GERAIS</v>
      </c>
      <c r="C3448" s="25">
        <f t="shared" si="107"/>
        <v>44743</v>
      </c>
      <c r="D3448" s="27">
        <f>IF(K3448="CREDITO",Q3448,Q3448*-1)</f>
        <v>135.47999999999999</v>
      </c>
      <c r="E3448" t="s">
        <v>894</v>
      </c>
      <c r="F3448" t="s">
        <v>3943</v>
      </c>
      <c r="G3448" s="8">
        <v>44743</v>
      </c>
      <c r="H3448" t="s">
        <v>160</v>
      </c>
      <c r="I3448" t="s">
        <v>99</v>
      </c>
      <c r="J3448" t="s">
        <v>28</v>
      </c>
      <c r="K3448" t="s">
        <v>29</v>
      </c>
      <c r="L3448" t="s">
        <v>895</v>
      </c>
      <c r="M3448" t="s">
        <v>4402</v>
      </c>
      <c r="O3448" t="s">
        <v>896</v>
      </c>
      <c r="P3448" t="s">
        <v>33</v>
      </c>
      <c r="Q3448">
        <v>135.47999999999999</v>
      </c>
      <c r="R3448" t="s">
        <v>35</v>
      </c>
      <c r="S3448" t="s">
        <v>35</v>
      </c>
      <c r="T3448" t="s">
        <v>35</v>
      </c>
      <c r="U3448" t="s">
        <v>35</v>
      </c>
      <c r="V3448" t="s">
        <v>645</v>
      </c>
      <c r="W3448" t="s">
        <v>113</v>
      </c>
    </row>
    <row r="3449" spans="1:23" hidden="1" x14ac:dyDescent="0.25">
      <c r="A3449" s="7" t="str">
        <f>IFERROR(VLOOKUP(H3449,'Contas Orç'!A:B,2,0),"N/A")</f>
        <v>DESPESAS GERAIS</v>
      </c>
      <c r="B3449" s="7" t="str">
        <f t="shared" si="106"/>
        <v>330409 - DESPESAS GERAIS</v>
      </c>
      <c r="C3449" s="25">
        <f t="shared" si="107"/>
        <v>44743</v>
      </c>
      <c r="D3449" s="27">
        <f>IF(K3449="CREDITO",Q3449,Q3449*-1)</f>
        <v>3186</v>
      </c>
      <c r="E3449" t="s">
        <v>894</v>
      </c>
      <c r="F3449" t="s">
        <v>3944</v>
      </c>
      <c r="G3449" s="8">
        <v>44743</v>
      </c>
      <c r="H3449" t="s">
        <v>160</v>
      </c>
      <c r="I3449" t="s">
        <v>59</v>
      </c>
      <c r="J3449" t="s">
        <v>60</v>
      </c>
      <c r="K3449" t="s">
        <v>29</v>
      </c>
      <c r="L3449" t="s">
        <v>895</v>
      </c>
      <c r="M3449" t="s">
        <v>4402</v>
      </c>
      <c r="O3449" t="s">
        <v>896</v>
      </c>
      <c r="P3449" t="s">
        <v>33</v>
      </c>
      <c r="Q3449" s="22">
        <v>3186</v>
      </c>
      <c r="R3449" t="s">
        <v>35</v>
      </c>
      <c r="S3449" t="s">
        <v>35</v>
      </c>
      <c r="T3449" t="s">
        <v>35</v>
      </c>
      <c r="U3449" t="s">
        <v>35</v>
      </c>
      <c r="V3449" t="s">
        <v>645</v>
      </c>
      <c r="W3449" t="s">
        <v>113</v>
      </c>
    </row>
    <row r="3450" spans="1:23" hidden="1" x14ac:dyDescent="0.25">
      <c r="A3450" s="7" t="str">
        <f>IFERROR(VLOOKUP(H3450,'Contas Orç'!A:B,2,0),"N/A")</f>
        <v>DESPESAS GERAIS</v>
      </c>
      <c r="B3450" s="7" t="str">
        <f t="shared" si="106"/>
        <v>330409 - DESPESAS GERAIS</v>
      </c>
      <c r="C3450" s="25">
        <f t="shared" si="107"/>
        <v>44743</v>
      </c>
      <c r="D3450" s="27">
        <f>IF(K3450="CREDITO",Q3450,Q3450*-1)</f>
        <v>1641.75</v>
      </c>
      <c r="E3450" t="s">
        <v>894</v>
      </c>
      <c r="F3450" t="s">
        <v>3945</v>
      </c>
      <c r="G3450" s="8">
        <v>44743</v>
      </c>
      <c r="H3450" t="s">
        <v>160</v>
      </c>
      <c r="I3450" t="s">
        <v>68</v>
      </c>
      <c r="J3450" t="s">
        <v>69</v>
      </c>
      <c r="K3450" t="s">
        <v>29</v>
      </c>
      <c r="L3450" t="s">
        <v>895</v>
      </c>
      <c r="M3450" t="s">
        <v>4402</v>
      </c>
      <c r="O3450" t="s">
        <v>896</v>
      </c>
      <c r="P3450" t="s">
        <v>33</v>
      </c>
      <c r="Q3450" s="22">
        <v>1641.75</v>
      </c>
      <c r="R3450" t="s">
        <v>35</v>
      </c>
      <c r="S3450" t="s">
        <v>35</v>
      </c>
      <c r="T3450" t="s">
        <v>35</v>
      </c>
      <c r="U3450" t="s">
        <v>35</v>
      </c>
      <c r="V3450" t="s">
        <v>645</v>
      </c>
      <c r="W3450" t="s">
        <v>113</v>
      </c>
    </row>
    <row r="3451" spans="1:23" hidden="1" x14ac:dyDescent="0.25">
      <c r="A3451" s="7" t="str">
        <f>IFERROR(VLOOKUP(H3451,'Contas Orç'!A:B,2,0),"N/A")</f>
        <v>DESPESAS GERAIS</v>
      </c>
      <c r="B3451" s="7" t="str">
        <f t="shared" si="106"/>
        <v>330409 - DESPESAS GERAIS</v>
      </c>
      <c r="C3451" s="25">
        <f t="shared" si="107"/>
        <v>44743</v>
      </c>
      <c r="D3451" s="27">
        <f>IF(K3451="CREDITO",Q3451,Q3451*-1)</f>
        <v>22265.29</v>
      </c>
      <c r="E3451" t="s">
        <v>894</v>
      </c>
      <c r="F3451" t="s">
        <v>3946</v>
      </c>
      <c r="G3451" s="8">
        <v>44743</v>
      </c>
      <c r="H3451" t="s">
        <v>160</v>
      </c>
      <c r="I3451" t="s">
        <v>40</v>
      </c>
      <c r="J3451" t="s">
        <v>54</v>
      </c>
      <c r="K3451" t="s">
        <v>29</v>
      </c>
      <c r="L3451" t="s">
        <v>895</v>
      </c>
      <c r="M3451" t="s">
        <v>4402</v>
      </c>
      <c r="O3451" t="s">
        <v>896</v>
      </c>
      <c r="P3451" t="s">
        <v>33</v>
      </c>
      <c r="Q3451" s="22">
        <v>22265.29</v>
      </c>
      <c r="R3451" t="s">
        <v>35</v>
      </c>
      <c r="S3451" t="s">
        <v>35</v>
      </c>
      <c r="T3451" t="s">
        <v>35</v>
      </c>
      <c r="U3451" t="s">
        <v>35</v>
      </c>
      <c r="V3451" t="s">
        <v>645</v>
      </c>
      <c r="W3451" t="s">
        <v>113</v>
      </c>
    </row>
    <row r="3452" spans="1:23" hidden="1" x14ac:dyDescent="0.25">
      <c r="A3452" s="7" t="str">
        <f>IFERROR(VLOOKUP(H3452,'Contas Orç'!A:B,2,0),"N/A")</f>
        <v>DESPESAS GERAIS</v>
      </c>
      <c r="B3452" s="7" t="str">
        <f t="shared" si="106"/>
        <v>330409 - DESPESAS GERAIS</v>
      </c>
      <c r="C3452" s="25">
        <f t="shared" si="107"/>
        <v>44743</v>
      </c>
      <c r="D3452" s="27">
        <f>IF(K3452="CREDITO",Q3452,Q3452*-1)</f>
        <v>139.83000000000001</v>
      </c>
      <c r="E3452" t="s">
        <v>894</v>
      </c>
      <c r="F3452" t="s">
        <v>3947</v>
      </c>
      <c r="G3452" s="8">
        <v>44743</v>
      </c>
      <c r="H3452" t="s">
        <v>160</v>
      </c>
      <c r="I3452" t="s">
        <v>1002</v>
      </c>
      <c r="J3452" t="s">
        <v>54</v>
      </c>
      <c r="K3452" t="s">
        <v>29</v>
      </c>
      <c r="L3452" t="s">
        <v>895</v>
      </c>
      <c r="M3452" t="s">
        <v>4402</v>
      </c>
      <c r="O3452" t="s">
        <v>896</v>
      </c>
      <c r="P3452" t="s">
        <v>33</v>
      </c>
      <c r="Q3452">
        <v>139.83000000000001</v>
      </c>
      <c r="R3452" t="s">
        <v>35</v>
      </c>
      <c r="S3452" t="s">
        <v>35</v>
      </c>
      <c r="T3452" t="s">
        <v>35</v>
      </c>
      <c r="U3452" t="s">
        <v>35</v>
      </c>
      <c r="V3452" t="s">
        <v>645</v>
      </c>
      <c r="W3452" t="s">
        <v>113</v>
      </c>
    </row>
    <row r="3453" spans="1:23" hidden="1" x14ac:dyDescent="0.25">
      <c r="A3453" s="7" t="str">
        <f>IFERROR(VLOOKUP(H3453,'Contas Orç'!A:B,2,0),"N/A")</f>
        <v>DESPESAS GERAIS</v>
      </c>
      <c r="B3453" s="7" t="str">
        <f t="shared" si="106"/>
        <v>330409 - DESPESAS GERAIS</v>
      </c>
      <c r="C3453" s="25">
        <f t="shared" si="107"/>
        <v>44743</v>
      </c>
      <c r="D3453" s="27">
        <f>IF(K3453="CREDITO",Q3453,Q3453*-1)</f>
        <v>14.27</v>
      </c>
      <c r="E3453" t="s">
        <v>894</v>
      </c>
      <c r="F3453" t="s">
        <v>3948</v>
      </c>
      <c r="G3453" s="8">
        <v>44743</v>
      </c>
      <c r="H3453" t="s">
        <v>160</v>
      </c>
      <c r="I3453" t="s">
        <v>121</v>
      </c>
      <c r="J3453" t="s">
        <v>54</v>
      </c>
      <c r="K3453" t="s">
        <v>29</v>
      </c>
      <c r="L3453" t="s">
        <v>895</v>
      </c>
      <c r="M3453" t="s">
        <v>4402</v>
      </c>
      <c r="O3453" t="s">
        <v>896</v>
      </c>
      <c r="P3453" t="s">
        <v>33</v>
      </c>
      <c r="Q3453">
        <v>14.27</v>
      </c>
      <c r="R3453" t="s">
        <v>35</v>
      </c>
      <c r="S3453" t="s">
        <v>35</v>
      </c>
      <c r="T3453" t="s">
        <v>35</v>
      </c>
      <c r="U3453" t="s">
        <v>35</v>
      </c>
      <c r="V3453" t="s">
        <v>645</v>
      </c>
      <c r="W3453" t="s">
        <v>113</v>
      </c>
    </row>
    <row r="3454" spans="1:23" hidden="1" x14ac:dyDescent="0.25">
      <c r="A3454" s="7" t="str">
        <f>IFERROR(VLOOKUP(H3454,'Contas Orç'!A:B,2,0),"N/A")</f>
        <v>DESPESAS GERAIS</v>
      </c>
      <c r="B3454" s="7" t="str">
        <f t="shared" si="106"/>
        <v>330409 - DESPESAS GERAIS</v>
      </c>
      <c r="C3454" s="25">
        <f t="shared" si="107"/>
        <v>44743</v>
      </c>
      <c r="D3454" s="27">
        <f>IF(K3454="CREDITO",Q3454,Q3454*-1)</f>
        <v>307.88</v>
      </c>
      <c r="E3454" t="s">
        <v>894</v>
      </c>
      <c r="F3454" t="s">
        <v>3949</v>
      </c>
      <c r="G3454" s="8">
        <v>44743</v>
      </c>
      <c r="H3454" t="s">
        <v>160</v>
      </c>
      <c r="I3454" t="s">
        <v>132</v>
      </c>
      <c r="J3454" t="s">
        <v>54</v>
      </c>
      <c r="K3454" t="s">
        <v>29</v>
      </c>
      <c r="L3454" t="s">
        <v>895</v>
      </c>
      <c r="M3454" t="s">
        <v>4402</v>
      </c>
      <c r="O3454" t="s">
        <v>896</v>
      </c>
      <c r="P3454" t="s">
        <v>33</v>
      </c>
      <c r="Q3454">
        <v>307.88</v>
      </c>
      <c r="R3454" t="s">
        <v>35</v>
      </c>
      <c r="S3454" t="s">
        <v>35</v>
      </c>
      <c r="T3454" t="s">
        <v>35</v>
      </c>
      <c r="U3454" t="s">
        <v>35</v>
      </c>
      <c r="V3454" t="s">
        <v>645</v>
      </c>
      <c r="W3454" t="s">
        <v>113</v>
      </c>
    </row>
    <row r="3455" spans="1:23" hidden="1" x14ac:dyDescent="0.25">
      <c r="A3455" s="7" t="str">
        <f>IFERROR(VLOOKUP(H3455,'Contas Orç'!A:B,2,0),"N/A")</f>
        <v>DESPESAS GERAIS</v>
      </c>
      <c r="B3455" s="7" t="str">
        <f t="shared" si="106"/>
        <v>330409 - DESPESAS GERAIS</v>
      </c>
      <c r="C3455" s="25">
        <f t="shared" si="107"/>
        <v>44743</v>
      </c>
      <c r="D3455" s="27">
        <f>IF(K3455="CREDITO",Q3455,Q3455*-1)</f>
        <v>854.53</v>
      </c>
      <c r="E3455" t="s">
        <v>894</v>
      </c>
      <c r="F3455" t="s">
        <v>3950</v>
      </c>
      <c r="G3455" s="8">
        <v>44743</v>
      </c>
      <c r="H3455" t="s">
        <v>160</v>
      </c>
      <c r="I3455" t="s">
        <v>114</v>
      </c>
      <c r="J3455" t="s">
        <v>54</v>
      </c>
      <c r="K3455" t="s">
        <v>29</v>
      </c>
      <c r="L3455" t="s">
        <v>895</v>
      </c>
      <c r="M3455" t="s">
        <v>4402</v>
      </c>
      <c r="O3455" t="s">
        <v>896</v>
      </c>
      <c r="P3455" t="s">
        <v>33</v>
      </c>
      <c r="Q3455">
        <v>854.53</v>
      </c>
      <c r="R3455" t="s">
        <v>35</v>
      </c>
      <c r="S3455" t="s">
        <v>35</v>
      </c>
      <c r="T3455" t="s">
        <v>35</v>
      </c>
      <c r="U3455" t="s">
        <v>35</v>
      </c>
      <c r="V3455" t="s">
        <v>645</v>
      </c>
      <c r="W3455" t="s">
        <v>113</v>
      </c>
    </row>
    <row r="3456" spans="1:23" hidden="1" x14ac:dyDescent="0.25">
      <c r="A3456" s="7" t="str">
        <f>IFERROR(VLOOKUP(H3456,'Contas Orç'!A:B,2,0),"N/A")</f>
        <v>DESPESAS GERAIS</v>
      </c>
      <c r="B3456" s="7" t="str">
        <f t="shared" si="106"/>
        <v>330409 - DESPESAS GERAIS</v>
      </c>
      <c r="C3456" s="25">
        <f t="shared" si="107"/>
        <v>44743</v>
      </c>
      <c r="D3456" s="27">
        <f>IF(K3456="CREDITO",Q3456,Q3456*-1)</f>
        <v>20.98</v>
      </c>
      <c r="E3456" t="s">
        <v>894</v>
      </c>
      <c r="F3456" t="s">
        <v>3951</v>
      </c>
      <c r="G3456" s="8">
        <v>44743</v>
      </c>
      <c r="H3456" t="s">
        <v>160</v>
      </c>
      <c r="I3456" t="s">
        <v>75</v>
      </c>
      <c r="J3456" t="s">
        <v>54</v>
      </c>
      <c r="K3456" t="s">
        <v>29</v>
      </c>
      <c r="L3456" t="s">
        <v>895</v>
      </c>
      <c r="M3456" t="s">
        <v>4402</v>
      </c>
      <c r="O3456" t="s">
        <v>896</v>
      </c>
      <c r="P3456" t="s">
        <v>33</v>
      </c>
      <c r="Q3456">
        <v>20.98</v>
      </c>
      <c r="R3456" t="s">
        <v>35</v>
      </c>
      <c r="S3456" t="s">
        <v>35</v>
      </c>
      <c r="T3456" t="s">
        <v>35</v>
      </c>
      <c r="U3456" t="s">
        <v>35</v>
      </c>
      <c r="V3456" t="s">
        <v>645</v>
      </c>
      <c r="W3456" t="s">
        <v>113</v>
      </c>
    </row>
    <row r="3457" spans="1:23" hidden="1" x14ac:dyDescent="0.25">
      <c r="A3457" s="7" t="str">
        <f>IFERROR(VLOOKUP(H3457,'Contas Orç'!A:B,2,0),"N/A")</f>
        <v>DESPESAS GERAIS</v>
      </c>
      <c r="B3457" s="7" t="str">
        <f t="shared" si="106"/>
        <v>330409 - DESPESAS GERAIS</v>
      </c>
      <c r="C3457" s="25">
        <f t="shared" si="107"/>
        <v>44743</v>
      </c>
      <c r="D3457" s="27">
        <f>IF(K3457="CREDITO",Q3457,Q3457*-1)</f>
        <v>20.83</v>
      </c>
      <c r="E3457" t="s">
        <v>894</v>
      </c>
      <c r="F3457" t="s">
        <v>3952</v>
      </c>
      <c r="G3457" s="8">
        <v>44743</v>
      </c>
      <c r="H3457" t="s">
        <v>160</v>
      </c>
      <c r="I3457" t="s">
        <v>78</v>
      </c>
      <c r="J3457" t="s">
        <v>54</v>
      </c>
      <c r="K3457" t="s">
        <v>29</v>
      </c>
      <c r="L3457" t="s">
        <v>895</v>
      </c>
      <c r="M3457" t="s">
        <v>4402</v>
      </c>
      <c r="O3457" t="s">
        <v>896</v>
      </c>
      <c r="P3457" t="s">
        <v>33</v>
      </c>
      <c r="Q3457">
        <v>20.83</v>
      </c>
      <c r="R3457" t="s">
        <v>35</v>
      </c>
      <c r="S3457" t="s">
        <v>35</v>
      </c>
      <c r="T3457" t="s">
        <v>35</v>
      </c>
      <c r="U3457" t="s">
        <v>35</v>
      </c>
      <c r="V3457" t="s">
        <v>645</v>
      </c>
      <c r="W3457" t="s">
        <v>113</v>
      </c>
    </row>
    <row r="3458" spans="1:23" hidden="1" x14ac:dyDescent="0.25">
      <c r="A3458" s="7" t="str">
        <f>IFERROR(VLOOKUP(H3458,'Contas Orç'!A:B,2,0),"N/A")</f>
        <v>DESPESAS GERAIS</v>
      </c>
      <c r="B3458" s="7" t="str">
        <f t="shared" si="106"/>
        <v>330409 - DESPESAS GERAIS</v>
      </c>
      <c r="C3458" s="25">
        <f t="shared" si="107"/>
        <v>44743</v>
      </c>
      <c r="D3458" s="27">
        <f>IF(K3458="CREDITO",Q3458,Q3458*-1)</f>
        <v>2966.46</v>
      </c>
      <c r="E3458" t="s">
        <v>894</v>
      </c>
      <c r="F3458" t="s">
        <v>3953</v>
      </c>
      <c r="G3458" s="8">
        <v>44743</v>
      </c>
      <c r="H3458" t="s">
        <v>160</v>
      </c>
      <c r="I3458" t="s">
        <v>81</v>
      </c>
      <c r="J3458" t="s">
        <v>54</v>
      </c>
      <c r="K3458" t="s">
        <v>29</v>
      </c>
      <c r="L3458" t="s">
        <v>895</v>
      </c>
      <c r="M3458" t="s">
        <v>4402</v>
      </c>
      <c r="O3458" t="s">
        <v>896</v>
      </c>
      <c r="P3458" t="s">
        <v>33</v>
      </c>
      <c r="Q3458" s="22">
        <v>2966.46</v>
      </c>
      <c r="R3458" t="s">
        <v>35</v>
      </c>
      <c r="S3458" t="s">
        <v>35</v>
      </c>
      <c r="T3458" t="s">
        <v>35</v>
      </c>
      <c r="U3458" t="s">
        <v>35</v>
      </c>
      <c r="V3458" t="s">
        <v>645</v>
      </c>
      <c r="W3458" t="s">
        <v>113</v>
      </c>
    </row>
    <row r="3459" spans="1:23" hidden="1" x14ac:dyDescent="0.25">
      <c r="A3459" s="7" t="str">
        <f>IFERROR(VLOOKUP(H3459,'Contas Orç'!A:B,2,0),"N/A")</f>
        <v>DESPESAS GERAIS</v>
      </c>
      <c r="B3459" s="7" t="str">
        <f t="shared" ref="B3459:B3522" si="108">_xlfn.CONCAT(H3459," - ",A3459)</f>
        <v>330409 - DESPESAS GERAIS</v>
      </c>
      <c r="C3459" s="25">
        <f t="shared" ref="C3459:C3522" si="109">DATE(YEAR(G3459),MONTH(G3459),1)</f>
        <v>44743</v>
      </c>
      <c r="D3459" s="27">
        <f>IF(K3459="CREDITO",Q3459,Q3459*-1)</f>
        <v>367.37</v>
      </c>
      <c r="E3459" t="s">
        <v>894</v>
      </c>
      <c r="F3459" t="s">
        <v>3954</v>
      </c>
      <c r="G3459" s="8">
        <v>44743</v>
      </c>
      <c r="H3459" t="s">
        <v>160</v>
      </c>
      <c r="I3459" t="s">
        <v>136</v>
      </c>
      <c r="J3459" t="s">
        <v>54</v>
      </c>
      <c r="K3459" t="s">
        <v>29</v>
      </c>
      <c r="L3459" t="s">
        <v>895</v>
      </c>
      <c r="M3459" t="s">
        <v>4402</v>
      </c>
      <c r="O3459" t="s">
        <v>896</v>
      </c>
      <c r="P3459" t="s">
        <v>33</v>
      </c>
      <c r="Q3459">
        <v>367.37</v>
      </c>
      <c r="R3459" t="s">
        <v>35</v>
      </c>
      <c r="S3459" t="s">
        <v>35</v>
      </c>
      <c r="T3459" t="s">
        <v>35</v>
      </c>
      <c r="U3459" t="s">
        <v>35</v>
      </c>
      <c r="V3459" t="s">
        <v>645</v>
      </c>
      <c r="W3459" t="s">
        <v>113</v>
      </c>
    </row>
    <row r="3460" spans="1:23" hidden="1" x14ac:dyDescent="0.25">
      <c r="A3460" s="7" t="str">
        <f>IFERROR(VLOOKUP(H3460,'Contas Orç'!A:B,2,0),"N/A")</f>
        <v>DESPESAS GERAIS</v>
      </c>
      <c r="B3460" s="7" t="str">
        <f t="shared" si="108"/>
        <v>330409 - DESPESAS GERAIS</v>
      </c>
      <c r="C3460" s="25">
        <f t="shared" si="109"/>
        <v>44774</v>
      </c>
      <c r="D3460" s="27">
        <f>IF(K3460="CREDITO",Q3460,Q3460*-1)</f>
        <v>84.49</v>
      </c>
      <c r="E3460" t="s">
        <v>894</v>
      </c>
      <c r="F3460" t="s">
        <v>3955</v>
      </c>
      <c r="G3460" s="8">
        <v>44774</v>
      </c>
      <c r="H3460" t="s">
        <v>160</v>
      </c>
      <c r="I3460" t="s">
        <v>99</v>
      </c>
      <c r="J3460" t="s">
        <v>28</v>
      </c>
      <c r="K3460" t="s">
        <v>29</v>
      </c>
      <c r="L3460" t="s">
        <v>895</v>
      </c>
      <c r="M3460" t="s">
        <v>4402</v>
      </c>
      <c r="O3460" t="s">
        <v>896</v>
      </c>
      <c r="P3460" t="s">
        <v>33</v>
      </c>
      <c r="Q3460">
        <v>84.49</v>
      </c>
      <c r="R3460" t="s">
        <v>35</v>
      </c>
      <c r="S3460" t="s">
        <v>35</v>
      </c>
      <c r="T3460" t="s">
        <v>35</v>
      </c>
      <c r="U3460" t="s">
        <v>35</v>
      </c>
      <c r="V3460" t="s">
        <v>645</v>
      </c>
      <c r="W3460" t="s">
        <v>113</v>
      </c>
    </row>
    <row r="3461" spans="1:23" hidden="1" x14ac:dyDescent="0.25">
      <c r="A3461" s="7" t="str">
        <f>IFERROR(VLOOKUP(H3461,'Contas Orç'!A:B,2,0),"N/A")</f>
        <v>DESPESAS GERAIS</v>
      </c>
      <c r="B3461" s="7" t="str">
        <f t="shared" si="108"/>
        <v>330409 - DESPESAS GERAIS</v>
      </c>
      <c r="C3461" s="25">
        <f t="shared" si="109"/>
        <v>44774</v>
      </c>
      <c r="D3461" s="27">
        <f>IF(K3461="CREDITO",Q3461,Q3461*-1)</f>
        <v>4452</v>
      </c>
      <c r="E3461" t="s">
        <v>894</v>
      </c>
      <c r="F3461" t="s">
        <v>3956</v>
      </c>
      <c r="G3461" s="8">
        <v>44774</v>
      </c>
      <c r="H3461" t="s">
        <v>160</v>
      </c>
      <c r="I3461" t="s">
        <v>59</v>
      </c>
      <c r="J3461" t="s">
        <v>60</v>
      </c>
      <c r="K3461" t="s">
        <v>29</v>
      </c>
      <c r="L3461" t="s">
        <v>895</v>
      </c>
      <c r="M3461" t="s">
        <v>4402</v>
      </c>
      <c r="O3461" t="s">
        <v>896</v>
      </c>
      <c r="P3461" t="s">
        <v>33</v>
      </c>
      <c r="Q3461" s="22">
        <v>4452</v>
      </c>
      <c r="R3461" t="s">
        <v>35</v>
      </c>
      <c r="S3461" t="s">
        <v>35</v>
      </c>
      <c r="T3461" t="s">
        <v>35</v>
      </c>
      <c r="U3461" t="s">
        <v>35</v>
      </c>
      <c r="V3461" t="s">
        <v>645</v>
      </c>
      <c r="W3461" t="s">
        <v>113</v>
      </c>
    </row>
    <row r="3462" spans="1:23" hidden="1" x14ac:dyDescent="0.25">
      <c r="A3462" s="7" t="str">
        <f>IFERROR(VLOOKUP(H3462,'Contas Orç'!A:B,2,0),"N/A")</f>
        <v>DESPESAS GERAIS</v>
      </c>
      <c r="B3462" s="7" t="str">
        <f t="shared" si="108"/>
        <v>330409 - DESPESAS GERAIS</v>
      </c>
      <c r="C3462" s="25">
        <f t="shared" si="109"/>
        <v>44774</v>
      </c>
      <c r="D3462" s="27">
        <f>IF(K3462="CREDITO",Q3462,Q3462*-1)</f>
        <v>900.64</v>
      </c>
      <c r="E3462" t="s">
        <v>894</v>
      </c>
      <c r="F3462" t="s">
        <v>3957</v>
      </c>
      <c r="G3462" s="8">
        <v>44774</v>
      </c>
      <c r="H3462" t="s">
        <v>160</v>
      </c>
      <c r="I3462" t="s">
        <v>68</v>
      </c>
      <c r="J3462" t="s">
        <v>69</v>
      </c>
      <c r="K3462" t="s">
        <v>29</v>
      </c>
      <c r="L3462" t="s">
        <v>895</v>
      </c>
      <c r="M3462" t="s">
        <v>4402</v>
      </c>
      <c r="O3462" t="s">
        <v>896</v>
      </c>
      <c r="P3462" t="s">
        <v>33</v>
      </c>
      <c r="Q3462">
        <v>900.64</v>
      </c>
      <c r="R3462" t="s">
        <v>35</v>
      </c>
      <c r="S3462" t="s">
        <v>35</v>
      </c>
      <c r="T3462" t="s">
        <v>35</v>
      </c>
      <c r="U3462" t="s">
        <v>35</v>
      </c>
      <c r="V3462" t="s">
        <v>645</v>
      </c>
      <c r="W3462" t="s">
        <v>113</v>
      </c>
    </row>
    <row r="3463" spans="1:23" hidden="1" x14ac:dyDescent="0.25">
      <c r="A3463" s="7" t="str">
        <f>IFERROR(VLOOKUP(H3463,'Contas Orç'!A:B,2,0),"N/A")</f>
        <v>DESPESAS GERAIS</v>
      </c>
      <c r="B3463" s="7" t="str">
        <f t="shared" si="108"/>
        <v>330409 - DESPESAS GERAIS</v>
      </c>
      <c r="C3463" s="25">
        <f t="shared" si="109"/>
        <v>44774</v>
      </c>
      <c r="D3463" s="27">
        <f>IF(K3463="CREDITO",Q3463,Q3463*-1)</f>
        <v>490.94</v>
      </c>
      <c r="E3463" t="s">
        <v>894</v>
      </c>
      <c r="F3463" t="s">
        <v>3958</v>
      </c>
      <c r="G3463" s="8">
        <v>44774</v>
      </c>
      <c r="H3463" t="s">
        <v>160</v>
      </c>
      <c r="I3463" t="s">
        <v>2062</v>
      </c>
      <c r="J3463" t="s">
        <v>54</v>
      </c>
      <c r="K3463" t="s">
        <v>29</v>
      </c>
      <c r="L3463" t="s">
        <v>895</v>
      </c>
      <c r="M3463" t="s">
        <v>4402</v>
      </c>
      <c r="O3463" t="s">
        <v>896</v>
      </c>
      <c r="P3463" t="s">
        <v>33</v>
      </c>
      <c r="Q3463">
        <v>490.94</v>
      </c>
      <c r="R3463" t="s">
        <v>35</v>
      </c>
      <c r="S3463" t="s">
        <v>35</v>
      </c>
      <c r="T3463" t="s">
        <v>35</v>
      </c>
      <c r="U3463" t="s">
        <v>35</v>
      </c>
      <c r="V3463" t="s">
        <v>645</v>
      </c>
      <c r="W3463" t="s">
        <v>113</v>
      </c>
    </row>
    <row r="3464" spans="1:23" hidden="1" x14ac:dyDescent="0.25">
      <c r="A3464" s="7" t="str">
        <f>IFERROR(VLOOKUP(H3464,'Contas Orç'!A:B,2,0),"N/A")</f>
        <v>DESPESAS GERAIS</v>
      </c>
      <c r="B3464" s="7" t="str">
        <f t="shared" si="108"/>
        <v>330409 - DESPESAS GERAIS</v>
      </c>
      <c r="C3464" s="25">
        <f t="shared" si="109"/>
        <v>44774</v>
      </c>
      <c r="D3464" s="27">
        <f>IF(K3464="CREDITO",Q3464,Q3464*-1)</f>
        <v>4564.5</v>
      </c>
      <c r="E3464" t="s">
        <v>894</v>
      </c>
      <c r="F3464" t="s">
        <v>3959</v>
      </c>
      <c r="G3464" s="8">
        <v>44774</v>
      </c>
      <c r="H3464" t="s">
        <v>160</v>
      </c>
      <c r="I3464" t="s">
        <v>40</v>
      </c>
      <c r="J3464" t="s">
        <v>54</v>
      </c>
      <c r="K3464" t="s">
        <v>29</v>
      </c>
      <c r="L3464" t="s">
        <v>895</v>
      </c>
      <c r="M3464" t="s">
        <v>4402</v>
      </c>
      <c r="O3464" t="s">
        <v>896</v>
      </c>
      <c r="P3464" t="s">
        <v>33</v>
      </c>
      <c r="Q3464" s="22">
        <v>4564.5</v>
      </c>
      <c r="R3464" t="s">
        <v>35</v>
      </c>
      <c r="S3464" t="s">
        <v>35</v>
      </c>
      <c r="T3464" t="s">
        <v>35</v>
      </c>
      <c r="U3464" t="s">
        <v>35</v>
      </c>
      <c r="V3464" t="s">
        <v>645</v>
      </c>
      <c r="W3464" t="s">
        <v>113</v>
      </c>
    </row>
    <row r="3465" spans="1:23" hidden="1" x14ac:dyDescent="0.25">
      <c r="A3465" s="7" t="str">
        <f>IFERROR(VLOOKUP(H3465,'Contas Orç'!A:B,2,0),"N/A")</f>
        <v>DESPESAS GERAIS</v>
      </c>
      <c r="B3465" s="7" t="str">
        <f t="shared" si="108"/>
        <v>330409 - DESPESAS GERAIS</v>
      </c>
      <c r="C3465" s="25">
        <f t="shared" si="109"/>
        <v>44774</v>
      </c>
      <c r="D3465" s="27">
        <f>IF(K3465="CREDITO",Q3465,Q3465*-1)</f>
        <v>89.17</v>
      </c>
      <c r="E3465" t="s">
        <v>894</v>
      </c>
      <c r="F3465" t="s">
        <v>3960</v>
      </c>
      <c r="G3465" s="8">
        <v>44774</v>
      </c>
      <c r="H3465" t="s">
        <v>160</v>
      </c>
      <c r="I3465" t="s">
        <v>1002</v>
      </c>
      <c r="J3465" t="s">
        <v>54</v>
      </c>
      <c r="K3465" t="s">
        <v>29</v>
      </c>
      <c r="L3465" t="s">
        <v>895</v>
      </c>
      <c r="M3465" t="s">
        <v>4402</v>
      </c>
      <c r="O3465" t="s">
        <v>896</v>
      </c>
      <c r="P3465" t="s">
        <v>33</v>
      </c>
      <c r="Q3465">
        <v>89.17</v>
      </c>
      <c r="R3465" t="s">
        <v>35</v>
      </c>
      <c r="S3465" t="s">
        <v>35</v>
      </c>
      <c r="T3465" t="s">
        <v>35</v>
      </c>
      <c r="U3465" t="s">
        <v>35</v>
      </c>
      <c r="V3465" t="s">
        <v>645</v>
      </c>
      <c r="W3465" t="s">
        <v>113</v>
      </c>
    </row>
    <row r="3466" spans="1:23" hidden="1" x14ac:dyDescent="0.25">
      <c r="A3466" s="7" t="str">
        <f>IFERROR(VLOOKUP(H3466,'Contas Orç'!A:B,2,0),"N/A")</f>
        <v>DESPESAS GERAIS</v>
      </c>
      <c r="B3466" s="7" t="str">
        <f t="shared" si="108"/>
        <v>330409 - DESPESAS GERAIS</v>
      </c>
      <c r="C3466" s="25">
        <f t="shared" si="109"/>
        <v>44774</v>
      </c>
      <c r="D3466" s="27">
        <f>IF(K3466="CREDITO",Q3466,Q3466*-1)</f>
        <v>200.64</v>
      </c>
      <c r="E3466" t="s">
        <v>894</v>
      </c>
      <c r="F3466" t="s">
        <v>815</v>
      </c>
      <c r="G3466" s="8">
        <v>44774</v>
      </c>
      <c r="H3466" t="s">
        <v>160</v>
      </c>
      <c r="I3466" t="s">
        <v>132</v>
      </c>
      <c r="J3466" t="s">
        <v>54</v>
      </c>
      <c r="K3466" t="s">
        <v>29</v>
      </c>
      <c r="L3466" t="s">
        <v>895</v>
      </c>
      <c r="M3466" t="s">
        <v>4402</v>
      </c>
      <c r="O3466" t="s">
        <v>896</v>
      </c>
      <c r="P3466" t="s">
        <v>33</v>
      </c>
      <c r="Q3466">
        <v>200.64</v>
      </c>
      <c r="R3466" t="s">
        <v>35</v>
      </c>
      <c r="S3466" t="s">
        <v>35</v>
      </c>
      <c r="T3466" t="s">
        <v>35</v>
      </c>
      <c r="U3466" t="s">
        <v>35</v>
      </c>
      <c r="V3466" t="s">
        <v>645</v>
      </c>
      <c r="W3466" t="s">
        <v>113</v>
      </c>
    </row>
    <row r="3467" spans="1:23" hidden="1" x14ac:dyDescent="0.25">
      <c r="A3467" s="7" t="str">
        <f>IFERROR(VLOOKUP(H3467,'Contas Orç'!A:B,2,0),"N/A")</f>
        <v>DESPESAS GERAIS</v>
      </c>
      <c r="B3467" s="7" t="str">
        <f t="shared" si="108"/>
        <v>330409 - DESPESAS GERAIS</v>
      </c>
      <c r="C3467" s="25">
        <f t="shared" si="109"/>
        <v>44774</v>
      </c>
      <c r="D3467" s="27">
        <f>IF(K3467="CREDITO",Q3467,Q3467*-1)</f>
        <v>24.18</v>
      </c>
      <c r="E3467" t="s">
        <v>894</v>
      </c>
      <c r="F3467" t="s">
        <v>3961</v>
      </c>
      <c r="G3467" s="8">
        <v>44774</v>
      </c>
      <c r="H3467" t="s">
        <v>160</v>
      </c>
      <c r="I3467" t="s">
        <v>114</v>
      </c>
      <c r="J3467" t="s">
        <v>54</v>
      </c>
      <c r="K3467" t="s">
        <v>29</v>
      </c>
      <c r="L3467" t="s">
        <v>895</v>
      </c>
      <c r="M3467" t="s">
        <v>4402</v>
      </c>
      <c r="O3467" t="s">
        <v>896</v>
      </c>
      <c r="P3467" t="s">
        <v>33</v>
      </c>
      <c r="Q3467">
        <v>24.18</v>
      </c>
      <c r="R3467" t="s">
        <v>35</v>
      </c>
      <c r="S3467" t="s">
        <v>35</v>
      </c>
      <c r="T3467" t="s">
        <v>35</v>
      </c>
      <c r="U3467" t="s">
        <v>35</v>
      </c>
      <c r="V3467" t="s">
        <v>645</v>
      </c>
      <c r="W3467" t="s">
        <v>113</v>
      </c>
    </row>
    <row r="3468" spans="1:23" hidden="1" x14ac:dyDescent="0.25">
      <c r="A3468" s="7" t="str">
        <f>IFERROR(VLOOKUP(H3468,'Contas Orç'!A:B,2,0),"N/A")</f>
        <v>DESPESAS GERAIS</v>
      </c>
      <c r="B3468" s="7" t="str">
        <f t="shared" si="108"/>
        <v>330409 - DESPESAS GERAIS</v>
      </c>
      <c r="C3468" s="25">
        <f t="shared" si="109"/>
        <v>44774</v>
      </c>
      <c r="D3468" s="27">
        <f>IF(K3468="CREDITO",Q3468,Q3468*-1)</f>
        <v>32.71</v>
      </c>
      <c r="E3468" t="s">
        <v>894</v>
      </c>
      <c r="F3468" t="s">
        <v>3962</v>
      </c>
      <c r="G3468" s="8">
        <v>44774</v>
      </c>
      <c r="H3468" t="s">
        <v>160</v>
      </c>
      <c r="I3468" t="s">
        <v>75</v>
      </c>
      <c r="J3468" t="s">
        <v>54</v>
      </c>
      <c r="K3468" t="s">
        <v>29</v>
      </c>
      <c r="L3468" t="s">
        <v>895</v>
      </c>
      <c r="M3468" t="s">
        <v>4402</v>
      </c>
      <c r="O3468" t="s">
        <v>896</v>
      </c>
      <c r="P3468" t="s">
        <v>33</v>
      </c>
      <c r="Q3468">
        <v>32.71</v>
      </c>
      <c r="R3468" t="s">
        <v>35</v>
      </c>
      <c r="S3468" t="s">
        <v>35</v>
      </c>
      <c r="T3468" t="s">
        <v>35</v>
      </c>
      <c r="U3468" t="s">
        <v>35</v>
      </c>
      <c r="V3468" t="s">
        <v>645</v>
      </c>
      <c r="W3468" t="s">
        <v>113</v>
      </c>
    </row>
    <row r="3469" spans="1:23" hidden="1" x14ac:dyDescent="0.25">
      <c r="A3469" s="7" t="str">
        <f>IFERROR(VLOOKUP(H3469,'Contas Orç'!A:B,2,0),"N/A")</f>
        <v>DESPESAS GERAIS</v>
      </c>
      <c r="B3469" s="7" t="str">
        <f t="shared" si="108"/>
        <v>330409 - DESPESAS GERAIS</v>
      </c>
      <c r="C3469" s="25">
        <f t="shared" si="109"/>
        <v>44774</v>
      </c>
      <c r="D3469" s="27">
        <f>IF(K3469="CREDITO",Q3469,Q3469*-1)</f>
        <v>14.44</v>
      </c>
      <c r="E3469" t="s">
        <v>894</v>
      </c>
      <c r="F3469" t="s">
        <v>3963</v>
      </c>
      <c r="G3469" s="8">
        <v>44774</v>
      </c>
      <c r="H3469" t="s">
        <v>160</v>
      </c>
      <c r="I3469" t="s">
        <v>78</v>
      </c>
      <c r="J3469" t="s">
        <v>54</v>
      </c>
      <c r="K3469" t="s">
        <v>29</v>
      </c>
      <c r="L3469" t="s">
        <v>895</v>
      </c>
      <c r="M3469" t="s">
        <v>4402</v>
      </c>
      <c r="O3469" t="s">
        <v>896</v>
      </c>
      <c r="P3469" t="s">
        <v>33</v>
      </c>
      <c r="Q3469">
        <v>14.44</v>
      </c>
      <c r="R3469" t="s">
        <v>35</v>
      </c>
      <c r="S3469" t="s">
        <v>35</v>
      </c>
      <c r="T3469" t="s">
        <v>35</v>
      </c>
      <c r="U3469" t="s">
        <v>35</v>
      </c>
      <c r="V3469" t="s">
        <v>645</v>
      </c>
      <c r="W3469" t="s">
        <v>113</v>
      </c>
    </row>
    <row r="3470" spans="1:23" hidden="1" x14ac:dyDescent="0.25">
      <c r="A3470" s="7" t="str">
        <f>IFERROR(VLOOKUP(H3470,'Contas Orç'!A:B,2,0),"N/A")</f>
        <v>DESPESAS GERAIS</v>
      </c>
      <c r="B3470" s="7" t="str">
        <f t="shared" si="108"/>
        <v>330409 - DESPESAS GERAIS</v>
      </c>
      <c r="C3470" s="25">
        <f t="shared" si="109"/>
        <v>44774</v>
      </c>
      <c r="D3470" s="27">
        <f>IF(K3470="CREDITO",Q3470,Q3470*-1)</f>
        <v>961.57</v>
      </c>
      <c r="E3470" t="s">
        <v>894</v>
      </c>
      <c r="F3470" t="s">
        <v>3964</v>
      </c>
      <c r="G3470" s="8">
        <v>44774</v>
      </c>
      <c r="H3470" t="s">
        <v>160</v>
      </c>
      <c r="I3470" t="s">
        <v>81</v>
      </c>
      <c r="J3470" t="s">
        <v>54</v>
      </c>
      <c r="K3470" t="s">
        <v>29</v>
      </c>
      <c r="L3470" t="s">
        <v>895</v>
      </c>
      <c r="M3470" t="s">
        <v>4402</v>
      </c>
      <c r="O3470" t="s">
        <v>896</v>
      </c>
      <c r="P3470" t="s">
        <v>33</v>
      </c>
      <c r="Q3470">
        <v>961.57</v>
      </c>
      <c r="R3470" t="s">
        <v>35</v>
      </c>
      <c r="S3470" t="s">
        <v>35</v>
      </c>
      <c r="T3470" t="s">
        <v>35</v>
      </c>
      <c r="U3470" t="s">
        <v>35</v>
      </c>
      <c r="V3470" t="s">
        <v>645</v>
      </c>
      <c r="W3470" t="s">
        <v>113</v>
      </c>
    </row>
    <row r="3471" spans="1:23" hidden="1" x14ac:dyDescent="0.25">
      <c r="A3471" s="7" t="str">
        <f>IFERROR(VLOOKUP(H3471,'Contas Orç'!A:B,2,0),"N/A")</f>
        <v>DESPESAS GERAIS</v>
      </c>
      <c r="B3471" s="7" t="str">
        <f t="shared" si="108"/>
        <v>330409 - DESPESAS GERAIS</v>
      </c>
      <c r="C3471" s="25">
        <f t="shared" si="109"/>
        <v>44774</v>
      </c>
      <c r="D3471" s="27">
        <f>IF(K3471="CREDITO",Q3471,Q3471*-1)</f>
        <v>450.77</v>
      </c>
      <c r="E3471" t="s">
        <v>894</v>
      </c>
      <c r="F3471" t="s">
        <v>3965</v>
      </c>
      <c r="G3471" s="8">
        <v>44774</v>
      </c>
      <c r="H3471" t="s">
        <v>160</v>
      </c>
      <c r="I3471" t="s">
        <v>136</v>
      </c>
      <c r="J3471" t="s">
        <v>54</v>
      </c>
      <c r="K3471" t="s">
        <v>29</v>
      </c>
      <c r="L3471" t="s">
        <v>895</v>
      </c>
      <c r="M3471" t="s">
        <v>4402</v>
      </c>
      <c r="O3471" t="s">
        <v>896</v>
      </c>
      <c r="P3471" t="s">
        <v>33</v>
      </c>
      <c r="Q3471">
        <v>450.77</v>
      </c>
      <c r="R3471" t="s">
        <v>35</v>
      </c>
      <c r="S3471" t="s">
        <v>35</v>
      </c>
      <c r="T3471" t="s">
        <v>35</v>
      </c>
      <c r="U3471" t="s">
        <v>35</v>
      </c>
      <c r="V3471" t="s">
        <v>645</v>
      </c>
      <c r="W3471" t="s">
        <v>113</v>
      </c>
    </row>
    <row r="3472" spans="1:23" hidden="1" x14ac:dyDescent="0.25">
      <c r="A3472" s="7" t="str">
        <f>IFERROR(VLOOKUP(H3472,'Contas Orç'!A:B,2,0),"N/A")</f>
        <v>DESPESAS GERAIS</v>
      </c>
      <c r="B3472" s="7" t="str">
        <f t="shared" si="108"/>
        <v>330409 - DESPESAS GERAIS</v>
      </c>
      <c r="C3472" s="25">
        <f t="shared" si="109"/>
        <v>44805</v>
      </c>
      <c r="D3472" s="27">
        <f>IF(K3472="CREDITO",Q3472,Q3472*-1)</f>
        <v>169.85</v>
      </c>
      <c r="E3472" t="s">
        <v>894</v>
      </c>
      <c r="F3472" t="s">
        <v>3966</v>
      </c>
      <c r="G3472" s="8">
        <v>44805</v>
      </c>
      <c r="H3472" t="s">
        <v>160</v>
      </c>
      <c r="I3472" t="s">
        <v>99</v>
      </c>
      <c r="J3472" t="s">
        <v>28</v>
      </c>
      <c r="K3472" t="s">
        <v>29</v>
      </c>
      <c r="L3472" t="s">
        <v>895</v>
      </c>
      <c r="M3472" t="s">
        <v>4402</v>
      </c>
      <c r="O3472" t="s">
        <v>896</v>
      </c>
      <c r="P3472" t="s">
        <v>33</v>
      </c>
      <c r="Q3472">
        <v>169.85</v>
      </c>
      <c r="R3472" t="s">
        <v>35</v>
      </c>
      <c r="S3472" t="s">
        <v>35</v>
      </c>
      <c r="T3472" t="s">
        <v>35</v>
      </c>
      <c r="U3472" t="s">
        <v>35</v>
      </c>
      <c r="V3472" t="s">
        <v>645</v>
      </c>
      <c r="W3472" t="s">
        <v>113</v>
      </c>
    </row>
    <row r="3473" spans="1:23" hidden="1" x14ac:dyDescent="0.25">
      <c r="A3473" s="7" t="str">
        <f>IFERROR(VLOOKUP(H3473,'Contas Orç'!A:B,2,0),"N/A")</f>
        <v>DESPESAS GERAIS</v>
      </c>
      <c r="B3473" s="7" t="str">
        <f t="shared" si="108"/>
        <v>330409 - DESPESAS GERAIS</v>
      </c>
      <c r="C3473" s="25">
        <f t="shared" si="109"/>
        <v>44805</v>
      </c>
      <c r="D3473" s="27">
        <f>IF(K3473="CREDITO",Q3473,Q3473*-1)</f>
        <v>5432</v>
      </c>
      <c r="E3473" t="s">
        <v>894</v>
      </c>
      <c r="F3473" t="s">
        <v>3967</v>
      </c>
      <c r="G3473" s="8">
        <v>44805</v>
      </c>
      <c r="H3473" t="s">
        <v>160</v>
      </c>
      <c r="I3473" t="s">
        <v>59</v>
      </c>
      <c r="J3473" t="s">
        <v>60</v>
      </c>
      <c r="K3473" t="s">
        <v>29</v>
      </c>
      <c r="L3473" t="s">
        <v>895</v>
      </c>
      <c r="M3473" t="s">
        <v>4402</v>
      </c>
      <c r="O3473" t="s">
        <v>896</v>
      </c>
      <c r="P3473" t="s">
        <v>33</v>
      </c>
      <c r="Q3473" s="22">
        <v>5432</v>
      </c>
      <c r="R3473" t="s">
        <v>35</v>
      </c>
      <c r="S3473" t="s">
        <v>35</v>
      </c>
      <c r="T3473" t="s">
        <v>35</v>
      </c>
      <c r="U3473" t="s">
        <v>35</v>
      </c>
      <c r="V3473" t="s">
        <v>645</v>
      </c>
      <c r="W3473" t="s">
        <v>113</v>
      </c>
    </row>
    <row r="3474" spans="1:23" hidden="1" x14ac:dyDescent="0.25">
      <c r="A3474" s="7" t="str">
        <f>IFERROR(VLOOKUP(H3474,'Contas Orç'!A:B,2,0),"N/A")</f>
        <v>DESPESAS GERAIS</v>
      </c>
      <c r="B3474" s="7" t="str">
        <f t="shared" si="108"/>
        <v>330409 - DESPESAS GERAIS</v>
      </c>
      <c r="C3474" s="25">
        <f t="shared" si="109"/>
        <v>44805</v>
      </c>
      <c r="D3474" s="27">
        <f>IF(K3474="CREDITO",Q3474,Q3474*-1)</f>
        <v>1956.18</v>
      </c>
      <c r="E3474" t="s">
        <v>894</v>
      </c>
      <c r="F3474" t="s">
        <v>818</v>
      </c>
      <c r="G3474" s="8">
        <v>44805</v>
      </c>
      <c r="H3474" t="s">
        <v>160</v>
      </c>
      <c r="I3474" t="s">
        <v>68</v>
      </c>
      <c r="J3474" t="s">
        <v>69</v>
      </c>
      <c r="K3474" t="s">
        <v>29</v>
      </c>
      <c r="L3474" t="s">
        <v>895</v>
      </c>
      <c r="M3474" t="s">
        <v>4402</v>
      </c>
      <c r="O3474" t="s">
        <v>896</v>
      </c>
      <c r="P3474" t="s">
        <v>33</v>
      </c>
      <c r="Q3474" s="22">
        <v>1956.18</v>
      </c>
      <c r="R3474" t="s">
        <v>35</v>
      </c>
      <c r="S3474" t="s">
        <v>35</v>
      </c>
      <c r="T3474" t="s">
        <v>35</v>
      </c>
      <c r="U3474" t="s">
        <v>35</v>
      </c>
      <c r="V3474" t="s">
        <v>645</v>
      </c>
      <c r="W3474" t="s">
        <v>113</v>
      </c>
    </row>
    <row r="3475" spans="1:23" hidden="1" x14ac:dyDescent="0.25">
      <c r="A3475" s="7" t="str">
        <f>IFERROR(VLOOKUP(H3475,'Contas Orç'!A:B,2,0),"N/A")</f>
        <v>DESPESAS GERAIS</v>
      </c>
      <c r="B3475" s="7" t="str">
        <f t="shared" si="108"/>
        <v>330409 - DESPESAS GERAIS</v>
      </c>
      <c r="C3475" s="25">
        <f t="shared" si="109"/>
        <v>44805</v>
      </c>
      <c r="D3475" s="27">
        <f>IF(K3475="CREDITO",Q3475,Q3475*-1)</f>
        <v>4557.6400000000003</v>
      </c>
      <c r="E3475" t="s">
        <v>894</v>
      </c>
      <c r="F3475" t="s">
        <v>3968</v>
      </c>
      <c r="G3475" s="8">
        <v>44805</v>
      </c>
      <c r="H3475" t="s">
        <v>160</v>
      </c>
      <c r="I3475" t="s">
        <v>40</v>
      </c>
      <c r="J3475" t="s">
        <v>54</v>
      </c>
      <c r="K3475" t="s">
        <v>29</v>
      </c>
      <c r="L3475" t="s">
        <v>895</v>
      </c>
      <c r="M3475" t="s">
        <v>4402</v>
      </c>
      <c r="O3475" t="s">
        <v>896</v>
      </c>
      <c r="P3475" t="s">
        <v>33</v>
      </c>
      <c r="Q3475" s="22">
        <v>4557.6400000000003</v>
      </c>
      <c r="R3475" t="s">
        <v>35</v>
      </c>
      <c r="S3475" t="s">
        <v>35</v>
      </c>
      <c r="T3475" t="s">
        <v>35</v>
      </c>
      <c r="U3475" t="s">
        <v>35</v>
      </c>
      <c r="V3475" t="s">
        <v>645</v>
      </c>
      <c r="W3475" t="s">
        <v>113</v>
      </c>
    </row>
    <row r="3476" spans="1:23" hidden="1" x14ac:dyDescent="0.25">
      <c r="A3476" s="7" t="str">
        <f>IFERROR(VLOOKUP(H3476,'Contas Orç'!A:B,2,0),"N/A")</f>
        <v>DESPESAS GERAIS</v>
      </c>
      <c r="B3476" s="7" t="str">
        <f t="shared" si="108"/>
        <v>330409 - DESPESAS GERAIS</v>
      </c>
      <c r="C3476" s="25">
        <f t="shared" si="109"/>
        <v>44805</v>
      </c>
      <c r="D3476" s="27">
        <f>IF(K3476="CREDITO",Q3476,Q3476*-1)</f>
        <v>107.21</v>
      </c>
      <c r="E3476" t="s">
        <v>894</v>
      </c>
      <c r="F3476" t="s">
        <v>3969</v>
      </c>
      <c r="G3476" s="8">
        <v>44805</v>
      </c>
      <c r="H3476" t="s">
        <v>160</v>
      </c>
      <c r="I3476" t="s">
        <v>121</v>
      </c>
      <c r="J3476" t="s">
        <v>54</v>
      </c>
      <c r="K3476" t="s">
        <v>29</v>
      </c>
      <c r="L3476" t="s">
        <v>895</v>
      </c>
      <c r="M3476" t="s">
        <v>4402</v>
      </c>
      <c r="O3476" t="s">
        <v>896</v>
      </c>
      <c r="P3476" t="s">
        <v>33</v>
      </c>
      <c r="Q3476">
        <v>107.21</v>
      </c>
      <c r="R3476" t="s">
        <v>35</v>
      </c>
      <c r="S3476" t="s">
        <v>35</v>
      </c>
      <c r="T3476" t="s">
        <v>35</v>
      </c>
      <c r="U3476" t="s">
        <v>35</v>
      </c>
      <c r="V3476" t="s">
        <v>645</v>
      </c>
      <c r="W3476" t="s">
        <v>113</v>
      </c>
    </row>
    <row r="3477" spans="1:23" hidden="1" x14ac:dyDescent="0.25">
      <c r="A3477" s="7" t="str">
        <f>IFERROR(VLOOKUP(H3477,'Contas Orç'!A:B,2,0),"N/A")</f>
        <v>DESPESAS GERAIS</v>
      </c>
      <c r="B3477" s="7" t="str">
        <f t="shared" si="108"/>
        <v>330409 - DESPESAS GERAIS</v>
      </c>
      <c r="C3477" s="25">
        <f t="shared" si="109"/>
        <v>44805</v>
      </c>
      <c r="D3477" s="27">
        <f>IF(K3477="CREDITO",Q3477,Q3477*-1)</f>
        <v>459.22</v>
      </c>
      <c r="E3477" t="s">
        <v>894</v>
      </c>
      <c r="F3477" t="s">
        <v>3970</v>
      </c>
      <c r="G3477" s="8">
        <v>44805</v>
      </c>
      <c r="H3477" t="s">
        <v>160</v>
      </c>
      <c r="I3477" t="s">
        <v>132</v>
      </c>
      <c r="J3477" t="s">
        <v>54</v>
      </c>
      <c r="K3477" t="s">
        <v>29</v>
      </c>
      <c r="L3477" t="s">
        <v>895</v>
      </c>
      <c r="M3477" t="s">
        <v>4402</v>
      </c>
      <c r="O3477" t="s">
        <v>896</v>
      </c>
      <c r="P3477" t="s">
        <v>33</v>
      </c>
      <c r="Q3477">
        <v>459.22</v>
      </c>
      <c r="R3477" t="s">
        <v>35</v>
      </c>
      <c r="S3477" t="s">
        <v>35</v>
      </c>
      <c r="T3477" t="s">
        <v>35</v>
      </c>
      <c r="U3477" t="s">
        <v>35</v>
      </c>
      <c r="V3477" t="s">
        <v>645</v>
      </c>
      <c r="W3477" t="s">
        <v>113</v>
      </c>
    </row>
    <row r="3478" spans="1:23" hidden="1" x14ac:dyDescent="0.25">
      <c r="A3478" s="7" t="str">
        <f>IFERROR(VLOOKUP(H3478,'Contas Orç'!A:B,2,0),"N/A")</f>
        <v>DESPESAS GERAIS</v>
      </c>
      <c r="B3478" s="7" t="str">
        <f t="shared" si="108"/>
        <v>330409 - DESPESAS GERAIS</v>
      </c>
      <c r="C3478" s="25">
        <f t="shared" si="109"/>
        <v>44805</v>
      </c>
      <c r="D3478" s="27">
        <f>IF(K3478="CREDITO",Q3478,Q3478*-1)</f>
        <v>5.05</v>
      </c>
      <c r="E3478" t="s">
        <v>894</v>
      </c>
      <c r="F3478" t="s">
        <v>3971</v>
      </c>
      <c r="G3478" s="8">
        <v>44805</v>
      </c>
      <c r="H3478" t="s">
        <v>160</v>
      </c>
      <c r="I3478" t="s">
        <v>78</v>
      </c>
      <c r="J3478" t="s">
        <v>54</v>
      </c>
      <c r="K3478" t="s">
        <v>29</v>
      </c>
      <c r="L3478" t="s">
        <v>895</v>
      </c>
      <c r="M3478" t="s">
        <v>4402</v>
      </c>
      <c r="O3478" t="s">
        <v>896</v>
      </c>
      <c r="P3478" t="s">
        <v>33</v>
      </c>
      <c r="Q3478">
        <v>5.05</v>
      </c>
      <c r="R3478" t="s">
        <v>35</v>
      </c>
      <c r="S3478" t="s">
        <v>35</v>
      </c>
      <c r="T3478" t="s">
        <v>35</v>
      </c>
      <c r="U3478" t="s">
        <v>35</v>
      </c>
      <c r="V3478" t="s">
        <v>645</v>
      </c>
      <c r="W3478" t="s">
        <v>113</v>
      </c>
    </row>
    <row r="3479" spans="1:23" hidden="1" x14ac:dyDescent="0.25">
      <c r="A3479" s="7" t="str">
        <f>IFERROR(VLOOKUP(H3479,'Contas Orç'!A:B,2,0),"N/A")</f>
        <v>DESPESAS GERAIS</v>
      </c>
      <c r="B3479" s="7" t="str">
        <f t="shared" si="108"/>
        <v>330409 - DESPESAS GERAIS</v>
      </c>
      <c r="C3479" s="25">
        <f t="shared" si="109"/>
        <v>44805</v>
      </c>
      <c r="D3479" s="27">
        <f>IF(K3479="CREDITO",Q3479,Q3479*-1)</f>
        <v>800.16</v>
      </c>
      <c r="E3479" t="s">
        <v>894</v>
      </c>
      <c r="F3479" t="s">
        <v>3972</v>
      </c>
      <c r="G3479" s="8">
        <v>44805</v>
      </c>
      <c r="H3479" t="s">
        <v>160</v>
      </c>
      <c r="I3479" t="s">
        <v>81</v>
      </c>
      <c r="J3479" t="s">
        <v>54</v>
      </c>
      <c r="K3479" t="s">
        <v>29</v>
      </c>
      <c r="L3479" t="s">
        <v>895</v>
      </c>
      <c r="M3479" t="s">
        <v>4402</v>
      </c>
      <c r="O3479" t="s">
        <v>896</v>
      </c>
      <c r="P3479" t="s">
        <v>33</v>
      </c>
      <c r="Q3479">
        <v>800.16</v>
      </c>
      <c r="R3479" t="s">
        <v>35</v>
      </c>
      <c r="S3479" t="s">
        <v>35</v>
      </c>
      <c r="T3479" t="s">
        <v>35</v>
      </c>
      <c r="U3479" t="s">
        <v>35</v>
      </c>
      <c r="V3479" t="s">
        <v>645</v>
      </c>
      <c r="W3479" t="s">
        <v>113</v>
      </c>
    </row>
    <row r="3480" spans="1:23" hidden="1" x14ac:dyDescent="0.25">
      <c r="A3480" s="7" t="str">
        <f>IFERROR(VLOOKUP(H3480,'Contas Orç'!A:B,2,0),"N/A")</f>
        <v>DESPESAS GERAIS</v>
      </c>
      <c r="B3480" s="7" t="str">
        <f t="shared" si="108"/>
        <v>330409 - DESPESAS GERAIS</v>
      </c>
      <c r="C3480" s="25">
        <f t="shared" si="109"/>
        <v>44805</v>
      </c>
      <c r="D3480" s="27">
        <f>IF(K3480="CREDITO",Q3480,Q3480*-1)</f>
        <v>324.95</v>
      </c>
      <c r="E3480" t="s">
        <v>894</v>
      </c>
      <c r="F3480" t="s">
        <v>3973</v>
      </c>
      <c r="G3480" s="8">
        <v>44805</v>
      </c>
      <c r="H3480" t="s">
        <v>160</v>
      </c>
      <c r="I3480" t="s">
        <v>136</v>
      </c>
      <c r="J3480" t="s">
        <v>54</v>
      </c>
      <c r="K3480" t="s">
        <v>29</v>
      </c>
      <c r="L3480" t="s">
        <v>895</v>
      </c>
      <c r="M3480" t="s">
        <v>4402</v>
      </c>
      <c r="O3480" t="s">
        <v>896</v>
      </c>
      <c r="P3480" t="s">
        <v>33</v>
      </c>
      <c r="Q3480">
        <v>324.95</v>
      </c>
      <c r="R3480" t="s">
        <v>35</v>
      </c>
      <c r="S3480" t="s">
        <v>35</v>
      </c>
      <c r="T3480" t="s">
        <v>35</v>
      </c>
      <c r="U3480" t="s">
        <v>35</v>
      </c>
      <c r="V3480" t="s">
        <v>645</v>
      </c>
      <c r="W3480" t="s">
        <v>113</v>
      </c>
    </row>
    <row r="3481" spans="1:23" hidden="1" x14ac:dyDescent="0.25">
      <c r="A3481" s="7" t="str">
        <f>IFERROR(VLOOKUP(H3481,'Contas Orç'!A:B,2,0),"N/A")</f>
        <v>DESPESAS GERAIS</v>
      </c>
      <c r="B3481" s="7" t="str">
        <f t="shared" si="108"/>
        <v>330409 - DESPESAS GERAIS</v>
      </c>
      <c r="C3481" s="25">
        <f t="shared" si="109"/>
        <v>44835</v>
      </c>
      <c r="D3481" s="27">
        <f>IF(K3481="CREDITO",Q3481,Q3481*-1)</f>
        <v>171.55</v>
      </c>
      <c r="E3481" t="s">
        <v>894</v>
      </c>
      <c r="F3481" t="s">
        <v>3974</v>
      </c>
      <c r="G3481" s="8">
        <v>44835</v>
      </c>
      <c r="H3481" t="s">
        <v>160</v>
      </c>
      <c r="I3481" t="s">
        <v>99</v>
      </c>
      <c r="J3481" t="s">
        <v>28</v>
      </c>
      <c r="K3481" t="s">
        <v>29</v>
      </c>
      <c r="L3481" t="s">
        <v>895</v>
      </c>
      <c r="M3481" t="s">
        <v>4402</v>
      </c>
      <c r="O3481" t="s">
        <v>896</v>
      </c>
      <c r="P3481" t="s">
        <v>33</v>
      </c>
      <c r="Q3481">
        <v>171.55</v>
      </c>
      <c r="R3481" t="s">
        <v>35</v>
      </c>
      <c r="S3481" t="s">
        <v>35</v>
      </c>
      <c r="T3481" t="s">
        <v>35</v>
      </c>
      <c r="U3481" t="s">
        <v>35</v>
      </c>
      <c r="V3481" t="s">
        <v>645</v>
      </c>
      <c r="W3481" t="s">
        <v>113</v>
      </c>
    </row>
    <row r="3482" spans="1:23" hidden="1" x14ac:dyDescent="0.25">
      <c r="A3482" s="7" t="str">
        <f>IFERROR(VLOOKUP(H3482,'Contas Orç'!A:B,2,0),"N/A")</f>
        <v>DESPESAS GERAIS</v>
      </c>
      <c r="B3482" s="7" t="str">
        <f t="shared" si="108"/>
        <v>330409 - DESPESAS GERAIS</v>
      </c>
      <c r="C3482" s="25">
        <f t="shared" si="109"/>
        <v>44835</v>
      </c>
      <c r="D3482" s="27">
        <f>IF(K3482="CREDITO",Q3482,Q3482*-1)</f>
        <v>5486.32</v>
      </c>
      <c r="E3482" t="s">
        <v>894</v>
      </c>
      <c r="F3482" t="s">
        <v>3975</v>
      </c>
      <c r="G3482" s="8">
        <v>44835</v>
      </c>
      <c r="H3482" t="s">
        <v>160</v>
      </c>
      <c r="I3482" t="s">
        <v>59</v>
      </c>
      <c r="J3482" t="s">
        <v>60</v>
      </c>
      <c r="K3482" t="s">
        <v>29</v>
      </c>
      <c r="L3482" t="s">
        <v>895</v>
      </c>
      <c r="M3482" t="s">
        <v>4402</v>
      </c>
      <c r="O3482" t="s">
        <v>896</v>
      </c>
      <c r="P3482" t="s">
        <v>33</v>
      </c>
      <c r="Q3482" s="22">
        <v>5486.32</v>
      </c>
      <c r="R3482" t="s">
        <v>35</v>
      </c>
      <c r="S3482" t="s">
        <v>35</v>
      </c>
      <c r="T3482" t="s">
        <v>35</v>
      </c>
      <c r="U3482" t="s">
        <v>35</v>
      </c>
      <c r="V3482" t="s">
        <v>645</v>
      </c>
      <c r="W3482" t="s">
        <v>113</v>
      </c>
    </row>
    <row r="3483" spans="1:23" hidden="1" x14ac:dyDescent="0.25">
      <c r="A3483" s="7" t="str">
        <f>IFERROR(VLOOKUP(H3483,'Contas Orç'!A:B,2,0),"N/A")</f>
        <v>DESPESAS GERAIS</v>
      </c>
      <c r="B3483" s="7" t="str">
        <f t="shared" si="108"/>
        <v>330409 - DESPESAS GERAIS</v>
      </c>
      <c r="C3483" s="25">
        <f t="shared" si="109"/>
        <v>44835</v>
      </c>
      <c r="D3483" s="27">
        <f>IF(K3483="CREDITO",Q3483,Q3483*-1)</f>
        <v>1975.74</v>
      </c>
      <c r="E3483" t="s">
        <v>894</v>
      </c>
      <c r="F3483" t="s">
        <v>3976</v>
      </c>
      <c r="G3483" s="8">
        <v>44835</v>
      </c>
      <c r="H3483" t="s">
        <v>160</v>
      </c>
      <c r="I3483" t="s">
        <v>68</v>
      </c>
      <c r="J3483" t="s">
        <v>69</v>
      </c>
      <c r="K3483" t="s">
        <v>29</v>
      </c>
      <c r="L3483" t="s">
        <v>895</v>
      </c>
      <c r="M3483" t="s">
        <v>4402</v>
      </c>
      <c r="O3483" t="s">
        <v>896</v>
      </c>
      <c r="P3483" t="s">
        <v>33</v>
      </c>
      <c r="Q3483" s="22">
        <v>1975.74</v>
      </c>
      <c r="R3483" t="s">
        <v>35</v>
      </c>
      <c r="S3483" t="s">
        <v>35</v>
      </c>
      <c r="T3483" t="s">
        <v>35</v>
      </c>
      <c r="U3483" t="s">
        <v>35</v>
      </c>
      <c r="V3483" t="s">
        <v>645</v>
      </c>
      <c r="W3483" t="s">
        <v>113</v>
      </c>
    </row>
    <row r="3484" spans="1:23" hidden="1" x14ac:dyDescent="0.25">
      <c r="A3484" s="7" t="str">
        <f>IFERROR(VLOOKUP(H3484,'Contas Orç'!A:B,2,0),"N/A")</f>
        <v>DESPESAS GERAIS</v>
      </c>
      <c r="B3484" s="7" t="str">
        <f t="shared" si="108"/>
        <v>330409 - DESPESAS GERAIS</v>
      </c>
      <c r="C3484" s="25">
        <f t="shared" si="109"/>
        <v>44835</v>
      </c>
      <c r="D3484" s="27">
        <f>IF(K3484="CREDITO",Q3484,Q3484*-1)</f>
        <v>4603.22</v>
      </c>
      <c r="E3484" t="s">
        <v>894</v>
      </c>
      <c r="F3484" t="s">
        <v>3977</v>
      </c>
      <c r="G3484" s="8">
        <v>44835</v>
      </c>
      <c r="H3484" t="s">
        <v>160</v>
      </c>
      <c r="I3484" t="s">
        <v>40</v>
      </c>
      <c r="J3484" t="s">
        <v>54</v>
      </c>
      <c r="K3484" t="s">
        <v>29</v>
      </c>
      <c r="L3484" t="s">
        <v>895</v>
      </c>
      <c r="M3484" t="s">
        <v>4402</v>
      </c>
      <c r="O3484" t="s">
        <v>896</v>
      </c>
      <c r="P3484" t="s">
        <v>33</v>
      </c>
      <c r="Q3484" s="22">
        <v>4603.22</v>
      </c>
      <c r="R3484" t="s">
        <v>35</v>
      </c>
      <c r="S3484" t="s">
        <v>35</v>
      </c>
      <c r="T3484" t="s">
        <v>35</v>
      </c>
      <c r="U3484" t="s">
        <v>35</v>
      </c>
      <c r="V3484" t="s">
        <v>645</v>
      </c>
      <c r="W3484" t="s">
        <v>113</v>
      </c>
    </row>
    <row r="3485" spans="1:23" hidden="1" x14ac:dyDescent="0.25">
      <c r="A3485" s="7" t="str">
        <f>IFERROR(VLOOKUP(H3485,'Contas Orç'!A:B,2,0),"N/A")</f>
        <v>DESPESAS GERAIS</v>
      </c>
      <c r="B3485" s="7" t="str">
        <f t="shared" si="108"/>
        <v>330409 - DESPESAS GERAIS</v>
      </c>
      <c r="C3485" s="25">
        <f t="shared" si="109"/>
        <v>44835</v>
      </c>
      <c r="D3485" s="27">
        <f>IF(K3485="CREDITO",Q3485,Q3485*-1)</f>
        <v>108.28</v>
      </c>
      <c r="E3485" t="s">
        <v>894</v>
      </c>
      <c r="F3485" t="s">
        <v>3978</v>
      </c>
      <c r="G3485" s="8">
        <v>44835</v>
      </c>
      <c r="H3485" t="s">
        <v>160</v>
      </c>
      <c r="I3485" t="s">
        <v>121</v>
      </c>
      <c r="J3485" t="s">
        <v>54</v>
      </c>
      <c r="K3485" t="s">
        <v>29</v>
      </c>
      <c r="L3485" t="s">
        <v>895</v>
      </c>
      <c r="M3485" t="s">
        <v>4402</v>
      </c>
      <c r="O3485" t="s">
        <v>896</v>
      </c>
      <c r="P3485" t="s">
        <v>33</v>
      </c>
      <c r="Q3485">
        <v>108.28</v>
      </c>
      <c r="R3485" t="s">
        <v>35</v>
      </c>
      <c r="S3485" t="s">
        <v>35</v>
      </c>
      <c r="T3485" t="s">
        <v>35</v>
      </c>
      <c r="U3485" t="s">
        <v>35</v>
      </c>
      <c r="V3485" t="s">
        <v>645</v>
      </c>
      <c r="W3485" t="s">
        <v>113</v>
      </c>
    </row>
    <row r="3486" spans="1:23" hidden="1" x14ac:dyDescent="0.25">
      <c r="A3486" s="7" t="str">
        <f>IFERROR(VLOOKUP(H3486,'Contas Orç'!A:B,2,0),"N/A")</f>
        <v>DESPESAS GERAIS</v>
      </c>
      <c r="B3486" s="7" t="str">
        <f t="shared" si="108"/>
        <v>330409 - DESPESAS GERAIS</v>
      </c>
      <c r="C3486" s="25">
        <f t="shared" si="109"/>
        <v>44835</v>
      </c>
      <c r="D3486" s="27">
        <f>IF(K3486="CREDITO",Q3486,Q3486*-1)</f>
        <v>463.81</v>
      </c>
      <c r="E3486" t="s">
        <v>894</v>
      </c>
      <c r="F3486" t="s">
        <v>3979</v>
      </c>
      <c r="G3486" s="8">
        <v>44835</v>
      </c>
      <c r="H3486" t="s">
        <v>160</v>
      </c>
      <c r="I3486" t="s">
        <v>132</v>
      </c>
      <c r="J3486" t="s">
        <v>54</v>
      </c>
      <c r="K3486" t="s">
        <v>29</v>
      </c>
      <c r="L3486" t="s">
        <v>895</v>
      </c>
      <c r="M3486" t="s">
        <v>4402</v>
      </c>
      <c r="O3486" t="s">
        <v>896</v>
      </c>
      <c r="P3486" t="s">
        <v>33</v>
      </c>
      <c r="Q3486">
        <v>463.81</v>
      </c>
      <c r="R3486" t="s">
        <v>35</v>
      </c>
      <c r="S3486" t="s">
        <v>35</v>
      </c>
      <c r="T3486" t="s">
        <v>35</v>
      </c>
      <c r="U3486" t="s">
        <v>35</v>
      </c>
      <c r="V3486" t="s">
        <v>645</v>
      </c>
      <c r="W3486" t="s">
        <v>113</v>
      </c>
    </row>
    <row r="3487" spans="1:23" hidden="1" x14ac:dyDescent="0.25">
      <c r="A3487" s="7" t="str">
        <f>IFERROR(VLOOKUP(H3487,'Contas Orç'!A:B,2,0),"N/A")</f>
        <v>DESPESAS GERAIS</v>
      </c>
      <c r="B3487" s="7" t="str">
        <f t="shared" si="108"/>
        <v>330409 - DESPESAS GERAIS</v>
      </c>
      <c r="C3487" s="25">
        <f t="shared" si="109"/>
        <v>44835</v>
      </c>
      <c r="D3487" s="27">
        <f>IF(K3487="CREDITO",Q3487,Q3487*-1)</f>
        <v>5.0999999999999996</v>
      </c>
      <c r="E3487" t="s">
        <v>894</v>
      </c>
      <c r="F3487" t="s">
        <v>3980</v>
      </c>
      <c r="G3487" s="8">
        <v>44835</v>
      </c>
      <c r="H3487" t="s">
        <v>160</v>
      </c>
      <c r="I3487" t="s">
        <v>78</v>
      </c>
      <c r="J3487" t="s">
        <v>54</v>
      </c>
      <c r="K3487" t="s">
        <v>29</v>
      </c>
      <c r="L3487" t="s">
        <v>895</v>
      </c>
      <c r="M3487" t="s">
        <v>4402</v>
      </c>
      <c r="O3487" t="s">
        <v>896</v>
      </c>
      <c r="P3487" t="s">
        <v>33</v>
      </c>
      <c r="Q3487">
        <v>5.0999999999999996</v>
      </c>
      <c r="R3487" t="s">
        <v>35</v>
      </c>
      <c r="S3487" t="s">
        <v>35</v>
      </c>
      <c r="T3487" t="s">
        <v>35</v>
      </c>
      <c r="U3487" t="s">
        <v>35</v>
      </c>
      <c r="V3487" t="s">
        <v>645</v>
      </c>
      <c r="W3487" t="s">
        <v>113</v>
      </c>
    </row>
    <row r="3488" spans="1:23" hidden="1" x14ac:dyDescent="0.25">
      <c r="A3488" s="7" t="str">
        <f>IFERROR(VLOOKUP(H3488,'Contas Orç'!A:B,2,0),"N/A")</f>
        <v>DESPESAS GERAIS</v>
      </c>
      <c r="B3488" s="7" t="str">
        <f t="shared" si="108"/>
        <v>330409 - DESPESAS GERAIS</v>
      </c>
      <c r="C3488" s="25">
        <f t="shared" si="109"/>
        <v>44835</v>
      </c>
      <c r="D3488" s="27">
        <f>IF(K3488="CREDITO",Q3488,Q3488*-1)</f>
        <v>808.16</v>
      </c>
      <c r="E3488" t="s">
        <v>894</v>
      </c>
      <c r="F3488" t="s">
        <v>3981</v>
      </c>
      <c r="G3488" s="8">
        <v>44835</v>
      </c>
      <c r="H3488" t="s">
        <v>160</v>
      </c>
      <c r="I3488" t="s">
        <v>81</v>
      </c>
      <c r="J3488" t="s">
        <v>54</v>
      </c>
      <c r="K3488" t="s">
        <v>29</v>
      </c>
      <c r="L3488" t="s">
        <v>895</v>
      </c>
      <c r="M3488" t="s">
        <v>4402</v>
      </c>
      <c r="O3488" t="s">
        <v>896</v>
      </c>
      <c r="P3488" t="s">
        <v>33</v>
      </c>
      <c r="Q3488">
        <v>808.16</v>
      </c>
      <c r="R3488" t="s">
        <v>35</v>
      </c>
      <c r="S3488" t="s">
        <v>35</v>
      </c>
      <c r="T3488" t="s">
        <v>35</v>
      </c>
      <c r="U3488" t="s">
        <v>35</v>
      </c>
      <c r="V3488" t="s">
        <v>645</v>
      </c>
      <c r="W3488" t="s">
        <v>113</v>
      </c>
    </row>
    <row r="3489" spans="1:23" hidden="1" x14ac:dyDescent="0.25">
      <c r="A3489" s="7" t="str">
        <f>IFERROR(VLOOKUP(H3489,'Contas Orç'!A:B,2,0),"N/A")</f>
        <v>DESPESAS GERAIS</v>
      </c>
      <c r="B3489" s="7" t="str">
        <f t="shared" si="108"/>
        <v>330409 - DESPESAS GERAIS</v>
      </c>
      <c r="C3489" s="25">
        <f t="shared" si="109"/>
        <v>44835</v>
      </c>
      <c r="D3489" s="27">
        <f>IF(K3489="CREDITO",Q3489,Q3489*-1)</f>
        <v>328.2</v>
      </c>
      <c r="E3489" t="s">
        <v>894</v>
      </c>
      <c r="F3489" t="s">
        <v>3982</v>
      </c>
      <c r="G3489" s="8">
        <v>44835</v>
      </c>
      <c r="H3489" t="s">
        <v>160</v>
      </c>
      <c r="I3489" t="s">
        <v>136</v>
      </c>
      <c r="J3489" t="s">
        <v>54</v>
      </c>
      <c r="K3489" t="s">
        <v>29</v>
      </c>
      <c r="L3489" t="s">
        <v>895</v>
      </c>
      <c r="M3489" t="s">
        <v>4402</v>
      </c>
      <c r="O3489" t="s">
        <v>896</v>
      </c>
      <c r="P3489" t="s">
        <v>33</v>
      </c>
      <c r="Q3489">
        <v>328.2</v>
      </c>
      <c r="R3489" t="s">
        <v>35</v>
      </c>
      <c r="S3489" t="s">
        <v>35</v>
      </c>
      <c r="T3489" t="s">
        <v>35</v>
      </c>
      <c r="U3489" t="s">
        <v>35</v>
      </c>
      <c r="V3489" t="s">
        <v>645</v>
      </c>
      <c r="W3489" t="s">
        <v>113</v>
      </c>
    </row>
    <row r="3490" spans="1:23" hidden="1" x14ac:dyDescent="0.25">
      <c r="A3490" s="7" t="str">
        <f>IFERROR(VLOOKUP(H3490,'Contas Orç'!A:B,2,0),"N/A")</f>
        <v>DESPESAS GERAIS</v>
      </c>
      <c r="B3490" s="7" t="str">
        <f t="shared" si="108"/>
        <v>330409 - DESPESAS GERAIS</v>
      </c>
      <c r="C3490" s="25">
        <f t="shared" si="109"/>
        <v>44866</v>
      </c>
      <c r="D3490" s="27">
        <f>IF(K3490="CREDITO",Q3490,Q3490*-1)</f>
        <v>173.26</v>
      </c>
      <c r="E3490" t="s">
        <v>894</v>
      </c>
      <c r="F3490" t="s">
        <v>3983</v>
      </c>
      <c r="G3490" s="8">
        <v>44866</v>
      </c>
      <c r="H3490" t="s">
        <v>160</v>
      </c>
      <c r="I3490" t="s">
        <v>99</v>
      </c>
      <c r="J3490" t="s">
        <v>28</v>
      </c>
      <c r="K3490" t="s">
        <v>29</v>
      </c>
      <c r="L3490" t="s">
        <v>895</v>
      </c>
      <c r="M3490" t="s">
        <v>4402</v>
      </c>
      <c r="O3490" t="s">
        <v>896</v>
      </c>
      <c r="P3490" t="s">
        <v>33</v>
      </c>
      <c r="Q3490">
        <v>173.26</v>
      </c>
      <c r="R3490" t="s">
        <v>35</v>
      </c>
      <c r="S3490" t="s">
        <v>35</v>
      </c>
      <c r="T3490" t="s">
        <v>35</v>
      </c>
      <c r="U3490" t="s">
        <v>35</v>
      </c>
      <c r="V3490" t="s">
        <v>645</v>
      </c>
      <c r="W3490" t="s">
        <v>113</v>
      </c>
    </row>
    <row r="3491" spans="1:23" hidden="1" x14ac:dyDescent="0.25">
      <c r="A3491" s="7" t="str">
        <f>IFERROR(VLOOKUP(H3491,'Contas Orç'!A:B,2,0),"N/A")</f>
        <v>DESPESAS GERAIS</v>
      </c>
      <c r="B3491" s="7" t="str">
        <f t="shared" si="108"/>
        <v>330409 - DESPESAS GERAIS</v>
      </c>
      <c r="C3491" s="25">
        <f t="shared" si="109"/>
        <v>44866</v>
      </c>
      <c r="D3491" s="27">
        <f>IF(K3491="CREDITO",Q3491,Q3491*-1)</f>
        <v>5541.18</v>
      </c>
      <c r="E3491" t="s">
        <v>894</v>
      </c>
      <c r="F3491" t="s">
        <v>3984</v>
      </c>
      <c r="G3491" s="8">
        <v>44866</v>
      </c>
      <c r="H3491" t="s">
        <v>160</v>
      </c>
      <c r="I3491" t="s">
        <v>59</v>
      </c>
      <c r="J3491" t="s">
        <v>60</v>
      </c>
      <c r="K3491" t="s">
        <v>29</v>
      </c>
      <c r="L3491" t="s">
        <v>895</v>
      </c>
      <c r="M3491" t="s">
        <v>4402</v>
      </c>
      <c r="O3491" t="s">
        <v>896</v>
      </c>
      <c r="P3491" t="s">
        <v>33</v>
      </c>
      <c r="Q3491" s="22">
        <v>5541.18</v>
      </c>
      <c r="R3491" t="s">
        <v>35</v>
      </c>
      <c r="S3491" t="s">
        <v>35</v>
      </c>
      <c r="T3491" t="s">
        <v>35</v>
      </c>
      <c r="U3491" t="s">
        <v>35</v>
      </c>
      <c r="V3491" t="s">
        <v>645</v>
      </c>
      <c r="W3491" t="s">
        <v>113</v>
      </c>
    </row>
    <row r="3492" spans="1:23" hidden="1" x14ac:dyDescent="0.25">
      <c r="A3492" s="7" t="str">
        <f>IFERROR(VLOOKUP(H3492,'Contas Orç'!A:B,2,0),"N/A")</f>
        <v>DESPESAS GERAIS</v>
      </c>
      <c r="B3492" s="7" t="str">
        <f t="shared" si="108"/>
        <v>330409 - DESPESAS GERAIS</v>
      </c>
      <c r="C3492" s="25">
        <f t="shared" si="109"/>
        <v>44866</v>
      </c>
      <c r="D3492" s="27">
        <f>IF(K3492="CREDITO",Q3492,Q3492*-1)</f>
        <v>1995.5</v>
      </c>
      <c r="E3492" t="s">
        <v>894</v>
      </c>
      <c r="F3492" t="s">
        <v>3985</v>
      </c>
      <c r="G3492" s="8">
        <v>44866</v>
      </c>
      <c r="H3492" t="s">
        <v>160</v>
      </c>
      <c r="I3492" t="s">
        <v>68</v>
      </c>
      <c r="J3492" t="s">
        <v>69</v>
      </c>
      <c r="K3492" t="s">
        <v>29</v>
      </c>
      <c r="L3492" t="s">
        <v>895</v>
      </c>
      <c r="M3492" t="s">
        <v>4402</v>
      </c>
      <c r="O3492" t="s">
        <v>896</v>
      </c>
      <c r="P3492" t="s">
        <v>33</v>
      </c>
      <c r="Q3492" s="22">
        <v>1995.5</v>
      </c>
      <c r="R3492" t="s">
        <v>35</v>
      </c>
      <c r="S3492" t="s">
        <v>35</v>
      </c>
      <c r="T3492" t="s">
        <v>35</v>
      </c>
      <c r="U3492" t="s">
        <v>35</v>
      </c>
      <c r="V3492" t="s">
        <v>645</v>
      </c>
      <c r="W3492" t="s">
        <v>113</v>
      </c>
    </row>
    <row r="3493" spans="1:23" hidden="1" x14ac:dyDescent="0.25">
      <c r="A3493" s="7" t="str">
        <f>IFERROR(VLOOKUP(H3493,'Contas Orç'!A:B,2,0),"N/A")</f>
        <v>DESPESAS GERAIS</v>
      </c>
      <c r="B3493" s="7" t="str">
        <f t="shared" si="108"/>
        <v>330409 - DESPESAS GERAIS</v>
      </c>
      <c r="C3493" s="25">
        <f t="shared" si="109"/>
        <v>44866</v>
      </c>
      <c r="D3493" s="27">
        <f>IF(K3493="CREDITO",Q3493,Q3493*-1)</f>
        <v>4649.25</v>
      </c>
      <c r="E3493" t="s">
        <v>894</v>
      </c>
      <c r="F3493" t="s">
        <v>3986</v>
      </c>
      <c r="G3493" s="8">
        <v>44866</v>
      </c>
      <c r="H3493" t="s">
        <v>160</v>
      </c>
      <c r="I3493" t="s">
        <v>40</v>
      </c>
      <c r="J3493" t="s">
        <v>54</v>
      </c>
      <c r="K3493" t="s">
        <v>29</v>
      </c>
      <c r="L3493" t="s">
        <v>895</v>
      </c>
      <c r="M3493" t="s">
        <v>4402</v>
      </c>
      <c r="O3493" t="s">
        <v>896</v>
      </c>
      <c r="P3493" t="s">
        <v>33</v>
      </c>
      <c r="Q3493" s="22">
        <v>4649.25</v>
      </c>
      <c r="R3493" t="s">
        <v>35</v>
      </c>
      <c r="S3493" t="s">
        <v>35</v>
      </c>
      <c r="T3493" t="s">
        <v>35</v>
      </c>
      <c r="U3493" t="s">
        <v>35</v>
      </c>
      <c r="V3493" t="s">
        <v>645</v>
      </c>
      <c r="W3493" t="s">
        <v>113</v>
      </c>
    </row>
    <row r="3494" spans="1:23" hidden="1" x14ac:dyDescent="0.25">
      <c r="A3494" s="7" t="str">
        <f>IFERROR(VLOOKUP(H3494,'Contas Orç'!A:B,2,0),"N/A")</f>
        <v>DESPESAS GERAIS</v>
      </c>
      <c r="B3494" s="7" t="str">
        <f t="shared" si="108"/>
        <v>330409 - DESPESAS GERAIS</v>
      </c>
      <c r="C3494" s="25">
        <f t="shared" si="109"/>
        <v>44866</v>
      </c>
      <c r="D3494" s="27">
        <f>IF(K3494="CREDITO",Q3494,Q3494*-1)</f>
        <v>109.36</v>
      </c>
      <c r="E3494" t="s">
        <v>894</v>
      </c>
      <c r="F3494" t="s">
        <v>3987</v>
      </c>
      <c r="G3494" s="8">
        <v>44866</v>
      </c>
      <c r="H3494" t="s">
        <v>160</v>
      </c>
      <c r="I3494" t="s">
        <v>121</v>
      </c>
      <c r="J3494" t="s">
        <v>54</v>
      </c>
      <c r="K3494" t="s">
        <v>29</v>
      </c>
      <c r="L3494" t="s">
        <v>895</v>
      </c>
      <c r="M3494" t="s">
        <v>4402</v>
      </c>
      <c r="O3494" t="s">
        <v>896</v>
      </c>
      <c r="P3494" t="s">
        <v>33</v>
      </c>
      <c r="Q3494">
        <v>109.36</v>
      </c>
      <c r="R3494" t="s">
        <v>35</v>
      </c>
      <c r="S3494" t="s">
        <v>35</v>
      </c>
      <c r="T3494" t="s">
        <v>35</v>
      </c>
      <c r="U3494" t="s">
        <v>35</v>
      </c>
      <c r="V3494" t="s">
        <v>645</v>
      </c>
      <c r="W3494" t="s">
        <v>113</v>
      </c>
    </row>
    <row r="3495" spans="1:23" hidden="1" x14ac:dyDescent="0.25">
      <c r="A3495" s="7" t="str">
        <f>IFERROR(VLOOKUP(H3495,'Contas Orç'!A:B,2,0),"N/A")</f>
        <v>DESPESAS GERAIS</v>
      </c>
      <c r="B3495" s="7" t="str">
        <f t="shared" si="108"/>
        <v>330409 - DESPESAS GERAIS</v>
      </c>
      <c r="C3495" s="25">
        <f t="shared" si="109"/>
        <v>44866</v>
      </c>
      <c r="D3495" s="27">
        <f>IF(K3495="CREDITO",Q3495,Q3495*-1)</f>
        <v>468.45</v>
      </c>
      <c r="E3495" t="s">
        <v>894</v>
      </c>
      <c r="F3495" t="s">
        <v>3988</v>
      </c>
      <c r="G3495" s="8">
        <v>44866</v>
      </c>
      <c r="H3495" t="s">
        <v>160</v>
      </c>
      <c r="I3495" t="s">
        <v>132</v>
      </c>
      <c r="J3495" t="s">
        <v>54</v>
      </c>
      <c r="K3495" t="s">
        <v>29</v>
      </c>
      <c r="L3495" t="s">
        <v>895</v>
      </c>
      <c r="M3495" t="s">
        <v>4402</v>
      </c>
      <c r="O3495" t="s">
        <v>896</v>
      </c>
      <c r="P3495" t="s">
        <v>33</v>
      </c>
      <c r="Q3495">
        <v>468.45</v>
      </c>
      <c r="R3495" t="s">
        <v>35</v>
      </c>
      <c r="S3495" t="s">
        <v>35</v>
      </c>
      <c r="T3495" t="s">
        <v>35</v>
      </c>
      <c r="U3495" t="s">
        <v>35</v>
      </c>
      <c r="V3495" t="s">
        <v>645</v>
      </c>
      <c r="W3495" t="s">
        <v>113</v>
      </c>
    </row>
    <row r="3496" spans="1:23" hidden="1" x14ac:dyDescent="0.25">
      <c r="A3496" s="7" t="str">
        <f>IFERROR(VLOOKUP(H3496,'Contas Orç'!A:B,2,0),"N/A")</f>
        <v>DESPESAS GERAIS</v>
      </c>
      <c r="B3496" s="7" t="str">
        <f t="shared" si="108"/>
        <v>330409 - DESPESAS GERAIS</v>
      </c>
      <c r="C3496" s="25">
        <f t="shared" si="109"/>
        <v>44866</v>
      </c>
      <c r="D3496" s="27">
        <f>IF(K3496="CREDITO",Q3496,Q3496*-1)</f>
        <v>5.15</v>
      </c>
      <c r="E3496" t="s">
        <v>894</v>
      </c>
      <c r="F3496" t="s">
        <v>3989</v>
      </c>
      <c r="G3496" s="8">
        <v>44866</v>
      </c>
      <c r="H3496" t="s">
        <v>160</v>
      </c>
      <c r="I3496" t="s">
        <v>78</v>
      </c>
      <c r="J3496" t="s">
        <v>54</v>
      </c>
      <c r="K3496" t="s">
        <v>29</v>
      </c>
      <c r="L3496" t="s">
        <v>895</v>
      </c>
      <c r="M3496" t="s">
        <v>4402</v>
      </c>
      <c r="O3496" t="s">
        <v>896</v>
      </c>
      <c r="P3496" t="s">
        <v>33</v>
      </c>
      <c r="Q3496">
        <v>5.15</v>
      </c>
      <c r="R3496" t="s">
        <v>35</v>
      </c>
      <c r="S3496" t="s">
        <v>35</v>
      </c>
      <c r="T3496" t="s">
        <v>35</v>
      </c>
      <c r="U3496" t="s">
        <v>35</v>
      </c>
      <c r="V3496" t="s">
        <v>645</v>
      </c>
      <c r="W3496" t="s">
        <v>113</v>
      </c>
    </row>
    <row r="3497" spans="1:23" hidden="1" x14ac:dyDescent="0.25">
      <c r="A3497" s="7" t="str">
        <f>IFERROR(VLOOKUP(H3497,'Contas Orç'!A:B,2,0),"N/A")</f>
        <v>DESPESAS GERAIS</v>
      </c>
      <c r="B3497" s="7" t="str">
        <f t="shared" si="108"/>
        <v>330409 - DESPESAS GERAIS</v>
      </c>
      <c r="C3497" s="25">
        <f t="shared" si="109"/>
        <v>44866</v>
      </c>
      <c r="D3497" s="27">
        <f>IF(K3497="CREDITO",Q3497,Q3497*-1)</f>
        <v>816.24</v>
      </c>
      <c r="E3497" t="s">
        <v>894</v>
      </c>
      <c r="F3497" t="s">
        <v>3990</v>
      </c>
      <c r="G3497" s="8">
        <v>44866</v>
      </c>
      <c r="H3497" t="s">
        <v>160</v>
      </c>
      <c r="I3497" t="s">
        <v>81</v>
      </c>
      <c r="J3497" t="s">
        <v>54</v>
      </c>
      <c r="K3497" t="s">
        <v>29</v>
      </c>
      <c r="L3497" t="s">
        <v>895</v>
      </c>
      <c r="M3497" t="s">
        <v>4402</v>
      </c>
      <c r="O3497" t="s">
        <v>896</v>
      </c>
      <c r="P3497" t="s">
        <v>33</v>
      </c>
      <c r="Q3497">
        <v>816.24</v>
      </c>
      <c r="R3497" t="s">
        <v>35</v>
      </c>
      <c r="S3497" t="s">
        <v>35</v>
      </c>
      <c r="T3497" t="s">
        <v>35</v>
      </c>
      <c r="U3497" t="s">
        <v>35</v>
      </c>
      <c r="V3497" t="s">
        <v>645</v>
      </c>
      <c r="W3497" t="s">
        <v>113</v>
      </c>
    </row>
    <row r="3498" spans="1:23" hidden="1" x14ac:dyDescent="0.25">
      <c r="A3498" s="7" t="str">
        <f>IFERROR(VLOOKUP(H3498,'Contas Orç'!A:B,2,0),"N/A")</f>
        <v>DESPESAS GERAIS</v>
      </c>
      <c r="B3498" s="7" t="str">
        <f t="shared" si="108"/>
        <v>330409 - DESPESAS GERAIS</v>
      </c>
      <c r="C3498" s="25">
        <f t="shared" si="109"/>
        <v>44866</v>
      </c>
      <c r="D3498" s="27">
        <f>IF(K3498="CREDITO",Q3498,Q3498*-1)</f>
        <v>331.48</v>
      </c>
      <c r="E3498" t="s">
        <v>894</v>
      </c>
      <c r="F3498" t="s">
        <v>3991</v>
      </c>
      <c r="G3498" s="8">
        <v>44866</v>
      </c>
      <c r="H3498" t="s">
        <v>160</v>
      </c>
      <c r="I3498" t="s">
        <v>136</v>
      </c>
      <c r="J3498" t="s">
        <v>54</v>
      </c>
      <c r="K3498" t="s">
        <v>29</v>
      </c>
      <c r="L3498" t="s">
        <v>895</v>
      </c>
      <c r="M3498" t="s">
        <v>4402</v>
      </c>
      <c r="O3498" t="s">
        <v>896</v>
      </c>
      <c r="P3498" t="s">
        <v>33</v>
      </c>
      <c r="Q3498">
        <v>331.48</v>
      </c>
      <c r="R3498" t="s">
        <v>35</v>
      </c>
      <c r="S3498" t="s">
        <v>35</v>
      </c>
      <c r="T3498" t="s">
        <v>35</v>
      </c>
      <c r="U3498" t="s">
        <v>35</v>
      </c>
      <c r="V3498" t="s">
        <v>645</v>
      </c>
      <c r="W3498" t="s">
        <v>113</v>
      </c>
    </row>
    <row r="3499" spans="1:23" hidden="1" x14ac:dyDescent="0.25">
      <c r="A3499" s="7" t="str">
        <f>IFERROR(VLOOKUP(H3499,'Contas Orç'!A:B,2,0),"N/A")</f>
        <v>DESPESAS GERAIS</v>
      </c>
      <c r="B3499" s="7" t="str">
        <f t="shared" si="108"/>
        <v>330409 - DESPESAS GERAIS</v>
      </c>
      <c r="C3499" s="25">
        <f t="shared" si="109"/>
        <v>44896</v>
      </c>
      <c r="D3499" s="27">
        <f>IF(K3499="CREDITO",Q3499,Q3499*-1)</f>
        <v>175</v>
      </c>
      <c r="E3499" t="s">
        <v>894</v>
      </c>
      <c r="F3499" t="s">
        <v>3992</v>
      </c>
      <c r="G3499" s="8">
        <v>44896</v>
      </c>
      <c r="H3499" t="s">
        <v>160</v>
      </c>
      <c r="I3499" t="s">
        <v>99</v>
      </c>
      <c r="J3499" t="s">
        <v>28</v>
      </c>
      <c r="K3499" t="s">
        <v>29</v>
      </c>
      <c r="L3499" t="s">
        <v>895</v>
      </c>
      <c r="M3499" t="s">
        <v>4402</v>
      </c>
      <c r="O3499" t="s">
        <v>896</v>
      </c>
      <c r="P3499" t="s">
        <v>33</v>
      </c>
      <c r="Q3499">
        <v>175</v>
      </c>
      <c r="R3499" t="s">
        <v>35</v>
      </c>
      <c r="S3499" t="s">
        <v>35</v>
      </c>
      <c r="T3499" t="s">
        <v>35</v>
      </c>
      <c r="U3499" t="s">
        <v>35</v>
      </c>
      <c r="V3499" t="s">
        <v>645</v>
      </c>
      <c r="W3499" t="s">
        <v>113</v>
      </c>
    </row>
    <row r="3500" spans="1:23" hidden="1" x14ac:dyDescent="0.25">
      <c r="A3500" s="7" t="str">
        <f>IFERROR(VLOOKUP(H3500,'Contas Orç'!A:B,2,0),"N/A")</f>
        <v>DESPESAS GERAIS</v>
      </c>
      <c r="B3500" s="7" t="str">
        <f t="shared" si="108"/>
        <v>330409 - DESPESAS GERAIS</v>
      </c>
      <c r="C3500" s="25">
        <f t="shared" si="109"/>
        <v>44896</v>
      </c>
      <c r="D3500" s="27">
        <f>IF(K3500="CREDITO",Q3500,Q3500*-1)</f>
        <v>5596.6</v>
      </c>
      <c r="E3500" t="s">
        <v>894</v>
      </c>
      <c r="F3500" t="s">
        <v>3993</v>
      </c>
      <c r="G3500" s="8">
        <v>44896</v>
      </c>
      <c r="H3500" t="s">
        <v>160</v>
      </c>
      <c r="I3500" t="s">
        <v>59</v>
      </c>
      <c r="J3500" t="s">
        <v>60</v>
      </c>
      <c r="K3500" t="s">
        <v>29</v>
      </c>
      <c r="L3500" t="s">
        <v>895</v>
      </c>
      <c r="M3500" t="s">
        <v>4402</v>
      </c>
      <c r="O3500" t="s">
        <v>896</v>
      </c>
      <c r="P3500" t="s">
        <v>33</v>
      </c>
      <c r="Q3500" s="22">
        <v>5596.6</v>
      </c>
      <c r="R3500" t="s">
        <v>35</v>
      </c>
      <c r="S3500" t="s">
        <v>35</v>
      </c>
      <c r="T3500" t="s">
        <v>35</v>
      </c>
      <c r="U3500" t="s">
        <v>35</v>
      </c>
      <c r="V3500" t="s">
        <v>645</v>
      </c>
      <c r="W3500" t="s">
        <v>113</v>
      </c>
    </row>
    <row r="3501" spans="1:23" hidden="1" x14ac:dyDescent="0.25">
      <c r="A3501" s="7" t="str">
        <f>IFERROR(VLOOKUP(H3501,'Contas Orç'!A:B,2,0),"N/A")</f>
        <v>DESPESAS GERAIS</v>
      </c>
      <c r="B3501" s="7" t="str">
        <f t="shared" si="108"/>
        <v>330409 - DESPESAS GERAIS</v>
      </c>
      <c r="C3501" s="25">
        <f t="shared" si="109"/>
        <v>44896</v>
      </c>
      <c r="D3501" s="27">
        <f>IF(K3501="CREDITO",Q3501,Q3501*-1)</f>
        <v>2015.45</v>
      </c>
      <c r="E3501" t="s">
        <v>894</v>
      </c>
      <c r="F3501" t="s">
        <v>3994</v>
      </c>
      <c r="G3501" s="8">
        <v>44896</v>
      </c>
      <c r="H3501" t="s">
        <v>160</v>
      </c>
      <c r="I3501" t="s">
        <v>68</v>
      </c>
      <c r="J3501" t="s">
        <v>69</v>
      </c>
      <c r="K3501" t="s">
        <v>29</v>
      </c>
      <c r="L3501" t="s">
        <v>895</v>
      </c>
      <c r="M3501" t="s">
        <v>4402</v>
      </c>
      <c r="O3501" t="s">
        <v>896</v>
      </c>
      <c r="P3501" t="s">
        <v>33</v>
      </c>
      <c r="Q3501" s="22">
        <v>2015.45</v>
      </c>
      <c r="R3501" t="s">
        <v>35</v>
      </c>
      <c r="S3501" t="s">
        <v>35</v>
      </c>
      <c r="T3501" t="s">
        <v>35</v>
      </c>
      <c r="U3501" t="s">
        <v>35</v>
      </c>
      <c r="V3501" t="s">
        <v>645</v>
      </c>
      <c r="W3501" t="s">
        <v>113</v>
      </c>
    </row>
    <row r="3502" spans="1:23" hidden="1" x14ac:dyDescent="0.25">
      <c r="A3502" s="7" t="str">
        <f>IFERROR(VLOOKUP(H3502,'Contas Orç'!A:B,2,0),"N/A")</f>
        <v>DESPESAS GERAIS</v>
      </c>
      <c r="B3502" s="7" t="str">
        <f t="shared" si="108"/>
        <v>330409 - DESPESAS GERAIS</v>
      </c>
      <c r="C3502" s="25">
        <f t="shared" si="109"/>
        <v>44896</v>
      </c>
      <c r="D3502" s="27">
        <f>IF(K3502="CREDITO",Q3502,Q3502*-1)</f>
        <v>4695.74</v>
      </c>
      <c r="E3502" t="s">
        <v>894</v>
      </c>
      <c r="F3502" t="s">
        <v>3995</v>
      </c>
      <c r="G3502" s="8">
        <v>44896</v>
      </c>
      <c r="H3502" t="s">
        <v>160</v>
      </c>
      <c r="I3502" t="s">
        <v>40</v>
      </c>
      <c r="J3502" t="s">
        <v>54</v>
      </c>
      <c r="K3502" t="s">
        <v>29</v>
      </c>
      <c r="L3502" t="s">
        <v>895</v>
      </c>
      <c r="M3502" t="s">
        <v>4402</v>
      </c>
      <c r="O3502" t="s">
        <v>896</v>
      </c>
      <c r="P3502" t="s">
        <v>33</v>
      </c>
      <c r="Q3502" s="22">
        <v>4695.74</v>
      </c>
      <c r="R3502" t="s">
        <v>35</v>
      </c>
      <c r="S3502" t="s">
        <v>35</v>
      </c>
      <c r="T3502" t="s">
        <v>35</v>
      </c>
      <c r="U3502" t="s">
        <v>35</v>
      </c>
      <c r="V3502" t="s">
        <v>645</v>
      </c>
      <c r="W3502" t="s">
        <v>113</v>
      </c>
    </row>
    <row r="3503" spans="1:23" hidden="1" x14ac:dyDescent="0.25">
      <c r="A3503" s="7" t="str">
        <f>IFERROR(VLOOKUP(H3503,'Contas Orç'!A:B,2,0),"N/A")</f>
        <v>DESPESAS GERAIS</v>
      </c>
      <c r="B3503" s="7" t="str">
        <f t="shared" si="108"/>
        <v>330409 - DESPESAS GERAIS</v>
      </c>
      <c r="C3503" s="25">
        <f t="shared" si="109"/>
        <v>44896</v>
      </c>
      <c r="D3503" s="27">
        <f>IF(K3503="CREDITO",Q3503,Q3503*-1)</f>
        <v>110.46</v>
      </c>
      <c r="E3503" t="s">
        <v>894</v>
      </c>
      <c r="F3503" t="s">
        <v>3996</v>
      </c>
      <c r="G3503" s="8">
        <v>44896</v>
      </c>
      <c r="H3503" t="s">
        <v>160</v>
      </c>
      <c r="I3503" t="s">
        <v>121</v>
      </c>
      <c r="J3503" t="s">
        <v>54</v>
      </c>
      <c r="K3503" t="s">
        <v>29</v>
      </c>
      <c r="L3503" t="s">
        <v>895</v>
      </c>
      <c r="M3503" t="s">
        <v>4402</v>
      </c>
      <c r="O3503" t="s">
        <v>896</v>
      </c>
      <c r="P3503" t="s">
        <v>33</v>
      </c>
      <c r="Q3503">
        <v>110.46</v>
      </c>
      <c r="R3503" t="s">
        <v>35</v>
      </c>
      <c r="S3503" t="s">
        <v>35</v>
      </c>
      <c r="T3503" t="s">
        <v>35</v>
      </c>
      <c r="U3503" t="s">
        <v>35</v>
      </c>
      <c r="V3503" t="s">
        <v>645</v>
      </c>
      <c r="W3503" t="s">
        <v>113</v>
      </c>
    </row>
    <row r="3504" spans="1:23" hidden="1" x14ac:dyDescent="0.25">
      <c r="A3504" s="7" t="str">
        <f>IFERROR(VLOOKUP(H3504,'Contas Orç'!A:B,2,0),"N/A")</f>
        <v>DESPESAS GERAIS</v>
      </c>
      <c r="B3504" s="7" t="str">
        <f t="shared" si="108"/>
        <v>330409 - DESPESAS GERAIS</v>
      </c>
      <c r="C3504" s="25">
        <f t="shared" si="109"/>
        <v>44896</v>
      </c>
      <c r="D3504" s="27">
        <f>IF(K3504="CREDITO",Q3504,Q3504*-1)</f>
        <v>473.13</v>
      </c>
      <c r="E3504" t="s">
        <v>894</v>
      </c>
      <c r="F3504" t="s">
        <v>3997</v>
      </c>
      <c r="G3504" s="8">
        <v>44896</v>
      </c>
      <c r="H3504" t="s">
        <v>160</v>
      </c>
      <c r="I3504" t="s">
        <v>132</v>
      </c>
      <c r="J3504" t="s">
        <v>54</v>
      </c>
      <c r="K3504" t="s">
        <v>29</v>
      </c>
      <c r="L3504" t="s">
        <v>895</v>
      </c>
      <c r="M3504" t="s">
        <v>4402</v>
      </c>
      <c r="O3504" t="s">
        <v>896</v>
      </c>
      <c r="P3504" t="s">
        <v>33</v>
      </c>
      <c r="Q3504">
        <v>473.13</v>
      </c>
      <c r="R3504" t="s">
        <v>35</v>
      </c>
      <c r="S3504" t="s">
        <v>35</v>
      </c>
      <c r="T3504" t="s">
        <v>35</v>
      </c>
      <c r="U3504" t="s">
        <v>35</v>
      </c>
      <c r="V3504" t="s">
        <v>645</v>
      </c>
      <c r="W3504" t="s">
        <v>113</v>
      </c>
    </row>
    <row r="3505" spans="1:23" hidden="1" x14ac:dyDescent="0.25">
      <c r="A3505" s="7" t="str">
        <f>IFERROR(VLOOKUP(H3505,'Contas Orç'!A:B,2,0),"N/A")</f>
        <v>DESPESAS GERAIS</v>
      </c>
      <c r="B3505" s="7" t="str">
        <f t="shared" si="108"/>
        <v>330409 - DESPESAS GERAIS</v>
      </c>
      <c r="C3505" s="25">
        <f t="shared" si="109"/>
        <v>44896</v>
      </c>
      <c r="D3505" s="27">
        <f>IF(K3505="CREDITO",Q3505,Q3505*-1)</f>
        <v>5.2</v>
      </c>
      <c r="E3505" t="s">
        <v>894</v>
      </c>
      <c r="F3505" t="s">
        <v>3998</v>
      </c>
      <c r="G3505" s="8">
        <v>44896</v>
      </c>
      <c r="H3505" t="s">
        <v>160</v>
      </c>
      <c r="I3505" t="s">
        <v>78</v>
      </c>
      <c r="J3505" t="s">
        <v>54</v>
      </c>
      <c r="K3505" t="s">
        <v>29</v>
      </c>
      <c r="L3505" t="s">
        <v>895</v>
      </c>
      <c r="M3505" t="s">
        <v>4402</v>
      </c>
      <c r="O3505" t="s">
        <v>896</v>
      </c>
      <c r="P3505" t="s">
        <v>33</v>
      </c>
      <c r="Q3505">
        <v>5.2</v>
      </c>
      <c r="R3505" t="s">
        <v>35</v>
      </c>
      <c r="S3505" t="s">
        <v>35</v>
      </c>
      <c r="T3505" t="s">
        <v>35</v>
      </c>
      <c r="U3505" t="s">
        <v>35</v>
      </c>
      <c r="V3505" t="s">
        <v>645</v>
      </c>
      <c r="W3505" t="s">
        <v>113</v>
      </c>
    </row>
    <row r="3506" spans="1:23" hidden="1" x14ac:dyDescent="0.25">
      <c r="A3506" s="7" t="str">
        <f>IFERROR(VLOOKUP(H3506,'Contas Orç'!A:B,2,0),"N/A")</f>
        <v>DESPESAS GERAIS</v>
      </c>
      <c r="B3506" s="7" t="str">
        <f t="shared" si="108"/>
        <v>330409 - DESPESAS GERAIS</v>
      </c>
      <c r="C3506" s="25">
        <f t="shared" si="109"/>
        <v>44896</v>
      </c>
      <c r="D3506" s="27">
        <f>IF(K3506="CREDITO",Q3506,Q3506*-1)</f>
        <v>824.41</v>
      </c>
      <c r="E3506" t="s">
        <v>894</v>
      </c>
      <c r="F3506" t="s">
        <v>3999</v>
      </c>
      <c r="G3506" s="8">
        <v>44896</v>
      </c>
      <c r="H3506" t="s">
        <v>160</v>
      </c>
      <c r="I3506" t="s">
        <v>81</v>
      </c>
      <c r="J3506" t="s">
        <v>54</v>
      </c>
      <c r="K3506" t="s">
        <v>29</v>
      </c>
      <c r="L3506" t="s">
        <v>895</v>
      </c>
      <c r="M3506" t="s">
        <v>4402</v>
      </c>
      <c r="O3506" t="s">
        <v>896</v>
      </c>
      <c r="P3506" t="s">
        <v>33</v>
      </c>
      <c r="Q3506">
        <v>824.41</v>
      </c>
      <c r="R3506" t="s">
        <v>35</v>
      </c>
      <c r="S3506" t="s">
        <v>35</v>
      </c>
      <c r="T3506" t="s">
        <v>35</v>
      </c>
      <c r="U3506" t="s">
        <v>35</v>
      </c>
      <c r="V3506" t="s">
        <v>645</v>
      </c>
      <c r="W3506" t="s">
        <v>113</v>
      </c>
    </row>
    <row r="3507" spans="1:23" hidden="1" x14ac:dyDescent="0.25">
      <c r="A3507" s="7" t="str">
        <f>IFERROR(VLOOKUP(H3507,'Contas Orç'!A:B,2,0),"N/A")</f>
        <v>DESPESAS GERAIS</v>
      </c>
      <c r="B3507" s="7" t="str">
        <f t="shared" si="108"/>
        <v>330409 - DESPESAS GERAIS</v>
      </c>
      <c r="C3507" s="25">
        <f t="shared" si="109"/>
        <v>44896</v>
      </c>
      <c r="D3507" s="27">
        <f>IF(K3507="CREDITO",Q3507,Q3507*-1)</f>
        <v>334.8</v>
      </c>
      <c r="E3507" t="s">
        <v>894</v>
      </c>
      <c r="F3507" t="s">
        <v>4000</v>
      </c>
      <c r="G3507" s="8">
        <v>44896</v>
      </c>
      <c r="H3507" t="s">
        <v>160</v>
      </c>
      <c r="I3507" t="s">
        <v>136</v>
      </c>
      <c r="J3507" t="s">
        <v>54</v>
      </c>
      <c r="K3507" t="s">
        <v>29</v>
      </c>
      <c r="L3507" t="s">
        <v>895</v>
      </c>
      <c r="M3507" t="s">
        <v>4402</v>
      </c>
      <c r="O3507" t="s">
        <v>896</v>
      </c>
      <c r="P3507" t="s">
        <v>33</v>
      </c>
      <c r="Q3507">
        <v>334.8</v>
      </c>
      <c r="R3507" t="s">
        <v>35</v>
      </c>
      <c r="S3507" t="s">
        <v>35</v>
      </c>
      <c r="T3507" t="s">
        <v>35</v>
      </c>
      <c r="U3507" t="s">
        <v>35</v>
      </c>
      <c r="V3507" t="s">
        <v>645</v>
      </c>
      <c r="W3507" t="s">
        <v>113</v>
      </c>
    </row>
    <row r="3508" spans="1:23" hidden="1" x14ac:dyDescent="0.25">
      <c r="A3508" s="7" t="str">
        <f>IFERROR(VLOOKUP(H3508,'Contas Orç'!A:B,2,0),"N/A")</f>
        <v>MARKETING</v>
      </c>
      <c r="B3508" s="7" t="str">
        <f t="shared" si="108"/>
        <v>330410 - MARKETING</v>
      </c>
      <c r="C3508" s="25">
        <f t="shared" si="109"/>
        <v>44621</v>
      </c>
      <c r="D3508" s="27">
        <f>IF(K3508="CREDITO",Q3508,Q3508*-1)</f>
        <v>30</v>
      </c>
      <c r="E3508" t="s">
        <v>894</v>
      </c>
      <c r="F3508" t="s">
        <v>4001</v>
      </c>
      <c r="G3508" s="8">
        <v>44621</v>
      </c>
      <c r="H3508" t="s">
        <v>601</v>
      </c>
      <c r="I3508" t="s">
        <v>2062</v>
      </c>
      <c r="J3508" t="s">
        <v>54</v>
      </c>
      <c r="K3508" t="s">
        <v>29</v>
      </c>
      <c r="L3508" t="s">
        <v>895</v>
      </c>
      <c r="M3508" t="s">
        <v>4402</v>
      </c>
      <c r="O3508" t="s">
        <v>896</v>
      </c>
      <c r="P3508" t="s">
        <v>33</v>
      </c>
      <c r="Q3508">
        <v>30</v>
      </c>
      <c r="R3508" t="s">
        <v>35</v>
      </c>
      <c r="S3508" t="s">
        <v>35</v>
      </c>
      <c r="T3508" t="s">
        <v>35</v>
      </c>
      <c r="U3508" t="s">
        <v>35</v>
      </c>
      <c r="V3508" t="s">
        <v>645</v>
      </c>
      <c r="W3508" t="s">
        <v>113</v>
      </c>
    </row>
    <row r="3509" spans="1:23" hidden="1" x14ac:dyDescent="0.25">
      <c r="A3509" s="7" t="str">
        <f>IFERROR(VLOOKUP(H3509,'Contas Orç'!A:B,2,0),"N/A")</f>
        <v>MARKETING</v>
      </c>
      <c r="B3509" s="7" t="str">
        <f t="shared" si="108"/>
        <v>330410 - MARKETING</v>
      </c>
      <c r="C3509" s="25">
        <f t="shared" si="109"/>
        <v>44621</v>
      </c>
      <c r="D3509" s="27">
        <f>IF(K3509="CREDITO",Q3509,Q3509*-1)</f>
        <v>5756</v>
      </c>
      <c r="E3509" t="s">
        <v>894</v>
      </c>
      <c r="F3509" t="s">
        <v>4002</v>
      </c>
      <c r="G3509" s="8">
        <v>44621</v>
      </c>
      <c r="H3509" t="s">
        <v>601</v>
      </c>
      <c r="I3509" t="s">
        <v>40</v>
      </c>
      <c r="J3509" t="s">
        <v>54</v>
      </c>
      <c r="K3509" t="s">
        <v>29</v>
      </c>
      <c r="L3509" t="s">
        <v>895</v>
      </c>
      <c r="M3509" t="s">
        <v>4402</v>
      </c>
      <c r="O3509" t="s">
        <v>896</v>
      </c>
      <c r="P3509" t="s">
        <v>33</v>
      </c>
      <c r="Q3509" s="22">
        <v>5756</v>
      </c>
      <c r="R3509" t="s">
        <v>35</v>
      </c>
      <c r="S3509" t="s">
        <v>35</v>
      </c>
      <c r="T3509" t="s">
        <v>35</v>
      </c>
      <c r="U3509" t="s">
        <v>35</v>
      </c>
      <c r="V3509" t="s">
        <v>645</v>
      </c>
      <c r="W3509" t="s">
        <v>113</v>
      </c>
    </row>
    <row r="3510" spans="1:23" hidden="1" x14ac:dyDescent="0.25">
      <c r="A3510" s="7" t="str">
        <f>IFERROR(VLOOKUP(H3510,'Contas Orç'!A:B,2,0),"N/A")</f>
        <v>MARKETING</v>
      </c>
      <c r="B3510" s="7" t="str">
        <f t="shared" si="108"/>
        <v>330410 - MARKETING</v>
      </c>
      <c r="C3510" s="25">
        <f t="shared" si="109"/>
        <v>44743</v>
      </c>
      <c r="D3510" s="27">
        <f>IF(K3510="CREDITO",Q3510,Q3510*-1)</f>
        <v>5454.82</v>
      </c>
      <c r="E3510" t="s">
        <v>894</v>
      </c>
      <c r="F3510" t="s">
        <v>4003</v>
      </c>
      <c r="G3510" s="8">
        <v>44743</v>
      </c>
      <c r="H3510" t="s">
        <v>601</v>
      </c>
      <c r="I3510" t="s">
        <v>40</v>
      </c>
      <c r="J3510" t="s">
        <v>54</v>
      </c>
      <c r="K3510" t="s">
        <v>29</v>
      </c>
      <c r="L3510" t="s">
        <v>895</v>
      </c>
      <c r="M3510" t="s">
        <v>4402</v>
      </c>
      <c r="O3510" t="s">
        <v>896</v>
      </c>
      <c r="P3510" t="s">
        <v>33</v>
      </c>
      <c r="Q3510" s="22">
        <v>5454.82</v>
      </c>
      <c r="R3510" t="s">
        <v>35</v>
      </c>
      <c r="S3510" t="s">
        <v>35</v>
      </c>
      <c r="T3510" t="s">
        <v>35</v>
      </c>
      <c r="U3510" t="s">
        <v>35</v>
      </c>
      <c r="V3510" t="s">
        <v>645</v>
      </c>
      <c r="W3510" t="s">
        <v>113</v>
      </c>
    </row>
    <row r="3511" spans="1:23" hidden="1" x14ac:dyDescent="0.25">
      <c r="A3511" s="7" t="str">
        <f>IFERROR(VLOOKUP(H3511,'Contas Orç'!A:B,2,0),"N/A")</f>
        <v>MARKETING</v>
      </c>
      <c r="B3511" s="7" t="str">
        <f t="shared" si="108"/>
        <v>330410 - MARKETING</v>
      </c>
      <c r="C3511" s="25">
        <f t="shared" si="109"/>
        <v>44743</v>
      </c>
      <c r="D3511" s="27">
        <f>IF(K3511="CREDITO",Q3511,Q3511*-1)</f>
        <v>5920</v>
      </c>
      <c r="E3511" t="s">
        <v>894</v>
      </c>
      <c r="F3511" t="s">
        <v>4004</v>
      </c>
      <c r="G3511" s="8">
        <v>44743</v>
      </c>
      <c r="H3511" t="s">
        <v>601</v>
      </c>
      <c r="I3511" t="s">
        <v>1002</v>
      </c>
      <c r="J3511" t="s">
        <v>54</v>
      </c>
      <c r="K3511" t="s">
        <v>29</v>
      </c>
      <c r="L3511" t="s">
        <v>895</v>
      </c>
      <c r="M3511" t="s">
        <v>4402</v>
      </c>
      <c r="O3511" t="s">
        <v>896</v>
      </c>
      <c r="P3511" t="s">
        <v>33</v>
      </c>
      <c r="Q3511" s="22">
        <v>5920</v>
      </c>
      <c r="R3511" t="s">
        <v>35</v>
      </c>
      <c r="S3511" t="s">
        <v>35</v>
      </c>
      <c r="T3511" t="s">
        <v>35</v>
      </c>
      <c r="U3511" t="s">
        <v>35</v>
      </c>
      <c r="V3511" t="s">
        <v>645</v>
      </c>
      <c r="W3511" t="s">
        <v>113</v>
      </c>
    </row>
    <row r="3512" spans="1:23" hidden="1" x14ac:dyDescent="0.25">
      <c r="A3512" s="7" t="str">
        <f>IFERROR(VLOOKUP(H3512,'Contas Orç'!A:B,2,0),"N/A")</f>
        <v>MARKETING</v>
      </c>
      <c r="B3512" s="7" t="str">
        <f t="shared" si="108"/>
        <v>330410 - MARKETING</v>
      </c>
      <c r="C3512" s="25">
        <f t="shared" si="109"/>
        <v>44774</v>
      </c>
      <c r="D3512" s="27">
        <f>IF(K3512="CREDITO",Q3512,Q3512*-1)</f>
        <v>13598</v>
      </c>
      <c r="E3512" t="s">
        <v>894</v>
      </c>
      <c r="F3512" t="s">
        <v>4005</v>
      </c>
      <c r="G3512" s="8">
        <v>44774</v>
      </c>
      <c r="H3512" t="s">
        <v>601</v>
      </c>
      <c r="I3512" t="s">
        <v>40</v>
      </c>
      <c r="J3512" t="s">
        <v>54</v>
      </c>
      <c r="K3512" t="s">
        <v>29</v>
      </c>
      <c r="L3512" t="s">
        <v>895</v>
      </c>
      <c r="M3512" t="s">
        <v>4402</v>
      </c>
      <c r="O3512" t="s">
        <v>896</v>
      </c>
      <c r="P3512" t="s">
        <v>33</v>
      </c>
      <c r="Q3512" s="22">
        <v>13598</v>
      </c>
      <c r="R3512" t="s">
        <v>35</v>
      </c>
      <c r="S3512" t="s">
        <v>35</v>
      </c>
      <c r="T3512" t="s">
        <v>35</v>
      </c>
      <c r="U3512" t="s">
        <v>35</v>
      </c>
      <c r="V3512" t="s">
        <v>645</v>
      </c>
      <c r="W3512" t="s">
        <v>113</v>
      </c>
    </row>
    <row r="3513" spans="1:23" hidden="1" x14ac:dyDescent="0.25">
      <c r="A3513" s="7" t="str">
        <f>IFERROR(VLOOKUP(H3513,'Contas Orç'!A:B,2,0),"N/A")</f>
        <v>DEPRECIACOES E AMORTIZACOES</v>
      </c>
      <c r="B3513" s="7" t="str">
        <f t="shared" si="108"/>
        <v>330501 - DEPRECIACOES E AMORTIZACOES</v>
      </c>
      <c r="C3513" s="25">
        <f t="shared" si="109"/>
        <v>44562</v>
      </c>
      <c r="D3513" s="27">
        <f>IF(K3513="CREDITO",Q3513,Q3513*-1)</f>
        <v>20741.669999999998</v>
      </c>
      <c r="E3513" t="s">
        <v>894</v>
      </c>
      <c r="F3513" t="s">
        <v>4006</v>
      </c>
      <c r="G3513" s="8">
        <v>44562</v>
      </c>
      <c r="H3513" t="s">
        <v>603</v>
      </c>
      <c r="I3513" t="s">
        <v>2062</v>
      </c>
      <c r="J3513" t="s">
        <v>54</v>
      </c>
      <c r="K3513" t="s">
        <v>29</v>
      </c>
      <c r="L3513" t="s">
        <v>895</v>
      </c>
      <c r="M3513" t="s">
        <v>4402</v>
      </c>
      <c r="O3513" t="s">
        <v>896</v>
      </c>
      <c r="P3513" t="s">
        <v>33</v>
      </c>
      <c r="Q3513" s="22">
        <v>20741.669999999998</v>
      </c>
      <c r="R3513" t="s">
        <v>35</v>
      </c>
      <c r="S3513" t="s">
        <v>35</v>
      </c>
      <c r="T3513" t="s">
        <v>35</v>
      </c>
      <c r="U3513" t="s">
        <v>35</v>
      </c>
      <c r="V3513" t="s">
        <v>645</v>
      </c>
      <c r="W3513" t="s">
        <v>113</v>
      </c>
    </row>
    <row r="3514" spans="1:23" hidden="1" x14ac:dyDescent="0.25">
      <c r="A3514" s="7" t="str">
        <f>IFERROR(VLOOKUP(H3514,'Contas Orç'!A:B,2,0),"N/A")</f>
        <v>DEPRECIACOES E AMORTIZACOES</v>
      </c>
      <c r="B3514" s="7" t="str">
        <f t="shared" si="108"/>
        <v>330501 - DEPRECIACOES E AMORTIZACOES</v>
      </c>
      <c r="C3514" s="25">
        <f t="shared" si="109"/>
        <v>44562</v>
      </c>
      <c r="D3514" s="27">
        <f>IF(K3514="CREDITO",Q3514,Q3514*-1)</f>
        <v>20288.09</v>
      </c>
      <c r="E3514" t="s">
        <v>894</v>
      </c>
      <c r="F3514" t="s">
        <v>4007</v>
      </c>
      <c r="G3514" s="8">
        <v>44562</v>
      </c>
      <c r="H3514" t="s">
        <v>603</v>
      </c>
      <c r="I3514" t="s">
        <v>40</v>
      </c>
      <c r="J3514" t="s">
        <v>54</v>
      </c>
      <c r="K3514" t="s">
        <v>29</v>
      </c>
      <c r="L3514" t="s">
        <v>895</v>
      </c>
      <c r="M3514" t="s">
        <v>4402</v>
      </c>
      <c r="O3514" t="s">
        <v>896</v>
      </c>
      <c r="P3514" t="s">
        <v>33</v>
      </c>
      <c r="Q3514" s="22">
        <v>20288.09</v>
      </c>
      <c r="R3514" t="s">
        <v>35</v>
      </c>
      <c r="S3514" t="s">
        <v>35</v>
      </c>
      <c r="T3514" t="s">
        <v>35</v>
      </c>
      <c r="U3514" t="s">
        <v>35</v>
      </c>
      <c r="V3514" t="s">
        <v>645</v>
      </c>
      <c r="W3514" t="s">
        <v>113</v>
      </c>
    </row>
    <row r="3515" spans="1:23" hidden="1" x14ac:dyDescent="0.25">
      <c r="A3515" s="7" t="str">
        <f>IFERROR(VLOOKUP(H3515,'Contas Orç'!A:B,2,0),"N/A")</f>
        <v>DEPRECIACOES E AMORTIZACOES</v>
      </c>
      <c r="B3515" s="7" t="str">
        <f t="shared" si="108"/>
        <v>330501 - DEPRECIACOES E AMORTIZACOES</v>
      </c>
      <c r="C3515" s="25">
        <f t="shared" si="109"/>
        <v>44562</v>
      </c>
      <c r="D3515" s="27">
        <f>IF(K3515="CREDITO",Q3515,Q3515*-1)</f>
        <v>2.85</v>
      </c>
      <c r="E3515" t="s">
        <v>894</v>
      </c>
      <c r="F3515" t="s">
        <v>4008</v>
      </c>
      <c r="G3515" s="8">
        <v>44562</v>
      </c>
      <c r="H3515" t="s">
        <v>603</v>
      </c>
      <c r="I3515" t="s">
        <v>132</v>
      </c>
      <c r="J3515" t="s">
        <v>54</v>
      </c>
      <c r="K3515" t="s">
        <v>29</v>
      </c>
      <c r="L3515" t="s">
        <v>895</v>
      </c>
      <c r="M3515" t="s">
        <v>4402</v>
      </c>
      <c r="O3515" t="s">
        <v>896</v>
      </c>
      <c r="P3515" t="s">
        <v>33</v>
      </c>
      <c r="Q3515">
        <v>2.85</v>
      </c>
      <c r="R3515" t="s">
        <v>35</v>
      </c>
      <c r="S3515" t="s">
        <v>35</v>
      </c>
      <c r="T3515" t="s">
        <v>35</v>
      </c>
      <c r="U3515" t="s">
        <v>35</v>
      </c>
      <c r="V3515" t="s">
        <v>645</v>
      </c>
      <c r="W3515" t="s">
        <v>113</v>
      </c>
    </row>
    <row r="3516" spans="1:23" hidden="1" x14ac:dyDescent="0.25">
      <c r="A3516" s="7" t="str">
        <f>IFERROR(VLOOKUP(H3516,'Contas Orç'!A:B,2,0),"N/A")</f>
        <v>DEPRECIACOES E AMORTIZACOES</v>
      </c>
      <c r="B3516" s="7" t="str">
        <f t="shared" si="108"/>
        <v>330501 - DEPRECIACOES E AMORTIZACOES</v>
      </c>
      <c r="C3516" s="25">
        <f t="shared" si="109"/>
        <v>44562</v>
      </c>
      <c r="D3516" s="27">
        <f>IF(K3516="CREDITO",Q3516,Q3516*-1)</f>
        <v>206.95</v>
      </c>
      <c r="E3516" t="s">
        <v>894</v>
      </c>
      <c r="F3516" t="s">
        <v>4009</v>
      </c>
      <c r="G3516" s="8">
        <v>44562</v>
      </c>
      <c r="H3516" t="s">
        <v>603</v>
      </c>
      <c r="I3516" t="s">
        <v>78</v>
      </c>
      <c r="J3516" t="s">
        <v>54</v>
      </c>
      <c r="K3516" t="s">
        <v>29</v>
      </c>
      <c r="L3516" t="s">
        <v>895</v>
      </c>
      <c r="M3516" t="s">
        <v>4402</v>
      </c>
      <c r="O3516" t="s">
        <v>896</v>
      </c>
      <c r="P3516" t="s">
        <v>33</v>
      </c>
      <c r="Q3516">
        <v>206.95</v>
      </c>
      <c r="R3516" t="s">
        <v>35</v>
      </c>
      <c r="S3516" t="s">
        <v>35</v>
      </c>
      <c r="T3516" t="s">
        <v>35</v>
      </c>
      <c r="U3516" t="s">
        <v>35</v>
      </c>
      <c r="V3516" t="s">
        <v>645</v>
      </c>
      <c r="W3516" t="s">
        <v>113</v>
      </c>
    </row>
    <row r="3517" spans="1:23" hidden="1" x14ac:dyDescent="0.25">
      <c r="A3517" s="7" t="str">
        <f>IFERROR(VLOOKUP(H3517,'Contas Orç'!A:B,2,0),"N/A")</f>
        <v>DEPRECIACOES E AMORTIZACOES</v>
      </c>
      <c r="B3517" s="7" t="str">
        <f t="shared" si="108"/>
        <v>330501 - DEPRECIACOES E AMORTIZACOES</v>
      </c>
      <c r="C3517" s="25">
        <f t="shared" si="109"/>
        <v>44562</v>
      </c>
      <c r="D3517" s="27">
        <f>IF(K3517="CREDITO",Q3517,Q3517*-1)</f>
        <v>51.25</v>
      </c>
      <c r="E3517" t="s">
        <v>894</v>
      </c>
      <c r="F3517" t="s">
        <v>4010</v>
      </c>
      <c r="G3517" s="8">
        <v>44562</v>
      </c>
      <c r="H3517" t="s">
        <v>603</v>
      </c>
      <c r="I3517" t="s">
        <v>81</v>
      </c>
      <c r="J3517" t="s">
        <v>54</v>
      </c>
      <c r="K3517" t="s">
        <v>29</v>
      </c>
      <c r="L3517" t="s">
        <v>895</v>
      </c>
      <c r="M3517" t="s">
        <v>4402</v>
      </c>
      <c r="O3517" t="s">
        <v>896</v>
      </c>
      <c r="P3517" t="s">
        <v>33</v>
      </c>
      <c r="Q3517">
        <v>51.25</v>
      </c>
      <c r="R3517" t="s">
        <v>35</v>
      </c>
      <c r="S3517" t="s">
        <v>35</v>
      </c>
      <c r="T3517" t="s">
        <v>35</v>
      </c>
      <c r="U3517" t="s">
        <v>35</v>
      </c>
      <c r="V3517" t="s">
        <v>645</v>
      </c>
      <c r="W3517" t="s">
        <v>113</v>
      </c>
    </row>
    <row r="3518" spans="1:23" hidden="1" x14ac:dyDescent="0.25">
      <c r="A3518" s="7" t="str">
        <f>IFERROR(VLOOKUP(H3518,'Contas Orç'!A:B,2,0),"N/A")</f>
        <v>DEPRECIACOES E AMORTIZACOES</v>
      </c>
      <c r="B3518" s="7" t="str">
        <f t="shared" si="108"/>
        <v>330501 - DEPRECIACOES E AMORTIZACOES</v>
      </c>
      <c r="C3518" s="25">
        <f t="shared" si="109"/>
        <v>44562</v>
      </c>
      <c r="D3518" s="27">
        <f>IF(K3518="CREDITO",Q3518,Q3518*-1)</f>
        <v>64.17</v>
      </c>
      <c r="E3518" t="s">
        <v>894</v>
      </c>
      <c r="F3518" t="s">
        <v>4011</v>
      </c>
      <c r="G3518" s="8">
        <v>44562</v>
      </c>
      <c r="H3518" t="s">
        <v>603</v>
      </c>
      <c r="I3518" t="s">
        <v>53</v>
      </c>
      <c r="J3518" t="s">
        <v>54</v>
      </c>
      <c r="K3518" t="s">
        <v>29</v>
      </c>
      <c r="L3518" t="s">
        <v>895</v>
      </c>
      <c r="M3518" t="s">
        <v>4402</v>
      </c>
      <c r="O3518" t="s">
        <v>896</v>
      </c>
      <c r="P3518" t="s">
        <v>33</v>
      </c>
      <c r="Q3518">
        <v>64.17</v>
      </c>
      <c r="R3518" t="s">
        <v>35</v>
      </c>
      <c r="S3518" t="s">
        <v>35</v>
      </c>
      <c r="T3518" t="s">
        <v>35</v>
      </c>
      <c r="U3518" t="s">
        <v>35</v>
      </c>
      <c r="V3518" t="s">
        <v>645</v>
      </c>
      <c r="W3518" t="s">
        <v>113</v>
      </c>
    </row>
    <row r="3519" spans="1:23" hidden="1" x14ac:dyDescent="0.25">
      <c r="A3519" s="7" t="str">
        <f>IFERROR(VLOOKUP(H3519,'Contas Orç'!A:B,2,0),"N/A")</f>
        <v>DEPRECIACOES E AMORTIZACOES</v>
      </c>
      <c r="B3519" s="7" t="str">
        <f t="shared" si="108"/>
        <v>330501 - DEPRECIACOES E AMORTIZACOES</v>
      </c>
      <c r="C3519" s="25">
        <f t="shared" si="109"/>
        <v>44593</v>
      </c>
      <c r="D3519" s="27">
        <f>IF(K3519="CREDITO",Q3519,Q3519*-1)</f>
        <v>20808.84</v>
      </c>
      <c r="E3519" t="s">
        <v>894</v>
      </c>
      <c r="F3519" t="s">
        <v>4012</v>
      </c>
      <c r="G3519" s="8">
        <v>44593</v>
      </c>
      <c r="H3519" t="s">
        <v>603</v>
      </c>
      <c r="I3519" t="s">
        <v>2062</v>
      </c>
      <c r="J3519" t="s">
        <v>54</v>
      </c>
      <c r="K3519" t="s">
        <v>29</v>
      </c>
      <c r="L3519" t="s">
        <v>895</v>
      </c>
      <c r="M3519" t="s">
        <v>4402</v>
      </c>
      <c r="O3519" t="s">
        <v>896</v>
      </c>
      <c r="P3519" t="s">
        <v>33</v>
      </c>
      <c r="Q3519" s="22">
        <v>20808.84</v>
      </c>
      <c r="R3519" t="s">
        <v>35</v>
      </c>
      <c r="S3519" t="s">
        <v>35</v>
      </c>
      <c r="T3519" t="s">
        <v>35</v>
      </c>
      <c r="U3519" t="s">
        <v>35</v>
      </c>
      <c r="V3519" t="s">
        <v>645</v>
      </c>
      <c r="W3519" t="s">
        <v>113</v>
      </c>
    </row>
    <row r="3520" spans="1:23" hidden="1" x14ac:dyDescent="0.25">
      <c r="A3520" s="7" t="str">
        <f>IFERROR(VLOOKUP(H3520,'Contas Orç'!A:B,2,0),"N/A")</f>
        <v>DEPRECIACOES E AMORTIZACOES</v>
      </c>
      <c r="B3520" s="7" t="str">
        <f t="shared" si="108"/>
        <v>330501 - DEPRECIACOES E AMORTIZACOES</v>
      </c>
      <c r="C3520" s="25">
        <f t="shared" si="109"/>
        <v>44593</v>
      </c>
      <c r="D3520" s="27">
        <f>IF(K3520="CREDITO",Q3520,Q3520*-1)</f>
        <v>20273.25</v>
      </c>
      <c r="E3520" t="s">
        <v>894</v>
      </c>
      <c r="F3520" t="s">
        <v>4013</v>
      </c>
      <c r="G3520" s="8">
        <v>44593</v>
      </c>
      <c r="H3520" t="s">
        <v>603</v>
      </c>
      <c r="I3520" t="s">
        <v>40</v>
      </c>
      <c r="J3520" t="s">
        <v>54</v>
      </c>
      <c r="K3520" t="s">
        <v>29</v>
      </c>
      <c r="L3520" t="s">
        <v>895</v>
      </c>
      <c r="M3520" t="s">
        <v>4402</v>
      </c>
      <c r="O3520" t="s">
        <v>896</v>
      </c>
      <c r="P3520" t="s">
        <v>33</v>
      </c>
      <c r="Q3520" s="22">
        <v>20273.25</v>
      </c>
      <c r="R3520" t="s">
        <v>35</v>
      </c>
      <c r="S3520" t="s">
        <v>35</v>
      </c>
      <c r="T3520" t="s">
        <v>35</v>
      </c>
      <c r="U3520" t="s">
        <v>35</v>
      </c>
      <c r="V3520" t="s">
        <v>645</v>
      </c>
      <c r="W3520" t="s">
        <v>113</v>
      </c>
    </row>
    <row r="3521" spans="1:23" hidden="1" x14ac:dyDescent="0.25">
      <c r="A3521" s="7" t="str">
        <f>IFERROR(VLOOKUP(H3521,'Contas Orç'!A:B,2,0),"N/A")</f>
        <v>DEPRECIACOES E AMORTIZACOES</v>
      </c>
      <c r="B3521" s="7" t="str">
        <f t="shared" si="108"/>
        <v>330501 - DEPRECIACOES E AMORTIZACOES</v>
      </c>
      <c r="C3521" s="25">
        <f t="shared" si="109"/>
        <v>44593</v>
      </c>
      <c r="D3521" s="27">
        <f>IF(K3521="CREDITO",Q3521,Q3521*-1)</f>
        <v>28.54</v>
      </c>
      <c r="E3521" t="s">
        <v>894</v>
      </c>
      <c r="F3521" t="s">
        <v>4014</v>
      </c>
      <c r="G3521" s="8">
        <v>44593</v>
      </c>
      <c r="H3521" t="s">
        <v>603</v>
      </c>
      <c r="I3521" t="s">
        <v>132</v>
      </c>
      <c r="J3521" t="s">
        <v>54</v>
      </c>
      <c r="K3521" t="s">
        <v>29</v>
      </c>
      <c r="L3521" t="s">
        <v>895</v>
      </c>
      <c r="M3521" t="s">
        <v>4402</v>
      </c>
      <c r="O3521" t="s">
        <v>896</v>
      </c>
      <c r="P3521" t="s">
        <v>33</v>
      </c>
      <c r="Q3521">
        <v>28.54</v>
      </c>
      <c r="R3521" t="s">
        <v>35</v>
      </c>
      <c r="S3521" t="s">
        <v>35</v>
      </c>
      <c r="T3521" t="s">
        <v>35</v>
      </c>
      <c r="U3521" t="s">
        <v>35</v>
      </c>
      <c r="V3521" t="s">
        <v>645</v>
      </c>
      <c r="W3521" t="s">
        <v>113</v>
      </c>
    </row>
    <row r="3522" spans="1:23" hidden="1" x14ac:dyDescent="0.25">
      <c r="A3522" s="7" t="str">
        <f>IFERROR(VLOOKUP(H3522,'Contas Orç'!A:B,2,0),"N/A")</f>
        <v>DEPRECIACOES E AMORTIZACOES</v>
      </c>
      <c r="B3522" s="7" t="str">
        <f t="shared" si="108"/>
        <v>330501 - DEPRECIACOES E AMORTIZACOES</v>
      </c>
      <c r="C3522" s="25">
        <f t="shared" si="109"/>
        <v>44593</v>
      </c>
      <c r="D3522" s="27">
        <f>IF(K3522="CREDITO",Q3522,Q3522*-1)</f>
        <v>209.09</v>
      </c>
      <c r="E3522" t="s">
        <v>894</v>
      </c>
      <c r="F3522" t="s">
        <v>4015</v>
      </c>
      <c r="G3522" s="8">
        <v>44593</v>
      </c>
      <c r="H3522" t="s">
        <v>603</v>
      </c>
      <c r="I3522" t="s">
        <v>78</v>
      </c>
      <c r="J3522" t="s">
        <v>54</v>
      </c>
      <c r="K3522" t="s">
        <v>29</v>
      </c>
      <c r="L3522" t="s">
        <v>895</v>
      </c>
      <c r="M3522" t="s">
        <v>4402</v>
      </c>
      <c r="O3522" t="s">
        <v>896</v>
      </c>
      <c r="P3522" t="s">
        <v>33</v>
      </c>
      <c r="Q3522">
        <v>209.09</v>
      </c>
      <c r="R3522" t="s">
        <v>35</v>
      </c>
      <c r="S3522" t="s">
        <v>35</v>
      </c>
      <c r="T3522" t="s">
        <v>35</v>
      </c>
      <c r="U3522" t="s">
        <v>35</v>
      </c>
      <c r="V3522" t="s">
        <v>645</v>
      </c>
      <c r="W3522" t="s">
        <v>113</v>
      </c>
    </row>
    <row r="3523" spans="1:23" hidden="1" x14ac:dyDescent="0.25">
      <c r="A3523" s="7" t="str">
        <f>IFERROR(VLOOKUP(H3523,'Contas Orç'!A:B,2,0),"N/A")</f>
        <v>DEPRECIACOES E AMORTIZACOES</v>
      </c>
      <c r="B3523" s="7" t="str">
        <f t="shared" ref="B3523:B3586" si="110">_xlfn.CONCAT(H3523," - ",A3523)</f>
        <v>330501 - DEPRECIACOES E AMORTIZACOES</v>
      </c>
      <c r="C3523" s="25">
        <f t="shared" ref="C3523:C3586" si="111">DATE(YEAR(G3523),MONTH(G3523),1)</f>
        <v>44593</v>
      </c>
      <c r="D3523" s="27">
        <f>IF(K3523="CREDITO",Q3523,Q3523*-1)</f>
        <v>51.25</v>
      </c>
      <c r="E3523" t="s">
        <v>894</v>
      </c>
      <c r="F3523" t="s">
        <v>4016</v>
      </c>
      <c r="G3523" s="8">
        <v>44593</v>
      </c>
      <c r="H3523" t="s">
        <v>603</v>
      </c>
      <c r="I3523" t="s">
        <v>81</v>
      </c>
      <c r="J3523" t="s">
        <v>54</v>
      </c>
      <c r="K3523" t="s">
        <v>29</v>
      </c>
      <c r="L3523" t="s">
        <v>895</v>
      </c>
      <c r="M3523" t="s">
        <v>4402</v>
      </c>
      <c r="O3523" t="s">
        <v>896</v>
      </c>
      <c r="P3523" t="s">
        <v>33</v>
      </c>
      <c r="Q3523">
        <v>51.25</v>
      </c>
      <c r="R3523" t="s">
        <v>35</v>
      </c>
      <c r="S3523" t="s">
        <v>35</v>
      </c>
      <c r="T3523" t="s">
        <v>35</v>
      </c>
      <c r="U3523" t="s">
        <v>35</v>
      </c>
      <c r="V3523" t="s">
        <v>645</v>
      </c>
      <c r="W3523" t="s">
        <v>113</v>
      </c>
    </row>
    <row r="3524" spans="1:23" hidden="1" x14ac:dyDescent="0.25">
      <c r="A3524" s="7" t="str">
        <f>IFERROR(VLOOKUP(H3524,'Contas Orç'!A:B,2,0),"N/A")</f>
        <v>DEPRECIACOES E AMORTIZACOES</v>
      </c>
      <c r="B3524" s="7" t="str">
        <f t="shared" si="110"/>
        <v>330501 - DEPRECIACOES E AMORTIZACOES</v>
      </c>
      <c r="C3524" s="25">
        <f t="shared" si="111"/>
        <v>44593</v>
      </c>
      <c r="D3524" s="27">
        <f>IF(K3524="CREDITO",Q3524,Q3524*-1)</f>
        <v>64.17</v>
      </c>
      <c r="E3524" t="s">
        <v>894</v>
      </c>
      <c r="F3524" t="s">
        <v>4017</v>
      </c>
      <c r="G3524" s="8">
        <v>44593</v>
      </c>
      <c r="H3524" t="s">
        <v>603</v>
      </c>
      <c r="I3524" t="s">
        <v>53</v>
      </c>
      <c r="J3524" t="s">
        <v>54</v>
      </c>
      <c r="K3524" t="s">
        <v>29</v>
      </c>
      <c r="L3524" t="s">
        <v>895</v>
      </c>
      <c r="M3524" t="s">
        <v>4402</v>
      </c>
      <c r="O3524" t="s">
        <v>896</v>
      </c>
      <c r="P3524" t="s">
        <v>33</v>
      </c>
      <c r="Q3524">
        <v>64.17</v>
      </c>
      <c r="R3524" t="s">
        <v>35</v>
      </c>
      <c r="S3524" t="s">
        <v>35</v>
      </c>
      <c r="T3524" t="s">
        <v>35</v>
      </c>
      <c r="U3524" t="s">
        <v>35</v>
      </c>
      <c r="V3524" t="s">
        <v>645</v>
      </c>
      <c r="W3524" t="s">
        <v>113</v>
      </c>
    </row>
    <row r="3525" spans="1:23" hidden="1" x14ac:dyDescent="0.25">
      <c r="A3525" s="7" t="str">
        <f>IFERROR(VLOOKUP(H3525,'Contas Orç'!A:B,2,0),"N/A")</f>
        <v>DEPRECIACOES E AMORTIZACOES</v>
      </c>
      <c r="B3525" s="7" t="str">
        <f t="shared" si="110"/>
        <v>330501 - DEPRECIACOES E AMORTIZACOES</v>
      </c>
      <c r="C3525" s="25">
        <f t="shared" si="111"/>
        <v>44621</v>
      </c>
      <c r="D3525" s="27">
        <f>IF(K3525="CREDITO",Q3525,Q3525*-1)</f>
        <v>20812.240000000002</v>
      </c>
      <c r="E3525" t="s">
        <v>894</v>
      </c>
      <c r="F3525" t="s">
        <v>4018</v>
      </c>
      <c r="G3525" s="8">
        <v>44621</v>
      </c>
      <c r="H3525" t="s">
        <v>603</v>
      </c>
      <c r="I3525" t="s">
        <v>2062</v>
      </c>
      <c r="J3525" t="s">
        <v>54</v>
      </c>
      <c r="K3525" t="s">
        <v>29</v>
      </c>
      <c r="L3525" t="s">
        <v>895</v>
      </c>
      <c r="M3525" t="s">
        <v>4402</v>
      </c>
      <c r="O3525" t="s">
        <v>896</v>
      </c>
      <c r="P3525" t="s">
        <v>33</v>
      </c>
      <c r="Q3525" s="22">
        <v>20812.240000000002</v>
      </c>
      <c r="R3525" t="s">
        <v>35</v>
      </c>
      <c r="S3525" t="s">
        <v>35</v>
      </c>
      <c r="T3525" t="s">
        <v>35</v>
      </c>
      <c r="U3525" t="s">
        <v>35</v>
      </c>
      <c r="V3525" t="s">
        <v>645</v>
      </c>
      <c r="W3525" t="s">
        <v>113</v>
      </c>
    </row>
    <row r="3526" spans="1:23" hidden="1" x14ac:dyDescent="0.25">
      <c r="A3526" s="7" t="str">
        <f>IFERROR(VLOOKUP(H3526,'Contas Orç'!A:B,2,0),"N/A")</f>
        <v>DEPRECIACOES E AMORTIZACOES</v>
      </c>
      <c r="B3526" s="7" t="str">
        <f t="shared" si="110"/>
        <v>330501 - DEPRECIACOES E AMORTIZACOES</v>
      </c>
      <c r="C3526" s="25">
        <f t="shared" si="111"/>
        <v>44621</v>
      </c>
      <c r="D3526" s="27">
        <f>IF(K3526="CREDITO",Q3526,Q3526*-1)</f>
        <v>20221.41</v>
      </c>
      <c r="E3526" t="s">
        <v>894</v>
      </c>
      <c r="F3526" t="s">
        <v>4019</v>
      </c>
      <c r="G3526" s="8">
        <v>44621</v>
      </c>
      <c r="H3526" t="s">
        <v>603</v>
      </c>
      <c r="I3526" t="s">
        <v>40</v>
      </c>
      <c r="J3526" t="s">
        <v>54</v>
      </c>
      <c r="K3526" t="s">
        <v>29</v>
      </c>
      <c r="L3526" t="s">
        <v>895</v>
      </c>
      <c r="M3526" t="s">
        <v>4402</v>
      </c>
      <c r="O3526" t="s">
        <v>896</v>
      </c>
      <c r="P3526" t="s">
        <v>33</v>
      </c>
      <c r="Q3526" s="22">
        <v>20221.41</v>
      </c>
      <c r="R3526" t="s">
        <v>35</v>
      </c>
      <c r="S3526" t="s">
        <v>35</v>
      </c>
      <c r="T3526" t="s">
        <v>35</v>
      </c>
      <c r="U3526" t="s">
        <v>35</v>
      </c>
      <c r="V3526" t="s">
        <v>645</v>
      </c>
      <c r="W3526" t="s">
        <v>113</v>
      </c>
    </row>
    <row r="3527" spans="1:23" hidden="1" x14ac:dyDescent="0.25">
      <c r="A3527" s="7" t="str">
        <f>IFERROR(VLOOKUP(H3527,'Contas Orç'!A:B,2,0),"N/A")</f>
        <v>DEPRECIACOES E AMORTIZACOES</v>
      </c>
      <c r="B3527" s="7" t="str">
        <f t="shared" si="110"/>
        <v>330501 - DEPRECIACOES E AMORTIZACOES</v>
      </c>
      <c r="C3527" s="25">
        <f t="shared" si="111"/>
        <v>44621</v>
      </c>
      <c r="D3527" s="27">
        <f>IF(K3527="CREDITO",Q3527,Q3527*-1)</f>
        <v>28.54</v>
      </c>
      <c r="E3527" t="s">
        <v>894</v>
      </c>
      <c r="F3527" t="s">
        <v>4020</v>
      </c>
      <c r="G3527" s="8">
        <v>44621</v>
      </c>
      <c r="H3527" t="s">
        <v>603</v>
      </c>
      <c r="I3527" t="s">
        <v>132</v>
      </c>
      <c r="J3527" t="s">
        <v>54</v>
      </c>
      <c r="K3527" t="s">
        <v>29</v>
      </c>
      <c r="L3527" t="s">
        <v>895</v>
      </c>
      <c r="M3527" t="s">
        <v>4402</v>
      </c>
      <c r="O3527" t="s">
        <v>896</v>
      </c>
      <c r="P3527" t="s">
        <v>33</v>
      </c>
      <c r="Q3527">
        <v>28.54</v>
      </c>
      <c r="R3527" t="s">
        <v>35</v>
      </c>
      <c r="S3527" t="s">
        <v>35</v>
      </c>
      <c r="T3527" t="s">
        <v>35</v>
      </c>
      <c r="U3527" t="s">
        <v>35</v>
      </c>
      <c r="V3527" t="s">
        <v>645</v>
      </c>
      <c r="W3527" t="s">
        <v>113</v>
      </c>
    </row>
    <row r="3528" spans="1:23" hidden="1" x14ac:dyDescent="0.25">
      <c r="A3528" s="7" t="str">
        <f>IFERROR(VLOOKUP(H3528,'Contas Orç'!A:B,2,0),"N/A")</f>
        <v>DEPRECIACOES E AMORTIZACOES</v>
      </c>
      <c r="B3528" s="7" t="str">
        <f t="shared" si="110"/>
        <v>330501 - DEPRECIACOES E AMORTIZACOES</v>
      </c>
      <c r="C3528" s="25">
        <f t="shared" si="111"/>
        <v>44621</v>
      </c>
      <c r="D3528" s="27">
        <f>IF(K3528="CREDITO",Q3528,Q3528*-1)</f>
        <v>266.89999999999998</v>
      </c>
      <c r="E3528" t="s">
        <v>894</v>
      </c>
      <c r="F3528" t="s">
        <v>4021</v>
      </c>
      <c r="G3528" s="8">
        <v>44621</v>
      </c>
      <c r="H3528" t="s">
        <v>603</v>
      </c>
      <c r="I3528" t="s">
        <v>78</v>
      </c>
      <c r="J3528" t="s">
        <v>54</v>
      </c>
      <c r="K3528" t="s">
        <v>29</v>
      </c>
      <c r="L3528" t="s">
        <v>895</v>
      </c>
      <c r="M3528" t="s">
        <v>4402</v>
      </c>
      <c r="O3528" t="s">
        <v>896</v>
      </c>
      <c r="P3528" t="s">
        <v>33</v>
      </c>
      <c r="Q3528">
        <v>266.89999999999998</v>
      </c>
      <c r="R3528" t="s">
        <v>35</v>
      </c>
      <c r="S3528" t="s">
        <v>35</v>
      </c>
      <c r="T3528" t="s">
        <v>35</v>
      </c>
      <c r="U3528" t="s">
        <v>35</v>
      </c>
      <c r="V3528" t="s">
        <v>645</v>
      </c>
      <c r="W3528" t="s">
        <v>113</v>
      </c>
    </row>
    <row r="3529" spans="1:23" hidden="1" x14ac:dyDescent="0.25">
      <c r="A3529" s="7" t="str">
        <f>IFERROR(VLOOKUP(H3529,'Contas Orç'!A:B,2,0),"N/A")</f>
        <v>DEPRECIACOES E AMORTIZACOES</v>
      </c>
      <c r="B3529" s="7" t="str">
        <f t="shared" si="110"/>
        <v>330501 - DEPRECIACOES E AMORTIZACOES</v>
      </c>
      <c r="C3529" s="25">
        <f t="shared" si="111"/>
        <v>44621</v>
      </c>
      <c r="D3529" s="27">
        <f>IF(K3529="CREDITO",Q3529,Q3529*-1)</f>
        <v>51.25</v>
      </c>
      <c r="E3529" t="s">
        <v>894</v>
      </c>
      <c r="F3529" t="s">
        <v>4022</v>
      </c>
      <c r="G3529" s="8">
        <v>44621</v>
      </c>
      <c r="H3529" t="s">
        <v>603</v>
      </c>
      <c r="I3529" t="s">
        <v>81</v>
      </c>
      <c r="J3529" t="s">
        <v>54</v>
      </c>
      <c r="K3529" t="s">
        <v>29</v>
      </c>
      <c r="L3529" t="s">
        <v>895</v>
      </c>
      <c r="M3529" t="s">
        <v>4402</v>
      </c>
      <c r="O3529" t="s">
        <v>896</v>
      </c>
      <c r="P3529" t="s">
        <v>33</v>
      </c>
      <c r="Q3529">
        <v>51.25</v>
      </c>
      <c r="R3529" t="s">
        <v>35</v>
      </c>
      <c r="S3529" t="s">
        <v>35</v>
      </c>
      <c r="T3529" t="s">
        <v>35</v>
      </c>
      <c r="U3529" t="s">
        <v>35</v>
      </c>
      <c r="V3529" t="s">
        <v>645</v>
      </c>
      <c r="W3529" t="s">
        <v>113</v>
      </c>
    </row>
    <row r="3530" spans="1:23" hidden="1" x14ac:dyDescent="0.25">
      <c r="A3530" s="7" t="str">
        <f>IFERROR(VLOOKUP(H3530,'Contas Orç'!A:B,2,0),"N/A")</f>
        <v>DEPRECIACOES E AMORTIZACOES</v>
      </c>
      <c r="B3530" s="7" t="str">
        <f t="shared" si="110"/>
        <v>330501 - DEPRECIACOES E AMORTIZACOES</v>
      </c>
      <c r="C3530" s="25">
        <f t="shared" si="111"/>
        <v>44621</v>
      </c>
      <c r="D3530" s="27">
        <f>IF(K3530="CREDITO",Q3530,Q3530*-1)</f>
        <v>64.17</v>
      </c>
      <c r="E3530" t="s">
        <v>894</v>
      </c>
      <c r="F3530" t="s">
        <v>4023</v>
      </c>
      <c r="G3530" s="8">
        <v>44621</v>
      </c>
      <c r="H3530" t="s">
        <v>603</v>
      </c>
      <c r="I3530" t="s">
        <v>53</v>
      </c>
      <c r="J3530" t="s">
        <v>54</v>
      </c>
      <c r="K3530" t="s">
        <v>29</v>
      </c>
      <c r="L3530" t="s">
        <v>895</v>
      </c>
      <c r="M3530" t="s">
        <v>4402</v>
      </c>
      <c r="O3530" t="s">
        <v>896</v>
      </c>
      <c r="P3530" t="s">
        <v>33</v>
      </c>
      <c r="Q3530">
        <v>64.17</v>
      </c>
      <c r="R3530" t="s">
        <v>35</v>
      </c>
      <c r="S3530" t="s">
        <v>35</v>
      </c>
      <c r="T3530" t="s">
        <v>35</v>
      </c>
      <c r="U3530" t="s">
        <v>35</v>
      </c>
      <c r="V3530" t="s">
        <v>645</v>
      </c>
      <c r="W3530" t="s">
        <v>113</v>
      </c>
    </row>
    <row r="3531" spans="1:23" hidden="1" x14ac:dyDescent="0.25">
      <c r="A3531" s="7" t="str">
        <f>IFERROR(VLOOKUP(H3531,'Contas Orç'!A:B,2,0),"N/A")</f>
        <v>DEPRECIACOES E AMORTIZACOES</v>
      </c>
      <c r="B3531" s="7" t="str">
        <f t="shared" si="110"/>
        <v>330501 - DEPRECIACOES E AMORTIZACOES</v>
      </c>
      <c r="C3531" s="25">
        <f t="shared" si="111"/>
        <v>44652</v>
      </c>
      <c r="D3531" s="27">
        <f>IF(K3531="CREDITO",Q3531,Q3531*-1)</f>
        <v>20915.53</v>
      </c>
      <c r="E3531" t="s">
        <v>894</v>
      </c>
      <c r="F3531" t="s">
        <v>4024</v>
      </c>
      <c r="G3531" s="8">
        <v>44652</v>
      </c>
      <c r="H3531" t="s">
        <v>603</v>
      </c>
      <c r="I3531" t="s">
        <v>2062</v>
      </c>
      <c r="J3531" t="s">
        <v>54</v>
      </c>
      <c r="K3531" t="s">
        <v>29</v>
      </c>
      <c r="L3531" t="s">
        <v>895</v>
      </c>
      <c r="M3531" t="s">
        <v>4402</v>
      </c>
      <c r="O3531" t="s">
        <v>896</v>
      </c>
      <c r="P3531" t="s">
        <v>33</v>
      </c>
      <c r="Q3531" s="22">
        <v>20915.53</v>
      </c>
      <c r="R3531" t="s">
        <v>35</v>
      </c>
      <c r="S3531" t="s">
        <v>35</v>
      </c>
      <c r="T3531" t="s">
        <v>35</v>
      </c>
      <c r="U3531" t="s">
        <v>35</v>
      </c>
      <c r="V3531" t="s">
        <v>645</v>
      </c>
      <c r="W3531" t="s">
        <v>113</v>
      </c>
    </row>
    <row r="3532" spans="1:23" hidden="1" x14ac:dyDescent="0.25">
      <c r="A3532" s="7" t="str">
        <f>IFERROR(VLOOKUP(H3532,'Contas Orç'!A:B,2,0),"N/A")</f>
        <v>DEPRECIACOES E AMORTIZACOES</v>
      </c>
      <c r="B3532" s="7" t="str">
        <f t="shared" si="110"/>
        <v>330501 - DEPRECIACOES E AMORTIZACOES</v>
      </c>
      <c r="C3532" s="25">
        <f t="shared" si="111"/>
        <v>44652</v>
      </c>
      <c r="D3532" s="27">
        <f>IF(K3532="CREDITO",Q3532,Q3532*-1)</f>
        <v>20123.73</v>
      </c>
      <c r="E3532" t="s">
        <v>894</v>
      </c>
      <c r="F3532" t="s">
        <v>4025</v>
      </c>
      <c r="G3532" s="8">
        <v>44652</v>
      </c>
      <c r="H3532" t="s">
        <v>603</v>
      </c>
      <c r="I3532" t="s">
        <v>40</v>
      </c>
      <c r="J3532" t="s">
        <v>54</v>
      </c>
      <c r="K3532" t="s">
        <v>29</v>
      </c>
      <c r="L3532" t="s">
        <v>895</v>
      </c>
      <c r="M3532" t="s">
        <v>4402</v>
      </c>
      <c r="O3532" t="s">
        <v>896</v>
      </c>
      <c r="P3532" t="s">
        <v>33</v>
      </c>
      <c r="Q3532" s="22">
        <v>20123.73</v>
      </c>
      <c r="R3532" t="s">
        <v>35</v>
      </c>
      <c r="S3532" t="s">
        <v>35</v>
      </c>
      <c r="T3532" t="s">
        <v>35</v>
      </c>
      <c r="U3532" t="s">
        <v>35</v>
      </c>
      <c r="V3532" t="s">
        <v>645</v>
      </c>
      <c r="W3532" t="s">
        <v>113</v>
      </c>
    </row>
    <row r="3533" spans="1:23" hidden="1" x14ac:dyDescent="0.25">
      <c r="A3533" s="7" t="str">
        <f>IFERROR(VLOOKUP(H3533,'Contas Orç'!A:B,2,0),"N/A")</f>
        <v>DEPRECIACOES E AMORTIZACOES</v>
      </c>
      <c r="B3533" s="7" t="str">
        <f t="shared" si="110"/>
        <v>330501 - DEPRECIACOES E AMORTIZACOES</v>
      </c>
      <c r="C3533" s="25">
        <f t="shared" si="111"/>
        <v>44652</v>
      </c>
      <c r="D3533" s="27">
        <f>IF(K3533="CREDITO",Q3533,Q3533*-1)</f>
        <v>0.56999999999999995</v>
      </c>
      <c r="E3533" t="s">
        <v>894</v>
      </c>
      <c r="F3533" t="s">
        <v>4026</v>
      </c>
      <c r="G3533" s="8">
        <v>44652</v>
      </c>
      <c r="H3533" t="s">
        <v>603</v>
      </c>
      <c r="I3533" t="s">
        <v>1002</v>
      </c>
      <c r="J3533" t="s">
        <v>54</v>
      </c>
      <c r="K3533" t="s">
        <v>29</v>
      </c>
      <c r="L3533" t="s">
        <v>895</v>
      </c>
      <c r="M3533" t="s">
        <v>4402</v>
      </c>
      <c r="O3533" t="s">
        <v>896</v>
      </c>
      <c r="P3533" t="s">
        <v>33</v>
      </c>
      <c r="Q3533">
        <v>0.56999999999999995</v>
      </c>
      <c r="R3533" t="s">
        <v>35</v>
      </c>
      <c r="S3533" t="s">
        <v>35</v>
      </c>
      <c r="T3533" t="s">
        <v>35</v>
      </c>
      <c r="U3533" t="s">
        <v>35</v>
      </c>
      <c r="V3533" t="s">
        <v>645</v>
      </c>
      <c r="W3533" t="s">
        <v>113</v>
      </c>
    </row>
    <row r="3534" spans="1:23" hidden="1" x14ac:dyDescent="0.25">
      <c r="A3534" s="7" t="str">
        <f>IFERROR(VLOOKUP(H3534,'Contas Orç'!A:B,2,0),"N/A")</f>
        <v>DEPRECIACOES E AMORTIZACOES</v>
      </c>
      <c r="B3534" s="7" t="str">
        <f t="shared" si="110"/>
        <v>330501 - DEPRECIACOES E AMORTIZACOES</v>
      </c>
      <c r="C3534" s="25">
        <f t="shared" si="111"/>
        <v>44652</v>
      </c>
      <c r="D3534" s="27">
        <f>IF(K3534="CREDITO",Q3534,Q3534*-1)</f>
        <v>28.54</v>
      </c>
      <c r="E3534" t="s">
        <v>894</v>
      </c>
      <c r="F3534" t="s">
        <v>4027</v>
      </c>
      <c r="G3534" s="8">
        <v>44652</v>
      </c>
      <c r="H3534" t="s">
        <v>603</v>
      </c>
      <c r="I3534" t="s">
        <v>132</v>
      </c>
      <c r="J3534" t="s">
        <v>54</v>
      </c>
      <c r="K3534" t="s">
        <v>29</v>
      </c>
      <c r="L3534" t="s">
        <v>895</v>
      </c>
      <c r="M3534" t="s">
        <v>4402</v>
      </c>
      <c r="O3534" t="s">
        <v>896</v>
      </c>
      <c r="P3534" t="s">
        <v>33</v>
      </c>
      <c r="Q3534">
        <v>28.54</v>
      </c>
      <c r="R3534" t="s">
        <v>35</v>
      </c>
      <c r="S3534" t="s">
        <v>35</v>
      </c>
      <c r="T3534" t="s">
        <v>35</v>
      </c>
      <c r="U3534" t="s">
        <v>35</v>
      </c>
      <c r="V3534" t="s">
        <v>645</v>
      </c>
      <c r="W3534" t="s">
        <v>113</v>
      </c>
    </row>
    <row r="3535" spans="1:23" hidden="1" x14ac:dyDescent="0.25">
      <c r="A3535" s="7" t="str">
        <f>IFERROR(VLOOKUP(H3535,'Contas Orç'!A:B,2,0),"N/A")</f>
        <v>DEPRECIACOES E AMORTIZACOES</v>
      </c>
      <c r="B3535" s="7" t="str">
        <f t="shared" si="110"/>
        <v>330501 - DEPRECIACOES E AMORTIZACOES</v>
      </c>
      <c r="C3535" s="25">
        <f t="shared" si="111"/>
        <v>44652</v>
      </c>
      <c r="D3535" s="27">
        <f>IF(K3535="CREDITO",Q3535,Q3535*-1)</f>
        <v>266.89999999999998</v>
      </c>
      <c r="E3535" t="s">
        <v>894</v>
      </c>
      <c r="F3535" t="s">
        <v>4028</v>
      </c>
      <c r="G3535" s="8">
        <v>44652</v>
      </c>
      <c r="H3535" t="s">
        <v>603</v>
      </c>
      <c r="I3535" t="s">
        <v>78</v>
      </c>
      <c r="J3535" t="s">
        <v>54</v>
      </c>
      <c r="K3535" t="s">
        <v>29</v>
      </c>
      <c r="L3535" t="s">
        <v>895</v>
      </c>
      <c r="M3535" t="s">
        <v>4402</v>
      </c>
      <c r="O3535" t="s">
        <v>896</v>
      </c>
      <c r="P3535" t="s">
        <v>33</v>
      </c>
      <c r="Q3535">
        <v>266.89999999999998</v>
      </c>
      <c r="R3535" t="s">
        <v>35</v>
      </c>
      <c r="S3535" t="s">
        <v>35</v>
      </c>
      <c r="T3535" t="s">
        <v>35</v>
      </c>
      <c r="U3535" t="s">
        <v>35</v>
      </c>
      <c r="V3535" t="s">
        <v>645</v>
      </c>
      <c r="W3535" t="s">
        <v>113</v>
      </c>
    </row>
    <row r="3536" spans="1:23" hidden="1" x14ac:dyDescent="0.25">
      <c r="A3536" s="7" t="str">
        <f>IFERROR(VLOOKUP(H3536,'Contas Orç'!A:B,2,0),"N/A")</f>
        <v>DEPRECIACOES E AMORTIZACOES</v>
      </c>
      <c r="B3536" s="7" t="str">
        <f t="shared" si="110"/>
        <v>330501 - DEPRECIACOES E AMORTIZACOES</v>
      </c>
      <c r="C3536" s="25">
        <f t="shared" si="111"/>
        <v>44652</v>
      </c>
      <c r="D3536" s="27">
        <f>IF(K3536="CREDITO",Q3536,Q3536*-1)</f>
        <v>51.25</v>
      </c>
      <c r="E3536" t="s">
        <v>894</v>
      </c>
      <c r="F3536" t="s">
        <v>4029</v>
      </c>
      <c r="G3536" s="8">
        <v>44652</v>
      </c>
      <c r="H3536" t="s">
        <v>603</v>
      </c>
      <c r="I3536" t="s">
        <v>81</v>
      </c>
      <c r="J3536" t="s">
        <v>54</v>
      </c>
      <c r="K3536" t="s">
        <v>29</v>
      </c>
      <c r="L3536" t="s">
        <v>895</v>
      </c>
      <c r="M3536" t="s">
        <v>4402</v>
      </c>
      <c r="O3536" t="s">
        <v>896</v>
      </c>
      <c r="P3536" t="s">
        <v>33</v>
      </c>
      <c r="Q3536">
        <v>51.25</v>
      </c>
      <c r="R3536" t="s">
        <v>35</v>
      </c>
      <c r="S3536" t="s">
        <v>35</v>
      </c>
      <c r="T3536" t="s">
        <v>35</v>
      </c>
      <c r="U3536" t="s">
        <v>35</v>
      </c>
      <c r="V3536" t="s">
        <v>645</v>
      </c>
      <c r="W3536" t="s">
        <v>113</v>
      </c>
    </row>
    <row r="3537" spans="1:23" hidden="1" x14ac:dyDescent="0.25">
      <c r="A3537" s="7" t="str">
        <f>IFERROR(VLOOKUP(H3537,'Contas Orç'!A:B,2,0),"N/A")</f>
        <v>DEPRECIACOES E AMORTIZACOES</v>
      </c>
      <c r="B3537" s="7" t="str">
        <f t="shared" si="110"/>
        <v>330501 - DEPRECIACOES E AMORTIZACOES</v>
      </c>
      <c r="C3537" s="25">
        <f t="shared" si="111"/>
        <v>44652</v>
      </c>
      <c r="D3537" s="27">
        <f>IF(K3537="CREDITO",Q3537,Q3537*-1)</f>
        <v>64.17</v>
      </c>
      <c r="E3537" t="s">
        <v>894</v>
      </c>
      <c r="F3537" t="s">
        <v>4030</v>
      </c>
      <c r="G3537" s="8">
        <v>44652</v>
      </c>
      <c r="H3537" t="s">
        <v>603</v>
      </c>
      <c r="I3537" t="s">
        <v>53</v>
      </c>
      <c r="J3537" t="s">
        <v>54</v>
      </c>
      <c r="K3537" t="s">
        <v>29</v>
      </c>
      <c r="L3537" t="s">
        <v>895</v>
      </c>
      <c r="M3537" t="s">
        <v>4402</v>
      </c>
      <c r="O3537" t="s">
        <v>896</v>
      </c>
      <c r="P3537" t="s">
        <v>33</v>
      </c>
      <c r="Q3537">
        <v>64.17</v>
      </c>
      <c r="R3537" t="s">
        <v>35</v>
      </c>
      <c r="S3537" t="s">
        <v>35</v>
      </c>
      <c r="T3537" t="s">
        <v>35</v>
      </c>
      <c r="U3537" t="s">
        <v>35</v>
      </c>
      <c r="V3537" t="s">
        <v>645</v>
      </c>
      <c r="W3537" t="s">
        <v>113</v>
      </c>
    </row>
    <row r="3538" spans="1:23" hidden="1" x14ac:dyDescent="0.25">
      <c r="A3538" s="7" t="str">
        <f>IFERROR(VLOOKUP(H3538,'Contas Orç'!A:B,2,0),"N/A")</f>
        <v>DEPRECIACOES E AMORTIZACOES</v>
      </c>
      <c r="B3538" s="7" t="str">
        <f t="shared" si="110"/>
        <v>330501 - DEPRECIACOES E AMORTIZACOES</v>
      </c>
      <c r="C3538" s="25">
        <f t="shared" si="111"/>
        <v>44682</v>
      </c>
      <c r="D3538" s="27">
        <f>IF(K3538="CREDITO",Q3538,Q3538*-1)</f>
        <v>20951.78</v>
      </c>
      <c r="E3538" t="s">
        <v>894</v>
      </c>
      <c r="F3538" t="s">
        <v>4031</v>
      </c>
      <c r="G3538" s="8">
        <v>44682</v>
      </c>
      <c r="H3538" t="s">
        <v>603</v>
      </c>
      <c r="I3538" t="s">
        <v>2062</v>
      </c>
      <c r="J3538" t="s">
        <v>54</v>
      </c>
      <c r="K3538" t="s">
        <v>29</v>
      </c>
      <c r="L3538" t="s">
        <v>895</v>
      </c>
      <c r="M3538" t="s">
        <v>4402</v>
      </c>
      <c r="O3538" t="s">
        <v>896</v>
      </c>
      <c r="P3538" t="s">
        <v>33</v>
      </c>
      <c r="Q3538" s="22">
        <v>20951.78</v>
      </c>
      <c r="R3538" t="s">
        <v>35</v>
      </c>
      <c r="S3538" t="s">
        <v>35</v>
      </c>
      <c r="T3538" t="s">
        <v>35</v>
      </c>
      <c r="U3538" t="s">
        <v>35</v>
      </c>
      <c r="V3538" t="s">
        <v>645</v>
      </c>
      <c r="W3538" t="s">
        <v>113</v>
      </c>
    </row>
    <row r="3539" spans="1:23" hidden="1" x14ac:dyDescent="0.25">
      <c r="A3539" s="7" t="str">
        <f>IFERROR(VLOOKUP(H3539,'Contas Orç'!A:B,2,0),"N/A")</f>
        <v>DEPRECIACOES E AMORTIZACOES</v>
      </c>
      <c r="B3539" s="7" t="str">
        <f t="shared" si="110"/>
        <v>330501 - DEPRECIACOES E AMORTIZACOES</v>
      </c>
      <c r="C3539" s="25">
        <f t="shared" si="111"/>
        <v>44682</v>
      </c>
      <c r="D3539" s="27">
        <f>IF(K3539="CREDITO",Q3539,Q3539*-1)</f>
        <v>20029.72</v>
      </c>
      <c r="E3539" t="s">
        <v>894</v>
      </c>
      <c r="F3539" t="s">
        <v>4032</v>
      </c>
      <c r="G3539" s="8">
        <v>44682</v>
      </c>
      <c r="H3539" t="s">
        <v>603</v>
      </c>
      <c r="I3539" t="s">
        <v>40</v>
      </c>
      <c r="J3539" t="s">
        <v>54</v>
      </c>
      <c r="K3539" t="s">
        <v>29</v>
      </c>
      <c r="L3539" t="s">
        <v>895</v>
      </c>
      <c r="M3539" t="s">
        <v>4402</v>
      </c>
      <c r="O3539" t="s">
        <v>896</v>
      </c>
      <c r="P3539" t="s">
        <v>33</v>
      </c>
      <c r="Q3539" s="22">
        <v>20029.72</v>
      </c>
      <c r="R3539" t="s">
        <v>35</v>
      </c>
      <c r="S3539" t="s">
        <v>35</v>
      </c>
      <c r="T3539" t="s">
        <v>35</v>
      </c>
      <c r="U3539" t="s">
        <v>35</v>
      </c>
      <c r="V3539" t="s">
        <v>645</v>
      </c>
      <c r="W3539" t="s">
        <v>113</v>
      </c>
    </row>
    <row r="3540" spans="1:23" hidden="1" x14ac:dyDescent="0.25">
      <c r="A3540" s="7" t="str">
        <f>IFERROR(VLOOKUP(H3540,'Contas Orç'!A:B,2,0),"N/A")</f>
        <v>DEPRECIACOES E AMORTIZACOES</v>
      </c>
      <c r="B3540" s="7" t="str">
        <f t="shared" si="110"/>
        <v>330501 - DEPRECIACOES E AMORTIZACOES</v>
      </c>
      <c r="C3540" s="25">
        <f t="shared" si="111"/>
        <v>44682</v>
      </c>
      <c r="D3540" s="27">
        <f>IF(K3540="CREDITO",Q3540,Q3540*-1)</f>
        <v>17.079999999999998</v>
      </c>
      <c r="E3540" t="s">
        <v>894</v>
      </c>
      <c r="F3540" t="s">
        <v>4033</v>
      </c>
      <c r="G3540" s="8">
        <v>44682</v>
      </c>
      <c r="H3540" t="s">
        <v>603</v>
      </c>
      <c r="I3540" t="s">
        <v>1002</v>
      </c>
      <c r="J3540" t="s">
        <v>54</v>
      </c>
      <c r="K3540" t="s">
        <v>29</v>
      </c>
      <c r="L3540" t="s">
        <v>895</v>
      </c>
      <c r="M3540" t="s">
        <v>4402</v>
      </c>
      <c r="O3540" t="s">
        <v>896</v>
      </c>
      <c r="P3540" t="s">
        <v>33</v>
      </c>
      <c r="Q3540">
        <v>17.079999999999998</v>
      </c>
      <c r="R3540" t="s">
        <v>35</v>
      </c>
      <c r="S3540" t="s">
        <v>35</v>
      </c>
      <c r="T3540" t="s">
        <v>35</v>
      </c>
      <c r="U3540" t="s">
        <v>35</v>
      </c>
      <c r="V3540" t="s">
        <v>645</v>
      </c>
      <c r="W3540" t="s">
        <v>113</v>
      </c>
    </row>
    <row r="3541" spans="1:23" hidden="1" x14ac:dyDescent="0.25">
      <c r="A3541" s="7" t="str">
        <f>IFERROR(VLOOKUP(H3541,'Contas Orç'!A:B,2,0),"N/A")</f>
        <v>DEPRECIACOES E AMORTIZACOES</v>
      </c>
      <c r="B3541" s="7" t="str">
        <f t="shared" si="110"/>
        <v>330501 - DEPRECIACOES E AMORTIZACOES</v>
      </c>
      <c r="C3541" s="25">
        <f t="shared" si="111"/>
        <v>44682</v>
      </c>
      <c r="D3541" s="27">
        <f>IF(K3541="CREDITO",Q3541,Q3541*-1)</f>
        <v>28.54</v>
      </c>
      <c r="E3541" t="s">
        <v>894</v>
      </c>
      <c r="F3541" t="s">
        <v>4034</v>
      </c>
      <c r="G3541" s="8">
        <v>44682</v>
      </c>
      <c r="H3541" t="s">
        <v>603</v>
      </c>
      <c r="I3541" t="s">
        <v>132</v>
      </c>
      <c r="J3541" t="s">
        <v>54</v>
      </c>
      <c r="K3541" t="s">
        <v>29</v>
      </c>
      <c r="L3541" t="s">
        <v>895</v>
      </c>
      <c r="M3541" t="s">
        <v>4402</v>
      </c>
      <c r="O3541" t="s">
        <v>896</v>
      </c>
      <c r="P3541" t="s">
        <v>33</v>
      </c>
      <c r="Q3541">
        <v>28.54</v>
      </c>
      <c r="R3541" t="s">
        <v>35</v>
      </c>
      <c r="S3541" t="s">
        <v>35</v>
      </c>
      <c r="T3541" t="s">
        <v>35</v>
      </c>
      <c r="U3541" t="s">
        <v>35</v>
      </c>
      <c r="V3541" t="s">
        <v>645</v>
      </c>
      <c r="W3541" t="s">
        <v>113</v>
      </c>
    </row>
    <row r="3542" spans="1:23" hidden="1" x14ac:dyDescent="0.25">
      <c r="A3542" s="7" t="str">
        <f>IFERROR(VLOOKUP(H3542,'Contas Orç'!A:B,2,0),"N/A")</f>
        <v>DEPRECIACOES E AMORTIZACOES</v>
      </c>
      <c r="B3542" s="7" t="str">
        <f t="shared" si="110"/>
        <v>330501 - DEPRECIACOES E AMORTIZACOES</v>
      </c>
      <c r="C3542" s="25">
        <f t="shared" si="111"/>
        <v>44682</v>
      </c>
      <c r="D3542" s="27">
        <f>IF(K3542="CREDITO",Q3542,Q3542*-1)</f>
        <v>266.89999999999998</v>
      </c>
      <c r="E3542" t="s">
        <v>894</v>
      </c>
      <c r="F3542" t="s">
        <v>4035</v>
      </c>
      <c r="G3542" s="8">
        <v>44682</v>
      </c>
      <c r="H3542" t="s">
        <v>603</v>
      </c>
      <c r="I3542" t="s">
        <v>78</v>
      </c>
      <c r="J3542" t="s">
        <v>54</v>
      </c>
      <c r="K3542" t="s">
        <v>29</v>
      </c>
      <c r="L3542" t="s">
        <v>895</v>
      </c>
      <c r="M3542" t="s">
        <v>4402</v>
      </c>
      <c r="O3542" t="s">
        <v>896</v>
      </c>
      <c r="P3542" t="s">
        <v>33</v>
      </c>
      <c r="Q3542">
        <v>266.89999999999998</v>
      </c>
      <c r="R3542" t="s">
        <v>35</v>
      </c>
      <c r="S3542" t="s">
        <v>35</v>
      </c>
      <c r="T3542" t="s">
        <v>35</v>
      </c>
      <c r="U3542" t="s">
        <v>35</v>
      </c>
      <c r="V3542" t="s">
        <v>645</v>
      </c>
      <c r="W3542" t="s">
        <v>113</v>
      </c>
    </row>
    <row r="3543" spans="1:23" hidden="1" x14ac:dyDescent="0.25">
      <c r="A3543" s="7" t="str">
        <f>IFERROR(VLOOKUP(H3543,'Contas Orç'!A:B,2,0),"N/A")</f>
        <v>DEPRECIACOES E AMORTIZACOES</v>
      </c>
      <c r="B3543" s="7" t="str">
        <f t="shared" si="110"/>
        <v>330501 - DEPRECIACOES E AMORTIZACOES</v>
      </c>
      <c r="C3543" s="25">
        <f t="shared" si="111"/>
        <v>44682</v>
      </c>
      <c r="D3543" s="27">
        <f>IF(K3543="CREDITO",Q3543,Q3543*-1)</f>
        <v>51.25</v>
      </c>
      <c r="E3543" t="s">
        <v>894</v>
      </c>
      <c r="F3543" t="s">
        <v>4036</v>
      </c>
      <c r="G3543" s="8">
        <v>44682</v>
      </c>
      <c r="H3543" t="s">
        <v>603</v>
      </c>
      <c r="I3543" t="s">
        <v>81</v>
      </c>
      <c r="J3543" t="s">
        <v>54</v>
      </c>
      <c r="K3543" t="s">
        <v>29</v>
      </c>
      <c r="L3543" t="s">
        <v>895</v>
      </c>
      <c r="M3543" t="s">
        <v>4402</v>
      </c>
      <c r="O3543" t="s">
        <v>896</v>
      </c>
      <c r="P3543" t="s">
        <v>33</v>
      </c>
      <c r="Q3543">
        <v>51.25</v>
      </c>
      <c r="R3543" t="s">
        <v>35</v>
      </c>
      <c r="S3543" t="s">
        <v>35</v>
      </c>
      <c r="T3543" t="s">
        <v>35</v>
      </c>
      <c r="U3543" t="s">
        <v>35</v>
      </c>
      <c r="V3543" t="s">
        <v>645</v>
      </c>
      <c r="W3543" t="s">
        <v>113</v>
      </c>
    </row>
    <row r="3544" spans="1:23" hidden="1" x14ac:dyDescent="0.25">
      <c r="A3544" s="7" t="str">
        <f>IFERROR(VLOOKUP(H3544,'Contas Orç'!A:B,2,0),"N/A")</f>
        <v>DEPRECIACOES E AMORTIZACOES</v>
      </c>
      <c r="B3544" s="7" t="str">
        <f t="shared" si="110"/>
        <v>330501 - DEPRECIACOES E AMORTIZACOES</v>
      </c>
      <c r="C3544" s="25">
        <f t="shared" si="111"/>
        <v>44682</v>
      </c>
      <c r="D3544" s="27">
        <f>IF(K3544="CREDITO",Q3544,Q3544*-1)</f>
        <v>64.17</v>
      </c>
      <c r="E3544" t="s">
        <v>894</v>
      </c>
      <c r="F3544" t="s">
        <v>4037</v>
      </c>
      <c r="G3544" s="8">
        <v>44682</v>
      </c>
      <c r="H3544" t="s">
        <v>603</v>
      </c>
      <c r="I3544" t="s">
        <v>53</v>
      </c>
      <c r="J3544" t="s">
        <v>54</v>
      </c>
      <c r="K3544" t="s">
        <v>29</v>
      </c>
      <c r="L3544" t="s">
        <v>895</v>
      </c>
      <c r="M3544" t="s">
        <v>4402</v>
      </c>
      <c r="O3544" t="s">
        <v>896</v>
      </c>
      <c r="P3544" t="s">
        <v>33</v>
      </c>
      <c r="Q3544">
        <v>64.17</v>
      </c>
      <c r="R3544" t="s">
        <v>35</v>
      </c>
      <c r="S3544" t="s">
        <v>35</v>
      </c>
      <c r="T3544" t="s">
        <v>35</v>
      </c>
      <c r="U3544" t="s">
        <v>35</v>
      </c>
      <c r="V3544" t="s">
        <v>645</v>
      </c>
      <c r="W3544" t="s">
        <v>113</v>
      </c>
    </row>
    <row r="3545" spans="1:23" hidden="1" x14ac:dyDescent="0.25">
      <c r="A3545" s="7" t="str">
        <f>IFERROR(VLOOKUP(H3545,'Contas Orç'!A:B,2,0),"N/A")</f>
        <v>DEPRECIACOES E AMORTIZACOES</v>
      </c>
      <c r="B3545" s="7" t="str">
        <f t="shared" si="110"/>
        <v>330501 - DEPRECIACOES E AMORTIZACOES</v>
      </c>
      <c r="C3545" s="25">
        <f t="shared" si="111"/>
        <v>44713</v>
      </c>
      <c r="D3545" s="27">
        <f>IF(K3545="CREDITO",Q3545,Q3545*-1)</f>
        <v>20951.78</v>
      </c>
      <c r="E3545" t="s">
        <v>894</v>
      </c>
      <c r="F3545" t="s">
        <v>4038</v>
      </c>
      <c r="G3545" s="8">
        <v>44713</v>
      </c>
      <c r="H3545" t="s">
        <v>603</v>
      </c>
      <c r="I3545" t="s">
        <v>2062</v>
      </c>
      <c r="J3545" t="s">
        <v>54</v>
      </c>
      <c r="K3545" t="s">
        <v>29</v>
      </c>
      <c r="L3545" t="s">
        <v>895</v>
      </c>
      <c r="M3545" t="s">
        <v>4402</v>
      </c>
      <c r="O3545" t="s">
        <v>896</v>
      </c>
      <c r="P3545" t="s">
        <v>33</v>
      </c>
      <c r="Q3545" s="22">
        <v>20951.78</v>
      </c>
      <c r="R3545" t="s">
        <v>35</v>
      </c>
      <c r="S3545" t="s">
        <v>35</v>
      </c>
      <c r="T3545" t="s">
        <v>35</v>
      </c>
      <c r="U3545" t="s">
        <v>35</v>
      </c>
      <c r="V3545" t="s">
        <v>645</v>
      </c>
      <c r="W3545" t="s">
        <v>113</v>
      </c>
    </row>
    <row r="3546" spans="1:23" hidden="1" x14ac:dyDescent="0.25">
      <c r="A3546" s="7" t="str">
        <f>IFERROR(VLOOKUP(H3546,'Contas Orç'!A:B,2,0),"N/A")</f>
        <v>DEPRECIACOES E AMORTIZACOES</v>
      </c>
      <c r="B3546" s="7" t="str">
        <f t="shared" si="110"/>
        <v>330501 - DEPRECIACOES E AMORTIZACOES</v>
      </c>
      <c r="C3546" s="25">
        <f t="shared" si="111"/>
        <v>44713</v>
      </c>
      <c r="D3546" s="27">
        <f>IF(K3546="CREDITO",Q3546,Q3546*-1)</f>
        <v>19977.38</v>
      </c>
      <c r="E3546" t="s">
        <v>894</v>
      </c>
      <c r="F3546" t="s">
        <v>4039</v>
      </c>
      <c r="G3546" s="8">
        <v>44713</v>
      </c>
      <c r="H3546" t="s">
        <v>603</v>
      </c>
      <c r="I3546" t="s">
        <v>40</v>
      </c>
      <c r="J3546" t="s">
        <v>54</v>
      </c>
      <c r="K3546" t="s">
        <v>29</v>
      </c>
      <c r="L3546" t="s">
        <v>895</v>
      </c>
      <c r="M3546" t="s">
        <v>4402</v>
      </c>
      <c r="O3546" t="s">
        <v>896</v>
      </c>
      <c r="P3546" t="s">
        <v>33</v>
      </c>
      <c r="Q3546" s="22">
        <v>19977.38</v>
      </c>
      <c r="R3546" t="s">
        <v>35</v>
      </c>
      <c r="S3546" t="s">
        <v>35</v>
      </c>
      <c r="T3546" t="s">
        <v>35</v>
      </c>
      <c r="U3546" t="s">
        <v>35</v>
      </c>
      <c r="V3546" t="s">
        <v>645</v>
      </c>
      <c r="W3546" t="s">
        <v>113</v>
      </c>
    </row>
    <row r="3547" spans="1:23" hidden="1" x14ac:dyDescent="0.25">
      <c r="A3547" s="7" t="str">
        <f>IFERROR(VLOOKUP(H3547,'Contas Orç'!A:B,2,0),"N/A")</f>
        <v>DEPRECIACOES E AMORTIZACOES</v>
      </c>
      <c r="B3547" s="7" t="str">
        <f t="shared" si="110"/>
        <v>330501 - DEPRECIACOES E AMORTIZACOES</v>
      </c>
      <c r="C3547" s="25">
        <f t="shared" si="111"/>
        <v>44713</v>
      </c>
      <c r="D3547" s="27">
        <f>IF(K3547="CREDITO",Q3547,Q3547*-1)</f>
        <v>17.079999999999998</v>
      </c>
      <c r="E3547" t="s">
        <v>894</v>
      </c>
      <c r="F3547" t="s">
        <v>4040</v>
      </c>
      <c r="G3547" s="8">
        <v>44713</v>
      </c>
      <c r="H3547" t="s">
        <v>603</v>
      </c>
      <c r="I3547" t="s">
        <v>1002</v>
      </c>
      <c r="J3547" t="s">
        <v>54</v>
      </c>
      <c r="K3547" t="s">
        <v>29</v>
      </c>
      <c r="L3547" t="s">
        <v>895</v>
      </c>
      <c r="M3547" t="s">
        <v>4402</v>
      </c>
      <c r="O3547" t="s">
        <v>896</v>
      </c>
      <c r="P3547" t="s">
        <v>33</v>
      </c>
      <c r="Q3547">
        <v>17.079999999999998</v>
      </c>
      <c r="R3547" t="s">
        <v>35</v>
      </c>
      <c r="S3547" t="s">
        <v>35</v>
      </c>
      <c r="T3547" t="s">
        <v>35</v>
      </c>
      <c r="U3547" t="s">
        <v>35</v>
      </c>
      <c r="V3547" t="s">
        <v>645</v>
      </c>
      <c r="W3547" t="s">
        <v>113</v>
      </c>
    </row>
    <row r="3548" spans="1:23" hidden="1" x14ac:dyDescent="0.25">
      <c r="A3548" s="7" t="str">
        <f>IFERROR(VLOOKUP(H3548,'Contas Orç'!A:B,2,0),"N/A")</f>
        <v>DEPRECIACOES E AMORTIZACOES</v>
      </c>
      <c r="B3548" s="7" t="str">
        <f t="shared" si="110"/>
        <v>330501 - DEPRECIACOES E AMORTIZACOES</v>
      </c>
      <c r="C3548" s="25">
        <f t="shared" si="111"/>
        <v>44713</v>
      </c>
      <c r="D3548" s="27">
        <f>IF(K3548="CREDITO",Q3548,Q3548*-1)</f>
        <v>28.54</v>
      </c>
      <c r="E3548" t="s">
        <v>894</v>
      </c>
      <c r="F3548" t="s">
        <v>4041</v>
      </c>
      <c r="G3548" s="8">
        <v>44713</v>
      </c>
      <c r="H3548" t="s">
        <v>603</v>
      </c>
      <c r="I3548" t="s">
        <v>132</v>
      </c>
      <c r="J3548" t="s">
        <v>54</v>
      </c>
      <c r="K3548" t="s">
        <v>29</v>
      </c>
      <c r="L3548" t="s">
        <v>895</v>
      </c>
      <c r="M3548" t="s">
        <v>4402</v>
      </c>
      <c r="O3548" t="s">
        <v>896</v>
      </c>
      <c r="P3548" t="s">
        <v>33</v>
      </c>
      <c r="Q3548">
        <v>28.54</v>
      </c>
      <c r="R3548" t="s">
        <v>35</v>
      </c>
      <c r="S3548" t="s">
        <v>35</v>
      </c>
      <c r="T3548" t="s">
        <v>35</v>
      </c>
      <c r="U3548" t="s">
        <v>35</v>
      </c>
      <c r="V3548" t="s">
        <v>645</v>
      </c>
      <c r="W3548" t="s">
        <v>113</v>
      </c>
    </row>
    <row r="3549" spans="1:23" hidden="1" x14ac:dyDescent="0.25">
      <c r="A3549" s="7" t="str">
        <f>IFERROR(VLOOKUP(H3549,'Contas Orç'!A:B,2,0),"N/A")</f>
        <v>DEPRECIACOES E AMORTIZACOES</v>
      </c>
      <c r="B3549" s="7" t="str">
        <f t="shared" si="110"/>
        <v>330501 - DEPRECIACOES E AMORTIZACOES</v>
      </c>
      <c r="C3549" s="25">
        <f t="shared" si="111"/>
        <v>44713</v>
      </c>
      <c r="D3549" s="27">
        <f>IF(K3549="CREDITO",Q3549,Q3549*-1)</f>
        <v>266.89999999999998</v>
      </c>
      <c r="E3549" t="s">
        <v>894</v>
      </c>
      <c r="F3549" t="s">
        <v>4042</v>
      </c>
      <c r="G3549" s="8">
        <v>44713</v>
      </c>
      <c r="H3549" t="s">
        <v>603</v>
      </c>
      <c r="I3549" t="s">
        <v>78</v>
      </c>
      <c r="J3549" t="s">
        <v>54</v>
      </c>
      <c r="K3549" t="s">
        <v>29</v>
      </c>
      <c r="L3549" t="s">
        <v>895</v>
      </c>
      <c r="M3549" t="s">
        <v>4402</v>
      </c>
      <c r="O3549" t="s">
        <v>896</v>
      </c>
      <c r="P3549" t="s">
        <v>33</v>
      </c>
      <c r="Q3549">
        <v>266.89999999999998</v>
      </c>
      <c r="R3549" t="s">
        <v>35</v>
      </c>
      <c r="S3549" t="s">
        <v>35</v>
      </c>
      <c r="T3549" t="s">
        <v>35</v>
      </c>
      <c r="U3549" t="s">
        <v>35</v>
      </c>
      <c r="V3549" t="s">
        <v>645</v>
      </c>
      <c r="W3549" t="s">
        <v>113</v>
      </c>
    </row>
    <row r="3550" spans="1:23" hidden="1" x14ac:dyDescent="0.25">
      <c r="A3550" s="7" t="str">
        <f>IFERROR(VLOOKUP(H3550,'Contas Orç'!A:B,2,0),"N/A")</f>
        <v>DEPRECIACOES E AMORTIZACOES</v>
      </c>
      <c r="B3550" s="7" t="str">
        <f t="shared" si="110"/>
        <v>330501 - DEPRECIACOES E AMORTIZACOES</v>
      </c>
      <c r="C3550" s="25">
        <f t="shared" si="111"/>
        <v>44713</v>
      </c>
      <c r="D3550" s="27">
        <f>IF(K3550="CREDITO",Q3550,Q3550*-1)</f>
        <v>51.25</v>
      </c>
      <c r="E3550" t="s">
        <v>894</v>
      </c>
      <c r="F3550" t="s">
        <v>4043</v>
      </c>
      <c r="G3550" s="8">
        <v>44713</v>
      </c>
      <c r="H3550" t="s">
        <v>603</v>
      </c>
      <c r="I3550" t="s">
        <v>81</v>
      </c>
      <c r="J3550" t="s">
        <v>54</v>
      </c>
      <c r="K3550" t="s">
        <v>29</v>
      </c>
      <c r="L3550" t="s">
        <v>895</v>
      </c>
      <c r="M3550" t="s">
        <v>4402</v>
      </c>
      <c r="O3550" t="s">
        <v>896</v>
      </c>
      <c r="P3550" t="s">
        <v>33</v>
      </c>
      <c r="Q3550">
        <v>51.25</v>
      </c>
      <c r="R3550" t="s">
        <v>35</v>
      </c>
      <c r="S3550" t="s">
        <v>35</v>
      </c>
      <c r="T3550" t="s">
        <v>35</v>
      </c>
      <c r="U3550" t="s">
        <v>35</v>
      </c>
      <c r="V3550" t="s">
        <v>645</v>
      </c>
      <c r="W3550" t="s">
        <v>113</v>
      </c>
    </row>
    <row r="3551" spans="1:23" hidden="1" x14ac:dyDescent="0.25">
      <c r="A3551" s="7" t="str">
        <f>IFERROR(VLOOKUP(H3551,'Contas Orç'!A:B,2,0),"N/A")</f>
        <v>DEPRECIACOES E AMORTIZACOES</v>
      </c>
      <c r="B3551" s="7" t="str">
        <f t="shared" si="110"/>
        <v>330501 - DEPRECIACOES E AMORTIZACOES</v>
      </c>
      <c r="C3551" s="25">
        <f t="shared" si="111"/>
        <v>44713</v>
      </c>
      <c r="D3551" s="27">
        <f>IF(K3551="CREDITO",Q3551,Q3551*-1)</f>
        <v>64.17</v>
      </c>
      <c r="E3551" t="s">
        <v>894</v>
      </c>
      <c r="F3551" t="s">
        <v>4044</v>
      </c>
      <c r="G3551" s="8">
        <v>44713</v>
      </c>
      <c r="H3551" t="s">
        <v>603</v>
      </c>
      <c r="I3551" t="s">
        <v>53</v>
      </c>
      <c r="J3551" t="s">
        <v>54</v>
      </c>
      <c r="K3551" t="s">
        <v>29</v>
      </c>
      <c r="L3551" t="s">
        <v>895</v>
      </c>
      <c r="M3551" t="s">
        <v>4402</v>
      </c>
      <c r="O3551" t="s">
        <v>896</v>
      </c>
      <c r="P3551" t="s">
        <v>33</v>
      </c>
      <c r="Q3551">
        <v>64.17</v>
      </c>
      <c r="R3551" t="s">
        <v>35</v>
      </c>
      <c r="S3551" t="s">
        <v>35</v>
      </c>
      <c r="T3551" t="s">
        <v>35</v>
      </c>
      <c r="U3551" t="s">
        <v>35</v>
      </c>
      <c r="V3551" t="s">
        <v>645</v>
      </c>
      <c r="W3551" t="s">
        <v>113</v>
      </c>
    </row>
    <row r="3552" spans="1:23" hidden="1" x14ac:dyDescent="0.25">
      <c r="A3552" s="7" t="str">
        <f>IFERROR(VLOOKUP(H3552,'Contas Orç'!A:B,2,0),"N/A")</f>
        <v>DEPRECIACOES E AMORTIZACOES</v>
      </c>
      <c r="B3552" s="7" t="str">
        <f t="shared" si="110"/>
        <v>330501 - DEPRECIACOES E AMORTIZACOES</v>
      </c>
      <c r="C3552" s="25">
        <f t="shared" si="111"/>
        <v>44743</v>
      </c>
      <c r="D3552" s="27">
        <f>IF(K3552="CREDITO",Q3552,Q3552*-1)</f>
        <v>20951.78</v>
      </c>
      <c r="E3552" t="s">
        <v>894</v>
      </c>
      <c r="F3552" t="s">
        <v>4045</v>
      </c>
      <c r="G3552" s="8">
        <v>44743</v>
      </c>
      <c r="H3552" t="s">
        <v>603</v>
      </c>
      <c r="I3552" t="s">
        <v>2062</v>
      </c>
      <c r="J3552" t="s">
        <v>54</v>
      </c>
      <c r="K3552" t="s">
        <v>29</v>
      </c>
      <c r="L3552" t="s">
        <v>895</v>
      </c>
      <c r="M3552" t="s">
        <v>4402</v>
      </c>
      <c r="O3552" t="s">
        <v>896</v>
      </c>
      <c r="P3552" t="s">
        <v>33</v>
      </c>
      <c r="Q3552" s="22">
        <v>20951.78</v>
      </c>
      <c r="R3552" t="s">
        <v>35</v>
      </c>
      <c r="S3552" t="s">
        <v>35</v>
      </c>
      <c r="T3552" t="s">
        <v>35</v>
      </c>
      <c r="U3552" t="s">
        <v>35</v>
      </c>
      <c r="V3552" t="s">
        <v>645</v>
      </c>
      <c r="W3552" t="s">
        <v>113</v>
      </c>
    </row>
    <row r="3553" spans="1:23" hidden="1" x14ac:dyDescent="0.25">
      <c r="A3553" s="7" t="str">
        <f>IFERROR(VLOOKUP(H3553,'Contas Orç'!A:B,2,0),"N/A")</f>
        <v>DEPRECIACOES E AMORTIZACOES</v>
      </c>
      <c r="B3553" s="7" t="str">
        <f t="shared" si="110"/>
        <v>330501 - DEPRECIACOES E AMORTIZACOES</v>
      </c>
      <c r="C3553" s="25">
        <f t="shared" si="111"/>
        <v>44743</v>
      </c>
      <c r="D3553" s="27">
        <f>IF(K3553="CREDITO",Q3553,Q3553*-1)</f>
        <v>19985.75</v>
      </c>
      <c r="E3553" t="s">
        <v>894</v>
      </c>
      <c r="F3553" t="s">
        <v>4046</v>
      </c>
      <c r="G3553" s="8">
        <v>44743</v>
      </c>
      <c r="H3553" t="s">
        <v>603</v>
      </c>
      <c r="I3553" t="s">
        <v>40</v>
      </c>
      <c r="J3553" t="s">
        <v>54</v>
      </c>
      <c r="K3553" t="s">
        <v>29</v>
      </c>
      <c r="L3553" t="s">
        <v>895</v>
      </c>
      <c r="M3553" t="s">
        <v>4402</v>
      </c>
      <c r="O3553" t="s">
        <v>896</v>
      </c>
      <c r="P3553" t="s">
        <v>33</v>
      </c>
      <c r="Q3553" s="22">
        <v>19985.75</v>
      </c>
      <c r="R3553" t="s">
        <v>35</v>
      </c>
      <c r="S3553" t="s">
        <v>35</v>
      </c>
      <c r="T3553" t="s">
        <v>35</v>
      </c>
      <c r="U3553" t="s">
        <v>35</v>
      </c>
      <c r="V3553" t="s">
        <v>645</v>
      </c>
      <c r="W3553" t="s">
        <v>113</v>
      </c>
    </row>
    <row r="3554" spans="1:23" hidden="1" x14ac:dyDescent="0.25">
      <c r="A3554" s="7" t="str">
        <f>IFERROR(VLOOKUP(H3554,'Contas Orç'!A:B,2,0),"N/A")</f>
        <v>DEPRECIACOES E AMORTIZACOES</v>
      </c>
      <c r="B3554" s="7" t="str">
        <f t="shared" si="110"/>
        <v>330501 - DEPRECIACOES E AMORTIZACOES</v>
      </c>
      <c r="C3554" s="25">
        <f t="shared" si="111"/>
        <v>44743</v>
      </c>
      <c r="D3554" s="27">
        <f>IF(K3554="CREDITO",Q3554,Q3554*-1)</f>
        <v>17.079999999999998</v>
      </c>
      <c r="E3554" t="s">
        <v>894</v>
      </c>
      <c r="F3554" t="s">
        <v>4047</v>
      </c>
      <c r="G3554" s="8">
        <v>44743</v>
      </c>
      <c r="H3554" t="s">
        <v>603</v>
      </c>
      <c r="I3554" t="s">
        <v>1002</v>
      </c>
      <c r="J3554" t="s">
        <v>54</v>
      </c>
      <c r="K3554" t="s">
        <v>29</v>
      </c>
      <c r="L3554" t="s">
        <v>895</v>
      </c>
      <c r="M3554" t="s">
        <v>4402</v>
      </c>
      <c r="O3554" t="s">
        <v>896</v>
      </c>
      <c r="P3554" t="s">
        <v>33</v>
      </c>
      <c r="Q3554">
        <v>17.079999999999998</v>
      </c>
      <c r="R3554" t="s">
        <v>35</v>
      </c>
      <c r="S3554" t="s">
        <v>35</v>
      </c>
      <c r="T3554" t="s">
        <v>35</v>
      </c>
      <c r="U3554" t="s">
        <v>35</v>
      </c>
      <c r="V3554" t="s">
        <v>645</v>
      </c>
      <c r="W3554" t="s">
        <v>113</v>
      </c>
    </row>
    <row r="3555" spans="1:23" hidden="1" x14ac:dyDescent="0.25">
      <c r="A3555" s="7" t="str">
        <f>IFERROR(VLOOKUP(H3555,'Contas Orç'!A:B,2,0),"N/A")</f>
        <v>DEPRECIACOES E AMORTIZACOES</v>
      </c>
      <c r="B3555" s="7" t="str">
        <f t="shared" si="110"/>
        <v>330501 - DEPRECIACOES E AMORTIZACOES</v>
      </c>
      <c r="C3555" s="25">
        <f t="shared" si="111"/>
        <v>44743</v>
      </c>
      <c r="D3555" s="27">
        <f>IF(K3555="CREDITO",Q3555,Q3555*-1)</f>
        <v>28.54</v>
      </c>
      <c r="E3555" t="s">
        <v>894</v>
      </c>
      <c r="F3555" t="s">
        <v>4048</v>
      </c>
      <c r="G3555" s="8">
        <v>44743</v>
      </c>
      <c r="H3555" t="s">
        <v>603</v>
      </c>
      <c r="I3555" t="s">
        <v>132</v>
      </c>
      <c r="J3555" t="s">
        <v>54</v>
      </c>
      <c r="K3555" t="s">
        <v>29</v>
      </c>
      <c r="L3555" t="s">
        <v>895</v>
      </c>
      <c r="M3555" t="s">
        <v>4402</v>
      </c>
      <c r="O3555" t="s">
        <v>896</v>
      </c>
      <c r="P3555" t="s">
        <v>33</v>
      </c>
      <c r="Q3555">
        <v>28.54</v>
      </c>
      <c r="R3555" t="s">
        <v>35</v>
      </c>
      <c r="S3555" t="s">
        <v>35</v>
      </c>
      <c r="T3555" t="s">
        <v>35</v>
      </c>
      <c r="U3555" t="s">
        <v>35</v>
      </c>
      <c r="V3555" t="s">
        <v>645</v>
      </c>
      <c r="W3555" t="s">
        <v>113</v>
      </c>
    </row>
    <row r="3556" spans="1:23" hidden="1" x14ac:dyDescent="0.25">
      <c r="A3556" s="7" t="str">
        <f>IFERROR(VLOOKUP(H3556,'Contas Orç'!A:B,2,0),"N/A")</f>
        <v>DEPRECIACOES E AMORTIZACOES</v>
      </c>
      <c r="B3556" s="7" t="str">
        <f t="shared" si="110"/>
        <v>330501 - DEPRECIACOES E AMORTIZACOES</v>
      </c>
      <c r="C3556" s="25">
        <f t="shared" si="111"/>
        <v>44743</v>
      </c>
      <c r="D3556" s="27">
        <f>IF(K3556="CREDITO",Q3556,Q3556*-1)</f>
        <v>271.36</v>
      </c>
      <c r="E3556" t="s">
        <v>894</v>
      </c>
      <c r="F3556" t="s">
        <v>4049</v>
      </c>
      <c r="G3556" s="8">
        <v>44743</v>
      </c>
      <c r="H3556" t="s">
        <v>603</v>
      </c>
      <c r="I3556" t="s">
        <v>78</v>
      </c>
      <c r="J3556" t="s">
        <v>54</v>
      </c>
      <c r="K3556" t="s">
        <v>29</v>
      </c>
      <c r="L3556" t="s">
        <v>895</v>
      </c>
      <c r="M3556" t="s">
        <v>4402</v>
      </c>
      <c r="O3556" t="s">
        <v>896</v>
      </c>
      <c r="P3556" t="s">
        <v>33</v>
      </c>
      <c r="Q3556">
        <v>271.36</v>
      </c>
      <c r="R3556" t="s">
        <v>35</v>
      </c>
      <c r="S3556" t="s">
        <v>35</v>
      </c>
      <c r="T3556" t="s">
        <v>35</v>
      </c>
      <c r="U3556" t="s">
        <v>35</v>
      </c>
      <c r="V3556" t="s">
        <v>645</v>
      </c>
      <c r="W3556" t="s">
        <v>113</v>
      </c>
    </row>
    <row r="3557" spans="1:23" hidden="1" x14ac:dyDescent="0.25">
      <c r="A3557" s="7" t="str">
        <f>IFERROR(VLOOKUP(H3557,'Contas Orç'!A:B,2,0),"N/A")</f>
        <v>DEPRECIACOES E AMORTIZACOES</v>
      </c>
      <c r="B3557" s="7" t="str">
        <f t="shared" si="110"/>
        <v>330501 - DEPRECIACOES E AMORTIZACOES</v>
      </c>
      <c r="C3557" s="25">
        <f t="shared" si="111"/>
        <v>44743</v>
      </c>
      <c r="D3557" s="27">
        <f>IF(K3557="CREDITO",Q3557,Q3557*-1)</f>
        <v>52.35</v>
      </c>
      <c r="E3557" t="s">
        <v>894</v>
      </c>
      <c r="F3557" t="s">
        <v>4050</v>
      </c>
      <c r="G3557" s="8">
        <v>44743</v>
      </c>
      <c r="H3557" t="s">
        <v>603</v>
      </c>
      <c r="I3557" t="s">
        <v>81</v>
      </c>
      <c r="J3557" t="s">
        <v>54</v>
      </c>
      <c r="K3557" t="s">
        <v>29</v>
      </c>
      <c r="L3557" t="s">
        <v>895</v>
      </c>
      <c r="M3557" t="s">
        <v>4402</v>
      </c>
      <c r="O3557" t="s">
        <v>896</v>
      </c>
      <c r="P3557" t="s">
        <v>33</v>
      </c>
      <c r="Q3557">
        <v>52.35</v>
      </c>
      <c r="R3557" t="s">
        <v>35</v>
      </c>
      <c r="S3557" t="s">
        <v>35</v>
      </c>
      <c r="T3557" t="s">
        <v>35</v>
      </c>
      <c r="U3557" t="s">
        <v>35</v>
      </c>
      <c r="V3557" t="s">
        <v>645</v>
      </c>
      <c r="W3557" t="s">
        <v>113</v>
      </c>
    </row>
    <row r="3558" spans="1:23" hidden="1" x14ac:dyDescent="0.25">
      <c r="A3558" s="7" t="str">
        <f>IFERROR(VLOOKUP(H3558,'Contas Orç'!A:B,2,0),"N/A")</f>
        <v>DEPRECIACOES E AMORTIZACOES</v>
      </c>
      <c r="B3558" s="7" t="str">
        <f t="shared" si="110"/>
        <v>330501 - DEPRECIACOES E AMORTIZACOES</v>
      </c>
      <c r="C3558" s="25">
        <f t="shared" si="111"/>
        <v>44743</v>
      </c>
      <c r="D3558" s="27">
        <f>IF(K3558="CREDITO",Q3558,Q3558*-1)</f>
        <v>65.88</v>
      </c>
      <c r="E3558" t="s">
        <v>894</v>
      </c>
      <c r="F3558" t="s">
        <v>4051</v>
      </c>
      <c r="G3558" s="8">
        <v>44743</v>
      </c>
      <c r="H3558" t="s">
        <v>603</v>
      </c>
      <c r="I3558" t="s">
        <v>53</v>
      </c>
      <c r="J3558" t="s">
        <v>54</v>
      </c>
      <c r="K3558" t="s">
        <v>29</v>
      </c>
      <c r="L3558" t="s">
        <v>895</v>
      </c>
      <c r="M3558" t="s">
        <v>4402</v>
      </c>
      <c r="O3558" t="s">
        <v>896</v>
      </c>
      <c r="P3558" t="s">
        <v>33</v>
      </c>
      <c r="Q3558">
        <v>65.88</v>
      </c>
      <c r="R3558" t="s">
        <v>35</v>
      </c>
      <c r="S3558" t="s">
        <v>35</v>
      </c>
      <c r="T3558" t="s">
        <v>35</v>
      </c>
      <c r="U3558" t="s">
        <v>35</v>
      </c>
      <c r="V3558" t="s">
        <v>645</v>
      </c>
      <c r="W3558" t="s">
        <v>113</v>
      </c>
    </row>
    <row r="3559" spans="1:23" hidden="1" x14ac:dyDescent="0.25">
      <c r="A3559" s="7" t="str">
        <f>IFERROR(VLOOKUP(H3559,'Contas Orç'!A:B,2,0),"N/A")</f>
        <v>DEPRECIACOES E AMORTIZACOES</v>
      </c>
      <c r="B3559" s="7" t="str">
        <f t="shared" si="110"/>
        <v>330501 - DEPRECIACOES E AMORTIZACOES</v>
      </c>
      <c r="C3559" s="25">
        <f t="shared" si="111"/>
        <v>44774</v>
      </c>
      <c r="D3559" s="27">
        <f>IF(K3559="CREDITO",Q3559,Q3559*-1)</f>
        <v>20951.78</v>
      </c>
      <c r="E3559" t="s">
        <v>894</v>
      </c>
      <c r="F3559" t="s">
        <v>4052</v>
      </c>
      <c r="G3559" s="8">
        <v>44774</v>
      </c>
      <c r="H3559" t="s">
        <v>603</v>
      </c>
      <c r="I3559" t="s">
        <v>2062</v>
      </c>
      <c r="J3559" t="s">
        <v>54</v>
      </c>
      <c r="K3559" t="s">
        <v>29</v>
      </c>
      <c r="L3559" t="s">
        <v>895</v>
      </c>
      <c r="M3559" t="s">
        <v>4402</v>
      </c>
      <c r="O3559" t="s">
        <v>896</v>
      </c>
      <c r="P3559" t="s">
        <v>33</v>
      </c>
      <c r="Q3559" s="22">
        <v>20951.78</v>
      </c>
      <c r="R3559" t="s">
        <v>35</v>
      </c>
      <c r="S3559" t="s">
        <v>35</v>
      </c>
      <c r="T3559" t="s">
        <v>35</v>
      </c>
      <c r="U3559" t="s">
        <v>35</v>
      </c>
      <c r="V3559" t="s">
        <v>645</v>
      </c>
      <c r="W3559" t="s">
        <v>113</v>
      </c>
    </row>
    <row r="3560" spans="1:23" hidden="1" x14ac:dyDescent="0.25">
      <c r="A3560" s="7" t="str">
        <f>IFERROR(VLOOKUP(H3560,'Contas Orç'!A:B,2,0),"N/A")</f>
        <v>DEPRECIACOES E AMORTIZACOES</v>
      </c>
      <c r="B3560" s="7" t="str">
        <f t="shared" si="110"/>
        <v>330501 - DEPRECIACOES E AMORTIZACOES</v>
      </c>
      <c r="C3560" s="25">
        <f t="shared" si="111"/>
        <v>44774</v>
      </c>
      <c r="D3560" s="27">
        <f>IF(K3560="CREDITO",Q3560,Q3560*-1)</f>
        <v>20087.71</v>
      </c>
      <c r="E3560" t="s">
        <v>894</v>
      </c>
      <c r="F3560" t="s">
        <v>4053</v>
      </c>
      <c r="G3560" s="8">
        <v>44774</v>
      </c>
      <c r="H3560" t="s">
        <v>603</v>
      </c>
      <c r="I3560" t="s">
        <v>40</v>
      </c>
      <c r="J3560" t="s">
        <v>54</v>
      </c>
      <c r="K3560" t="s">
        <v>29</v>
      </c>
      <c r="L3560" t="s">
        <v>895</v>
      </c>
      <c r="M3560" t="s">
        <v>4402</v>
      </c>
      <c r="O3560" t="s">
        <v>896</v>
      </c>
      <c r="P3560" t="s">
        <v>33</v>
      </c>
      <c r="Q3560" s="22">
        <v>20087.71</v>
      </c>
      <c r="R3560" t="s">
        <v>35</v>
      </c>
      <c r="S3560" t="s">
        <v>35</v>
      </c>
      <c r="T3560" t="s">
        <v>35</v>
      </c>
      <c r="U3560" t="s">
        <v>35</v>
      </c>
      <c r="V3560" t="s">
        <v>645</v>
      </c>
      <c r="W3560" t="s">
        <v>113</v>
      </c>
    </row>
    <row r="3561" spans="1:23" hidden="1" x14ac:dyDescent="0.25">
      <c r="A3561" s="7" t="str">
        <f>IFERROR(VLOOKUP(H3561,'Contas Orç'!A:B,2,0),"N/A")</f>
        <v>DEPRECIACOES E AMORTIZACOES</v>
      </c>
      <c r="B3561" s="7" t="str">
        <f t="shared" si="110"/>
        <v>330501 - DEPRECIACOES E AMORTIZACOES</v>
      </c>
      <c r="C3561" s="25">
        <f t="shared" si="111"/>
        <v>44774</v>
      </c>
      <c r="D3561" s="27">
        <f>IF(K3561="CREDITO",Q3561,Q3561*-1)</f>
        <v>17.079999999999998</v>
      </c>
      <c r="E3561" t="s">
        <v>894</v>
      </c>
      <c r="F3561" t="s">
        <v>4054</v>
      </c>
      <c r="G3561" s="8">
        <v>44774</v>
      </c>
      <c r="H3561" t="s">
        <v>603</v>
      </c>
      <c r="I3561" t="s">
        <v>1002</v>
      </c>
      <c r="J3561" t="s">
        <v>54</v>
      </c>
      <c r="K3561" t="s">
        <v>29</v>
      </c>
      <c r="L3561" t="s">
        <v>895</v>
      </c>
      <c r="M3561" t="s">
        <v>4402</v>
      </c>
      <c r="O3561" t="s">
        <v>896</v>
      </c>
      <c r="P3561" t="s">
        <v>33</v>
      </c>
      <c r="Q3561">
        <v>17.079999999999998</v>
      </c>
      <c r="R3561" t="s">
        <v>35</v>
      </c>
      <c r="S3561" t="s">
        <v>35</v>
      </c>
      <c r="T3561" t="s">
        <v>35</v>
      </c>
      <c r="U3561" t="s">
        <v>35</v>
      </c>
      <c r="V3561" t="s">
        <v>645</v>
      </c>
      <c r="W3561" t="s">
        <v>113</v>
      </c>
    </row>
    <row r="3562" spans="1:23" hidden="1" x14ac:dyDescent="0.25">
      <c r="A3562" s="7" t="str">
        <f>IFERROR(VLOOKUP(H3562,'Contas Orç'!A:B,2,0),"N/A")</f>
        <v>DEPRECIACOES E AMORTIZACOES</v>
      </c>
      <c r="B3562" s="7" t="str">
        <f t="shared" si="110"/>
        <v>330501 - DEPRECIACOES E AMORTIZACOES</v>
      </c>
      <c r="C3562" s="25">
        <f t="shared" si="111"/>
        <v>44774</v>
      </c>
      <c r="D3562" s="27">
        <f>IF(K3562="CREDITO",Q3562,Q3562*-1)</f>
        <v>28.54</v>
      </c>
      <c r="E3562" t="s">
        <v>894</v>
      </c>
      <c r="F3562" t="s">
        <v>4055</v>
      </c>
      <c r="G3562" s="8">
        <v>44774</v>
      </c>
      <c r="H3562" t="s">
        <v>603</v>
      </c>
      <c r="I3562" t="s">
        <v>132</v>
      </c>
      <c r="J3562" t="s">
        <v>54</v>
      </c>
      <c r="K3562" t="s">
        <v>29</v>
      </c>
      <c r="L3562" t="s">
        <v>895</v>
      </c>
      <c r="M3562" t="s">
        <v>4402</v>
      </c>
      <c r="O3562" t="s">
        <v>896</v>
      </c>
      <c r="P3562" t="s">
        <v>33</v>
      </c>
      <c r="Q3562">
        <v>28.54</v>
      </c>
      <c r="R3562" t="s">
        <v>35</v>
      </c>
      <c r="S3562" t="s">
        <v>35</v>
      </c>
      <c r="T3562" t="s">
        <v>35</v>
      </c>
      <c r="U3562" t="s">
        <v>35</v>
      </c>
      <c r="V3562" t="s">
        <v>645</v>
      </c>
      <c r="W3562" t="s">
        <v>113</v>
      </c>
    </row>
    <row r="3563" spans="1:23" hidden="1" x14ac:dyDescent="0.25">
      <c r="A3563" s="7" t="str">
        <f>IFERROR(VLOOKUP(H3563,'Contas Orç'!A:B,2,0),"N/A")</f>
        <v>DEPRECIACOES E AMORTIZACOES</v>
      </c>
      <c r="B3563" s="7" t="str">
        <f t="shared" si="110"/>
        <v>330501 - DEPRECIACOES E AMORTIZACOES</v>
      </c>
      <c r="C3563" s="25">
        <f t="shared" si="111"/>
        <v>44774</v>
      </c>
      <c r="D3563" s="27">
        <f>IF(K3563="CREDITO",Q3563,Q3563*-1)</f>
        <v>405.15</v>
      </c>
      <c r="E3563" t="s">
        <v>894</v>
      </c>
      <c r="F3563" t="s">
        <v>4056</v>
      </c>
      <c r="G3563" s="8">
        <v>44774</v>
      </c>
      <c r="H3563" t="s">
        <v>603</v>
      </c>
      <c r="I3563" t="s">
        <v>78</v>
      </c>
      <c r="J3563" t="s">
        <v>54</v>
      </c>
      <c r="K3563" t="s">
        <v>29</v>
      </c>
      <c r="L3563" t="s">
        <v>895</v>
      </c>
      <c r="M3563" t="s">
        <v>4402</v>
      </c>
      <c r="O3563" t="s">
        <v>896</v>
      </c>
      <c r="P3563" t="s">
        <v>33</v>
      </c>
      <c r="Q3563">
        <v>405.15</v>
      </c>
      <c r="R3563" t="s">
        <v>35</v>
      </c>
      <c r="S3563" t="s">
        <v>35</v>
      </c>
      <c r="T3563" t="s">
        <v>35</v>
      </c>
      <c r="U3563" t="s">
        <v>35</v>
      </c>
      <c r="V3563" t="s">
        <v>645</v>
      </c>
      <c r="W3563" t="s">
        <v>113</v>
      </c>
    </row>
    <row r="3564" spans="1:23" hidden="1" x14ac:dyDescent="0.25">
      <c r="A3564" s="7" t="str">
        <f>IFERROR(VLOOKUP(H3564,'Contas Orç'!A:B,2,0),"N/A")</f>
        <v>DEPRECIACOES E AMORTIZACOES</v>
      </c>
      <c r="B3564" s="7" t="str">
        <f t="shared" si="110"/>
        <v>330501 - DEPRECIACOES E AMORTIZACOES</v>
      </c>
      <c r="C3564" s="25">
        <f t="shared" si="111"/>
        <v>44774</v>
      </c>
      <c r="D3564" s="27">
        <f>IF(K3564="CREDITO",Q3564,Q3564*-1)</f>
        <v>85.42</v>
      </c>
      <c r="E3564" t="s">
        <v>894</v>
      </c>
      <c r="F3564" t="s">
        <v>4057</v>
      </c>
      <c r="G3564" s="8">
        <v>44774</v>
      </c>
      <c r="H3564" t="s">
        <v>603</v>
      </c>
      <c r="I3564" t="s">
        <v>81</v>
      </c>
      <c r="J3564" t="s">
        <v>54</v>
      </c>
      <c r="K3564" t="s">
        <v>29</v>
      </c>
      <c r="L3564" t="s">
        <v>895</v>
      </c>
      <c r="M3564" t="s">
        <v>4402</v>
      </c>
      <c r="O3564" t="s">
        <v>896</v>
      </c>
      <c r="P3564" t="s">
        <v>33</v>
      </c>
      <c r="Q3564">
        <v>85.42</v>
      </c>
      <c r="R3564" t="s">
        <v>35</v>
      </c>
      <c r="S3564" t="s">
        <v>35</v>
      </c>
      <c r="T3564" t="s">
        <v>35</v>
      </c>
      <c r="U3564" t="s">
        <v>35</v>
      </c>
      <c r="V3564" t="s">
        <v>645</v>
      </c>
      <c r="W3564" t="s">
        <v>113</v>
      </c>
    </row>
    <row r="3565" spans="1:23" hidden="1" x14ac:dyDescent="0.25">
      <c r="A3565" s="7" t="str">
        <f>IFERROR(VLOOKUP(H3565,'Contas Orç'!A:B,2,0),"N/A")</f>
        <v>DEPRECIACOES E AMORTIZACOES</v>
      </c>
      <c r="B3565" s="7" t="str">
        <f t="shared" si="110"/>
        <v>330501 - DEPRECIACOES E AMORTIZACOES</v>
      </c>
      <c r="C3565" s="25">
        <f t="shared" si="111"/>
        <v>44774</v>
      </c>
      <c r="D3565" s="27">
        <f>IF(K3565="CREDITO",Q3565,Q3565*-1)</f>
        <v>117.05</v>
      </c>
      <c r="E3565" t="s">
        <v>894</v>
      </c>
      <c r="F3565" t="s">
        <v>4058</v>
      </c>
      <c r="G3565" s="8">
        <v>44774</v>
      </c>
      <c r="H3565" t="s">
        <v>603</v>
      </c>
      <c r="I3565" t="s">
        <v>53</v>
      </c>
      <c r="J3565" t="s">
        <v>54</v>
      </c>
      <c r="K3565" t="s">
        <v>29</v>
      </c>
      <c r="L3565" t="s">
        <v>895</v>
      </c>
      <c r="M3565" t="s">
        <v>4402</v>
      </c>
      <c r="O3565" t="s">
        <v>896</v>
      </c>
      <c r="P3565" t="s">
        <v>33</v>
      </c>
      <c r="Q3565">
        <v>117.05</v>
      </c>
      <c r="R3565" t="s">
        <v>35</v>
      </c>
      <c r="S3565" t="s">
        <v>35</v>
      </c>
      <c r="T3565" t="s">
        <v>35</v>
      </c>
      <c r="U3565" t="s">
        <v>35</v>
      </c>
      <c r="V3565" t="s">
        <v>645</v>
      </c>
      <c r="W3565" t="s">
        <v>113</v>
      </c>
    </row>
    <row r="3566" spans="1:23" hidden="1" x14ac:dyDescent="0.25">
      <c r="A3566" s="7" t="str">
        <f>IFERROR(VLOOKUP(H3566,'Contas Orç'!A:B,2,0),"N/A")</f>
        <v>DEPRECIACOES E AMORTIZACOES</v>
      </c>
      <c r="B3566" s="7" t="str">
        <f t="shared" si="110"/>
        <v>330501 - DEPRECIACOES E AMORTIZACOES</v>
      </c>
      <c r="C3566" s="25">
        <f t="shared" si="111"/>
        <v>44805</v>
      </c>
      <c r="D3566" s="27">
        <f>IF(K3566="CREDITO",Q3566,Q3566*-1)</f>
        <v>20951.78</v>
      </c>
      <c r="E3566" t="s">
        <v>894</v>
      </c>
      <c r="F3566" t="s">
        <v>819</v>
      </c>
      <c r="G3566" s="8">
        <v>44805</v>
      </c>
      <c r="H3566" t="s">
        <v>603</v>
      </c>
      <c r="I3566" t="s">
        <v>2062</v>
      </c>
      <c r="J3566" t="s">
        <v>54</v>
      </c>
      <c r="K3566" t="s">
        <v>29</v>
      </c>
      <c r="L3566" t="s">
        <v>895</v>
      </c>
      <c r="M3566" t="s">
        <v>4402</v>
      </c>
      <c r="O3566" t="s">
        <v>896</v>
      </c>
      <c r="P3566" t="s">
        <v>33</v>
      </c>
      <c r="Q3566" s="22">
        <v>20951.78</v>
      </c>
      <c r="R3566" t="s">
        <v>35</v>
      </c>
      <c r="S3566" t="s">
        <v>35</v>
      </c>
      <c r="T3566" t="s">
        <v>35</v>
      </c>
      <c r="U3566" t="s">
        <v>35</v>
      </c>
      <c r="V3566" t="s">
        <v>645</v>
      </c>
      <c r="W3566" t="s">
        <v>113</v>
      </c>
    </row>
    <row r="3567" spans="1:23" hidden="1" x14ac:dyDescent="0.25">
      <c r="A3567" s="7" t="str">
        <f>IFERROR(VLOOKUP(H3567,'Contas Orç'!A:B,2,0),"N/A")</f>
        <v>DEPRECIACOES E AMORTIZACOES</v>
      </c>
      <c r="B3567" s="7" t="str">
        <f t="shared" si="110"/>
        <v>330501 - DEPRECIACOES E AMORTIZACOES</v>
      </c>
      <c r="C3567" s="25">
        <f t="shared" si="111"/>
        <v>44805</v>
      </c>
      <c r="D3567" s="27">
        <f>IF(K3567="CREDITO",Q3567,Q3567*-1)</f>
        <v>19794.04</v>
      </c>
      <c r="E3567" t="s">
        <v>894</v>
      </c>
      <c r="F3567" t="s">
        <v>821</v>
      </c>
      <c r="G3567" s="8">
        <v>44805</v>
      </c>
      <c r="H3567" t="s">
        <v>603</v>
      </c>
      <c r="I3567" t="s">
        <v>40</v>
      </c>
      <c r="J3567" t="s">
        <v>54</v>
      </c>
      <c r="K3567" t="s">
        <v>29</v>
      </c>
      <c r="L3567" t="s">
        <v>895</v>
      </c>
      <c r="M3567" t="s">
        <v>4402</v>
      </c>
      <c r="O3567" t="s">
        <v>896</v>
      </c>
      <c r="P3567" t="s">
        <v>33</v>
      </c>
      <c r="Q3567" s="22">
        <v>19794.04</v>
      </c>
      <c r="R3567" t="s">
        <v>35</v>
      </c>
      <c r="S3567" t="s">
        <v>35</v>
      </c>
      <c r="T3567" t="s">
        <v>35</v>
      </c>
      <c r="U3567" t="s">
        <v>35</v>
      </c>
      <c r="V3567" t="s">
        <v>645</v>
      </c>
      <c r="W3567" t="s">
        <v>113</v>
      </c>
    </row>
    <row r="3568" spans="1:23" hidden="1" x14ac:dyDescent="0.25">
      <c r="A3568" s="7" t="str">
        <f>IFERROR(VLOOKUP(H3568,'Contas Orç'!A:B,2,0),"N/A")</f>
        <v>DEPRECIACOES E AMORTIZACOES</v>
      </c>
      <c r="B3568" s="7" t="str">
        <f t="shared" si="110"/>
        <v>330501 - DEPRECIACOES E AMORTIZACOES</v>
      </c>
      <c r="C3568" s="25">
        <f t="shared" si="111"/>
        <v>44805</v>
      </c>
      <c r="D3568" s="27">
        <f>IF(K3568="CREDITO",Q3568,Q3568*-1)</f>
        <v>17.079999999999998</v>
      </c>
      <c r="E3568" t="s">
        <v>894</v>
      </c>
      <c r="F3568" t="s">
        <v>823</v>
      </c>
      <c r="G3568" s="8">
        <v>44805</v>
      </c>
      <c r="H3568" t="s">
        <v>603</v>
      </c>
      <c r="I3568" t="s">
        <v>1002</v>
      </c>
      <c r="J3568" t="s">
        <v>54</v>
      </c>
      <c r="K3568" t="s">
        <v>29</v>
      </c>
      <c r="L3568" t="s">
        <v>895</v>
      </c>
      <c r="M3568" t="s">
        <v>4402</v>
      </c>
      <c r="O3568" t="s">
        <v>896</v>
      </c>
      <c r="P3568" t="s">
        <v>33</v>
      </c>
      <c r="Q3568">
        <v>17.079999999999998</v>
      </c>
      <c r="R3568" t="s">
        <v>35</v>
      </c>
      <c r="S3568" t="s">
        <v>35</v>
      </c>
      <c r="T3568" t="s">
        <v>35</v>
      </c>
      <c r="U3568" t="s">
        <v>35</v>
      </c>
      <c r="V3568" t="s">
        <v>645</v>
      </c>
      <c r="W3568" t="s">
        <v>113</v>
      </c>
    </row>
    <row r="3569" spans="1:23" hidden="1" x14ac:dyDescent="0.25">
      <c r="A3569" s="7" t="str">
        <f>IFERROR(VLOOKUP(H3569,'Contas Orç'!A:B,2,0),"N/A")</f>
        <v>DEPRECIACOES E AMORTIZACOES</v>
      </c>
      <c r="B3569" s="7" t="str">
        <f t="shared" si="110"/>
        <v>330501 - DEPRECIACOES E AMORTIZACOES</v>
      </c>
      <c r="C3569" s="25">
        <f t="shared" si="111"/>
        <v>44805</v>
      </c>
      <c r="D3569" s="27">
        <f>IF(K3569="CREDITO",Q3569,Q3569*-1)</f>
        <v>28.54</v>
      </c>
      <c r="E3569" t="s">
        <v>894</v>
      </c>
      <c r="F3569" t="s">
        <v>825</v>
      </c>
      <c r="G3569" s="8">
        <v>44805</v>
      </c>
      <c r="H3569" t="s">
        <v>603</v>
      </c>
      <c r="I3569" t="s">
        <v>132</v>
      </c>
      <c r="J3569" t="s">
        <v>54</v>
      </c>
      <c r="K3569" t="s">
        <v>29</v>
      </c>
      <c r="L3569" t="s">
        <v>895</v>
      </c>
      <c r="M3569" t="s">
        <v>4402</v>
      </c>
      <c r="O3569" t="s">
        <v>896</v>
      </c>
      <c r="P3569" t="s">
        <v>33</v>
      </c>
      <c r="Q3569">
        <v>28.54</v>
      </c>
      <c r="R3569" t="s">
        <v>35</v>
      </c>
      <c r="S3569" t="s">
        <v>35</v>
      </c>
      <c r="T3569" t="s">
        <v>35</v>
      </c>
      <c r="U3569" t="s">
        <v>35</v>
      </c>
      <c r="V3569" t="s">
        <v>645</v>
      </c>
      <c r="W3569" t="s">
        <v>113</v>
      </c>
    </row>
    <row r="3570" spans="1:23" hidden="1" x14ac:dyDescent="0.25">
      <c r="A3570" s="7" t="str">
        <f>IFERROR(VLOOKUP(H3570,'Contas Orç'!A:B,2,0),"N/A")</f>
        <v>DEPRECIACOES E AMORTIZACOES</v>
      </c>
      <c r="B3570" s="7" t="str">
        <f t="shared" si="110"/>
        <v>330501 - DEPRECIACOES E AMORTIZACOES</v>
      </c>
      <c r="C3570" s="25">
        <f t="shared" si="111"/>
        <v>44805</v>
      </c>
      <c r="D3570" s="27">
        <f>IF(K3570="CREDITO",Q3570,Q3570*-1)</f>
        <v>405.15</v>
      </c>
      <c r="E3570" t="s">
        <v>894</v>
      </c>
      <c r="F3570" t="s">
        <v>827</v>
      </c>
      <c r="G3570" s="8">
        <v>44805</v>
      </c>
      <c r="H3570" t="s">
        <v>603</v>
      </c>
      <c r="I3570" t="s">
        <v>78</v>
      </c>
      <c r="J3570" t="s">
        <v>54</v>
      </c>
      <c r="K3570" t="s">
        <v>29</v>
      </c>
      <c r="L3570" t="s">
        <v>895</v>
      </c>
      <c r="M3570" t="s">
        <v>4402</v>
      </c>
      <c r="O3570" t="s">
        <v>896</v>
      </c>
      <c r="P3570" t="s">
        <v>33</v>
      </c>
      <c r="Q3570">
        <v>405.15</v>
      </c>
      <c r="R3570" t="s">
        <v>35</v>
      </c>
      <c r="S3570" t="s">
        <v>35</v>
      </c>
      <c r="T3570" t="s">
        <v>35</v>
      </c>
      <c r="U3570" t="s">
        <v>35</v>
      </c>
      <c r="V3570" t="s">
        <v>645</v>
      </c>
      <c r="W3570" t="s">
        <v>113</v>
      </c>
    </row>
    <row r="3571" spans="1:23" hidden="1" x14ac:dyDescent="0.25">
      <c r="A3571" s="7" t="str">
        <f>IFERROR(VLOOKUP(H3571,'Contas Orç'!A:B,2,0),"N/A")</f>
        <v>DEPRECIACOES E AMORTIZACOES</v>
      </c>
      <c r="B3571" s="7" t="str">
        <f t="shared" si="110"/>
        <v>330501 - DEPRECIACOES E AMORTIZACOES</v>
      </c>
      <c r="C3571" s="25">
        <f t="shared" si="111"/>
        <v>44805</v>
      </c>
      <c r="D3571" s="27">
        <f>IF(K3571="CREDITO",Q3571,Q3571*-1)</f>
        <v>85.42</v>
      </c>
      <c r="E3571" t="s">
        <v>894</v>
      </c>
      <c r="F3571" t="s">
        <v>828</v>
      </c>
      <c r="G3571" s="8">
        <v>44805</v>
      </c>
      <c r="H3571" t="s">
        <v>603</v>
      </c>
      <c r="I3571" t="s">
        <v>81</v>
      </c>
      <c r="J3571" t="s">
        <v>54</v>
      </c>
      <c r="K3571" t="s">
        <v>29</v>
      </c>
      <c r="L3571" t="s">
        <v>895</v>
      </c>
      <c r="M3571" t="s">
        <v>4402</v>
      </c>
      <c r="O3571" t="s">
        <v>896</v>
      </c>
      <c r="P3571" t="s">
        <v>33</v>
      </c>
      <c r="Q3571">
        <v>85.42</v>
      </c>
      <c r="R3571" t="s">
        <v>35</v>
      </c>
      <c r="S3571" t="s">
        <v>35</v>
      </c>
      <c r="T3571" t="s">
        <v>35</v>
      </c>
      <c r="U3571" t="s">
        <v>35</v>
      </c>
      <c r="V3571" t="s">
        <v>645</v>
      </c>
      <c r="W3571" t="s">
        <v>113</v>
      </c>
    </row>
    <row r="3572" spans="1:23" hidden="1" x14ac:dyDescent="0.25">
      <c r="A3572" s="7" t="str">
        <f>IFERROR(VLOOKUP(H3572,'Contas Orç'!A:B,2,0),"N/A")</f>
        <v>DEPRECIACOES E AMORTIZACOES</v>
      </c>
      <c r="B3572" s="7" t="str">
        <f t="shared" si="110"/>
        <v>330501 - DEPRECIACOES E AMORTIZACOES</v>
      </c>
      <c r="C3572" s="25">
        <f t="shared" si="111"/>
        <v>44805</v>
      </c>
      <c r="D3572" s="27">
        <f>IF(K3572="CREDITO",Q3572,Q3572*-1)</f>
        <v>117.05</v>
      </c>
      <c r="E3572" t="s">
        <v>894</v>
      </c>
      <c r="F3572" t="s">
        <v>4059</v>
      </c>
      <c r="G3572" s="8">
        <v>44805</v>
      </c>
      <c r="H3572" t="s">
        <v>603</v>
      </c>
      <c r="I3572" t="s">
        <v>53</v>
      </c>
      <c r="J3572" t="s">
        <v>54</v>
      </c>
      <c r="K3572" t="s">
        <v>29</v>
      </c>
      <c r="L3572" t="s">
        <v>895</v>
      </c>
      <c r="M3572" t="s">
        <v>4402</v>
      </c>
      <c r="O3572" t="s">
        <v>896</v>
      </c>
      <c r="P3572" t="s">
        <v>33</v>
      </c>
      <c r="Q3572">
        <v>117.05</v>
      </c>
      <c r="R3572" t="s">
        <v>35</v>
      </c>
      <c r="S3572" t="s">
        <v>35</v>
      </c>
      <c r="T3572" t="s">
        <v>35</v>
      </c>
      <c r="U3572" t="s">
        <v>35</v>
      </c>
      <c r="V3572" t="s">
        <v>645</v>
      </c>
      <c r="W3572" t="s">
        <v>113</v>
      </c>
    </row>
    <row r="3573" spans="1:23" hidden="1" x14ac:dyDescent="0.25">
      <c r="A3573" s="7" t="str">
        <f>IFERROR(VLOOKUP(H3573,'Contas Orç'!A:B,2,0),"N/A")</f>
        <v>DEPRECIACOES E AMORTIZACOES</v>
      </c>
      <c r="B3573" s="7" t="str">
        <f t="shared" si="110"/>
        <v>330501 - DEPRECIACOES E AMORTIZACOES</v>
      </c>
      <c r="C3573" s="25">
        <f t="shared" si="111"/>
        <v>44835</v>
      </c>
      <c r="D3573" s="27">
        <f>IF(K3573="CREDITO",Q3573,Q3573*-1)</f>
        <v>21161.3</v>
      </c>
      <c r="E3573" t="s">
        <v>894</v>
      </c>
      <c r="F3573" t="s">
        <v>4060</v>
      </c>
      <c r="G3573" s="8">
        <v>44835</v>
      </c>
      <c r="H3573" t="s">
        <v>603</v>
      </c>
      <c r="I3573" t="s">
        <v>2062</v>
      </c>
      <c r="J3573" t="s">
        <v>54</v>
      </c>
      <c r="K3573" t="s">
        <v>29</v>
      </c>
      <c r="L3573" t="s">
        <v>895</v>
      </c>
      <c r="M3573" t="s">
        <v>4402</v>
      </c>
      <c r="O3573" t="s">
        <v>896</v>
      </c>
      <c r="P3573" t="s">
        <v>33</v>
      </c>
      <c r="Q3573" s="22">
        <v>21161.3</v>
      </c>
      <c r="R3573" t="s">
        <v>35</v>
      </c>
      <c r="S3573" t="s">
        <v>35</v>
      </c>
      <c r="T3573" t="s">
        <v>35</v>
      </c>
      <c r="U3573" t="s">
        <v>35</v>
      </c>
      <c r="V3573" t="s">
        <v>645</v>
      </c>
      <c r="W3573" t="s">
        <v>113</v>
      </c>
    </row>
    <row r="3574" spans="1:23" hidden="1" x14ac:dyDescent="0.25">
      <c r="A3574" s="7" t="str">
        <f>IFERROR(VLOOKUP(H3574,'Contas Orç'!A:B,2,0),"N/A")</f>
        <v>DEPRECIACOES E AMORTIZACOES</v>
      </c>
      <c r="B3574" s="7" t="str">
        <f t="shared" si="110"/>
        <v>330501 - DEPRECIACOES E AMORTIZACOES</v>
      </c>
      <c r="C3574" s="25">
        <f t="shared" si="111"/>
        <v>44835</v>
      </c>
      <c r="D3574" s="27">
        <f>IF(K3574="CREDITO",Q3574,Q3574*-1)</f>
        <v>19991.98</v>
      </c>
      <c r="E3574" t="s">
        <v>894</v>
      </c>
      <c r="F3574" t="s">
        <v>4061</v>
      </c>
      <c r="G3574" s="8">
        <v>44835</v>
      </c>
      <c r="H3574" t="s">
        <v>603</v>
      </c>
      <c r="I3574" t="s">
        <v>40</v>
      </c>
      <c r="J3574" t="s">
        <v>54</v>
      </c>
      <c r="K3574" t="s">
        <v>29</v>
      </c>
      <c r="L3574" t="s">
        <v>895</v>
      </c>
      <c r="M3574" t="s">
        <v>4402</v>
      </c>
      <c r="O3574" t="s">
        <v>896</v>
      </c>
      <c r="P3574" t="s">
        <v>33</v>
      </c>
      <c r="Q3574" s="22">
        <v>19991.98</v>
      </c>
      <c r="R3574" t="s">
        <v>35</v>
      </c>
      <c r="S3574" t="s">
        <v>35</v>
      </c>
      <c r="T3574" t="s">
        <v>35</v>
      </c>
      <c r="U3574" t="s">
        <v>35</v>
      </c>
      <c r="V3574" t="s">
        <v>645</v>
      </c>
      <c r="W3574" t="s">
        <v>113</v>
      </c>
    </row>
    <row r="3575" spans="1:23" hidden="1" x14ac:dyDescent="0.25">
      <c r="A3575" s="7" t="str">
        <f>IFERROR(VLOOKUP(H3575,'Contas Orç'!A:B,2,0),"N/A")</f>
        <v>DEPRECIACOES E AMORTIZACOES</v>
      </c>
      <c r="B3575" s="7" t="str">
        <f t="shared" si="110"/>
        <v>330501 - DEPRECIACOES E AMORTIZACOES</v>
      </c>
      <c r="C3575" s="25">
        <f t="shared" si="111"/>
        <v>44835</v>
      </c>
      <c r="D3575" s="27">
        <f>IF(K3575="CREDITO",Q3575,Q3575*-1)</f>
        <v>17.25</v>
      </c>
      <c r="E3575" t="s">
        <v>894</v>
      </c>
      <c r="F3575" t="s">
        <v>4062</v>
      </c>
      <c r="G3575" s="8">
        <v>44835</v>
      </c>
      <c r="H3575" t="s">
        <v>603</v>
      </c>
      <c r="I3575" t="s">
        <v>1002</v>
      </c>
      <c r="J3575" t="s">
        <v>54</v>
      </c>
      <c r="K3575" t="s">
        <v>29</v>
      </c>
      <c r="L3575" t="s">
        <v>895</v>
      </c>
      <c r="M3575" t="s">
        <v>4402</v>
      </c>
      <c r="O3575" t="s">
        <v>896</v>
      </c>
      <c r="P3575" t="s">
        <v>33</v>
      </c>
      <c r="Q3575">
        <v>17.25</v>
      </c>
      <c r="R3575" t="s">
        <v>35</v>
      </c>
      <c r="S3575" t="s">
        <v>35</v>
      </c>
      <c r="T3575" t="s">
        <v>35</v>
      </c>
      <c r="U3575" t="s">
        <v>35</v>
      </c>
      <c r="V3575" t="s">
        <v>645</v>
      </c>
      <c r="W3575" t="s">
        <v>113</v>
      </c>
    </row>
    <row r="3576" spans="1:23" hidden="1" x14ac:dyDescent="0.25">
      <c r="A3576" s="7" t="str">
        <f>IFERROR(VLOOKUP(H3576,'Contas Orç'!A:B,2,0),"N/A")</f>
        <v>DEPRECIACOES E AMORTIZACOES</v>
      </c>
      <c r="B3576" s="7" t="str">
        <f t="shared" si="110"/>
        <v>330501 - DEPRECIACOES E AMORTIZACOES</v>
      </c>
      <c r="C3576" s="25">
        <f t="shared" si="111"/>
        <v>44835</v>
      </c>
      <c r="D3576" s="27">
        <f>IF(K3576="CREDITO",Q3576,Q3576*-1)</f>
        <v>28.83</v>
      </c>
      <c r="E3576" t="s">
        <v>894</v>
      </c>
      <c r="F3576" t="s">
        <v>4063</v>
      </c>
      <c r="G3576" s="8">
        <v>44835</v>
      </c>
      <c r="H3576" t="s">
        <v>603</v>
      </c>
      <c r="I3576" t="s">
        <v>132</v>
      </c>
      <c r="J3576" t="s">
        <v>54</v>
      </c>
      <c r="K3576" t="s">
        <v>29</v>
      </c>
      <c r="L3576" t="s">
        <v>895</v>
      </c>
      <c r="M3576" t="s">
        <v>4402</v>
      </c>
      <c r="O3576" t="s">
        <v>896</v>
      </c>
      <c r="P3576" t="s">
        <v>33</v>
      </c>
      <c r="Q3576">
        <v>28.83</v>
      </c>
      <c r="R3576" t="s">
        <v>35</v>
      </c>
      <c r="S3576" t="s">
        <v>35</v>
      </c>
      <c r="T3576" t="s">
        <v>35</v>
      </c>
      <c r="U3576" t="s">
        <v>35</v>
      </c>
      <c r="V3576" t="s">
        <v>645</v>
      </c>
      <c r="W3576" t="s">
        <v>113</v>
      </c>
    </row>
    <row r="3577" spans="1:23" hidden="1" x14ac:dyDescent="0.25">
      <c r="A3577" s="7" t="str">
        <f>IFERROR(VLOOKUP(H3577,'Contas Orç'!A:B,2,0),"N/A")</f>
        <v>DEPRECIACOES E AMORTIZACOES</v>
      </c>
      <c r="B3577" s="7" t="str">
        <f t="shared" si="110"/>
        <v>330501 - DEPRECIACOES E AMORTIZACOES</v>
      </c>
      <c r="C3577" s="25">
        <f t="shared" si="111"/>
        <v>44835</v>
      </c>
      <c r="D3577" s="27">
        <f>IF(K3577="CREDITO",Q3577,Q3577*-1)</f>
        <v>409.2</v>
      </c>
      <c r="E3577" t="s">
        <v>894</v>
      </c>
      <c r="F3577" t="s">
        <v>4064</v>
      </c>
      <c r="G3577" s="8">
        <v>44835</v>
      </c>
      <c r="H3577" t="s">
        <v>603</v>
      </c>
      <c r="I3577" t="s">
        <v>78</v>
      </c>
      <c r="J3577" t="s">
        <v>54</v>
      </c>
      <c r="K3577" t="s">
        <v>29</v>
      </c>
      <c r="L3577" t="s">
        <v>895</v>
      </c>
      <c r="M3577" t="s">
        <v>4402</v>
      </c>
      <c r="O3577" t="s">
        <v>896</v>
      </c>
      <c r="P3577" t="s">
        <v>33</v>
      </c>
      <c r="Q3577">
        <v>409.2</v>
      </c>
      <c r="R3577" t="s">
        <v>35</v>
      </c>
      <c r="S3577" t="s">
        <v>35</v>
      </c>
      <c r="T3577" t="s">
        <v>35</v>
      </c>
      <c r="U3577" t="s">
        <v>35</v>
      </c>
      <c r="V3577" t="s">
        <v>645</v>
      </c>
      <c r="W3577" t="s">
        <v>113</v>
      </c>
    </row>
    <row r="3578" spans="1:23" hidden="1" x14ac:dyDescent="0.25">
      <c r="A3578" s="7" t="str">
        <f>IFERROR(VLOOKUP(H3578,'Contas Orç'!A:B,2,0),"N/A")</f>
        <v>DEPRECIACOES E AMORTIZACOES</v>
      </c>
      <c r="B3578" s="7" t="str">
        <f t="shared" si="110"/>
        <v>330501 - DEPRECIACOES E AMORTIZACOES</v>
      </c>
      <c r="C3578" s="25">
        <f t="shared" si="111"/>
        <v>44835</v>
      </c>
      <c r="D3578" s="27">
        <f>IF(K3578="CREDITO",Q3578,Q3578*-1)</f>
        <v>86.27</v>
      </c>
      <c r="E3578" t="s">
        <v>894</v>
      </c>
      <c r="F3578" t="s">
        <v>4065</v>
      </c>
      <c r="G3578" s="8">
        <v>44835</v>
      </c>
      <c r="H3578" t="s">
        <v>603</v>
      </c>
      <c r="I3578" t="s">
        <v>81</v>
      </c>
      <c r="J3578" t="s">
        <v>54</v>
      </c>
      <c r="K3578" t="s">
        <v>29</v>
      </c>
      <c r="L3578" t="s">
        <v>895</v>
      </c>
      <c r="M3578" t="s">
        <v>4402</v>
      </c>
      <c r="O3578" t="s">
        <v>896</v>
      </c>
      <c r="P3578" t="s">
        <v>33</v>
      </c>
      <c r="Q3578">
        <v>86.27</v>
      </c>
      <c r="R3578" t="s">
        <v>35</v>
      </c>
      <c r="S3578" t="s">
        <v>35</v>
      </c>
      <c r="T3578" t="s">
        <v>35</v>
      </c>
      <c r="U3578" t="s">
        <v>35</v>
      </c>
      <c r="V3578" t="s">
        <v>645</v>
      </c>
      <c r="W3578" t="s">
        <v>113</v>
      </c>
    </row>
    <row r="3579" spans="1:23" hidden="1" x14ac:dyDescent="0.25">
      <c r="A3579" s="7" t="str">
        <f>IFERROR(VLOOKUP(H3579,'Contas Orç'!A:B,2,0),"N/A")</f>
        <v>DEPRECIACOES E AMORTIZACOES</v>
      </c>
      <c r="B3579" s="7" t="str">
        <f t="shared" si="110"/>
        <v>330501 - DEPRECIACOES E AMORTIZACOES</v>
      </c>
      <c r="C3579" s="25">
        <f t="shared" si="111"/>
        <v>44835</v>
      </c>
      <c r="D3579" s="27">
        <f>IF(K3579="CREDITO",Q3579,Q3579*-1)</f>
        <v>118.22</v>
      </c>
      <c r="E3579" t="s">
        <v>894</v>
      </c>
      <c r="F3579" t="s">
        <v>4066</v>
      </c>
      <c r="G3579" s="8">
        <v>44835</v>
      </c>
      <c r="H3579" t="s">
        <v>603</v>
      </c>
      <c r="I3579" t="s">
        <v>53</v>
      </c>
      <c r="J3579" t="s">
        <v>54</v>
      </c>
      <c r="K3579" t="s">
        <v>29</v>
      </c>
      <c r="L3579" t="s">
        <v>895</v>
      </c>
      <c r="M3579" t="s">
        <v>4402</v>
      </c>
      <c r="O3579" t="s">
        <v>896</v>
      </c>
      <c r="P3579" t="s">
        <v>33</v>
      </c>
      <c r="Q3579">
        <v>118.22</v>
      </c>
      <c r="R3579" t="s">
        <v>35</v>
      </c>
      <c r="S3579" t="s">
        <v>35</v>
      </c>
      <c r="T3579" t="s">
        <v>35</v>
      </c>
      <c r="U3579" t="s">
        <v>35</v>
      </c>
      <c r="V3579" t="s">
        <v>645</v>
      </c>
      <c r="W3579" t="s">
        <v>113</v>
      </c>
    </row>
    <row r="3580" spans="1:23" hidden="1" x14ac:dyDescent="0.25">
      <c r="A3580" s="7" t="str">
        <f>IFERROR(VLOOKUP(H3580,'Contas Orç'!A:B,2,0),"N/A")</f>
        <v>DEPRECIACOES E AMORTIZACOES</v>
      </c>
      <c r="B3580" s="7" t="str">
        <f t="shared" si="110"/>
        <v>330501 - DEPRECIACOES E AMORTIZACOES</v>
      </c>
      <c r="C3580" s="25">
        <f t="shared" si="111"/>
        <v>44866</v>
      </c>
      <c r="D3580" s="27">
        <f>IF(K3580="CREDITO",Q3580,Q3580*-1)</f>
        <v>21372.91</v>
      </c>
      <c r="E3580" t="s">
        <v>894</v>
      </c>
      <c r="F3580" t="s">
        <v>4067</v>
      </c>
      <c r="G3580" s="8">
        <v>44866</v>
      </c>
      <c r="H3580" t="s">
        <v>603</v>
      </c>
      <c r="I3580" t="s">
        <v>2062</v>
      </c>
      <c r="J3580" t="s">
        <v>54</v>
      </c>
      <c r="K3580" t="s">
        <v>29</v>
      </c>
      <c r="L3580" t="s">
        <v>895</v>
      </c>
      <c r="M3580" t="s">
        <v>4402</v>
      </c>
      <c r="O3580" t="s">
        <v>896</v>
      </c>
      <c r="P3580" t="s">
        <v>33</v>
      </c>
      <c r="Q3580" s="22">
        <v>21372.91</v>
      </c>
      <c r="R3580" t="s">
        <v>35</v>
      </c>
      <c r="S3580" t="s">
        <v>35</v>
      </c>
      <c r="T3580" t="s">
        <v>35</v>
      </c>
      <c r="U3580" t="s">
        <v>35</v>
      </c>
      <c r="V3580" t="s">
        <v>645</v>
      </c>
      <c r="W3580" t="s">
        <v>113</v>
      </c>
    </row>
    <row r="3581" spans="1:23" hidden="1" x14ac:dyDescent="0.25">
      <c r="A3581" s="7" t="str">
        <f>IFERROR(VLOOKUP(H3581,'Contas Orç'!A:B,2,0),"N/A")</f>
        <v>DEPRECIACOES E AMORTIZACOES</v>
      </c>
      <c r="B3581" s="7" t="str">
        <f t="shared" si="110"/>
        <v>330501 - DEPRECIACOES E AMORTIZACOES</v>
      </c>
      <c r="C3581" s="25">
        <f t="shared" si="111"/>
        <v>44866</v>
      </c>
      <c r="D3581" s="27">
        <f>IF(K3581="CREDITO",Q3581,Q3581*-1)</f>
        <v>20191.900000000001</v>
      </c>
      <c r="E3581" t="s">
        <v>894</v>
      </c>
      <c r="F3581" t="s">
        <v>4068</v>
      </c>
      <c r="G3581" s="8">
        <v>44866</v>
      </c>
      <c r="H3581" t="s">
        <v>603</v>
      </c>
      <c r="I3581" t="s">
        <v>40</v>
      </c>
      <c r="J3581" t="s">
        <v>54</v>
      </c>
      <c r="K3581" t="s">
        <v>29</v>
      </c>
      <c r="L3581" t="s">
        <v>895</v>
      </c>
      <c r="M3581" t="s">
        <v>4402</v>
      </c>
      <c r="O3581" t="s">
        <v>896</v>
      </c>
      <c r="P3581" t="s">
        <v>33</v>
      </c>
      <c r="Q3581" s="22">
        <v>20191.900000000001</v>
      </c>
      <c r="R3581" t="s">
        <v>35</v>
      </c>
      <c r="S3581" t="s">
        <v>35</v>
      </c>
      <c r="T3581" t="s">
        <v>35</v>
      </c>
      <c r="U3581" t="s">
        <v>35</v>
      </c>
      <c r="V3581" t="s">
        <v>645</v>
      </c>
      <c r="W3581" t="s">
        <v>113</v>
      </c>
    </row>
    <row r="3582" spans="1:23" hidden="1" x14ac:dyDescent="0.25">
      <c r="A3582" s="7" t="str">
        <f>IFERROR(VLOOKUP(H3582,'Contas Orç'!A:B,2,0),"N/A")</f>
        <v>DEPRECIACOES E AMORTIZACOES</v>
      </c>
      <c r="B3582" s="7" t="str">
        <f t="shared" si="110"/>
        <v>330501 - DEPRECIACOES E AMORTIZACOES</v>
      </c>
      <c r="C3582" s="25">
        <f t="shared" si="111"/>
        <v>44866</v>
      </c>
      <c r="D3582" s="27">
        <f>IF(K3582="CREDITO",Q3582,Q3582*-1)</f>
        <v>17.420000000000002</v>
      </c>
      <c r="E3582" t="s">
        <v>894</v>
      </c>
      <c r="F3582" t="s">
        <v>4069</v>
      </c>
      <c r="G3582" s="8">
        <v>44866</v>
      </c>
      <c r="H3582" t="s">
        <v>603</v>
      </c>
      <c r="I3582" t="s">
        <v>1002</v>
      </c>
      <c r="J3582" t="s">
        <v>54</v>
      </c>
      <c r="K3582" t="s">
        <v>29</v>
      </c>
      <c r="L3582" t="s">
        <v>895</v>
      </c>
      <c r="M3582" t="s">
        <v>4402</v>
      </c>
      <c r="O3582" t="s">
        <v>896</v>
      </c>
      <c r="P3582" t="s">
        <v>33</v>
      </c>
      <c r="Q3582">
        <v>17.420000000000002</v>
      </c>
      <c r="R3582" t="s">
        <v>35</v>
      </c>
      <c r="S3582" t="s">
        <v>35</v>
      </c>
      <c r="T3582" t="s">
        <v>35</v>
      </c>
      <c r="U3582" t="s">
        <v>35</v>
      </c>
      <c r="V3582" t="s">
        <v>645</v>
      </c>
      <c r="W3582" t="s">
        <v>113</v>
      </c>
    </row>
    <row r="3583" spans="1:23" hidden="1" x14ac:dyDescent="0.25">
      <c r="A3583" s="7" t="str">
        <f>IFERROR(VLOOKUP(H3583,'Contas Orç'!A:B,2,0),"N/A")</f>
        <v>DEPRECIACOES E AMORTIZACOES</v>
      </c>
      <c r="B3583" s="7" t="str">
        <f t="shared" si="110"/>
        <v>330501 - DEPRECIACOES E AMORTIZACOES</v>
      </c>
      <c r="C3583" s="25">
        <f t="shared" si="111"/>
        <v>44866</v>
      </c>
      <c r="D3583" s="27">
        <f>IF(K3583="CREDITO",Q3583,Q3583*-1)</f>
        <v>29.11</v>
      </c>
      <c r="E3583" t="s">
        <v>894</v>
      </c>
      <c r="F3583" t="s">
        <v>831</v>
      </c>
      <c r="G3583" s="8">
        <v>44866</v>
      </c>
      <c r="H3583" t="s">
        <v>603</v>
      </c>
      <c r="I3583" t="s">
        <v>132</v>
      </c>
      <c r="J3583" t="s">
        <v>54</v>
      </c>
      <c r="K3583" t="s">
        <v>29</v>
      </c>
      <c r="L3583" t="s">
        <v>895</v>
      </c>
      <c r="M3583" t="s">
        <v>4402</v>
      </c>
      <c r="O3583" t="s">
        <v>896</v>
      </c>
      <c r="P3583" t="s">
        <v>33</v>
      </c>
      <c r="Q3583">
        <v>29.11</v>
      </c>
      <c r="R3583" t="s">
        <v>35</v>
      </c>
      <c r="S3583" t="s">
        <v>35</v>
      </c>
      <c r="T3583" t="s">
        <v>35</v>
      </c>
      <c r="U3583" t="s">
        <v>35</v>
      </c>
      <c r="V3583" t="s">
        <v>645</v>
      </c>
      <c r="W3583" t="s">
        <v>113</v>
      </c>
    </row>
    <row r="3584" spans="1:23" hidden="1" x14ac:dyDescent="0.25">
      <c r="A3584" s="7" t="str">
        <f>IFERROR(VLOOKUP(H3584,'Contas Orç'!A:B,2,0),"N/A")</f>
        <v>DEPRECIACOES E AMORTIZACOES</v>
      </c>
      <c r="B3584" s="7" t="str">
        <f t="shared" si="110"/>
        <v>330501 - DEPRECIACOES E AMORTIZACOES</v>
      </c>
      <c r="C3584" s="25">
        <f t="shared" si="111"/>
        <v>44866</v>
      </c>
      <c r="D3584" s="27">
        <f>IF(K3584="CREDITO",Q3584,Q3584*-1)</f>
        <v>413.29</v>
      </c>
      <c r="E3584" t="s">
        <v>894</v>
      </c>
      <c r="F3584" t="s">
        <v>832</v>
      </c>
      <c r="G3584" s="8">
        <v>44866</v>
      </c>
      <c r="H3584" t="s">
        <v>603</v>
      </c>
      <c r="I3584" t="s">
        <v>78</v>
      </c>
      <c r="J3584" t="s">
        <v>54</v>
      </c>
      <c r="K3584" t="s">
        <v>29</v>
      </c>
      <c r="L3584" t="s">
        <v>895</v>
      </c>
      <c r="M3584" t="s">
        <v>4402</v>
      </c>
      <c r="O3584" t="s">
        <v>896</v>
      </c>
      <c r="P3584" t="s">
        <v>33</v>
      </c>
      <c r="Q3584">
        <v>413.29</v>
      </c>
      <c r="R3584" t="s">
        <v>35</v>
      </c>
      <c r="S3584" t="s">
        <v>35</v>
      </c>
      <c r="T3584" t="s">
        <v>35</v>
      </c>
      <c r="U3584" t="s">
        <v>35</v>
      </c>
      <c r="V3584" t="s">
        <v>645</v>
      </c>
      <c r="W3584" t="s">
        <v>113</v>
      </c>
    </row>
    <row r="3585" spans="1:23" hidden="1" x14ac:dyDescent="0.25">
      <c r="A3585" s="7" t="str">
        <f>IFERROR(VLOOKUP(H3585,'Contas Orç'!A:B,2,0),"N/A")</f>
        <v>DEPRECIACOES E AMORTIZACOES</v>
      </c>
      <c r="B3585" s="7" t="str">
        <f t="shared" si="110"/>
        <v>330501 - DEPRECIACOES E AMORTIZACOES</v>
      </c>
      <c r="C3585" s="25">
        <f t="shared" si="111"/>
        <v>44866</v>
      </c>
      <c r="D3585" s="27">
        <f>IF(K3585="CREDITO",Q3585,Q3585*-1)</f>
        <v>87.14</v>
      </c>
      <c r="E3585" t="s">
        <v>894</v>
      </c>
      <c r="F3585" t="s">
        <v>4070</v>
      </c>
      <c r="G3585" s="8">
        <v>44866</v>
      </c>
      <c r="H3585" t="s">
        <v>603</v>
      </c>
      <c r="I3585" t="s">
        <v>81</v>
      </c>
      <c r="J3585" t="s">
        <v>54</v>
      </c>
      <c r="K3585" t="s">
        <v>29</v>
      </c>
      <c r="L3585" t="s">
        <v>895</v>
      </c>
      <c r="M3585" t="s">
        <v>4402</v>
      </c>
      <c r="O3585" t="s">
        <v>896</v>
      </c>
      <c r="P3585" t="s">
        <v>33</v>
      </c>
      <c r="Q3585">
        <v>87.14</v>
      </c>
      <c r="R3585" t="s">
        <v>35</v>
      </c>
      <c r="S3585" t="s">
        <v>35</v>
      </c>
      <c r="T3585" t="s">
        <v>35</v>
      </c>
      <c r="U3585" t="s">
        <v>35</v>
      </c>
      <c r="V3585" t="s">
        <v>645</v>
      </c>
      <c r="W3585" t="s">
        <v>113</v>
      </c>
    </row>
    <row r="3586" spans="1:23" hidden="1" x14ac:dyDescent="0.25">
      <c r="A3586" s="7" t="str">
        <f>IFERROR(VLOOKUP(H3586,'Contas Orç'!A:B,2,0),"N/A")</f>
        <v>DEPRECIACOES E AMORTIZACOES</v>
      </c>
      <c r="B3586" s="7" t="str">
        <f t="shared" si="110"/>
        <v>330501 - DEPRECIACOES E AMORTIZACOES</v>
      </c>
      <c r="C3586" s="25">
        <f t="shared" si="111"/>
        <v>44866</v>
      </c>
      <c r="D3586" s="27">
        <f>IF(K3586="CREDITO",Q3586,Q3586*-1)</f>
        <v>119.4</v>
      </c>
      <c r="E3586" t="s">
        <v>894</v>
      </c>
      <c r="F3586" t="s">
        <v>4071</v>
      </c>
      <c r="G3586" s="8">
        <v>44866</v>
      </c>
      <c r="H3586" t="s">
        <v>603</v>
      </c>
      <c r="I3586" t="s">
        <v>53</v>
      </c>
      <c r="J3586" t="s">
        <v>54</v>
      </c>
      <c r="K3586" t="s">
        <v>29</v>
      </c>
      <c r="L3586" t="s">
        <v>895</v>
      </c>
      <c r="M3586" t="s">
        <v>4402</v>
      </c>
      <c r="O3586" t="s">
        <v>896</v>
      </c>
      <c r="P3586" t="s">
        <v>33</v>
      </c>
      <c r="Q3586">
        <v>119.4</v>
      </c>
      <c r="R3586" t="s">
        <v>35</v>
      </c>
      <c r="S3586" t="s">
        <v>35</v>
      </c>
      <c r="T3586" t="s">
        <v>35</v>
      </c>
      <c r="U3586" t="s">
        <v>35</v>
      </c>
      <c r="V3586" t="s">
        <v>645</v>
      </c>
      <c r="W3586" t="s">
        <v>113</v>
      </c>
    </row>
    <row r="3587" spans="1:23" hidden="1" x14ac:dyDescent="0.25">
      <c r="A3587" s="7" t="str">
        <f>IFERROR(VLOOKUP(H3587,'Contas Orç'!A:B,2,0),"N/A")</f>
        <v>DEPRECIACOES E AMORTIZACOES</v>
      </c>
      <c r="B3587" s="7" t="str">
        <f t="shared" ref="B3587:B3650" si="112">_xlfn.CONCAT(H3587," - ",A3587)</f>
        <v>330501 - DEPRECIACOES E AMORTIZACOES</v>
      </c>
      <c r="C3587" s="25">
        <f t="shared" ref="C3587:C3650" si="113">DATE(YEAR(G3587),MONTH(G3587),1)</f>
        <v>44896</v>
      </c>
      <c r="D3587" s="27">
        <f>IF(K3587="CREDITO",Q3587,Q3587*-1)</f>
        <v>21586.639999999999</v>
      </c>
      <c r="E3587" t="s">
        <v>894</v>
      </c>
      <c r="F3587" t="s">
        <v>4072</v>
      </c>
      <c r="G3587" s="8">
        <v>44896</v>
      </c>
      <c r="H3587" t="s">
        <v>603</v>
      </c>
      <c r="I3587" t="s">
        <v>2062</v>
      </c>
      <c r="J3587" t="s">
        <v>54</v>
      </c>
      <c r="K3587" t="s">
        <v>29</v>
      </c>
      <c r="L3587" t="s">
        <v>895</v>
      </c>
      <c r="M3587" t="s">
        <v>4402</v>
      </c>
      <c r="O3587" t="s">
        <v>896</v>
      </c>
      <c r="P3587" t="s">
        <v>33</v>
      </c>
      <c r="Q3587" s="22">
        <v>21586.639999999999</v>
      </c>
      <c r="R3587" t="s">
        <v>35</v>
      </c>
      <c r="S3587" t="s">
        <v>35</v>
      </c>
      <c r="T3587" t="s">
        <v>35</v>
      </c>
      <c r="U3587" t="s">
        <v>35</v>
      </c>
      <c r="V3587" t="s">
        <v>645</v>
      </c>
      <c r="W3587" t="s">
        <v>113</v>
      </c>
    </row>
    <row r="3588" spans="1:23" hidden="1" x14ac:dyDescent="0.25">
      <c r="A3588" s="7" t="str">
        <f>IFERROR(VLOOKUP(H3588,'Contas Orç'!A:B,2,0),"N/A")</f>
        <v>DEPRECIACOES E AMORTIZACOES</v>
      </c>
      <c r="B3588" s="7" t="str">
        <f t="shared" si="112"/>
        <v>330501 - DEPRECIACOES E AMORTIZACOES</v>
      </c>
      <c r="C3588" s="25">
        <f t="shared" si="113"/>
        <v>44896</v>
      </c>
      <c r="D3588" s="27">
        <f>IF(K3588="CREDITO",Q3588,Q3588*-1)</f>
        <v>20393.82</v>
      </c>
      <c r="E3588" t="s">
        <v>894</v>
      </c>
      <c r="F3588" t="s">
        <v>4073</v>
      </c>
      <c r="G3588" s="8">
        <v>44896</v>
      </c>
      <c r="H3588" t="s">
        <v>603</v>
      </c>
      <c r="I3588" t="s">
        <v>40</v>
      </c>
      <c r="J3588" t="s">
        <v>54</v>
      </c>
      <c r="K3588" t="s">
        <v>29</v>
      </c>
      <c r="L3588" t="s">
        <v>895</v>
      </c>
      <c r="M3588" t="s">
        <v>4402</v>
      </c>
      <c r="O3588" t="s">
        <v>896</v>
      </c>
      <c r="P3588" t="s">
        <v>33</v>
      </c>
      <c r="Q3588" s="22">
        <v>20393.82</v>
      </c>
      <c r="R3588" t="s">
        <v>35</v>
      </c>
      <c r="S3588" t="s">
        <v>35</v>
      </c>
      <c r="T3588" t="s">
        <v>35</v>
      </c>
      <c r="U3588" t="s">
        <v>35</v>
      </c>
      <c r="V3588" t="s">
        <v>645</v>
      </c>
      <c r="W3588" t="s">
        <v>113</v>
      </c>
    </row>
    <row r="3589" spans="1:23" hidden="1" x14ac:dyDescent="0.25">
      <c r="A3589" s="7" t="str">
        <f>IFERROR(VLOOKUP(H3589,'Contas Orç'!A:B,2,0),"N/A")</f>
        <v>DEPRECIACOES E AMORTIZACOES</v>
      </c>
      <c r="B3589" s="7" t="str">
        <f t="shared" si="112"/>
        <v>330501 - DEPRECIACOES E AMORTIZACOES</v>
      </c>
      <c r="C3589" s="25">
        <f t="shared" si="113"/>
        <v>44896</v>
      </c>
      <c r="D3589" s="27">
        <f>IF(K3589="CREDITO",Q3589,Q3589*-1)</f>
        <v>17.600000000000001</v>
      </c>
      <c r="E3589" t="s">
        <v>894</v>
      </c>
      <c r="F3589" t="s">
        <v>4074</v>
      </c>
      <c r="G3589" s="8">
        <v>44896</v>
      </c>
      <c r="H3589" t="s">
        <v>603</v>
      </c>
      <c r="I3589" t="s">
        <v>1002</v>
      </c>
      <c r="J3589" t="s">
        <v>54</v>
      </c>
      <c r="K3589" t="s">
        <v>29</v>
      </c>
      <c r="L3589" t="s">
        <v>895</v>
      </c>
      <c r="M3589" t="s">
        <v>4402</v>
      </c>
      <c r="O3589" t="s">
        <v>896</v>
      </c>
      <c r="P3589" t="s">
        <v>33</v>
      </c>
      <c r="Q3589">
        <v>17.600000000000001</v>
      </c>
      <c r="R3589" t="s">
        <v>35</v>
      </c>
      <c r="S3589" t="s">
        <v>35</v>
      </c>
      <c r="T3589" t="s">
        <v>35</v>
      </c>
      <c r="U3589" t="s">
        <v>35</v>
      </c>
      <c r="V3589" t="s">
        <v>645</v>
      </c>
      <c r="W3589" t="s">
        <v>113</v>
      </c>
    </row>
    <row r="3590" spans="1:23" hidden="1" x14ac:dyDescent="0.25">
      <c r="A3590" s="7" t="str">
        <f>IFERROR(VLOOKUP(H3590,'Contas Orç'!A:B,2,0),"N/A")</f>
        <v>DEPRECIACOES E AMORTIZACOES</v>
      </c>
      <c r="B3590" s="7" t="str">
        <f t="shared" si="112"/>
        <v>330501 - DEPRECIACOES E AMORTIZACOES</v>
      </c>
      <c r="C3590" s="25">
        <f t="shared" si="113"/>
        <v>44896</v>
      </c>
      <c r="D3590" s="27">
        <f>IF(K3590="CREDITO",Q3590,Q3590*-1)</f>
        <v>29.4</v>
      </c>
      <c r="E3590" t="s">
        <v>894</v>
      </c>
      <c r="F3590" t="s">
        <v>4075</v>
      </c>
      <c r="G3590" s="8">
        <v>44896</v>
      </c>
      <c r="H3590" t="s">
        <v>603</v>
      </c>
      <c r="I3590" t="s">
        <v>132</v>
      </c>
      <c r="J3590" t="s">
        <v>54</v>
      </c>
      <c r="K3590" t="s">
        <v>29</v>
      </c>
      <c r="L3590" t="s">
        <v>895</v>
      </c>
      <c r="M3590" t="s">
        <v>4402</v>
      </c>
      <c r="O3590" t="s">
        <v>896</v>
      </c>
      <c r="P3590" t="s">
        <v>33</v>
      </c>
      <c r="Q3590">
        <v>29.4</v>
      </c>
      <c r="R3590" t="s">
        <v>35</v>
      </c>
      <c r="S3590" t="s">
        <v>35</v>
      </c>
      <c r="T3590" t="s">
        <v>35</v>
      </c>
      <c r="U3590" t="s">
        <v>35</v>
      </c>
      <c r="V3590" t="s">
        <v>645</v>
      </c>
      <c r="W3590" t="s">
        <v>113</v>
      </c>
    </row>
    <row r="3591" spans="1:23" hidden="1" x14ac:dyDescent="0.25">
      <c r="A3591" s="7" t="str">
        <f>IFERROR(VLOOKUP(H3591,'Contas Orç'!A:B,2,0),"N/A")</f>
        <v>DEPRECIACOES E AMORTIZACOES</v>
      </c>
      <c r="B3591" s="7" t="str">
        <f t="shared" si="112"/>
        <v>330501 - DEPRECIACOES E AMORTIZACOES</v>
      </c>
      <c r="C3591" s="25">
        <f t="shared" si="113"/>
        <v>44896</v>
      </c>
      <c r="D3591" s="27">
        <f>IF(K3591="CREDITO",Q3591,Q3591*-1)</f>
        <v>417.43</v>
      </c>
      <c r="E3591" t="s">
        <v>894</v>
      </c>
      <c r="F3591" t="s">
        <v>4076</v>
      </c>
      <c r="G3591" s="8">
        <v>44896</v>
      </c>
      <c r="H3591" t="s">
        <v>603</v>
      </c>
      <c r="I3591" t="s">
        <v>78</v>
      </c>
      <c r="J3591" t="s">
        <v>54</v>
      </c>
      <c r="K3591" t="s">
        <v>29</v>
      </c>
      <c r="L3591" t="s">
        <v>895</v>
      </c>
      <c r="M3591" t="s">
        <v>4402</v>
      </c>
      <c r="O3591" t="s">
        <v>896</v>
      </c>
      <c r="P3591" t="s">
        <v>33</v>
      </c>
      <c r="Q3591">
        <v>417.43</v>
      </c>
      <c r="R3591" t="s">
        <v>35</v>
      </c>
      <c r="S3591" t="s">
        <v>35</v>
      </c>
      <c r="T3591" t="s">
        <v>35</v>
      </c>
      <c r="U3591" t="s">
        <v>35</v>
      </c>
      <c r="V3591" t="s">
        <v>645</v>
      </c>
      <c r="W3591" t="s">
        <v>113</v>
      </c>
    </row>
    <row r="3592" spans="1:23" hidden="1" x14ac:dyDescent="0.25">
      <c r="A3592" s="7" t="str">
        <f>IFERROR(VLOOKUP(H3592,'Contas Orç'!A:B,2,0),"N/A")</f>
        <v>DEPRECIACOES E AMORTIZACOES</v>
      </c>
      <c r="B3592" s="7" t="str">
        <f t="shared" si="112"/>
        <v>330501 - DEPRECIACOES E AMORTIZACOES</v>
      </c>
      <c r="C3592" s="25">
        <f t="shared" si="113"/>
        <v>44896</v>
      </c>
      <c r="D3592" s="27">
        <f>IF(K3592="CREDITO",Q3592,Q3592*-1)</f>
        <v>88.01</v>
      </c>
      <c r="E3592" t="s">
        <v>894</v>
      </c>
      <c r="F3592" t="s">
        <v>4077</v>
      </c>
      <c r="G3592" s="8">
        <v>44896</v>
      </c>
      <c r="H3592" t="s">
        <v>603</v>
      </c>
      <c r="I3592" t="s">
        <v>81</v>
      </c>
      <c r="J3592" t="s">
        <v>54</v>
      </c>
      <c r="K3592" t="s">
        <v>29</v>
      </c>
      <c r="L3592" t="s">
        <v>895</v>
      </c>
      <c r="M3592" t="s">
        <v>4402</v>
      </c>
      <c r="O3592" t="s">
        <v>896</v>
      </c>
      <c r="P3592" t="s">
        <v>33</v>
      </c>
      <c r="Q3592">
        <v>88.01</v>
      </c>
      <c r="R3592" t="s">
        <v>35</v>
      </c>
      <c r="S3592" t="s">
        <v>35</v>
      </c>
      <c r="T3592" t="s">
        <v>35</v>
      </c>
      <c r="U3592" t="s">
        <v>35</v>
      </c>
      <c r="V3592" t="s">
        <v>645</v>
      </c>
      <c r="W3592" t="s">
        <v>113</v>
      </c>
    </row>
    <row r="3593" spans="1:23" hidden="1" x14ac:dyDescent="0.25">
      <c r="A3593" s="7" t="str">
        <f>IFERROR(VLOOKUP(H3593,'Contas Orç'!A:B,2,0),"N/A")</f>
        <v>DEPRECIACOES E AMORTIZACOES</v>
      </c>
      <c r="B3593" s="7" t="str">
        <f t="shared" si="112"/>
        <v>330501 - DEPRECIACOES E AMORTIZACOES</v>
      </c>
      <c r="C3593" s="25">
        <f t="shared" si="113"/>
        <v>44896</v>
      </c>
      <c r="D3593" s="27">
        <f>IF(K3593="CREDITO",Q3593,Q3593*-1)</f>
        <v>120.6</v>
      </c>
      <c r="E3593" t="s">
        <v>894</v>
      </c>
      <c r="F3593" t="s">
        <v>4078</v>
      </c>
      <c r="G3593" s="8">
        <v>44896</v>
      </c>
      <c r="H3593" t="s">
        <v>603</v>
      </c>
      <c r="I3593" t="s">
        <v>53</v>
      </c>
      <c r="J3593" t="s">
        <v>54</v>
      </c>
      <c r="K3593" t="s">
        <v>29</v>
      </c>
      <c r="L3593" t="s">
        <v>895</v>
      </c>
      <c r="M3593" t="s">
        <v>4402</v>
      </c>
      <c r="O3593" t="s">
        <v>896</v>
      </c>
      <c r="P3593" t="s">
        <v>33</v>
      </c>
      <c r="Q3593">
        <v>120.6</v>
      </c>
      <c r="R3593" t="s">
        <v>35</v>
      </c>
      <c r="S3593" t="s">
        <v>35</v>
      </c>
      <c r="T3593" t="s">
        <v>35</v>
      </c>
      <c r="U3593" t="s">
        <v>35</v>
      </c>
      <c r="V3593" t="s">
        <v>645</v>
      </c>
      <c r="W3593" t="s">
        <v>113</v>
      </c>
    </row>
    <row r="3594" spans="1:23" hidden="1" x14ac:dyDescent="0.25">
      <c r="A3594" s="7" t="str">
        <f>IFERROR(VLOOKUP(H3594,'Contas Orç'!A:B,2,0),"N/A")</f>
        <v>DESPESAS VARIAVEIS DE VENDAS</v>
      </c>
      <c r="B3594" s="7" t="str">
        <f t="shared" si="112"/>
        <v>330601 - DESPESAS VARIAVEIS DE VENDAS</v>
      </c>
      <c r="C3594" s="25">
        <f t="shared" si="113"/>
        <v>44743</v>
      </c>
      <c r="D3594" s="27">
        <f>IF(K3594="CREDITO",Q3594,Q3594*-1)</f>
        <v>37382.04</v>
      </c>
      <c r="E3594" t="s">
        <v>894</v>
      </c>
      <c r="F3594" t="s">
        <v>4079</v>
      </c>
      <c r="G3594" s="8">
        <v>44743</v>
      </c>
      <c r="H3594" t="s">
        <v>506</v>
      </c>
      <c r="I3594" t="s">
        <v>27</v>
      </c>
      <c r="J3594" t="s">
        <v>28</v>
      </c>
      <c r="K3594" t="s">
        <v>29</v>
      </c>
      <c r="L3594" t="s">
        <v>895</v>
      </c>
      <c r="M3594" t="s">
        <v>4402</v>
      </c>
      <c r="O3594" t="s">
        <v>896</v>
      </c>
      <c r="P3594" t="s">
        <v>33</v>
      </c>
      <c r="Q3594" s="22">
        <v>37382.04</v>
      </c>
      <c r="R3594" t="s">
        <v>35</v>
      </c>
      <c r="S3594" t="s">
        <v>35</v>
      </c>
      <c r="T3594" t="s">
        <v>35</v>
      </c>
      <c r="U3594" t="s">
        <v>35</v>
      </c>
      <c r="V3594" t="s">
        <v>645</v>
      </c>
      <c r="W3594" t="s">
        <v>113</v>
      </c>
    </row>
    <row r="3595" spans="1:23" hidden="1" x14ac:dyDescent="0.25">
      <c r="A3595" s="7" t="str">
        <f>IFERROR(VLOOKUP(H3595,'Contas Orç'!A:B,2,0),"N/A")</f>
        <v>DESPESAS VARIAVEIS DE VENDAS</v>
      </c>
      <c r="B3595" s="7" t="str">
        <f t="shared" si="112"/>
        <v>330601 - DESPESAS VARIAVEIS DE VENDAS</v>
      </c>
      <c r="C3595" s="25">
        <f t="shared" si="113"/>
        <v>44743</v>
      </c>
      <c r="D3595" s="27">
        <f>IF(K3595="CREDITO",Q3595,Q3595*-1)</f>
        <v>13196.98</v>
      </c>
      <c r="E3595" t="s">
        <v>894</v>
      </c>
      <c r="F3595" t="s">
        <v>4080</v>
      </c>
      <c r="G3595" s="8">
        <v>44743</v>
      </c>
      <c r="H3595" t="s">
        <v>506</v>
      </c>
      <c r="I3595" t="s">
        <v>59</v>
      </c>
      <c r="J3595" t="s">
        <v>702</v>
      </c>
      <c r="K3595" t="s">
        <v>29</v>
      </c>
      <c r="L3595" t="s">
        <v>895</v>
      </c>
      <c r="M3595" t="s">
        <v>4402</v>
      </c>
      <c r="O3595" t="s">
        <v>896</v>
      </c>
      <c r="P3595" t="s">
        <v>33</v>
      </c>
      <c r="Q3595" s="22">
        <v>13196.98</v>
      </c>
      <c r="R3595" t="s">
        <v>35</v>
      </c>
      <c r="S3595" t="s">
        <v>35</v>
      </c>
      <c r="T3595" t="s">
        <v>35</v>
      </c>
      <c r="U3595" t="s">
        <v>35</v>
      </c>
      <c r="V3595" t="s">
        <v>645</v>
      </c>
      <c r="W3595" t="s">
        <v>113</v>
      </c>
    </row>
    <row r="3596" spans="1:23" hidden="1" x14ac:dyDescent="0.25">
      <c r="A3596" s="7" t="str">
        <f>IFERROR(VLOOKUP(H3596,'Contas Orç'!A:B,2,0),"N/A")</f>
        <v>DESPESAS VARIAVEIS DE VENDAS</v>
      </c>
      <c r="B3596" s="7" t="str">
        <f t="shared" si="112"/>
        <v>330601 - DESPESAS VARIAVEIS DE VENDAS</v>
      </c>
      <c r="C3596" s="25">
        <f t="shared" si="113"/>
        <v>44774</v>
      </c>
      <c r="D3596" s="27">
        <f>IF(K3596="CREDITO",Q3596,Q3596*-1)</f>
        <v>87968.06</v>
      </c>
      <c r="E3596" t="s">
        <v>894</v>
      </c>
      <c r="F3596" t="s">
        <v>4081</v>
      </c>
      <c r="G3596" s="8">
        <v>44774</v>
      </c>
      <c r="H3596" t="s">
        <v>506</v>
      </c>
      <c r="I3596" t="s">
        <v>27</v>
      </c>
      <c r="J3596" t="s">
        <v>28</v>
      </c>
      <c r="K3596" t="s">
        <v>29</v>
      </c>
      <c r="L3596" t="s">
        <v>895</v>
      </c>
      <c r="M3596" t="s">
        <v>4402</v>
      </c>
      <c r="O3596" t="s">
        <v>896</v>
      </c>
      <c r="P3596" t="s">
        <v>33</v>
      </c>
      <c r="Q3596" s="22">
        <v>87968.06</v>
      </c>
      <c r="R3596" t="s">
        <v>35</v>
      </c>
      <c r="S3596" t="s">
        <v>35</v>
      </c>
      <c r="T3596" t="s">
        <v>35</v>
      </c>
      <c r="U3596" t="s">
        <v>35</v>
      </c>
      <c r="V3596" t="s">
        <v>645</v>
      </c>
      <c r="W3596" t="s">
        <v>113</v>
      </c>
    </row>
    <row r="3597" spans="1:23" hidden="1" x14ac:dyDescent="0.25">
      <c r="A3597" s="7" t="str">
        <f>IFERROR(VLOOKUP(H3597,'Contas Orç'!A:B,2,0),"N/A")</f>
        <v>DESPESAS VARIAVEIS DE VENDAS</v>
      </c>
      <c r="B3597" s="7" t="str">
        <f t="shared" si="112"/>
        <v>330601 - DESPESAS VARIAVEIS DE VENDAS</v>
      </c>
      <c r="C3597" s="25">
        <f t="shared" si="113"/>
        <v>44774</v>
      </c>
      <c r="D3597" s="27">
        <f>IF(K3597="CREDITO",Q3597,Q3597*-1)</f>
        <v>4130.3599999999997</v>
      </c>
      <c r="E3597" t="s">
        <v>894</v>
      </c>
      <c r="F3597" t="s">
        <v>4082</v>
      </c>
      <c r="G3597" s="8">
        <v>44774</v>
      </c>
      <c r="H3597" t="s">
        <v>506</v>
      </c>
      <c r="I3597" t="s">
        <v>59</v>
      </c>
      <c r="J3597" t="s">
        <v>702</v>
      </c>
      <c r="K3597" t="s">
        <v>29</v>
      </c>
      <c r="L3597" t="s">
        <v>895</v>
      </c>
      <c r="M3597" t="s">
        <v>4402</v>
      </c>
      <c r="O3597" t="s">
        <v>896</v>
      </c>
      <c r="P3597" t="s">
        <v>33</v>
      </c>
      <c r="Q3597" s="22">
        <v>4130.3599999999997</v>
      </c>
      <c r="R3597" t="s">
        <v>35</v>
      </c>
      <c r="S3597" t="s">
        <v>35</v>
      </c>
      <c r="T3597" t="s">
        <v>35</v>
      </c>
      <c r="U3597" t="s">
        <v>35</v>
      </c>
      <c r="V3597" t="s">
        <v>645</v>
      </c>
      <c r="W3597" t="s">
        <v>113</v>
      </c>
    </row>
    <row r="3598" spans="1:23" hidden="1" x14ac:dyDescent="0.25">
      <c r="A3598" s="7" t="str">
        <f>IFERROR(VLOOKUP(H3598,'Contas Orç'!A:B,2,0),"N/A")</f>
        <v>DESPESAS VARIAVEIS DE VENDAS</v>
      </c>
      <c r="B3598" s="7" t="str">
        <f t="shared" si="112"/>
        <v>330601 - DESPESAS VARIAVEIS DE VENDAS</v>
      </c>
      <c r="C3598" s="25">
        <f t="shared" si="113"/>
        <v>44805</v>
      </c>
      <c r="D3598" s="27">
        <f>IF(K3598="CREDITO",Q3598,Q3598*-1)</f>
        <v>48551.46</v>
      </c>
      <c r="E3598" t="s">
        <v>894</v>
      </c>
      <c r="F3598" t="s">
        <v>4083</v>
      </c>
      <c r="G3598" s="8">
        <v>44805</v>
      </c>
      <c r="H3598" t="s">
        <v>506</v>
      </c>
      <c r="I3598" t="s">
        <v>27</v>
      </c>
      <c r="J3598" t="s">
        <v>28</v>
      </c>
      <c r="K3598" t="s">
        <v>29</v>
      </c>
      <c r="L3598" t="s">
        <v>895</v>
      </c>
      <c r="M3598" t="s">
        <v>4402</v>
      </c>
      <c r="O3598" t="s">
        <v>896</v>
      </c>
      <c r="P3598" t="s">
        <v>33</v>
      </c>
      <c r="Q3598" s="22">
        <v>48551.46</v>
      </c>
      <c r="R3598" t="s">
        <v>35</v>
      </c>
      <c r="S3598" t="s">
        <v>35</v>
      </c>
      <c r="T3598" t="s">
        <v>35</v>
      </c>
      <c r="U3598" t="s">
        <v>35</v>
      </c>
      <c r="V3598" t="s">
        <v>645</v>
      </c>
      <c r="W3598" t="s">
        <v>113</v>
      </c>
    </row>
    <row r="3599" spans="1:23" hidden="1" x14ac:dyDescent="0.25">
      <c r="A3599" s="7" t="str">
        <f>IFERROR(VLOOKUP(H3599,'Contas Orç'!A:B,2,0),"N/A")</f>
        <v>DESPESAS VARIAVEIS DE VENDAS</v>
      </c>
      <c r="B3599" s="7" t="str">
        <f t="shared" si="112"/>
        <v>330601 - DESPESAS VARIAVEIS DE VENDAS</v>
      </c>
      <c r="C3599" s="25">
        <f t="shared" si="113"/>
        <v>44805</v>
      </c>
      <c r="D3599" s="27">
        <f>IF(K3599="CREDITO",Q3599,Q3599*-1)</f>
        <v>3780.8</v>
      </c>
      <c r="E3599" t="s">
        <v>894</v>
      </c>
      <c r="F3599" t="s">
        <v>4084</v>
      </c>
      <c r="G3599" s="8">
        <v>44805</v>
      </c>
      <c r="H3599" t="s">
        <v>506</v>
      </c>
      <c r="I3599" t="s">
        <v>59</v>
      </c>
      <c r="J3599" t="s">
        <v>702</v>
      </c>
      <c r="K3599" t="s">
        <v>29</v>
      </c>
      <c r="L3599" t="s">
        <v>895</v>
      </c>
      <c r="M3599" t="s">
        <v>4402</v>
      </c>
      <c r="O3599" t="s">
        <v>896</v>
      </c>
      <c r="P3599" t="s">
        <v>33</v>
      </c>
      <c r="Q3599" s="22">
        <v>3780.8</v>
      </c>
      <c r="R3599" t="s">
        <v>35</v>
      </c>
      <c r="S3599" t="s">
        <v>35</v>
      </c>
      <c r="T3599" t="s">
        <v>35</v>
      </c>
      <c r="U3599" t="s">
        <v>35</v>
      </c>
      <c r="V3599" t="s">
        <v>645</v>
      </c>
      <c r="W3599" t="s">
        <v>113</v>
      </c>
    </row>
    <row r="3600" spans="1:23" hidden="1" x14ac:dyDescent="0.25">
      <c r="A3600" s="7" t="str">
        <f>IFERROR(VLOOKUP(H3600,'Contas Orç'!A:B,2,0),"N/A")</f>
        <v>DESPESAS VARIAVEIS DE VENDAS</v>
      </c>
      <c r="B3600" s="7" t="str">
        <f t="shared" si="112"/>
        <v>330601 - DESPESAS VARIAVEIS DE VENDAS</v>
      </c>
      <c r="C3600" s="25">
        <f t="shared" si="113"/>
        <v>44835</v>
      </c>
      <c r="D3600" s="27">
        <f>IF(K3600="CREDITO",Q3600,Q3600*-1)</f>
        <v>49036.97</v>
      </c>
      <c r="E3600" t="s">
        <v>894</v>
      </c>
      <c r="F3600" t="s">
        <v>4085</v>
      </c>
      <c r="G3600" s="8">
        <v>44835</v>
      </c>
      <c r="H3600" t="s">
        <v>506</v>
      </c>
      <c r="I3600" t="s">
        <v>27</v>
      </c>
      <c r="J3600" t="s">
        <v>28</v>
      </c>
      <c r="K3600" t="s">
        <v>29</v>
      </c>
      <c r="L3600" t="s">
        <v>895</v>
      </c>
      <c r="M3600" t="s">
        <v>4402</v>
      </c>
      <c r="O3600" t="s">
        <v>896</v>
      </c>
      <c r="P3600" t="s">
        <v>33</v>
      </c>
      <c r="Q3600" s="22">
        <v>49036.97</v>
      </c>
      <c r="R3600" t="s">
        <v>35</v>
      </c>
      <c r="S3600" t="s">
        <v>35</v>
      </c>
      <c r="T3600" t="s">
        <v>35</v>
      </c>
      <c r="U3600" t="s">
        <v>35</v>
      </c>
      <c r="V3600" t="s">
        <v>645</v>
      </c>
      <c r="W3600" t="s">
        <v>113</v>
      </c>
    </row>
    <row r="3601" spans="1:23" hidden="1" x14ac:dyDescent="0.25">
      <c r="A3601" s="7" t="str">
        <f>IFERROR(VLOOKUP(H3601,'Contas Orç'!A:B,2,0),"N/A")</f>
        <v>DESPESAS VARIAVEIS DE VENDAS</v>
      </c>
      <c r="B3601" s="7" t="str">
        <f t="shared" si="112"/>
        <v>330601 - DESPESAS VARIAVEIS DE VENDAS</v>
      </c>
      <c r="C3601" s="25">
        <f t="shared" si="113"/>
        <v>44835</v>
      </c>
      <c r="D3601" s="27">
        <f>IF(K3601="CREDITO",Q3601,Q3601*-1)</f>
        <v>3818.61</v>
      </c>
      <c r="E3601" t="s">
        <v>894</v>
      </c>
      <c r="F3601" t="s">
        <v>4086</v>
      </c>
      <c r="G3601" s="8">
        <v>44835</v>
      </c>
      <c r="H3601" t="s">
        <v>506</v>
      </c>
      <c r="I3601" t="s">
        <v>59</v>
      </c>
      <c r="J3601" t="s">
        <v>702</v>
      </c>
      <c r="K3601" t="s">
        <v>29</v>
      </c>
      <c r="L3601" t="s">
        <v>895</v>
      </c>
      <c r="M3601" t="s">
        <v>4402</v>
      </c>
      <c r="O3601" t="s">
        <v>896</v>
      </c>
      <c r="P3601" t="s">
        <v>33</v>
      </c>
      <c r="Q3601" s="22">
        <v>3818.61</v>
      </c>
      <c r="R3601" t="s">
        <v>35</v>
      </c>
      <c r="S3601" t="s">
        <v>35</v>
      </c>
      <c r="T3601" t="s">
        <v>35</v>
      </c>
      <c r="U3601" t="s">
        <v>35</v>
      </c>
      <c r="V3601" t="s">
        <v>645</v>
      </c>
      <c r="W3601" t="s">
        <v>113</v>
      </c>
    </row>
    <row r="3602" spans="1:23" hidden="1" x14ac:dyDescent="0.25">
      <c r="A3602" s="7" t="str">
        <f>IFERROR(VLOOKUP(H3602,'Contas Orç'!A:B,2,0),"N/A")</f>
        <v>DESPESAS VARIAVEIS DE VENDAS</v>
      </c>
      <c r="B3602" s="7" t="str">
        <f t="shared" si="112"/>
        <v>330601 - DESPESAS VARIAVEIS DE VENDAS</v>
      </c>
      <c r="C3602" s="25">
        <f t="shared" si="113"/>
        <v>44866</v>
      </c>
      <c r="D3602" s="27">
        <f>IF(K3602="CREDITO",Q3602,Q3602*-1)</f>
        <v>49527.34</v>
      </c>
      <c r="E3602" t="s">
        <v>894</v>
      </c>
      <c r="F3602" t="s">
        <v>4087</v>
      </c>
      <c r="G3602" s="8">
        <v>44866</v>
      </c>
      <c r="H3602" t="s">
        <v>506</v>
      </c>
      <c r="I3602" t="s">
        <v>27</v>
      </c>
      <c r="J3602" t="s">
        <v>28</v>
      </c>
      <c r="K3602" t="s">
        <v>29</v>
      </c>
      <c r="L3602" t="s">
        <v>895</v>
      </c>
      <c r="M3602" t="s">
        <v>4402</v>
      </c>
      <c r="O3602" t="s">
        <v>896</v>
      </c>
      <c r="P3602" t="s">
        <v>33</v>
      </c>
      <c r="Q3602" s="22">
        <v>49527.34</v>
      </c>
      <c r="R3602" t="s">
        <v>35</v>
      </c>
      <c r="S3602" t="s">
        <v>35</v>
      </c>
      <c r="T3602" t="s">
        <v>35</v>
      </c>
      <c r="U3602" t="s">
        <v>35</v>
      </c>
      <c r="V3602" t="s">
        <v>645</v>
      </c>
      <c r="W3602" t="s">
        <v>113</v>
      </c>
    </row>
    <row r="3603" spans="1:23" hidden="1" x14ac:dyDescent="0.25">
      <c r="A3603" s="7" t="str">
        <f>IFERROR(VLOOKUP(H3603,'Contas Orç'!A:B,2,0),"N/A")</f>
        <v>DESPESAS VARIAVEIS DE VENDAS</v>
      </c>
      <c r="B3603" s="7" t="str">
        <f t="shared" si="112"/>
        <v>330601 - DESPESAS VARIAVEIS DE VENDAS</v>
      </c>
      <c r="C3603" s="25">
        <f t="shared" si="113"/>
        <v>44866</v>
      </c>
      <c r="D3603" s="27">
        <f>IF(K3603="CREDITO",Q3603,Q3603*-1)</f>
        <v>3856.79</v>
      </c>
      <c r="E3603" t="s">
        <v>894</v>
      </c>
      <c r="F3603" t="s">
        <v>4088</v>
      </c>
      <c r="G3603" s="8">
        <v>44866</v>
      </c>
      <c r="H3603" t="s">
        <v>506</v>
      </c>
      <c r="I3603" t="s">
        <v>59</v>
      </c>
      <c r="J3603" t="s">
        <v>702</v>
      </c>
      <c r="K3603" t="s">
        <v>29</v>
      </c>
      <c r="L3603" t="s">
        <v>895</v>
      </c>
      <c r="M3603" t="s">
        <v>4402</v>
      </c>
      <c r="O3603" t="s">
        <v>896</v>
      </c>
      <c r="P3603" t="s">
        <v>33</v>
      </c>
      <c r="Q3603" s="22">
        <v>3856.79</v>
      </c>
      <c r="R3603" t="s">
        <v>35</v>
      </c>
      <c r="S3603" t="s">
        <v>35</v>
      </c>
      <c r="T3603" t="s">
        <v>35</v>
      </c>
      <c r="U3603" t="s">
        <v>35</v>
      </c>
      <c r="V3603" t="s">
        <v>645</v>
      </c>
      <c r="W3603" t="s">
        <v>113</v>
      </c>
    </row>
    <row r="3604" spans="1:23" hidden="1" x14ac:dyDescent="0.25">
      <c r="A3604" s="7" t="str">
        <f>IFERROR(VLOOKUP(H3604,'Contas Orç'!A:B,2,0),"N/A")</f>
        <v>DESPESAS VARIAVEIS DE VENDAS</v>
      </c>
      <c r="B3604" s="7" t="str">
        <f t="shared" si="112"/>
        <v>330601 - DESPESAS VARIAVEIS DE VENDAS</v>
      </c>
      <c r="C3604" s="25">
        <f t="shared" si="113"/>
        <v>44896</v>
      </c>
      <c r="D3604" s="27">
        <f>IF(K3604="CREDITO",Q3604,Q3604*-1)</f>
        <v>50022.62</v>
      </c>
      <c r="E3604" t="s">
        <v>894</v>
      </c>
      <c r="F3604" t="s">
        <v>4089</v>
      </c>
      <c r="G3604" s="8">
        <v>44896</v>
      </c>
      <c r="H3604" t="s">
        <v>506</v>
      </c>
      <c r="I3604" t="s">
        <v>27</v>
      </c>
      <c r="J3604" t="s">
        <v>28</v>
      </c>
      <c r="K3604" t="s">
        <v>29</v>
      </c>
      <c r="L3604" t="s">
        <v>895</v>
      </c>
      <c r="M3604" t="s">
        <v>4402</v>
      </c>
      <c r="O3604" t="s">
        <v>896</v>
      </c>
      <c r="P3604" t="s">
        <v>33</v>
      </c>
      <c r="Q3604" s="22">
        <v>50022.62</v>
      </c>
      <c r="R3604" t="s">
        <v>35</v>
      </c>
      <c r="S3604" t="s">
        <v>35</v>
      </c>
      <c r="T3604" t="s">
        <v>35</v>
      </c>
      <c r="U3604" t="s">
        <v>35</v>
      </c>
      <c r="V3604" t="s">
        <v>645</v>
      </c>
      <c r="W3604" t="s">
        <v>113</v>
      </c>
    </row>
    <row r="3605" spans="1:23" hidden="1" x14ac:dyDescent="0.25">
      <c r="A3605" s="7" t="str">
        <f>IFERROR(VLOOKUP(H3605,'Contas Orç'!A:B,2,0),"N/A")</f>
        <v>DESPESAS VARIAVEIS DE VENDAS</v>
      </c>
      <c r="B3605" s="7" t="str">
        <f t="shared" si="112"/>
        <v>330601 - DESPESAS VARIAVEIS DE VENDAS</v>
      </c>
      <c r="C3605" s="25">
        <f t="shared" si="113"/>
        <v>44896</v>
      </c>
      <c r="D3605" s="27">
        <f>IF(K3605="CREDITO",Q3605,Q3605*-1)</f>
        <v>3895.36</v>
      </c>
      <c r="E3605" t="s">
        <v>894</v>
      </c>
      <c r="F3605" t="s">
        <v>4090</v>
      </c>
      <c r="G3605" s="8">
        <v>44896</v>
      </c>
      <c r="H3605" t="s">
        <v>506</v>
      </c>
      <c r="I3605" t="s">
        <v>59</v>
      </c>
      <c r="J3605" t="s">
        <v>702</v>
      </c>
      <c r="K3605" t="s">
        <v>29</v>
      </c>
      <c r="L3605" t="s">
        <v>895</v>
      </c>
      <c r="M3605" t="s">
        <v>4402</v>
      </c>
      <c r="O3605" t="s">
        <v>896</v>
      </c>
      <c r="P3605" t="s">
        <v>33</v>
      </c>
      <c r="Q3605" s="22">
        <v>3895.36</v>
      </c>
      <c r="R3605" t="s">
        <v>35</v>
      </c>
      <c r="S3605" t="s">
        <v>35</v>
      </c>
      <c r="T3605" t="s">
        <v>35</v>
      </c>
      <c r="U3605" t="s">
        <v>35</v>
      </c>
      <c r="V3605" t="s">
        <v>645</v>
      </c>
      <c r="W3605" t="s">
        <v>113</v>
      </c>
    </row>
    <row r="3606" spans="1:23" hidden="1" x14ac:dyDescent="0.25">
      <c r="A3606" s="7" t="str">
        <f>IFERROR(VLOOKUP(H3606,'Contas Orç'!A:B,2,0),"N/A")</f>
        <v>ICMS</v>
      </c>
      <c r="B3606" s="7" t="str">
        <f t="shared" si="112"/>
        <v>330701004 - ICMS</v>
      </c>
      <c r="C3606" s="25">
        <f t="shared" si="113"/>
        <v>44562</v>
      </c>
      <c r="D3606" s="27">
        <f>IF(K3606="CREDITO",Q3606,Q3606*-1)</f>
        <v>806.6</v>
      </c>
      <c r="E3606" t="s">
        <v>894</v>
      </c>
      <c r="F3606" t="s">
        <v>4091</v>
      </c>
      <c r="G3606" s="8">
        <v>44562</v>
      </c>
      <c r="H3606" t="s">
        <v>610</v>
      </c>
      <c r="I3606" t="s">
        <v>27</v>
      </c>
      <c r="J3606" t="s">
        <v>28</v>
      </c>
      <c r="K3606" t="s">
        <v>29</v>
      </c>
      <c r="L3606" t="s">
        <v>895</v>
      </c>
      <c r="M3606" t="s">
        <v>4402</v>
      </c>
      <c r="O3606" t="s">
        <v>896</v>
      </c>
      <c r="P3606" t="s">
        <v>33</v>
      </c>
      <c r="Q3606">
        <v>806.6</v>
      </c>
      <c r="R3606" t="s">
        <v>35</v>
      </c>
      <c r="S3606" t="s">
        <v>35</v>
      </c>
      <c r="T3606" t="s">
        <v>35</v>
      </c>
      <c r="U3606" t="s">
        <v>35</v>
      </c>
      <c r="V3606" t="s">
        <v>645</v>
      </c>
      <c r="W3606" t="s">
        <v>113</v>
      </c>
    </row>
    <row r="3607" spans="1:23" hidden="1" x14ac:dyDescent="0.25">
      <c r="A3607" s="7" t="str">
        <f>IFERROR(VLOOKUP(H3607,'Contas Orç'!A:B,2,0),"N/A")</f>
        <v>ICMS</v>
      </c>
      <c r="B3607" s="7" t="str">
        <f t="shared" si="112"/>
        <v>330701004 - ICMS</v>
      </c>
      <c r="C3607" s="25">
        <f t="shared" si="113"/>
        <v>44593</v>
      </c>
      <c r="D3607" s="27">
        <f>IF(K3607="CREDITO",Q3607,Q3607*-1)</f>
        <v>1255.3499999999999</v>
      </c>
      <c r="E3607" t="s">
        <v>894</v>
      </c>
      <c r="F3607" t="s">
        <v>4092</v>
      </c>
      <c r="G3607" s="8">
        <v>44593</v>
      </c>
      <c r="H3607" t="s">
        <v>610</v>
      </c>
      <c r="I3607" t="s">
        <v>27</v>
      </c>
      <c r="J3607" t="s">
        <v>28</v>
      </c>
      <c r="K3607" t="s">
        <v>29</v>
      </c>
      <c r="L3607" t="s">
        <v>895</v>
      </c>
      <c r="M3607" t="s">
        <v>4402</v>
      </c>
      <c r="O3607" t="s">
        <v>896</v>
      </c>
      <c r="P3607" t="s">
        <v>33</v>
      </c>
      <c r="Q3607" s="22">
        <v>1255.3499999999999</v>
      </c>
      <c r="R3607" t="s">
        <v>35</v>
      </c>
      <c r="S3607" t="s">
        <v>35</v>
      </c>
      <c r="T3607" t="s">
        <v>35</v>
      </c>
      <c r="U3607" t="s">
        <v>35</v>
      </c>
      <c r="V3607" t="s">
        <v>645</v>
      </c>
      <c r="W3607" t="s">
        <v>113</v>
      </c>
    </row>
    <row r="3608" spans="1:23" hidden="1" x14ac:dyDescent="0.25">
      <c r="A3608" s="7" t="str">
        <f>IFERROR(VLOOKUP(H3608,'Contas Orç'!A:B,2,0),"N/A")</f>
        <v>ICMS</v>
      </c>
      <c r="B3608" s="7" t="str">
        <f t="shared" si="112"/>
        <v>330701004 - ICMS</v>
      </c>
      <c r="C3608" s="25">
        <f t="shared" si="113"/>
        <v>44621</v>
      </c>
      <c r="D3608" s="27">
        <f>IF(K3608="CREDITO",Q3608,Q3608*-1)</f>
        <v>4799.7</v>
      </c>
      <c r="E3608" t="s">
        <v>894</v>
      </c>
      <c r="F3608" t="s">
        <v>4093</v>
      </c>
      <c r="G3608" s="8">
        <v>44621</v>
      </c>
      <c r="H3608" t="s">
        <v>610</v>
      </c>
      <c r="I3608" t="s">
        <v>27</v>
      </c>
      <c r="J3608" t="s">
        <v>28</v>
      </c>
      <c r="K3608" t="s">
        <v>29</v>
      </c>
      <c r="L3608" t="s">
        <v>895</v>
      </c>
      <c r="M3608" t="s">
        <v>4402</v>
      </c>
      <c r="O3608" t="s">
        <v>896</v>
      </c>
      <c r="P3608" t="s">
        <v>33</v>
      </c>
      <c r="Q3608" s="22">
        <v>4799.7</v>
      </c>
      <c r="R3608" t="s">
        <v>35</v>
      </c>
      <c r="S3608" t="s">
        <v>35</v>
      </c>
      <c r="T3608" t="s">
        <v>35</v>
      </c>
      <c r="U3608" t="s">
        <v>35</v>
      </c>
      <c r="V3608" t="s">
        <v>645</v>
      </c>
      <c r="W3608" t="s">
        <v>113</v>
      </c>
    </row>
    <row r="3609" spans="1:23" hidden="1" x14ac:dyDescent="0.25">
      <c r="A3609" s="7" t="str">
        <f>IFERROR(VLOOKUP(H3609,'Contas Orç'!A:B,2,0),"N/A")</f>
        <v>ICMS</v>
      </c>
      <c r="B3609" s="7" t="str">
        <f t="shared" si="112"/>
        <v>330701004 - ICMS</v>
      </c>
      <c r="C3609" s="25">
        <f t="shared" si="113"/>
        <v>44652</v>
      </c>
      <c r="D3609" s="27">
        <f>IF(K3609="CREDITO",Q3609,Q3609*-1)</f>
        <v>5545.81</v>
      </c>
      <c r="E3609" t="s">
        <v>894</v>
      </c>
      <c r="F3609" t="s">
        <v>4094</v>
      </c>
      <c r="G3609" s="8">
        <v>44652</v>
      </c>
      <c r="H3609" t="s">
        <v>610</v>
      </c>
      <c r="I3609" t="s">
        <v>27</v>
      </c>
      <c r="J3609" t="s">
        <v>28</v>
      </c>
      <c r="K3609" t="s">
        <v>29</v>
      </c>
      <c r="L3609" t="s">
        <v>895</v>
      </c>
      <c r="M3609" t="s">
        <v>4402</v>
      </c>
      <c r="O3609" t="s">
        <v>896</v>
      </c>
      <c r="P3609" t="s">
        <v>33</v>
      </c>
      <c r="Q3609" s="22">
        <v>5545.81</v>
      </c>
      <c r="R3609" t="s">
        <v>35</v>
      </c>
      <c r="S3609" t="s">
        <v>35</v>
      </c>
      <c r="T3609" t="s">
        <v>35</v>
      </c>
      <c r="U3609" t="s">
        <v>35</v>
      </c>
      <c r="V3609" t="s">
        <v>645</v>
      </c>
      <c r="W3609" t="s">
        <v>113</v>
      </c>
    </row>
    <row r="3610" spans="1:23" hidden="1" x14ac:dyDescent="0.25">
      <c r="A3610" s="7" t="str">
        <f>IFERROR(VLOOKUP(H3610,'Contas Orç'!A:B,2,0),"N/A")</f>
        <v>ICMS</v>
      </c>
      <c r="B3610" s="7" t="str">
        <f t="shared" si="112"/>
        <v>330701004 - ICMS</v>
      </c>
      <c r="C3610" s="25">
        <f t="shared" si="113"/>
        <v>44682</v>
      </c>
      <c r="D3610" s="27">
        <f>IF(K3610="CREDITO",Q3610,Q3610*-1)</f>
        <v>1241.44</v>
      </c>
      <c r="E3610" t="s">
        <v>894</v>
      </c>
      <c r="F3610" t="s">
        <v>4095</v>
      </c>
      <c r="G3610" s="8">
        <v>44682</v>
      </c>
      <c r="H3610" t="s">
        <v>610</v>
      </c>
      <c r="I3610" t="s">
        <v>27</v>
      </c>
      <c r="J3610" t="s">
        <v>28</v>
      </c>
      <c r="K3610" t="s">
        <v>29</v>
      </c>
      <c r="L3610" t="s">
        <v>895</v>
      </c>
      <c r="M3610" t="s">
        <v>4402</v>
      </c>
      <c r="O3610" t="s">
        <v>896</v>
      </c>
      <c r="P3610" t="s">
        <v>33</v>
      </c>
      <c r="Q3610" s="22">
        <v>1241.44</v>
      </c>
      <c r="R3610" t="s">
        <v>35</v>
      </c>
      <c r="S3610" t="s">
        <v>35</v>
      </c>
      <c r="T3610" t="s">
        <v>35</v>
      </c>
      <c r="U3610" t="s">
        <v>35</v>
      </c>
      <c r="V3610" t="s">
        <v>645</v>
      </c>
      <c r="W3610" t="s">
        <v>113</v>
      </c>
    </row>
    <row r="3611" spans="1:23" hidden="1" x14ac:dyDescent="0.25">
      <c r="A3611" s="7" t="str">
        <f>IFERROR(VLOOKUP(H3611,'Contas Orç'!A:B,2,0),"N/A")</f>
        <v>ICMS</v>
      </c>
      <c r="B3611" s="7" t="str">
        <f t="shared" si="112"/>
        <v>330701004 - ICMS</v>
      </c>
      <c r="C3611" s="25">
        <f t="shared" si="113"/>
        <v>44713</v>
      </c>
      <c r="D3611" s="27">
        <f>IF(K3611="CREDITO",Q3611,Q3611*-1)</f>
        <v>18827.71</v>
      </c>
      <c r="E3611" t="s">
        <v>894</v>
      </c>
      <c r="F3611" t="s">
        <v>4096</v>
      </c>
      <c r="G3611" s="8">
        <v>44713</v>
      </c>
      <c r="H3611" t="s">
        <v>610</v>
      </c>
      <c r="I3611" t="s">
        <v>27</v>
      </c>
      <c r="J3611" t="s">
        <v>28</v>
      </c>
      <c r="K3611" t="s">
        <v>29</v>
      </c>
      <c r="L3611" t="s">
        <v>895</v>
      </c>
      <c r="M3611" t="s">
        <v>4402</v>
      </c>
      <c r="O3611" t="s">
        <v>896</v>
      </c>
      <c r="P3611" t="s">
        <v>33</v>
      </c>
      <c r="Q3611" s="22">
        <v>18827.71</v>
      </c>
      <c r="R3611" t="s">
        <v>35</v>
      </c>
      <c r="S3611" t="s">
        <v>35</v>
      </c>
      <c r="T3611" t="s">
        <v>35</v>
      </c>
      <c r="U3611" t="s">
        <v>35</v>
      </c>
      <c r="V3611" t="s">
        <v>645</v>
      </c>
      <c r="W3611" t="s">
        <v>113</v>
      </c>
    </row>
    <row r="3612" spans="1:23" hidden="1" x14ac:dyDescent="0.25">
      <c r="A3612" s="7" t="str">
        <f>IFERROR(VLOOKUP(H3612,'Contas Orç'!A:B,2,0),"N/A")</f>
        <v>ICMS</v>
      </c>
      <c r="B3612" s="7" t="str">
        <f t="shared" si="112"/>
        <v>330701004 - ICMS</v>
      </c>
      <c r="C3612" s="25">
        <f t="shared" si="113"/>
        <v>44713</v>
      </c>
      <c r="D3612" s="27">
        <f>IF(K3612="CREDITO",Q3612,Q3612*-1)</f>
        <v>998.91</v>
      </c>
      <c r="E3612" t="s">
        <v>894</v>
      </c>
      <c r="F3612" t="s">
        <v>4097</v>
      </c>
      <c r="G3612" s="8">
        <v>44713</v>
      </c>
      <c r="H3612" t="s">
        <v>610</v>
      </c>
      <c r="I3612" t="s">
        <v>40</v>
      </c>
      <c r="J3612" t="s">
        <v>54</v>
      </c>
      <c r="K3612" t="s">
        <v>29</v>
      </c>
      <c r="L3612" t="s">
        <v>895</v>
      </c>
      <c r="M3612" t="s">
        <v>4402</v>
      </c>
      <c r="O3612" t="s">
        <v>896</v>
      </c>
      <c r="P3612" t="s">
        <v>33</v>
      </c>
      <c r="Q3612">
        <v>998.91</v>
      </c>
      <c r="R3612" t="s">
        <v>35</v>
      </c>
      <c r="S3612" t="s">
        <v>35</v>
      </c>
      <c r="T3612" t="s">
        <v>35</v>
      </c>
      <c r="U3612" t="s">
        <v>35</v>
      </c>
      <c r="V3612" t="s">
        <v>645</v>
      </c>
      <c r="W3612" t="s">
        <v>113</v>
      </c>
    </row>
    <row r="3613" spans="1:23" hidden="1" x14ac:dyDescent="0.25">
      <c r="A3613" s="7" t="str">
        <f>IFERROR(VLOOKUP(H3613,'Contas Orç'!A:B,2,0),"N/A")</f>
        <v>ICMS</v>
      </c>
      <c r="B3613" s="7" t="str">
        <f t="shared" si="112"/>
        <v>330701004 - ICMS</v>
      </c>
      <c r="C3613" s="25">
        <f t="shared" si="113"/>
        <v>44743</v>
      </c>
      <c r="D3613" s="27">
        <f>IF(K3613="CREDITO",Q3613,Q3613*-1)</f>
        <v>23223.73</v>
      </c>
      <c r="E3613" t="s">
        <v>894</v>
      </c>
      <c r="F3613" t="s">
        <v>4098</v>
      </c>
      <c r="G3613" s="8">
        <v>44743</v>
      </c>
      <c r="H3613" t="s">
        <v>610</v>
      </c>
      <c r="I3613" t="s">
        <v>27</v>
      </c>
      <c r="J3613" t="s">
        <v>28</v>
      </c>
      <c r="K3613" t="s">
        <v>29</v>
      </c>
      <c r="L3613" t="s">
        <v>895</v>
      </c>
      <c r="M3613" t="s">
        <v>4402</v>
      </c>
      <c r="O3613" t="s">
        <v>896</v>
      </c>
      <c r="P3613" t="s">
        <v>33</v>
      </c>
      <c r="Q3613" s="22">
        <v>23223.73</v>
      </c>
      <c r="R3613" t="s">
        <v>35</v>
      </c>
      <c r="S3613" t="s">
        <v>35</v>
      </c>
      <c r="T3613" t="s">
        <v>35</v>
      </c>
      <c r="U3613" t="s">
        <v>35</v>
      </c>
      <c r="V3613" t="s">
        <v>645</v>
      </c>
      <c r="W3613" t="s">
        <v>113</v>
      </c>
    </row>
    <row r="3614" spans="1:23" hidden="1" x14ac:dyDescent="0.25">
      <c r="A3614" s="7" t="str">
        <f>IFERROR(VLOOKUP(H3614,'Contas Orç'!A:B,2,0),"N/A")</f>
        <v>ICMS</v>
      </c>
      <c r="B3614" s="7" t="str">
        <f t="shared" si="112"/>
        <v>330701004 - ICMS</v>
      </c>
      <c r="C3614" s="25">
        <f t="shared" si="113"/>
        <v>44774</v>
      </c>
      <c r="D3614" s="27">
        <f>IF(K3614="CREDITO",Q3614,Q3614*-1)</f>
        <v>5217.87</v>
      </c>
      <c r="E3614" t="s">
        <v>894</v>
      </c>
      <c r="F3614" t="s">
        <v>4099</v>
      </c>
      <c r="G3614" s="8">
        <v>44774</v>
      </c>
      <c r="H3614" t="s">
        <v>610</v>
      </c>
      <c r="I3614" t="s">
        <v>27</v>
      </c>
      <c r="J3614" t="s">
        <v>28</v>
      </c>
      <c r="K3614" t="s">
        <v>29</v>
      </c>
      <c r="L3614" t="s">
        <v>895</v>
      </c>
      <c r="M3614" t="s">
        <v>4402</v>
      </c>
      <c r="O3614" t="s">
        <v>896</v>
      </c>
      <c r="P3614" t="s">
        <v>33</v>
      </c>
      <c r="Q3614" s="22">
        <v>5217.87</v>
      </c>
      <c r="R3614" t="s">
        <v>35</v>
      </c>
      <c r="S3614" t="s">
        <v>35</v>
      </c>
      <c r="T3614" t="s">
        <v>35</v>
      </c>
      <c r="U3614" t="s">
        <v>35</v>
      </c>
      <c r="V3614" t="s">
        <v>645</v>
      </c>
      <c r="W3614" t="s">
        <v>113</v>
      </c>
    </row>
    <row r="3615" spans="1:23" hidden="1" x14ac:dyDescent="0.25">
      <c r="A3615" s="7" t="str">
        <f>IFERROR(VLOOKUP(H3615,'Contas Orç'!A:B,2,0),"N/A")</f>
        <v>ICMS</v>
      </c>
      <c r="B3615" s="7" t="str">
        <f t="shared" si="112"/>
        <v>330701004 - ICMS</v>
      </c>
      <c r="C3615" s="25">
        <f t="shared" si="113"/>
        <v>44774</v>
      </c>
      <c r="D3615" s="27">
        <f>IF(K3615="CREDITO",Q3615,Q3615*-1)</f>
        <v>6824.77</v>
      </c>
      <c r="E3615" t="s">
        <v>894</v>
      </c>
      <c r="F3615" t="s">
        <v>4100</v>
      </c>
      <c r="G3615" s="8">
        <v>44774</v>
      </c>
      <c r="H3615" t="s">
        <v>610</v>
      </c>
      <c r="I3615" t="s">
        <v>40</v>
      </c>
      <c r="J3615" t="s">
        <v>54</v>
      </c>
      <c r="K3615" t="s">
        <v>29</v>
      </c>
      <c r="L3615" t="s">
        <v>895</v>
      </c>
      <c r="M3615" t="s">
        <v>4402</v>
      </c>
      <c r="O3615" t="s">
        <v>896</v>
      </c>
      <c r="P3615" t="s">
        <v>33</v>
      </c>
      <c r="Q3615" s="22">
        <v>6824.77</v>
      </c>
      <c r="R3615" t="s">
        <v>35</v>
      </c>
      <c r="S3615" t="s">
        <v>35</v>
      </c>
      <c r="T3615" t="s">
        <v>35</v>
      </c>
      <c r="U3615" t="s">
        <v>35</v>
      </c>
      <c r="V3615" t="s">
        <v>645</v>
      </c>
      <c r="W3615" t="s">
        <v>113</v>
      </c>
    </row>
    <row r="3616" spans="1:23" hidden="1" x14ac:dyDescent="0.25">
      <c r="A3616" s="7" t="str">
        <f>IFERROR(VLOOKUP(H3616,'Contas Orç'!A:B,2,0),"N/A")</f>
        <v>ICMS</v>
      </c>
      <c r="B3616" s="7" t="str">
        <f t="shared" si="112"/>
        <v>330701004 - ICMS</v>
      </c>
      <c r="C3616" s="25">
        <f t="shared" si="113"/>
        <v>44805</v>
      </c>
      <c r="D3616" s="27">
        <f>IF(K3616="CREDITO",Q3616,Q3616*-1)</f>
        <v>10499.65</v>
      </c>
      <c r="E3616" t="s">
        <v>894</v>
      </c>
      <c r="F3616" t="s">
        <v>4101</v>
      </c>
      <c r="G3616" s="8">
        <v>44805</v>
      </c>
      <c r="H3616" t="s">
        <v>610</v>
      </c>
      <c r="I3616" t="s">
        <v>27</v>
      </c>
      <c r="J3616" t="s">
        <v>28</v>
      </c>
      <c r="K3616" t="s">
        <v>29</v>
      </c>
      <c r="L3616" t="s">
        <v>895</v>
      </c>
      <c r="M3616" t="s">
        <v>4402</v>
      </c>
      <c r="O3616" t="s">
        <v>896</v>
      </c>
      <c r="P3616" t="s">
        <v>33</v>
      </c>
      <c r="Q3616" s="22">
        <v>10499.65</v>
      </c>
      <c r="R3616" t="s">
        <v>35</v>
      </c>
      <c r="S3616" t="s">
        <v>35</v>
      </c>
      <c r="T3616" t="s">
        <v>35</v>
      </c>
      <c r="U3616" t="s">
        <v>35</v>
      </c>
      <c r="V3616" t="s">
        <v>645</v>
      </c>
      <c r="W3616" t="s">
        <v>113</v>
      </c>
    </row>
    <row r="3617" spans="1:23" hidden="1" x14ac:dyDescent="0.25">
      <c r="A3617" s="7" t="str">
        <f>IFERROR(VLOOKUP(H3617,'Contas Orç'!A:B,2,0),"N/A")</f>
        <v>ICMS</v>
      </c>
      <c r="B3617" s="7" t="str">
        <f t="shared" si="112"/>
        <v>330701004 - ICMS</v>
      </c>
      <c r="C3617" s="25">
        <f t="shared" si="113"/>
        <v>44805</v>
      </c>
      <c r="D3617" s="27">
        <f>IF(K3617="CREDITO",Q3617,Q3617*-1)</f>
        <v>6824.77</v>
      </c>
      <c r="E3617" t="s">
        <v>894</v>
      </c>
      <c r="F3617" t="s">
        <v>4102</v>
      </c>
      <c r="G3617" s="8">
        <v>44805</v>
      </c>
      <c r="H3617" t="s">
        <v>610</v>
      </c>
      <c r="I3617" t="s">
        <v>40</v>
      </c>
      <c r="J3617" t="s">
        <v>54</v>
      </c>
      <c r="K3617" t="s">
        <v>29</v>
      </c>
      <c r="L3617" t="s">
        <v>895</v>
      </c>
      <c r="M3617" t="s">
        <v>4402</v>
      </c>
      <c r="O3617" t="s">
        <v>896</v>
      </c>
      <c r="P3617" t="s">
        <v>33</v>
      </c>
      <c r="Q3617" s="22">
        <v>6824.77</v>
      </c>
      <c r="R3617" t="s">
        <v>35</v>
      </c>
      <c r="S3617" t="s">
        <v>35</v>
      </c>
      <c r="T3617" t="s">
        <v>35</v>
      </c>
      <c r="U3617" t="s">
        <v>35</v>
      </c>
      <c r="V3617" t="s">
        <v>645</v>
      </c>
      <c r="W3617" t="s">
        <v>113</v>
      </c>
    </row>
    <row r="3618" spans="1:23" hidden="1" x14ac:dyDescent="0.25">
      <c r="A3618" s="7" t="str">
        <f>IFERROR(VLOOKUP(H3618,'Contas Orç'!A:B,2,0),"N/A")</f>
        <v>ICMS</v>
      </c>
      <c r="B3618" s="7" t="str">
        <f t="shared" si="112"/>
        <v>330701004 - ICMS</v>
      </c>
      <c r="C3618" s="25">
        <f t="shared" si="113"/>
        <v>44835</v>
      </c>
      <c r="D3618" s="27">
        <f>IF(K3618="CREDITO",Q3618,Q3618*-1)</f>
        <v>10604.65</v>
      </c>
      <c r="E3618" t="s">
        <v>894</v>
      </c>
      <c r="F3618" t="s">
        <v>4103</v>
      </c>
      <c r="G3618" s="8">
        <v>44835</v>
      </c>
      <c r="H3618" t="s">
        <v>610</v>
      </c>
      <c r="I3618" t="s">
        <v>27</v>
      </c>
      <c r="J3618" t="s">
        <v>28</v>
      </c>
      <c r="K3618" t="s">
        <v>29</v>
      </c>
      <c r="L3618" t="s">
        <v>895</v>
      </c>
      <c r="M3618" t="s">
        <v>4402</v>
      </c>
      <c r="O3618" t="s">
        <v>896</v>
      </c>
      <c r="P3618" t="s">
        <v>33</v>
      </c>
      <c r="Q3618" s="22">
        <v>10604.65</v>
      </c>
      <c r="R3618" t="s">
        <v>35</v>
      </c>
      <c r="S3618" t="s">
        <v>35</v>
      </c>
      <c r="T3618" t="s">
        <v>35</v>
      </c>
      <c r="U3618" t="s">
        <v>35</v>
      </c>
      <c r="V3618" t="s">
        <v>645</v>
      </c>
      <c r="W3618" t="s">
        <v>113</v>
      </c>
    </row>
    <row r="3619" spans="1:23" hidden="1" x14ac:dyDescent="0.25">
      <c r="A3619" s="7" t="str">
        <f>IFERROR(VLOOKUP(H3619,'Contas Orç'!A:B,2,0),"N/A")</f>
        <v>ICMS</v>
      </c>
      <c r="B3619" s="7" t="str">
        <f t="shared" si="112"/>
        <v>330701004 - ICMS</v>
      </c>
      <c r="C3619" s="25">
        <f t="shared" si="113"/>
        <v>44835</v>
      </c>
      <c r="D3619" s="27">
        <f>IF(K3619="CREDITO",Q3619,Q3619*-1)</f>
        <v>6893.02</v>
      </c>
      <c r="E3619" t="s">
        <v>894</v>
      </c>
      <c r="F3619" t="s">
        <v>4104</v>
      </c>
      <c r="G3619" s="8">
        <v>44835</v>
      </c>
      <c r="H3619" t="s">
        <v>610</v>
      </c>
      <c r="I3619" t="s">
        <v>40</v>
      </c>
      <c r="J3619" t="s">
        <v>54</v>
      </c>
      <c r="K3619" t="s">
        <v>29</v>
      </c>
      <c r="L3619" t="s">
        <v>895</v>
      </c>
      <c r="M3619" t="s">
        <v>4402</v>
      </c>
      <c r="O3619" t="s">
        <v>896</v>
      </c>
      <c r="P3619" t="s">
        <v>33</v>
      </c>
      <c r="Q3619" s="22">
        <v>6893.02</v>
      </c>
      <c r="R3619" t="s">
        <v>35</v>
      </c>
      <c r="S3619" t="s">
        <v>35</v>
      </c>
      <c r="T3619" t="s">
        <v>35</v>
      </c>
      <c r="U3619" t="s">
        <v>35</v>
      </c>
      <c r="V3619" t="s">
        <v>645</v>
      </c>
      <c r="W3619" t="s">
        <v>113</v>
      </c>
    </row>
    <row r="3620" spans="1:23" hidden="1" x14ac:dyDescent="0.25">
      <c r="A3620" s="7" t="str">
        <f>IFERROR(VLOOKUP(H3620,'Contas Orç'!A:B,2,0),"N/A")</f>
        <v>ICMS</v>
      </c>
      <c r="B3620" s="7" t="str">
        <f t="shared" si="112"/>
        <v>330701004 - ICMS</v>
      </c>
      <c r="C3620" s="25">
        <f t="shared" si="113"/>
        <v>44866</v>
      </c>
      <c r="D3620" s="27">
        <f>IF(K3620="CREDITO",Q3620,Q3620*-1)</f>
        <v>10710.69</v>
      </c>
      <c r="E3620" t="s">
        <v>894</v>
      </c>
      <c r="F3620" t="s">
        <v>4105</v>
      </c>
      <c r="G3620" s="8">
        <v>44866</v>
      </c>
      <c r="H3620" t="s">
        <v>610</v>
      </c>
      <c r="I3620" t="s">
        <v>27</v>
      </c>
      <c r="J3620" t="s">
        <v>28</v>
      </c>
      <c r="K3620" t="s">
        <v>29</v>
      </c>
      <c r="L3620" t="s">
        <v>895</v>
      </c>
      <c r="M3620" t="s">
        <v>4402</v>
      </c>
      <c r="O3620" t="s">
        <v>896</v>
      </c>
      <c r="P3620" t="s">
        <v>33</v>
      </c>
      <c r="Q3620" s="22">
        <v>10710.69</v>
      </c>
      <c r="R3620" t="s">
        <v>35</v>
      </c>
      <c r="S3620" t="s">
        <v>35</v>
      </c>
      <c r="T3620" t="s">
        <v>35</v>
      </c>
      <c r="U3620" t="s">
        <v>35</v>
      </c>
      <c r="V3620" t="s">
        <v>645</v>
      </c>
      <c r="W3620" t="s">
        <v>113</v>
      </c>
    </row>
    <row r="3621" spans="1:23" hidden="1" x14ac:dyDescent="0.25">
      <c r="A3621" s="7" t="str">
        <f>IFERROR(VLOOKUP(H3621,'Contas Orç'!A:B,2,0),"N/A")</f>
        <v>ICMS</v>
      </c>
      <c r="B3621" s="7" t="str">
        <f t="shared" si="112"/>
        <v>330701004 - ICMS</v>
      </c>
      <c r="C3621" s="25">
        <f t="shared" si="113"/>
        <v>44866</v>
      </c>
      <c r="D3621" s="27">
        <f>IF(K3621="CREDITO",Q3621,Q3621*-1)</f>
        <v>6961.95</v>
      </c>
      <c r="E3621" t="s">
        <v>894</v>
      </c>
      <c r="F3621" t="s">
        <v>4106</v>
      </c>
      <c r="G3621" s="8">
        <v>44866</v>
      </c>
      <c r="H3621" t="s">
        <v>610</v>
      </c>
      <c r="I3621" t="s">
        <v>40</v>
      </c>
      <c r="J3621" t="s">
        <v>54</v>
      </c>
      <c r="K3621" t="s">
        <v>29</v>
      </c>
      <c r="L3621" t="s">
        <v>895</v>
      </c>
      <c r="M3621" t="s">
        <v>4402</v>
      </c>
      <c r="O3621" t="s">
        <v>896</v>
      </c>
      <c r="P3621" t="s">
        <v>33</v>
      </c>
      <c r="Q3621" s="22">
        <v>6961.95</v>
      </c>
      <c r="R3621" t="s">
        <v>35</v>
      </c>
      <c r="S3621" t="s">
        <v>35</v>
      </c>
      <c r="T3621" t="s">
        <v>35</v>
      </c>
      <c r="U3621" t="s">
        <v>35</v>
      </c>
      <c r="V3621" t="s">
        <v>645</v>
      </c>
      <c r="W3621" t="s">
        <v>113</v>
      </c>
    </row>
    <row r="3622" spans="1:23" hidden="1" x14ac:dyDescent="0.25">
      <c r="A3622" s="7" t="str">
        <f>IFERROR(VLOOKUP(H3622,'Contas Orç'!A:B,2,0),"N/A")</f>
        <v>ICMS</v>
      </c>
      <c r="B3622" s="7" t="str">
        <f t="shared" si="112"/>
        <v>330701004 - ICMS</v>
      </c>
      <c r="C3622" s="25">
        <f t="shared" si="113"/>
        <v>44896</v>
      </c>
      <c r="D3622" s="27">
        <f>IF(K3622="CREDITO",Q3622,Q3622*-1)</f>
        <v>10817.8</v>
      </c>
      <c r="E3622" t="s">
        <v>894</v>
      </c>
      <c r="F3622" t="s">
        <v>4107</v>
      </c>
      <c r="G3622" s="8">
        <v>44896</v>
      </c>
      <c r="H3622" t="s">
        <v>610</v>
      </c>
      <c r="I3622" t="s">
        <v>27</v>
      </c>
      <c r="J3622" t="s">
        <v>28</v>
      </c>
      <c r="K3622" t="s">
        <v>29</v>
      </c>
      <c r="L3622" t="s">
        <v>895</v>
      </c>
      <c r="M3622" t="s">
        <v>4402</v>
      </c>
      <c r="O3622" t="s">
        <v>896</v>
      </c>
      <c r="P3622" t="s">
        <v>33</v>
      </c>
      <c r="Q3622" s="22">
        <v>10817.8</v>
      </c>
      <c r="R3622" t="s">
        <v>35</v>
      </c>
      <c r="S3622" t="s">
        <v>35</v>
      </c>
      <c r="T3622" t="s">
        <v>35</v>
      </c>
      <c r="U3622" t="s">
        <v>35</v>
      </c>
      <c r="V3622" t="s">
        <v>645</v>
      </c>
      <c r="W3622" t="s">
        <v>113</v>
      </c>
    </row>
    <row r="3623" spans="1:23" hidden="1" x14ac:dyDescent="0.25">
      <c r="A3623" s="7" t="str">
        <f>IFERROR(VLOOKUP(H3623,'Contas Orç'!A:B,2,0),"N/A")</f>
        <v>ICMS</v>
      </c>
      <c r="B3623" s="7" t="str">
        <f t="shared" si="112"/>
        <v>330701004 - ICMS</v>
      </c>
      <c r="C3623" s="25">
        <f t="shared" si="113"/>
        <v>44896</v>
      </c>
      <c r="D3623" s="27">
        <f>IF(K3623="CREDITO",Q3623,Q3623*-1)</f>
        <v>7031.57</v>
      </c>
      <c r="E3623" t="s">
        <v>894</v>
      </c>
      <c r="F3623" t="s">
        <v>4108</v>
      </c>
      <c r="G3623" s="8">
        <v>44896</v>
      </c>
      <c r="H3623" t="s">
        <v>610</v>
      </c>
      <c r="I3623" t="s">
        <v>40</v>
      </c>
      <c r="J3623" t="s">
        <v>54</v>
      </c>
      <c r="K3623" t="s">
        <v>29</v>
      </c>
      <c r="L3623" t="s">
        <v>895</v>
      </c>
      <c r="M3623" t="s">
        <v>4402</v>
      </c>
      <c r="O3623" t="s">
        <v>896</v>
      </c>
      <c r="P3623" t="s">
        <v>33</v>
      </c>
      <c r="Q3623" s="22">
        <v>7031.57</v>
      </c>
      <c r="R3623" t="s">
        <v>35</v>
      </c>
      <c r="S3623" t="s">
        <v>35</v>
      </c>
      <c r="T3623" t="s">
        <v>35</v>
      </c>
      <c r="U3623" t="s">
        <v>35</v>
      </c>
      <c r="V3623" t="s">
        <v>645</v>
      </c>
      <c r="W3623" t="s">
        <v>113</v>
      </c>
    </row>
    <row r="3624" spans="1:23" hidden="1" x14ac:dyDescent="0.25">
      <c r="A3624" s="7" t="str">
        <f>IFERROR(VLOOKUP(H3624,'Contas Orç'!A:B,2,0),"N/A")</f>
        <v>IR - CONTRATO DE CAMBIO</v>
      </c>
      <c r="B3624" s="7" t="str">
        <f t="shared" si="112"/>
        <v>330701006 - IR - CONTRATO DE CAMBIO</v>
      </c>
      <c r="C3624" s="25">
        <f t="shared" si="113"/>
        <v>44621</v>
      </c>
      <c r="D3624" s="27">
        <f>IF(K3624="CREDITO",Q3624,Q3624*-1)</f>
        <v>9009</v>
      </c>
      <c r="E3624" t="s">
        <v>894</v>
      </c>
      <c r="F3624" t="s">
        <v>4109</v>
      </c>
      <c r="G3624" s="8">
        <v>44621</v>
      </c>
      <c r="H3624" t="s">
        <v>614</v>
      </c>
      <c r="I3624" t="s">
        <v>1002</v>
      </c>
      <c r="J3624" t="s">
        <v>54</v>
      </c>
      <c r="K3624" t="s">
        <v>29</v>
      </c>
      <c r="L3624" t="s">
        <v>895</v>
      </c>
      <c r="M3624" t="s">
        <v>4402</v>
      </c>
      <c r="O3624" t="s">
        <v>896</v>
      </c>
      <c r="P3624" t="s">
        <v>33</v>
      </c>
      <c r="Q3624" s="22">
        <v>9009</v>
      </c>
      <c r="R3624" t="s">
        <v>35</v>
      </c>
      <c r="S3624" t="s">
        <v>35</v>
      </c>
      <c r="T3624" t="s">
        <v>35</v>
      </c>
      <c r="U3624" t="s">
        <v>35</v>
      </c>
      <c r="V3624" t="s">
        <v>645</v>
      </c>
      <c r="W3624" t="s">
        <v>113</v>
      </c>
    </row>
    <row r="3625" spans="1:23" hidden="1" x14ac:dyDescent="0.25">
      <c r="A3625" s="7" t="str">
        <f>IFERROR(VLOOKUP(H3625,'Contas Orç'!A:B,2,0),"N/A")</f>
        <v>IR - CONTRATO DE CAMBIO</v>
      </c>
      <c r="B3625" s="7" t="str">
        <f t="shared" si="112"/>
        <v>330701006 - IR - CONTRATO DE CAMBIO</v>
      </c>
      <c r="C3625" s="25">
        <f t="shared" si="113"/>
        <v>44682</v>
      </c>
      <c r="D3625" s="27">
        <f>IF(K3625="CREDITO",Q3625,Q3625*-1)</f>
        <v>15707.15</v>
      </c>
      <c r="E3625" t="s">
        <v>894</v>
      </c>
      <c r="F3625" t="s">
        <v>4110</v>
      </c>
      <c r="G3625" s="8">
        <v>44682</v>
      </c>
      <c r="H3625" t="s">
        <v>614</v>
      </c>
      <c r="I3625" t="s">
        <v>1002</v>
      </c>
      <c r="J3625" t="s">
        <v>54</v>
      </c>
      <c r="K3625" t="s">
        <v>29</v>
      </c>
      <c r="L3625" t="s">
        <v>895</v>
      </c>
      <c r="M3625" t="s">
        <v>4402</v>
      </c>
      <c r="O3625" t="s">
        <v>896</v>
      </c>
      <c r="P3625" t="s">
        <v>33</v>
      </c>
      <c r="Q3625" s="22">
        <v>15707.15</v>
      </c>
      <c r="R3625" t="s">
        <v>35</v>
      </c>
      <c r="S3625" t="s">
        <v>35</v>
      </c>
      <c r="T3625" t="s">
        <v>35</v>
      </c>
      <c r="U3625" t="s">
        <v>35</v>
      </c>
      <c r="V3625" t="s">
        <v>645</v>
      </c>
      <c r="W3625" t="s">
        <v>113</v>
      </c>
    </row>
    <row r="3626" spans="1:23" hidden="1" x14ac:dyDescent="0.25">
      <c r="A3626" s="7" t="str">
        <f>IFERROR(VLOOKUP(H3626,'Contas Orç'!A:B,2,0),"N/A")</f>
        <v>IR - CONTRATO DE CAMBIO</v>
      </c>
      <c r="B3626" s="7" t="str">
        <f t="shared" si="112"/>
        <v>330701006 - IR - CONTRATO DE CAMBIO</v>
      </c>
      <c r="C3626" s="25">
        <f t="shared" si="113"/>
        <v>44713</v>
      </c>
      <c r="D3626" s="27">
        <f>IF(K3626="CREDITO",Q3626,Q3626*-1)</f>
        <v>1194.56</v>
      </c>
      <c r="E3626" t="s">
        <v>894</v>
      </c>
      <c r="F3626" t="s">
        <v>4111</v>
      </c>
      <c r="G3626" s="8">
        <v>44713</v>
      </c>
      <c r="H3626" t="s">
        <v>614</v>
      </c>
      <c r="I3626" t="s">
        <v>1002</v>
      </c>
      <c r="J3626" t="s">
        <v>54</v>
      </c>
      <c r="K3626" t="s">
        <v>29</v>
      </c>
      <c r="L3626" t="s">
        <v>895</v>
      </c>
      <c r="M3626" t="s">
        <v>4402</v>
      </c>
      <c r="O3626" t="s">
        <v>896</v>
      </c>
      <c r="P3626" t="s">
        <v>33</v>
      </c>
      <c r="Q3626" s="22">
        <v>1194.56</v>
      </c>
      <c r="R3626" t="s">
        <v>35</v>
      </c>
      <c r="S3626" t="s">
        <v>35</v>
      </c>
      <c r="T3626" t="s">
        <v>35</v>
      </c>
      <c r="U3626" t="s">
        <v>35</v>
      </c>
      <c r="V3626" t="s">
        <v>645</v>
      </c>
      <c r="W3626" t="s">
        <v>113</v>
      </c>
    </row>
    <row r="3627" spans="1:23" hidden="1" x14ac:dyDescent="0.25">
      <c r="A3627" s="7" t="str">
        <f>IFERROR(VLOOKUP(H3627,'Contas Orç'!A:B,2,0),"N/A")</f>
        <v>IR - CONTRATO DE CAMBIO</v>
      </c>
      <c r="B3627" s="7" t="str">
        <f t="shared" si="112"/>
        <v>330701006 - IR - CONTRATO DE CAMBIO</v>
      </c>
      <c r="C3627" s="25">
        <f t="shared" si="113"/>
        <v>44743</v>
      </c>
      <c r="D3627" s="27">
        <f>IF(K3627="CREDITO",Q3627,Q3627*-1)</f>
        <v>9936.16</v>
      </c>
      <c r="E3627" t="s">
        <v>894</v>
      </c>
      <c r="F3627" t="s">
        <v>4112</v>
      </c>
      <c r="G3627" s="8">
        <v>44743</v>
      </c>
      <c r="H3627" t="s">
        <v>614</v>
      </c>
      <c r="I3627" t="s">
        <v>1002</v>
      </c>
      <c r="J3627" t="s">
        <v>54</v>
      </c>
      <c r="K3627" t="s">
        <v>29</v>
      </c>
      <c r="L3627" t="s">
        <v>895</v>
      </c>
      <c r="M3627" t="s">
        <v>4402</v>
      </c>
      <c r="O3627" t="s">
        <v>896</v>
      </c>
      <c r="P3627" t="s">
        <v>33</v>
      </c>
      <c r="Q3627" s="22">
        <v>9936.16</v>
      </c>
      <c r="R3627" t="s">
        <v>35</v>
      </c>
      <c r="S3627" t="s">
        <v>35</v>
      </c>
      <c r="T3627" t="s">
        <v>35</v>
      </c>
      <c r="U3627" t="s">
        <v>35</v>
      </c>
      <c r="V3627" t="s">
        <v>645</v>
      </c>
      <c r="W3627" t="s">
        <v>113</v>
      </c>
    </row>
    <row r="3628" spans="1:23" hidden="1" x14ac:dyDescent="0.25">
      <c r="A3628" s="7" t="str">
        <f>IFERROR(VLOOKUP(H3628,'Contas Orç'!A:B,2,0),"N/A")</f>
        <v>IR - CONTRATO DE CAMBIO</v>
      </c>
      <c r="B3628" s="7" t="str">
        <f t="shared" si="112"/>
        <v>330701006 - IR - CONTRATO DE CAMBIO</v>
      </c>
      <c r="C3628" s="25">
        <f t="shared" si="113"/>
        <v>44774</v>
      </c>
      <c r="D3628" s="27">
        <f>IF(K3628="CREDITO",Q3628,Q3628*-1)</f>
        <v>3322.66</v>
      </c>
      <c r="E3628" t="s">
        <v>894</v>
      </c>
      <c r="F3628" t="s">
        <v>4113</v>
      </c>
      <c r="G3628" s="8">
        <v>44774</v>
      </c>
      <c r="H3628" t="s">
        <v>614</v>
      </c>
      <c r="I3628" t="s">
        <v>1002</v>
      </c>
      <c r="J3628" t="s">
        <v>54</v>
      </c>
      <c r="K3628" t="s">
        <v>29</v>
      </c>
      <c r="L3628" t="s">
        <v>895</v>
      </c>
      <c r="M3628" t="s">
        <v>4402</v>
      </c>
      <c r="O3628" t="s">
        <v>896</v>
      </c>
      <c r="P3628" t="s">
        <v>33</v>
      </c>
      <c r="Q3628" s="22">
        <v>3322.66</v>
      </c>
      <c r="R3628" t="s">
        <v>35</v>
      </c>
      <c r="S3628" t="s">
        <v>35</v>
      </c>
      <c r="T3628" t="s">
        <v>35</v>
      </c>
      <c r="U3628" t="s">
        <v>35</v>
      </c>
      <c r="V3628" t="s">
        <v>645</v>
      </c>
      <c r="W3628" t="s">
        <v>113</v>
      </c>
    </row>
    <row r="3629" spans="1:23" hidden="1" x14ac:dyDescent="0.25">
      <c r="A3629" s="7" t="str">
        <f>IFERROR(VLOOKUP(H3629,'Contas Orç'!A:B,2,0),"N/A")</f>
        <v>IR - CONTRATO DE CAMBIO</v>
      </c>
      <c r="B3629" s="7" t="str">
        <f t="shared" si="112"/>
        <v>330701006 - IR - CONTRATO DE CAMBIO</v>
      </c>
      <c r="C3629" s="25">
        <f t="shared" si="113"/>
        <v>44805</v>
      </c>
      <c r="D3629" s="27">
        <f>IF(K3629="CREDITO",Q3629,Q3629*-1)</f>
        <v>4641.01</v>
      </c>
      <c r="E3629" t="s">
        <v>894</v>
      </c>
      <c r="F3629" t="s">
        <v>4114</v>
      </c>
      <c r="G3629" s="8">
        <v>44805</v>
      </c>
      <c r="H3629" t="s">
        <v>614</v>
      </c>
      <c r="I3629" t="s">
        <v>1002</v>
      </c>
      <c r="J3629" t="s">
        <v>54</v>
      </c>
      <c r="K3629" t="s">
        <v>29</v>
      </c>
      <c r="L3629" t="s">
        <v>895</v>
      </c>
      <c r="M3629" t="s">
        <v>4402</v>
      </c>
      <c r="O3629" t="s">
        <v>896</v>
      </c>
      <c r="P3629" t="s">
        <v>33</v>
      </c>
      <c r="Q3629" s="22">
        <v>4641.01</v>
      </c>
      <c r="R3629" t="s">
        <v>35</v>
      </c>
      <c r="S3629" t="s">
        <v>35</v>
      </c>
      <c r="T3629" t="s">
        <v>35</v>
      </c>
      <c r="U3629" t="s">
        <v>35</v>
      </c>
      <c r="V3629" t="s">
        <v>645</v>
      </c>
      <c r="W3629" t="s">
        <v>113</v>
      </c>
    </row>
    <row r="3630" spans="1:23" hidden="1" x14ac:dyDescent="0.25">
      <c r="A3630" s="7" t="str">
        <f>IFERROR(VLOOKUP(H3630,'Contas Orç'!A:B,2,0),"N/A")</f>
        <v>IR - CONTRATO DE CAMBIO</v>
      </c>
      <c r="B3630" s="7" t="str">
        <f t="shared" si="112"/>
        <v>330701006 - IR - CONTRATO DE CAMBIO</v>
      </c>
      <c r="C3630" s="25">
        <f t="shared" si="113"/>
        <v>44835</v>
      </c>
      <c r="D3630" s="27">
        <f>IF(K3630="CREDITO",Q3630,Q3630*-1)</f>
        <v>4687.42</v>
      </c>
      <c r="E3630" t="s">
        <v>894</v>
      </c>
      <c r="F3630" t="s">
        <v>4115</v>
      </c>
      <c r="G3630" s="8">
        <v>44835</v>
      </c>
      <c r="H3630" t="s">
        <v>614</v>
      </c>
      <c r="I3630" t="s">
        <v>1002</v>
      </c>
      <c r="J3630" t="s">
        <v>54</v>
      </c>
      <c r="K3630" t="s">
        <v>29</v>
      </c>
      <c r="L3630" t="s">
        <v>895</v>
      </c>
      <c r="M3630" t="s">
        <v>4402</v>
      </c>
      <c r="O3630" t="s">
        <v>896</v>
      </c>
      <c r="P3630" t="s">
        <v>33</v>
      </c>
      <c r="Q3630" s="22">
        <v>4687.42</v>
      </c>
      <c r="R3630" t="s">
        <v>35</v>
      </c>
      <c r="S3630" t="s">
        <v>35</v>
      </c>
      <c r="T3630" t="s">
        <v>35</v>
      </c>
      <c r="U3630" t="s">
        <v>35</v>
      </c>
      <c r="V3630" t="s">
        <v>645</v>
      </c>
      <c r="W3630" t="s">
        <v>113</v>
      </c>
    </row>
    <row r="3631" spans="1:23" hidden="1" x14ac:dyDescent="0.25">
      <c r="A3631" s="7" t="str">
        <f>IFERROR(VLOOKUP(H3631,'Contas Orç'!A:B,2,0),"N/A")</f>
        <v>IR - CONTRATO DE CAMBIO</v>
      </c>
      <c r="B3631" s="7" t="str">
        <f t="shared" si="112"/>
        <v>330701006 - IR - CONTRATO DE CAMBIO</v>
      </c>
      <c r="C3631" s="25">
        <f t="shared" si="113"/>
        <v>44866</v>
      </c>
      <c r="D3631" s="27">
        <f>IF(K3631="CREDITO",Q3631,Q3631*-1)</f>
        <v>4734.29</v>
      </c>
      <c r="E3631" t="s">
        <v>894</v>
      </c>
      <c r="F3631" t="s">
        <v>4116</v>
      </c>
      <c r="G3631" s="8">
        <v>44866</v>
      </c>
      <c r="H3631" t="s">
        <v>614</v>
      </c>
      <c r="I3631" t="s">
        <v>1002</v>
      </c>
      <c r="J3631" t="s">
        <v>54</v>
      </c>
      <c r="K3631" t="s">
        <v>29</v>
      </c>
      <c r="L3631" t="s">
        <v>895</v>
      </c>
      <c r="M3631" t="s">
        <v>4402</v>
      </c>
      <c r="O3631" t="s">
        <v>896</v>
      </c>
      <c r="P3631" t="s">
        <v>33</v>
      </c>
      <c r="Q3631" s="22">
        <v>4734.29</v>
      </c>
      <c r="R3631" t="s">
        <v>35</v>
      </c>
      <c r="S3631" t="s">
        <v>35</v>
      </c>
      <c r="T3631" t="s">
        <v>35</v>
      </c>
      <c r="U3631" t="s">
        <v>35</v>
      </c>
      <c r="V3631" t="s">
        <v>645</v>
      </c>
      <c r="W3631" t="s">
        <v>113</v>
      </c>
    </row>
    <row r="3632" spans="1:23" hidden="1" x14ac:dyDescent="0.25">
      <c r="A3632" s="7" t="str">
        <f>IFERROR(VLOOKUP(H3632,'Contas Orç'!A:B,2,0),"N/A")</f>
        <v>IR - CONTRATO DE CAMBIO</v>
      </c>
      <c r="B3632" s="7" t="str">
        <f t="shared" si="112"/>
        <v>330701006 - IR - CONTRATO DE CAMBIO</v>
      </c>
      <c r="C3632" s="25">
        <f t="shared" si="113"/>
        <v>44896</v>
      </c>
      <c r="D3632" s="27">
        <f>IF(K3632="CREDITO",Q3632,Q3632*-1)</f>
        <v>4781.6400000000003</v>
      </c>
      <c r="E3632" t="s">
        <v>894</v>
      </c>
      <c r="F3632" t="s">
        <v>4117</v>
      </c>
      <c r="G3632" s="8">
        <v>44896</v>
      </c>
      <c r="H3632" t="s">
        <v>614</v>
      </c>
      <c r="I3632" t="s">
        <v>1002</v>
      </c>
      <c r="J3632" t="s">
        <v>54</v>
      </c>
      <c r="K3632" t="s">
        <v>29</v>
      </c>
      <c r="L3632" t="s">
        <v>895</v>
      </c>
      <c r="M3632" t="s">
        <v>4402</v>
      </c>
      <c r="O3632" t="s">
        <v>896</v>
      </c>
      <c r="P3632" t="s">
        <v>33</v>
      </c>
      <c r="Q3632" s="22">
        <v>4781.6400000000003</v>
      </c>
      <c r="R3632" t="s">
        <v>35</v>
      </c>
      <c r="S3632" t="s">
        <v>35</v>
      </c>
      <c r="T3632" t="s">
        <v>35</v>
      </c>
      <c r="U3632" t="s">
        <v>35</v>
      </c>
      <c r="V3632" t="s">
        <v>645</v>
      </c>
      <c r="W3632" t="s">
        <v>113</v>
      </c>
    </row>
    <row r="3633" spans="1:23" hidden="1" x14ac:dyDescent="0.25">
      <c r="A3633" s="7" t="str">
        <f>IFERROR(VLOOKUP(H3633,'Contas Orç'!A:B,2,0),"N/A")</f>
        <v>OUTROS IMPOSTOS E TAXAS</v>
      </c>
      <c r="B3633" s="7" t="str">
        <f t="shared" si="112"/>
        <v>330701007 - OUTROS IMPOSTOS E TAXAS</v>
      </c>
      <c r="C3633" s="25">
        <f t="shared" si="113"/>
        <v>44774</v>
      </c>
      <c r="D3633" s="27">
        <f>IF(K3633="CREDITO",Q3633,Q3633*-1)</f>
        <v>6439.67</v>
      </c>
      <c r="E3633" t="s">
        <v>894</v>
      </c>
      <c r="F3633" t="s">
        <v>4118</v>
      </c>
      <c r="G3633" s="8">
        <v>44774</v>
      </c>
      <c r="H3633" t="s">
        <v>616</v>
      </c>
      <c r="I3633" t="s">
        <v>27</v>
      </c>
      <c r="J3633" t="s">
        <v>28</v>
      </c>
      <c r="K3633" t="s">
        <v>29</v>
      </c>
      <c r="L3633" t="s">
        <v>895</v>
      </c>
      <c r="M3633" t="s">
        <v>4402</v>
      </c>
      <c r="O3633" t="s">
        <v>896</v>
      </c>
      <c r="P3633" t="s">
        <v>33</v>
      </c>
      <c r="Q3633" s="22">
        <v>6439.67</v>
      </c>
      <c r="R3633" t="s">
        <v>35</v>
      </c>
      <c r="S3633" t="s">
        <v>35</v>
      </c>
      <c r="T3633" t="s">
        <v>35</v>
      </c>
      <c r="U3633" t="s">
        <v>35</v>
      </c>
      <c r="V3633" t="s">
        <v>645</v>
      </c>
      <c r="W3633" t="s">
        <v>113</v>
      </c>
    </row>
    <row r="3634" spans="1:23" hidden="1" x14ac:dyDescent="0.25">
      <c r="A3634" s="7" t="str">
        <f>IFERROR(VLOOKUP(H3634,'Contas Orç'!A:B,2,0),"N/A")</f>
        <v>OUTROS IMPOSTOS E TAXAS</v>
      </c>
      <c r="B3634" s="7" t="str">
        <f t="shared" si="112"/>
        <v>330701007 - OUTROS IMPOSTOS E TAXAS</v>
      </c>
      <c r="C3634" s="25">
        <f t="shared" si="113"/>
        <v>44805</v>
      </c>
      <c r="D3634" s="27">
        <f>IF(K3634="CREDITO",Q3634,Q3634*-1)</f>
        <v>6465.42</v>
      </c>
      <c r="E3634" t="s">
        <v>894</v>
      </c>
      <c r="F3634" t="s">
        <v>4119</v>
      </c>
      <c r="G3634" s="8">
        <v>44805</v>
      </c>
      <c r="H3634" t="s">
        <v>616</v>
      </c>
      <c r="I3634" t="s">
        <v>27</v>
      </c>
      <c r="J3634" t="s">
        <v>28</v>
      </c>
      <c r="K3634" t="s">
        <v>29</v>
      </c>
      <c r="L3634" t="s">
        <v>895</v>
      </c>
      <c r="M3634" t="s">
        <v>4402</v>
      </c>
      <c r="O3634" t="s">
        <v>896</v>
      </c>
      <c r="P3634" t="s">
        <v>33</v>
      </c>
      <c r="Q3634" s="22">
        <v>6465.42</v>
      </c>
      <c r="R3634" t="s">
        <v>35</v>
      </c>
      <c r="S3634" t="s">
        <v>35</v>
      </c>
      <c r="T3634" t="s">
        <v>35</v>
      </c>
      <c r="U3634" t="s">
        <v>35</v>
      </c>
      <c r="V3634" t="s">
        <v>645</v>
      </c>
      <c r="W3634" t="s">
        <v>113</v>
      </c>
    </row>
    <row r="3635" spans="1:23" hidden="1" x14ac:dyDescent="0.25">
      <c r="A3635" s="7" t="str">
        <f>IFERROR(VLOOKUP(H3635,'Contas Orç'!A:B,2,0),"N/A")</f>
        <v>OUTROS IMPOSTOS E TAXAS</v>
      </c>
      <c r="B3635" s="7" t="str">
        <f t="shared" si="112"/>
        <v>330701007 - OUTROS IMPOSTOS E TAXAS</v>
      </c>
      <c r="C3635" s="25">
        <f t="shared" si="113"/>
        <v>44835</v>
      </c>
      <c r="D3635" s="27">
        <f>IF(K3635="CREDITO",Q3635,Q3635*-1)</f>
        <v>6530.07</v>
      </c>
      <c r="E3635" t="s">
        <v>894</v>
      </c>
      <c r="F3635" t="s">
        <v>4120</v>
      </c>
      <c r="G3635" s="8">
        <v>44835</v>
      </c>
      <c r="H3635" t="s">
        <v>616</v>
      </c>
      <c r="I3635" t="s">
        <v>27</v>
      </c>
      <c r="J3635" t="s">
        <v>28</v>
      </c>
      <c r="K3635" t="s">
        <v>29</v>
      </c>
      <c r="L3635" t="s">
        <v>895</v>
      </c>
      <c r="M3635" t="s">
        <v>4402</v>
      </c>
      <c r="O3635" t="s">
        <v>896</v>
      </c>
      <c r="P3635" t="s">
        <v>33</v>
      </c>
      <c r="Q3635" s="22">
        <v>6530.07</v>
      </c>
      <c r="R3635" t="s">
        <v>35</v>
      </c>
      <c r="S3635" t="s">
        <v>35</v>
      </c>
      <c r="T3635" t="s">
        <v>35</v>
      </c>
      <c r="U3635" t="s">
        <v>35</v>
      </c>
      <c r="V3635" t="s">
        <v>645</v>
      </c>
      <c r="W3635" t="s">
        <v>113</v>
      </c>
    </row>
    <row r="3636" spans="1:23" hidden="1" x14ac:dyDescent="0.25">
      <c r="A3636" s="7" t="str">
        <f>IFERROR(VLOOKUP(H3636,'Contas Orç'!A:B,2,0),"N/A")</f>
        <v>OUTROS IMPOSTOS E TAXAS</v>
      </c>
      <c r="B3636" s="7" t="str">
        <f t="shared" si="112"/>
        <v>330701007 - OUTROS IMPOSTOS E TAXAS</v>
      </c>
      <c r="C3636" s="25">
        <f t="shared" si="113"/>
        <v>44866</v>
      </c>
      <c r="D3636" s="27">
        <f>IF(K3636="CREDITO",Q3636,Q3636*-1)</f>
        <v>6595.37</v>
      </c>
      <c r="E3636" t="s">
        <v>894</v>
      </c>
      <c r="F3636" t="s">
        <v>4121</v>
      </c>
      <c r="G3636" s="8">
        <v>44866</v>
      </c>
      <c r="H3636" t="s">
        <v>616</v>
      </c>
      <c r="I3636" t="s">
        <v>27</v>
      </c>
      <c r="J3636" t="s">
        <v>28</v>
      </c>
      <c r="K3636" t="s">
        <v>29</v>
      </c>
      <c r="L3636" t="s">
        <v>895</v>
      </c>
      <c r="M3636" t="s">
        <v>4402</v>
      </c>
      <c r="O3636" t="s">
        <v>896</v>
      </c>
      <c r="P3636" t="s">
        <v>33</v>
      </c>
      <c r="Q3636" s="22">
        <v>6595.37</v>
      </c>
      <c r="R3636" t="s">
        <v>35</v>
      </c>
      <c r="S3636" t="s">
        <v>35</v>
      </c>
      <c r="T3636" t="s">
        <v>35</v>
      </c>
      <c r="U3636" t="s">
        <v>35</v>
      </c>
      <c r="V3636" t="s">
        <v>645</v>
      </c>
      <c r="W3636" t="s">
        <v>113</v>
      </c>
    </row>
    <row r="3637" spans="1:23" hidden="1" x14ac:dyDescent="0.25">
      <c r="A3637" s="7" t="str">
        <f>IFERROR(VLOOKUP(H3637,'Contas Orç'!A:B,2,0),"N/A")</f>
        <v>OUTROS IMPOSTOS E TAXAS</v>
      </c>
      <c r="B3637" s="7" t="str">
        <f t="shared" si="112"/>
        <v>330701007 - OUTROS IMPOSTOS E TAXAS</v>
      </c>
      <c r="C3637" s="25">
        <f t="shared" si="113"/>
        <v>44896</v>
      </c>
      <c r="D3637" s="27">
        <f>IF(K3637="CREDITO",Q3637,Q3637*-1)</f>
        <v>6661.33</v>
      </c>
      <c r="E3637" t="s">
        <v>894</v>
      </c>
      <c r="F3637" t="s">
        <v>4122</v>
      </c>
      <c r="G3637" s="8">
        <v>44896</v>
      </c>
      <c r="H3637" t="s">
        <v>616</v>
      </c>
      <c r="I3637" t="s">
        <v>27</v>
      </c>
      <c r="J3637" t="s">
        <v>28</v>
      </c>
      <c r="K3637" t="s">
        <v>29</v>
      </c>
      <c r="L3637" t="s">
        <v>895</v>
      </c>
      <c r="M3637" t="s">
        <v>4402</v>
      </c>
      <c r="O3637" t="s">
        <v>896</v>
      </c>
      <c r="P3637" t="s">
        <v>33</v>
      </c>
      <c r="Q3637" s="22">
        <v>6661.33</v>
      </c>
      <c r="R3637" t="s">
        <v>35</v>
      </c>
      <c r="S3637" t="s">
        <v>35</v>
      </c>
      <c r="T3637" t="s">
        <v>35</v>
      </c>
      <c r="U3637" t="s">
        <v>35</v>
      </c>
      <c r="V3637" t="s">
        <v>645</v>
      </c>
      <c r="W3637" t="s">
        <v>113</v>
      </c>
    </row>
    <row r="3638" spans="1:23" hidden="1" x14ac:dyDescent="0.25">
      <c r="A3638" s="7" t="str">
        <f>IFERROR(VLOOKUP(H3638,'Contas Orç'!A:B,2,0),"N/A")</f>
        <v>ICMS DIF. DE ALIQUOTA</v>
      </c>
      <c r="B3638" s="7" t="str">
        <f t="shared" si="112"/>
        <v>330701008 - ICMS DIF. DE ALIQUOTA</v>
      </c>
      <c r="C3638" s="25">
        <f t="shared" si="113"/>
        <v>44562</v>
      </c>
      <c r="D3638" s="27">
        <f>IF(K3638="CREDITO",Q3638,Q3638*-1)</f>
        <v>53576.78</v>
      </c>
      <c r="E3638" t="s">
        <v>894</v>
      </c>
      <c r="F3638" t="s">
        <v>4123</v>
      </c>
      <c r="G3638" s="8">
        <v>44562</v>
      </c>
      <c r="H3638" t="s">
        <v>618</v>
      </c>
      <c r="I3638" t="s">
        <v>40</v>
      </c>
      <c r="J3638" t="s">
        <v>54</v>
      </c>
      <c r="K3638" t="s">
        <v>29</v>
      </c>
      <c r="L3638" t="s">
        <v>895</v>
      </c>
      <c r="M3638" t="s">
        <v>4402</v>
      </c>
      <c r="O3638" t="s">
        <v>896</v>
      </c>
      <c r="P3638" t="s">
        <v>33</v>
      </c>
      <c r="Q3638" s="22">
        <v>53576.78</v>
      </c>
      <c r="R3638" t="s">
        <v>35</v>
      </c>
      <c r="S3638" t="s">
        <v>35</v>
      </c>
      <c r="T3638" t="s">
        <v>35</v>
      </c>
      <c r="U3638" t="s">
        <v>35</v>
      </c>
      <c r="V3638" t="s">
        <v>645</v>
      </c>
      <c r="W3638" t="s">
        <v>113</v>
      </c>
    </row>
    <row r="3639" spans="1:23" hidden="1" x14ac:dyDescent="0.25">
      <c r="A3639" s="7" t="str">
        <f>IFERROR(VLOOKUP(H3639,'Contas Orç'!A:B,2,0),"N/A")</f>
        <v>ICMS DIF. DE ALIQUOTA</v>
      </c>
      <c r="B3639" s="7" t="str">
        <f t="shared" si="112"/>
        <v>330701008 - ICMS DIF. DE ALIQUOTA</v>
      </c>
      <c r="C3639" s="25">
        <f t="shared" si="113"/>
        <v>44593</v>
      </c>
      <c r="D3639" s="27">
        <f>IF(K3639="CREDITO",Q3639,Q3639*-1)</f>
        <v>86403.34</v>
      </c>
      <c r="E3639" t="s">
        <v>894</v>
      </c>
      <c r="F3639" t="s">
        <v>4124</v>
      </c>
      <c r="G3639" s="8">
        <v>44593</v>
      </c>
      <c r="H3639" t="s">
        <v>618</v>
      </c>
      <c r="I3639" t="s">
        <v>40</v>
      </c>
      <c r="J3639" t="s">
        <v>54</v>
      </c>
      <c r="K3639" t="s">
        <v>29</v>
      </c>
      <c r="L3639" t="s">
        <v>895</v>
      </c>
      <c r="M3639" t="s">
        <v>4402</v>
      </c>
      <c r="O3639" t="s">
        <v>896</v>
      </c>
      <c r="P3639" t="s">
        <v>33</v>
      </c>
      <c r="Q3639" s="22">
        <v>86403.34</v>
      </c>
      <c r="R3639" t="s">
        <v>35</v>
      </c>
      <c r="S3639" t="s">
        <v>35</v>
      </c>
      <c r="T3639" t="s">
        <v>35</v>
      </c>
      <c r="U3639" t="s">
        <v>35</v>
      </c>
      <c r="V3639" t="s">
        <v>645</v>
      </c>
      <c r="W3639" t="s">
        <v>113</v>
      </c>
    </row>
    <row r="3640" spans="1:23" hidden="1" x14ac:dyDescent="0.25">
      <c r="A3640" s="7" t="str">
        <f>IFERROR(VLOOKUP(H3640,'Contas Orç'!A:B,2,0),"N/A")</f>
        <v>ICMS DIF. DE ALIQUOTA</v>
      </c>
      <c r="B3640" s="7" t="str">
        <f t="shared" si="112"/>
        <v>330701008 - ICMS DIF. DE ALIQUOTA</v>
      </c>
      <c r="C3640" s="25">
        <f t="shared" si="113"/>
        <v>44621</v>
      </c>
      <c r="D3640" s="27">
        <f>IF(K3640="CREDITO",Q3640,Q3640*-1)</f>
        <v>72723.960000000006</v>
      </c>
      <c r="E3640" t="s">
        <v>894</v>
      </c>
      <c r="F3640" t="s">
        <v>4125</v>
      </c>
      <c r="G3640" s="8">
        <v>44621</v>
      </c>
      <c r="H3640" t="s">
        <v>618</v>
      </c>
      <c r="I3640" t="s">
        <v>40</v>
      </c>
      <c r="J3640" t="s">
        <v>54</v>
      </c>
      <c r="K3640" t="s">
        <v>29</v>
      </c>
      <c r="L3640" t="s">
        <v>895</v>
      </c>
      <c r="M3640" t="s">
        <v>4402</v>
      </c>
      <c r="O3640" t="s">
        <v>896</v>
      </c>
      <c r="P3640" t="s">
        <v>33</v>
      </c>
      <c r="Q3640" s="22">
        <v>72723.960000000006</v>
      </c>
      <c r="R3640" t="s">
        <v>35</v>
      </c>
      <c r="S3640" t="s">
        <v>35</v>
      </c>
      <c r="T3640" t="s">
        <v>35</v>
      </c>
      <c r="U3640" t="s">
        <v>35</v>
      </c>
      <c r="V3640" t="s">
        <v>645</v>
      </c>
      <c r="W3640" t="s">
        <v>113</v>
      </c>
    </row>
    <row r="3641" spans="1:23" hidden="1" x14ac:dyDescent="0.25">
      <c r="A3641" s="7" t="str">
        <f>IFERROR(VLOOKUP(H3641,'Contas Orç'!A:B,2,0),"N/A")</f>
        <v>ICMS DIF. DE ALIQUOTA</v>
      </c>
      <c r="B3641" s="7" t="str">
        <f t="shared" si="112"/>
        <v>330701008 - ICMS DIF. DE ALIQUOTA</v>
      </c>
      <c r="C3641" s="25">
        <f t="shared" si="113"/>
        <v>44652</v>
      </c>
      <c r="D3641" s="27">
        <f>IF(K3641="CREDITO",Q3641,Q3641*-1)</f>
        <v>32574.03</v>
      </c>
      <c r="E3641" t="s">
        <v>894</v>
      </c>
      <c r="F3641" t="s">
        <v>4126</v>
      </c>
      <c r="G3641" s="8">
        <v>44652</v>
      </c>
      <c r="H3641" t="s">
        <v>618</v>
      </c>
      <c r="I3641" t="s">
        <v>40</v>
      </c>
      <c r="J3641" t="s">
        <v>54</v>
      </c>
      <c r="K3641" t="s">
        <v>29</v>
      </c>
      <c r="L3641" t="s">
        <v>895</v>
      </c>
      <c r="M3641" t="s">
        <v>4402</v>
      </c>
      <c r="O3641" t="s">
        <v>896</v>
      </c>
      <c r="P3641" t="s">
        <v>33</v>
      </c>
      <c r="Q3641" s="22">
        <v>32574.03</v>
      </c>
      <c r="R3641" t="s">
        <v>35</v>
      </c>
      <c r="S3641" t="s">
        <v>35</v>
      </c>
      <c r="T3641" t="s">
        <v>35</v>
      </c>
      <c r="U3641" t="s">
        <v>35</v>
      </c>
      <c r="V3641" t="s">
        <v>645</v>
      </c>
      <c r="W3641" t="s">
        <v>113</v>
      </c>
    </row>
    <row r="3642" spans="1:23" hidden="1" x14ac:dyDescent="0.25">
      <c r="A3642" s="7" t="str">
        <f>IFERROR(VLOOKUP(H3642,'Contas Orç'!A:B,2,0),"N/A")</f>
        <v>ICMS DIF. DE ALIQUOTA</v>
      </c>
      <c r="B3642" s="7" t="str">
        <f t="shared" si="112"/>
        <v>330701008 - ICMS DIF. DE ALIQUOTA</v>
      </c>
      <c r="C3642" s="25">
        <f t="shared" si="113"/>
        <v>44652</v>
      </c>
      <c r="D3642" s="27">
        <f>IF(K3642="CREDITO",Q3642,Q3642*-1)</f>
        <v>2440.5</v>
      </c>
      <c r="E3642" t="s">
        <v>894</v>
      </c>
      <c r="F3642" t="s">
        <v>4127</v>
      </c>
      <c r="G3642" s="8">
        <v>44652</v>
      </c>
      <c r="H3642" t="s">
        <v>618</v>
      </c>
      <c r="I3642" t="s">
        <v>1002</v>
      </c>
      <c r="J3642" t="s">
        <v>54</v>
      </c>
      <c r="K3642" t="s">
        <v>29</v>
      </c>
      <c r="L3642" t="s">
        <v>895</v>
      </c>
      <c r="M3642" t="s">
        <v>4402</v>
      </c>
      <c r="O3642" t="s">
        <v>896</v>
      </c>
      <c r="P3642" t="s">
        <v>33</v>
      </c>
      <c r="Q3642" s="22">
        <v>2440.5</v>
      </c>
      <c r="R3642" t="s">
        <v>35</v>
      </c>
      <c r="S3642" t="s">
        <v>35</v>
      </c>
      <c r="T3642" t="s">
        <v>35</v>
      </c>
      <c r="U3642" t="s">
        <v>35</v>
      </c>
      <c r="V3642" t="s">
        <v>645</v>
      </c>
      <c r="W3642" t="s">
        <v>113</v>
      </c>
    </row>
    <row r="3643" spans="1:23" hidden="1" x14ac:dyDescent="0.25">
      <c r="A3643" s="7" t="str">
        <f>IFERROR(VLOOKUP(H3643,'Contas Orç'!A:B,2,0),"N/A")</f>
        <v>ICMS DIF. DE ALIQUOTA</v>
      </c>
      <c r="B3643" s="7" t="str">
        <f t="shared" si="112"/>
        <v>330701008 - ICMS DIF. DE ALIQUOTA</v>
      </c>
      <c r="C3643" s="25">
        <f t="shared" si="113"/>
        <v>44682</v>
      </c>
      <c r="D3643" s="27">
        <f>IF(K3643="CREDITO",Q3643,Q3643*-1)</f>
        <v>56504.4</v>
      </c>
      <c r="E3643" t="s">
        <v>894</v>
      </c>
      <c r="F3643" t="s">
        <v>4128</v>
      </c>
      <c r="G3643" s="8">
        <v>44682</v>
      </c>
      <c r="H3643" t="s">
        <v>618</v>
      </c>
      <c r="I3643" t="s">
        <v>40</v>
      </c>
      <c r="J3643" t="s">
        <v>54</v>
      </c>
      <c r="K3643" t="s">
        <v>29</v>
      </c>
      <c r="L3643" t="s">
        <v>895</v>
      </c>
      <c r="M3643" t="s">
        <v>4402</v>
      </c>
      <c r="O3643" t="s">
        <v>896</v>
      </c>
      <c r="P3643" t="s">
        <v>33</v>
      </c>
      <c r="Q3643" s="22">
        <v>56504.4</v>
      </c>
      <c r="R3643" t="s">
        <v>35</v>
      </c>
      <c r="S3643" t="s">
        <v>35</v>
      </c>
      <c r="T3643" t="s">
        <v>35</v>
      </c>
      <c r="U3643" t="s">
        <v>35</v>
      </c>
      <c r="V3643" t="s">
        <v>645</v>
      </c>
      <c r="W3643" t="s">
        <v>113</v>
      </c>
    </row>
    <row r="3644" spans="1:23" hidden="1" x14ac:dyDescent="0.25">
      <c r="A3644" s="7" t="str">
        <f>IFERROR(VLOOKUP(H3644,'Contas Orç'!A:B,2,0),"N/A")</f>
        <v>ICMS DIF. DE ALIQUOTA</v>
      </c>
      <c r="B3644" s="7" t="str">
        <f t="shared" si="112"/>
        <v>330701008 - ICMS DIF. DE ALIQUOTA</v>
      </c>
      <c r="C3644" s="25">
        <f t="shared" si="113"/>
        <v>44713</v>
      </c>
      <c r="D3644" s="27">
        <f>IF(K3644="CREDITO",Q3644,Q3644*-1)</f>
        <v>42334.74</v>
      </c>
      <c r="E3644" t="s">
        <v>894</v>
      </c>
      <c r="F3644" t="s">
        <v>4129</v>
      </c>
      <c r="G3644" s="8">
        <v>44713</v>
      </c>
      <c r="H3644" t="s">
        <v>618</v>
      </c>
      <c r="I3644" t="s">
        <v>40</v>
      </c>
      <c r="J3644" t="s">
        <v>54</v>
      </c>
      <c r="K3644" t="s">
        <v>29</v>
      </c>
      <c r="L3644" t="s">
        <v>895</v>
      </c>
      <c r="M3644" t="s">
        <v>4402</v>
      </c>
      <c r="O3644" t="s">
        <v>896</v>
      </c>
      <c r="P3644" t="s">
        <v>33</v>
      </c>
      <c r="Q3644" s="22">
        <v>42334.74</v>
      </c>
      <c r="R3644" t="s">
        <v>35</v>
      </c>
      <c r="S3644" t="s">
        <v>35</v>
      </c>
      <c r="T3644" t="s">
        <v>35</v>
      </c>
      <c r="U3644" t="s">
        <v>35</v>
      </c>
      <c r="V3644" t="s">
        <v>645</v>
      </c>
      <c r="W3644" t="s">
        <v>113</v>
      </c>
    </row>
    <row r="3645" spans="1:23" hidden="1" x14ac:dyDescent="0.25">
      <c r="A3645" s="7" t="str">
        <f>IFERROR(VLOOKUP(H3645,'Contas Orç'!A:B,2,0),"N/A")</f>
        <v>ICMS DIF. DE ALIQUOTA</v>
      </c>
      <c r="B3645" s="7" t="str">
        <f t="shared" si="112"/>
        <v>330701008 - ICMS DIF. DE ALIQUOTA</v>
      </c>
      <c r="C3645" s="25">
        <f t="shared" si="113"/>
        <v>44743</v>
      </c>
      <c r="D3645" s="27">
        <f>IF(K3645="CREDITO",Q3645,Q3645*-1)</f>
        <v>26676.52</v>
      </c>
      <c r="E3645" t="s">
        <v>894</v>
      </c>
      <c r="F3645" t="s">
        <v>4130</v>
      </c>
      <c r="G3645" s="8">
        <v>44743</v>
      </c>
      <c r="H3645" t="s">
        <v>618</v>
      </c>
      <c r="I3645" t="s">
        <v>40</v>
      </c>
      <c r="J3645" t="s">
        <v>54</v>
      </c>
      <c r="K3645" t="s">
        <v>29</v>
      </c>
      <c r="L3645" t="s">
        <v>895</v>
      </c>
      <c r="M3645" t="s">
        <v>4402</v>
      </c>
      <c r="O3645" t="s">
        <v>896</v>
      </c>
      <c r="P3645" t="s">
        <v>33</v>
      </c>
      <c r="Q3645" s="22">
        <v>26676.52</v>
      </c>
      <c r="R3645" t="s">
        <v>35</v>
      </c>
      <c r="S3645" t="s">
        <v>35</v>
      </c>
      <c r="T3645" t="s">
        <v>35</v>
      </c>
      <c r="U3645" t="s">
        <v>35</v>
      </c>
      <c r="V3645" t="s">
        <v>645</v>
      </c>
      <c r="W3645" t="s">
        <v>113</v>
      </c>
    </row>
    <row r="3646" spans="1:23" hidden="1" x14ac:dyDescent="0.25">
      <c r="A3646" s="7" t="str">
        <f>IFERROR(VLOOKUP(H3646,'Contas Orç'!A:B,2,0),"N/A")</f>
        <v>ICMS DIF. DE ALIQUOTA</v>
      </c>
      <c r="B3646" s="7" t="str">
        <f t="shared" si="112"/>
        <v>330701008 - ICMS DIF. DE ALIQUOTA</v>
      </c>
      <c r="C3646" s="25">
        <f t="shared" si="113"/>
        <v>44774</v>
      </c>
      <c r="D3646" s="27">
        <f>IF(K3646="CREDITO",Q3646,Q3646*-1)</f>
        <v>244332.34</v>
      </c>
      <c r="E3646" t="s">
        <v>894</v>
      </c>
      <c r="F3646" t="s">
        <v>4131</v>
      </c>
      <c r="G3646" s="8">
        <v>44774</v>
      </c>
      <c r="H3646" t="s">
        <v>618</v>
      </c>
      <c r="I3646" t="s">
        <v>40</v>
      </c>
      <c r="J3646" t="s">
        <v>54</v>
      </c>
      <c r="K3646" t="s">
        <v>29</v>
      </c>
      <c r="L3646" t="s">
        <v>895</v>
      </c>
      <c r="M3646" t="s">
        <v>4402</v>
      </c>
      <c r="O3646" t="s">
        <v>896</v>
      </c>
      <c r="P3646" t="s">
        <v>33</v>
      </c>
      <c r="Q3646" s="22">
        <v>244332.34</v>
      </c>
      <c r="R3646" t="s">
        <v>35</v>
      </c>
      <c r="S3646" t="s">
        <v>35</v>
      </c>
      <c r="T3646" t="s">
        <v>35</v>
      </c>
      <c r="U3646" t="s">
        <v>35</v>
      </c>
      <c r="V3646" t="s">
        <v>645</v>
      </c>
      <c r="W3646" t="s">
        <v>113</v>
      </c>
    </row>
    <row r="3647" spans="1:23" hidden="1" x14ac:dyDescent="0.25">
      <c r="A3647" s="7" t="str">
        <f>IFERROR(VLOOKUP(H3647,'Contas Orç'!A:B,2,0),"N/A")</f>
        <v>ICMS DIF. DE ALIQUOTA</v>
      </c>
      <c r="B3647" s="7" t="str">
        <f t="shared" si="112"/>
        <v>330701008 - ICMS DIF. DE ALIQUOTA</v>
      </c>
      <c r="C3647" s="25">
        <f t="shared" si="113"/>
        <v>44805</v>
      </c>
      <c r="D3647" s="27">
        <f>IF(K3647="CREDITO",Q3647,Q3647*-1)</f>
        <v>280872.09999999998</v>
      </c>
      <c r="E3647" t="s">
        <v>894</v>
      </c>
      <c r="F3647" t="s">
        <v>4132</v>
      </c>
      <c r="G3647" s="8">
        <v>44805</v>
      </c>
      <c r="H3647" t="s">
        <v>618</v>
      </c>
      <c r="I3647" t="s">
        <v>40</v>
      </c>
      <c r="J3647" t="s">
        <v>54</v>
      </c>
      <c r="K3647" t="s">
        <v>29</v>
      </c>
      <c r="L3647" t="s">
        <v>895</v>
      </c>
      <c r="M3647" t="s">
        <v>4402</v>
      </c>
      <c r="O3647" t="s">
        <v>896</v>
      </c>
      <c r="P3647" t="s">
        <v>33</v>
      </c>
      <c r="Q3647" s="22">
        <v>280872.09999999998</v>
      </c>
      <c r="R3647" t="s">
        <v>35</v>
      </c>
      <c r="S3647" t="s">
        <v>35</v>
      </c>
      <c r="T3647" t="s">
        <v>35</v>
      </c>
      <c r="U3647" t="s">
        <v>35</v>
      </c>
      <c r="V3647" t="s">
        <v>645</v>
      </c>
      <c r="W3647" t="s">
        <v>113</v>
      </c>
    </row>
    <row r="3648" spans="1:23" hidden="1" x14ac:dyDescent="0.25">
      <c r="A3648" s="7" t="str">
        <f>IFERROR(VLOOKUP(H3648,'Contas Orç'!A:B,2,0),"N/A")</f>
        <v>ICMS DIF. DE ALIQUOTA</v>
      </c>
      <c r="B3648" s="7" t="str">
        <f t="shared" si="112"/>
        <v>330701008 - ICMS DIF. DE ALIQUOTA</v>
      </c>
      <c r="C3648" s="25">
        <f t="shared" si="113"/>
        <v>44835</v>
      </c>
      <c r="D3648" s="27">
        <f>IF(K3648="CREDITO",Q3648,Q3648*-1)</f>
        <v>283680.82</v>
      </c>
      <c r="E3648" t="s">
        <v>894</v>
      </c>
      <c r="F3648" t="s">
        <v>4133</v>
      </c>
      <c r="G3648" s="8">
        <v>44835</v>
      </c>
      <c r="H3648" t="s">
        <v>618</v>
      </c>
      <c r="I3648" t="s">
        <v>40</v>
      </c>
      <c r="J3648" t="s">
        <v>54</v>
      </c>
      <c r="K3648" t="s">
        <v>29</v>
      </c>
      <c r="L3648" t="s">
        <v>895</v>
      </c>
      <c r="M3648" t="s">
        <v>4402</v>
      </c>
      <c r="O3648" t="s">
        <v>896</v>
      </c>
      <c r="P3648" t="s">
        <v>33</v>
      </c>
      <c r="Q3648" s="22">
        <v>283680.82</v>
      </c>
      <c r="R3648" t="s">
        <v>35</v>
      </c>
      <c r="S3648" t="s">
        <v>35</v>
      </c>
      <c r="T3648" t="s">
        <v>35</v>
      </c>
      <c r="U3648" t="s">
        <v>35</v>
      </c>
      <c r="V3648" t="s">
        <v>645</v>
      </c>
      <c r="W3648" t="s">
        <v>113</v>
      </c>
    </row>
    <row r="3649" spans="1:23" hidden="1" x14ac:dyDescent="0.25">
      <c r="A3649" s="7" t="str">
        <f>IFERROR(VLOOKUP(H3649,'Contas Orç'!A:B,2,0),"N/A")</f>
        <v>ICMS DIF. DE ALIQUOTA</v>
      </c>
      <c r="B3649" s="7" t="str">
        <f t="shared" si="112"/>
        <v>330701008 - ICMS DIF. DE ALIQUOTA</v>
      </c>
      <c r="C3649" s="25">
        <f t="shared" si="113"/>
        <v>44866</v>
      </c>
      <c r="D3649" s="27">
        <f>IF(K3649="CREDITO",Q3649,Q3649*-1)</f>
        <v>286517.63</v>
      </c>
      <c r="E3649" t="s">
        <v>894</v>
      </c>
      <c r="F3649" t="s">
        <v>4134</v>
      </c>
      <c r="G3649" s="8">
        <v>44866</v>
      </c>
      <c r="H3649" t="s">
        <v>618</v>
      </c>
      <c r="I3649" t="s">
        <v>40</v>
      </c>
      <c r="J3649" t="s">
        <v>54</v>
      </c>
      <c r="K3649" t="s">
        <v>29</v>
      </c>
      <c r="L3649" t="s">
        <v>895</v>
      </c>
      <c r="M3649" t="s">
        <v>4402</v>
      </c>
      <c r="O3649" t="s">
        <v>896</v>
      </c>
      <c r="P3649" t="s">
        <v>33</v>
      </c>
      <c r="Q3649" s="22">
        <v>286517.63</v>
      </c>
      <c r="R3649" t="s">
        <v>35</v>
      </c>
      <c r="S3649" t="s">
        <v>35</v>
      </c>
      <c r="T3649" t="s">
        <v>35</v>
      </c>
      <c r="U3649" t="s">
        <v>35</v>
      </c>
      <c r="V3649" t="s">
        <v>645</v>
      </c>
      <c r="W3649" t="s">
        <v>113</v>
      </c>
    </row>
    <row r="3650" spans="1:23" hidden="1" x14ac:dyDescent="0.25">
      <c r="A3650" s="7" t="str">
        <f>IFERROR(VLOOKUP(H3650,'Contas Orç'!A:B,2,0),"N/A")</f>
        <v>ICMS DIF. DE ALIQUOTA</v>
      </c>
      <c r="B3650" s="7" t="str">
        <f t="shared" si="112"/>
        <v>330701008 - ICMS DIF. DE ALIQUOTA</v>
      </c>
      <c r="C3650" s="25">
        <f t="shared" si="113"/>
        <v>44896</v>
      </c>
      <c r="D3650" s="27">
        <f>IF(K3650="CREDITO",Q3650,Q3650*-1)</f>
        <v>289382.81</v>
      </c>
      <c r="E3650" t="s">
        <v>894</v>
      </c>
      <c r="F3650" t="s">
        <v>4135</v>
      </c>
      <c r="G3650" s="8">
        <v>44896</v>
      </c>
      <c r="H3650" t="s">
        <v>618</v>
      </c>
      <c r="I3650" t="s">
        <v>40</v>
      </c>
      <c r="J3650" t="s">
        <v>54</v>
      </c>
      <c r="K3650" t="s">
        <v>29</v>
      </c>
      <c r="L3650" t="s">
        <v>895</v>
      </c>
      <c r="M3650" t="s">
        <v>4402</v>
      </c>
      <c r="O3650" t="s">
        <v>896</v>
      </c>
      <c r="P3650" t="s">
        <v>33</v>
      </c>
      <c r="Q3650" s="22">
        <v>289382.81</v>
      </c>
      <c r="R3650" t="s">
        <v>35</v>
      </c>
      <c r="S3650" t="s">
        <v>35</v>
      </c>
      <c r="T3650" t="s">
        <v>35</v>
      </c>
      <c r="U3650" t="s">
        <v>35</v>
      </c>
      <c r="V3650" t="s">
        <v>645</v>
      </c>
      <c r="W3650" t="s">
        <v>113</v>
      </c>
    </row>
    <row r="3651" spans="1:23" hidden="1" x14ac:dyDescent="0.25">
      <c r="A3651" s="7" t="str">
        <f>IFERROR(VLOOKUP(H3651,'Contas Orç'!A:B,2,0),"N/A")</f>
        <v>CUSTO DE BENS ALIENADOS/BAIXADOS</v>
      </c>
      <c r="B3651" s="7" t="str">
        <f t="shared" ref="B3651:B3714" si="114">_xlfn.CONCAT(H3651," - ",A3651)</f>
        <v>331803 - CUSTO DE BENS ALIENADOS/BAIXADOS</v>
      </c>
      <c r="C3651" s="25">
        <f t="shared" ref="C3651:C3714" si="115">DATE(YEAR(G3651),MONTH(G3651),1)</f>
        <v>44562</v>
      </c>
      <c r="D3651" s="27">
        <f>IF(K3651="CREDITO",Q3651,Q3651*-1)</f>
        <v>95174.79</v>
      </c>
      <c r="E3651" t="s">
        <v>894</v>
      </c>
      <c r="F3651" t="s">
        <v>4136</v>
      </c>
      <c r="G3651" s="8">
        <v>44562</v>
      </c>
      <c r="H3651" t="s">
        <v>631</v>
      </c>
      <c r="I3651" t="s">
        <v>53</v>
      </c>
      <c r="J3651" t="s">
        <v>54</v>
      </c>
      <c r="K3651" t="s">
        <v>29</v>
      </c>
      <c r="L3651" t="s">
        <v>895</v>
      </c>
      <c r="M3651" t="s">
        <v>4402</v>
      </c>
      <c r="O3651" t="s">
        <v>896</v>
      </c>
      <c r="P3651" t="s">
        <v>33</v>
      </c>
      <c r="Q3651" s="22">
        <v>95174.79</v>
      </c>
      <c r="R3651" t="s">
        <v>35</v>
      </c>
      <c r="S3651" t="s">
        <v>35</v>
      </c>
      <c r="T3651" t="s">
        <v>35</v>
      </c>
      <c r="U3651" t="s">
        <v>35</v>
      </c>
      <c r="V3651" t="s">
        <v>645</v>
      </c>
      <c r="W3651" t="s">
        <v>113</v>
      </c>
    </row>
    <row r="3652" spans="1:23" hidden="1" x14ac:dyDescent="0.25">
      <c r="A3652" s="7" t="str">
        <f>IFERROR(VLOOKUP(H3652,'Contas Orç'!A:B,2,0),"N/A")</f>
        <v>CUSTO DE BENS ALIENADOS/BAIXADOS</v>
      </c>
      <c r="B3652" s="7" t="str">
        <f t="shared" si="114"/>
        <v>331803 - CUSTO DE BENS ALIENADOS/BAIXADOS</v>
      </c>
      <c r="C3652" s="25">
        <f t="shared" si="115"/>
        <v>44621</v>
      </c>
      <c r="D3652" s="27">
        <f>IF(K3652="CREDITO",Q3652,Q3652*-1)</f>
        <v>78280.570000000007</v>
      </c>
      <c r="E3652" t="s">
        <v>894</v>
      </c>
      <c r="F3652" t="s">
        <v>4137</v>
      </c>
      <c r="G3652" s="8">
        <v>44621</v>
      </c>
      <c r="H3652" t="s">
        <v>631</v>
      </c>
      <c r="I3652" t="s">
        <v>59</v>
      </c>
      <c r="J3652" t="s">
        <v>60</v>
      </c>
      <c r="K3652" t="s">
        <v>29</v>
      </c>
      <c r="L3652" t="s">
        <v>895</v>
      </c>
      <c r="M3652" t="s">
        <v>4402</v>
      </c>
      <c r="O3652" t="s">
        <v>896</v>
      </c>
      <c r="P3652" t="s">
        <v>33</v>
      </c>
      <c r="Q3652" s="22">
        <v>78280.570000000007</v>
      </c>
      <c r="R3652" t="s">
        <v>35</v>
      </c>
      <c r="S3652" t="s">
        <v>35</v>
      </c>
      <c r="T3652" t="s">
        <v>35</v>
      </c>
      <c r="U3652" t="s">
        <v>35</v>
      </c>
      <c r="V3652" t="s">
        <v>645</v>
      </c>
      <c r="W3652" t="s">
        <v>113</v>
      </c>
    </row>
    <row r="3653" spans="1:23" hidden="1" x14ac:dyDescent="0.25">
      <c r="A3653" s="7" t="str">
        <f>IFERROR(VLOOKUP(H3653,'Contas Orç'!A:B,2,0),"N/A")</f>
        <v>CUSTO DE BENS ALIENADOS/BAIXADOS</v>
      </c>
      <c r="B3653" s="7" t="str">
        <f t="shared" si="114"/>
        <v>331803 - CUSTO DE BENS ALIENADOS/BAIXADOS</v>
      </c>
      <c r="C3653" s="25">
        <f t="shared" si="115"/>
        <v>44682</v>
      </c>
      <c r="D3653" s="27">
        <f>IF(K3653="CREDITO",Q3653,Q3653*-1)</f>
        <v>210000</v>
      </c>
      <c r="E3653" t="s">
        <v>894</v>
      </c>
      <c r="F3653" t="s">
        <v>4138</v>
      </c>
      <c r="G3653" s="8">
        <v>44682</v>
      </c>
      <c r="H3653" t="s">
        <v>631</v>
      </c>
      <c r="I3653" t="s">
        <v>27</v>
      </c>
      <c r="J3653" t="s">
        <v>28</v>
      </c>
      <c r="K3653" t="s">
        <v>29</v>
      </c>
      <c r="L3653" t="s">
        <v>895</v>
      </c>
      <c r="M3653" t="s">
        <v>4402</v>
      </c>
      <c r="O3653" t="s">
        <v>896</v>
      </c>
      <c r="P3653" t="s">
        <v>33</v>
      </c>
      <c r="Q3653" s="22">
        <v>210000</v>
      </c>
      <c r="R3653" t="s">
        <v>35</v>
      </c>
      <c r="S3653" t="s">
        <v>35</v>
      </c>
      <c r="T3653" t="s">
        <v>35</v>
      </c>
      <c r="U3653" t="s">
        <v>35</v>
      </c>
      <c r="V3653" t="s">
        <v>645</v>
      </c>
      <c r="W3653" t="s">
        <v>113</v>
      </c>
    </row>
    <row r="3654" spans="1:23" hidden="1" x14ac:dyDescent="0.25">
      <c r="A3654" s="7" t="str">
        <f>IFERROR(VLOOKUP(H3654,'Contas Orç'!A:B,2,0),"N/A")</f>
        <v>CUSTO DE BENS ALIENADOS/BAIXADOS</v>
      </c>
      <c r="B3654" s="7" t="str">
        <f t="shared" si="114"/>
        <v>331803 - CUSTO DE BENS ALIENADOS/BAIXADOS</v>
      </c>
      <c r="C3654" s="25">
        <f t="shared" si="115"/>
        <v>44682</v>
      </c>
      <c r="D3654" s="27">
        <f>IF(K3654="CREDITO",Q3654,Q3654*-1)</f>
        <v>78280.570000000007</v>
      </c>
      <c r="E3654" t="s">
        <v>894</v>
      </c>
      <c r="F3654" t="s">
        <v>4139</v>
      </c>
      <c r="G3654" s="8">
        <v>44682</v>
      </c>
      <c r="H3654" t="s">
        <v>631</v>
      </c>
      <c r="I3654" t="s">
        <v>88</v>
      </c>
      <c r="J3654" t="s">
        <v>60</v>
      </c>
      <c r="K3654" t="s">
        <v>29</v>
      </c>
      <c r="L3654" t="s">
        <v>895</v>
      </c>
      <c r="M3654" t="s">
        <v>4402</v>
      </c>
      <c r="O3654" t="s">
        <v>896</v>
      </c>
      <c r="P3654" t="s">
        <v>33</v>
      </c>
      <c r="Q3654" s="22">
        <v>78280.570000000007</v>
      </c>
      <c r="R3654" t="s">
        <v>35</v>
      </c>
      <c r="S3654" t="s">
        <v>35</v>
      </c>
      <c r="T3654" t="s">
        <v>35</v>
      </c>
      <c r="U3654" t="s">
        <v>35</v>
      </c>
      <c r="V3654" t="s">
        <v>645</v>
      </c>
      <c r="W3654" t="s">
        <v>113</v>
      </c>
    </row>
    <row r="3655" spans="1:23" hidden="1" x14ac:dyDescent="0.25">
      <c r="A3655" s="7" t="str">
        <f>IFERROR(VLOOKUP(H3655,'Contas Orç'!A:B,2,0),"N/A")</f>
        <v>CUSTO DE BENS ALIENADOS/BAIXADOS</v>
      </c>
      <c r="B3655" s="7" t="str">
        <f t="shared" si="114"/>
        <v>331803 - CUSTO DE BENS ALIENADOS/BAIXADOS</v>
      </c>
      <c r="C3655" s="25">
        <f t="shared" si="115"/>
        <v>44682</v>
      </c>
      <c r="D3655" s="27">
        <f>IF(K3655="CREDITO",Q3655,Q3655*-1)</f>
        <v>136792.43</v>
      </c>
      <c r="E3655" t="s">
        <v>894</v>
      </c>
      <c r="F3655" t="s">
        <v>4140</v>
      </c>
      <c r="G3655" s="8">
        <v>44682</v>
      </c>
      <c r="H3655" t="s">
        <v>631</v>
      </c>
      <c r="I3655" t="s">
        <v>59</v>
      </c>
      <c r="J3655" t="s">
        <v>60</v>
      </c>
      <c r="K3655" t="s">
        <v>29</v>
      </c>
      <c r="L3655" t="s">
        <v>895</v>
      </c>
      <c r="M3655" t="s">
        <v>4402</v>
      </c>
      <c r="O3655" t="s">
        <v>896</v>
      </c>
      <c r="P3655" t="s">
        <v>33</v>
      </c>
      <c r="Q3655" s="22">
        <v>136792.43</v>
      </c>
      <c r="R3655" t="s">
        <v>35</v>
      </c>
      <c r="S3655" t="s">
        <v>35</v>
      </c>
      <c r="T3655" t="s">
        <v>35</v>
      </c>
      <c r="U3655" t="s">
        <v>35</v>
      </c>
      <c r="V3655" t="s">
        <v>645</v>
      </c>
      <c r="W3655" t="s">
        <v>113</v>
      </c>
    </row>
    <row r="3656" spans="1:23" hidden="1" x14ac:dyDescent="0.25">
      <c r="A3656" s="7" t="str">
        <f>IFERROR(VLOOKUP(H3656,'Contas Orç'!A:B,2,0),"N/A")</f>
        <v>CUSTO DE BENS ALIENADOS/BAIXADOS</v>
      </c>
      <c r="B3656" s="7" t="str">
        <f t="shared" si="114"/>
        <v>331803 - CUSTO DE BENS ALIENADOS/BAIXADOS</v>
      </c>
      <c r="C3656" s="25">
        <f t="shared" si="115"/>
        <v>44682</v>
      </c>
      <c r="D3656" s="27">
        <f>IF(K3656="CREDITO",Q3656,Q3656*-1)</f>
        <v>1368208.76</v>
      </c>
      <c r="E3656" t="s">
        <v>894</v>
      </c>
      <c r="F3656" t="s">
        <v>4141</v>
      </c>
      <c r="G3656" s="8">
        <v>44682</v>
      </c>
      <c r="H3656" t="s">
        <v>631</v>
      </c>
      <c r="I3656" t="s">
        <v>40</v>
      </c>
      <c r="J3656" t="s">
        <v>54</v>
      </c>
      <c r="K3656" t="s">
        <v>29</v>
      </c>
      <c r="L3656" t="s">
        <v>895</v>
      </c>
      <c r="M3656" t="s">
        <v>4402</v>
      </c>
      <c r="O3656" t="s">
        <v>896</v>
      </c>
      <c r="P3656" t="s">
        <v>33</v>
      </c>
      <c r="Q3656" s="22">
        <v>1368208.76</v>
      </c>
      <c r="R3656" t="s">
        <v>35</v>
      </c>
      <c r="S3656" t="s">
        <v>35</v>
      </c>
      <c r="T3656" t="s">
        <v>35</v>
      </c>
      <c r="U3656" t="s">
        <v>35</v>
      </c>
      <c r="V3656" t="s">
        <v>645</v>
      </c>
      <c r="W3656" t="s">
        <v>113</v>
      </c>
    </row>
    <row r="3657" spans="1:23" hidden="1" x14ac:dyDescent="0.25">
      <c r="A3657" s="7" t="str">
        <f>IFERROR(VLOOKUP(H3657,'Contas Orç'!A:B,2,0),"N/A")</f>
        <v>CUSTO DE BENS ALIENADOS/BAIXADOS</v>
      </c>
      <c r="B3657" s="7" t="str">
        <f t="shared" si="114"/>
        <v>331803 - CUSTO DE BENS ALIENADOS/BAIXADOS</v>
      </c>
      <c r="C3657" s="25">
        <f t="shared" si="115"/>
        <v>44713</v>
      </c>
      <c r="D3657" s="27">
        <f>IF(K3657="CREDITO",Q3657,Q3657*-1)</f>
        <v>210000</v>
      </c>
      <c r="E3657" t="s">
        <v>894</v>
      </c>
      <c r="F3657" t="s">
        <v>4142</v>
      </c>
      <c r="G3657" s="8">
        <v>44713</v>
      </c>
      <c r="H3657" t="s">
        <v>631</v>
      </c>
      <c r="I3657" t="s">
        <v>27</v>
      </c>
      <c r="J3657" t="s">
        <v>28</v>
      </c>
      <c r="K3657" t="s">
        <v>29</v>
      </c>
      <c r="L3657" t="s">
        <v>895</v>
      </c>
      <c r="M3657" t="s">
        <v>4402</v>
      </c>
      <c r="O3657" t="s">
        <v>896</v>
      </c>
      <c r="P3657" t="s">
        <v>33</v>
      </c>
      <c r="Q3657" s="22">
        <v>210000</v>
      </c>
      <c r="R3657" t="s">
        <v>35</v>
      </c>
      <c r="S3657" t="s">
        <v>35</v>
      </c>
      <c r="T3657" t="s">
        <v>35</v>
      </c>
      <c r="U3657" t="s">
        <v>35</v>
      </c>
      <c r="V3657" t="s">
        <v>645</v>
      </c>
      <c r="W3657" t="s">
        <v>113</v>
      </c>
    </row>
    <row r="3658" spans="1:23" hidden="1" x14ac:dyDescent="0.25">
      <c r="A3658" s="7" t="str">
        <f>IFERROR(VLOOKUP(H3658,'Contas Orç'!A:B,2,0),"N/A")</f>
        <v>CUSTO DE BENS ALIENADOS/BAIXADOS</v>
      </c>
      <c r="B3658" s="7" t="str">
        <f t="shared" si="114"/>
        <v>331803 - CUSTO DE BENS ALIENADOS/BAIXADOS</v>
      </c>
      <c r="C3658" s="25">
        <f t="shared" si="115"/>
        <v>44713</v>
      </c>
      <c r="D3658" s="27">
        <f>IF(K3658="CREDITO",Q3658,Q3658*-1)</f>
        <v>292135.76</v>
      </c>
      <c r="E3658" t="s">
        <v>894</v>
      </c>
      <c r="F3658" t="s">
        <v>4143</v>
      </c>
      <c r="G3658" s="8">
        <v>44713</v>
      </c>
      <c r="H3658" t="s">
        <v>631</v>
      </c>
      <c r="I3658" t="s">
        <v>40</v>
      </c>
      <c r="J3658" t="s">
        <v>54</v>
      </c>
      <c r="K3658" t="s">
        <v>29</v>
      </c>
      <c r="L3658" t="s">
        <v>895</v>
      </c>
      <c r="M3658" t="s">
        <v>4402</v>
      </c>
      <c r="O3658" t="s">
        <v>896</v>
      </c>
      <c r="P3658" t="s">
        <v>33</v>
      </c>
      <c r="Q3658" s="22">
        <v>292135.76</v>
      </c>
      <c r="R3658" t="s">
        <v>35</v>
      </c>
      <c r="S3658" t="s">
        <v>35</v>
      </c>
      <c r="T3658" t="s">
        <v>35</v>
      </c>
      <c r="U3658" t="s">
        <v>35</v>
      </c>
      <c r="V3658" t="s">
        <v>645</v>
      </c>
      <c r="W3658" t="s">
        <v>113</v>
      </c>
    </row>
    <row r="3659" spans="1:23" hidden="1" x14ac:dyDescent="0.25">
      <c r="A3659" s="7" t="str">
        <f>IFERROR(VLOOKUP(H3659,'Contas Orç'!A:B,2,0),"N/A")</f>
        <v>CUSTO DE BENS ALIENADOS/BAIXADOS</v>
      </c>
      <c r="B3659" s="7" t="str">
        <f t="shared" si="114"/>
        <v>331803 - CUSTO DE BENS ALIENADOS/BAIXADOS</v>
      </c>
      <c r="C3659" s="25">
        <f t="shared" si="115"/>
        <v>44743</v>
      </c>
      <c r="D3659" s="27">
        <f>IF(K3659="CREDITO",Q3659,Q3659*-1)</f>
        <v>210000</v>
      </c>
      <c r="E3659" t="s">
        <v>894</v>
      </c>
      <c r="F3659" t="s">
        <v>4144</v>
      </c>
      <c r="G3659" s="8">
        <v>44743</v>
      </c>
      <c r="H3659" t="s">
        <v>631</v>
      </c>
      <c r="I3659" t="s">
        <v>27</v>
      </c>
      <c r="J3659" t="s">
        <v>28</v>
      </c>
      <c r="K3659" t="s">
        <v>29</v>
      </c>
      <c r="L3659" t="s">
        <v>895</v>
      </c>
      <c r="M3659" t="s">
        <v>4402</v>
      </c>
      <c r="O3659" t="s">
        <v>896</v>
      </c>
      <c r="P3659" t="s">
        <v>33</v>
      </c>
      <c r="Q3659" s="22">
        <v>210000</v>
      </c>
      <c r="R3659" t="s">
        <v>35</v>
      </c>
      <c r="S3659" t="s">
        <v>35</v>
      </c>
      <c r="T3659" t="s">
        <v>35</v>
      </c>
      <c r="U3659" t="s">
        <v>35</v>
      </c>
      <c r="V3659" t="s">
        <v>645</v>
      </c>
      <c r="W3659" t="s">
        <v>113</v>
      </c>
    </row>
    <row r="3660" spans="1:23" hidden="1" x14ac:dyDescent="0.25">
      <c r="A3660" s="7" t="str">
        <f>IFERROR(VLOOKUP(H3660,'Contas Orç'!A:B,2,0),"N/A")</f>
        <v>CUSTO DE BENS ALIENADOS/BAIXADOS</v>
      </c>
      <c r="B3660" s="7" t="str">
        <f t="shared" si="114"/>
        <v>331803 - CUSTO DE BENS ALIENADOS/BAIXADOS</v>
      </c>
      <c r="C3660" s="25">
        <f t="shared" si="115"/>
        <v>44743</v>
      </c>
      <c r="D3660" s="27">
        <f>IF(K3660="CREDITO",Q3660,Q3660*-1)</f>
        <v>247000</v>
      </c>
      <c r="E3660" t="s">
        <v>894</v>
      </c>
      <c r="F3660" t="s">
        <v>4145</v>
      </c>
      <c r="G3660" s="8">
        <v>44743</v>
      </c>
      <c r="H3660" t="s">
        <v>631</v>
      </c>
      <c r="I3660" t="s">
        <v>59</v>
      </c>
      <c r="J3660" t="s">
        <v>28</v>
      </c>
      <c r="K3660" t="s">
        <v>29</v>
      </c>
      <c r="L3660" t="s">
        <v>895</v>
      </c>
      <c r="M3660" t="s">
        <v>4402</v>
      </c>
      <c r="O3660" t="s">
        <v>896</v>
      </c>
      <c r="P3660" t="s">
        <v>33</v>
      </c>
      <c r="Q3660" s="22">
        <v>247000</v>
      </c>
      <c r="R3660" t="s">
        <v>35</v>
      </c>
      <c r="S3660" t="s">
        <v>35</v>
      </c>
      <c r="T3660" t="s">
        <v>35</v>
      </c>
      <c r="U3660" t="s">
        <v>35</v>
      </c>
      <c r="V3660" t="s">
        <v>645</v>
      </c>
      <c r="W3660" t="s">
        <v>113</v>
      </c>
    </row>
    <row r="3661" spans="1:23" hidden="1" x14ac:dyDescent="0.25">
      <c r="A3661" s="7" t="str">
        <f>IFERROR(VLOOKUP(H3661,'Contas Orç'!A:B,2,0),"N/A")</f>
        <v>CUSTO DE BENS ALIENADOS/BAIXADOS</v>
      </c>
      <c r="B3661" s="7" t="str">
        <f t="shared" si="114"/>
        <v>331803 - CUSTO DE BENS ALIENADOS/BAIXADOS</v>
      </c>
      <c r="C3661" s="25">
        <f t="shared" si="115"/>
        <v>44743</v>
      </c>
      <c r="D3661" s="27">
        <f>IF(K3661="CREDITO",Q3661,Q3661*-1)</f>
        <v>210000</v>
      </c>
      <c r="E3661" t="s">
        <v>894</v>
      </c>
      <c r="F3661" t="s">
        <v>4146</v>
      </c>
      <c r="G3661" s="8">
        <v>44743</v>
      </c>
      <c r="H3661" t="s">
        <v>631</v>
      </c>
      <c r="I3661" t="s">
        <v>40</v>
      </c>
      <c r="J3661" t="s">
        <v>54</v>
      </c>
      <c r="K3661" t="s">
        <v>29</v>
      </c>
      <c r="L3661" t="s">
        <v>895</v>
      </c>
      <c r="M3661" t="s">
        <v>4402</v>
      </c>
      <c r="O3661" t="s">
        <v>896</v>
      </c>
      <c r="P3661" t="s">
        <v>33</v>
      </c>
      <c r="Q3661" s="22">
        <v>210000</v>
      </c>
      <c r="R3661" t="s">
        <v>35</v>
      </c>
      <c r="S3661" t="s">
        <v>35</v>
      </c>
      <c r="T3661" t="s">
        <v>35</v>
      </c>
      <c r="U3661" t="s">
        <v>35</v>
      </c>
      <c r="V3661" t="s">
        <v>645</v>
      </c>
      <c r="W3661" t="s">
        <v>113</v>
      </c>
    </row>
    <row r="3662" spans="1:23" hidden="1" x14ac:dyDescent="0.25">
      <c r="A3662" s="7" t="str">
        <f>IFERROR(VLOOKUP(H3662,'Contas Orç'!A:B,2,0),"N/A")</f>
        <v>CUSTO DE BENS ALIENADOS/BAIXADOS</v>
      </c>
      <c r="B3662" s="7" t="str">
        <f t="shared" si="114"/>
        <v>331803 - CUSTO DE BENS ALIENADOS/BAIXADOS</v>
      </c>
      <c r="C3662" s="25">
        <f t="shared" si="115"/>
        <v>44774</v>
      </c>
      <c r="D3662" s="27">
        <f>IF(K3662="CREDITO",Q3662,Q3662*-1)</f>
        <v>467000</v>
      </c>
      <c r="E3662" t="s">
        <v>894</v>
      </c>
      <c r="F3662" t="s">
        <v>4147</v>
      </c>
      <c r="G3662" s="8">
        <v>44774</v>
      </c>
      <c r="H3662" t="s">
        <v>631</v>
      </c>
      <c r="I3662" t="s">
        <v>27</v>
      </c>
      <c r="J3662" t="s">
        <v>28</v>
      </c>
      <c r="K3662" t="s">
        <v>29</v>
      </c>
      <c r="L3662" t="s">
        <v>895</v>
      </c>
      <c r="M3662" t="s">
        <v>4402</v>
      </c>
      <c r="O3662" t="s">
        <v>896</v>
      </c>
      <c r="P3662" t="s">
        <v>33</v>
      </c>
      <c r="Q3662" s="22">
        <v>467000</v>
      </c>
      <c r="R3662" t="s">
        <v>35</v>
      </c>
      <c r="S3662" t="s">
        <v>35</v>
      </c>
      <c r="T3662" t="s">
        <v>35</v>
      </c>
      <c r="U3662" t="s">
        <v>35</v>
      </c>
      <c r="V3662" t="s">
        <v>645</v>
      </c>
      <c r="W3662" t="s">
        <v>113</v>
      </c>
    </row>
    <row r="3663" spans="1:23" hidden="1" x14ac:dyDescent="0.25">
      <c r="A3663" s="7" t="str">
        <f>IFERROR(VLOOKUP(H3663,'Contas Orç'!A:B,2,0),"N/A")</f>
        <v>CUSTO DE BENS ALIENADOS/BAIXADOS</v>
      </c>
      <c r="B3663" s="7" t="str">
        <f t="shared" si="114"/>
        <v>331803 - CUSTO DE BENS ALIENADOS/BAIXADOS</v>
      </c>
      <c r="C3663" s="25">
        <f t="shared" si="115"/>
        <v>44774</v>
      </c>
      <c r="D3663" s="27">
        <f>IF(K3663="CREDITO",Q3663,Q3663*-1)</f>
        <v>220000</v>
      </c>
      <c r="E3663" t="s">
        <v>894</v>
      </c>
      <c r="F3663" t="s">
        <v>4148</v>
      </c>
      <c r="G3663" s="8">
        <v>44774</v>
      </c>
      <c r="H3663" t="s">
        <v>631</v>
      </c>
      <c r="I3663" t="s">
        <v>59</v>
      </c>
      <c r="J3663" t="s">
        <v>28</v>
      </c>
      <c r="K3663" t="s">
        <v>29</v>
      </c>
      <c r="L3663" t="s">
        <v>895</v>
      </c>
      <c r="M3663" t="s">
        <v>4402</v>
      </c>
      <c r="O3663" t="s">
        <v>896</v>
      </c>
      <c r="P3663" t="s">
        <v>33</v>
      </c>
      <c r="Q3663" s="22">
        <v>220000</v>
      </c>
      <c r="R3663" t="s">
        <v>35</v>
      </c>
      <c r="S3663" t="s">
        <v>35</v>
      </c>
      <c r="T3663" t="s">
        <v>35</v>
      </c>
      <c r="U3663" t="s">
        <v>35</v>
      </c>
      <c r="V3663" t="s">
        <v>645</v>
      </c>
      <c r="W3663" t="s">
        <v>113</v>
      </c>
    </row>
    <row r="3664" spans="1:23" hidden="1" x14ac:dyDescent="0.25">
      <c r="A3664" s="7" t="str">
        <f>IFERROR(VLOOKUP(H3664,'Contas Orç'!A:B,2,0),"N/A")</f>
        <v>CUSTO DE BENS ALIENADOS/BAIXADOS</v>
      </c>
      <c r="B3664" s="7" t="str">
        <f t="shared" si="114"/>
        <v>331803 - CUSTO DE BENS ALIENADOS/BAIXADOS</v>
      </c>
      <c r="C3664" s="25">
        <f t="shared" si="115"/>
        <v>44805</v>
      </c>
      <c r="D3664" s="27">
        <f>IF(K3664="CREDITO",Q3664,Q3664*-1)</f>
        <v>247000</v>
      </c>
      <c r="E3664" t="s">
        <v>894</v>
      </c>
      <c r="F3664" t="s">
        <v>4149</v>
      </c>
      <c r="G3664" s="8">
        <v>44805</v>
      </c>
      <c r="H3664" t="s">
        <v>631</v>
      </c>
      <c r="I3664" t="s">
        <v>27</v>
      </c>
      <c r="J3664" t="s">
        <v>28</v>
      </c>
      <c r="K3664" t="s">
        <v>29</v>
      </c>
      <c r="L3664" t="s">
        <v>895</v>
      </c>
      <c r="M3664" t="s">
        <v>4402</v>
      </c>
      <c r="O3664" t="s">
        <v>896</v>
      </c>
      <c r="P3664" t="s">
        <v>33</v>
      </c>
      <c r="Q3664" s="22">
        <v>247000</v>
      </c>
      <c r="R3664" t="s">
        <v>35</v>
      </c>
      <c r="S3664" t="s">
        <v>35</v>
      </c>
      <c r="T3664" t="s">
        <v>35</v>
      </c>
      <c r="U3664" t="s">
        <v>35</v>
      </c>
      <c r="V3664" t="s">
        <v>645</v>
      </c>
      <c r="W3664" t="s">
        <v>113</v>
      </c>
    </row>
    <row r="3665" spans="1:23" hidden="1" x14ac:dyDescent="0.25">
      <c r="A3665" s="7" t="str">
        <f>IFERROR(VLOOKUP(H3665,'Contas Orç'!A:B,2,0),"N/A")</f>
        <v>CUSTO DE BENS ALIENADOS/BAIXADOS</v>
      </c>
      <c r="B3665" s="7" t="str">
        <f t="shared" si="114"/>
        <v>331803 - CUSTO DE BENS ALIENADOS/BAIXADOS</v>
      </c>
      <c r="C3665" s="25">
        <f t="shared" si="115"/>
        <v>44805</v>
      </c>
      <c r="D3665" s="27">
        <f>IF(K3665="CREDITO",Q3665,Q3665*-1)</f>
        <v>247000</v>
      </c>
      <c r="E3665" t="s">
        <v>894</v>
      </c>
      <c r="F3665" t="s">
        <v>4150</v>
      </c>
      <c r="G3665" s="8">
        <v>44805</v>
      </c>
      <c r="H3665" t="s">
        <v>631</v>
      </c>
      <c r="I3665" t="s">
        <v>59</v>
      </c>
      <c r="J3665" t="s">
        <v>28</v>
      </c>
      <c r="K3665" t="s">
        <v>29</v>
      </c>
      <c r="L3665" t="s">
        <v>895</v>
      </c>
      <c r="M3665" t="s">
        <v>4402</v>
      </c>
      <c r="O3665" t="s">
        <v>896</v>
      </c>
      <c r="P3665" t="s">
        <v>33</v>
      </c>
      <c r="Q3665" s="22">
        <v>247000</v>
      </c>
      <c r="R3665" t="s">
        <v>35</v>
      </c>
      <c r="S3665" t="s">
        <v>35</v>
      </c>
      <c r="T3665" t="s">
        <v>35</v>
      </c>
      <c r="U3665" t="s">
        <v>35</v>
      </c>
      <c r="V3665" t="s">
        <v>645</v>
      </c>
      <c r="W3665" t="s">
        <v>113</v>
      </c>
    </row>
    <row r="3666" spans="1:23" hidden="1" x14ac:dyDescent="0.25">
      <c r="A3666" s="7" t="str">
        <f>IFERROR(VLOOKUP(H3666,'Contas Orç'!A:B,2,0),"N/A")</f>
        <v>CUSTO DE BENS ALIENADOS/BAIXADOS</v>
      </c>
      <c r="B3666" s="7" t="str">
        <f t="shared" si="114"/>
        <v>331803 - CUSTO DE BENS ALIENADOS/BAIXADOS</v>
      </c>
      <c r="C3666" s="25">
        <f t="shared" si="115"/>
        <v>44835</v>
      </c>
      <c r="D3666" s="27">
        <f>IF(K3666="CREDITO",Q3666,Q3666*-1)</f>
        <v>249470</v>
      </c>
      <c r="E3666" t="s">
        <v>894</v>
      </c>
      <c r="F3666" t="s">
        <v>833</v>
      </c>
      <c r="G3666" s="8">
        <v>44835</v>
      </c>
      <c r="H3666" t="s">
        <v>631</v>
      </c>
      <c r="I3666" t="s">
        <v>27</v>
      </c>
      <c r="J3666" t="s">
        <v>28</v>
      </c>
      <c r="K3666" t="s">
        <v>29</v>
      </c>
      <c r="L3666" t="s">
        <v>895</v>
      </c>
      <c r="M3666" t="s">
        <v>4402</v>
      </c>
      <c r="O3666" t="s">
        <v>896</v>
      </c>
      <c r="P3666" t="s">
        <v>33</v>
      </c>
      <c r="Q3666" s="22">
        <v>249470</v>
      </c>
      <c r="R3666" t="s">
        <v>35</v>
      </c>
      <c r="S3666" t="s">
        <v>35</v>
      </c>
      <c r="T3666" t="s">
        <v>35</v>
      </c>
      <c r="U3666" t="s">
        <v>35</v>
      </c>
      <c r="V3666" t="s">
        <v>645</v>
      </c>
      <c r="W3666" t="s">
        <v>113</v>
      </c>
    </row>
    <row r="3667" spans="1:23" hidden="1" x14ac:dyDescent="0.25">
      <c r="A3667" s="7" t="str">
        <f>IFERROR(VLOOKUP(H3667,'Contas Orç'!A:B,2,0),"N/A")</f>
        <v>CUSTO DE BENS ALIENADOS/BAIXADOS</v>
      </c>
      <c r="B3667" s="7" t="str">
        <f t="shared" si="114"/>
        <v>331803 - CUSTO DE BENS ALIENADOS/BAIXADOS</v>
      </c>
      <c r="C3667" s="25">
        <f t="shared" si="115"/>
        <v>44835</v>
      </c>
      <c r="D3667" s="27">
        <f>IF(K3667="CREDITO",Q3667,Q3667*-1)</f>
        <v>249470</v>
      </c>
      <c r="E3667" t="s">
        <v>894</v>
      </c>
      <c r="F3667" t="s">
        <v>835</v>
      </c>
      <c r="G3667" s="8">
        <v>44835</v>
      </c>
      <c r="H3667" t="s">
        <v>631</v>
      </c>
      <c r="I3667" t="s">
        <v>59</v>
      </c>
      <c r="J3667" t="s">
        <v>28</v>
      </c>
      <c r="K3667" t="s">
        <v>29</v>
      </c>
      <c r="L3667" t="s">
        <v>895</v>
      </c>
      <c r="M3667" t="s">
        <v>4402</v>
      </c>
      <c r="O3667" t="s">
        <v>896</v>
      </c>
      <c r="P3667" t="s">
        <v>33</v>
      </c>
      <c r="Q3667" s="22">
        <v>249470</v>
      </c>
      <c r="R3667" t="s">
        <v>35</v>
      </c>
      <c r="S3667" t="s">
        <v>35</v>
      </c>
      <c r="T3667" t="s">
        <v>35</v>
      </c>
      <c r="U3667" t="s">
        <v>35</v>
      </c>
      <c r="V3667" t="s">
        <v>645</v>
      </c>
      <c r="W3667" t="s">
        <v>113</v>
      </c>
    </row>
    <row r="3668" spans="1:23" hidden="1" x14ac:dyDescent="0.25">
      <c r="A3668" s="7" t="str">
        <f>IFERROR(VLOOKUP(H3668,'Contas Orç'!A:B,2,0),"N/A")</f>
        <v>CUSTO DE BENS ALIENADOS/BAIXADOS</v>
      </c>
      <c r="B3668" s="7" t="str">
        <f t="shared" si="114"/>
        <v>331803 - CUSTO DE BENS ALIENADOS/BAIXADOS</v>
      </c>
      <c r="C3668" s="25">
        <f t="shared" si="115"/>
        <v>44866</v>
      </c>
      <c r="D3668" s="27">
        <f>IF(K3668="CREDITO",Q3668,Q3668*-1)</f>
        <v>251964.7</v>
      </c>
      <c r="E3668" t="s">
        <v>894</v>
      </c>
      <c r="F3668" t="s">
        <v>836</v>
      </c>
      <c r="G3668" s="8">
        <v>44866</v>
      </c>
      <c r="H3668" t="s">
        <v>631</v>
      </c>
      <c r="I3668" t="s">
        <v>27</v>
      </c>
      <c r="J3668" t="s">
        <v>28</v>
      </c>
      <c r="K3668" t="s">
        <v>29</v>
      </c>
      <c r="L3668" t="s">
        <v>895</v>
      </c>
      <c r="M3668" t="s">
        <v>4402</v>
      </c>
      <c r="O3668" t="s">
        <v>896</v>
      </c>
      <c r="P3668" t="s">
        <v>33</v>
      </c>
      <c r="Q3668" s="22">
        <v>251964.7</v>
      </c>
      <c r="R3668" t="s">
        <v>35</v>
      </c>
      <c r="S3668" t="s">
        <v>35</v>
      </c>
      <c r="T3668" t="s">
        <v>35</v>
      </c>
      <c r="U3668" t="s">
        <v>35</v>
      </c>
      <c r="V3668" t="s">
        <v>645</v>
      </c>
      <c r="W3668" t="s">
        <v>113</v>
      </c>
    </row>
    <row r="3669" spans="1:23" hidden="1" x14ac:dyDescent="0.25">
      <c r="A3669" s="7" t="str">
        <f>IFERROR(VLOOKUP(H3669,'Contas Orç'!A:B,2,0),"N/A")</f>
        <v>CUSTO DE BENS ALIENADOS/BAIXADOS</v>
      </c>
      <c r="B3669" s="7" t="str">
        <f t="shared" si="114"/>
        <v>331803 - CUSTO DE BENS ALIENADOS/BAIXADOS</v>
      </c>
      <c r="C3669" s="25">
        <f t="shared" si="115"/>
        <v>44866</v>
      </c>
      <c r="D3669" s="27">
        <f>IF(K3669="CREDITO",Q3669,Q3669*-1)</f>
        <v>251964.7</v>
      </c>
      <c r="E3669" t="s">
        <v>894</v>
      </c>
      <c r="F3669" t="s">
        <v>838</v>
      </c>
      <c r="G3669" s="8">
        <v>44866</v>
      </c>
      <c r="H3669" t="s">
        <v>631</v>
      </c>
      <c r="I3669" t="s">
        <v>59</v>
      </c>
      <c r="J3669" t="s">
        <v>28</v>
      </c>
      <c r="K3669" t="s">
        <v>29</v>
      </c>
      <c r="L3669" t="s">
        <v>895</v>
      </c>
      <c r="M3669" t="s">
        <v>4402</v>
      </c>
      <c r="O3669" t="s">
        <v>896</v>
      </c>
      <c r="P3669" t="s">
        <v>33</v>
      </c>
      <c r="Q3669" s="22">
        <v>251964.7</v>
      </c>
      <c r="R3669" t="s">
        <v>35</v>
      </c>
      <c r="S3669" t="s">
        <v>35</v>
      </c>
      <c r="T3669" t="s">
        <v>35</v>
      </c>
      <c r="U3669" t="s">
        <v>35</v>
      </c>
      <c r="V3669" t="s">
        <v>645</v>
      </c>
      <c r="W3669" t="s">
        <v>113</v>
      </c>
    </row>
    <row r="3670" spans="1:23" hidden="1" x14ac:dyDescent="0.25">
      <c r="A3670" s="7" t="str">
        <f>IFERROR(VLOOKUP(H3670,'Contas Orç'!A:B,2,0),"N/A")</f>
        <v>CUSTO DE BENS ALIENADOS/BAIXADOS</v>
      </c>
      <c r="B3670" s="7" t="str">
        <f t="shared" si="114"/>
        <v>331803 - CUSTO DE BENS ALIENADOS/BAIXADOS</v>
      </c>
      <c r="C3670" s="25">
        <f t="shared" si="115"/>
        <v>44896</v>
      </c>
      <c r="D3670" s="27">
        <f>IF(K3670="CREDITO",Q3670,Q3670*-1)</f>
        <v>254484.35</v>
      </c>
      <c r="E3670" t="s">
        <v>894</v>
      </c>
      <c r="F3670" t="s">
        <v>840</v>
      </c>
      <c r="G3670" s="8">
        <v>44896</v>
      </c>
      <c r="H3670" t="s">
        <v>631</v>
      </c>
      <c r="I3670" t="s">
        <v>27</v>
      </c>
      <c r="J3670" t="s">
        <v>28</v>
      </c>
      <c r="K3670" t="s">
        <v>29</v>
      </c>
      <c r="L3670" t="s">
        <v>895</v>
      </c>
      <c r="M3670" t="s">
        <v>4402</v>
      </c>
      <c r="O3670" t="s">
        <v>896</v>
      </c>
      <c r="P3670" t="s">
        <v>33</v>
      </c>
      <c r="Q3670" s="22">
        <v>254484.35</v>
      </c>
      <c r="R3670" t="s">
        <v>35</v>
      </c>
      <c r="S3670" t="s">
        <v>35</v>
      </c>
      <c r="T3670" t="s">
        <v>35</v>
      </c>
      <c r="U3670" t="s">
        <v>35</v>
      </c>
      <c r="V3670" t="s">
        <v>645</v>
      </c>
      <c r="W3670" t="s">
        <v>113</v>
      </c>
    </row>
    <row r="3671" spans="1:23" hidden="1" x14ac:dyDescent="0.25">
      <c r="A3671" s="7" t="str">
        <f>IFERROR(VLOOKUP(H3671,'Contas Orç'!A:B,2,0),"N/A")</f>
        <v>CUSTO DE BENS ALIENADOS/BAIXADOS</v>
      </c>
      <c r="B3671" s="7" t="str">
        <f t="shared" si="114"/>
        <v>331803 - CUSTO DE BENS ALIENADOS/BAIXADOS</v>
      </c>
      <c r="C3671" s="25">
        <f t="shared" si="115"/>
        <v>44896</v>
      </c>
      <c r="D3671" s="27">
        <f>IF(K3671="CREDITO",Q3671,Q3671*-1)</f>
        <v>254484.35</v>
      </c>
      <c r="E3671" t="s">
        <v>894</v>
      </c>
      <c r="F3671" t="s">
        <v>841</v>
      </c>
      <c r="G3671" s="8">
        <v>44896</v>
      </c>
      <c r="H3671" t="s">
        <v>631</v>
      </c>
      <c r="I3671" t="s">
        <v>59</v>
      </c>
      <c r="J3671" t="s">
        <v>28</v>
      </c>
      <c r="K3671" t="s">
        <v>29</v>
      </c>
      <c r="L3671" t="s">
        <v>895</v>
      </c>
      <c r="M3671" t="s">
        <v>4402</v>
      </c>
      <c r="O3671" t="s">
        <v>896</v>
      </c>
      <c r="P3671" t="s">
        <v>33</v>
      </c>
      <c r="Q3671" s="22">
        <v>254484.35</v>
      </c>
      <c r="R3671" t="s">
        <v>35</v>
      </c>
      <c r="S3671" t="s">
        <v>35</v>
      </c>
      <c r="T3671" t="s">
        <v>35</v>
      </c>
      <c r="U3671" t="s">
        <v>35</v>
      </c>
      <c r="V3671" t="s">
        <v>645</v>
      </c>
      <c r="W3671" t="s">
        <v>113</v>
      </c>
    </row>
    <row r="3672" spans="1:23" hidden="1" x14ac:dyDescent="0.25">
      <c r="A3672" s="7" t="str">
        <f>IFERROR(VLOOKUP(H3672,'Contas Orç'!A:B,2,0),"N/A")</f>
        <v>RECEITAS FINANCEIRAS</v>
      </c>
      <c r="B3672" s="7" t="str">
        <f t="shared" si="114"/>
        <v>380101 - RECEITAS FINANCEIRAS</v>
      </c>
      <c r="C3672" s="25">
        <f t="shared" si="115"/>
        <v>44562</v>
      </c>
      <c r="D3672" s="27">
        <f>IF(K3672="CREDITO",Q3672,Q3672*-1)</f>
        <v>1438.33</v>
      </c>
      <c r="E3672" t="s">
        <v>894</v>
      </c>
      <c r="F3672" t="s">
        <v>842</v>
      </c>
      <c r="G3672" s="8">
        <v>44562</v>
      </c>
      <c r="H3672" t="s">
        <v>633</v>
      </c>
      <c r="I3672" t="s">
        <v>2062</v>
      </c>
      <c r="J3672" t="s">
        <v>69</v>
      </c>
      <c r="K3672" t="s">
        <v>29</v>
      </c>
      <c r="L3672" t="s">
        <v>895</v>
      </c>
      <c r="M3672" t="s">
        <v>4402</v>
      </c>
      <c r="O3672" t="s">
        <v>896</v>
      </c>
      <c r="P3672" t="s">
        <v>33</v>
      </c>
      <c r="Q3672" s="22">
        <v>1438.33</v>
      </c>
      <c r="R3672" t="s">
        <v>35</v>
      </c>
      <c r="S3672" t="s">
        <v>35</v>
      </c>
      <c r="T3672" t="s">
        <v>35</v>
      </c>
      <c r="U3672" t="s">
        <v>35</v>
      </c>
      <c r="V3672" t="s">
        <v>645</v>
      </c>
      <c r="W3672" t="s">
        <v>113</v>
      </c>
    </row>
    <row r="3673" spans="1:23" hidden="1" x14ac:dyDescent="0.25">
      <c r="A3673" s="7" t="str">
        <f>IFERROR(VLOOKUP(H3673,'Contas Orç'!A:B,2,0),"N/A")</f>
        <v>RECEITAS FINANCEIRAS</v>
      </c>
      <c r="B3673" s="7" t="str">
        <f t="shared" si="114"/>
        <v>380101 - RECEITAS FINANCEIRAS</v>
      </c>
      <c r="C3673" s="25">
        <f t="shared" si="115"/>
        <v>44562</v>
      </c>
      <c r="D3673" s="27">
        <f>IF(K3673="CREDITO",Q3673,Q3673*-1)</f>
        <v>1438.33</v>
      </c>
      <c r="E3673" t="s">
        <v>894</v>
      </c>
      <c r="F3673" t="s">
        <v>4151</v>
      </c>
      <c r="G3673" s="8">
        <v>44562</v>
      </c>
      <c r="H3673" t="s">
        <v>633</v>
      </c>
      <c r="I3673" t="s">
        <v>68</v>
      </c>
      <c r="J3673" t="s">
        <v>69</v>
      </c>
      <c r="K3673" t="s">
        <v>29</v>
      </c>
      <c r="L3673" t="s">
        <v>895</v>
      </c>
      <c r="M3673" t="s">
        <v>4402</v>
      </c>
      <c r="O3673" t="s">
        <v>896</v>
      </c>
      <c r="P3673" t="s">
        <v>33</v>
      </c>
      <c r="Q3673" s="22">
        <v>1438.33</v>
      </c>
      <c r="R3673" t="s">
        <v>35</v>
      </c>
      <c r="S3673" t="s">
        <v>35</v>
      </c>
      <c r="T3673" t="s">
        <v>35</v>
      </c>
      <c r="U3673" t="s">
        <v>35</v>
      </c>
      <c r="V3673" t="s">
        <v>645</v>
      </c>
      <c r="W3673" t="s">
        <v>113</v>
      </c>
    </row>
    <row r="3674" spans="1:23" hidden="1" x14ac:dyDescent="0.25">
      <c r="A3674" s="7" t="str">
        <f>IFERROR(VLOOKUP(H3674,'Contas Orç'!A:B,2,0),"N/A")</f>
        <v>RECEITAS FINANCEIRAS</v>
      </c>
      <c r="B3674" s="7" t="str">
        <f t="shared" si="114"/>
        <v>380101 - RECEITAS FINANCEIRAS</v>
      </c>
      <c r="C3674" s="25">
        <f t="shared" si="115"/>
        <v>44562</v>
      </c>
      <c r="D3674" s="27">
        <f>IF(K3674="CREDITO",Q3674,Q3674*-1)</f>
        <v>400</v>
      </c>
      <c r="E3674" t="s">
        <v>894</v>
      </c>
      <c r="F3674" t="s">
        <v>4152</v>
      </c>
      <c r="G3674" s="8">
        <v>44562</v>
      </c>
      <c r="H3674" t="s">
        <v>633</v>
      </c>
      <c r="I3674" t="s">
        <v>2062</v>
      </c>
      <c r="J3674" t="s">
        <v>54</v>
      </c>
      <c r="K3674" t="s">
        <v>29</v>
      </c>
      <c r="L3674" t="s">
        <v>895</v>
      </c>
      <c r="M3674" t="s">
        <v>4402</v>
      </c>
      <c r="O3674" t="s">
        <v>896</v>
      </c>
      <c r="P3674" t="s">
        <v>33</v>
      </c>
      <c r="Q3674">
        <v>400</v>
      </c>
      <c r="R3674" t="s">
        <v>35</v>
      </c>
      <c r="S3674" t="s">
        <v>35</v>
      </c>
      <c r="T3674" t="s">
        <v>35</v>
      </c>
      <c r="U3674" t="s">
        <v>35</v>
      </c>
      <c r="V3674" t="s">
        <v>645</v>
      </c>
      <c r="W3674" t="s">
        <v>113</v>
      </c>
    </row>
    <row r="3675" spans="1:23" hidden="1" x14ac:dyDescent="0.25">
      <c r="A3675" s="7" t="str">
        <f>IFERROR(VLOOKUP(H3675,'Contas Orç'!A:B,2,0),"N/A")</f>
        <v>RECEITAS FINANCEIRAS</v>
      </c>
      <c r="B3675" s="7" t="str">
        <f t="shared" si="114"/>
        <v>380101 - RECEITAS FINANCEIRAS</v>
      </c>
      <c r="C3675" s="25">
        <f t="shared" si="115"/>
        <v>44562</v>
      </c>
      <c r="D3675" s="27">
        <f>IF(K3675="CREDITO",Q3675,Q3675*-1)</f>
        <v>99234.59</v>
      </c>
      <c r="E3675" t="s">
        <v>894</v>
      </c>
      <c r="F3675" t="s">
        <v>4153</v>
      </c>
      <c r="G3675" s="8">
        <v>44562</v>
      </c>
      <c r="H3675" t="s">
        <v>633</v>
      </c>
      <c r="I3675" t="s">
        <v>40</v>
      </c>
      <c r="J3675" t="s">
        <v>54</v>
      </c>
      <c r="K3675" t="s">
        <v>29</v>
      </c>
      <c r="L3675" t="s">
        <v>895</v>
      </c>
      <c r="M3675" t="s">
        <v>4402</v>
      </c>
      <c r="O3675" t="s">
        <v>896</v>
      </c>
      <c r="P3675" t="s">
        <v>33</v>
      </c>
      <c r="Q3675" s="22">
        <v>99234.59</v>
      </c>
      <c r="R3675" t="s">
        <v>35</v>
      </c>
      <c r="S3675" t="s">
        <v>35</v>
      </c>
      <c r="T3675" t="s">
        <v>35</v>
      </c>
      <c r="U3675" t="s">
        <v>35</v>
      </c>
      <c r="V3675" t="s">
        <v>645</v>
      </c>
      <c r="W3675" t="s">
        <v>113</v>
      </c>
    </row>
    <row r="3676" spans="1:23" hidden="1" x14ac:dyDescent="0.25">
      <c r="A3676" s="7" t="str">
        <f>IFERROR(VLOOKUP(H3676,'Contas Orç'!A:B,2,0),"N/A")</f>
        <v>RECEITAS FINANCEIRAS</v>
      </c>
      <c r="B3676" s="7" t="str">
        <f t="shared" si="114"/>
        <v>380101 - RECEITAS FINANCEIRAS</v>
      </c>
      <c r="C3676" s="25">
        <f t="shared" si="115"/>
        <v>44562</v>
      </c>
      <c r="D3676" s="27">
        <f>IF(K3676="CREDITO",Q3676,Q3676*-1)</f>
        <v>1063171.5900000001</v>
      </c>
      <c r="E3676" t="s">
        <v>894</v>
      </c>
      <c r="F3676" t="s">
        <v>4154</v>
      </c>
      <c r="G3676" s="8">
        <v>44562</v>
      </c>
      <c r="H3676" t="s">
        <v>633</v>
      </c>
      <c r="I3676" t="s">
        <v>1002</v>
      </c>
      <c r="J3676" t="s">
        <v>54</v>
      </c>
      <c r="K3676" t="s">
        <v>29</v>
      </c>
      <c r="L3676" t="s">
        <v>895</v>
      </c>
      <c r="M3676" t="s">
        <v>4402</v>
      </c>
      <c r="O3676" t="s">
        <v>896</v>
      </c>
      <c r="P3676" t="s">
        <v>33</v>
      </c>
      <c r="Q3676" s="22">
        <v>1063171.5900000001</v>
      </c>
      <c r="R3676" t="s">
        <v>35</v>
      </c>
      <c r="S3676" t="s">
        <v>35</v>
      </c>
      <c r="T3676" t="s">
        <v>35</v>
      </c>
      <c r="U3676" t="s">
        <v>35</v>
      </c>
      <c r="V3676" t="s">
        <v>645</v>
      </c>
      <c r="W3676" t="s">
        <v>113</v>
      </c>
    </row>
    <row r="3677" spans="1:23" hidden="1" x14ac:dyDescent="0.25">
      <c r="A3677" s="7" t="str">
        <f>IFERROR(VLOOKUP(H3677,'Contas Orç'!A:B,2,0),"N/A")</f>
        <v>RECEITAS FINANCEIRAS</v>
      </c>
      <c r="B3677" s="7" t="str">
        <f t="shared" si="114"/>
        <v>380101 - RECEITAS FINANCEIRAS</v>
      </c>
      <c r="C3677" s="25">
        <f t="shared" si="115"/>
        <v>44562</v>
      </c>
      <c r="D3677" s="27">
        <f>IF(K3677="CREDITO",Q3677,Q3677*-1)</f>
        <v>57.71</v>
      </c>
      <c r="E3677" t="s">
        <v>894</v>
      </c>
      <c r="F3677" t="s">
        <v>4155</v>
      </c>
      <c r="G3677" s="8">
        <v>44562</v>
      </c>
      <c r="H3677" t="s">
        <v>633</v>
      </c>
      <c r="I3677" t="s">
        <v>53</v>
      </c>
      <c r="J3677" t="s">
        <v>54</v>
      </c>
      <c r="K3677" t="s">
        <v>29</v>
      </c>
      <c r="L3677" t="s">
        <v>895</v>
      </c>
      <c r="M3677" t="s">
        <v>4402</v>
      </c>
      <c r="O3677" t="s">
        <v>896</v>
      </c>
      <c r="P3677" t="s">
        <v>33</v>
      </c>
      <c r="Q3677">
        <v>57.71</v>
      </c>
      <c r="R3677" t="s">
        <v>35</v>
      </c>
      <c r="S3677" t="s">
        <v>35</v>
      </c>
      <c r="T3677" t="s">
        <v>35</v>
      </c>
      <c r="U3677" t="s">
        <v>35</v>
      </c>
      <c r="V3677" t="s">
        <v>645</v>
      </c>
      <c r="W3677" t="s">
        <v>113</v>
      </c>
    </row>
    <row r="3678" spans="1:23" hidden="1" x14ac:dyDescent="0.25">
      <c r="A3678" s="7" t="str">
        <f>IFERROR(VLOOKUP(H3678,'Contas Orç'!A:B,2,0),"N/A")</f>
        <v>RECEITAS FINANCEIRAS</v>
      </c>
      <c r="B3678" s="7" t="str">
        <f t="shared" si="114"/>
        <v>380101 - RECEITAS FINANCEIRAS</v>
      </c>
      <c r="C3678" s="25">
        <f t="shared" si="115"/>
        <v>44593</v>
      </c>
      <c r="D3678" s="27">
        <f>IF(K3678="CREDITO",Q3678,Q3678*-1)</f>
        <v>369247.51</v>
      </c>
      <c r="E3678" t="s">
        <v>894</v>
      </c>
      <c r="F3678" t="s">
        <v>4156</v>
      </c>
      <c r="G3678" s="8">
        <v>44593</v>
      </c>
      <c r="H3678" t="s">
        <v>633</v>
      </c>
      <c r="I3678" t="s">
        <v>59</v>
      </c>
      <c r="J3678" t="s">
        <v>60</v>
      </c>
      <c r="K3678" t="s">
        <v>29</v>
      </c>
      <c r="L3678" t="s">
        <v>895</v>
      </c>
      <c r="M3678" t="s">
        <v>4402</v>
      </c>
      <c r="O3678" t="s">
        <v>896</v>
      </c>
      <c r="P3678" t="s">
        <v>33</v>
      </c>
      <c r="Q3678" s="22">
        <v>369247.51</v>
      </c>
      <c r="R3678" t="s">
        <v>35</v>
      </c>
      <c r="S3678" t="s">
        <v>35</v>
      </c>
      <c r="T3678" t="s">
        <v>35</v>
      </c>
      <c r="U3678" t="s">
        <v>35</v>
      </c>
      <c r="V3678" t="s">
        <v>645</v>
      </c>
      <c r="W3678" t="s">
        <v>113</v>
      </c>
    </row>
    <row r="3679" spans="1:23" hidden="1" x14ac:dyDescent="0.25">
      <c r="A3679" s="7" t="str">
        <f>IFERROR(VLOOKUP(H3679,'Contas Orç'!A:B,2,0),"N/A")</f>
        <v>RECEITAS FINANCEIRAS</v>
      </c>
      <c r="B3679" s="7" t="str">
        <f t="shared" si="114"/>
        <v>380101 - RECEITAS FINANCEIRAS</v>
      </c>
      <c r="C3679" s="25">
        <f t="shared" si="115"/>
        <v>44593</v>
      </c>
      <c r="D3679" s="27">
        <f>IF(K3679="CREDITO",Q3679,Q3679*-1)</f>
        <v>901371.08</v>
      </c>
      <c r="E3679" t="s">
        <v>894</v>
      </c>
      <c r="F3679" t="s">
        <v>4157</v>
      </c>
      <c r="G3679" s="8">
        <v>44593</v>
      </c>
      <c r="H3679" t="s">
        <v>633</v>
      </c>
      <c r="I3679" t="s">
        <v>40</v>
      </c>
      <c r="J3679" t="s">
        <v>54</v>
      </c>
      <c r="K3679" t="s">
        <v>29</v>
      </c>
      <c r="L3679" t="s">
        <v>895</v>
      </c>
      <c r="M3679" t="s">
        <v>4402</v>
      </c>
      <c r="O3679" t="s">
        <v>896</v>
      </c>
      <c r="P3679" t="s">
        <v>33</v>
      </c>
      <c r="Q3679" s="22">
        <v>901371.08</v>
      </c>
      <c r="R3679" t="s">
        <v>35</v>
      </c>
      <c r="S3679" t="s">
        <v>35</v>
      </c>
      <c r="T3679" t="s">
        <v>35</v>
      </c>
      <c r="U3679" t="s">
        <v>35</v>
      </c>
      <c r="V3679" t="s">
        <v>645</v>
      </c>
      <c r="W3679" t="s">
        <v>113</v>
      </c>
    </row>
    <row r="3680" spans="1:23" hidden="1" x14ac:dyDescent="0.25">
      <c r="A3680" s="7" t="str">
        <f>IFERROR(VLOOKUP(H3680,'Contas Orç'!A:B,2,0),"N/A")</f>
        <v>RECEITAS FINANCEIRAS</v>
      </c>
      <c r="B3680" s="7" t="str">
        <f t="shared" si="114"/>
        <v>380101 - RECEITAS FINANCEIRAS</v>
      </c>
      <c r="C3680" s="25">
        <f t="shared" si="115"/>
        <v>44593</v>
      </c>
      <c r="D3680" s="27">
        <f>IF(K3680="CREDITO",Q3680,Q3680*-1)</f>
        <v>188365</v>
      </c>
      <c r="E3680" t="s">
        <v>894</v>
      </c>
      <c r="F3680" t="s">
        <v>4158</v>
      </c>
      <c r="G3680" s="8">
        <v>44593</v>
      </c>
      <c r="H3680" t="s">
        <v>633</v>
      </c>
      <c r="I3680" t="s">
        <v>1002</v>
      </c>
      <c r="J3680" t="s">
        <v>54</v>
      </c>
      <c r="K3680" t="s">
        <v>29</v>
      </c>
      <c r="L3680" t="s">
        <v>895</v>
      </c>
      <c r="M3680" t="s">
        <v>4402</v>
      </c>
      <c r="O3680" t="s">
        <v>896</v>
      </c>
      <c r="P3680" t="s">
        <v>33</v>
      </c>
      <c r="Q3680" s="22">
        <v>188365</v>
      </c>
      <c r="R3680" t="s">
        <v>35</v>
      </c>
      <c r="S3680" t="s">
        <v>35</v>
      </c>
      <c r="T3680" t="s">
        <v>35</v>
      </c>
      <c r="U3680" t="s">
        <v>35</v>
      </c>
      <c r="V3680" t="s">
        <v>645</v>
      </c>
      <c r="W3680" t="s">
        <v>113</v>
      </c>
    </row>
    <row r="3681" spans="1:23" hidden="1" x14ac:dyDescent="0.25">
      <c r="A3681" s="7" t="str">
        <f>IFERROR(VLOOKUP(H3681,'Contas Orç'!A:B,2,0),"N/A")</f>
        <v>RECEITAS FINANCEIRAS</v>
      </c>
      <c r="B3681" s="7" t="str">
        <f t="shared" si="114"/>
        <v>380101 - RECEITAS FINANCEIRAS</v>
      </c>
      <c r="C3681" s="25">
        <f t="shared" si="115"/>
        <v>44621</v>
      </c>
      <c r="D3681" s="27">
        <f>IF(K3681="CREDITO",Q3681,Q3681*-1)</f>
        <v>39.04</v>
      </c>
      <c r="E3681" t="s">
        <v>894</v>
      </c>
      <c r="F3681" t="s">
        <v>4159</v>
      </c>
      <c r="G3681" s="8">
        <v>44621</v>
      </c>
      <c r="H3681" t="s">
        <v>633</v>
      </c>
      <c r="I3681" t="s">
        <v>27</v>
      </c>
      <c r="J3681" t="s">
        <v>28</v>
      </c>
      <c r="K3681" t="s">
        <v>29</v>
      </c>
      <c r="L3681" t="s">
        <v>895</v>
      </c>
      <c r="M3681" t="s">
        <v>4402</v>
      </c>
      <c r="O3681" t="s">
        <v>896</v>
      </c>
      <c r="P3681" t="s">
        <v>33</v>
      </c>
      <c r="Q3681">
        <v>39.04</v>
      </c>
      <c r="R3681" t="s">
        <v>35</v>
      </c>
      <c r="S3681" t="s">
        <v>35</v>
      </c>
      <c r="T3681" t="s">
        <v>35</v>
      </c>
      <c r="U3681" t="s">
        <v>35</v>
      </c>
      <c r="V3681" t="s">
        <v>645</v>
      </c>
      <c r="W3681" t="s">
        <v>113</v>
      </c>
    </row>
    <row r="3682" spans="1:23" hidden="1" x14ac:dyDescent="0.25">
      <c r="A3682" s="7" t="str">
        <f>IFERROR(VLOOKUP(H3682,'Contas Orç'!A:B,2,0),"N/A")</f>
        <v>RECEITAS FINANCEIRAS</v>
      </c>
      <c r="B3682" s="7" t="str">
        <f t="shared" si="114"/>
        <v>380101 - RECEITAS FINANCEIRAS</v>
      </c>
      <c r="C3682" s="25">
        <f t="shared" si="115"/>
        <v>44621</v>
      </c>
      <c r="D3682" s="27">
        <f>IF(K3682="CREDITO",Q3682,Q3682*-1)</f>
        <v>1681601.19</v>
      </c>
      <c r="E3682" t="s">
        <v>894</v>
      </c>
      <c r="F3682" t="s">
        <v>4160</v>
      </c>
      <c r="G3682" s="8">
        <v>44621</v>
      </c>
      <c r="H3682" t="s">
        <v>633</v>
      </c>
      <c r="I3682" t="s">
        <v>40</v>
      </c>
      <c r="J3682" t="s">
        <v>54</v>
      </c>
      <c r="K3682" t="s">
        <v>29</v>
      </c>
      <c r="L3682" t="s">
        <v>895</v>
      </c>
      <c r="M3682" t="s">
        <v>4402</v>
      </c>
      <c r="O3682" t="s">
        <v>896</v>
      </c>
      <c r="P3682" t="s">
        <v>33</v>
      </c>
      <c r="Q3682" s="22">
        <v>1681601.19</v>
      </c>
      <c r="R3682" t="s">
        <v>35</v>
      </c>
      <c r="S3682" t="s">
        <v>35</v>
      </c>
      <c r="T3682" t="s">
        <v>35</v>
      </c>
      <c r="U3682" t="s">
        <v>35</v>
      </c>
      <c r="V3682" t="s">
        <v>645</v>
      </c>
      <c r="W3682" t="s">
        <v>113</v>
      </c>
    </row>
    <row r="3683" spans="1:23" hidden="1" x14ac:dyDescent="0.25">
      <c r="A3683" s="7" t="str">
        <f>IFERROR(VLOOKUP(H3683,'Contas Orç'!A:B,2,0),"N/A")</f>
        <v>RECEITAS FINANCEIRAS</v>
      </c>
      <c r="B3683" s="7" t="str">
        <f t="shared" si="114"/>
        <v>380101 - RECEITAS FINANCEIRAS</v>
      </c>
      <c r="C3683" s="25">
        <f t="shared" si="115"/>
        <v>44621</v>
      </c>
      <c r="D3683" s="27">
        <f>IF(K3683="CREDITO",Q3683,Q3683*-1)</f>
        <v>124982.51</v>
      </c>
      <c r="E3683" t="s">
        <v>894</v>
      </c>
      <c r="F3683" t="s">
        <v>844</v>
      </c>
      <c r="G3683" s="8">
        <v>44621</v>
      </c>
      <c r="H3683" t="s">
        <v>633</v>
      </c>
      <c r="I3683" t="s">
        <v>1002</v>
      </c>
      <c r="J3683" t="s">
        <v>54</v>
      </c>
      <c r="K3683" t="s">
        <v>29</v>
      </c>
      <c r="L3683" t="s">
        <v>895</v>
      </c>
      <c r="M3683" t="s">
        <v>4402</v>
      </c>
      <c r="O3683" t="s">
        <v>896</v>
      </c>
      <c r="P3683" t="s">
        <v>33</v>
      </c>
      <c r="Q3683" s="22">
        <v>124982.51</v>
      </c>
      <c r="R3683" t="s">
        <v>35</v>
      </c>
      <c r="S3683" t="s">
        <v>35</v>
      </c>
      <c r="T3683" t="s">
        <v>35</v>
      </c>
      <c r="U3683" t="s">
        <v>35</v>
      </c>
      <c r="V3683" t="s">
        <v>645</v>
      </c>
      <c r="W3683" t="s">
        <v>113</v>
      </c>
    </row>
    <row r="3684" spans="1:23" hidden="1" x14ac:dyDescent="0.25">
      <c r="A3684" s="7" t="str">
        <f>IFERROR(VLOOKUP(H3684,'Contas Orç'!A:B,2,0),"N/A")</f>
        <v>RECEITAS FINANCEIRAS</v>
      </c>
      <c r="B3684" s="7" t="str">
        <f t="shared" si="114"/>
        <v>380101 - RECEITAS FINANCEIRAS</v>
      </c>
      <c r="C3684" s="25">
        <f t="shared" si="115"/>
        <v>44652</v>
      </c>
      <c r="D3684" s="27">
        <f>IF(K3684="CREDITO",Q3684,Q3684*-1)</f>
        <v>1089.26</v>
      </c>
      <c r="E3684" t="s">
        <v>894</v>
      </c>
      <c r="F3684" t="s">
        <v>846</v>
      </c>
      <c r="G3684" s="8">
        <v>44652</v>
      </c>
      <c r="H3684" t="s">
        <v>633</v>
      </c>
      <c r="I3684" t="s">
        <v>40</v>
      </c>
      <c r="J3684" t="s">
        <v>54</v>
      </c>
      <c r="K3684" t="s">
        <v>29</v>
      </c>
      <c r="L3684" t="s">
        <v>895</v>
      </c>
      <c r="M3684" t="s">
        <v>4402</v>
      </c>
      <c r="O3684" t="s">
        <v>896</v>
      </c>
      <c r="P3684" t="s">
        <v>33</v>
      </c>
      <c r="Q3684" s="22">
        <v>1089.26</v>
      </c>
      <c r="R3684" t="s">
        <v>35</v>
      </c>
      <c r="S3684" t="s">
        <v>35</v>
      </c>
      <c r="T3684" t="s">
        <v>35</v>
      </c>
      <c r="U3684" t="s">
        <v>35</v>
      </c>
      <c r="V3684" t="s">
        <v>645</v>
      </c>
      <c r="W3684" t="s">
        <v>113</v>
      </c>
    </row>
    <row r="3685" spans="1:23" hidden="1" x14ac:dyDescent="0.25">
      <c r="A3685" s="7" t="str">
        <f>IFERROR(VLOOKUP(H3685,'Contas Orç'!A:B,2,0),"N/A")</f>
        <v>RECEITAS FINANCEIRAS</v>
      </c>
      <c r="B3685" s="7" t="str">
        <f t="shared" si="114"/>
        <v>380101 - RECEITAS FINANCEIRAS</v>
      </c>
      <c r="C3685" s="25">
        <f t="shared" si="115"/>
        <v>44652</v>
      </c>
      <c r="D3685" s="27">
        <f>IF(K3685="CREDITO",Q3685,Q3685*-1)</f>
        <v>106526.54</v>
      </c>
      <c r="E3685" t="s">
        <v>894</v>
      </c>
      <c r="F3685" t="s">
        <v>4161</v>
      </c>
      <c r="G3685" s="8">
        <v>44652</v>
      </c>
      <c r="H3685" t="s">
        <v>633</v>
      </c>
      <c r="I3685" t="s">
        <v>1002</v>
      </c>
      <c r="J3685" t="s">
        <v>54</v>
      </c>
      <c r="K3685" t="s">
        <v>29</v>
      </c>
      <c r="L3685" t="s">
        <v>895</v>
      </c>
      <c r="M3685" t="s">
        <v>4402</v>
      </c>
      <c r="O3685" t="s">
        <v>896</v>
      </c>
      <c r="P3685" t="s">
        <v>33</v>
      </c>
      <c r="Q3685" s="22">
        <v>106526.54</v>
      </c>
      <c r="R3685" t="s">
        <v>35</v>
      </c>
      <c r="S3685" t="s">
        <v>35</v>
      </c>
      <c r="T3685" t="s">
        <v>35</v>
      </c>
      <c r="U3685" t="s">
        <v>35</v>
      </c>
      <c r="V3685" t="s">
        <v>645</v>
      </c>
      <c r="W3685" t="s">
        <v>113</v>
      </c>
    </row>
    <row r="3686" spans="1:23" hidden="1" x14ac:dyDescent="0.25">
      <c r="A3686" s="7" t="str">
        <f>IFERROR(VLOOKUP(H3686,'Contas Orç'!A:B,2,0),"N/A")</f>
        <v>RECEITAS FINANCEIRAS</v>
      </c>
      <c r="B3686" s="7" t="str">
        <f t="shared" si="114"/>
        <v>380101 - RECEITAS FINANCEIRAS</v>
      </c>
      <c r="C3686" s="25">
        <f t="shared" si="115"/>
        <v>44682</v>
      </c>
      <c r="D3686" s="27">
        <f>IF(K3686="CREDITO",Q3686,Q3686*-1)</f>
        <v>781917.45</v>
      </c>
      <c r="E3686" t="s">
        <v>894</v>
      </c>
      <c r="F3686" t="s">
        <v>4162</v>
      </c>
      <c r="G3686" s="8">
        <v>44682</v>
      </c>
      <c r="H3686" t="s">
        <v>633</v>
      </c>
      <c r="I3686" t="s">
        <v>59</v>
      </c>
      <c r="J3686" t="s">
        <v>60</v>
      </c>
      <c r="K3686" t="s">
        <v>29</v>
      </c>
      <c r="L3686" t="s">
        <v>895</v>
      </c>
      <c r="M3686" t="s">
        <v>4402</v>
      </c>
      <c r="O3686" t="s">
        <v>896</v>
      </c>
      <c r="P3686" t="s">
        <v>33</v>
      </c>
      <c r="Q3686" s="22">
        <v>781917.45</v>
      </c>
      <c r="R3686" t="s">
        <v>35</v>
      </c>
      <c r="S3686" t="s">
        <v>35</v>
      </c>
      <c r="T3686" t="s">
        <v>35</v>
      </c>
      <c r="U3686" t="s">
        <v>35</v>
      </c>
      <c r="V3686" t="s">
        <v>645</v>
      </c>
      <c r="W3686" t="s">
        <v>113</v>
      </c>
    </row>
    <row r="3687" spans="1:23" hidden="1" x14ac:dyDescent="0.25">
      <c r="A3687" s="7" t="str">
        <f>IFERROR(VLOOKUP(H3687,'Contas Orç'!A:B,2,0),"N/A")</f>
        <v>RECEITAS FINANCEIRAS</v>
      </c>
      <c r="B3687" s="7" t="str">
        <f t="shared" si="114"/>
        <v>380101 - RECEITAS FINANCEIRAS</v>
      </c>
      <c r="C3687" s="25">
        <f t="shared" si="115"/>
        <v>44682</v>
      </c>
      <c r="D3687" s="27">
        <f>IF(K3687="CREDITO",Q3687,Q3687*-1)</f>
        <v>873709.87</v>
      </c>
      <c r="E3687" t="s">
        <v>894</v>
      </c>
      <c r="F3687" t="s">
        <v>4163</v>
      </c>
      <c r="G3687" s="8">
        <v>44682</v>
      </c>
      <c r="H3687" t="s">
        <v>633</v>
      </c>
      <c r="I3687" t="s">
        <v>40</v>
      </c>
      <c r="J3687" t="s">
        <v>54</v>
      </c>
      <c r="K3687" t="s">
        <v>29</v>
      </c>
      <c r="L3687" t="s">
        <v>895</v>
      </c>
      <c r="M3687" t="s">
        <v>4402</v>
      </c>
      <c r="O3687" t="s">
        <v>896</v>
      </c>
      <c r="P3687" t="s">
        <v>33</v>
      </c>
      <c r="Q3687" s="22">
        <v>873709.87</v>
      </c>
      <c r="R3687" t="s">
        <v>35</v>
      </c>
      <c r="S3687" t="s">
        <v>35</v>
      </c>
      <c r="T3687" t="s">
        <v>35</v>
      </c>
      <c r="U3687" t="s">
        <v>35</v>
      </c>
      <c r="V3687" t="s">
        <v>645</v>
      </c>
      <c r="W3687" t="s">
        <v>113</v>
      </c>
    </row>
    <row r="3688" spans="1:23" hidden="1" x14ac:dyDescent="0.25">
      <c r="A3688" s="7" t="str">
        <f>IFERROR(VLOOKUP(H3688,'Contas Orç'!A:B,2,0),"N/A")</f>
        <v>RECEITAS FINANCEIRAS</v>
      </c>
      <c r="B3688" s="7" t="str">
        <f t="shared" si="114"/>
        <v>380101 - RECEITAS FINANCEIRAS</v>
      </c>
      <c r="C3688" s="25">
        <f t="shared" si="115"/>
        <v>44682</v>
      </c>
      <c r="D3688" s="27">
        <f>IF(K3688="CREDITO",Q3688,Q3688*-1)</f>
        <v>85988.08</v>
      </c>
      <c r="E3688" t="s">
        <v>894</v>
      </c>
      <c r="F3688" t="s">
        <v>4164</v>
      </c>
      <c r="G3688" s="8">
        <v>44682</v>
      </c>
      <c r="H3688" t="s">
        <v>633</v>
      </c>
      <c r="I3688" t="s">
        <v>1002</v>
      </c>
      <c r="J3688" t="s">
        <v>54</v>
      </c>
      <c r="K3688" t="s">
        <v>29</v>
      </c>
      <c r="L3688" t="s">
        <v>895</v>
      </c>
      <c r="M3688" t="s">
        <v>4402</v>
      </c>
      <c r="O3688" t="s">
        <v>896</v>
      </c>
      <c r="P3688" t="s">
        <v>33</v>
      </c>
      <c r="Q3688" s="22">
        <v>85988.08</v>
      </c>
      <c r="R3688" t="s">
        <v>35</v>
      </c>
      <c r="S3688" t="s">
        <v>35</v>
      </c>
      <c r="T3688" t="s">
        <v>35</v>
      </c>
      <c r="U3688" t="s">
        <v>35</v>
      </c>
      <c r="V3688" t="s">
        <v>645</v>
      </c>
      <c r="W3688" t="s">
        <v>113</v>
      </c>
    </row>
    <row r="3689" spans="1:23" hidden="1" x14ac:dyDescent="0.25">
      <c r="A3689" s="7" t="str">
        <f>IFERROR(VLOOKUP(H3689,'Contas Orç'!A:B,2,0),"N/A")</f>
        <v>RECEITAS FINANCEIRAS</v>
      </c>
      <c r="B3689" s="7" t="str">
        <f t="shared" si="114"/>
        <v>380101 - RECEITAS FINANCEIRAS</v>
      </c>
      <c r="C3689" s="25">
        <f t="shared" si="115"/>
        <v>44713</v>
      </c>
      <c r="D3689" s="27">
        <f>IF(K3689="CREDITO",Q3689,Q3689*-1)</f>
        <v>108123.59</v>
      </c>
      <c r="E3689" t="s">
        <v>894</v>
      </c>
      <c r="F3689" t="s">
        <v>4165</v>
      </c>
      <c r="G3689" s="8">
        <v>44713</v>
      </c>
      <c r="H3689" t="s">
        <v>633</v>
      </c>
      <c r="I3689" t="s">
        <v>1002</v>
      </c>
      <c r="J3689" t="s">
        <v>54</v>
      </c>
      <c r="K3689" t="s">
        <v>29</v>
      </c>
      <c r="L3689" t="s">
        <v>895</v>
      </c>
      <c r="M3689" t="s">
        <v>4402</v>
      </c>
      <c r="O3689" t="s">
        <v>896</v>
      </c>
      <c r="P3689" t="s">
        <v>33</v>
      </c>
      <c r="Q3689" s="22">
        <v>108123.59</v>
      </c>
      <c r="R3689" t="s">
        <v>35</v>
      </c>
      <c r="S3689" t="s">
        <v>35</v>
      </c>
      <c r="T3689" t="s">
        <v>35</v>
      </c>
      <c r="U3689" t="s">
        <v>35</v>
      </c>
      <c r="V3689" t="s">
        <v>645</v>
      </c>
      <c r="W3689" t="s">
        <v>113</v>
      </c>
    </row>
    <row r="3690" spans="1:23" hidden="1" x14ac:dyDescent="0.25">
      <c r="A3690" s="7" t="str">
        <f>IFERROR(VLOOKUP(H3690,'Contas Orç'!A:B,2,0),"N/A")</f>
        <v>RECEITAS FINANCEIRAS</v>
      </c>
      <c r="B3690" s="7" t="str">
        <f t="shared" si="114"/>
        <v>380101 - RECEITAS FINANCEIRAS</v>
      </c>
      <c r="C3690" s="25">
        <f t="shared" si="115"/>
        <v>44743</v>
      </c>
      <c r="D3690" s="27">
        <f>IF(K3690="CREDITO",Q3690,Q3690*-1)</f>
        <v>386983.71</v>
      </c>
      <c r="E3690" t="s">
        <v>894</v>
      </c>
      <c r="F3690" t="s">
        <v>4166</v>
      </c>
      <c r="G3690" s="8">
        <v>44743</v>
      </c>
      <c r="H3690" t="s">
        <v>633</v>
      </c>
      <c r="I3690" t="s">
        <v>40</v>
      </c>
      <c r="J3690" t="s">
        <v>54</v>
      </c>
      <c r="K3690" t="s">
        <v>29</v>
      </c>
      <c r="L3690" t="s">
        <v>895</v>
      </c>
      <c r="M3690" t="s">
        <v>4402</v>
      </c>
      <c r="O3690" t="s">
        <v>896</v>
      </c>
      <c r="P3690" t="s">
        <v>33</v>
      </c>
      <c r="Q3690" s="22">
        <v>386983.71</v>
      </c>
      <c r="R3690" t="s">
        <v>35</v>
      </c>
      <c r="S3690" t="s">
        <v>35</v>
      </c>
      <c r="T3690" t="s">
        <v>35</v>
      </c>
      <c r="U3690" t="s">
        <v>35</v>
      </c>
      <c r="V3690" t="s">
        <v>645</v>
      </c>
      <c r="W3690" t="s">
        <v>113</v>
      </c>
    </row>
    <row r="3691" spans="1:23" hidden="1" x14ac:dyDescent="0.25">
      <c r="A3691" s="7" t="str">
        <f>IFERROR(VLOOKUP(H3691,'Contas Orç'!A:B,2,0),"N/A")</f>
        <v>RECEITAS FINANCEIRAS</v>
      </c>
      <c r="B3691" s="7" t="str">
        <f t="shared" si="114"/>
        <v>380101 - RECEITAS FINANCEIRAS</v>
      </c>
      <c r="C3691" s="25">
        <f t="shared" si="115"/>
        <v>44743</v>
      </c>
      <c r="D3691" s="27">
        <f>IF(K3691="CREDITO",Q3691,Q3691*-1)</f>
        <v>111415.41</v>
      </c>
      <c r="E3691" t="s">
        <v>894</v>
      </c>
      <c r="F3691" t="s">
        <v>4167</v>
      </c>
      <c r="G3691" s="8">
        <v>44743</v>
      </c>
      <c r="H3691" t="s">
        <v>633</v>
      </c>
      <c r="I3691" t="s">
        <v>1002</v>
      </c>
      <c r="J3691" t="s">
        <v>54</v>
      </c>
      <c r="K3691" t="s">
        <v>29</v>
      </c>
      <c r="L3691" t="s">
        <v>895</v>
      </c>
      <c r="M3691" t="s">
        <v>4402</v>
      </c>
      <c r="O3691" t="s">
        <v>896</v>
      </c>
      <c r="P3691" t="s">
        <v>33</v>
      </c>
      <c r="Q3691" s="22">
        <v>111415.41</v>
      </c>
      <c r="R3691" t="s">
        <v>35</v>
      </c>
      <c r="S3691" t="s">
        <v>35</v>
      </c>
      <c r="T3691" t="s">
        <v>35</v>
      </c>
      <c r="U3691" t="s">
        <v>35</v>
      </c>
      <c r="V3691" t="s">
        <v>645</v>
      </c>
      <c r="W3691" t="s">
        <v>113</v>
      </c>
    </row>
    <row r="3692" spans="1:23" hidden="1" x14ac:dyDescent="0.25">
      <c r="A3692" s="7" t="str">
        <f>IFERROR(VLOOKUP(H3692,'Contas Orç'!A:B,2,0),"N/A")</f>
        <v>RECEITAS FINANCEIRAS</v>
      </c>
      <c r="B3692" s="7" t="str">
        <f t="shared" si="114"/>
        <v>380101 - RECEITAS FINANCEIRAS</v>
      </c>
      <c r="C3692" s="25">
        <f t="shared" si="115"/>
        <v>44774</v>
      </c>
      <c r="D3692" s="27">
        <f>IF(K3692="CREDITO",Q3692,Q3692*-1)</f>
        <v>137601.17000000001</v>
      </c>
      <c r="E3692" t="s">
        <v>894</v>
      </c>
      <c r="F3692" t="s">
        <v>4168</v>
      </c>
      <c r="G3692" s="8">
        <v>44774</v>
      </c>
      <c r="H3692" t="s">
        <v>633</v>
      </c>
      <c r="I3692" t="s">
        <v>40</v>
      </c>
      <c r="J3692" t="s">
        <v>54</v>
      </c>
      <c r="K3692" t="s">
        <v>29</v>
      </c>
      <c r="L3692" t="s">
        <v>895</v>
      </c>
      <c r="M3692" t="s">
        <v>4402</v>
      </c>
      <c r="O3692" t="s">
        <v>896</v>
      </c>
      <c r="P3692" t="s">
        <v>33</v>
      </c>
      <c r="Q3692" s="22">
        <v>137601.17000000001</v>
      </c>
      <c r="R3692" t="s">
        <v>35</v>
      </c>
      <c r="S3692" t="s">
        <v>35</v>
      </c>
      <c r="T3692" t="s">
        <v>35</v>
      </c>
      <c r="U3692" t="s">
        <v>35</v>
      </c>
      <c r="V3692" t="s">
        <v>645</v>
      </c>
      <c r="W3692" t="s">
        <v>113</v>
      </c>
    </row>
    <row r="3693" spans="1:23" hidden="1" x14ac:dyDescent="0.25">
      <c r="A3693" s="7" t="str">
        <f>IFERROR(VLOOKUP(H3693,'Contas Orç'!A:B,2,0),"N/A")</f>
        <v>RECEITAS FINANCEIRAS</v>
      </c>
      <c r="B3693" s="7" t="str">
        <f t="shared" si="114"/>
        <v>380101 - RECEITAS FINANCEIRAS</v>
      </c>
      <c r="C3693" s="25">
        <f t="shared" si="115"/>
        <v>44774</v>
      </c>
      <c r="D3693" s="27">
        <f>IF(K3693="CREDITO",Q3693,Q3693*-1)</f>
        <v>111209.9</v>
      </c>
      <c r="E3693" t="s">
        <v>894</v>
      </c>
      <c r="F3693" t="s">
        <v>4169</v>
      </c>
      <c r="G3693" s="8">
        <v>44774</v>
      </c>
      <c r="H3693" t="s">
        <v>633</v>
      </c>
      <c r="I3693" t="s">
        <v>1002</v>
      </c>
      <c r="J3693" t="s">
        <v>54</v>
      </c>
      <c r="K3693" t="s">
        <v>29</v>
      </c>
      <c r="L3693" t="s">
        <v>895</v>
      </c>
      <c r="M3693" t="s">
        <v>4402</v>
      </c>
      <c r="O3693" t="s">
        <v>896</v>
      </c>
      <c r="P3693" t="s">
        <v>33</v>
      </c>
      <c r="Q3693" s="22">
        <v>111209.9</v>
      </c>
      <c r="R3693" t="s">
        <v>35</v>
      </c>
      <c r="S3693" t="s">
        <v>35</v>
      </c>
      <c r="T3693" t="s">
        <v>35</v>
      </c>
      <c r="U3693" t="s">
        <v>35</v>
      </c>
      <c r="V3693" t="s">
        <v>645</v>
      </c>
      <c r="W3693" t="s">
        <v>113</v>
      </c>
    </row>
    <row r="3694" spans="1:23" hidden="1" x14ac:dyDescent="0.25">
      <c r="A3694" s="7" t="str">
        <f>IFERROR(VLOOKUP(H3694,'Contas Orç'!A:B,2,0),"N/A")</f>
        <v>RECEITAS FINANCEIRAS</v>
      </c>
      <c r="B3694" s="7" t="str">
        <f t="shared" si="114"/>
        <v>380101 - RECEITAS FINANCEIRAS</v>
      </c>
      <c r="C3694" s="25">
        <f t="shared" si="115"/>
        <v>44805</v>
      </c>
      <c r="D3694" s="27">
        <f>IF(K3694="CREDITO",Q3694,Q3694*-1)</f>
        <v>39.049999999999997</v>
      </c>
      <c r="E3694" t="s">
        <v>894</v>
      </c>
      <c r="F3694" t="s">
        <v>4170</v>
      </c>
      <c r="G3694" s="8">
        <v>44805</v>
      </c>
      <c r="H3694" t="s">
        <v>633</v>
      </c>
      <c r="I3694" t="s">
        <v>27</v>
      </c>
      <c r="J3694" t="s">
        <v>28</v>
      </c>
      <c r="K3694" t="s">
        <v>29</v>
      </c>
      <c r="L3694" t="s">
        <v>895</v>
      </c>
      <c r="M3694" t="s">
        <v>4402</v>
      </c>
      <c r="O3694" t="s">
        <v>896</v>
      </c>
      <c r="P3694" t="s">
        <v>33</v>
      </c>
      <c r="Q3694">
        <v>39.049999999999997</v>
      </c>
      <c r="R3694" t="s">
        <v>35</v>
      </c>
      <c r="S3694" t="s">
        <v>35</v>
      </c>
      <c r="T3694" t="s">
        <v>35</v>
      </c>
      <c r="U3694" t="s">
        <v>35</v>
      </c>
      <c r="V3694" t="s">
        <v>645</v>
      </c>
      <c r="W3694" t="s">
        <v>113</v>
      </c>
    </row>
    <row r="3695" spans="1:23" hidden="1" x14ac:dyDescent="0.25">
      <c r="A3695" s="7" t="str">
        <f>IFERROR(VLOOKUP(H3695,'Contas Orç'!A:B,2,0),"N/A")</f>
        <v>RECEITAS FINANCEIRAS</v>
      </c>
      <c r="B3695" s="7" t="str">
        <f t="shared" si="114"/>
        <v>380101 - RECEITAS FINANCEIRAS</v>
      </c>
      <c r="C3695" s="25">
        <f t="shared" si="115"/>
        <v>44805</v>
      </c>
      <c r="D3695" s="27">
        <f>IF(K3695="CREDITO",Q3695,Q3695*-1)</f>
        <v>480.23</v>
      </c>
      <c r="E3695" t="s">
        <v>894</v>
      </c>
      <c r="F3695" t="s">
        <v>4171</v>
      </c>
      <c r="G3695" s="8">
        <v>44805</v>
      </c>
      <c r="H3695" t="s">
        <v>633</v>
      </c>
      <c r="I3695" t="s">
        <v>40</v>
      </c>
      <c r="J3695" t="s">
        <v>54</v>
      </c>
      <c r="K3695" t="s">
        <v>29</v>
      </c>
      <c r="L3695" t="s">
        <v>895</v>
      </c>
      <c r="M3695" t="s">
        <v>4402</v>
      </c>
      <c r="O3695" t="s">
        <v>896</v>
      </c>
      <c r="P3695" t="s">
        <v>33</v>
      </c>
      <c r="Q3695">
        <v>480.23</v>
      </c>
      <c r="R3695" t="s">
        <v>35</v>
      </c>
      <c r="S3695" t="s">
        <v>35</v>
      </c>
      <c r="T3695" t="s">
        <v>35</v>
      </c>
      <c r="U3695" t="s">
        <v>35</v>
      </c>
      <c r="V3695" t="s">
        <v>645</v>
      </c>
      <c r="W3695" t="s">
        <v>113</v>
      </c>
    </row>
    <row r="3696" spans="1:23" hidden="1" x14ac:dyDescent="0.25">
      <c r="A3696" s="7" t="str">
        <f>IFERROR(VLOOKUP(H3696,'Contas Orç'!A:B,2,0),"N/A")</f>
        <v>RECEITAS FINANCEIRAS</v>
      </c>
      <c r="B3696" s="7" t="str">
        <f t="shared" si="114"/>
        <v>380101 - RECEITAS FINANCEIRAS</v>
      </c>
      <c r="C3696" s="25">
        <f t="shared" si="115"/>
        <v>44805</v>
      </c>
      <c r="D3696" s="27">
        <f>IF(K3696="CREDITO",Q3696,Q3696*-1)</f>
        <v>105438.79</v>
      </c>
      <c r="E3696" t="s">
        <v>894</v>
      </c>
      <c r="F3696" t="s">
        <v>4172</v>
      </c>
      <c r="G3696" s="8">
        <v>44805</v>
      </c>
      <c r="H3696" t="s">
        <v>633</v>
      </c>
      <c r="I3696" t="s">
        <v>1002</v>
      </c>
      <c r="J3696" t="s">
        <v>54</v>
      </c>
      <c r="K3696" t="s">
        <v>29</v>
      </c>
      <c r="L3696" t="s">
        <v>895</v>
      </c>
      <c r="M3696" t="s">
        <v>4402</v>
      </c>
      <c r="O3696" t="s">
        <v>896</v>
      </c>
      <c r="P3696" t="s">
        <v>33</v>
      </c>
      <c r="Q3696" s="22">
        <v>105438.79</v>
      </c>
      <c r="R3696" t="s">
        <v>35</v>
      </c>
      <c r="S3696" t="s">
        <v>35</v>
      </c>
      <c r="T3696" t="s">
        <v>35</v>
      </c>
      <c r="U3696" t="s">
        <v>35</v>
      </c>
      <c r="V3696" t="s">
        <v>645</v>
      </c>
      <c r="W3696" t="s">
        <v>113</v>
      </c>
    </row>
    <row r="3697" spans="1:23" hidden="1" x14ac:dyDescent="0.25">
      <c r="A3697" s="7" t="str">
        <f>IFERROR(VLOOKUP(H3697,'Contas Orç'!A:B,2,0),"N/A")</f>
        <v>RECEITAS FINANCEIRAS</v>
      </c>
      <c r="B3697" s="7" t="str">
        <f t="shared" si="114"/>
        <v>380101 - RECEITAS FINANCEIRAS</v>
      </c>
      <c r="C3697" s="25">
        <f t="shared" si="115"/>
        <v>44835</v>
      </c>
      <c r="D3697" s="27">
        <f>IF(K3697="CREDITO",Q3697,Q3697*-1)</f>
        <v>39.44</v>
      </c>
      <c r="E3697" t="s">
        <v>894</v>
      </c>
      <c r="F3697" t="s">
        <v>4173</v>
      </c>
      <c r="G3697" s="8">
        <v>44835</v>
      </c>
      <c r="H3697" t="s">
        <v>633</v>
      </c>
      <c r="I3697" t="s">
        <v>27</v>
      </c>
      <c r="J3697" t="s">
        <v>28</v>
      </c>
      <c r="K3697" t="s">
        <v>29</v>
      </c>
      <c r="L3697" t="s">
        <v>895</v>
      </c>
      <c r="M3697" t="s">
        <v>4402</v>
      </c>
      <c r="O3697" t="s">
        <v>896</v>
      </c>
      <c r="P3697" t="s">
        <v>33</v>
      </c>
      <c r="Q3697">
        <v>39.44</v>
      </c>
      <c r="R3697" t="s">
        <v>35</v>
      </c>
      <c r="S3697" t="s">
        <v>35</v>
      </c>
      <c r="T3697" t="s">
        <v>35</v>
      </c>
      <c r="U3697" t="s">
        <v>35</v>
      </c>
      <c r="V3697" t="s">
        <v>645</v>
      </c>
      <c r="W3697" t="s">
        <v>113</v>
      </c>
    </row>
    <row r="3698" spans="1:23" hidden="1" x14ac:dyDescent="0.25">
      <c r="A3698" s="7" t="str">
        <f>IFERROR(VLOOKUP(H3698,'Contas Orç'!A:B,2,0),"N/A")</f>
        <v>RECEITAS FINANCEIRAS</v>
      </c>
      <c r="B3698" s="7" t="str">
        <f t="shared" si="114"/>
        <v>380101 - RECEITAS FINANCEIRAS</v>
      </c>
      <c r="C3698" s="25">
        <f t="shared" si="115"/>
        <v>44835</v>
      </c>
      <c r="D3698" s="27">
        <f>IF(K3698="CREDITO",Q3698,Q3698*-1)</f>
        <v>485.03</v>
      </c>
      <c r="E3698" t="s">
        <v>894</v>
      </c>
      <c r="F3698" t="s">
        <v>4174</v>
      </c>
      <c r="G3698" s="8">
        <v>44835</v>
      </c>
      <c r="H3698" t="s">
        <v>633</v>
      </c>
      <c r="I3698" t="s">
        <v>40</v>
      </c>
      <c r="J3698" t="s">
        <v>54</v>
      </c>
      <c r="K3698" t="s">
        <v>29</v>
      </c>
      <c r="L3698" t="s">
        <v>895</v>
      </c>
      <c r="M3698" t="s">
        <v>4402</v>
      </c>
      <c r="O3698" t="s">
        <v>896</v>
      </c>
      <c r="P3698" t="s">
        <v>33</v>
      </c>
      <c r="Q3698">
        <v>485.03</v>
      </c>
      <c r="R3698" t="s">
        <v>35</v>
      </c>
      <c r="S3698" t="s">
        <v>35</v>
      </c>
      <c r="T3698" t="s">
        <v>35</v>
      </c>
      <c r="U3698" t="s">
        <v>35</v>
      </c>
      <c r="V3698" t="s">
        <v>645</v>
      </c>
      <c r="W3698" t="s">
        <v>113</v>
      </c>
    </row>
    <row r="3699" spans="1:23" hidden="1" x14ac:dyDescent="0.25">
      <c r="A3699" s="7" t="str">
        <f>IFERROR(VLOOKUP(H3699,'Contas Orç'!A:B,2,0),"N/A")</f>
        <v>RECEITAS FINANCEIRAS</v>
      </c>
      <c r="B3699" s="7" t="str">
        <f t="shared" si="114"/>
        <v>380101 - RECEITAS FINANCEIRAS</v>
      </c>
      <c r="C3699" s="25">
        <f t="shared" si="115"/>
        <v>44835</v>
      </c>
      <c r="D3699" s="27">
        <f>IF(K3699="CREDITO",Q3699,Q3699*-1)</f>
        <v>106493.18</v>
      </c>
      <c r="E3699" t="s">
        <v>894</v>
      </c>
      <c r="F3699" t="s">
        <v>4175</v>
      </c>
      <c r="G3699" s="8">
        <v>44835</v>
      </c>
      <c r="H3699" t="s">
        <v>633</v>
      </c>
      <c r="I3699" t="s">
        <v>1002</v>
      </c>
      <c r="J3699" t="s">
        <v>54</v>
      </c>
      <c r="K3699" t="s">
        <v>29</v>
      </c>
      <c r="L3699" t="s">
        <v>895</v>
      </c>
      <c r="M3699" t="s">
        <v>4402</v>
      </c>
      <c r="O3699" t="s">
        <v>896</v>
      </c>
      <c r="P3699" t="s">
        <v>33</v>
      </c>
      <c r="Q3699" s="22">
        <v>106493.18</v>
      </c>
      <c r="R3699" t="s">
        <v>35</v>
      </c>
      <c r="S3699" t="s">
        <v>35</v>
      </c>
      <c r="T3699" t="s">
        <v>35</v>
      </c>
      <c r="U3699" t="s">
        <v>35</v>
      </c>
      <c r="V3699" t="s">
        <v>645</v>
      </c>
      <c r="W3699" t="s">
        <v>113</v>
      </c>
    </row>
    <row r="3700" spans="1:23" hidden="1" x14ac:dyDescent="0.25">
      <c r="A3700" s="7" t="str">
        <f>IFERROR(VLOOKUP(H3700,'Contas Orç'!A:B,2,0),"N/A")</f>
        <v>RECEITAS FINANCEIRAS</v>
      </c>
      <c r="B3700" s="7" t="str">
        <f t="shared" si="114"/>
        <v>380101 - RECEITAS FINANCEIRAS</v>
      </c>
      <c r="C3700" s="25">
        <f t="shared" si="115"/>
        <v>44866</v>
      </c>
      <c r="D3700" s="27">
        <f>IF(K3700="CREDITO",Q3700,Q3700*-1)</f>
        <v>39.83</v>
      </c>
      <c r="E3700" t="s">
        <v>894</v>
      </c>
      <c r="F3700" t="s">
        <v>4176</v>
      </c>
      <c r="G3700" s="8">
        <v>44866</v>
      </c>
      <c r="H3700" t="s">
        <v>633</v>
      </c>
      <c r="I3700" t="s">
        <v>27</v>
      </c>
      <c r="J3700" t="s">
        <v>28</v>
      </c>
      <c r="K3700" t="s">
        <v>29</v>
      </c>
      <c r="L3700" t="s">
        <v>895</v>
      </c>
      <c r="M3700" t="s">
        <v>4402</v>
      </c>
      <c r="O3700" t="s">
        <v>896</v>
      </c>
      <c r="P3700" t="s">
        <v>33</v>
      </c>
      <c r="Q3700">
        <v>39.83</v>
      </c>
      <c r="R3700" t="s">
        <v>35</v>
      </c>
      <c r="S3700" t="s">
        <v>35</v>
      </c>
      <c r="T3700" t="s">
        <v>35</v>
      </c>
      <c r="U3700" t="s">
        <v>35</v>
      </c>
      <c r="V3700" t="s">
        <v>645</v>
      </c>
      <c r="W3700" t="s">
        <v>113</v>
      </c>
    </row>
    <row r="3701" spans="1:23" hidden="1" x14ac:dyDescent="0.25">
      <c r="A3701" s="7" t="str">
        <f>IFERROR(VLOOKUP(H3701,'Contas Orç'!A:B,2,0),"N/A")</f>
        <v>RECEITAS FINANCEIRAS</v>
      </c>
      <c r="B3701" s="7" t="str">
        <f t="shared" si="114"/>
        <v>380101 - RECEITAS FINANCEIRAS</v>
      </c>
      <c r="C3701" s="25">
        <f t="shared" si="115"/>
        <v>44866</v>
      </c>
      <c r="D3701" s="27">
        <f>IF(K3701="CREDITO",Q3701,Q3701*-1)</f>
        <v>489.88</v>
      </c>
      <c r="E3701" t="s">
        <v>894</v>
      </c>
      <c r="F3701" t="s">
        <v>4177</v>
      </c>
      <c r="G3701" s="8">
        <v>44866</v>
      </c>
      <c r="H3701" t="s">
        <v>633</v>
      </c>
      <c r="I3701" t="s">
        <v>40</v>
      </c>
      <c r="J3701" t="s">
        <v>54</v>
      </c>
      <c r="K3701" t="s">
        <v>29</v>
      </c>
      <c r="L3701" t="s">
        <v>895</v>
      </c>
      <c r="M3701" t="s">
        <v>4402</v>
      </c>
      <c r="O3701" t="s">
        <v>896</v>
      </c>
      <c r="P3701" t="s">
        <v>33</v>
      </c>
      <c r="Q3701">
        <v>489.88</v>
      </c>
      <c r="R3701" t="s">
        <v>35</v>
      </c>
      <c r="S3701" t="s">
        <v>35</v>
      </c>
      <c r="T3701" t="s">
        <v>35</v>
      </c>
      <c r="U3701" t="s">
        <v>35</v>
      </c>
      <c r="V3701" t="s">
        <v>645</v>
      </c>
      <c r="W3701" t="s">
        <v>113</v>
      </c>
    </row>
    <row r="3702" spans="1:23" hidden="1" x14ac:dyDescent="0.25">
      <c r="A3702" s="7" t="str">
        <f>IFERROR(VLOOKUP(H3702,'Contas Orç'!A:B,2,0),"N/A")</f>
        <v>RECEITAS FINANCEIRAS</v>
      </c>
      <c r="B3702" s="7" t="str">
        <f t="shared" si="114"/>
        <v>380101 - RECEITAS FINANCEIRAS</v>
      </c>
      <c r="C3702" s="25">
        <f t="shared" si="115"/>
        <v>44866</v>
      </c>
      <c r="D3702" s="27">
        <f>IF(K3702="CREDITO",Q3702,Q3702*-1)</f>
        <v>107558.11</v>
      </c>
      <c r="E3702" t="s">
        <v>894</v>
      </c>
      <c r="F3702" t="s">
        <v>4178</v>
      </c>
      <c r="G3702" s="8">
        <v>44866</v>
      </c>
      <c r="H3702" t="s">
        <v>633</v>
      </c>
      <c r="I3702" t="s">
        <v>1002</v>
      </c>
      <c r="J3702" t="s">
        <v>54</v>
      </c>
      <c r="K3702" t="s">
        <v>29</v>
      </c>
      <c r="L3702" t="s">
        <v>895</v>
      </c>
      <c r="M3702" t="s">
        <v>4402</v>
      </c>
      <c r="O3702" t="s">
        <v>896</v>
      </c>
      <c r="P3702" t="s">
        <v>33</v>
      </c>
      <c r="Q3702" s="22">
        <v>107558.11</v>
      </c>
      <c r="R3702" t="s">
        <v>35</v>
      </c>
      <c r="S3702" t="s">
        <v>35</v>
      </c>
      <c r="T3702" t="s">
        <v>35</v>
      </c>
      <c r="U3702" t="s">
        <v>35</v>
      </c>
      <c r="V3702" t="s">
        <v>645</v>
      </c>
      <c r="W3702" t="s">
        <v>113</v>
      </c>
    </row>
    <row r="3703" spans="1:23" hidden="1" x14ac:dyDescent="0.25">
      <c r="A3703" s="7" t="str">
        <f>IFERROR(VLOOKUP(H3703,'Contas Orç'!A:B,2,0),"N/A")</f>
        <v>RECEITAS FINANCEIRAS</v>
      </c>
      <c r="B3703" s="7" t="str">
        <f t="shared" si="114"/>
        <v>380101 - RECEITAS FINANCEIRAS</v>
      </c>
      <c r="C3703" s="25">
        <f t="shared" si="115"/>
        <v>44896</v>
      </c>
      <c r="D3703" s="27">
        <f>IF(K3703="CREDITO",Q3703,Q3703*-1)</f>
        <v>40.229999999999997</v>
      </c>
      <c r="E3703" t="s">
        <v>894</v>
      </c>
      <c r="F3703" t="s">
        <v>4179</v>
      </c>
      <c r="G3703" s="8">
        <v>44896</v>
      </c>
      <c r="H3703" t="s">
        <v>633</v>
      </c>
      <c r="I3703" t="s">
        <v>27</v>
      </c>
      <c r="J3703" t="s">
        <v>28</v>
      </c>
      <c r="K3703" t="s">
        <v>29</v>
      </c>
      <c r="L3703" t="s">
        <v>895</v>
      </c>
      <c r="M3703" t="s">
        <v>4402</v>
      </c>
      <c r="O3703" t="s">
        <v>896</v>
      </c>
      <c r="P3703" t="s">
        <v>33</v>
      </c>
      <c r="Q3703">
        <v>40.229999999999997</v>
      </c>
      <c r="R3703" t="s">
        <v>35</v>
      </c>
      <c r="S3703" t="s">
        <v>35</v>
      </c>
      <c r="T3703" t="s">
        <v>35</v>
      </c>
      <c r="U3703" t="s">
        <v>35</v>
      </c>
      <c r="V3703" t="s">
        <v>645</v>
      </c>
      <c r="W3703" t="s">
        <v>113</v>
      </c>
    </row>
    <row r="3704" spans="1:23" hidden="1" x14ac:dyDescent="0.25">
      <c r="A3704" s="7" t="str">
        <f>IFERROR(VLOOKUP(H3704,'Contas Orç'!A:B,2,0),"N/A")</f>
        <v>RECEITAS FINANCEIRAS</v>
      </c>
      <c r="B3704" s="7" t="str">
        <f t="shared" si="114"/>
        <v>380101 - RECEITAS FINANCEIRAS</v>
      </c>
      <c r="C3704" s="25">
        <f t="shared" si="115"/>
        <v>44896</v>
      </c>
      <c r="D3704" s="27">
        <f>IF(K3704="CREDITO",Q3704,Q3704*-1)</f>
        <v>494.78</v>
      </c>
      <c r="E3704" t="s">
        <v>894</v>
      </c>
      <c r="F3704" t="s">
        <v>4180</v>
      </c>
      <c r="G3704" s="8">
        <v>44896</v>
      </c>
      <c r="H3704" t="s">
        <v>633</v>
      </c>
      <c r="I3704" t="s">
        <v>40</v>
      </c>
      <c r="J3704" t="s">
        <v>54</v>
      </c>
      <c r="K3704" t="s">
        <v>29</v>
      </c>
      <c r="L3704" t="s">
        <v>895</v>
      </c>
      <c r="M3704" t="s">
        <v>4402</v>
      </c>
      <c r="O3704" t="s">
        <v>896</v>
      </c>
      <c r="P3704" t="s">
        <v>33</v>
      </c>
      <c r="Q3704">
        <v>494.78</v>
      </c>
      <c r="R3704" t="s">
        <v>35</v>
      </c>
      <c r="S3704" t="s">
        <v>35</v>
      </c>
      <c r="T3704" t="s">
        <v>35</v>
      </c>
      <c r="U3704" t="s">
        <v>35</v>
      </c>
      <c r="V3704" t="s">
        <v>645</v>
      </c>
      <c r="W3704" t="s">
        <v>113</v>
      </c>
    </row>
    <row r="3705" spans="1:23" hidden="1" x14ac:dyDescent="0.25">
      <c r="A3705" s="7" t="str">
        <f>IFERROR(VLOOKUP(H3705,'Contas Orç'!A:B,2,0),"N/A")</f>
        <v>RECEITAS FINANCEIRAS</v>
      </c>
      <c r="B3705" s="7" t="str">
        <f t="shared" si="114"/>
        <v>380101 - RECEITAS FINANCEIRAS</v>
      </c>
      <c r="C3705" s="25">
        <f t="shared" si="115"/>
        <v>44896</v>
      </c>
      <c r="D3705" s="27">
        <f>IF(K3705="CREDITO",Q3705,Q3705*-1)</f>
        <v>108633.69</v>
      </c>
      <c r="E3705" t="s">
        <v>894</v>
      </c>
      <c r="F3705" t="s">
        <v>4181</v>
      </c>
      <c r="G3705" s="8">
        <v>44896</v>
      </c>
      <c r="H3705" t="s">
        <v>633</v>
      </c>
      <c r="I3705" t="s">
        <v>1002</v>
      </c>
      <c r="J3705" t="s">
        <v>54</v>
      </c>
      <c r="K3705" t="s">
        <v>29</v>
      </c>
      <c r="L3705" t="s">
        <v>895</v>
      </c>
      <c r="M3705" t="s">
        <v>4402</v>
      </c>
      <c r="O3705" t="s">
        <v>896</v>
      </c>
      <c r="P3705" t="s">
        <v>33</v>
      </c>
      <c r="Q3705" s="22">
        <v>108633.69</v>
      </c>
      <c r="R3705" t="s">
        <v>35</v>
      </c>
      <c r="S3705" t="s">
        <v>35</v>
      </c>
      <c r="T3705" t="s">
        <v>35</v>
      </c>
      <c r="U3705" t="s">
        <v>35</v>
      </c>
      <c r="V3705" t="s">
        <v>645</v>
      </c>
      <c r="W3705" t="s">
        <v>113</v>
      </c>
    </row>
    <row r="3706" spans="1:23" hidden="1" x14ac:dyDescent="0.25">
      <c r="A3706" s="7" t="str">
        <f>IFERROR(VLOOKUP(H3706,'Contas Orç'!A:B,2,0),"N/A")</f>
        <v>DESPESAS FINANCEIRAS</v>
      </c>
      <c r="B3706" s="7" t="str">
        <f t="shared" si="114"/>
        <v>380201 - DESPESAS FINANCEIRAS</v>
      </c>
      <c r="C3706" s="25">
        <f t="shared" si="115"/>
        <v>44562</v>
      </c>
      <c r="D3706" s="27">
        <f>IF(K3706="CREDITO",Q3706,Q3706*-1)</f>
        <v>8154</v>
      </c>
      <c r="E3706" t="s">
        <v>894</v>
      </c>
      <c r="F3706" t="s">
        <v>4182</v>
      </c>
      <c r="G3706" s="8">
        <v>44562</v>
      </c>
      <c r="H3706" t="s">
        <v>635</v>
      </c>
      <c r="I3706" t="s">
        <v>27</v>
      </c>
      <c r="J3706" t="s">
        <v>28</v>
      </c>
      <c r="K3706" t="s">
        <v>29</v>
      </c>
      <c r="L3706" t="s">
        <v>895</v>
      </c>
      <c r="M3706" t="s">
        <v>4402</v>
      </c>
      <c r="O3706" t="s">
        <v>896</v>
      </c>
      <c r="P3706" t="s">
        <v>33</v>
      </c>
      <c r="Q3706" s="22">
        <v>8154</v>
      </c>
      <c r="R3706" t="s">
        <v>35</v>
      </c>
      <c r="S3706" t="s">
        <v>35</v>
      </c>
      <c r="T3706" t="s">
        <v>35</v>
      </c>
      <c r="U3706" t="s">
        <v>35</v>
      </c>
      <c r="V3706" t="s">
        <v>645</v>
      </c>
      <c r="W3706" t="s">
        <v>113</v>
      </c>
    </row>
    <row r="3707" spans="1:23" hidden="1" x14ac:dyDescent="0.25">
      <c r="A3707" s="7" t="str">
        <f>IFERROR(VLOOKUP(H3707,'Contas Orç'!A:B,2,0),"N/A")</f>
        <v>DESPESAS FINANCEIRAS</v>
      </c>
      <c r="B3707" s="7" t="str">
        <f t="shared" si="114"/>
        <v>380201 - DESPESAS FINANCEIRAS</v>
      </c>
      <c r="C3707" s="25">
        <f t="shared" si="115"/>
        <v>44562</v>
      </c>
      <c r="D3707" s="27">
        <f>IF(K3707="CREDITO",Q3707,Q3707*-1)</f>
        <v>84.18</v>
      </c>
      <c r="E3707" t="s">
        <v>894</v>
      </c>
      <c r="F3707" t="s">
        <v>4183</v>
      </c>
      <c r="G3707" s="8">
        <v>44562</v>
      </c>
      <c r="H3707" t="s">
        <v>635</v>
      </c>
      <c r="I3707" t="s">
        <v>2062</v>
      </c>
      <c r="J3707" t="s">
        <v>54</v>
      </c>
      <c r="K3707" t="s">
        <v>29</v>
      </c>
      <c r="L3707" t="s">
        <v>895</v>
      </c>
      <c r="M3707" t="s">
        <v>4402</v>
      </c>
      <c r="O3707" t="s">
        <v>896</v>
      </c>
      <c r="P3707" t="s">
        <v>33</v>
      </c>
      <c r="Q3707">
        <v>84.18</v>
      </c>
      <c r="R3707" t="s">
        <v>35</v>
      </c>
      <c r="S3707" t="s">
        <v>35</v>
      </c>
      <c r="T3707" t="s">
        <v>35</v>
      </c>
      <c r="U3707" t="s">
        <v>35</v>
      </c>
      <c r="V3707" t="s">
        <v>645</v>
      </c>
      <c r="W3707" t="s">
        <v>113</v>
      </c>
    </row>
    <row r="3708" spans="1:23" hidden="1" x14ac:dyDescent="0.25">
      <c r="A3708" s="7" t="str">
        <f>IFERROR(VLOOKUP(H3708,'Contas Orç'!A:B,2,0),"N/A")</f>
        <v>DESPESAS FINANCEIRAS</v>
      </c>
      <c r="B3708" s="7" t="str">
        <f t="shared" si="114"/>
        <v>380201 - DESPESAS FINANCEIRAS</v>
      </c>
      <c r="C3708" s="25">
        <f t="shared" si="115"/>
        <v>44562</v>
      </c>
      <c r="D3708" s="27">
        <f>IF(K3708="CREDITO",Q3708,Q3708*-1)</f>
        <v>37100.42</v>
      </c>
      <c r="E3708" t="s">
        <v>894</v>
      </c>
      <c r="F3708" t="s">
        <v>4184</v>
      </c>
      <c r="G3708" s="8">
        <v>44562</v>
      </c>
      <c r="H3708" t="s">
        <v>635</v>
      </c>
      <c r="I3708" t="s">
        <v>40</v>
      </c>
      <c r="J3708" t="s">
        <v>54</v>
      </c>
      <c r="K3708" t="s">
        <v>29</v>
      </c>
      <c r="L3708" t="s">
        <v>895</v>
      </c>
      <c r="M3708" t="s">
        <v>4402</v>
      </c>
      <c r="O3708" t="s">
        <v>896</v>
      </c>
      <c r="P3708" t="s">
        <v>33</v>
      </c>
      <c r="Q3708" s="22">
        <v>37100.42</v>
      </c>
      <c r="R3708" t="s">
        <v>35</v>
      </c>
      <c r="S3708" t="s">
        <v>35</v>
      </c>
      <c r="T3708" t="s">
        <v>35</v>
      </c>
      <c r="U3708" t="s">
        <v>35</v>
      </c>
      <c r="V3708" t="s">
        <v>645</v>
      </c>
      <c r="W3708" t="s">
        <v>113</v>
      </c>
    </row>
    <row r="3709" spans="1:23" hidden="1" x14ac:dyDescent="0.25">
      <c r="A3709" s="7" t="str">
        <f>IFERROR(VLOOKUP(H3709,'Contas Orç'!A:B,2,0),"N/A")</f>
        <v>DESPESAS FINANCEIRAS</v>
      </c>
      <c r="B3709" s="7" t="str">
        <f t="shared" si="114"/>
        <v>380201 - DESPESAS FINANCEIRAS</v>
      </c>
      <c r="C3709" s="25">
        <f t="shared" si="115"/>
        <v>44562</v>
      </c>
      <c r="D3709" s="27">
        <f>IF(K3709="CREDITO",Q3709,Q3709*-1)</f>
        <v>241855.45</v>
      </c>
      <c r="E3709" t="s">
        <v>894</v>
      </c>
      <c r="F3709" t="s">
        <v>4185</v>
      </c>
      <c r="G3709" s="8">
        <v>44562</v>
      </c>
      <c r="H3709" t="s">
        <v>635</v>
      </c>
      <c r="I3709" t="s">
        <v>1002</v>
      </c>
      <c r="J3709" t="s">
        <v>54</v>
      </c>
      <c r="K3709" t="s">
        <v>29</v>
      </c>
      <c r="L3709" t="s">
        <v>895</v>
      </c>
      <c r="M3709" t="s">
        <v>4402</v>
      </c>
      <c r="O3709" t="s">
        <v>896</v>
      </c>
      <c r="P3709" t="s">
        <v>33</v>
      </c>
      <c r="Q3709" s="22">
        <v>241855.45</v>
      </c>
      <c r="R3709" t="s">
        <v>35</v>
      </c>
      <c r="S3709" t="s">
        <v>35</v>
      </c>
      <c r="T3709" t="s">
        <v>35</v>
      </c>
      <c r="U3709" t="s">
        <v>35</v>
      </c>
      <c r="V3709" t="s">
        <v>645</v>
      </c>
      <c r="W3709" t="s">
        <v>113</v>
      </c>
    </row>
    <row r="3710" spans="1:23" hidden="1" x14ac:dyDescent="0.25">
      <c r="A3710" s="7" t="str">
        <f>IFERROR(VLOOKUP(H3710,'Contas Orç'!A:B,2,0),"N/A")</f>
        <v>DESPESAS FINANCEIRAS</v>
      </c>
      <c r="B3710" s="7" t="str">
        <f t="shared" si="114"/>
        <v>380201 - DESPESAS FINANCEIRAS</v>
      </c>
      <c r="C3710" s="25">
        <f t="shared" si="115"/>
        <v>44562</v>
      </c>
      <c r="D3710" s="27">
        <f>IF(K3710="CREDITO",Q3710,Q3710*-1)</f>
        <v>970.13</v>
      </c>
      <c r="E3710" t="s">
        <v>894</v>
      </c>
      <c r="F3710" t="s">
        <v>4186</v>
      </c>
      <c r="G3710" s="8">
        <v>44562</v>
      </c>
      <c r="H3710" t="s">
        <v>635</v>
      </c>
      <c r="I3710" t="s">
        <v>53</v>
      </c>
      <c r="J3710" t="s">
        <v>54</v>
      </c>
      <c r="K3710" t="s">
        <v>29</v>
      </c>
      <c r="L3710" t="s">
        <v>895</v>
      </c>
      <c r="M3710" t="s">
        <v>4402</v>
      </c>
      <c r="O3710" t="s">
        <v>896</v>
      </c>
      <c r="P3710" t="s">
        <v>33</v>
      </c>
      <c r="Q3710">
        <v>970.13</v>
      </c>
      <c r="R3710" t="s">
        <v>35</v>
      </c>
      <c r="S3710" t="s">
        <v>35</v>
      </c>
      <c r="T3710" t="s">
        <v>35</v>
      </c>
      <c r="U3710" t="s">
        <v>35</v>
      </c>
      <c r="V3710" t="s">
        <v>645</v>
      </c>
      <c r="W3710" t="s">
        <v>113</v>
      </c>
    </row>
    <row r="3711" spans="1:23" hidden="1" x14ac:dyDescent="0.25">
      <c r="A3711" s="7" t="str">
        <f>IFERROR(VLOOKUP(H3711,'Contas Orç'!A:B,2,0),"N/A")</f>
        <v>DESPESAS FINANCEIRAS</v>
      </c>
      <c r="B3711" s="7" t="str">
        <f t="shared" si="114"/>
        <v>380201 - DESPESAS FINANCEIRAS</v>
      </c>
      <c r="C3711" s="25">
        <f t="shared" si="115"/>
        <v>44593</v>
      </c>
      <c r="D3711" s="27">
        <f>IF(K3711="CREDITO",Q3711,Q3711*-1)</f>
        <v>0.05</v>
      </c>
      <c r="E3711" t="s">
        <v>894</v>
      </c>
      <c r="F3711" t="s">
        <v>4187</v>
      </c>
      <c r="G3711" s="8">
        <v>44593</v>
      </c>
      <c r="H3711" t="s">
        <v>635</v>
      </c>
      <c r="I3711" t="s">
        <v>59</v>
      </c>
      <c r="J3711" t="s">
        <v>60</v>
      </c>
      <c r="K3711" t="s">
        <v>29</v>
      </c>
      <c r="L3711" t="s">
        <v>895</v>
      </c>
      <c r="M3711" t="s">
        <v>4402</v>
      </c>
      <c r="O3711" t="s">
        <v>896</v>
      </c>
      <c r="P3711" t="s">
        <v>33</v>
      </c>
      <c r="Q3711">
        <v>0.05</v>
      </c>
      <c r="R3711" t="s">
        <v>35</v>
      </c>
      <c r="S3711" t="s">
        <v>35</v>
      </c>
      <c r="T3711" t="s">
        <v>35</v>
      </c>
      <c r="U3711" t="s">
        <v>35</v>
      </c>
      <c r="V3711" t="s">
        <v>645</v>
      </c>
      <c r="W3711" t="s">
        <v>113</v>
      </c>
    </row>
    <row r="3712" spans="1:23" hidden="1" x14ac:dyDescent="0.25">
      <c r="A3712" s="7" t="str">
        <f>IFERROR(VLOOKUP(H3712,'Contas Orç'!A:B,2,0),"N/A")</f>
        <v>DESPESAS FINANCEIRAS</v>
      </c>
      <c r="B3712" s="7" t="str">
        <f t="shared" si="114"/>
        <v>380201 - DESPESAS FINANCEIRAS</v>
      </c>
      <c r="C3712" s="25">
        <f t="shared" si="115"/>
        <v>44593</v>
      </c>
      <c r="D3712" s="27">
        <f>IF(K3712="CREDITO",Q3712,Q3712*-1)</f>
        <v>183945.16</v>
      </c>
      <c r="E3712" t="s">
        <v>894</v>
      </c>
      <c r="F3712" t="s">
        <v>4188</v>
      </c>
      <c r="G3712" s="8">
        <v>44593</v>
      </c>
      <c r="H3712" t="s">
        <v>635</v>
      </c>
      <c r="I3712" t="s">
        <v>40</v>
      </c>
      <c r="J3712" t="s">
        <v>54</v>
      </c>
      <c r="K3712" t="s">
        <v>29</v>
      </c>
      <c r="L3712" t="s">
        <v>895</v>
      </c>
      <c r="M3712" t="s">
        <v>4402</v>
      </c>
      <c r="O3712" t="s">
        <v>896</v>
      </c>
      <c r="P3712" t="s">
        <v>33</v>
      </c>
      <c r="Q3712" s="22">
        <v>183945.16</v>
      </c>
      <c r="R3712" t="s">
        <v>35</v>
      </c>
      <c r="S3712" t="s">
        <v>35</v>
      </c>
      <c r="T3712" t="s">
        <v>35</v>
      </c>
      <c r="U3712" t="s">
        <v>35</v>
      </c>
      <c r="V3712" t="s">
        <v>645</v>
      </c>
      <c r="W3712" t="s">
        <v>113</v>
      </c>
    </row>
    <row r="3713" spans="1:23" hidden="1" x14ac:dyDescent="0.25">
      <c r="A3713" s="7" t="str">
        <f>IFERROR(VLOOKUP(H3713,'Contas Orç'!A:B,2,0),"N/A")</f>
        <v>DESPESAS FINANCEIRAS</v>
      </c>
      <c r="B3713" s="7" t="str">
        <f t="shared" si="114"/>
        <v>380201 - DESPESAS FINANCEIRAS</v>
      </c>
      <c r="C3713" s="25">
        <f t="shared" si="115"/>
        <v>44593</v>
      </c>
      <c r="D3713" s="27">
        <f>IF(K3713="CREDITO",Q3713,Q3713*-1)</f>
        <v>157680.78</v>
      </c>
      <c r="E3713" t="s">
        <v>894</v>
      </c>
      <c r="F3713" t="s">
        <v>4189</v>
      </c>
      <c r="G3713" s="8">
        <v>44593</v>
      </c>
      <c r="H3713" t="s">
        <v>635</v>
      </c>
      <c r="I3713" t="s">
        <v>1002</v>
      </c>
      <c r="J3713" t="s">
        <v>54</v>
      </c>
      <c r="K3713" t="s">
        <v>29</v>
      </c>
      <c r="L3713" t="s">
        <v>895</v>
      </c>
      <c r="M3713" t="s">
        <v>4402</v>
      </c>
      <c r="O3713" t="s">
        <v>896</v>
      </c>
      <c r="P3713" t="s">
        <v>33</v>
      </c>
      <c r="Q3713" s="22">
        <v>157680.78</v>
      </c>
      <c r="R3713" t="s">
        <v>35</v>
      </c>
      <c r="S3713" t="s">
        <v>35</v>
      </c>
      <c r="T3713" t="s">
        <v>35</v>
      </c>
      <c r="U3713" t="s">
        <v>35</v>
      </c>
      <c r="V3713" t="s">
        <v>645</v>
      </c>
      <c r="W3713" t="s">
        <v>113</v>
      </c>
    </row>
    <row r="3714" spans="1:23" hidden="1" x14ac:dyDescent="0.25">
      <c r="A3714" s="7" t="str">
        <f>IFERROR(VLOOKUP(H3714,'Contas Orç'!A:B,2,0),"N/A")</f>
        <v>DESPESAS FINANCEIRAS</v>
      </c>
      <c r="B3714" s="7" t="str">
        <f t="shared" si="114"/>
        <v>380201 - DESPESAS FINANCEIRAS</v>
      </c>
      <c r="C3714" s="25">
        <f t="shared" si="115"/>
        <v>44593</v>
      </c>
      <c r="D3714" s="27">
        <f>IF(K3714="CREDITO",Q3714,Q3714*-1)</f>
        <v>678.03</v>
      </c>
      <c r="E3714" t="s">
        <v>894</v>
      </c>
      <c r="F3714" t="s">
        <v>4190</v>
      </c>
      <c r="G3714" s="8">
        <v>44593</v>
      </c>
      <c r="H3714" t="s">
        <v>635</v>
      </c>
      <c r="I3714" t="s">
        <v>53</v>
      </c>
      <c r="J3714" t="s">
        <v>54</v>
      </c>
      <c r="K3714" t="s">
        <v>29</v>
      </c>
      <c r="L3714" t="s">
        <v>895</v>
      </c>
      <c r="M3714" t="s">
        <v>4402</v>
      </c>
      <c r="O3714" t="s">
        <v>896</v>
      </c>
      <c r="P3714" t="s">
        <v>33</v>
      </c>
      <c r="Q3714">
        <v>678.03</v>
      </c>
      <c r="R3714" t="s">
        <v>35</v>
      </c>
      <c r="S3714" t="s">
        <v>35</v>
      </c>
      <c r="T3714" t="s">
        <v>35</v>
      </c>
      <c r="U3714" t="s">
        <v>35</v>
      </c>
      <c r="V3714" t="s">
        <v>645</v>
      </c>
      <c r="W3714" t="s">
        <v>113</v>
      </c>
    </row>
    <row r="3715" spans="1:23" hidden="1" x14ac:dyDescent="0.25">
      <c r="A3715" s="7" t="str">
        <f>IFERROR(VLOOKUP(H3715,'Contas Orç'!A:B,2,0),"N/A")</f>
        <v>DESPESAS FINANCEIRAS</v>
      </c>
      <c r="B3715" s="7" t="str">
        <f t="shared" ref="B3715:B3778" si="116">_xlfn.CONCAT(H3715," - ",A3715)</f>
        <v>380201 - DESPESAS FINANCEIRAS</v>
      </c>
      <c r="C3715" s="25">
        <f t="shared" ref="C3715:C3778" si="117">DATE(YEAR(G3715),MONTH(G3715),1)</f>
        <v>44621</v>
      </c>
      <c r="D3715" s="27">
        <f>IF(K3715="CREDITO",Q3715,Q3715*-1)</f>
        <v>18.760000000000002</v>
      </c>
      <c r="E3715" t="s">
        <v>894</v>
      </c>
      <c r="F3715" t="s">
        <v>4191</v>
      </c>
      <c r="G3715" s="8">
        <v>44621</v>
      </c>
      <c r="H3715" t="s">
        <v>635</v>
      </c>
      <c r="I3715" t="s">
        <v>27</v>
      </c>
      <c r="J3715" t="s">
        <v>28</v>
      </c>
      <c r="K3715" t="s">
        <v>29</v>
      </c>
      <c r="L3715" t="s">
        <v>895</v>
      </c>
      <c r="M3715" t="s">
        <v>4402</v>
      </c>
      <c r="O3715" t="s">
        <v>896</v>
      </c>
      <c r="P3715" t="s">
        <v>33</v>
      </c>
      <c r="Q3715">
        <v>18.760000000000002</v>
      </c>
      <c r="R3715" t="s">
        <v>35</v>
      </c>
      <c r="S3715" t="s">
        <v>35</v>
      </c>
      <c r="T3715" t="s">
        <v>35</v>
      </c>
      <c r="U3715" t="s">
        <v>35</v>
      </c>
      <c r="V3715" t="s">
        <v>645</v>
      </c>
      <c r="W3715" t="s">
        <v>113</v>
      </c>
    </row>
    <row r="3716" spans="1:23" hidden="1" x14ac:dyDescent="0.25">
      <c r="A3716" s="7" t="str">
        <f>IFERROR(VLOOKUP(H3716,'Contas Orç'!A:B,2,0),"N/A")</f>
        <v>DESPESAS FINANCEIRAS</v>
      </c>
      <c r="B3716" s="7" t="str">
        <f t="shared" si="116"/>
        <v>380201 - DESPESAS FINANCEIRAS</v>
      </c>
      <c r="C3716" s="25">
        <f t="shared" si="117"/>
        <v>44621</v>
      </c>
      <c r="D3716" s="27">
        <f>IF(K3716="CREDITO",Q3716,Q3716*-1)</f>
        <v>195142.73</v>
      </c>
      <c r="E3716" t="s">
        <v>894</v>
      </c>
      <c r="F3716" t="s">
        <v>4192</v>
      </c>
      <c r="G3716" s="8">
        <v>44621</v>
      </c>
      <c r="H3716" t="s">
        <v>635</v>
      </c>
      <c r="I3716" t="s">
        <v>40</v>
      </c>
      <c r="J3716" t="s">
        <v>54</v>
      </c>
      <c r="K3716" t="s">
        <v>29</v>
      </c>
      <c r="L3716" t="s">
        <v>895</v>
      </c>
      <c r="M3716" t="s">
        <v>4402</v>
      </c>
      <c r="O3716" t="s">
        <v>896</v>
      </c>
      <c r="P3716" t="s">
        <v>33</v>
      </c>
      <c r="Q3716" s="22">
        <v>195142.73</v>
      </c>
      <c r="R3716" t="s">
        <v>35</v>
      </c>
      <c r="S3716" t="s">
        <v>35</v>
      </c>
      <c r="T3716" t="s">
        <v>35</v>
      </c>
      <c r="U3716" t="s">
        <v>35</v>
      </c>
      <c r="V3716" t="s">
        <v>645</v>
      </c>
      <c r="W3716" t="s">
        <v>113</v>
      </c>
    </row>
    <row r="3717" spans="1:23" hidden="1" x14ac:dyDescent="0.25">
      <c r="A3717" s="7" t="str">
        <f>IFERROR(VLOOKUP(H3717,'Contas Orç'!A:B,2,0),"N/A")</f>
        <v>DESPESAS FINANCEIRAS</v>
      </c>
      <c r="B3717" s="7" t="str">
        <f t="shared" si="116"/>
        <v>380201 - DESPESAS FINANCEIRAS</v>
      </c>
      <c r="C3717" s="25">
        <f t="shared" si="117"/>
        <v>44621</v>
      </c>
      <c r="D3717" s="27">
        <f>IF(K3717="CREDITO",Q3717,Q3717*-1)</f>
        <v>182999.86</v>
      </c>
      <c r="E3717" t="s">
        <v>894</v>
      </c>
      <c r="F3717" t="s">
        <v>4193</v>
      </c>
      <c r="G3717" s="8">
        <v>44621</v>
      </c>
      <c r="H3717" t="s">
        <v>635</v>
      </c>
      <c r="I3717" t="s">
        <v>1002</v>
      </c>
      <c r="J3717" t="s">
        <v>54</v>
      </c>
      <c r="K3717" t="s">
        <v>29</v>
      </c>
      <c r="L3717" t="s">
        <v>895</v>
      </c>
      <c r="M3717" t="s">
        <v>4402</v>
      </c>
      <c r="O3717" t="s">
        <v>896</v>
      </c>
      <c r="P3717" t="s">
        <v>33</v>
      </c>
      <c r="Q3717" s="22">
        <v>182999.86</v>
      </c>
      <c r="R3717" t="s">
        <v>35</v>
      </c>
      <c r="S3717" t="s">
        <v>35</v>
      </c>
      <c r="T3717" t="s">
        <v>35</v>
      </c>
      <c r="U3717" t="s">
        <v>35</v>
      </c>
      <c r="V3717" t="s">
        <v>645</v>
      </c>
      <c r="W3717" t="s">
        <v>113</v>
      </c>
    </row>
    <row r="3718" spans="1:23" hidden="1" x14ac:dyDescent="0.25">
      <c r="A3718" s="7" t="str">
        <f>IFERROR(VLOOKUP(H3718,'Contas Orç'!A:B,2,0),"N/A")</f>
        <v>DESPESAS FINANCEIRAS</v>
      </c>
      <c r="B3718" s="7" t="str">
        <f t="shared" si="116"/>
        <v>380201 - DESPESAS FINANCEIRAS</v>
      </c>
      <c r="C3718" s="25">
        <f t="shared" si="117"/>
        <v>44621</v>
      </c>
      <c r="D3718" s="27">
        <f>IF(K3718="CREDITO",Q3718,Q3718*-1)</f>
        <v>353.64</v>
      </c>
      <c r="E3718" t="s">
        <v>894</v>
      </c>
      <c r="F3718" t="s">
        <v>4194</v>
      </c>
      <c r="G3718" s="8">
        <v>44621</v>
      </c>
      <c r="H3718" t="s">
        <v>635</v>
      </c>
      <c r="I3718" t="s">
        <v>53</v>
      </c>
      <c r="J3718" t="s">
        <v>54</v>
      </c>
      <c r="K3718" t="s">
        <v>29</v>
      </c>
      <c r="L3718" t="s">
        <v>895</v>
      </c>
      <c r="M3718" t="s">
        <v>4402</v>
      </c>
      <c r="O3718" t="s">
        <v>896</v>
      </c>
      <c r="P3718" t="s">
        <v>33</v>
      </c>
      <c r="Q3718">
        <v>353.64</v>
      </c>
      <c r="R3718" t="s">
        <v>35</v>
      </c>
      <c r="S3718" t="s">
        <v>35</v>
      </c>
      <c r="T3718" t="s">
        <v>35</v>
      </c>
      <c r="U3718" t="s">
        <v>35</v>
      </c>
      <c r="V3718" t="s">
        <v>645</v>
      </c>
      <c r="W3718" t="s">
        <v>113</v>
      </c>
    </row>
    <row r="3719" spans="1:23" hidden="1" x14ac:dyDescent="0.25">
      <c r="A3719" s="7" t="str">
        <f>IFERROR(VLOOKUP(H3719,'Contas Orç'!A:B,2,0),"N/A")</f>
        <v>DESPESAS FINANCEIRAS</v>
      </c>
      <c r="B3719" s="7" t="str">
        <f t="shared" si="116"/>
        <v>380201 - DESPESAS FINANCEIRAS</v>
      </c>
      <c r="C3719" s="25">
        <f t="shared" si="117"/>
        <v>44652</v>
      </c>
      <c r="D3719" s="27">
        <f>IF(K3719="CREDITO",Q3719,Q3719*-1)</f>
        <v>81376.070000000007</v>
      </c>
      <c r="E3719" t="s">
        <v>894</v>
      </c>
      <c r="F3719" t="s">
        <v>4195</v>
      </c>
      <c r="G3719" s="8">
        <v>44652</v>
      </c>
      <c r="H3719" t="s">
        <v>635</v>
      </c>
      <c r="I3719" t="s">
        <v>40</v>
      </c>
      <c r="J3719" t="s">
        <v>54</v>
      </c>
      <c r="K3719" t="s">
        <v>29</v>
      </c>
      <c r="L3719" t="s">
        <v>895</v>
      </c>
      <c r="M3719" t="s">
        <v>4402</v>
      </c>
      <c r="O3719" t="s">
        <v>896</v>
      </c>
      <c r="P3719" t="s">
        <v>33</v>
      </c>
      <c r="Q3719" s="22">
        <v>81376.070000000007</v>
      </c>
      <c r="R3719" t="s">
        <v>35</v>
      </c>
      <c r="S3719" t="s">
        <v>35</v>
      </c>
      <c r="T3719" t="s">
        <v>35</v>
      </c>
      <c r="U3719" t="s">
        <v>35</v>
      </c>
      <c r="V3719" t="s">
        <v>645</v>
      </c>
      <c r="W3719" t="s">
        <v>113</v>
      </c>
    </row>
    <row r="3720" spans="1:23" hidden="1" x14ac:dyDescent="0.25">
      <c r="A3720" s="7" t="str">
        <f>IFERROR(VLOOKUP(H3720,'Contas Orç'!A:B,2,0),"N/A")</f>
        <v>DESPESAS FINANCEIRAS</v>
      </c>
      <c r="B3720" s="7" t="str">
        <f t="shared" si="116"/>
        <v>380201 - DESPESAS FINANCEIRAS</v>
      </c>
      <c r="C3720" s="25">
        <f t="shared" si="117"/>
        <v>44652</v>
      </c>
      <c r="D3720" s="27">
        <f>IF(K3720="CREDITO",Q3720,Q3720*-1)</f>
        <v>142307.35999999999</v>
      </c>
      <c r="E3720" t="s">
        <v>894</v>
      </c>
      <c r="F3720" t="s">
        <v>4196</v>
      </c>
      <c r="G3720" s="8">
        <v>44652</v>
      </c>
      <c r="H3720" t="s">
        <v>635</v>
      </c>
      <c r="I3720" t="s">
        <v>1002</v>
      </c>
      <c r="J3720" t="s">
        <v>54</v>
      </c>
      <c r="K3720" t="s">
        <v>29</v>
      </c>
      <c r="L3720" t="s">
        <v>895</v>
      </c>
      <c r="M3720" t="s">
        <v>4402</v>
      </c>
      <c r="O3720" t="s">
        <v>896</v>
      </c>
      <c r="P3720" t="s">
        <v>33</v>
      </c>
      <c r="Q3720" s="22">
        <v>142307.35999999999</v>
      </c>
      <c r="R3720" t="s">
        <v>35</v>
      </c>
      <c r="S3720" t="s">
        <v>35</v>
      </c>
      <c r="T3720" t="s">
        <v>35</v>
      </c>
      <c r="U3720" t="s">
        <v>35</v>
      </c>
      <c r="V3720" t="s">
        <v>645</v>
      </c>
      <c r="W3720" t="s">
        <v>113</v>
      </c>
    </row>
    <row r="3721" spans="1:23" hidden="1" x14ac:dyDescent="0.25">
      <c r="A3721" s="7" t="str">
        <f>IFERROR(VLOOKUP(H3721,'Contas Orç'!A:B,2,0),"N/A")</f>
        <v>DESPESAS FINANCEIRAS</v>
      </c>
      <c r="B3721" s="7" t="str">
        <f t="shared" si="116"/>
        <v>380201 - DESPESAS FINANCEIRAS</v>
      </c>
      <c r="C3721" s="25">
        <f t="shared" si="117"/>
        <v>44652</v>
      </c>
      <c r="D3721" s="27">
        <f>IF(K3721="CREDITO",Q3721,Q3721*-1)</f>
        <v>1070.8599999999999</v>
      </c>
      <c r="E3721" t="s">
        <v>894</v>
      </c>
      <c r="F3721" t="s">
        <v>4197</v>
      </c>
      <c r="G3721" s="8">
        <v>44652</v>
      </c>
      <c r="H3721" t="s">
        <v>635</v>
      </c>
      <c r="I3721" t="s">
        <v>53</v>
      </c>
      <c r="J3721" t="s">
        <v>54</v>
      </c>
      <c r="K3721" t="s">
        <v>29</v>
      </c>
      <c r="L3721" t="s">
        <v>895</v>
      </c>
      <c r="M3721" t="s">
        <v>4402</v>
      </c>
      <c r="O3721" t="s">
        <v>896</v>
      </c>
      <c r="P3721" t="s">
        <v>33</v>
      </c>
      <c r="Q3721" s="22">
        <v>1070.8599999999999</v>
      </c>
      <c r="R3721" t="s">
        <v>35</v>
      </c>
      <c r="S3721" t="s">
        <v>35</v>
      </c>
      <c r="T3721" t="s">
        <v>35</v>
      </c>
      <c r="U3721" t="s">
        <v>35</v>
      </c>
      <c r="V3721" t="s">
        <v>645</v>
      </c>
      <c r="W3721" t="s">
        <v>113</v>
      </c>
    </row>
    <row r="3722" spans="1:23" hidden="1" x14ac:dyDescent="0.25">
      <c r="A3722" s="7" t="str">
        <f>IFERROR(VLOOKUP(H3722,'Contas Orç'!A:B,2,0),"N/A")</f>
        <v>DESPESAS FINANCEIRAS</v>
      </c>
      <c r="B3722" s="7" t="str">
        <f t="shared" si="116"/>
        <v>380201 - DESPESAS FINANCEIRAS</v>
      </c>
      <c r="C3722" s="25">
        <f t="shared" si="117"/>
        <v>44682</v>
      </c>
      <c r="D3722" s="27">
        <f>IF(K3722="CREDITO",Q3722,Q3722*-1)</f>
        <v>5723.96</v>
      </c>
      <c r="E3722" t="s">
        <v>894</v>
      </c>
      <c r="F3722" t="s">
        <v>4198</v>
      </c>
      <c r="G3722" s="8">
        <v>44682</v>
      </c>
      <c r="H3722" t="s">
        <v>635</v>
      </c>
      <c r="I3722" t="s">
        <v>40</v>
      </c>
      <c r="J3722" t="s">
        <v>28</v>
      </c>
      <c r="K3722" t="s">
        <v>29</v>
      </c>
      <c r="L3722" t="s">
        <v>895</v>
      </c>
      <c r="M3722" t="s">
        <v>4402</v>
      </c>
      <c r="O3722" t="s">
        <v>896</v>
      </c>
      <c r="P3722" t="s">
        <v>33</v>
      </c>
      <c r="Q3722" s="22">
        <v>5723.96</v>
      </c>
      <c r="R3722" t="s">
        <v>35</v>
      </c>
      <c r="S3722" t="s">
        <v>35</v>
      </c>
      <c r="T3722" t="s">
        <v>35</v>
      </c>
      <c r="U3722" t="s">
        <v>35</v>
      </c>
      <c r="V3722" t="s">
        <v>645</v>
      </c>
      <c r="W3722" t="s">
        <v>113</v>
      </c>
    </row>
    <row r="3723" spans="1:23" hidden="1" x14ac:dyDescent="0.25">
      <c r="A3723" s="7" t="str">
        <f>IFERROR(VLOOKUP(H3723,'Contas Orç'!A:B,2,0),"N/A")</f>
        <v>DESPESAS FINANCEIRAS</v>
      </c>
      <c r="B3723" s="7" t="str">
        <f t="shared" si="116"/>
        <v>380201 - DESPESAS FINANCEIRAS</v>
      </c>
      <c r="C3723" s="25">
        <f t="shared" si="117"/>
        <v>44682</v>
      </c>
      <c r="D3723" s="27">
        <f>IF(K3723="CREDITO",Q3723,Q3723*-1)</f>
        <v>21849.06</v>
      </c>
      <c r="E3723" t="s">
        <v>894</v>
      </c>
      <c r="F3723" t="s">
        <v>4199</v>
      </c>
      <c r="G3723" s="8">
        <v>44682</v>
      </c>
      <c r="H3723" t="s">
        <v>635</v>
      </c>
      <c r="I3723" t="s">
        <v>40</v>
      </c>
      <c r="J3723" t="s">
        <v>54</v>
      </c>
      <c r="K3723" t="s">
        <v>29</v>
      </c>
      <c r="L3723" t="s">
        <v>895</v>
      </c>
      <c r="M3723" t="s">
        <v>4402</v>
      </c>
      <c r="O3723" t="s">
        <v>896</v>
      </c>
      <c r="P3723" t="s">
        <v>33</v>
      </c>
      <c r="Q3723" s="22">
        <v>21849.06</v>
      </c>
      <c r="R3723" t="s">
        <v>35</v>
      </c>
      <c r="S3723" t="s">
        <v>35</v>
      </c>
      <c r="T3723" t="s">
        <v>35</v>
      </c>
      <c r="U3723" t="s">
        <v>35</v>
      </c>
      <c r="V3723" t="s">
        <v>645</v>
      </c>
      <c r="W3723" t="s">
        <v>113</v>
      </c>
    </row>
    <row r="3724" spans="1:23" hidden="1" x14ac:dyDescent="0.25">
      <c r="A3724" s="7" t="str">
        <f>IFERROR(VLOOKUP(H3724,'Contas Orç'!A:B,2,0),"N/A")</f>
        <v>DESPESAS FINANCEIRAS</v>
      </c>
      <c r="B3724" s="7" t="str">
        <f t="shared" si="116"/>
        <v>380201 - DESPESAS FINANCEIRAS</v>
      </c>
      <c r="C3724" s="25">
        <f t="shared" si="117"/>
        <v>44682</v>
      </c>
      <c r="D3724" s="27">
        <f>IF(K3724="CREDITO",Q3724,Q3724*-1)</f>
        <v>121051.76</v>
      </c>
      <c r="E3724" t="s">
        <v>894</v>
      </c>
      <c r="F3724" t="s">
        <v>4200</v>
      </c>
      <c r="G3724" s="8">
        <v>44682</v>
      </c>
      <c r="H3724" t="s">
        <v>635</v>
      </c>
      <c r="I3724" t="s">
        <v>1002</v>
      </c>
      <c r="J3724" t="s">
        <v>54</v>
      </c>
      <c r="K3724" t="s">
        <v>29</v>
      </c>
      <c r="L3724" t="s">
        <v>895</v>
      </c>
      <c r="M3724" t="s">
        <v>4402</v>
      </c>
      <c r="O3724" t="s">
        <v>896</v>
      </c>
      <c r="P3724" t="s">
        <v>33</v>
      </c>
      <c r="Q3724" s="22">
        <v>121051.76</v>
      </c>
      <c r="R3724" t="s">
        <v>35</v>
      </c>
      <c r="S3724" t="s">
        <v>35</v>
      </c>
      <c r="T3724" t="s">
        <v>35</v>
      </c>
      <c r="U3724" t="s">
        <v>35</v>
      </c>
      <c r="V3724" t="s">
        <v>645</v>
      </c>
      <c r="W3724" t="s">
        <v>113</v>
      </c>
    </row>
    <row r="3725" spans="1:23" hidden="1" x14ac:dyDescent="0.25">
      <c r="A3725" s="7" t="str">
        <f>IFERROR(VLOOKUP(H3725,'Contas Orç'!A:B,2,0),"N/A")</f>
        <v>DESPESAS FINANCEIRAS</v>
      </c>
      <c r="B3725" s="7" t="str">
        <f t="shared" si="116"/>
        <v>380201 - DESPESAS FINANCEIRAS</v>
      </c>
      <c r="C3725" s="25">
        <f t="shared" si="117"/>
        <v>44682</v>
      </c>
      <c r="D3725" s="27">
        <f>IF(K3725="CREDITO",Q3725,Q3725*-1)</f>
        <v>830.26</v>
      </c>
      <c r="E3725" t="s">
        <v>894</v>
      </c>
      <c r="F3725" t="s">
        <v>4201</v>
      </c>
      <c r="G3725" s="8">
        <v>44682</v>
      </c>
      <c r="H3725" t="s">
        <v>635</v>
      </c>
      <c r="I3725" t="s">
        <v>53</v>
      </c>
      <c r="J3725" t="s">
        <v>54</v>
      </c>
      <c r="K3725" t="s">
        <v>29</v>
      </c>
      <c r="L3725" t="s">
        <v>895</v>
      </c>
      <c r="M3725" t="s">
        <v>4402</v>
      </c>
      <c r="O3725" t="s">
        <v>896</v>
      </c>
      <c r="P3725" t="s">
        <v>33</v>
      </c>
      <c r="Q3725">
        <v>830.26</v>
      </c>
      <c r="R3725" t="s">
        <v>35</v>
      </c>
      <c r="S3725" t="s">
        <v>35</v>
      </c>
      <c r="T3725" t="s">
        <v>35</v>
      </c>
      <c r="U3725" t="s">
        <v>35</v>
      </c>
      <c r="V3725" t="s">
        <v>645</v>
      </c>
      <c r="W3725" t="s">
        <v>113</v>
      </c>
    </row>
    <row r="3726" spans="1:23" hidden="1" x14ac:dyDescent="0.25">
      <c r="A3726" s="7" t="str">
        <f>IFERROR(VLOOKUP(H3726,'Contas Orç'!A:B,2,0),"N/A")</f>
        <v>DESPESAS FINANCEIRAS</v>
      </c>
      <c r="B3726" s="7" t="str">
        <f t="shared" si="116"/>
        <v>380201 - DESPESAS FINANCEIRAS</v>
      </c>
      <c r="C3726" s="25">
        <f t="shared" si="117"/>
        <v>44682</v>
      </c>
      <c r="D3726" s="27">
        <f>IF(K3726="CREDITO",Q3726,Q3726*-1)</f>
        <v>96191.61</v>
      </c>
      <c r="E3726" t="s">
        <v>894</v>
      </c>
      <c r="F3726" t="s">
        <v>4202</v>
      </c>
      <c r="G3726" s="8">
        <v>44682</v>
      </c>
      <c r="H3726" t="s">
        <v>635</v>
      </c>
      <c r="I3726" t="s">
        <v>59</v>
      </c>
      <c r="J3726" t="s">
        <v>54</v>
      </c>
      <c r="K3726" t="s">
        <v>29</v>
      </c>
      <c r="L3726" t="s">
        <v>895</v>
      </c>
      <c r="M3726" t="s">
        <v>4402</v>
      </c>
      <c r="O3726" t="s">
        <v>896</v>
      </c>
      <c r="P3726" t="s">
        <v>33</v>
      </c>
      <c r="Q3726" s="22">
        <v>96191.61</v>
      </c>
      <c r="R3726" t="s">
        <v>35</v>
      </c>
      <c r="S3726" t="s">
        <v>35</v>
      </c>
      <c r="T3726" t="s">
        <v>35</v>
      </c>
      <c r="U3726" t="s">
        <v>35</v>
      </c>
      <c r="V3726" t="s">
        <v>645</v>
      </c>
      <c r="W3726" t="s">
        <v>113</v>
      </c>
    </row>
    <row r="3727" spans="1:23" hidden="1" x14ac:dyDescent="0.25">
      <c r="A3727" s="7" t="str">
        <f>IFERROR(VLOOKUP(H3727,'Contas Orç'!A:B,2,0),"N/A")</f>
        <v>DESPESAS FINANCEIRAS</v>
      </c>
      <c r="B3727" s="7" t="str">
        <f t="shared" si="116"/>
        <v>380201 - DESPESAS FINANCEIRAS</v>
      </c>
      <c r="C3727" s="25">
        <f t="shared" si="117"/>
        <v>44713</v>
      </c>
      <c r="D3727" s="27">
        <f>IF(K3727="CREDITO",Q3727,Q3727*-1)</f>
        <v>71.760000000000005</v>
      </c>
      <c r="E3727" t="s">
        <v>894</v>
      </c>
      <c r="F3727" t="s">
        <v>4203</v>
      </c>
      <c r="G3727" s="8">
        <v>44713</v>
      </c>
      <c r="H3727" t="s">
        <v>635</v>
      </c>
      <c r="I3727" t="s">
        <v>68</v>
      </c>
      <c r="J3727" t="s">
        <v>69</v>
      </c>
      <c r="K3727" t="s">
        <v>29</v>
      </c>
      <c r="L3727" t="s">
        <v>895</v>
      </c>
      <c r="M3727" t="s">
        <v>4402</v>
      </c>
      <c r="O3727" t="s">
        <v>896</v>
      </c>
      <c r="P3727" t="s">
        <v>33</v>
      </c>
      <c r="Q3727">
        <v>71.760000000000005</v>
      </c>
      <c r="R3727" t="s">
        <v>35</v>
      </c>
      <c r="S3727" t="s">
        <v>35</v>
      </c>
      <c r="T3727" t="s">
        <v>35</v>
      </c>
      <c r="U3727" t="s">
        <v>35</v>
      </c>
      <c r="V3727" t="s">
        <v>645</v>
      </c>
      <c r="W3727" t="s">
        <v>113</v>
      </c>
    </row>
    <row r="3728" spans="1:23" hidden="1" x14ac:dyDescent="0.25">
      <c r="A3728" s="7" t="str">
        <f>IFERROR(VLOOKUP(H3728,'Contas Orç'!A:B,2,0),"N/A")</f>
        <v>DESPESAS FINANCEIRAS</v>
      </c>
      <c r="B3728" s="7" t="str">
        <f t="shared" si="116"/>
        <v>380201 - DESPESAS FINANCEIRAS</v>
      </c>
      <c r="C3728" s="25">
        <f t="shared" si="117"/>
        <v>44713</v>
      </c>
      <c r="D3728" s="27">
        <f>IF(K3728="CREDITO",Q3728,Q3728*-1)</f>
        <v>2323876.23</v>
      </c>
      <c r="E3728" t="s">
        <v>894</v>
      </c>
      <c r="F3728" t="s">
        <v>4204</v>
      </c>
      <c r="G3728" s="8">
        <v>44713</v>
      </c>
      <c r="H3728" t="s">
        <v>635</v>
      </c>
      <c r="I3728" t="s">
        <v>40</v>
      </c>
      <c r="J3728" t="s">
        <v>54</v>
      </c>
      <c r="K3728" t="s">
        <v>29</v>
      </c>
      <c r="L3728" t="s">
        <v>895</v>
      </c>
      <c r="M3728" t="s">
        <v>4402</v>
      </c>
      <c r="O3728" t="s">
        <v>896</v>
      </c>
      <c r="P3728" t="s">
        <v>33</v>
      </c>
      <c r="Q3728" s="22">
        <v>2323876.23</v>
      </c>
      <c r="R3728" t="s">
        <v>35</v>
      </c>
      <c r="S3728" t="s">
        <v>35</v>
      </c>
      <c r="T3728" t="s">
        <v>35</v>
      </c>
      <c r="U3728" t="s">
        <v>35</v>
      </c>
      <c r="V3728" t="s">
        <v>645</v>
      </c>
      <c r="W3728" t="s">
        <v>113</v>
      </c>
    </row>
    <row r="3729" spans="1:23" hidden="1" x14ac:dyDescent="0.25">
      <c r="A3729" s="7" t="str">
        <f>IFERROR(VLOOKUP(H3729,'Contas Orç'!A:B,2,0),"N/A")</f>
        <v>DESPESAS FINANCEIRAS</v>
      </c>
      <c r="B3729" s="7" t="str">
        <f t="shared" si="116"/>
        <v>380201 - DESPESAS FINANCEIRAS</v>
      </c>
      <c r="C3729" s="25">
        <f t="shared" si="117"/>
        <v>44713</v>
      </c>
      <c r="D3729" s="27">
        <f>IF(K3729="CREDITO",Q3729,Q3729*-1)</f>
        <v>14331.94</v>
      </c>
      <c r="E3729" t="s">
        <v>894</v>
      </c>
      <c r="F3729" t="s">
        <v>4205</v>
      </c>
      <c r="G3729" s="8">
        <v>44713</v>
      </c>
      <c r="H3729" t="s">
        <v>635</v>
      </c>
      <c r="I3729" t="s">
        <v>1002</v>
      </c>
      <c r="J3729" t="s">
        <v>54</v>
      </c>
      <c r="K3729" t="s">
        <v>29</v>
      </c>
      <c r="L3729" t="s">
        <v>895</v>
      </c>
      <c r="M3729" t="s">
        <v>4402</v>
      </c>
      <c r="O3729" t="s">
        <v>896</v>
      </c>
      <c r="P3729" t="s">
        <v>33</v>
      </c>
      <c r="Q3729" s="22">
        <v>14331.94</v>
      </c>
      <c r="R3729" t="s">
        <v>35</v>
      </c>
      <c r="S3729" t="s">
        <v>35</v>
      </c>
      <c r="T3729" t="s">
        <v>35</v>
      </c>
      <c r="U3729" t="s">
        <v>35</v>
      </c>
      <c r="V3729" t="s">
        <v>645</v>
      </c>
      <c r="W3729" t="s">
        <v>113</v>
      </c>
    </row>
    <row r="3730" spans="1:23" hidden="1" x14ac:dyDescent="0.25">
      <c r="A3730" s="7" t="str">
        <f>IFERROR(VLOOKUP(H3730,'Contas Orç'!A:B,2,0),"N/A")</f>
        <v>DESPESAS FINANCEIRAS</v>
      </c>
      <c r="B3730" s="7" t="str">
        <f t="shared" si="116"/>
        <v>380201 - DESPESAS FINANCEIRAS</v>
      </c>
      <c r="C3730" s="25">
        <f t="shared" si="117"/>
        <v>44713</v>
      </c>
      <c r="D3730" s="27">
        <f>IF(K3730="CREDITO",Q3730,Q3730*-1)</f>
        <v>985.14</v>
      </c>
      <c r="E3730" t="s">
        <v>894</v>
      </c>
      <c r="F3730" t="s">
        <v>4206</v>
      </c>
      <c r="G3730" s="8">
        <v>44713</v>
      </c>
      <c r="H3730" t="s">
        <v>635</v>
      </c>
      <c r="I3730" t="s">
        <v>53</v>
      </c>
      <c r="J3730" t="s">
        <v>54</v>
      </c>
      <c r="K3730" t="s">
        <v>29</v>
      </c>
      <c r="L3730" t="s">
        <v>895</v>
      </c>
      <c r="M3730" t="s">
        <v>4402</v>
      </c>
      <c r="O3730" t="s">
        <v>896</v>
      </c>
      <c r="P3730" t="s">
        <v>33</v>
      </c>
      <c r="Q3730">
        <v>985.14</v>
      </c>
      <c r="R3730" t="s">
        <v>35</v>
      </c>
      <c r="S3730" t="s">
        <v>35</v>
      </c>
      <c r="T3730" t="s">
        <v>35</v>
      </c>
      <c r="U3730" t="s">
        <v>35</v>
      </c>
      <c r="V3730" t="s">
        <v>645</v>
      </c>
      <c r="W3730" t="s">
        <v>113</v>
      </c>
    </row>
    <row r="3731" spans="1:23" hidden="1" x14ac:dyDescent="0.25">
      <c r="A3731" s="7" t="str">
        <f>IFERROR(VLOOKUP(H3731,'Contas Orç'!A:B,2,0),"N/A")</f>
        <v>DESPESAS FINANCEIRAS</v>
      </c>
      <c r="B3731" s="7" t="str">
        <f t="shared" si="116"/>
        <v>380201 - DESPESAS FINANCEIRAS</v>
      </c>
      <c r="C3731" s="25">
        <f t="shared" si="117"/>
        <v>44743</v>
      </c>
      <c r="D3731" s="27">
        <f>IF(K3731="CREDITO",Q3731,Q3731*-1)</f>
        <v>7888.3</v>
      </c>
      <c r="E3731" t="s">
        <v>894</v>
      </c>
      <c r="F3731" t="s">
        <v>4207</v>
      </c>
      <c r="G3731" s="8">
        <v>44743</v>
      </c>
      <c r="H3731" t="s">
        <v>635</v>
      </c>
      <c r="I3731" t="s">
        <v>27</v>
      </c>
      <c r="J3731" t="s">
        <v>28</v>
      </c>
      <c r="K3731" t="s">
        <v>29</v>
      </c>
      <c r="L3731" t="s">
        <v>895</v>
      </c>
      <c r="M3731" t="s">
        <v>4402</v>
      </c>
      <c r="O3731" t="s">
        <v>896</v>
      </c>
      <c r="P3731" t="s">
        <v>33</v>
      </c>
      <c r="Q3731" s="22">
        <v>7888.3</v>
      </c>
      <c r="R3731" t="s">
        <v>35</v>
      </c>
      <c r="S3731" t="s">
        <v>35</v>
      </c>
      <c r="T3731" t="s">
        <v>35</v>
      </c>
      <c r="U3731" t="s">
        <v>35</v>
      </c>
      <c r="V3731" t="s">
        <v>645</v>
      </c>
      <c r="W3731" t="s">
        <v>113</v>
      </c>
    </row>
    <row r="3732" spans="1:23" hidden="1" x14ac:dyDescent="0.25">
      <c r="A3732" s="7" t="str">
        <f>IFERROR(VLOOKUP(H3732,'Contas Orç'!A:B,2,0),"N/A")</f>
        <v>DESPESAS FINANCEIRAS</v>
      </c>
      <c r="B3732" s="7" t="str">
        <f t="shared" si="116"/>
        <v>380201 - DESPESAS FINANCEIRAS</v>
      </c>
      <c r="C3732" s="25">
        <f t="shared" si="117"/>
        <v>44743</v>
      </c>
      <c r="D3732" s="27">
        <f>IF(K3732="CREDITO",Q3732,Q3732*-1)</f>
        <v>9.83</v>
      </c>
      <c r="E3732" t="s">
        <v>894</v>
      </c>
      <c r="F3732" t="s">
        <v>4208</v>
      </c>
      <c r="G3732" s="8">
        <v>44743</v>
      </c>
      <c r="H3732" t="s">
        <v>635</v>
      </c>
      <c r="I3732" t="s">
        <v>59</v>
      </c>
      <c r="J3732" t="s">
        <v>60</v>
      </c>
      <c r="K3732" t="s">
        <v>29</v>
      </c>
      <c r="L3732" t="s">
        <v>895</v>
      </c>
      <c r="M3732" t="s">
        <v>4402</v>
      </c>
      <c r="O3732" t="s">
        <v>896</v>
      </c>
      <c r="P3732" t="s">
        <v>33</v>
      </c>
      <c r="Q3732">
        <v>9.83</v>
      </c>
      <c r="R3732" t="s">
        <v>35</v>
      </c>
      <c r="S3732" t="s">
        <v>35</v>
      </c>
      <c r="T3732" t="s">
        <v>35</v>
      </c>
      <c r="U3732" t="s">
        <v>35</v>
      </c>
      <c r="V3732" t="s">
        <v>645</v>
      </c>
      <c r="W3732" t="s">
        <v>113</v>
      </c>
    </row>
    <row r="3733" spans="1:23" hidden="1" x14ac:dyDescent="0.25">
      <c r="A3733" s="7" t="str">
        <f>IFERROR(VLOOKUP(H3733,'Contas Orç'!A:B,2,0),"N/A")</f>
        <v>DESPESAS FINANCEIRAS</v>
      </c>
      <c r="B3733" s="7" t="str">
        <f t="shared" si="116"/>
        <v>380201 - DESPESAS FINANCEIRAS</v>
      </c>
      <c r="C3733" s="25">
        <f t="shared" si="117"/>
        <v>44743</v>
      </c>
      <c r="D3733" s="27">
        <f>IF(K3733="CREDITO",Q3733,Q3733*-1)</f>
        <v>335276.5</v>
      </c>
      <c r="E3733" t="s">
        <v>894</v>
      </c>
      <c r="F3733" t="s">
        <v>4209</v>
      </c>
      <c r="G3733" s="8">
        <v>44743</v>
      </c>
      <c r="H3733" t="s">
        <v>635</v>
      </c>
      <c r="I3733" t="s">
        <v>40</v>
      </c>
      <c r="J3733" t="s">
        <v>54</v>
      </c>
      <c r="K3733" t="s">
        <v>29</v>
      </c>
      <c r="L3733" t="s">
        <v>895</v>
      </c>
      <c r="M3733" t="s">
        <v>4402</v>
      </c>
      <c r="O3733" t="s">
        <v>896</v>
      </c>
      <c r="P3733" t="s">
        <v>33</v>
      </c>
      <c r="Q3733" s="22">
        <v>335276.5</v>
      </c>
      <c r="R3733" t="s">
        <v>35</v>
      </c>
      <c r="S3733" t="s">
        <v>35</v>
      </c>
      <c r="T3733" t="s">
        <v>35</v>
      </c>
      <c r="U3733" t="s">
        <v>35</v>
      </c>
      <c r="V3733" t="s">
        <v>645</v>
      </c>
      <c r="W3733" t="s">
        <v>113</v>
      </c>
    </row>
    <row r="3734" spans="1:23" hidden="1" x14ac:dyDescent="0.25">
      <c r="A3734" s="7" t="str">
        <f>IFERROR(VLOOKUP(H3734,'Contas Orç'!A:B,2,0),"N/A")</f>
        <v>DESPESAS FINANCEIRAS</v>
      </c>
      <c r="B3734" s="7" t="str">
        <f t="shared" si="116"/>
        <v>380201 - DESPESAS FINANCEIRAS</v>
      </c>
      <c r="C3734" s="25">
        <f t="shared" si="117"/>
        <v>44743</v>
      </c>
      <c r="D3734" s="27">
        <f>IF(K3734="CREDITO",Q3734,Q3734*-1)</f>
        <v>38918.980000000003</v>
      </c>
      <c r="E3734" t="s">
        <v>894</v>
      </c>
      <c r="F3734" t="s">
        <v>4210</v>
      </c>
      <c r="G3734" s="8">
        <v>44743</v>
      </c>
      <c r="H3734" t="s">
        <v>635</v>
      </c>
      <c r="I3734" t="s">
        <v>1002</v>
      </c>
      <c r="J3734" t="s">
        <v>54</v>
      </c>
      <c r="K3734" t="s">
        <v>29</v>
      </c>
      <c r="L3734" t="s">
        <v>895</v>
      </c>
      <c r="M3734" t="s">
        <v>4402</v>
      </c>
      <c r="O3734" t="s">
        <v>896</v>
      </c>
      <c r="P3734" t="s">
        <v>33</v>
      </c>
      <c r="Q3734" s="22">
        <v>38918.980000000003</v>
      </c>
      <c r="R3734" t="s">
        <v>35</v>
      </c>
      <c r="S3734" t="s">
        <v>35</v>
      </c>
      <c r="T3734" t="s">
        <v>35</v>
      </c>
      <c r="U3734" t="s">
        <v>35</v>
      </c>
      <c r="V3734" t="s">
        <v>645</v>
      </c>
      <c r="W3734" t="s">
        <v>113</v>
      </c>
    </row>
    <row r="3735" spans="1:23" hidden="1" x14ac:dyDescent="0.25">
      <c r="A3735" s="7" t="str">
        <f>IFERROR(VLOOKUP(H3735,'Contas Orç'!A:B,2,0),"N/A")</f>
        <v>DESPESAS FINANCEIRAS</v>
      </c>
      <c r="B3735" s="7" t="str">
        <f t="shared" si="116"/>
        <v>380201 - DESPESAS FINANCEIRAS</v>
      </c>
      <c r="C3735" s="25">
        <f t="shared" si="117"/>
        <v>44743</v>
      </c>
      <c r="D3735" s="27">
        <f>IF(K3735="CREDITO",Q3735,Q3735*-1)</f>
        <v>603.05999999999995</v>
      </c>
      <c r="E3735" t="s">
        <v>894</v>
      </c>
      <c r="F3735" t="s">
        <v>4211</v>
      </c>
      <c r="G3735" s="8">
        <v>44743</v>
      </c>
      <c r="H3735" t="s">
        <v>635</v>
      </c>
      <c r="I3735" t="s">
        <v>53</v>
      </c>
      <c r="J3735" t="s">
        <v>54</v>
      </c>
      <c r="K3735" t="s">
        <v>29</v>
      </c>
      <c r="L3735" t="s">
        <v>895</v>
      </c>
      <c r="M3735" t="s">
        <v>4402</v>
      </c>
      <c r="O3735" t="s">
        <v>896</v>
      </c>
      <c r="P3735" t="s">
        <v>33</v>
      </c>
      <c r="Q3735">
        <v>603.05999999999995</v>
      </c>
      <c r="R3735" t="s">
        <v>35</v>
      </c>
      <c r="S3735" t="s">
        <v>35</v>
      </c>
      <c r="T3735" t="s">
        <v>35</v>
      </c>
      <c r="U3735" t="s">
        <v>35</v>
      </c>
      <c r="V3735" t="s">
        <v>645</v>
      </c>
      <c r="W3735" t="s">
        <v>113</v>
      </c>
    </row>
    <row r="3736" spans="1:23" hidden="1" x14ac:dyDescent="0.25">
      <c r="A3736" s="7" t="str">
        <f>IFERROR(VLOOKUP(H3736,'Contas Orç'!A:B,2,0),"N/A")</f>
        <v>DESPESAS FINANCEIRAS</v>
      </c>
      <c r="B3736" s="7" t="str">
        <f t="shared" si="116"/>
        <v>380201 - DESPESAS FINANCEIRAS</v>
      </c>
      <c r="C3736" s="25">
        <f t="shared" si="117"/>
        <v>44774</v>
      </c>
      <c r="D3736" s="27">
        <f>IF(K3736="CREDITO",Q3736,Q3736*-1)</f>
        <v>180</v>
      </c>
      <c r="E3736" t="s">
        <v>894</v>
      </c>
      <c r="F3736" t="s">
        <v>4212</v>
      </c>
      <c r="G3736" s="8">
        <v>44774</v>
      </c>
      <c r="H3736" t="s">
        <v>635</v>
      </c>
      <c r="I3736" t="s">
        <v>27</v>
      </c>
      <c r="J3736" t="s">
        <v>28</v>
      </c>
      <c r="K3736" t="s">
        <v>29</v>
      </c>
      <c r="L3736" t="s">
        <v>895</v>
      </c>
      <c r="M3736" t="s">
        <v>4402</v>
      </c>
      <c r="O3736" t="s">
        <v>896</v>
      </c>
      <c r="P3736" t="s">
        <v>33</v>
      </c>
      <c r="Q3736">
        <v>180</v>
      </c>
      <c r="R3736" t="s">
        <v>35</v>
      </c>
      <c r="S3736" t="s">
        <v>35</v>
      </c>
      <c r="T3736" t="s">
        <v>35</v>
      </c>
      <c r="U3736" t="s">
        <v>35</v>
      </c>
      <c r="V3736" t="s">
        <v>645</v>
      </c>
      <c r="W3736" t="s">
        <v>113</v>
      </c>
    </row>
    <row r="3737" spans="1:23" hidden="1" x14ac:dyDescent="0.25">
      <c r="A3737" s="7" t="str">
        <f>IFERROR(VLOOKUP(H3737,'Contas Orç'!A:B,2,0),"N/A")</f>
        <v>DESPESAS FINANCEIRAS</v>
      </c>
      <c r="B3737" s="7" t="str">
        <f t="shared" si="116"/>
        <v>380201 - DESPESAS FINANCEIRAS</v>
      </c>
      <c r="C3737" s="25">
        <f t="shared" si="117"/>
        <v>44774</v>
      </c>
      <c r="D3737" s="27">
        <f>IF(K3737="CREDITO",Q3737,Q3737*-1)</f>
        <v>4.67</v>
      </c>
      <c r="E3737" t="s">
        <v>894</v>
      </c>
      <c r="F3737" t="s">
        <v>4213</v>
      </c>
      <c r="G3737" s="8">
        <v>44774</v>
      </c>
      <c r="H3737" t="s">
        <v>635</v>
      </c>
      <c r="I3737" t="s">
        <v>59</v>
      </c>
      <c r="J3737" t="s">
        <v>60</v>
      </c>
      <c r="K3737" t="s">
        <v>29</v>
      </c>
      <c r="L3737" t="s">
        <v>895</v>
      </c>
      <c r="M3737" t="s">
        <v>4402</v>
      </c>
      <c r="O3737" t="s">
        <v>896</v>
      </c>
      <c r="P3737" t="s">
        <v>33</v>
      </c>
      <c r="Q3737">
        <v>4.67</v>
      </c>
      <c r="R3737" t="s">
        <v>35</v>
      </c>
      <c r="S3737" t="s">
        <v>35</v>
      </c>
      <c r="T3737" t="s">
        <v>35</v>
      </c>
      <c r="U3737" t="s">
        <v>35</v>
      </c>
      <c r="V3737" t="s">
        <v>645</v>
      </c>
      <c r="W3737" t="s">
        <v>113</v>
      </c>
    </row>
    <row r="3738" spans="1:23" hidden="1" x14ac:dyDescent="0.25">
      <c r="A3738" s="7" t="str">
        <f>IFERROR(VLOOKUP(H3738,'Contas Orç'!A:B,2,0),"N/A")</f>
        <v>DESPESAS FINANCEIRAS</v>
      </c>
      <c r="B3738" s="7" t="str">
        <f t="shared" si="116"/>
        <v>380201 - DESPESAS FINANCEIRAS</v>
      </c>
      <c r="C3738" s="25">
        <f t="shared" si="117"/>
        <v>44774</v>
      </c>
      <c r="D3738" s="27">
        <f>IF(K3738="CREDITO",Q3738,Q3738*-1)</f>
        <v>51.09</v>
      </c>
      <c r="E3738" t="s">
        <v>894</v>
      </c>
      <c r="F3738" t="s">
        <v>4214</v>
      </c>
      <c r="G3738" s="8">
        <v>44774</v>
      </c>
      <c r="H3738" t="s">
        <v>635</v>
      </c>
      <c r="I3738" t="s">
        <v>68</v>
      </c>
      <c r="J3738" t="s">
        <v>69</v>
      </c>
      <c r="K3738" t="s">
        <v>29</v>
      </c>
      <c r="L3738" t="s">
        <v>895</v>
      </c>
      <c r="M3738" t="s">
        <v>4402</v>
      </c>
      <c r="O3738" t="s">
        <v>896</v>
      </c>
      <c r="P3738" t="s">
        <v>33</v>
      </c>
      <c r="Q3738">
        <v>51.09</v>
      </c>
      <c r="R3738" t="s">
        <v>35</v>
      </c>
      <c r="S3738" t="s">
        <v>35</v>
      </c>
      <c r="T3738" t="s">
        <v>35</v>
      </c>
      <c r="U3738" t="s">
        <v>35</v>
      </c>
      <c r="V3738" t="s">
        <v>645</v>
      </c>
      <c r="W3738" t="s">
        <v>113</v>
      </c>
    </row>
    <row r="3739" spans="1:23" hidden="1" x14ac:dyDescent="0.25">
      <c r="A3739" s="7" t="str">
        <f>IFERROR(VLOOKUP(H3739,'Contas Orç'!A:B,2,0),"N/A")</f>
        <v>DESPESAS FINANCEIRAS</v>
      </c>
      <c r="B3739" s="7" t="str">
        <f t="shared" si="116"/>
        <v>380201 - DESPESAS FINANCEIRAS</v>
      </c>
      <c r="C3739" s="25">
        <f t="shared" si="117"/>
        <v>44774</v>
      </c>
      <c r="D3739" s="27">
        <f>IF(K3739="CREDITO",Q3739,Q3739*-1)</f>
        <v>194194.51</v>
      </c>
      <c r="E3739" t="s">
        <v>894</v>
      </c>
      <c r="F3739" t="s">
        <v>4215</v>
      </c>
      <c r="G3739" s="8">
        <v>44774</v>
      </c>
      <c r="H3739" t="s">
        <v>635</v>
      </c>
      <c r="I3739" t="s">
        <v>40</v>
      </c>
      <c r="J3739" t="s">
        <v>54</v>
      </c>
      <c r="K3739" t="s">
        <v>29</v>
      </c>
      <c r="L3739" t="s">
        <v>895</v>
      </c>
      <c r="M3739" t="s">
        <v>4402</v>
      </c>
      <c r="O3739" t="s">
        <v>896</v>
      </c>
      <c r="P3739" t="s">
        <v>33</v>
      </c>
      <c r="Q3739" s="22">
        <v>194194.51</v>
      </c>
      <c r="R3739" t="s">
        <v>35</v>
      </c>
      <c r="S3739" t="s">
        <v>35</v>
      </c>
      <c r="T3739" t="s">
        <v>35</v>
      </c>
      <c r="U3739" t="s">
        <v>35</v>
      </c>
      <c r="V3739" t="s">
        <v>645</v>
      </c>
      <c r="W3739" t="s">
        <v>113</v>
      </c>
    </row>
    <row r="3740" spans="1:23" hidden="1" x14ac:dyDescent="0.25">
      <c r="A3740" s="7" t="str">
        <f>IFERROR(VLOOKUP(H3740,'Contas Orç'!A:B,2,0),"N/A")</f>
        <v>DESPESAS FINANCEIRAS</v>
      </c>
      <c r="B3740" s="7" t="str">
        <f t="shared" si="116"/>
        <v>380201 - DESPESAS FINANCEIRAS</v>
      </c>
      <c r="C3740" s="25">
        <f t="shared" si="117"/>
        <v>44774</v>
      </c>
      <c r="D3740" s="27">
        <f>IF(K3740="CREDITO",Q3740,Q3740*-1)</f>
        <v>23617.21</v>
      </c>
      <c r="E3740" t="s">
        <v>894</v>
      </c>
      <c r="F3740" t="s">
        <v>4216</v>
      </c>
      <c r="G3740" s="8">
        <v>44774</v>
      </c>
      <c r="H3740" t="s">
        <v>635</v>
      </c>
      <c r="I3740" t="s">
        <v>1002</v>
      </c>
      <c r="J3740" t="s">
        <v>54</v>
      </c>
      <c r="K3740" t="s">
        <v>29</v>
      </c>
      <c r="L3740" t="s">
        <v>895</v>
      </c>
      <c r="M3740" t="s">
        <v>4402</v>
      </c>
      <c r="O3740" t="s">
        <v>896</v>
      </c>
      <c r="P3740" t="s">
        <v>33</v>
      </c>
      <c r="Q3740" s="22">
        <v>23617.21</v>
      </c>
      <c r="R3740" t="s">
        <v>35</v>
      </c>
      <c r="S3740" t="s">
        <v>35</v>
      </c>
      <c r="T3740" t="s">
        <v>35</v>
      </c>
      <c r="U3740" t="s">
        <v>35</v>
      </c>
      <c r="V3740" t="s">
        <v>645</v>
      </c>
      <c r="W3740" t="s">
        <v>113</v>
      </c>
    </row>
    <row r="3741" spans="1:23" hidden="1" x14ac:dyDescent="0.25">
      <c r="A3741" s="7" t="str">
        <f>IFERROR(VLOOKUP(H3741,'Contas Orç'!A:B,2,0),"N/A")</f>
        <v>DESPESAS FINANCEIRAS</v>
      </c>
      <c r="B3741" s="7" t="str">
        <f t="shared" si="116"/>
        <v>380201 - DESPESAS FINANCEIRAS</v>
      </c>
      <c r="C3741" s="25">
        <f t="shared" si="117"/>
        <v>44774</v>
      </c>
      <c r="D3741" s="27">
        <f>IF(K3741="CREDITO",Q3741,Q3741*-1)</f>
        <v>597.44000000000005</v>
      </c>
      <c r="E3741" t="s">
        <v>894</v>
      </c>
      <c r="F3741" t="s">
        <v>4217</v>
      </c>
      <c r="G3741" s="8">
        <v>44774</v>
      </c>
      <c r="H3741" t="s">
        <v>635</v>
      </c>
      <c r="I3741" t="s">
        <v>53</v>
      </c>
      <c r="J3741" t="s">
        <v>54</v>
      </c>
      <c r="K3741" t="s">
        <v>29</v>
      </c>
      <c r="L3741" t="s">
        <v>895</v>
      </c>
      <c r="M3741" t="s">
        <v>4402</v>
      </c>
      <c r="O3741" t="s">
        <v>896</v>
      </c>
      <c r="P3741" t="s">
        <v>33</v>
      </c>
      <c r="Q3741">
        <v>597.44000000000005</v>
      </c>
      <c r="R3741" t="s">
        <v>35</v>
      </c>
      <c r="S3741" t="s">
        <v>35</v>
      </c>
      <c r="T3741" t="s">
        <v>35</v>
      </c>
      <c r="U3741" t="s">
        <v>35</v>
      </c>
      <c r="V3741" t="s">
        <v>645</v>
      </c>
      <c r="W3741" t="s">
        <v>113</v>
      </c>
    </row>
    <row r="3742" spans="1:23" hidden="1" x14ac:dyDescent="0.25">
      <c r="A3742" s="7" t="str">
        <f>IFERROR(VLOOKUP(H3742,'Contas Orç'!A:B,2,0),"N/A")</f>
        <v>DESPESAS FINANCEIRAS</v>
      </c>
      <c r="B3742" s="7" t="str">
        <f t="shared" si="116"/>
        <v>380201 - DESPESAS FINANCEIRAS</v>
      </c>
      <c r="C3742" s="25">
        <f t="shared" si="117"/>
        <v>44805</v>
      </c>
      <c r="D3742" s="27">
        <f>IF(K3742="CREDITO",Q3742,Q3742*-1)</f>
        <v>190489.02</v>
      </c>
      <c r="E3742" t="s">
        <v>894</v>
      </c>
      <c r="F3742" t="s">
        <v>4218</v>
      </c>
      <c r="G3742" s="8">
        <v>44805</v>
      </c>
      <c r="H3742" t="s">
        <v>635</v>
      </c>
      <c r="I3742" t="s">
        <v>40</v>
      </c>
      <c r="J3742" t="s">
        <v>54</v>
      </c>
      <c r="K3742" t="s">
        <v>29</v>
      </c>
      <c r="L3742" t="s">
        <v>895</v>
      </c>
      <c r="M3742" t="s">
        <v>4402</v>
      </c>
      <c r="O3742" t="s">
        <v>896</v>
      </c>
      <c r="P3742" t="s">
        <v>33</v>
      </c>
      <c r="Q3742" s="22">
        <v>190489.02</v>
      </c>
      <c r="R3742" t="s">
        <v>35</v>
      </c>
      <c r="S3742" t="s">
        <v>35</v>
      </c>
      <c r="T3742" t="s">
        <v>35</v>
      </c>
      <c r="U3742" t="s">
        <v>35</v>
      </c>
      <c r="V3742" t="s">
        <v>645</v>
      </c>
      <c r="W3742" t="s">
        <v>113</v>
      </c>
    </row>
    <row r="3743" spans="1:23" hidden="1" x14ac:dyDescent="0.25">
      <c r="A3743" s="7" t="str">
        <f>IFERROR(VLOOKUP(H3743,'Contas Orç'!A:B,2,0),"N/A")</f>
        <v>DESPESAS FINANCEIRAS</v>
      </c>
      <c r="B3743" s="7" t="str">
        <f t="shared" si="116"/>
        <v>380201 - DESPESAS FINANCEIRAS</v>
      </c>
      <c r="C3743" s="25">
        <f t="shared" si="117"/>
        <v>44805</v>
      </c>
      <c r="D3743" s="27">
        <f>IF(K3743="CREDITO",Q3743,Q3743*-1)</f>
        <v>885308.45</v>
      </c>
      <c r="E3743" t="s">
        <v>894</v>
      </c>
      <c r="F3743" t="s">
        <v>4219</v>
      </c>
      <c r="G3743" s="8">
        <v>44805</v>
      </c>
      <c r="H3743" t="s">
        <v>635</v>
      </c>
      <c r="I3743" t="s">
        <v>1002</v>
      </c>
      <c r="J3743" t="s">
        <v>54</v>
      </c>
      <c r="K3743" t="s">
        <v>29</v>
      </c>
      <c r="L3743" t="s">
        <v>895</v>
      </c>
      <c r="M3743" t="s">
        <v>4402</v>
      </c>
      <c r="O3743" t="s">
        <v>896</v>
      </c>
      <c r="P3743" t="s">
        <v>33</v>
      </c>
      <c r="Q3743" s="22">
        <v>885308.45</v>
      </c>
      <c r="R3743" t="s">
        <v>35</v>
      </c>
      <c r="S3743" t="s">
        <v>35</v>
      </c>
      <c r="T3743" t="s">
        <v>35</v>
      </c>
      <c r="U3743" t="s">
        <v>35</v>
      </c>
      <c r="V3743" t="s">
        <v>645</v>
      </c>
      <c r="W3743" t="s">
        <v>113</v>
      </c>
    </row>
    <row r="3744" spans="1:23" hidden="1" x14ac:dyDescent="0.25">
      <c r="A3744" s="7" t="str">
        <f>IFERROR(VLOOKUP(H3744,'Contas Orç'!A:B,2,0),"N/A")</f>
        <v>DESPESAS FINANCEIRAS</v>
      </c>
      <c r="B3744" s="7" t="str">
        <f t="shared" si="116"/>
        <v>380201 - DESPESAS FINANCEIRAS</v>
      </c>
      <c r="C3744" s="25">
        <f t="shared" si="117"/>
        <v>44805</v>
      </c>
      <c r="D3744" s="27">
        <f>IF(K3744="CREDITO",Q3744,Q3744*-1)</f>
        <v>930.24</v>
      </c>
      <c r="E3744" t="s">
        <v>894</v>
      </c>
      <c r="F3744" t="s">
        <v>4220</v>
      </c>
      <c r="G3744" s="8">
        <v>44805</v>
      </c>
      <c r="H3744" t="s">
        <v>635</v>
      </c>
      <c r="I3744" t="s">
        <v>53</v>
      </c>
      <c r="J3744" t="s">
        <v>54</v>
      </c>
      <c r="K3744" t="s">
        <v>29</v>
      </c>
      <c r="L3744" t="s">
        <v>895</v>
      </c>
      <c r="M3744" t="s">
        <v>4402</v>
      </c>
      <c r="O3744" t="s">
        <v>896</v>
      </c>
      <c r="P3744" t="s">
        <v>33</v>
      </c>
      <c r="Q3744">
        <v>930.24</v>
      </c>
      <c r="R3744" t="s">
        <v>35</v>
      </c>
      <c r="S3744" t="s">
        <v>35</v>
      </c>
      <c r="T3744" t="s">
        <v>35</v>
      </c>
      <c r="U3744" t="s">
        <v>35</v>
      </c>
      <c r="V3744" t="s">
        <v>645</v>
      </c>
      <c r="W3744" t="s">
        <v>113</v>
      </c>
    </row>
    <row r="3745" spans="1:23" hidden="1" x14ac:dyDescent="0.25">
      <c r="A3745" s="7" t="str">
        <f>IFERROR(VLOOKUP(H3745,'Contas Orç'!A:B,2,0),"N/A")</f>
        <v>DESPESAS FINANCEIRAS</v>
      </c>
      <c r="B3745" s="7" t="str">
        <f t="shared" si="116"/>
        <v>380201 - DESPESAS FINANCEIRAS</v>
      </c>
      <c r="C3745" s="25">
        <f t="shared" si="117"/>
        <v>44835</v>
      </c>
      <c r="D3745" s="27">
        <f>IF(K3745="CREDITO",Q3745,Q3745*-1)</f>
        <v>192393.91</v>
      </c>
      <c r="E3745" t="s">
        <v>894</v>
      </c>
      <c r="F3745" t="s">
        <v>4221</v>
      </c>
      <c r="G3745" s="8">
        <v>44835</v>
      </c>
      <c r="H3745" t="s">
        <v>635</v>
      </c>
      <c r="I3745" t="s">
        <v>40</v>
      </c>
      <c r="J3745" t="s">
        <v>54</v>
      </c>
      <c r="K3745" t="s">
        <v>29</v>
      </c>
      <c r="L3745" t="s">
        <v>895</v>
      </c>
      <c r="M3745" t="s">
        <v>4402</v>
      </c>
      <c r="O3745" t="s">
        <v>896</v>
      </c>
      <c r="P3745" t="s">
        <v>33</v>
      </c>
      <c r="Q3745" s="22">
        <v>192393.91</v>
      </c>
      <c r="R3745" t="s">
        <v>35</v>
      </c>
      <c r="S3745" t="s">
        <v>35</v>
      </c>
      <c r="T3745" t="s">
        <v>35</v>
      </c>
      <c r="U3745" t="s">
        <v>35</v>
      </c>
      <c r="V3745" t="s">
        <v>645</v>
      </c>
      <c r="W3745" t="s">
        <v>113</v>
      </c>
    </row>
    <row r="3746" spans="1:23" hidden="1" x14ac:dyDescent="0.25">
      <c r="A3746" s="7" t="str">
        <f>IFERROR(VLOOKUP(H3746,'Contas Orç'!A:B,2,0),"N/A")</f>
        <v>DESPESAS FINANCEIRAS</v>
      </c>
      <c r="B3746" s="7" t="str">
        <f t="shared" si="116"/>
        <v>380201 - DESPESAS FINANCEIRAS</v>
      </c>
      <c r="C3746" s="25">
        <f t="shared" si="117"/>
        <v>44835</v>
      </c>
      <c r="D3746" s="27">
        <f>IF(K3746="CREDITO",Q3746,Q3746*-1)</f>
        <v>894161.53</v>
      </c>
      <c r="E3746" t="s">
        <v>894</v>
      </c>
      <c r="F3746" t="s">
        <v>4222</v>
      </c>
      <c r="G3746" s="8">
        <v>44835</v>
      </c>
      <c r="H3746" t="s">
        <v>635</v>
      </c>
      <c r="I3746" t="s">
        <v>1002</v>
      </c>
      <c r="J3746" t="s">
        <v>54</v>
      </c>
      <c r="K3746" t="s">
        <v>29</v>
      </c>
      <c r="L3746" t="s">
        <v>895</v>
      </c>
      <c r="M3746" t="s">
        <v>4402</v>
      </c>
      <c r="O3746" t="s">
        <v>896</v>
      </c>
      <c r="P3746" t="s">
        <v>33</v>
      </c>
      <c r="Q3746" s="22">
        <v>894161.53</v>
      </c>
      <c r="R3746" t="s">
        <v>35</v>
      </c>
      <c r="S3746" t="s">
        <v>35</v>
      </c>
      <c r="T3746" t="s">
        <v>35</v>
      </c>
      <c r="U3746" t="s">
        <v>35</v>
      </c>
      <c r="V3746" t="s">
        <v>645</v>
      </c>
      <c r="W3746" t="s">
        <v>113</v>
      </c>
    </row>
    <row r="3747" spans="1:23" hidden="1" x14ac:dyDescent="0.25">
      <c r="A3747" s="7" t="str">
        <f>IFERROR(VLOOKUP(H3747,'Contas Orç'!A:B,2,0),"N/A")</f>
        <v>DESPESAS FINANCEIRAS</v>
      </c>
      <c r="B3747" s="7" t="str">
        <f t="shared" si="116"/>
        <v>380201 - DESPESAS FINANCEIRAS</v>
      </c>
      <c r="C3747" s="25">
        <f t="shared" si="117"/>
        <v>44835</v>
      </c>
      <c r="D3747" s="27">
        <f>IF(K3747="CREDITO",Q3747,Q3747*-1)</f>
        <v>939.54</v>
      </c>
      <c r="E3747" t="s">
        <v>894</v>
      </c>
      <c r="F3747" t="s">
        <v>4223</v>
      </c>
      <c r="G3747" s="8">
        <v>44835</v>
      </c>
      <c r="H3747" t="s">
        <v>635</v>
      </c>
      <c r="I3747" t="s">
        <v>53</v>
      </c>
      <c r="J3747" t="s">
        <v>54</v>
      </c>
      <c r="K3747" t="s">
        <v>29</v>
      </c>
      <c r="L3747" t="s">
        <v>895</v>
      </c>
      <c r="M3747" t="s">
        <v>4402</v>
      </c>
      <c r="O3747" t="s">
        <v>896</v>
      </c>
      <c r="P3747" t="s">
        <v>33</v>
      </c>
      <c r="Q3747">
        <v>939.54</v>
      </c>
      <c r="R3747" t="s">
        <v>35</v>
      </c>
      <c r="S3747" t="s">
        <v>35</v>
      </c>
      <c r="T3747" t="s">
        <v>35</v>
      </c>
      <c r="U3747" t="s">
        <v>35</v>
      </c>
      <c r="V3747" t="s">
        <v>645</v>
      </c>
      <c r="W3747" t="s">
        <v>113</v>
      </c>
    </row>
    <row r="3748" spans="1:23" hidden="1" x14ac:dyDescent="0.25">
      <c r="A3748" s="7" t="str">
        <f>IFERROR(VLOOKUP(H3748,'Contas Orç'!A:B,2,0),"N/A")</f>
        <v>DESPESAS FINANCEIRAS</v>
      </c>
      <c r="B3748" s="7" t="str">
        <f t="shared" si="116"/>
        <v>380201 - DESPESAS FINANCEIRAS</v>
      </c>
      <c r="C3748" s="25">
        <f t="shared" si="117"/>
        <v>44866</v>
      </c>
      <c r="D3748" s="27">
        <f>IF(K3748="CREDITO",Q3748,Q3748*-1)</f>
        <v>194317.85</v>
      </c>
      <c r="E3748" t="s">
        <v>894</v>
      </c>
      <c r="F3748" t="s">
        <v>4224</v>
      </c>
      <c r="G3748" s="8">
        <v>44866</v>
      </c>
      <c r="H3748" t="s">
        <v>635</v>
      </c>
      <c r="I3748" t="s">
        <v>40</v>
      </c>
      <c r="J3748" t="s">
        <v>54</v>
      </c>
      <c r="K3748" t="s">
        <v>29</v>
      </c>
      <c r="L3748" t="s">
        <v>895</v>
      </c>
      <c r="M3748" t="s">
        <v>4402</v>
      </c>
      <c r="O3748" t="s">
        <v>896</v>
      </c>
      <c r="P3748" t="s">
        <v>33</v>
      </c>
      <c r="Q3748" s="22">
        <v>194317.85</v>
      </c>
      <c r="R3748" t="s">
        <v>35</v>
      </c>
      <c r="S3748" t="s">
        <v>35</v>
      </c>
      <c r="T3748" t="s">
        <v>35</v>
      </c>
      <c r="U3748" t="s">
        <v>35</v>
      </c>
      <c r="V3748" t="s">
        <v>645</v>
      </c>
      <c r="W3748" t="s">
        <v>113</v>
      </c>
    </row>
    <row r="3749" spans="1:23" hidden="1" x14ac:dyDescent="0.25">
      <c r="A3749" s="7" t="str">
        <f>IFERROR(VLOOKUP(H3749,'Contas Orç'!A:B,2,0),"N/A")</f>
        <v>DESPESAS FINANCEIRAS</v>
      </c>
      <c r="B3749" s="7" t="str">
        <f t="shared" si="116"/>
        <v>380201 - DESPESAS FINANCEIRAS</v>
      </c>
      <c r="C3749" s="25">
        <f t="shared" si="117"/>
        <v>44866</v>
      </c>
      <c r="D3749" s="27">
        <f>IF(K3749="CREDITO",Q3749,Q3749*-1)</f>
        <v>903103.15</v>
      </c>
      <c r="E3749" t="s">
        <v>894</v>
      </c>
      <c r="F3749" t="s">
        <v>4225</v>
      </c>
      <c r="G3749" s="8">
        <v>44866</v>
      </c>
      <c r="H3749" t="s">
        <v>635</v>
      </c>
      <c r="I3749" t="s">
        <v>1002</v>
      </c>
      <c r="J3749" t="s">
        <v>54</v>
      </c>
      <c r="K3749" t="s">
        <v>29</v>
      </c>
      <c r="L3749" t="s">
        <v>895</v>
      </c>
      <c r="M3749" t="s">
        <v>4402</v>
      </c>
      <c r="O3749" t="s">
        <v>896</v>
      </c>
      <c r="P3749" t="s">
        <v>33</v>
      </c>
      <c r="Q3749" s="22">
        <v>903103.15</v>
      </c>
      <c r="R3749" t="s">
        <v>35</v>
      </c>
      <c r="S3749" t="s">
        <v>35</v>
      </c>
      <c r="T3749" t="s">
        <v>35</v>
      </c>
      <c r="U3749" t="s">
        <v>35</v>
      </c>
      <c r="V3749" t="s">
        <v>645</v>
      </c>
      <c r="W3749" t="s">
        <v>113</v>
      </c>
    </row>
    <row r="3750" spans="1:23" hidden="1" x14ac:dyDescent="0.25">
      <c r="A3750" s="7" t="str">
        <f>IFERROR(VLOOKUP(H3750,'Contas Orç'!A:B,2,0),"N/A")</f>
        <v>DESPESAS FINANCEIRAS</v>
      </c>
      <c r="B3750" s="7" t="str">
        <f t="shared" si="116"/>
        <v>380201 - DESPESAS FINANCEIRAS</v>
      </c>
      <c r="C3750" s="25">
        <f t="shared" si="117"/>
        <v>44866</v>
      </c>
      <c r="D3750" s="27">
        <f>IF(K3750="CREDITO",Q3750,Q3750*-1)</f>
        <v>948.94</v>
      </c>
      <c r="E3750" t="s">
        <v>894</v>
      </c>
      <c r="F3750" t="s">
        <v>4226</v>
      </c>
      <c r="G3750" s="8">
        <v>44866</v>
      </c>
      <c r="H3750" t="s">
        <v>635</v>
      </c>
      <c r="I3750" t="s">
        <v>53</v>
      </c>
      <c r="J3750" t="s">
        <v>54</v>
      </c>
      <c r="K3750" t="s">
        <v>29</v>
      </c>
      <c r="L3750" t="s">
        <v>895</v>
      </c>
      <c r="M3750" t="s">
        <v>4402</v>
      </c>
      <c r="O3750" t="s">
        <v>896</v>
      </c>
      <c r="P3750" t="s">
        <v>33</v>
      </c>
      <c r="Q3750">
        <v>948.94</v>
      </c>
      <c r="R3750" t="s">
        <v>35</v>
      </c>
      <c r="S3750" t="s">
        <v>35</v>
      </c>
      <c r="T3750" t="s">
        <v>35</v>
      </c>
      <c r="U3750" t="s">
        <v>35</v>
      </c>
      <c r="V3750" t="s">
        <v>645</v>
      </c>
      <c r="W3750" t="s">
        <v>113</v>
      </c>
    </row>
    <row r="3751" spans="1:23" hidden="1" x14ac:dyDescent="0.25">
      <c r="A3751" s="7" t="str">
        <f>IFERROR(VLOOKUP(H3751,'Contas Orç'!A:B,2,0),"N/A")</f>
        <v>DESPESAS FINANCEIRAS</v>
      </c>
      <c r="B3751" s="7" t="str">
        <f t="shared" si="116"/>
        <v>380201 - DESPESAS FINANCEIRAS</v>
      </c>
      <c r="C3751" s="25">
        <f t="shared" si="117"/>
        <v>44896</v>
      </c>
      <c r="D3751" s="27">
        <f>IF(K3751="CREDITO",Q3751,Q3751*-1)</f>
        <v>196261.03</v>
      </c>
      <c r="E3751" t="s">
        <v>894</v>
      </c>
      <c r="F3751" t="s">
        <v>4227</v>
      </c>
      <c r="G3751" s="8">
        <v>44896</v>
      </c>
      <c r="H3751" t="s">
        <v>635</v>
      </c>
      <c r="I3751" t="s">
        <v>40</v>
      </c>
      <c r="J3751" t="s">
        <v>54</v>
      </c>
      <c r="K3751" t="s">
        <v>29</v>
      </c>
      <c r="L3751" t="s">
        <v>895</v>
      </c>
      <c r="M3751" t="s">
        <v>4402</v>
      </c>
      <c r="O3751" t="s">
        <v>896</v>
      </c>
      <c r="P3751" t="s">
        <v>33</v>
      </c>
      <c r="Q3751" s="22">
        <v>196261.03</v>
      </c>
      <c r="R3751" t="s">
        <v>35</v>
      </c>
      <c r="S3751" t="s">
        <v>35</v>
      </c>
      <c r="T3751" t="s">
        <v>35</v>
      </c>
      <c r="U3751" t="s">
        <v>35</v>
      </c>
      <c r="V3751" t="s">
        <v>645</v>
      </c>
      <c r="W3751" t="s">
        <v>113</v>
      </c>
    </row>
    <row r="3752" spans="1:23" hidden="1" x14ac:dyDescent="0.25">
      <c r="A3752" s="7" t="str">
        <f>IFERROR(VLOOKUP(H3752,'Contas Orç'!A:B,2,0),"N/A")</f>
        <v>DESPESAS FINANCEIRAS</v>
      </c>
      <c r="B3752" s="7" t="str">
        <f t="shared" si="116"/>
        <v>380201 - DESPESAS FINANCEIRAS</v>
      </c>
      <c r="C3752" s="25">
        <f t="shared" si="117"/>
        <v>44896</v>
      </c>
      <c r="D3752" s="27">
        <f>IF(K3752="CREDITO",Q3752,Q3752*-1)</f>
        <v>912134.18</v>
      </c>
      <c r="E3752" t="s">
        <v>894</v>
      </c>
      <c r="F3752" t="s">
        <v>4228</v>
      </c>
      <c r="G3752" s="8">
        <v>44896</v>
      </c>
      <c r="H3752" t="s">
        <v>635</v>
      </c>
      <c r="I3752" t="s">
        <v>1002</v>
      </c>
      <c r="J3752" t="s">
        <v>54</v>
      </c>
      <c r="K3752" t="s">
        <v>29</v>
      </c>
      <c r="L3752" t="s">
        <v>895</v>
      </c>
      <c r="M3752" t="s">
        <v>4402</v>
      </c>
      <c r="O3752" t="s">
        <v>896</v>
      </c>
      <c r="P3752" t="s">
        <v>33</v>
      </c>
      <c r="Q3752" s="22">
        <v>912134.18</v>
      </c>
      <c r="R3752" t="s">
        <v>35</v>
      </c>
      <c r="S3752" t="s">
        <v>35</v>
      </c>
      <c r="T3752" t="s">
        <v>35</v>
      </c>
      <c r="U3752" t="s">
        <v>35</v>
      </c>
      <c r="V3752" t="s">
        <v>645</v>
      </c>
      <c r="W3752" t="s">
        <v>113</v>
      </c>
    </row>
    <row r="3753" spans="1:23" hidden="1" x14ac:dyDescent="0.25">
      <c r="A3753" s="7" t="str">
        <f>IFERROR(VLOOKUP(H3753,'Contas Orç'!A:B,2,0),"N/A")</f>
        <v>DESPESAS FINANCEIRAS</v>
      </c>
      <c r="B3753" s="7" t="str">
        <f t="shared" si="116"/>
        <v>380201 - DESPESAS FINANCEIRAS</v>
      </c>
      <c r="C3753" s="25">
        <f t="shared" si="117"/>
        <v>44896</v>
      </c>
      <c r="D3753" s="27">
        <f>IF(K3753="CREDITO",Q3753,Q3753*-1)</f>
        <v>958.43</v>
      </c>
      <c r="E3753" t="s">
        <v>894</v>
      </c>
      <c r="F3753" t="s">
        <v>4229</v>
      </c>
      <c r="G3753" s="8">
        <v>44896</v>
      </c>
      <c r="H3753" t="s">
        <v>635</v>
      </c>
      <c r="I3753" t="s">
        <v>53</v>
      </c>
      <c r="J3753" t="s">
        <v>54</v>
      </c>
      <c r="K3753" t="s">
        <v>29</v>
      </c>
      <c r="L3753" t="s">
        <v>895</v>
      </c>
      <c r="M3753" t="s">
        <v>4402</v>
      </c>
      <c r="O3753" t="s">
        <v>896</v>
      </c>
      <c r="P3753" t="s">
        <v>33</v>
      </c>
      <c r="Q3753">
        <v>958.43</v>
      </c>
      <c r="R3753" t="s">
        <v>35</v>
      </c>
      <c r="S3753" t="s">
        <v>35</v>
      </c>
      <c r="T3753" t="s">
        <v>35</v>
      </c>
      <c r="U3753" t="s">
        <v>35</v>
      </c>
      <c r="V3753" t="s">
        <v>645</v>
      </c>
      <c r="W3753" t="s">
        <v>113</v>
      </c>
    </row>
    <row r="3754" spans="1:23" hidden="1" x14ac:dyDescent="0.25">
      <c r="A3754" s="7" t="str">
        <f>IFERROR(VLOOKUP(H3754,'Contas Orç'!A:B,2,0),"N/A")</f>
        <v>DESPESAS INDEDUTIVEIS</v>
      </c>
      <c r="B3754" s="7" t="str">
        <f t="shared" si="116"/>
        <v>380301 - DESPESAS INDEDUTIVEIS</v>
      </c>
      <c r="C3754" s="25">
        <f t="shared" si="117"/>
        <v>44562</v>
      </c>
      <c r="D3754" s="27">
        <f>IF(K3754="CREDITO",Q3754,Q3754*-1)</f>
        <v>2405</v>
      </c>
      <c r="E3754" t="s">
        <v>894</v>
      </c>
      <c r="F3754" t="s">
        <v>4230</v>
      </c>
      <c r="G3754" s="8">
        <v>44562</v>
      </c>
      <c r="H3754" t="s">
        <v>629</v>
      </c>
      <c r="I3754" t="s">
        <v>27</v>
      </c>
      <c r="J3754" t="s">
        <v>28</v>
      </c>
      <c r="K3754" t="s">
        <v>29</v>
      </c>
      <c r="L3754" t="s">
        <v>895</v>
      </c>
      <c r="M3754" t="s">
        <v>4402</v>
      </c>
      <c r="O3754" t="s">
        <v>896</v>
      </c>
      <c r="P3754" t="s">
        <v>33</v>
      </c>
      <c r="Q3754" s="22">
        <v>2405</v>
      </c>
      <c r="R3754" t="s">
        <v>35</v>
      </c>
      <c r="S3754" t="s">
        <v>35</v>
      </c>
      <c r="T3754" t="s">
        <v>35</v>
      </c>
      <c r="U3754" t="s">
        <v>35</v>
      </c>
      <c r="V3754" t="s">
        <v>645</v>
      </c>
      <c r="W3754" t="s">
        <v>113</v>
      </c>
    </row>
    <row r="3755" spans="1:23" hidden="1" x14ac:dyDescent="0.25">
      <c r="A3755" s="7" t="str">
        <f>IFERROR(VLOOKUP(H3755,'Contas Orç'!A:B,2,0),"N/A")</f>
        <v>DESPESAS INDEDUTIVEIS</v>
      </c>
      <c r="B3755" s="7" t="str">
        <f t="shared" si="116"/>
        <v>380301 - DESPESAS INDEDUTIVEIS</v>
      </c>
      <c r="C3755" s="25">
        <f t="shared" si="117"/>
        <v>44562</v>
      </c>
      <c r="D3755" s="27">
        <f>IF(K3755="CREDITO",Q3755,Q3755*-1)</f>
        <v>1645.14</v>
      </c>
      <c r="E3755" t="s">
        <v>894</v>
      </c>
      <c r="F3755" t="s">
        <v>4231</v>
      </c>
      <c r="G3755" s="8">
        <v>44562</v>
      </c>
      <c r="H3755" t="s">
        <v>629</v>
      </c>
      <c r="I3755" t="s">
        <v>53</v>
      </c>
      <c r="J3755" t="s">
        <v>702</v>
      </c>
      <c r="K3755" t="s">
        <v>29</v>
      </c>
      <c r="L3755" t="s">
        <v>895</v>
      </c>
      <c r="M3755" t="s">
        <v>4402</v>
      </c>
      <c r="O3755" t="s">
        <v>896</v>
      </c>
      <c r="P3755" t="s">
        <v>33</v>
      </c>
      <c r="Q3755" s="22">
        <v>1645.14</v>
      </c>
      <c r="R3755" t="s">
        <v>35</v>
      </c>
      <c r="S3755" t="s">
        <v>35</v>
      </c>
      <c r="T3755" t="s">
        <v>35</v>
      </c>
      <c r="U3755" t="s">
        <v>35</v>
      </c>
      <c r="V3755" t="s">
        <v>645</v>
      </c>
      <c r="W3755" t="s">
        <v>113</v>
      </c>
    </row>
    <row r="3756" spans="1:23" hidden="1" x14ac:dyDescent="0.25">
      <c r="A3756" s="7" t="str">
        <f>IFERROR(VLOOKUP(H3756,'Contas Orç'!A:B,2,0),"N/A")</f>
        <v>DESPESAS INDEDUTIVEIS</v>
      </c>
      <c r="B3756" s="7" t="str">
        <f t="shared" si="116"/>
        <v>380301 - DESPESAS INDEDUTIVEIS</v>
      </c>
      <c r="C3756" s="25">
        <f t="shared" si="117"/>
        <v>44562</v>
      </c>
      <c r="D3756" s="27">
        <f>IF(K3756="CREDITO",Q3756,Q3756*-1)</f>
        <v>7496.81</v>
      </c>
      <c r="E3756" t="s">
        <v>894</v>
      </c>
      <c r="F3756" t="s">
        <v>4232</v>
      </c>
      <c r="G3756" s="8">
        <v>44562</v>
      </c>
      <c r="H3756" t="s">
        <v>629</v>
      </c>
      <c r="I3756" t="s">
        <v>68</v>
      </c>
      <c r="J3756" t="s">
        <v>69</v>
      </c>
      <c r="K3756" t="s">
        <v>29</v>
      </c>
      <c r="L3756" t="s">
        <v>895</v>
      </c>
      <c r="M3756" t="s">
        <v>4402</v>
      </c>
      <c r="O3756" t="s">
        <v>896</v>
      </c>
      <c r="P3756" t="s">
        <v>33</v>
      </c>
      <c r="Q3756" s="22">
        <v>7496.81</v>
      </c>
      <c r="R3756" t="s">
        <v>35</v>
      </c>
      <c r="S3756" t="s">
        <v>35</v>
      </c>
      <c r="T3756" t="s">
        <v>35</v>
      </c>
      <c r="U3756" t="s">
        <v>35</v>
      </c>
      <c r="V3756" t="s">
        <v>645</v>
      </c>
      <c r="W3756" t="s">
        <v>113</v>
      </c>
    </row>
    <row r="3757" spans="1:23" hidden="1" x14ac:dyDescent="0.25">
      <c r="A3757" s="7" t="str">
        <f>IFERROR(VLOOKUP(H3757,'Contas Orç'!A:B,2,0),"N/A")</f>
        <v>DESPESAS INDEDUTIVEIS</v>
      </c>
      <c r="B3757" s="7" t="str">
        <f t="shared" si="116"/>
        <v>380301 - DESPESAS INDEDUTIVEIS</v>
      </c>
      <c r="C3757" s="25">
        <f t="shared" si="117"/>
        <v>44562</v>
      </c>
      <c r="D3757" s="27">
        <f>IF(K3757="CREDITO",Q3757,Q3757*-1)</f>
        <v>2000</v>
      </c>
      <c r="E3757" t="s">
        <v>894</v>
      </c>
      <c r="F3757" t="s">
        <v>4233</v>
      </c>
      <c r="G3757" s="8">
        <v>44562</v>
      </c>
      <c r="H3757" t="s">
        <v>629</v>
      </c>
      <c r="I3757" t="s">
        <v>2062</v>
      </c>
      <c r="J3757" t="s">
        <v>54</v>
      </c>
      <c r="K3757" t="s">
        <v>29</v>
      </c>
      <c r="L3757" t="s">
        <v>895</v>
      </c>
      <c r="M3757" t="s">
        <v>4402</v>
      </c>
      <c r="O3757" t="s">
        <v>896</v>
      </c>
      <c r="P3757" t="s">
        <v>33</v>
      </c>
      <c r="Q3757" s="22">
        <v>2000</v>
      </c>
      <c r="R3757" t="s">
        <v>35</v>
      </c>
      <c r="S3757" t="s">
        <v>35</v>
      </c>
      <c r="T3757" t="s">
        <v>35</v>
      </c>
      <c r="U3757" t="s">
        <v>35</v>
      </c>
      <c r="V3757" t="s">
        <v>645</v>
      </c>
      <c r="W3757" t="s">
        <v>113</v>
      </c>
    </row>
    <row r="3758" spans="1:23" hidden="1" x14ac:dyDescent="0.25">
      <c r="A3758" s="7" t="str">
        <f>IFERROR(VLOOKUP(H3758,'Contas Orç'!A:B,2,0),"N/A")</f>
        <v>DESPESAS INDEDUTIVEIS</v>
      </c>
      <c r="B3758" s="7" t="str">
        <f t="shared" si="116"/>
        <v>380301 - DESPESAS INDEDUTIVEIS</v>
      </c>
      <c r="C3758" s="25">
        <f t="shared" si="117"/>
        <v>44562</v>
      </c>
      <c r="D3758" s="27">
        <f>IF(K3758="CREDITO",Q3758,Q3758*-1)</f>
        <v>1323.66</v>
      </c>
      <c r="E3758" t="s">
        <v>894</v>
      </c>
      <c r="F3758" t="s">
        <v>4234</v>
      </c>
      <c r="G3758" s="8">
        <v>44562</v>
      </c>
      <c r="H3758" t="s">
        <v>629</v>
      </c>
      <c r="I3758" t="s">
        <v>40</v>
      </c>
      <c r="J3758" t="s">
        <v>54</v>
      </c>
      <c r="K3758" t="s">
        <v>29</v>
      </c>
      <c r="L3758" t="s">
        <v>895</v>
      </c>
      <c r="M3758" t="s">
        <v>4402</v>
      </c>
      <c r="O3758" t="s">
        <v>896</v>
      </c>
      <c r="P3758" t="s">
        <v>33</v>
      </c>
      <c r="Q3758" s="22">
        <v>1323.66</v>
      </c>
      <c r="R3758" t="s">
        <v>35</v>
      </c>
      <c r="S3758" t="s">
        <v>35</v>
      </c>
      <c r="T3758" t="s">
        <v>35</v>
      </c>
      <c r="U3758" t="s">
        <v>35</v>
      </c>
      <c r="V3758" t="s">
        <v>645</v>
      </c>
      <c r="W3758" t="s">
        <v>113</v>
      </c>
    </row>
    <row r="3759" spans="1:23" hidden="1" x14ac:dyDescent="0.25">
      <c r="A3759" s="7" t="str">
        <f>IFERROR(VLOOKUP(H3759,'Contas Orç'!A:B,2,0),"N/A")</f>
        <v>DESPESAS INDEDUTIVEIS</v>
      </c>
      <c r="B3759" s="7" t="str">
        <f t="shared" si="116"/>
        <v>380301 - DESPESAS INDEDUTIVEIS</v>
      </c>
      <c r="C3759" s="25">
        <f t="shared" si="117"/>
        <v>44562</v>
      </c>
      <c r="D3759" s="27">
        <f>IF(K3759="CREDITO",Q3759,Q3759*-1)</f>
        <v>135</v>
      </c>
      <c r="E3759" t="s">
        <v>894</v>
      </c>
      <c r="F3759" t="s">
        <v>4235</v>
      </c>
      <c r="G3759" s="8">
        <v>44562</v>
      </c>
      <c r="H3759" t="s">
        <v>629</v>
      </c>
      <c r="I3759" t="s">
        <v>1002</v>
      </c>
      <c r="J3759" t="s">
        <v>54</v>
      </c>
      <c r="K3759" t="s">
        <v>29</v>
      </c>
      <c r="L3759" t="s">
        <v>895</v>
      </c>
      <c r="M3759" t="s">
        <v>4402</v>
      </c>
      <c r="O3759" t="s">
        <v>896</v>
      </c>
      <c r="P3759" t="s">
        <v>33</v>
      </c>
      <c r="Q3759">
        <v>135</v>
      </c>
      <c r="R3759" t="s">
        <v>35</v>
      </c>
      <c r="S3759" t="s">
        <v>35</v>
      </c>
      <c r="T3759" t="s">
        <v>35</v>
      </c>
      <c r="U3759" t="s">
        <v>35</v>
      </c>
      <c r="V3759" t="s">
        <v>645</v>
      </c>
      <c r="W3759" t="s">
        <v>113</v>
      </c>
    </row>
    <row r="3760" spans="1:23" hidden="1" x14ac:dyDescent="0.25">
      <c r="A3760" s="7" t="str">
        <f>IFERROR(VLOOKUP(H3760,'Contas Orç'!A:B,2,0),"N/A")</f>
        <v>DESPESAS INDEDUTIVEIS</v>
      </c>
      <c r="B3760" s="7" t="str">
        <f t="shared" si="116"/>
        <v>380301 - DESPESAS INDEDUTIVEIS</v>
      </c>
      <c r="C3760" s="25">
        <f t="shared" si="117"/>
        <v>44562</v>
      </c>
      <c r="D3760" s="27">
        <f>IF(K3760="CREDITO",Q3760,Q3760*-1)</f>
        <v>551.15</v>
      </c>
      <c r="E3760" t="s">
        <v>894</v>
      </c>
      <c r="F3760" t="s">
        <v>4236</v>
      </c>
      <c r="G3760" s="8">
        <v>44562</v>
      </c>
      <c r="H3760" t="s">
        <v>629</v>
      </c>
      <c r="I3760" t="s">
        <v>132</v>
      </c>
      <c r="J3760" t="s">
        <v>54</v>
      </c>
      <c r="K3760" t="s">
        <v>29</v>
      </c>
      <c r="L3760" t="s">
        <v>895</v>
      </c>
      <c r="M3760" t="s">
        <v>4402</v>
      </c>
      <c r="O3760" t="s">
        <v>896</v>
      </c>
      <c r="P3760" t="s">
        <v>33</v>
      </c>
      <c r="Q3760">
        <v>551.15</v>
      </c>
      <c r="R3760" t="s">
        <v>35</v>
      </c>
      <c r="S3760" t="s">
        <v>35</v>
      </c>
      <c r="T3760" t="s">
        <v>35</v>
      </c>
      <c r="U3760" t="s">
        <v>35</v>
      </c>
      <c r="V3760" t="s">
        <v>645</v>
      </c>
      <c r="W3760" t="s">
        <v>113</v>
      </c>
    </row>
    <row r="3761" spans="1:23" hidden="1" x14ac:dyDescent="0.25">
      <c r="A3761" s="7" t="str">
        <f>IFERROR(VLOOKUP(H3761,'Contas Orç'!A:B,2,0),"N/A")</f>
        <v>DESPESAS INDEDUTIVEIS</v>
      </c>
      <c r="B3761" s="7" t="str">
        <f t="shared" si="116"/>
        <v>380301 - DESPESAS INDEDUTIVEIS</v>
      </c>
      <c r="C3761" s="25">
        <f t="shared" si="117"/>
        <v>44562</v>
      </c>
      <c r="D3761" s="27">
        <f>IF(K3761="CREDITO",Q3761,Q3761*-1)</f>
        <v>100</v>
      </c>
      <c r="E3761" t="s">
        <v>894</v>
      </c>
      <c r="F3761" t="s">
        <v>4237</v>
      </c>
      <c r="G3761" s="8">
        <v>44562</v>
      </c>
      <c r="H3761" t="s">
        <v>629</v>
      </c>
      <c r="I3761" t="s">
        <v>114</v>
      </c>
      <c r="J3761" t="s">
        <v>54</v>
      </c>
      <c r="K3761" t="s">
        <v>29</v>
      </c>
      <c r="L3761" t="s">
        <v>895</v>
      </c>
      <c r="M3761" t="s">
        <v>4402</v>
      </c>
      <c r="O3761" t="s">
        <v>896</v>
      </c>
      <c r="P3761" t="s">
        <v>33</v>
      </c>
      <c r="Q3761">
        <v>100</v>
      </c>
      <c r="R3761" t="s">
        <v>35</v>
      </c>
      <c r="S3761" t="s">
        <v>35</v>
      </c>
      <c r="T3761" t="s">
        <v>35</v>
      </c>
      <c r="U3761" t="s">
        <v>35</v>
      </c>
      <c r="V3761" t="s">
        <v>645</v>
      </c>
      <c r="W3761" t="s">
        <v>113</v>
      </c>
    </row>
    <row r="3762" spans="1:23" hidden="1" x14ac:dyDescent="0.25">
      <c r="A3762" s="7" t="str">
        <f>IFERROR(VLOOKUP(H3762,'Contas Orç'!A:B,2,0),"N/A")</f>
        <v>DESPESAS INDEDUTIVEIS</v>
      </c>
      <c r="B3762" s="7" t="str">
        <f t="shared" si="116"/>
        <v>380301 - DESPESAS INDEDUTIVEIS</v>
      </c>
      <c r="C3762" s="25">
        <f t="shared" si="117"/>
        <v>44562</v>
      </c>
      <c r="D3762" s="27">
        <f>IF(K3762="CREDITO",Q3762,Q3762*-1)</f>
        <v>119.8</v>
      </c>
      <c r="E3762" t="s">
        <v>894</v>
      </c>
      <c r="F3762" t="s">
        <v>4238</v>
      </c>
      <c r="G3762" s="8">
        <v>44562</v>
      </c>
      <c r="H3762" t="s">
        <v>629</v>
      </c>
      <c r="I3762" t="s">
        <v>78</v>
      </c>
      <c r="J3762" t="s">
        <v>54</v>
      </c>
      <c r="K3762" t="s">
        <v>29</v>
      </c>
      <c r="L3762" t="s">
        <v>895</v>
      </c>
      <c r="M3762" t="s">
        <v>4402</v>
      </c>
      <c r="O3762" t="s">
        <v>896</v>
      </c>
      <c r="P3762" t="s">
        <v>33</v>
      </c>
      <c r="Q3762">
        <v>119.8</v>
      </c>
      <c r="R3762" t="s">
        <v>35</v>
      </c>
      <c r="S3762" t="s">
        <v>35</v>
      </c>
      <c r="T3762" t="s">
        <v>35</v>
      </c>
      <c r="U3762" t="s">
        <v>35</v>
      </c>
      <c r="V3762" t="s">
        <v>645</v>
      </c>
      <c r="W3762" t="s">
        <v>113</v>
      </c>
    </row>
    <row r="3763" spans="1:23" hidden="1" x14ac:dyDescent="0.25">
      <c r="A3763" s="7" t="str">
        <f>IFERROR(VLOOKUP(H3763,'Contas Orç'!A:B,2,0),"N/A")</f>
        <v>DESPESAS INDEDUTIVEIS</v>
      </c>
      <c r="B3763" s="7" t="str">
        <f t="shared" si="116"/>
        <v>380301 - DESPESAS INDEDUTIVEIS</v>
      </c>
      <c r="C3763" s="25">
        <f t="shared" si="117"/>
        <v>44562</v>
      </c>
      <c r="D3763" s="27">
        <f>IF(K3763="CREDITO",Q3763,Q3763*-1)</f>
        <v>656.06</v>
      </c>
      <c r="E3763" t="s">
        <v>894</v>
      </c>
      <c r="F3763" t="s">
        <v>4239</v>
      </c>
      <c r="G3763" s="8">
        <v>44562</v>
      </c>
      <c r="H3763" t="s">
        <v>629</v>
      </c>
      <c r="I3763" t="s">
        <v>53</v>
      </c>
      <c r="J3763" t="s">
        <v>54</v>
      </c>
      <c r="K3763" t="s">
        <v>29</v>
      </c>
      <c r="L3763" t="s">
        <v>895</v>
      </c>
      <c r="M3763" t="s">
        <v>4402</v>
      </c>
      <c r="O3763" t="s">
        <v>896</v>
      </c>
      <c r="P3763" t="s">
        <v>33</v>
      </c>
      <c r="Q3763">
        <v>656.06</v>
      </c>
      <c r="R3763" t="s">
        <v>35</v>
      </c>
      <c r="S3763" t="s">
        <v>35</v>
      </c>
      <c r="T3763" t="s">
        <v>35</v>
      </c>
      <c r="U3763" t="s">
        <v>35</v>
      </c>
      <c r="V3763" t="s">
        <v>645</v>
      </c>
      <c r="W3763" t="s">
        <v>113</v>
      </c>
    </row>
    <row r="3764" spans="1:23" hidden="1" x14ac:dyDescent="0.25">
      <c r="A3764" s="7" t="str">
        <f>IFERROR(VLOOKUP(H3764,'Contas Orç'!A:B,2,0),"N/A")</f>
        <v>DESPESAS INDEDUTIVEIS</v>
      </c>
      <c r="B3764" s="7" t="str">
        <f t="shared" si="116"/>
        <v>380301 - DESPESAS INDEDUTIVEIS</v>
      </c>
      <c r="C3764" s="25">
        <f t="shared" si="117"/>
        <v>44562</v>
      </c>
      <c r="D3764" s="27">
        <f>IF(K3764="CREDITO",Q3764,Q3764*-1)</f>
        <v>173</v>
      </c>
      <c r="E3764" t="s">
        <v>894</v>
      </c>
      <c r="F3764" t="s">
        <v>4240</v>
      </c>
      <c r="G3764" s="8">
        <v>44562</v>
      </c>
      <c r="H3764" t="s">
        <v>629</v>
      </c>
      <c r="I3764" t="s">
        <v>88</v>
      </c>
      <c r="J3764" t="s">
        <v>54</v>
      </c>
      <c r="K3764" t="s">
        <v>29</v>
      </c>
      <c r="L3764" t="s">
        <v>895</v>
      </c>
      <c r="M3764" t="s">
        <v>4402</v>
      </c>
      <c r="O3764" t="s">
        <v>896</v>
      </c>
      <c r="P3764" t="s">
        <v>33</v>
      </c>
      <c r="Q3764">
        <v>173</v>
      </c>
      <c r="R3764" t="s">
        <v>35</v>
      </c>
      <c r="S3764" t="s">
        <v>35</v>
      </c>
      <c r="T3764" t="s">
        <v>35</v>
      </c>
      <c r="U3764" t="s">
        <v>35</v>
      </c>
      <c r="V3764" t="s">
        <v>645</v>
      </c>
      <c r="W3764" t="s">
        <v>113</v>
      </c>
    </row>
    <row r="3765" spans="1:23" hidden="1" x14ac:dyDescent="0.25">
      <c r="A3765" s="7" t="str">
        <f>IFERROR(VLOOKUP(H3765,'Contas Orç'!A:B,2,0),"N/A")</f>
        <v>DESPESAS INDEDUTIVEIS</v>
      </c>
      <c r="B3765" s="7" t="str">
        <f t="shared" si="116"/>
        <v>380301 - DESPESAS INDEDUTIVEIS</v>
      </c>
      <c r="C3765" s="25">
        <f t="shared" si="117"/>
        <v>44562</v>
      </c>
      <c r="D3765" s="27">
        <f>IF(K3765="CREDITO",Q3765,Q3765*-1)</f>
        <v>63.35</v>
      </c>
      <c r="E3765" t="s">
        <v>894</v>
      </c>
      <c r="F3765" t="s">
        <v>4241</v>
      </c>
      <c r="G3765" s="8">
        <v>44562</v>
      </c>
      <c r="H3765" t="s">
        <v>629</v>
      </c>
      <c r="I3765" t="s">
        <v>106</v>
      </c>
      <c r="J3765" t="s">
        <v>54</v>
      </c>
      <c r="K3765" t="s">
        <v>29</v>
      </c>
      <c r="L3765" t="s">
        <v>895</v>
      </c>
      <c r="M3765" t="s">
        <v>4402</v>
      </c>
      <c r="O3765" t="s">
        <v>896</v>
      </c>
      <c r="P3765" t="s">
        <v>33</v>
      </c>
      <c r="Q3765">
        <v>63.35</v>
      </c>
      <c r="R3765" t="s">
        <v>35</v>
      </c>
      <c r="S3765" t="s">
        <v>35</v>
      </c>
      <c r="T3765" t="s">
        <v>35</v>
      </c>
      <c r="U3765" t="s">
        <v>35</v>
      </c>
      <c r="V3765" t="s">
        <v>645</v>
      </c>
      <c r="W3765" t="s">
        <v>113</v>
      </c>
    </row>
    <row r="3766" spans="1:23" hidden="1" x14ac:dyDescent="0.25">
      <c r="A3766" s="7" t="str">
        <f>IFERROR(VLOOKUP(H3766,'Contas Orç'!A:B,2,0),"N/A")</f>
        <v>DESPESAS INDEDUTIVEIS</v>
      </c>
      <c r="B3766" s="7" t="str">
        <f t="shared" si="116"/>
        <v>380301 - DESPESAS INDEDUTIVEIS</v>
      </c>
      <c r="C3766" s="25">
        <f t="shared" si="117"/>
        <v>44593</v>
      </c>
      <c r="D3766" s="27">
        <f>IF(K3766="CREDITO",Q3766,Q3766*-1)</f>
        <v>1744.41</v>
      </c>
      <c r="E3766" t="s">
        <v>894</v>
      </c>
      <c r="F3766" t="s">
        <v>4242</v>
      </c>
      <c r="G3766" s="8">
        <v>44593</v>
      </c>
      <c r="H3766" t="s">
        <v>629</v>
      </c>
      <c r="I3766" t="s">
        <v>27</v>
      </c>
      <c r="J3766" t="s">
        <v>28</v>
      </c>
      <c r="K3766" t="s">
        <v>29</v>
      </c>
      <c r="L3766" t="s">
        <v>895</v>
      </c>
      <c r="M3766" t="s">
        <v>4402</v>
      </c>
      <c r="O3766" t="s">
        <v>896</v>
      </c>
      <c r="P3766" t="s">
        <v>33</v>
      </c>
      <c r="Q3766" s="22">
        <v>1744.41</v>
      </c>
      <c r="R3766" t="s">
        <v>35</v>
      </c>
      <c r="S3766" t="s">
        <v>35</v>
      </c>
      <c r="T3766" t="s">
        <v>35</v>
      </c>
      <c r="U3766" t="s">
        <v>35</v>
      </c>
      <c r="V3766" t="s">
        <v>645</v>
      </c>
      <c r="W3766" t="s">
        <v>113</v>
      </c>
    </row>
    <row r="3767" spans="1:23" hidden="1" x14ac:dyDescent="0.25">
      <c r="A3767" s="7" t="str">
        <f>IFERROR(VLOOKUP(H3767,'Contas Orç'!A:B,2,0),"N/A")</f>
        <v>DESPESAS INDEDUTIVEIS</v>
      </c>
      <c r="B3767" s="7" t="str">
        <f t="shared" si="116"/>
        <v>380301 - DESPESAS INDEDUTIVEIS</v>
      </c>
      <c r="C3767" s="25">
        <f t="shared" si="117"/>
        <v>44593</v>
      </c>
      <c r="D3767" s="27">
        <f>IF(K3767="CREDITO",Q3767,Q3767*-1)</f>
        <v>7444.85</v>
      </c>
      <c r="E3767" t="s">
        <v>894</v>
      </c>
      <c r="F3767" t="s">
        <v>4243</v>
      </c>
      <c r="G3767" s="8">
        <v>44593</v>
      </c>
      <c r="H3767" t="s">
        <v>629</v>
      </c>
      <c r="I3767" t="s">
        <v>68</v>
      </c>
      <c r="J3767" t="s">
        <v>69</v>
      </c>
      <c r="K3767" t="s">
        <v>29</v>
      </c>
      <c r="L3767" t="s">
        <v>895</v>
      </c>
      <c r="M3767" t="s">
        <v>4402</v>
      </c>
      <c r="O3767" t="s">
        <v>896</v>
      </c>
      <c r="P3767" t="s">
        <v>33</v>
      </c>
      <c r="Q3767" s="22">
        <v>7444.85</v>
      </c>
      <c r="R3767" t="s">
        <v>35</v>
      </c>
      <c r="S3767" t="s">
        <v>35</v>
      </c>
      <c r="T3767" t="s">
        <v>35</v>
      </c>
      <c r="U3767" t="s">
        <v>35</v>
      </c>
      <c r="V3767" t="s">
        <v>645</v>
      </c>
      <c r="W3767" t="s">
        <v>113</v>
      </c>
    </row>
    <row r="3768" spans="1:23" hidden="1" x14ac:dyDescent="0.25">
      <c r="A3768" s="7" t="str">
        <f>IFERROR(VLOOKUP(H3768,'Contas Orç'!A:B,2,0),"N/A")</f>
        <v>DESPESAS INDEDUTIVEIS</v>
      </c>
      <c r="B3768" s="7" t="str">
        <f t="shared" si="116"/>
        <v>380301 - DESPESAS INDEDUTIVEIS</v>
      </c>
      <c r="C3768" s="25">
        <f t="shared" si="117"/>
        <v>44593</v>
      </c>
      <c r="D3768" s="27">
        <f>IF(K3768="CREDITO",Q3768,Q3768*-1)</f>
        <v>585.70000000000005</v>
      </c>
      <c r="E3768" t="s">
        <v>894</v>
      </c>
      <c r="F3768" t="s">
        <v>4244</v>
      </c>
      <c r="G3768" s="8">
        <v>44593</v>
      </c>
      <c r="H3768" t="s">
        <v>629</v>
      </c>
      <c r="I3768" t="s">
        <v>2062</v>
      </c>
      <c r="J3768" t="s">
        <v>54</v>
      </c>
      <c r="K3768" t="s">
        <v>29</v>
      </c>
      <c r="L3768" t="s">
        <v>895</v>
      </c>
      <c r="M3768" t="s">
        <v>4402</v>
      </c>
      <c r="O3768" t="s">
        <v>896</v>
      </c>
      <c r="P3768" t="s">
        <v>33</v>
      </c>
      <c r="Q3768">
        <v>585.70000000000005</v>
      </c>
      <c r="R3768" t="s">
        <v>35</v>
      </c>
      <c r="S3768" t="s">
        <v>35</v>
      </c>
      <c r="T3768" t="s">
        <v>35</v>
      </c>
      <c r="U3768" t="s">
        <v>35</v>
      </c>
      <c r="V3768" t="s">
        <v>645</v>
      </c>
      <c r="W3768" t="s">
        <v>113</v>
      </c>
    </row>
    <row r="3769" spans="1:23" hidden="1" x14ac:dyDescent="0.25">
      <c r="A3769" s="7" t="str">
        <f>IFERROR(VLOOKUP(H3769,'Contas Orç'!A:B,2,0),"N/A")</f>
        <v>DESPESAS INDEDUTIVEIS</v>
      </c>
      <c r="B3769" s="7" t="str">
        <f t="shared" si="116"/>
        <v>380301 - DESPESAS INDEDUTIVEIS</v>
      </c>
      <c r="C3769" s="25">
        <f t="shared" si="117"/>
        <v>44593</v>
      </c>
      <c r="D3769" s="27">
        <f>IF(K3769="CREDITO",Q3769,Q3769*-1)</f>
        <v>1547.37</v>
      </c>
      <c r="E3769" t="s">
        <v>894</v>
      </c>
      <c r="F3769" t="s">
        <v>4245</v>
      </c>
      <c r="G3769" s="8">
        <v>44593</v>
      </c>
      <c r="H3769" t="s">
        <v>629</v>
      </c>
      <c r="I3769" t="s">
        <v>40</v>
      </c>
      <c r="J3769" t="s">
        <v>54</v>
      </c>
      <c r="K3769" t="s">
        <v>29</v>
      </c>
      <c r="L3769" t="s">
        <v>895</v>
      </c>
      <c r="M3769" t="s">
        <v>4402</v>
      </c>
      <c r="O3769" t="s">
        <v>896</v>
      </c>
      <c r="P3769" t="s">
        <v>33</v>
      </c>
      <c r="Q3769" s="22">
        <v>1547.37</v>
      </c>
      <c r="R3769" t="s">
        <v>35</v>
      </c>
      <c r="S3769" t="s">
        <v>35</v>
      </c>
      <c r="T3769" t="s">
        <v>35</v>
      </c>
      <c r="U3769" t="s">
        <v>35</v>
      </c>
      <c r="V3769" t="s">
        <v>645</v>
      </c>
      <c r="W3769" t="s">
        <v>113</v>
      </c>
    </row>
    <row r="3770" spans="1:23" hidden="1" x14ac:dyDescent="0.25">
      <c r="A3770" s="7" t="str">
        <f>IFERROR(VLOOKUP(H3770,'Contas Orç'!A:B,2,0),"N/A")</f>
        <v>DESPESAS INDEDUTIVEIS</v>
      </c>
      <c r="B3770" s="7" t="str">
        <f t="shared" si="116"/>
        <v>380301 - DESPESAS INDEDUTIVEIS</v>
      </c>
      <c r="C3770" s="25">
        <f t="shared" si="117"/>
        <v>44593</v>
      </c>
      <c r="D3770" s="27">
        <f>IF(K3770="CREDITO",Q3770,Q3770*-1)</f>
        <v>448</v>
      </c>
      <c r="E3770" t="s">
        <v>894</v>
      </c>
      <c r="F3770" t="s">
        <v>4246</v>
      </c>
      <c r="G3770" s="8">
        <v>44593</v>
      </c>
      <c r="H3770" t="s">
        <v>629</v>
      </c>
      <c r="I3770" t="s">
        <v>1002</v>
      </c>
      <c r="J3770" t="s">
        <v>54</v>
      </c>
      <c r="K3770" t="s">
        <v>29</v>
      </c>
      <c r="L3770" t="s">
        <v>895</v>
      </c>
      <c r="M3770" t="s">
        <v>4402</v>
      </c>
      <c r="O3770" t="s">
        <v>896</v>
      </c>
      <c r="P3770" t="s">
        <v>33</v>
      </c>
      <c r="Q3770">
        <v>448</v>
      </c>
      <c r="R3770" t="s">
        <v>35</v>
      </c>
      <c r="S3770" t="s">
        <v>35</v>
      </c>
      <c r="T3770" t="s">
        <v>35</v>
      </c>
      <c r="U3770" t="s">
        <v>35</v>
      </c>
      <c r="V3770" t="s">
        <v>645</v>
      </c>
      <c r="W3770" t="s">
        <v>113</v>
      </c>
    </row>
    <row r="3771" spans="1:23" hidden="1" x14ac:dyDescent="0.25">
      <c r="A3771" s="7" t="str">
        <f>IFERROR(VLOOKUP(H3771,'Contas Orç'!A:B,2,0),"N/A")</f>
        <v>DESPESAS INDEDUTIVEIS</v>
      </c>
      <c r="B3771" s="7" t="str">
        <f t="shared" si="116"/>
        <v>380301 - DESPESAS INDEDUTIVEIS</v>
      </c>
      <c r="C3771" s="25">
        <f t="shared" si="117"/>
        <v>44593</v>
      </c>
      <c r="D3771" s="27">
        <f>IF(K3771="CREDITO",Q3771,Q3771*-1)</f>
        <v>387.9</v>
      </c>
      <c r="E3771" t="s">
        <v>894</v>
      </c>
      <c r="F3771" t="s">
        <v>4247</v>
      </c>
      <c r="G3771" s="8">
        <v>44593</v>
      </c>
      <c r="H3771" t="s">
        <v>629</v>
      </c>
      <c r="I3771" t="s">
        <v>132</v>
      </c>
      <c r="J3771" t="s">
        <v>54</v>
      </c>
      <c r="K3771" t="s">
        <v>29</v>
      </c>
      <c r="L3771" t="s">
        <v>895</v>
      </c>
      <c r="M3771" t="s">
        <v>4402</v>
      </c>
      <c r="O3771" t="s">
        <v>896</v>
      </c>
      <c r="P3771" t="s">
        <v>33</v>
      </c>
      <c r="Q3771">
        <v>387.9</v>
      </c>
      <c r="R3771" t="s">
        <v>35</v>
      </c>
      <c r="S3771" t="s">
        <v>35</v>
      </c>
      <c r="T3771" t="s">
        <v>35</v>
      </c>
      <c r="U3771" t="s">
        <v>35</v>
      </c>
      <c r="V3771" t="s">
        <v>645</v>
      </c>
      <c r="W3771" t="s">
        <v>113</v>
      </c>
    </row>
    <row r="3772" spans="1:23" hidden="1" x14ac:dyDescent="0.25">
      <c r="A3772" s="7" t="str">
        <f>IFERROR(VLOOKUP(H3772,'Contas Orç'!A:B,2,0),"N/A")</f>
        <v>DESPESAS INDEDUTIVEIS</v>
      </c>
      <c r="B3772" s="7" t="str">
        <f t="shared" si="116"/>
        <v>380301 - DESPESAS INDEDUTIVEIS</v>
      </c>
      <c r="C3772" s="25">
        <f t="shared" si="117"/>
        <v>44593</v>
      </c>
      <c r="D3772" s="27">
        <f>IF(K3772="CREDITO",Q3772,Q3772*-1)</f>
        <v>107.47</v>
      </c>
      <c r="E3772" t="s">
        <v>894</v>
      </c>
      <c r="F3772" t="s">
        <v>4248</v>
      </c>
      <c r="G3772" s="8">
        <v>44593</v>
      </c>
      <c r="H3772" t="s">
        <v>629</v>
      </c>
      <c r="I3772" t="s">
        <v>78</v>
      </c>
      <c r="J3772" t="s">
        <v>54</v>
      </c>
      <c r="K3772" t="s">
        <v>29</v>
      </c>
      <c r="L3772" t="s">
        <v>895</v>
      </c>
      <c r="M3772" t="s">
        <v>4402</v>
      </c>
      <c r="O3772" t="s">
        <v>896</v>
      </c>
      <c r="P3772" t="s">
        <v>33</v>
      </c>
      <c r="Q3772">
        <v>107.47</v>
      </c>
      <c r="R3772" t="s">
        <v>35</v>
      </c>
      <c r="S3772" t="s">
        <v>35</v>
      </c>
      <c r="T3772" t="s">
        <v>35</v>
      </c>
      <c r="U3772" t="s">
        <v>35</v>
      </c>
      <c r="V3772" t="s">
        <v>645</v>
      </c>
      <c r="W3772" t="s">
        <v>113</v>
      </c>
    </row>
    <row r="3773" spans="1:23" hidden="1" x14ac:dyDescent="0.25">
      <c r="A3773" s="7" t="str">
        <f>IFERROR(VLOOKUP(H3773,'Contas Orç'!A:B,2,0),"N/A")</f>
        <v>DESPESAS INDEDUTIVEIS</v>
      </c>
      <c r="B3773" s="7" t="str">
        <f t="shared" si="116"/>
        <v>380301 - DESPESAS INDEDUTIVEIS</v>
      </c>
      <c r="C3773" s="25">
        <f t="shared" si="117"/>
        <v>44593</v>
      </c>
      <c r="D3773" s="27">
        <f>IF(K3773="CREDITO",Q3773,Q3773*-1)</f>
        <v>2240.6</v>
      </c>
      <c r="E3773" t="s">
        <v>894</v>
      </c>
      <c r="F3773" t="s">
        <v>4249</v>
      </c>
      <c r="G3773" s="8">
        <v>44593</v>
      </c>
      <c r="H3773" t="s">
        <v>629</v>
      </c>
      <c r="I3773" t="s">
        <v>53</v>
      </c>
      <c r="J3773" t="s">
        <v>54</v>
      </c>
      <c r="K3773" t="s">
        <v>29</v>
      </c>
      <c r="L3773" t="s">
        <v>895</v>
      </c>
      <c r="M3773" t="s">
        <v>4402</v>
      </c>
      <c r="O3773" t="s">
        <v>896</v>
      </c>
      <c r="P3773" t="s">
        <v>33</v>
      </c>
      <c r="Q3773" s="22">
        <v>2240.6</v>
      </c>
      <c r="R3773" t="s">
        <v>35</v>
      </c>
      <c r="S3773" t="s">
        <v>35</v>
      </c>
      <c r="T3773" t="s">
        <v>35</v>
      </c>
      <c r="U3773" t="s">
        <v>35</v>
      </c>
      <c r="V3773" t="s">
        <v>645</v>
      </c>
      <c r="W3773" t="s">
        <v>113</v>
      </c>
    </row>
    <row r="3774" spans="1:23" hidden="1" x14ac:dyDescent="0.25">
      <c r="A3774" s="7" t="str">
        <f>IFERROR(VLOOKUP(H3774,'Contas Orç'!A:B,2,0),"N/A")</f>
        <v>DESPESAS INDEDUTIVEIS</v>
      </c>
      <c r="B3774" s="7" t="str">
        <f t="shared" si="116"/>
        <v>380301 - DESPESAS INDEDUTIVEIS</v>
      </c>
      <c r="C3774" s="25">
        <f t="shared" si="117"/>
        <v>44621</v>
      </c>
      <c r="D3774" s="27">
        <f>IF(K3774="CREDITO",Q3774,Q3774*-1)</f>
        <v>1917.56</v>
      </c>
      <c r="E3774" t="s">
        <v>894</v>
      </c>
      <c r="F3774" t="s">
        <v>4250</v>
      </c>
      <c r="G3774" s="8">
        <v>44621</v>
      </c>
      <c r="H3774" t="s">
        <v>629</v>
      </c>
      <c r="I3774" t="s">
        <v>27</v>
      </c>
      <c r="J3774" t="s">
        <v>28</v>
      </c>
      <c r="K3774" t="s">
        <v>29</v>
      </c>
      <c r="L3774" t="s">
        <v>895</v>
      </c>
      <c r="M3774" t="s">
        <v>4402</v>
      </c>
      <c r="O3774" t="s">
        <v>896</v>
      </c>
      <c r="P3774" t="s">
        <v>33</v>
      </c>
      <c r="Q3774" s="22">
        <v>1917.56</v>
      </c>
      <c r="R3774" t="s">
        <v>35</v>
      </c>
      <c r="S3774" t="s">
        <v>35</v>
      </c>
      <c r="T3774" t="s">
        <v>35</v>
      </c>
      <c r="U3774" t="s">
        <v>35</v>
      </c>
      <c r="V3774" t="s">
        <v>645</v>
      </c>
      <c r="W3774" t="s">
        <v>113</v>
      </c>
    </row>
    <row r="3775" spans="1:23" hidden="1" x14ac:dyDescent="0.25">
      <c r="A3775" s="7" t="str">
        <f>IFERROR(VLOOKUP(H3775,'Contas Orç'!A:B,2,0),"N/A")</f>
        <v>DESPESAS INDEDUTIVEIS</v>
      </c>
      <c r="B3775" s="7" t="str">
        <f t="shared" si="116"/>
        <v>380301 - DESPESAS INDEDUTIVEIS</v>
      </c>
      <c r="C3775" s="25">
        <f t="shared" si="117"/>
        <v>44621</v>
      </c>
      <c r="D3775" s="27">
        <f>IF(K3775="CREDITO",Q3775,Q3775*-1)</f>
        <v>35.65</v>
      </c>
      <c r="E3775" t="s">
        <v>894</v>
      </c>
      <c r="F3775" t="s">
        <v>4251</v>
      </c>
      <c r="G3775" s="8">
        <v>44621</v>
      </c>
      <c r="H3775" t="s">
        <v>629</v>
      </c>
      <c r="I3775" t="s">
        <v>106</v>
      </c>
      <c r="J3775" t="s">
        <v>702</v>
      </c>
      <c r="K3775" t="s">
        <v>29</v>
      </c>
      <c r="L3775" t="s">
        <v>895</v>
      </c>
      <c r="M3775" t="s">
        <v>4402</v>
      </c>
      <c r="O3775" t="s">
        <v>896</v>
      </c>
      <c r="P3775" t="s">
        <v>33</v>
      </c>
      <c r="Q3775">
        <v>35.65</v>
      </c>
      <c r="R3775" t="s">
        <v>35</v>
      </c>
      <c r="S3775" t="s">
        <v>35</v>
      </c>
      <c r="T3775" t="s">
        <v>35</v>
      </c>
      <c r="U3775" t="s">
        <v>35</v>
      </c>
      <c r="V3775" t="s">
        <v>645</v>
      </c>
      <c r="W3775" t="s">
        <v>113</v>
      </c>
    </row>
    <row r="3776" spans="1:23" hidden="1" x14ac:dyDescent="0.25">
      <c r="A3776" s="7" t="str">
        <f>IFERROR(VLOOKUP(H3776,'Contas Orç'!A:B,2,0),"N/A")</f>
        <v>DESPESAS INDEDUTIVEIS</v>
      </c>
      <c r="B3776" s="7" t="str">
        <f t="shared" si="116"/>
        <v>380301 - DESPESAS INDEDUTIVEIS</v>
      </c>
      <c r="C3776" s="25">
        <f t="shared" si="117"/>
        <v>44621</v>
      </c>
      <c r="D3776" s="27">
        <f>IF(K3776="CREDITO",Q3776,Q3776*-1)</f>
        <v>7265.18</v>
      </c>
      <c r="E3776" t="s">
        <v>894</v>
      </c>
      <c r="F3776" t="s">
        <v>4252</v>
      </c>
      <c r="G3776" s="8">
        <v>44621</v>
      </c>
      <c r="H3776" t="s">
        <v>629</v>
      </c>
      <c r="I3776" t="s">
        <v>68</v>
      </c>
      <c r="J3776" t="s">
        <v>69</v>
      </c>
      <c r="K3776" t="s">
        <v>29</v>
      </c>
      <c r="L3776" t="s">
        <v>895</v>
      </c>
      <c r="M3776" t="s">
        <v>4402</v>
      </c>
      <c r="O3776" t="s">
        <v>896</v>
      </c>
      <c r="P3776" t="s">
        <v>33</v>
      </c>
      <c r="Q3776" s="22">
        <v>7265.18</v>
      </c>
      <c r="R3776" t="s">
        <v>35</v>
      </c>
      <c r="S3776" t="s">
        <v>35</v>
      </c>
      <c r="T3776" t="s">
        <v>35</v>
      </c>
      <c r="U3776" t="s">
        <v>35</v>
      </c>
      <c r="V3776" t="s">
        <v>645</v>
      </c>
      <c r="W3776" t="s">
        <v>113</v>
      </c>
    </row>
    <row r="3777" spans="1:23" hidden="1" x14ac:dyDescent="0.25">
      <c r="A3777" s="7" t="str">
        <f>IFERROR(VLOOKUP(H3777,'Contas Orç'!A:B,2,0),"N/A")</f>
        <v>DESPESAS INDEDUTIVEIS</v>
      </c>
      <c r="B3777" s="7" t="str">
        <f t="shared" si="116"/>
        <v>380301 - DESPESAS INDEDUTIVEIS</v>
      </c>
      <c r="C3777" s="25">
        <f t="shared" si="117"/>
        <v>44621</v>
      </c>
      <c r="D3777" s="27">
        <f>IF(K3777="CREDITO",Q3777,Q3777*-1)</f>
        <v>4348.6899999999996</v>
      </c>
      <c r="E3777" t="s">
        <v>894</v>
      </c>
      <c r="F3777" t="s">
        <v>4253</v>
      </c>
      <c r="G3777" s="8">
        <v>44621</v>
      </c>
      <c r="H3777" t="s">
        <v>629</v>
      </c>
      <c r="I3777" t="s">
        <v>2062</v>
      </c>
      <c r="J3777" t="s">
        <v>54</v>
      </c>
      <c r="K3777" t="s">
        <v>29</v>
      </c>
      <c r="L3777" t="s">
        <v>895</v>
      </c>
      <c r="M3777" t="s">
        <v>4402</v>
      </c>
      <c r="O3777" t="s">
        <v>896</v>
      </c>
      <c r="P3777" t="s">
        <v>33</v>
      </c>
      <c r="Q3777" s="22">
        <v>4348.6899999999996</v>
      </c>
      <c r="R3777" t="s">
        <v>35</v>
      </c>
      <c r="S3777" t="s">
        <v>35</v>
      </c>
      <c r="T3777" t="s">
        <v>35</v>
      </c>
      <c r="U3777" t="s">
        <v>35</v>
      </c>
      <c r="V3777" t="s">
        <v>645</v>
      </c>
      <c r="W3777" t="s">
        <v>113</v>
      </c>
    </row>
    <row r="3778" spans="1:23" hidden="1" x14ac:dyDescent="0.25">
      <c r="A3778" s="7" t="str">
        <f>IFERROR(VLOOKUP(H3778,'Contas Orç'!A:B,2,0),"N/A")</f>
        <v>DESPESAS INDEDUTIVEIS</v>
      </c>
      <c r="B3778" s="7" t="str">
        <f t="shared" si="116"/>
        <v>380301 - DESPESAS INDEDUTIVEIS</v>
      </c>
      <c r="C3778" s="25">
        <f t="shared" si="117"/>
        <v>44621</v>
      </c>
      <c r="D3778" s="27">
        <f>IF(K3778="CREDITO",Q3778,Q3778*-1)</f>
        <v>491.51</v>
      </c>
      <c r="E3778" t="s">
        <v>894</v>
      </c>
      <c r="F3778" t="s">
        <v>4254</v>
      </c>
      <c r="G3778" s="8">
        <v>44621</v>
      </c>
      <c r="H3778" t="s">
        <v>629</v>
      </c>
      <c r="I3778" t="s">
        <v>40</v>
      </c>
      <c r="J3778" t="s">
        <v>54</v>
      </c>
      <c r="K3778" t="s">
        <v>29</v>
      </c>
      <c r="L3778" t="s">
        <v>895</v>
      </c>
      <c r="M3778" t="s">
        <v>4402</v>
      </c>
      <c r="O3778" t="s">
        <v>896</v>
      </c>
      <c r="P3778" t="s">
        <v>33</v>
      </c>
      <c r="Q3778">
        <v>491.51</v>
      </c>
      <c r="R3778" t="s">
        <v>35</v>
      </c>
      <c r="S3778" t="s">
        <v>35</v>
      </c>
      <c r="T3778" t="s">
        <v>35</v>
      </c>
      <c r="U3778" t="s">
        <v>35</v>
      </c>
      <c r="V3778" t="s">
        <v>645</v>
      </c>
      <c r="W3778" t="s">
        <v>113</v>
      </c>
    </row>
    <row r="3779" spans="1:23" hidden="1" x14ac:dyDescent="0.25">
      <c r="A3779" s="7" t="str">
        <f>IFERROR(VLOOKUP(H3779,'Contas Orç'!A:B,2,0),"N/A")</f>
        <v>DESPESAS INDEDUTIVEIS</v>
      </c>
      <c r="B3779" s="7" t="str">
        <f t="shared" ref="B3779:B3842" si="118">_xlfn.CONCAT(H3779," - ",A3779)</f>
        <v>380301 - DESPESAS INDEDUTIVEIS</v>
      </c>
      <c r="C3779" s="25">
        <f t="shared" ref="C3779:C3842" si="119">DATE(YEAR(G3779),MONTH(G3779),1)</f>
        <v>44621</v>
      </c>
      <c r="D3779" s="27">
        <f>IF(K3779="CREDITO",Q3779,Q3779*-1)</f>
        <v>224.95</v>
      </c>
      <c r="E3779" t="s">
        <v>894</v>
      </c>
      <c r="F3779" t="s">
        <v>4255</v>
      </c>
      <c r="G3779" s="8">
        <v>44621</v>
      </c>
      <c r="H3779" t="s">
        <v>629</v>
      </c>
      <c r="I3779" t="s">
        <v>1002</v>
      </c>
      <c r="J3779" t="s">
        <v>54</v>
      </c>
      <c r="K3779" t="s">
        <v>29</v>
      </c>
      <c r="L3779" t="s">
        <v>895</v>
      </c>
      <c r="M3779" t="s">
        <v>4402</v>
      </c>
      <c r="O3779" t="s">
        <v>896</v>
      </c>
      <c r="P3779" t="s">
        <v>33</v>
      </c>
      <c r="Q3779">
        <v>224.95</v>
      </c>
      <c r="R3779" t="s">
        <v>35</v>
      </c>
      <c r="S3779" t="s">
        <v>35</v>
      </c>
      <c r="T3779" t="s">
        <v>35</v>
      </c>
      <c r="U3779" t="s">
        <v>35</v>
      </c>
      <c r="V3779" t="s">
        <v>645</v>
      </c>
      <c r="W3779" t="s">
        <v>113</v>
      </c>
    </row>
    <row r="3780" spans="1:23" hidden="1" x14ac:dyDescent="0.25">
      <c r="A3780" s="7" t="str">
        <f>IFERROR(VLOOKUP(H3780,'Contas Orç'!A:B,2,0),"N/A")</f>
        <v>DESPESAS INDEDUTIVEIS</v>
      </c>
      <c r="B3780" s="7" t="str">
        <f t="shared" si="118"/>
        <v>380301 - DESPESAS INDEDUTIVEIS</v>
      </c>
      <c r="C3780" s="25">
        <f t="shared" si="119"/>
        <v>44621</v>
      </c>
      <c r="D3780" s="27">
        <f>IF(K3780="CREDITO",Q3780,Q3780*-1)</f>
        <v>147.87</v>
      </c>
      <c r="E3780" t="s">
        <v>894</v>
      </c>
      <c r="F3780" t="s">
        <v>4256</v>
      </c>
      <c r="G3780" s="8">
        <v>44621</v>
      </c>
      <c r="H3780" t="s">
        <v>629</v>
      </c>
      <c r="I3780" t="s">
        <v>121</v>
      </c>
      <c r="J3780" t="s">
        <v>54</v>
      </c>
      <c r="K3780" t="s">
        <v>29</v>
      </c>
      <c r="L3780" t="s">
        <v>895</v>
      </c>
      <c r="M3780" t="s">
        <v>4402</v>
      </c>
      <c r="O3780" t="s">
        <v>896</v>
      </c>
      <c r="P3780" t="s">
        <v>33</v>
      </c>
      <c r="Q3780">
        <v>147.87</v>
      </c>
      <c r="R3780" t="s">
        <v>35</v>
      </c>
      <c r="S3780" t="s">
        <v>35</v>
      </c>
      <c r="T3780" t="s">
        <v>35</v>
      </c>
      <c r="U3780" t="s">
        <v>35</v>
      </c>
      <c r="V3780" t="s">
        <v>645</v>
      </c>
      <c r="W3780" t="s">
        <v>113</v>
      </c>
    </row>
    <row r="3781" spans="1:23" hidden="1" x14ac:dyDescent="0.25">
      <c r="A3781" s="7" t="str">
        <f>IFERROR(VLOOKUP(H3781,'Contas Orç'!A:B,2,0),"N/A")</f>
        <v>DESPESAS INDEDUTIVEIS</v>
      </c>
      <c r="B3781" s="7" t="str">
        <f t="shared" si="118"/>
        <v>380301 - DESPESAS INDEDUTIVEIS</v>
      </c>
      <c r="C3781" s="25">
        <f t="shared" si="119"/>
        <v>44621</v>
      </c>
      <c r="D3781" s="27">
        <f>IF(K3781="CREDITO",Q3781,Q3781*-1)</f>
        <v>609.64</v>
      </c>
      <c r="E3781" t="s">
        <v>894</v>
      </c>
      <c r="F3781" t="s">
        <v>4257</v>
      </c>
      <c r="G3781" s="8">
        <v>44621</v>
      </c>
      <c r="H3781" t="s">
        <v>629</v>
      </c>
      <c r="I3781" t="s">
        <v>132</v>
      </c>
      <c r="J3781" t="s">
        <v>54</v>
      </c>
      <c r="K3781" t="s">
        <v>29</v>
      </c>
      <c r="L3781" t="s">
        <v>895</v>
      </c>
      <c r="M3781" t="s">
        <v>4402</v>
      </c>
      <c r="O3781" t="s">
        <v>896</v>
      </c>
      <c r="P3781" t="s">
        <v>33</v>
      </c>
      <c r="Q3781">
        <v>609.64</v>
      </c>
      <c r="R3781" t="s">
        <v>35</v>
      </c>
      <c r="S3781" t="s">
        <v>35</v>
      </c>
      <c r="T3781" t="s">
        <v>35</v>
      </c>
      <c r="U3781" t="s">
        <v>35</v>
      </c>
      <c r="V3781" t="s">
        <v>645</v>
      </c>
      <c r="W3781" t="s">
        <v>113</v>
      </c>
    </row>
    <row r="3782" spans="1:23" hidden="1" x14ac:dyDescent="0.25">
      <c r="A3782" s="7" t="str">
        <f>IFERROR(VLOOKUP(H3782,'Contas Orç'!A:B,2,0),"N/A")</f>
        <v>DESPESAS INDEDUTIVEIS</v>
      </c>
      <c r="B3782" s="7" t="str">
        <f t="shared" si="118"/>
        <v>380301 - DESPESAS INDEDUTIVEIS</v>
      </c>
      <c r="C3782" s="25">
        <f t="shared" si="119"/>
        <v>44621</v>
      </c>
      <c r="D3782" s="27">
        <f>IF(K3782="CREDITO",Q3782,Q3782*-1)</f>
        <v>460</v>
      </c>
      <c r="E3782" t="s">
        <v>894</v>
      </c>
      <c r="F3782" t="s">
        <v>4258</v>
      </c>
      <c r="G3782" s="8">
        <v>44621</v>
      </c>
      <c r="H3782" t="s">
        <v>629</v>
      </c>
      <c r="I3782" t="s">
        <v>114</v>
      </c>
      <c r="J3782" t="s">
        <v>54</v>
      </c>
      <c r="K3782" t="s">
        <v>29</v>
      </c>
      <c r="L3782" t="s">
        <v>895</v>
      </c>
      <c r="M3782" t="s">
        <v>4402</v>
      </c>
      <c r="O3782" t="s">
        <v>896</v>
      </c>
      <c r="P3782" t="s">
        <v>33</v>
      </c>
      <c r="Q3782">
        <v>460</v>
      </c>
      <c r="R3782" t="s">
        <v>35</v>
      </c>
      <c r="S3782" t="s">
        <v>35</v>
      </c>
      <c r="T3782" t="s">
        <v>35</v>
      </c>
      <c r="U3782" t="s">
        <v>35</v>
      </c>
      <c r="V3782" t="s">
        <v>645</v>
      </c>
      <c r="W3782" t="s">
        <v>113</v>
      </c>
    </row>
    <row r="3783" spans="1:23" hidden="1" x14ac:dyDescent="0.25">
      <c r="A3783" s="7" t="str">
        <f>IFERROR(VLOOKUP(H3783,'Contas Orç'!A:B,2,0),"N/A")</f>
        <v>DESPESAS INDEDUTIVEIS</v>
      </c>
      <c r="B3783" s="7" t="str">
        <f t="shared" si="118"/>
        <v>380301 - DESPESAS INDEDUTIVEIS</v>
      </c>
      <c r="C3783" s="25">
        <f t="shared" si="119"/>
        <v>44621</v>
      </c>
      <c r="D3783" s="27">
        <f>IF(K3783="CREDITO",Q3783,Q3783*-1)</f>
        <v>15.9</v>
      </c>
      <c r="E3783" t="s">
        <v>894</v>
      </c>
      <c r="F3783" t="s">
        <v>4259</v>
      </c>
      <c r="G3783" s="8">
        <v>44621</v>
      </c>
      <c r="H3783" t="s">
        <v>629</v>
      </c>
      <c r="I3783" t="s">
        <v>75</v>
      </c>
      <c r="J3783" t="s">
        <v>54</v>
      </c>
      <c r="K3783" t="s">
        <v>29</v>
      </c>
      <c r="L3783" t="s">
        <v>895</v>
      </c>
      <c r="M3783" t="s">
        <v>4402</v>
      </c>
      <c r="O3783" t="s">
        <v>896</v>
      </c>
      <c r="P3783" t="s">
        <v>33</v>
      </c>
      <c r="Q3783">
        <v>15.9</v>
      </c>
      <c r="R3783" t="s">
        <v>35</v>
      </c>
      <c r="S3783" t="s">
        <v>35</v>
      </c>
      <c r="T3783" t="s">
        <v>35</v>
      </c>
      <c r="U3783" t="s">
        <v>35</v>
      </c>
      <c r="V3783" t="s">
        <v>645</v>
      </c>
      <c r="W3783" t="s">
        <v>113</v>
      </c>
    </row>
    <row r="3784" spans="1:23" hidden="1" x14ac:dyDescent="0.25">
      <c r="A3784" s="7" t="str">
        <f>IFERROR(VLOOKUP(H3784,'Contas Orç'!A:B,2,0),"N/A")</f>
        <v>DESPESAS INDEDUTIVEIS</v>
      </c>
      <c r="B3784" s="7" t="str">
        <f t="shared" si="118"/>
        <v>380301 - DESPESAS INDEDUTIVEIS</v>
      </c>
      <c r="C3784" s="25">
        <f t="shared" si="119"/>
        <v>44621</v>
      </c>
      <c r="D3784" s="27">
        <f>IF(K3784="CREDITO",Q3784,Q3784*-1)</f>
        <v>170.56</v>
      </c>
      <c r="E3784" t="s">
        <v>894</v>
      </c>
      <c r="F3784" t="s">
        <v>4260</v>
      </c>
      <c r="G3784" s="8">
        <v>44621</v>
      </c>
      <c r="H3784" t="s">
        <v>629</v>
      </c>
      <c r="I3784" t="s">
        <v>78</v>
      </c>
      <c r="J3784" t="s">
        <v>54</v>
      </c>
      <c r="K3784" t="s">
        <v>29</v>
      </c>
      <c r="L3784" t="s">
        <v>895</v>
      </c>
      <c r="M3784" t="s">
        <v>4402</v>
      </c>
      <c r="O3784" t="s">
        <v>896</v>
      </c>
      <c r="P3784" t="s">
        <v>33</v>
      </c>
      <c r="Q3784">
        <v>170.56</v>
      </c>
      <c r="R3784" t="s">
        <v>35</v>
      </c>
      <c r="S3784" t="s">
        <v>35</v>
      </c>
      <c r="T3784" t="s">
        <v>35</v>
      </c>
      <c r="U3784" t="s">
        <v>35</v>
      </c>
      <c r="V3784" t="s">
        <v>645</v>
      </c>
      <c r="W3784" t="s">
        <v>113</v>
      </c>
    </row>
    <row r="3785" spans="1:23" hidden="1" x14ac:dyDescent="0.25">
      <c r="A3785" s="7" t="str">
        <f>IFERROR(VLOOKUP(H3785,'Contas Orç'!A:B,2,0),"N/A")</f>
        <v>DESPESAS INDEDUTIVEIS</v>
      </c>
      <c r="B3785" s="7" t="str">
        <f t="shared" si="118"/>
        <v>380301 - DESPESAS INDEDUTIVEIS</v>
      </c>
      <c r="C3785" s="25">
        <f t="shared" si="119"/>
        <v>44621</v>
      </c>
      <c r="D3785" s="27">
        <f>IF(K3785="CREDITO",Q3785,Q3785*-1)</f>
        <v>199</v>
      </c>
      <c r="E3785" t="s">
        <v>894</v>
      </c>
      <c r="F3785" t="s">
        <v>4261</v>
      </c>
      <c r="G3785" s="8">
        <v>44621</v>
      </c>
      <c r="H3785" t="s">
        <v>629</v>
      </c>
      <c r="I3785" t="s">
        <v>88</v>
      </c>
      <c r="J3785" t="s">
        <v>54</v>
      </c>
      <c r="K3785" t="s">
        <v>29</v>
      </c>
      <c r="L3785" t="s">
        <v>895</v>
      </c>
      <c r="M3785" t="s">
        <v>4402</v>
      </c>
      <c r="O3785" t="s">
        <v>896</v>
      </c>
      <c r="P3785" t="s">
        <v>33</v>
      </c>
      <c r="Q3785">
        <v>199</v>
      </c>
      <c r="R3785" t="s">
        <v>35</v>
      </c>
      <c r="S3785" t="s">
        <v>35</v>
      </c>
      <c r="T3785" t="s">
        <v>35</v>
      </c>
      <c r="U3785" t="s">
        <v>35</v>
      </c>
      <c r="V3785" t="s">
        <v>645</v>
      </c>
      <c r="W3785" t="s">
        <v>113</v>
      </c>
    </row>
    <row r="3786" spans="1:23" hidden="1" x14ac:dyDescent="0.25">
      <c r="A3786" s="7" t="str">
        <f>IFERROR(VLOOKUP(H3786,'Contas Orç'!A:B,2,0),"N/A")</f>
        <v>DESPESAS INDEDUTIVEIS</v>
      </c>
      <c r="B3786" s="7" t="str">
        <f t="shared" si="118"/>
        <v>380301 - DESPESAS INDEDUTIVEIS</v>
      </c>
      <c r="C3786" s="25">
        <f t="shared" si="119"/>
        <v>44621</v>
      </c>
      <c r="D3786" s="27">
        <f>IF(K3786="CREDITO",Q3786,Q3786*-1)</f>
        <v>111.5</v>
      </c>
      <c r="E3786" t="s">
        <v>894</v>
      </c>
      <c r="F3786" t="s">
        <v>4262</v>
      </c>
      <c r="G3786" s="8">
        <v>44621</v>
      </c>
      <c r="H3786" t="s">
        <v>629</v>
      </c>
      <c r="I3786" t="s">
        <v>27</v>
      </c>
      <c r="J3786" t="s">
        <v>54</v>
      </c>
      <c r="K3786" t="s">
        <v>29</v>
      </c>
      <c r="L3786" t="s">
        <v>895</v>
      </c>
      <c r="M3786" t="s">
        <v>4402</v>
      </c>
      <c r="O3786" t="s">
        <v>896</v>
      </c>
      <c r="P3786" t="s">
        <v>33</v>
      </c>
      <c r="Q3786">
        <v>111.5</v>
      </c>
      <c r="R3786" t="s">
        <v>35</v>
      </c>
      <c r="S3786" t="s">
        <v>35</v>
      </c>
      <c r="T3786" t="s">
        <v>35</v>
      </c>
      <c r="U3786" t="s">
        <v>35</v>
      </c>
      <c r="V3786" t="s">
        <v>645</v>
      </c>
      <c r="W3786" t="s">
        <v>113</v>
      </c>
    </row>
    <row r="3787" spans="1:23" hidden="1" x14ac:dyDescent="0.25">
      <c r="A3787" s="7" t="str">
        <f>IFERROR(VLOOKUP(H3787,'Contas Orç'!A:B,2,0),"N/A")</f>
        <v>DESPESAS INDEDUTIVEIS</v>
      </c>
      <c r="B3787" s="7" t="str">
        <f t="shared" si="118"/>
        <v>380301 - DESPESAS INDEDUTIVEIS</v>
      </c>
      <c r="C3787" s="25">
        <f t="shared" si="119"/>
        <v>44652</v>
      </c>
      <c r="D3787" s="27">
        <f>IF(K3787="CREDITO",Q3787,Q3787*-1)</f>
        <v>584.54</v>
      </c>
      <c r="E3787" t="s">
        <v>894</v>
      </c>
      <c r="F3787" t="s">
        <v>4263</v>
      </c>
      <c r="G3787" s="8">
        <v>44652</v>
      </c>
      <c r="H3787" t="s">
        <v>629</v>
      </c>
      <c r="I3787" t="s">
        <v>27</v>
      </c>
      <c r="J3787" t="s">
        <v>28</v>
      </c>
      <c r="K3787" t="s">
        <v>29</v>
      </c>
      <c r="L3787" t="s">
        <v>895</v>
      </c>
      <c r="M3787" t="s">
        <v>4402</v>
      </c>
      <c r="O3787" t="s">
        <v>896</v>
      </c>
      <c r="P3787" t="s">
        <v>33</v>
      </c>
      <c r="Q3787">
        <v>584.54</v>
      </c>
      <c r="R3787" t="s">
        <v>35</v>
      </c>
      <c r="S3787" t="s">
        <v>35</v>
      </c>
      <c r="T3787" t="s">
        <v>35</v>
      </c>
      <c r="U3787" t="s">
        <v>35</v>
      </c>
      <c r="V3787" t="s">
        <v>645</v>
      </c>
      <c r="W3787" t="s">
        <v>113</v>
      </c>
    </row>
    <row r="3788" spans="1:23" hidden="1" x14ac:dyDescent="0.25">
      <c r="A3788" s="7" t="str">
        <f>IFERROR(VLOOKUP(H3788,'Contas Orç'!A:B,2,0),"N/A")</f>
        <v>DESPESAS INDEDUTIVEIS</v>
      </c>
      <c r="B3788" s="7" t="str">
        <f t="shared" si="118"/>
        <v>380301 - DESPESAS INDEDUTIVEIS</v>
      </c>
      <c r="C3788" s="25">
        <f t="shared" si="119"/>
        <v>44652</v>
      </c>
      <c r="D3788" s="27">
        <f>IF(K3788="CREDITO",Q3788,Q3788*-1)</f>
        <v>350</v>
      </c>
      <c r="E3788" t="s">
        <v>894</v>
      </c>
      <c r="F3788" t="s">
        <v>4264</v>
      </c>
      <c r="G3788" s="8">
        <v>44652</v>
      </c>
      <c r="H3788" t="s">
        <v>629</v>
      </c>
      <c r="I3788" t="s">
        <v>53</v>
      </c>
      <c r="J3788" t="s">
        <v>702</v>
      </c>
      <c r="K3788" t="s">
        <v>29</v>
      </c>
      <c r="L3788" t="s">
        <v>895</v>
      </c>
      <c r="M3788" t="s">
        <v>4402</v>
      </c>
      <c r="O3788" t="s">
        <v>896</v>
      </c>
      <c r="P3788" t="s">
        <v>33</v>
      </c>
      <c r="Q3788">
        <v>350</v>
      </c>
      <c r="R3788" t="s">
        <v>35</v>
      </c>
      <c r="S3788" t="s">
        <v>35</v>
      </c>
      <c r="T3788" t="s">
        <v>35</v>
      </c>
      <c r="U3788" t="s">
        <v>35</v>
      </c>
      <c r="V3788" t="s">
        <v>645</v>
      </c>
      <c r="W3788" t="s">
        <v>113</v>
      </c>
    </row>
    <row r="3789" spans="1:23" hidden="1" x14ac:dyDescent="0.25">
      <c r="A3789" s="7" t="str">
        <f>IFERROR(VLOOKUP(H3789,'Contas Orç'!A:B,2,0),"N/A")</f>
        <v>DESPESAS INDEDUTIVEIS</v>
      </c>
      <c r="B3789" s="7" t="str">
        <f t="shared" si="118"/>
        <v>380301 - DESPESAS INDEDUTIVEIS</v>
      </c>
      <c r="C3789" s="25">
        <f t="shared" si="119"/>
        <v>44652</v>
      </c>
      <c r="D3789" s="27">
        <f>IF(K3789="CREDITO",Q3789,Q3789*-1)</f>
        <v>100</v>
      </c>
      <c r="E3789" t="s">
        <v>894</v>
      </c>
      <c r="F3789" t="s">
        <v>4265</v>
      </c>
      <c r="G3789" s="8">
        <v>44652</v>
      </c>
      <c r="H3789" t="s">
        <v>629</v>
      </c>
      <c r="I3789" t="s">
        <v>106</v>
      </c>
      <c r="J3789" t="s">
        <v>702</v>
      </c>
      <c r="K3789" t="s">
        <v>29</v>
      </c>
      <c r="L3789" t="s">
        <v>895</v>
      </c>
      <c r="M3789" t="s">
        <v>4402</v>
      </c>
      <c r="O3789" t="s">
        <v>896</v>
      </c>
      <c r="P3789" t="s">
        <v>33</v>
      </c>
      <c r="Q3789">
        <v>100</v>
      </c>
      <c r="R3789" t="s">
        <v>35</v>
      </c>
      <c r="S3789" t="s">
        <v>35</v>
      </c>
      <c r="T3789" t="s">
        <v>35</v>
      </c>
      <c r="U3789" t="s">
        <v>35</v>
      </c>
      <c r="V3789" t="s">
        <v>645</v>
      </c>
      <c r="W3789" t="s">
        <v>113</v>
      </c>
    </row>
    <row r="3790" spans="1:23" hidden="1" x14ac:dyDescent="0.25">
      <c r="A3790" s="7" t="str">
        <f>IFERROR(VLOOKUP(H3790,'Contas Orç'!A:B,2,0),"N/A")</f>
        <v>DESPESAS INDEDUTIVEIS</v>
      </c>
      <c r="B3790" s="7" t="str">
        <f t="shared" si="118"/>
        <v>380301 - DESPESAS INDEDUTIVEIS</v>
      </c>
      <c r="C3790" s="25">
        <f t="shared" si="119"/>
        <v>44652</v>
      </c>
      <c r="D3790" s="27">
        <f>IF(K3790="CREDITO",Q3790,Q3790*-1)</f>
        <v>3689.24</v>
      </c>
      <c r="E3790" t="s">
        <v>894</v>
      </c>
      <c r="F3790" t="s">
        <v>4266</v>
      </c>
      <c r="G3790" s="8">
        <v>44652</v>
      </c>
      <c r="H3790" t="s">
        <v>629</v>
      </c>
      <c r="I3790" t="s">
        <v>68</v>
      </c>
      <c r="J3790" t="s">
        <v>69</v>
      </c>
      <c r="K3790" t="s">
        <v>29</v>
      </c>
      <c r="L3790" t="s">
        <v>895</v>
      </c>
      <c r="M3790" t="s">
        <v>4402</v>
      </c>
      <c r="O3790" t="s">
        <v>896</v>
      </c>
      <c r="P3790" t="s">
        <v>33</v>
      </c>
      <c r="Q3790" s="22">
        <v>3689.24</v>
      </c>
      <c r="R3790" t="s">
        <v>35</v>
      </c>
      <c r="S3790" t="s">
        <v>35</v>
      </c>
      <c r="T3790" t="s">
        <v>35</v>
      </c>
      <c r="U3790" t="s">
        <v>35</v>
      </c>
      <c r="V3790" t="s">
        <v>645</v>
      </c>
      <c r="W3790" t="s">
        <v>113</v>
      </c>
    </row>
    <row r="3791" spans="1:23" hidden="1" x14ac:dyDescent="0.25">
      <c r="A3791" s="7" t="str">
        <f>IFERROR(VLOOKUP(H3791,'Contas Orç'!A:B,2,0),"N/A")</f>
        <v>DESPESAS INDEDUTIVEIS</v>
      </c>
      <c r="B3791" s="7" t="str">
        <f t="shared" si="118"/>
        <v>380301 - DESPESAS INDEDUTIVEIS</v>
      </c>
      <c r="C3791" s="25">
        <f t="shared" si="119"/>
        <v>44652</v>
      </c>
      <c r="D3791" s="27">
        <f>IF(K3791="CREDITO",Q3791,Q3791*-1)</f>
        <v>1409.18</v>
      </c>
      <c r="E3791" t="s">
        <v>894</v>
      </c>
      <c r="F3791" t="s">
        <v>4267</v>
      </c>
      <c r="G3791" s="8">
        <v>44652</v>
      </c>
      <c r="H3791" t="s">
        <v>629</v>
      </c>
      <c r="I3791" t="s">
        <v>2062</v>
      </c>
      <c r="J3791" t="s">
        <v>54</v>
      </c>
      <c r="K3791" t="s">
        <v>29</v>
      </c>
      <c r="L3791" t="s">
        <v>895</v>
      </c>
      <c r="M3791" t="s">
        <v>4402</v>
      </c>
      <c r="O3791" t="s">
        <v>896</v>
      </c>
      <c r="P3791" t="s">
        <v>33</v>
      </c>
      <c r="Q3791" s="22">
        <v>1409.18</v>
      </c>
      <c r="R3791" t="s">
        <v>35</v>
      </c>
      <c r="S3791" t="s">
        <v>35</v>
      </c>
      <c r="T3791" t="s">
        <v>35</v>
      </c>
      <c r="U3791" t="s">
        <v>35</v>
      </c>
      <c r="V3791" t="s">
        <v>645</v>
      </c>
      <c r="W3791" t="s">
        <v>113</v>
      </c>
    </row>
    <row r="3792" spans="1:23" hidden="1" x14ac:dyDescent="0.25">
      <c r="A3792" s="7" t="str">
        <f>IFERROR(VLOOKUP(H3792,'Contas Orç'!A:B,2,0),"N/A")</f>
        <v>DESPESAS INDEDUTIVEIS</v>
      </c>
      <c r="B3792" s="7" t="str">
        <f t="shared" si="118"/>
        <v>380301 - DESPESAS INDEDUTIVEIS</v>
      </c>
      <c r="C3792" s="25">
        <f t="shared" si="119"/>
        <v>44652</v>
      </c>
      <c r="D3792" s="27">
        <f>IF(K3792="CREDITO",Q3792,Q3792*-1)</f>
        <v>786.19</v>
      </c>
      <c r="E3792" t="s">
        <v>894</v>
      </c>
      <c r="F3792" t="s">
        <v>4268</v>
      </c>
      <c r="G3792" s="8">
        <v>44652</v>
      </c>
      <c r="H3792" t="s">
        <v>629</v>
      </c>
      <c r="I3792" t="s">
        <v>40</v>
      </c>
      <c r="J3792" t="s">
        <v>54</v>
      </c>
      <c r="K3792" t="s">
        <v>29</v>
      </c>
      <c r="L3792" t="s">
        <v>895</v>
      </c>
      <c r="M3792" t="s">
        <v>4402</v>
      </c>
      <c r="O3792" t="s">
        <v>896</v>
      </c>
      <c r="P3792" t="s">
        <v>33</v>
      </c>
      <c r="Q3792">
        <v>786.19</v>
      </c>
      <c r="R3792" t="s">
        <v>35</v>
      </c>
      <c r="S3792" t="s">
        <v>35</v>
      </c>
      <c r="T3792" t="s">
        <v>35</v>
      </c>
      <c r="U3792" t="s">
        <v>35</v>
      </c>
      <c r="V3792" t="s">
        <v>645</v>
      </c>
      <c r="W3792" t="s">
        <v>113</v>
      </c>
    </row>
    <row r="3793" spans="1:23" hidden="1" x14ac:dyDescent="0.25">
      <c r="A3793" s="7" t="str">
        <f>IFERROR(VLOOKUP(H3793,'Contas Orç'!A:B,2,0),"N/A")</f>
        <v>DESPESAS INDEDUTIVEIS</v>
      </c>
      <c r="B3793" s="7" t="str">
        <f t="shared" si="118"/>
        <v>380301 - DESPESAS INDEDUTIVEIS</v>
      </c>
      <c r="C3793" s="25">
        <f t="shared" si="119"/>
        <v>44652</v>
      </c>
      <c r="D3793" s="27">
        <f>IF(K3793="CREDITO",Q3793,Q3793*-1)</f>
        <v>165.86</v>
      </c>
      <c r="E3793" t="s">
        <v>894</v>
      </c>
      <c r="F3793" t="s">
        <v>4269</v>
      </c>
      <c r="G3793" s="8">
        <v>44652</v>
      </c>
      <c r="H3793" t="s">
        <v>629</v>
      </c>
      <c r="I3793" t="s">
        <v>132</v>
      </c>
      <c r="J3793" t="s">
        <v>54</v>
      </c>
      <c r="K3793" t="s">
        <v>29</v>
      </c>
      <c r="L3793" t="s">
        <v>895</v>
      </c>
      <c r="M3793" t="s">
        <v>4402</v>
      </c>
      <c r="O3793" t="s">
        <v>896</v>
      </c>
      <c r="P3793" t="s">
        <v>33</v>
      </c>
      <c r="Q3793">
        <v>165.86</v>
      </c>
      <c r="R3793" t="s">
        <v>35</v>
      </c>
      <c r="S3793" t="s">
        <v>35</v>
      </c>
      <c r="T3793" t="s">
        <v>35</v>
      </c>
      <c r="U3793" t="s">
        <v>35</v>
      </c>
      <c r="V3793" t="s">
        <v>645</v>
      </c>
      <c r="W3793" t="s">
        <v>113</v>
      </c>
    </row>
    <row r="3794" spans="1:23" hidden="1" x14ac:dyDescent="0.25">
      <c r="A3794" s="7" t="str">
        <f>IFERROR(VLOOKUP(H3794,'Contas Orç'!A:B,2,0),"N/A")</f>
        <v>DESPESAS INDEDUTIVEIS</v>
      </c>
      <c r="B3794" s="7" t="str">
        <f t="shared" si="118"/>
        <v>380301 - DESPESAS INDEDUTIVEIS</v>
      </c>
      <c r="C3794" s="25">
        <f t="shared" si="119"/>
        <v>44652</v>
      </c>
      <c r="D3794" s="27">
        <f>IF(K3794="CREDITO",Q3794,Q3794*-1)</f>
        <v>118.26</v>
      </c>
      <c r="E3794" t="s">
        <v>894</v>
      </c>
      <c r="F3794" t="s">
        <v>4270</v>
      </c>
      <c r="G3794" s="8">
        <v>44652</v>
      </c>
      <c r="H3794" t="s">
        <v>629</v>
      </c>
      <c r="I3794" t="s">
        <v>75</v>
      </c>
      <c r="J3794" t="s">
        <v>54</v>
      </c>
      <c r="K3794" t="s">
        <v>29</v>
      </c>
      <c r="L3794" t="s">
        <v>895</v>
      </c>
      <c r="M3794" t="s">
        <v>4402</v>
      </c>
      <c r="O3794" t="s">
        <v>896</v>
      </c>
      <c r="P3794" t="s">
        <v>33</v>
      </c>
      <c r="Q3794">
        <v>118.26</v>
      </c>
      <c r="R3794" t="s">
        <v>35</v>
      </c>
      <c r="S3794" t="s">
        <v>35</v>
      </c>
      <c r="T3794" t="s">
        <v>35</v>
      </c>
      <c r="U3794" t="s">
        <v>35</v>
      </c>
      <c r="V3794" t="s">
        <v>645</v>
      </c>
      <c r="W3794" t="s">
        <v>113</v>
      </c>
    </row>
    <row r="3795" spans="1:23" hidden="1" x14ac:dyDescent="0.25">
      <c r="A3795" s="7" t="str">
        <f>IFERROR(VLOOKUP(H3795,'Contas Orç'!A:B,2,0),"N/A")</f>
        <v>DESPESAS INDEDUTIVEIS</v>
      </c>
      <c r="B3795" s="7" t="str">
        <f t="shared" si="118"/>
        <v>380301 - DESPESAS INDEDUTIVEIS</v>
      </c>
      <c r="C3795" s="25">
        <f t="shared" si="119"/>
        <v>44652</v>
      </c>
      <c r="D3795" s="27">
        <f>IF(K3795="CREDITO",Q3795,Q3795*-1)</f>
        <v>44</v>
      </c>
      <c r="E3795" t="s">
        <v>894</v>
      </c>
      <c r="F3795" t="s">
        <v>4271</v>
      </c>
      <c r="G3795" s="8">
        <v>44652</v>
      </c>
      <c r="H3795" t="s">
        <v>629</v>
      </c>
      <c r="I3795" t="s">
        <v>78</v>
      </c>
      <c r="J3795" t="s">
        <v>54</v>
      </c>
      <c r="K3795" t="s">
        <v>29</v>
      </c>
      <c r="L3795" t="s">
        <v>895</v>
      </c>
      <c r="M3795" t="s">
        <v>4402</v>
      </c>
      <c r="O3795" t="s">
        <v>896</v>
      </c>
      <c r="P3795" t="s">
        <v>33</v>
      </c>
      <c r="Q3795">
        <v>44</v>
      </c>
      <c r="R3795" t="s">
        <v>35</v>
      </c>
      <c r="S3795" t="s">
        <v>35</v>
      </c>
      <c r="T3795" t="s">
        <v>35</v>
      </c>
      <c r="U3795" t="s">
        <v>35</v>
      </c>
      <c r="V3795" t="s">
        <v>645</v>
      </c>
      <c r="W3795" t="s">
        <v>113</v>
      </c>
    </row>
    <row r="3796" spans="1:23" hidden="1" x14ac:dyDescent="0.25">
      <c r="A3796" s="7" t="str">
        <f>IFERROR(VLOOKUP(H3796,'Contas Orç'!A:B,2,0),"N/A")</f>
        <v>DESPESAS INDEDUTIVEIS</v>
      </c>
      <c r="B3796" s="7" t="str">
        <f t="shared" si="118"/>
        <v>380301 - DESPESAS INDEDUTIVEIS</v>
      </c>
      <c r="C3796" s="25">
        <f t="shared" si="119"/>
        <v>44652</v>
      </c>
      <c r="D3796" s="27">
        <f>IF(K3796="CREDITO",Q3796,Q3796*-1)</f>
        <v>250</v>
      </c>
      <c r="E3796" t="s">
        <v>894</v>
      </c>
      <c r="F3796" t="s">
        <v>4272</v>
      </c>
      <c r="G3796" s="8">
        <v>44652</v>
      </c>
      <c r="H3796" t="s">
        <v>629</v>
      </c>
      <c r="I3796" t="s">
        <v>136</v>
      </c>
      <c r="J3796" t="s">
        <v>54</v>
      </c>
      <c r="K3796" t="s">
        <v>29</v>
      </c>
      <c r="L3796" t="s">
        <v>895</v>
      </c>
      <c r="M3796" t="s">
        <v>4402</v>
      </c>
      <c r="O3796" t="s">
        <v>896</v>
      </c>
      <c r="P3796" t="s">
        <v>33</v>
      </c>
      <c r="Q3796">
        <v>250</v>
      </c>
      <c r="R3796" t="s">
        <v>35</v>
      </c>
      <c r="S3796" t="s">
        <v>35</v>
      </c>
      <c r="T3796" t="s">
        <v>35</v>
      </c>
      <c r="U3796" t="s">
        <v>35</v>
      </c>
      <c r="V3796" t="s">
        <v>645</v>
      </c>
      <c r="W3796" t="s">
        <v>113</v>
      </c>
    </row>
    <row r="3797" spans="1:23" hidden="1" x14ac:dyDescent="0.25">
      <c r="A3797" s="7" t="str">
        <f>IFERROR(VLOOKUP(H3797,'Contas Orç'!A:B,2,0),"N/A")</f>
        <v>DESPESAS INDEDUTIVEIS</v>
      </c>
      <c r="B3797" s="7" t="str">
        <f t="shared" si="118"/>
        <v>380301 - DESPESAS INDEDUTIVEIS</v>
      </c>
      <c r="C3797" s="25">
        <f t="shared" si="119"/>
        <v>44652</v>
      </c>
      <c r="D3797" s="27">
        <f>IF(K3797="CREDITO",Q3797,Q3797*-1)</f>
        <v>223</v>
      </c>
      <c r="E3797" t="s">
        <v>894</v>
      </c>
      <c r="F3797" t="s">
        <v>4273</v>
      </c>
      <c r="G3797" s="8">
        <v>44652</v>
      </c>
      <c r="H3797" t="s">
        <v>629</v>
      </c>
      <c r="I3797" t="s">
        <v>53</v>
      </c>
      <c r="J3797" t="s">
        <v>54</v>
      </c>
      <c r="K3797" t="s">
        <v>29</v>
      </c>
      <c r="L3797" t="s">
        <v>895</v>
      </c>
      <c r="M3797" t="s">
        <v>4402</v>
      </c>
      <c r="O3797" t="s">
        <v>896</v>
      </c>
      <c r="P3797" t="s">
        <v>33</v>
      </c>
      <c r="Q3797">
        <v>223</v>
      </c>
      <c r="R3797" t="s">
        <v>35</v>
      </c>
      <c r="S3797" t="s">
        <v>35</v>
      </c>
      <c r="T3797" t="s">
        <v>35</v>
      </c>
      <c r="U3797" t="s">
        <v>35</v>
      </c>
      <c r="V3797" t="s">
        <v>645</v>
      </c>
      <c r="W3797" t="s">
        <v>113</v>
      </c>
    </row>
    <row r="3798" spans="1:23" hidden="1" x14ac:dyDescent="0.25">
      <c r="A3798" s="7" t="str">
        <f>IFERROR(VLOOKUP(H3798,'Contas Orç'!A:B,2,0),"N/A")</f>
        <v>DESPESAS INDEDUTIVEIS</v>
      </c>
      <c r="B3798" s="7" t="str">
        <f t="shared" si="118"/>
        <v>380301 - DESPESAS INDEDUTIVEIS</v>
      </c>
      <c r="C3798" s="25">
        <f t="shared" si="119"/>
        <v>44682</v>
      </c>
      <c r="D3798" s="27">
        <f>IF(K3798="CREDITO",Q3798,Q3798*-1)</f>
        <v>1202.5999999999999</v>
      </c>
      <c r="E3798" t="s">
        <v>894</v>
      </c>
      <c r="F3798" t="s">
        <v>4274</v>
      </c>
      <c r="G3798" s="8">
        <v>44682</v>
      </c>
      <c r="H3798" t="s">
        <v>629</v>
      </c>
      <c r="I3798" t="s">
        <v>27</v>
      </c>
      <c r="J3798" t="s">
        <v>28</v>
      </c>
      <c r="K3798" t="s">
        <v>29</v>
      </c>
      <c r="L3798" t="s">
        <v>895</v>
      </c>
      <c r="M3798" t="s">
        <v>4402</v>
      </c>
      <c r="O3798" t="s">
        <v>896</v>
      </c>
      <c r="P3798" t="s">
        <v>33</v>
      </c>
      <c r="Q3798" s="22">
        <v>1202.5999999999999</v>
      </c>
      <c r="R3798" t="s">
        <v>35</v>
      </c>
      <c r="S3798" t="s">
        <v>35</v>
      </c>
      <c r="T3798" t="s">
        <v>35</v>
      </c>
      <c r="U3798" t="s">
        <v>35</v>
      </c>
      <c r="V3798" t="s">
        <v>645</v>
      </c>
      <c r="W3798" t="s">
        <v>113</v>
      </c>
    </row>
    <row r="3799" spans="1:23" hidden="1" x14ac:dyDescent="0.25">
      <c r="A3799" s="7" t="str">
        <f>IFERROR(VLOOKUP(H3799,'Contas Orç'!A:B,2,0),"N/A")</f>
        <v>DESPESAS INDEDUTIVEIS</v>
      </c>
      <c r="B3799" s="7" t="str">
        <f t="shared" si="118"/>
        <v>380301 - DESPESAS INDEDUTIVEIS</v>
      </c>
      <c r="C3799" s="25">
        <f t="shared" si="119"/>
        <v>44682</v>
      </c>
      <c r="D3799" s="27">
        <f>IF(K3799="CREDITO",Q3799,Q3799*-1)</f>
        <v>3239.4</v>
      </c>
      <c r="E3799" t="s">
        <v>894</v>
      </c>
      <c r="F3799" t="s">
        <v>4275</v>
      </c>
      <c r="G3799" s="8">
        <v>44682</v>
      </c>
      <c r="H3799" t="s">
        <v>629</v>
      </c>
      <c r="I3799" t="s">
        <v>68</v>
      </c>
      <c r="J3799" t="s">
        <v>69</v>
      </c>
      <c r="K3799" t="s">
        <v>29</v>
      </c>
      <c r="L3799" t="s">
        <v>895</v>
      </c>
      <c r="M3799" t="s">
        <v>4402</v>
      </c>
      <c r="O3799" t="s">
        <v>896</v>
      </c>
      <c r="P3799" t="s">
        <v>33</v>
      </c>
      <c r="Q3799" s="22">
        <v>3239.4</v>
      </c>
      <c r="R3799" t="s">
        <v>35</v>
      </c>
      <c r="S3799" t="s">
        <v>35</v>
      </c>
      <c r="T3799" t="s">
        <v>35</v>
      </c>
      <c r="U3799" t="s">
        <v>35</v>
      </c>
      <c r="V3799" t="s">
        <v>645</v>
      </c>
      <c r="W3799" t="s">
        <v>113</v>
      </c>
    </row>
    <row r="3800" spans="1:23" hidden="1" x14ac:dyDescent="0.25">
      <c r="A3800" s="7" t="str">
        <f>IFERROR(VLOOKUP(H3800,'Contas Orç'!A:B,2,0),"N/A")</f>
        <v>DESPESAS INDEDUTIVEIS</v>
      </c>
      <c r="B3800" s="7" t="str">
        <f t="shared" si="118"/>
        <v>380301 - DESPESAS INDEDUTIVEIS</v>
      </c>
      <c r="C3800" s="25">
        <f t="shared" si="119"/>
        <v>44682</v>
      </c>
      <c r="D3800" s="27">
        <f>IF(K3800="CREDITO",Q3800,Q3800*-1)</f>
        <v>1887.14</v>
      </c>
      <c r="E3800" t="s">
        <v>894</v>
      </c>
      <c r="F3800" t="s">
        <v>4276</v>
      </c>
      <c r="G3800" s="8">
        <v>44682</v>
      </c>
      <c r="H3800" t="s">
        <v>629</v>
      </c>
      <c r="I3800" t="s">
        <v>2062</v>
      </c>
      <c r="J3800" t="s">
        <v>54</v>
      </c>
      <c r="K3800" t="s">
        <v>29</v>
      </c>
      <c r="L3800" t="s">
        <v>895</v>
      </c>
      <c r="M3800" t="s">
        <v>4402</v>
      </c>
      <c r="O3800" t="s">
        <v>896</v>
      </c>
      <c r="P3800" t="s">
        <v>33</v>
      </c>
      <c r="Q3800" s="22">
        <v>1887.14</v>
      </c>
      <c r="R3800" t="s">
        <v>35</v>
      </c>
      <c r="S3800" t="s">
        <v>35</v>
      </c>
      <c r="T3800" t="s">
        <v>35</v>
      </c>
      <c r="U3800" t="s">
        <v>35</v>
      </c>
      <c r="V3800" t="s">
        <v>645</v>
      </c>
      <c r="W3800" t="s">
        <v>113</v>
      </c>
    </row>
    <row r="3801" spans="1:23" hidden="1" x14ac:dyDescent="0.25">
      <c r="A3801" s="7" t="str">
        <f>IFERROR(VLOOKUP(H3801,'Contas Orç'!A:B,2,0),"N/A")</f>
        <v>DESPESAS INDEDUTIVEIS</v>
      </c>
      <c r="B3801" s="7" t="str">
        <f t="shared" si="118"/>
        <v>380301 - DESPESAS INDEDUTIVEIS</v>
      </c>
      <c r="C3801" s="25">
        <f t="shared" si="119"/>
        <v>44682</v>
      </c>
      <c r="D3801" s="27">
        <f>IF(K3801="CREDITO",Q3801,Q3801*-1)</f>
        <v>1927.28</v>
      </c>
      <c r="E3801" t="s">
        <v>894</v>
      </c>
      <c r="F3801" t="s">
        <v>4277</v>
      </c>
      <c r="G3801" s="8">
        <v>44682</v>
      </c>
      <c r="H3801" t="s">
        <v>629</v>
      </c>
      <c r="I3801" t="s">
        <v>40</v>
      </c>
      <c r="J3801" t="s">
        <v>54</v>
      </c>
      <c r="K3801" t="s">
        <v>29</v>
      </c>
      <c r="L3801" t="s">
        <v>895</v>
      </c>
      <c r="M3801" t="s">
        <v>4402</v>
      </c>
      <c r="O3801" t="s">
        <v>896</v>
      </c>
      <c r="P3801" t="s">
        <v>33</v>
      </c>
      <c r="Q3801" s="22">
        <v>1927.28</v>
      </c>
      <c r="R3801" t="s">
        <v>35</v>
      </c>
      <c r="S3801" t="s">
        <v>35</v>
      </c>
      <c r="T3801" t="s">
        <v>35</v>
      </c>
      <c r="U3801" t="s">
        <v>35</v>
      </c>
      <c r="V3801" t="s">
        <v>645</v>
      </c>
      <c r="W3801" t="s">
        <v>113</v>
      </c>
    </row>
    <row r="3802" spans="1:23" hidden="1" x14ac:dyDescent="0.25">
      <c r="A3802" s="7" t="str">
        <f>IFERROR(VLOOKUP(H3802,'Contas Orç'!A:B,2,0),"N/A")</f>
        <v>DESPESAS INDEDUTIVEIS</v>
      </c>
      <c r="B3802" s="7" t="str">
        <f t="shared" si="118"/>
        <v>380301 - DESPESAS INDEDUTIVEIS</v>
      </c>
      <c r="C3802" s="25">
        <f t="shared" si="119"/>
        <v>44682</v>
      </c>
      <c r="D3802" s="27">
        <f>IF(K3802="CREDITO",Q3802,Q3802*-1)</f>
        <v>117.3</v>
      </c>
      <c r="E3802" t="s">
        <v>894</v>
      </c>
      <c r="F3802" t="s">
        <v>4278</v>
      </c>
      <c r="G3802" s="8">
        <v>44682</v>
      </c>
      <c r="H3802" t="s">
        <v>629</v>
      </c>
      <c r="I3802" t="s">
        <v>1002</v>
      </c>
      <c r="J3802" t="s">
        <v>54</v>
      </c>
      <c r="K3802" t="s">
        <v>29</v>
      </c>
      <c r="L3802" t="s">
        <v>895</v>
      </c>
      <c r="M3802" t="s">
        <v>4402</v>
      </c>
      <c r="O3802" t="s">
        <v>896</v>
      </c>
      <c r="P3802" t="s">
        <v>33</v>
      </c>
      <c r="Q3802">
        <v>117.3</v>
      </c>
      <c r="R3802" t="s">
        <v>35</v>
      </c>
      <c r="S3802" t="s">
        <v>35</v>
      </c>
      <c r="T3802" t="s">
        <v>35</v>
      </c>
      <c r="U3802" t="s">
        <v>35</v>
      </c>
      <c r="V3802" t="s">
        <v>645</v>
      </c>
      <c r="W3802" t="s">
        <v>113</v>
      </c>
    </row>
    <row r="3803" spans="1:23" hidden="1" x14ac:dyDescent="0.25">
      <c r="A3803" s="7" t="str">
        <f>IFERROR(VLOOKUP(H3803,'Contas Orç'!A:B,2,0),"N/A")</f>
        <v>DESPESAS INDEDUTIVEIS</v>
      </c>
      <c r="B3803" s="7" t="str">
        <f t="shared" si="118"/>
        <v>380301 - DESPESAS INDEDUTIVEIS</v>
      </c>
      <c r="C3803" s="25">
        <f t="shared" si="119"/>
        <v>44682</v>
      </c>
      <c r="D3803" s="27">
        <f>IF(K3803="CREDITO",Q3803,Q3803*-1)</f>
        <v>1121.43</v>
      </c>
      <c r="E3803" t="s">
        <v>894</v>
      </c>
      <c r="F3803" t="s">
        <v>4279</v>
      </c>
      <c r="G3803" s="8">
        <v>44682</v>
      </c>
      <c r="H3803" t="s">
        <v>629</v>
      </c>
      <c r="I3803" t="s">
        <v>132</v>
      </c>
      <c r="J3803" t="s">
        <v>54</v>
      </c>
      <c r="K3803" t="s">
        <v>29</v>
      </c>
      <c r="L3803" t="s">
        <v>895</v>
      </c>
      <c r="M3803" t="s">
        <v>4402</v>
      </c>
      <c r="O3803" t="s">
        <v>896</v>
      </c>
      <c r="P3803" t="s">
        <v>33</v>
      </c>
      <c r="Q3803" s="22">
        <v>1121.43</v>
      </c>
      <c r="R3803" t="s">
        <v>35</v>
      </c>
      <c r="S3803" t="s">
        <v>35</v>
      </c>
      <c r="T3803" t="s">
        <v>35</v>
      </c>
      <c r="U3803" t="s">
        <v>35</v>
      </c>
      <c r="V3803" t="s">
        <v>645</v>
      </c>
      <c r="W3803" t="s">
        <v>113</v>
      </c>
    </row>
    <row r="3804" spans="1:23" hidden="1" x14ac:dyDescent="0.25">
      <c r="A3804" s="7" t="str">
        <f>IFERROR(VLOOKUP(H3804,'Contas Orç'!A:B,2,0),"N/A")</f>
        <v>DESPESAS INDEDUTIVEIS</v>
      </c>
      <c r="B3804" s="7" t="str">
        <f t="shared" si="118"/>
        <v>380301 - DESPESAS INDEDUTIVEIS</v>
      </c>
      <c r="C3804" s="25">
        <f t="shared" si="119"/>
        <v>44682</v>
      </c>
      <c r="D3804" s="27">
        <f>IF(K3804="CREDITO",Q3804,Q3804*-1)</f>
        <v>69.599999999999994</v>
      </c>
      <c r="E3804" t="s">
        <v>894</v>
      </c>
      <c r="F3804" t="s">
        <v>4280</v>
      </c>
      <c r="G3804" s="8">
        <v>44682</v>
      </c>
      <c r="H3804" t="s">
        <v>629</v>
      </c>
      <c r="I3804" t="s">
        <v>114</v>
      </c>
      <c r="J3804" t="s">
        <v>54</v>
      </c>
      <c r="K3804" t="s">
        <v>29</v>
      </c>
      <c r="L3804" t="s">
        <v>895</v>
      </c>
      <c r="M3804" t="s">
        <v>4402</v>
      </c>
      <c r="O3804" t="s">
        <v>896</v>
      </c>
      <c r="P3804" t="s">
        <v>33</v>
      </c>
      <c r="Q3804">
        <v>69.599999999999994</v>
      </c>
      <c r="R3804" t="s">
        <v>35</v>
      </c>
      <c r="S3804" t="s">
        <v>35</v>
      </c>
      <c r="T3804" t="s">
        <v>35</v>
      </c>
      <c r="U3804" t="s">
        <v>35</v>
      </c>
      <c r="V3804" t="s">
        <v>645</v>
      </c>
      <c r="W3804" t="s">
        <v>113</v>
      </c>
    </row>
    <row r="3805" spans="1:23" hidden="1" x14ac:dyDescent="0.25">
      <c r="A3805" s="7" t="str">
        <f>IFERROR(VLOOKUP(H3805,'Contas Orç'!A:B,2,0),"N/A")</f>
        <v>DESPESAS INDEDUTIVEIS</v>
      </c>
      <c r="B3805" s="7" t="str">
        <f t="shared" si="118"/>
        <v>380301 - DESPESAS INDEDUTIVEIS</v>
      </c>
      <c r="C3805" s="25">
        <f t="shared" si="119"/>
        <v>44682</v>
      </c>
      <c r="D3805" s="27">
        <f>IF(K3805="CREDITO",Q3805,Q3805*-1)</f>
        <v>942.88</v>
      </c>
      <c r="E3805" t="s">
        <v>894</v>
      </c>
      <c r="F3805" t="s">
        <v>4281</v>
      </c>
      <c r="G3805" s="8">
        <v>44682</v>
      </c>
      <c r="H3805" t="s">
        <v>629</v>
      </c>
      <c r="I3805" t="s">
        <v>75</v>
      </c>
      <c r="J3805" t="s">
        <v>54</v>
      </c>
      <c r="K3805" t="s">
        <v>29</v>
      </c>
      <c r="L3805" t="s">
        <v>895</v>
      </c>
      <c r="M3805" t="s">
        <v>4402</v>
      </c>
      <c r="O3805" t="s">
        <v>896</v>
      </c>
      <c r="P3805" t="s">
        <v>33</v>
      </c>
      <c r="Q3805">
        <v>942.88</v>
      </c>
      <c r="R3805" t="s">
        <v>35</v>
      </c>
      <c r="S3805" t="s">
        <v>35</v>
      </c>
      <c r="T3805" t="s">
        <v>35</v>
      </c>
      <c r="U3805" t="s">
        <v>35</v>
      </c>
      <c r="V3805" t="s">
        <v>645</v>
      </c>
      <c r="W3805" t="s">
        <v>113</v>
      </c>
    </row>
    <row r="3806" spans="1:23" hidden="1" x14ac:dyDescent="0.25">
      <c r="A3806" s="7" t="str">
        <f>IFERROR(VLOOKUP(H3806,'Contas Orç'!A:B,2,0),"N/A")</f>
        <v>DESPESAS INDEDUTIVEIS</v>
      </c>
      <c r="B3806" s="7" t="str">
        <f t="shared" si="118"/>
        <v>380301 - DESPESAS INDEDUTIVEIS</v>
      </c>
      <c r="C3806" s="25">
        <f t="shared" si="119"/>
        <v>44682</v>
      </c>
      <c r="D3806" s="27">
        <f>IF(K3806="CREDITO",Q3806,Q3806*-1)</f>
        <v>255.9</v>
      </c>
      <c r="E3806" t="s">
        <v>894</v>
      </c>
      <c r="F3806" t="s">
        <v>4282</v>
      </c>
      <c r="G3806" s="8">
        <v>44682</v>
      </c>
      <c r="H3806" t="s">
        <v>629</v>
      </c>
      <c r="I3806" t="s">
        <v>78</v>
      </c>
      <c r="J3806" t="s">
        <v>54</v>
      </c>
      <c r="K3806" t="s">
        <v>29</v>
      </c>
      <c r="L3806" t="s">
        <v>895</v>
      </c>
      <c r="M3806" t="s">
        <v>4402</v>
      </c>
      <c r="O3806" t="s">
        <v>896</v>
      </c>
      <c r="P3806" t="s">
        <v>33</v>
      </c>
      <c r="Q3806">
        <v>255.9</v>
      </c>
      <c r="R3806" t="s">
        <v>35</v>
      </c>
      <c r="S3806" t="s">
        <v>35</v>
      </c>
      <c r="T3806" t="s">
        <v>35</v>
      </c>
      <c r="U3806" t="s">
        <v>35</v>
      </c>
      <c r="V3806" t="s">
        <v>645</v>
      </c>
      <c r="W3806" t="s">
        <v>113</v>
      </c>
    </row>
    <row r="3807" spans="1:23" hidden="1" x14ac:dyDescent="0.25">
      <c r="A3807" s="7" t="str">
        <f>IFERROR(VLOOKUP(H3807,'Contas Orç'!A:B,2,0),"N/A")</f>
        <v>DESPESAS INDEDUTIVEIS</v>
      </c>
      <c r="B3807" s="7" t="str">
        <f t="shared" si="118"/>
        <v>380301 - DESPESAS INDEDUTIVEIS</v>
      </c>
      <c r="C3807" s="25">
        <f t="shared" si="119"/>
        <v>44682</v>
      </c>
      <c r="D3807" s="27">
        <f>IF(K3807="CREDITO",Q3807,Q3807*-1)</f>
        <v>728.84</v>
      </c>
      <c r="E3807" t="s">
        <v>894</v>
      </c>
      <c r="F3807" t="s">
        <v>4283</v>
      </c>
      <c r="G3807" s="8">
        <v>44682</v>
      </c>
      <c r="H3807" t="s">
        <v>629</v>
      </c>
      <c r="I3807" t="s">
        <v>53</v>
      </c>
      <c r="J3807" t="s">
        <v>54</v>
      </c>
      <c r="K3807" t="s">
        <v>29</v>
      </c>
      <c r="L3807" t="s">
        <v>895</v>
      </c>
      <c r="M3807" t="s">
        <v>4402</v>
      </c>
      <c r="O3807" t="s">
        <v>896</v>
      </c>
      <c r="P3807" t="s">
        <v>33</v>
      </c>
      <c r="Q3807">
        <v>728.84</v>
      </c>
      <c r="R3807" t="s">
        <v>35</v>
      </c>
      <c r="S3807" t="s">
        <v>35</v>
      </c>
      <c r="T3807" t="s">
        <v>35</v>
      </c>
      <c r="U3807" t="s">
        <v>35</v>
      </c>
      <c r="V3807" t="s">
        <v>645</v>
      </c>
      <c r="W3807" t="s">
        <v>113</v>
      </c>
    </row>
    <row r="3808" spans="1:23" hidden="1" x14ac:dyDescent="0.25">
      <c r="A3808" s="7" t="str">
        <f>IFERROR(VLOOKUP(H3808,'Contas Orç'!A:B,2,0),"N/A")</f>
        <v>DESPESAS INDEDUTIVEIS</v>
      </c>
      <c r="B3808" s="7" t="str">
        <f t="shared" si="118"/>
        <v>380301 - DESPESAS INDEDUTIVEIS</v>
      </c>
      <c r="C3808" s="25">
        <f t="shared" si="119"/>
        <v>44682</v>
      </c>
      <c r="D3808" s="27">
        <f>IF(K3808="CREDITO",Q3808,Q3808*-1)</f>
        <v>38</v>
      </c>
      <c r="E3808" t="s">
        <v>894</v>
      </c>
      <c r="F3808" t="s">
        <v>4284</v>
      </c>
      <c r="G3808" s="8">
        <v>44682</v>
      </c>
      <c r="H3808" t="s">
        <v>629</v>
      </c>
      <c r="I3808" t="s">
        <v>88</v>
      </c>
      <c r="J3808" t="s">
        <v>54</v>
      </c>
      <c r="K3808" t="s">
        <v>29</v>
      </c>
      <c r="L3808" t="s">
        <v>895</v>
      </c>
      <c r="M3808" t="s">
        <v>4402</v>
      </c>
      <c r="O3808" t="s">
        <v>896</v>
      </c>
      <c r="P3808" t="s">
        <v>33</v>
      </c>
      <c r="Q3808">
        <v>38</v>
      </c>
      <c r="R3808" t="s">
        <v>35</v>
      </c>
      <c r="S3808" t="s">
        <v>35</v>
      </c>
      <c r="T3808" t="s">
        <v>35</v>
      </c>
      <c r="U3808" t="s">
        <v>35</v>
      </c>
      <c r="V3808" t="s">
        <v>645</v>
      </c>
      <c r="W3808" t="s">
        <v>113</v>
      </c>
    </row>
    <row r="3809" spans="1:23" hidden="1" x14ac:dyDescent="0.25">
      <c r="A3809" s="7" t="str">
        <f>IFERROR(VLOOKUP(H3809,'Contas Orç'!A:B,2,0),"N/A")</f>
        <v>DESPESAS INDEDUTIVEIS</v>
      </c>
      <c r="B3809" s="7" t="str">
        <f t="shared" si="118"/>
        <v>380301 - DESPESAS INDEDUTIVEIS</v>
      </c>
      <c r="C3809" s="25">
        <f t="shared" si="119"/>
        <v>44713</v>
      </c>
      <c r="D3809" s="27">
        <f>IF(K3809="CREDITO",Q3809,Q3809*-1)</f>
        <v>7248.58</v>
      </c>
      <c r="E3809" t="s">
        <v>894</v>
      </c>
      <c r="F3809" t="s">
        <v>4285</v>
      </c>
      <c r="G3809" s="8">
        <v>44713</v>
      </c>
      <c r="H3809" t="s">
        <v>629</v>
      </c>
      <c r="I3809" t="s">
        <v>27</v>
      </c>
      <c r="J3809" t="s">
        <v>28</v>
      </c>
      <c r="K3809" t="s">
        <v>29</v>
      </c>
      <c r="L3809" t="s">
        <v>895</v>
      </c>
      <c r="M3809" t="s">
        <v>4402</v>
      </c>
      <c r="O3809" t="s">
        <v>896</v>
      </c>
      <c r="P3809" t="s">
        <v>33</v>
      </c>
      <c r="Q3809" s="22">
        <v>7248.58</v>
      </c>
      <c r="R3809" t="s">
        <v>35</v>
      </c>
      <c r="S3809" t="s">
        <v>35</v>
      </c>
      <c r="T3809" t="s">
        <v>35</v>
      </c>
      <c r="U3809" t="s">
        <v>35</v>
      </c>
      <c r="V3809" t="s">
        <v>645</v>
      </c>
      <c r="W3809" t="s">
        <v>113</v>
      </c>
    </row>
    <row r="3810" spans="1:23" hidden="1" x14ac:dyDescent="0.25">
      <c r="A3810" s="7" t="str">
        <f>IFERROR(VLOOKUP(H3810,'Contas Orç'!A:B,2,0),"N/A")</f>
        <v>DESPESAS INDEDUTIVEIS</v>
      </c>
      <c r="B3810" s="7" t="str">
        <f t="shared" si="118"/>
        <v>380301 - DESPESAS INDEDUTIVEIS</v>
      </c>
      <c r="C3810" s="25">
        <f t="shared" si="119"/>
        <v>44713</v>
      </c>
      <c r="D3810" s="27">
        <f>IF(K3810="CREDITO",Q3810,Q3810*-1)</f>
        <v>60</v>
      </c>
      <c r="E3810" t="s">
        <v>894</v>
      </c>
      <c r="F3810" t="s">
        <v>4286</v>
      </c>
      <c r="G3810" s="8">
        <v>44713</v>
      </c>
      <c r="H3810" t="s">
        <v>629</v>
      </c>
      <c r="I3810" t="s">
        <v>53</v>
      </c>
      <c r="J3810" t="s">
        <v>702</v>
      </c>
      <c r="K3810" t="s">
        <v>29</v>
      </c>
      <c r="L3810" t="s">
        <v>895</v>
      </c>
      <c r="M3810" t="s">
        <v>4402</v>
      </c>
      <c r="O3810" t="s">
        <v>896</v>
      </c>
      <c r="P3810" t="s">
        <v>33</v>
      </c>
      <c r="Q3810">
        <v>60</v>
      </c>
      <c r="R3810" t="s">
        <v>35</v>
      </c>
      <c r="S3810" t="s">
        <v>35</v>
      </c>
      <c r="T3810" t="s">
        <v>35</v>
      </c>
      <c r="U3810" t="s">
        <v>35</v>
      </c>
      <c r="V3810" t="s">
        <v>645</v>
      </c>
      <c r="W3810" t="s">
        <v>113</v>
      </c>
    </row>
    <row r="3811" spans="1:23" hidden="1" x14ac:dyDescent="0.25">
      <c r="A3811" s="7" t="str">
        <f>IFERROR(VLOOKUP(H3811,'Contas Orç'!A:B,2,0),"N/A")</f>
        <v>DESPESAS INDEDUTIVEIS</v>
      </c>
      <c r="B3811" s="7" t="str">
        <f t="shared" si="118"/>
        <v>380301 - DESPESAS INDEDUTIVEIS</v>
      </c>
      <c r="C3811" s="25">
        <f t="shared" si="119"/>
        <v>44713</v>
      </c>
      <c r="D3811" s="27">
        <f>IF(K3811="CREDITO",Q3811,Q3811*-1)</f>
        <v>62</v>
      </c>
      <c r="E3811" t="s">
        <v>894</v>
      </c>
      <c r="F3811" t="s">
        <v>4287</v>
      </c>
      <c r="G3811" s="8">
        <v>44713</v>
      </c>
      <c r="H3811" t="s">
        <v>629</v>
      </c>
      <c r="I3811" t="s">
        <v>106</v>
      </c>
      <c r="J3811" t="s">
        <v>702</v>
      </c>
      <c r="K3811" t="s">
        <v>29</v>
      </c>
      <c r="L3811" t="s">
        <v>895</v>
      </c>
      <c r="M3811" t="s">
        <v>4402</v>
      </c>
      <c r="O3811" t="s">
        <v>896</v>
      </c>
      <c r="P3811" t="s">
        <v>33</v>
      </c>
      <c r="Q3811">
        <v>62</v>
      </c>
      <c r="R3811" t="s">
        <v>35</v>
      </c>
      <c r="S3811" t="s">
        <v>35</v>
      </c>
      <c r="T3811" t="s">
        <v>35</v>
      </c>
      <c r="U3811" t="s">
        <v>35</v>
      </c>
      <c r="V3811" t="s">
        <v>645</v>
      </c>
      <c r="W3811" t="s">
        <v>113</v>
      </c>
    </row>
    <row r="3812" spans="1:23" hidden="1" x14ac:dyDescent="0.25">
      <c r="A3812" s="7" t="str">
        <f>IFERROR(VLOOKUP(H3812,'Contas Orç'!A:B,2,0),"N/A")</f>
        <v>DESPESAS INDEDUTIVEIS</v>
      </c>
      <c r="B3812" s="7" t="str">
        <f t="shared" si="118"/>
        <v>380301 - DESPESAS INDEDUTIVEIS</v>
      </c>
      <c r="C3812" s="25">
        <f t="shared" si="119"/>
        <v>44713</v>
      </c>
      <c r="D3812" s="27">
        <f>IF(K3812="CREDITO",Q3812,Q3812*-1)</f>
        <v>1964.25</v>
      </c>
      <c r="E3812" t="s">
        <v>894</v>
      </c>
      <c r="F3812" t="s">
        <v>4288</v>
      </c>
      <c r="G3812" s="8">
        <v>44713</v>
      </c>
      <c r="H3812" t="s">
        <v>629</v>
      </c>
      <c r="I3812" t="s">
        <v>68</v>
      </c>
      <c r="J3812" t="s">
        <v>69</v>
      </c>
      <c r="K3812" t="s">
        <v>29</v>
      </c>
      <c r="L3812" t="s">
        <v>895</v>
      </c>
      <c r="M3812" t="s">
        <v>4402</v>
      </c>
      <c r="O3812" t="s">
        <v>896</v>
      </c>
      <c r="P3812" t="s">
        <v>33</v>
      </c>
      <c r="Q3812" s="22">
        <v>1964.25</v>
      </c>
      <c r="R3812" t="s">
        <v>35</v>
      </c>
      <c r="S3812" t="s">
        <v>35</v>
      </c>
      <c r="T3812" t="s">
        <v>35</v>
      </c>
      <c r="U3812" t="s">
        <v>35</v>
      </c>
      <c r="V3812" t="s">
        <v>645</v>
      </c>
      <c r="W3812" t="s">
        <v>113</v>
      </c>
    </row>
    <row r="3813" spans="1:23" hidden="1" x14ac:dyDescent="0.25">
      <c r="A3813" s="7" t="str">
        <f>IFERROR(VLOOKUP(H3813,'Contas Orç'!A:B,2,0),"N/A")</f>
        <v>DESPESAS INDEDUTIVEIS</v>
      </c>
      <c r="B3813" s="7" t="str">
        <f t="shared" si="118"/>
        <v>380301 - DESPESAS INDEDUTIVEIS</v>
      </c>
      <c r="C3813" s="25">
        <f t="shared" si="119"/>
        <v>44713</v>
      </c>
      <c r="D3813" s="27">
        <f>IF(K3813="CREDITO",Q3813,Q3813*-1)</f>
        <v>935.33</v>
      </c>
      <c r="E3813" t="s">
        <v>894</v>
      </c>
      <c r="F3813" t="s">
        <v>4289</v>
      </c>
      <c r="G3813" s="8">
        <v>44713</v>
      </c>
      <c r="H3813" t="s">
        <v>629</v>
      </c>
      <c r="I3813" t="s">
        <v>2062</v>
      </c>
      <c r="J3813" t="s">
        <v>54</v>
      </c>
      <c r="K3813" t="s">
        <v>29</v>
      </c>
      <c r="L3813" t="s">
        <v>895</v>
      </c>
      <c r="M3813" t="s">
        <v>4402</v>
      </c>
      <c r="O3813" t="s">
        <v>896</v>
      </c>
      <c r="P3813" t="s">
        <v>33</v>
      </c>
      <c r="Q3813">
        <v>935.33</v>
      </c>
      <c r="R3813" t="s">
        <v>35</v>
      </c>
      <c r="S3813" t="s">
        <v>35</v>
      </c>
      <c r="T3813" t="s">
        <v>35</v>
      </c>
      <c r="U3813" t="s">
        <v>35</v>
      </c>
      <c r="V3813" t="s">
        <v>645</v>
      </c>
      <c r="W3813" t="s">
        <v>113</v>
      </c>
    </row>
    <row r="3814" spans="1:23" hidden="1" x14ac:dyDescent="0.25">
      <c r="A3814" s="7" t="str">
        <f>IFERROR(VLOOKUP(H3814,'Contas Orç'!A:B,2,0),"N/A")</f>
        <v>DESPESAS INDEDUTIVEIS</v>
      </c>
      <c r="B3814" s="7" t="str">
        <f t="shared" si="118"/>
        <v>380301 - DESPESAS INDEDUTIVEIS</v>
      </c>
      <c r="C3814" s="25">
        <f t="shared" si="119"/>
        <v>44713</v>
      </c>
      <c r="D3814" s="27">
        <f>IF(K3814="CREDITO",Q3814,Q3814*-1)</f>
        <v>1891.27</v>
      </c>
      <c r="E3814" t="s">
        <v>894</v>
      </c>
      <c r="F3814" t="s">
        <v>4290</v>
      </c>
      <c r="G3814" s="8">
        <v>44713</v>
      </c>
      <c r="H3814" t="s">
        <v>629</v>
      </c>
      <c r="I3814" t="s">
        <v>40</v>
      </c>
      <c r="J3814" t="s">
        <v>54</v>
      </c>
      <c r="K3814" t="s">
        <v>29</v>
      </c>
      <c r="L3814" t="s">
        <v>895</v>
      </c>
      <c r="M3814" t="s">
        <v>4402</v>
      </c>
      <c r="O3814" t="s">
        <v>896</v>
      </c>
      <c r="P3814" t="s">
        <v>33</v>
      </c>
      <c r="Q3814" s="22">
        <v>1891.27</v>
      </c>
      <c r="R3814" t="s">
        <v>35</v>
      </c>
      <c r="S3814" t="s">
        <v>35</v>
      </c>
      <c r="T3814" t="s">
        <v>35</v>
      </c>
      <c r="U3814" t="s">
        <v>35</v>
      </c>
      <c r="V3814" t="s">
        <v>645</v>
      </c>
      <c r="W3814" t="s">
        <v>113</v>
      </c>
    </row>
    <row r="3815" spans="1:23" hidden="1" x14ac:dyDescent="0.25">
      <c r="A3815" s="7" t="str">
        <f>IFERROR(VLOOKUP(H3815,'Contas Orç'!A:B,2,0),"N/A")</f>
        <v>DESPESAS INDEDUTIVEIS</v>
      </c>
      <c r="B3815" s="7" t="str">
        <f t="shared" si="118"/>
        <v>380301 - DESPESAS INDEDUTIVEIS</v>
      </c>
      <c r="C3815" s="25">
        <f t="shared" si="119"/>
        <v>44713</v>
      </c>
      <c r="D3815" s="27">
        <f>IF(K3815="CREDITO",Q3815,Q3815*-1)</f>
        <v>274.95999999999998</v>
      </c>
      <c r="E3815" t="s">
        <v>894</v>
      </c>
      <c r="F3815" t="s">
        <v>4291</v>
      </c>
      <c r="G3815" s="8">
        <v>44713</v>
      </c>
      <c r="H3815" t="s">
        <v>629</v>
      </c>
      <c r="I3815" t="s">
        <v>1002</v>
      </c>
      <c r="J3815" t="s">
        <v>54</v>
      </c>
      <c r="K3815" t="s">
        <v>29</v>
      </c>
      <c r="L3815" t="s">
        <v>895</v>
      </c>
      <c r="M3815" t="s">
        <v>4402</v>
      </c>
      <c r="O3815" t="s">
        <v>896</v>
      </c>
      <c r="P3815" t="s">
        <v>33</v>
      </c>
      <c r="Q3815">
        <v>274.95999999999998</v>
      </c>
      <c r="R3815" t="s">
        <v>35</v>
      </c>
      <c r="S3815" t="s">
        <v>35</v>
      </c>
      <c r="T3815" t="s">
        <v>35</v>
      </c>
      <c r="U3815" t="s">
        <v>35</v>
      </c>
      <c r="V3815" t="s">
        <v>645</v>
      </c>
      <c r="W3815" t="s">
        <v>113</v>
      </c>
    </row>
    <row r="3816" spans="1:23" hidden="1" x14ac:dyDescent="0.25">
      <c r="A3816" s="7" t="str">
        <f>IFERROR(VLOOKUP(H3816,'Contas Orç'!A:B,2,0),"N/A")</f>
        <v>DESPESAS INDEDUTIVEIS</v>
      </c>
      <c r="B3816" s="7" t="str">
        <f t="shared" si="118"/>
        <v>380301 - DESPESAS INDEDUTIVEIS</v>
      </c>
      <c r="C3816" s="25">
        <f t="shared" si="119"/>
        <v>44713</v>
      </c>
      <c r="D3816" s="27">
        <f>IF(K3816="CREDITO",Q3816,Q3816*-1)</f>
        <v>104.86</v>
      </c>
      <c r="E3816" t="s">
        <v>894</v>
      </c>
      <c r="F3816" t="s">
        <v>4292</v>
      </c>
      <c r="G3816" s="8">
        <v>44713</v>
      </c>
      <c r="H3816" t="s">
        <v>629</v>
      </c>
      <c r="I3816" t="s">
        <v>121</v>
      </c>
      <c r="J3816" t="s">
        <v>54</v>
      </c>
      <c r="K3816" t="s">
        <v>29</v>
      </c>
      <c r="L3816" t="s">
        <v>895</v>
      </c>
      <c r="M3816" t="s">
        <v>4402</v>
      </c>
      <c r="O3816" t="s">
        <v>896</v>
      </c>
      <c r="P3816" t="s">
        <v>33</v>
      </c>
      <c r="Q3816">
        <v>104.86</v>
      </c>
      <c r="R3816" t="s">
        <v>35</v>
      </c>
      <c r="S3816" t="s">
        <v>35</v>
      </c>
      <c r="T3816" t="s">
        <v>35</v>
      </c>
      <c r="U3816" t="s">
        <v>35</v>
      </c>
      <c r="V3816" t="s">
        <v>645</v>
      </c>
      <c r="W3816" t="s">
        <v>113</v>
      </c>
    </row>
    <row r="3817" spans="1:23" hidden="1" x14ac:dyDescent="0.25">
      <c r="A3817" s="7" t="str">
        <f>IFERROR(VLOOKUP(H3817,'Contas Orç'!A:B,2,0),"N/A")</f>
        <v>DESPESAS INDEDUTIVEIS</v>
      </c>
      <c r="B3817" s="7" t="str">
        <f t="shared" si="118"/>
        <v>380301 - DESPESAS INDEDUTIVEIS</v>
      </c>
      <c r="C3817" s="25">
        <f t="shared" si="119"/>
        <v>44713</v>
      </c>
      <c r="D3817" s="27">
        <f>IF(K3817="CREDITO",Q3817,Q3817*-1)</f>
        <v>127.97</v>
      </c>
      <c r="E3817" t="s">
        <v>894</v>
      </c>
      <c r="F3817" t="s">
        <v>4293</v>
      </c>
      <c r="G3817" s="8">
        <v>44713</v>
      </c>
      <c r="H3817" t="s">
        <v>629</v>
      </c>
      <c r="I3817" t="s">
        <v>132</v>
      </c>
      <c r="J3817" t="s">
        <v>54</v>
      </c>
      <c r="K3817" t="s">
        <v>29</v>
      </c>
      <c r="L3817" t="s">
        <v>895</v>
      </c>
      <c r="M3817" t="s">
        <v>4402</v>
      </c>
      <c r="O3817" t="s">
        <v>896</v>
      </c>
      <c r="P3817" t="s">
        <v>33</v>
      </c>
      <c r="Q3817">
        <v>127.97</v>
      </c>
      <c r="R3817" t="s">
        <v>35</v>
      </c>
      <c r="S3817" t="s">
        <v>35</v>
      </c>
      <c r="T3817" t="s">
        <v>35</v>
      </c>
      <c r="U3817" t="s">
        <v>35</v>
      </c>
      <c r="V3817" t="s">
        <v>645</v>
      </c>
      <c r="W3817" t="s">
        <v>113</v>
      </c>
    </row>
    <row r="3818" spans="1:23" hidden="1" x14ac:dyDescent="0.25">
      <c r="A3818" s="7" t="str">
        <f>IFERROR(VLOOKUP(H3818,'Contas Orç'!A:B,2,0),"N/A")</f>
        <v>DESPESAS INDEDUTIVEIS</v>
      </c>
      <c r="B3818" s="7" t="str">
        <f t="shared" si="118"/>
        <v>380301 - DESPESAS INDEDUTIVEIS</v>
      </c>
      <c r="C3818" s="25">
        <f t="shared" si="119"/>
        <v>44713</v>
      </c>
      <c r="D3818" s="27">
        <f>IF(K3818="CREDITO",Q3818,Q3818*-1)</f>
        <v>54.8</v>
      </c>
      <c r="E3818" t="s">
        <v>894</v>
      </c>
      <c r="F3818" t="s">
        <v>4294</v>
      </c>
      <c r="G3818" s="8">
        <v>44713</v>
      </c>
      <c r="H3818" t="s">
        <v>629</v>
      </c>
      <c r="I3818" t="s">
        <v>114</v>
      </c>
      <c r="J3818" t="s">
        <v>54</v>
      </c>
      <c r="K3818" t="s">
        <v>29</v>
      </c>
      <c r="L3818" t="s">
        <v>895</v>
      </c>
      <c r="M3818" t="s">
        <v>4402</v>
      </c>
      <c r="O3818" t="s">
        <v>896</v>
      </c>
      <c r="P3818" t="s">
        <v>33</v>
      </c>
      <c r="Q3818">
        <v>54.8</v>
      </c>
      <c r="R3818" t="s">
        <v>35</v>
      </c>
      <c r="S3818" t="s">
        <v>35</v>
      </c>
      <c r="T3818" t="s">
        <v>35</v>
      </c>
      <c r="U3818" t="s">
        <v>35</v>
      </c>
      <c r="V3818" t="s">
        <v>645</v>
      </c>
      <c r="W3818" t="s">
        <v>113</v>
      </c>
    </row>
    <row r="3819" spans="1:23" hidden="1" x14ac:dyDescent="0.25">
      <c r="A3819" s="7" t="str">
        <f>IFERROR(VLOOKUP(H3819,'Contas Orç'!A:B,2,0),"N/A")</f>
        <v>DESPESAS INDEDUTIVEIS</v>
      </c>
      <c r="B3819" s="7" t="str">
        <f t="shared" si="118"/>
        <v>380301 - DESPESAS INDEDUTIVEIS</v>
      </c>
      <c r="C3819" s="25">
        <f t="shared" si="119"/>
        <v>44713</v>
      </c>
      <c r="D3819" s="27">
        <f>IF(K3819="CREDITO",Q3819,Q3819*-1)</f>
        <v>115.49</v>
      </c>
      <c r="E3819" t="s">
        <v>894</v>
      </c>
      <c r="F3819" t="s">
        <v>4295</v>
      </c>
      <c r="G3819" s="8">
        <v>44713</v>
      </c>
      <c r="H3819" t="s">
        <v>629</v>
      </c>
      <c r="I3819" t="s">
        <v>75</v>
      </c>
      <c r="J3819" t="s">
        <v>54</v>
      </c>
      <c r="K3819" t="s">
        <v>29</v>
      </c>
      <c r="L3819" t="s">
        <v>895</v>
      </c>
      <c r="M3819" t="s">
        <v>4402</v>
      </c>
      <c r="O3819" t="s">
        <v>896</v>
      </c>
      <c r="P3819" t="s">
        <v>33</v>
      </c>
      <c r="Q3819">
        <v>115.49</v>
      </c>
      <c r="R3819" t="s">
        <v>35</v>
      </c>
      <c r="S3819" t="s">
        <v>35</v>
      </c>
      <c r="T3819" t="s">
        <v>35</v>
      </c>
      <c r="U3819" t="s">
        <v>35</v>
      </c>
      <c r="V3819" t="s">
        <v>645</v>
      </c>
      <c r="W3819" t="s">
        <v>113</v>
      </c>
    </row>
    <row r="3820" spans="1:23" hidden="1" x14ac:dyDescent="0.25">
      <c r="A3820" s="7" t="str">
        <f>IFERROR(VLOOKUP(H3820,'Contas Orç'!A:B,2,0),"N/A")</f>
        <v>DESPESAS INDEDUTIVEIS</v>
      </c>
      <c r="B3820" s="7" t="str">
        <f t="shared" si="118"/>
        <v>380301 - DESPESAS INDEDUTIVEIS</v>
      </c>
      <c r="C3820" s="25">
        <f t="shared" si="119"/>
        <v>44713</v>
      </c>
      <c r="D3820" s="27">
        <f>IF(K3820="CREDITO",Q3820,Q3820*-1)</f>
        <v>139.33000000000001</v>
      </c>
      <c r="E3820" t="s">
        <v>894</v>
      </c>
      <c r="F3820" t="s">
        <v>4296</v>
      </c>
      <c r="G3820" s="8">
        <v>44713</v>
      </c>
      <c r="H3820" t="s">
        <v>629</v>
      </c>
      <c r="I3820" t="s">
        <v>78</v>
      </c>
      <c r="J3820" t="s">
        <v>54</v>
      </c>
      <c r="K3820" t="s">
        <v>29</v>
      </c>
      <c r="L3820" t="s">
        <v>895</v>
      </c>
      <c r="M3820" t="s">
        <v>4402</v>
      </c>
      <c r="O3820" t="s">
        <v>896</v>
      </c>
      <c r="P3820" t="s">
        <v>33</v>
      </c>
      <c r="Q3820">
        <v>139.33000000000001</v>
      </c>
      <c r="R3820" t="s">
        <v>35</v>
      </c>
      <c r="S3820" t="s">
        <v>35</v>
      </c>
      <c r="T3820" t="s">
        <v>35</v>
      </c>
      <c r="U3820" t="s">
        <v>35</v>
      </c>
      <c r="V3820" t="s">
        <v>645</v>
      </c>
      <c r="W3820" t="s">
        <v>113</v>
      </c>
    </row>
    <row r="3821" spans="1:23" hidden="1" x14ac:dyDescent="0.25">
      <c r="A3821" s="7" t="str">
        <f>IFERROR(VLOOKUP(H3821,'Contas Orç'!A:B,2,0),"N/A")</f>
        <v>DESPESAS INDEDUTIVEIS</v>
      </c>
      <c r="B3821" s="7" t="str">
        <f t="shared" si="118"/>
        <v>380301 - DESPESAS INDEDUTIVEIS</v>
      </c>
      <c r="C3821" s="25">
        <f t="shared" si="119"/>
        <v>44713</v>
      </c>
      <c r="D3821" s="27">
        <f>IF(K3821="CREDITO",Q3821,Q3821*-1)</f>
        <v>818.3</v>
      </c>
      <c r="E3821" t="s">
        <v>894</v>
      </c>
      <c r="F3821" t="s">
        <v>4297</v>
      </c>
      <c r="G3821" s="8">
        <v>44713</v>
      </c>
      <c r="H3821" t="s">
        <v>629</v>
      </c>
      <c r="I3821" t="s">
        <v>53</v>
      </c>
      <c r="J3821" t="s">
        <v>54</v>
      </c>
      <c r="K3821" t="s">
        <v>29</v>
      </c>
      <c r="L3821" t="s">
        <v>895</v>
      </c>
      <c r="M3821" t="s">
        <v>4402</v>
      </c>
      <c r="O3821" t="s">
        <v>896</v>
      </c>
      <c r="P3821" t="s">
        <v>33</v>
      </c>
      <c r="Q3821">
        <v>818.3</v>
      </c>
      <c r="R3821" t="s">
        <v>35</v>
      </c>
      <c r="S3821" t="s">
        <v>35</v>
      </c>
      <c r="T3821" t="s">
        <v>35</v>
      </c>
      <c r="U3821" t="s">
        <v>35</v>
      </c>
      <c r="V3821" t="s">
        <v>645</v>
      </c>
      <c r="W3821" t="s">
        <v>113</v>
      </c>
    </row>
    <row r="3822" spans="1:23" hidden="1" x14ac:dyDescent="0.25">
      <c r="A3822" s="7" t="str">
        <f>IFERROR(VLOOKUP(H3822,'Contas Orç'!A:B,2,0),"N/A")</f>
        <v>DESPESAS INDEDUTIVEIS</v>
      </c>
      <c r="B3822" s="7" t="str">
        <f t="shared" si="118"/>
        <v>380301 - DESPESAS INDEDUTIVEIS</v>
      </c>
      <c r="C3822" s="25">
        <f t="shared" si="119"/>
        <v>44713</v>
      </c>
      <c r="D3822" s="27">
        <f>IF(K3822="CREDITO",Q3822,Q3822*-1)</f>
        <v>35</v>
      </c>
      <c r="E3822" t="s">
        <v>894</v>
      </c>
      <c r="F3822" t="s">
        <v>4298</v>
      </c>
      <c r="G3822" s="8">
        <v>44713</v>
      </c>
      <c r="H3822" t="s">
        <v>629</v>
      </c>
      <c r="I3822" t="s">
        <v>88</v>
      </c>
      <c r="J3822" t="s">
        <v>54</v>
      </c>
      <c r="K3822" t="s">
        <v>29</v>
      </c>
      <c r="L3822" t="s">
        <v>895</v>
      </c>
      <c r="M3822" t="s">
        <v>4402</v>
      </c>
      <c r="O3822" t="s">
        <v>896</v>
      </c>
      <c r="P3822" t="s">
        <v>33</v>
      </c>
      <c r="Q3822">
        <v>35</v>
      </c>
      <c r="R3822" t="s">
        <v>35</v>
      </c>
      <c r="S3822" t="s">
        <v>35</v>
      </c>
      <c r="T3822" t="s">
        <v>35</v>
      </c>
      <c r="U3822" t="s">
        <v>35</v>
      </c>
      <c r="V3822" t="s">
        <v>645</v>
      </c>
      <c r="W3822" t="s">
        <v>113</v>
      </c>
    </row>
    <row r="3823" spans="1:23" hidden="1" x14ac:dyDescent="0.25">
      <c r="A3823" s="7" t="str">
        <f>IFERROR(VLOOKUP(H3823,'Contas Orç'!A:B,2,0),"N/A")</f>
        <v>DESPESAS INDEDUTIVEIS</v>
      </c>
      <c r="B3823" s="7" t="str">
        <f t="shared" si="118"/>
        <v>380301 - DESPESAS INDEDUTIVEIS</v>
      </c>
      <c r="C3823" s="25">
        <f t="shared" si="119"/>
        <v>44743</v>
      </c>
      <c r="D3823" s="27">
        <f>IF(K3823="CREDITO",Q3823,Q3823*-1)</f>
        <v>5733.85</v>
      </c>
      <c r="E3823" t="s">
        <v>894</v>
      </c>
      <c r="F3823" t="s">
        <v>4299</v>
      </c>
      <c r="G3823" s="8">
        <v>44743</v>
      </c>
      <c r="H3823" t="s">
        <v>629</v>
      </c>
      <c r="I3823" t="s">
        <v>27</v>
      </c>
      <c r="J3823" t="s">
        <v>28</v>
      </c>
      <c r="K3823" t="s">
        <v>29</v>
      </c>
      <c r="L3823" t="s">
        <v>895</v>
      </c>
      <c r="M3823" t="s">
        <v>4402</v>
      </c>
      <c r="O3823" t="s">
        <v>896</v>
      </c>
      <c r="P3823" t="s">
        <v>33</v>
      </c>
      <c r="Q3823" s="22">
        <v>5733.85</v>
      </c>
      <c r="R3823" t="s">
        <v>35</v>
      </c>
      <c r="S3823" t="s">
        <v>35</v>
      </c>
      <c r="T3823" t="s">
        <v>35</v>
      </c>
      <c r="U3823" t="s">
        <v>35</v>
      </c>
      <c r="V3823" t="s">
        <v>645</v>
      </c>
      <c r="W3823" t="s">
        <v>113</v>
      </c>
    </row>
    <row r="3824" spans="1:23" hidden="1" x14ac:dyDescent="0.25">
      <c r="A3824" s="7" t="str">
        <f>IFERROR(VLOOKUP(H3824,'Contas Orç'!A:B,2,0),"N/A")</f>
        <v>DESPESAS INDEDUTIVEIS</v>
      </c>
      <c r="B3824" s="7" t="str">
        <f t="shared" si="118"/>
        <v>380301 - DESPESAS INDEDUTIVEIS</v>
      </c>
      <c r="C3824" s="25">
        <f t="shared" si="119"/>
        <v>44743</v>
      </c>
      <c r="D3824" s="27">
        <f>IF(K3824="CREDITO",Q3824,Q3824*-1)</f>
        <v>4149.97</v>
      </c>
      <c r="E3824" t="s">
        <v>894</v>
      </c>
      <c r="F3824" t="s">
        <v>4300</v>
      </c>
      <c r="G3824" s="8">
        <v>44743</v>
      </c>
      <c r="H3824" t="s">
        <v>629</v>
      </c>
      <c r="I3824" t="s">
        <v>68</v>
      </c>
      <c r="J3824" t="s">
        <v>69</v>
      </c>
      <c r="K3824" t="s">
        <v>29</v>
      </c>
      <c r="L3824" t="s">
        <v>895</v>
      </c>
      <c r="M3824" t="s">
        <v>4402</v>
      </c>
      <c r="O3824" t="s">
        <v>896</v>
      </c>
      <c r="P3824" t="s">
        <v>33</v>
      </c>
      <c r="Q3824" s="22">
        <v>4149.97</v>
      </c>
      <c r="R3824" t="s">
        <v>35</v>
      </c>
      <c r="S3824" t="s">
        <v>35</v>
      </c>
      <c r="T3824" t="s">
        <v>35</v>
      </c>
      <c r="U3824" t="s">
        <v>35</v>
      </c>
      <c r="V3824" t="s">
        <v>645</v>
      </c>
      <c r="W3824" t="s">
        <v>113</v>
      </c>
    </row>
    <row r="3825" spans="1:23" hidden="1" x14ac:dyDescent="0.25">
      <c r="A3825" s="7" t="str">
        <f>IFERROR(VLOOKUP(H3825,'Contas Orç'!A:B,2,0),"N/A")</f>
        <v>DESPESAS INDEDUTIVEIS</v>
      </c>
      <c r="B3825" s="7" t="str">
        <f t="shared" si="118"/>
        <v>380301 - DESPESAS INDEDUTIVEIS</v>
      </c>
      <c r="C3825" s="25">
        <f t="shared" si="119"/>
        <v>44743</v>
      </c>
      <c r="D3825" s="27">
        <f>IF(K3825="CREDITO",Q3825,Q3825*-1)</f>
        <v>2802.06</v>
      </c>
      <c r="E3825" t="s">
        <v>894</v>
      </c>
      <c r="F3825" t="s">
        <v>4301</v>
      </c>
      <c r="G3825" s="8">
        <v>44743</v>
      </c>
      <c r="H3825" t="s">
        <v>629</v>
      </c>
      <c r="I3825" t="s">
        <v>2062</v>
      </c>
      <c r="J3825" t="s">
        <v>54</v>
      </c>
      <c r="K3825" t="s">
        <v>29</v>
      </c>
      <c r="L3825" t="s">
        <v>895</v>
      </c>
      <c r="M3825" t="s">
        <v>4402</v>
      </c>
      <c r="O3825" t="s">
        <v>896</v>
      </c>
      <c r="P3825" t="s">
        <v>33</v>
      </c>
      <c r="Q3825" s="22">
        <v>2802.06</v>
      </c>
      <c r="R3825" t="s">
        <v>35</v>
      </c>
      <c r="S3825" t="s">
        <v>35</v>
      </c>
      <c r="T3825" t="s">
        <v>35</v>
      </c>
      <c r="U3825" t="s">
        <v>35</v>
      </c>
      <c r="V3825" t="s">
        <v>645</v>
      </c>
      <c r="W3825" t="s">
        <v>113</v>
      </c>
    </row>
    <row r="3826" spans="1:23" hidden="1" x14ac:dyDescent="0.25">
      <c r="A3826" s="7" t="str">
        <f>IFERROR(VLOOKUP(H3826,'Contas Orç'!A:B,2,0),"N/A")</f>
        <v>DESPESAS INDEDUTIVEIS</v>
      </c>
      <c r="B3826" s="7" t="str">
        <f t="shared" si="118"/>
        <v>380301 - DESPESAS INDEDUTIVEIS</v>
      </c>
      <c r="C3826" s="25">
        <f t="shared" si="119"/>
        <v>44743</v>
      </c>
      <c r="D3826" s="27">
        <f>IF(K3826="CREDITO",Q3826,Q3826*-1)</f>
        <v>2058.98</v>
      </c>
      <c r="E3826" t="s">
        <v>894</v>
      </c>
      <c r="F3826" t="s">
        <v>4302</v>
      </c>
      <c r="G3826" s="8">
        <v>44743</v>
      </c>
      <c r="H3826" t="s">
        <v>629</v>
      </c>
      <c r="I3826" t="s">
        <v>40</v>
      </c>
      <c r="J3826" t="s">
        <v>54</v>
      </c>
      <c r="K3826" t="s">
        <v>29</v>
      </c>
      <c r="L3826" t="s">
        <v>895</v>
      </c>
      <c r="M3826" t="s">
        <v>4402</v>
      </c>
      <c r="O3826" t="s">
        <v>896</v>
      </c>
      <c r="P3826" t="s">
        <v>33</v>
      </c>
      <c r="Q3826" s="22">
        <v>2058.98</v>
      </c>
      <c r="R3826" t="s">
        <v>35</v>
      </c>
      <c r="S3826" t="s">
        <v>35</v>
      </c>
      <c r="T3826" t="s">
        <v>35</v>
      </c>
      <c r="U3826" t="s">
        <v>35</v>
      </c>
      <c r="V3826" t="s">
        <v>645</v>
      </c>
      <c r="W3826" t="s">
        <v>113</v>
      </c>
    </row>
    <row r="3827" spans="1:23" hidden="1" x14ac:dyDescent="0.25">
      <c r="A3827" s="7" t="str">
        <f>IFERROR(VLOOKUP(H3827,'Contas Orç'!A:B,2,0),"N/A")</f>
        <v>DESPESAS INDEDUTIVEIS</v>
      </c>
      <c r="B3827" s="7" t="str">
        <f t="shared" si="118"/>
        <v>380301 - DESPESAS INDEDUTIVEIS</v>
      </c>
      <c r="C3827" s="25">
        <f t="shared" si="119"/>
        <v>44743</v>
      </c>
      <c r="D3827" s="27">
        <f>IF(K3827="CREDITO",Q3827,Q3827*-1)</f>
        <v>119</v>
      </c>
      <c r="E3827" t="s">
        <v>894</v>
      </c>
      <c r="F3827" t="s">
        <v>4303</v>
      </c>
      <c r="G3827" s="8">
        <v>44743</v>
      </c>
      <c r="H3827" t="s">
        <v>629</v>
      </c>
      <c r="I3827" t="s">
        <v>1002</v>
      </c>
      <c r="J3827" t="s">
        <v>54</v>
      </c>
      <c r="K3827" t="s">
        <v>29</v>
      </c>
      <c r="L3827" t="s">
        <v>895</v>
      </c>
      <c r="M3827" t="s">
        <v>4402</v>
      </c>
      <c r="O3827" t="s">
        <v>896</v>
      </c>
      <c r="P3827" t="s">
        <v>33</v>
      </c>
      <c r="Q3827">
        <v>119</v>
      </c>
      <c r="R3827" t="s">
        <v>35</v>
      </c>
      <c r="S3827" t="s">
        <v>35</v>
      </c>
      <c r="T3827" t="s">
        <v>35</v>
      </c>
      <c r="U3827" t="s">
        <v>35</v>
      </c>
      <c r="V3827" t="s">
        <v>645</v>
      </c>
      <c r="W3827" t="s">
        <v>113</v>
      </c>
    </row>
    <row r="3828" spans="1:23" hidden="1" x14ac:dyDescent="0.25">
      <c r="A3828" s="7" t="str">
        <f>IFERROR(VLOOKUP(H3828,'Contas Orç'!A:B,2,0),"N/A")</f>
        <v>DESPESAS INDEDUTIVEIS</v>
      </c>
      <c r="B3828" s="7" t="str">
        <f t="shared" si="118"/>
        <v>380301 - DESPESAS INDEDUTIVEIS</v>
      </c>
      <c r="C3828" s="25">
        <f t="shared" si="119"/>
        <v>44743</v>
      </c>
      <c r="D3828" s="27">
        <f>IF(K3828="CREDITO",Q3828,Q3828*-1)</f>
        <v>114.66</v>
      </c>
      <c r="E3828" t="s">
        <v>894</v>
      </c>
      <c r="F3828" t="s">
        <v>4304</v>
      </c>
      <c r="G3828" s="8">
        <v>44743</v>
      </c>
      <c r="H3828" t="s">
        <v>629</v>
      </c>
      <c r="I3828" t="s">
        <v>121</v>
      </c>
      <c r="J3828" t="s">
        <v>54</v>
      </c>
      <c r="K3828" t="s">
        <v>29</v>
      </c>
      <c r="L3828" t="s">
        <v>895</v>
      </c>
      <c r="M3828" t="s">
        <v>4402</v>
      </c>
      <c r="O3828" t="s">
        <v>896</v>
      </c>
      <c r="P3828" t="s">
        <v>33</v>
      </c>
      <c r="Q3828">
        <v>114.66</v>
      </c>
      <c r="R3828" t="s">
        <v>35</v>
      </c>
      <c r="S3828" t="s">
        <v>35</v>
      </c>
      <c r="T3828" t="s">
        <v>35</v>
      </c>
      <c r="U3828" t="s">
        <v>35</v>
      </c>
      <c r="V3828" t="s">
        <v>645</v>
      </c>
      <c r="W3828" t="s">
        <v>113</v>
      </c>
    </row>
    <row r="3829" spans="1:23" hidden="1" x14ac:dyDescent="0.25">
      <c r="A3829" s="7" t="str">
        <f>IFERROR(VLOOKUP(H3829,'Contas Orç'!A:B,2,0),"N/A")</f>
        <v>DESPESAS INDEDUTIVEIS</v>
      </c>
      <c r="B3829" s="7" t="str">
        <f t="shared" si="118"/>
        <v>380301 - DESPESAS INDEDUTIVEIS</v>
      </c>
      <c r="C3829" s="25">
        <f t="shared" si="119"/>
        <v>44743</v>
      </c>
      <c r="D3829" s="27">
        <f>IF(K3829="CREDITO",Q3829,Q3829*-1)</f>
        <v>374.03</v>
      </c>
      <c r="E3829" t="s">
        <v>894</v>
      </c>
      <c r="F3829" t="s">
        <v>4305</v>
      </c>
      <c r="G3829" s="8">
        <v>44743</v>
      </c>
      <c r="H3829" t="s">
        <v>629</v>
      </c>
      <c r="I3829" t="s">
        <v>132</v>
      </c>
      <c r="J3829" t="s">
        <v>54</v>
      </c>
      <c r="K3829" t="s">
        <v>29</v>
      </c>
      <c r="L3829" t="s">
        <v>895</v>
      </c>
      <c r="M3829" t="s">
        <v>4402</v>
      </c>
      <c r="O3829" t="s">
        <v>896</v>
      </c>
      <c r="P3829" t="s">
        <v>33</v>
      </c>
      <c r="Q3829">
        <v>374.03</v>
      </c>
      <c r="R3829" t="s">
        <v>35</v>
      </c>
      <c r="S3829" t="s">
        <v>35</v>
      </c>
      <c r="T3829" t="s">
        <v>35</v>
      </c>
      <c r="U3829" t="s">
        <v>35</v>
      </c>
      <c r="V3829" t="s">
        <v>645</v>
      </c>
      <c r="W3829" t="s">
        <v>113</v>
      </c>
    </row>
    <row r="3830" spans="1:23" hidden="1" x14ac:dyDescent="0.25">
      <c r="A3830" s="7" t="str">
        <f>IFERROR(VLOOKUP(H3830,'Contas Orç'!A:B,2,0),"N/A")</f>
        <v>DESPESAS INDEDUTIVEIS</v>
      </c>
      <c r="B3830" s="7" t="str">
        <f t="shared" si="118"/>
        <v>380301 - DESPESAS INDEDUTIVEIS</v>
      </c>
      <c r="C3830" s="25">
        <f t="shared" si="119"/>
        <v>44743</v>
      </c>
      <c r="D3830" s="27">
        <f>IF(K3830="CREDITO",Q3830,Q3830*-1)</f>
        <v>154.91</v>
      </c>
      <c r="E3830" t="s">
        <v>894</v>
      </c>
      <c r="F3830" t="s">
        <v>4306</v>
      </c>
      <c r="G3830" s="8">
        <v>44743</v>
      </c>
      <c r="H3830" t="s">
        <v>629</v>
      </c>
      <c r="I3830" t="s">
        <v>75</v>
      </c>
      <c r="J3830" t="s">
        <v>54</v>
      </c>
      <c r="K3830" t="s">
        <v>29</v>
      </c>
      <c r="L3830" t="s">
        <v>895</v>
      </c>
      <c r="M3830" t="s">
        <v>4402</v>
      </c>
      <c r="O3830" t="s">
        <v>896</v>
      </c>
      <c r="P3830" t="s">
        <v>33</v>
      </c>
      <c r="Q3830">
        <v>154.91</v>
      </c>
      <c r="R3830" t="s">
        <v>35</v>
      </c>
      <c r="S3830" t="s">
        <v>35</v>
      </c>
      <c r="T3830" t="s">
        <v>35</v>
      </c>
      <c r="U3830" t="s">
        <v>35</v>
      </c>
      <c r="V3830" t="s">
        <v>645</v>
      </c>
      <c r="W3830" t="s">
        <v>113</v>
      </c>
    </row>
    <row r="3831" spans="1:23" hidden="1" x14ac:dyDescent="0.25">
      <c r="A3831" s="7" t="str">
        <f>IFERROR(VLOOKUP(H3831,'Contas Orç'!A:B,2,0),"N/A")</f>
        <v>DESPESAS INDEDUTIVEIS</v>
      </c>
      <c r="B3831" s="7" t="str">
        <f t="shared" si="118"/>
        <v>380301 - DESPESAS INDEDUTIVEIS</v>
      </c>
      <c r="C3831" s="25">
        <f t="shared" si="119"/>
        <v>44743</v>
      </c>
      <c r="D3831" s="27">
        <f>IF(K3831="CREDITO",Q3831,Q3831*-1)</f>
        <v>93</v>
      </c>
      <c r="E3831" t="s">
        <v>894</v>
      </c>
      <c r="F3831" t="s">
        <v>4307</v>
      </c>
      <c r="G3831" s="8">
        <v>44743</v>
      </c>
      <c r="H3831" t="s">
        <v>629</v>
      </c>
      <c r="I3831" t="s">
        <v>78</v>
      </c>
      <c r="J3831" t="s">
        <v>54</v>
      </c>
      <c r="K3831" t="s">
        <v>29</v>
      </c>
      <c r="L3831" t="s">
        <v>895</v>
      </c>
      <c r="M3831" t="s">
        <v>4402</v>
      </c>
      <c r="O3831" t="s">
        <v>896</v>
      </c>
      <c r="P3831" t="s">
        <v>33</v>
      </c>
      <c r="Q3831">
        <v>93</v>
      </c>
      <c r="R3831" t="s">
        <v>35</v>
      </c>
      <c r="S3831" t="s">
        <v>35</v>
      </c>
      <c r="T3831" t="s">
        <v>35</v>
      </c>
      <c r="U3831" t="s">
        <v>35</v>
      </c>
      <c r="V3831" t="s">
        <v>645</v>
      </c>
      <c r="W3831" t="s">
        <v>113</v>
      </c>
    </row>
    <row r="3832" spans="1:23" hidden="1" x14ac:dyDescent="0.25">
      <c r="A3832" s="7" t="str">
        <f>IFERROR(VLOOKUP(H3832,'Contas Orç'!A:B,2,0),"N/A")</f>
        <v>DESPESAS INDEDUTIVEIS</v>
      </c>
      <c r="B3832" s="7" t="str">
        <f t="shared" si="118"/>
        <v>380301 - DESPESAS INDEDUTIVEIS</v>
      </c>
      <c r="C3832" s="25">
        <f t="shared" si="119"/>
        <v>44743</v>
      </c>
      <c r="D3832" s="27">
        <f>IF(K3832="CREDITO",Q3832,Q3832*-1)</f>
        <v>664.67</v>
      </c>
      <c r="E3832" t="s">
        <v>894</v>
      </c>
      <c r="F3832" t="s">
        <v>4308</v>
      </c>
      <c r="G3832" s="8">
        <v>44743</v>
      </c>
      <c r="H3832" t="s">
        <v>629</v>
      </c>
      <c r="I3832" t="s">
        <v>53</v>
      </c>
      <c r="J3832" t="s">
        <v>54</v>
      </c>
      <c r="K3832" t="s">
        <v>29</v>
      </c>
      <c r="L3832" t="s">
        <v>895</v>
      </c>
      <c r="M3832" t="s">
        <v>4402</v>
      </c>
      <c r="O3832" t="s">
        <v>896</v>
      </c>
      <c r="P3832" t="s">
        <v>33</v>
      </c>
      <c r="Q3832">
        <v>664.67</v>
      </c>
      <c r="R3832" t="s">
        <v>35</v>
      </c>
      <c r="S3832" t="s">
        <v>35</v>
      </c>
      <c r="T3832" t="s">
        <v>35</v>
      </c>
      <c r="U3832" t="s">
        <v>35</v>
      </c>
      <c r="V3832" t="s">
        <v>645</v>
      </c>
      <c r="W3832" t="s">
        <v>113</v>
      </c>
    </row>
    <row r="3833" spans="1:23" hidden="1" x14ac:dyDescent="0.25">
      <c r="A3833" s="7" t="str">
        <f>IFERROR(VLOOKUP(H3833,'Contas Orç'!A:B,2,0),"N/A")</f>
        <v>DESPESAS INDEDUTIVEIS</v>
      </c>
      <c r="B3833" s="7" t="str">
        <f t="shared" si="118"/>
        <v>380301 - DESPESAS INDEDUTIVEIS</v>
      </c>
      <c r="C3833" s="25">
        <f t="shared" si="119"/>
        <v>44743</v>
      </c>
      <c r="D3833" s="27">
        <f>IF(K3833="CREDITO",Q3833,Q3833*-1)</f>
        <v>67.900000000000006</v>
      </c>
      <c r="E3833" t="s">
        <v>894</v>
      </c>
      <c r="F3833" t="s">
        <v>4309</v>
      </c>
      <c r="G3833" s="8">
        <v>44743</v>
      </c>
      <c r="H3833" t="s">
        <v>629</v>
      </c>
      <c r="I3833" t="s">
        <v>88</v>
      </c>
      <c r="J3833" t="s">
        <v>54</v>
      </c>
      <c r="K3833" t="s">
        <v>29</v>
      </c>
      <c r="L3833" t="s">
        <v>895</v>
      </c>
      <c r="M3833" t="s">
        <v>4402</v>
      </c>
      <c r="O3833" t="s">
        <v>896</v>
      </c>
      <c r="P3833" t="s">
        <v>33</v>
      </c>
      <c r="Q3833">
        <v>67.900000000000006</v>
      </c>
      <c r="R3833" t="s">
        <v>35</v>
      </c>
      <c r="S3833" t="s">
        <v>35</v>
      </c>
      <c r="T3833" t="s">
        <v>35</v>
      </c>
      <c r="U3833" t="s">
        <v>35</v>
      </c>
      <c r="V3833" t="s">
        <v>645</v>
      </c>
      <c r="W3833" t="s">
        <v>113</v>
      </c>
    </row>
    <row r="3834" spans="1:23" hidden="1" x14ac:dyDescent="0.25">
      <c r="A3834" s="7" t="str">
        <f>IFERROR(VLOOKUP(H3834,'Contas Orç'!A:B,2,0),"N/A")</f>
        <v>DESPESAS INDEDUTIVEIS</v>
      </c>
      <c r="B3834" s="7" t="str">
        <f t="shared" si="118"/>
        <v>380301 - DESPESAS INDEDUTIVEIS</v>
      </c>
      <c r="C3834" s="25">
        <f t="shared" si="119"/>
        <v>44774</v>
      </c>
      <c r="D3834" s="27">
        <f>IF(K3834="CREDITO",Q3834,Q3834*-1)</f>
        <v>4325.07</v>
      </c>
      <c r="E3834" t="s">
        <v>894</v>
      </c>
      <c r="F3834" t="s">
        <v>4310</v>
      </c>
      <c r="G3834" s="8">
        <v>44774</v>
      </c>
      <c r="H3834" t="s">
        <v>629</v>
      </c>
      <c r="I3834" t="s">
        <v>27</v>
      </c>
      <c r="J3834" t="s">
        <v>28</v>
      </c>
      <c r="K3834" t="s">
        <v>29</v>
      </c>
      <c r="L3834" t="s">
        <v>895</v>
      </c>
      <c r="M3834" t="s">
        <v>4402</v>
      </c>
      <c r="O3834" t="s">
        <v>896</v>
      </c>
      <c r="P3834" t="s">
        <v>33</v>
      </c>
      <c r="Q3834" s="22">
        <v>4325.07</v>
      </c>
      <c r="R3834" t="s">
        <v>35</v>
      </c>
      <c r="S3834" t="s">
        <v>35</v>
      </c>
      <c r="T3834" t="s">
        <v>35</v>
      </c>
      <c r="U3834" t="s">
        <v>35</v>
      </c>
      <c r="V3834" t="s">
        <v>645</v>
      </c>
      <c r="W3834" t="s">
        <v>113</v>
      </c>
    </row>
    <row r="3835" spans="1:23" hidden="1" x14ac:dyDescent="0.25">
      <c r="A3835" s="7" t="str">
        <f>IFERROR(VLOOKUP(H3835,'Contas Orç'!A:B,2,0),"N/A")</f>
        <v>DESPESAS INDEDUTIVEIS</v>
      </c>
      <c r="B3835" s="7" t="str">
        <f t="shared" si="118"/>
        <v>380301 - DESPESAS INDEDUTIVEIS</v>
      </c>
      <c r="C3835" s="25">
        <f t="shared" si="119"/>
        <v>44774</v>
      </c>
      <c r="D3835" s="27">
        <f>IF(K3835="CREDITO",Q3835,Q3835*-1)</f>
        <v>175</v>
      </c>
      <c r="E3835" t="s">
        <v>894</v>
      </c>
      <c r="F3835" t="s">
        <v>4311</v>
      </c>
      <c r="G3835" s="8">
        <v>44774</v>
      </c>
      <c r="H3835" t="s">
        <v>629</v>
      </c>
      <c r="I3835" t="s">
        <v>106</v>
      </c>
      <c r="J3835" t="s">
        <v>107</v>
      </c>
      <c r="K3835" t="s">
        <v>29</v>
      </c>
      <c r="L3835" t="s">
        <v>895</v>
      </c>
      <c r="M3835" t="s">
        <v>4402</v>
      </c>
      <c r="O3835" t="s">
        <v>896</v>
      </c>
      <c r="P3835" t="s">
        <v>33</v>
      </c>
      <c r="Q3835">
        <v>175</v>
      </c>
      <c r="R3835" t="s">
        <v>35</v>
      </c>
      <c r="S3835" t="s">
        <v>35</v>
      </c>
      <c r="T3835" t="s">
        <v>35</v>
      </c>
      <c r="U3835" t="s">
        <v>35</v>
      </c>
      <c r="V3835" t="s">
        <v>645</v>
      </c>
      <c r="W3835" t="s">
        <v>113</v>
      </c>
    </row>
    <row r="3836" spans="1:23" hidden="1" x14ac:dyDescent="0.25">
      <c r="A3836" s="7" t="str">
        <f>IFERROR(VLOOKUP(H3836,'Contas Orç'!A:B,2,0),"N/A")</f>
        <v>DESPESAS INDEDUTIVEIS</v>
      </c>
      <c r="B3836" s="7" t="str">
        <f t="shared" si="118"/>
        <v>380301 - DESPESAS INDEDUTIVEIS</v>
      </c>
      <c r="C3836" s="25">
        <f t="shared" si="119"/>
        <v>44774</v>
      </c>
      <c r="D3836" s="27">
        <f>IF(K3836="CREDITO",Q3836,Q3836*-1)</f>
        <v>91</v>
      </c>
      <c r="E3836" t="s">
        <v>894</v>
      </c>
      <c r="F3836" t="s">
        <v>4312</v>
      </c>
      <c r="G3836" s="8">
        <v>44774</v>
      </c>
      <c r="H3836" t="s">
        <v>629</v>
      </c>
      <c r="I3836" t="s">
        <v>53</v>
      </c>
      <c r="J3836" t="s">
        <v>702</v>
      </c>
      <c r="K3836" t="s">
        <v>29</v>
      </c>
      <c r="L3836" t="s">
        <v>895</v>
      </c>
      <c r="M3836" t="s">
        <v>4402</v>
      </c>
      <c r="O3836" t="s">
        <v>896</v>
      </c>
      <c r="P3836" t="s">
        <v>33</v>
      </c>
      <c r="Q3836">
        <v>91</v>
      </c>
      <c r="R3836" t="s">
        <v>35</v>
      </c>
      <c r="S3836" t="s">
        <v>35</v>
      </c>
      <c r="T3836" t="s">
        <v>35</v>
      </c>
      <c r="U3836" t="s">
        <v>35</v>
      </c>
      <c r="V3836" t="s">
        <v>645</v>
      </c>
      <c r="W3836" t="s">
        <v>113</v>
      </c>
    </row>
    <row r="3837" spans="1:23" hidden="1" x14ac:dyDescent="0.25">
      <c r="A3837" s="7" t="str">
        <f>IFERROR(VLOOKUP(H3837,'Contas Orç'!A:B,2,0),"N/A")</f>
        <v>DESPESAS INDEDUTIVEIS</v>
      </c>
      <c r="B3837" s="7" t="str">
        <f t="shared" si="118"/>
        <v>380301 - DESPESAS INDEDUTIVEIS</v>
      </c>
      <c r="C3837" s="25">
        <f t="shared" si="119"/>
        <v>44774</v>
      </c>
      <c r="D3837" s="27">
        <f>IF(K3837="CREDITO",Q3837,Q3837*-1)</f>
        <v>76</v>
      </c>
      <c r="E3837" t="s">
        <v>894</v>
      </c>
      <c r="F3837" t="s">
        <v>4313</v>
      </c>
      <c r="G3837" s="8">
        <v>44774</v>
      </c>
      <c r="H3837" t="s">
        <v>629</v>
      </c>
      <c r="I3837" t="s">
        <v>106</v>
      </c>
      <c r="J3837" t="s">
        <v>702</v>
      </c>
      <c r="K3837" t="s">
        <v>29</v>
      </c>
      <c r="L3837" t="s">
        <v>895</v>
      </c>
      <c r="M3837" t="s">
        <v>4402</v>
      </c>
      <c r="O3837" t="s">
        <v>896</v>
      </c>
      <c r="P3837" t="s">
        <v>33</v>
      </c>
      <c r="Q3837">
        <v>76</v>
      </c>
      <c r="R3837" t="s">
        <v>35</v>
      </c>
      <c r="S3837" t="s">
        <v>35</v>
      </c>
      <c r="T3837" t="s">
        <v>35</v>
      </c>
      <c r="U3837" t="s">
        <v>35</v>
      </c>
      <c r="V3837" t="s">
        <v>645</v>
      </c>
      <c r="W3837" t="s">
        <v>113</v>
      </c>
    </row>
    <row r="3838" spans="1:23" hidden="1" x14ac:dyDescent="0.25">
      <c r="A3838" s="7" t="str">
        <f>IFERROR(VLOOKUP(H3838,'Contas Orç'!A:B,2,0),"N/A")</f>
        <v>DESPESAS INDEDUTIVEIS</v>
      </c>
      <c r="B3838" s="7" t="str">
        <f t="shared" si="118"/>
        <v>380301 - DESPESAS INDEDUTIVEIS</v>
      </c>
      <c r="C3838" s="25">
        <f t="shared" si="119"/>
        <v>44774</v>
      </c>
      <c r="D3838" s="27">
        <f>IF(K3838="CREDITO",Q3838,Q3838*-1)</f>
        <v>4347.2</v>
      </c>
      <c r="E3838" t="s">
        <v>894</v>
      </c>
      <c r="F3838" t="s">
        <v>4314</v>
      </c>
      <c r="G3838" s="8">
        <v>44774</v>
      </c>
      <c r="H3838" t="s">
        <v>629</v>
      </c>
      <c r="I3838" t="s">
        <v>68</v>
      </c>
      <c r="J3838" t="s">
        <v>69</v>
      </c>
      <c r="K3838" t="s">
        <v>29</v>
      </c>
      <c r="L3838" t="s">
        <v>895</v>
      </c>
      <c r="M3838" t="s">
        <v>4402</v>
      </c>
      <c r="O3838" t="s">
        <v>896</v>
      </c>
      <c r="P3838" t="s">
        <v>33</v>
      </c>
      <c r="Q3838" s="22">
        <v>4347.2</v>
      </c>
      <c r="R3838" t="s">
        <v>35</v>
      </c>
      <c r="S3838" t="s">
        <v>35</v>
      </c>
      <c r="T3838" t="s">
        <v>35</v>
      </c>
      <c r="U3838" t="s">
        <v>35</v>
      </c>
      <c r="V3838" t="s">
        <v>645</v>
      </c>
      <c r="W3838" t="s">
        <v>113</v>
      </c>
    </row>
    <row r="3839" spans="1:23" hidden="1" x14ac:dyDescent="0.25">
      <c r="A3839" s="7" t="str">
        <f>IFERROR(VLOOKUP(H3839,'Contas Orç'!A:B,2,0),"N/A")</f>
        <v>DESPESAS INDEDUTIVEIS</v>
      </c>
      <c r="B3839" s="7" t="str">
        <f t="shared" si="118"/>
        <v>380301 - DESPESAS INDEDUTIVEIS</v>
      </c>
      <c r="C3839" s="25">
        <f t="shared" si="119"/>
        <v>44774</v>
      </c>
      <c r="D3839" s="27">
        <f>IF(K3839="CREDITO",Q3839,Q3839*-1)</f>
        <v>6773.91</v>
      </c>
      <c r="E3839" t="s">
        <v>894</v>
      </c>
      <c r="F3839" t="s">
        <v>4315</v>
      </c>
      <c r="G3839" s="8">
        <v>44774</v>
      </c>
      <c r="H3839" t="s">
        <v>629</v>
      </c>
      <c r="I3839" t="s">
        <v>2062</v>
      </c>
      <c r="J3839" t="s">
        <v>54</v>
      </c>
      <c r="K3839" t="s">
        <v>29</v>
      </c>
      <c r="L3839" t="s">
        <v>895</v>
      </c>
      <c r="M3839" t="s">
        <v>4402</v>
      </c>
      <c r="O3839" t="s">
        <v>896</v>
      </c>
      <c r="P3839" t="s">
        <v>33</v>
      </c>
      <c r="Q3839" s="22">
        <v>6773.91</v>
      </c>
      <c r="R3839" t="s">
        <v>35</v>
      </c>
      <c r="S3839" t="s">
        <v>35</v>
      </c>
      <c r="T3839" t="s">
        <v>35</v>
      </c>
      <c r="U3839" t="s">
        <v>35</v>
      </c>
      <c r="V3839" t="s">
        <v>645</v>
      </c>
      <c r="W3839" t="s">
        <v>113</v>
      </c>
    </row>
    <row r="3840" spans="1:23" hidden="1" x14ac:dyDescent="0.25">
      <c r="A3840" s="7" t="str">
        <f>IFERROR(VLOOKUP(H3840,'Contas Orç'!A:B,2,0),"N/A")</f>
        <v>DESPESAS INDEDUTIVEIS</v>
      </c>
      <c r="B3840" s="7" t="str">
        <f t="shared" si="118"/>
        <v>380301 - DESPESAS INDEDUTIVEIS</v>
      </c>
      <c r="C3840" s="25">
        <f t="shared" si="119"/>
        <v>44774</v>
      </c>
      <c r="D3840" s="27">
        <f>IF(K3840="CREDITO",Q3840,Q3840*-1)</f>
        <v>3073.7</v>
      </c>
      <c r="E3840" t="s">
        <v>894</v>
      </c>
      <c r="F3840" t="s">
        <v>4316</v>
      </c>
      <c r="G3840" s="8">
        <v>44774</v>
      </c>
      <c r="H3840" t="s">
        <v>629</v>
      </c>
      <c r="I3840" t="s">
        <v>40</v>
      </c>
      <c r="J3840" t="s">
        <v>54</v>
      </c>
      <c r="K3840" t="s">
        <v>29</v>
      </c>
      <c r="L3840" t="s">
        <v>895</v>
      </c>
      <c r="M3840" t="s">
        <v>4402</v>
      </c>
      <c r="O3840" t="s">
        <v>896</v>
      </c>
      <c r="P3840" t="s">
        <v>33</v>
      </c>
      <c r="Q3840" s="22">
        <v>3073.7</v>
      </c>
      <c r="R3840" t="s">
        <v>35</v>
      </c>
      <c r="S3840" t="s">
        <v>35</v>
      </c>
      <c r="T3840" t="s">
        <v>35</v>
      </c>
      <c r="U3840" t="s">
        <v>35</v>
      </c>
      <c r="V3840" t="s">
        <v>645</v>
      </c>
      <c r="W3840" t="s">
        <v>113</v>
      </c>
    </row>
    <row r="3841" spans="1:28" hidden="1" x14ac:dyDescent="0.25">
      <c r="A3841" s="7" t="str">
        <f>IFERROR(VLOOKUP(H3841,'Contas Orç'!A:B,2,0),"N/A")</f>
        <v>DESPESAS INDEDUTIVEIS</v>
      </c>
      <c r="B3841" s="7" t="str">
        <f t="shared" si="118"/>
        <v>380301 - DESPESAS INDEDUTIVEIS</v>
      </c>
      <c r="C3841" s="25">
        <f t="shared" si="119"/>
        <v>44774</v>
      </c>
      <c r="D3841" s="27">
        <f>IF(K3841="CREDITO",Q3841,Q3841*-1)</f>
        <v>198.8</v>
      </c>
      <c r="E3841" t="s">
        <v>894</v>
      </c>
      <c r="F3841" t="s">
        <v>4317</v>
      </c>
      <c r="G3841" s="8">
        <v>44774</v>
      </c>
      <c r="H3841" t="s">
        <v>629</v>
      </c>
      <c r="I3841" t="s">
        <v>1002</v>
      </c>
      <c r="J3841" t="s">
        <v>54</v>
      </c>
      <c r="K3841" t="s">
        <v>29</v>
      </c>
      <c r="L3841" t="s">
        <v>895</v>
      </c>
      <c r="M3841" t="s">
        <v>4402</v>
      </c>
      <c r="O3841" t="s">
        <v>896</v>
      </c>
      <c r="P3841" t="s">
        <v>33</v>
      </c>
      <c r="Q3841">
        <v>198.8</v>
      </c>
      <c r="R3841" t="s">
        <v>35</v>
      </c>
      <c r="S3841" t="s">
        <v>35</v>
      </c>
      <c r="T3841" t="s">
        <v>35</v>
      </c>
      <c r="U3841" t="s">
        <v>35</v>
      </c>
      <c r="V3841" t="s">
        <v>645</v>
      </c>
      <c r="W3841" t="s">
        <v>113</v>
      </c>
    </row>
    <row r="3842" spans="1:28" hidden="1" x14ac:dyDescent="0.25">
      <c r="A3842" s="7" t="str">
        <f>IFERROR(VLOOKUP(H3842,'Contas Orç'!A:B,2,0),"N/A")</f>
        <v>DESPESAS INDEDUTIVEIS</v>
      </c>
      <c r="B3842" s="7" t="str">
        <f t="shared" si="118"/>
        <v>380301 - DESPESAS INDEDUTIVEIS</v>
      </c>
      <c r="C3842" s="25">
        <f t="shared" si="119"/>
        <v>44774</v>
      </c>
      <c r="D3842" s="27">
        <f>IF(K3842="CREDITO",Q3842,Q3842*-1)</f>
        <v>10</v>
      </c>
      <c r="E3842" t="s">
        <v>894</v>
      </c>
      <c r="F3842" t="s">
        <v>4318</v>
      </c>
      <c r="G3842" s="8">
        <v>44774</v>
      </c>
      <c r="H3842" t="s">
        <v>629</v>
      </c>
      <c r="I3842" t="s">
        <v>132</v>
      </c>
      <c r="J3842" t="s">
        <v>54</v>
      </c>
      <c r="K3842" t="s">
        <v>29</v>
      </c>
      <c r="L3842" t="s">
        <v>895</v>
      </c>
      <c r="M3842" t="s">
        <v>4402</v>
      </c>
      <c r="O3842" t="s">
        <v>896</v>
      </c>
      <c r="P3842" t="s">
        <v>33</v>
      </c>
      <c r="Q3842">
        <v>10</v>
      </c>
      <c r="R3842" t="s">
        <v>35</v>
      </c>
      <c r="S3842" t="s">
        <v>35</v>
      </c>
      <c r="T3842" t="s">
        <v>35</v>
      </c>
      <c r="U3842" t="s">
        <v>35</v>
      </c>
      <c r="V3842" t="s">
        <v>645</v>
      </c>
      <c r="W3842" t="s">
        <v>113</v>
      </c>
    </row>
    <row r="3843" spans="1:28" hidden="1" x14ac:dyDescent="0.25">
      <c r="A3843" s="7" t="str">
        <f>IFERROR(VLOOKUP(H3843,'Contas Orç'!A:B,2,0),"N/A")</f>
        <v>DESPESAS INDEDUTIVEIS</v>
      </c>
      <c r="B3843" s="7" t="str">
        <f t="shared" ref="B3843:B3853" si="120">_xlfn.CONCAT(H3843," - ",A3843)</f>
        <v>380301 - DESPESAS INDEDUTIVEIS</v>
      </c>
      <c r="C3843" s="25">
        <f t="shared" ref="C3843:C3853" si="121">DATE(YEAR(G3843),MONTH(G3843),1)</f>
        <v>44774</v>
      </c>
      <c r="D3843" s="27">
        <f>IF(K3843="CREDITO",Q3843,Q3843*-1)</f>
        <v>444.23</v>
      </c>
      <c r="E3843" t="s">
        <v>894</v>
      </c>
      <c r="F3843" t="s">
        <v>4319</v>
      </c>
      <c r="G3843" s="8">
        <v>44774</v>
      </c>
      <c r="H3843" t="s">
        <v>629</v>
      </c>
      <c r="I3843" t="s">
        <v>53</v>
      </c>
      <c r="J3843" t="s">
        <v>54</v>
      </c>
      <c r="K3843" t="s">
        <v>29</v>
      </c>
      <c r="L3843" t="s">
        <v>895</v>
      </c>
      <c r="M3843" t="s">
        <v>4402</v>
      </c>
      <c r="O3843" t="s">
        <v>896</v>
      </c>
      <c r="P3843" t="s">
        <v>33</v>
      </c>
      <c r="Q3843">
        <v>444.23</v>
      </c>
      <c r="R3843" t="s">
        <v>35</v>
      </c>
      <c r="S3843" t="s">
        <v>35</v>
      </c>
      <c r="T3843" t="s">
        <v>35</v>
      </c>
      <c r="U3843" t="s">
        <v>35</v>
      </c>
      <c r="V3843" t="s">
        <v>645</v>
      </c>
      <c r="W3843" t="s">
        <v>113</v>
      </c>
    </row>
    <row r="3844" spans="1:28" hidden="1" x14ac:dyDescent="0.25">
      <c r="A3844" s="7" t="str">
        <f>IFERROR(VLOOKUP(H3844,'Contas Orç'!A:B,2,0),"N/A")</f>
        <v>DESPESAS INDEDUTIVEIS</v>
      </c>
      <c r="B3844" s="7" t="str">
        <f t="shared" si="120"/>
        <v>380301 - DESPESAS INDEDUTIVEIS</v>
      </c>
      <c r="C3844" s="25">
        <f t="shared" si="121"/>
        <v>44774</v>
      </c>
      <c r="D3844" s="27">
        <f>IF(K3844="CREDITO",Q3844,Q3844*-1)</f>
        <v>374.4</v>
      </c>
      <c r="E3844" t="s">
        <v>894</v>
      </c>
      <c r="F3844" t="s">
        <v>4320</v>
      </c>
      <c r="G3844" s="8">
        <v>44774</v>
      </c>
      <c r="H3844" t="s">
        <v>629</v>
      </c>
      <c r="I3844" t="s">
        <v>88</v>
      </c>
      <c r="J3844" t="s">
        <v>54</v>
      </c>
      <c r="K3844" t="s">
        <v>29</v>
      </c>
      <c r="L3844" t="s">
        <v>895</v>
      </c>
      <c r="M3844" t="s">
        <v>4402</v>
      </c>
      <c r="O3844" t="s">
        <v>896</v>
      </c>
      <c r="P3844" t="s">
        <v>33</v>
      </c>
      <c r="Q3844">
        <v>374.4</v>
      </c>
      <c r="R3844" t="s">
        <v>35</v>
      </c>
      <c r="S3844" t="s">
        <v>35</v>
      </c>
      <c r="T3844" t="s">
        <v>35</v>
      </c>
      <c r="U3844" t="s">
        <v>35</v>
      </c>
      <c r="V3844" t="s">
        <v>645</v>
      </c>
      <c r="W3844" t="s">
        <v>113</v>
      </c>
    </row>
    <row r="3845" spans="1:28" hidden="1" x14ac:dyDescent="0.25">
      <c r="A3845" s="7" t="str">
        <f>IFERROR(VLOOKUP(H3845,'Contas Orç'!A:B,2,0),"N/A")</f>
        <v>DESPESAS INDEDUTIVEIS</v>
      </c>
      <c r="B3845" s="7" t="str">
        <f t="shared" si="120"/>
        <v>380301 - DESPESAS INDEDUTIVEIS</v>
      </c>
      <c r="C3845" s="25">
        <f t="shared" si="121"/>
        <v>44774</v>
      </c>
      <c r="D3845" s="27">
        <f>IF(K3845="CREDITO",Q3845,Q3845*-1)</f>
        <v>500</v>
      </c>
      <c r="E3845" t="s">
        <v>894</v>
      </c>
      <c r="F3845" t="s">
        <v>4321</v>
      </c>
      <c r="G3845" s="8">
        <v>44774</v>
      </c>
      <c r="H3845" t="s">
        <v>629</v>
      </c>
      <c r="I3845" t="s">
        <v>27</v>
      </c>
      <c r="J3845" t="s">
        <v>54</v>
      </c>
      <c r="K3845" t="s">
        <v>29</v>
      </c>
      <c r="L3845" t="s">
        <v>895</v>
      </c>
      <c r="M3845" t="s">
        <v>4402</v>
      </c>
      <c r="O3845" t="s">
        <v>896</v>
      </c>
      <c r="P3845" t="s">
        <v>33</v>
      </c>
      <c r="Q3845">
        <v>500</v>
      </c>
      <c r="R3845" t="s">
        <v>35</v>
      </c>
      <c r="S3845" t="s">
        <v>35</v>
      </c>
      <c r="T3845" t="s">
        <v>35</v>
      </c>
      <c r="U3845" t="s">
        <v>35</v>
      </c>
      <c r="V3845" t="s">
        <v>645</v>
      </c>
      <c r="W3845" t="s">
        <v>113</v>
      </c>
    </row>
    <row r="3846" spans="1:28" hidden="1" x14ac:dyDescent="0.25">
      <c r="A3846" s="7" t="str">
        <f>IFERROR(VLOOKUP(H3846,'Contas Orç'!A:B,2,0),"N/A")</f>
        <v>IMPOSTO DE RENDA</v>
      </c>
      <c r="B3846" s="7" t="str">
        <f t="shared" si="120"/>
        <v>910101001 - IMPOSTO DE RENDA</v>
      </c>
      <c r="C3846" s="25">
        <f t="shared" si="121"/>
        <v>44621</v>
      </c>
      <c r="D3846" s="27">
        <f>IF(K3846="CREDITO",Q3846,Q3846*-1)</f>
        <v>720223.42</v>
      </c>
      <c r="E3846" t="s">
        <v>894</v>
      </c>
      <c r="F3846" t="s">
        <v>4322</v>
      </c>
      <c r="G3846" s="8">
        <v>44621</v>
      </c>
      <c r="H3846" t="s">
        <v>637</v>
      </c>
      <c r="I3846" t="s">
        <v>40</v>
      </c>
      <c r="J3846" t="s">
        <v>54</v>
      </c>
      <c r="K3846" t="s">
        <v>29</v>
      </c>
      <c r="L3846" t="s">
        <v>895</v>
      </c>
      <c r="M3846" t="s">
        <v>4402</v>
      </c>
      <c r="O3846" t="s">
        <v>896</v>
      </c>
      <c r="P3846" t="s">
        <v>33</v>
      </c>
      <c r="Q3846" s="22">
        <v>720223.42</v>
      </c>
      <c r="R3846" t="s">
        <v>35</v>
      </c>
      <c r="S3846" t="s">
        <v>35</v>
      </c>
      <c r="T3846" t="s">
        <v>35</v>
      </c>
      <c r="U3846" t="s">
        <v>35</v>
      </c>
      <c r="V3846" t="s">
        <v>645</v>
      </c>
      <c r="W3846" t="s">
        <v>113</v>
      </c>
    </row>
    <row r="3847" spans="1:28" hidden="1" x14ac:dyDescent="0.25">
      <c r="A3847" s="7" t="str">
        <f>IFERROR(VLOOKUP(H3847,'Contas Orç'!A:B,2,0),"N/A")</f>
        <v>IMPOSTO DE RENDA</v>
      </c>
      <c r="B3847" s="7" t="str">
        <f t="shared" si="120"/>
        <v>910101001 - IMPOSTO DE RENDA</v>
      </c>
      <c r="C3847" s="25">
        <f t="shared" si="121"/>
        <v>44713</v>
      </c>
      <c r="D3847" s="27">
        <f>IF(K3847="CREDITO",Q3847,Q3847*-1)</f>
        <v>1872467.92</v>
      </c>
      <c r="E3847" t="s">
        <v>894</v>
      </c>
      <c r="F3847" t="s">
        <v>4323</v>
      </c>
      <c r="G3847" s="8">
        <v>44713</v>
      </c>
      <c r="H3847" t="s">
        <v>637</v>
      </c>
      <c r="I3847" t="s">
        <v>40</v>
      </c>
      <c r="J3847" t="s">
        <v>54</v>
      </c>
      <c r="K3847" t="s">
        <v>29</v>
      </c>
      <c r="L3847" t="s">
        <v>895</v>
      </c>
      <c r="M3847" t="s">
        <v>4402</v>
      </c>
      <c r="O3847" t="s">
        <v>896</v>
      </c>
      <c r="P3847" t="s">
        <v>33</v>
      </c>
      <c r="Q3847" s="22">
        <v>1872467.92</v>
      </c>
      <c r="R3847" t="s">
        <v>35</v>
      </c>
      <c r="S3847" t="s">
        <v>35</v>
      </c>
      <c r="T3847" t="s">
        <v>35</v>
      </c>
      <c r="U3847" t="s">
        <v>35</v>
      </c>
      <c r="V3847" t="s">
        <v>645</v>
      </c>
      <c r="W3847" t="s">
        <v>113</v>
      </c>
    </row>
    <row r="3848" spans="1:28" hidden="1" x14ac:dyDescent="0.25">
      <c r="A3848" s="7" t="str">
        <f>IFERROR(VLOOKUP(H3848,'Contas Orç'!A:B,2,0),"N/A")</f>
        <v>IMPOSTO DE RENDA</v>
      </c>
      <c r="B3848" s="7" t="str">
        <f t="shared" si="120"/>
        <v>910101001 - IMPOSTO DE RENDA</v>
      </c>
      <c r="C3848" s="25">
        <f t="shared" si="121"/>
        <v>44805</v>
      </c>
      <c r="D3848" s="27">
        <f>IF(K3848="CREDITO",Q3848,Q3848*-1)</f>
        <v>2128018.19</v>
      </c>
      <c r="E3848" t="s">
        <v>894</v>
      </c>
      <c r="F3848" t="s">
        <v>4324</v>
      </c>
      <c r="G3848" s="8">
        <v>44805</v>
      </c>
      <c r="H3848" t="s">
        <v>637</v>
      </c>
      <c r="I3848" t="s">
        <v>40</v>
      </c>
      <c r="J3848" t="s">
        <v>54</v>
      </c>
      <c r="K3848" t="s">
        <v>29</v>
      </c>
      <c r="L3848" t="s">
        <v>895</v>
      </c>
      <c r="M3848" t="s">
        <v>4402</v>
      </c>
      <c r="O3848" t="s">
        <v>896</v>
      </c>
      <c r="P3848" t="s">
        <v>33</v>
      </c>
      <c r="Q3848" s="22">
        <v>2128018.19</v>
      </c>
      <c r="R3848" t="s">
        <v>35</v>
      </c>
      <c r="S3848" t="s">
        <v>35</v>
      </c>
      <c r="T3848" t="s">
        <v>35</v>
      </c>
      <c r="U3848" t="s">
        <v>35</v>
      </c>
      <c r="V3848" t="s">
        <v>645</v>
      </c>
      <c r="W3848" t="s">
        <v>113</v>
      </c>
    </row>
    <row r="3849" spans="1:28" hidden="1" x14ac:dyDescent="0.25">
      <c r="A3849" s="7" t="str">
        <f>IFERROR(VLOOKUP(H3849,'Contas Orç'!A:B,2,0),"N/A")</f>
        <v>IMPOSTO DE RENDA</v>
      </c>
      <c r="B3849" s="7" t="str">
        <f t="shared" si="120"/>
        <v>910101001 - IMPOSTO DE RENDA</v>
      </c>
      <c r="C3849" s="25">
        <f t="shared" si="121"/>
        <v>44896</v>
      </c>
      <c r="D3849" s="27">
        <f>IF(K3849="CREDITO",Q3849,Q3849*-1)</f>
        <v>2340820.0099999998</v>
      </c>
      <c r="E3849" t="s">
        <v>894</v>
      </c>
      <c r="F3849" t="s">
        <v>4325</v>
      </c>
      <c r="G3849" s="8">
        <v>44896</v>
      </c>
      <c r="H3849" t="s">
        <v>637</v>
      </c>
      <c r="I3849" t="s">
        <v>40</v>
      </c>
      <c r="J3849" t="s">
        <v>54</v>
      </c>
      <c r="K3849" t="s">
        <v>29</v>
      </c>
      <c r="L3849" t="s">
        <v>895</v>
      </c>
      <c r="M3849" t="s">
        <v>4402</v>
      </c>
      <c r="O3849" t="s">
        <v>896</v>
      </c>
      <c r="P3849" t="s">
        <v>33</v>
      </c>
      <c r="Q3849" s="22">
        <v>2340820.0099999998</v>
      </c>
      <c r="R3849" t="s">
        <v>35</v>
      </c>
      <c r="S3849" t="s">
        <v>35</v>
      </c>
      <c r="T3849" t="s">
        <v>35</v>
      </c>
      <c r="U3849" t="s">
        <v>35</v>
      </c>
      <c r="V3849" t="s">
        <v>645</v>
      </c>
      <c r="W3849" t="s">
        <v>113</v>
      </c>
    </row>
    <row r="3850" spans="1:28" hidden="1" x14ac:dyDescent="0.25">
      <c r="A3850" s="7" t="str">
        <f>IFERROR(VLOOKUP(H3850,'Contas Orç'!A:B,2,0),"N/A")</f>
        <v>CONTRIBUICAO SOCIAL</v>
      </c>
      <c r="B3850" s="7" t="str">
        <f t="shared" si="120"/>
        <v>910101002 - CONTRIBUICAO SOCIAL</v>
      </c>
      <c r="C3850" s="25">
        <f t="shared" si="121"/>
        <v>44621</v>
      </c>
      <c r="D3850" s="27">
        <f>IF(K3850="CREDITO",Q3850,Q3850*-1)</f>
        <v>267869.28999999998</v>
      </c>
      <c r="E3850" t="s">
        <v>894</v>
      </c>
      <c r="F3850" t="s">
        <v>4326</v>
      </c>
      <c r="G3850" s="8">
        <v>44621</v>
      </c>
      <c r="H3850" t="s">
        <v>639</v>
      </c>
      <c r="I3850" t="s">
        <v>40</v>
      </c>
      <c r="J3850" t="s">
        <v>54</v>
      </c>
      <c r="K3850" t="s">
        <v>29</v>
      </c>
      <c r="L3850" t="s">
        <v>895</v>
      </c>
      <c r="M3850" t="s">
        <v>4402</v>
      </c>
      <c r="O3850" t="s">
        <v>896</v>
      </c>
      <c r="P3850" t="s">
        <v>33</v>
      </c>
      <c r="Q3850" s="22">
        <v>267869.28999999998</v>
      </c>
      <c r="R3850" t="s">
        <v>35</v>
      </c>
      <c r="S3850" t="s">
        <v>35</v>
      </c>
      <c r="T3850" t="s">
        <v>35</v>
      </c>
      <c r="U3850" t="s">
        <v>35</v>
      </c>
      <c r="V3850" t="s">
        <v>645</v>
      </c>
      <c r="W3850" t="s">
        <v>113</v>
      </c>
    </row>
    <row r="3851" spans="1:28" hidden="1" x14ac:dyDescent="0.25">
      <c r="A3851" s="7" t="str">
        <f>IFERROR(VLOOKUP(H3851,'Contas Orç'!A:B,2,0),"N/A")</f>
        <v>CONTRIBUICAO SOCIAL</v>
      </c>
      <c r="B3851" s="7" t="str">
        <f t="shared" si="120"/>
        <v>910101002 - CONTRIBUICAO SOCIAL</v>
      </c>
      <c r="C3851" s="25">
        <f t="shared" si="121"/>
        <v>44713</v>
      </c>
      <c r="D3851" s="27">
        <f>IF(K3851="CREDITO",Q3851,Q3851*-1)</f>
        <v>692877.51</v>
      </c>
      <c r="E3851" t="s">
        <v>894</v>
      </c>
      <c r="F3851" t="s">
        <v>4327</v>
      </c>
      <c r="G3851" s="8">
        <v>44713</v>
      </c>
      <c r="H3851" t="s">
        <v>639</v>
      </c>
      <c r="I3851" t="s">
        <v>40</v>
      </c>
      <c r="J3851" t="s">
        <v>54</v>
      </c>
      <c r="K3851" t="s">
        <v>29</v>
      </c>
      <c r="L3851" t="s">
        <v>895</v>
      </c>
      <c r="M3851" t="s">
        <v>4402</v>
      </c>
      <c r="O3851" t="s">
        <v>896</v>
      </c>
      <c r="P3851" t="s">
        <v>33</v>
      </c>
      <c r="Q3851" s="22">
        <v>692877.51</v>
      </c>
      <c r="R3851" t="s">
        <v>35</v>
      </c>
      <c r="S3851" t="s">
        <v>35</v>
      </c>
      <c r="T3851" t="s">
        <v>35</v>
      </c>
      <c r="U3851" t="s">
        <v>35</v>
      </c>
      <c r="V3851" t="s">
        <v>645</v>
      </c>
      <c r="W3851" t="s">
        <v>113</v>
      </c>
    </row>
    <row r="3852" spans="1:28" hidden="1" x14ac:dyDescent="0.25">
      <c r="A3852" s="7" t="str">
        <f>IFERROR(VLOOKUP(H3852,'Contas Orç'!A:B,2,0),"N/A")</f>
        <v>CONTRIBUICAO SOCIAL</v>
      </c>
      <c r="B3852" s="7" t="str">
        <f t="shared" si="120"/>
        <v>910101002 - CONTRIBUICAO SOCIAL</v>
      </c>
      <c r="C3852" s="25">
        <f t="shared" si="121"/>
        <v>44805</v>
      </c>
      <c r="D3852" s="27">
        <f>IF(K3852="CREDITO",Q3852,Q3852*-1)</f>
        <v>787137.86</v>
      </c>
      <c r="E3852" t="s">
        <v>894</v>
      </c>
      <c r="F3852" t="s">
        <v>4328</v>
      </c>
      <c r="G3852" s="8">
        <v>44805</v>
      </c>
      <c r="H3852" t="s">
        <v>639</v>
      </c>
      <c r="I3852" t="s">
        <v>40</v>
      </c>
      <c r="J3852" t="s">
        <v>54</v>
      </c>
      <c r="K3852" t="s">
        <v>29</v>
      </c>
      <c r="L3852" t="s">
        <v>895</v>
      </c>
      <c r="M3852" t="s">
        <v>4402</v>
      </c>
      <c r="O3852" t="s">
        <v>896</v>
      </c>
      <c r="P3852" t="s">
        <v>33</v>
      </c>
      <c r="Q3852" s="22">
        <v>787137.86</v>
      </c>
      <c r="R3852" t="s">
        <v>35</v>
      </c>
      <c r="S3852" t="s">
        <v>35</v>
      </c>
      <c r="T3852" t="s">
        <v>35</v>
      </c>
      <c r="U3852" t="s">
        <v>35</v>
      </c>
      <c r="V3852" t="s">
        <v>645</v>
      </c>
      <c r="W3852" t="s">
        <v>113</v>
      </c>
    </row>
    <row r="3853" spans="1:28" hidden="1" x14ac:dyDescent="0.25">
      <c r="A3853" s="7" t="str">
        <f>IFERROR(VLOOKUP(H3853,'Contas Orç'!A:B,2,0),"N/A")</f>
        <v>CONTRIBUICAO SOCIAL</v>
      </c>
      <c r="B3853" s="7" t="str">
        <f t="shared" si="120"/>
        <v>910101002 - CONTRIBUICAO SOCIAL</v>
      </c>
      <c r="C3853" s="25">
        <f t="shared" si="121"/>
        <v>44896</v>
      </c>
      <c r="D3853" s="27">
        <f>IF(K3853="CREDITO",Q3853,Q3853*-1)</f>
        <v>865851.65</v>
      </c>
      <c r="E3853" t="s">
        <v>894</v>
      </c>
      <c r="F3853" t="s">
        <v>4329</v>
      </c>
      <c r="G3853" s="8">
        <v>44896</v>
      </c>
      <c r="H3853" t="s">
        <v>639</v>
      </c>
      <c r="I3853" t="s">
        <v>40</v>
      </c>
      <c r="J3853" t="s">
        <v>54</v>
      </c>
      <c r="K3853" t="s">
        <v>29</v>
      </c>
      <c r="L3853" t="s">
        <v>895</v>
      </c>
      <c r="M3853" t="s">
        <v>4402</v>
      </c>
      <c r="O3853" t="s">
        <v>896</v>
      </c>
      <c r="P3853" t="s">
        <v>33</v>
      </c>
      <c r="Q3853" s="22">
        <v>865851.65</v>
      </c>
      <c r="R3853" t="s">
        <v>35</v>
      </c>
      <c r="S3853" t="s">
        <v>35</v>
      </c>
      <c r="T3853" t="s">
        <v>35</v>
      </c>
      <c r="U3853" t="s">
        <v>35</v>
      </c>
      <c r="V3853" t="s">
        <v>645</v>
      </c>
      <c r="W3853" t="s">
        <v>113</v>
      </c>
    </row>
    <row r="3854" spans="1:28" hidden="1" x14ac:dyDescent="0.25">
      <c r="A3854" s="7" t="str">
        <f>IFERROR(VLOOKUP(H3854,'Contas Orç'!A:B,2,0),"N/A")</f>
        <v>RECEITA BRUTA DE TRANSPORTES</v>
      </c>
      <c r="B3854" s="7" t="str">
        <f t="shared" ref="B3854:B3875" si="122">_xlfn.CONCAT(H3854," - ",A3854)</f>
        <v>310101 - RECEITA BRUTA DE TRANSPORTES</v>
      </c>
      <c r="C3854" s="25">
        <f t="shared" ref="C3854:C3875" si="123">DATE(YEAR(G3854),MONTH(G3854),1)</f>
        <v>44896</v>
      </c>
      <c r="D3854" s="27">
        <f>IF(K3854="CREDITO",Q3854,Q3854*-1)</f>
        <v>10950</v>
      </c>
      <c r="E3854" t="s">
        <v>4403</v>
      </c>
      <c r="F3854" t="s">
        <v>25</v>
      </c>
      <c r="G3854" s="8">
        <v>44901</v>
      </c>
      <c r="H3854" t="s">
        <v>500</v>
      </c>
      <c r="I3854" t="s">
        <v>27</v>
      </c>
      <c r="J3854" t="s">
        <v>28</v>
      </c>
      <c r="K3854" t="s">
        <v>29</v>
      </c>
      <c r="L3854" t="s">
        <v>43</v>
      </c>
      <c r="M3854" t="s">
        <v>4404</v>
      </c>
      <c r="O3854" t="s">
        <v>643</v>
      </c>
      <c r="P3854" t="s">
        <v>663</v>
      </c>
      <c r="Q3854" s="22">
        <v>10950</v>
      </c>
      <c r="R3854" t="s">
        <v>35</v>
      </c>
      <c r="S3854" t="s">
        <v>35</v>
      </c>
      <c r="T3854" t="s">
        <v>35</v>
      </c>
      <c r="U3854" t="s">
        <v>35</v>
      </c>
      <c r="V3854" t="s">
        <v>645</v>
      </c>
      <c r="W3854" t="s">
        <v>890</v>
      </c>
      <c r="X3854" t="s">
        <v>27</v>
      </c>
      <c r="Y3854" t="s">
        <v>28</v>
      </c>
      <c r="AB3854" t="s">
        <v>37</v>
      </c>
    </row>
    <row r="3855" spans="1:28" hidden="1" x14ac:dyDescent="0.25">
      <c r="A3855" s="7" t="str">
        <f>IFERROR(VLOOKUP(H3855,'Contas Orç'!A:B,2,0),"N/A")</f>
        <v>RECEITA BRUTA DE TRANSPORTES</v>
      </c>
      <c r="B3855" s="7" t="str">
        <f t="shared" si="122"/>
        <v>310101 - RECEITA BRUTA DE TRANSPORTES</v>
      </c>
      <c r="C3855" s="25">
        <f t="shared" si="123"/>
        <v>44896</v>
      </c>
      <c r="D3855" s="27">
        <f>IF(K3855="CREDITO",Q3855,Q3855*-1)</f>
        <v>6417.67</v>
      </c>
      <c r="E3855" t="s">
        <v>4405</v>
      </c>
      <c r="F3855" t="s">
        <v>25</v>
      </c>
      <c r="G3855" s="8">
        <v>44903</v>
      </c>
      <c r="H3855" t="s">
        <v>500</v>
      </c>
      <c r="I3855" t="s">
        <v>27</v>
      </c>
      <c r="J3855" t="s">
        <v>28</v>
      </c>
      <c r="K3855" t="s">
        <v>29</v>
      </c>
      <c r="L3855" t="s">
        <v>43</v>
      </c>
      <c r="M3855" t="s">
        <v>4406</v>
      </c>
      <c r="O3855" t="s">
        <v>643</v>
      </c>
      <c r="P3855" t="s">
        <v>663</v>
      </c>
      <c r="Q3855" s="22">
        <v>6417.67</v>
      </c>
      <c r="R3855" t="s">
        <v>35</v>
      </c>
      <c r="S3855" t="s">
        <v>35</v>
      </c>
      <c r="T3855" t="s">
        <v>35</v>
      </c>
      <c r="U3855" t="s">
        <v>35</v>
      </c>
      <c r="V3855" t="s">
        <v>645</v>
      </c>
      <c r="W3855" t="s">
        <v>890</v>
      </c>
      <c r="X3855" t="s">
        <v>27</v>
      </c>
      <c r="Y3855" t="s">
        <v>28</v>
      </c>
      <c r="AB3855" t="s">
        <v>37</v>
      </c>
    </row>
    <row r="3856" spans="1:28" hidden="1" x14ac:dyDescent="0.25">
      <c r="A3856" s="7" t="str">
        <f>IFERROR(VLOOKUP(H3856,'Contas Orç'!A:B,2,0),"N/A")</f>
        <v>RECEITA BRUTA DE TRANSPORTES</v>
      </c>
      <c r="B3856" s="7" t="str">
        <f t="shared" si="122"/>
        <v>310101 - RECEITA BRUTA DE TRANSPORTES</v>
      </c>
      <c r="C3856" s="25">
        <f t="shared" si="123"/>
        <v>44896</v>
      </c>
      <c r="D3856" s="27">
        <f>IF(K3856="CREDITO",Q3856,Q3856*-1)</f>
        <v>46608.9</v>
      </c>
      <c r="E3856" t="s">
        <v>4407</v>
      </c>
      <c r="F3856" t="s">
        <v>25</v>
      </c>
      <c r="G3856" s="8">
        <v>44907</v>
      </c>
      <c r="H3856" t="s">
        <v>500</v>
      </c>
      <c r="I3856" t="s">
        <v>27</v>
      </c>
      <c r="J3856" t="s">
        <v>28</v>
      </c>
      <c r="K3856" t="s">
        <v>29</v>
      </c>
      <c r="L3856" t="s">
        <v>43</v>
      </c>
      <c r="M3856" t="s">
        <v>4408</v>
      </c>
      <c r="O3856" t="s">
        <v>643</v>
      </c>
      <c r="P3856" t="s">
        <v>663</v>
      </c>
      <c r="Q3856" s="22">
        <v>46608.9</v>
      </c>
      <c r="R3856" t="s">
        <v>35</v>
      </c>
      <c r="S3856" t="s">
        <v>35</v>
      </c>
      <c r="T3856" t="s">
        <v>35</v>
      </c>
      <c r="U3856" t="s">
        <v>35</v>
      </c>
      <c r="V3856" t="s">
        <v>645</v>
      </c>
      <c r="W3856" t="s">
        <v>890</v>
      </c>
      <c r="X3856" t="s">
        <v>27</v>
      </c>
      <c r="Y3856" t="s">
        <v>28</v>
      </c>
      <c r="AB3856" t="s">
        <v>37</v>
      </c>
    </row>
    <row r="3857" spans="1:28" hidden="1" x14ac:dyDescent="0.25">
      <c r="A3857" s="7" t="str">
        <f>IFERROR(VLOOKUP(H3857,'Contas Orç'!A:B,2,0),"N/A")</f>
        <v>RECEITA BRUTA DE TRANSPORTES</v>
      </c>
      <c r="B3857" s="7" t="str">
        <f t="shared" si="122"/>
        <v>310101 - RECEITA BRUTA DE TRANSPORTES</v>
      </c>
      <c r="C3857" s="25">
        <f t="shared" si="123"/>
        <v>44896</v>
      </c>
      <c r="D3857" s="27">
        <f>IF(K3857="CREDITO",Q3857,Q3857*-1)</f>
        <v>1499.19</v>
      </c>
      <c r="E3857" t="s">
        <v>4409</v>
      </c>
      <c r="F3857" t="s">
        <v>25</v>
      </c>
      <c r="G3857" s="8">
        <v>44907</v>
      </c>
      <c r="H3857" t="s">
        <v>500</v>
      </c>
      <c r="I3857" t="s">
        <v>27</v>
      </c>
      <c r="J3857" t="s">
        <v>28</v>
      </c>
      <c r="K3857" t="s">
        <v>29</v>
      </c>
      <c r="L3857" t="s">
        <v>43</v>
      </c>
      <c r="M3857" t="s">
        <v>4410</v>
      </c>
      <c r="O3857" t="s">
        <v>643</v>
      </c>
      <c r="P3857" t="s">
        <v>663</v>
      </c>
      <c r="Q3857" s="22">
        <v>1499.19</v>
      </c>
      <c r="R3857" t="s">
        <v>35</v>
      </c>
      <c r="S3857" t="s">
        <v>35</v>
      </c>
      <c r="T3857" t="s">
        <v>35</v>
      </c>
      <c r="U3857" t="s">
        <v>35</v>
      </c>
      <c r="V3857" t="s">
        <v>645</v>
      </c>
      <c r="W3857" t="s">
        <v>890</v>
      </c>
      <c r="X3857" t="s">
        <v>27</v>
      </c>
      <c r="Y3857" t="s">
        <v>28</v>
      </c>
      <c r="AB3857" t="s">
        <v>37</v>
      </c>
    </row>
    <row r="3858" spans="1:28" hidden="1" x14ac:dyDescent="0.25">
      <c r="A3858" s="7" t="str">
        <f>IFERROR(VLOOKUP(H3858,'Contas Orç'!A:B,2,0),"N/A")</f>
        <v>RECEITA BRUTA DE TRANSPORTES</v>
      </c>
      <c r="B3858" s="7" t="str">
        <f t="shared" si="122"/>
        <v>310101 - RECEITA BRUTA DE TRANSPORTES</v>
      </c>
      <c r="C3858" s="25">
        <f t="shared" si="123"/>
        <v>44896</v>
      </c>
      <c r="D3858" s="27">
        <f>IF(K3858="CREDITO",Q3858,Q3858*-1)</f>
        <v>1549.49</v>
      </c>
      <c r="E3858" t="s">
        <v>4411</v>
      </c>
      <c r="F3858" t="s">
        <v>25</v>
      </c>
      <c r="G3858" s="8">
        <v>44907</v>
      </c>
      <c r="H3858" t="s">
        <v>500</v>
      </c>
      <c r="I3858" t="s">
        <v>27</v>
      </c>
      <c r="J3858" t="s">
        <v>28</v>
      </c>
      <c r="K3858" t="s">
        <v>29</v>
      </c>
      <c r="L3858" t="s">
        <v>43</v>
      </c>
      <c r="M3858" t="s">
        <v>4412</v>
      </c>
      <c r="O3858" t="s">
        <v>643</v>
      </c>
      <c r="P3858" t="s">
        <v>663</v>
      </c>
      <c r="Q3858" s="22">
        <v>1549.49</v>
      </c>
      <c r="R3858" t="s">
        <v>35</v>
      </c>
      <c r="S3858" t="s">
        <v>35</v>
      </c>
      <c r="T3858" t="s">
        <v>35</v>
      </c>
      <c r="U3858" t="s">
        <v>35</v>
      </c>
      <c r="V3858" t="s">
        <v>645</v>
      </c>
      <c r="W3858" t="s">
        <v>890</v>
      </c>
      <c r="X3858" t="s">
        <v>27</v>
      </c>
      <c r="Y3858" t="s">
        <v>28</v>
      </c>
      <c r="AB3858" t="s">
        <v>37</v>
      </c>
    </row>
    <row r="3859" spans="1:28" hidden="1" x14ac:dyDescent="0.25">
      <c r="A3859" s="7" t="str">
        <f>IFERROR(VLOOKUP(H3859,'Contas Orç'!A:B,2,0),"N/A")</f>
        <v>RECEITA BRUTA DE TRANSPORTES</v>
      </c>
      <c r="B3859" s="7" t="str">
        <f t="shared" si="122"/>
        <v>310101 - RECEITA BRUTA DE TRANSPORTES</v>
      </c>
      <c r="C3859" s="25">
        <f t="shared" si="123"/>
        <v>44896</v>
      </c>
      <c r="D3859" s="27">
        <f>IF(K3859="CREDITO",Q3859,Q3859*-1)</f>
        <v>578.61</v>
      </c>
      <c r="E3859" t="s">
        <v>4413</v>
      </c>
      <c r="F3859" t="s">
        <v>25</v>
      </c>
      <c r="G3859" s="8">
        <v>44907</v>
      </c>
      <c r="H3859" t="s">
        <v>500</v>
      </c>
      <c r="I3859" t="s">
        <v>27</v>
      </c>
      <c r="J3859" t="s">
        <v>28</v>
      </c>
      <c r="K3859" t="s">
        <v>29</v>
      </c>
      <c r="L3859" t="s">
        <v>43</v>
      </c>
      <c r="M3859" t="s">
        <v>4414</v>
      </c>
      <c r="O3859" t="s">
        <v>643</v>
      </c>
      <c r="P3859" t="s">
        <v>663</v>
      </c>
      <c r="Q3859">
        <v>578.61</v>
      </c>
      <c r="R3859" t="s">
        <v>35</v>
      </c>
      <c r="S3859" t="s">
        <v>35</v>
      </c>
      <c r="T3859" t="s">
        <v>35</v>
      </c>
      <c r="U3859" t="s">
        <v>35</v>
      </c>
      <c r="V3859" t="s">
        <v>645</v>
      </c>
      <c r="W3859" t="s">
        <v>890</v>
      </c>
      <c r="X3859" t="s">
        <v>27</v>
      </c>
      <c r="Y3859" t="s">
        <v>28</v>
      </c>
      <c r="AB3859" t="s">
        <v>37</v>
      </c>
    </row>
    <row r="3860" spans="1:28" hidden="1" x14ac:dyDescent="0.25">
      <c r="A3860" s="7" t="str">
        <f>IFERROR(VLOOKUP(H3860,'Contas Orç'!A:B,2,0),"N/A")</f>
        <v>RECEITA BRUTA DE TRANSPORTES</v>
      </c>
      <c r="B3860" s="7" t="str">
        <f t="shared" si="122"/>
        <v>310101 - RECEITA BRUTA DE TRANSPORTES</v>
      </c>
      <c r="C3860" s="25">
        <f t="shared" si="123"/>
        <v>44896</v>
      </c>
      <c r="D3860" s="27">
        <f>IF(K3860="CREDITO",Q3860,Q3860*-1)</f>
        <v>10950</v>
      </c>
      <c r="E3860" t="s">
        <v>4415</v>
      </c>
      <c r="F3860" t="s">
        <v>25</v>
      </c>
      <c r="G3860" s="8">
        <v>44908</v>
      </c>
      <c r="H3860" t="s">
        <v>500</v>
      </c>
      <c r="I3860" t="s">
        <v>27</v>
      </c>
      <c r="J3860" t="s">
        <v>28</v>
      </c>
      <c r="K3860" t="s">
        <v>29</v>
      </c>
      <c r="L3860" t="s">
        <v>43</v>
      </c>
      <c r="M3860" t="s">
        <v>4416</v>
      </c>
      <c r="O3860" t="s">
        <v>643</v>
      </c>
      <c r="P3860" t="s">
        <v>663</v>
      </c>
      <c r="Q3860" s="22">
        <v>10950</v>
      </c>
      <c r="R3860" t="s">
        <v>35</v>
      </c>
      <c r="S3860" t="s">
        <v>35</v>
      </c>
      <c r="T3860" t="s">
        <v>35</v>
      </c>
      <c r="U3860" t="s">
        <v>35</v>
      </c>
      <c r="V3860" t="s">
        <v>645</v>
      </c>
      <c r="W3860" t="s">
        <v>890</v>
      </c>
      <c r="X3860" t="s">
        <v>27</v>
      </c>
      <c r="Y3860" t="s">
        <v>28</v>
      </c>
      <c r="AB3860" t="s">
        <v>37</v>
      </c>
    </row>
    <row r="3861" spans="1:28" hidden="1" x14ac:dyDescent="0.25">
      <c r="A3861" s="7" t="str">
        <f>IFERROR(VLOOKUP(H3861,'Contas Orç'!A:B,2,0),"N/A")</f>
        <v>RECEITA BRUTA DE TRANSPORTES</v>
      </c>
      <c r="B3861" s="7" t="str">
        <f t="shared" si="122"/>
        <v>310101 - RECEITA BRUTA DE TRANSPORTES</v>
      </c>
      <c r="C3861" s="25">
        <f t="shared" si="123"/>
        <v>44896</v>
      </c>
      <c r="D3861" s="27">
        <f>IF(K3861="CREDITO",Q3861,Q3861*-1)</f>
        <v>1593.11</v>
      </c>
      <c r="E3861" t="s">
        <v>4417</v>
      </c>
      <c r="F3861" t="s">
        <v>25</v>
      </c>
      <c r="G3861" s="8">
        <v>44909</v>
      </c>
      <c r="H3861" t="s">
        <v>500</v>
      </c>
      <c r="I3861" t="s">
        <v>27</v>
      </c>
      <c r="J3861" t="s">
        <v>28</v>
      </c>
      <c r="K3861" t="s">
        <v>29</v>
      </c>
      <c r="L3861" t="s">
        <v>43</v>
      </c>
      <c r="M3861" t="s">
        <v>4418</v>
      </c>
      <c r="O3861" t="s">
        <v>643</v>
      </c>
      <c r="P3861" t="s">
        <v>679</v>
      </c>
      <c r="Q3861" s="22">
        <v>1593.11</v>
      </c>
      <c r="R3861" t="s">
        <v>35</v>
      </c>
      <c r="S3861" t="s">
        <v>35</v>
      </c>
      <c r="T3861" t="s">
        <v>35</v>
      </c>
      <c r="U3861" t="s">
        <v>35</v>
      </c>
      <c r="V3861" t="s">
        <v>645</v>
      </c>
      <c r="W3861" t="s">
        <v>890</v>
      </c>
      <c r="X3861" t="s">
        <v>27</v>
      </c>
      <c r="Y3861" t="s">
        <v>28</v>
      </c>
      <c r="AB3861" t="s">
        <v>37</v>
      </c>
    </row>
    <row r="3862" spans="1:28" hidden="1" x14ac:dyDescent="0.25">
      <c r="A3862" s="7" t="str">
        <f>IFERROR(VLOOKUP(H3862,'Contas Orç'!A:B,2,0),"N/A")</f>
        <v>RECEITA BRUTA DE TRANSPORTES</v>
      </c>
      <c r="B3862" s="7" t="str">
        <f t="shared" si="122"/>
        <v>310101 - RECEITA BRUTA DE TRANSPORTES</v>
      </c>
      <c r="C3862" s="25">
        <f t="shared" si="123"/>
        <v>44896</v>
      </c>
      <c r="D3862" s="27">
        <f>IF(K3862="CREDITO",Q3862,Q3862*-1)</f>
        <v>410.21</v>
      </c>
      <c r="E3862" t="s">
        <v>4419</v>
      </c>
      <c r="F3862" t="s">
        <v>25</v>
      </c>
      <c r="G3862" s="8">
        <v>44909</v>
      </c>
      <c r="H3862" t="s">
        <v>500</v>
      </c>
      <c r="I3862" t="s">
        <v>27</v>
      </c>
      <c r="J3862" t="s">
        <v>28</v>
      </c>
      <c r="K3862" t="s">
        <v>29</v>
      </c>
      <c r="L3862" t="s">
        <v>43</v>
      </c>
      <c r="M3862" t="s">
        <v>4420</v>
      </c>
      <c r="O3862" t="s">
        <v>643</v>
      </c>
      <c r="P3862" t="s">
        <v>679</v>
      </c>
      <c r="Q3862">
        <v>410.21</v>
      </c>
      <c r="R3862" t="s">
        <v>35</v>
      </c>
      <c r="S3862" t="s">
        <v>35</v>
      </c>
      <c r="T3862" t="s">
        <v>35</v>
      </c>
      <c r="U3862" t="s">
        <v>35</v>
      </c>
      <c r="V3862" t="s">
        <v>645</v>
      </c>
      <c r="W3862" t="s">
        <v>890</v>
      </c>
      <c r="X3862" t="s">
        <v>27</v>
      </c>
      <c r="Y3862" t="s">
        <v>28</v>
      </c>
      <c r="AB3862" t="s">
        <v>37</v>
      </c>
    </row>
    <row r="3863" spans="1:28" hidden="1" x14ac:dyDescent="0.25">
      <c r="A3863" s="7" t="str">
        <f>IFERROR(VLOOKUP(H3863,'Contas Orç'!A:B,2,0),"N/A")</f>
        <v>RECEITA BRUTA DE TRANSPORTES</v>
      </c>
      <c r="B3863" s="7" t="str">
        <f t="shared" si="122"/>
        <v>310101 - RECEITA BRUTA DE TRANSPORTES</v>
      </c>
      <c r="C3863" s="25">
        <f t="shared" si="123"/>
        <v>44896</v>
      </c>
      <c r="D3863" s="27">
        <f>IF(K3863="CREDITO",Q3863,Q3863*-1)</f>
        <v>6381.95</v>
      </c>
      <c r="E3863" t="s">
        <v>4421</v>
      </c>
      <c r="F3863" t="s">
        <v>25</v>
      </c>
      <c r="G3863" s="8">
        <v>44909</v>
      </c>
      <c r="H3863" t="s">
        <v>500</v>
      </c>
      <c r="I3863" t="s">
        <v>27</v>
      </c>
      <c r="J3863" t="s">
        <v>28</v>
      </c>
      <c r="K3863" t="s">
        <v>29</v>
      </c>
      <c r="L3863" t="s">
        <v>43</v>
      </c>
      <c r="M3863" t="s">
        <v>4422</v>
      </c>
      <c r="O3863" t="s">
        <v>643</v>
      </c>
      <c r="P3863" t="s">
        <v>679</v>
      </c>
      <c r="Q3863" s="22">
        <v>6381.95</v>
      </c>
      <c r="R3863" t="s">
        <v>35</v>
      </c>
      <c r="S3863" t="s">
        <v>35</v>
      </c>
      <c r="T3863" t="s">
        <v>35</v>
      </c>
      <c r="U3863" t="s">
        <v>35</v>
      </c>
      <c r="V3863" t="s">
        <v>645</v>
      </c>
      <c r="W3863" t="s">
        <v>890</v>
      </c>
      <c r="X3863" t="s">
        <v>27</v>
      </c>
      <c r="Y3863" t="s">
        <v>28</v>
      </c>
      <c r="AB3863" t="s">
        <v>37</v>
      </c>
    </row>
    <row r="3864" spans="1:28" hidden="1" x14ac:dyDescent="0.25">
      <c r="A3864" s="7" t="str">
        <f>IFERROR(VLOOKUP(H3864,'Contas Orç'!A:B,2,0),"N/A")</f>
        <v>OUTROS GASTOS COM PESSOAL</v>
      </c>
      <c r="B3864" s="7" t="str">
        <f t="shared" si="122"/>
        <v>320104 - OUTROS GASTOS COM PESSOAL</v>
      </c>
      <c r="C3864" s="25">
        <f t="shared" si="123"/>
        <v>44896</v>
      </c>
      <c r="D3864" s="27">
        <f>IF(K3864="CREDITO",Q3864,Q3864*-1)</f>
        <v>13.38</v>
      </c>
      <c r="E3864" t="s">
        <v>4423</v>
      </c>
      <c r="F3864" t="s">
        <v>25</v>
      </c>
      <c r="G3864" s="8">
        <v>44908</v>
      </c>
      <c r="H3864" t="s">
        <v>513</v>
      </c>
      <c r="I3864" t="s">
        <v>88</v>
      </c>
      <c r="J3864" t="s">
        <v>28</v>
      </c>
      <c r="K3864" t="s">
        <v>29</v>
      </c>
      <c r="L3864" t="s">
        <v>43</v>
      </c>
      <c r="M3864" t="s">
        <v>4424</v>
      </c>
      <c r="O3864" t="s">
        <v>883</v>
      </c>
      <c r="P3864" t="s">
        <v>4425</v>
      </c>
      <c r="Q3864">
        <v>13.38</v>
      </c>
      <c r="R3864" t="s">
        <v>35</v>
      </c>
      <c r="S3864" t="s">
        <v>35</v>
      </c>
      <c r="T3864" t="s">
        <v>35</v>
      </c>
      <c r="U3864" t="s">
        <v>35</v>
      </c>
      <c r="V3864" t="s">
        <v>645</v>
      </c>
      <c r="W3864" t="s">
        <v>890</v>
      </c>
      <c r="X3864" t="s">
        <v>88</v>
      </c>
      <c r="Y3864" t="s">
        <v>28</v>
      </c>
      <c r="AB3864" t="s">
        <v>37</v>
      </c>
    </row>
    <row r="3865" spans="1:28" hidden="1" x14ac:dyDescent="0.25">
      <c r="A3865" s="7" t="str">
        <f>IFERROR(VLOOKUP(H3865,'Contas Orç'!A:B,2,0),"N/A")</f>
        <v>OUTROS GASTOS COM PESSOAL</v>
      </c>
      <c r="B3865" s="7" t="str">
        <f t="shared" si="122"/>
        <v>320104 - OUTROS GASTOS COM PESSOAL</v>
      </c>
      <c r="C3865" s="25">
        <f t="shared" si="123"/>
        <v>44896</v>
      </c>
      <c r="D3865" s="27">
        <f>IF(K3865="CREDITO",Q3865,Q3865*-1)</f>
        <v>2.06</v>
      </c>
      <c r="E3865" t="s">
        <v>4423</v>
      </c>
      <c r="F3865" t="s">
        <v>38</v>
      </c>
      <c r="G3865" s="8">
        <v>44908</v>
      </c>
      <c r="H3865" t="s">
        <v>513</v>
      </c>
      <c r="I3865" t="s">
        <v>88</v>
      </c>
      <c r="J3865" t="s">
        <v>28</v>
      </c>
      <c r="K3865" t="s">
        <v>29</v>
      </c>
      <c r="L3865" t="s">
        <v>43</v>
      </c>
      <c r="M3865" t="s">
        <v>4426</v>
      </c>
      <c r="O3865" t="s">
        <v>883</v>
      </c>
      <c r="P3865" t="s">
        <v>4425</v>
      </c>
      <c r="Q3865">
        <v>2.06</v>
      </c>
      <c r="R3865" t="s">
        <v>35</v>
      </c>
      <c r="S3865" t="s">
        <v>35</v>
      </c>
      <c r="T3865" t="s">
        <v>35</v>
      </c>
      <c r="U3865" t="s">
        <v>35</v>
      </c>
      <c r="V3865" t="s">
        <v>645</v>
      </c>
      <c r="W3865" t="s">
        <v>890</v>
      </c>
      <c r="X3865" t="s">
        <v>88</v>
      </c>
      <c r="Y3865" t="s">
        <v>28</v>
      </c>
      <c r="AB3865" t="s">
        <v>37</v>
      </c>
    </row>
    <row r="3866" spans="1:28" hidden="1" x14ac:dyDescent="0.25">
      <c r="A3866" s="7" t="str">
        <f>IFERROR(VLOOKUP(H3866,'Contas Orç'!A:B,2,0),"N/A")</f>
        <v>RECEITA BRUTA DE TRANSPORTES</v>
      </c>
      <c r="B3866" s="7" t="str">
        <f t="shared" si="122"/>
        <v>310101 - RECEITA BRUTA DE TRANSPORTES</v>
      </c>
      <c r="C3866" s="25">
        <f t="shared" si="123"/>
        <v>44896</v>
      </c>
      <c r="D3866" s="27">
        <f>IF(K3866="CREDITO",Q3866,Q3866*-1)</f>
        <v>6381.95</v>
      </c>
      <c r="E3866" t="s">
        <v>4427</v>
      </c>
      <c r="F3866" t="s">
        <v>25</v>
      </c>
      <c r="G3866" s="8">
        <v>44909</v>
      </c>
      <c r="H3866" t="s">
        <v>500</v>
      </c>
      <c r="I3866" t="s">
        <v>27</v>
      </c>
      <c r="J3866" t="s">
        <v>28</v>
      </c>
      <c r="K3866" t="s">
        <v>29</v>
      </c>
      <c r="L3866" t="s">
        <v>43</v>
      </c>
      <c r="M3866" t="s">
        <v>4428</v>
      </c>
      <c r="O3866" t="s">
        <v>643</v>
      </c>
      <c r="P3866" t="s">
        <v>679</v>
      </c>
      <c r="Q3866" s="22">
        <v>6381.95</v>
      </c>
      <c r="R3866" t="s">
        <v>35</v>
      </c>
      <c r="S3866" t="s">
        <v>35</v>
      </c>
      <c r="T3866" t="s">
        <v>35</v>
      </c>
      <c r="U3866" t="s">
        <v>35</v>
      </c>
      <c r="V3866" t="s">
        <v>645</v>
      </c>
      <c r="W3866" t="s">
        <v>890</v>
      </c>
      <c r="X3866" t="s">
        <v>27</v>
      </c>
      <c r="Y3866" t="s">
        <v>28</v>
      </c>
      <c r="AB3866" t="s">
        <v>37</v>
      </c>
    </row>
    <row r="3867" spans="1:28" hidden="1" x14ac:dyDescent="0.25">
      <c r="A3867" s="7" t="str">
        <f>IFERROR(VLOOKUP(H3867,'Contas Orç'!A:B,2,0),"N/A")</f>
        <v>RECEITA BRUTA DE TRANSPORTES</v>
      </c>
      <c r="B3867" s="7" t="str">
        <f t="shared" si="122"/>
        <v>310101 - RECEITA BRUTA DE TRANSPORTES</v>
      </c>
      <c r="C3867" s="25">
        <f t="shared" si="123"/>
        <v>44896</v>
      </c>
      <c r="D3867" s="27">
        <f>IF(K3867="CREDITO",Q3867,Q3867*-1)</f>
        <v>14429.6</v>
      </c>
      <c r="E3867" t="s">
        <v>4429</v>
      </c>
      <c r="F3867" t="s">
        <v>25</v>
      </c>
      <c r="G3867" s="8">
        <v>44909</v>
      </c>
      <c r="H3867" t="s">
        <v>500</v>
      </c>
      <c r="I3867" t="s">
        <v>27</v>
      </c>
      <c r="J3867" t="s">
        <v>28</v>
      </c>
      <c r="K3867" t="s">
        <v>29</v>
      </c>
      <c r="L3867" t="s">
        <v>43</v>
      </c>
      <c r="M3867" t="s">
        <v>4430</v>
      </c>
      <c r="O3867" t="s">
        <v>643</v>
      </c>
      <c r="P3867" t="s">
        <v>679</v>
      </c>
      <c r="Q3867" s="22">
        <v>14429.6</v>
      </c>
      <c r="R3867" t="s">
        <v>35</v>
      </c>
      <c r="S3867" t="s">
        <v>35</v>
      </c>
      <c r="T3867" t="s">
        <v>35</v>
      </c>
      <c r="U3867" t="s">
        <v>35</v>
      </c>
      <c r="V3867" t="s">
        <v>645</v>
      </c>
      <c r="W3867" t="s">
        <v>890</v>
      </c>
      <c r="X3867" t="s">
        <v>27</v>
      </c>
      <c r="Y3867" t="s">
        <v>28</v>
      </c>
      <c r="AB3867" t="s">
        <v>37</v>
      </c>
    </row>
    <row r="3868" spans="1:28" hidden="1" x14ac:dyDescent="0.25">
      <c r="A3868" s="7" t="str">
        <f>IFERROR(VLOOKUP(H3868,'Contas Orç'!A:B,2,0),"N/A")</f>
        <v>RECEITA BRUTA DE TRANSPORTES</v>
      </c>
      <c r="B3868" s="7" t="str">
        <f t="shared" si="122"/>
        <v>310101 - RECEITA BRUTA DE TRANSPORTES</v>
      </c>
      <c r="C3868" s="25">
        <f t="shared" si="123"/>
        <v>44896</v>
      </c>
      <c r="D3868" s="27">
        <f>IF(K3868="CREDITO",Q3868,Q3868*-1)</f>
        <v>4054.32</v>
      </c>
      <c r="E3868" t="s">
        <v>4431</v>
      </c>
      <c r="F3868" t="s">
        <v>25</v>
      </c>
      <c r="G3868" s="8">
        <v>44910</v>
      </c>
      <c r="H3868" t="s">
        <v>500</v>
      </c>
      <c r="I3868" t="s">
        <v>27</v>
      </c>
      <c r="J3868" t="s">
        <v>28</v>
      </c>
      <c r="K3868" t="s">
        <v>29</v>
      </c>
      <c r="L3868" t="s">
        <v>43</v>
      </c>
      <c r="M3868" t="s">
        <v>4432</v>
      </c>
      <c r="O3868" t="s">
        <v>643</v>
      </c>
      <c r="P3868" t="s">
        <v>679</v>
      </c>
      <c r="Q3868" s="22">
        <v>4054.32</v>
      </c>
      <c r="R3868" t="s">
        <v>35</v>
      </c>
      <c r="S3868" t="s">
        <v>35</v>
      </c>
      <c r="T3868" t="s">
        <v>35</v>
      </c>
      <c r="U3868" t="s">
        <v>35</v>
      </c>
      <c r="V3868" t="s">
        <v>645</v>
      </c>
      <c r="W3868" t="s">
        <v>890</v>
      </c>
      <c r="X3868" t="s">
        <v>27</v>
      </c>
      <c r="Y3868" t="s">
        <v>28</v>
      </c>
      <c r="AB3868" t="s">
        <v>37</v>
      </c>
    </row>
    <row r="3869" spans="1:28" hidden="1" x14ac:dyDescent="0.25">
      <c r="A3869" s="7" t="str">
        <f>IFERROR(VLOOKUP(H3869,'Contas Orç'!A:B,2,0),"N/A")</f>
        <v>RECEITA BRUTA DE TRANSPORTES</v>
      </c>
      <c r="B3869" s="7" t="str">
        <f t="shared" si="122"/>
        <v>310101 - RECEITA BRUTA DE TRANSPORTES</v>
      </c>
      <c r="C3869" s="25">
        <f t="shared" si="123"/>
        <v>44896</v>
      </c>
      <c r="D3869" s="27">
        <f>IF(K3869="CREDITO",Q3869,Q3869*-1)</f>
        <v>10950</v>
      </c>
      <c r="E3869" t="s">
        <v>4433</v>
      </c>
      <c r="F3869" t="s">
        <v>25</v>
      </c>
      <c r="G3869" s="8">
        <v>44910</v>
      </c>
      <c r="H3869" t="s">
        <v>500</v>
      </c>
      <c r="I3869" t="s">
        <v>27</v>
      </c>
      <c r="J3869" t="s">
        <v>28</v>
      </c>
      <c r="K3869" t="s">
        <v>29</v>
      </c>
      <c r="L3869" t="s">
        <v>43</v>
      </c>
      <c r="M3869" t="s">
        <v>4434</v>
      </c>
      <c r="O3869" t="s">
        <v>643</v>
      </c>
      <c r="P3869" t="s">
        <v>679</v>
      </c>
      <c r="Q3869" s="22">
        <v>10950</v>
      </c>
      <c r="R3869" t="s">
        <v>35</v>
      </c>
      <c r="S3869" t="s">
        <v>35</v>
      </c>
      <c r="T3869" t="s">
        <v>35</v>
      </c>
      <c r="U3869" t="s">
        <v>35</v>
      </c>
      <c r="V3869" t="s">
        <v>645</v>
      </c>
      <c r="W3869" t="s">
        <v>890</v>
      </c>
      <c r="X3869" t="s">
        <v>27</v>
      </c>
      <c r="Y3869" t="s">
        <v>28</v>
      </c>
      <c r="AB3869" t="s">
        <v>37</v>
      </c>
    </row>
    <row r="3870" spans="1:28" hidden="1" x14ac:dyDescent="0.25">
      <c r="A3870" s="7" t="str">
        <f>IFERROR(VLOOKUP(H3870,'Contas Orç'!A:B,2,0),"N/A")</f>
        <v>RECEITA BRUTA DE TRANSPORTES</v>
      </c>
      <c r="B3870" s="7" t="str">
        <f t="shared" si="122"/>
        <v>310101 - RECEITA BRUTA DE TRANSPORTES</v>
      </c>
      <c r="C3870" s="25">
        <f t="shared" si="123"/>
        <v>44896</v>
      </c>
      <c r="D3870" s="27">
        <f>IF(K3870="CREDITO",Q3870,Q3870*-1)</f>
        <v>1200.72</v>
      </c>
      <c r="E3870" t="s">
        <v>4435</v>
      </c>
      <c r="F3870" t="s">
        <v>25</v>
      </c>
      <c r="G3870" s="8">
        <v>44910</v>
      </c>
      <c r="H3870" t="s">
        <v>500</v>
      </c>
      <c r="I3870" t="s">
        <v>27</v>
      </c>
      <c r="J3870" t="s">
        <v>28</v>
      </c>
      <c r="K3870" t="s">
        <v>29</v>
      </c>
      <c r="L3870" t="s">
        <v>43</v>
      </c>
      <c r="M3870" t="s">
        <v>4436</v>
      </c>
      <c r="O3870" t="s">
        <v>643</v>
      </c>
      <c r="P3870" t="s">
        <v>679</v>
      </c>
      <c r="Q3870" s="22">
        <v>1200.72</v>
      </c>
      <c r="R3870" t="s">
        <v>35</v>
      </c>
      <c r="S3870" t="s">
        <v>35</v>
      </c>
      <c r="T3870" t="s">
        <v>35</v>
      </c>
      <c r="U3870" t="s">
        <v>35</v>
      </c>
      <c r="V3870" t="s">
        <v>645</v>
      </c>
      <c r="W3870" t="s">
        <v>890</v>
      </c>
      <c r="X3870" t="s">
        <v>27</v>
      </c>
      <c r="Y3870" t="s">
        <v>28</v>
      </c>
      <c r="AB3870" t="s">
        <v>37</v>
      </c>
    </row>
    <row r="3871" spans="1:28" hidden="1" x14ac:dyDescent="0.25">
      <c r="A3871" s="7" t="str">
        <f>IFERROR(VLOOKUP(H3871,'Contas Orç'!A:B,2,0),"N/A")</f>
        <v>RECEITA BRUTA DE TRANSPORTES</v>
      </c>
      <c r="B3871" s="7" t="str">
        <f t="shared" si="122"/>
        <v>310101 - RECEITA BRUTA DE TRANSPORTES</v>
      </c>
      <c r="C3871" s="25">
        <f t="shared" si="123"/>
        <v>44896</v>
      </c>
      <c r="D3871" s="27">
        <f>IF(K3871="CREDITO",Q3871,Q3871*-1)</f>
        <v>2620.2199999999998</v>
      </c>
      <c r="E3871" t="s">
        <v>4437</v>
      </c>
      <c r="F3871" t="s">
        <v>25</v>
      </c>
      <c r="G3871" s="8">
        <v>44910</v>
      </c>
      <c r="H3871" t="s">
        <v>500</v>
      </c>
      <c r="I3871" t="s">
        <v>27</v>
      </c>
      <c r="J3871" t="s">
        <v>28</v>
      </c>
      <c r="K3871" t="s">
        <v>29</v>
      </c>
      <c r="L3871" t="s">
        <v>43</v>
      </c>
      <c r="M3871" t="s">
        <v>4438</v>
      </c>
      <c r="O3871" t="s">
        <v>643</v>
      </c>
      <c r="P3871" t="s">
        <v>679</v>
      </c>
      <c r="Q3871" s="22">
        <v>2620.2199999999998</v>
      </c>
      <c r="R3871" t="s">
        <v>35</v>
      </c>
      <c r="S3871" t="s">
        <v>35</v>
      </c>
      <c r="T3871" t="s">
        <v>35</v>
      </c>
      <c r="U3871" t="s">
        <v>35</v>
      </c>
      <c r="V3871" t="s">
        <v>645</v>
      </c>
      <c r="W3871" t="s">
        <v>890</v>
      </c>
      <c r="X3871" t="s">
        <v>27</v>
      </c>
      <c r="Y3871" t="s">
        <v>28</v>
      </c>
      <c r="AB3871" t="s">
        <v>37</v>
      </c>
    </row>
    <row r="3872" spans="1:28" hidden="1" x14ac:dyDescent="0.25">
      <c r="A3872" s="7" t="str">
        <f>IFERROR(VLOOKUP(H3872,'Contas Orç'!A:B,2,0),"N/A")</f>
        <v>RECEITA BRUTA DE TRANSPORTES</v>
      </c>
      <c r="B3872" s="7" t="str">
        <f t="shared" si="122"/>
        <v>310101 - RECEITA BRUTA DE TRANSPORTES</v>
      </c>
      <c r="C3872" s="25">
        <f t="shared" si="123"/>
        <v>44896</v>
      </c>
      <c r="D3872" s="27">
        <f>IF(K3872="CREDITO",Q3872,Q3872*-1)</f>
        <v>1718.29</v>
      </c>
      <c r="E3872" t="s">
        <v>4439</v>
      </c>
      <c r="F3872" t="s">
        <v>25</v>
      </c>
      <c r="G3872" s="8">
        <v>44910</v>
      </c>
      <c r="H3872" t="s">
        <v>500</v>
      </c>
      <c r="I3872" t="s">
        <v>27</v>
      </c>
      <c r="J3872" t="s">
        <v>28</v>
      </c>
      <c r="K3872" t="s">
        <v>29</v>
      </c>
      <c r="L3872" t="s">
        <v>43</v>
      </c>
      <c r="M3872" t="s">
        <v>4440</v>
      </c>
      <c r="O3872" t="s">
        <v>643</v>
      </c>
      <c r="P3872" t="s">
        <v>679</v>
      </c>
      <c r="Q3872" s="22">
        <v>1718.29</v>
      </c>
      <c r="R3872" t="s">
        <v>35</v>
      </c>
      <c r="S3872" t="s">
        <v>35</v>
      </c>
      <c r="T3872" t="s">
        <v>35</v>
      </c>
      <c r="U3872" t="s">
        <v>35</v>
      </c>
      <c r="V3872" t="s">
        <v>645</v>
      </c>
      <c r="W3872" t="s">
        <v>890</v>
      </c>
      <c r="X3872" t="s">
        <v>27</v>
      </c>
      <c r="Y3872" t="s">
        <v>28</v>
      </c>
      <c r="AB3872" t="s">
        <v>37</v>
      </c>
    </row>
    <row r="3873" spans="1:28" hidden="1" x14ac:dyDescent="0.25">
      <c r="A3873" s="7" t="str">
        <f>IFERROR(VLOOKUP(H3873,'Contas Orç'!A:B,2,0),"N/A")</f>
        <v>RECEITA BRUTA DE TRANSPORTES</v>
      </c>
      <c r="B3873" s="7" t="str">
        <f t="shared" si="122"/>
        <v>310101 - RECEITA BRUTA DE TRANSPORTES</v>
      </c>
      <c r="C3873" s="25">
        <f t="shared" si="123"/>
        <v>44896</v>
      </c>
      <c r="D3873" s="27">
        <f>IF(K3873="CREDITO",Q3873,Q3873*-1)</f>
        <v>2620.2199999999998</v>
      </c>
      <c r="E3873" t="s">
        <v>4441</v>
      </c>
      <c r="F3873" t="s">
        <v>25</v>
      </c>
      <c r="G3873" s="8">
        <v>44911</v>
      </c>
      <c r="H3873" t="s">
        <v>500</v>
      </c>
      <c r="I3873" t="s">
        <v>27</v>
      </c>
      <c r="J3873" t="s">
        <v>28</v>
      </c>
      <c r="K3873" t="s">
        <v>29</v>
      </c>
      <c r="L3873" t="s">
        <v>43</v>
      </c>
      <c r="M3873" t="s">
        <v>4442</v>
      </c>
      <c r="O3873" t="s">
        <v>643</v>
      </c>
      <c r="P3873" t="s">
        <v>663</v>
      </c>
      <c r="Q3873" s="22">
        <v>2620.2199999999998</v>
      </c>
      <c r="R3873" t="s">
        <v>35</v>
      </c>
      <c r="S3873" t="s">
        <v>35</v>
      </c>
      <c r="T3873" t="s">
        <v>35</v>
      </c>
      <c r="U3873" t="s">
        <v>35</v>
      </c>
      <c r="V3873" t="s">
        <v>645</v>
      </c>
      <c r="W3873" t="s">
        <v>890</v>
      </c>
      <c r="X3873" t="s">
        <v>27</v>
      </c>
      <c r="Y3873" t="s">
        <v>28</v>
      </c>
      <c r="AB3873" t="s">
        <v>37</v>
      </c>
    </row>
    <row r="3874" spans="1:28" hidden="1" x14ac:dyDescent="0.25">
      <c r="A3874" s="7" t="str">
        <f>IFERROR(VLOOKUP(H3874,'Contas Orç'!A:B,2,0),"N/A")</f>
        <v>RECEITA BRUTA DE TRANSPORTES</v>
      </c>
      <c r="B3874" s="7" t="str">
        <f t="shared" si="122"/>
        <v>310101 - RECEITA BRUTA DE TRANSPORTES</v>
      </c>
      <c r="C3874" s="25">
        <f t="shared" si="123"/>
        <v>44896</v>
      </c>
      <c r="D3874" s="27">
        <f>IF(K3874="CREDITO",Q3874,Q3874*-1)</f>
        <v>1200.72</v>
      </c>
      <c r="E3874" t="s">
        <v>4443</v>
      </c>
      <c r="F3874" t="s">
        <v>25</v>
      </c>
      <c r="G3874" s="8">
        <v>44911</v>
      </c>
      <c r="H3874" t="s">
        <v>500</v>
      </c>
      <c r="I3874" t="s">
        <v>27</v>
      </c>
      <c r="J3874" t="s">
        <v>28</v>
      </c>
      <c r="K3874" t="s">
        <v>29</v>
      </c>
      <c r="L3874" t="s">
        <v>43</v>
      </c>
      <c r="M3874" t="s">
        <v>4444</v>
      </c>
      <c r="O3874" t="s">
        <v>643</v>
      </c>
      <c r="P3874" t="s">
        <v>663</v>
      </c>
      <c r="Q3874" s="22">
        <v>1200.72</v>
      </c>
      <c r="R3874" t="s">
        <v>35</v>
      </c>
      <c r="S3874" t="s">
        <v>35</v>
      </c>
      <c r="T3874" t="s">
        <v>35</v>
      </c>
      <c r="U3874" t="s">
        <v>35</v>
      </c>
      <c r="V3874" t="s">
        <v>645</v>
      </c>
      <c r="W3874" t="s">
        <v>890</v>
      </c>
      <c r="X3874" t="s">
        <v>27</v>
      </c>
      <c r="Y3874" t="s">
        <v>28</v>
      </c>
      <c r="AB3874" t="s">
        <v>37</v>
      </c>
    </row>
    <row r="3875" spans="1:28" hidden="1" x14ac:dyDescent="0.25">
      <c r="A3875" s="7" t="str">
        <f>IFERROR(VLOOKUP(H3875,'Contas Orç'!A:B,2,0),"N/A")</f>
        <v>RECEITA BRUTA DE TRANSPORTES</v>
      </c>
      <c r="B3875" s="7" t="str">
        <f t="shared" si="122"/>
        <v>310101 - RECEITA BRUTA DE TRANSPORTES</v>
      </c>
      <c r="C3875" s="25">
        <f t="shared" si="123"/>
        <v>44896</v>
      </c>
      <c r="D3875" s="27">
        <f>IF(K3875="CREDITO",Q3875,Q3875*-1)</f>
        <v>1718.29</v>
      </c>
      <c r="E3875" t="s">
        <v>4445</v>
      </c>
      <c r="F3875" t="s">
        <v>25</v>
      </c>
      <c r="G3875" s="8">
        <v>44911</v>
      </c>
      <c r="H3875" t="s">
        <v>500</v>
      </c>
      <c r="I3875" t="s">
        <v>27</v>
      </c>
      <c r="J3875" t="s">
        <v>28</v>
      </c>
      <c r="K3875" t="s">
        <v>29</v>
      </c>
      <c r="L3875" t="s">
        <v>43</v>
      </c>
      <c r="M3875" t="s">
        <v>4446</v>
      </c>
      <c r="O3875" t="s">
        <v>643</v>
      </c>
      <c r="P3875" t="s">
        <v>663</v>
      </c>
      <c r="Q3875" s="22">
        <v>1718.29</v>
      </c>
      <c r="R3875" t="s">
        <v>35</v>
      </c>
      <c r="S3875" t="s">
        <v>35</v>
      </c>
      <c r="T3875" t="s">
        <v>35</v>
      </c>
      <c r="U3875" t="s">
        <v>35</v>
      </c>
      <c r="V3875" t="s">
        <v>645</v>
      </c>
      <c r="W3875" t="s">
        <v>890</v>
      </c>
      <c r="X3875" t="s">
        <v>27</v>
      </c>
      <c r="Y3875" t="s">
        <v>28</v>
      </c>
      <c r="AB3875" t="s">
        <v>37</v>
      </c>
    </row>
  </sheetData>
  <autoFilter ref="A1:AB3875" xr:uid="{986EF489-14EE-482D-B79B-43B1F3D2936E}">
    <filterColumn colId="12">
      <filters>
        <filter val="EM - PED (013498) PROD: (23010005) / FOR: (COMPANHIA DE LOCA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EF4A1-8E79-4108-9F4F-4396E1F2F207}">
  <dimension ref="A1:Z308"/>
  <sheetViews>
    <sheetView showGridLines="0" zoomScale="85" zoomScaleNormal="85" workbookViewId="0">
      <selection activeCell="B269" sqref="B269"/>
    </sheetView>
  </sheetViews>
  <sheetFormatPr defaultRowHeight="15" x14ac:dyDescent="0.25"/>
  <cols>
    <col min="1" max="1" width="41.42578125" style="9" bestFit="1" customWidth="1"/>
    <col min="2" max="2" width="14.28515625" style="9" bestFit="1" customWidth="1"/>
    <col min="3" max="3" width="11.28515625" bestFit="1" customWidth="1"/>
    <col min="4" max="4" width="10.7109375" customWidth="1"/>
    <col min="5" max="5" width="10.7109375" bestFit="1" customWidth="1"/>
    <col min="11" max="11" width="62.42578125" bestFit="1" customWidth="1"/>
  </cols>
  <sheetData>
    <row r="1" spans="1:26" x14ac:dyDescent="0.25">
      <c r="A1" s="9" t="s">
        <v>742</v>
      </c>
      <c r="B1" s="16" t="s">
        <v>854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</row>
    <row r="2" spans="1:26" x14ac:dyDescent="0.25">
      <c r="A2" s="7" t="str">
        <f>VLOOKUP(F2,'Contas Orç'!A:B,2,0)</f>
        <v>PECAS E ACESSORIOS</v>
      </c>
      <c r="B2" s="7" t="str">
        <f>VLOOKUP(C2,Base_20.12!E:E,1,0)</f>
        <v>0000000001</v>
      </c>
      <c r="C2" t="s">
        <v>24</v>
      </c>
      <c r="D2" t="s">
        <v>25</v>
      </c>
      <c r="E2" s="8">
        <v>44874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35</v>
      </c>
      <c r="R2" t="s">
        <v>35</v>
      </c>
      <c r="S2" t="s">
        <v>35</v>
      </c>
      <c r="T2" t="s">
        <v>36</v>
      </c>
      <c r="V2" t="s">
        <v>27</v>
      </c>
      <c r="W2" t="s">
        <v>28</v>
      </c>
      <c r="Z2" t="s">
        <v>37</v>
      </c>
    </row>
    <row r="3" spans="1:26" x14ac:dyDescent="0.25">
      <c r="A3" s="7" t="str">
        <f>VLOOKUP(F3,'Contas Orç'!A:B,2,0)</f>
        <v>PECAS E ACESSORIOS</v>
      </c>
      <c r="B3" s="7" t="str">
        <f>VLOOKUP(C3,Base_20.12!E:E,1,0)</f>
        <v>0000000001</v>
      </c>
      <c r="C3" t="s">
        <v>24</v>
      </c>
      <c r="D3" t="s">
        <v>38</v>
      </c>
      <c r="E3" s="8">
        <v>44874</v>
      </c>
      <c r="F3" t="s">
        <v>39</v>
      </c>
      <c r="G3" t="s">
        <v>40</v>
      </c>
      <c r="H3" t="s">
        <v>28</v>
      </c>
      <c r="I3" t="s">
        <v>29</v>
      </c>
      <c r="J3" t="s">
        <v>30</v>
      </c>
      <c r="K3" t="s">
        <v>41</v>
      </c>
      <c r="M3" t="s">
        <v>32</v>
      </c>
      <c r="N3" t="s">
        <v>33</v>
      </c>
      <c r="O3" t="s">
        <v>34</v>
      </c>
      <c r="P3" t="s">
        <v>35</v>
      </c>
      <c r="Q3" t="s">
        <v>35</v>
      </c>
      <c r="R3" t="s">
        <v>35</v>
      </c>
      <c r="S3" t="s">
        <v>35</v>
      </c>
      <c r="T3" t="s">
        <v>36</v>
      </c>
      <c r="V3" t="s">
        <v>40</v>
      </c>
      <c r="W3" t="s">
        <v>28</v>
      </c>
      <c r="Z3" t="s">
        <v>37</v>
      </c>
    </row>
    <row r="4" spans="1:26" x14ac:dyDescent="0.25">
      <c r="A4" s="7" t="str">
        <f>VLOOKUP(F4,'Contas Orç'!A:B,2,0)</f>
        <v>PECAS E ACESSORIOS</v>
      </c>
      <c r="B4" s="7" t="str">
        <f>VLOOKUP(C4,Base_20.12!E:E,1,0)</f>
        <v>0000000002</v>
      </c>
      <c r="C4" t="s">
        <v>42</v>
      </c>
      <c r="D4" t="s">
        <v>25</v>
      </c>
      <c r="E4" s="8">
        <v>44874</v>
      </c>
      <c r="F4" t="s">
        <v>26</v>
      </c>
      <c r="G4" t="s">
        <v>27</v>
      </c>
      <c r="H4" t="s">
        <v>28</v>
      </c>
      <c r="I4" t="s">
        <v>29</v>
      </c>
      <c r="J4" t="s">
        <v>43</v>
      </c>
      <c r="K4" t="s">
        <v>44</v>
      </c>
      <c r="M4" t="s">
        <v>45</v>
      </c>
      <c r="N4" t="s">
        <v>33</v>
      </c>
      <c r="O4" t="s">
        <v>34</v>
      </c>
      <c r="P4" t="s">
        <v>35</v>
      </c>
      <c r="Q4" t="s">
        <v>35</v>
      </c>
      <c r="R4" t="s">
        <v>35</v>
      </c>
      <c r="S4" t="s">
        <v>35</v>
      </c>
      <c r="V4" t="s">
        <v>27</v>
      </c>
      <c r="W4" t="s">
        <v>28</v>
      </c>
      <c r="Z4" t="s">
        <v>37</v>
      </c>
    </row>
    <row r="5" spans="1:26" x14ac:dyDescent="0.25">
      <c r="A5" s="7" t="str">
        <f>VLOOKUP(F5,'Contas Orç'!A:B,2,0)</f>
        <v>PECAS E ACESSORIOS</v>
      </c>
      <c r="B5" s="7" t="str">
        <f>VLOOKUP(C5,Base_20.12!E:E,1,0)</f>
        <v>0000000002</v>
      </c>
      <c r="C5" t="s">
        <v>42</v>
      </c>
      <c r="D5" t="s">
        <v>38</v>
      </c>
      <c r="E5" s="8">
        <v>44874</v>
      </c>
      <c r="F5" t="s">
        <v>26</v>
      </c>
      <c r="G5" t="s">
        <v>27</v>
      </c>
      <c r="H5" t="s">
        <v>28</v>
      </c>
      <c r="I5" t="s">
        <v>46</v>
      </c>
      <c r="J5" t="s">
        <v>30</v>
      </c>
      <c r="K5" t="s">
        <v>47</v>
      </c>
      <c r="M5" t="s">
        <v>45</v>
      </c>
      <c r="N5" t="s">
        <v>33</v>
      </c>
      <c r="O5" t="s">
        <v>34</v>
      </c>
      <c r="P5" t="s">
        <v>35</v>
      </c>
      <c r="Q5" t="s">
        <v>35</v>
      </c>
      <c r="R5" t="s">
        <v>35</v>
      </c>
      <c r="S5" t="s">
        <v>35</v>
      </c>
      <c r="V5" t="s">
        <v>27</v>
      </c>
      <c r="W5" t="s">
        <v>28</v>
      </c>
      <c r="Z5" t="s">
        <v>37</v>
      </c>
    </row>
    <row r="6" spans="1:26" x14ac:dyDescent="0.25">
      <c r="A6" s="7" t="str">
        <f>VLOOKUP(F6,'Contas Orç'!A:B,2,0)</f>
        <v>PECAS E ACESSORIOS</v>
      </c>
      <c r="B6" s="7" t="str">
        <f>VLOOKUP(C6,Base_20.12!E:E,1,0)</f>
        <v>0000000002</v>
      </c>
      <c r="C6" t="s">
        <v>42</v>
      </c>
      <c r="D6" t="s">
        <v>48</v>
      </c>
      <c r="E6" s="8">
        <v>44874</v>
      </c>
      <c r="F6" t="s">
        <v>39</v>
      </c>
      <c r="G6" t="s">
        <v>40</v>
      </c>
      <c r="H6" t="s">
        <v>28</v>
      </c>
      <c r="I6" t="s">
        <v>29</v>
      </c>
      <c r="J6" t="s">
        <v>43</v>
      </c>
      <c r="K6" t="s">
        <v>49</v>
      </c>
      <c r="M6" t="s">
        <v>45</v>
      </c>
      <c r="N6" t="s">
        <v>33</v>
      </c>
      <c r="O6" t="s">
        <v>34</v>
      </c>
      <c r="P6" t="s">
        <v>35</v>
      </c>
      <c r="Q6" t="s">
        <v>35</v>
      </c>
      <c r="R6" t="s">
        <v>35</v>
      </c>
      <c r="S6" t="s">
        <v>35</v>
      </c>
      <c r="V6" t="s">
        <v>40</v>
      </c>
      <c r="W6" t="s">
        <v>28</v>
      </c>
      <c r="Z6" t="s">
        <v>37</v>
      </c>
    </row>
    <row r="7" spans="1:26" x14ac:dyDescent="0.25">
      <c r="A7" s="7" t="str">
        <f>VLOOKUP(F7,'Contas Orç'!A:B,2,0)</f>
        <v>PECAS E ACESSORIOS</v>
      </c>
      <c r="B7" s="7" t="str">
        <f>VLOOKUP(C7,Base_20.12!E:E,1,0)</f>
        <v>0000000002</v>
      </c>
      <c r="C7" t="s">
        <v>42</v>
      </c>
      <c r="D7" t="s">
        <v>50</v>
      </c>
      <c r="E7" s="8">
        <v>44874</v>
      </c>
      <c r="F7" t="s">
        <v>39</v>
      </c>
      <c r="G7" t="s">
        <v>40</v>
      </c>
      <c r="H7" t="s">
        <v>28</v>
      </c>
      <c r="I7" t="s">
        <v>46</v>
      </c>
      <c r="J7" t="s">
        <v>30</v>
      </c>
      <c r="K7" t="s">
        <v>51</v>
      </c>
      <c r="M7" t="s">
        <v>45</v>
      </c>
      <c r="N7" t="s">
        <v>33</v>
      </c>
      <c r="O7" t="s">
        <v>34</v>
      </c>
      <c r="P7" t="s">
        <v>35</v>
      </c>
      <c r="Q7" t="s">
        <v>35</v>
      </c>
      <c r="R7" t="s">
        <v>35</v>
      </c>
      <c r="S7" t="s">
        <v>35</v>
      </c>
      <c r="V7" t="s">
        <v>40</v>
      </c>
      <c r="W7" t="s">
        <v>28</v>
      </c>
      <c r="Z7" t="s">
        <v>37</v>
      </c>
    </row>
    <row r="8" spans="1:26" x14ac:dyDescent="0.25">
      <c r="A8" s="7" t="str">
        <f>VLOOKUP(F8,'Contas Orç'!A:B,2,0)</f>
        <v>PECAS E ACESSORIOS</v>
      </c>
      <c r="B8" s="7" t="str">
        <f>VLOOKUP(C8,Base_20.12!E:E,1,0)</f>
        <v>0000000003</v>
      </c>
      <c r="C8" t="s">
        <v>52</v>
      </c>
      <c r="D8" t="s">
        <v>25</v>
      </c>
      <c r="E8" s="8">
        <v>44876</v>
      </c>
      <c r="F8" t="s">
        <v>26</v>
      </c>
      <c r="G8" t="s">
        <v>53</v>
      </c>
      <c r="H8" t="s">
        <v>54</v>
      </c>
      <c r="I8" t="s">
        <v>29</v>
      </c>
      <c r="J8" t="s">
        <v>30</v>
      </c>
      <c r="K8" t="s">
        <v>55</v>
      </c>
      <c r="M8" t="s">
        <v>56</v>
      </c>
      <c r="N8" t="s">
        <v>33</v>
      </c>
      <c r="O8" t="s">
        <v>57</v>
      </c>
      <c r="P8" t="s">
        <v>35</v>
      </c>
      <c r="Q8" t="s">
        <v>35</v>
      </c>
      <c r="R8" t="s">
        <v>35</v>
      </c>
      <c r="S8" t="s">
        <v>35</v>
      </c>
      <c r="T8" t="s">
        <v>36</v>
      </c>
      <c r="W8" t="s">
        <v>54</v>
      </c>
      <c r="Z8" t="s">
        <v>37</v>
      </c>
    </row>
    <row r="9" spans="1:26" x14ac:dyDescent="0.25">
      <c r="A9" s="7" t="e">
        <f>VLOOKUP(F9,'Contas Orç'!A:B,2,0)</f>
        <v>#N/A</v>
      </c>
      <c r="B9" s="7" t="str">
        <f>VLOOKUP(C9,Base_20.12!E:E,1,0)</f>
        <v>0000000004</v>
      </c>
      <c r="C9" t="s">
        <v>58</v>
      </c>
      <c r="D9" t="s">
        <v>25</v>
      </c>
      <c r="E9" s="8">
        <v>44879</v>
      </c>
      <c r="G9" t="s">
        <v>59</v>
      </c>
      <c r="H9" t="s">
        <v>60</v>
      </c>
      <c r="I9" t="s">
        <v>29</v>
      </c>
      <c r="J9" t="s">
        <v>30</v>
      </c>
      <c r="K9" t="s">
        <v>61</v>
      </c>
      <c r="M9" t="s">
        <v>56</v>
      </c>
      <c r="N9" t="s">
        <v>62</v>
      </c>
      <c r="O9" t="s">
        <v>63</v>
      </c>
      <c r="P9" t="s">
        <v>35</v>
      </c>
      <c r="Q9" t="s">
        <v>35</v>
      </c>
      <c r="R9" t="s">
        <v>35</v>
      </c>
      <c r="S9" t="s">
        <v>35</v>
      </c>
      <c r="V9" t="s">
        <v>59</v>
      </c>
      <c r="W9" t="s">
        <v>60</v>
      </c>
      <c r="Z9" t="s">
        <v>37</v>
      </c>
    </row>
    <row r="10" spans="1:26" x14ac:dyDescent="0.25">
      <c r="A10" s="7" t="e">
        <f>VLOOKUP(F10,'Contas Orç'!A:B,2,0)</f>
        <v>#N/A</v>
      </c>
      <c r="B10" s="7" t="str">
        <f>VLOOKUP(C10,Base_20.12!E:E,1,0)</f>
        <v>0000000004</v>
      </c>
      <c r="C10" t="s">
        <v>58</v>
      </c>
      <c r="D10" t="s">
        <v>38</v>
      </c>
      <c r="E10" s="8">
        <v>44879</v>
      </c>
      <c r="G10" t="s">
        <v>59</v>
      </c>
      <c r="H10" t="s">
        <v>60</v>
      </c>
      <c r="I10" t="s">
        <v>29</v>
      </c>
      <c r="J10" t="s">
        <v>30</v>
      </c>
      <c r="K10" t="s">
        <v>64</v>
      </c>
      <c r="M10" t="s">
        <v>56</v>
      </c>
      <c r="N10" t="s">
        <v>62</v>
      </c>
      <c r="O10" t="s">
        <v>65</v>
      </c>
      <c r="P10" t="s">
        <v>35</v>
      </c>
      <c r="Q10" t="s">
        <v>35</v>
      </c>
      <c r="R10" t="s">
        <v>35</v>
      </c>
      <c r="S10" t="s">
        <v>35</v>
      </c>
      <c r="V10" t="s">
        <v>59</v>
      </c>
      <c r="W10" t="s">
        <v>60</v>
      </c>
      <c r="Z10" t="s">
        <v>37</v>
      </c>
    </row>
    <row r="11" spans="1:26" x14ac:dyDescent="0.25">
      <c r="A11" s="7" t="str">
        <f>VLOOKUP(F11,'Contas Orç'!A:B,2,0)</f>
        <v>PJ-OUTROS SERVICOS CONTRATADOS-PJ</v>
      </c>
      <c r="B11" s="7" t="str">
        <f>VLOOKUP(C11,Base_20.12!E:E,1,0)</f>
        <v>0000000005</v>
      </c>
      <c r="C11" t="s">
        <v>66</v>
      </c>
      <c r="D11" t="s">
        <v>25</v>
      </c>
      <c r="E11" s="8">
        <v>44879</v>
      </c>
      <c r="F11" t="s">
        <v>67</v>
      </c>
      <c r="G11" t="s">
        <v>68</v>
      </c>
      <c r="H11" t="s">
        <v>69</v>
      </c>
      <c r="I11" t="s">
        <v>29</v>
      </c>
      <c r="J11" t="s">
        <v>30</v>
      </c>
      <c r="K11" t="s">
        <v>70</v>
      </c>
      <c r="M11" t="s">
        <v>56</v>
      </c>
      <c r="N11" t="s">
        <v>71</v>
      </c>
      <c r="O11" t="s">
        <v>72</v>
      </c>
      <c r="P11" t="s">
        <v>35</v>
      </c>
      <c r="Q11" t="s">
        <v>35</v>
      </c>
      <c r="R11" t="s">
        <v>35</v>
      </c>
      <c r="S11" t="s">
        <v>35</v>
      </c>
      <c r="V11" t="s">
        <v>68</v>
      </c>
      <c r="W11" t="s">
        <v>69</v>
      </c>
      <c r="Z11" t="s">
        <v>37</v>
      </c>
    </row>
    <row r="12" spans="1:26" x14ac:dyDescent="0.25">
      <c r="A12" s="7" t="str">
        <f>VLOOKUP(F12,'Contas Orç'!A:B,2,0)</f>
        <v>BENEFICIOS</v>
      </c>
      <c r="B12" s="7" t="str">
        <f>VLOOKUP(C12,Base_20.12!E:E,1,0)</f>
        <v>0000000007</v>
      </c>
      <c r="C12" t="s">
        <v>73</v>
      </c>
      <c r="D12" t="s">
        <v>25</v>
      </c>
      <c r="E12" s="8">
        <v>44879</v>
      </c>
      <c r="F12" t="s">
        <v>74</v>
      </c>
      <c r="G12" t="s">
        <v>75</v>
      </c>
      <c r="H12" t="s">
        <v>54</v>
      </c>
      <c r="I12" t="s">
        <v>29</v>
      </c>
      <c r="J12" t="s">
        <v>30</v>
      </c>
      <c r="K12" t="s">
        <v>76</v>
      </c>
      <c r="M12" t="s">
        <v>56</v>
      </c>
      <c r="N12" t="s">
        <v>71</v>
      </c>
      <c r="O12" t="s">
        <v>77</v>
      </c>
      <c r="P12" t="s">
        <v>35</v>
      </c>
      <c r="Q12" t="s">
        <v>35</v>
      </c>
      <c r="R12" t="s">
        <v>35</v>
      </c>
      <c r="S12" t="s">
        <v>35</v>
      </c>
      <c r="V12" t="s">
        <v>75</v>
      </c>
      <c r="W12" t="s">
        <v>54</v>
      </c>
      <c r="Z12" t="s">
        <v>37</v>
      </c>
    </row>
    <row r="13" spans="1:26" x14ac:dyDescent="0.25">
      <c r="A13" s="7" t="str">
        <f>VLOOKUP(F13,'Contas Orç'!A:B,2,0)</f>
        <v>BENEFICIOS</v>
      </c>
      <c r="B13" s="7" t="str">
        <f>VLOOKUP(C13,Base_20.12!E:E,1,0)</f>
        <v>0000000007</v>
      </c>
      <c r="C13" t="s">
        <v>73</v>
      </c>
      <c r="D13" t="s">
        <v>38</v>
      </c>
      <c r="E13" s="8">
        <v>44879</v>
      </c>
      <c r="F13" t="s">
        <v>74</v>
      </c>
      <c r="G13" t="s">
        <v>78</v>
      </c>
      <c r="H13" t="s">
        <v>54</v>
      </c>
      <c r="I13" t="s">
        <v>29</v>
      </c>
      <c r="J13" t="s">
        <v>30</v>
      </c>
      <c r="K13" t="s">
        <v>79</v>
      </c>
      <c r="M13" t="s">
        <v>56</v>
      </c>
      <c r="N13" t="s">
        <v>71</v>
      </c>
      <c r="O13" t="s">
        <v>80</v>
      </c>
      <c r="P13" t="s">
        <v>35</v>
      </c>
      <c r="Q13" t="s">
        <v>35</v>
      </c>
      <c r="R13" t="s">
        <v>35</v>
      </c>
      <c r="S13" t="s">
        <v>35</v>
      </c>
      <c r="V13" t="s">
        <v>78</v>
      </c>
      <c r="W13" t="s">
        <v>54</v>
      </c>
      <c r="Z13" t="s">
        <v>37</v>
      </c>
    </row>
    <row r="14" spans="1:26" x14ac:dyDescent="0.25">
      <c r="A14" s="7" t="str">
        <f>VLOOKUP(F14,'Contas Orç'!A:B,2,0)</f>
        <v>BENEFICIOS</v>
      </c>
      <c r="B14" s="7" t="str">
        <f>VLOOKUP(C14,Base_20.12!E:E,1,0)</f>
        <v>0000000007</v>
      </c>
      <c r="C14" t="s">
        <v>73</v>
      </c>
      <c r="D14" t="s">
        <v>48</v>
      </c>
      <c r="E14" s="8">
        <v>44879</v>
      </c>
      <c r="F14" t="s">
        <v>74</v>
      </c>
      <c r="G14" t="s">
        <v>81</v>
      </c>
      <c r="H14" t="s">
        <v>54</v>
      </c>
      <c r="I14" t="s">
        <v>29</v>
      </c>
      <c r="J14" t="s">
        <v>30</v>
      </c>
      <c r="K14" t="s">
        <v>82</v>
      </c>
      <c r="M14" t="s">
        <v>56</v>
      </c>
      <c r="N14" t="s">
        <v>71</v>
      </c>
      <c r="O14" t="s">
        <v>83</v>
      </c>
      <c r="P14" t="s">
        <v>35</v>
      </c>
      <c r="Q14" t="s">
        <v>35</v>
      </c>
      <c r="R14" t="s">
        <v>35</v>
      </c>
      <c r="S14" t="s">
        <v>35</v>
      </c>
      <c r="V14" t="s">
        <v>81</v>
      </c>
      <c r="W14" t="s">
        <v>54</v>
      </c>
      <c r="Z14" t="s">
        <v>37</v>
      </c>
    </row>
    <row r="15" spans="1:26" x14ac:dyDescent="0.25">
      <c r="A15" s="7" t="str">
        <f>VLOOKUP(F15,'Contas Orç'!A:B,2,0)</f>
        <v>BENEFICIOS</v>
      </c>
      <c r="B15" s="7" t="str">
        <f>VLOOKUP(C15,Base_20.12!E:E,1,0)</f>
        <v>0000000007</v>
      </c>
      <c r="C15" t="s">
        <v>73</v>
      </c>
      <c r="D15" t="s">
        <v>50</v>
      </c>
      <c r="E15" s="8">
        <v>44879</v>
      </c>
      <c r="F15" t="s">
        <v>84</v>
      </c>
      <c r="G15" t="s">
        <v>53</v>
      </c>
      <c r="H15" t="s">
        <v>28</v>
      </c>
      <c r="I15" t="s">
        <v>29</v>
      </c>
      <c r="J15" t="s">
        <v>30</v>
      </c>
      <c r="K15" t="s">
        <v>85</v>
      </c>
      <c r="M15" t="s">
        <v>56</v>
      </c>
      <c r="N15" t="s">
        <v>71</v>
      </c>
      <c r="O15" t="s">
        <v>86</v>
      </c>
      <c r="P15" t="s">
        <v>35</v>
      </c>
      <c r="Q15" t="s">
        <v>35</v>
      </c>
      <c r="R15" t="s">
        <v>35</v>
      </c>
      <c r="S15" t="s">
        <v>35</v>
      </c>
      <c r="V15" t="s">
        <v>53</v>
      </c>
      <c r="W15" t="s">
        <v>28</v>
      </c>
      <c r="Z15" t="s">
        <v>37</v>
      </c>
    </row>
    <row r="16" spans="1:26" x14ac:dyDescent="0.25">
      <c r="A16" s="7" t="str">
        <f>VLOOKUP(F16,'Contas Orç'!A:B,2,0)</f>
        <v>BENEFICIOS</v>
      </c>
      <c r="B16" s="7" t="str">
        <f>VLOOKUP(C16,Base_20.12!E:E,1,0)</f>
        <v>0000000007</v>
      </c>
      <c r="C16" t="s">
        <v>73</v>
      </c>
      <c r="D16" t="s">
        <v>87</v>
      </c>
      <c r="E16" s="8">
        <v>44879</v>
      </c>
      <c r="F16" t="s">
        <v>84</v>
      </c>
      <c r="G16" t="s">
        <v>88</v>
      </c>
      <c r="H16" t="s">
        <v>28</v>
      </c>
      <c r="I16" t="s">
        <v>29</v>
      </c>
      <c r="J16" t="s">
        <v>30</v>
      </c>
      <c r="K16" t="s">
        <v>89</v>
      </c>
      <c r="M16" t="s">
        <v>56</v>
      </c>
      <c r="N16" t="s">
        <v>71</v>
      </c>
      <c r="O16" t="s">
        <v>90</v>
      </c>
      <c r="P16" t="s">
        <v>35</v>
      </c>
      <c r="Q16" t="s">
        <v>35</v>
      </c>
      <c r="R16" t="s">
        <v>35</v>
      </c>
      <c r="S16" t="s">
        <v>35</v>
      </c>
      <c r="V16" t="s">
        <v>88</v>
      </c>
      <c r="W16" t="s">
        <v>28</v>
      </c>
      <c r="Z16" t="s">
        <v>37</v>
      </c>
    </row>
    <row r="17" spans="1:26" x14ac:dyDescent="0.25">
      <c r="A17" s="7" t="str">
        <f>VLOOKUP(F17,'Contas Orç'!A:B,2,0)</f>
        <v>BENEFICIOS</v>
      </c>
      <c r="B17" s="7" t="str">
        <f>VLOOKUP(C17,Base_20.12!E:E,1,0)</f>
        <v>0000000007</v>
      </c>
      <c r="C17" t="s">
        <v>73</v>
      </c>
      <c r="D17" t="s">
        <v>91</v>
      </c>
      <c r="E17" s="8">
        <v>44879</v>
      </c>
      <c r="F17" t="s">
        <v>84</v>
      </c>
      <c r="G17" t="s">
        <v>27</v>
      </c>
      <c r="H17" t="s">
        <v>60</v>
      </c>
      <c r="I17" t="s">
        <v>29</v>
      </c>
      <c r="J17" t="s">
        <v>30</v>
      </c>
      <c r="K17" t="s">
        <v>92</v>
      </c>
      <c r="M17" t="s">
        <v>56</v>
      </c>
      <c r="N17" t="s">
        <v>71</v>
      </c>
      <c r="O17" t="s">
        <v>93</v>
      </c>
      <c r="P17" t="s">
        <v>35</v>
      </c>
      <c r="Q17" t="s">
        <v>35</v>
      </c>
      <c r="R17" t="s">
        <v>35</v>
      </c>
      <c r="S17" t="s">
        <v>35</v>
      </c>
      <c r="V17" t="s">
        <v>27</v>
      </c>
      <c r="W17" t="s">
        <v>60</v>
      </c>
      <c r="Z17" t="s">
        <v>37</v>
      </c>
    </row>
    <row r="18" spans="1:26" x14ac:dyDescent="0.25">
      <c r="A18" s="7" t="str">
        <f>VLOOKUP(F18,'Contas Orç'!A:B,2,0)</f>
        <v>BENEFICIOS</v>
      </c>
      <c r="B18" s="7" t="str">
        <f>VLOOKUP(C18,Base_20.12!E:E,1,0)</f>
        <v>0000000007</v>
      </c>
      <c r="C18" t="s">
        <v>73</v>
      </c>
      <c r="D18" t="s">
        <v>94</v>
      </c>
      <c r="E18" s="8">
        <v>44879</v>
      </c>
      <c r="F18" t="s">
        <v>84</v>
      </c>
      <c r="G18" t="s">
        <v>59</v>
      </c>
      <c r="H18" t="s">
        <v>95</v>
      </c>
      <c r="I18" t="s">
        <v>29</v>
      </c>
      <c r="J18" t="s">
        <v>30</v>
      </c>
      <c r="K18" t="s">
        <v>96</v>
      </c>
      <c r="M18" t="s">
        <v>56</v>
      </c>
      <c r="N18" t="s">
        <v>71</v>
      </c>
      <c r="O18" t="s">
        <v>97</v>
      </c>
      <c r="P18" t="s">
        <v>35</v>
      </c>
      <c r="Q18" t="s">
        <v>35</v>
      </c>
      <c r="R18" t="s">
        <v>35</v>
      </c>
      <c r="S18" t="s">
        <v>35</v>
      </c>
      <c r="V18" t="s">
        <v>59</v>
      </c>
      <c r="W18" t="s">
        <v>95</v>
      </c>
      <c r="Z18" t="s">
        <v>37</v>
      </c>
    </row>
    <row r="19" spans="1:26" x14ac:dyDescent="0.25">
      <c r="A19" s="7" t="str">
        <f>VLOOKUP(F19,'Contas Orç'!A:B,2,0)</f>
        <v>BENEFICIOS</v>
      </c>
      <c r="B19" s="7" t="str">
        <f>VLOOKUP(C19,Base_20.12!E:E,1,0)</f>
        <v>0000000007</v>
      </c>
      <c r="C19" t="s">
        <v>73</v>
      </c>
      <c r="D19" t="s">
        <v>98</v>
      </c>
      <c r="E19" s="8">
        <v>44879</v>
      </c>
      <c r="F19" t="s">
        <v>74</v>
      </c>
      <c r="G19" t="s">
        <v>99</v>
      </c>
      <c r="H19" t="s">
        <v>54</v>
      </c>
      <c r="I19" t="s">
        <v>29</v>
      </c>
      <c r="J19" t="s">
        <v>30</v>
      </c>
      <c r="K19" t="s">
        <v>100</v>
      </c>
      <c r="M19" t="s">
        <v>56</v>
      </c>
      <c r="N19" t="s">
        <v>71</v>
      </c>
      <c r="O19" t="s">
        <v>101</v>
      </c>
      <c r="P19" t="s">
        <v>35</v>
      </c>
      <c r="Q19" t="s">
        <v>35</v>
      </c>
      <c r="R19" t="s">
        <v>35</v>
      </c>
      <c r="S19" t="s">
        <v>35</v>
      </c>
      <c r="V19" t="s">
        <v>99</v>
      </c>
      <c r="W19" t="s">
        <v>54</v>
      </c>
      <c r="Z19" t="s">
        <v>37</v>
      </c>
    </row>
    <row r="20" spans="1:26" x14ac:dyDescent="0.25">
      <c r="A20" s="7" t="str">
        <f>VLOOKUP(F20,'Contas Orç'!A:B,2,0)</f>
        <v>BENEFICIOS</v>
      </c>
      <c r="B20" s="7" t="str">
        <f>VLOOKUP(C20,Base_20.12!E:E,1,0)</f>
        <v>0000000007</v>
      </c>
      <c r="C20" t="s">
        <v>73</v>
      </c>
      <c r="D20" t="s">
        <v>102</v>
      </c>
      <c r="E20" s="8">
        <v>44879</v>
      </c>
      <c r="F20" t="s">
        <v>84</v>
      </c>
      <c r="G20" t="s">
        <v>53</v>
      </c>
      <c r="H20" t="s">
        <v>54</v>
      </c>
      <c r="I20" t="s">
        <v>29</v>
      </c>
      <c r="J20" t="s">
        <v>30</v>
      </c>
      <c r="K20" t="s">
        <v>103</v>
      </c>
      <c r="M20" t="s">
        <v>56</v>
      </c>
      <c r="N20" t="s">
        <v>71</v>
      </c>
      <c r="O20" t="s">
        <v>104</v>
      </c>
      <c r="P20" t="s">
        <v>35</v>
      </c>
      <c r="Q20" t="s">
        <v>35</v>
      </c>
      <c r="R20" t="s">
        <v>35</v>
      </c>
      <c r="S20" t="s">
        <v>35</v>
      </c>
      <c r="V20" t="s">
        <v>53</v>
      </c>
      <c r="W20" t="s">
        <v>54</v>
      </c>
      <c r="Z20" t="s">
        <v>37</v>
      </c>
    </row>
    <row r="21" spans="1:26" x14ac:dyDescent="0.25">
      <c r="A21" s="7" t="str">
        <f>VLOOKUP(F21,'Contas Orç'!A:B,2,0)</f>
        <v>BENEFICIOS</v>
      </c>
      <c r="B21" s="7" t="str">
        <f>VLOOKUP(C21,Base_20.12!E:E,1,0)</f>
        <v>0000000007</v>
      </c>
      <c r="C21" t="s">
        <v>73</v>
      </c>
      <c r="D21" t="s">
        <v>105</v>
      </c>
      <c r="E21" s="8">
        <v>44879</v>
      </c>
      <c r="F21" t="s">
        <v>84</v>
      </c>
      <c r="G21" t="s">
        <v>106</v>
      </c>
      <c r="H21" t="s">
        <v>107</v>
      </c>
      <c r="I21" t="s">
        <v>29</v>
      </c>
      <c r="J21" t="s">
        <v>30</v>
      </c>
      <c r="K21" t="s">
        <v>108</v>
      </c>
      <c r="M21" t="s">
        <v>56</v>
      </c>
      <c r="N21" t="s">
        <v>71</v>
      </c>
      <c r="O21" t="s">
        <v>109</v>
      </c>
      <c r="P21" t="s">
        <v>35</v>
      </c>
      <c r="Q21" t="s">
        <v>35</v>
      </c>
      <c r="R21" t="s">
        <v>35</v>
      </c>
      <c r="S21" t="s">
        <v>35</v>
      </c>
      <c r="V21" t="s">
        <v>106</v>
      </c>
      <c r="W21" t="s">
        <v>107</v>
      </c>
      <c r="Z21" t="s">
        <v>37</v>
      </c>
    </row>
    <row r="22" spans="1:26" x14ac:dyDescent="0.25">
      <c r="A22" s="7" t="str">
        <f>VLOOKUP(F22,'Contas Orç'!A:B,2,0)</f>
        <v>BENEFICIOS</v>
      </c>
      <c r="B22" s="7" t="str">
        <f>VLOOKUP(C22,Base_20.12!E:E,1,0)</f>
        <v>0000000007</v>
      </c>
      <c r="C22" t="s">
        <v>73</v>
      </c>
      <c r="D22" t="s">
        <v>110</v>
      </c>
      <c r="E22" s="8">
        <v>44879</v>
      </c>
      <c r="F22" t="s">
        <v>84</v>
      </c>
      <c r="G22" t="s">
        <v>59</v>
      </c>
      <c r="H22" t="s">
        <v>54</v>
      </c>
      <c r="I22" t="s">
        <v>29</v>
      </c>
      <c r="J22" t="s">
        <v>30</v>
      </c>
      <c r="K22" t="s">
        <v>111</v>
      </c>
      <c r="M22" t="s">
        <v>56</v>
      </c>
      <c r="N22" t="s">
        <v>71</v>
      </c>
      <c r="O22" t="s">
        <v>112</v>
      </c>
      <c r="P22" t="s">
        <v>35</v>
      </c>
      <c r="Q22" t="s">
        <v>35</v>
      </c>
      <c r="R22" t="s">
        <v>35</v>
      </c>
      <c r="S22" t="s">
        <v>35</v>
      </c>
      <c r="V22" t="s">
        <v>59</v>
      </c>
      <c r="W22" t="s">
        <v>54</v>
      </c>
      <c r="Z22" t="s">
        <v>37</v>
      </c>
    </row>
    <row r="23" spans="1:26" x14ac:dyDescent="0.25">
      <c r="A23" s="7" t="str">
        <f>VLOOKUP(F23,'Contas Orç'!A:B,2,0)</f>
        <v>BENEFICIOS</v>
      </c>
      <c r="B23" s="7" t="str">
        <f>VLOOKUP(C23,Base_20.12!E:E,1,0)</f>
        <v>0000000007</v>
      </c>
      <c r="C23" t="s">
        <v>73</v>
      </c>
      <c r="D23" t="s">
        <v>113</v>
      </c>
      <c r="E23" s="8">
        <v>44879</v>
      </c>
      <c r="F23" t="s">
        <v>74</v>
      </c>
      <c r="G23" t="s">
        <v>114</v>
      </c>
      <c r="H23" t="s">
        <v>54</v>
      </c>
      <c r="I23" t="s">
        <v>29</v>
      </c>
      <c r="J23" t="s">
        <v>30</v>
      </c>
      <c r="K23" t="s">
        <v>115</v>
      </c>
      <c r="M23" t="s">
        <v>56</v>
      </c>
      <c r="N23" t="s">
        <v>71</v>
      </c>
      <c r="O23" t="s">
        <v>116</v>
      </c>
      <c r="P23" t="s">
        <v>35</v>
      </c>
      <c r="Q23" t="s">
        <v>35</v>
      </c>
      <c r="R23" t="s">
        <v>35</v>
      </c>
      <c r="S23" t="s">
        <v>35</v>
      </c>
      <c r="V23" t="s">
        <v>114</v>
      </c>
      <c r="W23" t="s">
        <v>54</v>
      </c>
      <c r="Z23" t="s">
        <v>37</v>
      </c>
    </row>
    <row r="24" spans="1:26" x14ac:dyDescent="0.25">
      <c r="A24" s="7" t="str">
        <f>VLOOKUP(F24,'Contas Orç'!A:B,2,0)</f>
        <v>BENEFICIOS</v>
      </c>
      <c r="B24" s="7" t="str">
        <f>VLOOKUP(C24,Base_20.12!E:E,1,0)</f>
        <v>0000000007</v>
      </c>
      <c r="C24" t="s">
        <v>73</v>
      </c>
      <c r="D24" t="s">
        <v>117</v>
      </c>
      <c r="E24" s="8">
        <v>44879</v>
      </c>
      <c r="F24" t="s">
        <v>74</v>
      </c>
      <c r="G24" t="s">
        <v>40</v>
      </c>
      <c r="H24" t="s">
        <v>54</v>
      </c>
      <c r="I24" t="s">
        <v>29</v>
      </c>
      <c r="J24" t="s">
        <v>30</v>
      </c>
      <c r="K24" t="s">
        <v>118</v>
      </c>
      <c r="M24" t="s">
        <v>56</v>
      </c>
      <c r="N24" t="s">
        <v>71</v>
      </c>
      <c r="O24" t="s">
        <v>119</v>
      </c>
      <c r="P24" t="s">
        <v>35</v>
      </c>
      <c r="Q24" t="s">
        <v>35</v>
      </c>
      <c r="R24" t="s">
        <v>35</v>
      </c>
      <c r="S24" t="s">
        <v>35</v>
      </c>
      <c r="V24" t="s">
        <v>40</v>
      </c>
      <c r="W24" t="s">
        <v>54</v>
      </c>
      <c r="Z24" t="s">
        <v>37</v>
      </c>
    </row>
    <row r="25" spans="1:26" x14ac:dyDescent="0.25">
      <c r="A25" s="7" t="str">
        <f>VLOOKUP(F25,'Contas Orç'!A:B,2,0)</f>
        <v>BENEFICIOS</v>
      </c>
      <c r="B25" s="7" t="str">
        <f>VLOOKUP(C25,Base_20.12!E:E,1,0)</f>
        <v>0000000007</v>
      </c>
      <c r="C25" t="s">
        <v>73</v>
      </c>
      <c r="D25" t="s">
        <v>120</v>
      </c>
      <c r="E25" s="8">
        <v>44879</v>
      </c>
      <c r="F25" t="s">
        <v>74</v>
      </c>
      <c r="G25" t="s">
        <v>121</v>
      </c>
      <c r="H25" t="s">
        <v>54</v>
      </c>
      <c r="I25" t="s">
        <v>29</v>
      </c>
      <c r="J25" t="s">
        <v>30</v>
      </c>
      <c r="K25" t="s">
        <v>122</v>
      </c>
      <c r="M25" t="s">
        <v>56</v>
      </c>
      <c r="N25" t="s">
        <v>71</v>
      </c>
      <c r="O25" t="s">
        <v>123</v>
      </c>
      <c r="P25" t="s">
        <v>35</v>
      </c>
      <c r="Q25" t="s">
        <v>35</v>
      </c>
      <c r="R25" t="s">
        <v>35</v>
      </c>
      <c r="S25" t="s">
        <v>35</v>
      </c>
      <c r="V25" t="s">
        <v>121</v>
      </c>
      <c r="W25" t="s">
        <v>54</v>
      </c>
      <c r="Z25" t="s">
        <v>37</v>
      </c>
    </row>
    <row r="26" spans="1:26" x14ac:dyDescent="0.25">
      <c r="A26" s="7" t="str">
        <f>VLOOKUP(F26,'Contas Orç'!A:B,2,0)</f>
        <v>BENEFICIOS</v>
      </c>
      <c r="B26" s="7" t="str">
        <f>VLOOKUP(C26,Base_20.12!E:E,1,0)</f>
        <v>0000000007</v>
      </c>
      <c r="C26" t="s">
        <v>73</v>
      </c>
      <c r="D26" t="s">
        <v>124</v>
      </c>
      <c r="E26" s="8">
        <v>44879</v>
      </c>
      <c r="F26" t="s">
        <v>84</v>
      </c>
      <c r="G26" t="s">
        <v>125</v>
      </c>
      <c r="H26" t="s">
        <v>54</v>
      </c>
      <c r="I26" t="s">
        <v>29</v>
      </c>
      <c r="J26" t="s">
        <v>30</v>
      </c>
      <c r="K26" t="s">
        <v>126</v>
      </c>
      <c r="M26" t="s">
        <v>56</v>
      </c>
      <c r="N26" t="s">
        <v>71</v>
      </c>
      <c r="O26" t="s">
        <v>127</v>
      </c>
      <c r="P26" t="s">
        <v>35</v>
      </c>
      <c r="Q26" t="s">
        <v>35</v>
      </c>
      <c r="R26" t="s">
        <v>35</v>
      </c>
      <c r="S26" t="s">
        <v>35</v>
      </c>
      <c r="V26" t="s">
        <v>125</v>
      </c>
      <c r="W26" t="s">
        <v>54</v>
      </c>
      <c r="Z26" t="s">
        <v>37</v>
      </c>
    </row>
    <row r="27" spans="1:26" x14ac:dyDescent="0.25">
      <c r="A27" s="7" t="str">
        <f>VLOOKUP(F27,'Contas Orç'!A:B,2,0)</f>
        <v>BENEFICIOS</v>
      </c>
      <c r="B27" s="7" t="str">
        <f>VLOOKUP(C27,Base_20.12!E:E,1,0)</f>
        <v>0000000007</v>
      </c>
      <c r="C27" t="s">
        <v>73</v>
      </c>
      <c r="D27" t="s">
        <v>128</v>
      </c>
      <c r="E27" s="8">
        <v>44879</v>
      </c>
      <c r="F27" t="s">
        <v>74</v>
      </c>
      <c r="G27" t="s">
        <v>40</v>
      </c>
      <c r="H27" t="s">
        <v>54</v>
      </c>
      <c r="I27" t="s">
        <v>29</v>
      </c>
      <c r="J27" t="s">
        <v>30</v>
      </c>
      <c r="K27" t="s">
        <v>129</v>
      </c>
      <c r="M27" t="s">
        <v>56</v>
      </c>
      <c r="N27" t="s">
        <v>71</v>
      </c>
      <c r="O27" t="s">
        <v>130</v>
      </c>
      <c r="P27" t="s">
        <v>35</v>
      </c>
      <c r="Q27" t="s">
        <v>35</v>
      </c>
      <c r="R27" t="s">
        <v>35</v>
      </c>
      <c r="S27" t="s">
        <v>35</v>
      </c>
      <c r="V27" t="s">
        <v>40</v>
      </c>
      <c r="W27" t="s">
        <v>54</v>
      </c>
      <c r="Z27" t="s">
        <v>37</v>
      </c>
    </row>
    <row r="28" spans="1:26" x14ac:dyDescent="0.25">
      <c r="A28" s="7" t="str">
        <f>VLOOKUP(F28,'Contas Orç'!A:B,2,0)</f>
        <v>BENEFICIOS</v>
      </c>
      <c r="B28" s="7" t="str">
        <f>VLOOKUP(C28,Base_20.12!E:E,1,0)</f>
        <v>0000000007</v>
      </c>
      <c r="C28" t="s">
        <v>73</v>
      </c>
      <c r="D28" t="s">
        <v>131</v>
      </c>
      <c r="E28" s="8">
        <v>44879</v>
      </c>
      <c r="F28" t="s">
        <v>74</v>
      </c>
      <c r="G28" t="s">
        <v>132</v>
      </c>
      <c r="H28" t="s">
        <v>54</v>
      </c>
      <c r="I28" t="s">
        <v>29</v>
      </c>
      <c r="J28" t="s">
        <v>30</v>
      </c>
      <c r="K28" t="s">
        <v>133</v>
      </c>
      <c r="M28" t="s">
        <v>56</v>
      </c>
      <c r="N28" t="s">
        <v>71</v>
      </c>
      <c r="O28" t="s">
        <v>134</v>
      </c>
      <c r="P28" t="s">
        <v>35</v>
      </c>
      <c r="Q28" t="s">
        <v>35</v>
      </c>
      <c r="R28" t="s">
        <v>35</v>
      </c>
      <c r="S28" t="s">
        <v>35</v>
      </c>
      <c r="V28" t="s">
        <v>132</v>
      </c>
      <c r="W28" t="s">
        <v>54</v>
      </c>
      <c r="Z28" t="s">
        <v>37</v>
      </c>
    </row>
    <row r="29" spans="1:26" x14ac:dyDescent="0.25">
      <c r="A29" s="7" t="str">
        <f>VLOOKUP(F29,'Contas Orç'!A:B,2,0)</f>
        <v>BENEFICIOS</v>
      </c>
      <c r="B29" s="7" t="str">
        <f>VLOOKUP(C29,Base_20.12!E:E,1,0)</f>
        <v>0000000007</v>
      </c>
      <c r="C29" t="s">
        <v>73</v>
      </c>
      <c r="D29" t="s">
        <v>135</v>
      </c>
      <c r="E29" s="8">
        <v>44879</v>
      </c>
      <c r="F29" t="s">
        <v>74</v>
      </c>
      <c r="G29" t="s">
        <v>136</v>
      </c>
      <c r="H29" t="s">
        <v>54</v>
      </c>
      <c r="I29" t="s">
        <v>29</v>
      </c>
      <c r="J29" t="s">
        <v>30</v>
      </c>
      <c r="K29" t="s">
        <v>137</v>
      </c>
      <c r="M29" t="s">
        <v>56</v>
      </c>
      <c r="N29" t="s">
        <v>71</v>
      </c>
      <c r="O29" t="s">
        <v>104</v>
      </c>
      <c r="P29" t="s">
        <v>35</v>
      </c>
      <c r="Q29" t="s">
        <v>35</v>
      </c>
      <c r="R29" t="s">
        <v>35</v>
      </c>
      <c r="S29" t="s">
        <v>35</v>
      </c>
      <c r="V29" t="s">
        <v>136</v>
      </c>
      <c r="W29" t="s">
        <v>54</v>
      </c>
      <c r="Z29" t="s">
        <v>37</v>
      </c>
    </row>
    <row r="30" spans="1:26" x14ac:dyDescent="0.25">
      <c r="A30" s="7" t="str">
        <f>VLOOKUP(F30,'Contas Orç'!A:B,2,0)</f>
        <v>BENEFICIOS</v>
      </c>
      <c r="B30" s="7" t="str">
        <f>VLOOKUP(C30,Base_20.12!E:E,1,0)</f>
        <v>0000000007</v>
      </c>
      <c r="C30" t="s">
        <v>73</v>
      </c>
      <c r="D30" t="s">
        <v>138</v>
      </c>
      <c r="E30" s="8">
        <v>44879</v>
      </c>
      <c r="F30" t="s">
        <v>84</v>
      </c>
      <c r="G30" t="s">
        <v>125</v>
      </c>
      <c r="H30" t="s">
        <v>54</v>
      </c>
      <c r="I30" t="s">
        <v>29</v>
      </c>
      <c r="J30" t="s">
        <v>30</v>
      </c>
      <c r="K30" t="s">
        <v>139</v>
      </c>
      <c r="M30" t="s">
        <v>56</v>
      </c>
      <c r="N30" t="s">
        <v>71</v>
      </c>
      <c r="O30" t="s">
        <v>116</v>
      </c>
      <c r="P30" t="s">
        <v>35</v>
      </c>
      <c r="Q30" t="s">
        <v>35</v>
      </c>
      <c r="R30" t="s">
        <v>35</v>
      </c>
      <c r="S30" t="s">
        <v>35</v>
      </c>
      <c r="V30" t="s">
        <v>125</v>
      </c>
      <c r="W30" t="s">
        <v>54</v>
      </c>
      <c r="Z30" t="s">
        <v>37</v>
      </c>
    </row>
    <row r="31" spans="1:26" x14ac:dyDescent="0.25">
      <c r="A31" s="7" t="str">
        <f>VLOOKUP(F31,'Contas Orç'!A:B,2,0)</f>
        <v>BENEFICIOS</v>
      </c>
      <c r="B31" s="7" t="str">
        <f>VLOOKUP(C31,Base_20.12!E:E,1,0)</f>
        <v>0000000007</v>
      </c>
      <c r="C31" t="s">
        <v>73</v>
      </c>
      <c r="D31" t="s">
        <v>140</v>
      </c>
      <c r="E31" s="8">
        <v>44879</v>
      </c>
      <c r="F31" t="s">
        <v>84</v>
      </c>
      <c r="G31" t="s">
        <v>125</v>
      </c>
      <c r="H31" t="s">
        <v>54</v>
      </c>
      <c r="I31" t="s">
        <v>29</v>
      </c>
      <c r="J31" t="s">
        <v>30</v>
      </c>
      <c r="K31" t="s">
        <v>141</v>
      </c>
      <c r="M31" t="s">
        <v>56</v>
      </c>
      <c r="N31" t="s">
        <v>71</v>
      </c>
      <c r="O31" t="s">
        <v>142</v>
      </c>
      <c r="P31" t="s">
        <v>35</v>
      </c>
      <c r="Q31" t="s">
        <v>35</v>
      </c>
      <c r="R31" t="s">
        <v>35</v>
      </c>
      <c r="S31" t="s">
        <v>35</v>
      </c>
      <c r="V31" t="s">
        <v>125</v>
      </c>
      <c r="W31" t="s">
        <v>54</v>
      </c>
      <c r="Z31" t="s">
        <v>37</v>
      </c>
    </row>
    <row r="32" spans="1:26" x14ac:dyDescent="0.25">
      <c r="A32" s="7" t="str">
        <f>VLOOKUP(F32,'Contas Orç'!A:B,2,0)</f>
        <v>PJ-OUTROS SERVICOS CONTRATADOS-PJ</v>
      </c>
      <c r="B32" s="7" t="str">
        <f>VLOOKUP(C32,Base_20.12!E:E,1,0)</f>
        <v>0000000008</v>
      </c>
      <c r="C32" t="s">
        <v>143</v>
      </c>
      <c r="D32" t="s">
        <v>25</v>
      </c>
      <c r="E32" s="8">
        <v>44879</v>
      </c>
      <c r="F32" t="s">
        <v>144</v>
      </c>
      <c r="G32" t="s">
        <v>106</v>
      </c>
      <c r="H32" t="s">
        <v>60</v>
      </c>
      <c r="I32" t="s">
        <v>29</v>
      </c>
      <c r="J32" t="s">
        <v>30</v>
      </c>
      <c r="K32" t="s">
        <v>145</v>
      </c>
      <c r="M32" t="s">
        <v>56</v>
      </c>
      <c r="N32" t="s">
        <v>71</v>
      </c>
      <c r="O32" t="s">
        <v>146</v>
      </c>
      <c r="P32" t="s">
        <v>35</v>
      </c>
      <c r="Q32" t="s">
        <v>35</v>
      </c>
      <c r="R32" t="s">
        <v>35</v>
      </c>
      <c r="S32" t="s">
        <v>35</v>
      </c>
      <c r="V32" t="s">
        <v>106</v>
      </c>
      <c r="W32" t="s">
        <v>60</v>
      </c>
      <c r="Z32" t="s">
        <v>37</v>
      </c>
    </row>
    <row r="33" spans="1:26" x14ac:dyDescent="0.25">
      <c r="A33" s="7" t="str">
        <f>VLOOKUP(F33,'Contas Orç'!A:B,2,0)</f>
        <v>PECAS E ACESSORIOS</v>
      </c>
      <c r="B33" s="7" t="str">
        <f>VLOOKUP(C33,Base_20.12!E:E,1,0)</f>
        <v>0000000009</v>
      </c>
      <c r="C33" t="s">
        <v>147</v>
      </c>
      <c r="D33" t="s">
        <v>25</v>
      </c>
      <c r="E33" s="8">
        <v>44879</v>
      </c>
      <c r="F33" t="s">
        <v>39</v>
      </c>
      <c r="G33" t="s">
        <v>81</v>
      </c>
      <c r="H33" t="s">
        <v>54</v>
      </c>
      <c r="I33" t="s">
        <v>29</v>
      </c>
      <c r="J33" t="s">
        <v>30</v>
      </c>
      <c r="K33" t="s">
        <v>148</v>
      </c>
      <c r="M33" t="s">
        <v>56</v>
      </c>
      <c r="N33" t="s">
        <v>71</v>
      </c>
      <c r="O33" t="s">
        <v>149</v>
      </c>
      <c r="P33" t="s">
        <v>35</v>
      </c>
      <c r="Q33" t="s">
        <v>35</v>
      </c>
      <c r="R33" t="s">
        <v>35</v>
      </c>
      <c r="S33" t="s">
        <v>35</v>
      </c>
      <c r="V33" t="s">
        <v>81</v>
      </c>
      <c r="W33" t="s">
        <v>54</v>
      </c>
      <c r="Z33" t="s">
        <v>37</v>
      </c>
    </row>
    <row r="34" spans="1:26" x14ac:dyDescent="0.25">
      <c r="A34" s="7" t="str">
        <f>VLOOKUP(F34,'Contas Orç'!A:B,2,0)</f>
        <v>PECAS E ACESSORIOS</v>
      </c>
      <c r="B34" s="7" t="str">
        <f>VLOOKUP(C34,Base_20.12!E:E,1,0)</f>
        <v>0000000010</v>
      </c>
      <c r="C34" t="s">
        <v>150</v>
      </c>
      <c r="D34" t="s">
        <v>25</v>
      </c>
      <c r="E34" s="8">
        <v>44879</v>
      </c>
      <c r="F34" t="s">
        <v>39</v>
      </c>
      <c r="G34" t="s">
        <v>81</v>
      </c>
      <c r="H34" t="s">
        <v>54</v>
      </c>
      <c r="I34" t="s">
        <v>29</v>
      </c>
      <c r="J34" t="s">
        <v>30</v>
      </c>
      <c r="K34" t="s">
        <v>151</v>
      </c>
      <c r="M34" t="s">
        <v>56</v>
      </c>
      <c r="N34" t="s">
        <v>71</v>
      </c>
      <c r="O34" t="s">
        <v>149</v>
      </c>
      <c r="P34" t="s">
        <v>35</v>
      </c>
      <c r="Q34" t="s">
        <v>35</v>
      </c>
      <c r="R34" t="s">
        <v>35</v>
      </c>
      <c r="S34" t="s">
        <v>35</v>
      </c>
      <c r="V34" t="s">
        <v>81</v>
      </c>
      <c r="W34" t="s">
        <v>54</v>
      </c>
      <c r="Z34" t="s">
        <v>37</v>
      </c>
    </row>
    <row r="35" spans="1:26" x14ac:dyDescent="0.25">
      <c r="A35" s="7" t="str">
        <f>VLOOKUP(F35,'Contas Orç'!A:B,2,0)</f>
        <v>PECAS E ACESSORIOS</v>
      </c>
      <c r="B35" s="7" t="str">
        <f>VLOOKUP(C35,Base_20.12!E:E,1,0)</f>
        <v>0000000011</v>
      </c>
      <c r="C35" t="s">
        <v>152</v>
      </c>
      <c r="D35" t="s">
        <v>25</v>
      </c>
      <c r="E35" s="8">
        <v>44879</v>
      </c>
      <c r="F35" t="s">
        <v>39</v>
      </c>
      <c r="G35" t="s">
        <v>81</v>
      </c>
      <c r="H35" t="s">
        <v>54</v>
      </c>
      <c r="I35" t="s">
        <v>29</v>
      </c>
      <c r="J35" t="s">
        <v>30</v>
      </c>
      <c r="K35" t="s">
        <v>153</v>
      </c>
      <c r="M35" t="s">
        <v>56</v>
      </c>
      <c r="N35" t="s">
        <v>71</v>
      </c>
      <c r="O35" t="s">
        <v>154</v>
      </c>
      <c r="P35" t="s">
        <v>35</v>
      </c>
      <c r="Q35" t="s">
        <v>35</v>
      </c>
      <c r="R35" t="s">
        <v>35</v>
      </c>
      <c r="S35" t="s">
        <v>35</v>
      </c>
      <c r="V35" t="s">
        <v>81</v>
      </c>
      <c r="W35" t="s">
        <v>54</v>
      </c>
      <c r="Z35" t="s">
        <v>37</v>
      </c>
    </row>
    <row r="36" spans="1:26" x14ac:dyDescent="0.25">
      <c r="A36" s="7" t="str">
        <f>VLOOKUP(F36,'Contas Orç'!A:B,2,0)</f>
        <v>PF-CONSULTORIA E ASSESSORIA</v>
      </c>
      <c r="B36" s="7" t="str">
        <f>VLOOKUP(C36,Base_20.12!E:E,1,0)</f>
        <v>0000000012</v>
      </c>
      <c r="C36" t="s">
        <v>155</v>
      </c>
      <c r="D36" t="s">
        <v>25</v>
      </c>
      <c r="E36" s="8">
        <v>44879</v>
      </c>
      <c r="F36" t="s">
        <v>156</v>
      </c>
      <c r="G36" t="s">
        <v>40</v>
      </c>
      <c r="H36" t="s">
        <v>54</v>
      </c>
      <c r="I36" t="s">
        <v>29</v>
      </c>
      <c r="J36" t="s">
        <v>30</v>
      </c>
      <c r="K36" t="s">
        <v>157</v>
      </c>
      <c r="M36" t="s">
        <v>56</v>
      </c>
      <c r="N36" t="s">
        <v>71</v>
      </c>
      <c r="O36" t="s">
        <v>158</v>
      </c>
      <c r="P36" t="s">
        <v>35</v>
      </c>
      <c r="Q36" t="s">
        <v>35</v>
      </c>
      <c r="R36" t="s">
        <v>35</v>
      </c>
      <c r="S36" t="s">
        <v>35</v>
      </c>
      <c r="V36" t="s">
        <v>40</v>
      </c>
      <c r="W36" t="s">
        <v>54</v>
      </c>
      <c r="Z36" t="s">
        <v>37</v>
      </c>
    </row>
    <row r="37" spans="1:26" x14ac:dyDescent="0.25">
      <c r="A37" s="7" t="str">
        <f>VLOOKUP(F37,'Contas Orç'!A:B,2,0)</f>
        <v>DESPESAS GERAIS</v>
      </c>
      <c r="B37" s="7" t="str">
        <f>VLOOKUP(C37,Base_20.12!E:E,1,0)</f>
        <v>0000000013</v>
      </c>
      <c r="C37" t="s">
        <v>159</v>
      </c>
      <c r="D37" t="s">
        <v>25</v>
      </c>
      <c r="E37" s="8">
        <v>44879</v>
      </c>
      <c r="F37" t="s">
        <v>160</v>
      </c>
      <c r="G37" t="s">
        <v>81</v>
      </c>
      <c r="H37" t="s">
        <v>54</v>
      </c>
      <c r="I37" t="s">
        <v>29</v>
      </c>
      <c r="J37" t="s">
        <v>30</v>
      </c>
      <c r="K37" t="s">
        <v>161</v>
      </c>
      <c r="M37" t="s">
        <v>56</v>
      </c>
      <c r="N37" t="s">
        <v>71</v>
      </c>
      <c r="O37" t="s">
        <v>162</v>
      </c>
      <c r="P37" t="s">
        <v>35</v>
      </c>
      <c r="Q37" t="s">
        <v>35</v>
      </c>
      <c r="R37" t="s">
        <v>35</v>
      </c>
      <c r="S37" t="s">
        <v>35</v>
      </c>
      <c r="V37" t="s">
        <v>81</v>
      </c>
      <c r="W37" t="s">
        <v>54</v>
      </c>
      <c r="Z37" t="s">
        <v>37</v>
      </c>
    </row>
    <row r="38" spans="1:26" x14ac:dyDescent="0.25">
      <c r="A38" s="7" t="str">
        <f>VLOOKUP(F38,'Contas Orç'!A:B,2,0)</f>
        <v>DESPESAS GERAIS</v>
      </c>
      <c r="B38" s="7" t="str">
        <f>VLOOKUP(C38,Base_20.12!E:E,1,0)</f>
        <v>0000000014</v>
      </c>
      <c r="C38" t="s">
        <v>163</v>
      </c>
      <c r="D38" t="s">
        <v>25</v>
      </c>
      <c r="E38" s="8">
        <v>44879</v>
      </c>
      <c r="F38" t="s">
        <v>160</v>
      </c>
      <c r="G38" t="s">
        <v>81</v>
      </c>
      <c r="H38" t="s">
        <v>54</v>
      </c>
      <c r="I38" t="s">
        <v>29</v>
      </c>
      <c r="J38" t="s">
        <v>30</v>
      </c>
      <c r="K38" t="s">
        <v>164</v>
      </c>
      <c r="M38" t="s">
        <v>56</v>
      </c>
      <c r="N38" t="s">
        <v>71</v>
      </c>
      <c r="O38" t="s">
        <v>165</v>
      </c>
      <c r="P38" t="s">
        <v>35</v>
      </c>
      <c r="Q38" t="s">
        <v>35</v>
      </c>
      <c r="R38" t="s">
        <v>35</v>
      </c>
      <c r="S38" t="s">
        <v>35</v>
      </c>
      <c r="V38" t="s">
        <v>81</v>
      </c>
      <c r="W38" t="s">
        <v>54</v>
      </c>
      <c r="Z38" t="s">
        <v>37</v>
      </c>
    </row>
    <row r="39" spans="1:26" x14ac:dyDescent="0.25">
      <c r="A39" s="7" t="str">
        <f>VLOOKUP(F39,'Contas Orç'!A:B,2,0)</f>
        <v>DESPESAS GERAIS</v>
      </c>
      <c r="B39" s="7" t="str">
        <f>VLOOKUP(C39,Base_20.12!E:E,1,0)</f>
        <v>0000000014</v>
      </c>
      <c r="C39" t="s">
        <v>163</v>
      </c>
      <c r="D39" t="s">
        <v>38</v>
      </c>
      <c r="E39" s="8">
        <v>44879</v>
      </c>
      <c r="F39" t="s">
        <v>160</v>
      </c>
      <c r="G39" t="s">
        <v>81</v>
      </c>
      <c r="H39" t="s">
        <v>54</v>
      </c>
      <c r="I39" t="s">
        <v>29</v>
      </c>
      <c r="J39" t="s">
        <v>30</v>
      </c>
      <c r="K39" t="s">
        <v>166</v>
      </c>
      <c r="M39" t="s">
        <v>56</v>
      </c>
      <c r="N39" t="s">
        <v>71</v>
      </c>
      <c r="O39" t="s">
        <v>167</v>
      </c>
      <c r="P39" t="s">
        <v>35</v>
      </c>
      <c r="Q39" t="s">
        <v>35</v>
      </c>
      <c r="R39" t="s">
        <v>35</v>
      </c>
      <c r="S39" t="s">
        <v>35</v>
      </c>
      <c r="V39" t="s">
        <v>81</v>
      </c>
      <c r="W39" t="s">
        <v>54</v>
      </c>
      <c r="Z39" t="s">
        <v>37</v>
      </c>
    </row>
    <row r="40" spans="1:26" x14ac:dyDescent="0.25">
      <c r="A40" s="7" t="str">
        <f>VLOOKUP(F40,'Contas Orç'!A:B,2,0)</f>
        <v>DESPESAS GERAIS</v>
      </c>
      <c r="B40" s="7" t="str">
        <f>VLOOKUP(C40,Base_20.12!E:E,1,0)</f>
        <v>0000000014</v>
      </c>
      <c r="C40" t="s">
        <v>163</v>
      </c>
      <c r="D40" t="s">
        <v>48</v>
      </c>
      <c r="E40" s="8">
        <v>44879</v>
      </c>
      <c r="F40" t="s">
        <v>160</v>
      </c>
      <c r="G40" t="s">
        <v>81</v>
      </c>
      <c r="H40" t="s">
        <v>54</v>
      </c>
      <c r="I40" t="s">
        <v>29</v>
      </c>
      <c r="J40" t="s">
        <v>30</v>
      </c>
      <c r="K40" t="s">
        <v>168</v>
      </c>
      <c r="M40" t="s">
        <v>56</v>
      </c>
      <c r="N40" t="s">
        <v>71</v>
      </c>
      <c r="O40" t="s">
        <v>169</v>
      </c>
      <c r="P40" t="s">
        <v>35</v>
      </c>
      <c r="Q40" t="s">
        <v>35</v>
      </c>
      <c r="R40" t="s">
        <v>35</v>
      </c>
      <c r="S40" t="s">
        <v>35</v>
      </c>
      <c r="V40" t="s">
        <v>81</v>
      </c>
      <c r="W40" t="s">
        <v>54</v>
      </c>
      <c r="Z40" t="s">
        <v>37</v>
      </c>
    </row>
    <row r="41" spans="1:26" x14ac:dyDescent="0.25">
      <c r="A41" s="7" t="str">
        <f>VLOOKUP(F41,'Contas Orç'!A:B,2,0)</f>
        <v>DESPESAS GERAIS</v>
      </c>
      <c r="B41" s="7" t="str">
        <f>VLOOKUP(C41,Base_20.12!E:E,1,0)</f>
        <v>0000000015</v>
      </c>
      <c r="C41" t="s">
        <v>170</v>
      </c>
      <c r="D41" t="s">
        <v>25</v>
      </c>
      <c r="E41" s="8">
        <v>44879</v>
      </c>
      <c r="F41" t="s">
        <v>160</v>
      </c>
      <c r="G41" t="s">
        <v>81</v>
      </c>
      <c r="H41" t="s">
        <v>54</v>
      </c>
      <c r="I41" t="s">
        <v>29</v>
      </c>
      <c r="J41" t="s">
        <v>30</v>
      </c>
      <c r="K41" t="s">
        <v>171</v>
      </c>
      <c r="M41" t="s">
        <v>56</v>
      </c>
      <c r="N41" t="s">
        <v>71</v>
      </c>
      <c r="O41" t="s">
        <v>172</v>
      </c>
      <c r="P41" t="s">
        <v>35</v>
      </c>
      <c r="Q41" t="s">
        <v>35</v>
      </c>
      <c r="R41" t="s">
        <v>35</v>
      </c>
      <c r="S41" t="s">
        <v>35</v>
      </c>
      <c r="V41" t="s">
        <v>81</v>
      </c>
      <c r="W41" t="s">
        <v>54</v>
      </c>
      <c r="Z41" t="s">
        <v>37</v>
      </c>
    </row>
    <row r="42" spans="1:26" x14ac:dyDescent="0.25">
      <c r="A42" s="7" t="str">
        <f>VLOOKUP(F42,'Contas Orç'!A:B,2,0)</f>
        <v>DESPESAS GERAIS</v>
      </c>
      <c r="B42" s="7" t="str">
        <f>VLOOKUP(C42,Base_20.12!E:E,1,0)</f>
        <v>0000000015</v>
      </c>
      <c r="C42" t="s">
        <v>170</v>
      </c>
      <c r="D42" t="s">
        <v>38</v>
      </c>
      <c r="E42" s="8">
        <v>44879</v>
      </c>
      <c r="F42" t="s">
        <v>160</v>
      </c>
      <c r="G42" t="s">
        <v>81</v>
      </c>
      <c r="H42" t="s">
        <v>54</v>
      </c>
      <c r="I42" t="s">
        <v>29</v>
      </c>
      <c r="J42" t="s">
        <v>30</v>
      </c>
      <c r="K42" t="s">
        <v>173</v>
      </c>
      <c r="M42" t="s">
        <v>56</v>
      </c>
      <c r="N42" t="s">
        <v>71</v>
      </c>
      <c r="O42" t="s">
        <v>174</v>
      </c>
      <c r="P42" t="s">
        <v>35</v>
      </c>
      <c r="Q42" t="s">
        <v>35</v>
      </c>
      <c r="R42" t="s">
        <v>35</v>
      </c>
      <c r="S42" t="s">
        <v>35</v>
      </c>
      <c r="V42" t="s">
        <v>81</v>
      </c>
      <c r="W42" t="s">
        <v>54</v>
      </c>
      <c r="Z42" t="s">
        <v>37</v>
      </c>
    </row>
    <row r="43" spans="1:26" x14ac:dyDescent="0.25">
      <c r="A43" s="7" t="str">
        <f>VLOOKUP(F43,'Contas Orç'!A:B,2,0)</f>
        <v>DESPESAS GERAIS</v>
      </c>
      <c r="B43" s="7" t="str">
        <f>VLOOKUP(C43,Base_20.12!E:E,1,0)</f>
        <v>0000000015</v>
      </c>
      <c r="C43" t="s">
        <v>170</v>
      </c>
      <c r="D43" t="s">
        <v>48</v>
      </c>
      <c r="E43" s="8">
        <v>44879</v>
      </c>
      <c r="F43" t="s">
        <v>160</v>
      </c>
      <c r="G43" t="s">
        <v>81</v>
      </c>
      <c r="H43" t="s">
        <v>54</v>
      </c>
      <c r="I43" t="s">
        <v>29</v>
      </c>
      <c r="J43" t="s">
        <v>30</v>
      </c>
      <c r="K43" t="s">
        <v>175</v>
      </c>
      <c r="M43" t="s">
        <v>56</v>
      </c>
      <c r="N43" t="s">
        <v>71</v>
      </c>
      <c r="O43" t="s">
        <v>176</v>
      </c>
      <c r="P43" t="s">
        <v>35</v>
      </c>
      <c r="Q43" t="s">
        <v>35</v>
      </c>
      <c r="R43" t="s">
        <v>35</v>
      </c>
      <c r="S43" t="s">
        <v>35</v>
      </c>
      <c r="V43" t="s">
        <v>81</v>
      </c>
      <c r="W43" t="s">
        <v>54</v>
      </c>
      <c r="Z43" t="s">
        <v>37</v>
      </c>
    </row>
    <row r="44" spans="1:26" x14ac:dyDescent="0.25">
      <c r="A44" s="7" t="str">
        <f>VLOOKUP(F44,'Contas Orç'!A:B,2,0)</f>
        <v>DESPESAS GERAIS</v>
      </c>
      <c r="B44" s="7" t="str">
        <f>VLOOKUP(C44,Base_20.12!E:E,1,0)</f>
        <v>0000000015</v>
      </c>
      <c r="C44" t="s">
        <v>170</v>
      </c>
      <c r="D44" t="s">
        <v>50</v>
      </c>
      <c r="E44" s="8">
        <v>44879</v>
      </c>
      <c r="F44" t="s">
        <v>160</v>
      </c>
      <c r="G44" t="s">
        <v>81</v>
      </c>
      <c r="H44" t="s">
        <v>54</v>
      </c>
      <c r="I44" t="s">
        <v>29</v>
      </c>
      <c r="J44" t="s">
        <v>30</v>
      </c>
      <c r="K44" t="s">
        <v>177</v>
      </c>
      <c r="M44" t="s">
        <v>56</v>
      </c>
      <c r="N44" t="s">
        <v>71</v>
      </c>
      <c r="O44" t="s">
        <v>178</v>
      </c>
      <c r="P44" t="s">
        <v>35</v>
      </c>
      <c r="Q44" t="s">
        <v>35</v>
      </c>
      <c r="R44" t="s">
        <v>35</v>
      </c>
      <c r="S44" t="s">
        <v>35</v>
      </c>
      <c r="V44" t="s">
        <v>81</v>
      </c>
      <c r="W44" t="s">
        <v>54</v>
      </c>
      <c r="Z44" t="s">
        <v>37</v>
      </c>
    </row>
    <row r="45" spans="1:26" x14ac:dyDescent="0.25">
      <c r="A45" s="7" t="str">
        <f>VLOOKUP(F45,'Contas Orç'!A:B,2,0)</f>
        <v>DESPESAS GERAIS</v>
      </c>
      <c r="B45" s="7" t="str">
        <f>VLOOKUP(C45,Base_20.12!E:E,1,0)</f>
        <v>0000000015</v>
      </c>
      <c r="C45" t="s">
        <v>170</v>
      </c>
      <c r="D45" t="s">
        <v>87</v>
      </c>
      <c r="E45" s="8">
        <v>44879</v>
      </c>
      <c r="F45" t="s">
        <v>160</v>
      </c>
      <c r="G45" t="s">
        <v>81</v>
      </c>
      <c r="H45" t="s">
        <v>54</v>
      </c>
      <c r="I45" t="s">
        <v>29</v>
      </c>
      <c r="J45" t="s">
        <v>30</v>
      </c>
      <c r="K45" t="s">
        <v>179</v>
      </c>
      <c r="M45" t="s">
        <v>56</v>
      </c>
      <c r="N45" t="s">
        <v>71</v>
      </c>
      <c r="O45" t="s">
        <v>180</v>
      </c>
      <c r="P45" t="s">
        <v>35</v>
      </c>
      <c r="Q45" t="s">
        <v>35</v>
      </c>
      <c r="R45" t="s">
        <v>35</v>
      </c>
      <c r="S45" t="s">
        <v>35</v>
      </c>
      <c r="V45" t="s">
        <v>81</v>
      </c>
      <c r="W45" t="s">
        <v>54</v>
      </c>
      <c r="Z45" t="s">
        <v>37</v>
      </c>
    </row>
    <row r="46" spans="1:26" x14ac:dyDescent="0.25">
      <c r="A46" s="7" t="str">
        <f>VLOOKUP(F46,'Contas Orç'!A:B,2,0)</f>
        <v>DESPESAS GERAIS</v>
      </c>
      <c r="B46" s="7" t="str">
        <f>VLOOKUP(C46,Base_20.12!E:E,1,0)</f>
        <v>0000000015</v>
      </c>
      <c r="C46" t="s">
        <v>170</v>
      </c>
      <c r="D46" t="s">
        <v>91</v>
      </c>
      <c r="E46" s="8">
        <v>44879</v>
      </c>
      <c r="F46" t="s">
        <v>160</v>
      </c>
      <c r="G46" t="s">
        <v>81</v>
      </c>
      <c r="H46" t="s">
        <v>54</v>
      </c>
      <c r="I46" t="s">
        <v>29</v>
      </c>
      <c r="J46" t="s">
        <v>30</v>
      </c>
      <c r="K46" t="s">
        <v>181</v>
      </c>
      <c r="M46" t="s">
        <v>56</v>
      </c>
      <c r="N46" t="s">
        <v>71</v>
      </c>
      <c r="O46" t="s">
        <v>34</v>
      </c>
      <c r="P46" t="s">
        <v>35</v>
      </c>
      <c r="Q46" t="s">
        <v>35</v>
      </c>
      <c r="R46" t="s">
        <v>35</v>
      </c>
      <c r="S46" t="s">
        <v>35</v>
      </c>
      <c r="V46" t="s">
        <v>81</v>
      </c>
      <c r="W46" t="s">
        <v>54</v>
      </c>
      <c r="Z46" t="s">
        <v>37</v>
      </c>
    </row>
    <row r="47" spans="1:26" x14ac:dyDescent="0.25">
      <c r="A47" s="7" t="str">
        <f>VLOOKUP(F47,'Contas Orç'!A:B,2,0)</f>
        <v>DESPESAS GERAIS</v>
      </c>
      <c r="B47" s="7" t="str">
        <f>VLOOKUP(C47,Base_20.12!E:E,1,0)</f>
        <v>0000000015</v>
      </c>
      <c r="C47" t="s">
        <v>170</v>
      </c>
      <c r="D47" t="s">
        <v>94</v>
      </c>
      <c r="E47" s="8">
        <v>44879</v>
      </c>
      <c r="F47" t="s">
        <v>160</v>
      </c>
      <c r="G47" t="s">
        <v>81</v>
      </c>
      <c r="H47" t="s">
        <v>54</v>
      </c>
      <c r="I47" t="s">
        <v>29</v>
      </c>
      <c r="J47" t="s">
        <v>30</v>
      </c>
      <c r="K47" t="s">
        <v>182</v>
      </c>
      <c r="M47" t="s">
        <v>56</v>
      </c>
      <c r="N47" t="s">
        <v>71</v>
      </c>
      <c r="O47" t="s">
        <v>183</v>
      </c>
      <c r="P47" t="s">
        <v>35</v>
      </c>
      <c r="Q47" t="s">
        <v>35</v>
      </c>
      <c r="R47" t="s">
        <v>35</v>
      </c>
      <c r="S47" t="s">
        <v>35</v>
      </c>
      <c r="V47" t="s">
        <v>81</v>
      </c>
      <c r="W47" t="s">
        <v>54</v>
      </c>
      <c r="Z47" t="s">
        <v>37</v>
      </c>
    </row>
    <row r="48" spans="1:26" x14ac:dyDescent="0.25">
      <c r="A48" s="7" t="str">
        <f>VLOOKUP(F48,'Contas Orç'!A:B,2,0)</f>
        <v>DESPESAS GERAIS</v>
      </c>
      <c r="B48" s="7" t="str">
        <f>VLOOKUP(C48,Base_20.12!E:E,1,0)</f>
        <v>0000000016</v>
      </c>
      <c r="C48" t="s">
        <v>184</v>
      </c>
      <c r="D48" t="s">
        <v>25</v>
      </c>
      <c r="E48" s="8">
        <v>44879</v>
      </c>
      <c r="F48" t="s">
        <v>160</v>
      </c>
      <c r="G48" t="s">
        <v>81</v>
      </c>
      <c r="H48" t="s">
        <v>54</v>
      </c>
      <c r="I48" t="s">
        <v>29</v>
      </c>
      <c r="J48" t="s">
        <v>30</v>
      </c>
      <c r="K48" t="s">
        <v>185</v>
      </c>
      <c r="M48" t="s">
        <v>56</v>
      </c>
      <c r="N48" t="s">
        <v>71</v>
      </c>
      <c r="O48" t="s">
        <v>186</v>
      </c>
      <c r="P48" t="s">
        <v>35</v>
      </c>
      <c r="Q48" t="s">
        <v>35</v>
      </c>
      <c r="R48" t="s">
        <v>35</v>
      </c>
      <c r="S48" t="s">
        <v>35</v>
      </c>
      <c r="V48" t="s">
        <v>81</v>
      </c>
      <c r="W48" t="s">
        <v>54</v>
      </c>
      <c r="Z48" t="s">
        <v>37</v>
      </c>
    </row>
    <row r="49" spans="1:26" x14ac:dyDescent="0.25">
      <c r="A49" s="7" t="str">
        <f>VLOOKUP(F49,'Contas Orç'!A:B,2,0)</f>
        <v>DESPESAS GERAIS</v>
      </c>
      <c r="B49" s="7" t="str">
        <f>VLOOKUP(C49,Base_20.12!E:E,1,0)</f>
        <v>0000000016</v>
      </c>
      <c r="C49" t="s">
        <v>184</v>
      </c>
      <c r="D49" t="s">
        <v>38</v>
      </c>
      <c r="E49" s="8">
        <v>44879</v>
      </c>
      <c r="F49" t="s">
        <v>160</v>
      </c>
      <c r="G49" t="s">
        <v>81</v>
      </c>
      <c r="H49" t="s">
        <v>54</v>
      </c>
      <c r="I49" t="s">
        <v>29</v>
      </c>
      <c r="J49" t="s">
        <v>30</v>
      </c>
      <c r="K49" t="s">
        <v>187</v>
      </c>
      <c r="M49" t="s">
        <v>56</v>
      </c>
      <c r="N49" t="s">
        <v>71</v>
      </c>
      <c r="O49" t="s">
        <v>188</v>
      </c>
      <c r="P49" t="s">
        <v>35</v>
      </c>
      <c r="Q49" t="s">
        <v>35</v>
      </c>
      <c r="R49" t="s">
        <v>35</v>
      </c>
      <c r="S49" t="s">
        <v>35</v>
      </c>
      <c r="V49" t="s">
        <v>81</v>
      </c>
      <c r="W49" t="s">
        <v>54</v>
      </c>
      <c r="Z49" t="s">
        <v>37</v>
      </c>
    </row>
    <row r="50" spans="1:26" x14ac:dyDescent="0.25">
      <c r="A50" s="7" t="str">
        <f>VLOOKUP(F50,'Contas Orç'!A:B,2,0)</f>
        <v>DESPESAS GERAIS</v>
      </c>
      <c r="B50" s="7" t="str">
        <f>VLOOKUP(C50,Base_20.12!E:E,1,0)</f>
        <v>0000000016</v>
      </c>
      <c r="C50" t="s">
        <v>184</v>
      </c>
      <c r="D50" t="s">
        <v>48</v>
      </c>
      <c r="E50" s="8">
        <v>44879</v>
      </c>
      <c r="F50" t="s">
        <v>160</v>
      </c>
      <c r="G50" t="s">
        <v>81</v>
      </c>
      <c r="H50" t="s">
        <v>54</v>
      </c>
      <c r="I50" t="s">
        <v>29</v>
      </c>
      <c r="J50" t="s">
        <v>30</v>
      </c>
      <c r="K50" t="s">
        <v>189</v>
      </c>
      <c r="M50" t="s">
        <v>56</v>
      </c>
      <c r="N50" t="s">
        <v>71</v>
      </c>
      <c r="O50" t="s">
        <v>190</v>
      </c>
      <c r="P50" t="s">
        <v>35</v>
      </c>
      <c r="Q50" t="s">
        <v>35</v>
      </c>
      <c r="R50" t="s">
        <v>35</v>
      </c>
      <c r="S50" t="s">
        <v>35</v>
      </c>
      <c r="V50" t="s">
        <v>81</v>
      </c>
      <c r="W50" t="s">
        <v>54</v>
      </c>
      <c r="Z50" t="s">
        <v>37</v>
      </c>
    </row>
    <row r="51" spans="1:26" x14ac:dyDescent="0.25">
      <c r="A51" s="7" t="str">
        <f>VLOOKUP(F51,'Contas Orç'!A:B,2,0)</f>
        <v>DESPESAS GERAIS</v>
      </c>
      <c r="B51" s="7" t="str">
        <f>VLOOKUP(C51,Base_20.12!E:E,1,0)</f>
        <v>0000000016</v>
      </c>
      <c r="C51" t="s">
        <v>184</v>
      </c>
      <c r="D51" t="s">
        <v>50</v>
      </c>
      <c r="E51" s="8">
        <v>44879</v>
      </c>
      <c r="F51" t="s">
        <v>160</v>
      </c>
      <c r="G51" t="s">
        <v>81</v>
      </c>
      <c r="H51" t="s">
        <v>54</v>
      </c>
      <c r="I51" t="s">
        <v>29</v>
      </c>
      <c r="J51" t="s">
        <v>30</v>
      </c>
      <c r="K51" t="s">
        <v>191</v>
      </c>
      <c r="M51" t="s">
        <v>56</v>
      </c>
      <c r="N51" t="s">
        <v>71</v>
      </c>
      <c r="O51" t="s">
        <v>183</v>
      </c>
      <c r="P51" t="s">
        <v>35</v>
      </c>
      <c r="Q51" t="s">
        <v>35</v>
      </c>
      <c r="R51" t="s">
        <v>35</v>
      </c>
      <c r="S51" t="s">
        <v>35</v>
      </c>
      <c r="V51" t="s">
        <v>81</v>
      </c>
      <c r="W51" t="s">
        <v>54</v>
      </c>
      <c r="Z51" t="s">
        <v>37</v>
      </c>
    </row>
    <row r="52" spans="1:26" x14ac:dyDescent="0.25">
      <c r="A52" s="7" t="str">
        <f>VLOOKUP(F52,'Contas Orç'!A:B,2,0)</f>
        <v>DESPESAS GERAIS</v>
      </c>
      <c r="B52" s="7" t="str">
        <f>VLOOKUP(C52,Base_20.12!E:E,1,0)</f>
        <v>0000000016</v>
      </c>
      <c r="C52" t="s">
        <v>184</v>
      </c>
      <c r="D52" t="s">
        <v>87</v>
      </c>
      <c r="E52" s="8">
        <v>44879</v>
      </c>
      <c r="F52" t="s">
        <v>160</v>
      </c>
      <c r="G52" t="s">
        <v>81</v>
      </c>
      <c r="H52" t="s">
        <v>54</v>
      </c>
      <c r="I52" t="s">
        <v>29</v>
      </c>
      <c r="J52" t="s">
        <v>30</v>
      </c>
      <c r="K52" t="s">
        <v>192</v>
      </c>
      <c r="M52" t="s">
        <v>56</v>
      </c>
      <c r="N52" t="s">
        <v>71</v>
      </c>
      <c r="O52" t="s">
        <v>193</v>
      </c>
      <c r="P52" t="s">
        <v>35</v>
      </c>
      <c r="Q52" t="s">
        <v>35</v>
      </c>
      <c r="R52" t="s">
        <v>35</v>
      </c>
      <c r="S52" t="s">
        <v>35</v>
      </c>
      <c r="V52" t="s">
        <v>81</v>
      </c>
      <c r="W52" t="s">
        <v>54</v>
      </c>
      <c r="Z52" t="s">
        <v>37</v>
      </c>
    </row>
    <row r="53" spans="1:26" x14ac:dyDescent="0.25">
      <c r="A53" s="7" t="str">
        <f>VLOOKUP(F53,'Contas Orç'!A:B,2,0)</f>
        <v>DESPESAS GERAIS</v>
      </c>
      <c r="B53" s="7" t="str">
        <f>VLOOKUP(C53,Base_20.12!E:E,1,0)</f>
        <v>0000000016</v>
      </c>
      <c r="C53" t="s">
        <v>184</v>
      </c>
      <c r="D53" t="s">
        <v>91</v>
      </c>
      <c r="E53" s="8">
        <v>44879</v>
      </c>
      <c r="F53" t="s">
        <v>160</v>
      </c>
      <c r="G53" t="s">
        <v>81</v>
      </c>
      <c r="H53" t="s">
        <v>54</v>
      </c>
      <c r="I53" t="s">
        <v>29</v>
      </c>
      <c r="J53" t="s">
        <v>30</v>
      </c>
      <c r="K53" t="s">
        <v>194</v>
      </c>
      <c r="M53" t="s">
        <v>56</v>
      </c>
      <c r="N53" t="s">
        <v>71</v>
      </c>
      <c r="O53" t="s">
        <v>195</v>
      </c>
      <c r="P53" t="s">
        <v>35</v>
      </c>
      <c r="Q53" t="s">
        <v>35</v>
      </c>
      <c r="R53" t="s">
        <v>35</v>
      </c>
      <c r="S53" t="s">
        <v>35</v>
      </c>
      <c r="V53" t="s">
        <v>81</v>
      </c>
      <c r="W53" t="s">
        <v>54</v>
      </c>
      <c r="Z53" t="s">
        <v>37</v>
      </c>
    </row>
    <row r="54" spans="1:26" x14ac:dyDescent="0.25">
      <c r="A54" s="7" t="str">
        <f>VLOOKUP(F54,'Contas Orç'!A:B,2,0)</f>
        <v>DESPESAS GERAIS</v>
      </c>
      <c r="B54" s="7" t="str">
        <f>VLOOKUP(C54,Base_20.12!E:E,1,0)</f>
        <v>0000000016</v>
      </c>
      <c r="C54" t="s">
        <v>184</v>
      </c>
      <c r="D54" t="s">
        <v>94</v>
      </c>
      <c r="E54" s="8">
        <v>44879</v>
      </c>
      <c r="F54" t="s">
        <v>160</v>
      </c>
      <c r="G54" t="s">
        <v>81</v>
      </c>
      <c r="H54" t="s">
        <v>54</v>
      </c>
      <c r="I54" t="s">
        <v>29</v>
      </c>
      <c r="J54" t="s">
        <v>30</v>
      </c>
      <c r="K54" t="s">
        <v>196</v>
      </c>
      <c r="M54" t="s">
        <v>56</v>
      </c>
      <c r="N54" t="s">
        <v>71</v>
      </c>
      <c r="O54" t="s">
        <v>197</v>
      </c>
      <c r="P54" t="s">
        <v>35</v>
      </c>
      <c r="Q54" t="s">
        <v>35</v>
      </c>
      <c r="R54" t="s">
        <v>35</v>
      </c>
      <c r="S54" t="s">
        <v>35</v>
      </c>
      <c r="V54" t="s">
        <v>81</v>
      </c>
      <c r="W54" t="s">
        <v>54</v>
      </c>
      <c r="Z54" t="s">
        <v>37</v>
      </c>
    </row>
    <row r="55" spans="1:26" x14ac:dyDescent="0.25">
      <c r="A55" s="7" t="str">
        <f>VLOOKUP(F55,'Contas Orç'!A:B,2,0)</f>
        <v>DESPESAS GERAIS</v>
      </c>
      <c r="B55" s="7" t="str">
        <f>VLOOKUP(C55,Base_20.12!E:E,1,0)</f>
        <v>0000000016</v>
      </c>
      <c r="C55" t="s">
        <v>184</v>
      </c>
      <c r="D55" t="s">
        <v>98</v>
      </c>
      <c r="E55" s="8">
        <v>44879</v>
      </c>
      <c r="F55" t="s">
        <v>160</v>
      </c>
      <c r="G55" t="s">
        <v>81</v>
      </c>
      <c r="H55" t="s">
        <v>54</v>
      </c>
      <c r="I55" t="s">
        <v>29</v>
      </c>
      <c r="J55" t="s">
        <v>30</v>
      </c>
      <c r="K55" t="s">
        <v>198</v>
      </c>
      <c r="M55" t="s">
        <v>56</v>
      </c>
      <c r="N55" t="s">
        <v>71</v>
      </c>
      <c r="O55" t="s">
        <v>199</v>
      </c>
      <c r="P55" t="s">
        <v>35</v>
      </c>
      <c r="Q55" t="s">
        <v>35</v>
      </c>
      <c r="R55" t="s">
        <v>35</v>
      </c>
      <c r="S55" t="s">
        <v>35</v>
      </c>
      <c r="V55" t="s">
        <v>81</v>
      </c>
      <c r="W55" t="s">
        <v>54</v>
      </c>
      <c r="Z55" t="s">
        <v>37</v>
      </c>
    </row>
    <row r="56" spans="1:26" x14ac:dyDescent="0.25">
      <c r="A56" s="7" t="str">
        <f>VLOOKUP(F56,'Contas Orç'!A:B,2,0)</f>
        <v>DESPESAS GERAIS</v>
      </c>
      <c r="B56" s="7" t="str">
        <f>VLOOKUP(C56,Base_20.12!E:E,1,0)</f>
        <v>0000000016</v>
      </c>
      <c r="C56" t="s">
        <v>184</v>
      </c>
      <c r="D56" t="s">
        <v>102</v>
      </c>
      <c r="E56" s="8">
        <v>44879</v>
      </c>
      <c r="F56" t="s">
        <v>160</v>
      </c>
      <c r="G56" t="s">
        <v>81</v>
      </c>
      <c r="H56" t="s">
        <v>54</v>
      </c>
      <c r="I56" t="s">
        <v>29</v>
      </c>
      <c r="J56" t="s">
        <v>30</v>
      </c>
      <c r="K56" t="s">
        <v>200</v>
      </c>
      <c r="M56" t="s">
        <v>56</v>
      </c>
      <c r="N56" t="s">
        <v>71</v>
      </c>
      <c r="O56" t="s">
        <v>183</v>
      </c>
      <c r="P56" t="s">
        <v>35</v>
      </c>
      <c r="Q56" t="s">
        <v>35</v>
      </c>
      <c r="R56" t="s">
        <v>35</v>
      </c>
      <c r="S56" t="s">
        <v>35</v>
      </c>
      <c r="V56" t="s">
        <v>81</v>
      </c>
      <c r="W56" t="s">
        <v>54</v>
      </c>
      <c r="Z56" t="s">
        <v>37</v>
      </c>
    </row>
    <row r="57" spans="1:26" x14ac:dyDescent="0.25">
      <c r="A57" s="7" t="str">
        <f>VLOOKUP(F57,'Contas Orç'!A:B,2,0)</f>
        <v>PECAS E ACESSORIOS</v>
      </c>
      <c r="B57" s="7" t="str">
        <f>VLOOKUP(C57,Base_20.12!E:E,1,0)</f>
        <v>0000000017</v>
      </c>
      <c r="C57" t="s">
        <v>201</v>
      </c>
      <c r="D57" t="s">
        <v>25</v>
      </c>
      <c r="E57" s="8">
        <v>44879</v>
      </c>
      <c r="F57" t="s">
        <v>39</v>
      </c>
      <c r="G57" t="s">
        <v>81</v>
      </c>
      <c r="H57" t="s">
        <v>54</v>
      </c>
      <c r="I57" t="s">
        <v>29</v>
      </c>
      <c r="J57" t="s">
        <v>30</v>
      </c>
      <c r="K57" t="s">
        <v>202</v>
      </c>
      <c r="M57" t="s">
        <v>56</v>
      </c>
      <c r="N57" t="s">
        <v>71</v>
      </c>
      <c r="O57" t="s">
        <v>203</v>
      </c>
      <c r="P57" t="s">
        <v>35</v>
      </c>
      <c r="Q57" t="s">
        <v>35</v>
      </c>
      <c r="R57" t="s">
        <v>35</v>
      </c>
      <c r="S57" t="s">
        <v>35</v>
      </c>
      <c r="V57" t="s">
        <v>81</v>
      </c>
      <c r="W57" t="s">
        <v>54</v>
      </c>
      <c r="Z57" t="s">
        <v>37</v>
      </c>
    </row>
    <row r="58" spans="1:26" x14ac:dyDescent="0.25">
      <c r="A58" s="7" t="str">
        <f>VLOOKUP(F58,'Contas Orç'!A:B,2,0)</f>
        <v>COMBUSTIVEIS</v>
      </c>
      <c r="B58" s="7" t="str">
        <f>VLOOKUP(C58,Base_20.12!E:E,1,0)</f>
        <v>0000000018</v>
      </c>
      <c r="C58" t="s">
        <v>204</v>
      </c>
      <c r="D58" t="s">
        <v>25</v>
      </c>
      <c r="E58" s="8">
        <v>44879</v>
      </c>
      <c r="F58" t="s">
        <v>205</v>
      </c>
      <c r="G58" t="s">
        <v>27</v>
      </c>
      <c r="H58" t="s">
        <v>28</v>
      </c>
      <c r="I58" t="s">
        <v>29</v>
      </c>
      <c r="J58" t="s">
        <v>30</v>
      </c>
      <c r="K58" t="s">
        <v>206</v>
      </c>
      <c r="M58" t="s">
        <v>56</v>
      </c>
      <c r="N58" t="s">
        <v>71</v>
      </c>
      <c r="O58" t="s">
        <v>207</v>
      </c>
      <c r="P58" t="s">
        <v>35</v>
      </c>
      <c r="Q58" t="s">
        <v>35</v>
      </c>
      <c r="R58" t="s">
        <v>35</v>
      </c>
      <c r="S58" t="s">
        <v>35</v>
      </c>
      <c r="V58" t="s">
        <v>27</v>
      </c>
      <c r="W58" t="s">
        <v>28</v>
      </c>
      <c r="Z58" t="s">
        <v>37</v>
      </c>
    </row>
    <row r="59" spans="1:26" x14ac:dyDescent="0.25">
      <c r="A59" s="7" t="str">
        <f>VLOOKUP(F59,'Contas Orç'!A:B,2,0)</f>
        <v>PJ-OUTROS SERVICOS CONTRATADOS-PJ</v>
      </c>
      <c r="B59" s="7" t="str">
        <f>VLOOKUP(C59,Base_20.12!E:E,1,0)</f>
        <v>0000000019</v>
      </c>
      <c r="C59" t="s">
        <v>208</v>
      </c>
      <c r="D59" t="s">
        <v>25</v>
      </c>
      <c r="E59" s="8">
        <v>44879</v>
      </c>
      <c r="F59" t="s">
        <v>67</v>
      </c>
      <c r="G59" t="s">
        <v>81</v>
      </c>
      <c r="H59" t="s">
        <v>54</v>
      </c>
      <c r="I59" t="s">
        <v>29</v>
      </c>
      <c r="J59" t="s">
        <v>30</v>
      </c>
      <c r="K59" t="s">
        <v>209</v>
      </c>
      <c r="M59" t="s">
        <v>56</v>
      </c>
      <c r="N59" t="s">
        <v>71</v>
      </c>
      <c r="O59" t="s">
        <v>210</v>
      </c>
      <c r="P59" t="s">
        <v>35</v>
      </c>
      <c r="Q59" t="s">
        <v>35</v>
      </c>
      <c r="R59" t="s">
        <v>35</v>
      </c>
      <c r="S59" t="s">
        <v>35</v>
      </c>
      <c r="V59" t="s">
        <v>81</v>
      </c>
      <c r="W59" t="s">
        <v>54</v>
      </c>
      <c r="Z59" t="s">
        <v>37</v>
      </c>
    </row>
    <row r="60" spans="1:26" x14ac:dyDescent="0.25">
      <c r="A60" s="7" t="str">
        <f>VLOOKUP(F60,'Contas Orç'!A:B,2,0)</f>
        <v>PJ-OUTROS SERVICOS CONTRATADOS-PJ</v>
      </c>
      <c r="B60" s="7" t="str">
        <f>VLOOKUP(C60,Base_20.12!E:E,1,0)</f>
        <v>0000000020</v>
      </c>
      <c r="C60" t="s">
        <v>211</v>
      </c>
      <c r="D60" t="s">
        <v>25</v>
      </c>
      <c r="E60" s="8">
        <v>44879</v>
      </c>
      <c r="F60" t="s">
        <v>144</v>
      </c>
      <c r="G60" t="s">
        <v>59</v>
      </c>
      <c r="H60" t="s">
        <v>54</v>
      </c>
      <c r="I60" t="s">
        <v>29</v>
      </c>
      <c r="J60" t="s">
        <v>30</v>
      </c>
      <c r="K60" t="s">
        <v>212</v>
      </c>
      <c r="M60" t="s">
        <v>56</v>
      </c>
      <c r="N60" t="s">
        <v>71</v>
      </c>
      <c r="O60" t="s">
        <v>213</v>
      </c>
      <c r="P60" t="s">
        <v>35</v>
      </c>
      <c r="Q60" t="s">
        <v>35</v>
      </c>
      <c r="R60" t="s">
        <v>35</v>
      </c>
      <c r="S60" t="s">
        <v>35</v>
      </c>
      <c r="V60" t="s">
        <v>59</v>
      </c>
      <c r="W60" t="s">
        <v>54</v>
      </c>
      <c r="Z60" t="s">
        <v>37</v>
      </c>
    </row>
    <row r="61" spans="1:26" x14ac:dyDescent="0.25">
      <c r="A61" s="7" t="str">
        <f>VLOOKUP(F61,'Contas Orç'!A:B,2,0)</f>
        <v>SERVICOS E MANUTENCAO DE VEICULOS EQ</v>
      </c>
      <c r="B61" s="7" t="str">
        <f>VLOOKUP(C61,Base_20.12!E:E,1,0)</f>
        <v>0000000021</v>
      </c>
      <c r="C61" t="s">
        <v>214</v>
      </c>
      <c r="D61" t="s">
        <v>25</v>
      </c>
      <c r="E61" s="8">
        <v>44879</v>
      </c>
      <c r="F61" t="s">
        <v>215</v>
      </c>
      <c r="G61" t="s">
        <v>27</v>
      </c>
      <c r="H61" t="s">
        <v>28</v>
      </c>
      <c r="I61" t="s">
        <v>29</v>
      </c>
      <c r="J61" t="s">
        <v>30</v>
      </c>
      <c r="K61" t="s">
        <v>216</v>
      </c>
      <c r="M61" t="s">
        <v>56</v>
      </c>
      <c r="N61" t="s">
        <v>71</v>
      </c>
      <c r="O61" t="s">
        <v>217</v>
      </c>
      <c r="P61" t="s">
        <v>35</v>
      </c>
      <c r="Q61" t="s">
        <v>35</v>
      </c>
      <c r="R61" t="s">
        <v>35</v>
      </c>
      <c r="S61" t="s">
        <v>35</v>
      </c>
      <c r="V61" t="s">
        <v>27</v>
      </c>
      <c r="W61" t="s">
        <v>28</v>
      </c>
      <c r="Z61" t="s">
        <v>37</v>
      </c>
    </row>
    <row r="62" spans="1:26" x14ac:dyDescent="0.25">
      <c r="A62" s="7" t="str">
        <f>VLOOKUP(F62,'Contas Orç'!A:B,2,0)</f>
        <v>PECAS E ACESSORIOS</v>
      </c>
      <c r="B62" s="7" t="str">
        <f>VLOOKUP(C62,Base_20.12!E:E,1,0)</f>
        <v>0000000022</v>
      </c>
      <c r="C62" t="s">
        <v>218</v>
      </c>
      <c r="D62" t="s">
        <v>25</v>
      </c>
      <c r="E62" s="8">
        <v>44879</v>
      </c>
      <c r="F62" t="s">
        <v>39</v>
      </c>
      <c r="G62" t="s">
        <v>81</v>
      </c>
      <c r="H62" t="s">
        <v>54</v>
      </c>
      <c r="I62" t="s">
        <v>29</v>
      </c>
      <c r="J62" t="s">
        <v>30</v>
      </c>
      <c r="K62" t="s">
        <v>219</v>
      </c>
      <c r="M62" t="s">
        <v>56</v>
      </c>
      <c r="N62" t="s">
        <v>71</v>
      </c>
      <c r="O62" t="s">
        <v>220</v>
      </c>
      <c r="P62" t="s">
        <v>35</v>
      </c>
      <c r="Q62" t="s">
        <v>35</v>
      </c>
      <c r="R62" t="s">
        <v>35</v>
      </c>
      <c r="S62" t="s">
        <v>35</v>
      </c>
      <c r="V62" t="s">
        <v>81</v>
      </c>
      <c r="W62" t="s">
        <v>54</v>
      </c>
      <c r="Z62" t="s">
        <v>37</v>
      </c>
    </row>
    <row r="63" spans="1:26" x14ac:dyDescent="0.25">
      <c r="A63" s="7" t="str">
        <f>VLOOKUP(F63,'Contas Orç'!A:B,2,0)</f>
        <v>PECAS E ACESSORIOS</v>
      </c>
      <c r="B63" s="7" t="str">
        <f>VLOOKUP(C63,Base_20.12!E:E,1,0)</f>
        <v>0000000022</v>
      </c>
      <c r="C63" t="s">
        <v>218</v>
      </c>
      <c r="D63" t="s">
        <v>38</v>
      </c>
      <c r="E63" s="8">
        <v>44879</v>
      </c>
      <c r="F63" t="s">
        <v>39</v>
      </c>
      <c r="G63" t="s">
        <v>81</v>
      </c>
      <c r="H63" t="s">
        <v>54</v>
      </c>
      <c r="I63" t="s">
        <v>29</v>
      </c>
      <c r="J63" t="s">
        <v>30</v>
      </c>
      <c r="K63" t="s">
        <v>221</v>
      </c>
      <c r="M63" t="s">
        <v>56</v>
      </c>
      <c r="N63" t="s">
        <v>71</v>
      </c>
      <c r="O63" t="s">
        <v>222</v>
      </c>
      <c r="P63" t="s">
        <v>35</v>
      </c>
      <c r="Q63" t="s">
        <v>35</v>
      </c>
      <c r="R63" t="s">
        <v>35</v>
      </c>
      <c r="S63" t="s">
        <v>35</v>
      </c>
      <c r="V63" t="s">
        <v>81</v>
      </c>
      <c r="W63" t="s">
        <v>54</v>
      </c>
      <c r="Z63" t="s">
        <v>37</v>
      </c>
    </row>
    <row r="64" spans="1:26" x14ac:dyDescent="0.25">
      <c r="A64" s="7" t="str">
        <f>VLOOKUP(F64,'Contas Orç'!A:B,2,0)</f>
        <v>PECAS E ACESSORIOS</v>
      </c>
      <c r="B64" s="7" t="str">
        <f>VLOOKUP(C64,Base_20.12!E:E,1,0)</f>
        <v>0000000022</v>
      </c>
      <c r="C64" t="s">
        <v>218</v>
      </c>
      <c r="D64" t="s">
        <v>48</v>
      </c>
      <c r="E64" s="8">
        <v>44879</v>
      </c>
      <c r="F64" t="s">
        <v>39</v>
      </c>
      <c r="G64" t="s">
        <v>81</v>
      </c>
      <c r="H64" t="s">
        <v>54</v>
      </c>
      <c r="I64" t="s">
        <v>29</v>
      </c>
      <c r="J64" t="s">
        <v>30</v>
      </c>
      <c r="K64" t="s">
        <v>223</v>
      </c>
      <c r="M64" t="s">
        <v>56</v>
      </c>
      <c r="N64" t="s">
        <v>71</v>
      </c>
      <c r="O64" t="s">
        <v>224</v>
      </c>
      <c r="P64" t="s">
        <v>35</v>
      </c>
      <c r="Q64" t="s">
        <v>35</v>
      </c>
      <c r="R64" t="s">
        <v>35</v>
      </c>
      <c r="S64" t="s">
        <v>35</v>
      </c>
      <c r="V64" t="s">
        <v>81</v>
      </c>
      <c r="W64" t="s">
        <v>54</v>
      </c>
      <c r="Z64" t="s">
        <v>37</v>
      </c>
    </row>
    <row r="65" spans="1:26" x14ac:dyDescent="0.25">
      <c r="A65" s="7" t="str">
        <f>VLOOKUP(F65,'Contas Orç'!A:B,2,0)</f>
        <v>PECAS E ACESSORIOS</v>
      </c>
      <c r="B65" s="7" t="str">
        <f>VLOOKUP(C65,Base_20.12!E:E,1,0)</f>
        <v>0000000022</v>
      </c>
      <c r="C65" t="s">
        <v>218</v>
      </c>
      <c r="D65" t="s">
        <v>50</v>
      </c>
      <c r="E65" s="8">
        <v>44879</v>
      </c>
      <c r="F65" t="s">
        <v>39</v>
      </c>
      <c r="G65" t="s">
        <v>81</v>
      </c>
      <c r="H65" t="s">
        <v>54</v>
      </c>
      <c r="I65" t="s">
        <v>29</v>
      </c>
      <c r="J65" t="s">
        <v>30</v>
      </c>
      <c r="K65" t="s">
        <v>225</v>
      </c>
      <c r="M65" t="s">
        <v>56</v>
      </c>
      <c r="N65" t="s">
        <v>71</v>
      </c>
      <c r="O65" t="s">
        <v>226</v>
      </c>
      <c r="P65" t="s">
        <v>35</v>
      </c>
      <c r="Q65" t="s">
        <v>35</v>
      </c>
      <c r="R65" t="s">
        <v>35</v>
      </c>
      <c r="S65" t="s">
        <v>35</v>
      </c>
      <c r="V65" t="s">
        <v>81</v>
      </c>
      <c r="W65" t="s">
        <v>54</v>
      </c>
      <c r="Z65" t="s">
        <v>37</v>
      </c>
    </row>
    <row r="66" spans="1:26" x14ac:dyDescent="0.25">
      <c r="A66" s="7" t="str">
        <f>VLOOKUP(F66,'Contas Orç'!A:B,2,0)</f>
        <v>PECAS E ACESSORIOS</v>
      </c>
      <c r="B66" s="7" t="str">
        <f>VLOOKUP(C66,Base_20.12!E:E,1,0)</f>
        <v>0000000022</v>
      </c>
      <c r="C66" t="s">
        <v>218</v>
      </c>
      <c r="D66" t="s">
        <v>87</v>
      </c>
      <c r="E66" s="8">
        <v>44879</v>
      </c>
      <c r="F66" t="s">
        <v>39</v>
      </c>
      <c r="G66" t="s">
        <v>81</v>
      </c>
      <c r="H66" t="s">
        <v>54</v>
      </c>
      <c r="I66" t="s">
        <v>29</v>
      </c>
      <c r="J66" t="s">
        <v>30</v>
      </c>
      <c r="K66" t="s">
        <v>227</v>
      </c>
      <c r="M66" t="s">
        <v>56</v>
      </c>
      <c r="N66" t="s">
        <v>71</v>
      </c>
      <c r="O66" t="s">
        <v>228</v>
      </c>
      <c r="P66" t="s">
        <v>35</v>
      </c>
      <c r="Q66" t="s">
        <v>35</v>
      </c>
      <c r="R66" t="s">
        <v>35</v>
      </c>
      <c r="S66" t="s">
        <v>35</v>
      </c>
      <c r="V66" t="s">
        <v>81</v>
      </c>
      <c r="W66" t="s">
        <v>54</v>
      </c>
      <c r="Z66" t="s">
        <v>37</v>
      </c>
    </row>
    <row r="67" spans="1:26" x14ac:dyDescent="0.25">
      <c r="A67" s="7" t="str">
        <f>VLOOKUP(F67,'Contas Orç'!A:B,2,0)</f>
        <v>PECAS E ACESSORIOS</v>
      </c>
      <c r="B67" s="7" t="str">
        <f>VLOOKUP(C67,Base_20.12!E:E,1,0)</f>
        <v>0000000022</v>
      </c>
      <c r="C67" t="s">
        <v>218</v>
      </c>
      <c r="D67" t="s">
        <v>91</v>
      </c>
      <c r="E67" s="8">
        <v>44879</v>
      </c>
      <c r="F67" t="s">
        <v>39</v>
      </c>
      <c r="G67" t="s">
        <v>81</v>
      </c>
      <c r="H67" t="s">
        <v>54</v>
      </c>
      <c r="I67" t="s">
        <v>29</v>
      </c>
      <c r="J67" t="s">
        <v>30</v>
      </c>
      <c r="K67" t="s">
        <v>229</v>
      </c>
      <c r="M67" t="s">
        <v>56</v>
      </c>
      <c r="N67" t="s">
        <v>71</v>
      </c>
      <c r="O67" t="s">
        <v>230</v>
      </c>
      <c r="P67" t="s">
        <v>35</v>
      </c>
      <c r="Q67" t="s">
        <v>35</v>
      </c>
      <c r="R67" t="s">
        <v>35</v>
      </c>
      <c r="S67" t="s">
        <v>35</v>
      </c>
      <c r="V67" t="s">
        <v>81</v>
      </c>
      <c r="W67" t="s">
        <v>54</v>
      </c>
      <c r="Z67" t="s">
        <v>37</v>
      </c>
    </row>
    <row r="68" spans="1:26" x14ac:dyDescent="0.25">
      <c r="A68" s="7" t="str">
        <f>VLOOKUP(F68,'Contas Orç'!A:B,2,0)</f>
        <v>PECAS E ACESSORIOS</v>
      </c>
      <c r="B68" s="7" t="str">
        <f>VLOOKUP(C68,Base_20.12!E:E,1,0)</f>
        <v>0000000022</v>
      </c>
      <c r="C68" t="s">
        <v>218</v>
      </c>
      <c r="D68" t="s">
        <v>94</v>
      </c>
      <c r="E68" s="8">
        <v>44879</v>
      </c>
      <c r="F68" t="s">
        <v>39</v>
      </c>
      <c r="G68" t="s">
        <v>81</v>
      </c>
      <c r="H68" t="s">
        <v>54</v>
      </c>
      <c r="I68" t="s">
        <v>29</v>
      </c>
      <c r="J68" t="s">
        <v>30</v>
      </c>
      <c r="K68" t="s">
        <v>231</v>
      </c>
      <c r="M68" t="s">
        <v>56</v>
      </c>
      <c r="N68" t="s">
        <v>71</v>
      </c>
      <c r="O68" t="s">
        <v>232</v>
      </c>
      <c r="P68" t="s">
        <v>35</v>
      </c>
      <c r="Q68" t="s">
        <v>35</v>
      </c>
      <c r="R68" t="s">
        <v>35</v>
      </c>
      <c r="S68" t="s">
        <v>35</v>
      </c>
      <c r="V68" t="s">
        <v>81</v>
      </c>
      <c r="W68" t="s">
        <v>54</v>
      </c>
      <c r="Z68" t="s">
        <v>37</v>
      </c>
    </row>
    <row r="69" spans="1:26" x14ac:dyDescent="0.25">
      <c r="A69" s="7" t="str">
        <f>VLOOKUP(F69,'Contas Orç'!A:B,2,0)</f>
        <v>PECAS E ACESSORIOS</v>
      </c>
      <c r="B69" s="7" t="str">
        <f>VLOOKUP(C69,Base_20.12!E:E,1,0)</f>
        <v>0000000022</v>
      </c>
      <c r="C69" t="s">
        <v>218</v>
      </c>
      <c r="D69" t="s">
        <v>98</v>
      </c>
      <c r="E69" s="8">
        <v>44879</v>
      </c>
      <c r="F69" t="s">
        <v>39</v>
      </c>
      <c r="G69" t="s">
        <v>81</v>
      </c>
      <c r="H69" t="s">
        <v>54</v>
      </c>
      <c r="I69" t="s">
        <v>29</v>
      </c>
      <c r="J69" t="s">
        <v>30</v>
      </c>
      <c r="K69" t="s">
        <v>233</v>
      </c>
      <c r="M69" t="s">
        <v>56</v>
      </c>
      <c r="N69" t="s">
        <v>71</v>
      </c>
      <c r="O69" t="s">
        <v>34</v>
      </c>
      <c r="P69" t="s">
        <v>35</v>
      </c>
      <c r="Q69" t="s">
        <v>35</v>
      </c>
      <c r="R69" t="s">
        <v>35</v>
      </c>
      <c r="S69" t="s">
        <v>35</v>
      </c>
      <c r="V69" t="s">
        <v>81</v>
      </c>
      <c r="W69" t="s">
        <v>54</v>
      </c>
      <c r="Z69" t="s">
        <v>37</v>
      </c>
    </row>
    <row r="70" spans="1:26" x14ac:dyDescent="0.25">
      <c r="A70" s="7" t="str">
        <f>VLOOKUP(F70,'Contas Orç'!A:B,2,0)</f>
        <v>PJ-OUTROS SERVICOS CONTRATADOS-PJ</v>
      </c>
      <c r="B70" s="7" t="str">
        <f>VLOOKUP(C70,Base_20.12!E:E,1,0)</f>
        <v>0000000022</v>
      </c>
      <c r="C70" t="s">
        <v>218</v>
      </c>
      <c r="D70" t="s">
        <v>102</v>
      </c>
      <c r="E70" s="8">
        <v>44879</v>
      </c>
      <c r="F70" t="s">
        <v>67</v>
      </c>
      <c r="G70" t="s">
        <v>81</v>
      </c>
      <c r="H70" t="s">
        <v>54</v>
      </c>
      <c r="I70" t="s">
        <v>29</v>
      </c>
      <c r="J70" t="s">
        <v>30</v>
      </c>
      <c r="K70" t="s">
        <v>234</v>
      </c>
      <c r="M70" t="s">
        <v>56</v>
      </c>
      <c r="N70" t="s">
        <v>71</v>
      </c>
      <c r="O70" t="s">
        <v>222</v>
      </c>
      <c r="P70" t="s">
        <v>35</v>
      </c>
      <c r="Q70" t="s">
        <v>35</v>
      </c>
      <c r="R70" t="s">
        <v>35</v>
      </c>
      <c r="S70" t="s">
        <v>35</v>
      </c>
      <c r="V70" t="s">
        <v>81</v>
      </c>
      <c r="W70" t="s">
        <v>54</v>
      </c>
      <c r="Z70" t="s">
        <v>37</v>
      </c>
    </row>
    <row r="71" spans="1:26" x14ac:dyDescent="0.25">
      <c r="A71" s="7" t="str">
        <f>VLOOKUP(F71,'Contas Orç'!A:B,2,0)</f>
        <v>BENEFICIOS</v>
      </c>
      <c r="B71" s="7" t="str">
        <f>VLOOKUP(C71,Base_20.12!E:E,1,0)</f>
        <v>0000000023</v>
      </c>
      <c r="C71" t="s">
        <v>235</v>
      </c>
      <c r="D71" t="s">
        <v>25</v>
      </c>
      <c r="E71" s="8">
        <v>44879</v>
      </c>
      <c r="F71" t="s">
        <v>74</v>
      </c>
      <c r="G71" t="s">
        <v>75</v>
      </c>
      <c r="H71" t="s">
        <v>54</v>
      </c>
      <c r="I71" t="s">
        <v>29</v>
      </c>
      <c r="J71" t="s">
        <v>43</v>
      </c>
      <c r="K71" t="s">
        <v>236</v>
      </c>
      <c r="M71" t="s">
        <v>45</v>
      </c>
      <c r="N71" t="s">
        <v>237</v>
      </c>
      <c r="O71" t="s">
        <v>77</v>
      </c>
      <c r="P71" t="s">
        <v>35</v>
      </c>
      <c r="Q71" t="s">
        <v>35</v>
      </c>
      <c r="R71" t="s">
        <v>35</v>
      </c>
      <c r="S71" t="s">
        <v>35</v>
      </c>
      <c r="V71" t="s">
        <v>75</v>
      </c>
      <c r="W71" t="s">
        <v>54</v>
      </c>
      <c r="Z71" t="s">
        <v>37</v>
      </c>
    </row>
    <row r="72" spans="1:26" x14ac:dyDescent="0.25">
      <c r="A72" s="7" t="str">
        <f>VLOOKUP(F72,'Contas Orç'!A:B,2,0)</f>
        <v>BENEFICIOS</v>
      </c>
      <c r="B72" s="7" t="str">
        <f>VLOOKUP(C72,Base_20.12!E:E,1,0)</f>
        <v>0000000023</v>
      </c>
      <c r="C72" t="s">
        <v>235</v>
      </c>
      <c r="D72" t="s">
        <v>38</v>
      </c>
      <c r="E72" s="8">
        <v>44879</v>
      </c>
      <c r="F72" t="s">
        <v>74</v>
      </c>
      <c r="G72" t="s">
        <v>75</v>
      </c>
      <c r="H72" t="s">
        <v>54</v>
      </c>
      <c r="I72" t="s">
        <v>46</v>
      </c>
      <c r="J72" t="s">
        <v>30</v>
      </c>
      <c r="K72" t="s">
        <v>238</v>
      </c>
      <c r="M72" t="s">
        <v>45</v>
      </c>
      <c r="N72" t="s">
        <v>237</v>
      </c>
      <c r="O72" t="s">
        <v>77</v>
      </c>
      <c r="P72" t="s">
        <v>35</v>
      </c>
      <c r="Q72" t="s">
        <v>35</v>
      </c>
      <c r="R72" t="s">
        <v>35</v>
      </c>
      <c r="S72" t="s">
        <v>35</v>
      </c>
      <c r="V72" t="s">
        <v>75</v>
      </c>
      <c r="W72" t="s">
        <v>54</v>
      </c>
      <c r="Z72" t="s">
        <v>37</v>
      </c>
    </row>
    <row r="73" spans="1:26" x14ac:dyDescent="0.25">
      <c r="A73" s="7" t="str">
        <f>VLOOKUP(F73,'Contas Orç'!A:B,2,0)</f>
        <v>BENEFICIOS</v>
      </c>
      <c r="B73" s="7" t="str">
        <f>VLOOKUP(C73,Base_20.12!E:E,1,0)</f>
        <v>0000000023</v>
      </c>
      <c r="C73" t="s">
        <v>235</v>
      </c>
      <c r="D73" t="s">
        <v>48</v>
      </c>
      <c r="E73" s="8">
        <v>44879</v>
      </c>
      <c r="F73" t="s">
        <v>74</v>
      </c>
      <c r="G73" t="s">
        <v>78</v>
      </c>
      <c r="H73" t="s">
        <v>54</v>
      </c>
      <c r="I73" t="s">
        <v>29</v>
      </c>
      <c r="J73" t="s">
        <v>43</v>
      </c>
      <c r="K73" t="s">
        <v>236</v>
      </c>
      <c r="M73" t="s">
        <v>45</v>
      </c>
      <c r="N73" t="s">
        <v>237</v>
      </c>
      <c r="O73" t="s">
        <v>80</v>
      </c>
      <c r="P73" t="s">
        <v>35</v>
      </c>
      <c r="Q73" t="s">
        <v>35</v>
      </c>
      <c r="R73" t="s">
        <v>35</v>
      </c>
      <c r="S73" t="s">
        <v>35</v>
      </c>
      <c r="V73" t="s">
        <v>78</v>
      </c>
      <c r="W73" t="s">
        <v>54</v>
      </c>
      <c r="Z73" t="s">
        <v>37</v>
      </c>
    </row>
    <row r="74" spans="1:26" x14ac:dyDescent="0.25">
      <c r="A74" s="7" t="str">
        <f>VLOOKUP(F74,'Contas Orç'!A:B,2,0)</f>
        <v>BENEFICIOS</v>
      </c>
      <c r="B74" s="7" t="str">
        <f>VLOOKUP(C74,Base_20.12!E:E,1,0)</f>
        <v>0000000023</v>
      </c>
      <c r="C74" t="s">
        <v>235</v>
      </c>
      <c r="D74" t="s">
        <v>50</v>
      </c>
      <c r="E74" s="8">
        <v>44879</v>
      </c>
      <c r="F74" t="s">
        <v>74</v>
      </c>
      <c r="G74" t="s">
        <v>78</v>
      </c>
      <c r="H74" t="s">
        <v>54</v>
      </c>
      <c r="I74" t="s">
        <v>46</v>
      </c>
      <c r="J74" t="s">
        <v>30</v>
      </c>
      <c r="K74" t="s">
        <v>238</v>
      </c>
      <c r="M74" t="s">
        <v>45</v>
      </c>
      <c r="N74" t="s">
        <v>237</v>
      </c>
      <c r="O74" t="s">
        <v>80</v>
      </c>
      <c r="P74" t="s">
        <v>35</v>
      </c>
      <c r="Q74" t="s">
        <v>35</v>
      </c>
      <c r="R74" t="s">
        <v>35</v>
      </c>
      <c r="S74" t="s">
        <v>35</v>
      </c>
      <c r="V74" t="s">
        <v>78</v>
      </c>
      <c r="W74" t="s">
        <v>54</v>
      </c>
      <c r="Z74" t="s">
        <v>37</v>
      </c>
    </row>
    <row r="75" spans="1:26" x14ac:dyDescent="0.25">
      <c r="A75" s="7" t="str">
        <f>VLOOKUP(F75,'Contas Orç'!A:B,2,0)</f>
        <v>BENEFICIOS</v>
      </c>
      <c r="B75" s="7" t="str">
        <f>VLOOKUP(C75,Base_20.12!E:E,1,0)</f>
        <v>0000000023</v>
      </c>
      <c r="C75" t="s">
        <v>235</v>
      </c>
      <c r="D75" t="s">
        <v>87</v>
      </c>
      <c r="E75" s="8">
        <v>44879</v>
      </c>
      <c r="F75" t="s">
        <v>74</v>
      </c>
      <c r="G75" t="s">
        <v>81</v>
      </c>
      <c r="H75" t="s">
        <v>54</v>
      </c>
      <c r="I75" t="s">
        <v>29</v>
      </c>
      <c r="J75" t="s">
        <v>43</v>
      </c>
      <c r="K75" t="s">
        <v>236</v>
      </c>
      <c r="M75" t="s">
        <v>45</v>
      </c>
      <c r="N75" t="s">
        <v>237</v>
      </c>
      <c r="O75" t="s">
        <v>83</v>
      </c>
      <c r="P75" t="s">
        <v>35</v>
      </c>
      <c r="Q75" t="s">
        <v>35</v>
      </c>
      <c r="R75" t="s">
        <v>35</v>
      </c>
      <c r="S75" t="s">
        <v>35</v>
      </c>
      <c r="V75" t="s">
        <v>81</v>
      </c>
      <c r="W75" t="s">
        <v>54</v>
      </c>
      <c r="Z75" t="s">
        <v>37</v>
      </c>
    </row>
    <row r="76" spans="1:26" x14ac:dyDescent="0.25">
      <c r="A76" s="7" t="str">
        <f>VLOOKUP(F76,'Contas Orç'!A:B,2,0)</f>
        <v>BENEFICIOS</v>
      </c>
      <c r="B76" s="7" t="str">
        <f>VLOOKUP(C76,Base_20.12!E:E,1,0)</f>
        <v>0000000023</v>
      </c>
      <c r="C76" t="s">
        <v>235</v>
      </c>
      <c r="D76" t="s">
        <v>91</v>
      </c>
      <c r="E76" s="8">
        <v>44879</v>
      </c>
      <c r="F76" t="s">
        <v>74</v>
      </c>
      <c r="G76" t="s">
        <v>81</v>
      </c>
      <c r="H76" t="s">
        <v>54</v>
      </c>
      <c r="I76" t="s">
        <v>46</v>
      </c>
      <c r="J76" t="s">
        <v>30</v>
      </c>
      <c r="K76" t="s">
        <v>238</v>
      </c>
      <c r="M76" t="s">
        <v>45</v>
      </c>
      <c r="N76" t="s">
        <v>237</v>
      </c>
      <c r="O76" t="s">
        <v>83</v>
      </c>
      <c r="P76" t="s">
        <v>35</v>
      </c>
      <c r="Q76" t="s">
        <v>35</v>
      </c>
      <c r="R76" t="s">
        <v>35</v>
      </c>
      <c r="S76" t="s">
        <v>35</v>
      </c>
      <c r="V76" t="s">
        <v>81</v>
      </c>
      <c r="W76" t="s">
        <v>54</v>
      </c>
      <c r="Z76" t="s">
        <v>37</v>
      </c>
    </row>
    <row r="77" spans="1:26" x14ac:dyDescent="0.25">
      <c r="A77" s="7" t="str">
        <f>VLOOKUP(F77,'Contas Orç'!A:B,2,0)</f>
        <v>BENEFICIOS</v>
      </c>
      <c r="B77" s="7" t="str">
        <f>VLOOKUP(C77,Base_20.12!E:E,1,0)</f>
        <v>0000000023</v>
      </c>
      <c r="C77" t="s">
        <v>235</v>
      </c>
      <c r="D77" t="s">
        <v>94</v>
      </c>
      <c r="E77" s="8">
        <v>44879</v>
      </c>
      <c r="F77" t="s">
        <v>84</v>
      </c>
      <c r="G77" t="s">
        <v>53</v>
      </c>
      <c r="H77" t="s">
        <v>28</v>
      </c>
      <c r="I77" t="s">
        <v>29</v>
      </c>
      <c r="J77" t="s">
        <v>43</v>
      </c>
      <c r="K77" t="s">
        <v>236</v>
      </c>
      <c r="M77" t="s">
        <v>45</v>
      </c>
      <c r="N77" t="s">
        <v>237</v>
      </c>
      <c r="O77" t="s">
        <v>86</v>
      </c>
      <c r="P77" t="s">
        <v>35</v>
      </c>
      <c r="Q77" t="s">
        <v>35</v>
      </c>
      <c r="R77" t="s">
        <v>35</v>
      </c>
      <c r="S77" t="s">
        <v>35</v>
      </c>
      <c r="V77" t="s">
        <v>53</v>
      </c>
      <c r="W77" t="s">
        <v>28</v>
      </c>
      <c r="Z77" t="s">
        <v>37</v>
      </c>
    </row>
    <row r="78" spans="1:26" x14ac:dyDescent="0.25">
      <c r="A78" s="7" t="str">
        <f>VLOOKUP(F78,'Contas Orç'!A:B,2,0)</f>
        <v>BENEFICIOS</v>
      </c>
      <c r="B78" s="7" t="str">
        <f>VLOOKUP(C78,Base_20.12!E:E,1,0)</f>
        <v>0000000023</v>
      </c>
      <c r="C78" t="s">
        <v>235</v>
      </c>
      <c r="D78" t="s">
        <v>98</v>
      </c>
      <c r="E78" s="8">
        <v>44879</v>
      </c>
      <c r="F78" t="s">
        <v>84</v>
      </c>
      <c r="G78" t="s">
        <v>53</v>
      </c>
      <c r="H78" t="s">
        <v>28</v>
      </c>
      <c r="I78" t="s">
        <v>46</v>
      </c>
      <c r="J78" t="s">
        <v>30</v>
      </c>
      <c r="K78" t="s">
        <v>238</v>
      </c>
      <c r="M78" t="s">
        <v>45</v>
      </c>
      <c r="N78" t="s">
        <v>237</v>
      </c>
      <c r="O78" t="s">
        <v>86</v>
      </c>
      <c r="P78" t="s">
        <v>35</v>
      </c>
      <c r="Q78" t="s">
        <v>35</v>
      </c>
      <c r="R78" t="s">
        <v>35</v>
      </c>
      <c r="S78" t="s">
        <v>35</v>
      </c>
      <c r="V78" t="s">
        <v>53</v>
      </c>
      <c r="W78" t="s">
        <v>28</v>
      </c>
      <c r="Z78" t="s">
        <v>37</v>
      </c>
    </row>
    <row r="79" spans="1:26" x14ac:dyDescent="0.25">
      <c r="A79" s="7" t="str">
        <f>VLOOKUP(F79,'Contas Orç'!A:B,2,0)</f>
        <v>BENEFICIOS</v>
      </c>
      <c r="B79" s="7" t="str">
        <f>VLOOKUP(C79,Base_20.12!E:E,1,0)</f>
        <v>0000000023</v>
      </c>
      <c r="C79" t="s">
        <v>235</v>
      </c>
      <c r="D79" t="s">
        <v>102</v>
      </c>
      <c r="E79" s="8">
        <v>44879</v>
      </c>
      <c r="F79" t="s">
        <v>84</v>
      </c>
      <c r="G79" t="s">
        <v>88</v>
      </c>
      <c r="H79" t="s">
        <v>28</v>
      </c>
      <c r="I79" t="s">
        <v>29</v>
      </c>
      <c r="J79" t="s">
        <v>43</v>
      </c>
      <c r="K79" t="s">
        <v>236</v>
      </c>
      <c r="M79" t="s">
        <v>45</v>
      </c>
      <c r="N79" t="s">
        <v>237</v>
      </c>
      <c r="O79" t="s">
        <v>90</v>
      </c>
      <c r="P79" t="s">
        <v>35</v>
      </c>
      <c r="Q79" t="s">
        <v>35</v>
      </c>
      <c r="R79" t="s">
        <v>35</v>
      </c>
      <c r="S79" t="s">
        <v>35</v>
      </c>
      <c r="V79" t="s">
        <v>88</v>
      </c>
      <c r="W79" t="s">
        <v>28</v>
      </c>
      <c r="Z79" t="s">
        <v>37</v>
      </c>
    </row>
    <row r="80" spans="1:26" x14ac:dyDescent="0.25">
      <c r="A80" s="7" t="str">
        <f>VLOOKUP(F80,'Contas Orç'!A:B,2,0)</f>
        <v>BENEFICIOS</v>
      </c>
      <c r="B80" s="7" t="str">
        <f>VLOOKUP(C80,Base_20.12!E:E,1,0)</f>
        <v>0000000023</v>
      </c>
      <c r="C80" t="s">
        <v>235</v>
      </c>
      <c r="D80" t="s">
        <v>105</v>
      </c>
      <c r="E80" s="8">
        <v>44879</v>
      </c>
      <c r="F80" t="s">
        <v>84</v>
      </c>
      <c r="G80" t="s">
        <v>88</v>
      </c>
      <c r="H80" t="s">
        <v>28</v>
      </c>
      <c r="I80" t="s">
        <v>46</v>
      </c>
      <c r="J80" t="s">
        <v>30</v>
      </c>
      <c r="K80" t="s">
        <v>238</v>
      </c>
      <c r="M80" t="s">
        <v>45</v>
      </c>
      <c r="N80" t="s">
        <v>237</v>
      </c>
      <c r="O80" t="s">
        <v>90</v>
      </c>
      <c r="P80" t="s">
        <v>35</v>
      </c>
      <c r="Q80" t="s">
        <v>35</v>
      </c>
      <c r="R80" t="s">
        <v>35</v>
      </c>
      <c r="S80" t="s">
        <v>35</v>
      </c>
      <c r="V80" t="s">
        <v>88</v>
      </c>
      <c r="W80" t="s">
        <v>28</v>
      </c>
      <c r="Z80" t="s">
        <v>37</v>
      </c>
    </row>
    <row r="81" spans="1:26" x14ac:dyDescent="0.25">
      <c r="A81" s="7" t="str">
        <f>VLOOKUP(F81,'Contas Orç'!A:B,2,0)</f>
        <v>BENEFICIOS</v>
      </c>
      <c r="B81" s="7" t="str">
        <f>VLOOKUP(C81,Base_20.12!E:E,1,0)</f>
        <v>0000000023</v>
      </c>
      <c r="C81" t="s">
        <v>235</v>
      </c>
      <c r="D81" t="s">
        <v>110</v>
      </c>
      <c r="E81" s="8">
        <v>44879</v>
      </c>
      <c r="F81" t="s">
        <v>84</v>
      </c>
      <c r="G81" t="s">
        <v>27</v>
      </c>
      <c r="H81" t="s">
        <v>60</v>
      </c>
      <c r="I81" t="s">
        <v>29</v>
      </c>
      <c r="J81" t="s">
        <v>43</v>
      </c>
      <c r="K81" t="s">
        <v>236</v>
      </c>
      <c r="M81" t="s">
        <v>45</v>
      </c>
      <c r="N81" t="s">
        <v>237</v>
      </c>
      <c r="O81" t="s">
        <v>93</v>
      </c>
      <c r="P81" t="s">
        <v>35</v>
      </c>
      <c r="Q81" t="s">
        <v>35</v>
      </c>
      <c r="R81" t="s">
        <v>35</v>
      </c>
      <c r="S81" t="s">
        <v>35</v>
      </c>
      <c r="V81" t="s">
        <v>27</v>
      </c>
      <c r="W81" t="s">
        <v>60</v>
      </c>
      <c r="Z81" t="s">
        <v>37</v>
      </c>
    </row>
    <row r="82" spans="1:26" x14ac:dyDescent="0.25">
      <c r="A82" s="7" t="str">
        <f>VLOOKUP(F82,'Contas Orç'!A:B,2,0)</f>
        <v>BENEFICIOS</v>
      </c>
      <c r="B82" s="7" t="str">
        <f>VLOOKUP(C82,Base_20.12!E:E,1,0)</f>
        <v>0000000023</v>
      </c>
      <c r="C82" t="s">
        <v>235</v>
      </c>
      <c r="D82" t="s">
        <v>113</v>
      </c>
      <c r="E82" s="8">
        <v>44879</v>
      </c>
      <c r="F82" t="s">
        <v>84</v>
      </c>
      <c r="G82" t="s">
        <v>27</v>
      </c>
      <c r="H82" t="s">
        <v>60</v>
      </c>
      <c r="I82" t="s">
        <v>46</v>
      </c>
      <c r="J82" t="s">
        <v>30</v>
      </c>
      <c r="K82" t="s">
        <v>238</v>
      </c>
      <c r="M82" t="s">
        <v>45</v>
      </c>
      <c r="N82" t="s">
        <v>237</v>
      </c>
      <c r="O82" t="s">
        <v>93</v>
      </c>
      <c r="P82" t="s">
        <v>35</v>
      </c>
      <c r="Q82" t="s">
        <v>35</v>
      </c>
      <c r="R82" t="s">
        <v>35</v>
      </c>
      <c r="S82" t="s">
        <v>35</v>
      </c>
      <c r="V82" t="s">
        <v>27</v>
      </c>
      <c r="W82" t="s">
        <v>60</v>
      </c>
      <c r="Z82" t="s">
        <v>37</v>
      </c>
    </row>
    <row r="83" spans="1:26" x14ac:dyDescent="0.25">
      <c r="A83" s="7" t="str">
        <f>VLOOKUP(F83,'Contas Orç'!A:B,2,0)</f>
        <v>BENEFICIOS</v>
      </c>
      <c r="B83" s="7" t="str">
        <f>VLOOKUP(C83,Base_20.12!E:E,1,0)</f>
        <v>0000000023</v>
      </c>
      <c r="C83" t="s">
        <v>235</v>
      </c>
      <c r="D83" t="s">
        <v>117</v>
      </c>
      <c r="E83" s="8">
        <v>44879</v>
      </c>
      <c r="F83" t="s">
        <v>84</v>
      </c>
      <c r="G83" t="s">
        <v>59</v>
      </c>
      <c r="H83" t="s">
        <v>95</v>
      </c>
      <c r="I83" t="s">
        <v>29</v>
      </c>
      <c r="J83" t="s">
        <v>43</v>
      </c>
      <c r="K83" t="s">
        <v>236</v>
      </c>
      <c r="M83" t="s">
        <v>45</v>
      </c>
      <c r="N83" t="s">
        <v>237</v>
      </c>
      <c r="O83" t="s">
        <v>97</v>
      </c>
      <c r="P83" t="s">
        <v>35</v>
      </c>
      <c r="Q83" t="s">
        <v>35</v>
      </c>
      <c r="R83" t="s">
        <v>35</v>
      </c>
      <c r="S83" t="s">
        <v>35</v>
      </c>
      <c r="V83" t="s">
        <v>59</v>
      </c>
      <c r="W83" t="s">
        <v>95</v>
      </c>
      <c r="Z83" t="s">
        <v>37</v>
      </c>
    </row>
    <row r="84" spans="1:26" x14ac:dyDescent="0.25">
      <c r="A84" s="7" t="str">
        <f>VLOOKUP(F84,'Contas Orç'!A:B,2,0)</f>
        <v>BENEFICIOS</v>
      </c>
      <c r="B84" s="7" t="str">
        <f>VLOOKUP(C84,Base_20.12!E:E,1,0)</f>
        <v>0000000023</v>
      </c>
      <c r="C84" t="s">
        <v>235</v>
      </c>
      <c r="D84" t="s">
        <v>120</v>
      </c>
      <c r="E84" s="8">
        <v>44879</v>
      </c>
      <c r="F84" t="s">
        <v>84</v>
      </c>
      <c r="G84" t="s">
        <v>59</v>
      </c>
      <c r="H84" t="s">
        <v>95</v>
      </c>
      <c r="I84" t="s">
        <v>46</v>
      </c>
      <c r="J84" t="s">
        <v>30</v>
      </c>
      <c r="K84" t="s">
        <v>238</v>
      </c>
      <c r="M84" t="s">
        <v>45</v>
      </c>
      <c r="N84" t="s">
        <v>237</v>
      </c>
      <c r="O84" t="s">
        <v>97</v>
      </c>
      <c r="P84" t="s">
        <v>35</v>
      </c>
      <c r="Q84" t="s">
        <v>35</v>
      </c>
      <c r="R84" t="s">
        <v>35</v>
      </c>
      <c r="S84" t="s">
        <v>35</v>
      </c>
      <c r="V84" t="s">
        <v>59</v>
      </c>
      <c r="W84" t="s">
        <v>95</v>
      </c>
      <c r="Z84" t="s">
        <v>37</v>
      </c>
    </row>
    <row r="85" spans="1:26" x14ac:dyDescent="0.25">
      <c r="A85" s="7" t="str">
        <f>VLOOKUP(F85,'Contas Orç'!A:B,2,0)</f>
        <v>BENEFICIOS</v>
      </c>
      <c r="B85" s="7" t="str">
        <f>VLOOKUP(C85,Base_20.12!E:E,1,0)</f>
        <v>0000000023</v>
      </c>
      <c r="C85" t="s">
        <v>235</v>
      </c>
      <c r="D85" t="s">
        <v>124</v>
      </c>
      <c r="E85" s="8">
        <v>44879</v>
      </c>
      <c r="F85" t="s">
        <v>74</v>
      </c>
      <c r="G85" t="s">
        <v>99</v>
      </c>
      <c r="H85" t="s">
        <v>54</v>
      </c>
      <c r="I85" t="s">
        <v>29</v>
      </c>
      <c r="J85" t="s">
        <v>43</v>
      </c>
      <c r="K85" t="s">
        <v>236</v>
      </c>
      <c r="M85" t="s">
        <v>45</v>
      </c>
      <c r="N85" t="s">
        <v>237</v>
      </c>
      <c r="O85" t="s">
        <v>101</v>
      </c>
      <c r="P85" t="s">
        <v>35</v>
      </c>
      <c r="Q85" t="s">
        <v>35</v>
      </c>
      <c r="R85" t="s">
        <v>35</v>
      </c>
      <c r="S85" t="s">
        <v>35</v>
      </c>
      <c r="V85" t="s">
        <v>99</v>
      </c>
      <c r="W85" t="s">
        <v>54</v>
      </c>
      <c r="Z85" t="s">
        <v>37</v>
      </c>
    </row>
    <row r="86" spans="1:26" x14ac:dyDescent="0.25">
      <c r="A86" s="7" t="str">
        <f>VLOOKUP(F86,'Contas Orç'!A:B,2,0)</f>
        <v>BENEFICIOS</v>
      </c>
      <c r="B86" s="7" t="str">
        <f>VLOOKUP(C86,Base_20.12!E:E,1,0)</f>
        <v>0000000023</v>
      </c>
      <c r="C86" t="s">
        <v>235</v>
      </c>
      <c r="D86" t="s">
        <v>128</v>
      </c>
      <c r="E86" s="8">
        <v>44879</v>
      </c>
      <c r="F86" t="s">
        <v>74</v>
      </c>
      <c r="G86" t="s">
        <v>99</v>
      </c>
      <c r="H86" t="s">
        <v>54</v>
      </c>
      <c r="I86" t="s">
        <v>46</v>
      </c>
      <c r="J86" t="s">
        <v>30</v>
      </c>
      <c r="K86" t="s">
        <v>238</v>
      </c>
      <c r="M86" t="s">
        <v>45</v>
      </c>
      <c r="N86" t="s">
        <v>237</v>
      </c>
      <c r="O86" t="s">
        <v>101</v>
      </c>
      <c r="P86" t="s">
        <v>35</v>
      </c>
      <c r="Q86" t="s">
        <v>35</v>
      </c>
      <c r="R86" t="s">
        <v>35</v>
      </c>
      <c r="S86" t="s">
        <v>35</v>
      </c>
      <c r="V86" t="s">
        <v>99</v>
      </c>
      <c r="W86" t="s">
        <v>54</v>
      </c>
      <c r="Z86" t="s">
        <v>37</v>
      </c>
    </row>
    <row r="87" spans="1:26" x14ac:dyDescent="0.25">
      <c r="A87" s="7" t="str">
        <f>VLOOKUP(F87,'Contas Orç'!A:B,2,0)</f>
        <v>BENEFICIOS</v>
      </c>
      <c r="B87" s="7" t="str">
        <f>VLOOKUP(C87,Base_20.12!E:E,1,0)</f>
        <v>0000000023</v>
      </c>
      <c r="C87" t="s">
        <v>235</v>
      </c>
      <c r="D87" t="s">
        <v>131</v>
      </c>
      <c r="E87" s="8">
        <v>44879</v>
      </c>
      <c r="F87" t="s">
        <v>84</v>
      </c>
      <c r="G87" t="s">
        <v>53</v>
      </c>
      <c r="H87" t="s">
        <v>54</v>
      </c>
      <c r="I87" t="s">
        <v>29</v>
      </c>
      <c r="J87" t="s">
        <v>43</v>
      </c>
      <c r="K87" t="s">
        <v>236</v>
      </c>
      <c r="M87" t="s">
        <v>45</v>
      </c>
      <c r="N87" t="s">
        <v>237</v>
      </c>
      <c r="O87" t="s">
        <v>104</v>
      </c>
      <c r="P87" t="s">
        <v>35</v>
      </c>
      <c r="Q87" t="s">
        <v>35</v>
      </c>
      <c r="R87" t="s">
        <v>35</v>
      </c>
      <c r="S87" t="s">
        <v>35</v>
      </c>
      <c r="V87" t="s">
        <v>53</v>
      </c>
      <c r="W87" t="s">
        <v>54</v>
      </c>
      <c r="Z87" t="s">
        <v>37</v>
      </c>
    </row>
    <row r="88" spans="1:26" x14ac:dyDescent="0.25">
      <c r="A88" s="7" t="str">
        <f>VLOOKUP(F88,'Contas Orç'!A:B,2,0)</f>
        <v>BENEFICIOS</v>
      </c>
      <c r="B88" s="7" t="str">
        <f>VLOOKUP(C88,Base_20.12!E:E,1,0)</f>
        <v>0000000023</v>
      </c>
      <c r="C88" t="s">
        <v>235</v>
      </c>
      <c r="D88" t="s">
        <v>135</v>
      </c>
      <c r="E88" s="8">
        <v>44879</v>
      </c>
      <c r="F88" t="s">
        <v>84</v>
      </c>
      <c r="G88" t="s">
        <v>53</v>
      </c>
      <c r="H88" t="s">
        <v>54</v>
      </c>
      <c r="I88" t="s">
        <v>46</v>
      </c>
      <c r="J88" t="s">
        <v>30</v>
      </c>
      <c r="K88" t="s">
        <v>238</v>
      </c>
      <c r="M88" t="s">
        <v>45</v>
      </c>
      <c r="N88" t="s">
        <v>237</v>
      </c>
      <c r="O88" t="s">
        <v>104</v>
      </c>
      <c r="P88" t="s">
        <v>35</v>
      </c>
      <c r="Q88" t="s">
        <v>35</v>
      </c>
      <c r="R88" t="s">
        <v>35</v>
      </c>
      <c r="S88" t="s">
        <v>35</v>
      </c>
      <c r="V88" t="s">
        <v>53</v>
      </c>
      <c r="W88" t="s">
        <v>54</v>
      </c>
      <c r="Z88" t="s">
        <v>37</v>
      </c>
    </row>
    <row r="89" spans="1:26" x14ac:dyDescent="0.25">
      <c r="A89" s="7" t="str">
        <f>VLOOKUP(F89,'Contas Orç'!A:B,2,0)</f>
        <v>BENEFICIOS</v>
      </c>
      <c r="B89" s="7" t="str">
        <f>VLOOKUP(C89,Base_20.12!E:E,1,0)</f>
        <v>0000000023</v>
      </c>
      <c r="C89" t="s">
        <v>235</v>
      </c>
      <c r="D89" t="s">
        <v>138</v>
      </c>
      <c r="E89" s="8">
        <v>44879</v>
      </c>
      <c r="F89" t="s">
        <v>84</v>
      </c>
      <c r="G89" t="s">
        <v>106</v>
      </c>
      <c r="H89" t="s">
        <v>107</v>
      </c>
      <c r="I89" t="s">
        <v>29</v>
      </c>
      <c r="J89" t="s">
        <v>43</v>
      </c>
      <c r="K89" t="s">
        <v>236</v>
      </c>
      <c r="M89" t="s">
        <v>45</v>
      </c>
      <c r="N89" t="s">
        <v>237</v>
      </c>
      <c r="O89" t="s">
        <v>109</v>
      </c>
      <c r="P89" t="s">
        <v>35</v>
      </c>
      <c r="Q89" t="s">
        <v>35</v>
      </c>
      <c r="R89" t="s">
        <v>35</v>
      </c>
      <c r="S89" t="s">
        <v>35</v>
      </c>
      <c r="V89" t="s">
        <v>106</v>
      </c>
      <c r="W89" t="s">
        <v>107</v>
      </c>
      <c r="Z89" t="s">
        <v>37</v>
      </c>
    </row>
    <row r="90" spans="1:26" x14ac:dyDescent="0.25">
      <c r="A90" s="7" t="str">
        <f>VLOOKUP(F90,'Contas Orç'!A:B,2,0)</f>
        <v>BENEFICIOS</v>
      </c>
      <c r="B90" s="7" t="str">
        <f>VLOOKUP(C90,Base_20.12!E:E,1,0)</f>
        <v>0000000023</v>
      </c>
      <c r="C90" t="s">
        <v>235</v>
      </c>
      <c r="D90" t="s">
        <v>140</v>
      </c>
      <c r="E90" s="8">
        <v>44879</v>
      </c>
      <c r="F90" t="s">
        <v>84</v>
      </c>
      <c r="G90" t="s">
        <v>106</v>
      </c>
      <c r="H90" t="s">
        <v>107</v>
      </c>
      <c r="I90" t="s">
        <v>46</v>
      </c>
      <c r="J90" t="s">
        <v>30</v>
      </c>
      <c r="K90" t="s">
        <v>238</v>
      </c>
      <c r="M90" t="s">
        <v>45</v>
      </c>
      <c r="N90" t="s">
        <v>237</v>
      </c>
      <c r="O90" t="s">
        <v>109</v>
      </c>
      <c r="P90" t="s">
        <v>35</v>
      </c>
      <c r="Q90" t="s">
        <v>35</v>
      </c>
      <c r="R90" t="s">
        <v>35</v>
      </c>
      <c r="S90" t="s">
        <v>35</v>
      </c>
      <c r="V90" t="s">
        <v>106</v>
      </c>
      <c r="W90" t="s">
        <v>107</v>
      </c>
      <c r="Z90" t="s">
        <v>37</v>
      </c>
    </row>
    <row r="91" spans="1:26" x14ac:dyDescent="0.25">
      <c r="A91" s="7" t="str">
        <f>VLOOKUP(F91,'Contas Orç'!A:B,2,0)</f>
        <v>BENEFICIOS</v>
      </c>
      <c r="B91" s="7" t="str">
        <f>VLOOKUP(C91,Base_20.12!E:E,1,0)</f>
        <v>0000000023</v>
      </c>
      <c r="C91" t="s">
        <v>235</v>
      </c>
      <c r="D91" t="s">
        <v>239</v>
      </c>
      <c r="E91" s="8">
        <v>44879</v>
      </c>
      <c r="F91" t="s">
        <v>84</v>
      </c>
      <c r="G91" t="s">
        <v>59</v>
      </c>
      <c r="H91" t="s">
        <v>54</v>
      </c>
      <c r="I91" t="s">
        <v>29</v>
      </c>
      <c r="J91" t="s">
        <v>43</v>
      </c>
      <c r="K91" t="s">
        <v>236</v>
      </c>
      <c r="M91" t="s">
        <v>45</v>
      </c>
      <c r="N91" t="s">
        <v>237</v>
      </c>
      <c r="O91" t="s">
        <v>112</v>
      </c>
      <c r="P91" t="s">
        <v>35</v>
      </c>
      <c r="Q91" t="s">
        <v>35</v>
      </c>
      <c r="R91" t="s">
        <v>35</v>
      </c>
      <c r="S91" t="s">
        <v>35</v>
      </c>
      <c r="V91" t="s">
        <v>59</v>
      </c>
      <c r="W91" t="s">
        <v>54</v>
      </c>
      <c r="Z91" t="s">
        <v>37</v>
      </c>
    </row>
    <row r="92" spans="1:26" x14ac:dyDescent="0.25">
      <c r="A92" s="7" t="str">
        <f>VLOOKUP(F92,'Contas Orç'!A:B,2,0)</f>
        <v>BENEFICIOS</v>
      </c>
      <c r="B92" s="7" t="str">
        <f>VLOOKUP(C92,Base_20.12!E:E,1,0)</f>
        <v>0000000023</v>
      </c>
      <c r="C92" t="s">
        <v>235</v>
      </c>
      <c r="D92" t="s">
        <v>240</v>
      </c>
      <c r="E92" s="8">
        <v>44879</v>
      </c>
      <c r="F92" t="s">
        <v>84</v>
      </c>
      <c r="G92" t="s">
        <v>59</v>
      </c>
      <c r="H92" t="s">
        <v>54</v>
      </c>
      <c r="I92" t="s">
        <v>46</v>
      </c>
      <c r="J92" t="s">
        <v>30</v>
      </c>
      <c r="K92" t="s">
        <v>238</v>
      </c>
      <c r="M92" t="s">
        <v>45</v>
      </c>
      <c r="N92" t="s">
        <v>237</v>
      </c>
      <c r="O92" t="s">
        <v>112</v>
      </c>
      <c r="P92" t="s">
        <v>35</v>
      </c>
      <c r="Q92" t="s">
        <v>35</v>
      </c>
      <c r="R92" t="s">
        <v>35</v>
      </c>
      <c r="S92" t="s">
        <v>35</v>
      </c>
      <c r="V92" t="s">
        <v>59</v>
      </c>
      <c r="W92" t="s">
        <v>54</v>
      </c>
      <c r="Z92" t="s">
        <v>37</v>
      </c>
    </row>
    <row r="93" spans="1:26" x14ac:dyDescent="0.25">
      <c r="A93" s="7" t="str">
        <f>VLOOKUP(F93,'Contas Orç'!A:B,2,0)</f>
        <v>BENEFICIOS</v>
      </c>
      <c r="B93" s="7" t="str">
        <f>VLOOKUP(C93,Base_20.12!E:E,1,0)</f>
        <v>0000000023</v>
      </c>
      <c r="C93" t="s">
        <v>235</v>
      </c>
      <c r="D93" t="s">
        <v>241</v>
      </c>
      <c r="E93" s="8">
        <v>44879</v>
      </c>
      <c r="F93" t="s">
        <v>74</v>
      </c>
      <c r="G93" t="s">
        <v>114</v>
      </c>
      <c r="H93" t="s">
        <v>54</v>
      </c>
      <c r="I93" t="s">
        <v>29</v>
      </c>
      <c r="J93" t="s">
        <v>43</v>
      </c>
      <c r="K93" t="s">
        <v>236</v>
      </c>
      <c r="M93" t="s">
        <v>45</v>
      </c>
      <c r="N93" t="s">
        <v>237</v>
      </c>
      <c r="O93" t="s">
        <v>116</v>
      </c>
      <c r="P93" t="s">
        <v>35</v>
      </c>
      <c r="Q93" t="s">
        <v>35</v>
      </c>
      <c r="R93" t="s">
        <v>35</v>
      </c>
      <c r="S93" t="s">
        <v>35</v>
      </c>
      <c r="V93" t="s">
        <v>114</v>
      </c>
      <c r="W93" t="s">
        <v>54</v>
      </c>
      <c r="Z93" t="s">
        <v>37</v>
      </c>
    </row>
    <row r="94" spans="1:26" x14ac:dyDescent="0.25">
      <c r="A94" s="7" t="str">
        <f>VLOOKUP(F94,'Contas Orç'!A:B,2,0)</f>
        <v>BENEFICIOS</v>
      </c>
      <c r="B94" s="7" t="str">
        <f>VLOOKUP(C94,Base_20.12!E:E,1,0)</f>
        <v>0000000023</v>
      </c>
      <c r="C94" t="s">
        <v>235</v>
      </c>
      <c r="D94" t="s">
        <v>242</v>
      </c>
      <c r="E94" s="8">
        <v>44879</v>
      </c>
      <c r="F94" t="s">
        <v>74</v>
      </c>
      <c r="G94" t="s">
        <v>114</v>
      </c>
      <c r="H94" t="s">
        <v>54</v>
      </c>
      <c r="I94" t="s">
        <v>46</v>
      </c>
      <c r="J94" t="s">
        <v>30</v>
      </c>
      <c r="K94" t="s">
        <v>238</v>
      </c>
      <c r="M94" t="s">
        <v>45</v>
      </c>
      <c r="N94" t="s">
        <v>237</v>
      </c>
      <c r="O94" t="s">
        <v>116</v>
      </c>
      <c r="P94" t="s">
        <v>35</v>
      </c>
      <c r="Q94" t="s">
        <v>35</v>
      </c>
      <c r="R94" t="s">
        <v>35</v>
      </c>
      <c r="S94" t="s">
        <v>35</v>
      </c>
      <c r="V94" t="s">
        <v>114</v>
      </c>
      <c r="W94" t="s">
        <v>54</v>
      </c>
      <c r="Z94" t="s">
        <v>37</v>
      </c>
    </row>
    <row r="95" spans="1:26" x14ac:dyDescent="0.25">
      <c r="A95" s="7" t="str">
        <f>VLOOKUP(F95,'Contas Orç'!A:B,2,0)</f>
        <v>BENEFICIOS</v>
      </c>
      <c r="B95" s="7" t="str">
        <f>VLOOKUP(C95,Base_20.12!E:E,1,0)</f>
        <v>0000000023</v>
      </c>
      <c r="C95" t="s">
        <v>235</v>
      </c>
      <c r="D95" t="s">
        <v>243</v>
      </c>
      <c r="E95" s="8">
        <v>44879</v>
      </c>
      <c r="F95" t="s">
        <v>74</v>
      </c>
      <c r="G95" t="s">
        <v>40</v>
      </c>
      <c r="H95" t="s">
        <v>54</v>
      </c>
      <c r="I95" t="s">
        <v>29</v>
      </c>
      <c r="J95" t="s">
        <v>43</v>
      </c>
      <c r="K95" t="s">
        <v>236</v>
      </c>
      <c r="M95" t="s">
        <v>45</v>
      </c>
      <c r="N95" t="s">
        <v>237</v>
      </c>
      <c r="O95" t="s">
        <v>119</v>
      </c>
      <c r="P95" t="s">
        <v>35</v>
      </c>
      <c r="Q95" t="s">
        <v>35</v>
      </c>
      <c r="R95" t="s">
        <v>35</v>
      </c>
      <c r="S95" t="s">
        <v>35</v>
      </c>
      <c r="V95" t="s">
        <v>40</v>
      </c>
      <c r="W95" t="s">
        <v>54</v>
      </c>
      <c r="Z95" t="s">
        <v>37</v>
      </c>
    </row>
    <row r="96" spans="1:26" x14ac:dyDescent="0.25">
      <c r="A96" s="7" t="str">
        <f>VLOOKUP(F96,'Contas Orç'!A:B,2,0)</f>
        <v>BENEFICIOS</v>
      </c>
      <c r="B96" s="7" t="str">
        <f>VLOOKUP(C96,Base_20.12!E:E,1,0)</f>
        <v>0000000023</v>
      </c>
      <c r="C96" t="s">
        <v>235</v>
      </c>
      <c r="D96" t="s">
        <v>244</v>
      </c>
      <c r="E96" s="8">
        <v>44879</v>
      </c>
      <c r="F96" t="s">
        <v>74</v>
      </c>
      <c r="G96" t="s">
        <v>40</v>
      </c>
      <c r="H96" t="s">
        <v>54</v>
      </c>
      <c r="I96" t="s">
        <v>46</v>
      </c>
      <c r="J96" t="s">
        <v>30</v>
      </c>
      <c r="K96" t="s">
        <v>238</v>
      </c>
      <c r="M96" t="s">
        <v>45</v>
      </c>
      <c r="N96" t="s">
        <v>237</v>
      </c>
      <c r="O96" t="s">
        <v>119</v>
      </c>
      <c r="P96" t="s">
        <v>35</v>
      </c>
      <c r="Q96" t="s">
        <v>35</v>
      </c>
      <c r="R96" t="s">
        <v>35</v>
      </c>
      <c r="S96" t="s">
        <v>35</v>
      </c>
      <c r="V96" t="s">
        <v>40</v>
      </c>
      <c r="W96" t="s">
        <v>54</v>
      </c>
      <c r="Z96" t="s">
        <v>37</v>
      </c>
    </row>
    <row r="97" spans="1:26" x14ac:dyDescent="0.25">
      <c r="A97" s="7" t="str">
        <f>VLOOKUP(F97,'Contas Orç'!A:B,2,0)</f>
        <v>BENEFICIOS</v>
      </c>
      <c r="B97" s="7" t="str">
        <f>VLOOKUP(C97,Base_20.12!E:E,1,0)</f>
        <v>0000000023</v>
      </c>
      <c r="C97" t="s">
        <v>235</v>
      </c>
      <c r="D97" t="s">
        <v>245</v>
      </c>
      <c r="E97" s="8">
        <v>44879</v>
      </c>
      <c r="F97" t="s">
        <v>74</v>
      </c>
      <c r="G97" t="s">
        <v>121</v>
      </c>
      <c r="H97" t="s">
        <v>54</v>
      </c>
      <c r="I97" t="s">
        <v>29</v>
      </c>
      <c r="J97" t="s">
        <v>43</v>
      </c>
      <c r="K97" t="s">
        <v>236</v>
      </c>
      <c r="M97" t="s">
        <v>45</v>
      </c>
      <c r="N97" t="s">
        <v>237</v>
      </c>
      <c r="O97" t="s">
        <v>123</v>
      </c>
      <c r="P97" t="s">
        <v>35</v>
      </c>
      <c r="Q97" t="s">
        <v>35</v>
      </c>
      <c r="R97" t="s">
        <v>35</v>
      </c>
      <c r="S97" t="s">
        <v>35</v>
      </c>
      <c r="V97" t="s">
        <v>121</v>
      </c>
      <c r="W97" t="s">
        <v>54</v>
      </c>
      <c r="Z97" t="s">
        <v>37</v>
      </c>
    </row>
    <row r="98" spans="1:26" x14ac:dyDescent="0.25">
      <c r="A98" s="7" t="str">
        <f>VLOOKUP(F98,'Contas Orç'!A:B,2,0)</f>
        <v>BENEFICIOS</v>
      </c>
      <c r="B98" s="7" t="str">
        <f>VLOOKUP(C98,Base_20.12!E:E,1,0)</f>
        <v>0000000023</v>
      </c>
      <c r="C98" t="s">
        <v>235</v>
      </c>
      <c r="D98" t="s">
        <v>246</v>
      </c>
      <c r="E98" s="8">
        <v>44879</v>
      </c>
      <c r="F98" t="s">
        <v>74</v>
      </c>
      <c r="G98" t="s">
        <v>121</v>
      </c>
      <c r="H98" t="s">
        <v>54</v>
      </c>
      <c r="I98" t="s">
        <v>46</v>
      </c>
      <c r="J98" t="s">
        <v>30</v>
      </c>
      <c r="K98" t="s">
        <v>238</v>
      </c>
      <c r="M98" t="s">
        <v>45</v>
      </c>
      <c r="N98" t="s">
        <v>237</v>
      </c>
      <c r="O98" t="s">
        <v>123</v>
      </c>
      <c r="P98" t="s">
        <v>35</v>
      </c>
      <c r="Q98" t="s">
        <v>35</v>
      </c>
      <c r="R98" t="s">
        <v>35</v>
      </c>
      <c r="S98" t="s">
        <v>35</v>
      </c>
      <c r="V98" t="s">
        <v>121</v>
      </c>
      <c r="W98" t="s">
        <v>54</v>
      </c>
      <c r="Z98" t="s">
        <v>37</v>
      </c>
    </row>
    <row r="99" spans="1:26" x14ac:dyDescent="0.25">
      <c r="A99" s="7" t="str">
        <f>VLOOKUP(F99,'Contas Orç'!A:B,2,0)</f>
        <v>BENEFICIOS</v>
      </c>
      <c r="B99" s="7" t="str">
        <f>VLOOKUP(C99,Base_20.12!E:E,1,0)</f>
        <v>0000000023</v>
      </c>
      <c r="C99" t="s">
        <v>235</v>
      </c>
      <c r="D99" t="s">
        <v>247</v>
      </c>
      <c r="E99" s="8">
        <v>44879</v>
      </c>
      <c r="F99" t="s">
        <v>84</v>
      </c>
      <c r="G99" t="s">
        <v>125</v>
      </c>
      <c r="H99" t="s">
        <v>54</v>
      </c>
      <c r="I99" t="s">
        <v>29</v>
      </c>
      <c r="J99" t="s">
        <v>43</v>
      </c>
      <c r="K99" t="s">
        <v>236</v>
      </c>
      <c r="M99" t="s">
        <v>45</v>
      </c>
      <c r="N99" t="s">
        <v>237</v>
      </c>
      <c r="O99" t="s">
        <v>127</v>
      </c>
      <c r="P99" t="s">
        <v>35</v>
      </c>
      <c r="Q99" t="s">
        <v>35</v>
      </c>
      <c r="R99" t="s">
        <v>35</v>
      </c>
      <c r="S99" t="s">
        <v>35</v>
      </c>
      <c r="V99" t="s">
        <v>125</v>
      </c>
      <c r="W99" t="s">
        <v>54</v>
      </c>
      <c r="Z99" t="s">
        <v>37</v>
      </c>
    </row>
    <row r="100" spans="1:26" x14ac:dyDescent="0.25">
      <c r="A100" s="7" t="str">
        <f>VLOOKUP(F100,'Contas Orç'!A:B,2,0)</f>
        <v>BENEFICIOS</v>
      </c>
      <c r="B100" s="7" t="str">
        <f>VLOOKUP(C100,Base_20.12!E:E,1,0)</f>
        <v>0000000023</v>
      </c>
      <c r="C100" t="s">
        <v>235</v>
      </c>
      <c r="D100" t="s">
        <v>248</v>
      </c>
      <c r="E100" s="8">
        <v>44879</v>
      </c>
      <c r="F100" t="s">
        <v>84</v>
      </c>
      <c r="G100" t="s">
        <v>125</v>
      </c>
      <c r="H100" t="s">
        <v>54</v>
      </c>
      <c r="I100" t="s">
        <v>46</v>
      </c>
      <c r="J100" t="s">
        <v>30</v>
      </c>
      <c r="K100" t="s">
        <v>238</v>
      </c>
      <c r="M100" t="s">
        <v>45</v>
      </c>
      <c r="N100" t="s">
        <v>237</v>
      </c>
      <c r="O100" t="s">
        <v>127</v>
      </c>
      <c r="P100" t="s">
        <v>35</v>
      </c>
      <c r="Q100" t="s">
        <v>35</v>
      </c>
      <c r="R100" t="s">
        <v>35</v>
      </c>
      <c r="S100" t="s">
        <v>35</v>
      </c>
      <c r="V100" t="s">
        <v>125</v>
      </c>
      <c r="W100" t="s">
        <v>54</v>
      </c>
      <c r="Z100" t="s">
        <v>37</v>
      </c>
    </row>
    <row r="101" spans="1:26" x14ac:dyDescent="0.25">
      <c r="A101" s="7" t="str">
        <f>VLOOKUP(F101,'Contas Orç'!A:B,2,0)</f>
        <v>BENEFICIOS</v>
      </c>
      <c r="B101" s="7" t="str">
        <f>VLOOKUP(C101,Base_20.12!E:E,1,0)</f>
        <v>0000000023</v>
      </c>
      <c r="C101" t="s">
        <v>235</v>
      </c>
      <c r="D101" t="s">
        <v>249</v>
      </c>
      <c r="E101" s="8">
        <v>44879</v>
      </c>
      <c r="F101" t="s">
        <v>74</v>
      </c>
      <c r="G101" t="s">
        <v>40</v>
      </c>
      <c r="H101" t="s">
        <v>54</v>
      </c>
      <c r="I101" t="s">
        <v>29</v>
      </c>
      <c r="J101" t="s">
        <v>43</v>
      </c>
      <c r="K101" t="s">
        <v>236</v>
      </c>
      <c r="M101" t="s">
        <v>45</v>
      </c>
      <c r="N101" t="s">
        <v>237</v>
      </c>
      <c r="O101" t="s">
        <v>130</v>
      </c>
      <c r="P101" t="s">
        <v>35</v>
      </c>
      <c r="Q101" t="s">
        <v>35</v>
      </c>
      <c r="R101" t="s">
        <v>35</v>
      </c>
      <c r="S101" t="s">
        <v>35</v>
      </c>
      <c r="V101" t="s">
        <v>40</v>
      </c>
      <c r="W101" t="s">
        <v>54</v>
      </c>
      <c r="Z101" t="s">
        <v>37</v>
      </c>
    </row>
    <row r="102" spans="1:26" x14ac:dyDescent="0.25">
      <c r="A102" s="7" t="str">
        <f>VLOOKUP(F102,'Contas Orç'!A:B,2,0)</f>
        <v>BENEFICIOS</v>
      </c>
      <c r="B102" s="7" t="str">
        <f>VLOOKUP(C102,Base_20.12!E:E,1,0)</f>
        <v>0000000023</v>
      </c>
      <c r="C102" t="s">
        <v>235</v>
      </c>
      <c r="D102" t="s">
        <v>250</v>
      </c>
      <c r="E102" s="8">
        <v>44879</v>
      </c>
      <c r="F102" t="s">
        <v>74</v>
      </c>
      <c r="G102" t="s">
        <v>40</v>
      </c>
      <c r="H102" t="s">
        <v>54</v>
      </c>
      <c r="I102" t="s">
        <v>46</v>
      </c>
      <c r="J102" t="s">
        <v>30</v>
      </c>
      <c r="K102" t="s">
        <v>238</v>
      </c>
      <c r="M102" t="s">
        <v>45</v>
      </c>
      <c r="N102" t="s">
        <v>237</v>
      </c>
      <c r="O102" t="s">
        <v>130</v>
      </c>
      <c r="P102" t="s">
        <v>35</v>
      </c>
      <c r="Q102" t="s">
        <v>35</v>
      </c>
      <c r="R102" t="s">
        <v>35</v>
      </c>
      <c r="S102" t="s">
        <v>35</v>
      </c>
      <c r="V102" t="s">
        <v>40</v>
      </c>
      <c r="W102" t="s">
        <v>54</v>
      </c>
      <c r="Z102" t="s">
        <v>37</v>
      </c>
    </row>
    <row r="103" spans="1:26" x14ac:dyDescent="0.25">
      <c r="A103" s="7" t="str">
        <f>VLOOKUP(F103,'Contas Orç'!A:B,2,0)</f>
        <v>BENEFICIOS</v>
      </c>
      <c r="B103" s="7" t="str">
        <f>VLOOKUP(C103,Base_20.12!E:E,1,0)</f>
        <v>0000000023</v>
      </c>
      <c r="C103" t="s">
        <v>235</v>
      </c>
      <c r="D103" t="s">
        <v>251</v>
      </c>
      <c r="E103" s="8">
        <v>44879</v>
      </c>
      <c r="F103" t="s">
        <v>74</v>
      </c>
      <c r="G103" t="s">
        <v>132</v>
      </c>
      <c r="H103" t="s">
        <v>54</v>
      </c>
      <c r="I103" t="s">
        <v>29</v>
      </c>
      <c r="J103" t="s">
        <v>43</v>
      </c>
      <c r="K103" t="s">
        <v>236</v>
      </c>
      <c r="M103" t="s">
        <v>45</v>
      </c>
      <c r="N103" t="s">
        <v>237</v>
      </c>
      <c r="O103" t="s">
        <v>134</v>
      </c>
      <c r="P103" t="s">
        <v>35</v>
      </c>
      <c r="Q103" t="s">
        <v>35</v>
      </c>
      <c r="R103" t="s">
        <v>35</v>
      </c>
      <c r="S103" t="s">
        <v>35</v>
      </c>
      <c r="V103" t="s">
        <v>132</v>
      </c>
      <c r="W103" t="s">
        <v>54</v>
      </c>
      <c r="Z103" t="s">
        <v>37</v>
      </c>
    </row>
    <row r="104" spans="1:26" x14ac:dyDescent="0.25">
      <c r="A104" s="7" t="str">
        <f>VLOOKUP(F104,'Contas Orç'!A:B,2,0)</f>
        <v>BENEFICIOS</v>
      </c>
      <c r="B104" s="7" t="str">
        <f>VLOOKUP(C104,Base_20.12!E:E,1,0)</f>
        <v>0000000023</v>
      </c>
      <c r="C104" t="s">
        <v>235</v>
      </c>
      <c r="D104" t="s">
        <v>252</v>
      </c>
      <c r="E104" s="8">
        <v>44879</v>
      </c>
      <c r="F104" t="s">
        <v>74</v>
      </c>
      <c r="G104" t="s">
        <v>132</v>
      </c>
      <c r="H104" t="s">
        <v>54</v>
      </c>
      <c r="I104" t="s">
        <v>46</v>
      </c>
      <c r="J104" t="s">
        <v>30</v>
      </c>
      <c r="K104" t="s">
        <v>238</v>
      </c>
      <c r="M104" t="s">
        <v>45</v>
      </c>
      <c r="N104" t="s">
        <v>237</v>
      </c>
      <c r="O104" t="s">
        <v>134</v>
      </c>
      <c r="P104" t="s">
        <v>35</v>
      </c>
      <c r="Q104" t="s">
        <v>35</v>
      </c>
      <c r="R104" t="s">
        <v>35</v>
      </c>
      <c r="S104" t="s">
        <v>35</v>
      </c>
      <c r="V104" t="s">
        <v>132</v>
      </c>
      <c r="W104" t="s">
        <v>54</v>
      </c>
      <c r="Z104" t="s">
        <v>37</v>
      </c>
    </row>
    <row r="105" spans="1:26" x14ac:dyDescent="0.25">
      <c r="A105" s="7" t="str">
        <f>VLOOKUP(F105,'Contas Orç'!A:B,2,0)</f>
        <v>BENEFICIOS</v>
      </c>
      <c r="B105" s="7" t="str">
        <f>VLOOKUP(C105,Base_20.12!E:E,1,0)</f>
        <v>0000000023</v>
      </c>
      <c r="C105" t="s">
        <v>235</v>
      </c>
      <c r="D105" t="s">
        <v>253</v>
      </c>
      <c r="E105" s="8">
        <v>44879</v>
      </c>
      <c r="F105" t="s">
        <v>74</v>
      </c>
      <c r="G105" t="s">
        <v>136</v>
      </c>
      <c r="H105" t="s">
        <v>54</v>
      </c>
      <c r="I105" t="s">
        <v>29</v>
      </c>
      <c r="J105" t="s">
        <v>43</v>
      </c>
      <c r="K105" t="s">
        <v>236</v>
      </c>
      <c r="M105" t="s">
        <v>45</v>
      </c>
      <c r="N105" t="s">
        <v>237</v>
      </c>
      <c r="O105" t="s">
        <v>104</v>
      </c>
      <c r="P105" t="s">
        <v>35</v>
      </c>
      <c r="Q105" t="s">
        <v>35</v>
      </c>
      <c r="R105" t="s">
        <v>35</v>
      </c>
      <c r="S105" t="s">
        <v>35</v>
      </c>
      <c r="V105" t="s">
        <v>136</v>
      </c>
      <c r="W105" t="s">
        <v>54</v>
      </c>
      <c r="Z105" t="s">
        <v>37</v>
      </c>
    </row>
    <row r="106" spans="1:26" x14ac:dyDescent="0.25">
      <c r="A106" s="7" t="str">
        <f>VLOOKUP(F106,'Contas Orç'!A:B,2,0)</f>
        <v>BENEFICIOS</v>
      </c>
      <c r="B106" s="7" t="str">
        <f>VLOOKUP(C106,Base_20.12!E:E,1,0)</f>
        <v>0000000023</v>
      </c>
      <c r="C106" t="s">
        <v>235</v>
      </c>
      <c r="D106" t="s">
        <v>254</v>
      </c>
      <c r="E106" s="8">
        <v>44879</v>
      </c>
      <c r="F106" t="s">
        <v>74</v>
      </c>
      <c r="G106" t="s">
        <v>136</v>
      </c>
      <c r="H106" t="s">
        <v>54</v>
      </c>
      <c r="I106" t="s">
        <v>46</v>
      </c>
      <c r="J106" t="s">
        <v>30</v>
      </c>
      <c r="K106" t="s">
        <v>238</v>
      </c>
      <c r="M106" t="s">
        <v>45</v>
      </c>
      <c r="N106" t="s">
        <v>237</v>
      </c>
      <c r="O106" t="s">
        <v>104</v>
      </c>
      <c r="P106" t="s">
        <v>35</v>
      </c>
      <c r="Q106" t="s">
        <v>35</v>
      </c>
      <c r="R106" t="s">
        <v>35</v>
      </c>
      <c r="S106" t="s">
        <v>35</v>
      </c>
      <c r="V106" t="s">
        <v>136</v>
      </c>
      <c r="W106" t="s">
        <v>54</v>
      </c>
      <c r="Z106" t="s">
        <v>37</v>
      </c>
    </row>
    <row r="107" spans="1:26" x14ac:dyDescent="0.25">
      <c r="A107" s="7" t="str">
        <f>VLOOKUP(F107,'Contas Orç'!A:B,2,0)</f>
        <v>BENEFICIOS</v>
      </c>
      <c r="B107" s="7" t="str">
        <f>VLOOKUP(C107,Base_20.12!E:E,1,0)</f>
        <v>0000000023</v>
      </c>
      <c r="C107" t="s">
        <v>235</v>
      </c>
      <c r="D107" t="s">
        <v>255</v>
      </c>
      <c r="E107" s="8">
        <v>44879</v>
      </c>
      <c r="F107" t="s">
        <v>84</v>
      </c>
      <c r="G107" t="s">
        <v>125</v>
      </c>
      <c r="H107" t="s">
        <v>54</v>
      </c>
      <c r="I107" t="s">
        <v>29</v>
      </c>
      <c r="J107" t="s">
        <v>43</v>
      </c>
      <c r="K107" t="s">
        <v>236</v>
      </c>
      <c r="M107" t="s">
        <v>45</v>
      </c>
      <c r="N107" t="s">
        <v>237</v>
      </c>
      <c r="O107" t="s">
        <v>116</v>
      </c>
      <c r="P107" t="s">
        <v>35</v>
      </c>
      <c r="Q107" t="s">
        <v>35</v>
      </c>
      <c r="R107" t="s">
        <v>35</v>
      </c>
      <c r="S107" t="s">
        <v>35</v>
      </c>
      <c r="V107" t="s">
        <v>125</v>
      </c>
      <c r="W107" t="s">
        <v>54</v>
      </c>
      <c r="Z107" t="s">
        <v>37</v>
      </c>
    </row>
    <row r="108" spans="1:26" x14ac:dyDescent="0.25">
      <c r="A108" s="7" t="str">
        <f>VLOOKUP(F108,'Contas Orç'!A:B,2,0)</f>
        <v>BENEFICIOS</v>
      </c>
      <c r="B108" s="7" t="str">
        <f>VLOOKUP(C108,Base_20.12!E:E,1,0)</f>
        <v>0000000023</v>
      </c>
      <c r="C108" t="s">
        <v>235</v>
      </c>
      <c r="D108" t="s">
        <v>256</v>
      </c>
      <c r="E108" s="8">
        <v>44879</v>
      </c>
      <c r="F108" t="s">
        <v>84</v>
      </c>
      <c r="G108" t="s">
        <v>125</v>
      </c>
      <c r="H108" t="s">
        <v>54</v>
      </c>
      <c r="I108" t="s">
        <v>46</v>
      </c>
      <c r="J108" t="s">
        <v>30</v>
      </c>
      <c r="K108" t="s">
        <v>238</v>
      </c>
      <c r="M108" t="s">
        <v>45</v>
      </c>
      <c r="N108" t="s">
        <v>237</v>
      </c>
      <c r="O108" t="s">
        <v>116</v>
      </c>
      <c r="P108" t="s">
        <v>35</v>
      </c>
      <c r="Q108" t="s">
        <v>35</v>
      </c>
      <c r="R108" t="s">
        <v>35</v>
      </c>
      <c r="S108" t="s">
        <v>35</v>
      </c>
      <c r="V108" t="s">
        <v>125</v>
      </c>
      <c r="W108" t="s">
        <v>54</v>
      </c>
      <c r="Z108" t="s">
        <v>37</v>
      </c>
    </row>
    <row r="109" spans="1:26" x14ac:dyDescent="0.25">
      <c r="A109" s="7" t="str">
        <f>VLOOKUP(F109,'Contas Orç'!A:B,2,0)</f>
        <v>BENEFICIOS</v>
      </c>
      <c r="B109" s="7" t="str">
        <f>VLOOKUP(C109,Base_20.12!E:E,1,0)</f>
        <v>0000000023</v>
      </c>
      <c r="C109" t="s">
        <v>235</v>
      </c>
      <c r="D109" t="s">
        <v>257</v>
      </c>
      <c r="E109" s="8">
        <v>44879</v>
      </c>
      <c r="F109" t="s">
        <v>84</v>
      </c>
      <c r="G109" t="s">
        <v>125</v>
      </c>
      <c r="H109" t="s">
        <v>54</v>
      </c>
      <c r="I109" t="s">
        <v>29</v>
      </c>
      <c r="J109" t="s">
        <v>43</v>
      </c>
      <c r="K109" t="s">
        <v>236</v>
      </c>
      <c r="M109" t="s">
        <v>45</v>
      </c>
      <c r="N109" t="s">
        <v>237</v>
      </c>
      <c r="O109" t="s">
        <v>142</v>
      </c>
      <c r="P109" t="s">
        <v>35</v>
      </c>
      <c r="Q109" t="s">
        <v>35</v>
      </c>
      <c r="R109" t="s">
        <v>35</v>
      </c>
      <c r="S109" t="s">
        <v>35</v>
      </c>
      <c r="V109" t="s">
        <v>125</v>
      </c>
      <c r="W109" t="s">
        <v>54</v>
      </c>
      <c r="Z109" t="s">
        <v>37</v>
      </c>
    </row>
    <row r="110" spans="1:26" x14ac:dyDescent="0.25">
      <c r="A110" s="7" t="str">
        <f>VLOOKUP(F110,'Contas Orç'!A:B,2,0)</f>
        <v>BENEFICIOS</v>
      </c>
      <c r="B110" s="7" t="str">
        <f>VLOOKUP(C110,Base_20.12!E:E,1,0)</f>
        <v>0000000023</v>
      </c>
      <c r="C110" t="s">
        <v>235</v>
      </c>
      <c r="D110" t="s">
        <v>258</v>
      </c>
      <c r="E110" s="8">
        <v>44879</v>
      </c>
      <c r="F110" t="s">
        <v>84</v>
      </c>
      <c r="G110" t="s">
        <v>125</v>
      </c>
      <c r="H110" t="s">
        <v>54</v>
      </c>
      <c r="I110" t="s">
        <v>46</v>
      </c>
      <c r="J110" t="s">
        <v>30</v>
      </c>
      <c r="K110" t="s">
        <v>238</v>
      </c>
      <c r="M110" t="s">
        <v>45</v>
      </c>
      <c r="N110" t="s">
        <v>237</v>
      </c>
      <c r="O110" t="s">
        <v>142</v>
      </c>
      <c r="P110" t="s">
        <v>35</v>
      </c>
      <c r="Q110" t="s">
        <v>35</v>
      </c>
      <c r="R110" t="s">
        <v>35</v>
      </c>
      <c r="S110" t="s">
        <v>35</v>
      </c>
      <c r="V110" t="s">
        <v>125</v>
      </c>
      <c r="W110" t="s">
        <v>54</v>
      </c>
      <c r="Z110" t="s">
        <v>37</v>
      </c>
    </row>
    <row r="111" spans="1:26" x14ac:dyDescent="0.25">
      <c r="A111" s="7" t="str">
        <f>VLOOKUP(F111,'Contas Orç'!A:B,2,0)</f>
        <v>PJ-OUTROS SERVICOS CONTRATADOS-PJ</v>
      </c>
      <c r="B111" s="7" t="str">
        <f>VLOOKUP(C111,Base_20.12!E:E,1,0)</f>
        <v>0000000024</v>
      </c>
      <c r="C111" t="s">
        <v>259</v>
      </c>
      <c r="D111" t="s">
        <v>25</v>
      </c>
      <c r="E111" s="8">
        <v>44879</v>
      </c>
      <c r="F111" t="s">
        <v>144</v>
      </c>
      <c r="G111" t="s">
        <v>106</v>
      </c>
      <c r="H111" t="s">
        <v>60</v>
      </c>
      <c r="I111" t="s">
        <v>29</v>
      </c>
      <c r="J111" t="s">
        <v>43</v>
      </c>
      <c r="K111" t="s">
        <v>260</v>
      </c>
      <c r="M111" t="s">
        <v>45</v>
      </c>
      <c r="N111" t="s">
        <v>261</v>
      </c>
      <c r="O111" t="s">
        <v>146</v>
      </c>
      <c r="P111" t="s">
        <v>35</v>
      </c>
      <c r="Q111" t="s">
        <v>35</v>
      </c>
      <c r="R111" t="s">
        <v>35</v>
      </c>
      <c r="S111" t="s">
        <v>35</v>
      </c>
      <c r="V111" t="s">
        <v>106</v>
      </c>
      <c r="W111" t="s">
        <v>60</v>
      </c>
      <c r="Z111" t="s">
        <v>37</v>
      </c>
    </row>
    <row r="112" spans="1:26" x14ac:dyDescent="0.25">
      <c r="A112" s="7" t="str">
        <f>VLOOKUP(F112,'Contas Orç'!A:B,2,0)</f>
        <v>PJ-OUTROS SERVICOS CONTRATADOS-PJ</v>
      </c>
      <c r="B112" s="7" t="str">
        <f>VLOOKUP(C112,Base_20.12!E:E,1,0)</f>
        <v>0000000024</v>
      </c>
      <c r="C112" t="s">
        <v>259</v>
      </c>
      <c r="D112" t="s">
        <v>38</v>
      </c>
      <c r="E112" s="8">
        <v>44879</v>
      </c>
      <c r="F112" t="s">
        <v>144</v>
      </c>
      <c r="G112" t="s">
        <v>106</v>
      </c>
      <c r="H112" t="s">
        <v>60</v>
      </c>
      <c r="I112" t="s">
        <v>46</v>
      </c>
      <c r="J112" t="s">
        <v>30</v>
      </c>
      <c r="K112" t="s">
        <v>262</v>
      </c>
      <c r="M112" t="s">
        <v>45</v>
      </c>
      <c r="N112" t="s">
        <v>261</v>
      </c>
      <c r="O112" t="s">
        <v>146</v>
      </c>
      <c r="P112" t="s">
        <v>35</v>
      </c>
      <c r="Q112" t="s">
        <v>35</v>
      </c>
      <c r="R112" t="s">
        <v>35</v>
      </c>
      <c r="S112" t="s">
        <v>35</v>
      </c>
      <c r="V112" t="s">
        <v>106</v>
      </c>
      <c r="W112" t="s">
        <v>60</v>
      </c>
      <c r="Z112" t="s">
        <v>37</v>
      </c>
    </row>
    <row r="113" spans="1:26" x14ac:dyDescent="0.25">
      <c r="A113" s="7" t="str">
        <f>VLOOKUP(F113,'Contas Orç'!A:B,2,0)</f>
        <v>PJ-OUTROS SERVICOS CONTRATADOS-PJ</v>
      </c>
      <c r="B113" s="7" t="str">
        <f>VLOOKUP(C113,Base_20.12!E:E,1,0)</f>
        <v>0000000025</v>
      </c>
      <c r="C113" t="s">
        <v>263</v>
      </c>
      <c r="D113" t="s">
        <v>25</v>
      </c>
      <c r="E113" s="8">
        <v>44879</v>
      </c>
      <c r="F113" t="s">
        <v>67</v>
      </c>
      <c r="G113" t="s">
        <v>68</v>
      </c>
      <c r="H113" t="s">
        <v>69</v>
      </c>
      <c r="I113" t="s">
        <v>29</v>
      </c>
      <c r="J113" t="s">
        <v>43</v>
      </c>
      <c r="K113" t="s">
        <v>264</v>
      </c>
      <c r="M113" t="s">
        <v>45</v>
      </c>
      <c r="N113" t="s">
        <v>33</v>
      </c>
      <c r="O113" t="s">
        <v>72</v>
      </c>
      <c r="P113" t="s">
        <v>35</v>
      </c>
      <c r="Q113" t="s">
        <v>35</v>
      </c>
      <c r="R113" t="s">
        <v>35</v>
      </c>
      <c r="S113" t="s">
        <v>35</v>
      </c>
      <c r="V113" t="s">
        <v>68</v>
      </c>
      <c r="W113" t="s">
        <v>69</v>
      </c>
      <c r="Z113" t="s">
        <v>37</v>
      </c>
    </row>
    <row r="114" spans="1:26" x14ac:dyDescent="0.25">
      <c r="A114" s="7" t="str">
        <f>VLOOKUP(F114,'Contas Orç'!A:B,2,0)</f>
        <v>PJ-OUTROS SERVICOS CONTRATADOS-PJ</v>
      </c>
      <c r="B114" s="7" t="str">
        <f>VLOOKUP(C114,Base_20.12!E:E,1,0)</f>
        <v>0000000025</v>
      </c>
      <c r="C114" t="s">
        <v>263</v>
      </c>
      <c r="D114" t="s">
        <v>38</v>
      </c>
      <c r="E114" s="8">
        <v>44879</v>
      </c>
      <c r="F114" t="s">
        <v>67</v>
      </c>
      <c r="G114" t="s">
        <v>68</v>
      </c>
      <c r="H114" t="s">
        <v>69</v>
      </c>
      <c r="I114" t="s">
        <v>46</v>
      </c>
      <c r="J114" t="s">
        <v>30</v>
      </c>
      <c r="K114" t="s">
        <v>265</v>
      </c>
      <c r="M114" t="s">
        <v>45</v>
      </c>
      <c r="N114" t="s">
        <v>33</v>
      </c>
      <c r="O114" t="s">
        <v>72</v>
      </c>
      <c r="P114" t="s">
        <v>35</v>
      </c>
      <c r="Q114" t="s">
        <v>35</v>
      </c>
      <c r="R114" t="s">
        <v>35</v>
      </c>
      <c r="S114" t="s">
        <v>35</v>
      </c>
      <c r="V114" t="s">
        <v>68</v>
      </c>
      <c r="W114" t="s">
        <v>69</v>
      </c>
      <c r="Z114" t="s">
        <v>37</v>
      </c>
    </row>
    <row r="115" spans="1:26" x14ac:dyDescent="0.25">
      <c r="A115" s="7" t="e">
        <f>VLOOKUP(F115,'Contas Orç'!A:B,2,0)</f>
        <v>#N/A</v>
      </c>
      <c r="B115" s="7" t="str">
        <f>VLOOKUP(C115,Base_20.12!E:E,1,0)</f>
        <v>0000000026</v>
      </c>
      <c r="C115" t="s">
        <v>266</v>
      </c>
      <c r="D115" t="s">
        <v>25</v>
      </c>
      <c r="E115" s="8">
        <v>44882</v>
      </c>
      <c r="G115" t="s">
        <v>59</v>
      </c>
      <c r="H115" t="s">
        <v>60</v>
      </c>
      <c r="I115" t="s">
        <v>29</v>
      </c>
      <c r="J115" t="s">
        <v>30</v>
      </c>
      <c r="K115" t="s">
        <v>267</v>
      </c>
      <c r="M115" t="s">
        <v>56</v>
      </c>
      <c r="N115" t="s">
        <v>71</v>
      </c>
      <c r="O115" t="s">
        <v>63</v>
      </c>
      <c r="P115" t="s">
        <v>35</v>
      </c>
      <c r="Q115" t="s">
        <v>35</v>
      </c>
      <c r="R115" t="s">
        <v>35</v>
      </c>
      <c r="S115" t="s">
        <v>35</v>
      </c>
      <c r="V115" t="s">
        <v>59</v>
      </c>
      <c r="W115" t="s">
        <v>60</v>
      </c>
      <c r="Z115" t="s">
        <v>37</v>
      </c>
    </row>
    <row r="116" spans="1:26" x14ac:dyDescent="0.25">
      <c r="A116" s="7" t="e">
        <f>VLOOKUP(F116,'Contas Orç'!A:B,2,0)</f>
        <v>#N/A</v>
      </c>
      <c r="B116" s="7" t="str">
        <f>VLOOKUP(C116,Base_20.12!E:E,1,0)</f>
        <v>0000000026</v>
      </c>
      <c r="C116" t="s">
        <v>266</v>
      </c>
      <c r="D116" t="s">
        <v>38</v>
      </c>
      <c r="E116" s="8">
        <v>44882</v>
      </c>
      <c r="G116" t="s">
        <v>59</v>
      </c>
      <c r="H116" t="s">
        <v>60</v>
      </c>
      <c r="I116" t="s">
        <v>29</v>
      </c>
      <c r="J116" t="s">
        <v>30</v>
      </c>
      <c r="K116" t="s">
        <v>268</v>
      </c>
      <c r="M116" t="s">
        <v>56</v>
      </c>
      <c r="N116" t="s">
        <v>71</v>
      </c>
      <c r="O116" t="s">
        <v>65</v>
      </c>
      <c r="P116" t="s">
        <v>35</v>
      </c>
      <c r="Q116" t="s">
        <v>35</v>
      </c>
      <c r="R116" t="s">
        <v>35</v>
      </c>
      <c r="S116" t="s">
        <v>35</v>
      </c>
      <c r="V116" t="s">
        <v>59</v>
      </c>
      <c r="W116" t="s">
        <v>60</v>
      </c>
      <c r="Z116" t="s">
        <v>37</v>
      </c>
    </row>
    <row r="117" spans="1:26" x14ac:dyDescent="0.25">
      <c r="A117" s="7" t="str">
        <f>VLOOKUP(F117,'Contas Orç'!A:B,2,0)</f>
        <v>COMBUSTIVEIS</v>
      </c>
      <c r="B117" s="7" t="str">
        <f>VLOOKUP(C117,Base_20.12!E:E,1,0)</f>
        <v>0000000027</v>
      </c>
      <c r="C117" t="s">
        <v>269</v>
      </c>
      <c r="D117" t="s">
        <v>25</v>
      </c>
      <c r="E117" s="8">
        <v>44882</v>
      </c>
      <c r="F117" t="s">
        <v>270</v>
      </c>
      <c r="G117" t="s">
        <v>81</v>
      </c>
      <c r="H117" t="s">
        <v>28</v>
      </c>
      <c r="I117" t="s">
        <v>29</v>
      </c>
      <c r="J117" t="s">
        <v>30</v>
      </c>
      <c r="K117" t="s">
        <v>271</v>
      </c>
      <c r="M117" t="s">
        <v>56</v>
      </c>
      <c r="N117" t="s">
        <v>71</v>
      </c>
      <c r="O117" t="s">
        <v>272</v>
      </c>
      <c r="P117" t="s">
        <v>35</v>
      </c>
      <c r="Q117" t="s">
        <v>35</v>
      </c>
      <c r="R117" t="s">
        <v>35</v>
      </c>
      <c r="S117" t="s">
        <v>35</v>
      </c>
      <c r="V117" t="s">
        <v>81</v>
      </c>
      <c r="W117" t="s">
        <v>28</v>
      </c>
      <c r="Z117" t="s">
        <v>37</v>
      </c>
    </row>
    <row r="118" spans="1:26" x14ac:dyDescent="0.25">
      <c r="A118" s="7" t="str">
        <f>VLOOKUP(F118,'Contas Orç'!A:B,2,0)</f>
        <v>COMBUSTIVEIS</v>
      </c>
      <c r="B118" s="7" t="str">
        <f>VLOOKUP(C118,Base_20.12!E:E,1,0)</f>
        <v>0000000027</v>
      </c>
      <c r="C118" t="s">
        <v>269</v>
      </c>
      <c r="D118" t="s">
        <v>38</v>
      </c>
      <c r="E118" s="8">
        <v>44882</v>
      </c>
      <c r="F118" t="s">
        <v>270</v>
      </c>
      <c r="G118" t="s">
        <v>81</v>
      </c>
      <c r="H118" t="s">
        <v>60</v>
      </c>
      <c r="I118" t="s">
        <v>29</v>
      </c>
      <c r="J118" t="s">
        <v>30</v>
      </c>
      <c r="K118" t="s">
        <v>271</v>
      </c>
      <c r="M118" t="s">
        <v>56</v>
      </c>
      <c r="N118" t="s">
        <v>71</v>
      </c>
      <c r="O118" t="s">
        <v>272</v>
      </c>
      <c r="P118" t="s">
        <v>35</v>
      </c>
      <c r="Q118" t="s">
        <v>35</v>
      </c>
      <c r="R118" t="s">
        <v>35</v>
      </c>
      <c r="S118" t="s">
        <v>35</v>
      </c>
      <c r="V118" t="s">
        <v>81</v>
      </c>
      <c r="W118" t="s">
        <v>60</v>
      </c>
      <c r="Z118" t="s">
        <v>37</v>
      </c>
    </row>
    <row r="119" spans="1:26" x14ac:dyDescent="0.25">
      <c r="A119" s="7" t="str">
        <f>VLOOKUP(F119,'Contas Orç'!A:B,2,0)</f>
        <v>PECAS E ACESSORIOS</v>
      </c>
      <c r="B119" s="7" t="str">
        <f>VLOOKUP(C119,Base_20.12!E:E,1,0)</f>
        <v>0000000028</v>
      </c>
      <c r="C119" t="s">
        <v>273</v>
      </c>
      <c r="D119" t="s">
        <v>25</v>
      </c>
      <c r="E119" s="8">
        <v>44882</v>
      </c>
      <c r="F119" t="s">
        <v>26</v>
      </c>
      <c r="G119" t="s">
        <v>27</v>
      </c>
      <c r="H119" t="s">
        <v>28</v>
      </c>
      <c r="I119" t="s">
        <v>29</v>
      </c>
      <c r="J119" t="s">
        <v>30</v>
      </c>
      <c r="K119" t="s">
        <v>274</v>
      </c>
      <c r="M119" t="s">
        <v>56</v>
      </c>
      <c r="N119" t="s">
        <v>71</v>
      </c>
      <c r="O119" t="s">
        <v>275</v>
      </c>
      <c r="P119" t="s">
        <v>35</v>
      </c>
      <c r="Q119" t="s">
        <v>35</v>
      </c>
      <c r="R119" t="s">
        <v>35</v>
      </c>
      <c r="S119" t="s">
        <v>35</v>
      </c>
      <c r="V119" t="s">
        <v>27</v>
      </c>
      <c r="W119" t="s">
        <v>28</v>
      </c>
      <c r="Z119" t="s">
        <v>37</v>
      </c>
    </row>
    <row r="120" spans="1:26" x14ac:dyDescent="0.25">
      <c r="A120" s="7" t="str">
        <f>VLOOKUP(F120,'Contas Orç'!A:B,2,0)</f>
        <v>PJ-OUTROS SERVICOS CONTRATADOS-PJ</v>
      </c>
      <c r="B120" s="7" t="str">
        <f>VLOOKUP(C120,Base_20.12!E:E,1,0)</f>
        <v>0000000029</v>
      </c>
      <c r="C120" t="s">
        <v>276</v>
      </c>
      <c r="D120" t="s">
        <v>25</v>
      </c>
      <c r="E120" s="8">
        <v>44882</v>
      </c>
      <c r="F120" t="s">
        <v>67</v>
      </c>
      <c r="G120" t="s">
        <v>40</v>
      </c>
      <c r="H120" t="s">
        <v>54</v>
      </c>
      <c r="I120" t="s">
        <v>29</v>
      </c>
      <c r="J120" t="s">
        <v>30</v>
      </c>
      <c r="K120" t="s">
        <v>277</v>
      </c>
      <c r="M120" t="s">
        <v>56</v>
      </c>
      <c r="N120" t="s">
        <v>71</v>
      </c>
      <c r="O120" t="s">
        <v>278</v>
      </c>
      <c r="P120" t="s">
        <v>35</v>
      </c>
      <c r="Q120" t="s">
        <v>35</v>
      </c>
      <c r="R120" t="s">
        <v>35</v>
      </c>
      <c r="S120" t="s">
        <v>35</v>
      </c>
      <c r="V120" t="s">
        <v>40</v>
      </c>
      <c r="W120" t="s">
        <v>54</v>
      </c>
      <c r="Z120" t="s">
        <v>37</v>
      </c>
    </row>
    <row r="121" spans="1:26" x14ac:dyDescent="0.25">
      <c r="A121" s="7" t="str">
        <f>VLOOKUP(F121,'Contas Orç'!A:B,2,0)</f>
        <v>PJ-OUTROS SERVICOS CONTRATADOS-PJ</v>
      </c>
      <c r="B121" s="7" t="str">
        <f>VLOOKUP(C121,Base_20.12!E:E,1,0)</f>
        <v>0000000029</v>
      </c>
      <c r="C121" t="s">
        <v>276</v>
      </c>
      <c r="D121" t="s">
        <v>38</v>
      </c>
      <c r="E121" s="8">
        <v>44882</v>
      </c>
      <c r="F121" t="s">
        <v>67</v>
      </c>
      <c r="G121" t="s">
        <v>40</v>
      </c>
      <c r="H121" t="s">
        <v>54</v>
      </c>
      <c r="I121" t="s">
        <v>29</v>
      </c>
      <c r="J121" t="s">
        <v>30</v>
      </c>
      <c r="K121" t="s">
        <v>277</v>
      </c>
      <c r="M121" t="s">
        <v>56</v>
      </c>
      <c r="N121" t="s">
        <v>71</v>
      </c>
      <c r="O121" t="s">
        <v>278</v>
      </c>
      <c r="P121" t="s">
        <v>35</v>
      </c>
      <c r="Q121" t="s">
        <v>35</v>
      </c>
      <c r="R121" t="s">
        <v>35</v>
      </c>
      <c r="S121" t="s">
        <v>35</v>
      </c>
      <c r="V121" t="s">
        <v>40</v>
      </c>
      <c r="W121" t="s">
        <v>54</v>
      </c>
      <c r="Z121" t="s">
        <v>37</v>
      </c>
    </row>
    <row r="122" spans="1:26" x14ac:dyDescent="0.25">
      <c r="A122" s="7" t="str">
        <f>VLOOKUP(F122,'Contas Orç'!A:B,2,0)</f>
        <v>PJ-OUTROS SERVICOS CONTRATADOS-PJ</v>
      </c>
      <c r="B122" s="7" t="str">
        <f>VLOOKUP(C122,Base_20.12!E:E,1,0)</f>
        <v>0000000029</v>
      </c>
      <c r="C122" t="s">
        <v>276</v>
      </c>
      <c r="D122" t="s">
        <v>48</v>
      </c>
      <c r="E122" s="8">
        <v>44882</v>
      </c>
      <c r="F122" t="s">
        <v>67</v>
      </c>
      <c r="G122" t="s">
        <v>40</v>
      </c>
      <c r="H122" t="s">
        <v>54</v>
      </c>
      <c r="I122" t="s">
        <v>29</v>
      </c>
      <c r="J122" t="s">
        <v>30</v>
      </c>
      <c r="K122" t="s">
        <v>277</v>
      </c>
      <c r="M122" t="s">
        <v>56</v>
      </c>
      <c r="N122" t="s">
        <v>71</v>
      </c>
      <c r="O122" t="s">
        <v>278</v>
      </c>
      <c r="P122" t="s">
        <v>35</v>
      </c>
      <c r="Q122" t="s">
        <v>35</v>
      </c>
      <c r="R122" t="s">
        <v>35</v>
      </c>
      <c r="S122" t="s">
        <v>35</v>
      </c>
      <c r="V122" t="s">
        <v>40</v>
      </c>
      <c r="W122" t="s">
        <v>54</v>
      </c>
      <c r="Z122" t="s">
        <v>37</v>
      </c>
    </row>
    <row r="123" spans="1:26" x14ac:dyDescent="0.25">
      <c r="A123" s="7" t="str">
        <f>VLOOKUP(F123,'Contas Orç'!A:B,2,0)</f>
        <v>PJ-OUTROS SERVICOS CONTRATADOS-PJ</v>
      </c>
      <c r="B123" s="7" t="str">
        <f>VLOOKUP(C123,Base_20.12!E:E,1,0)</f>
        <v>0000000029</v>
      </c>
      <c r="C123" t="s">
        <v>276</v>
      </c>
      <c r="D123" t="s">
        <v>50</v>
      </c>
      <c r="E123" s="8">
        <v>44882</v>
      </c>
      <c r="F123" t="s">
        <v>67</v>
      </c>
      <c r="G123" t="s">
        <v>40</v>
      </c>
      <c r="H123" t="s">
        <v>54</v>
      </c>
      <c r="I123" t="s">
        <v>29</v>
      </c>
      <c r="J123" t="s">
        <v>30</v>
      </c>
      <c r="K123" t="s">
        <v>277</v>
      </c>
      <c r="M123" t="s">
        <v>56</v>
      </c>
      <c r="N123" t="s">
        <v>71</v>
      </c>
      <c r="O123" t="s">
        <v>278</v>
      </c>
      <c r="P123" t="s">
        <v>35</v>
      </c>
      <c r="Q123" t="s">
        <v>35</v>
      </c>
      <c r="R123" t="s">
        <v>35</v>
      </c>
      <c r="S123" t="s">
        <v>35</v>
      </c>
      <c r="V123" t="s">
        <v>40</v>
      </c>
      <c r="W123" t="s">
        <v>54</v>
      </c>
      <c r="Z123" t="s">
        <v>37</v>
      </c>
    </row>
    <row r="124" spans="1:26" x14ac:dyDescent="0.25">
      <c r="A124" s="7" t="str">
        <f>VLOOKUP(F124,'Contas Orç'!A:B,2,0)</f>
        <v>PJ-OUTROS SERVICOS CONTRATADOS-PJ</v>
      </c>
      <c r="B124" s="7" t="str">
        <f>VLOOKUP(C124,Base_20.12!E:E,1,0)</f>
        <v>0000000029</v>
      </c>
      <c r="C124" t="s">
        <v>276</v>
      </c>
      <c r="D124" t="s">
        <v>87</v>
      </c>
      <c r="E124" s="8">
        <v>44882</v>
      </c>
      <c r="F124" t="s">
        <v>67</v>
      </c>
      <c r="G124" t="s">
        <v>40</v>
      </c>
      <c r="H124" t="s">
        <v>54</v>
      </c>
      <c r="I124" t="s">
        <v>29</v>
      </c>
      <c r="J124" t="s">
        <v>30</v>
      </c>
      <c r="K124" t="s">
        <v>277</v>
      </c>
      <c r="M124" t="s">
        <v>56</v>
      </c>
      <c r="N124" t="s">
        <v>71</v>
      </c>
      <c r="O124" t="s">
        <v>278</v>
      </c>
      <c r="P124" t="s">
        <v>35</v>
      </c>
      <c r="Q124" t="s">
        <v>35</v>
      </c>
      <c r="R124" t="s">
        <v>35</v>
      </c>
      <c r="S124" t="s">
        <v>35</v>
      </c>
      <c r="V124" t="s">
        <v>40</v>
      </c>
      <c r="W124" t="s">
        <v>54</v>
      </c>
      <c r="Z124" t="s">
        <v>37</v>
      </c>
    </row>
    <row r="125" spans="1:26" x14ac:dyDescent="0.25">
      <c r="A125" s="7" t="str">
        <f>VLOOKUP(F125,'Contas Orç'!A:B,2,0)</f>
        <v>PJ-OUTROS SERVICOS CONTRATADOS-PJ</v>
      </c>
      <c r="B125" s="7" t="str">
        <f>VLOOKUP(C125,Base_20.12!E:E,1,0)</f>
        <v>0000000029</v>
      </c>
      <c r="C125" t="s">
        <v>276</v>
      </c>
      <c r="D125" t="s">
        <v>91</v>
      </c>
      <c r="E125" s="8">
        <v>44882</v>
      </c>
      <c r="F125" t="s">
        <v>67</v>
      </c>
      <c r="G125" t="s">
        <v>40</v>
      </c>
      <c r="H125" t="s">
        <v>54</v>
      </c>
      <c r="I125" t="s">
        <v>29</v>
      </c>
      <c r="J125" t="s">
        <v>30</v>
      </c>
      <c r="K125" t="s">
        <v>277</v>
      </c>
      <c r="M125" t="s">
        <v>56</v>
      </c>
      <c r="N125" t="s">
        <v>71</v>
      </c>
      <c r="O125" t="s">
        <v>278</v>
      </c>
      <c r="P125" t="s">
        <v>35</v>
      </c>
      <c r="Q125" t="s">
        <v>35</v>
      </c>
      <c r="R125" t="s">
        <v>35</v>
      </c>
      <c r="S125" t="s">
        <v>35</v>
      </c>
      <c r="V125" t="s">
        <v>40</v>
      </c>
      <c r="W125" t="s">
        <v>54</v>
      </c>
      <c r="Z125" t="s">
        <v>37</v>
      </c>
    </row>
    <row r="126" spans="1:26" x14ac:dyDescent="0.25">
      <c r="A126" s="7" t="str">
        <f>VLOOKUP(F126,'Contas Orç'!A:B,2,0)</f>
        <v>PJ-LOCACAO DE MAQUINAS E EQUIPAMENTO</v>
      </c>
      <c r="B126" s="7" t="str">
        <f>VLOOKUP(C126,Base_20.12!E:E,1,0)</f>
        <v>0000000030</v>
      </c>
      <c r="C126" t="s">
        <v>279</v>
      </c>
      <c r="D126" t="s">
        <v>25</v>
      </c>
      <c r="E126" s="8">
        <v>44882</v>
      </c>
      <c r="F126" t="s">
        <v>280</v>
      </c>
      <c r="G126" t="s">
        <v>53</v>
      </c>
      <c r="H126" t="s">
        <v>54</v>
      </c>
      <c r="I126" t="s">
        <v>29</v>
      </c>
      <c r="J126" t="s">
        <v>30</v>
      </c>
      <c r="K126" t="s">
        <v>281</v>
      </c>
      <c r="M126" t="s">
        <v>56</v>
      </c>
      <c r="N126" t="s">
        <v>71</v>
      </c>
      <c r="O126" t="s">
        <v>282</v>
      </c>
      <c r="P126" t="s">
        <v>35</v>
      </c>
      <c r="Q126" t="s">
        <v>35</v>
      </c>
      <c r="R126" t="s">
        <v>35</v>
      </c>
      <c r="S126" t="s">
        <v>35</v>
      </c>
      <c r="V126" t="s">
        <v>53</v>
      </c>
      <c r="W126" t="s">
        <v>54</v>
      </c>
      <c r="Z126" t="s">
        <v>37</v>
      </c>
    </row>
    <row r="127" spans="1:26" x14ac:dyDescent="0.25">
      <c r="A127" s="7" t="str">
        <f>VLOOKUP(F127,'Contas Orç'!A:B,2,0)</f>
        <v>PJ-LOCACAO DE MAQUINAS E EQUIPAMENTO</v>
      </c>
      <c r="B127" s="7" t="str">
        <f>VLOOKUP(C127,Base_20.12!E:E,1,0)</f>
        <v>0000000030</v>
      </c>
      <c r="C127" t="s">
        <v>279</v>
      </c>
      <c r="D127" t="s">
        <v>38</v>
      </c>
      <c r="E127" s="8">
        <v>44882</v>
      </c>
      <c r="F127" t="s">
        <v>280</v>
      </c>
      <c r="G127" t="s">
        <v>53</v>
      </c>
      <c r="H127" t="s">
        <v>54</v>
      </c>
      <c r="I127" t="s">
        <v>29</v>
      </c>
      <c r="J127" t="s">
        <v>30</v>
      </c>
      <c r="K127" t="s">
        <v>281</v>
      </c>
      <c r="M127" t="s">
        <v>56</v>
      </c>
      <c r="N127" t="s">
        <v>71</v>
      </c>
      <c r="O127" t="s">
        <v>283</v>
      </c>
      <c r="P127" t="s">
        <v>35</v>
      </c>
      <c r="Q127" t="s">
        <v>35</v>
      </c>
      <c r="R127" t="s">
        <v>35</v>
      </c>
      <c r="S127" t="s">
        <v>35</v>
      </c>
      <c r="V127" t="s">
        <v>53</v>
      </c>
      <c r="W127" t="s">
        <v>54</v>
      </c>
      <c r="Z127" t="s">
        <v>37</v>
      </c>
    </row>
    <row r="128" spans="1:26" x14ac:dyDescent="0.25">
      <c r="A128" s="7" t="str">
        <f>VLOOKUP(F128,'Contas Orç'!A:B,2,0)</f>
        <v>PJ-LOCACAO DE MAQUINAS E EQUIPAMENTO</v>
      </c>
      <c r="B128" s="7" t="str">
        <f>VLOOKUP(C128,Base_20.12!E:E,1,0)</f>
        <v>0000000030</v>
      </c>
      <c r="C128" t="s">
        <v>279</v>
      </c>
      <c r="D128" t="s">
        <v>48</v>
      </c>
      <c r="E128" s="8">
        <v>44882</v>
      </c>
      <c r="F128" t="s">
        <v>280</v>
      </c>
      <c r="G128" t="s">
        <v>53</v>
      </c>
      <c r="H128" t="s">
        <v>54</v>
      </c>
      <c r="I128" t="s">
        <v>29</v>
      </c>
      <c r="J128" t="s">
        <v>30</v>
      </c>
      <c r="K128" t="s">
        <v>281</v>
      </c>
      <c r="M128" t="s">
        <v>56</v>
      </c>
      <c r="N128" t="s">
        <v>71</v>
      </c>
      <c r="O128" t="s">
        <v>284</v>
      </c>
      <c r="P128" t="s">
        <v>35</v>
      </c>
      <c r="Q128" t="s">
        <v>35</v>
      </c>
      <c r="R128" t="s">
        <v>35</v>
      </c>
      <c r="S128" t="s">
        <v>35</v>
      </c>
      <c r="V128" t="s">
        <v>53</v>
      </c>
      <c r="W128" t="s">
        <v>54</v>
      </c>
      <c r="Z128" t="s">
        <v>37</v>
      </c>
    </row>
    <row r="129" spans="1:26" x14ac:dyDescent="0.25">
      <c r="A129" s="7" t="str">
        <f>VLOOKUP(F129,'Contas Orç'!A:B,2,0)</f>
        <v>PJ-LOCACAO DE MAQUINAS E EQUIPAMENTO</v>
      </c>
      <c r="B129" s="7" t="str">
        <f>VLOOKUP(C129,Base_20.12!E:E,1,0)</f>
        <v>0000000030</v>
      </c>
      <c r="C129" t="s">
        <v>279</v>
      </c>
      <c r="D129" t="s">
        <v>50</v>
      </c>
      <c r="E129" s="8">
        <v>44882</v>
      </c>
      <c r="F129" t="s">
        <v>280</v>
      </c>
      <c r="G129" t="s">
        <v>53</v>
      </c>
      <c r="H129" t="s">
        <v>54</v>
      </c>
      <c r="I129" t="s">
        <v>29</v>
      </c>
      <c r="J129" t="s">
        <v>30</v>
      </c>
      <c r="K129" t="s">
        <v>281</v>
      </c>
      <c r="M129" t="s">
        <v>56</v>
      </c>
      <c r="N129" t="s">
        <v>71</v>
      </c>
      <c r="O129" t="s">
        <v>285</v>
      </c>
      <c r="P129" t="s">
        <v>35</v>
      </c>
      <c r="Q129" t="s">
        <v>35</v>
      </c>
      <c r="R129" t="s">
        <v>35</v>
      </c>
      <c r="S129" t="s">
        <v>35</v>
      </c>
      <c r="V129" t="s">
        <v>53</v>
      </c>
      <c r="W129" t="s">
        <v>54</v>
      </c>
      <c r="Z129" t="s">
        <v>37</v>
      </c>
    </row>
    <row r="130" spans="1:26" x14ac:dyDescent="0.25">
      <c r="A130" s="7" t="str">
        <f>VLOOKUP(F130,'Contas Orç'!A:B,2,0)</f>
        <v>PJ-LOCACAO DE MAQUINAS E EQUIPAMENTO</v>
      </c>
      <c r="B130" s="7" t="str">
        <f>VLOOKUP(C130,Base_20.12!E:E,1,0)</f>
        <v>0000000030</v>
      </c>
      <c r="C130" t="s">
        <v>279</v>
      </c>
      <c r="D130" t="s">
        <v>87</v>
      </c>
      <c r="E130" s="8">
        <v>44882</v>
      </c>
      <c r="F130" t="s">
        <v>280</v>
      </c>
      <c r="G130" t="s">
        <v>53</v>
      </c>
      <c r="H130" t="s">
        <v>54</v>
      </c>
      <c r="I130" t="s">
        <v>29</v>
      </c>
      <c r="J130" t="s">
        <v>30</v>
      </c>
      <c r="K130" t="s">
        <v>281</v>
      </c>
      <c r="M130" t="s">
        <v>56</v>
      </c>
      <c r="N130" t="s">
        <v>71</v>
      </c>
      <c r="O130" t="s">
        <v>286</v>
      </c>
      <c r="P130" t="s">
        <v>35</v>
      </c>
      <c r="Q130" t="s">
        <v>35</v>
      </c>
      <c r="R130" t="s">
        <v>35</v>
      </c>
      <c r="S130" t="s">
        <v>35</v>
      </c>
      <c r="V130" t="s">
        <v>53</v>
      </c>
      <c r="W130" t="s">
        <v>54</v>
      </c>
      <c r="Z130" t="s">
        <v>37</v>
      </c>
    </row>
    <row r="131" spans="1:26" x14ac:dyDescent="0.25">
      <c r="A131" s="7" t="str">
        <f>VLOOKUP(F131,'Contas Orç'!A:B,2,0)</f>
        <v>PJ-LOCACAO DE MAQUINAS E EQUIPAMENTO</v>
      </c>
      <c r="B131" s="7" t="str">
        <f>VLOOKUP(C131,Base_20.12!E:E,1,0)</f>
        <v>0000000030</v>
      </c>
      <c r="C131" t="s">
        <v>279</v>
      </c>
      <c r="D131" t="s">
        <v>91</v>
      </c>
      <c r="E131" s="8">
        <v>44882</v>
      </c>
      <c r="F131" t="s">
        <v>280</v>
      </c>
      <c r="G131" t="s">
        <v>53</v>
      </c>
      <c r="H131" t="s">
        <v>54</v>
      </c>
      <c r="I131" t="s">
        <v>29</v>
      </c>
      <c r="J131" t="s">
        <v>30</v>
      </c>
      <c r="K131" t="s">
        <v>281</v>
      </c>
      <c r="M131" t="s">
        <v>56</v>
      </c>
      <c r="N131" t="s">
        <v>71</v>
      </c>
      <c r="O131" t="s">
        <v>282</v>
      </c>
      <c r="P131" t="s">
        <v>35</v>
      </c>
      <c r="Q131" t="s">
        <v>35</v>
      </c>
      <c r="R131" t="s">
        <v>35</v>
      </c>
      <c r="S131" t="s">
        <v>35</v>
      </c>
      <c r="V131" t="s">
        <v>53</v>
      </c>
      <c r="W131" t="s">
        <v>54</v>
      </c>
      <c r="Z131" t="s">
        <v>37</v>
      </c>
    </row>
    <row r="132" spans="1:26" x14ac:dyDescent="0.25">
      <c r="A132" s="7" t="str">
        <f>VLOOKUP(F132,'Contas Orç'!A:B,2,0)</f>
        <v>PJ-LOCACAO DE MAQUINAS E EQUIPAMENTO</v>
      </c>
      <c r="B132" s="7" t="str">
        <f>VLOOKUP(C132,Base_20.12!E:E,1,0)</f>
        <v>0000000030</v>
      </c>
      <c r="C132" t="s">
        <v>279</v>
      </c>
      <c r="D132" t="s">
        <v>94</v>
      </c>
      <c r="E132" s="8">
        <v>44882</v>
      </c>
      <c r="F132" t="s">
        <v>280</v>
      </c>
      <c r="G132" t="s">
        <v>53</v>
      </c>
      <c r="H132" t="s">
        <v>54</v>
      </c>
      <c r="I132" t="s">
        <v>29</v>
      </c>
      <c r="J132" t="s">
        <v>30</v>
      </c>
      <c r="K132" t="s">
        <v>281</v>
      </c>
      <c r="M132" t="s">
        <v>56</v>
      </c>
      <c r="N132" t="s">
        <v>71</v>
      </c>
      <c r="O132" t="s">
        <v>283</v>
      </c>
      <c r="P132" t="s">
        <v>35</v>
      </c>
      <c r="Q132" t="s">
        <v>35</v>
      </c>
      <c r="R132" t="s">
        <v>35</v>
      </c>
      <c r="S132" t="s">
        <v>35</v>
      </c>
      <c r="V132" t="s">
        <v>53</v>
      </c>
      <c r="W132" t="s">
        <v>54</v>
      </c>
      <c r="Z132" t="s">
        <v>37</v>
      </c>
    </row>
    <row r="133" spans="1:26" x14ac:dyDescent="0.25">
      <c r="A133" s="7" t="str">
        <f>VLOOKUP(F133,'Contas Orç'!A:B,2,0)</f>
        <v>PJ-LOCACAO DE MAQUINAS E EQUIPAMENTO</v>
      </c>
      <c r="B133" s="7" t="str">
        <f>VLOOKUP(C133,Base_20.12!E:E,1,0)</f>
        <v>0000000030</v>
      </c>
      <c r="C133" t="s">
        <v>279</v>
      </c>
      <c r="D133" t="s">
        <v>98</v>
      </c>
      <c r="E133" s="8">
        <v>44882</v>
      </c>
      <c r="F133" t="s">
        <v>280</v>
      </c>
      <c r="G133" t="s">
        <v>53</v>
      </c>
      <c r="H133" t="s">
        <v>54</v>
      </c>
      <c r="I133" t="s">
        <v>29</v>
      </c>
      <c r="J133" t="s">
        <v>30</v>
      </c>
      <c r="K133" t="s">
        <v>281</v>
      </c>
      <c r="M133" t="s">
        <v>56</v>
      </c>
      <c r="N133" t="s">
        <v>71</v>
      </c>
      <c r="O133" t="s">
        <v>284</v>
      </c>
      <c r="P133" t="s">
        <v>35</v>
      </c>
      <c r="Q133" t="s">
        <v>35</v>
      </c>
      <c r="R133" t="s">
        <v>35</v>
      </c>
      <c r="S133" t="s">
        <v>35</v>
      </c>
      <c r="V133" t="s">
        <v>53</v>
      </c>
      <c r="W133" t="s">
        <v>54</v>
      </c>
      <c r="Z133" t="s">
        <v>37</v>
      </c>
    </row>
    <row r="134" spans="1:26" x14ac:dyDescent="0.25">
      <c r="A134" s="7" t="str">
        <f>VLOOKUP(F134,'Contas Orç'!A:B,2,0)</f>
        <v>PJ-LOCACAO DE MAQUINAS E EQUIPAMENTO</v>
      </c>
      <c r="B134" s="7" t="str">
        <f>VLOOKUP(C134,Base_20.12!E:E,1,0)</f>
        <v>0000000030</v>
      </c>
      <c r="C134" t="s">
        <v>279</v>
      </c>
      <c r="D134" t="s">
        <v>102</v>
      </c>
      <c r="E134" s="8">
        <v>44882</v>
      </c>
      <c r="F134" t="s">
        <v>280</v>
      </c>
      <c r="G134" t="s">
        <v>53</v>
      </c>
      <c r="H134" t="s">
        <v>54</v>
      </c>
      <c r="I134" t="s">
        <v>29</v>
      </c>
      <c r="J134" t="s">
        <v>30</v>
      </c>
      <c r="K134" t="s">
        <v>281</v>
      </c>
      <c r="M134" t="s">
        <v>56</v>
      </c>
      <c r="N134" t="s">
        <v>71</v>
      </c>
      <c r="O134" t="s">
        <v>285</v>
      </c>
      <c r="P134" t="s">
        <v>35</v>
      </c>
      <c r="Q134" t="s">
        <v>35</v>
      </c>
      <c r="R134" t="s">
        <v>35</v>
      </c>
      <c r="S134" t="s">
        <v>35</v>
      </c>
      <c r="V134" t="s">
        <v>53</v>
      </c>
      <c r="W134" t="s">
        <v>54</v>
      </c>
      <c r="Z134" t="s">
        <v>37</v>
      </c>
    </row>
    <row r="135" spans="1:26" x14ac:dyDescent="0.25">
      <c r="A135" s="7" t="str">
        <f>VLOOKUP(F135,'Contas Orç'!A:B,2,0)</f>
        <v>PJ-LOCACAO DE MAQUINAS E EQUIPAMENTO</v>
      </c>
      <c r="B135" s="7" t="str">
        <f>VLOOKUP(C135,Base_20.12!E:E,1,0)</f>
        <v>0000000030</v>
      </c>
      <c r="C135" t="s">
        <v>279</v>
      </c>
      <c r="D135" t="s">
        <v>105</v>
      </c>
      <c r="E135" s="8">
        <v>44882</v>
      </c>
      <c r="F135" t="s">
        <v>280</v>
      </c>
      <c r="G135" t="s">
        <v>53</v>
      </c>
      <c r="H135" t="s">
        <v>54</v>
      </c>
      <c r="I135" t="s">
        <v>29</v>
      </c>
      <c r="J135" t="s">
        <v>30</v>
      </c>
      <c r="K135" t="s">
        <v>281</v>
      </c>
      <c r="M135" t="s">
        <v>56</v>
      </c>
      <c r="N135" t="s">
        <v>71</v>
      </c>
      <c r="O135" t="s">
        <v>286</v>
      </c>
      <c r="P135" t="s">
        <v>35</v>
      </c>
      <c r="Q135" t="s">
        <v>35</v>
      </c>
      <c r="R135" t="s">
        <v>35</v>
      </c>
      <c r="S135" t="s">
        <v>35</v>
      </c>
      <c r="V135" t="s">
        <v>53</v>
      </c>
      <c r="W135" t="s">
        <v>54</v>
      </c>
      <c r="Z135" t="s">
        <v>37</v>
      </c>
    </row>
    <row r="136" spans="1:26" x14ac:dyDescent="0.25">
      <c r="A136" s="7" t="str">
        <f>VLOOKUP(F136,'Contas Orç'!A:B,2,0)</f>
        <v>PJ-LOCACAO DE MAQUINAS E EQUIPAMENTO</v>
      </c>
      <c r="B136" s="7" t="str">
        <f>VLOOKUP(C136,Base_20.12!E:E,1,0)</f>
        <v>0000000030</v>
      </c>
      <c r="C136" t="s">
        <v>279</v>
      </c>
      <c r="D136" t="s">
        <v>110</v>
      </c>
      <c r="E136" s="8">
        <v>44882</v>
      </c>
      <c r="F136" t="s">
        <v>280</v>
      </c>
      <c r="G136" t="s">
        <v>53</v>
      </c>
      <c r="H136" t="s">
        <v>54</v>
      </c>
      <c r="I136" t="s">
        <v>29</v>
      </c>
      <c r="J136" t="s">
        <v>30</v>
      </c>
      <c r="K136" t="s">
        <v>281</v>
      </c>
      <c r="M136" t="s">
        <v>56</v>
      </c>
      <c r="N136" t="s">
        <v>71</v>
      </c>
      <c r="O136" t="s">
        <v>282</v>
      </c>
      <c r="P136" t="s">
        <v>35</v>
      </c>
      <c r="Q136" t="s">
        <v>35</v>
      </c>
      <c r="R136" t="s">
        <v>35</v>
      </c>
      <c r="S136" t="s">
        <v>35</v>
      </c>
      <c r="V136" t="s">
        <v>53</v>
      </c>
      <c r="W136" t="s">
        <v>54</v>
      </c>
      <c r="Z136" t="s">
        <v>37</v>
      </c>
    </row>
    <row r="137" spans="1:26" x14ac:dyDescent="0.25">
      <c r="A137" s="7" t="str">
        <f>VLOOKUP(F137,'Contas Orç'!A:B,2,0)</f>
        <v>PJ-LOCACAO DE MAQUINAS E EQUIPAMENTO</v>
      </c>
      <c r="B137" s="7" t="str">
        <f>VLOOKUP(C137,Base_20.12!E:E,1,0)</f>
        <v>0000000030</v>
      </c>
      <c r="C137" t="s">
        <v>279</v>
      </c>
      <c r="D137" t="s">
        <v>113</v>
      </c>
      <c r="E137" s="8">
        <v>44882</v>
      </c>
      <c r="F137" t="s">
        <v>280</v>
      </c>
      <c r="G137" t="s">
        <v>53</v>
      </c>
      <c r="H137" t="s">
        <v>54</v>
      </c>
      <c r="I137" t="s">
        <v>29</v>
      </c>
      <c r="J137" t="s">
        <v>30</v>
      </c>
      <c r="K137" t="s">
        <v>281</v>
      </c>
      <c r="M137" t="s">
        <v>56</v>
      </c>
      <c r="N137" t="s">
        <v>71</v>
      </c>
      <c r="O137" t="s">
        <v>283</v>
      </c>
      <c r="P137" t="s">
        <v>35</v>
      </c>
      <c r="Q137" t="s">
        <v>35</v>
      </c>
      <c r="R137" t="s">
        <v>35</v>
      </c>
      <c r="S137" t="s">
        <v>35</v>
      </c>
      <c r="V137" t="s">
        <v>53</v>
      </c>
      <c r="W137" t="s">
        <v>54</v>
      </c>
      <c r="Z137" t="s">
        <v>37</v>
      </c>
    </row>
    <row r="138" spans="1:26" x14ac:dyDescent="0.25">
      <c r="A138" s="7" t="str">
        <f>VLOOKUP(F138,'Contas Orç'!A:B,2,0)</f>
        <v>PJ-LOCACAO DE MAQUINAS E EQUIPAMENTO</v>
      </c>
      <c r="B138" s="7" t="str">
        <f>VLOOKUP(C138,Base_20.12!E:E,1,0)</f>
        <v>0000000030</v>
      </c>
      <c r="C138" t="s">
        <v>279</v>
      </c>
      <c r="D138" t="s">
        <v>117</v>
      </c>
      <c r="E138" s="8">
        <v>44882</v>
      </c>
      <c r="F138" t="s">
        <v>280</v>
      </c>
      <c r="G138" t="s">
        <v>53</v>
      </c>
      <c r="H138" t="s">
        <v>54</v>
      </c>
      <c r="I138" t="s">
        <v>29</v>
      </c>
      <c r="J138" t="s">
        <v>30</v>
      </c>
      <c r="K138" t="s">
        <v>281</v>
      </c>
      <c r="M138" t="s">
        <v>56</v>
      </c>
      <c r="N138" t="s">
        <v>71</v>
      </c>
      <c r="O138" t="s">
        <v>284</v>
      </c>
      <c r="P138" t="s">
        <v>35</v>
      </c>
      <c r="Q138" t="s">
        <v>35</v>
      </c>
      <c r="R138" t="s">
        <v>35</v>
      </c>
      <c r="S138" t="s">
        <v>35</v>
      </c>
      <c r="V138" t="s">
        <v>53</v>
      </c>
      <c r="W138" t="s">
        <v>54</v>
      </c>
      <c r="Z138" t="s">
        <v>37</v>
      </c>
    </row>
    <row r="139" spans="1:26" x14ac:dyDescent="0.25">
      <c r="A139" s="7" t="str">
        <f>VLOOKUP(F139,'Contas Orç'!A:B,2,0)</f>
        <v>PJ-LOCACAO DE MAQUINAS E EQUIPAMENTO</v>
      </c>
      <c r="B139" s="7" t="str">
        <f>VLOOKUP(C139,Base_20.12!E:E,1,0)</f>
        <v>0000000030</v>
      </c>
      <c r="C139" t="s">
        <v>279</v>
      </c>
      <c r="D139" t="s">
        <v>120</v>
      </c>
      <c r="E139" s="8">
        <v>44882</v>
      </c>
      <c r="F139" t="s">
        <v>280</v>
      </c>
      <c r="G139" t="s">
        <v>53</v>
      </c>
      <c r="H139" t="s">
        <v>54</v>
      </c>
      <c r="I139" t="s">
        <v>29</v>
      </c>
      <c r="J139" t="s">
        <v>30</v>
      </c>
      <c r="K139" t="s">
        <v>281</v>
      </c>
      <c r="M139" t="s">
        <v>56</v>
      </c>
      <c r="N139" t="s">
        <v>71</v>
      </c>
      <c r="O139" t="s">
        <v>285</v>
      </c>
      <c r="P139" t="s">
        <v>35</v>
      </c>
      <c r="Q139" t="s">
        <v>35</v>
      </c>
      <c r="R139" t="s">
        <v>35</v>
      </c>
      <c r="S139" t="s">
        <v>35</v>
      </c>
      <c r="V139" t="s">
        <v>53</v>
      </c>
      <c r="W139" t="s">
        <v>54</v>
      </c>
      <c r="Z139" t="s">
        <v>37</v>
      </c>
    </row>
    <row r="140" spans="1:26" x14ac:dyDescent="0.25">
      <c r="A140" s="7" t="str">
        <f>VLOOKUP(F140,'Contas Orç'!A:B,2,0)</f>
        <v>PJ-LOCACAO DE MAQUINAS E EQUIPAMENTO</v>
      </c>
      <c r="B140" s="7" t="str">
        <f>VLOOKUP(C140,Base_20.12!E:E,1,0)</f>
        <v>0000000030</v>
      </c>
      <c r="C140" t="s">
        <v>279</v>
      </c>
      <c r="D140" t="s">
        <v>124</v>
      </c>
      <c r="E140" s="8">
        <v>44882</v>
      </c>
      <c r="F140" t="s">
        <v>280</v>
      </c>
      <c r="G140" t="s">
        <v>53</v>
      </c>
      <c r="H140" t="s">
        <v>54</v>
      </c>
      <c r="I140" t="s">
        <v>29</v>
      </c>
      <c r="J140" t="s">
        <v>30</v>
      </c>
      <c r="K140" t="s">
        <v>281</v>
      </c>
      <c r="M140" t="s">
        <v>56</v>
      </c>
      <c r="N140" t="s">
        <v>71</v>
      </c>
      <c r="O140" t="s">
        <v>286</v>
      </c>
      <c r="P140" t="s">
        <v>35</v>
      </c>
      <c r="Q140" t="s">
        <v>35</v>
      </c>
      <c r="R140" t="s">
        <v>35</v>
      </c>
      <c r="S140" t="s">
        <v>35</v>
      </c>
      <c r="V140" t="s">
        <v>53</v>
      </c>
      <c r="W140" t="s">
        <v>54</v>
      </c>
      <c r="Z140" t="s">
        <v>37</v>
      </c>
    </row>
    <row r="141" spans="1:26" x14ac:dyDescent="0.25">
      <c r="A141" s="7" t="str">
        <f>VLOOKUP(F141,'Contas Orç'!A:B,2,0)</f>
        <v>PECAS E ACESSORIOS</v>
      </c>
      <c r="B141" s="7" t="str">
        <f>VLOOKUP(C141,Base_20.12!E:E,1,0)</f>
        <v>0000000032</v>
      </c>
      <c r="C141" t="s">
        <v>287</v>
      </c>
      <c r="D141" t="s">
        <v>25</v>
      </c>
      <c r="E141" s="8">
        <v>44882</v>
      </c>
      <c r="F141" t="s">
        <v>39</v>
      </c>
      <c r="G141" t="s">
        <v>81</v>
      </c>
      <c r="H141" t="s">
        <v>54</v>
      </c>
      <c r="I141" t="s">
        <v>29</v>
      </c>
      <c r="J141" t="s">
        <v>30</v>
      </c>
      <c r="K141" t="s">
        <v>288</v>
      </c>
      <c r="M141" t="s">
        <v>56</v>
      </c>
      <c r="N141" t="s">
        <v>71</v>
      </c>
      <c r="O141" t="s">
        <v>289</v>
      </c>
      <c r="P141" t="s">
        <v>35</v>
      </c>
      <c r="Q141" t="s">
        <v>35</v>
      </c>
      <c r="R141" t="s">
        <v>35</v>
      </c>
      <c r="S141" t="s">
        <v>35</v>
      </c>
      <c r="V141" t="s">
        <v>81</v>
      </c>
      <c r="W141" t="s">
        <v>54</v>
      </c>
      <c r="Z141" t="s">
        <v>37</v>
      </c>
    </row>
    <row r="142" spans="1:26" x14ac:dyDescent="0.25">
      <c r="A142" s="7" t="str">
        <f>VLOOKUP(F142,'Contas Orç'!A:B,2,0)</f>
        <v>PECAS E ACESSORIOS</v>
      </c>
      <c r="B142" s="7" t="str">
        <f>VLOOKUP(C142,Base_20.12!E:E,1,0)</f>
        <v>0000000033</v>
      </c>
      <c r="C142" t="s">
        <v>290</v>
      </c>
      <c r="D142" t="s">
        <v>25</v>
      </c>
      <c r="E142" s="8">
        <v>44882</v>
      </c>
      <c r="F142" t="s">
        <v>39</v>
      </c>
      <c r="G142" t="s">
        <v>81</v>
      </c>
      <c r="H142" t="s">
        <v>54</v>
      </c>
      <c r="I142" t="s">
        <v>29</v>
      </c>
      <c r="J142" t="s">
        <v>30</v>
      </c>
      <c r="K142" t="s">
        <v>291</v>
      </c>
      <c r="M142" t="s">
        <v>56</v>
      </c>
      <c r="N142" t="s">
        <v>71</v>
      </c>
      <c r="O142" t="s">
        <v>292</v>
      </c>
      <c r="P142" t="s">
        <v>35</v>
      </c>
      <c r="Q142" t="s">
        <v>35</v>
      </c>
      <c r="R142" t="s">
        <v>35</v>
      </c>
      <c r="S142" t="s">
        <v>35</v>
      </c>
      <c r="V142" t="s">
        <v>81</v>
      </c>
      <c r="W142" t="s">
        <v>54</v>
      </c>
      <c r="Z142" t="s">
        <v>37</v>
      </c>
    </row>
    <row r="143" spans="1:26" x14ac:dyDescent="0.25">
      <c r="A143" s="7" t="str">
        <f>VLOOKUP(F143,'Contas Orç'!A:B,2,0)</f>
        <v>DESPESAS GERAIS</v>
      </c>
      <c r="B143" s="7" t="str">
        <f>VLOOKUP(C143,Base_20.12!E:E,1,0)</f>
        <v>0000000034</v>
      </c>
      <c r="C143" t="s">
        <v>293</v>
      </c>
      <c r="D143" t="s">
        <v>25</v>
      </c>
      <c r="E143" s="8">
        <v>44882</v>
      </c>
      <c r="F143" t="s">
        <v>160</v>
      </c>
      <c r="G143" t="s">
        <v>81</v>
      </c>
      <c r="H143" t="s">
        <v>54</v>
      </c>
      <c r="I143" t="s">
        <v>29</v>
      </c>
      <c r="J143" t="s">
        <v>30</v>
      </c>
      <c r="K143" t="s">
        <v>294</v>
      </c>
      <c r="M143" t="s">
        <v>56</v>
      </c>
      <c r="N143" t="s">
        <v>71</v>
      </c>
      <c r="O143" t="s">
        <v>188</v>
      </c>
      <c r="P143" t="s">
        <v>35</v>
      </c>
      <c r="Q143" t="s">
        <v>35</v>
      </c>
      <c r="R143" t="s">
        <v>35</v>
      </c>
      <c r="S143" t="s">
        <v>35</v>
      </c>
      <c r="V143" t="s">
        <v>81</v>
      </c>
      <c r="W143" t="s">
        <v>54</v>
      </c>
      <c r="Z143" t="s">
        <v>37</v>
      </c>
    </row>
    <row r="144" spans="1:26" x14ac:dyDescent="0.25">
      <c r="A144" s="7" t="str">
        <f>VLOOKUP(F144,'Contas Orç'!A:B,2,0)</f>
        <v>PECAS E ACESSORIOS</v>
      </c>
      <c r="B144" s="7" t="str">
        <f>VLOOKUP(C144,Base_20.12!E:E,1,0)</f>
        <v>0000000035</v>
      </c>
      <c r="C144" t="s">
        <v>295</v>
      </c>
      <c r="D144" t="s">
        <v>25</v>
      </c>
      <c r="E144" s="8">
        <v>44882</v>
      </c>
      <c r="F144" t="s">
        <v>39</v>
      </c>
      <c r="G144" t="s">
        <v>81</v>
      </c>
      <c r="H144" t="s">
        <v>54</v>
      </c>
      <c r="I144" t="s">
        <v>29</v>
      </c>
      <c r="J144" t="s">
        <v>30</v>
      </c>
      <c r="K144" t="s">
        <v>296</v>
      </c>
      <c r="M144" t="s">
        <v>56</v>
      </c>
      <c r="N144" t="s">
        <v>71</v>
      </c>
      <c r="O144" t="s">
        <v>297</v>
      </c>
      <c r="P144" t="s">
        <v>35</v>
      </c>
      <c r="Q144" t="s">
        <v>35</v>
      </c>
      <c r="R144" t="s">
        <v>35</v>
      </c>
      <c r="S144" t="s">
        <v>35</v>
      </c>
      <c r="V144" t="s">
        <v>81</v>
      </c>
      <c r="W144" t="s">
        <v>54</v>
      </c>
      <c r="Z144" t="s">
        <v>37</v>
      </c>
    </row>
    <row r="145" spans="1:26" x14ac:dyDescent="0.25">
      <c r="A145" s="7" t="str">
        <f>VLOOKUP(F145,'Contas Orç'!A:B,2,0)</f>
        <v>TARIFAS PORTUµRIAS</v>
      </c>
      <c r="B145" s="7" t="str">
        <f>VLOOKUP(C145,Base_20.12!E:E,1,0)</f>
        <v>0000000036</v>
      </c>
      <c r="C145" t="s">
        <v>298</v>
      </c>
      <c r="D145" t="s">
        <v>25</v>
      </c>
      <c r="E145" s="8">
        <v>44882</v>
      </c>
      <c r="F145" t="s">
        <v>299</v>
      </c>
      <c r="G145" t="s">
        <v>59</v>
      </c>
      <c r="H145" t="s">
        <v>60</v>
      </c>
      <c r="I145" t="s">
        <v>29</v>
      </c>
      <c r="J145" t="s">
        <v>30</v>
      </c>
      <c r="K145" t="s">
        <v>300</v>
      </c>
      <c r="M145" t="s">
        <v>56</v>
      </c>
      <c r="N145" t="s">
        <v>71</v>
      </c>
      <c r="O145" t="s">
        <v>301</v>
      </c>
      <c r="P145" t="s">
        <v>35</v>
      </c>
      <c r="Q145" t="s">
        <v>35</v>
      </c>
      <c r="R145" t="s">
        <v>35</v>
      </c>
      <c r="S145" t="s">
        <v>35</v>
      </c>
      <c r="V145" t="s">
        <v>59</v>
      </c>
      <c r="W145" t="s">
        <v>60</v>
      </c>
      <c r="Z145" t="s">
        <v>37</v>
      </c>
    </row>
    <row r="146" spans="1:26" x14ac:dyDescent="0.25">
      <c r="A146" s="7" t="str">
        <f>VLOOKUP(F146,'Contas Orç'!A:B,2,0)</f>
        <v>TARIFAS PORTUµRIAS</v>
      </c>
      <c r="B146" s="7" t="str">
        <f>VLOOKUP(C146,Base_20.12!E:E,1,0)</f>
        <v>0000000036</v>
      </c>
      <c r="C146" t="s">
        <v>298</v>
      </c>
      <c r="D146" t="s">
        <v>38</v>
      </c>
      <c r="E146" s="8">
        <v>44882</v>
      </c>
      <c r="F146" t="s">
        <v>299</v>
      </c>
      <c r="G146" t="s">
        <v>59</v>
      </c>
      <c r="H146" t="s">
        <v>60</v>
      </c>
      <c r="I146" t="s">
        <v>29</v>
      </c>
      <c r="J146" t="s">
        <v>30</v>
      </c>
      <c r="K146" t="s">
        <v>300</v>
      </c>
      <c r="M146" t="s">
        <v>56</v>
      </c>
      <c r="N146" t="s">
        <v>71</v>
      </c>
      <c r="O146" t="s">
        <v>302</v>
      </c>
      <c r="P146" t="s">
        <v>35</v>
      </c>
      <c r="Q146" t="s">
        <v>35</v>
      </c>
      <c r="R146" t="s">
        <v>35</v>
      </c>
      <c r="S146" t="s">
        <v>35</v>
      </c>
      <c r="V146" t="s">
        <v>59</v>
      </c>
      <c r="W146" t="s">
        <v>60</v>
      </c>
      <c r="Z146" t="s">
        <v>37</v>
      </c>
    </row>
    <row r="147" spans="1:26" x14ac:dyDescent="0.25">
      <c r="A147" s="7" t="str">
        <f>VLOOKUP(F147,'Contas Orç'!A:B,2,0)</f>
        <v>TARIFAS PORTUµRIAS</v>
      </c>
      <c r="B147" s="7" t="str">
        <f>VLOOKUP(C147,Base_20.12!E:E,1,0)</f>
        <v>0000000037</v>
      </c>
      <c r="C147" t="s">
        <v>303</v>
      </c>
      <c r="D147" t="s">
        <v>25</v>
      </c>
      <c r="E147" s="8">
        <v>44882</v>
      </c>
      <c r="F147" t="s">
        <v>299</v>
      </c>
      <c r="G147" t="s">
        <v>59</v>
      </c>
      <c r="H147" t="s">
        <v>107</v>
      </c>
      <c r="I147" t="s">
        <v>29</v>
      </c>
      <c r="J147" t="s">
        <v>30</v>
      </c>
      <c r="K147" t="s">
        <v>304</v>
      </c>
      <c r="M147" t="s">
        <v>56</v>
      </c>
      <c r="N147" t="s">
        <v>71</v>
      </c>
      <c r="O147" t="s">
        <v>305</v>
      </c>
      <c r="P147" t="s">
        <v>35</v>
      </c>
      <c r="Q147" t="s">
        <v>35</v>
      </c>
      <c r="R147" t="s">
        <v>35</v>
      </c>
      <c r="S147" t="s">
        <v>35</v>
      </c>
      <c r="V147" t="s">
        <v>59</v>
      </c>
      <c r="W147" t="s">
        <v>107</v>
      </c>
      <c r="Z147" t="s">
        <v>37</v>
      </c>
    </row>
    <row r="148" spans="1:26" x14ac:dyDescent="0.25">
      <c r="A148" s="7" t="str">
        <f>VLOOKUP(F148,'Contas Orç'!A:B,2,0)</f>
        <v>DESPESAS GERAIS</v>
      </c>
      <c r="B148" s="7" t="str">
        <f>VLOOKUP(C148,Base_20.12!E:E,1,0)</f>
        <v>0000000038</v>
      </c>
      <c r="C148" t="s">
        <v>306</v>
      </c>
      <c r="D148" t="s">
        <v>25</v>
      </c>
      <c r="E148" s="8">
        <v>44883</v>
      </c>
      <c r="F148" t="s">
        <v>160</v>
      </c>
      <c r="G148" t="s">
        <v>81</v>
      </c>
      <c r="H148" t="s">
        <v>54</v>
      </c>
      <c r="I148" t="s">
        <v>29</v>
      </c>
      <c r="J148" t="s">
        <v>30</v>
      </c>
      <c r="K148" t="s">
        <v>307</v>
      </c>
      <c r="M148" t="s">
        <v>56</v>
      </c>
      <c r="N148" t="s">
        <v>71</v>
      </c>
      <c r="O148" t="s">
        <v>308</v>
      </c>
      <c r="P148" t="s">
        <v>35</v>
      </c>
      <c r="Q148" t="s">
        <v>35</v>
      </c>
      <c r="R148" t="s">
        <v>35</v>
      </c>
      <c r="S148" t="s">
        <v>35</v>
      </c>
      <c r="V148" t="s">
        <v>81</v>
      </c>
      <c r="W148" t="s">
        <v>54</v>
      </c>
      <c r="Z148" t="s">
        <v>37</v>
      </c>
    </row>
    <row r="149" spans="1:26" x14ac:dyDescent="0.25">
      <c r="A149" s="7" t="str">
        <f>VLOOKUP(F149,'Contas Orç'!A:B,2,0)</f>
        <v>DESPESAS GERAIS</v>
      </c>
      <c r="B149" s="7" t="str">
        <f>VLOOKUP(C149,Base_20.12!E:E,1,0)</f>
        <v>0000000038</v>
      </c>
      <c r="C149" t="s">
        <v>306</v>
      </c>
      <c r="D149" t="s">
        <v>38</v>
      </c>
      <c r="E149" s="8">
        <v>44883</v>
      </c>
      <c r="F149" t="s">
        <v>160</v>
      </c>
      <c r="G149" t="s">
        <v>81</v>
      </c>
      <c r="H149" t="s">
        <v>54</v>
      </c>
      <c r="I149" t="s">
        <v>29</v>
      </c>
      <c r="J149" t="s">
        <v>30</v>
      </c>
      <c r="K149" t="s">
        <v>309</v>
      </c>
      <c r="M149" t="s">
        <v>56</v>
      </c>
      <c r="N149" t="s">
        <v>71</v>
      </c>
      <c r="O149" t="s">
        <v>310</v>
      </c>
      <c r="P149" t="s">
        <v>35</v>
      </c>
      <c r="Q149" t="s">
        <v>35</v>
      </c>
      <c r="R149" t="s">
        <v>35</v>
      </c>
      <c r="S149" t="s">
        <v>35</v>
      </c>
      <c r="V149" t="s">
        <v>81</v>
      </c>
      <c r="W149" t="s">
        <v>54</v>
      </c>
      <c r="Z149" t="s">
        <v>37</v>
      </c>
    </row>
    <row r="150" spans="1:26" x14ac:dyDescent="0.25">
      <c r="A150" s="7" t="str">
        <f>VLOOKUP(F150,'Contas Orç'!A:B,2,0)</f>
        <v>PECAS E ACESSORIOS</v>
      </c>
      <c r="B150" s="7" t="str">
        <f>VLOOKUP(C150,Base_20.12!E:E,1,0)</f>
        <v>0000000039</v>
      </c>
      <c r="C150" t="s">
        <v>311</v>
      </c>
      <c r="D150" t="s">
        <v>25</v>
      </c>
      <c r="E150" s="8">
        <v>44883</v>
      </c>
      <c r="F150" t="s">
        <v>39</v>
      </c>
      <c r="G150" t="s">
        <v>81</v>
      </c>
      <c r="H150" t="s">
        <v>54</v>
      </c>
      <c r="I150" t="s">
        <v>29</v>
      </c>
      <c r="J150" t="s">
        <v>30</v>
      </c>
      <c r="K150" t="s">
        <v>312</v>
      </c>
      <c r="M150" t="s">
        <v>56</v>
      </c>
      <c r="N150" t="s">
        <v>71</v>
      </c>
      <c r="O150" t="s">
        <v>313</v>
      </c>
      <c r="P150" t="s">
        <v>35</v>
      </c>
      <c r="Q150" t="s">
        <v>35</v>
      </c>
      <c r="R150" t="s">
        <v>35</v>
      </c>
      <c r="S150" t="s">
        <v>35</v>
      </c>
      <c r="V150" t="s">
        <v>81</v>
      </c>
      <c r="W150" t="s">
        <v>54</v>
      </c>
      <c r="Z150" t="s">
        <v>37</v>
      </c>
    </row>
    <row r="151" spans="1:26" x14ac:dyDescent="0.25">
      <c r="A151" s="7" t="str">
        <f>VLOOKUP(F151,'Contas Orç'!A:B,2,0)</f>
        <v>PECAS E ACESSORIOS</v>
      </c>
      <c r="B151" s="7" t="str">
        <f>VLOOKUP(C151,Base_20.12!E:E,1,0)</f>
        <v>0000000040</v>
      </c>
      <c r="C151" t="s">
        <v>314</v>
      </c>
      <c r="D151" t="s">
        <v>25</v>
      </c>
      <c r="E151" s="8">
        <v>44883</v>
      </c>
      <c r="F151" t="s">
        <v>39</v>
      </c>
      <c r="G151" t="s">
        <v>81</v>
      </c>
      <c r="H151" t="s">
        <v>54</v>
      </c>
      <c r="I151" t="s">
        <v>29</v>
      </c>
      <c r="J151" t="s">
        <v>30</v>
      </c>
      <c r="K151" t="s">
        <v>315</v>
      </c>
      <c r="M151" t="s">
        <v>56</v>
      </c>
      <c r="N151" t="s">
        <v>71</v>
      </c>
      <c r="O151" t="s">
        <v>316</v>
      </c>
      <c r="P151" t="s">
        <v>35</v>
      </c>
      <c r="Q151" t="s">
        <v>35</v>
      </c>
      <c r="R151" t="s">
        <v>35</v>
      </c>
      <c r="S151" t="s">
        <v>35</v>
      </c>
      <c r="V151" t="s">
        <v>81</v>
      </c>
      <c r="W151" t="s">
        <v>54</v>
      </c>
      <c r="Z151" t="s">
        <v>37</v>
      </c>
    </row>
    <row r="152" spans="1:26" x14ac:dyDescent="0.25">
      <c r="A152" s="7" t="str">
        <f>VLOOKUP(F152,'Contas Orç'!A:B,2,0)</f>
        <v>PECAS E ACESSORIOS</v>
      </c>
      <c r="B152" s="7" t="str">
        <f>VLOOKUP(C152,Base_20.12!E:E,1,0)</f>
        <v>0000000041</v>
      </c>
      <c r="C152" t="s">
        <v>317</v>
      </c>
      <c r="D152" t="s">
        <v>25</v>
      </c>
      <c r="E152" s="8">
        <v>44883</v>
      </c>
      <c r="F152" t="s">
        <v>39</v>
      </c>
      <c r="G152" t="s">
        <v>81</v>
      </c>
      <c r="H152" t="s">
        <v>54</v>
      </c>
      <c r="I152" t="s">
        <v>29</v>
      </c>
      <c r="J152" t="s">
        <v>30</v>
      </c>
      <c r="K152" t="s">
        <v>318</v>
      </c>
      <c r="M152" t="s">
        <v>56</v>
      </c>
      <c r="N152" t="s">
        <v>71</v>
      </c>
      <c r="O152" t="s">
        <v>319</v>
      </c>
      <c r="P152" t="s">
        <v>35</v>
      </c>
      <c r="Q152" t="s">
        <v>35</v>
      </c>
      <c r="R152" t="s">
        <v>35</v>
      </c>
      <c r="S152" t="s">
        <v>35</v>
      </c>
      <c r="V152" t="s">
        <v>81</v>
      </c>
      <c r="W152" t="s">
        <v>54</v>
      </c>
      <c r="Z152" t="s">
        <v>37</v>
      </c>
    </row>
    <row r="153" spans="1:26" x14ac:dyDescent="0.25">
      <c r="A153" s="7" t="str">
        <f>VLOOKUP(F153,'Contas Orç'!A:B,2,0)</f>
        <v>PECAS E ACESSORIOS</v>
      </c>
      <c r="B153" s="7" t="str">
        <f>VLOOKUP(C153,Base_20.12!E:E,1,0)</f>
        <v>0000000041</v>
      </c>
      <c r="C153" t="s">
        <v>317</v>
      </c>
      <c r="D153" t="s">
        <v>38</v>
      </c>
      <c r="E153" s="8">
        <v>44883</v>
      </c>
      <c r="F153" t="s">
        <v>39</v>
      </c>
      <c r="G153" t="s">
        <v>81</v>
      </c>
      <c r="H153" t="s">
        <v>54</v>
      </c>
      <c r="I153" t="s">
        <v>29</v>
      </c>
      <c r="J153" t="s">
        <v>30</v>
      </c>
      <c r="K153" t="s">
        <v>320</v>
      </c>
      <c r="M153" t="s">
        <v>56</v>
      </c>
      <c r="N153" t="s">
        <v>71</v>
      </c>
      <c r="O153" t="s">
        <v>319</v>
      </c>
      <c r="P153" t="s">
        <v>35</v>
      </c>
      <c r="Q153" t="s">
        <v>35</v>
      </c>
      <c r="R153" t="s">
        <v>35</v>
      </c>
      <c r="S153" t="s">
        <v>35</v>
      </c>
      <c r="V153" t="s">
        <v>81</v>
      </c>
      <c r="W153" t="s">
        <v>54</v>
      </c>
      <c r="Z153" t="s">
        <v>37</v>
      </c>
    </row>
    <row r="154" spans="1:26" x14ac:dyDescent="0.25">
      <c r="A154" s="7" t="str">
        <f>VLOOKUP(F154,'Contas Orç'!A:B,2,0)</f>
        <v>MANUTENCAO E CONSERVACAO</v>
      </c>
      <c r="B154" s="7" t="str">
        <f>VLOOKUP(C154,Base_20.12!E:E,1,0)</f>
        <v>0000000042</v>
      </c>
      <c r="C154" t="s">
        <v>321</v>
      </c>
      <c r="D154" t="s">
        <v>25</v>
      </c>
      <c r="E154" s="8">
        <v>44883</v>
      </c>
      <c r="F154" t="s">
        <v>322</v>
      </c>
      <c r="G154" t="s">
        <v>68</v>
      </c>
      <c r="H154" t="s">
        <v>69</v>
      </c>
      <c r="I154" t="s">
        <v>29</v>
      </c>
      <c r="J154" t="s">
        <v>30</v>
      </c>
      <c r="K154" t="s">
        <v>323</v>
      </c>
      <c r="M154" t="s">
        <v>56</v>
      </c>
      <c r="N154" t="s">
        <v>71</v>
      </c>
      <c r="O154" t="s">
        <v>324</v>
      </c>
      <c r="P154" t="s">
        <v>35</v>
      </c>
      <c r="Q154" t="s">
        <v>35</v>
      </c>
      <c r="R154" t="s">
        <v>35</v>
      </c>
      <c r="S154" t="s">
        <v>35</v>
      </c>
      <c r="V154" t="s">
        <v>68</v>
      </c>
      <c r="W154" t="s">
        <v>69</v>
      </c>
      <c r="Z154" t="s">
        <v>37</v>
      </c>
    </row>
    <row r="155" spans="1:26" x14ac:dyDescent="0.25">
      <c r="A155" s="7" t="str">
        <f>VLOOKUP(F155,'Contas Orç'!A:B,2,0)</f>
        <v>DESPESAS GERAIS</v>
      </c>
      <c r="B155" s="7" t="str">
        <f>VLOOKUP(C155,Base_20.12!E:E,1,0)</f>
        <v>0000000043</v>
      </c>
      <c r="C155" t="s">
        <v>325</v>
      </c>
      <c r="D155" t="s">
        <v>25</v>
      </c>
      <c r="E155" s="8">
        <v>44883</v>
      </c>
      <c r="F155" t="s">
        <v>160</v>
      </c>
      <c r="G155" t="s">
        <v>81</v>
      </c>
      <c r="H155" t="s">
        <v>54</v>
      </c>
      <c r="I155" t="s">
        <v>29</v>
      </c>
      <c r="J155" t="s">
        <v>30</v>
      </c>
      <c r="K155" t="s">
        <v>326</v>
      </c>
      <c r="M155" t="s">
        <v>56</v>
      </c>
      <c r="N155" t="s">
        <v>71</v>
      </c>
      <c r="O155" t="s">
        <v>327</v>
      </c>
      <c r="P155" t="s">
        <v>35</v>
      </c>
      <c r="Q155" t="s">
        <v>35</v>
      </c>
      <c r="R155" t="s">
        <v>35</v>
      </c>
      <c r="S155" t="s">
        <v>35</v>
      </c>
      <c r="V155" t="s">
        <v>81</v>
      </c>
      <c r="W155" t="s">
        <v>54</v>
      </c>
      <c r="Z155" t="s">
        <v>37</v>
      </c>
    </row>
    <row r="156" spans="1:26" x14ac:dyDescent="0.25">
      <c r="A156" s="7" t="str">
        <f>VLOOKUP(F156,'Contas Orç'!A:B,2,0)</f>
        <v>DESPESAS GERAIS</v>
      </c>
      <c r="B156" s="7" t="str">
        <f>VLOOKUP(C156,Base_20.12!E:E,1,0)</f>
        <v>0000000043</v>
      </c>
      <c r="C156" t="s">
        <v>325</v>
      </c>
      <c r="D156" t="s">
        <v>38</v>
      </c>
      <c r="E156" s="8">
        <v>44883</v>
      </c>
      <c r="F156" t="s">
        <v>160</v>
      </c>
      <c r="G156" t="s">
        <v>81</v>
      </c>
      <c r="H156" t="s">
        <v>54</v>
      </c>
      <c r="I156" t="s">
        <v>29</v>
      </c>
      <c r="J156" t="s">
        <v>30</v>
      </c>
      <c r="K156" t="s">
        <v>328</v>
      </c>
      <c r="M156" t="s">
        <v>56</v>
      </c>
      <c r="N156" t="s">
        <v>71</v>
      </c>
      <c r="O156" t="s">
        <v>329</v>
      </c>
      <c r="P156" t="s">
        <v>35</v>
      </c>
      <c r="Q156" t="s">
        <v>35</v>
      </c>
      <c r="R156" t="s">
        <v>35</v>
      </c>
      <c r="S156" t="s">
        <v>35</v>
      </c>
      <c r="V156" t="s">
        <v>81</v>
      </c>
      <c r="W156" t="s">
        <v>54</v>
      </c>
      <c r="Z156" t="s">
        <v>37</v>
      </c>
    </row>
    <row r="157" spans="1:26" x14ac:dyDescent="0.25">
      <c r="A157" s="7" t="str">
        <f>VLOOKUP(F157,'Contas Orç'!A:B,2,0)</f>
        <v>DESPESAS GERAIS</v>
      </c>
      <c r="B157" s="7" t="str">
        <f>VLOOKUP(C157,Base_20.12!E:E,1,0)</f>
        <v>0000000044</v>
      </c>
      <c r="C157" t="s">
        <v>330</v>
      </c>
      <c r="D157" t="s">
        <v>25</v>
      </c>
      <c r="E157" s="8">
        <v>44883</v>
      </c>
      <c r="F157" t="s">
        <v>160</v>
      </c>
      <c r="G157" t="s">
        <v>81</v>
      </c>
      <c r="H157" t="s">
        <v>54</v>
      </c>
      <c r="I157" t="s">
        <v>29</v>
      </c>
      <c r="J157" t="s">
        <v>30</v>
      </c>
      <c r="K157" t="s">
        <v>331</v>
      </c>
      <c r="M157" t="s">
        <v>56</v>
      </c>
      <c r="N157" t="s">
        <v>71</v>
      </c>
      <c r="O157" t="s">
        <v>332</v>
      </c>
      <c r="P157" t="s">
        <v>35</v>
      </c>
      <c r="Q157" t="s">
        <v>35</v>
      </c>
      <c r="R157" t="s">
        <v>35</v>
      </c>
      <c r="S157" t="s">
        <v>35</v>
      </c>
      <c r="V157" t="s">
        <v>81</v>
      </c>
      <c r="W157" t="s">
        <v>54</v>
      </c>
      <c r="Z157" t="s">
        <v>37</v>
      </c>
    </row>
    <row r="158" spans="1:26" x14ac:dyDescent="0.25">
      <c r="A158" s="7" t="str">
        <f>VLOOKUP(F158,'Contas Orç'!A:B,2,0)</f>
        <v>DESPESAS GERAIS</v>
      </c>
      <c r="B158" s="7" t="str">
        <f>VLOOKUP(C158,Base_20.12!E:E,1,0)</f>
        <v>0000000044</v>
      </c>
      <c r="C158" t="s">
        <v>330</v>
      </c>
      <c r="D158" t="s">
        <v>38</v>
      </c>
      <c r="E158" s="8">
        <v>44883</v>
      </c>
      <c r="F158" t="s">
        <v>160</v>
      </c>
      <c r="G158" t="s">
        <v>81</v>
      </c>
      <c r="H158" t="s">
        <v>54</v>
      </c>
      <c r="I158" t="s">
        <v>29</v>
      </c>
      <c r="J158" t="s">
        <v>30</v>
      </c>
      <c r="K158" t="s">
        <v>333</v>
      </c>
      <c r="M158" t="s">
        <v>56</v>
      </c>
      <c r="N158" t="s">
        <v>71</v>
      </c>
      <c r="O158" t="s">
        <v>199</v>
      </c>
      <c r="P158" t="s">
        <v>35</v>
      </c>
      <c r="Q158" t="s">
        <v>35</v>
      </c>
      <c r="R158" t="s">
        <v>35</v>
      </c>
      <c r="S158" t="s">
        <v>35</v>
      </c>
      <c r="V158" t="s">
        <v>81</v>
      </c>
      <c r="W158" t="s">
        <v>54</v>
      </c>
      <c r="Z158" t="s">
        <v>37</v>
      </c>
    </row>
    <row r="159" spans="1:26" x14ac:dyDescent="0.25">
      <c r="A159" s="7" t="str">
        <f>VLOOKUP(F159,'Contas Orç'!A:B,2,0)</f>
        <v>DESPESAS GERAIS</v>
      </c>
      <c r="B159" s="7" t="str">
        <f>VLOOKUP(C159,Base_20.12!E:E,1,0)</f>
        <v>0000000044</v>
      </c>
      <c r="C159" t="s">
        <v>330</v>
      </c>
      <c r="D159" t="s">
        <v>48</v>
      </c>
      <c r="E159" s="8">
        <v>44883</v>
      </c>
      <c r="F159" t="s">
        <v>160</v>
      </c>
      <c r="G159" t="s">
        <v>81</v>
      </c>
      <c r="H159" t="s">
        <v>54</v>
      </c>
      <c r="I159" t="s">
        <v>29</v>
      </c>
      <c r="J159" t="s">
        <v>30</v>
      </c>
      <c r="K159" t="s">
        <v>334</v>
      </c>
      <c r="M159" t="s">
        <v>56</v>
      </c>
      <c r="N159" t="s">
        <v>71</v>
      </c>
      <c r="O159" t="s">
        <v>335</v>
      </c>
      <c r="P159" t="s">
        <v>35</v>
      </c>
      <c r="Q159" t="s">
        <v>35</v>
      </c>
      <c r="R159" t="s">
        <v>35</v>
      </c>
      <c r="S159" t="s">
        <v>35</v>
      </c>
      <c r="V159" t="s">
        <v>81</v>
      </c>
      <c r="W159" t="s">
        <v>54</v>
      </c>
      <c r="Z159" t="s">
        <v>37</v>
      </c>
    </row>
    <row r="160" spans="1:26" x14ac:dyDescent="0.25">
      <c r="A160" s="7" t="str">
        <f>VLOOKUP(F160,'Contas Orç'!A:B,2,0)</f>
        <v>DESPESAS GERAIS</v>
      </c>
      <c r="B160" s="7" t="str">
        <f>VLOOKUP(C160,Base_20.12!E:E,1,0)</f>
        <v>0000000044</v>
      </c>
      <c r="C160" t="s">
        <v>330</v>
      </c>
      <c r="D160" t="s">
        <v>50</v>
      </c>
      <c r="E160" s="8">
        <v>44883</v>
      </c>
      <c r="F160" t="s">
        <v>160</v>
      </c>
      <c r="G160" t="s">
        <v>81</v>
      </c>
      <c r="H160" t="s">
        <v>54</v>
      </c>
      <c r="I160" t="s">
        <v>29</v>
      </c>
      <c r="J160" t="s">
        <v>30</v>
      </c>
      <c r="K160" t="s">
        <v>336</v>
      </c>
      <c r="M160" t="s">
        <v>56</v>
      </c>
      <c r="N160" t="s">
        <v>71</v>
      </c>
      <c r="O160" t="s">
        <v>176</v>
      </c>
      <c r="P160" t="s">
        <v>35</v>
      </c>
      <c r="Q160" t="s">
        <v>35</v>
      </c>
      <c r="R160" t="s">
        <v>35</v>
      </c>
      <c r="S160" t="s">
        <v>35</v>
      </c>
      <c r="V160" t="s">
        <v>81</v>
      </c>
      <c r="W160" t="s">
        <v>54</v>
      </c>
      <c r="Z160" t="s">
        <v>37</v>
      </c>
    </row>
    <row r="161" spans="1:26" x14ac:dyDescent="0.25">
      <c r="A161" s="7" t="str">
        <f>VLOOKUP(F161,'Contas Orç'!A:B,2,0)</f>
        <v>DESPESAS GERAIS</v>
      </c>
      <c r="B161" s="7" t="str">
        <f>VLOOKUP(C161,Base_20.12!E:E,1,0)</f>
        <v>0000000044</v>
      </c>
      <c r="C161" t="s">
        <v>330</v>
      </c>
      <c r="D161" t="s">
        <v>87</v>
      </c>
      <c r="E161" s="8">
        <v>44883</v>
      </c>
      <c r="F161" t="s">
        <v>160</v>
      </c>
      <c r="G161" t="s">
        <v>81</v>
      </c>
      <c r="H161" t="s">
        <v>54</v>
      </c>
      <c r="I161" t="s">
        <v>29</v>
      </c>
      <c r="J161" t="s">
        <v>30</v>
      </c>
      <c r="K161" t="s">
        <v>337</v>
      </c>
      <c r="M161" t="s">
        <v>56</v>
      </c>
      <c r="N161" t="s">
        <v>71</v>
      </c>
      <c r="O161" t="s">
        <v>338</v>
      </c>
      <c r="P161" t="s">
        <v>35</v>
      </c>
      <c r="Q161" t="s">
        <v>35</v>
      </c>
      <c r="R161" t="s">
        <v>35</v>
      </c>
      <c r="S161" t="s">
        <v>35</v>
      </c>
      <c r="V161" t="s">
        <v>81</v>
      </c>
      <c r="W161" t="s">
        <v>54</v>
      </c>
      <c r="Z161" t="s">
        <v>37</v>
      </c>
    </row>
    <row r="162" spans="1:26" x14ac:dyDescent="0.25">
      <c r="A162" s="7" t="str">
        <f>VLOOKUP(F162,'Contas Orç'!A:B,2,0)</f>
        <v>DESPESAS GERAIS</v>
      </c>
      <c r="B162" s="7" t="str">
        <f>VLOOKUP(C162,Base_20.12!E:E,1,0)</f>
        <v>0000000044</v>
      </c>
      <c r="C162" t="s">
        <v>330</v>
      </c>
      <c r="D162" t="s">
        <v>91</v>
      </c>
      <c r="E162" s="8">
        <v>44883</v>
      </c>
      <c r="F162" t="s">
        <v>160</v>
      </c>
      <c r="G162" t="s">
        <v>81</v>
      </c>
      <c r="H162" t="s">
        <v>54</v>
      </c>
      <c r="I162" t="s">
        <v>29</v>
      </c>
      <c r="J162" t="s">
        <v>30</v>
      </c>
      <c r="K162" t="s">
        <v>339</v>
      </c>
      <c r="M162" t="s">
        <v>56</v>
      </c>
      <c r="N162" t="s">
        <v>71</v>
      </c>
      <c r="O162" t="s">
        <v>340</v>
      </c>
      <c r="P162" t="s">
        <v>35</v>
      </c>
      <c r="Q162" t="s">
        <v>35</v>
      </c>
      <c r="R162" t="s">
        <v>35</v>
      </c>
      <c r="S162" t="s">
        <v>35</v>
      </c>
      <c r="V162" t="s">
        <v>81</v>
      </c>
      <c r="W162" t="s">
        <v>54</v>
      </c>
      <c r="Z162" t="s">
        <v>37</v>
      </c>
    </row>
    <row r="163" spans="1:26" x14ac:dyDescent="0.25">
      <c r="A163" s="7" t="str">
        <f>VLOOKUP(F163,'Contas Orç'!A:B,2,0)</f>
        <v>DESPESAS GERAIS</v>
      </c>
      <c r="B163" s="7" t="str">
        <f>VLOOKUP(C163,Base_20.12!E:E,1,0)</f>
        <v>0000000044</v>
      </c>
      <c r="C163" t="s">
        <v>330</v>
      </c>
      <c r="D163" t="s">
        <v>94</v>
      </c>
      <c r="E163" s="8">
        <v>44883</v>
      </c>
      <c r="F163" t="s">
        <v>160</v>
      </c>
      <c r="G163" t="s">
        <v>81</v>
      </c>
      <c r="H163" t="s">
        <v>54</v>
      </c>
      <c r="I163" t="s">
        <v>29</v>
      </c>
      <c r="J163" t="s">
        <v>30</v>
      </c>
      <c r="K163" t="s">
        <v>341</v>
      </c>
      <c r="M163" t="s">
        <v>56</v>
      </c>
      <c r="N163" t="s">
        <v>71</v>
      </c>
      <c r="O163" t="s">
        <v>342</v>
      </c>
      <c r="P163" t="s">
        <v>35</v>
      </c>
      <c r="Q163" t="s">
        <v>35</v>
      </c>
      <c r="R163" t="s">
        <v>35</v>
      </c>
      <c r="S163" t="s">
        <v>35</v>
      </c>
      <c r="V163" t="s">
        <v>81</v>
      </c>
      <c r="W163" t="s">
        <v>54</v>
      </c>
      <c r="Z163" t="s">
        <v>37</v>
      </c>
    </row>
    <row r="164" spans="1:26" x14ac:dyDescent="0.25">
      <c r="A164" s="7" t="str">
        <f>VLOOKUP(F164,'Contas Orç'!A:B,2,0)</f>
        <v>DESPESAS GERAIS</v>
      </c>
      <c r="B164" s="7" t="str">
        <f>VLOOKUP(C164,Base_20.12!E:E,1,0)</f>
        <v>0000000044</v>
      </c>
      <c r="C164" t="s">
        <v>330</v>
      </c>
      <c r="D164" t="s">
        <v>98</v>
      </c>
      <c r="E164" s="8">
        <v>44883</v>
      </c>
      <c r="F164" t="s">
        <v>160</v>
      </c>
      <c r="G164" t="s">
        <v>81</v>
      </c>
      <c r="H164" t="s">
        <v>54</v>
      </c>
      <c r="I164" t="s">
        <v>29</v>
      </c>
      <c r="J164" t="s">
        <v>30</v>
      </c>
      <c r="K164" t="s">
        <v>343</v>
      </c>
      <c r="M164" t="s">
        <v>56</v>
      </c>
      <c r="N164" t="s">
        <v>71</v>
      </c>
      <c r="O164" t="s">
        <v>344</v>
      </c>
      <c r="P164" t="s">
        <v>35</v>
      </c>
      <c r="Q164" t="s">
        <v>35</v>
      </c>
      <c r="R164" t="s">
        <v>35</v>
      </c>
      <c r="S164" t="s">
        <v>35</v>
      </c>
      <c r="V164" t="s">
        <v>81</v>
      </c>
      <c r="W164" t="s">
        <v>54</v>
      </c>
      <c r="Z164" t="s">
        <v>37</v>
      </c>
    </row>
    <row r="165" spans="1:26" x14ac:dyDescent="0.25">
      <c r="A165" s="7" t="str">
        <f>VLOOKUP(F165,'Contas Orç'!A:B,2,0)</f>
        <v>DESPESAS GERAIS</v>
      </c>
      <c r="B165" s="7" t="str">
        <f>VLOOKUP(C165,Base_20.12!E:E,1,0)</f>
        <v>0000000044</v>
      </c>
      <c r="C165" t="s">
        <v>330</v>
      </c>
      <c r="D165" t="s">
        <v>102</v>
      </c>
      <c r="E165" s="8">
        <v>44883</v>
      </c>
      <c r="F165" t="s">
        <v>160</v>
      </c>
      <c r="G165" t="s">
        <v>81</v>
      </c>
      <c r="H165" t="s">
        <v>54</v>
      </c>
      <c r="I165" t="s">
        <v>29</v>
      </c>
      <c r="J165" t="s">
        <v>30</v>
      </c>
      <c r="K165" t="s">
        <v>345</v>
      </c>
      <c r="M165" t="s">
        <v>56</v>
      </c>
      <c r="N165" t="s">
        <v>71</v>
      </c>
      <c r="O165" t="s">
        <v>346</v>
      </c>
      <c r="P165" t="s">
        <v>35</v>
      </c>
      <c r="Q165" t="s">
        <v>35</v>
      </c>
      <c r="R165" t="s">
        <v>35</v>
      </c>
      <c r="S165" t="s">
        <v>35</v>
      </c>
      <c r="V165" t="s">
        <v>81</v>
      </c>
      <c r="W165" t="s">
        <v>54</v>
      </c>
      <c r="Z165" t="s">
        <v>37</v>
      </c>
    </row>
    <row r="166" spans="1:26" x14ac:dyDescent="0.25">
      <c r="A166" s="7" t="str">
        <f>VLOOKUP(F166,'Contas Orç'!A:B,2,0)</f>
        <v>DESPESAS GERAIS</v>
      </c>
      <c r="B166" s="7" t="str">
        <f>VLOOKUP(C166,Base_20.12!E:E,1,0)</f>
        <v>0000000044</v>
      </c>
      <c r="C166" t="s">
        <v>330</v>
      </c>
      <c r="D166" t="s">
        <v>105</v>
      </c>
      <c r="E166" s="8">
        <v>44883</v>
      </c>
      <c r="F166" t="s">
        <v>160</v>
      </c>
      <c r="G166" t="s">
        <v>81</v>
      </c>
      <c r="H166" t="s">
        <v>54</v>
      </c>
      <c r="I166" t="s">
        <v>29</v>
      </c>
      <c r="J166" t="s">
        <v>30</v>
      </c>
      <c r="K166" t="s">
        <v>347</v>
      </c>
      <c r="M166" t="s">
        <v>56</v>
      </c>
      <c r="N166" t="s">
        <v>71</v>
      </c>
      <c r="O166" t="s">
        <v>348</v>
      </c>
      <c r="P166" t="s">
        <v>35</v>
      </c>
      <c r="Q166" t="s">
        <v>35</v>
      </c>
      <c r="R166" t="s">
        <v>35</v>
      </c>
      <c r="S166" t="s">
        <v>35</v>
      </c>
      <c r="V166" t="s">
        <v>81</v>
      </c>
      <c r="W166" t="s">
        <v>54</v>
      </c>
      <c r="Z166" t="s">
        <v>37</v>
      </c>
    </row>
    <row r="167" spans="1:26" x14ac:dyDescent="0.25">
      <c r="A167" s="7" t="str">
        <f>VLOOKUP(F167,'Contas Orç'!A:B,2,0)</f>
        <v>DESPESAS GERAIS</v>
      </c>
      <c r="B167" s="7" t="str">
        <f>VLOOKUP(C167,Base_20.12!E:E,1,0)</f>
        <v>0000000044</v>
      </c>
      <c r="C167" t="s">
        <v>330</v>
      </c>
      <c r="D167" t="s">
        <v>110</v>
      </c>
      <c r="E167" s="8">
        <v>44883</v>
      </c>
      <c r="F167" t="s">
        <v>160</v>
      </c>
      <c r="G167" t="s">
        <v>81</v>
      </c>
      <c r="H167" t="s">
        <v>54</v>
      </c>
      <c r="I167" t="s">
        <v>29</v>
      </c>
      <c r="J167" t="s">
        <v>30</v>
      </c>
      <c r="K167" t="s">
        <v>349</v>
      </c>
      <c r="M167" t="s">
        <v>56</v>
      </c>
      <c r="N167" t="s">
        <v>71</v>
      </c>
      <c r="O167" t="s">
        <v>350</v>
      </c>
      <c r="P167" t="s">
        <v>35</v>
      </c>
      <c r="Q167" t="s">
        <v>35</v>
      </c>
      <c r="R167" t="s">
        <v>35</v>
      </c>
      <c r="S167" t="s">
        <v>35</v>
      </c>
      <c r="V167" t="s">
        <v>81</v>
      </c>
      <c r="W167" t="s">
        <v>54</v>
      </c>
      <c r="Z167" t="s">
        <v>37</v>
      </c>
    </row>
    <row r="168" spans="1:26" x14ac:dyDescent="0.25">
      <c r="A168" s="7" t="str">
        <f>VLOOKUP(F168,'Contas Orç'!A:B,2,0)</f>
        <v>DESPESAS GERAIS</v>
      </c>
      <c r="B168" s="7" t="str">
        <f>VLOOKUP(C168,Base_20.12!E:E,1,0)</f>
        <v>0000000044</v>
      </c>
      <c r="C168" t="s">
        <v>330</v>
      </c>
      <c r="D168" t="s">
        <v>113</v>
      </c>
      <c r="E168" s="8">
        <v>44883</v>
      </c>
      <c r="F168" t="s">
        <v>160</v>
      </c>
      <c r="G168" t="s">
        <v>81</v>
      </c>
      <c r="H168" t="s">
        <v>54</v>
      </c>
      <c r="I168" t="s">
        <v>29</v>
      </c>
      <c r="J168" t="s">
        <v>30</v>
      </c>
      <c r="K168" t="s">
        <v>351</v>
      </c>
      <c r="M168" t="s">
        <v>56</v>
      </c>
      <c r="N168" t="s">
        <v>71</v>
      </c>
      <c r="O168" t="s">
        <v>352</v>
      </c>
      <c r="P168" t="s">
        <v>35</v>
      </c>
      <c r="Q168" t="s">
        <v>35</v>
      </c>
      <c r="R168" t="s">
        <v>35</v>
      </c>
      <c r="S168" t="s">
        <v>35</v>
      </c>
      <c r="V168" t="s">
        <v>81</v>
      </c>
      <c r="W168" t="s">
        <v>54</v>
      </c>
      <c r="Z168" t="s">
        <v>37</v>
      </c>
    </row>
    <row r="169" spans="1:26" x14ac:dyDescent="0.25">
      <c r="A169" s="7" t="str">
        <f>VLOOKUP(F169,'Contas Orç'!A:B,2,0)</f>
        <v>DESPESAS GERAIS</v>
      </c>
      <c r="B169" s="7" t="str">
        <f>VLOOKUP(C169,Base_20.12!E:E,1,0)</f>
        <v>0000000044</v>
      </c>
      <c r="C169" t="s">
        <v>330</v>
      </c>
      <c r="D169" t="s">
        <v>117</v>
      </c>
      <c r="E169" s="8">
        <v>44883</v>
      </c>
      <c r="F169" t="s">
        <v>160</v>
      </c>
      <c r="G169" t="s">
        <v>81</v>
      </c>
      <c r="H169" t="s">
        <v>54</v>
      </c>
      <c r="I169" t="s">
        <v>29</v>
      </c>
      <c r="J169" t="s">
        <v>30</v>
      </c>
      <c r="K169" t="s">
        <v>353</v>
      </c>
      <c r="M169" t="s">
        <v>56</v>
      </c>
      <c r="N169" t="s">
        <v>71</v>
      </c>
      <c r="O169" t="s">
        <v>162</v>
      </c>
      <c r="P169" t="s">
        <v>35</v>
      </c>
      <c r="Q169" t="s">
        <v>35</v>
      </c>
      <c r="R169" t="s">
        <v>35</v>
      </c>
      <c r="S169" t="s">
        <v>35</v>
      </c>
      <c r="V169" t="s">
        <v>81</v>
      </c>
      <c r="W169" t="s">
        <v>54</v>
      </c>
      <c r="Z169" t="s">
        <v>37</v>
      </c>
    </row>
    <row r="170" spans="1:26" x14ac:dyDescent="0.25">
      <c r="A170" s="7" t="str">
        <f>VLOOKUP(F170,'Contas Orç'!A:B,2,0)</f>
        <v>DESPESAS GERAIS</v>
      </c>
      <c r="B170" s="7" t="str">
        <f>VLOOKUP(C170,Base_20.12!E:E,1,0)</f>
        <v>0000000044</v>
      </c>
      <c r="C170" t="s">
        <v>330</v>
      </c>
      <c r="D170" t="s">
        <v>120</v>
      </c>
      <c r="E170" s="8">
        <v>44883</v>
      </c>
      <c r="F170" t="s">
        <v>160</v>
      </c>
      <c r="G170" t="s">
        <v>81</v>
      </c>
      <c r="H170" t="s">
        <v>54</v>
      </c>
      <c r="I170" t="s">
        <v>29</v>
      </c>
      <c r="J170" t="s">
        <v>30</v>
      </c>
      <c r="K170" t="s">
        <v>354</v>
      </c>
      <c r="M170" t="s">
        <v>56</v>
      </c>
      <c r="N170" t="s">
        <v>71</v>
      </c>
      <c r="O170" t="s">
        <v>186</v>
      </c>
      <c r="P170" t="s">
        <v>35</v>
      </c>
      <c r="Q170" t="s">
        <v>35</v>
      </c>
      <c r="R170" t="s">
        <v>35</v>
      </c>
      <c r="S170" t="s">
        <v>35</v>
      </c>
      <c r="V170" t="s">
        <v>81</v>
      </c>
      <c r="W170" t="s">
        <v>54</v>
      </c>
      <c r="Z170" t="s">
        <v>37</v>
      </c>
    </row>
    <row r="171" spans="1:26" x14ac:dyDescent="0.25">
      <c r="A171" s="7" t="str">
        <f>VLOOKUP(F171,'Contas Orç'!A:B,2,0)</f>
        <v>DESPESAS GERAIS</v>
      </c>
      <c r="B171" s="7" t="str">
        <f>VLOOKUP(C171,Base_20.12!E:E,1,0)</f>
        <v>0000000044</v>
      </c>
      <c r="C171" t="s">
        <v>330</v>
      </c>
      <c r="D171" t="s">
        <v>124</v>
      </c>
      <c r="E171" s="8">
        <v>44883</v>
      </c>
      <c r="F171" t="s">
        <v>160</v>
      </c>
      <c r="G171" t="s">
        <v>81</v>
      </c>
      <c r="H171" t="s">
        <v>54</v>
      </c>
      <c r="I171" t="s">
        <v>29</v>
      </c>
      <c r="J171" t="s">
        <v>30</v>
      </c>
      <c r="K171" t="s">
        <v>355</v>
      </c>
      <c r="M171" t="s">
        <v>56</v>
      </c>
      <c r="N171" t="s">
        <v>71</v>
      </c>
      <c r="O171" t="s">
        <v>176</v>
      </c>
      <c r="P171" t="s">
        <v>35</v>
      </c>
      <c r="Q171" t="s">
        <v>35</v>
      </c>
      <c r="R171" t="s">
        <v>35</v>
      </c>
      <c r="S171" t="s">
        <v>35</v>
      </c>
      <c r="V171" t="s">
        <v>81</v>
      </c>
      <c r="W171" t="s">
        <v>54</v>
      </c>
      <c r="Z171" t="s">
        <v>37</v>
      </c>
    </row>
    <row r="172" spans="1:26" x14ac:dyDescent="0.25">
      <c r="A172" s="7" t="str">
        <f>VLOOKUP(F172,'Contas Orç'!A:B,2,0)</f>
        <v>DESPESAS GERAIS</v>
      </c>
      <c r="B172" s="7" t="str">
        <f>VLOOKUP(C172,Base_20.12!E:E,1,0)</f>
        <v>0000000044</v>
      </c>
      <c r="C172" t="s">
        <v>330</v>
      </c>
      <c r="D172" t="s">
        <v>128</v>
      </c>
      <c r="E172" s="8">
        <v>44883</v>
      </c>
      <c r="F172" t="s">
        <v>160</v>
      </c>
      <c r="G172" t="s">
        <v>81</v>
      </c>
      <c r="H172" t="s">
        <v>54</v>
      </c>
      <c r="I172" t="s">
        <v>29</v>
      </c>
      <c r="J172" t="s">
        <v>30</v>
      </c>
      <c r="K172" t="s">
        <v>356</v>
      </c>
      <c r="M172" t="s">
        <v>56</v>
      </c>
      <c r="N172" t="s">
        <v>71</v>
      </c>
      <c r="O172" t="s">
        <v>357</v>
      </c>
      <c r="P172" t="s">
        <v>35</v>
      </c>
      <c r="Q172" t="s">
        <v>35</v>
      </c>
      <c r="R172" t="s">
        <v>35</v>
      </c>
      <c r="S172" t="s">
        <v>35</v>
      </c>
      <c r="V172" t="s">
        <v>81</v>
      </c>
      <c r="W172" t="s">
        <v>54</v>
      </c>
      <c r="Z172" t="s">
        <v>37</v>
      </c>
    </row>
    <row r="173" spans="1:26" x14ac:dyDescent="0.25">
      <c r="A173" s="7" t="str">
        <f>VLOOKUP(F173,'Contas Orç'!A:B,2,0)</f>
        <v>DESPESAS GERAIS</v>
      </c>
      <c r="B173" s="7" t="str">
        <f>VLOOKUP(C173,Base_20.12!E:E,1,0)</f>
        <v>0000000044</v>
      </c>
      <c r="C173" t="s">
        <v>330</v>
      </c>
      <c r="D173" t="s">
        <v>131</v>
      </c>
      <c r="E173" s="8">
        <v>44883</v>
      </c>
      <c r="F173" t="s">
        <v>160</v>
      </c>
      <c r="G173" t="s">
        <v>81</v>
      </c>
      <c r="H173" t="s">
        <v>54</v>
      </c>
      <c r="I173" t="s">
        <v>29</v>
      </c>
      <c r="J173" t="s">
        <v>30</v>
      </c>
      <c r="K173" t="s">
        <v>358</v>
      </c>
      <c r="M173" t="s">
        <v>56</v>
      </c>
      <c r="N173" t="s">
        <v>71</v>
      </c>
      <c r="O173" t="s">
        <v>226</v>
      </c>
      <c r="P173" t="s">
        <v>35</v>
      </c>
      <c r="Q173" t="s">
        <v>35</v>
      </c>
      <c r="R173" t="s">
        <v>35</v>
      </c>
      <c r="S173" t="s">
        <v>35</v>
      </c>
      <c r="V173" t="s">
        <v>81</v>
      </c>
      <c r="W173" t="s">
        <v>54</v>
      </c>
      <c r="Z173" t="s">
        <v>37</v>
      </c>
    </row>
    <row r="174" spans="1:26" x14ac:dyDescent="0.25">
      <c r="A174" s="7" t="str">
        <f>VLOOKUP(F174,'Contas Orç'!A:B,2,0)</f>
        <v>DESPESAS GERAIS</v>
      </c>
      <c r="B174" s="7" t="str">
        <f>VLOOKUP(C174,Base_20.12!E:E,1,0)</f>
        <v>0000000045</v>
      </c>
      <c r="C174" t="s">
        <v>359</v>
      </c>
      <c r="D174" t="s">
        <v>25</v>
      </c>
      <c r="E174" s="8">
        <v>44883</v>
      </c>
      <c r="F174" t="s">
        <v>160</v>
      </c>
      <c r="G174" t="s">
        <v>81</v>
      </c>
      <c r="H174" t="s">
        <v>54</v>
      </c>
      <c r="I174" t="s">
        <v>29</v>
      </c>
      <c r="J174" t="s">
        <v>30</v>
      </c>
      <c r="K174" t="s">
        <v>360</v>
      </c>
      <c r="M174" t="s">
        <v>56</v>
      </c>
      <c r="N174" t="s">
        <v>71</v>
      </c>
      <c r="O174" t="s">
        <v>361</v>
      </c>
      <c r="P174" t="s">
        <v>35</v>
      </c>
      <c r="Q174" t="s">
        <v>35</v>
      </c>
      <c r="R174" t="s">
        <v>35</v>
      </c>
      <c r="S174" t="s">
        <v>35</v>
      </c>
      <c r="V174" t="s">
        <v>81</v>
      </c>
      <c r="W174" t="s">
        <v>54</v>
      </c>
      <c r="Z174" t="s">
        <v>37</v>
      </c>
    </row>
    <row r="175" spans="1:26" x14ac:dyDescent="0.25">
      <c r="A175" s="7" t="str">
        <f>VLOOKUP(F175,'Contas Orç'!A:B,2,0)</f>
        <v>DESPESAS GERAIS</v>
      </c>
      <c r="B175" s="7" t="str">
        <f>VLOOKUP(C175,Base_20.12!E:E,1,0)</f>
        <v>0000000045</v>
      </c>
      <c r="C175" t="s">
        <v>359</v>
      </c>
      <c r="D175" t="s">
        <v>38</v>
      </c>
      <c r="E175" s="8">
        <v>44883</v>
      </c>
      <c r="F175" t="s">
        <v>160</v>
      </c>
      <c r="G175" t="s">
        <v>81</v>
      </c>
      <c r="H175" t="s">
        <v>54</v>
      </c>
      <c r="I175" t="s">
        <v>29</v>
      </c>
      <c r="J175" t="s">
        <v>30</v>
      </c>
      <c r="K175" t="s">
        <v>362</v>
      </c>
      <c r="M175" t="s">
        <v>56</v>
      </c>
      <c r="N175" t="s">
        <v>71</v>
      </c>
      <c r="O175" t="s">
        <v>363</v>
      </c>
      <c r="P175" t="s">
        <v>35</v>
      </c>
      <c r="Q175" t="s">
        <v>35</v>
      </c>
      <c r="R175" t="s">
        <v>35</v>
      </c>
      <c r="S175" t="s">
        <v>35</v>
      </c>
      <c r="V175" t="s">
        <v>81</v>
      </c>
      <c r="W175" t="s">
        <v>54</v>
      </c>
      <c r="Z175" t="s">
        <v>37</v>
      </c>
    </row>
    <row r="176" spans="1:26" x14ac:dyDescent="0.25">
      <c r="A176" s="7" t="str">
        <f>VLOOKUP(F176,'Contas Orç'!A:B,2,0)</f>
        <v>DESPESAS GERAIS</v>
      </c>
      <c r="B176" s="7" t="str">
        <f>VLOOKUP(C176,Base_20.12!E:E,1,0)</f>
        <v>0000000045</v>
      </c>
      <c r="C176" t="s">
        <v>359</v>
      </c>
      <c r="D176" t="s">
        <v>48</v>
      </c>
      <c r="E176" s="8">
        <v>44883</v>
      </c>
      <c r="F176" t="s">
        <v>160</v>
      </c>
      <c r="G176" t="s">
        <v>81</v>
      </c>
      <c r="H176" t="s">
        <v>54</v>
      </c>
      <c r="I176" t="s">
        <v>29</v>
      </c>
      <c r="J176" t="s">
        <v>30</v>
      </c>
      <c r="K176" t="s">
        <v>364</v>
      </c>
      <c r="M176" t="s">
        <v>56</v>
      </c>
      <c r="N176" t="s">
        <v>71</v>
      </c>
      <c r="O176" t="s">
        <v>365</v>
      </c>
      <c r="P176" t="s">
        <v>35</v>
      </c>
      <c r="Q176" t="s">
        <v>35</v>
      </c>
      <c r="R176" t="s">
        <v>35</v>
      </c>
      <c r="S176" t="s">
        <v>35</v>
      </c>
      <c r="V176" t="s">
        <v>81</v>
      </c>
      <c r="W176" t="s">
        <v>54</v>
      </c>
      <c r="Z176" t="s">
        <v>37</v>
      </c>
    </row>
    <row r="177" spans="1:26" x14ac:dyDescent="0.25">
      <c r="A177" s="7" t="str">
        <f>VLOOKUP(F177,'Contas Orç'!A:B,2,0)</f>
        <v>DESPESAS GERAIS</v>
      </c>
      <c r="B177" s="7" t="str">
        <f>VLOOKUP(C177,Base_20.12!E:E,1,0)</f>
        <v>0000000046</v>
      </c>
      <c r="C177" t="s">
        <v>366</v>
      </c>
      <c r="D177" t="s">
        <v>25</v>
      </c>
      <c r="E177" s="8">
        <v>44883</v>
      </c>
      <c r="F177" t="s">
        <v>160</v>
      </c>
      <c r="G177" t="s">
        <v>81</v>
      </c>
      <c r="H177" t="s">
        <v>54</v>
      </c>
      <c r="I177" t="s">
        <v>29</v>
      </c>
      <c r="J177" t="s">
        <v>30</v>
      </c>
      <c r="K177" t="s">
        <v>367</v>
      </c>
      <c r="M177" t="s">
        <v>56</v>
      </c>
      <c r="N177" t="s">
        <v>71</v>
      </c>
      <c r="O177" t="s">
        <v>190</v>
      </c>
      <c r="P177" t="s">
        <v>35</v>
      </c>
      <c r="Q177" t="s">
        <v>35</v>
      </c>
      <c r="R177" t="s">
        <v>35</v>
      </c>
      <c r="S177" t="s">
        <v>35</v>
      </c>
      <c r="V177" t="s">
        <v>81</v>
      </c>
      <c r="W177" t="s">
        <v>54</v>
      </c>
      <c r="Z177" t="s">
        <v>37</v>
      </c>
    </row>
    <row r="178" spans="1:26" x14ac:dyDescent="0.25">
      <c r="A178" s="7" t="str">
        <f>VLOOKUP(F178,'Contas Orç'!A:B,2,0)</f>
        <v>DESPESAS GERAIS</v>
      </c>
      <c r="B178" s="7" t="str">
        <f>VLOOKUP(C178,Base_20.12!E:E,1,0)</f>
        <v>0000000046</v>
      </c>
      <c r="C178" t="s">
        <v>366</v>
      </c>
      <c r="D178" t="s">
        <v>38</v>
      </c>
      <c r="E178" s="8">
        <v>44883</v>
      </c>
      <c r="F178" t="s">
        <v>160</v>
      </c>
      <c r="G178" t="s">
        <v>81</v>
      </c>
      <c r="H178" t="s">
        <v>54</v>
      </c>
      <c r="I178" t="s">
        <v>29</v>
      </c>
      <c r="J178" t="s">
        <v>30</v>
      </c>
      <c r="K178" t="s">
        <v>368</v>
      </c>
      <c r="M178" t="s">
        <v>56</v>
      </c>
      <c r="N178" t="s">
        <v>71</v>
      </c>
      <c r="O178" t="s">
        <v>369</v>
      </c>
      <c r="P178" t="s">
        <v>35</v>
      </c>
      <c r="Q178" t="s">
        <v>35</v>
      </c>
      <c r="R178" t="s">
        <v>35</v>
      </c>
      <c r="S178" t="s">
        <v>35</v>
      </c>
      <c r="V178" t="s">
        <v>81</v>
      </c>
      <c r="W178" t="s">
        <v>54</v>
      </c>
      <c r="Z178" t="s">
        <v>37</v>
      </c>
    </row>
    <row r="179" spans="1:26" x14ac:dyDescent="0.25">
      <c r="A179" s="7" t="str">
        <f>VLOOKUP(F179,'Contas Orç'!A:B,2,0)</f>
        <v>DESPESAS GERAIS</v>
      </c>
      <c r="B179" s="7" t="str">
        <f>VLOOKUP(C179,Base_20.12!E:E,1,0)</f>
        <v>0000000046</v>
      </c>
      <c r="C179" t="s">
        <v>366</v>
      </c>
      <c r="D179" t="s">
        <v>48</v>
      </c>
      <c r="E179" s="8">
        <v>44883</v>
      </c>
      <c r="F179" t="s">
        <v>160</v>
      </c>
      <c r="G179" t="s">
        <v>81</v>
      </c>
      <c r="H179" t="s">
        <v>54</v>
      </c>
      <c r="I179" t="s">
        <v>29</v>
      </c>
      <c r="J179" t="s">
        <v>30</v>
      </c>
      <c r="K179" t="s">
        <v>370</v>
      </c>
      <c r="M179" t="s">
        <v>56</v>
      </c>
      <c r="N179" t="s">
        <v>71</v>
      </c>
      <c r="O179" t="s">
        <v>371</v>
      </c>
      <c r="P179" t="s">
        <v>35</v>
      </c>
      <c r="Q179" t="s">
        <v>35</v>
      </c>
      <c r="R179" t="s">
        <v>35</v>
      </c>
      <c r="S179" t="s">
        <v>35</v>
      </c>
      <c r="V179" t="s">
        <v>81</v>
      </c>
      <c r="W179" t="s">
        <v>54</v>
      </c>
      <c r="Z179" t="s">
        <v>37</v>
      </c>
    </row>
    <row r="180" spans="1:26" x14ac:dyDescent="0.25">
      <c r="A180" s="7" t="str">
        <f>VLOOKUP(F180,'Contas Orç'!A:B,2,0)</f>
        <v>DESPESAS GERAIS</v>
      </c>
      <c r="B180" s="7" t="str">
        <f>VLOOKUP(C180,Base_20.12!E:E,1,0)</f>
        <v>0000000046</v>
      </c>
      <c r="C180" t="s">
        <v>366</v>
      </c>
      <c r="D180" t="s">
        <v>50</v>
      </c>
      <c r="E180" s="8">
        <v>44883</v>
      </c>
      <c r="F180" t="s">
        <v>160</v>
      </c>
      <c r="G180" t="s">
        <v>81</v>
      </c>
      <c r="H180" t="s">
        <v>54</v>
      </c>
      <c r="I180" t="s">
        <v>29</v>
      </c>
      <c r="J180" t="s">
        <v>30</v>
      </c>
      <c r="K180" t="s">
        <v>372</v>
      </c>
      <c r="M180" t="s">
        <v>56</v>
      </c>
      <c r="N180" t="s">
        <v>71</v>
      </c>
      <c r="O180" t="s">
        <v>373</v>
      </c>
      <c r="P180" t="s">
        <v>35</v>
      </c>
      <c r="Q180" t="s">
        <v>35</v>
      </c>
      <c r="R180" t="s">
        <v>35</v>
      </c>
      <c r="S180" t="s">
        <v>35</v>
      </c>
      <c r="V180" t="s">
        <v>81</v>
      </c>
      <c r="W180" t="s">
        <v>54</v>
      </c>
      <c r="Z180" t="s">
        <v>37</v>
      </c>
    </row>
    <row r="181" spans="1:26" x14ac:dyDescent="0.25">
      <c r="A181" s="7" t="str">
        <f>VLOOKUP(F181,'Contas Orç'!A:B,2,0)</f>
        <v>DESPESAS GERAIS</v>
      </c>
      <c r="B181" s="7" t="str">
        <f>VLOOKUP(C181,Base_20.12!E:E,1,0)</f>
        <v>0000000047</v>
      </c>
      <c r="C181" t="s">
        <v>374</v>
      </c>
      <c r="D181" t="s">
        <v>25</v>
      </c>
      <c r="E181" s="8">
        <v>44883</v>
      </c>
      <c r="F181" t="s">
        <v>160</v>
      </c>
      <c r="G181" t="s">
        <v>81</v>
      </c>
      <c r="H181" t="s">
        <v>54</v>
      </c>
      <c r="I181" t="s">
        <v>29</v>
      </c>
      <c r="J181" t="s">
        <v>30</v>
      </c>
      <c r="K181" t="s">
        <v>375</v>
      </c>
      <c r="M181" t="s">
        <v>56</v>
      </c>
      <c r="N181" t="s">
        <v>71</v>
      </c>
      <c r="O181" t="s">
        <v>376</v>
      </c>
      <c r="P181" t="s">
        <v>35</v>
      </c>
      <c r="Q181" t="s">
        <v>35</v>
      </c>
      <c r="R181" t="s">
        <v>35</v>
      </c>
      <c r="S181" t="s">
        <v>35</v>
      </c>
      <c r="V181" t="s">
        <v>81</v>
      </c>
      <c r="W181" t="s">
        <v>54</v>
      </c>
      <c r="Z181" t="s">
        <v>37</v>
      </c>
    </row>
    <row r="182" spans="1:26" x14ac:dyDescent="0.25">
      <c r="A182" s="7" t="str">
        <f>VLOOKUP(F182,'Contas Orç'!A:B,2,0)</f>
        <v>DESPESAS GERAIS</v>
      </c>
      <c r="B182" s="7" t="str">
        <f>VLOOKUP(C182,Base_20.12!E:E,1,0)</f>
        <v>0000000047</v>
      </c>
      <c r="C182" t="s">
        <v>374</v>
      </c>
      <c r="D182" t="s">
        <v>38</v>
      </c>
      <c r="E182" s="8">
        <v>44883</v>
      </c>
      <c r="F182" t="s">
        <v>160</v>
      </c>
      <c r="G182" t="s">
        <v>81</v>
      </c>
      <c r="H182" t="s">
        <v>54</v>
      </c>
      <c r="I182" t="s">
        <v>29</v>
      </c>
      <c r="J182" t="s">
        <v>30</v>
      </c>
      <c r="K182" t="s">
        <v>377</v>
      </c>
      <c r="M182" t="s">
        <v>56</v>
      </c>
      <c r="N182" t="s">
        <v>71</v>
      </c>
      <c r="O182" t="s">
        <v>378</v>
      </c>
      <c r="P182" t="s">
        <v>35</v>
      </c>
      <c r="Q182" t="s">
        <v>35</v>
      </c>
      <c r="R182" t="s">
        <v>35</v>
      </c>
      <c r="S182" t="s">
        <v>35</v>
      </c>
      <c r="V182" t="s">
        <v>81</v>
      </c>
      <c r="W182" t="s">
        <v>54</v>
      </c>
      <c r="Z182" t="s">
        <v>37</v>
      </c>
    </row>
    <row r="183" spans="1:26" x14ac:dyDescent="0.25">
      <c r="A183" s="7" t="str">
        <f>VLOOKUP(F183,'Contas Orç'!A:B,2,0)</f>
        <v>OUTROS GASTOS COM PESSOAL</v>
      </c>
      <c r="B183" s="7" t="str">
        <f>VLOOKUP(C183,Base_20.12!E:E,1,0)</f>
        <v>0000000048</v>
      </c>
      <c r="C183" t="s">
        <v>379</v>
      </c>
      <c r="D183" t="s">
        <v>25</v>
      </c>
      <c r="E183" s="8">
        <v>44883</v>
      </c>
      <c r="F183" t="s">
        <v>380</v>
      </c>
      <c r="G183" t="s">
        <v>81</v>
      </c>
      <c r="H183" t="s">
        <v>54</v>
      </c>
      <c r="I183" t="s">
        <v>29</v>
      </c>
      <c r="J183" t="s">
        <v>30</v>
      </c>
      <c r="K183" t="s">
        <v>381</v>
      </c>
      <c r="M183" t="s">
        <v>56</v>
      </c>
      <c r="N183" t="s">
        <v>71</v>
      </c>
      <c r="O183" t="s">
        <v>174</v>
      </c>
      <c r="P183" t="s">
        <v>35</v>
      </c>
      <c r="Q183" t="s">
        <v>35</v>
      </c>
      <c r="R183" t="s">
        <v>35</v>
      </c>
      <c r="S183" t="s">
        <v>35</v>
      </c>
      <c r="V183" t="s">
        <v>81</v>
      </c>
      <c r="W183" t="s">
        <v>54</v>
      </c>
      <c r="Z183" t="s">
        <v>37</v>
      </c>
    </row>
    <row r="184" spans="1:26" x14ac:dyDescent="0.25">
      <c r="A184" s="7" t="str">
        <f>VLOOKUP(F184,'Contas Orç'!A:B,2,0)</f>
        <v>PECAS E ACESSORIOS</v>
      </c>
      <c r="B184" s="7" t="str">
        <f>VLOOKUP(C184,Base_20.12!E:E,1,0)</f>
        <v>0000000049</v>
      </c>
      <c r="C184" t="s">
        <v>382</v>
      </c>
      <c r="D184" t="s">
        <v>25</v>
      </c>
      <c r="E184" s="8">
        <v>44883</v>
      </c>
      <c r="F184" t="s">
        <v>39</v>
      </c>
      <c r="G184" t="s">
        <v>81</v>
      </c>
      <c r="H184" t="s">
        <v>54</v>
      </c>
      <c r="I184" t="s">
        <v>29</v>
      </c>
      <c r="J184" t="s">
        <v>30</v>
      </c>
      <c r="K184" t="s">
        <v>383</v>
      </c>
      <c r="M184" t="s">
        <v>56</v>
      </c>
      <c r="N184" t="s">
        <v>71</v>
      </c>
      <c r="O184" t="s">
        <v>384</v>
      </c>
      <c r="P184" t="s">
        <v>35</v>
      </c>
      <c r="Q184" t="s">
        <v>35</v>
      </c>
      <c r="R184" t="s">
        <v>35</v>
      </c>
      <c r="S184" t="s">
        <v>35</v>
      </c>
      <c r="V184" t="s">
        <v>81</v>
      </c>
      <c r="W184" t="s">
        <v>54</v>
      </c>
      <c r="Z184" t="s">
        <v>37</v>
      </c>
    </row>
    <row r="185" spans="1:26" x14ac:dyDescent="0.25">
      <c r="A185" s="7" t="str">
        <f>VLOOKUP(F185,'Contas Orç'!A:B,2,0)</f>
        <v>OUTROS GASTOS COM PESSOAL</v>
      </c>
      <c r="B185" s="7" t="str">
        <f>VLOOKUP(C185,Base_20.12!E:E,1,0)</f>
        <v>0000000050</v>
      </c>
      <c r="C185" t="s">
        <v>385</v>
      </c>
      <c r="D185" t="s">
        <v>25</v>
      </c>
      <c r="E185" s="8">
        <v>44883</v>
      </c>
      <c r="F185" t="s">
        <v>380</v>
      </c>
      <c r="G185" t="s">
        <v>81</v>
      </c>
      <c r="H185" t="s">
        <v>54</v>
      </c>
      <c r="I185" t="s">
        <v>29</v>
      </c>
      <c r="J185" t="s">
        <v>30</v>
      </c>
      <c r="K185" t="s">
        <v>386</v>
      </c>
      <c r="M185" t="s">
        <v>56</v>
      </c>
      <c r="N185" t="s">
        <v>71</v>
      </c>
      <c r="O185" t="s">
        <v>387</v>
      </c>
      <c r="P185" t="s">
        <v>35</v>
      </c>
      <c r="Q185" t="s">
        <v>35</v>
      </c>
      <c r="R185" t="s">
        <v>35</v>
      </c>
      <c r="S185" t="s">
        <v>35</v>
      </c>
      <c r="V185" t="s">
        <v>81</v>
      </c>
      <c r="W185" t="s">
        <v>54</v>
      </c>
      <c r="Z185" t="s">
        <v>37</v>
      </c>
    </row>
    <row r="186" spans="1:26" x14ac:dyDescent="0.25">
      <c r="A186" s="7" t="str">
        <f>VLOOKUP(F186,'Contas Orç'!A:B,2,0)</f>
        <v>OUTROS GASTOS COM PESSOAL</v>
      </c>
      <c r="B186" s="7" t="str">
        <f>VLOOKUP(C186,Base_20.12!E:E,1,0)</f>
        <v>0000000050</v>
      </c>
      <c r="C186" t="s">
        <v>385</v>
      </c>
      <c r="D186" t="s">
        <v>38</v>
      </c>
      <c r="E186" s="8">
        <v>44883</v>
      </c>
      <c r="F186" t="s">
        <v>380</v>
      </c>
      <c r="G186" t="s">
        <v>81</v>
      </c>
      <c r="H186" t="s">
        <v>54</v>
      </c>
      <c r="I186" t="s">
        <v>29</v>
      </c>
      <c r="J186" t="s">
        <v>30</v>
      </c>
      <c r="K186" t="s">
        <v>388</v>
      </c>
      <c r="M186" t="s">
        <v>56</v>
      </c>
      <c r="N186" t="s">
        <v>71</v>
      </c>
      <c r="O186" t="s">
        <v>389</v>
      </c>
      <c r="P186" t="s">
        <v>35</v>
      </c>
      <c r="Q186" t="s">
        <v>35</v>
      </c>
      <c r="R186" t="s">
        <v>35</v>
      </c>
      <c r="S186" t="s">
        <v>35</v>
      </c>
      <c r="V186" t="s">
        <v>81</v>
      </c>
      <c r="W186" t="s">
        <v>54</v>
      </c>
      <c r="Z186" t="s">
        <v>37</v>
      </c>
    </row>
    <row r="187" spans="1:26" x14ac:dyDescent="0.25">
      <c r="A187" s="7" t="str">
        <f>VLOOKUP(F187,'Contas Orç'!A:B,2,0)</f>
        <v>PECAS E ACESSORIOS</v>
      </c>
      <c r="B187" s="7" t="str">
        <f>VLOOKUP(C187,Base_20.12!E:E,1,0)</f>
        <v>0000000051</v>
      </c>
      <c r="C187" t="s">
        <v>390</v>
      </c>
      <c r="D187" t="s">
        <v>25</v>
      </c>
      <c r="E187" s="8">
        <v>44883</v>
      </c>
      <c r="F187" t="s">
        <v>39</v>
      </c>
      <c r="G187" t="s">
        <v>81</v>
      </c>
      <c r="H187" t="s">
        <v>54</v>
      </c>
      <c r="I187" t="s">
        <v>29</v>
      </c>
      <c r="J187" t="s">
        <v>30</v>
      </c>
      <c r="K187" t="s">
        <v>391</v>
      </c>
      <c r="M187" t="s">
        <v>56</v>
      </c>
      <c r="N187" t="s">
        <v>71</v>
      </c>
      <c r="O187" t="s">
        <v>392</v>
      </c>
      <c r="P187" t="s">
        <v>35</v>
      </c>
      <c r="Q187" t="s">
        <v>35</v>
      </c>
      <c r="R187" t="s">
        <v>35</v>
      </c>
      <c r="S187" t="s">
        <v>35</v>
      </c>
      <c r="V187" t="s">
        <v>81</v>
      </c>
      <c r="W187" t="s">
        <v>54</v>
      </c>
      <c r="Z187" t="s">
        <v>37</v>
      </c>
    </row>
    <row r="188" spans="1:26" x14ac:dyDescent="0.25">
      <c r="A188" s="7" t="str">
        <f>VLOOKUP(F188,'Contas Orç'!A:B,2,0)</f>
        <v>PECAS E ACESSORIOS</v>
      </c>
      <c r="B188" s="7" t="str">
        <f>VLOOKUP(C188,Base_20.12!E:E,1,0)</f>
        <v>0000000052</v>
      </c>
      <c r="C188" t="s">
        <v>393</v>
      </c>
      <c r="D188" t="s">
        <v>25</v>
      </c>
      <c r="E188" s="8">
        <v>44883</v>
      </c>
      <c r="F188" t="s">
        <v>39</v>
      </c>
      <c r="G188" t="s">
        <v>81</v>
      </c>
      <c r="H188" t="s">
        <v>54</v>
      </c>
      <c r="I188" t="s">
        <v>29</v>
      </c>
      <c r="J188" t="s">
        <v>30</v>
      </c>
      <c r="K188" t="s">
        <v>394</v>
      </c>
      <c r="M188" t="s">
        <v>56</v>
      </c>
      <c r="N188" t="s">
        <v>71</v>
      </c>
      <c r="O188" t="s">
        <v>395</v>
      </c>
      <c r="P188" t="s">
        <v>35</v>
      </c>
      <c r="Q188" t="s">
        <v>35</v>
      </c>
      <c r="R188" t="s">
        <v>35</v>
      </c>
      <c r="S188" t="s">
        <v>35</v>
      </c>
      <c r="V188" t="s">
        <v>81</v>
      </c>
      <c r="W188" t="s">
        <v>54</v>
      </c>
      <c r="Z188" t="s">
        <v>37</v>
      </c>
    </row>
    <row r="189" spans="1:26" x14ac:dyDescent="0.25">
      <c r="A189" s="7" t="str">
        <f>VLOOKUP(F189,'Contas Orç'!A:B,2,0)</f>
        <v>PJ-OUTROS SERVICOS CONTRATADOS-PJ</v>
      </c>
      <c r="B189" s="7" t="str">
        <f>VLOOKUP(C189,Base_20.12!E:E,1,0)</f>
        <v>0000000053</v>
      </c>
      <c r="C189" t="s">
        <v>396</v>
      </c>
      <c r="D189" t="s">
        <v>25</v>
      </c>
      <c r="E189" s="8">
        <v>44883</v>
      </c>
      <c r="F189" t="s">
        <v>67</v>
      </c>
      <c r="G189" t="s">
        <v>68</v>
      </c>
      <c r="H189" t="s">
        <v>69</v>
      </c>
      <c r="I189" t="s">
        <v>29</v>
      </c>
      <c r="J189" t="s">
        <v>30</v>
      </c>
      <c r="K189" t="s">
        <v>397</v>
      </c>
      <c r="M189" t="s">
        <v>56</v>
      </c>
      <c r="N189" t="s">
        <v>71</v>
      </c>
      <c r="O189" t="s">
        <v>398</v>
      </c>
      <c r="P189" t="s">
        <v>35</v>
      </c>
      <c r="Q189" t="s">
        <v>35</v>
      </c>
      <c r="R189" t="s">
        <v>35</v>
      </c>
      <c r="S189" t="s">
        <v>35</v>
      </c>
      <c r="V189" t="s">
        <v>68</v>
      </c>
      <c r="W189" t="s">
        <v>69</v>
      </c>
      <c r="Z189" t="s">
        <v>37</v>
      </c>
    </row>
    <row r="190" spans="1:26" x14ac:dyDescent="0.25">
      <c r="A190" s="7" t="str">
        <f>VLOOKUP(F190,'Contas Orç'!A:B,2,0)</f>
        <v>PECAS E ACESSORIOS</v>
      </c>
      <c r="B190" s="7" t="str">
        <f>VLOOKUP(C190,Base_20.12!E:E,1,0)</f>
        <v>0000000054</v>
      </c>
      <c r="C190" t="s">
        <v>399</v>
      </c>
      <c r="D190" t="s">
        <v>25</v>
      </c>
      <c r="E190" s="8">
        <v>44883</v>
      </c>
      <c r="F190" t="s">
        <v>39</v>
      </c>
      <c r="G190" t="s">
        <v>81</v>
      </c>
      <c r="H190" t="s">
        <v>54</v>
      </c>
      <c r="I190" t="s">
        <v>29</v>
      </c>
      <c r="J190" t="s">
        <v>30</v>
      </c>
      <c r="K190" t="s">
        <v>400</v>
      </c>
      <c r="M190" t="s">
        <v>56</v>
      </c>
      <c r="N190" t="s">
        <v>71</v>
      </c>
      <c r="O190" t="s">
        <v>401</v>
      </c>
      <c r="P190" t="s">
        <v>35</v>
      </c>
      <c r="Q190" t="s">
        <v>35</v>
      </c>
      <c r="R190" t="s">
        <v>35</v>
      </c>
      <c r="S190" t="s">
        <v>35</v>
      </c>
      <c r="V190" t="s">
        <v>81</v>
      </c>
      <c r="W190" t="s">
        <v>54</v>
      </c>
      <c r="Z190" t="s">
        <v>37</v>
      </c>
    </row>
    <row r="191" spans="1:26" x14ac:dyDescent="0.25">
      <c r="A191" s="7" t="str">
        <f>VLOOKUP(F191,'Contas Orç'!A:B,2,0)</f>
        <v>PECAS E ACESSORIOS</v>
      </c>
      <c r="B191" s="7" t="str">
        <f>VLOOKUP(C191,Base_20.12!E:E,1,0)</f>
        <v>0000000054</v>
      </c>
      <c r="C191" t="s">
        <v>399</v>
      </c>
      <c r="D191" t="s">
        <v>38</v>
      </c>
      <c r="E191" s="8">
        <v>44883</v>
      </c>
      <c r="F191" t="s">
        <v>39</v>
      </c>
      <c r="G191" t="s">
        <v>81</v>
      </c>
      <c r="H191" t="s">
        <v>54</v>
      </c>
      <c r="I191" t="s">
        <v>29</v>
      </c>
      <c r="J191" t="s">
        <v>30</v>
      </c>
      <c r="K191" t="s">
        <v>402</v>
      </c>
      <c r="M191" t="s">
        <v>56</v>
      </c>
      <c r="N191" t="s">
        <v>71</v>
      </c>
      <c r="O191" t="s">
        <v>403</v>
      </c>
      <c r="P191" t="s">
        <v>35</v>
      </c>
      <c r="Q191" t="s">
        <v>35</v>
      </c>
      <c r="R191" t="s">
        <v>35</v>
      </c>
      <c r="S191" t="s">
        <v>35</v>
      </c>
      <c r="V191" t="s">
        <v>81</v>
      </c>
      <c r="W191" t="s">
        <v>54</v>
      </c>
      <c r="Z191" t="s">
        <v>37</v>
      </c>
    </row>
    <row r="192" spans="1:26" x14ac:dyDescent="0.25">
      <c r="A192" s="7" t="str">
        <f>VLOOKUP(F192,'Contas Orç'!A:B,2,0)</f>
        <v>PJ-OUTROS SERVICOS CONTRATADOS-PJ</v>
      </c>
      <c r="B192" s="7" t="str">
        <f>VLOOKUP(C192,Base_20.12!E:E,1,0)</f>
        <v>0000000054</v>
      </c>
      <c r="C192" t="s">
        <v>399</v>
      </c>
      <c r="D192" t="s">
        <v>48</v>
      </c>
      <c r="E192" s="8">
        <v>44883</v>
      </c>
      <c r="F192" t="s">
        <v>67</v>
      </c>
      <c r="G192" t="s">
        <v>81</v>
      </c>
      <c r="H192" t="s">
        <v>54</v>
      </c>
      <c r="I192" t="s">
        <v>29</v>
      </c>
      <c r="J192" t="s">
        <v>30</v>
      </c>
      <c r="K192" t="s">
        <v>404</v>
      </c>
      <c r="M192" t="s">
        <v>56</v>
      </c>
      <c r="N192" t="s">
        <v>71</v>
      </c>
      <c r="O192" t="s">
        <v>222</v>
      </c>
      <c r="P192" t="s">
        <v>35</v>
      </c>
      <c r="Q192" t="s">
        <v>35</v>
      </c>
      <c r="R192" t="s">
        <v>35</v>
      </c>
      <c r="S192" t="s">
        <v>35</v>
      </c>
      <c r="V192" t="s">
        <v>81</v>
      </c>
      <c r="W192" t="s">
        <v>54</v>
      </c>
      <c r="Z192" t="s">
        <v>37</v>
      </c>
    </row>
    <row r="193" spans="1:26" x14ac:dyDescent="0.25">
      <c r="A193" s="7" t="str">
        <f>VLOOKUP(F193,'Contas Orç'!A:B,2,0)</f>
        <v>DESPESAS GERAIS</v>
      </c>
      <c r="B193" s="7" t="str">
        <f>VLOOKUP(C193,Base_20.12!E:E,1,0)</f>
        <v>0000000055</v>
      </c>
      <c r="C193" t="s">
        <v>405</v>
      </c>
      <c r="D193" t="s">
        <v>25</v>
      </c>
      <c r="E193" s="8">
        <v>44883</v>
      </c>
      <c r="F193" t="s">
        <v>160</v>
      </c>
      <c r="G193" t="s">
        <v>81</v>
      </c>
      <c r="H193" t="s">
        <v>54</v>
      </c>
      <c r="I193" t="s">
        <v>29</v>
      </c>
      <c r="J193" t="s">
        <v>30</v>
      </c>
      <c r="K193" t="s">
        <v>406</v>
      </c>
      <c r="M193" t="s">
        <v>56</v>
      </c>
      <c r="N193" t="s">
        <v>71</v>
      </c>
      <c r="O193" t="s">
        <v>407</v>
      </c>
      <c r="P193" t="s">
        <v>35</v>
      </c>
      <c r="Q193" t="s">
        <v>35</v>
      </c>
      <c r="R193" t="s">
        <v>35</v>
      </c>
      <c r="S193" t="s">
        <v>35</v>
      </c>
      <c r="V193" t="s">
        <v>81</v>
      </c>
      <c r="W193" t="s">
        <v>54</v>
      </c>
      <c r="Z193" t="s">
        <v>37</v>
      </c>
    </row>
    <row r="194" spans="1:26" x14ac:dyDescent="0.25">
      <c r="A194" s="7" t="str">
        <f>VLOOKUP(F194,'Contas Orç'!A:B,2,0)</f>
        <v>DESPESAS GERAIS</v>
      </c>
      <c r="B194" s="7" t="str">
        <f>VLOOKUP(C194,Base_20.12!E:E,1,0)</f>
        <v>0000000055</v>
      </c>
      <c r="C194" t="s">
        <v>405</v>
      </c>
      <c r="D194" t="s">
        <v>38</v>
      </c>
      <c r="E194" s="8">
        <v>44883</v>
      </c>
      <c r="F194" t="s">
        <v>160</v>
      </c>
      <c r="G194" t="s">
        <v>81</v>
      </c>
      <c r="H194" t="s">
        <v>54</v>
      </c>
      <c r="I194" t="s">
        <v>29</v>
      </c>
      <c r="J194" t="s">
        <v>30</v>
      </c>
      <c r="K194" t="s">
        <v>408</v>
      </c>
      <c r="M194" t="s">
        <v>56</v>
      </c>
      <c r="N194" t="s">
        <v>71</v>
      </c>
      <c r="O194" t="s">
        <v>195</v>
      </c>
      <c r="P194" t="s">
        <v>35</v>
      </c>
      <c r="Q194" t="s">
        <v>35</v>
      </c>
      <c r="R194" t="s">
        <v>35</v>
      </c>
      <c r="S194" t="s">
        <v>35</v>
      </c>
      <c r="V194" t="s">
        <v>81</v>
      </c>
      <c r="W194" t="s">
        <v>54</v>
      </c>
      <c r="Z194" t="s">
        <v>37</v>
      </c>
    </row>
    <row r="195" spans="1:26" x14ac:dyDescent="0.25">
      <c r="A195" s="7" t="str">
        <f>VLOOKUP(F195,'Contas Orç'!A:B,2,0)</f>
        <v>DESPESAS GERAIS</v>
      </c>
      <c r="B195" s="7" t="str">
        <f>VLOOKUP(C195,Base_20.12!E:E,1,0)</f>
        <v>0000000055</v>
      </c>
      <c r="C195" t="s">
        <v>405</v>
      </c>
      <c r="D195" t="s">
        <v>48</v>
      </c>
      <c r="E195" s="8">
        <v>44883</v>
      </c>
      <c r="F195" t="s">
        <v>160</v>
      </c>
      <c r="G195" t="s">
        <v>81</v>
      </c>
      <c r="H195" t="s">
        <v>54</v>
      </c>
      <c r="I195" t="s">
        <v>29</v>
      </c>
      <c r="J195" t="s">
        <v>30</v>
      </c>
      <c r="K195" t="s">
        <v>409</v>
      </c>
      <c r="M195" t="s">
        <v>56</v>
      </c>
      <c r="N195" t="s">
        <v>71</v>
      </c>
      <c r="O195" t="s">
        <v>410</v>
      </c>
      <c r="P195" t="s">
        <v>35</v>
      </c>
      <c r="Q195" t="s">
        <v>35</v>
      </c>
      <c r="R195" t="s">
        <v>35</v>
      </c>
      <c r="S195" t="s">
        <v>35</v>
      </c>
      <c r="V195" t="s">
        <v>81</v>
      </c>
      <c r="W195" t="s">
        <v>54</v>
      </c>
      <c r="Z195" t="s">
        <v>37</v>
      </c>
    </row>
    <row r="196" spans="1:26" x14ac:dyDescent="0.25">
      <c r="A196" s="7" t="str">
        <f>VLOOKUP(F196,'Contas Orç'!A:B,2,0)</f>
        <v>DESPESAS GERAIS</v>
      </c>
      <c r="B196" s="7" t="str">
        <f>VLOOKUP(C196,Base_20.12!E:E,1,0)</f>
        <v>0000000056</v>
      </c>
      <c r="C196" t="s">
        <v>411</v>
      </c>
      <c r="D196" t="s">
        <v>25</v>
      </c>
      <c r="E196" s="8">
        <v>44883</v>
      </c>
      <c r="F196" t="s">
        <v>160</v>
      </c>
      <c r="G196" t="s">
        <v>81</v>
      </c>
      <c r="H196" t="s">
        <v>54</v>
      </c>
      <c r="I196" t="s">
        <v>29</v>
      </c>
      <c r="J196" t="s">
        <v>30</v>
      </c>
      <c r="K196" t="s">
        <v>412</v>
      </c>
      <c r="M196" t="s">
        <v>56</v>
      </c>
      <c r="N196" t="s">
        <v>71</v>
      </c>
      <c r="O196" t="s">
        <v>413</v>
      </c>
      <c r="P196" t="s">
        <v>35</v>
      </c>
      <c r="Q196" t="s">
        <v>35</v>
      </c>
      <c r="R196" t="s">
        <v>35</v>
      </c>
      <c r="S196" t="s">
        <v>35</v>
      </c>
      <c r="V196" t="s">
        <v>81</v>
      </c>
      <c r="W196" t="s">
        <v>54</v>
      </c>
      <c r="Z196" t="s">
        <v>37</v>
      </c>
    </row>
    <row r="197" spans="1:26" x14ac:dyDescent="0.25">
      <c r="A197" s="7" t="str">
        <f>VLOOKUP(F197,'Contas Orç'!A:B,2,0)</f>
        <v>DESPESAS GERAIS</v>
      </c>
      <c r="B197" s="7" t="str">
        <f>VLOOKUP(C197,Base_20.12!E:E,1,0)</f>
        <v>0000000056</v>
      </c>
      <c r="C197" t="s">
        <v>411</v>
      </c>
      <c r="D197" t="s">
        <v>38</v>
      </c>
      <c r="E197" s="8">
        <v>44883</v>
      </c>
      <c r="F197" t="s">
        <v>160</v>
      </c>
      <c r="G197" t="s">
        <v>81</v>
      </c>
      <c r="H197" t="s">
        <v>54</v>
      </c>
      <c r="I197" t="s">
        <v>29</v>
      </c>
      <c r="J197" t="s">
        <v>30</v>
      </c>
      <c r="K197" t="s">
        <v>414</v>
      </c>
      <c r="M197" t="s">
        <v>56</v>
      </c>
      <c r="N197" t="s">
        <v>71</v>
      </c>
      <c r="O197" t="s">
        <v>197</v>
      </c>
      <c r="P197" t="s">
        <v>35</v>
      </c>
      <c r="Q197" t="s">
        <v>35</v>
      </c>
      <c r="R197" t="s">
        <v>35</v>
      </c>
      <c r="S197" t="s">
        <v>35</v>
      </c>
      <c r="V197" t="s">
        <v>81</v>
      </c>
      <c r="W197" t="s">
        <v>54</v>
      </c>
      <c r="Z197" t="s">
        <v>37</v>
      </c>
    </row>
    <row r="198" spans="1:26" x14ac:dyDescent="0.25">
      <c r="A198" s="7" t="str">
        <f>VLOOKUP(F198,'Contas Orç'!A:B,2,0)</f>
        <v>DESPESAS GERAIS</v>
      </c>
      <c r="B198" s="7" t="str">
        <f>VLOOKUP(C198,Base_20.12!E:E,1,0)</f>
        <v>0000000057</v>
      </c>
      <c r="C198" t="s">
        <v>415</v>
      </c>
      <c r="D198" t="s">
        <v>25</v>
      </c>
      <c r="E198" s="8">
        <v>44883</v>
      </c>
      <c r="F198" t="s">
        <v>160</v>
      </c>
      <c r="G198" t="s">
        <v>81</v>
      </c>
      <c r="H198" t="s">
        <v>54</v>
      </c>
      <c r="I198" t="s">
        <v>29</v>
      </c>
      <c r="J198" t="s">
        <v>30</v>
      </c>
      <c r="K198" t="s">
        <v>416</v>
      </c>
      <c r="M198" t="s">
        <v>56</v>
      </c>
      <c r="N198" t="s">
        <v>71</v>
      </c>
      <c r="O198" t="s">
        <v>417</v>
      </c>
      <c r="P198" t="s">
        <v>35</v>
      </c>
      <c r="Q198" t="s">
        <v>35</v>
      </c>
      <c r="R198" t="s">
        <v>35</v>
      </c>
      <c r="S198" t="s">
        <v>35</v>
      </c>
      <c r="V198" t="s">
        <v>81</v>
      </c>
      <c r="W198" t="s">
        <v>54</v>
      </c>
      <c r="Z198" t="s">
        <v>37</v>
      </c>
    </row>
    <row r="199" spans="1:26" x14ac:dyDescent="0.25">
      <c r="A199" s="7" t="str">
        <f>VLOOKUP(F199,'Contas Orç'!A:B,2,0)</f>
        <v>DESPESAS GERAIS</v>
      </c>
      <c r="B199" s="7" t="str">
        <f>VLOOKUP(C199,Base_20.12!E:E,1,0)</f>
        <v>0000000058</v>
      </c>
      <c r="C199" t="s">
        <v>418</v>
      </c>
      <c r="D199" t="s">
        <v>25</v>
      </c>
      <c r="E199" s="8">
        <v>44883</v>
      </c>
      <c r="F199" t="s">
        <v>160</v>
      </c>
      <c r="G199" t="s">
        <v>81</v>
      </c>
      <c r="H199" t="s">
        <v>54</v>
      </c>
      <c r="I199" t="s">
        <v>29</v>
      </c>
      <c r="J199" t="s">
        <v>30</v>
      </c>
      <c r="K199" t="s">
        <v>419</v>
      </c>
      <c r="M199" t="s">
        <v>56</v>
      </c>
      <c r="N199" t="s">
        <v>71</v>
      </c>
      <c r="O199" t="s">
        <v>420</v>
      </c>
      <c r="P199" t="s">
        <v>35</v>
      </c>
      <c r="Q199" t="s">
        <v>35</v>
      </c>
      <c r="R199" t="s">
        <v>35</v>
      </c>
      <c r="S199" t="s">
        <v>35</v>
      </c>
      <c r="V199" t="s">
        <v>81</v>
      </c>
      <c r="W199" t="s">
        <v>54</v>
      </c>
      <c r="Z199" t="s">
        <v>37</v>
      </c>
    </row>
    <row r="200" spans="1:26" x14ac:dyDescent="0.25">
      <c r="A200" s="7" t="str">
        <f>VLOOKUP(F200,'Contas Orç'!A:B,2,0)</f>
        <v>DESPESAS GERAIS</v>
      </c>
      <c r="B200" s="7" t="str">
        <f>VLOOKUP(C200,Base_20.12!E:E,1,0)</f>
        <v>0000000059</v>
      </c>
      <c r="C200" t="s">
        <v>421</v>
      </c>
      <c r="D200" t="s">
        <v>25</v>
      </c>
      <c r="E200" s="8">
        <v>44883</v>
      </c>
      <c r="F200" t="s">
        <v>160</v>
      </c>
      <c r="G200" t="s">
        <v>81</v>
      </c>
      <c r="H200" t="s">
        <v>54</v>
      </c>
      <c r="I200" t="s">
        <v>29</v>
      </c>
      <c r="J200" t="s">
        <v>30</v>
      </c>
      <c r="K200" t="s">
        <v>422</v>
      </c>
      <c r="M200" t="s">
        <v>56</v>
      </c>
      <c r="N200" t="s">
        <v>71</v>
      </c>
      <c r="O200" t="s">
        <v>176</v>
      </c>
      <c r="P200" t="s">
        <v>35</v>
      </c>
      <c r="Q200" t="s">
        <v>35</v>
      </c>
      <c r="R200" t="s">
        <v>35</v>
      </c>
      <c r="S200" t="s">
        <v>35</v>
      </c>
      <c r="V200" t="s">
        <v>81</v>
      </c>
      <c r="W200" t="s">
        <v>54</v>
      </c>
      <c r="Z200" t="s">
        <v>37</v>
      </c>
    </row>
    <row r="201" spans="1:26" x14ac:dyDescent="0.25">
      <c r="A201" s="7" t="str">
        <f>VLOOKUP(F201,'Contas Orç'!A:B,2,0)</f>
        <v>DESPESAS GERAIS</v>
      </c>
      <c r="B201" s="7" t="str">
        <f>VLOOKUP(C201,Base_20.12!E:E,1,0)</f>
        <v>0000000059</v>
      </c>
      <c r="C201" t="s">
        <v>421</v>
      </c>
      <c r="D201" t="s">
        <v>38</v>
      </c>
      <c r="E201" s="8">
        <v>44883</v>
      </c>
      <c r="F201" t="s">
        <v>160</v>
      </c>
      <c r="G201" t="s">
        <v>81</v>
      </c>
      <c r="H201" t="s">
        <v>54</v>
      </c>
      <c r="I201" t="s">
        <v>29</v>
      </c>
      <c r="J201" t="s">
        <v>30</v>
      </c>
      <c r="K201" t="s">
        <v>423</v>
      </c>
      <c r="M201" t="s">
        <v>56</v>
      </c>
      <c r="N201" t="s">
        <v>71</v>
      </c>
      <c r="O201" t="s">
        <v>176</v>
      </c>
      <c r="P201" t="s">
        <v>35</v>
      </c>
      <c r="Q201" t="s">
        <v>35</v>
      </c>
      <c r="R201" t="s">
        <v>35</v>
      </c>
      <c r="S201" t="s">
        <v>35</v>
      </c>
      <c r="V201" t="s">
        <v>81</v>
      </c>
      <c r="W201" t="s">
        <v>54</v>
      </c>
      <c r="Z201" t="s">
        <v>37</v>
      </c>
    </row>
    <row r="202" spans="1:26" x14ac:dyDescent="0.25">
      <c r="A202" s="7" t="str">
        <f>VLOOKUP(F202,'Contas Orç'!A:B,2,0)</f>
        <v>DESPESAS GERAIS</v>
      </c>
      <c r="B202" s="7" t="str">
        <f>VLOOKUP(C202,Base_20.12!E:E,1,0)</f>
        <v>0000000059</v>
      </c>
      <c r="C202" t="s">
        <v>421</v>
      </c>
      <c r="D202" t="s">
        <v>48</v>
      </c>
      <c r="E202" s="8">
        <v>44883</v>
      </c>
      <c r="F202" t="s">
        <v>160</v>
      </c>
      <c r="G202" t="s">
        <v>81</v>
      </c>
      <c r="H202" t="s">
        <v>54</v>
      </c>
      <c r="I202" t="s">
        <v>29</v>
      </c>
      <c r="J202" t="s">
        <v>30</v>
      </c>
      <c r="K202" t="s">
        <v>424</v>
      </c>
      <c r="M202" t="s">
        <v>56</v>
      </c>
      <c r="N202" t="s">
        <v>71</v>
      </c>
      <c r="O202" t="s">
        <v>425</v>
      </c>
      <c r="P202" t="s">
        <v>35</v>
      </c>
      <c r="Q202" t="s">
        <v>35</v>
      </c>
      <c r="R202" t="s">
        <v>35</v>
      </c>
      <c r="S202" t="s">
        <v>35</v>
      </c>
      <c r="V202" t="s">
        <v>81</v>
      </c>
      <c r="W202" t="s">
        <v>54</v>
      </c>
      <c r="Z202" t="s">
        <v>37</v>
      </c>
    </row>
    <row r="203" spans="1:26" x14ac:dyDescent="0.25">
      <c r="A203" s="7" t="str">
        <f>VLOOKUP(F203,'Contas Orç'!A:B,2,0)</f>
        <v>DESPESAS GERAIS</v>
      </c>
      <c r="B203" s="7" t="str">
        <f>VLOOKUP(C203,Base_20.12!E:E,1,0)</f>
        <v>0000000060</v>
      </c>
      <c r="C203" t="s">
        <v>426</v>
      </c>
      <c r="D203" t="s">
        <v>25</v>
      </c>
      <c r="E203" s="8">
        <v>44883</v>
      </c>
      <c r="F203" t="s">
        <v>160</v>
      </c>
      <c r="G203" t="s">
        <v>81</v>
      </c>
      <c r="H203" t="s">
        <v>54</v>
      </c>
      <c r="I203" t="s">
        <v>29</v>
      </c>
      <c r="J203" t="s">
        <v>30</v>
      </c>
      <c r="K203" t="s">
        <v>427</v>
      </c>
      <c r="M203" t="s">
        <v>56</v>
      </c>
      <c r="N203" t="s">
        <v>71</v>
      </c>
      <c r="O203" t="s">
        <v>195</v>
      </c>
      <c r="P203" t="s">
        <v>35</v>
      </c>
      <c r="Q203" t="s">
        <v>35</v>
      </c>
      <c r="R203" t="s">
        <v>35</v>
      </c>
      <c r="S203" t="s">
        <v>35</v>
      </c>
      <c r="V203" t="s">
        <v>81</v>
      </c>
      <c r="W203" t="s">
        <v>54</v>
      </c>
      <c r="Z203" t="s">
        <v>37</v>
      </c>
    </row>
    <row r="204" spans="1:26" x14ac:dyDescent="0.25">
      <c r="A204" s="7" t="str">
        <f>VLOOKUP(F204,'Contas Orç'!A:B,2,0)</f>
        <v>DESPESAS GERAIS</v>
      </c>
      <c r="B204" s="7" t="str">
        <f>VLOOKUP(C204,Base_20.12!E:E,1,0)</f>
        <v>0000000060</v>
      </c>
      <c r="C204" t="s">
        <v>426</v>
      </c>
      <c r="D204" t="s">
        <v>38</v>
      </c>
      <c r="E204" s="8">
        <v>44883</v>
      </c>
      <c r="F204" t="s">
        <v>160</v>
      </c>
      <c r="G204" t="s">
        <v>81</v>
      </c>
      <c r="H204" t="s">
        <v>54</v>
      </c>
      <c r="I204" t="s">
        <v>29</v>
      </c>
      <c r="J204" t="s">
        <v>30</v>
      </c>
      <c r="K204" t="s">
        <v>428</v>
      </c>
      <c r="M204" t="s">
        <v>56</v>
      </c>
      <c r="N204" t="s">
        <v>71</v>
      </c>
      <c r="O204" t="s">
        <v>417</v>
      </c>
      <c r="P204" t="s">
        <v>35</v>
      </c>
      <c r="Q204" t="s">
        <v>35</v>
      </c>
      <c r="R204" t="s">
        <v>35</v>
      </c>
      <c r="S204" t="s">
        <v>35</v>
      </c>
      <c r="V204" t="s">
        <v>81</v>
      </c>
      <c r="W204" t="s">
        <v>54</v>
      </c>
      <c r="Z204" t="s">
        <v>37</v>
      </c>
    </row>
    <row r="205" spans="1:26" x14ac:dyDescent="0.25">
      <c r="A205" s="7" t="str">
        <f>VLOOKUP(F205,'Contas Orç'!A:B,2,0)</f>
        <v>DESPESAS GERAIS</v>
      </c>
      <c r="B205" s="7" t="str">
        <f>VLOOKUP(C205,Base_20.12!E:E,1,0)</f>
        <v>0000000061</v>
      </c>
      <c r="C205" t="s">
        <v>429</v>
      </c>
      <c r="D205" t="s">
        <v>25</v>
      </c>
      <c r="E205" s="8">
        <v>44883</v>
      </c>
      <c r="F205" t="s">
        <v>160</v>
      </c>
      <c r="G205" t="s">
        <v>81</v>
      </c>
      <c r="H205" t="s">
        <v>54</v>
      </c>
      <c r="I205" t="s">
        <v>29</v>
      </c>
      <c r="J205" t="s">
        <v>30</v>
      </c>
      <c r="K205" t="s">
        <v>430</v>
      </c>
      <c r="M205" t="s">
        <v>56</v>
      </c>
      <c r="N205" t="s">
        <v>71</v>
      </c>
      <c r="O205" t="s">
        <v>431</v>
      </c>
      <c r="P205" t="s">
        <v>35</v>
      </c>
      <c r="Q205" t="s">
        <v>35</v>
      </c>
      <c r="R205" t="s">
        <v>35</v>
      </c>
      <c r="S205" t="s">
        <v>35</v>
      </c>
      <c r="V205" t="s">
        <v>81</v>
      </c>
      <c r="W205" t="s">
        <v>54</v>
      </c>
      <c r="Z205" t="s">
        <v>37</v>
      </c>
    </row>
    <row r="206" spans="1:26" x14ac:dyDescent="0.25">
      <c r="A206" s="7" t="str">
        <f>VLOOKUP(F206,'Contas Orç'!A:B,2,0)</f>
        <v>DESPESAS GERAIS</v>
      </c>
      <c r="B206" s="7" t="str">
        <f>VLOOKUP(C206,Base_20.12!E:E,1,0)</f>
        <v>0000000061</v>
      </c>
      <c r="C206" t="s">
        <v>429</v>
      </c>
      <c r="D206" t="s">
        <v>38</v>
      </c>
      <c r="E206" s="8">
        <v>44883</v>
      </c>
      <c r="F206" t="s">
        <v>160</v>
      </c>
      <c r="G206" t="s">
        <v>81</v>
      </c>
      <c r="H206" t="s">
        <v>54</v>
      </c>
      <c r="I206" t="s">
        <v>29</v>
      </c>
      <c r="J206" t="s">
        <v>30</v>
      </c>
      <c r="K206" t="s">
        <v>432</v>
      </c>
      <c r="M206" t="s">
        <v>56</v>
      </c>
      <c r="N206" t="s">
        <v>71</v>
      </c>
      <c r="O206" t="s">
        <v>433</v>
      </c>
      <c r="P206" t="s">
        <v>35</v>
      </c>
      <c r="Q206" t="s">
        <v>35</v>
      </c>
      <c r="R206" t="s">
        <v>35</v>
      </c>
      <c r="S206" t="s">
        <v>35</v>
      </c>
      <c r="V206" t="s">
        <v>81</v>
      </c>
      <c r="W206" t="s">
        <v>54</v>
      </c>
      <c r="Z206" t="s">
        <v>37</v>
      </c>
    </row>
    <row r="207" spans="1:26" x14ac:dyDescent="0.25">
      <c r="A207" s="7" t="str">
        <f>VLOOKUP(F207,'Contas Orç'!A:B,2,0)</f>
        <v>DESPESAS GERAIS</v>
      </c>
      <c r="B207" s="7" t="str">
        <f>VLOOKUP(C207,Base_20.12!E:E,1,0)</f>
        <v>0000000061</v>
      </c>
      <c r="C207" t="s">
        <v>429</v>
      </c>
      <c r="D207" t="s">
        <v>48</v>
      </c>
      <c r="E207" s="8">
        <v>44883</v>
      </c>
      <c r="F207" t="s">
        <v>160</v>
      </c>
      <c r="G207" t="s">
        <v>81</v>
      </c>
      <c r="H207" t="s">
        <v>54</v>
      </c>
      <c r="I207" t="s">
        <v>29</v>
      </c>
      <c r="J207" t="s">
        <v>30</v>
      </c>
      <c r="K207" t="s">
        <v>434</v>
      </c>
      <c r="M207" t="s">
        <v>56</v>
      </c>
      <c r="N207" t="s">
        <v>71</v>
      </c>
      <c r="O207" t="s">
        <v>197</v>
      </c>
      <c r="P207" t="s">
        <v>35</v>
      </c>
      <c r="Q207" t="s">
        <v>35</v>
      </c>
      <c r="R207" t="s">
        <v>35</v>
      </c>
      <c r="S207" t="s">
        <v>35</v>
      </c>
      <c r="V207" t="s">
        <v>81</v>
      </c>
      <c r="W207" t="s">
        <v>54</v>
      </c>
      <c r="Z207" t="s">
        <v>37</v>
      </c>
    </row>
    <row r="208" spans="1:26" x14ac:dyDescent="0.25">
      <c r="A208" s="7" t="str">
        <f>VLOOKUP(F208,'Contas Orç'!A:B,2,0)</f>
        <v>DESPESAS GERAIS</v>
      </c>
      <c r="B208" s="7" t="str">
        <f>VLOOKUP(C208,Base_20.12!E:E,1,0)</f>
        <v>0000000061</v>
      </c>
      <c r="C208" t="s">
        <v>429</v>
      </c>
      <c r="D208" t="s">
        <v>50</v>
      </c>
      <c r="E208" s="8">
        <v>44883</v>
      </c>
      <c r="F208" t="s">
        <v>160</v>
      </c>
      <c r="G208" t="s">
        <v>81</v>
      </c>
      <c r="H208" t="s">
        <v>54</v>
      </c>
      <c r="I208" t="s">
        <v>29</v>
      </c>
      <c r="J208" t="s">
        <v>30</v>
      </c>
      <c r="K208" t="s">
        <v>435</v>
      </c>
      <c r="M208" t="s">
        <v>56</v>
      </c>
      <c r="N208" t="s">
        <v>71</v>
      </c>
      <c r="O208" t="s">
        <v>436</v>
      </c>
      <c r="P208" t="s">
        <v>35</v>
      </c>
      <c r="Q208" t="s">
        <v>35</v>
      </c>
      <c r="R208" t="s">
        <v>35</v>
      </c>
      <c r="S208" t="s">
        <v>35</v>
      </c>
      <c r="V208" t="s">
        <v>81</v>
      </c>
      <c r="W208" t="s">
        <v>54</v>
      </c>
      <c r="Z208" t="s">
        <v>37</v>
      </c>
    </row>
    <row r="209" spans="1:26" x14ac:dyDescent="0.25">
      <c r="A209" s="7" t="str">
        <f>VLOOKUP(F209,'Contas Orç'!A:B,2,0)</f>
        <v>DESPESAS GERAIS</v>
      </c>
      <c r="B209" s="7" t="str">
        <f>VLOOKUP(C209,Base_20.12!E:E,1,0)</f>
        <v>0000000061</v>
      </c>
      <c r="C209" t="s">
        <v>429</v>
      </c>
      <c r="D209" t="s">
        <v>87</v>
      </c>
      <c r="E209" s="8">
        <v>44883</v>
      </c>
      <c r="F209" t="s">
        <v>160</v>
      </c>
      <c r="G209" t="s">
        <v>81</v>
      </c>
      <c r="H209" t="s">
        <v>54</v>
      </c>
      <c r="I209" t="s">
        <v>29</v>
      </c>
      <c r="J209" t="s">
        <v>30</v>
      </c>
      <c r="K209" t="s">
        <v>437</v>
      </c>
      <c r="M209" t="s">
        <v>56</v>
      </c>
      <c r="N209" t="s">
        <v>71</v>
      </c>
      <c r="O209" t="s">
        <v>438</v>
      </c>
      <c r="P209" t="s">
        <v>35</v>
      </c>
      <c r="Q209" t="s">
        <v>35</v>
      </c>
      <c r="R209" t="s">
        <v>35</v>
      </c>
      <c r="S209" t="s">
        <v>35</v>
      </c>
      <c r="V209" t="s">
        <v>81</v>
      </c>
      <c r="W209" t="s">
        <v>54</v>
      </c>
      <c r="Z209" t="s">
        <v>37</v>
      </c>
    </row>
    <row r="210" spans="1:26" x14ac:dyDescent="0.25">
      <c r="A210" s="7" t="str">
        <f>VLOOKUP(F210,'Contas Orç'!A:B,2,0)</f>
        <v>DESPESAS GERAIS</v>
      </c>
      <c r="B210" s="7" t="str">
        <f>VLOOKUP(C210,Base_20.12!E:E,1,0)</f>
        <v>0000000061</v>
      </c>
      <c r="C210" t="s">
        <v>429</v>
      </c>
      <c r="D210" t="s">
        <v>91</v>
      </c>
      <c r="E210" s="8">
        <v>44883</v>
      </c>
      <c r="F210" t="s">
        <v>160</v>
      </c>
      <c r="G210" t="s">
        <v>81</v>
      </c>
      <c r="H210" t="s">
        <v>54</v>
      </c>
      <c r="I210" t="s">
        <v>29</v>
      </c>
      <c r="J210" t="s">
        <v>30</v>
      </c>
      <c r="K210" t="s">
        <v>439</v>
      </c>
      <c r="M210" t="s">
        <v>56</v>
      </c>
      <c r="N210" t="s">
        <v>71</v>
      </c>
      <c r="O210" t="s">
        <v>440</v>
      </c>
      <c r="P210" t="s">
        <v>35</v>
      </c>
      <c r="Q210" t="s">
        <v>35</v>
      </c>
      <c r="R210" t="s">
        <v>35</v>
      </c>
      <c r="S210" t="s">
        <v>35</v>
      </c>
      <c r="V210" t="s">
        <v>81</v>
      </c>
      <c r="W210" t="s">
        <v>54</v>
      </c>
      <c r="Z210" t="s">
        <v>37</v>
      </c>
    </row>
    <row r="211" spans="1:26" x14ac:dyDescent="0.25">
      <c r="A211" s="7" t="str">
        <f>VLOOKUP(F211,'Contas Orç'!A:B,2,0)</f>
        <v>DESPESAS GERAIS</v>
      </c>
      <c r="B211" s="7" t="str">
        <f>VLOOKUP(C211,Base_20.12!E:E,1,0)</f>
        <v>0000000062</v>
      </c>
      <c r="C211" t="s">
        <v>441</v>
      </c>
      <c r="D211" t="s">
        <v>25</v>
      </c>
      <c r="E211" s="8">
        <v>44883</v>
      </c>
      <c r="F211" t="s">
        <v>160</v>
      </c>
      <c r="G211" t="s">
        <v>81</v>
      </c>
      <c r="H211" t="s">
        <v>54</v>
      </c>
      <c r="I211" t="s">
        <v>29</v>
      </c>
      <c r="J211" t="s">
        <v>30</v>
      </c>
      <c r="K211" t="s">
        <v>442</v>
      </c>
      <c r="M211" t="s">
        <v>56</v>
      </c>
      <c r="N211" t="s">
        <v>71</v>
      </c>
      <c r="O211" t="s">
        <v>410</v>
      </c>
      <c r="P211" t="s">
        <v>35</v>
      </c>
      <c r="Q211" t="s">
        <v>35</v>
      </c>
      <c r="R211" t="s">
        <v>35</v>
      </c>
      <c r="S211" t="s">
        <v>35</v>
      </c>
      <c r="V211" t="s">
        <v>81</v>
      </c>
      <c r="W211" t="s">
        <v>54</v>
      </c>
      <c r="Z211" t="s">
        <v>37</v>
      </c>
    </row>
    <row r="212" spans="1:26" x14ac:dyDescent="0.25">
      <c r="A212" s="7" t="str">
        <f>VLOOKUP(F212,'Contas Orç'!A:B,2,0)</f>
        <v>DESPESAS GERAIS</v>
      </c>
      <c r="B212" s="7" t="str">
        <f>VLOOKUP(C212,Base_20.12!E:E,1,0)</f>
        <v>0000000063</v>
      </c>
      <c r="C212" t="s">
        <v>443</v>
      </c>
      <c r="D212" t="s">
        <v>25</v>
      </c>
      <c r="E212" s="8">
        <v>44883</v>
      </c>
      <c r="F212" t="s">
        <v>160</v>
      </c>
      <c r="G212" t="s">
        <v>81</v>
      </c>
      <c r="H212" t="s">
        <v>54</v>
      </c>
      <c r="I212" t="s">
        <v>29</v>
      </c>
      <c r="J212" t="s">
        <v>30</v>
      </c>
      <c r="K212" t="s">
        <v>444</v>
      </c>
      <c r="M212" t="s">
        <v>56</v>
      </c>
      <c r="N212" t="s">
        <v>71</v>
      </c>
      <c r="O212" t="s">
        <v>199</v>
      </c>
      <c r="P212" t="s">
        <v>35</v>
      </c>
      <c r="Q212" t="s">
        <v>35</v>
      </c>
      <c r="R212" t="s">
        <v>35</v>
      </c>
      <c r="S212" t="s">
        <v>35</v>
      </c>
      <c r="V212" t="s">
        <v>81</v>
      </c>
      <c r="W212" t="s">
        <v>54</v>
      </c>
      <c r="Z212" t="s">
        <v>37</v>
      </c>
    </row>
    <row r="213" spans="1:26" x14ac:dyDescent="0.25">
      <c r="A213" s="7" t="str">
        <f>VLOOKUP(F213,'Contas Orç'!A:B,2,0)</f>
        <v>DESPESAS GERAIS</v>
      </c>
      <c r="B213" s="7" t="str">
        <f>VLOOKUP(C213,Base_20.12!E:E,1,0)</f>
        <v>0000000063</v>
      </c>
      <c r="C213" t="s">
        <v>443</v>
      </c>
      <c r="D213" t="s">
        <v>38</v>
      </c>
      <c r="E213" s="8">
        <v>44883</v>
      </c>
      <c r="F213" t="s">
        <v>160</v>
      </c>
      <c r="G213" t="s">
        <v>81</v>
      </c>
      <c r="H213" t="s">
        <v>54</v>
      </c>
      <c r="I213" t="s">
        <v>29</v>
      </c>
      <c r="J213" t="s">
        <v>30</v>
      </c>
      <c r="K213" t="s">
        <v>445</v>
      </c>
      <c r="M213" t="s">
        <v>56</v>
      </c>
      <c r="N213" t="s">
        <v>71</v>
      </c>
      <c r="O213" t="s">
        <v>446</v>
      </c>
      <c r="P213" t="s">
        <v>35</v>
      </c>
      <c r="Q213" t="s">
        <v>35</v>
      </c>
      <c r="R213" t="s">
        <v>35</v>
      </c>
      <c r="S213" t="s">
        <v>35</v>
      </c>
      <c r="V213" t="s">
        <v>81</v>
      </c>
      <c r="W213" t="s">
        <v>54</v>
      </c>
      <c r="Z213" t="s">
        <v>37</v>
      </c>
    </row>
    <row r="214" spans="1:26" x14ac:dyDescent="0.25">
      <c r="A214" s="7" t="str">
        <f>VLOOKUP(F214,'Contas Orç'!A:B,2,0)</f>
        <v>DESPESAS GERAIS</v>
      </c>
      <c r="B214" s="7" t="str">
        <f>VLOOKUP(C214,Base_20.12!E:E,1,0)</f>
        <v>0000000063</v>
      </c>
      <c r="C214" t="s">
        <v>443</v>
      </c>
      <c r="D214" t="s">
        <v>48</v>
      </c>
      <c r="E214" s="8">
        <v>44883</v>
      </c>
      <c r="F214" t="s">
        <v>160</v>
      </c>
      <c r="G214" t="s">
        <v>81</v>
      </c>
      <c r="H214" t="s">
        <v>54</v>
      </c>
      <c r="I214" t="s">
        <v>29</v>
      </c>
      <c r="J214" t="s">
        <v>30</v>
      </c>
      <c r="K214" t="s">
        <v>447</v>
      </c>
      <c r="M214" t="s">
        <v>56</v>
      </c>
      <c r="N214" t="s">
        <v>71</v>
      </c>
      <c r="O214" t="s">
        <v>169</v>
      </c>
      <c r="P214" t="s">
        <v>35</v>
      </c>
      <c r="Q214" t="s">
        <v>35</v>
      </c>
      <c r="R214" t="s">
        <v>35</v>
      </c>
      <c r="S214" t="s">
        <v>35</v>
      </c>
      <c r="V214" t="s">
        <v>81</v>
      </c>
      <c r="W214" t="s">
        <v>54</v>
      </c>
      <c r="Z214" t="s">
        <v>37</v>
      </c>
    </row>
    <row r="215" spans="1:26" x14ac:dyDescent="0.25">
      <c r="A215" s="7" t="str">
        <f>VLOOKUP(F215,'Contas Orç'!A:B,2,0)</f>
        <v>DESPESAS GERAIS</v>
      </c>
      <c r="B215" s="7" t="str">
        <f>VLOOKUP(C215,Base_20.12!E:E,1,0)</f>
        <v>0000000063</v>
      </c>
      <c r="C215" t="s">
        <v>443</v>
      </c>
      <c r="D215" t="s">
        <v>50</v>
      </c>
      <c r="E215" s="8">
        <v>44883</v>
      </c>
      <c r="F215" t="s">
        <v>160</v>
      </c>
      <c r="G215" t="s">
        <v>81</v>
      </c>
      <c r="H215" t="s">
        <v>54</v>
      </c>
      <c r="I215" t="s">
        <v>29</v>
      </c>
      <c r="J215" t="s">
        <v>30</v>
      </c>
      <c r="K215" t="s">
        <v>448</v>
      </c>
      <c r="M215" t="s">
        <v>56</v>
      </c>
      <c r="N215" t="s">
        <v>71</v>
      </c>
      <c r="O215" t="s">
        <v>449</v>
      </c>
      <c r="P215" t="s">
        <v>35</v>
      </c>
      <c r="Q215" t="s">
        <v>35</v>
      </c>
      <c r="R215" t="s">
        <v>35</v>
      </c>
      <c r="S215" t="s">
        <v>35</v>
      </c>
      <c r="V215" t="s">
        <v>81</v>
      </c>
      <c r="W215" t="s">
        <v>54</v>
      </c>
      <c r="Z215" t="s">
        <v>37</v>
      </c>
    </row>
    <row r="216" spans="1:26" x14ac:dyDescent="0.25">
      <c r="A216" s="7" t="str">
        <f>VLOOKUP(F216,'Contas Orç'!A:B,2,0)</f>
        <v>DESPESAS GERAIS</v>
      </c>
      <c r="B216" s="7" t="str">
        <f>VLOOKUP(C216,Base_20.12!E:E,1,0)</f>
        <v>0000000063</v>
      </c>
      <c r="C216" t="s">
        <v>443</v>
      </c>
      <c r="D216" t="s">
        <v>87</v>
      </c>
      <c r="E216" s="8">
        <v>44883</v>
      </c>
      <c r="F216" t="s">
        <v>160</v>
      </c>
      <c r="G216" t="s">
        <v>81</v>
      </c>
      <c r="H216" t="s">
        <v>54</v>
      </c>
      <c r="I216" t="s">
        <v>29</v>
      </c>
      <c r="J216" t="s">
        <v>30</v>
      </c>
      <c r="K216" t="s">
        <v>450</v>
      </c>
      <c r="M216" t="s">
        <v>56</v>
      </c>
      <c r="N216" t="s">
        <v>71</v>
      </c>
      <c r="O216" t="s">
        <v>220</v>
      </c>
      <c r="P216" t="s">
        <v>35</v>
      </c>
      <c r="Q216" t="s">
        <v>35</v>
      </c>
      <c r="R216" t="s">
        <v>35</v>
      </c>
      <c r="S216" t="s">
        <v>35</v>
      </c>
      <c r="V216" t="s">
        <v>81</v>
      </c>
      <c r="W216" t="s">
        <v>54</v>
      </c>
      <c r="Z216" t="s">
        <v>37</v>
      </c>
    </row>
    <row r="217" spans="1:26" x14ac:dyDescent="0.25">
      <c r="A217" s="7" t="str">
        <f>VLOOKUP(F217,'Contas Orç'!A:B,2,0)</f>
        <v>DESPESAS GERAIS</v>
      </c>
      <c r="B217" s="7" t="str">
        <f>VLOOKUP(C217,Base_20.12!E:E,1,0)</f>
        <v>0000000064</v>
      </c>
      <c r="C217" t="s">
        <v>451</v>
      </c>
      <c r="D217" t="s">
        <v>25</v>
      </c>
      <c r="E217" s="8">
        <v>44883</v>
      </c>
      <c r="F217" t="s">
        <v>160</v>
      </c>
      <c r="G217" t="s">
        <v>81</v>
      </c>
      <c r="H217" t="s">
        <v>54</v>
      </c>
      <c r="I217" t="s">
        <v>29</v>
      </c>
      <c r="J217" t="s">
        <v>30</v>
      </c>
      <c r="K217" t="s">
        <v>452</v>
      </c>
      <c r="M217" t="s">
        <v>56</v>
      </c>
      <c r="N217" t="s">
        <v>71</v>
      </c>
      <c r="O217" t="s">
        <v>186</v>
      </c>
      <c r="P217" t="s">
        <v>35</v>
      </c>
      <c r="Q217" t="s">
        <v>35</v>
      </c>
      <c r="R217" t="s">
        <v>35</v>
      </c>
      <c r="S217" t="s">
        <v>35</v>
      </c>
      <c r="V217" t="s">
        <v>81</v>
      </c>
      <c r="W217" t="s">
        <v>54</v>
      </c>
      <c r="Z217" t="s">
        <v>37</v>
      </c>
    </row>
    <row r="218" spans="1:26" x14ac:dyDescent="0.25">
      <c r="A218" s="7" t="str">
        <f>VLOOKUP(F218,'Contas Orç'!A:B,2,0)</f>
        <v>DESPESAS GERAIS</v>
      </c>
      <c r="B218" s="7" t="str">
        <f>VLOOKUP(C218,Base_20.12!E:E,1,0)</f>
        <v>0000000065</v>
      </c>
      <c r="C218" t="s">
        <v>453</v>
      </c>
      <c r="D218" t="s">
        <v>25</v>
      </c>
      <c r="E218" s="8">
        <v>44883</v>
      </c>
      <c r="F218" t="s">
        <v>160</v>
      </c>
      <c r="G218" t="s">
        <v>81</v>
      </c>
      <c r="H218" t="s">
        <v>54</v>
      </c>
      <c r="I218" t="s">
        <v>29</v>
      </c>
      <c r="J218" t="s">
        <v>30</v>
      </c>
      <c r="K218" t="s">
        <v>454</v>
      </c>
      <c r="M218" t="s">
        <v>56</v>
      </c>
      <c r="N218" t="s">
        <v>71</v>
      </c>
      <c r="O218" t="s">
        <v>455</v>
      </c>
      <c r="P218" t="s">
        <v>35</v>
      </c>
      <c r="Q218" t="s">
        <v>35</v>
      </c>
      <c r="R218" t="s">
        <v>35</v>
      </c>
      <c r="S218" t="s">
        <v>35</v>
      </c>
      <c r="V218" t="s">
        <v>81</v>
      </c>
      <c r="W218" t="s">
        <v>54</v>
      </c>
      <c r="Z218" t="s">
        <v>37</v>
      </c>
    </row>
    <row r="219" spans="1:26" x14ac:dyDescent="0.25">
      <c r="A219" s="7" t="str">
        <f>VLOOKUP(F219,'Contas Orç'!A:B,2,0)</f>
        <v>TARIFAS PORTUµRIAS</v>
      </c>
      <c r="B219" s="7" t="str">
        <f>VLOOKUP(C219,Base_20.12!E:E,1,0)</f>
        <v>0000000066</v>
      </c>
      <c r="C219" t="s">
        <v>456</v>
      </c>
      <c r="D219" t="s">
        <v>25</v>
      </c>
      <c r="E219" s="8">
        <v>44883</v>
      </c>
      <c r="F219" t="s">
        <v>299</v>
      </c>
      <c r="G219" t="s">
        <v>59</v>
      </c>
      <c r="H219" t="s">
        <v>107</v>
      </c>
      <c r="I219" t="s">
        <v>29</v>
      </c>
      <c r="J219" t="s">
        <v>43</v>
      </c>
      <c r="K219" t="s">
        <v>457</v>
      </c>
      <c r="M219" t="s">
        <v>45</v>
      </c>
      <c r="N219" t="s">
        <v>261</v>
      </c>
      <c r="O219" t="s">
        <v>305</v>
      </c>
      <c r="P219" t="s">
        <v>35</v>
      </c>
      <c r="Q219" t="s">
        <v>35</v>
      </c>
      <c r="R219" t="s">
        <v>35</v>
      </c>
      <c r="S219" t="s">
        <v>35</v>
      </c>
      <c r="V219" t="s">
        <v>59</v>
      </c>
      <c r="W219" t="s">
        <v>107</v>
      </c>
      <c r="Z219" t="s">
        <v>37</v>
      </c>
    </row>
    <row r="220" spans="1:26" x14ac:dyDescent="0.25">
      <c r="A220" s="7" t="str">
        <f>VLOOKUP(F220,'Contas Orç'!A:B,2,0)</f>
        <v>TARIFAS PORTUµRIAS</v>
      </c>
      <c r="B220" s="7" t="str">
        <f>VLOOKUP(C220,Base_20.12!E:E,1,0)</f>
        <v>0000000066</v>
      </c>
      <c r="C220" t="s">
        <v>456</v>
      </c>
      <c r="D220" t="s">
        <v>38</v>
      </c>
      <c r="E220" s="8">
        <v>44883</v>
      </c>
      <c r="F220" t="s">
        <v>299</v>
      </c>
      <c r="G220" t="s">
        <v>59</v>
      </c>
      <c r="H220" t="s">
        <v>107</v>
      </c>
      <c r="I220" t="s">
        <v>46</v>
      </c>
      <c r="J220" t="s">
        <v>30</v>
      </c>
      <c r="K220" t="s">
        <v>304</v>
      </c>
      <c r="M220" t="s">
        <v>45</v>
      </c>
      <c r="N220" t="s">
        <v>261</v>
      </c>
      <c r="O220" t="s">
        <v>305</v>
      </c>
      <c r="P220" t="s">
        <v>35</v>
      </c>
      <c r="Q220" t="s">
        <v>35</v>
      </c>
      <c r="R220" t="s">
        <v>35</v>
      </c>
      <c r="S220" t="s">
        <v>35</v>
      </c>
      <c r="V220" t="s">
        <v>59</v>
      </c>
      <c r="W220" t="s">
        <v>107</v>
      </c>
      <c r="Z220" t="s">
        <v>37</v>
      </c>
    </row>
    <row r="221" spans="1:26" x14ac:dyDescent="0.25">
      <c r="A221" s="7" t="str">
        <f>VLOOKUP(F221,'Contas Orç'!A:B,2,0)</f>
        <v>TARIFAS PORTUµRIAS</v>
      </c>
      <c r="B221" s="7" t="str">
        <f>VLOOKUP(C221,Base_20.12!E:E,1,0)</f>
        <v>0000000067</v>
      </c>
      <c r="C221" t="s">
        <v>458</v>
      </c>
      <c r="D221" t="s">
        <v>25</v>
      </c>
      <c r="E221" s="8">
        <v>44883</v>
      </c>
      <c r="F221" t="s">
        <v>299</v>
      </c>
      <c r="G221" t="s">
        <v>59</v>
      </c>
      <c r="H221" t="s">
        <v>60</v>
      </c>
      <c r="I221" t="s">
        <v>29</v>
      </c>
      <c r="J221" t="s">
        <v>43</v>
      </c>
      <c r="K221" t="s">
        <v>459</v>
      </c>
      <c r="M221" t="s">
        <v>45</v>
      </c>
      <c r="N221" t="s">
        <v>261</v>
      </c>
      <c r="O221" t="s">
        <v>302</v>
      </c>
      <c r="P221" t="s">
        <v>35</v>
      </c>
      <c r="Q221" t="s">
        <v>35</v>
      </c>
      <c r="R221" t="s">
        <v>35</v>
      </c>
      <c r="S221" t="s">
        <v>35</v>
      </c>
      <c r="V221" t="s">
        <v>59</v>
      </c>
      <c r="W221" t="s">
        <v>60</v>
      </c>
      <c r="Z221" t="s">
        <v>37</v>
      </c>
    </row>
    <row r="222" spans="1:26" x14ac:dyDescent="0.25">
      <c r="A222" s="7" t="str">
        <f>VLOOKUP(F222,'Contas Orç'!A:B,2,0)</f>
        <v>TARIFAS PORTUµRIAS</v>
      </c>
      <c r="B222" s="7" t="str">
        <f>VLOOKUP(C222,Base_20.12!E:E,1,0)</f>
        <v>0000000067</v>
      </c>
      <c r="C222" t="s">
        <v>458</v>
      </c>
      <c r="D222" t="s">
        <v>38</v>
      </c>
      <c r="E222" s="8">
        <v>44883</v>
      </c>
      <c r="F222" t="s">
        <v>299</v>
      </c>
      <c r="G222" t="s">
        <v>59</v>
      </c>
      <c r="H222" t="s">
        <v>60</v>
      </c>
      <c r="I222" t="s">
        <v>46</v>
      </c>
      <c r="J222" t="s">
        <v>30</v>
      </c>
      <c r="K222" t="s">
        <v>300</v>
      </c>
      <c r="M222" t="s">
        <v>45</v>
      </c>
      <c r="N222" t="s">
        <v>261</v>
      </c>
      <c r="O222" t="s">
        <v>302</v>
      </c>
      <c r="P222" t="s">
        <v>35</v>
      </c>
      <c r="Q222" t="s">
        <v>35</v>
      </c>
      <c r="R222" t="s">
        <v>35</v>
      </c>
      <c r="S222" t="s">
        <v>35</v>
      </c>
      <c r="V222" t="s">
        <v>59</v>
      </c>
      <c r="W222" t="s">
        <v>60</v>
      </c>
      <c r="Z222" t="s">
        <v>37</v>
      </c>
    </row>
    <row r="223" spans="1:26" x14ac:dyDescent="0.25">
      <c r="A223" s="7" t="str">
        <f>VLOOKUP(F223,'Contas Orç'!A:B,2,0)</f>
        <v>TARIFAS PORTUµRIAS</v>
      </c>
      <c r="B223" s="7" t="str">
        <f>VLOOKUP(C223,Base_20.12!E:E,1,0)</f>
        <v>0000000068</v>
      </c>
      <c r="C223" t="s">
        <v>460</v>
      </c>
      <c r="D223" t="s">
        <v>25</v>
      </c>
      <c r="E223" s="8">
        <v>44883</v>
      </c>
      <c r="F223" t="s">
        <v>299</v>
      </c>
      <c r="G223" t="s">
        <v>59</v>
      </c>
      <c r="H223" t="s">
        <v>60</v>
      </c>
      <c r="I223" t="s">
        <v>29</v>
      </c>
      <c r="J223" t="s">
        <v>43</v>
      </c>
      <c r="K223" t="s">
        <v>461</v>
      </c>
      <c r="M223" t="s">
        <v>45</v>
      </c>
      <c r="N223" t="s">
        <v>261</v>
      </c>
      <c r="O223" t="s">
        <v>301</v>
      </c>
      <c r="P223" t="s">
        <v>35</v>
      </c>
      <c r="Q223" t="s">
        <v>35</v>
      </c>
      <c r="R223" t="s">
        <v>35</v>
      </c>
      <c r="S223" t="s">
        <v>35</v>
      </c>
      <c r="V223" t="s">
        <v>59</v>
      </c>
      <c r="W223" t="s">
        <v>60</v>
      </c>
      <c r="Z223" t="s">
        <v>37</v>
      </c>
    </row>
    <row r="224" spans="1:26" x14ac:dyDescent="0.25">
      <c r="A224" s="7" t="str">
        <f>VLOOKUP(F224,'Contas Orç'!A:B,2,0)</f>
        <v>TARIFAS PORTUµRIAS</v>
      </c>
      <c r="B224" s="7" t="str">
        <f>VLOOKUP(C224,Base_20.12!E:E,1,0)</f>
        <v>0000000068</v>
      </c>
      <c r="C224" t="s">
        <v>460</v>
      </c>
      <c r="D224" t="s">
        <v>38</v>
      </c>
      <c r="E224" s="8">
        <v>44883</v>
      </c>
      <c r="F224" t="s">
        <v>299</v>
      </c>
      <c r="G224" t="s">
        <v>59</v>
      </c>
      <c r="H224" t="s">
        <v>60</v>
      </c>
      <c r="I224" t="s">
        <v>46</v>
      </c>
      <c r="J224" t="s">
        <v>30</v>
      </c>
      <c r="K224" t="s">
        <v>300</v>
      </c>
      <c r="M224" t="s">
        <v>45</v>
      </c>
      <c r="N224" t="s">
        <v>261</v>
      </c>
      <c r="O224" t="s">
        <v>301</v>
      </c>
      <c r="P224" t="s">
        <v>35</v>
      </c>
      <c r="Q224" t="s">
        <v>35</v>
      </c>
      <c r="R224" t="s">
        <v>35</v>
      </c>
      <c r="S224" t="s">
        <v>35</v>
      </c>
      <c r="V224" t="s">
        <v>59</v>
      </c>
      <c r="W224" t="s">
        <v>60</v>
      </c>
      <c r="Z224" t="s">
        <v>37</v>
      </c>
    </row>
    <row r="225" spans="1:26" x14ac:dyDescent="0.25">
      <c r="A225" s="7" t="str">
        <f>VLOOKUP(F225,'Contas Orç'!A:B,2,0)</f>
        <v>MATERIAIS DIRETOS</v>
      </c>
      <c r="B225" s="7" t="str">
        <f>VLOOKUP(C225,Base_20.12!E:E,1,0)</f>
        <v>0000000069</v>
      </c>
      <c r="C225" t="s">
        <v>462</v>
      </c>
      <c r="D225" t="s">
        <v>25</v>
      </c>
      <c r="E225" s="8">
        <v>44883</v>
      </c>
      <c r="F225" t="s">
        <v>463</v>
      </c>
      <c r="G225" t="s">
        <v>59</v>
      </c>
      <c r="H225" t="s">
        <v>60</v>
      </c>
      <c r="I225" t="s">
        <v>29</v>
      </c>
      <c r="J225" t="s">
        <v>30</v>
      </c>
      <c r="K225" t="s">
        <v>464</v>
      </c>
      <c r="M225" t="s">
        <v>56</v>
      </c>
      <c r="N225" t="s">
        <v>71</v>
      </c>
      <c r="O225" t="s">
        <v>465</v>
      </c>
      <c r="P225" t="s">
        <v>35</v>
      </c>
      <c r="Q225" t="s">
        <v>35</v>
      </c>
      <c r="R225" t="s">
        <v>35</v>
      </c>
      <c r="S225" t="s">
        <v>35</v>
      </c>
      <c r="V225" t="s">
        <v>59</v>
      </c>
      <c r="W225" t="s">
        <v>60</v>
      </c>
      <c r="Z225" t="s">
        <v>37</v>
      </c>
    </row>
    <row r="226" spans="1:26" x14ac:dyDescent="0.25">
      <c r="A226" s="7" t="str">
        <f>VLOOKUP(F226,'Contas Orç'!A:B,2,0)</f>
        <v>MATERIAIS DIRETOS</v>
      </c>
      <c r="B226" s="7" t="str">
        <f>VLOOKUP(C226,Base_20.12!E:E,1,0)</f>
        <v>0000000069</v>
      </c>
      <c r="C226" t="s">
        <v>462</v>
      </c>
      <c r="D226" t="s">
        <v>38</v>
      </c>
      <c r="E226" s="8">
        <v>44883</v>
      </c>
      <c r="F226" t="s">
        <v>463</v>
      </c>
      <c r="G226" t="s">
        <v>59</v>
      </c>
      <c r="H226" t="s">
        <v>60</v>
      </c>
      <c r="I226" t="s">
        <v>29</v>
      </c>
      <c r="J226" t="s">
        <v>30</v>
      </c>
      <c r="K226" t="s">
        <v>466</v>
      </c>
      <c r="M226" t="s">
        <v>56</v>
      </c>
      <c r="N226" t="s">
        <v>71</v>
      </c>
      <c r="O226" t="s">
        <v>467</v>
      </c>
      <c r="P226" t="s">
        <v>35</v>
      </c>
      <c r="Q226" t="s">
        <v>35</v>
      </c>
      <c r="R226" t="s">
        <v>35</v>
      </c>
      <c r="S226" t="s">
        <v>35</v>
      </c>
      <c r="V226" t="s">
        <v>59</v>
      </c>
      <c r="W226" t="s">
        <v>60</v>
      </c>
      <c r="Z226" t="s">
        <v>37</v>
      </c>
    </row>
    <row r="227" spans="1:26" x14ac:dyDescent="0.25">
      <c r="A227" s="7" t="str">
        <f>VLOOKUP(F227,'Contas Orç'!A:B,2,0)</f>
        <v>MATERIAIS DIRETOS</v>
      </c>
      <c r="B227" s="7" t="str">
        <f>VLOOKUP(C227,Base_20.12!E:E,1,0)</f>
        <v>0000000070</v>
      </c>
      <c r="C227" t="s">
        <v>468</v>
      </c>
      <c r="D227" t="s">
        <v>25</v>
      </c>
      <c r="E227" s="8">
        <v>44883</v>
      </c>
      <c r="F227" t="s">
        <v>463</v>
      </c>
      <c r="G227" t="s">
        <v>59</v>
      </c>
      <c r="H227" t="s">
        <v>60</v>
      </c>
      <c r="I227" t="s">
        <v>29</v>
      </c>
      <c r="J227" t="s">
        <v>43</v>
      </c>
      <c r="K227" t="s">
        <v>469</v>
      </c>
      <c r="M227" t="s">
        <v>45</v>
      </c>
      <c r="N227" t="s">
        <v>470</v>
      </c>
      <c r="O227" t="s">
        <v>465</v>
      </c>
      <c r="P227" t="s">
        <v>35</v>
      </c>
      <c r="Q227" t="s">
        <v>35</v>
      </c>
      <c r="R227" t="s">
        <v>35</v>
      </c>
      <c r="S227" t="s">
        <v>35</v>
      </c>
      <c r="V227" t="s">
        <v>59</v>
      </c>
      <c r="W227" t="s">
        <v>60</v>
      </c>
      <c r="Z227" t="s">
        <v>37</v>
      </c>
    </row>
    <row r="228" spans="1:26" x14ac:dyDescent="0.25">
      <c r="A228" s="7" t="str">
        <f>VLOOKUP(F228,'Contas Orç'!A:B,2,0)</f>
        <v>MATERIAIS DIRETOS</v>
      </c>
      <c r="B228" s="7" t="str">
        <f>VLOOKUP(C228,Base_20.12!E:E,1,0)</f>
        <v>0000000070</v>
      </c>
      <c r="C228" t="s">
        <v>468</v>
      </c>
      <c r="D228" t="s">
        <v>38</v>
      </c>
      <c r="E228" s="8">
        <v>44883</v>
      </c>
      <c r="F228" t="s">
        <v>463</v>
      </c>
      <c r="G228" t="s">
        <v>59</v>
      </c>
      <c r="H228" t="s">
        <v>60</v>
      </c>
      <c r="I228" t="s">
        <v>46</v>
      </c>
      <c r="J228" t="s">
        <v>30</v>
      </c>
      <c r="K228" t="s">
        <v>464</v>
      </c>
      <c r="M228" t="s">
        <v>45</v>
      </c>
      <c r="N228" t="s">
        <v>470</v>
      </c>
      <c r="O228" t="s">
        <v>465</v>
      </c>
      <c r="P228" t="s">
        <v>35</v>
      </c>
      <c r="Q228" t="s">
        <v>35</v>
      </c>
      <c r="R228" t="s">
        <v>35</v>
      </c>
      <c r="S228" t="s">
        <v>35</v>
      </c>
      <c r="V228" t="s">
        <v>59</v>
      </c>
      <c r="W228" t="s">
        <v>60</v>
      </c>
      <c r="Z228" t="s">
        <v>37</v>
      </c>
    </row>
    <row r="229" spans="1:26" x14ac:dyDescent="0.25">
      <c r="A229" s="7" t="str">
        <f>VLOOKUP(F229,'Contas Orç'!A:B,2,0)</f>
        <v>MATERIAIS DIRETOS</v>
      </c>
      <c r="B229" s="7" t="str">
        <f>VLOOKUP(C229,Base_20.12!E:E,1,0)</f>
        <v>0000000070</v>
      </c>
      <c r="C229" t="s">
        <v>468</v>
      </c>
      <c r="D229" t="s">
        <v>48</v>
      </c>
      <c r="E229" s="8">
        <v>44883</v>
      </c>
      <c r="F229" t="s">
        <v>463</v>
      </c>
      <c r="G229" t="s">
        <v>59</v>
      </c>
      <c r="H229" t="s">
        <v>60</v>
      </c>
      <c r="I229" t="s">
        <v>29</v>
      </c>
      <c r="J229" t="s">
        <v>43</v>
      </c>
      <c r="K229" t="s">
        <v>471</v>
      </c>
      <c r="M229" t="s">
        <v>45</v>
      </c>
      <c r="N229" t="s">
        <v>470</v>
      </c>
      <c r="O229" t="s">
        <v>467</v>
      </c>
      <c r="P229" t="s">
        <v>35</v>
      </c>
      <c r="Q229" t="s">
        <v>35</v>
      </c>
      <c r="R229" t="s">
        <v>35</v>
      </c>
      <c r="S229" t="s">
        <v>35</v>
      </c>
      <c r="V229" t="s">
        <v>59</v>
      </c>
      <c r="W229" t="s">
        <v>60</v>
      </c>
      <c r="Z229" t="s">
        <v>37</v>
      </c>
    </row>
    <row r="230" spans="1:26" x14ac:dyDescent="0.25">
      <c r="A230" s="7" t="str">
        <f>VLOOKUP(F230,'Contas Orç'!A:B,2,0)</f>
        <v>MATERIAIS DIRETOS</v>
      </c>
      <c r="B230" s="7" t="str">
        <f>VLOOKUP(C230,Base_20.12!E:E,1,0)</f>
        <v>0000000070</v>
      </c>
      <c r="C230" t="s">
        <v>468</v>
      </c>
      <c r="D230" t="s">
        <v>50</v>
      </c>
      <c r="E230" s="8">
        <v>44883</v>
      </c>
      <c r="F230" t="s">
        <v>463</v>
      </c>
      <c r="G230" t="s">
        <v>59</v>
      </c>
      <c r="H230" t="s">
        <v>60</v>
      </c>
      <c r="I230" t="s">
        <v>46</v>
      </c>
      <c r="J230" t="s">
        <v>30</v>
      </c>
      <c r="K230" t="s">
        <v>466</v>
      </c>
      <c r="M230" t="s">
        <v>45</v>
      </c>
      <c r="N230" t="s">
        <v>470</v>
      </c>
      <c r="O230" t="s">
        <v>467</v>
      </c>
      <c r="P230" t="s">
        <v>35</v>
      </c>
      <c r="Q230" t="s">
        <v>35</v>
      </c>
      <c r="R230" t="s">
        <v>35</v>
      </c>
      <c r="S230" t="s">
        <v>35</v>
      </c>
      <c r="V230" t="s">
        <v>59</v>
      </c>
      <c r="W230" t="s">
        <v>60</v>
      </c>
      <c r="Z230" t="s">
        <v>37</v>
      </c>
    </row>
    <row r="231" spans="1:26" x14ac:dyDescent="0.25">
      <c r="A231" s="7" t="str">
        <f>VLOOKUP(F231,'Contas Orç'!A:B,2,0)</f>
        <v>PECAS E ACESSORIOS</v>
      </c>
      <c r="B231" s="7" t="str">
        <f>VLOOKUP(C231,Base_20.12!E:E,1,0)</f>
        <v>0000000071</v>
      </c>
      <c r="C231" t="s">
        <v>472</v>
      </c>
      <c r="D231" t="s">
        <v>25</v>
      </c>
      <c r="E231" s="8">
        <v>44866</v>
      </c>
      <c r="F231" t="s">
        <v>26</v>
      </c>
      <c r="G231" t="s">
        <v>27</v>
      </c>
      <c r="H231" t="s">
        <v>28</v>
      </c>
      <c r="I231" t="s">
        <v>29</v>
      </c>
      <c r="J231" t="s">
        <v>43</v>
      </c>
      <c r="K231" t="s">
        <v>473</v>
      </c>
      <c r="M231" t="s">
        <v>45</v>
      </c>
      <c r="N231" t="s">
        <v>261</v>
      </c>
      <c r="O231" t="s">
        <v>275</v>
      </c>
      <c r="P231" t="s">
        <v>35</v>
      </c>
      <c r="Q231" t="s">
        <v>35</v>
      </c>
      <c r="R231" t="s">
        <v>35</v>
      </c>
      <c r="S231" t="s">
        <v>35</v>
      </c>
      <c r="V231" t="s">
        <v>27</v>
      </c>
      <c r="W231" t="s">
        <v>28</v>
      </c>
      <c r="Z231" t="s">
        <v>37</v>
      </c>
    </row>
    <row r="232" spans="1:26" x14ac:dyDescent="0.25">
      <c r="A232" s="7" t="str">
        <f>VLOOKUP(F232,'Contas Orç'!A:B,2,0)</f>
        <v>PECAS E ACESSORIOS</v>
      </c>
      <c r="B232" s="7" t="str">
        <f>VLOOKUP(C232,Base_20.12!E:E,1,0)</f>
        <v>0000000071</v>
      </c>
      <c r="C232" t="s">
        <v>472</v>
      </c>
      <c r="D232" t="s">
        <v>38</v>
      </c>
      <c r="E232" s="8">
        <v>44866</v>
      </c>
      <c r="F232" t="s">
        <v>26</v>
      </c>
      <c r="G232" t="s">
        <v>27</v>
      </c>
      <c r="H232" t="s">
        <v>28</v>
      </c>
      <c r="I232" t="s">
        <v>46</v>
      </c>
      <c r="J232" t="s">
        <v>30</v>
      </c>
      <c r="K232" t="s">
        <v>274</v>
      </c>
      <c r="M232" t="s">
        <v>45</v>
      </c>
      <c r="N232" t="s">
        <v>261</v>
      </c>
      <c r="O232" t="s">
        <v>275</v>
      </c>
      <c r="P232" t="s">
        <v>35</v>
      </c>
      <c r="Q232" t="s">
        <v>35</v>
      </c>
      <c r="R232" t="s">
        <v>35</v>
      </c>
      <c r="S232" t="s">
        <v>35</v>
      </c>
      <c r="V232" t="s">
        <v>27</v>
      </c>
      <c r="W232" t="s">
        <v>28</v>
      </c>
      <c r="Z232" t="s">
        <v>37</v>
      </c>
    </row>
    <row r="233" spans="1:26" x14ac:dyDescent="0.25">
      <c r="A233" s="7" t="str">
        <f>VLOOKUP(F233,'Contas Orç'!A:B,2,0)</f>
        <v>COMBUSTIVEIS</v>
      </c>
      <c r="B233" s="7" t="str">
        <f>VLOOKUP(C233,Base_20.12!E:E,1,0)</f>
        <v>0000000072</v>
      </c>
      <c r="C233" t="s">
        <v>474</v>
      </c>
      <c r="D233" t="s">
        <v>25</v>
      </c>
      <c r="E233" s="8">
        <v>44878</v>
      </c>
      <c r="F233" t="s">
        <v>270</v>
      </c>
      <c r="G233" t="s">
        <v>81</v>
      </c>
      <c r="H233" t="s">
        <v>28</v>
      </c>
      <c r="I233" t="s">
        <v>29</v>
      </c>
      <c r="J233" t="s">
        <v>43</v>
      </c>
      <c r="K233" t="s">
        <v>475</v>
      </c>
      <c r="M233" t="s">
        <v>45</v>
      </c>
      <c r="N233" t="s">
        <v>476</v>
      </c>
      <c r="O233" t="s">
        <v>272</v>
      </c>
      <c r="P233" t="s">
        <v>35</v>
      </c>
      <c r="Q233" t="s">
        <v>35</v>
      </c>
      <c r="R233" t="s">
        <v>35</v>
      </c>
      <c r="S233" t="s">
        <v>35</v>
      </c>
      <c r="V233" t="s">
        <v>81</v>
      </c>
      <c r="W233" t="s">
        <v>28</v>
      </c>
      <c r="Z233" t="s">
        <v>37</v>
      </c>
    </row>
    <row r="234" spans="1:26" x14ac:dyDescent="0.25">
      <c r="A234" s="7" t="str">
        <f>VLOOKUP(F234,'Contas Orç'!A:B,2,0)</f>
        <v>COMBUSTIVEIS</v>
      </c>
      <c r="B234" s="7" t="str">
        <f>VLOOKUP(C234,Base_20.12!E:E,1,0)</f>
        <v>0000000072</v>
      </c>
      <c r="C234" t="s">
        <v>474</v>
      </c>
      <c r="D234" t="s">
        <v>38</v>
      </c>
      <c r="E234" s="8">
        <v>44878</v>
      </c>
      <c r="F234" t="s">
        <v>270</v>
      </c>
      <c r="G234" t="s">
        <v>81</v>
      </c>
      <c r="H234" t="s">
        <v>28</v>
      </c>
      <c r="I234" t="s">
        <v>46</v>
      </c>
      <c r="J234" t="s">
        <v>30</v>
      </c>
      <c r="K234" t="s">
        <v>271</v>
      </c>
      <c r="M234" t="s">
        <v>45</v>
      </c>
      <c r="N234" t="s">
        <v>476</v>
      </c>
      <c r="O234" t="s">
        <v>272</v>
      </c>
      <c r="P234" t="s">
        <v>35</v>
      </c>
      <c r="Q234" t="s">
        <v>35</v>
      </c>
      <c r="R234" t="s">
        <v>35</v>
      </c>
      <c r="S234" t="s">
        <v>35</v>
      </c>
      <c r="V234" t="s">
        <v>81</v>
      </c>
      <c r="W234" t="s">
        <v>28</v>
      </c>
      <c r="Z234" t="s">
        <v>37</v>
      </c>
    </row>
    <row r="235" spans="1:26" x14ac:dyDescent="0.25">
      <c r="A235" s="7" t="str">
        <f>VLOOKUP(F235,'Contas Orç'!A:B,2,0)</f>
        <v>COMBUSTIVEIS</v>
      </c>
      <c r="B235" s="7" t="str">
        <f>VLOOKUP(C235,Base_20.12!E:E,1,0)</f>
        <v>0000000072</v>
      </c>
      <c r="C235" t="s">
        <v>474</v>
      </c>
      <c r="D235" t="s">
        <v>48</v>
      </c>
      <c r="E235" s="8">
        <v>44878</v>
      </c>
      <c r="F235" t="s">
        <v>270</v>
      </c>
      <c r="G235" t="s">
        <v>81</v>
      </c>
      <c r="H235" t="s">
        <v>60</v>
      </c>
      <c r="I235" t="s">
        <v>29</v>
      </c>
      <c r="J235" t="s">
        <v>43</v>
      </c>
      <c r="K235" t="s">
        <v>475</v>
      </c>
      <c r="M235" t="s">
        <v>45</v>
      </c>
      <c r="N235" t="s">
        <v>476</v>
      </c>
      <c r="O235" t="s">
        <v>272</v>
      </c>
      <c r="P235" t="s">
        <v>35</v>
      </c>
      <c r="Q235" t="s">
        <v>35</v>
      </c>
      <c r="R235" t="s">
        <v>35</v>
      </c>
      <c r="S235" t="s">
        <v>35</v>
      </c>
      <c r="V235" t="s">
        <v>81</v>
      </c>
      <c r="W235" t="s">
        <v>60</v>
      </c>
      <c r="Z235" t="s">
        <v>37</v>
      </c>
    </row>
    <row r="236" spans="1:26" x14ac:dyDescent="0.25">
      <c r="A236" s="7" t="str">
        <f>VLOOKUP(F236,'Contas Orç'!A:B,2,0)</f>
        <v>COMBUSTIVEIS</v>
      </c>
      <c r="B236" s="7" t="str">
        <f>VLOOKUP(C236,Base_20.12!E:E,1,0)</f>
        <v>0000000072</v>
      </c>
      <c r="C236" t="s">
        <v>474</v>
      </c>
      <c r="D236" t="s">
        <v>50</v>
      </c>
      <c r="E236" s="8">
        <v>44878</v>
      </c>
      <c r="F236" t="s">
        <v>270</v>
      </c>
      <c r="G236" t="s">
        <v>81</v>
      </c>
      <c r="H236" t="s">
        <v>60</v>
      </c>
      <c r="I236" t="s">
        <v>46</v>
      </c>
      <c r="J236" t="s">
        <v>30</v>
      </c>
      <c r="K236" t="s">
        <v>271</v>
      </c>
      <c r="M236" t="s">
        <v>45</v>
      </c>
      <c r="N236" t="s">
        <v>476</v>
      </c>
      <c r="O236" t="s">
        <v>272</v>
      </c>
      <c r="P236" t="s">
        <v>35</v>
      </c>
      <c r="Q236" t="s">
        <v>35</v>
      </c>
      <c r="R236" t="s">
        <v>35</v>
      </c>
      <c r="S236" t="s">
        <v>35</v>
      </c>
      <c r="V236" t="s">
        <v>81</v>
      </c>
      <c r="W236" t="s">
        <v>60</v>
      </c>
      <c r="Z236" t="s">
        <v>37</v>
      </c>
    </row>
    <row r="237" spans="1:26" x14ac:dyDescent="0.25">
      <c r="A237" s="7" t="str">
        <f>VLOOKUP(F237,'Contas Orç'!A:B,2,0)</f>
        <v>PF-CONSULTORIA E ASSESSORIA</v>
      </c>
      <c r="B237" s="7" t="str">
        <f>VLOOKUP(C237,Base_20.12!E:E,1,0)</f>
        <v>0000000073</v>
      </c>
      <c r="C237" t="s">
        <v>477</v>
      </c>
      <c r="D237" t="s">
        <v>25</v>
      </c>
      <c r="E237" s="8">
        <v>44866</v>
      </c>
      <c r="F237" t="s">
        <v>156</v>
      </c>
      <c r="G237" t="s">
        <v>40</v>
      </c>
      <c r="H237" t="s">
        <v>54</v>
      </c>
      <c r="I237" t="s">
        <v>29</v>
      </c>
      <c r="J237" t="s">
        <v>30</v>
      </c>
      <c r="K237" t="s">
        <v>478</v>
      </c>
      <c r="M237" t="s">
        <v>56</v>
      </c>
      <c r="N237" t="s">
        <v>71</v>
      </c>
      <c r="O237" t="s">
        <v>479</v>
      </c>
      <c r="P237" t="s">
        <v>35</v>
      </c>
      <c r="Q237" t="s">
        <v>35</v>
      </c>
      <c r="R237" t="s">
        <v>35</v>
      </c>
      <c r="S237" t="s">
        <v>35</v>
      </c>
      <c r="V237" t="s">
        <v>40</v>
      </c>
      <c r="W237" t="s">
        <v>54</v>
      </c>
      <c r="Z237" t="s">
        <v>37</v>
      </c>
    </row>
    <row r="238" spans="1:26" x14ac:dyDescent="0.25">
      <c r="A238" s="7" t="str">
        <f>VLOOKUP(F238,'Contas Orç'!A:B,2,0)</f>
        <v>PF-CONSULTORIA E ASSESSORIA</v>
      </c>
      <c r="B238" s="7" t="str">
        <f>VLOOKUP(C238,Base_20.12!E:E,1,0)</f>
        <v>0000000073</v>
      </c>
      <c r="C238" t="s">
        <v>477</v>
      </c>
      <c r="D238" t="s">
        <v>38</v>
      </c>
      <c r="E238" s="8">
        <v>44896</v>
      </c>
      <c r="F238" t="s">
        <v>156</v>
      </c>
      <c r="G238" t="s">
        <v>40</v>
      </c>
      <c r="H238" t="s">
        <v>54</v>
      </c>
      <c r="I238" t="s">
        <v>29</v>
      </c>
      <c r="J238" t="s">
        <v>30</v>
      </c>
      <c r="K238" t="s">
        <v>478</v>
      </c>
      <c r="M238" t="s">
        <v>56</v>
      </c>
      <c r="N238" t="s">
        <v>71</v>
      </c>
      <c r="O238" t="s">
        <v>479</v>
      </c>
      <c r="P238" t="s">
        <v>35</v>
      </c>
      <c r="Q238" t="s">
        <v>35</v>
      </c>
      <c r="R238" t="s">
        <v>35</v>
      </c>
      <c r="S238" t="s">
        <v>35</v>
      </c>
      <c r="V238" t="s">
        <v>40</v>
      </c>
      <c r="W238" t="s">
        <v>54</v>
      </c>
      <c r="Z238" t="s">
        <v>37</v>
      </c>
    </row>
    <row r="239" spans="1:26" x14ac:dyDescent="0.25">
      <c r="A239" s="7" t="str">
        <f>VLOOKUP(F239,'Contas Orç'!A:B,2,0)</f>
        <v>PF-CONSULTORIA E ASSESSORIA</v>
      </c>
      <c r="B239" s="7" t="str">
        <f>VLOOKUP(C239,Base_20.12!E:E,1,0)</f>
        <v>0000000073</v>
      </c>
      <c r="C239" t="s">
        <v>477</v>
      </c>
      <c r="D239" t="s">
        <v>48</v>
      </c>
      <c r="E239" s="8">
        <v>44927</v>
      </c>
      <c r="F239" t="s">
        <v>156</v>
      </c>
      <c r="G239" t="s">
        <v>40</v>
      </c>
      <c r="H239" t="s">
        <v>54</v>
      </c>
      <c r="I239" t="s">
        <v>29</v>
      </c>
      <c r="J239" t="s">
        <v>30</v>
      </c>
      <c r="K239" t="s">
        <v>478</v>
      </c>
      <c r="M239" t="s">
        <v>56</v>
      </c>
      <c r="N239" t="s">
        <v>71</v>
      </c>
      <c r="O239" t="s">
        <v>479</v>
      </c>
      <c r="P239" t="s">
        <v>35</v>
      </c>
      <c r="Q239" t="s">
        <v>35</v>
      </c>
      <c r="R239" t="s">
        <v>35</v>
      </c>
      <c r="S239" t="s">
        <v>35</v>
      </c>
      <c r="V239" t="s">
        <v>40</v>
      </c>
      <c r="W239" t="s">
        <v>54</v>
      </c>
      <c r="Z239" t="s">
        <v>37</v>
      </c>
    </row>
    <row r="240" spans="1:26" x14ac:dyDescent="0.25">
      <c r="A240" s="7" t="str">
        <f>VLOOKUP(F240,'Contas Orç'!A:B,2,0)</f>
        <v>PF-CONSULTORIA E ASSESSORIA</v>
      </c>
      <c r="B240" s="7" t="str">
        <f>VLOOKUP(C240,Base_20.12!E:E,1,0)</f>
        <v>0000000073</v>
      </c>
      <c r="C240" t="s">
        <v>477</v>
      </c>
      <c r="D240" t="s">
        <v>50</v>
      </c>
      <c r="E240" s="8">
        <v>44958</v>
      </c>
      <c r="F240" t="s">
        <v>156</v>
      </c>
      <c r="G240" t="s">
        <v>40</v>
      </c>
      <c r="H240" t="s">
        <v>54</v>
      </c>
      <c r="I240" t="s">
        <v>29</v>
      </c>
      <c r="J240" t="s">
        <v>30</v>
      </c>
      <c r="K240" t="s">
        <v>478</v>
      </c>
      <c r="M240" t="s">
        <v>56</v>
      </c>
      <c r="N240" t="s">
        <v>71</v>
      </c>
      <c r="O240" t="s">
        <v>479</v>
      </c>
      <c r="P240" t="s">
        <v>35</v>
      </c>
      <c r="Q240" t="s">
        <v>35</v>
      </c>
      <c r="R240" t="s">
        <v>35</v>
      </c>
      <c r="S240" t="s">
        <v>35</v>
      </c>
      <c r="V240" t="s">
        <v>40</v>
      </c>
      <c r="W240" t="s">
        <v>54</v>
      </c>
      <c r="Z240" t="s">
        <v>37</v>
      </c>
    </row>
    <row r="241" spans="1:26" x14ac:dyDescent="0.25">
      <c r="A241" s="7" t="str">
        <f>VLOOKUP(F241,'Contas Orç'!A:B,2,0)</f>
        <v>PF-CONSULTORIA E ASSESSORIA</v>
      </c>
      <c r="B241" s="7" t="str">
        <f>VLOOKUP(C241,Base_20.12!E:E,1,0)</f>
        <v>0000000073</v>
      </c>
      <c r="C241" t="s">
        <v>477</v>
      </c>
      <c r="D241" t="s">
        <v>87</v>
      </c>
      <c r="E241" s="8">
        <v>44986</v>
      </c>
      <c r="F241" t="s">
        <v>156</v>
      </c>
      <c r="G241" t="s">
        <v>40</v>
      </c>
      <c r="H241" t="s">
        <v>54</v>
      </c>
      <c r="I241" t="s">
        <v>29</v>
      </c>
      <c r="J241" t="s">
        <v>30</v>
      </c>
      <c r="K241" t="s">
        <v>478</v>
      </c>
      <c r="M241" t="s">
        <v>56</v>
      </c>
      <c r="N241" t="s">
        <v>71</v>
      </c>
      <c r="O241" t="s">
        <v>479</v>
      </c>
      <c r="P241" t="s">
        <v>35</v>
      </c>
      <c r="Q241" t="s">
        <v>35</v>
      </c>
      <c r="R241" t="s">
        <v>35</v>
      </c>
      <c r="S241" t="s">
        <v>35</v>
      </c>
      <c r="V241" t="s">
        <v>40</v>
      </c>
      <c r="W241" t="s">
        <v>54</v>
      </c>
      <c r="Z241" t="s">
        <v>37</v>
      </c>
    </row>
    <row r="242" spans="1:26" x14ac:dyDescent="0.25">
      <c r="A242" s="7" t="str">
        <f>VLOOKUP(F242,'Contas Orç'!A:B,2,0)</f>
        <v>PF-CONSULTORIA E ASSESSORIA</v>
      </c>
      <c r="B242" s="7" t="str">
        <f>VLOOKUP(C242,Base_20.12!E:E,1,0)</f>
        <v>0000000073</v>
      </c>
      <c r="C242" t="s">
        <v>477</v>
      </c>
      <c r="D242" t="s">
        <v>91</v>
      </c>
      <c r="E242" s="8">
        <v>45017</v>
      </c>
      <c r="F242" t="s">
        <v>156</v>
      </c>
      <c r="G242" t="s">
        <v>40</v>
      </c>
      <c r="H242" t="s">
        <v>54</v>
      </c>
      <c r="I242" t="s">
        <v>29</v>
      </c>
      <c r="J242" t="s">
        <v>30</v>
      </c>
      <c r="K242" t="s">
        <v>478</v>
      </c>
      <c r="M242" t="s">
        <v>56</v>
      </c>
      <c r="N242" t="s">
        <v>71</v>
      </c>
      <c r="O242" t="s">
        <v>479</v>
      </c>
      <c r="P242" t="s">
        <v>35</v>
      </c>
      <c r="Q242" t="s">
        <v>35</v>
      </c>
      <c r="R242" t="s">
        <v>35</v>
      </c>
      <c r="S242" t="s">
        <v>35</v>
      </c>
      <c r="V242" t="s">
        <v>40</v>
      </c>
      <c r="W242" t="s">
        <v>54</v>
      </c>
      <c r="Z242" t="s">
        <v>37</v>
      </c>
    </row>
    <row r="243" spans="1:26" x14ac:dyDescent="0.25">
      <c r="A243" s="7" t="str">
        <f>VLOOKUP(F243,'Contas Orç'!A:B,2,0)</f>
        <v>PF-CONSULTORIA E ASSESSORIA</v>
      </c>
      <c r="B243" s="7" t="str">
        <f>VLOOKUP(C243,Base_20.12!E:E,1,0)</f>
        <v>0000000073</v>
      </c>
      <c r="C243" t="s">
        <v>477</v>
      </c>
      <c r="D243" t="s">
        <v>94</v>
      </c>
      <c r="E243" s="8">
        <v>45047</v>
      </c>
      <c r="F243" t="s">
        <v>156</v>
      </c>
      <c r="G243" t="s">
        <v>40</v>
      </c>
      <c r="H243" t="s">
        <v>54</v>
      </c>
      <c r="I243" t="s">
        <v>29</v>
      </c>
      <c r="J243" t="s">
        <v>30</v>
      </c>
      <c r="K243" t="s">
        <v>478</v>
      </c>
      <c r="M243" t="s">
        <v>56</v>
      </c>
      <c r="N243" t="s">
        <v>71</v>
      </c>
      <c r="O243" t="s">
        <v>479</v>
      </c>
      <c r="P243" t="s">
        <v>35</v>
      </c>
      <c r="Q243" t="s">
        <v>35</v>
      </c>
      <c r="R243" t="s">
        <v>35</v>
      </c>
      <c r="S243" t="s">
        <v>35</v>
      </c>
      <c r="V243" t="s">
        <v>40</v>
      </c>
      <c r="W243" t="s">
        <v>54</v>
      </c>
      <c r="Z243" t="s">
        <v>37</v>
      </c>
    </row>
    <row r="244" spans="1:26" x14ac:dyDescent="0.25">
      <c r="A244" s="7" t="str">
        <f>VLOOKUP(F244,'Contas Orç'!A:B,2,0)</f>
        <v>PF-CONSULTORIA E ASSESSORIA</v>
      </c>
      <c r="B244" s="7" t="str">
        <f>VLOOKUP(C244,Base_20.12!E:E,1,0)</f>
        <v>0000000074</v>
      </c>
      <c r="C244" t="s">
        <v>480</v>
      </c>
      <c r="D244" t="s">
        <v>25</v>
      </c>
      <c r="E244" s="8">
        <v>44886</v>
      </c>
      <c r="F244" t="s">
        <v>156</v>
      </c>
      <c r="G244" t="s">
        <v>40</v>
      </c>
      <c r="H244" t="s">
        <v>54</v>
      </c>
      <c r="I244" t="s">
        <v>29</v>
      </c>
      <c r="J244" t="s">
        <v>43</v>
      </c>
      <c r="K244" t="s">
        <v>481</v>
      </c>
      <c r="M244" t="s">
        <v>45</v>
      </c>
      <c r="N244" t="s">
        <v>261</v>
      </c>
      <c r="O244" t="s">
        <v>479</v>
      </c>
      <c r="P244" t="s">
        <v>35</v>
      </c>
      <c r="Q244" t="s">
        <v>35</v>
      </c>
      <c r="R244" t="s">
        <v>35</v>
      </c>
      <c r="S244" t="s">
        <v>35</v>
      </c>
      <c r="V244" t="s">
        <v>40</v>
      </c>
      <c r="W244" t="s">
        <v>54</v>
      </c>
      <c r="Z244" t="s">
        <v>37</v>
      </c>
    </row>
    <row r="245" spans="1:26" x14ac:dyDescent="0.25">
      <c r="A245" s="7" t="str">
        <f>VLOOKUP(F245,'Contas Orç'!A:B,2,0)</f>
        <v>PF-CONSULTORIA E ASSESSORIA</v>
      </c>
      <c r="B245" s="7" t="str">
        <f>VLOOKUP(C245,Base_20.12!E:E,1,0)</f>
        <v>0000000074</v>
      </c>
      <c r="C245" t="s">
        <v>480</v>
      </c>
      <c r="D245" t="s">
        <v>38</v>
      </c>
      <c r="E245" s="8">
        <v>44886</v>
      </c>
      <c r="F245" t="s">
        <v>156</v>
      </c>
      <c r="G245" t="s">
        <v>40</v>
      </c>
      <c r="H245" t="s">
        <v>54</v>
      </c>
      <c r="I245" t="s">
        <v>46</v>
      </c>
      <c r="J245" t="s">
        <v>30</v>
      </c>
      <c r="K245" t="s">
        <v>478</v>
      </c>
      <c r="M245" t="s">
        <v>45</v>
      </c>
      <c r="N245" t="s">
        <v>261</v>
      </c>
      <c r="O245" t="s">
        <v>479</v>
      </c>
      <c r="P245" t="s">
        <v>35</v>
      </c>
      <c r="Q245" t="s">
        <v>35</v>
      </c>
      <c r="R245" t="s">
        <v>35</v>
      </c>
      <c r="S245" t="s">
        <v>35</v>
      </c>
      <c r="V245" t="s">
        <v>40</v>
      </c>
      <c r="W245" t="s">
        <v>54</v>
      </c>
      <c r="Z245" t="s">
        <v>37</v>
      </c>
    </row>
    <row r="246" spans="1:26" x14ac:dyDescent="0.25">
      <c r="A246" s="7" t="str">
        <f>VLOOKUP(F246,'Contas Orç'!A:B,2,0)</f>
        <v>PECAS E ACESSORIOS</v>
      </c>
      <c r="B246" s="7" t="str">
        <f>VLOOKUP(C246,Base_20.12!E:E,1,0)</f>
        <v>0000000075</v>
      </c>
      <c r="C246" t="s">
        <v>482</v>
      </c>
      <c r="D246" t="s">
        <v>25</v>
      </c>
      <c r="E246" s="8">
        <v>44880</v>
      </c>
      <c r="F246" t="s">
        <v>26</v>
      </c>
      <c r="G246" t="s">
        <v>88</v>
      </c>
      <c r="H246" t="s">
        <v>54</v>
      </c>
      <c r="I246" t="s">
        <v>29</v>
      </c>
      <c r="J246" t="s">
        <v>30</v>
      </c>
      <c r="K246" t="s">
        <v>483</v>
      </c>
      <c r="M246" t="s">
        <v>56</v>
      </c>
      <c r="N246" t="s">
        <v>71</v>
      </c>
      <c r="O246" t="s">
        <v>484</v>
      </c>
      <c r="P246" t="s">
        <v>35</v>
      </c>
      <c r="Q246" t="s">
        <v>35</v>
      </c>
      <c r="R246" t="s">
        <v>35</v>
      </c>
      <c r="S246" t="s">
        <v>35</v>
      </c>
      <c r="V246" t="s">
        <v>88</v>
      </c>
      <c r="W246" t="s">
        <v>54</v>
      </c>
      <c r="Z246" t="s">
        <v>37</v>
      </c>
    </row>
    <row r="247" spans="1:26" x14ac:dyDescent="0.25">
      <c r="A247" s="7" t="str">
        <f>VLOOKUP(F247,'Contas Orç'!A:B,2,0)</f>
        <v>PECAS E ACESSORIOS</v>
      </c>
      <c r="B247" s="7" t="str">
        <f>VLOOKUP(C247,Base_20.12!E:E,1,0)</f>
        <v>0000000075</v>
      </c>
      <c r="C247" t="s">
        <v>482</v>
      </c>
      <c r="D247" t="s">
        <v>38</v>
      </c>
      <c r="E247" s="8">
        <v>44880</v>
      </c>
      <c r="F247" t="s">
        <v>26</v>
      </c>
      <c r="G247" t="s">
        <v>88</v>
      </c>
      <c r="H247" t="s">
        <v>54</v>
      </c>
      <c r="I247" t="s">
        <v>29</v>
      </c>
      <c r="J247" t="s">
        <v>30</v>
      </c>
      <c r="K247" t="s">
        <v>485</v>
      </c>
      <c r="M247" t="s">
        <v>56</v>
      </c>
      <c r="N247" t="s">
        <v>71</v>
      </c>
      <c r="O247" t="s">
        <v>486</v>
      </c>
      <c r="P247" t="s">
        <v>35</v>
      </c>
      <c r="Q247" t="s">
        <v>35</v>
      </c>
      <c r="R247" t="s">
        <v>35</v>
      </c>
      <c r="S247" t="s">
        <v>35</v>
      </c>
      <c r="V247" t="s">
        <v>88</v>
      </c>
      <c r="W247" t="s">
        <v>54</v>
      </c>
      <c r="Z247" t="s">
        <v>37</v>
      </c>
    </row>
    <row r="248" spans="1:26" x14ac:dyDescent="0.25">
      <c r="A248" s="7" t="str">
        <f>VLOOKUP(F248,'Contas Orç'!A:B,2,0)</f>
        <v>PECAS E ACESSORIOS</v>
      </c>
      <c r="B248" s="7" t="str">
        <f>VLOOKUP(C248,Base_20.12!E:E,1,0)</f>
        <v>0000000075</v>
      </c>
      <c r="C248" t="s">
        <v>482</v>
      </c>
      <c r="D248" t="s">
        <v>48</v>
      </c>
      <c r="E248" s="8">
        <v>44880</v>
      </c>
      <c r="F248" t="s">
        <v>26</v>
      </c>
      <c r="G248" t="s">
        <v>27</v>
      </c>
      <c r="H248" t="s">
        <v>28</v>
      </c>
      <c r="I248" t="s">
        <v>29</v>
      </c>
      <c r="J248" t="s">
        <v>30</v>
      </c>
      <c r="K248" t="s">
        <v>487</v>
      </c>
      <c r="M248" t="s">
        <v>56</v>
      </c>
      <c r="N248" t="s">
        <v>71</v>
      </c>
      <c r="O248" t="s">
        <v>488</v>
      </c>
      <c r="P248" t="s">
        <v>35</v>
      </c>
      <c r="Q248" t="s">
        <v>35</v>
      </c>
      <c r="R248" t="s">
        <v>35</v>
      </c>
      <c r="S248" t="s">
        <v>35</v>
      </c>
      <c r="V248" t="s">
        <v>27</v>
      </c>
      <c r="W248" t="s">
        <v>28</v>
      </c>
      <c r="Z248" t="s">
        <v>37</v>
      </c>
    </row>
    <row r="249" spans="1:26" x14ac:dyDescent="0.25">
      <c r="A249" s="7" t="str">
        <f>VLOOKUP(F249,'Contas Orç'!A:B,2,0)</f>
        <v>PECAS E ACESSORIOS</v>
      </c>
      <c r="B249" s="7" t="str">
        <f>VLOOKUP(C249,Base_20.12!E:E,1,0)</f>
        <v>0000000075</v>
      </c>
      <c r="C249" t="s">
        <v>482</v>
      </c>
      <c r="D249" t="s">
        <v>50</v>
      </c>
      <c r="E249" s="8">
        <v>44880</v>
      </c>
      <c r="F249" t="s">
        <v>26</v>
      </c>
      <c r="G249" t="s">
        <v>59</v>
      </c>
      <c r="H249" t="s">
        <v>60</v>
      </c>
      <c r="I249" t="s">
        <v>29</v>
      </c>
      <c r="J249" t="s">
        <v>30</v>
      </c>
      <c r="K249" t="s">
        <v>489</v>
      </c>
      <c r="M249" t="s">
        <v>56</v>
      </c>
      <c r="N249" t="s">
        <v>71</v>
      </c>
      <c r="O249" t="s">
        <v>490</v>
      </c>
      <c r="P249" t="s">
        <v>35</v>
      </c>
      <c r="Q249" t="s">
        <v>35</v>
      </c>
      <c r="R249" t="s">
        <v>35</v>
      </c>
      <c r="S249" t="s">
        <v>35</v>
      </c>
      <c r="V249" t="s">
        <v>59</v>
      </c>
      <c r="W249" t="s">
        <v>60</v>
      </c>
      <c r="Z249" t="s">
        <v>37</v>
      </c>
    </row>
    <row r="250" spans="1:26" x14ac:dyDescent="0.25">
      <c r="A250" s="7" t="str">
        <f>VLOOKUP(F250,'Contas Orç'!A:B,2,0)</f>
        <v>PECAS E ACESSORIOS</v>
      </c>
      <c r="B250" s="7" t="str">
        <f>VLOOKUP(C250,Base_20.12!E:E,1,0)</f>
        <v>0000000075</v>
      </c>
      <c r="C250" t="s">
        <v>482</v>
      </c>
      <c r="D250" t="s">
        <v>87</v>
      </c>
      <c r="E250" s="8">
        <v>44880</v>
      </c>
      <c r="F250" t="s">
        <v>39</v>
      </c>
      <c r="G250" t="s">
        <v>99</v>
      </c>
      <c r="H250" t="s">
        <v>54</v>
      </c>
      <c r="I250" t="s">
        <v>29</v>
      </c>
      <c r="J250" t="s">
        <v>30</v>
      </c>
      <c r="K250" t="s">
        <v>491</v>
      </c>
      <c r="M250" t="s">
        <v>56</v>
      </c>
      <c r="N250" t="s">
        <v>71</v>
      </c>
      <c r="O250" t="s">
        <v>492</v>
      </c>
      <c r="P250" t="s">
        <v>35</v>
      </c>
      <c r="Q250" t="s">
        <v>35</v>
      </c>
      <c r="R250" t="s">
        <v>35</v>
      </c>
      <c r="S250" t="s">
        <v>35</v>
      </c>
      <c r="V250" t="s">
        <v>99</v>
      </c>
      <c r="W250" t="s">
        <v>54</v>
      </c>
      <c r="Z250" t="s">
        <v>37</v>
      </c>
    </row>
    <row r="251" spans="1:26" x14ac:dyDescent="0.25">
      <c r="A251" s="7" t="str">
        <f>VLOOKUP(F251,'Contas Orç'!A:B,2,0)</f>
        <v>PJ-OUTROS SERVICOS CONTRATADOS-PJ</v>
      </c>
      <c r="B251" s="7" t="str">
        <f>VLOOKUP(C251,Base_20.12!E:E,1,0)</f>
        <v>0000000076</v>
      </c>
      <c r="C251" t="s">
        <v>493</v>
      </c>
      <c r="D251" t="s">
        <v>25</v>
      </c>
      <c r="E251" s="8">
        <v>44866</v>
      </c>
      <c r="F251" t="s">
        <v>67</v>
      </c>
      <c r="G251" t="s">
        <v>40</v>
      </c>
      <c r="H251" t="s">
        <v>54</v>
      </c>
      <c r="I251" t="s">
        <v>29</v>
      </c>
      <c r="J251" t="s">
        <v>30</v>
      </c>
      <c r="K251" t="s">
        <v>494</v>
      </c>
      <c r="M251" t="s">
        <v>56</v>
      </c>
      <c r="N251" t="s">
        <v>71</v>
      </c>
      <c r="O251" t="s">
        <v>495</v>
      </c>
      <c r="P251" t="s">
        <v>35</v>
      </c>
      <c r="Q251" t="s">
        <v>35</v>
      </c>
      <c r="R251" t="s">
        <v>35</v>
      </c>
      <c r="S251" t="s">
        <v>35</v>
      </c>
      <c r="V251" t="s">
        <v>40</v>
      </c>
      <c r="W251" t="s">
        <v>54</v>
      </c>
      <c r="Z251" t="s">
        <v>37</v>
      </c>
    </row>
    <row r="252" spans="1:26" x14ac:dyDescent="0.25">
      <c r="A252" s="7" t="str">
        <f>VLOOKUP(F252,'Contas Orç'!A:B,2,0)</f>
        <v>PJ-OUTROS SERVICOS CONTRATADOS-PJ</v>
      </c>
      <c r="B252" s="7" t="str">
        <f>VLOOKUP(C252,Base_20.12!E:E,1,0)</f>
        <v>0000000076</v>
      </c>
      <c r="C252" t="s">
        <v>493</v>
      </c>
      <c r="D252" t="s">
        <v>38</v>
      </c>
      <c r="E252" s="8">
        <v>44896</v>
      </c>
      <c r="F252" t="s">
        <v>67</v>
      </c>
      <c r="G252" t="s">
        <v>40</v>
      </c>
      <c r="H252" t="s">
        <v>54</v>
      </c>
      <c r="I252" t="s">
        <v>29</v>
      </c>
      <c r="J252" t="s">
        <v>30</v>
      </c>
      <c r="K252" t="s">
        <v>494</v>
      </c>
      <c r="M252" t="s">
        <v>56</v>
      </c>
      <c r="N252" t="s">
        <v>71</v>
      </c>
      <c r="O252" t="s">
        <v>495</v>
      </c>
      <c r="P252" t="s">
        <v>35</v>
      </c>
      <c r="Q252" t="s">
        <v>35</v>
      </c>
      <c r="R252" t="s">
        <v>35</v>
      </c>
      <c r="S252" t="s">
        <v>35</v>
      </c>
      <c r="V252" t="s">
        <v>40</v>
      </c>
      <c r="W252" t="s">
        <v>54</v>
      </c>
      <c r="Z252" t="s">
        <v>37</v>
      </c>
    </row>
    <row r="253" spans="1:26" x14ac:dyDescent="0.25">
      <c r="A253" s="7" t="str">
        <f>VLOOKUP(F253,'Contas Orç'!A:B,2,0)</f>
        <v>PJ-OUTROS SERVICOS CONTRATADOS-PJ</v>
      </c>
      <c r="B253" s="7" t="str">
        <f>VLOOKUP(C253,Base_20.12!E:E,1,0)</f>
        <v>0000000076</v>
      </c>
      <c r="C253" t="s">
        <v>493</v>
      </c>
      <c r="D253" t="s">
        <v>48</v>
      </c>
      <c r="E253" s="8">
        <v>44927</v>
      </c>
      <c r="F253" t="s">
        <v>67</v>
      </c>
      <c r="G253" t="s">
        <v>40</v>
      </c>
      <c r="H253" t="s">
        <v>54</v>
      </c>
      <c r="I253" t="s">
        <v>29</v>
      </c>
      <c r="J253" t="s">
        <v>30</v>
      </c>
      <c r="K253" t="s">
        <v>494</v>
      </c>
      <c r="M253" t="s">
        <v>56</v>
      </c>
      <c r="N253" t="s">
        <v>71</v>
      </c>
      <c r="O253" t="s">
        <v>495</v>
      </c>
      <c r="P253" t="s">
        <v>35</v>
      </c>
      <c r="Q253" t="s">
        <v>35</v>
      </c>
      <c r="R253" t="s">
        <v>35</v>
      </c>
      <c r="S253" t="s">
        <v>35</v>
      </c>
      <c r="V253" t="s">
        <v>40</v>
      </c>
      <c r="W253" t="s">
        <v>54</v>
      </c>
      <c r="Z253" t="s">
        <v>37</v>
      </c>
    </row>
    <row r="254" spans="1:26" x14ac:dyDescent="0.25">
      <c r="A254" s="7" t="str">
        <f>VLOOKUP(F254,'Contas Orç'!A:B,2,0)</f>
        <v>PJ-OUTROS SERVICOS CONTRATADOS-PJ</v>
      </c>
      <c r="B254" s="7" t="str">
        <f>VLOOKUP(C254,Base_20.12!E:E,1,0)</f>
        <v>0000000076</v>
      </c>
      <c r="C254" t="s">
        <v>493</v>
      </c>
      <c r="D254" t="s">
        <v>50</v>
      </c>
      <c r="E254" s="8">
        <v>44958</v>
      </c>
      <c r="F254" t="s">
        <v>67</v>
      </c>
      <c r="G254" t="s">
        <v>40</v>
      </c>
      <c r="H254" t="s">
        <v>54</v>
      </c>
      <c r="I254" t="s">
        <v>29</v>
      </c>
      <c r="J254" t="s">
        <v>30</v>
      </c>
      <c r="K254" t="s">
        <v>494</v>
      </c>
      <c r="M254" t="s">
        <v>56</v>
      </c>
      <c r="N254" t="s">
        <v>71</v>
      </c>
      <c r="O254" t="s">
        <v>495</v>
      </c>
      <c r="P254" t="s">
        <v>35</v>
      </c>
      <c r="Q254" t="s">
        <v>35</v>
      </c>
      <c r="R254" t="s">
        <v>35</v>
      </c>
      <c r="S254" t="s">
        <v>35</v>
      </c>
      <c r="V254" t="s">
        <v>40</v>
      </c>
      <c r="W254" t="s">
        <v>54</v>
      </c>
      <c r="Z254" t="s">
        <v>37</v>
      </c>
    </row>
    <row r="255" spans="1:26" x14ac:dyDescent="0.25">
      <c r="A255" s="7" t="str">
        <f>VLOOKUP(F255,'Contas Orç'!A:B,2,0)</f>
        <v>PJ-OUTROS SERVICOS CONTRATADOS-PJ</v>
      </c>
      <c r="B255" s="7" t="str">
        <f>VLOOKUP(C255,Base_20.12!E:E,1,0)</f>
        <v>0000000076</v>
      </c>
      <c r="C255" t="s">
        <v>493</v>
      </c>
      <c r="D255" t="s">
        <v>87</v>
      </c>
      <c r="E255" s="8">
        <v>44986</v>
      </c>
      <c r="F255" t="s">
        <v>67</v>
      </c>
      <c r="G255" t="s">
        <v>40</v>
      </c>
      <c r="H255" t="s">
        <v>54</v>
      </c>
      <c r="I255" t="s">
        <v>29</v>
      </c>
      <c r="J255" t="s">
        <v>30</v>
      </c>
      <c r="K255" t="s">
        <v>494</v>
      </c>
      <c r="M255" t="s">
        <v>56</v>
      </c>
      <c r="N255" t="s">
        <v>71</v>
      </c>
      <c r="O255" t="s">
        <v>495</v>
      </c>
      <c r="P255" t="s">
        <v>35</v>
      </c>
      <c r="Q255" t="s">
        <v>35</v>
      </c>
      <c r="R255" t="s">
        <v>35</v>
      </c>
      <c r="S255" t="s">
        <v>35</v>
      </c>
      <c r="V255" t="s">
        <v>40</v>
      </c>
      <c r="W255" t="s">
        <v>54</v>
      </c>
      <c r="Z255" t="s">
        <v>37</v>
      </c>
    </row>
    <row r="256" spans="1:26" x14ac:dyDescent="0.25">
      <c r="A256" s="7" t="str">
        <f>VLOOKUP(F256,'Contas Orç'!A:B,2,0)</f>
        <v>PJ-OUTROS SERVICOS CONTRATADOS-PJ</v>
      </c>
      <c r="B256" s="7" t="str">
        <f>VLOOKUP(C256,Base_20.12!E:E,1,0)</f>
        <v>0000000076</v>
      </c>
      <c r="C256" t="s">
        <v>493</v>
      </c>
      <c r="D256" t="s">
        <v>91</v>
      </c>
      <c r="E256" s="8">
        <v>45017</v>
      </c>
      <c r="F256" t="s">
        <v>67</v>
      </c>
      <c r="G256" t="s">
        <v>40</v>
      </c>
      <c r="H256" t="s">
        <v>54</v>
      </c>
      <c r="I256" t="s">
        <v>29</v>
      </c>
      <c r="J256" t="s">
        <v>30</v>
      </c>
      <c r="K256" t="s">
        <v>494</v>
      </c>
      <c r="M256" t="s">
        <v>56</v>
      </c>
      <c r="N256" t="s">
        <v>71</v>
      </c>
      <c r="O256" t="s">
        <v>495</v>
      </c>
      <c r="P256" t="s">
        <v>35</v>
      </c>
      <c r="Q256" t="s">
        <v>35</v>
      </c>
      <c r="R256" t="s">
        <v>35</v>
      </c>
      <c r="S256" t="s">
        <v>35</v>
      </c>
      <c r="V256" t="s">
        <v>40</v>
      </c>
      <c r="W256" t="s">
        <v>54</v>
      </c>
      <c r="Z256" t="s">
        <v>37</v>
      </c>
    </row>
    <row r="257" spans="1:26" x14ac:dyDescent="0.25">
      <c r="A257" s="7" t="str">
        <f>VLOOKUP(F257,'Contas Orç'!A:B,2,0)</f>
        <v>PJ-OUTROS SERVICOS CONTRATADOS-PJ</v>
      </c>
      <c r="B257" s="7" t="str">
        <f>VLOOKUP(C257,Base_20.12!E:E,1,0)</f>
        <v>0000000076</v>
      </c>
      <c r="C257" t="s">
        <v>493</v>
      </c>
      <c r="D257" t="s">
        <v>94</v>
      </c>
      <c r="E257" s="8">
        <v>45047</v>
      </c>
      <c r="F257" t="s">
        <v>67</v>
      </c>
      <c r="G257" t="s">
        <v>40</v>
      </c>
      <c r="H257" t="s">
        <v>54</v>
      </c>
      <c r="I257" t="s">
        <v>29</v>
      </c>
      <c r="J257" t="s">
        <v>30</v>
      </c>
      <c r="K257" t="s">
        <v>494</v>
      </c>
      <c r="M257" t="s">
        <v>56</v>
      </c>
      <c r="N257" t="s">
        <v>71</v>
      </c>
      <c r="O257" t="s">
        <v>495</v>
      </c>
      <c r="P257" t="s">
        <v>35</v>
      </c>
      <c r="Q257" t="s">
        <v>35</v>
      </c>
      <c r="R257" t="s">
        <v>35</v>
      </c>
      <c r="S257" t="s">
        <v>35</v>
      </c>
      <c r="V257" t="s">
        <v>40</v>
      </c>
      <c r="W257" t="s">
        <v>54</v>
      </c>
      <c r="Z257" t="s">
        <v>37</v>
      </c>
    </row>
    <row r="258" spans="1:26" x14ac:dyDescent="0.25">
      <c r="A258" s="7" t="str">
        <f>VLOOKUP(F258,'Contas Orç'!A:B,2,0)</f>
        <v>PJ-OUTROS SERVICOS CONTRATADOS-PJ</v>
      </c>
      <c r="B258" s="7" t="str">
        <f>VLOOKUP(C258,Base_20.12!E:E,1,0)</f>
        <v>0000000076</v>
      </c>
      <c r="C258" t="s">
        <v>493</v>
      </c>
      <c r="D258" t="s">
        <v>98</v>
      </c>
      <c r="E258" s="8">
        <v>45078</v>
      </c>
      <c r="F258" t="s">
        <v>67</v>
      </c>
      <c r="G258" t="s">
        <v>40</v>
      </c>
      <c r="H258" t="s">
        <v>54</v>
      </c>
      <c r="I258" t="s">
        <v>29</v>
      </c>
      <c r="J258" t="s">
        <v>30</v>
      </c>
      <c r="K258" t="s">
        <v>494</v>
      </c>
      <c r="M258" t="s">
        <v>56</v>
      </c>
      <c r="N258" t="s">
        <v>71</v>
      </c>
      <c r="O258" t="s">
        <v>495</v>
      </c>
      <c r="P258" t="s">
        <v>35</v>
      </c>
      <c r="Q258" t="s">
        <v>35</v>
      </c>
      <c r="R258" t="s">
        <v>35</v>
      </c>
      <c r="S258" t="s">
        <v>35</v>
      </c>
      <c r="V258" t="s">
        <v>40</v>
      </c>
      <c r="W258" t="s">
        <v>54</v>
      </c>
      <c r="Z258" t="s">
        <v>37</v>
      </c>
    </row>
    <row r="259" spans="1:26" x14ac:dyDescent="0.25">
      <c r="A259" s="7" t="str">
        <f>VLOOKUP(F259,'Contas Orç'!A:B,2,0)</f>
        <v>PJ-OUTROS SERVICOS CONTRATADOS-PJ</v>
      </c>
      <c r="B259" s="7" t="str">
        <f>VLOOKUP(C259,Base_20.12!E:E,1,0)</f>
        <v>0000000077</v>
      </c>
      <c r="C259" t="s">
        <v>496</v>
      </c>
      <c r="D259" t="s">
        <v>25</v>
      </c>
      <c r="E259" s="8">
        <v>44886</v>
      </c>
      <c r="F259" t="s">
        <v>67</v>
      </c>
      <c r="G259" t="s">
        <v>40</v>
      </c>
      <c r="H259" t="s">
        <v>54</v>
      </c>
      <c r="I259" t="s">
        <v>29</v>
      </c>
      <c r="J259" t="s">
        <v>43</v>
      </c>
      <c r="K259" t="s">
        <v>497</v>
      </c>
      <c r="M259" t="s">
        <v>45</v>
      </c>
      <c r="N259" t="s">
        <v>261</v>
      </c>
      <c r="O259" t="s">
        <v>495</v>
      </c>
      <c r="P259" t="s">
        <v>35</v>
      </c>
      <c r="Q259" t="s">
        <v>35</v>
      </c>
      <c r="R259" t="s">
        <v>35</v>
      </c>
      <c r="S259" t="s">
        <v>35</v>
      </c>
      <c r="V259" t="s">
        <v>40</v>
      </c>
      <c r="W259" t="s">
        <v>54</v>
      </c>
      <c r="Z259" t="s">
        <v>37</v>
      </c>
    </row>
    <row r="260" spans="1:26" x14ac:dyDescent="0.25">
      <c r="A260" s="7" t="str">
        <f>VLOOKUP(F260,'Contas Orç'!A:B,2,0)</f>
        <v>PJ-OUTROS SERVICOS CONTRATADOS-PJ</v>
      </c>
      <c r="B260" s="7" t="str">
        <f>VLOOKUP(C260,Base_20.12!E:E,1,0)</f>
        <v>0000000077</v>
      </c>
      <c r="C260" t="s">
        <v>496</v>
      </c>
      <c r="D260" t="s">
        <v>38</v>
      </c>
      <c r="E260" s="8">
        <v>44886</v>
      </c>
      <c r="F260" t="s">
        <v>67</v>
      </c>
      <c r="G260" t="s">
        <v>40</v>
      </c>
      <c r="H260" t="s">
        <v>54</v>
      </c>
      <c r="I260" t="s">
        <v>46</v>
      </c>
      <c r="J260" t="s">
        <v>30</v>
      </c>
      <c r="K260" t="s">
        <v>494</v>
      </c>
      <c r="M260" t="s">
        <v>45</v>
      </c>
      <c r="N260" t="s">
        <v>261</v>
      </c>
      <c r="O260" t="s">
        <v>495</v>
      </c>
      <c r="P260" t="s">
        <v>35</v>
      </c>
      <c r="Q260" t="s">
        <v>35</v>
      </c>
      <c r="R260" t="s">
        <v>35</v>
      </c>
      <c r="S260" t="s">
        <v>35</v>
      </c>
      <c r="V260" t="s">
        <v>40</v>
      </c>
      <c r="W260" t="s">
        <v>54</v>
      </c>
      <c r="Z260" t="s">
        <v>37</v>
      </c>
    </row>
    <row r="261" spans="1:26" x14ac:dyDescent="0.25">
      <c r="A261" s="10" t="str">
        <f>VLOOKUP(F261,'Contas Orç'!A:B,2,0)</f>
        <v>RECEITA BRUTA DE TRANSPORTES</v>
      </c>
      <c r="B261" s="7" t="str">
        <f>VLOOKUP(C261,Base_20.12!E:E,1,0)</f>
        <v>0000000078</v>
      </c>
      <c r="C261" t="s">
        <v>641</v>
      </c>
      <c r="D261" t="s">
        <v>25</v>
      </c>
      <c r="E261" s="8">
        <v>44888</v>
      </c>
      <c r="F261" t="s">
        <v>500</v>
      </c>
      <c r="G261" t="s">
        <v>27</v>
      </c>
      <c r="H261" t="s">
        <v>28</v>
      </c>
      <c r="I261" t="s">
        <v>29</v>
      </c>
      <c r="J261" t="s">
        <v>43</v>
      </c>
      <c r="K261" t="s">
        <v>642</v>
      </c>
      <c r="M261" t="s">
        <v>643</v>
      </c>
      <c r="N261" t="s">
        <v>33</v>
      </c>
      <c r="O261" t="s">
        <v>644</v>
      </c>
      <c r="P261" t="s">
        <v>35</v>
      </c>
      <c r="Q261" t="s">
        <v>35</v>
      </c>
      <c r="R261" t="s">
        <v>35</v>
      </c>
      <c r="S261" t="s">
        <v>35</v>
      </c>
      <c r="T261" t="s">
        <v>645</v>
      </c>
      <c r="V261" t="s">
        <v>27</v>
      </c>
      <c r="W261" t="s">
        <v>28</v>
      </c>
      <c r="Z261" t="s">
        <v>37</v>
      </c>
    </row>
    <row r="262" spans="1:26" x14ac:dyDescent="0.25">
      <c r="A262" s="7" t="str">
        <f>VLOOKUP(F262,'Contas Orç'!A:B,2,0)</f>
        <v>IMOBILIZADO EM ANDAMENTO - PROPRIOS</v>
      </c>
      <c r="B262" s="7" t="str">
        <f>VLOOKUP(C262,Base_20.12!E:E,1,0)</f>
        <v>0000000079</v>
      </c>
      <c r="C262" t="s">
        <v>646</v>
      </c>
      <c r="D262" t="s">
        <v>25</v>
      </c>
      <c r="E262" s="8">
        <v>44888</v>
      </c>
      <c r="F262" t="s">
        <v>647</v>
      </c>
      <c r="G262" t="s">
        <v>68</v>
      </c>
      <c r="H262" t="s">
        <v>69</v>
      </c>
      <c r="I262" t="s">
        <v>29</v>
      </c>
      <c r="J262" t="s">
        <v>30</v>
      </c>
      <c r="K262" t="s">
        <v>648</v>
      </c>
      <c r="M262" t="s">
        <v>56</v>
      </c>
      <c r="N262" t="s">
        <v>71</v>
      </c>
      <c r="O262" t="s">
        <v>649</v>
      </c>
      <c r="P262" t="s">
        <v>35</v>
      </c>
      <c r="Q262" t="s">
        <v>35</v>
      </c>
      <c r="R262" t="s">
        <v>35</v>
      </c>
      <c r="S262" t="s">
        <v>35</v>
      </c>
      <c r="T262" t="s">
        <v>645</v>
      </c>
      <c r="V262" t="s">
        <v>68</v>
      </c>
      <c r="W262" t="s">
        <v>69</v>
      </c>
      <c r="Z262" t="s">
        <v>37</v>
      </c>
    </row>
    <row r="263" spans="1:26" x14ac:dyDescent="0.25">
      <c r="A263" s="7" t="str">
        <f>VLOOKUP(F263,'Contas Orç'!A:B,2,0)</f>
        <v>IMOBILIZADO EM ANDAMENTO - PROPRIOS</v>
      </c>
      <c r="B263" s="7" t="str">
        <f>VLOOKUP(C263,Base_20.12!E:E,1,0)</f>
        <v>0000000079</v>
      </c>
      <c r="C263" t="s">
        <v>646</v>
      </c>
      <c r="D263" t="s">
        <v>38</v>
      </c>
      <c r="E263" s="8">
        <v>44888</v>
      </c>
      <c r="F263" t="s">
        <v>647</v>
      </c>
      <c r="G263" t="s">
        <v>68</v>
      </c>
      <c r="H263" t="s">
        <v>69</v>
      </c>
      <c r="I263" t="s">
        <v>29</v>
      </c>
      <c r="J263" t="s">
        <v>30</v>
      </c>
      <c r="K263" t="s">
        <v>648</v>
      </c>
      <c r="M263" t="s">
        <v>56</v>
      </c>
      <c r="N263" t="s">
        <v>71</v>
      </c>
      <c r="O263" t="s">
        <v>650</v>
      </c>
      <c r="P263" t="s">
        <v>35</v>
      </c>
      <c r="Q263" t="s">
        <v>35</v>
      </c>
      <c r="R263" t="s">
        <v>35</v>
      </c>
      <c r="S263" t="s">
        <v>35</v>
      </c>
      <c r="T263" t="s">
        <v>645</v>
      </c>
      <c r="V263" t="s">
        <v>68</v>
      </c>
      <c r="W263" t="s">
        <v>69</v>
      </c>
      <c r="Z263" t="s">
        <v>37</v>
      </c>
    </row>
    <row r="264" spans="1:26" x14ac:dyDescent="0.25">
      <c r="A264" s="7" t="str">
        <f>VLOOKUP(F264,'Contas Orç'!A:B,2,0)</f>
        <v>IMOBILIZADO EM ANDAMENTO - PROPRIOS</v>
      </c>
      <c r="B264" s="7" t="str">
        <f>VLOOKUP(C264,Base_20.12!E:E,1,0)</f>
        <v>0000000079</v>
      </c>
      <c r="C264" t="s">
        <v>646</v>
      </c>
      <c r="D264" t="s">
        <v>48</v>
      </c>
      <c r="E264" s="8">
        <v>44888</v>
      </c>
      <c r="F264" t="s">
        <v>647</v>
      </c>
      <c r="G264" t="s">
        <v>68</v>
      </c>
      <c r="H264" t="s">
        <v>69</v>
      </c>
      <c r="I264" t="s">
        <v>29</v>
      </c>
      <c r="J264" t="s">
        <v>30</v>
      </c>
      <c r="K264" t="s">
        <v>651</v>
      </c>
      <c r="M264" t="s">
        <v>56</v>
      </c>
      <c r="N264" t="s">
        <v>71</v>
      </c>
      <c r="O264" t="s">
        <v>652</v>
      </c>
      <c r="P264" t="s">
        <v>35</v>
      </c>
      <c r="Q264" t="s">
        <v>35</v>
      </c>
      <c r="R264" t="s">
        <v>35</v>
      </c>
      <c r="S264" t="s">
        <v>35</v>
      </c>
      <c r="T264" t="s">
        <v>645</v>
      </c>
      <c r="V264" t="s">
        <v>68</v>
      </c>
      <c r="W264" t="s">
        <v>69</v>
      </c>
      <c r="Z264" t="s">
        <v>37</v>
      </c>
    </row>
    <row r="265" spans="1:26" x14ac:dyDescent="0.25">
      <c r="A265" s="7" t="str">
        <f>VLOOKUP(F265,'Contas Orç'!A:B,2,0)</f>
        <v>IMOBILIZADO EM ANDAMENTO - PROPRIOS</v>
      </c>
      <c r="B265" s="7" t="str">
        <f>VLOOKUP(C265,Base_20.12!E:E,1,0)</f>
        <v>0000000079</v>
      </c>
      <c r="C265" t="s">
        <v>646</v>
      </c>
      <c r="D265" t="s">
        <v>50</v>
      </c>
      <c r="E265" s="8">
        <v>44888</v>
      </c>
      <c r="F265" t="s">
        <v>647</v>
      </c>
      <c r="G265" t="s">
        <v>68</v>
      </c>
      <c r="H265" t="s">
        <v>69</v>
      </c>
      <c r="I265" t="s">
        <v>29</v>
      </c>
      <c r="J265" t="s">
        <v>30</v>
      </c>
      <c r="K265" t="s">
        <v>648</v>
      </c>
      <c r="M265" t="s">
        <v>56</v>
      </c>
      <c r="N265" t="s">
        <v>71</v>
      </c>
      <c r="O265" t="s">
        <v>653</v>
      </c>
      <c r="P265" t="s">
        <v>35</v>
      </c>
      <c r="Q265" t="s">
        <v>35</v>
      </c>
      <c r="R265" t="s">
        <v>35</v>
      </c>
      <c r="S265" t="s">
        <v>35</v>
      </c>
      <c r="T265" t="s">
        <v>645</v>
      </c>
      <c r="V265" t="s">
        <v>68</v>
      </c>
      <c r="W265" t="s">
        <v>69</v>
      </c>
      <c r="Z265" t="s">
        <v>37</v>
      </c>
    </row>
    <row r="266" spans="1:26" x14ac:dyDescent="0.25">
      <c r="A266" s="7" t="str">
        <f>VLOOKUP(F266,'Contas Orç'!A:B,2,0)</f>
        <v>IMOBILIZADO EM ANDAMENTO - PROPRIOS</v>
      </c>
      <c r="B266" s="7" t="str">
        <f>VLOOKUP(C266,Base_20.12!E:E,1,0)</f>
        <v>0000000079</v>
      </c>
      <c r="C266" t="s">
        <v>646</v>
      </c>
      <c r="D266" t="s">
        <v>87</v>
      </c>
      <c r="E266" s="8">
        <v>44888</v>
      </c>
      <c r="F266" t="s">
        <v>647</v>
      </c>
      <c r="G266" t="s">
        <v>68</v>
      </c>
      <c r="H266" t="s">
        <v>69</v>
      </c>
      <c r="I266" t="s">
        <v>29</v>
      </c>
      <c r="J266" t="s">
        <v>30</v>
      </c>
      <c r="K266" t="s">
        <v>654</v>
      </c>
      <c r="M266" t="s">
        <v>56</v>
      </c>
      <c r="N266" t="s">
        <v>71</v>
      </c>
      <c r="O266" t="s">
        <v>655</v>
      </c>
      <c r="P266" t="s">
        <v>35</v>
      </c>
      <c r="Q266" t="s">
        <v>35</v>
      </c>
      <c r="R266" t="s">
        <v>35</v>
      </c>
      <c r="S266" t="s">
        <v>35</v>
      </c>
      <c r="T266" t="s">
        <v>645</v>
      </c>
      <c r="V266" t="s">
        <v>68</v>
      </c>
      <c r="W266" t="s">
        <v>69</v>
      </c>
      <c r="Z266" t="s">
        <v>37</v>
      </c>
    </row>
    <row r="267" spans="1:26" x14ac:dyDescent="0.25">
      <c r="A267" s="7" t="str">
        <f>VLOOKUP(F267,'Contas Orç'!A:B,2,0)</f>
        <v>IMOBILIZADO EM ANDAMENTO - PROPRIOS</v>
      </c>
      <c r="B267" s="7" t="str">
        <f>VLOOKUP(C267,Base_20.12!E:E,1,0)</f>
        <v>0000000079</v>
      </c>
      <c r="C267" t="s">
        <v>646</v>
      </c>
      <c r="D267" t="s">
        <v>91</v>
      </c>
      <c r="E267" s="8">
        <v>44888</v>
      </c>
      <c r="F267" t="s">
        <v>647</v>
      </c>
      <c r="G267" t="s">
        <v>68</v>
      </c>
      <c r="H267" t="s">
        <v>69</v>
      </c>
      <c r="I267" t="s">
        <v>29</v>
      </c>
      <c r="J267" t="s">
        <v>30</v>
      </c>
      <c r="K267" t="s">
        <v>654</v>
      </c>
      <c r="M267" t="s">
        <v>56</v>
      </c>
      <c r="N267" t="s">
        <v>71</v>
      </c>
      <c r="O267" t="s">
        <v>656</v>
      </c>
      <c r="P267" t="s">
        <v>35</v>
      </c>
      <c r="Q267" t="s">
        <v>35</v>
      </c>
      <c r="R267" t="s">
        <v>35</v>
      </c>
      <c r="S267" t="s">
        <v>35</v>
      </c>
      <c r="T267" t="s">
        <v>645</v>
      </c>
      <c r="V267" t="s">
        <v>68</v>
      </c>
      <c r="W267" t="s">
        <v>69</v>
      </c>
      <c r="Z267" t="s">
        <v>37</v>
      </c>
    </row>
    <row r="268" spans="1:26" x14ac:dyDescent="0.25">
      <c r="A268" s="7" t="str">
        <f>VLOOKUP(F268,'Contas Orç'!A:B,2,0)</f>
        <v>IMOBILIZADO EM ANDAMENTO - PROPRIOS</v>
      </c>
      <c r="B268" s="7" t="str">
        <f>VLOOKUP(C268,Base_20.12!E:E,1,0)</f>
        <v>0000000080</v>
      </c>
      <c r="C268" t="s">
        <v>657</v>
      </c>
      <c r="D268" t="s">
        <v>25</v>
      </c>
      <c r="E268" s="8">
        <v>44888</v>
      </c>
      <c r="F268" t="s">
        <v>647</v>
      </c>
      <c r="G268" t="s">
        <v>68</v>
      </c>
      <c r="H268" t="s">
        <v>69</v>
      </c>
      <c r="I268" t="s">
        <v>29</v>
      </c>
      <c r="J268" t="s">
        <v>30</v>
      </c>
      <c r="K268" t="s">
        <v>658</v>
      </c>
      <c r="M268" t="s">
        <v>56</v>
      </c>
      <c r="N268" t="s">
        <v>71</v>
      </c>
      <c r="O268" t="s">
        <v>659</v>
      </c>
      <c r="P268" t="s">
        <v>35</v>
      </c>
      <c r="Q268" t="s">
        <v>35</v>
      </c>
      <c r="R268" t="s">
        <v>35</v>
      </c>
      <c r="S268" t="s">
        <v>35</v>
      </c>
      <c r="T268" t="s">
        <v>645</v>
      </c>
      <c r="V268" t="s">
        <v>68</v>
      </c>
      <c r="W268" t="s">
        <v>69</v>
      </c>
      <c r="Z268" t="s">
        <v>37</v>
      </c>
    </row>
    <row r="269" spans="1:26" x14ac:dyDescent="0.25">
      <c r="A269" s="10" t="str">
        <f>VLOOKUP(F269,'Contas Orç'!A:B,2,0)</f>
        <v>RECEITA BRUTA DE OPERACOES PORTUARIAS</v>
      </c>
      <c r="B269" s="7" t="e">
        <f>VLOOKUP(C269,Base_20.12!E:E,1,0)</f>
        <v>#N/A</v>
      </c>
      <c r="C269" t="s">
        <v>660</v>
      </c>
      <c r="D269" t="s">
        <v>25</v>
      </c>
      <c r="E269" s="8">
        <v>44888</v>
      </c>
      <c r="F269" t="s">
        <v>502</v>
      </c>
      <c r="G269" t="s">
        <v>59</v>
      </c>
      <c r="H269" t="s">
        <v>661</v>
      </c>
      <c r="I269" t="s">
        <v>29</v>
      </c>
      <c r="J269" t="s">
        <v>43</v>
      </c>
      <c r="K269" t="s">
        <v>662</v>
      </c>
      <c r="M269" t="s">
        <v>643</v>
      </c>
      <c r="N269" t="s">
        <v>663</v>
      </c>
      <c r="O269" t="s">
        <v>403</v>
      </c>
      <c r="P269" t="s">
        <v>35</v>
      </c>
      <c r="Q269" t="s">
        <v>35</v>
      </c>
      <c r="R269" t="s">
        <v>35</v>
      </c>
      <c r="S269" t="s">
        <v>35</v>
      </c>
      <c r="T269" t="s">
        <v>645</v>
      </c>
      <c r="V269" t="s">
        <v>59</v>
      </c>
      <c r="W269" t="s">
        <v>661</v>
      </c>
      <c r="Z269" t="s">
        <v>37</v>
      </c>
    </row>
    <row r="270" spans="1:26" x14ac:dyDescent="0.25">
      <c r="A270" s="10" t="str">
        <f>VLOOKUP(F270,'Contas Orç'!A:B,2,0)</f>
        <v>RECEITA BRUTA DE OPERACOES PORTUARIAS</v>
      </c>
      <c r="B270" s="7" t="e">
        <f>VLOOKUP(C270,Base_20.12!E:E,1,0)</f>
        <v>#N/A</v>
      </c>
      <c r="C270" t="s">
        <v>660</v>
      </c>
      <c r="D270" t="s">
        <v>38</v>
      </c>
      <c r="E270" s="8">
        <v>44888</v>
      </c>
      <c r="F270" t="s">
        <v>502</v>
      </c>
      <c r="G270" t="s">
        <v>59</v>
      </c>
      <c r="H270" t="s">
        <v>661</v>
      </c>
      <c r="I270" t="s">
        <v>29</v>
      </c>
      <c r="J270" t="s">
        <v>43</v>
      </c>
      <c r="K270" t="s">
        <v>664</v>
      </c>
      <c r="M270" t="s">
        <v>643</v>
      </c>
      <c r="N270" t="s">
        <v>663</v>
      </c>
      <c r="O270" t="s">
        <v>665</v>
      </c>
      <c r="P270" t="s">
        <v>35</v>
      </c>
      <c r="Q270" t="s">
        <v>35</v>
      </c>
      <c r="R270" t="s">
        <v>35</v>
      </c>
      <c r="S270" t="s">
        <v>35</v>
      </c>
      <c r="T270" t="s">
        <v>645</v>
      </c>
      <c r="V270" t="s">
        <v>59</v>
      </c>
      <c r="W270" t="s">
        <v>661</v>
      </c>
      <c r="Z270" t="s">
        <v>37</v>
      </c>
    </row>
    <row r="271" spans="1:26" x14ac:dyDescent="0.25">
      <c r="A271" s="10" t="str">
        <f>VLOOKUP(F271,'Contas Orç'!A:B,2,0)</f>
        <v>RECEITA BRUTA DE OPERACOES PORTUARIAS</v>
      </c>
      <c r="B271" s="7" t="e">
        <f>VLOOKUP(C271,Base_20.12!E:E,1,0)</f>
        <v>#N/A</v>
      </c>
      <c r="C271" t="s">
        <v>660</v>
      </c>
      <c r="D271" t="s">
        <v>48</v>
      </c>
      <c r="E271" s="8">
        <v>44888</v>
      </c>
      <c r="F271" t="s">
        <v>502</v>
      </c>
      <c r="G271" t="s">
        <v>59</v>
      </c>
      <c r="H271" t="s">
        <v>661</v>
      </c>
      <c r="I271" t="s">
        <v>29</v>
      </c>
      <c r="J271" t="s">
        <v>43</v>
      </c>
      <c r="K271" t="s">
        <v>666</v>
      </c>
      <c r="M271" t="s">
        <v>643</v>
      </c>
      <c r="N271" t="s">
        <v>663</v>
      </c>
      <c r="O271" t="s">
        <v>667</v>
      </c>
      <c r="P271" t="s">
        <v>35</v>
      </c>
      <c r="Q271" t="s">
        <v>35</v>
      </c>
      <c r="R271" t="s">
        <v>35</v>
      </c>
      <c r="S271" t="s">
        <v>35</v>
      </c>
      <c r="T271" t="s">
        <v>645</v>
      </c>
      <c r="V271" t="s">
        <v>59</v>
      </c>
      <c r="W271" t="s">
        <v>661</v>
      </c>
      <c r="Z271" t="s">
        <v>37</v>
      </c>
    </row>
    <row r="272" spans="1:26" x14ac:dyDescent="0.25">
      <c r="A272" s="10" t="str">
        <f>VLOOKUP(F272,'Contas Orç'!A:B,2,0)</f>
        <v>RECEITA BRUTA DE OPERACOES PORTUARIAS</v>
      </c>
      <c r="B272" s="7" t="e">
        <f>VLOOKUP(C272,Base_20.12!E:E,1,0)</f>
        <v>#N/A</v>
      </c>
      <c r="C272" t="s">
        <v>660</v>
      </c>
      <c r="D272" t="s">
        <v>50</v>
      </c>
      <c r="E272" s="8">
        <v>44888</v>
      </c>
      <c r="F272" t="s">
        <v>502</v>
      </c>
      <c r="G272" t="s">
        <v>59</v>
      </c>
      <c r="H272" t="s">
        <v>661</v>
      </c>
      <c r="I272" t="s">
        <v>29</v>
      </c>
      <c r="J272" t="s">
        <v>43</v>
      </c>
      <c r="K272" t="s">
        <v>668</v>
      </c>
      <c r="M272" t="s">
        <v>643</v>
      </c>
      <c r="N272" t="s">
        <v>663</v>
      </c>
      <c r="O272" t="s">
        <v>486</v>
      </c>
      <c r="P272" t="s">
        <v>35</v>
      </c>
      <c r="Q272" t="s">
        <v>35</v>
      </c>
      <c r="R272" t="s">
        <v>35</v>
      </c>
      <c r="S272" t="s">
        <v>35</v>
      </c>
      <c r="T272" t="s">
        <v>645</v>
      </c>
      <c r="V272" t="s">
        <v>59</v>
      </c>
      <c r="W272" t="s">
        <v>661</v>
      </c>
      <c r="Z272" t="s">
        <v>37</v>
      </c>
    </row>
    <row r="273" spans="1:26" x14ac:dyDescent="0.25">
      <c r="A273" s="7" t="str">
        <f>VLOOKUP(F273,'Contas Orç'!A:B,2,0)</f>
        <v>MOVEIS E UTENSILIOS</v>
      </c>
      <c r="B273" s="7" t="str">
        <f>VLOOKUP(C273,Base_20.12!E:E,1,0)</f>
        <v>0000000083</v>
      </c>
      <c r="C273" t="s">
        <v>669</v>
      </c>
      <c r="D273" t="s">
        <v>25</v>
      </c>
      <c r="E273" s="8">
        <v>44888</v>
      </c>
      <c r="F273" t="s">
        <v>670</v>
      </c>
      <c r="G273" t="s">
        <v>59</v>
      </c>
      <c r="H273" t="s">
        <v>60</v>
      </c>
      <c r="I273" t="s">
        <v>29</v>
      </c>
      <c r="J273" t="s">
        <v>30</v>
      </c>
      <c r="K273" t="s">
        <v>671</v>
      </c>
      <c r="M273" t="s">
        <v>56</v>
      </c>
      <c r="N273" t="s">
        <v>71</v>
      </c>
      <c r="O273" t="s">
        <v>672</v>
      </c>
      <c r="P273" t="s">
        <v>35</v>
      </c>
      <c r="Q273" t="s">
        <v>35</v>
      </c>
      <c r="R273" t="s">
        <v>35</v>
      </c>
      <c r="S273" t="s">
        <v>35</v>
      </c>
      <c r="T273" t="s">
        <v>645</v>
      </c>
      <c r="V273" t="s">
        <v>59</v>
      </c>
      <c r="W273" t="s">
        <v>60</v>
      </c>
      <c r="Z273" t="s">
        <v>37</v>
      </c>
    </row>
    <row r="274" spans="1:26" x14ac:dyDescent="0.25">
      <c r="A274" s="10" t="str">
        <f>VLOOKUP(F274,'Contas Orç'!A:B,2,0)</f>
        <v>RECEITA BRUTA DE OPERACOES PORTUARIAS</v>
      </c>
      <c r="B274" s="7" t="e">
        <f>VLOOKUP(C274,Base_20.12!E:E,1,0)</f>
        <v>#N/A</v>
      </c>
      <c r="C274" t="s">
        <v>673</v>
      </c>
      <c r="D274" t="s">
        <v>25</v>
      </c>
      <c r="E274" s="8">
        <v>44888</v>
      </c>
      <c r="F274" t="s">
        <v>502</v>
      </c>
      <c r="G274" t="s">
        <v>59</v>
      </c>
      <c r="H274" t="s">
        <v>107</v>
      </c>
      <c r="I274" t="s">
        <v>29</v>
      </c>
      <c r="J274" t="s">
        <v>43</v>
      </c>
      <c r="K274" t="s">
        <v>674</v>
      </c>
      <c r="M274" t="s">
        <v>643</v>
      </c>
      <c r="N274" t="s">
        <v>663</v>
      </c>
      <c r="O274" t="s">
        <v>675</v>
      </c>
      <c r="P274" t="s">
        <v>35</v>
      </c>
      <c r="Q274" t="s">
        <v>35</v>
      </c>
      <c r="R274" t="s">
        <v>35</v>
      </c>
      <c r="S274" t="s">
        <v>35</v>
      </c>
      <c r="T274" t="s">
        <v>645</v>
      </c>
      <c r="V274" t="s">
        <v>59</v>
      </c>
      <c r="W274" t="s">
        <v>107</v>
      </c>
      <c r="Z274" t="s">
        <v>37</v>
      </c>
    </row>
    <row r="275" spans="1:26" x14ac:dyDescent="0.25">
      <c r="A275" s="10" t="str">
        <f>VLOOKUP(F275,'Contas Orç'!A:B,2,0)</f>
        <v>RECEITA BRUTA DE TRANSPORTES</v>
      </c>
      <c r="B275" s="7" t="e">
        <f>VLOOKUP(C275,Base_20.12!E:E,1,0)</f>
        <v>#N/A</v>
      </c>
      <c r="C275" t="s">
        <v>676</v>
      </c>
      <c r="D275" t="s">
        <v>25</v>
      </c>
      <c r="E275" s="8">
        <v>44888</v>
      </c>
      <c r="F275" t="s">
        <v>500</v>
      </c>
      <c r="G275" t="s">
        <v>27</v>
      </c>
      <c r="H275" t="s">
        <v>28</v>
      </c>
      <c r="I275" t="s">
        <v>29</v>
      </c>
      <c r="J275" t="s">
        <v>43</v>
      </c>
      <c r="K275" t="s">
        <v>677</v>
      </c>
      <c r="M275" t="s">
        <v>678</v>
      </c>
      <c r="N275" t="s">
        <v>679</v>
      </c>
      <c r="O275" t="s">
        <v>680</v>
      </c>
      <c r="P275" t="s">
        <v>35</v>
      </c>
      <c r="Q275" t="s">
        <v>35</v>
      </c>
      <c r="R275" t="s">
        <v>35</v>
      </c>
      <c r="S275" t="s">
        <v>35</v>
      </c>
      <c r="T275" t="s">
        <v>645</v>
      </c>
      <c r="V275" t="s">
        <v>27</v>
      </c>
      <c r="W275" t="s">
        <v>28</v>
      </c>
      <c r="Z275" t="s">
        <v>37</v>
      </c>
    </row>
    <row r="276" spans="1:26" x14ac:dyDescent="0.25">
      <c r="A276" s="10" t="str">
        <f>VLOOKUP(F276,'Contas Orç'!A:B,2,0)</f>
        <v>RECEITA BRUTA DE OPERACOES PORTUARIAS</v>
      </c>
      <c r="B276" s="7" t="e">
        <f>VLOOKUP(C276,Base_20.12!E:E,1,0)</f>
        <v>#N/A</v>
      </c>
      <c r="C276" t="s">
        <v>681</v>
      </c>
      <c r="D276" t="s">
        <v>25</v>
      </c>
      <c r="E276" s="8">
        <v>44888</v>
      </c>
      <c r="F276" t="s">
        <v>502</v>
      </c>
      <c r="G276" t="s">
        <v>59</v>
      </c>
      <c r="H276" t="s">
        <v>60</v>
      </c>
      <c r="I276" t="s">
        <v>29</v>
      </c>
      <c r="J276" t="s">
        <v>43</v>
      </c>
      <c r="K276" t="s">
        <v>682</v>
      </c>
      <c r="M276" t="s">
        <v>643</v>
      </c>
      <c r="N276" t="s">
        <v>663</v>
      </c>
      <c r="O276" t="s">
        <v>683</v>
      </c>
      <c r="P276" t="s">
        <v>35</v>
      </c>
      <c r="Q276" t="s">
        <v>35</v>
      </c>
      <c r="R276" t="s">
        <v>35</v>
      </c>
      <c r="S276" t="s">
        <v>35</v>
      </c>
      <c r="T276" t="s">
        <v>645</v>
      </c>
      <c r="V276" t="s">
        <v>59</v>
      </c>
      <c r="W276" t="s">
        <v>60</v>
      </c>
      <c r="Z276" t="s">
        <v>684</v>
      </c>
    </row>
    <row r="277" spans="1:26" x14ac:dyDescent="0.25">
      <c r="A277" s="10" t="str">
        <f>VLOOKUP(F277,'Contas Orç'!A:B,2,0)</f>
        <v>RECEITA BRUTA DE OPERACOES PORTUARIAS</v>
      </c>
      <c r="B277" s="7" t="e">
        <f>VLOOKUP(C277,Base_20.12!E:E,1,0)</f>
        <v>#N/A</v>
      </c>
      <c r="C277" t="s">
        <v>681</v>
      </c>
      <c r="D277" t="s">
        <v>38</v>
      </c>
      <c r="E277" s="8">
        <v>44888</v>
      </c>
      <c r="F277" t="s">
        <v>502</v>
      </c>
      <c r="G277" t="s">
        <v>59</v>
      </c>
      <c r="H277" t="s">
        <v>60</v>
      </c>
      <c r="I277" t="s">
        <v>29</v>
      </c>
      <c r="J277" t="s">
        <v>43</v>
      </c>
      <c r="K277" t="s">
        <v>685</v>
      </c>
      <c r="M277" t="s">
        <v>643</v>
      </c>
      <c r="N277" t="s">
        <v>663</v>
      </c>
      <c r="O277" t="s">
        <v>686</v>
      </c>
      <c r="P277" t="s">
        <v>35</v>
      </c>
      <c r="Q277" t="s">
        <v>35</v>
      </c>
      <c r="R277" t="s">
        <v>35</v>
      </c>
      <c r="S277" t="s">
        <v>35</v>
      </c>
      <c r="T277" t="s">
        <v>645</v>
      </c>
      <c r="V277" t="s">
        <v>59</v>
      </c>
      <c r="W277" t="s">
        <v>60</v>
      </c>
      <c r="Z277" t="s">
        <v>684</v>
      </c>
    </row>
    <row r="278" spans="1:26" x14ac:dyDescent="0.25">
      <c r="A278" s="10" t="str">
        <f>VLOOKUP(F278,'Contas Orç'!A:B,2,0)</f>
        <v>RECEITA BRUTA DE OPERACOES PORTUARIAS</v>
      </c>
      <c r="B278" s="7" t="e">
        <f>VLOOKUP(C278,Base_20.12!E:E,1,0)</f>
        <v>#N/A</v>
      </c>
      <c r="C278" t="s">
        <v>681</v>
      </c>
      <c r="D278" t="s">
        <v>48</v>
      </c>
      <c r="E278" s="8">
        <v>44888</v>
      </c>
      <c r="F278" t="s">
        <v>502</v>
      </c>
      <c r="G278" t="s">
        <v>59</v>
      </c>
      <c r="H278" t="s">
        <v>60</v>
      </c>
      <c r="I278" t="s">
        <v>29</v>
      </c>
      <c r="J278" t="s">
        <v>43</v>
      </c>
      <c r="K278" t="s">
        <v>687</v>
      </c>
      <c r="M278" t="s">
        <v>643</v>
      </c>
      <c r="N278" t="s">
        <v>663</v>
      </c>
      <c r="O278" t="s">
        <v>688</v>
      </c>
      <c r="P278" t="s">
        <v>35</v>
      </c>
      <c r="Q278" t="s">
        <v>35</v>
      </c>
      <c r="R278" t="s">
        <v>35</v>
      </c>
      <c r="S278" t="s">
        <v>35</v>
      </c>
      <c r="T278" t="s">
        <v>645</v>
      </c>
      <c r="V278" t="s">
        <v>59</v>
      </c>
      <c r="W278" t="s">
        <v>60</v>
      </c>
      <c r="Z278" t="s">
        <v>684</v>
      </c>
    </row>
    <row r="279" spans="1:26" x14ac:dyDescent="0.25">
      <c r="A279" s="7" t="str">
        <f>VLOOKUP(F279,'Contas Orç'!A:B,2,0)</f>
        <v>IMOBILIZADO EM ANDAMENTO - PROPRIOS</v>
      </c>
      <c r="B279" s="7" t="str">
        <f>VLOOKUP(C279,Base_20.12!E:E,1,0)</f>
        <v>0000000087</v>
      </c>
      <c r="C279" t="s">
        <v>689</v>
      </c>
      <c r="D279" t="s">
        <v>25</v>
      </c>
      <c r="E279" s="8">
        <v>44888</v>
      </c>
      <c r="F279" t="s">
        <v>647</v>
      </c>
      <c r="G279" t="s">
        <v>68</v>
      </c>
      <c r="H279" t="s">
        <v>69</v>
      </c>
      <c r="I279" t="s">
        <v>29</v>
      </c>
      <c r="J279" t="s">
        <v>30</v>
      </c>
      <c r="K279" t="s">
        <v>690</v>
      </c>
      <c r="M279" t="s">
        <v>56</v>
      </c>
      <c r="N279" t="s">
        <v>71</v>
      </c>
      <c r="O279" t="s">
        <v>691</v>
      </c>
      <c r="P279" t="s">
        <v>35</v>
      </c>
      <c r="Q279" t="s">
        <v>35</v>
      </c>
      <c r="R279" t="s">
        <v>35</v>
      </c>
      <c r="S279" t="s">
        <v>35</v>
      </c>
      <c r="T279" t="s">
        <v>645</v>
      </c>
      <c r="V279" t="s">
        <v>68</v>
      </c>
      <c r="W279" t="s">
        <v>69</v>
      </c>
      <c r="Z279" t="s">
        <v>37</v>
      </c>
    </row>
    <row r="280" spans="1:26" x14ac:dyDescent="0.25">
      <c r="A280" s="7" t="str">
        <f>VLOOKUP(F280,'Contas Orç'!A:B,2,0)</f>
        <v>MOVEIS E UTENSILIOS</v>
      </c>
      <c r="B280" s="7" t="str">
        <f>VLOOKUP(C280,Base_20.12!E:E,1,0)</f>
        <v>0000000088</v>
      </c>
      <c r="C280" t="s">
        <v>692</v>
      </c>
      <c r="D280" t="s">
        <v>25</v>
      </c>
      <c r="E280" s="8">
        <v>44888</v>
      </c>
      <c r="F280" t="s">
        <v>670</v>
      </c>
      <c r="G280" t="s">
        <v>53</v>
      </c>
      <c r="H280" t="s">
        <v>54</v>
      </c>
      <c r="I280" t="s">
        <v>29</v>
      </c>
      <c r="J280" t="s">
        <v>30</v>
      </c>
      <c r="K280" t="s">
        <v>693</v>
      </c>
      <c r="M280" t="s">
        <v>56</v>
      </c>
      <c r="N280" t="s">
        <v>71</v>
      </c>
      <c r="O280" t="s">
        <v>694</v>
      </c>
      <c r="P280" t="s">
        <v>35</v>
      </c>
      <c r="Q280" t="s">
        <v>35</v>
      </c>
      <c r="R280" t="s">
        <v>35</v>
      </c>
      <c r="S280" t="s">
        <v>35</v>
      </c>
      <c r="T280" t="s">
        <v>645</v>
      </c>
      <c r="V280" t="s">
        <v>53</v>
      </c>
      <c r="W280" t="s">
        <v>54</v>
      </c>
      <c r="Z280" t="s">
        <v>37</v>
      </c>
    </row>
    <row r="281" spans="1:26" x14ac:dyDescent="0.25">
      <c r="A281" s="10" t="str">
        <f>VLOOKUP(F281,'Contas Orç'!A:B,2,0)</f>
        <v>RECEITA BRUTA DE OPERACOES PORTUARIAS</v>
      </c>
      <c r="B281" s="7" t="e">
        <f>VLOOKUP(C281,Base_20.12!E:E,1,0)</f>
        <v>#N/A</v>
      </c>
      <c r="C281" t="s">
        <v>695</v>
      </c>
      <c r="D281" t="s">
        <v>25</v>
      </c>
      <c r="E281" s="8">
        <v>44888</v>
      </c>
      <c r="F281" t="s">
        <v>502</v>
      </c>
      <c r="G281" t="s">
        <v>59</v>
      </c>
      <c r="H281" t="s">
        <v>107</v>
      </c>
      <c r="I281" t="s">
        <v>29</v>
      </c>
      <c r="J281" t="s">
        <v>43</v>
      </c>
      <c r="K281" t="s">
        <v>696</v>
      </c>
      <c r="M281" t="s">
        <v>643</v>
      </c>
      <c r="N281" t="s">
        <v>663</v>
      </c>
      <c r="O281" t="s">
        <v>697</v>
      </c>
      <c r="P281" t="s">
        <v>35</v>
      </c>
      <c r="Q281" t="s">
        <v>35</v>
      </c>
      <c r="R281" t="s">
        <v>35</v>
      </c>
      <c r="S281" t="s">
        <v>35</v>
      </c>
      <c r="T281" t="s">
        <v>645</v>
      </c>
      <c r="V281" t="s">
        <v>59</v>
      </c>
      <c r="W281" t="s">
        <v>107</v>
      </c>
      <c r="Z281" t="s">
        <v>684</v>
      </c>
    </row>
    <row r="282" spans="1:26" x14ac:dyDescent="0.25">
      <c r="A282" s="10" t="str">
        <f>VLOOKUP(F282,'Contas Orç'!A:B,2,0)</f>
        <v>RECEITA BRUTA DE OPERACOES PORTUARIAS</v>
      </c>
      <c r="B282" s="7" t="e">
        <f>VLOOKUP(C282,Base_20.12!E:E,1,0)</f>
        <v>#N/A</v>
      </c>
      <c r="C282" t="s">
        <v>698</v>
      </c>
      <c r="D282" t="s">
        <v>25</v>
      </c>
      <c r="E282" s="8">
        <v>44888</v>
      </c>
      <c r="F282" t="s">
        <v>502</v>
      </c>
      <c r="G282" t="s">
        <v>59</v>
      </c>
      <c r="H282" t="s">
        <v>107</v>
      </c>
      <c r="I282" t="s">
        <v>29</v>
      </c>
      <c r="J282" t="s">
        <v>43</v>
      </c>
      <c r="K282" t="s">
        <v>699</v>
      </c>
      <c r="M282" t="s">
        <v>643</v>
      </c>
      <c r="N282" t="s">
        <v>663</v>
      </c>
      <c r="O282" t="s">
        <v>700</v>
      </c>
      <c r="P282" t="s">
        <v>35</v>
      </c>
      <c r="Q282" t="s">
        <v>35</v>
      </c>
      <c r="R282" t="s">
        <v>35</v>
      </c>
      <c r="S282" t="s">
        <v>35</v>
      </c>
      <c r="T282" t="s">
        <v>645</v>
      </c>
      <c r="V282" t="s">
        <v>59</v>
      </c>
      <c r="W282" t="s">
        <v>107</v>
      </c>
      <c r="Z282" t="s">
        <v>684</v>
      </c>
    </row>
    <row r="283" spans="1:26" x14ac:dyDescent="0.25">
      <c r="A283" s="10" t="str">
        <f>VLOOKUP(F283,'Contas Orç'!A:B,2,0)</f>
        <v>RECEITA BRUTA DE OPERACOES PORTUARIAS</v>
      </c>
      <c r="B283" s="7" t="e">
        <f>VLOOKUP(C283,Base_20.12!E:E,1,0)</f>
        <v>#N/A</v>
      </c>
      <c r="C283" t="s">
        <v>701</v>
      </c>
      <c r="D283" t="s">
        <v>25</v>
      </c>
      <c r="E283" s="8">
        <v>44888</v>
      </c>
      <c r="F283" t="s">
        <v>502</v>
      </c>
      <c r="G283" t="s">
        <v>59</v>
      </c>
      <c r="H283" t="s">
        <v>702</v>
      </c>
      <c r="I283" t="s">
        <v>29</v>
      </c>
      <c r="J283" t="s">
        <v>43</v>
      </c>
      <c r="K283" t="s">
        <v>703</v>
      </c>
      <c r="M283" t="s">
        <v>643</v>
      </c>
      <c r="N283" t="s">
        <v>663</v>
      </c>
      <c r="O283" t="s">
        <v>704</v>
      </c>
      <c r="P283" t="s">
        <v>35</v>
      </c>
      <c r="Q283" t="s">
        <v>35</v>
      </c>
      <c r="R283" t="s">
        <v>35</v>
      </c>
      <c r="S283" t="s">
        <v>35</v>
      </c>
      <c r="T283" t="s">
        <v>645</v>
      </c>
      <c r="V283" t="s">
        <v>59</v>
      </c>
      <c r="W283" t="s">
        <v>702</v>
      </c>
      <c r="Z283" t="s">
        <v>684</v>
      </c>
    </row>
    <row r="284" spans="1:26" x14ac:dyDescent="0.25">
      <c r="A284" s="10" t="str">
        <f>VLOOKUP(F284,'Contas Orç'!A:B,2,0)</f>
        <v>RECEITA BRUTA DE OPERACOES PORTUARIAS</v>
      </c>
      <c r="B284" s="7" t="e">
        <f>VLOOKUP(C284,Base_20.12!E:E,1,0)</f>
        <v>#N/A</v>
      </c>
      <c r="C284" t="s">
        <v>701</v>
      </c>
      <c r="D284" t="s">
        <v>38</v>
      </c>
      <c r="E284" s="8">
        <v>44888</v>
      </c>
      <c r="F284" t="s">
        <v>502</v>
      </c>
      <c r="G284" t="s">
        <v>59</v>
      </c>
      <c r="H284" t="s">
        <v>702</v>
      </c>
      <c r="I284" t="s">
        <v>29</v>
      </c>
      <c r="J284" t="s">
        <v>43</v>
      </c>
      <c r="K284" t="s">
        <v>705</v>
      </c>
      <c r="M284" t="s">
        <v>643</v>
      </c>
      <c r="N284" t="s">
        <v>663</v>
      </c>
      <c r="O284" t="s">
        <v>706</v>
      </c>
      <c r="P284" t="s">
        <v>35</v>
      </c>
      <c r="Q284" t="s">
        <v>35</v>
      </c>
      <c r="R284" t="s">
        <v>35</v>
      </c>
      <c r="S284" t="s">
        <v>35</v>
      </c>
      <c r="T284" t="s">
        <v>645</v>
      </c>
      <c r="V284" t="s">
        <v>59</v>
      </c>
      <c r="W284" t="s">
        <v>702</v>
      </c>
      <c r="Z284" t="s">
        <v>684</v>
      </c>
    </row>
    <row r="285" spans="1:26" x14ac:dyDescent="0.25">
      <c r="A285" s="10" t="str">
        <f>VLOOKUP(F285,'Contas Orç'!A:B,2,0)</f>
        <v>RECEITA BRUTA DE OPERACOES PORTUARIAS</v>
      </c>
      <c r="B285" s="7" t="e">
        <f>VLOOKUP(C285,Base_20.12!E:E,1,0)</f>
        <v>#N/A</v>
      </c>
      <c r="C285" t="s">
        <v>701</v>
      </c>
      <c r="D285" t="s">
        <v>48</v>
      </c>
      <c r="E285" s="8">
        <v>44888</v>
      </c>
      <c r="F285" t="s">
        <v>502</v>
      </c>
      <c r="G285" t="s">
        <v>59</v>
      </c>
      <c r="H285" t="s">
        <v>702</v>
      </c>
      <c r="I285" t="s">
        <v>29</v>
      </c>
      <c r="J285" t="s">
        <v>43</v>
      </c>
      <c r="K285" t="s">
        <v>707</v>
      </c>
      <c r="M285" t="s">
        <v>643</v>
      </c>
      <c r="N285" t="s">
        <v>663</v>
      </c>
      <c r="O285" t="s">
        <v>708</v>
      </c>
      <c r="P285" t="s">
        <v>35</v>
      </c>
      <c r="Q285" t="s">
        <v>35</v>
      </c>
      <c r="R285" t="s">
        <v>35</v>
      </c>
      <c r="S285" t="s">
        <v>35</v>
      </c>
      <c r="T285" t="s">
        <v>645</v>
      </c>
      <c r="V285" t="s">
        <v>59</v>
      </c>
      <c r="W285" t="s">
        <v>702</v>
      </c>
      <c r="Z285" t="s">
        <v>684</v>
      </c>
    </row>
    <row r="286" spans="1:26" x14ac:dyDescent="0.25">
      <c r="A286" s="10" t="str">
        <f>VLOOKUP(F286,'Contas Orç'!A:B,2,0)</f>
        <v>RECEITA BRUTA DE TRANSPORTES</v>
      </c>
      <c r="B286" s="7" t="e">
        <f>VLOOKUP(C286,Base_20.12!E:E,1,0)</f>
        <v>#N/A</v>
      </c>
      <c r="C286" t="s">
        <v>709</v>
      </c>
      <c r="D286" t="s">
        <v>25</v>
      </c>
      <c r="E286" s="8">
        <v>44888</v>
      </c>
      <c r="F286" t="s">
        <v>500</v>
      </c>
      <c r="G286" t="s">
        <v>27</v>
      </c>
      <c r="H286" t="s">
        <v>28</v>
      </c>
      <c r="I286" t="s">
        <v>29</v>
      </c>
      <c r="J286" t="s">
        <v>43</v>
      </c>
      <c r="K286" t="s">
        <v>710</v>
      </c>
      <c r="M286" t="s">
        <v>678</v>
      </c>
      <c r="N286" t="s">
        <v>679</v>
      </c>
      <c r="O286" t="s">
        <v>711</v>
      </c>
      <c r="P286" t="s">
        <v>35</v>
      </c>
      <c r="Q286" t="s">
        <v>35</v>
      </c>
      <c r="R286" t="s">
        <v>35</v>
      </c>
      <c r="S286" t="s">
        <v>35</v>
      </c>
      <c r="T286" t="s">
        <v>645</v>
      </c>
      <c r="V286" t="s">
        <v>27</v>
      </c>
      <c r="W286" t="s">
        <v>28</v>
      </c>
      <c r="Z286" t="s">
        <v>37</v>
      </c>
    </row>
    <row r="287" spans="1:26" x14ac:dyDescent="0.25">
      <c r="A287" s="10" t="str">
        <f>VLOOKUP(F287,'Contas Orç'!A:B,2,0)</f>
        <v>RECEITA BRUTA DE TRANSPORTES</v>
      </c>
      <c r="B287" s="7" t="str">
        <f>VLOOKUP(C287,Base_20.12!E:E,1,0)</f>
        <v>0000000093</v>
      </c>
      <c r="C287" t="s">
        <v>712</v>
      </c>
      <c r="D287" t="s">
        <v>25</v>
      </c>
      <c r="E287" s="8">
        <v>44888</v>
      </c>
      <c r="F287" t="s">
        <v>500</v>
      </c>
      <c r="G287" t="s">
        <v>27</v>
      </c>
      <c r="H287" t="s">
        <v>28</v>
      </c>
      <c r="I287" t="s">
        <v>29</v>
      </c>
      <c r="J287" t="s">
        <v>43</v>
      </c>
      <c r="K287" t="s">
        <v>713</v>
      </c>
      <c r="M287" t="s">
        <v>643</v>
      </c>
      <c r="N287" t="s">
        <v>663</v>
      </c>
      <c r="O287" t="s">
        <v>714</v>
      </c>
      <c r="P287" t="s">
        <v>35</v>
      </c>
      <c r="Q287" t="s">
        <v>35</v>
      </c>
      <c r="R287" t="s">
        <v>35</v>
      </c>
      <c r="S287" t="s">
        <v>35</v>
      </c>
      <c r="T287" t="s">
        <v>645</v>
      </c>
      <c r="V287" t="s">
        <v>27</v>
      </c>
      <c r="W287" t="s">
        <v>28</v>
      </c>
      <c r="Z287" t="s">
        <v>37</v>
      </c>
    </row>
    <row r="288" spans="1:26" x14ac:dyDescent="0.25">
      <c r="A288" s="10" t="str">
        <f>VLOOKUP(F288,'Contas Orç'!A:B,2,0)</f>
        <v>RECEITA BRUTA DE TRANSPORTES</v>
      </c>
      <c r="B288" s="7" t="str">
        <f>VLOOKUP(C288,Base_20.12!E:E,1,0)</f>
        <v>0000000094</v>
      </c>
      <c r="C288" t="s">
        <v>715</v>
      </c>
      <c r="D288" t="s">
        <v>25</v>
      </c>
      <c r="E288" s="8">
        <v>44888</v>
      </c>
      <c r="F288" t="s">
        <v>500</v>
      </c>
      <c r="G288" t="s">
        <v>27</v>
      </c>
      <c r="H288" t="s">
        <v>28</v>
      </c>
      <c r="I288" t="s">
        <v>29</v>
      </c>
      <c r="J288" t="s">
        <v>43</v>
      </c>
      <c r="K288" t="s">
        <v>716</v>
      </c>
      <c r="M288" t="s">
        <v>643</v>
      </c>
      <c r="N288" t="s">
        <v>663</v>
      </c>
      <c r="O288" t="s">
        <v>717</v>
      </c>
      <c r="P288" t="s">
        <v>35</v>
      </c>
      <c r="Q288" t="s">
        <v>35</v>
      </c>
      <c r="R288" t="s">
        <v>35</v>
      </c>
      <c r="S288" t="s">
        <v>35</v>
      </c>
      <c r="T288" t="s">
        <v>645</v>
      </c>
      <c r="V288" t="s">
        <v>27</v>
      </c>
      <c r="W288" t="s">
        <v>28</v>
      </c>
      <c r="Z288" t="s">
        <v>37</v>
      </c>
    </row>
    <row r="289" spans="1:26" x14ac:dyDescent="0.25">
      <c r="A289" s="10" t="str">
        <f>VLOOKUP(F289,'Contas Orç'!A:B,2,0)</f>
        <v>RECEITA BRUTA DE TRANSPORTES</v>
      </c>
      <c r="B289" s="7" t="str">
        <f>VLOOKUP(C289,Base_20.12!E:E,1,0)</f>
        <v>0000000095</v>
      </c>
      <c r="C289" t="s">
        <v>718</v>
      </c>
      <c r="D289" t="s">
        <v>25</v>
      </c>
      <c r="E289" s="8">
        <v>44888</v>
      </c>
      <c r="F289" t="s">
        <v>500</v>
      </c>
      <c r="G289" t="s">
        <v>27</v>
      </c>
      <c r="H289" t="s">
        <v>28</v>
      </c>
      <c r="I289" t="s">
        <v>29</v>
      </c>
      <c r="J289" t="s">
        <v>43</v>
      </c>
      <c r="K289" t="s">
        <v>719</v>
      </c>
      <c r="M289" t="s">
        <v>643</v>
      </c>
      <c r="N289" t="s">
        <v>663</v>
      </c>
      <c r="O289" t="s">
        <v>720</v>
      </c>
      <c r="P289" t="s">
        <v>35</v>
      </c>
      <c r="Q289" t="s">
        <v>35</v>
      </c>
      <c r="R289" t="s">
        <v>35</v>
      </c>
      <c r="S289" t="s">
        <v>35</v>
      </c>
      <c r="T289" t="s">
        <v>645</v>
      </c>
      <c r="V289" t="s">
        <v>27</v>
      </c>
      <c r="W289" t="s">
        <v>28</v>
      </c>
      <c r="Z289" t="s">
        <v>37</v>
      </c>
    </row>
    <row r="290" spans="1:26" x14ac:dyDescent="0.25">
      <c r="A290" s="10" t="str">
        <f>VLOOKUP(F290,'Contas Orç'!A:B,2,0)</f>
        <v>RECEITA BRUTA DE TRANSPORTES</v>
      </c>
      <c r="B290" s="7" t="str">
        <f>VLOOKUP(C290,Base_20.12!E:E,1,0)</f>
        <v>0000000096</v>
      </c>
      <c r="C290" t="s">
        <v>721</v>
      </c>
      <c r="D290" t="s">
        <v>25</v>
      </c>
      <c r="E290" s="8">
        <v>44888</v>
      </c>
      <c r="F290" t="s">
        <v>500</v>
      </c>
      <c r="G290" t="s">
        <v>27</v>
      </c>
      <c r="H290" t="s">
        <v>28</v>
      </c>
      <c r="I290" t="s">
        <v>29</v>
      </c>
      <c r="J290" t="s">
        <v>43</v>
      </c>
      <c r="K290" t="s">
        <v>722</v>
      </c>
      <c r="M290" t="s">
        <v>643</v>
      </c>
      <c r="N290" t="s">
        <v>663</v>
      </c>
      <c r="O290" t="s">
        <v>723</v>
      </c>
      <c r="P290" t="s">
        <v>35</v>
      </c>
      <c r="Q290" t="s">
        <v>35</v>
      </c>
      <c r="R290" t="s">
        <v>35</v>
      </c>
      <c r="S290" t="s">
        <v>35</v>
      </c>
      <c r="T290" t="s">
        <v>645</v>
      </c>
      <c r="V290" t="s">
        <v>27</v>
      </c>
      <c r="W290" t="s">
        <v>28</v>
      </c>
      <c r="Z290" t="s">
        <v>37</v>
      </c>
    </row>
    <row r="291" spans="1:26" x14ac:dyDescent="0.25">
      <c r="A291" s="10" t="str">
        <f>VLOOKUP(F291,'Contas Orç'!A:B,2,0)</f>
        <v>RECEITA BRUTA DE TRANSPORTES</v>
      </c>
      <c r="B291" s="7" t="str">
        <f>VLOOKUP(C291,Base_20.12!E:E,1,0)</f>
        <v>0000000097</v>
      </c>
      <c r="C291" t="s">
        <v>724</v>
      </c>
      <c r="D291" t="s">
        <v>25</v>
      </c>
      <c r="E291" s="8">
        <v>44889</v>
      </c>
      <c r="F291" t="s">
        <v>500</v>
      </c>
      <c r="G291" t="s">
        <v>27</v>
      </c>
      <c r="H291" t="s">
        <v>28</v>
      </c>
      <c r="I291" t="s">
        <v>29</v>
      </c>
      <c r="J291" t="s">
        <v>43</v>
      </c>
      <c r="K291" t="s">
        <v>725</v>
      </c>
      <c r="M291" t="s">
        <v>643</v>
      </c>
      <c r="N291" t="s">
        <v>663</v>
      </c>
      <c r="O291" t="s">
        <v>726</v>
      </c>
      <c r="P291" t="s">
        <v>35</v>
      </c>
      <c r="Q291" t="s">
        <v>35</v>
      </c>
      <c r="R291" t="s">
        <v>35</v>
      </c>
      <c r="S291" t="s">
        <v>35</v>
      </c>
      <c r="T291" t="s">
        <v>645</v>
      </c>
      <c r="V291" t="s">
        <v>27</v>
      </c>
      <c r="W291" t="s">
        <v>28</v>
      </c>
      <c r="Z291" t="s">
        <v>37</v>
      </c>
    </row>
    <row r="292" spans="1:26" x14ac:dyDescent="0.25">
      <c r="A292" s="10" t="str">
        <f>VLOOKUP(F292,'Contas Orç'!A:B,2,0)</f>
        <v>RECEITA BRUTA DE TRANSPORTES</v>
      </c>
      <c r="B292" s="7" t="str">
        <f>VLOOKUP(C292,Base_20.12!E:E,1,0)</f>
        <v>0000000098</v>
      </c>
      <c r="C292" t="s">
        <v>727</v>
      </c>
      <c r="D292" t="s">
        <v>25</v>
      </c>
      <c r="E292" s="8">
        <v>44889</v>
      </c>
      <c r="F292" t="s">
        <v>500</v>
      </c>
      <c r="G292" t="s">
        <v>27</v>
      </c>
      <c r="H292" t="s">
        <v>28</v>
      </c>
      <c r="I292" t="s">
        <v>29</v>
      </c>
      <c r="J292" t="s">
        <v>43</v>
      </c>
      <c r="K292" t="s">
        <v>728</v>
      </c>
      <c r="M292" t="s">
        <v>643</v>
      </c>
      <c r="N292" t="s">
        <v>663</v>
      </c>
      <c r="O292" t="s">
        <v>729</v>
      </c>
      <c r="P292" t="s">
        <v>35</v>
      </c>
      <c r="Q292" t="s">
        <v>35</v>
      </c>
      <c r="R292" t="s">
        <v>35</v>
      </c>
      <c r="S292" t="s">
        <v>35</v>
      </c>
      <c r="T292" t="s">
        <v>645</v>
      </c>
      <c r="V292" t="s">
        <v>27</v>
      </c>
      <c r="W292" t="s">
        <v>28</v>
      </c>
      <c r="Z292" t="s">
        <v>37</v>
      </c>
    </row>
    <row r="293" spans="1:26" x14ac:dyDescent="0.25">
      <c r="A293" s="10" t="str">
        <f>VLOOKUP(F293,'Contas Orç'!A:B,2,0)</f>
        <v>RECEITA BRUTA DE TRANSPORTES</v>
      </c>
      <c r="B293" s="7" t="e">
        <f>VLOOKUP(C293,Base_20.12!E:E,1,0)</f>
        <v>#N/A</v>
      </c>
      <c r="C293" t="s">
        <v>730</v>
      </c>
      <c r="D293" t="s">
        <v>25</v>
      </c>
      <c r="E293" s="8">
        <v>44889</v>
      </c>
      <c r="F293" t="s">
        <v>500</v>
      </c>
      <c r="G293" t="s">
        <v>27</v>
      </c>
      <c r="H293" t="s">
        <v>28</v>
      </c>
      <c r="I293" t="s">
        <v>29</v>
      </c>
      <c r="J293" t="s">
        <v>43</v>
      </c>
      <c r="K293" t="s">
        <v>731</v>
      </c>
      <c r="M293" t="s">
        <v>643</v>
      </c>
      <c r="N293" t="s">
        <v>663</v>
      </c>
      <c r="O293" t="s">
        <v>732</v>
      </c>
      <c r="P293" t="s">
        <v>35</v>
      </c>
      <c r="Q293" t="s">
        <v>35</v>
      </c>
      <c r="R293" t="s">
        <v>35</v>
      </c>
      <c r="S293" t="s">
        <v>35</v>
      </c>
      <c r="T293" t="s">
        <v>645</v>
      </c>
      <c r="V293" t="s">
        <v>27</v>
      </c>
      <c r="W293" t="s">
        <v>28</v>
      </c>
      <c r="Z293" t="s">
        <v>37</v>
      </c>
    </row>
    <row r="294" spans="1:26" x14ac:dyDescent="0.25">
      <c r="A294" s="10" t="str">
        <f>VLOOKUP(F294,'Contas Orç'!A:B,2,0)</f>
        <v>RECEITA BRUTA DE TRANSPORTES</v>
      </c>
      <c r="B294" s="7" t="str">
        <f>VLOOKUP(C294,Base_20.12!E:E,1,0)</f>
        <v>0000000100</v>
      </c>
      <c r="C294" t="s">
        <v>733</v>
      </c>
      <c r="D294" t="s">
        <v>25</v>
      </c>
      <c r="E294" s="8">
        <v>44889</v>
      </c>
      <c r="F294" t="s">
        <v>500</v>
      </c>
      <c r="G294" t="s">
        <v>27</v>
      </c>
      <c r="H294" t="s">
        <v>28</v>
      </c>
      <c r="I294" t="s">
        <v>29</v>
      </c>
      <c r="J294" t="s">
        <v>43</v>
      </c>
      <c r="K294" t="s">
        <v>734</v>
      </c>
      <c r="M294" t="s">
        <v>643</v>
      </c>
      <c r="N294" t="s">
        <v>663</v>
      </c>
      <c r="O294" t="s">
        <v>735</v>
      </c>
      <c r="P294" t="s">
        <v>35</v>
      </c>
      <c r="Q294" t="s">
        <v>35</v>
      </c>
      <c r="R294" t="s">
        <v>35</v>
      </c>
      <c r="S294" t="s">
        <v>35</v>
      </c>
      <c r="T294" t="s">
        <v>645</v>
      </c>
      <c r="V294" t="s">
        <v>27</v>
      </c>
      <c r="W294" t="s">
        <v>28</v>
      </c>
      <c r="Z294" t="s">
        <v>37</v>
      </c>
    </row>
    <row r="295" spans="1:26" x14ac:dyDescent="0.25">
      <c r="A295" s="10" t="str">
        <f>VLOOKUP(F295,'Contas Orç'!A:B,2,0)</f>
        <v>RECEITA BRUTA DE TRANSPORTES</v>
      </c>
      <c r="B295" s="7" t="e">
        <f>VLOOKUP(C295,Base_20.12!E:E,1,0)</f>
        <v>#N/A</v>
      </c>
      <c r="C295" t="s">
        <v>736</v>
      </c>
      <c r="D295" t="s">
        <v>25</v>
      </c>
      <c r="E295" s="8">
        <v>44889</v>
      </c>
      <c r="F295" t="s">
        <v>500</v>
      </c>
      <c r="G295" t="s">
        <v>27</v>
      </c>
      <c r="H295" t="s">
        <v>28</v>
      </c>
      <c r="I295" t="s">
        <v>29</v>
      </c>
      <c r="J295" t="s">
        <v>43</v>
      </c>
      <c r="K295" t="s">
        <v>737</v>
      </c>
      <c r="M295" t="s">
        <v>643</v>
      </c>
      <c r="N295" t="s">
        <v>663</v>
      </c>
      <c r="O295" t="s">
        <v>738</v>
      </c>
      <c r="P295" t="s">
        <v>35</v>
      </c>
      <c r="Q295" t="s">
        <v>35</v>
      </c>
      <c r="R295" t="s">
        <v>35</v>
      </c>
      <c r="S295" t="s">
        <v>35</v>
      </c>
      <c r="T295" t="s">
        <v>645</v>
      </c>
      <c r="V295" t="s">
        <v>27</v>
      </c>
      <c r="W295" t="s">
        <v>28</v>
      </c>
      <c r="Z295" t="s">
        <v>37</v>
      </c>
    </row>
    <row r="296" spans="1:26" x14ac:dyDescent="0.25">
      <c r="A296" s="10" t="str">
        <f>VLOOKUP(F296,'Contas Orç'!A:B,2,0)</f>
        <v>RECEITA BRUTA DE TRANSPORTES</v>
      </c>
      <c r="B296" s="7" t="e">
        <f>VLOOKUP(C296,Base_20.12!E:E,1,0)</f>
        <v>#N/A</v>
      </c>
      <c r="C296" t="s">
        <v>739</v>
      </c>
      <c r="D296" t="s">
        <v>25</v>
      </c>
      <c r="E296" s="8">
        <v>44889</v>
      </c>
      <c r="F296" t="s">
        <v>500</v>
      </c>
      <c r="G296" t="s">
        <v>27</v>
      </c>
      <c r="H296" t="s">
        <v>28</v>
      </c>
      <c r="I296" t="s">
        <v>29</v>
      </c>
      <c r="J296" t="s">
        <v>43</v>
      </c>
      <c r="K296" t="s">
        <v>740</v>
      </c>
      <c r="M296" t="s">
        <v>643</v>
      </c>
      <c r="N296" t="s">
        <v>663</v>
      </c>
      <c r="O296" t="s">
        <v>741</v>
      </c>
      <c r="P296" t="s">
        <v>35</v>
      </c>
      <c r="Q296" t="s">
        <v>35</v>
      </c>
      <c r="R296" t="s">
        <v>35</v>
      </c>
      <c r="S296" t="s">
        <v>35</v>
      </c>
      <c r="T296" t="s">
        <v>645</v>
      </c>
      <c r="V296" t="s">
        <v>27</v>
      </c>
      <c r="W296" t="s">
        <v>28</v>
      </c>
      <c r="Z296" t="s">
        <v>37</v>
      </c>
    </row>
    <row r="297" spans="1:26" x14ac:dyDescent="0.25">
      <c r="A297" s="10" t="e">
        <f>VLOOKUP(F297,'Contas Orç'!A:B,2,0)</f>
        <v>#N/A</v>
      </c>
      <c r="B297" s="7" t="e">
        <f>VLOOKUP(C297,Base_20.12!E:E,1,0)</f>
        <v>#N/A</v>
      </c>
    </row>
    <row r="298" spans="1:26" x14ac:dyDescent="0.25">
      <c r="A298" s="10" t="e">
        <f>VLOOKUP(F298,'Contas Orç'!A:B,2,0)</f>
        <v>#N/A</v>
      </c>
      <c r="B298" s="7" t="e">
        <f>VLOOKUP(C298,Base_20.12!E:E,1,0)</f>
        <v>#N/A</v>
      </c>
    </row>
    <row r="299" spans="1:26" x14ac:dyDescent="0.25">
      <c r="A299" s="10" t="e">
        <f>VLOOKUP(F299,'Contas Orç'!A:B,2,0)</f>
        <v>#N/A</v>
      </c>
      <c r="B299" s="7" t="e">
        <f>VLOOKUP(C299,Base_20.12!E:E,1,0)</f>
        <v>#N/A</v>
      </c>
    </row>
    <row r="300" spans="1:26" x14ac:dyDescent="0.25">
      <c r="A300" s="10" t="e">
        <f>VLOOKUP(F300,'Contas Orç'!A:B,2,0)</f>
        <v>#N/A</v>
      </c>
      <c r="B300" s="7" t="e">
        <f>VLOOKUP(C300,Base_20.12!E:E,1,0)</f>
        <v>#N/A</v>
      </c>
    </row>
    <row r="301" spans="1:26" x14ac:dyDescent="0.25">
      <c r="A301" s="10" t="e">
        <f>VLOOKUP(F301,'Contas Orç'!A:B,2,0)</f>
        <v>#N/A</v>
      </c>
      <c r="B301" s="7" t="e">
        <f>VLOOKUP(C301,Base_20.12!E:E,1,0)</f>
        <v>#N/A</v>
      </c>
    </row>
    <row r="302" spans="1:26" x14ac:dyDescent="0.25">
      <c r="A302" s="10" t="e">
        <f>VLOOKUP(F302,'Contas Orç'!A:B,2,0)</f>
        <v>#N/A</v>
      </c>
      <c r="B302" s="7" t="e">
        <f>VLOOKUP(C302,Base_20.12!E:E,1,0)</f>
        <v>#N/A</v>
      </c>
    </row>
    <row r="303" spans="1:26" x14ac:dyDescent="0.25">
      <c r="A303" s="10" t="e">
        <f>VLOOKUP(F303,'Contas Orç'!A:B,2,0)</f>
        <v>#N/A</v>
      </c>
      <c r="B303" s="7" t="e">
        <f>VLOOKUP(C303,Base_20.12!E:E,1,0)</f>
        <v>#N/A</v>
      </c>
    </row>
    <row r="304" spans="1:26" x14ac:dyDescent="0.25">
      <c r="A304" s="10" t="e">
        <f>VLOOKUP(F304,'Contas Orç'!A:B,2,0)</f>
        <v>#N/A</v>
      </c>
      <c r="B304" s="7" t="e">
        <f>VLOOKUP(C304,Base_20.12!E:E,1,0)</f>
        <v>#N/A</v>
      </c>
    </row>
    <row r="305" spans="1:2" x14ac:dyDescent="0.25">
      <c r="A305" s="10" t="e">
        <f>VLOOKUP(F305,'Contas Orç'!A:B,2,0)</f>
        <v>#N/A</v>
      </c>
      <c r="B305" s="7" t="e">
        <f>VLOOKUP(C305,Base_20.12!E:E,1,0)</f>
        <v>#N/A</v>
      </c>
    </row>
    <row r="306" spans="1:2" x14ac:dyDescent="0.25">
      <c r="A306" s="10" t="e">
        <f>VLOOKUP(F306,'Contas Orç'!A:B,2,0)</f>
        <v>#N/A</v>
      </c>
      <c r="B306" s="7" t="e">
        <f>VLOOKUP(C306,Base_20.12!E:E,1,0)</f>
        <v>#N/A</v>
      </c>
    </row>
    <row r="307" spans="1:2" x14ac:dyDescent="0.25">
      <c r="A307" s="10" t="e">
        <f>VLOOKUP(F307,'Contas Orç'!A:B,2,0)</f>
        <v>#N/A</v>
      </c>
      <c r="B307" s="7" t="e">
        <f>VLOOKUP(C307,Base_20.12!E:E,1,0)</f>
        <v>#N/A</v>
      </c>
    </row>
    <row r="308" spans="1:2" x14ac:dyDescent="0.25">
      <c r="A308" s="10" t="e">
        <f>VLOOKUP(F308,'Contas Orç'!A:B,2,0)</f>
        <v>#N/A</v>
      </c>
      <c r="B308" s="7" t="e">
        <f>VLOOKUP(C308,Base_20.12!E:E,1,0)</f>
        <v>#N/A</v>
      </c>
    </row>
  </sheetData>
  <autoFilter ref="A1:Z308" xr:uid="{077EF4A1-8E79-4108-9F4F-4396E1F2F207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549DF-93D2-4D07-908C-D23C3DB1A897}">
  <dimension ref="A2:E70"/>
  <sheetViews>
    <sheetView showGridLines="0" zoomScale="85" zoomScaleNormal="85" workbookViewId="0">
      <pane ySplit="5" topLeftCell="A42" activePane="bottomLeft" state="frozen"/>
      <selection pane="bottomLeft" activeCell="B33" sqref="B33"/>
    </sheetView>
  </sheetViews>
  <sheetFormatPr defaultRowHeight="15" x14ac:dyDescent="0.25"/>
  <cols>
    <col min="1" max="1" width="63" bestFit="1" customWidth="1"/>
    <col min="2" max="2" width="19.5703125" bestFit="1" customWidth="1"/>
    <col min="3" max="3" width="14.7109375" customWidth="1"/>
    <col min="4" max="4" width="14" customWidth="1"/>
    <col min="5" max="5" width="13.85546875" bestFit="1" customWidth="1"/>
    <col min="6" max="6" width="12" bestFit="1" customWidth="1"/>
    <col min="7" max="7" width="15.140625" bestFit="1" customWidth="1"/>
    <col min="8" max="8" width="12.7109375" bestFit="1" customWidth="1"/>
    <col min="9" max="9" width="10.28515625" bestFit="1" customWidth="1"/>
    <col min="10" max="10" width="12.7109375" bestFit="1" customWidth="1"/>
    <col min="11" max="12" width="13.85546875" bestFit="1" customWidth="1"/>
    <col min="13" max="14" width="12.7109375" bestFit="1" customWidth="1"/>
    <col min="15" max="15" width="11.7109375" bestFit="1" customWidth="1"/>
    <col min="16" max="16" width="8.85546875" bestFit="1" customWidth="1"/>
    <col min="17" max="17" width="11.85546875" bestFit="1" customWidth="1"/>
    <col min="18" max="18" width="12.7109375" bestFit="1" customWidth="1"/>
    <col min="19" max="19" width="8.85546875" bestFit="1" customWidth="1"/>
    <col min="20" max="20" width="12.7109375" bestFit="1" customWidth="1"/>
    <col min="21" max="21" width="11.7109375" bestFit="1" customWidth="1"/>
    <col min="22" max="22" width="11.85546875" bestFit="1" customWidth="1"/>
    <col min="23" max="23" width="11.7109375" bestFit="1" customWidth="1"/>
    <col min="24" max="25" width="10.28515625" bestFit="1" customWidth="1"/>
    <col min="26" max="26" width="11.85546875" bestFit="1" customWidth="1"/>
    <col min="27" max="27" width="10.28515625" bestFit="1" customWidth="1"/>
    <col min="28" max="28" width="11.85546875" bestFit="1" customWidth="1"/>
    <col min="29" max="29" width="12" bestFit="1" customWidth="1"/>
    <col min="30" max="30" width="15.140625" bestFit="1" customWidth="1"/>
    <col min="31" max="33" width="12" bestFit="1" customWidth="1"/>
    <col min="34" max="34" width="15.140625" bestFit="1" customWidth="1"/>
    <col min="35" max="35" width="12" bestFit="1" customWidth="1"/>
    <col min="36" max="36" width="15.140625" bestFit="1" customWidth="1"/>
    <col min="37" max="39" width="12" bestFit="1" customWidth="1"/>
    <col min="40" max="40" width="15.140625" bestFit="1" customWidth="1"/>
    <col min="41" max="41" width="12" bestFit="1" customWidth="1"/>
    <col min="42" max="42" width="15.140625" bestFit="1" customWidth="1"/>
    <col min="43" max="44" width="12" bestFit="1" customWidth="1"/>
    <col min="45" max="45" width="15.140625" bestFit="1" customWidth="1"/>
    <col min="46" max="46" width="12" bestFit="1" customWidth="1"/>
    <col min="47" max="47" width="15.140625" bestFit="1" customWidth="1"/>
    <col min="48" max="49" width="12" bestFit="1" customWidth="1"/>
    <col min="50" max="50" width="15.140625" bestFit="1" customWidth="1"/>
    <col min="51" max="53" width="12" bestFit="1" customWidth="1"/>
    <col min="54" max="54" width="15.140625" bestFit="1" customWidth="1"/>
    <col min="55" max="55" width="12" bestFit="1" customWidth="1"/>
    <col min="56" max="56" width="15.140625" bestFit="1" customWidth="1"/>
    <col min="57" max="58" width="12" bestFit="1" customWidth="1"/>
    <col min="59" max="59" width="15.140625" bestFit="1" customWidth="1"/>
    <col min="60" max="60" width="12" bestFit="1" customWidth="1"/>
    <col min="61" max="61" width="15.140625" bestFit="1" customWidth="1"/>
    <col min="62" max="62" width="12" bestFit="1" customWidth="1"/>
    <col min="63" max="63" width="15.140625" bestFit="1" customWidth="1"/>
    <col min="64" max="64" width="12" bestFit="1" customWidth="1"/>
    <col min="65" max="65" width="15.140625" bestFit="1" customWidth="1"/>
    <col min="66" max="66" width="11.7109375" bestFit="1" customWidth="1"/>
    <col min="67" max="67" width="11.85546875" bestFit="1" customWidth="1"/>
    <col min="68" max="68" width="10.28515625" bestFit="1" customWidth="1"/>
    <col min="69" max="69" width="11.85546875" bestFit="1" customWidth="1"/>
    <col min="70" max="70" width="9.28515625" bestFit="1" customWidth="1"/>
    <col min="71" max="71" width="11.85546875" bestFit="1" customWidth="1"/>
    <col min="72" max="72" width="8.85546875" bestFit="1" customWidth="1"/>
    <col min="73" max="73" width="11.85546875" bestFit="1" customWidth="1"/>
    <col min="74" max="74" width="10.28515625" bestFit="1" customWidth="1"/>
    <col min="75" max="75" width="11.85546875" bestFit="1" customWidth="1"/>
    <col min="76" max="76" width="9.28515625" bestFit="1" customWidth="1"/>
    <col min="77" max="77" width="11.85546875" bestFit="1" customWidth="1"/>
    <col min="78" max="78" width="9.28515625" bestFit="1" customWidth="1"/>
    <col min="79" max="79" width="8.85546875" bestFit="1" customWidth="1"/>
    <col min="80" max="80" width="11.85546875" bestFit="1" customWidth="1"/>
    <col min="81" max="81" width="10.28515625" bestFit="1" customWidth="1"/>
    <col min="82" max="82" width="11.85546875" bestFit="1" customWidth="1"/>
    <col min="83" max="83" width="11.7109375" bestFit="1" customWidth="1"/>
    <col min="84" max="84" width="11.85546875" bestFit="1" customWidth="1"/>
    <col min="85" max="87" width="12" bestFit="1" customWidth="1"/>
    <col min="88" max="88" width="15.140625" bestFit="1" customWidth="1"/>
    <col min="89" max="91" width="12" bestFit="1" customWidth="1"/>
    <col min="92" max="92" width="15.140625" bestFit="1" customWidth="1"/>
    <col min="93" max="93" width="11.7109375" bestFit="1" customWidth="1"/>
    <col min="94" max="94" width="11.85546875" bestFit="1" customWidth="1"/>
    <col min="95" max="95" width="10.28515625" bestFit="1" customWidth="1"/>
    <col min="96" max="96" width="11.85546875" bestFit="1" customWidth="1"/>
    <col min="97" max="97" width="10.28515625" bestFit="1" customWidth="1"/>
    <col min="98" max="98" width="9.28515625" bestFit="1" customWidth="1"/>
    <col min="99" max="99" width="8.85546875" bestFit="1" customWidth="1"/>
    <col min="100" max="100" width="11.85546875" bestFit="1" customWidth="1"/>
    <col min="101" max="101" width="9.28515625" bestFit="1" customWidth="1"/>
    <col min="102" max="102" width="8.85546875" bestFit="1" customWidth="1"/>
    <col min="103" max="103" width="11.85546875" bestFit="1" customWidth="1"/>
    <col min="104" max="104" width="12" bestFit="1" customWidth="1"/>
    <col min="105" max="105" width="15.140625" bestFit="1" customWidth="1"/>
    <col min="106" max="106" width="12" bestFit="1" customWidth="1"/>
    <col min="107" max="107" width="15.140625" bestFit="1" customWidth="1"/>
    <col min="108" max="108" width="12" bestFit="1" customWidth="1"/>
    <col min="109" max="109" width="15.140625" bestFit="1" customWidth="1"/>
    <col min="110" max="112" width="12" bestFit="1" customWidth="1"/>
    <col min="113" max="113" width="15.140625" bestFit="1" customWidth="1"/>
    <col min="114" max="116" width="12" bestFit="1" customWidth="1"/>
    <col min="117" max="117" width="15.140625" bestFit="1" customWidth="1"/>
    <col min="118" max="118" width="12" bestFit="1" customWidth="1"/>
    <col min="119" max="119" width="15.140625" bestFit="1" customWidth="1"/>
    <col min="120" max="122" width="12" bestFit="1" customWidth="1"/>
    <col min="123" max="123" width="15.140625" bestFit="1" customWidth="1"/>
    <col min="124" max="124" width="12" bestFit="1" customWidth="1"/>
    <col min="125" max="125" width="15.140625" bestFit="1" customWidth="1"/>
    <col min="126" max="126" width="12" bestFit="1" customWidth="1"/>
    <col min="127" max="127" width="15.140625" bestFit="1" customWidth="1"/>
    <col min="128" max="130" width="12" bestFit="1" customWidth="1"/>
    <col min="131" max="131" width="15.140625" bestFit="1" customWidth="1"/>
    <col min="132" max="132" width="12" bestFit="1" customWidth="1"/>
    <col min="133" max="133" width="15.140625" bestFit="1" customWidth="1"/>
    <col min="134" max="134" width="12" bestFit="1" customWidth="1"/>
    <col min="135" max="135" width="15.140625" bestFit="1" customWidth="1"/>
    <col min="136" max="136" width="12" bestFit="1" customWidth="1"/>
    <col min="137" max="137" width="15.140625" bestFit="1" customWidth="1"/>
    <col min="138" max="138" width="12" bestFit="1" customWidth="1"/>
    <col min="139" max="139" width="15.140625" bestFit="1" customWidth="1"/>
    <col min="140" max="140" width="10.28515625" bestFit="1" customWidth="1"/>
    <col min="141" max="141" width="11.85546875" bestFit="1" customWidth="1"/>
    <col min="142" max="142" width="9.28515625" bestFit="1" customWidth="1"/>
    <col min="143" max="143" width="11.85546875" bestFit="1" customWidth="1"/>
    <col min="144" max="144" width="10.28515625" bestFit="1" customWidth="1"/>
    <col min="145" max="145" width="11.85546875" bestFit="1" customWidth="1"/>
    <col min="146" max="146" width="8.85546875" bestFit="1" customWidth="1"/>
    <col min="147" max="147" width="11.85546875" bestFit="1" customWidth="1"/>
    <col min="148" max="148" width="9.28515625" bestFit="1" customWidth="1"/>
    <col min="149" max="149" width="11.85546875" bestFit="1" customWidth="1"/>
    <col min="150" max="150" width="9.28515625" bestFit="1" customWidth="1"/>
    <col min="151" max="151" width="8.85546875" bestFit="1" customWidth="1"/>
    <col min="152" max="152" width="11.85546875" bestFit="1" customWidth="1"/>
    <col min="153" max="153" width="9.28515625" bestFit="1" customWidth="1"/>
    <col min="154" max="154" width="11.85546875" bestFit="1" customWidth="1"/>
    <col min="155" max="155" width="10.28515625" bestFit="1" customWidth="1"/>
    <col min="156" max="156" width="11.85546875" bestFit="1" customWidth="1"/>
    <col min="157" max="157" width="10.28515625" bestFit="1" customWidth="1"/>
    <col min="158" max="158" width="8.85546875" bestFit="1" customWidth="1"/>
    <col min="159" max="159" width="11.85546875" bestFit="1" customWidth="1"/>
    <col min="160" max="160" width="9.28515625" bestFit="1" customWidth="1"/>
    <col min="161" max="161" width="11.85546875" bestFit="1" customWidth="1"/>
    <col min="162" max="162" width="10.28515625" bestFit="1" customWidth="1"/>
    <col min="163" max="163" width="11.85546875" bestFit="1" customWidth="1"/>
    <col min="164" max="164" width="10.28515625" bestFit="1" customWidth="1"/>
    <col min="165" max="165" width="11.85546875" bestFit="1" customWidth="1"/>
    <col min="166" max="166" width="12" bestFit="1" customWidth="1"/>
    <col min="167" max="167" width="15.140625" bestFit="1" customWidth="1"/>
    <col min="168" max="168" width="12" bestFit="1" customWidth="1"/>
    <col min="169" max="169" width="15.140625" bestFit="1" customWidth="1"/>
    <col min="170" max="170" width="12" bestFit="1" customWidth="1"/>
    <col min="171" max="171" width="15.140625" bestFit="1" customWidth="1"/>
    <col min="172" max="172" width="12" bestFit="1" customWidth="1"/>
    <col min="173" max="173" width="15.140625" bestFit="1" customWidth="1"/>
    <col min="174" max="174" width="11.7109375" bestFit="1" customWidth="1"/>
    <col min="175" max="175" width="11.85546875" bestFit="1" customWidth="1"/>
    <col min="176" max="176" width="11.7109375" bestFit="1" customWidth="1"/>
    <col min="177" max="177" width="11.85546875" bestFit="1" customWidth="1"/>
    <col min="178" max="178" width="11.7109375" bestFit="1" customWidth="1"/>
    <col min="179" max="179" width="8.85546875" bestFit="1" customWidth="1"/>
    <col min="180" max="180" width="11.85546875" bestFit="1" customWidth="1"/>
    <col min="181" max="181" width="10.28515625" bestFit="1" customWidth="1"/>
    <col min="182" max="182" width="11.85546875" bestFit="1" customWidth="1"/>
    <col min="183" max="183" width="12" bestFit="1" customWidth="1"/>
    <col min="184" max="184" width="15.140625" bestFit="1" customWidth="1"/>
    <col min="185" max="185" width="12" bestFit="1" customWidth="1"/>
    <col min="186" max="186" width="15.140625" bestFit="1" customWidth="1"/>
    <col min="187" max="187" width="10.28515625" bestFit="1" customWidth="1"/>
    <col min="188" max="188" width="11.85546875" bestFit="1" customWidth="1"/>
    <col min="189" max="189" width="13.85546875" bestFit="1" customWidth="1"/>
  </cols>
  <sheetData>
    <row r="2" spans="1:5" x14ac:dyDescent="0.25">
      <c r="A2" s="20" t="s">
        <v>4398</v>
      </c>
      <c r="B2" s="26">
        <v>44866</v>
      </c>
    </row>
    <row r="4" spans="1:5" x14ac:dyDescent="0.25">
      <c r="A4" s="20" t="s">
        <v>4400</v>
      </c>
      <c r="B4" s="20" t="s">
        <v>4332</v>
      </c>
    </row>
    <row r="5" spans="1:5" x14ac:dyDescent="0.25">
      <c r="A5" s="20" t="s">
        <v>4330</v>
      </c>
      <c r="B5" t="s">
        <v>895</v>
      </c>
      <c r="C5" t="s">
        <v>30</v>
      </c>
      <c r="D5" t="s">
        <v>43</v>
      </c>
      <c r="E5" t="s">
        <v>4401</v>
      </c>
    </row>
    <row r="6" spans="1:5" x14ac:dyDescent="0.25">
      <c r="A6" s="21" t="s">
        <v>4334</v>
      </c>
      <c r="B6" s="22">
        <v>0</v>
      </c>
      <c r="C6" s="22">
        <v>9.9600000000000364</v>
      </c>
      <c r="D6" s="22">
        <v>5562.62</v>
      </c>
      <c r="E6" s="22">
        <f>B6-C6-D6</f>
        <v>-5572.58</v>
      </c>
    </row>
    <row r="7" spans="1:5" x14ac:dyDescent="0.25">
      <c r="A7" s="21" t="s">
        <v>4335</v>
      </c>
      <c r="B7" s="22">
        <v>0</v>
      </c>
      <c r="C7" s="22">
        <v>2.2737367544323206E-12</v>
      </c>
      <c r="D7" s="22">
        <v>24610.180000000004</v>
      </c>
      <c r="E7" s="22">
        <f t="shared" ref="E7:E70" si="0">B7-C7-D7</f>
        <v>-24610.180000000008</v>
      </c>
    </row>
    <row r="8" spans="1:5" x14ac:dyDescent="0.25">
      <c r="A8" s="21" t="s">
        <v>4336</v>
      </c>
      <c r="B8" s="22">
        <v>1550796.46</v>
      </c>
      <c r="C8" s="22">
        <v>0</v>
      </c>
      <c r="D8" s="22">
        <v>101736.94</v>
      </c>
      <c r="E8" s="22">
        <f t="shared" si="0"/>
        <v>1449059.52</v>
      </c>
    </row>
    <row r="9" spans="1:5" x14ac:dyDescent="0.25">
      <c r="A9" s="21" t="s">
        <v>4337</v>
      </c>
      <c r="B9" s="22">
        <v>11333539.33</v>
      </c>
      <c r="C9" s="22">
        <v>0</v>
      </c>
      <c r="D9" s="22">
        <v>0</v>
      </c>
      <c r="E9" s="22">
        <f t="shared" si="0"/>
        <v>11333539.33</v>
      </c>
    </row>
    <row r="10" spans="1:5" x14ac:dyDescent="0.25">
      <c r="A10" s="21" t="s">
        <v>4338</v>
      </c>
      <c r="B10" s="22">
        <v>1968645.19</v>
      </c>
      <c r="C10" s="22">
        <v>0</v>
      </c>
      <c r="D10" s="22">
        <v>0</v>
      </c>
      <c r="E10" s="22">
        <f t="shared" si="0"/>
        <v>1968645.19</v>
      </c>
    </row>
    <row r="11" spans="1:5" x14ac:dyDescent="0.25">
      <c r="A11" s="21" t="s">
        <v>4339</v>
      </c>
      <c r="B11" s="22">
        <v>217883.19999999998</v>
      </c>
      <c r="C11" s="22">
        <v>0</v>
      </c>
      <c r="D11" s="22">
        <v>52.95</v>
      </c>
      <c r="E11" s="22">
        <f t="shared" si="0"/>
        <v>217830.24999999997</v>
      </c>
    </row>
    <row r="12" spans="1:5" x14ac:dyDescent="0.25">
      <c r="A12" s="21" t="s">
        <v>4340</v>
      </c>
      <c r="B12" s="22">
        <v>1516567.3000000003</v>
      </c>
      <c r="C12" s="22">
        <v>0</v>
      </c>
      <c r="D12" s="22">
        <v>-9.99</v>
      </c>
      <c r="E12" s="22">
        <f t="shared" si="0"/>
        <v>1516577.2900000003</v>
      </c>
    </row>
    <row r="13" spans="1:5" x14ac:dyDescent="0.25">
      <c r="A13" s="21" t="s">
        <v>4341</v>
      </c>
      <c r="B13" s="22">
        <v>254000.43000000002</v>
      </c>
      <c r="C13" s="22">
        <v>0</v>
      </c>
      <c r="D13" s="22">
        <v>0</v>
      </c>
      <c r="E13" s="22">
        <f t="shared" si="0"/>
        <v>254000.43000000002</v>
      </c>
    </row>
    <row r="14" spans="1:5" x14ac:dyDescent="0.25">
      <c r="A14" s="21" t="s">
        <v>4342</v>
      </c>
      <c r="B14" s="22">
        <v>391504.25</v>
      </c>
      <c r="C14" s="22">
        <v>0</v>
      </c>
      <c r="D14" s="22">
        <v>-106245.57000000002</v>
      </c>
      <c r="E14" s="22">
        <f t="shared" si="0"/>
        <v>497749.82</v>
      </c>
    </row>
    <row r="15" spans="1:5" x14ac:dyDescent="0.25">
      <c r="A15" s="21" t="s">
        <v>4343</v>
      </c>
      <c r="B15" s="22">
        <v>43720.33</v>
      </c>
      <c r="C15" s="22">
        <v>0</v>
      </c>
      <c r="D15" s="22">
        <v>0</v>
      </c>
      <c r="E15" s="22">
        <f t="shared" si="0"/>
        <v>43720.33</v>
      </c>
    </row>
    <row r="16" spans="1:5" x14ac:dyDescent="0.25">
      <c r="A16" s="21" t="s">
        <v>4344</v>
      </c>
      <c r="B16" s="22">
        <v>22613.09</v>
      </c>
      <c r="C16" s="22">
        <v>0</v>
      </c>
      <c r="D16" s="22">
        <v>0</v>
      </c>
      <c r="E16" s="22">
        <f t="shared" si="0"/>
        <v>22613.09</v>
      </c>
    </row>
    <row r="17" spans="1:5" x14ac:dyDescent="0.25">
      <c r="A17" s="21" t="s">
        <v>4345</v>
      </c>
      <c r="B17" s="22">
        <v>462494.14</v>
      </c>
      <c r="C17" s="22">
        <v>14849.380000000001</v>
      </c>
      <c r="D17" s="22">
        <v>29694.62</v>
      </c>
      <c r="E17" s="22">
        <f t="shared" si="0"/>
        <v>417950.14</v>
      </c>
    </row>
    <row r="18" spans="1:5" x14ac:dyDescent="0.25">
      <c r="A18" s="21" t="s">
        <v>4346</v>
      </c>
      <c r="B18" s="22">
        <v>34477.08</v>
      </c>
      <c r="C18" s="22">
        <v>0</v>
      </c>
      <c r="D18" s="22">
        <v>0</v>
      </c>
      <c r="E18" s="22">
        <f t="shared" si="0"/>
        <v>34477.08</v>
      </c>
    </row>
    <row r="19" spans="1:5" x14ac:dyDescent="0.25">
      <c r="A19" s="21" t="s">
        <v>4347</v>
      </c>
      <c r="B19" s="22">
        <v>1061129.03</v>
      </c>
      <c r="C19" s="22">
        <v>2400</v>
      </c>
      <c r="D19" s="22">
        <v>250</v>
      </c>
      <c r="E19" s="22">
        <f t="shared" si="0"/>
        <v>1058479.03</v>
      </c>
    </row>
    <row r="20" spans="1:5" x14ac:dyDescent="0.25">
      <c r="A20" s="21" t="s">
        <v>4348</v>
      </c>
      <c r="B20" s="22">
        <v>4661.8599999999997</v>
      </c>
      <c r="C20" s="22">
        <v>0</v>
      </c>
      <c r="D20" s="22">
        <v>0</v>
      </c>
      <c r="E20" s="22">
        <f t="shared" si="0"/>
        <v>4661.8599999999997</v>
      </c>
    </row>
    <row r="21" spans="1:5" x14ac:dyDescent="0.25">
      <c r="A21" s="21" t="s">
        <v>4349</v>
      </c>
      <c r="B21" s="22">
        <v>898983.28</v>
      </c>
      <c r="C21" s="22">
        <v>1560</v>
      </c>
      <c r="D21" s="22">
        <v>0</v>
      </c>
      <c r="E21" s="22">
        <f t="shared" si="0"/>
        <v>897423.28</v>
      </c>
    </row>
    <row r="22" spans="1:5" x14ac:dyDescent="0.25">
      <c r="A22" s="21" t="s">
        <v>4350</v>
      </c>
      <c r="B22" s="22">
        <v>12339.439999999999</v>
      </c>
      <c r="C22" s="22">
        <v>0</v>
      </c>
      <c r="D22" s="22">
        <v>0</v>
      </c>
      <c r="E22" s="22">
        <f t="shared" si="0"/>
        <v>12339.439999999999</v>
      </c>
    </row>
    <row r="23" spans="1:5" x14ac:dyDescent="0.25">
      <c r="A23" s="21" t="s">
        <v>4351</v>
      </c>
      <c r="B23" s="22">
        <v>506745.97</v>
      </c>
      <c r="C23" s="22">
        <v>33250.019999999997</v>
      </c>
      <c r="D23" s="22">
        <v>0</v>
      </c>
      <c r="E23" s="22">
        <f t="shared" si="0"/>
        <v>473495.94999999995</v>
      </c>
    </row>
    <row r="24" spans="1:5" x14ac:dyDescent="0.25">
      <c r="A24" s="21" t="s">
        <v>4352</v>
      </c>
      <c r="B24" s="22">
        <v>589246.93999999994</v>
      </c>
      <c r="C24" s="22">
        <v>345</v>
      </c>
      <c r="D24" s="22">
        <v>1425.26</v>
      </c>
      <c r="E24" s="22">
        <f t="shared" si="0"/>
        <v>587476.67999999993</v>
      </c>
    </row>
    <row r="25" spans="1:5" x14ac:dyDescent="0.25">
      <c r="A25" s="21" t="s">
        <v>4353</v>
      </c>
      <c r="B25" s="22">
        <v>200139.03</v>
      </c>
      <c r="C25" s="22">
        <v>0</v>
      </c>
      <c r="D25" s="22">
        <v>0</v>
      </c>
      <c r="E25" s="22">
        <f t="shared" si="0"/>
        <v>200139.03</v>
      </c>
    </row>
    <row r="26" spans="1:5" x14ac:dyDescent="0.25">
      <c r="A26" s="21" t="s">
        <v>4354</v>
      </c>
      <c r="B26" s="22">
        <v>78644.899999999994</v>
      </c>
      <c r="C26" s="22">
        <v>198</v>
      </c>
      <c r="D26" s="22">
        <v>0</v>
      </c>
      <c r="E26" s="22">
        <f t="shared" si="0"/>
        <v>78446.899999999994</v>
      </c>
    </row>
    <row r="27" spans="1:5" x14ac:dyDescent="0.25">
      <c r="A27" s="21" t="s">
        <v>4355</v>
      </c>
      <c r="B27" s="22">
        <v>13147.52</v>
      </c>
      <c r="C27" s="22">
        <v>0</v>
      </c>
      <c r="D27" s="22">
        <v>0</v>
      </c>
      <c r="E27" s="22">
        <f t="shared" si="0"/>
        <v>13147.52</v>
      </c>
    </row>
    <row r="28" spans="1:5" x14ac:dyDescent="0.25">
      <c r="A28" s="21" t="s">
        <v>4356</v>
      </c>
      <c r="B28" s="22">
        <v>3078.7700000000004</v>
      </c>
      <c r="C28" s="22">
        <v>0</v>
      </c>
      <c r="D28" s="22">
        <v>0</v>
      </c>
      <c r="E28" s="22">
        <f t="shared" si="0"/>
        <v>3078.7700000000004</v>
      </c>
    </row>
    <row r="29" spans="1:5" x14ac:dyDescent="0.25">
      <c r="A29" s="21" t="s">
        <v>4357</v>
      </c>
      <c r="B29" s="22">
        <v>38330.410000000003</v>
      </c>
      <c r="C29" s="22">
        <v>0</v>
      </c>
      <c r="D29" s="22">
        <v>0</v>
      </c>
      <c r="E29" s="22">
        <f t="shared" si="0"/>
        <v>38330.410000000003</v>
      </c>
    </row>
    <row r="30" spans="1:5" x14ac:dyDescent="0.25">
      <c r="A30" s="21" t="s">
        <v>4358</v>
      </c>
      <c r="B30" s="22">
        <v>100956.17</v>
      </c>
      <c r="C30" s="22">
        <v>0</v>
      </c>
      <c r="D30" s="22">
        <v>0</v>
      </c>
      <c r="E30" s="22">
        <f t="shared" si="0"/>
        <v>100956.17</v>
      </c>
    </row>
    <row r="31" spans="1:5" x14ac:dyDescent="0.25">
      <c r="A31" s="21" t="s">
        <v>4359</v>
      </c>
      <c r="B31" s="22">
        <v>27951.679999999997</v>
      </c>
      <c r="C31" s="22">
        <v>0</v>
      </c>
      <c r="D31" s="22">
        <v>0</v>
      </c>
      <c r="E31" s="22">
        <f t="shared" si="0"/>
        <v>27951.679999999997</v>
      </c>
    </row>
    <row r="32" spans="1:5" x14ac:dyDescent="0.25">
      <c r="A32" s="21" t="s">
        <v>4360</v>
      </c>
      <c r="B32" s="22">
        <v>1667.7199999999998</v>
      </c>
      <c r="C32" s="22">
        <v>0</v>
      </c>
      <c r="D32" s="22">
        <v>0</v>
      </c>
      <c r="E32" s="22">
        <f t="shared" si="0"/>
        <v>1667.7199999999998</v>
      </c>
    </row>
    <row r="33" spans="1:5" x14ac:dyDescent="0.25">
      <c r="A33" s="21" t="s">
        <v>4361</v>
      </c>
      <c r="B33" s="22">
        <v>591.66</v>
      </c>
      <c r="C33" s="22">
        <v>0</v>
      </c>
      <c r="D33" s="22">
        <v>0</v>
      </c>
      <c r="E33" s="22">
        <f t="shared" si="0"/>
        <v>591.66</v>
      </c>
    </row>
    <row r="34" spans="1:5" x14ac:dyDescent="0.25">
      <c r="A34" s="21" t="s">
        <v>4362</v>
      </c>
      <c r="B34" s="22">
        <v>54983.520000000004</v>
      </c>
      <c r="C34" s="22">
        <v>0</v>
      </c>
      <c r="D34" s="22">
        <v>0</v>
      </c>
      <c r="E34" s="22">
        <f t="shared" si="0"/>
        <v>54983.520000000004</v>
      </c>
    </row>
    <row r="35" spans="1:5" x14ac:dyDescent="0.25">
      <c r="A35" s="21" t="s">
        <v>4363</v>
      </c>
      <c r="B35" s="22">
        <v>1420.52</v>
      </c>
      <c r="C35" s="22">
        <v>0</v>
      </c>
      <c r="D35" s="22">
        <v>0</v>
      </c>
      <c r="E35" s="22">
        <f t="shared" si="0"/>
        <v>1420.52</v>
      </c>
    </row>
    <row r="36" spans="1:5" x14ac:dyDescent="0.25">
      <c r="A36" s="21" t="s">
        <v>4364</v>
      </c>
      <c r="B36" s="22">
        <v>0</v>
      </c>
      <c r="C36" s="22">
        <v>0</v>
      </c>
      <c r="D36" s="22">
        <v>49.96</v>
      </c>
      <c r="E36" s="22">
        <f t="shared" si="0"/>
        <v>-49.96</v>
      </c>
    </row>
    <row r="37" spans="1:5" x14ac:dyDescent="0.25">
      <c r="A37" s="21" t="s">
        <v>4365</v>
      </c>
      <c r="B37" s="22">
        <v>16857.45</v>
      </c>
      <c r="C37" s="22">
        <v>0</v>
      </c>
      <c r="D37" s="22">
        <v>0</v>
      </c>
      <c r="E37" s="22">
        <f t="shared" si="0"/>
        <v>16857.45</v>
      </c>
    </row>
    <row r="38" spans="1:5" x14ac:dyDescent="0.25">
      <c r="A38" s="21" t="s">
        <v>4366</v>
      </c>
      <c r="B38" s="22">
        <v>580979.02</v>
      </c>
      <c r="C38" s="22">
        <v>0</v>
      </c>
      <c r="D38" s="22">
        <v>0</v>
      </c>
      <c r="E38" s="22">
        <f t="shared" si="0"/>
        <v>580979.02</v>
      </c>
    </row>
    <row r="39" spans="1:5" x14ac:dyDescent="0.25">
      <c r="A39" s="21" t="s">
        <v>4367</v>
      </c>
      <c r="B39" s="22">
        <v>589551.18999999994</v>
      </c>
      <c r="C39" s="22">
        <v>0</v>
      </c>
      <c r="D39" s="22">
        <v>42750</v>
      </c>
      <c r="E39" s="22">
        <f t="shared" si="0"/>
        <v>546801.18999999994</v>
      </c>
    </row>
    <row r="40" spans="1:5" x14ac:dyDescent="0.25">
      <c r="A40" s="21" t="s">
        <v>4368</v>
      </c>
      <c r="B40" s="22">
        <v>955982.33000000007</v>
      </c>
      <c r="C40" s="22">
        <v>0</v>
      </c>
      <c r="D40" s="22">
        <v>89007</v>
      </c>
      <c r="E40" s="22">
        <f t="shared" si="0"/>
        <v>866975.33000000007</v>
      </c>
    </row>
    <row r="41" spans="1:5" x14ac:dyDescent="0.25">
      <c r="A41" s="21" t="s">
        <v>4369</v>
      </c>
      <c r="B41" s="22">
        <v>188169.46</v>
      </c>
      <c r="C41" s="22">
        <v>0</v>
      </c>
      <c r="D41" s="22">
        <v>0</v>
      </c>
      <c r="E41" s="22">
        <f t="shared" si="0"/>
        <v>188169.46</v>
      </c>
    </row>
    <row r="42" spans="1:5" x14ac:dyDescent="0.25">
      <c r="A42" s="21" t="s">
        <v>4370</v>
      </c>
      <c r="B42" s="22">
        <v>29404.22</v>
      </c>
      <c r="C42" s="22">
        <v>0</v>
      </c>
      <c r="D42" s="22">
        <v>0</v>
      </c>
      <c r="E42" s="22">
        <f t="shared" si="0"/>
        <v>29404.22</v>
      </c>
    </row>
    <row r="43" spans="1:5" x14ac:dyDescent="0.25">
      <c r="A43" s="21" t="s">
        <v>4371</v>
      </c>
      <c r="B43" s="22">
        <v>81445.760000000009</v>
      </c>
      <c r="C43" s="22">
        <v>0</v>
      </c>
      <c r="D43" s="22">
        <v>8092</v>
      </c>
      <c r="E43" s="22">
        <f t="shared" si="0"/>
        <v>73353.760000000009</v>
      </c>
    </row>
    <row r="44" spans="1:5" x14ac:dyDescent="0.25">
      <c r="A44" s="21" t="s">
        <v>4372</v>
      </c>
      <c r="B44" s="22">
        <v>3212.7</v>
      </c>
      <c r="C44" s="22">
        <v>559</v>
      </c>
      <c r="D44" s="22">
        <v>0</v>
      </c>
      <c r="E44" s="22">
        <f t="shared" si="0"/>
        <v>2653.7</v>
      </c>
    </row>
    <row r="45" spans="1:5" x14ac:dyDescent="0.25">
      <c r="A45" s="21" t="s">
        <v>4373</v>
      </c>
      <c r="B45" s="22">
        <v>3979.04</v>
      </c>
      <c r="C45" s="22">
        <v>0</v>
      </c>
      <c r="D45" s="22">
        <v>0</v>
      </c>
      <c r="E45" s="22">
        <f t="shared" si="0"/>
        <v>3979.04</v>
      </c>
    </row>
    <row r="46" spans="1:5" x14ac:dyDescent="0.25">
      <c r="A46" s="21" t="s">
        <v>4374</v>
      </c>
      <c r="B46" s="22">
        <v>206109.94</v>
      </c>
      <c r="C46" s="22">
        <v>20233</v>
      </c>
      <c r="D46" s="22">
        <v>34894.339999999997</v>
      </c>
      <c r="E46" s="22">
        <f t="shared" si="0"/>
        <v>150982.6</v>
      </c>
    </row>
    <row r="47" spans="1:5" x14ac:dyDescent="0.25">
      <c r="A47" s="21" t="s">
        <v>4375</v>
      </c>
      <c r="B47" s="22">
        <v>127116.17</v>
      </c>
      <c r="C47" s="22">
        <v>4702</v>
      </c>
      <c r="D47" s="22">
        <v>12000</v>
      </c>
      <c r="E47" s="22">
        <f t="shared" si="0"/>
        <v>110414.17</v>
      </c>
    </row>
    <row r="48" spans="1:5" x14ac:dyDescent="0.25">
      <c r="A48" s="21" t="s">
        <v>4376</v>
      </c>
      <c r="B48" s="22">
        <v>153.02000000000001</v>
      </c>
      <c r="C48" s="22">
        <v>0</v>
      </c>
      <c r="D48" s="22">
        <v>0</v>
      </c>
      <c r="E48" s="22">
        <f t="shared" si="0"/>
        <v>153.02000000000001</v>
      </c>
    </row>
    <row r="49" spans="1:5" x14ac:dyDescent="0.25">
      <c r="A49" s="21" t="s">
        <v>4377</v>
      </c>
      <c r="B49" s="22">
        <v>13627.009999999998</v>
      </c>
      <c r="C49" s="22">
        <v>0</v>
      </c>
      <c r="D49" s="22">
        <v>128180</v>
      </c>
      <c r="E49" s="22">
        <f t="shared" si="0"/>
        <v>-114552.99</v>
      </c>
    </row>
    <row r="50" spans="1:5" x14ac:dyDescent="0.25">
      <c r="A50" s="21" t="s">
        <v>4378</v>
      </c>
      <c r="B50" s="22">
        <v>174.59</v>
      </c>
      <c r="C50" s="22">
        <v>0</v>
      </c>
      <c r="D50" s="22">
        <v>0</v>
      </c>
      <c r="E50" s="22">
        <f t="shared" si="0"/>
        <v>174.59</v>
      </c>
    </row>
    <row r="51" spans="1:5" x14ac:dyDescent="0.25">
      <c r="A51" s="21" t="s">
        <v>4379</v>
      </c>
      <c r="B51" s="22">
        <v>22754.94</v>
      </c>
      <c r="C51" s="22">
        <v>28525</v>
      </c>
      <c r="D51" s="22">
        <v>174.1</v>
      </c>
      <c r="E51" s="22">
        <f t="shared" si="0"/>
        <v>-5944.1600000000017</v>
      </c>
    </row>
    <row r="52" spans="1:5" x14ac:dyDescent="0.25">
      <c r="A52" s="21" t="s">
        <v>4380</v>
      </c>
      <c r="B52" s="22">
        <v>3976.06</v>
      </c>
      <c r="C52" s="22">
        <v>0</v>
      </c>
      <c r="D52" s="22">
        <v>0</v>
      </c>
      <c r="E52" s="22">
        <f t="shared" si="0"/>
        <v>3976.06</v>
      </c>
    </row>
    <row r="53" spans="1:5" x14ac:dyDescent="0.25">
      <c r="A53" s="21" t="s">
        <v>4381</v>
      </c>
      <c r="B53" s="22">
        <v>20845.57</v>
      </c>
      <c r="C53" s="22">
        <v>0</v>
      </c>
      <c r="D53" s="22">
        <v>0</v>
      </c>
      <c r="E53" s="22">
        <f t="shared" si="0"/>
        <v>20845.57</v>
      </c>
    </row>
    <row r="54" spans="1:5" x14ac:dyDescent="0.25">
      <c r="A54" s="21" t="s">
        <v>4382</v>
      </c>
      <c r="B54" s="22">
        <v>2187.35</v>
      </c>
      <c r="C54" s="22">
        <v>0</v>
      </c>
      <c r="D54" s="22">
        <v>0</v>
      </c>
      <c r="E54" s="22">
        <f t="shared" si="0"/>
        <v>2187.35</v>
      </c>
    </row>
    <row r="55" spans="1:5" x14ac:dyDescent="0.25">
      <c r="A55" s="21" t="s">
        <v>4383</v>
      </c>
      <c r="B55" s="22">
        <v>16475.969999999998</v>
      </c>
      <c r="C55" s="22">
        <v>0</v>
      </c>
      <c r="D55" s="22">
        <v>0</v>
      </c>
      <c r="E55" s="22">
        <f t="shared" si="0"/>
        <v>16475.969999999998</v>
      </c>
    </row>
    <row r="56" spans="1:5" x14ac:dyDescent="0.25">
      <c r="A56" s="21" t="s">
        <v>4384</v>
      </c>
      <c r="B56" s="22">
        <v>102.01</v>
      </c>
      <c r="C56" s="22">
        <v>0</v>
      </c>
      <c r="D56" s="22">
        <v>0</v>
      </c>
      <c r="E56" s="22">
        <f t="shared" si="0"/>
        <v>102.01</v>
      </c>
    </row>
    <row r="57" spans="1:5" x14ac:dyDescent="0.25">
      <c r="A57" s="21" t="s">
        <v>4385</v>
      </c>
      <c r="B57" s="22">
        <v>134.41</v>
      </c>
      <c r="C57" s="22">
        <v>269</v>
      </c>
      <c r="D57" s="22">
        <v>0</v>
      </c>
      <c r="E57" s="22">
        <f t="shared" si="0"/>
        <v>-134.59</v>
      </c>
    </row>
    <row r="58" spans="1:5" x14ac:dyDescent="0.25">
      <c r="A58" s="21" t="s">
        <v>4386</v>
      </c>
      <c r="B58" s="22">
        <v>5230.3599999999997</v>
      </c>
      <c r="C58" s="22">
        <v>0</v>
      </c>
      <c r="D58" s="22">
        <v>0</v>
      </c>
      <c r="E58" s="22">
        <f t="shared" si="0"/>
        <v>5230.3599999999997</v>
      </c>
    </row>
    <row r="59" spans="1:5" x14ac:dyDescent="0.25">
      <c r="A59" s="21" t="s">
        <v>4387</v>
      </c>
      <c r="B59" s="22">
        <v>7591.99</v>
      </c>
      <c r="C59" s="22">
        <v>0</v>
      </c>
      <c r="D59" s="22">
        <v>0</v>
      </c>
      <c r="E59" s="22">
        <f t="shared" si="0"/>
        <v>7591.99</v>
      </c>
    </row>
    <row r="60" spans="1:5" x14ac:dyDescent="0.25">
      <c r="A60" s="21" t="s">
        <v>4388</v>
      </c>
      <c r="B60" s="22">
        <v>14089.87</v>
      </c>
      <c r="C60" s="22">
        <v>6716</v>
      </c>
      <c r="D60" s="22">
        <v>0</v>
      </c>
      <c r="E60" s="22">
        <f t="shared" si="0"/>
        <v>7373.8700000000008</v>
      </c>
    </row>
    <row r="61" spans="1:5" x14ac:dyDescent="0.25">
      <c r="A61" s="21" t="s">
        <v>4389</v>
      </c>
      <c r="B61" s="22">
        <v>42231.17</v>
      </c>
      <c r="C61" s="22">
        <v>0</v>
      </c>
      <c r="D61" s="22">
        <v>0</v>
      </c>
      <c r="E61" s="22">
        <f t="shared" si="0"/>
        <v>42231.17</v>
      </c>
    </row>
    <row r="62" spans="1:5" x14ac:dyDescent="0.25">
      <c r="A62" s="21" t="s">
        <v>4390</v>
      </c>
      <c r="B62" s="22">
        <v>53384.13</v>
      </c>
      <c r="C62" s="22">
        <v>0</v>
      </c>
      <c r="D62" s="22">
        <v>0</v>
      </c>
      <c r="E62" s="22">
        <f t="shared" si="0"/>
        <v>53384.13</v>
      </c>
    </row>
    <row r="63" spans="1:5" x14ac:dyDescent="0.25">
      <c r="A63" s="21" t="s">
        <v>4391</v>
      </c>
      <c r="B63" s="22">
        <v>17672.64</v>
      </c>
      <c r="C63" s="22">
        <v>0</v>
      </c>
      <c r="D63" s="22">
        <v>0</v>
      </c>
      <c r="E63" s="22">
        <f t="shared" si="0"/>
        <v>17672.64</v>
      </c>
    </row>
    <row r="64" spans="1:5" x14ac:dyDescent="0.25">
      <c r="A64" s="21" t="s">
        <v>4392</v>
      </c>
      <c r="B64" s="22">
        <v>4734.29</v>
      </c>
      <c r="C64" s="22">
        <v>0</v>
      </c>
      <c r="D64" s="22">
        <v>0</v>
      </c>
      <c r="E64" s="22">
        <f t="shared" si="0"/>
        <v>4734.29</v>
      </c>
    </row>
    <row r="65" spans="1:5" x14ac:dyDescent="0.25">
      <c r="A65" s="21" t="s">
        <v>4393</v>
      </c>
      <c r="B65" s="22">
        <v>6595.37</v>
      </c>
      <c r="C65" s="22">
        <v>0</v>
      </c>
      <c r="D65" s="22">
        <v>0</v>
      </c>
      <c r="E65" s="22">
        <f t="shared" si="0"/>
        <v>6595.37</v>
      </c>
    </row>
    <row r="66" spans="1:5" x14ac:dyDescent="0.25">
      <c r="A66" s="21" t="s">
        <v>4394</v>
      </c>
      <c r="B66" s="22">
        <v>286517.63</v>
      </c>
      <c r="C66" s="22">
        <v>0</v>
      </c>
      <c r="D66" s="22">
        <v>0</v>
      </c>
      <c r="E66" s="22">
        <f t="shared" si="0"/>
        <v>286517.63</v>
      </c>
    </row>
    <row r="67" spans="1:5" x14ac:dyDescent="0.25">
      <c r="A67" s="21" t="s">
        <v>4395</v>
      </c>
      <c r="B67" s="22">
        <v>503929.4</v>
      </c>
      <c r="C67" s="22">
        <v>0</v>
      </c>
      <c r="D67" s="22">
        <v>0</v>
      </c>
      <c r="E67" s="22">
        <f t="shared" si="0"/>
        <v>503929.4</v>
      </c>
    </row>
    <row r="68" spans="1:5" x14ac:dyDescent="0.25">
      <c r="A68" s="21" t="s">
        <v>4396</v>
      </c>
      <c r="B68" s="22">
        <v>108087.82</v>
      </c>
      <c r="C68" s="22">
        <v>0</v>
      </c>
      <c r="D68" s="22">
        <v>0</v>
      </c>
      <c r="E68" s="22">
        <f t="shared" si="0"/>
        <v>108087.82</v>
      </c>
    </row>
    <row r="69" spans="1:5" x14ac:dyDescent="0.25">
      <c r="A69" s="21" t="s">
        <v>4397</v>
      </c>
      <c r="B69" s="22">
        <v>1098369.94</v>
      </c>
      <c r="C69" s="22">
        <v>0</v>
      </c>
      <c r="D69" s="22">
        <v>2.99</v>
      </c>
      <c r="E69" s="22">
        <f t="shared" si="0"/>
        <v>1098366.95</v>
      </c>
    </row>
    <row r="70" spans="1:5" x14ac:dyDescent="0.25">
      <c r="A70" s="21" t="s">
        <v>4331</v>
      </c>
      <c r="B70" s="22">
        <v>26401932.040000007</v>
      </c>
      <c r="C70" s="22">
        <v>113616.36</v>
      </c>
      <c r="D70" s="22">
        <v>372227.39999999991</v>
      </c>
      <c r="E70" s="22">
        <f t="shared" si="0"/>
        <v>25916088.280000009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FFAE-560D-40A8-A745-EE4DDFB3C1B9}">
  <dimension ref="A1:D73"/>
  <sheetViews>
    <sheetView showGridLines="0" tabSelected="1" zoomScale="85" zoomScaleNormal="85" workbookViewId="0">
      <pane ySplit="4" topLeftCell="A5" activePane="bottomLeft" state="frozen"/>
      <selection pane="bottomLeft" activeCell="D13" sqref="D13"/>
    </sheetView>
  </sheetViews>
  <sheetFormatPr defaultRowHeight="15" x14ac:dyDescent="0.25"/>
  <cols>
    <col min="1" max="1" width="63.140625" bestFit="1" customWidth="1"/>
    <col min="2" max="2" width="19.5703125" bestFit="1" customWidth="1"/>
    <col min="3" max="3" width="17.85546875" customWidth="1"/>
    <col min="4" max="4" width="21" customWidth="1"/>
    <col min="5" max="5" width="12.7109375" bestFit="1" customWidth="1"/>
  </cols>
  <sheetData>
    <row r="1" spans="1:4" x14ac:dyDescent="0.25">
      <c r="A1" s="20" t="s">
        <v>4398</v>
      </c>
      <c r="B1" s="26">
        <v>44866</v>
      </c>
    </row>
    <row r="3" spans="1:4" x14ac:dyDescent="0.25">
      <c r="A3" s="20" t="s">
        <v>4400</v>
      </c>
      <c r="B3" s="20" t="s">
        <v>4332</v>
      </c>
    </row>
    <row r="4" spans="1:4" x14ac:dyDescent="0.25">
      <c r="A4" s="20" t="s">
        <v>4330</v>
      </c>
      <c r="B4" t="s">
        <v>895</v>
      </c>
      <c r="C4" t="s">
        <v>30</v>
      </c>
      <c r="D4" t="s">
        <v>43</v>
      </c>
    </row>
    <row r="5" spans="1:4" x14ac:dyDescent="0.25">
      <c r="A5" s="21" t="s">
        <v>4334</v>
      </c>
      <c r="B5" s="22">
        <v>0</v>
      </c>
      <c r="C5" s="22">
        <v>9.9600000000000364</v>
      </c>
      <c r="D5" s="22">
        <v>5562.62</v>
      </c>
    </row>
    <row r="6" spans="1:4" x14ac:dyDescent="0.25">
      <c r="A6" s="21" t="s">
        <v>4335</v>
      </c>
      <c r="B6" s="22">
        <v>0</v>
      </c>
      <c r="C6" s="22">
        <v>2.2737367544323206E-12</v>
      </c>
      <c r="D6" s="22">
        <v>24610.180000000004</v>
      </c>
    </row>
    <row r="7" spans="1:4" x14ac:dyDescent="0.25">
      <c r="A7" s="21" t="s">
        <v>4336</v>
      </c>
      <c r="B7" s="22">
        <v>1550796.46</v>
      </c>
      <c r="C7" s="22">
        <v>0</v>
      </c>
      <c r="D7" s="22">
        <v>101736.94</v>
      </c>
    </row>
    <row r="8" spans="1:4" x14ac:dyDescent="0.25">
      <c r="A8" s="21" t="s">
        <v>4337</v>
      </c>
      <c r="B8" s="22">
        <v>11333539.33</v>
      </c>
      <c r="C8" s="22">
        <v>0</v>
      </c>
      <c r="D8" s="22">
        <v>0</v>
      </c>
    </row>
    <row r="9" spans="1:4" x14ac:dyDescent="0.25">
      <c r="A9" s="21" t="s">
        <v>4338</v>
      </c>
      <c r="B9" s="22">
        <v>1968645.19</v>
      </c>
      <c r="C9" s="22">
        <v>0</v>
      </c>
      <c r="D9" s="22">
        <v>0</v>
      </c>
    </row>
    <row r="10" spans="1:4" x14ac:dyDescent="0.25">
      <c r="A10" s="21" t="s">
        <v>4339</v>
      </c>
      <c r="B10" s="22">
        <v>217883.19999999998</v>
      </c>
      <c r="C10" s="22">
        <v>0</v>
      </c>
      <c r="D10" s="22">
        <v>52.95</v>
      </c>
    </row>
    <row r="11" spans="1:4" x14ac:dyDescent="0.25">
      <c r="A11" s="21" t="s">
        <v>4340</v>
      </c>
      <c r="B11" s="22">
        <v>1516567.3000000003</v>
      </c>
      <c r="C11" s="22">
        <v>0</v>
      </c>
      <c r="D11" s="22">
        <v>-9.99</v>
      </c>
    </row>
    <row r="12" spans="1:4" x14ac:dyDescent="0.25">
      <c r="A12" s="21" t="s">
        <v>4341</v>
      </c>
      <c r="B12" s="22">
        <v>254000.43000000002</v>
      </c>
      <c r="C12" s="22">
        <v>0</v>
      </c>
      <c r="D12" s="22">
        <v>0</v>
      </c>
    </row>
    <row r="13" spans="1:4" x14ac:dyDescent="0.25">
      <c r="A13" s="21" t="s">
        <v>4342</v>
      </c>
      <c r="B13" s="22">
        <v>391504.25</v>
      </c>
      <c r="C13" s="22">
        <v>0</v>
      </c>
      <c r="D13" s="22">
        <v>-106245.57000000002</v>
      </c>
    </row>
    <row r="14" spans="1:4" x14ac:dyDescent="0.25">
      <c r="A14" s="21" t="s">
        <v>4343</v>
      </c>
      <c r="B14" s="22">
        <v>43720.33</v>
      </c>
      <c r="C14" s="22">
        <v>0</v>
      </c>
      <c r="D14" s="22">
        <v>0</v>
      </c>
    </row>
    <row r="15" spans="1:4" x14ac:dyDescent="0.25">
      <c r="A15" s="21" t="s">
        <v>4344</v>
      </c>
      <c r="B15" s="22">
        <v>22613.09</v>
      </c>
      <c r="C15" s="22">
        <v>0</v>
      </c>
      <c r="D15" s="22">
        <v>0</v>
      </c>
    </row>
    <row r="16" spans="1:4" x14ac:dyDescent="0.25">
      <c r="A16" s="21" t="s">
        <v>4345</v>
      </c>
      <c r="B16" s="29">
        <v>462494.14</v>
      </c>
      <c r="C16" s="22">
        <v>14849.380000000001</v>
      </c>
      <c r="D16" s="22">
        <v>29694.62</v>
      </c>
    </row>
    <row r="17" spans="1:4" x14ac:dyDescent="0.25">
      <c r="A17" s="21" t="s">
        <v>4346</v>
      </c>
      <c r="B17" s="22">
        <v>34477.08</v>
      </c>
      <c r="C17" s="22">
        <v>0</v>
      </c>
      <c r="D17" s="22">
        <v>0</v>
      </c>
    </row>
    <row r="18" spans="1:4" x14ac:dyDescent="0.25">
      <c r="A18" s="21" t="s">
        <v>4347</v>
      </c>
      <c r="B18" s="22">
        <v>1061129.03</v>
      </c>
      <c r="C18" s="22">
        <v>2400</v>
      </c>
      <c r="D18" s="22">
        <v>250</v>
      </c>
    </row>
    <row r="19" spans="1:4" x14ac:dyDescent="0.25">
      <c r="A19" s="21" t="s">
        <v>4348</v>
      </c>
      <c r="B19" s="22">
        <v>4661.8599999999997</v>
      </c>
      <c r="C19" s="22">
        <v>0</v>
      </c>
      <c r="D19" s="22">
        <v>0</v>
      </c>
    </row>
    <row r="20" spans="1:4" x14ac:dyDescent="0.25">
      <c r="A20" s="21" t="s">
        <v>4349</v>
      </c>
      <c r="B20" s="22">
        <v>898983.28</v>
      </c>
      <c r="C20" s="22">
        <v>1560</v>
      </c>
      <c r="D20" s="22">
        <v>0</v>
      </c>
    </row>
    <row r="21" spans="1:4" x14ac:dyDescent="0.25">
      <c r="A21" s="21" t="s">
        <v>4350</v>
      </c>
      <c r="B21" s="22">
        <v>12339.439999999999</v>
      </c>
      <c r="C21" s="22">
        <v>0</v>
      </c>
      <c r="D21" s="22">
        <v>0</v>
      </c>
    </row>
    <row r="22" spans="1:4" x14ac:dyDescent="0.25">
      <c r="A22" s="21" t="s">
        <v>4351</v>
      </c>
      <c r="B22" s="22">
        <v>506745.97</v>
      </c>
      <c r="C22" s="22">
        <v>33250.019999999997</v>
      </c>
      <c r="D22" s="22">
        <v>0</v>
      </c>
    </row>
    <row r="23" spans="1:4" x14ac:dyDescent="0.25">
      <c r="A23" s="21" t="s">
        <v>4352</v>
      </c>
      <c r="B23" s="22">
        <v>589246.93999999994</v>
      </c>
      <c r="C23" s="22">
        <v>345</v>
      </c>
      <c r="D23" s="22">
        <v>1425.26</v>
      </c>
    </row>
    <row r="24" spans="1:4" x14ac:dyDescent="0.25">
      <c r="A24" s="21" t="s">
        <v>4353</v>
      </c>
      <c r="B24" s="22">
        <v>200139.03</v>
      </c>
      <c r="C24" s="22">
        <v>0</v>
      </c>
      <c r="D24" s="22">
        <v>0</v>
      </c>
    </row>
    <row r="25" spans="1:4" x14ac:dyDescent="0.25">
      <c r="A25" s="21" t="s">
        <v>4354</v>
      </c>
      <c r="B25" s="22">
        <v>78644.899999999994</v>
      </c>
      <c r="C25" s="22">
        <v>198</v>
      </c>
      <c r="D25" s="22">
        <v>0</v>
      </c>
    </row>
    <row r="26" spans="1:4" x14ac:dyDescent="0.25">
      <c r="A26" s="21" t="s">
        <v>4355</v>
      </c>
      <c r="B26" s="22">
        <v>13147.52</v>
      </c>
      <c r="C26" s="22">
        <v>0</v>
      </c>
      <c r="D26" s="22">
        <v>0</v>
      </c>
    </row>
    <row r="27" spans="1:4" x14ac:dyDescent="0.25">
      <c r="A27" s="21" t="s">
        <v>4356</v>
      </c>
      <c r="B27" s="22">
        <v>3078.7700000000004</v>
      </c>
      <c r="C27" s="22">
        <v>0</v>
      </c>
      <c r="D27" s="22">
        <v>0</v>
      </c>
    </row>
    <row r="28" spans="1:4" x14ac:dyDescent="0.25">
      <c r="A28" s="21" t="s">
        <v>4357</v>
      </c>
      <c r="B28" s="22">
        <v>38330.410000000003</v>
      </c>
      <c r="C28" s="22">
        <v>0</v>
      </c>
      <c r="D28" s="22">
        <v>0</v>
      </c>
    </row>
    <row r="29" spans="1:4" x14ac:dyDescent="0.25">
      <c r="A29" s="21" t="s">
        <v>4358</v>
      </c>
      <c r="B29" s="22">
        <v>100956.17</v>
      </c>
      <c r="C29" s="22">
        <v>0</v>
      </c>
      <c r="D29" s="22">
        <v>0</v>
      </c>
    </row>
    <row r="30" spans="1:4" x14ac:dyDescent="0.25">
      <c r="A30" s="21" t="s">
        <v>4359</v>
      </c>
      <c r="B30" s="22">
        <v>27951.679999999997</v>
      </c>
      <c r="C30" s="22">
        <v>0</v>
      </c>
      <c r="D30" s="22">
        <v>0</v>
      </c>
    </row>
    <row r="31" spans="1:4" x14ac:dyDescent="0.25">
      <c r="A31" s="21" t="s">
        <v>4360</v>
      </c>
      <c r="B31" s="22">
        <v>1667.7199999999998</v>
      </c>
      <c r="C31" s="22">
        <v>0</v>
      </c>
      <c r="D31" s="22">
        <v>0</v>
      </c>
    </row>
    <row r="32" spans="1:4" x14ac:dyDescent="0.25">
      <c r="A32" s="21" t="s">
        <v>4361</v>
      </c>
      <c r="B32" s="22">
        <v>591.66</v>
      </c>
      <c r="C32" s="22">
        <v>0</v>
      </c>
      <c r="D32" s="22">
        <v>0</v>
      </c>
    </row>
    <row r="33" spans="1:4" x14ac:dyDescent="0.25">
      <c r="A33" s="21" t="s">
        <v>4362</v>
      </c>
      <c r="B33" s="22">
        <v>54983.520000000004</v>
      </c>
      <c r="C33" s="22">
        <v>0</v>
      </c>
      <c r="D33" s="22">
        <v>0</v>
      </c>
    </row>
    <row r="34" spans="1:4" x14ac:dyDescent="0.25">
      <c r="A34" s="21" t="s">
        <v>4363</v>
      </c>
      <c r="B34" s="22">
        <v>1420.52</v>
      </c>
      <c r="C34" s="22">
        <v>0</v>
      </c>
      <c r="D34" s="22">
        <v>0</v>
      </c>
    </row>
    <row r="35" spans="1:4" x14ac:dyDescent="0.25">
      <c r="A35" s="21" t="s">
        <v>4364</v>
      </c>
      <c r="B35" s="22">
        <v>0</v>
      </c>
      <c r="C35" s="22">
        <v>0</v>
      </c>
      <c r="D35" s="22">
        <v>49.96</v>
      </c>
    </row>
    <row r="36" spans="1:4" x14ac:dyDescent="0.25">
      <c r="A36" s="21" t="s">
        <v>4365</v>
      </c>
      <c r="B36" s="22">
        <v>16857.45</v>
      </c>
      <c r="C36" s="22">
        <v>0</v>
      </c>
      <c r="D36" s="22">
        <v>0</v>
      </c>
    </row>
    <row r="37" spans="1:4" x14ac:dyDescent="0.25">
      <c r="A37" s="21" t="s">
        <v>4366</v>
      </c>
      <c r="B37" s="22">
        <v>580979.02</v>
      </c>
      <c r="C37" s="22">
        <v>0</v>
      </c>
      <c r="D37" s="22">
        <v>0</v>
      </c>
    </row>
    <row r="38" spans="1:4" x14ac:dyDescent="0.25">
      <c r="A38" s="21" t="s">
        <v>4367</v>
      </c>
      <c r="B38" s="22">
        <v>589551.18999999994</v>
      </c>
      <c r="C38" s="22">
        <v>0</v>
      </c>
      <c r="D38" s="22">
        <v>42750</v>
      </c>
    </row>
    <row r="39" spans="1:4" x14ac:dyDescent="0.25">
      <c r="A39" s="21" t="s">
        <v>4368</v>
      </c>
      <c r="B39" s="22">
        <v>955982.33000000007</v>
      </c>
      <c r="C39" s="22">
        <v>0</v>
      </c>
      <c r="D39" s="22">
        <v>89007</v>
      </c>
    </row>
    <row r="40" spans="1:4" x14ac:dyDescent="0.25">
      <c r="A40" s="21" t="s">
        <v>4369</v>
      </c>
      <c r="B40" s="22">
        <v>188169.46</v>
      </c>
      <c r="C40" s="22">
        <v>0</v>
      </c>
      <c r="D40" s="22">
        <v>0</v>
      </c>
    </row>
    <row r="41" spans="1:4" x14ac:dyDescent="0.25">
      <c r="A41" s="21" t="s">
        <v>4370</v>
      </c>
      <c r="B41" s="22">
        <v>29404.22</v>
      </c>
      <c r="C41" s="22">
        <v>0</v>
      </c>
      <c r="D41" s="22">
        <v>0</v>
      </c>
    </row>
    <row r="42" spans="1:4" x14ac:dyDescent="0.25">
      <c r="A42" s="21" t="s">
        <v>4371</v>
      </c>
      <c r="B42" s="22">
        <v>81445.760000000009</v>
      </c>
      <c r="C42" s="22">
        <v>0</v>
      </c>
      <c r="D42" s="22">
        <v>8092</v>
      </c>
    </row>
    <row r="43" spans="1:4" x14ac:dyDescent="0.25">
      <c r="A43" s="21" t="s">
        <v>4372</v>
      </c>
      <c r="B43" s="22">
        <v>3212.7</v>
      </c>
      <c r="C43" s="22">
        <v>559</v>
      </c>
      <c r="D43" s="22">
        <v>0</v>
      </c>
    </row>
    <row r="44" spans="1:4" x14ac:dyDescent="0.25">
      <c r="A44" s="21" t="s">
        <v>4373</v>
      </c>
      <c r="B44" s="22">
        <v>3979.04</v>
      </c>
      <c r="C44" s="22">
        <v>0</v>
      </c>
      <c r="D44" s="22">
        <v>0</v>
      </c>
    </row>
    <row r="45" spans="1:4" x14ac:dyDescent="0.25">
      <c r="A45" s="21" t="s">
        <v>4374</v>
      </c>
      <c r="B45" s="22">
        <v>206109.94</v>
      </c>
      <c r="C45" s="22">
        <v>20233</v>
      </c>
      <c r="D45" s="22">
        <v>34894.339999999997</v>
      </c>
    </row>
    <row r="46" spans="1:4" x14ac:dyDescent="0.25">
      <c r="A46" s="21" t="s">
        <v>4375</v>
      </c>
      <c r="B46" s="22">
        <v>127116.17</v>
      </c>
      <c r="C46" s="22">
        <v>4702</v>
      </c>
      <c r="D46" s="22">
        <v>12000</v>
      </c>
    </row>
    <row r="47" spans="1:4" x14ac:dyDescent="0.25">
      <c r="A47" s="28" t="s">
        <v>478</v>
      </c>
      <c r="B47" s="22">
        <v>0</v>
      </c>
      <c r="C47" s="22">
        <v>0</v>
      </c>
      <c r="D47" s="22">
        <v>0</v>
      </c>
    </row>
    <row r="48" spans="1:4" x14ac:dyDescent="0.25">
      <c r="A48" s="28" t="s">
        <v>157</v>
      </c>
      <c r="B48" s="22">
        <v>0</v>
      </c>
      <c r="C48" s="22">
        <v>4702</v>
      </c>
      <c r="D48" s="22">
        <v>0</v>
      </c>
    </row>
    <row r="49" spans="1:4" x14ac:dyDescent="0.25">
      <c r="A49" s="28" t="s">
        <v>4402</v>
      </c>
      <c r="B49" s="22">
        <v>127116.17</v>
      </c>
      <c r="C49" s="22">
        <v>0</v>
      </c>
      <c r="D49" s="22">
        <v>0</v>
      </c>
    </row>
    <row r="50" spans="1:4" x14ac:dyDescent="0.25">
      <c r="A50" s="28" t="s">
        <v>481</v>
      </c>
      <c r="B50" s="22">
        <v>0</v>
      </c>
      <c r="C50" s="22">
        <v>0</v>
      </c>
      <c r="D50" s="22">
        <v>12000</v>
      </c>
    </row>
    <row r="51" spans="1:4" x14ac:dyDescent="0.25">
      <c r="A51" s="21" t="s">
        <v>4376</v>
      </c>
      <c r="B51" s="22">
        <v>153.02000000000001</v>
      </c>
      <c r="C51" s="22">
        <v>0</v>
      </c>
      <c r="D51" s="22">
        <v>0</v>
      </c>
    </row>
    <row r="52" spans="1:4" x14ac:dyDescent="0.25">
      <c r="A52" s="28" t="s">
        <v>4402</v>
      </c>
      <c r="B52" s="22">
        <v>153.02000000000001</v>
      </c>
      <c r="C52" s="22">
        <v>0</v>
      </c>
      <c r="D52" s="22">
        <v>0</v>
      </c>
    </row>
    <row r="53" spans="1:4" x14ac:dyDescent="0.25">
      <c r="A53" s="21" t="s">
        <v>4377</v>
      </c>
      <c r="B53" s="22">
        <v>13627.009999999998</v>
      </c>
      <c r="C53" s="22">
        <v>0</v>
      </c>
      <c r="D53" s="22">
        <v>128180</v>
      </c>
    </row>
    <row r="54" spans="1:4" x14ac:dyDescent="0.25">
      <c r="A54" s="21" t="s">
        <v>4378</v>
      </c>
      <c r="B54" s="22">
        <v>174.59</v>
      </c>
      <c r="C54" s="22">
        <v>0</v>
      </c>
      <c r="D54" s="22">
        <v>0</v>
      </c>
    </row>
    <row r="55" spans="1:4" x14ac:dyDescent="0.25">
      <c r="A55" s="21" t="s">
        <v>4379</v>
      </c>
      <c r="B55" s="22">
        <v>22754.94</v>
      </c>
      <c r="C55" s="22">
        <v>28525</v>
      </c>
      <c r="D55" s="22">
        <v>174.1</v>
      </c>
    </row>
    <row r="56" spans="1:4" x14ac:dyDescent="0.25">
      <c r="A56" s="21" t="s">
        <v>4380</v>
      </c>
      <c r="B56" s="22">
        <v>3976.06</v>
      </c>
      <c r="C56" s="22">
        <v>0</v>
      </c>
      <c r="D56" s="22">
        <v>0</v>
      </c>
    </row>
    <row r="57" spans="1:4" x14ac:dyDescent="0.25">
      <c r="A57" s="21" t="s">
        <v>4381</v>
      </c>
      <c r="B57" s="22">
        <v>20845.57</v>
      </c>
      <c r="C57" s="22">
        <v>0</v>
      </c>
      <c r="D57" s="22">
        <v>0</v>
      </c>
    </row>
    <row r="58" spans="1:4" x14ac:dyDescent="0.25">
      <c r="A58" s="21" t="s">
        <v>4382</v>
      </c>
      <c r="B58" s="22">
        <v>2187.35</v>
      </c>
      <c r="C58" s="22">
        <v>0</v>
      </c>
      <c r="D58" s="22">
        <v>0</v>
      </c>
    </row>
    <row r="59" spans="1:4" x14ac:dyDescent="0.25">
      <c r="A59" s="21" t="s">
        <v>4383</v>
      </c>
      <c r="B59" s="22">
        <v>16475.969999999998</v>
      </c>
      <c r="C59" s="22">
        <v>0</v>
      </c>
      <c r="D59" s="22">
        <v>0</v>
      </c>
    </row>
    <row r="60" spans="1:4" x14ac:dyDescent="0.25">
      <c r="A60" s="21" t="s">
        <v>4384</v>
      </c>
      <c r="B60" s="22">
        <v>102.01</v>
      </c>
      <c r="C60" s="22">
        <v>0</v>
      </c>
      <c r="D60" s="22">
        <v>0</v>
      </c>
    </row>
    <row r="61" spans="1:4" x14ac:dyDescent="0.25">
      <c r="A61" s="21" t="s">
        <v>4385</v>
      </c>
      <c r="B61" s="22">
        <v>134.41</v>
      </c>
      <c r="C61" s="22">
        <v>269</v>
      </c>
      <c r="D61" s="22">
        <v>0</v>
      </c>
    </row>
    <row r="62" spans="1:4" x14ac:dyDescent="0.25">
      <c r="A62" s="21" t="s">
        <v>4386</v>
      </c>
      <c r="B62" s="22">
        <v>5230.3599999999997</v>
      </c>
      <c r="C62" s="22">
        <v>0</v>
      </c>
      <c r="D62" s="22">
        <v>0</v>
      </c>
    </row>
    <row r="63" spans="1:4" x14ac:dyDescent="0.25">
      <c r="A63" s="21" t="s">
        <v>4387</v>
      </c>
      <c r="B63" s="22">
        <v>7591.99</v>
      </c>
      <c r="C63" s="22">
        <v>0</v>
      </c>
      <c r="D63" s="22">
        <v>0</v>
      </c>
    </row>
    <row r="64" spans="1:4" x14ac:dyDescent="0.25">
      <c r="A64" s="21" t="s">
        <v>4388</v>
      </c>
      <c r="B64" s="22">
        <v>14089.87</v>
      </c>
      <c r="C64" s="22">
        <v>6716</v>
      </c>
      <c r="D64" s="22">
        <v>0</v>
      </c>
    </row>
    <row r="65" spans="1:4" x14ac:dyDescent="0.25">
      <c r="A65" s="21" t="s">
        <v>4389</v>
      </c>
      <c r="B65" s="22">
        <v>42231.17</v>
      </c>
      <c r="C65" s="22">
        <v>0</v>
      </c>
      <c r="D65" s="22">
        <v>0</v>
      </c>
    </row>
    <row r="66" spans="1:4" x14ac:dyDescent="0.25">
      <c r="A66" s="21" t="s">
        <v>4390</v>
      </c>
      <c r="B66" s="22">
        <v>53384.13</v>
      </c>
      <c r="C66" s="22">
        <v>0</v>
      </c>
      <c r="D66" s="22">
        <v>0</v>
      </c>
    </row>
    <row r="67" spans="1:4" x14ac:dyDescent="0.25">
      <c r="A67" s="21" t="s">
        <v>4391</v>
      </c>
      <c r="B67" s="22">
        <v>17672.64</v>
      </c>
      <c r="C67" s="22">
        <v>0</v>
      </c>
      <c r="D67" s="22">
        <v>0</v>
      </c>
    </row>
    <row r="68" spans="1:4" x14ac:dyDescent="0.25">
      <c r="A68" s="21" t="s">
        <v>4392</v>
      </c>
      <c r="B68" s="22">
        <v>4734.29</v>
      </c>
      <c r="C68" s="22">
        <v>0</v>
      </c>
      <c r="D68" s="22">
        <v>0</v>
      </c>
    </row>
    <row r="69" spans="1:4" x14ac:dyDescent="0.25">
      <c r="A69" s="21" t="s">
        <v>4393</v>
      </c>
      <c r="B69" s="22">
        <v>6595.37</v>
      </c>
      <c r="C69" s="22">
        <v>0</v>
      </c>
      <c r="D69" s="22">
        <v>0</v>
      </c>
    </row>
    <row r="70" spans="1:4" x14ac:dyDescent="0.25">
      <c r="A70" s="21" t="s">
        <v>4394</v>
      </c>
      <c r="B70" s="22">
        <v>286517.63</v>
      </c>
      <c r="C70" s="22">
        <v>0</v>
      </c>
      <c r="D70" s="22">
        <v>0</v>
      </c>
    </row>
    <row r="71" spans="1:4" x14ac:dyDescent="0.25">
      <c r="A71" s="21" t="s">
        <v>4395</v>
      </c>
      <c r="B71" s="22">
        <v>503929.4</v>
      </c>
      <c r="C71" s="22">
        <v>0</v>
      </c>
      <c r="D71" s="22">
        <v>0</v>
      </c>
    </row>
    <row r="72" spans="1:4" x14ac:dyDescent="0.25">
      <c r="A72" s="21" t="s">
        <v>4396</v>
      </c>
      <c r="B72" s="22">
        <v>108087.82</v>
      </c>
      <c r="C72" s="22">
        <v>0</v>
      </c>
      <c r="D72" s="22">
        <v>0</v>
      </c>
    </row>
    <row r="73" spans="1:4" x14ac:dyDescent="0.25">
      <c r="A73" s="21" t="s">
        <v>4397</v>
      </c>
      <c r="B73" s="22">
        <v>1098369.94</v>
      </c>
      <c r="C73" s="22">
        <v>0</v>
      </c>
      <c r="D73" s="22">
        <v>2.99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Contas Orç</vt:lpstr>
      <vt:lpstr>Base_20.12</vt:lpstr>
      <vt:lpstr>Base_24.11</vt:lpstr>
      <vt:lpstr>Planilha1</vt:lpstr>
      <vt:lpstr>Stênio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Stenio Portacio</dc:creator>
  <cp:lastModifiedBy>Stenio Portacio</cp:lastModifiedBy>
  <dcterms:created xsi:type="dcterms:W3CDTF">2022-11-22T18:38:54Z</dcterms:created>
  <dcterms:modified xsi:type="dcterms:W3CDTF">2022-12-20T18:59:36Z</dcterms:modified>
</cp:coreProperties>
</file>