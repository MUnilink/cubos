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ANDRO GOMES\Documents\"/>
    </mc:Choice>
  </mc:AlternateContent>
  <bookViews>
    <workbookView xWindow="0" yWindow="0" windowWidth="20490" windowHeight="7035"/>
  </bookViews>
  <sheets>
    <sheet name="Custos de Manutenção" sheetId="1" r:id="rId1"/>
  </sheets>
  <definedNames>
    <definedName name="_xlnm.Print_Area" localSheetId="0">'Custos de Manutenção'!$A$1:$N$73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1" i="1" l="1"/>
  <c r="B62" i="1"/>
  <c r="B53" i="1"/>
  <c r="B44" i="1"/>
  <c r="B35" i="1"/>
  <c r="B26" i="1"/>
  <c r="B17" i="1"/>
  <c r="N70" i="1"/>
  <c r="B72" i="1"/>
  <c r="N69" i="1"/>
  <c r="N68" i="1"/>
  <c r="N71" i="1" s="1"/>
  <c r="B63" i="1"/>
  <c r="N61" i="1"/>
  <c r="N60" i="1"/>
  <c r="N59" i="1"/>
  <c r="N62" i="1" s="1"/>
  <c r="B54" i="1"/>
  <c r="N52" i="1"/>
  <c r="N51" i="1"/>
  <c r="N50" i="1"/>
  <c r="B45" i="1"/>
  <c r="N43" i="1"/>
  <c r="N42" i="1"/>
  <c r="N41" i="1"/>
  <c r="B36" i="1"/>
  <c r="N34" i="1"/>
  <c r="N33" i="1"/>
  <c r="N32" i="1"/>
  <c r="N35" i="1" s="1"/>
  <c r="B27" i="1"/>
  <c r="N25" i="1"/>
  <c r="N24" i="1"/>
  <c r="N26" i="1" s="1"/>
  <c r="N23" i="1"/>
  <c r="B18" i="1"/>
  <c r="N16" i="1"/>
  <c r="N15" i="1"/>
  <c r="N14" i="1"/>
  <c r="N17" i="1" s="1"/>
  <c r="N7" i="1"/>
  <c r="N6" i="1"/>
  <c r="N5" i="1"/>
  <c r="B9" i="1"/>
  <c r="B8" i="1"/>
  <c r="N54" i="1" l="1"/>
  <c r="N53" i="1"/>
  <c r="N45" i="1"/>
  <c r="N44" i="1"/>
  <c r="N27" i="1"/>
  <c r="N63" i="1"/>
  <c r="N72" i="1"/>
  <c r="N36" i="1"/>
  <c r="N18" i="1"/>
  <c r="N9" i="1"/>
  <c r="N8" i="1"/>
</calcChain>
</file>

<file path=xl/sharedStrings.xml><?xml version="1.0" encoding="utf-8"?>
<sst xmlns="http://schemas.openxmlformats.org/spreadsheetml/2006/main" count="161" uniqueCount="27">
  <si>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</si>
  <si>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</si>
  <si>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</si>
  <si>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</si>
  <si>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</si>
  <si>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</si>
  <si>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</si>
  <si>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</si>
  <si>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</si>
  <si>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</si>
  <si>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</si>
  <si>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</si>
  <si>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 ANUAL</t>
  </si>
  <si>
    <t>CUSTOS DE MANUTENÇÃO</t>
  </si>
  <si>
    <t>EP</t>
  </si>
  <si>
    <t>HORAS TRABALHADAS</t>
  </si>
  <si>
    <t>N° Ativos</t>
  </si>
  <si>
    <t>Custo p/ Hora</t>
  </si>
  <si>
    <t>Média/Ativo</t>
  </si>
  <si>
    <t>RELATÓRIO DE CUSTOS</t>
  </si>
  <si>
    <t>KAL</t>
  </si>
  <si>
    <t>RS</t>
  </si>
  <si>
    <t>Hyster 48T</t>
  </si>
  <si>
    <t>MHC Terex</t>
  </si>
  <si>
    <t>MHC Bardela</t>
  </si>
  <si>
    <t>GMK 4100 Groove</t>
  </si>
  <si>
    <t>MHC Liebher LHM 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</si>
</sst>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170" formatCode="&quot;R$&quot;\ #,##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22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i/>
      <sz val="20"/>
      <name val="Calibri"/>
      <family val="2"/>
    </font>
    <font>
      <sz val="2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8">
    <xf numFmtId="0" fontId="0" fillId="0" borderId="0" xfId="0"/>
    <xf numFmtId="3" fontId="5" fillId="0" borderId="4" xfId="0" applyNumberFormat="1" applyFont="1" applyBorder="1" applyAlignment="1">
      <alignment horizontal="center" vertical="center"/>
    </xf>
    <xf numFmtId="3" fontId="4" fillId="3" borderId="6" xfId="0" applyNumberFormat="1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left" vertical="center"/>
    </xf>
    <xf numFmtId="0" fontId="9" fillId="0" borderId="0" xfId="0" applyFont="1" applyBorder="1"/>
    <xf numFmtId="0" fontId="2" fillId="2" borderId="0" xfId="0" applyFont="1" applyFill="1" applyBorder="1" applyAlignment="1">
      <alignment horizontal="center" vertical="center"/>
    </xf>
    <xf numFmtId="0" fontId="0" fillId="0" borderId="0" xfId="0" applyBorder="1"/>
    <xf numFmtId="170" fontId="4" fillId="4" borderId="5" xfId="1" applyNumberFormat="1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170" fontId="7" fillId="5" borderId="7" xfId="0" applyNumberFormat="1" applyFont="1" applyFill="1" applyBorder="1" applyAlignment="1">
      <alignment horizontal="center" vertical="center"/>
    </xf>
    <xf numFmtId="3" fontId="5" fillId="0" borderId="14" xfId="0" applyNumberFormat="1" applyFont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170" fontId="5" fillId="0" borderId="17" xfId="1" applyNumberFormat="1" applyFont="1" applyBorder="1" applyAlignment="1">
      <alignment horizontal="center" vertical="center"/>
    </xf>
    <xf numFmtId="170" fontId="5" fillId="0" borderId="18" xfId="1" applyNumberFormat="1" applyFont="1" applyBorder="1" applyAlignment="1">
      <alignment horizontal="center" vertical="center"/>
    </xf>
    <xf numFmtId="170" fontId="4" fillId="3" borderId="20" xfId="0" applyNumberFormat="1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170" fontId="4" fillId="4" borderId="22" xfId="1" applyNumberFormat="1" applyFont="1" applyFill="1" applyBorder="1" applyAlignment="1">
      <alignment horizontal="center" vertical="center"/>
    </xf>
    <xf numFmtId="170" fontId="4" fillId="4" borderId="23" xfId="1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3" fontId="5" fillId="0" borderId="25" xfId="0" applyNumberFormat="1" applyFont="1" applyBorder="1" applyAlignment="1">
      <alignment horizontal="center" vertical="center"/>
    </xf>
    <xf numFmtId="3" fontId="5" fillId="0" borderId="26" xfId="0" applyNumberFormat="1" applyFont="1" applyBorder="1" applyAlignment="1">
      <alignment horizontal="center" vertical="center"/>
    </xf>
    <xf numFmtId="3" fontId="4" fillId="3" borderId="28" xfId="0" applyNumberFormat="1" applyFont="1" applyFill="1" applyBorder="1" applyAlignment="1">
      <alignment horizontal="center" vertical="center"/>
    </xf>
    <xf numFmtId="0" fontId="7" fillId="6" borderId="29" xfId="0" applyFont="1" applyFill="1" applyBorder="1" applyAlignment="1">
      <alignment horizontal="center" vertical="center"/>
    </xf>
    <xf numFmtId="4" fontId="4" fillId="4" borderId="12" xfId="0" applyNumberFormat="1" applyFont="1" applyFill="1" applyBorder="1" applyAlignment="1">
      <alignment horizontal="center" vertical="center"/>
    </xf>
    <xf numFmtId="4" fontId="4" fillId="4" borderId="13" xfId="0" applyNumberFormat="1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4" fillId="3" borderId="33" xfId="0" applyFont="1" applyFill="1" applyBorder="1" applyAlignment="1">
      <alignment horizontal="center" vertical="center"/>
    </xf>
    <xf numFmtId="44" fontId="4" fillId="4" borderId="11" xfId="1" applyFont="1" applyFill="1" applyBorder="1" applyAlignment="1">
      <alignment horizontal="center" vertical="center"/>
    </xf>
    <xf numFmtId="44" fontId="7" fillId="5" borderId="30" xfId="1" applyFont="1" applyFill="1" applyBorder="1" applyAlignment="1">
      <alignment horizontal="center" vertical="center"/>
    </xf>
    <xf numFmtId="170" fontId="5" fillId="7" borderId="19" xfId="1" applyNumberFormat="1" applyFont="1" applyFill="1" applyBorder="1" applyAlignment="1">
      <alignment horizontal="center" vertical="center"/>
    </xf>
    <xf numFmtId="3" fontId="5" fillId="7" borderId="15" xfId="0" applyNumberFormat="1" applyFont="1" applyFill="1" applyBorder="1" applyAlignment="1">
      <alignment horizontal="center" vertical="center"/>
    </xf>
    <xf numFmtId="3" fontId="5" fillId="7" borderId="27" xfId="0" applyNumberFormat="1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72"/>
  <sheetViews>
    <sheetView showGridLines="0" tabSelected="1" workbookViewId="0">
      <selection activeCell="P4" sqref="P4"/>
    </sheetView>
  </sheetViews>
  <sheetFormatPr defaultRowHeight="15" x14ac:dyDescent="0.25"/>
  <cols>
    <col min="1" max="1" width="30.42578125" customWidth="1"/>
    <col min="2" max="13" width="9.140625" customWidth="1"/>
    <col min="14" max="14" width="12" bestFit="1" customWidth="1"/>
  </cols>
  <sheetData>
    <row r="1" spans="1:14" s="6" customFormat="1" ht="28.5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s="4" customFormat="1" ht="27" thickBot="1" x14ac:dyDescent="0.45">
      <c r="A2" s="3" t="s">
        <v>14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19.5" thickBot="1" x14ac:dyDescent="0.3">
      <c r="A3" s="19" t="s">
        <v>19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1"/>
    </row>
    <row r="4" spans="1:14" x14ac:dyDescent="0.25">
      <c r="A4" s="15"/>
      <c r="B4" s="30" t="s">
        <v>0</v>
      </c>
      <c r="C4" s="31" t="s">
        <v>1</v>
      </c>
      <c r="D4" s="31" t="s">
        <v>2</v>
      </c>
      <c r="E4" s="31" t="s">
        <v>3</v>
      </c>
      <c r="F4" s="31" t="s">
        <v>4</v>
      </c>
      <c r="G4" s="31" t="s">
        <v>5</v>
      </c>
      <c r="H4" s="31" t="s">
        <v>6</v>
      </c>
      <c r="I4" s="31" t="s">
        <v>7</v>
      </c>
      <c r="J4" s="31" t="s">
        <v>8</v>
      </c>
      <c r="K4" s="31" t="s">
        <v>9</v>
      </c>
      <c r="L4" s="31" t="s">
        <v>10</v>
      </c>
      <c r="M4" s="31" t="s">
        <v>11</v>
      </c>
      <c r="N4" s="32" t="s">
        <v>12</v>
      </c>
    </row>
    <row r="5" spans="1:14" x14ac:dyDescent="0.25">
      <c r="A5" s="11" t="s">
        <v>13</v>
      </c>
      <c r="B5" s="12">
        <v>25550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35"/>
      <c r="N5" s="14">
        <f>SUM(B5:M5)</f>
        <v>25550</v>
      </c>
    </row>
    <row r="6" spans="1:14" x14ac:dyDescent="0.25">
      <c r="A6" s="8" t="s">
        <v>15</v>
      </c>
      <c r="B6" s="10">
        <v>350</v>
      </c>
      <c r="C6" s="1"/>
      <c r="D6" s="1"/>
      <c r="E6" s="1"/>
      <c r="F6" s="1"/>
      <c r="G6" s="1"/>
      <c r="H6" s="1"/>
      <c r="I6" s="1"/>
      <c r="J6" s="1"/>
      <c r="K6" s="1"/>
      <c r="L6" s="1"/>
      <c r="M6" s="36"/>
      <c r="N6" s="2">
        <f>SUM(B6:M6)</f>
        <v>350</v>
      </c>
    </row>
    <row r="7" spans="1:14" x14ac:dyDescent="0.25">
      <c r="A7" s="23" t="s">
        <v>16</v>
      </c>
      <c r="B7" s="24">
        <v>5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37"/>
      <c r="N7" s="26">
        <f>AVERAGE(B7:M7)</f>
        <v>5</v>
      </c>
    </row>
    <row r="8" spans="1:14" x14ac:dyDescent="0.25">
      <c r="A8" s="27" t="s">
        <v>17</v>
      </c>
      <c r="B8" s="33">
        <f>B5/B6</f>
        <v>73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9"/>
      <c r="N8" s="34">
        <f>N5/N6</f>
        <v>73</v>
      </c>
    </row>
    <row r="9" spans="1:14" ht="15.75" thickBot="1" x14ac:dyDescent="0.3">
      <c r="A9" s="22" t="s">
        <v>18</v>
      </c>
      <c r="B9" s="16">
        <f>B5/B7</f>
        <v>5110</v>
      </c>
      <c r="C9" s="7"/>
      <c r="D9" s="7"/>
      <c r="E9" s="7"/>
      <c r="F9" s="7"/>
      <c r="G9" s="7"/>
      <c r="H9" s="7"/>
      <c r="I9" s="7"/>
      <c r="J9" s="7"/>
      <c r="K9" s="7"/>
      <c r="L9" s="7"/>
      <c r="M9" s="17"/>
      <c r="N9" s="9">
        <f>N5/N7</f>
        <v>5110</v>
      </c>
    </row>
    <row r="10" spans="1:14" s="6" customFormat="1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</row>
    <row r="11" spans="1:14" s="4" customFormat="1" ht="27" thickBot="1" x14ac:dyDescent="0.45">
      <c r="A11" s="3" t="s">
        <v>20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ht="19.5" thickBot="1" x14ac:dyDescent="0.3">
      <c r="A12" s="19" t="s">
        <v>19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1"/>
    </row>
    <row r="13" spans="1:14" x14ac:dyDescent="0.25">
      <c r="A13" s="15"/>
      <c r="B13" s="30" t="s">
        <v>0</v>
      </c>
      <c r="C13" s="31" t="s">
        <v>1</v>
      </c>
      <c r="D13" s="31" t="s">
        <v>2</v>
      </c>
      <c r="E13" s="31" t="s">
        <v>3</v>
      </c>
      <c r="F13" s="31" t="s">
        <v>4</v>
      </c>
      <c r="G13" s="31" t="s">
        <v>5</v>
      </c>
      <c r="H13" s="31" t="s">
        <v>6</v>
      </c>
      <c r="I13" s="31" t="s">
        <v>7</v>
      </c>
      <c r="J13" s="31" t="s">
        <v>8</v>
      </c>
      <c r="K13" s="31" t="s">
        <v>9</v>
      </c>
      <c r="L13" s="31" t="s">
        <v>10</v>
      </c>
      <c r="M13" s="31" t="s">
        <v>11</v>
      </c>
      <c r="N13" s="32" t="s">
        <v>12</v>
      </c>
    </row>
    <row r="14" spans="1:14" x14ac:dyDescent="0.25">
      <c r="A14" s="11" t="s">
        <v>13</v>
      </c>
      <c r="B14" s="12">
        <v>25550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35"/>
      <c r="N14" s="14">
        <f>SUM(B14:M14)</f>
        <v>25550</v>
      </c>
    </row>
    <row r="15" spans="1:14" x14ac:dyDescent="0.25">
      <c r="A15" s="8" t="s">
        <v>15</v>
      </c>
      <c r="B15" s="10">
        <v>350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36"/>
      <c r="N15" s="2">
        <f>SUM(B15:M15)</f>
        <v>350</v>
      </c>
    </row>
    <row r="16" spans="1:14" x14ac:dyDescent="0.25">
      <c r="A16" s="23" t="s">
        <v>16</v>
      </c>
      <c r="B16" s="24">
        <v>5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37"/>
      <c r="N16" s="26">
        <f>AVERAGE(B16:M16)</f>
        <v>5</v>
      </c>
    </row>
    <row r="17" spans="1:14" x14ac:dyDescent="0.25">
      <c r="A17" s="27" t="s">
        <v>17</v>
      </c>
      <c r="B17" s="33">
        <f>B14/B15</f>
        <v>73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9"/>
      <c r="N17" s="34">
        <f>N14/N15</f>
        <v>73</v>
      </c>
    </row>
    <row r="18" spans="1:14" ht="15.75" thickBot="1" x14ac:dyDescent="0.3">
      <c r="A18" s="22" t="s">
        <v>18</v>
      </c>
      <c r="B18" s="16">
        <f>B14/B16</f>
        <v>5110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17"/>
      <c r="N18" s="9">
        <f>N14/N16</f>
        <v>5110</v>
      </c>
    </row>
    <row r="19" spans="1:14" s="6" customForma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</row>
    <row r="20" spans="1:14" s="4" customFormat="1" ht="27" thickBot="1" x14ac:dyDescent="0.45">
      <c r="A20" s="3" t="s">
        <v>21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ht="19.5" thickBot="1" x14ac:dyDescent="0.3">
      <c r="A21" s="19" t="s">
        <v>19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1"/>
    </row>
    <row r="22" spans="1:14" x14ac:dyDescent="0.25">
      <c r="A22" s="15"/>
      <c r="B22" s="30" t="s">
        <v>0</v>
      </c>
      <c r="C22" s="31" t="s">
        <v>1</v>
      </c>
      <c r="D22" s="31" t="s">
        <v>2</v>
      </c>
      <c r="E22" s="31" t="s">
        <v>3</v>
      </c>
      <c r="F22" s="31" t="s">
        <v>4</v>
      </c>
      <c r="G22" s="31" t="s">
        <v>5</v>
      </c>
      <c r="H22" s="31" t="s">
        <v>6</v>
      </c>
      <c r="I22" s="31" t="s">
        <v>7</v>
      </c>
      <c r="J22" s="31" t="s">
        <v>8</v>
      </c>
      <c r="K22" s="31" t="s">
        <v>9</v>
      </c>
      <c r="L22" s="31" t="s">
        <v>10</v>
      </c>
      <c r="M22" s="31" t="s">
        <v>11</v>
      </c>
      <c r="N22" s="32" t="s">
        <v>12</v>
      </c>
    </row>
    <row r="23" spans="1:14" x14ac:dyDescent="0.25">
      <c r="A23" s="11" t="s">
        <v>13</v>
      </c>
      <c r="B23" s="12">
        <v>25550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35"/>
      <c r="N23" s="14">
        <f>SUM(B23:M23)</f>
        <v>25550</v>
      </c>
    </row>
    <row r="24" spans="1:14" x14ac:dyDescent="0.25">
      <c r="A24" s="8" t="s">
        <v>15</v>
      </c>
      <c r="B24" s="10">
        <v>350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36"/>
      <c r="N24" s="2">
        <f>SUM(B24:M24)</f>
        <v>350</v>
      </c>
    </row>
    <row r="25" spans="1:14" x14ac:dyDescent="0.25">
      <c r="A25" s="23" t="s">
        <v>16</v>
      </c>
      <c r="B25" s="24">
        <v>5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37"/>
      <c r="N25" s="26">
        <f>AVERAGE(B25:M25)</f>
        <v>5</v>
      </c>
    </row>
    <row r="26" spans="1:14" x14ac:dyDescent="0.25">
      <c r="A26" s="27" t="s">
        <v>17</v>
      </c>
      <c r="B26" s="33">
        <f>B23/B24</f>
        <v>73</v>
      </c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9"/>
      <c r="N26" s="34">
        <f>N23/N24</f>
        <v>73</v>
      </c>
    </row>
    <row r="27" spans="1:14" ht="15.75" thickBot="1" x14ac:dyDescent="0.3">
      <c r="A27" s="22" t="s">
        <v>18</v>
      </c>
      <c r="B27" s="16">
        <f>B23/B25</f>
        <v>5110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17"/>
      <c r="N27" s="9">
        <f>N23/N25</f>
        <v>5110</v>
      </c>
    </row>
    <row r="28" spans="1:14" s="6" customForma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14" s="4" customFormat="1" ht="27" thickBot="1" x14ac:dyDescent="0.45">
      <c r="A29" s="3" t="s">
        <v>22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 ht="19.5" thickBot="1" x14ac:dyDescent="0.3">
      <c r="A30" s="19" t="s">
        <v>19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1"/>
    </row>
    <row r="31" spans="1:14" x14ac:dyDescent="0.25">
      <c r="A31" s="15"/>
      <c r="B31" s="30" t="s">
        <v>0</v>
      </c>
      <c r="C31" s="31" t="s">
        <v>1</v>
      </c>
      <c r="D31" s="31" t="s">
        <v>2</v>
      </c>
      <c r="E31" s="31" t="s">
        <v>3</v>
      </c>
      <c r="F31" s="31" t="s">
        <v>4</v>
      </c>
      <c r="G31" s="31" t="s">
        <v>5</v>
      </c>
      <c r="H31" s="31" t="s">
        <v>6</v>
      </c>
      <c r="I31" s="31" t="s">
        <v>7</v>
      </c>
      <c r="J31" s="31" t="s">
        <v>8</v>
      </c>
      <c r="K31" s="31" t="s">
        <v>9</v>
      </c>
      <c r="L31" s="31" t="s">
        <v>10</v>
      </c>
      <c r="M31" s="31" t="s">
        <v>11</v>
      </c>
      <c r="N31" s="32" t="s">
        <v>12</v>
      </c>
    </row>
    <row r="32" spans="1:14" x14ac:dyDescent="0.25">
      <c r="A32" s="11" t="s">
        <v>13</v>
      </c>
      <c r="B32" s="12">
        <v>25550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35"/>
      <c r="N32" s="14">
        <f>SUM(B32:M32)</f>
        <v>25550</v>
      </c>
    </row>
    <row r="33" spans="1:14" x14ac:dyDescent="0.25">
      <c r="A33" s="8" t="s">
        <v>15</v>
      </c>
      <c r="B33" s="10">
        <v>350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36"/>
      <c r="N33" s="2">
        <f>SUM(B33:M33)</f>
        <v>350</v>
      </c>
    </row>
    <row r="34" spans="1:14" x14ac:dyDescent="0.25">
      <c r="A34" s="23" t="s">
        <v>16</v>
      </c>
      <c r="B34" s="24">
        <v>3</v>
      </c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37"/>
      <c r="N34" s="26">
        <f>AVERAGE(B34:M34)</f>
        <v>3</v>
      </c>
    </row>
    <row r="35" spans="1:14" x14ac:dyDescent="0.25">
      <c r="A35" s="27" t="s">
        <v>17</v>
      </c>
      <c r="B35" s="33">
        <f>B32/B33</f>
        <v>73</v>
      </c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9"/>
      <c r="N35" s="34">
        <f>N32/N33</f>
        <v>73</v>
      </c>
    </row>
    <row r="36" spans="1:14" ht="15.75" thickBot="1" x14ac:dyDescent="0.3">
      <c r="A36" s="22" t="s">
        <v>18</v>
      </c>
      <c r="B36" s="16">
        <f>B32/B34</f>
        <v>8516.6666666666661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17"/>
      <c r="N36" s="9">
        <f>N32/N34</f>
        <v>8516.6666666666661</v>
      </c>
    </row>
    <row r="37" spans="1:14" s="6" customForma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1:14" s="4" customFormat="1" ht="27" thickBot="1" x14ac:dyDescent="0.45">
      <c r="A38" s="3" t="s">
        <v>23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ht="19.5" thickBot="1" x14ac:dyDescent="0.3">
      <c r="A39" s="19" t="s">
        <v>19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1"/>
    </row>
    <row r="40" spans="1:14" x14ac:dyDescent="0.25">
      <c r="A40" s="15"/>
      <c r="B40" s="30" t="s">
        <v>0</v>
      </c>
      <c r="C40" s="31" t="s">
        <v>1</v>
      </c>
      <c r="D40" s="31" t="s">
        <v>2</v>
      </c>
      <c r="E40" s="31" t="s">
        <v>3</v>
      </c>
      <c r="F40" s="31" t="s">
        <v>4</v>
      </c>
      <c r="G40" s="31" t="s">
        <v>5</v>
      </c>
      <c r="H40" s="31" t="s">
        <v>6</v>
      </c>
      <c r="I40" s="31" t="s">
        <v>7</v>
      </c>
      <c r="J40" s="31" t="s">
        <v>8</v>
      </c>
      <c r="K40" s="31" t="s">
        <v>9</v>
      </c>
      <c r="L40" s="31" t="s">
        <v>10</v>
      </c>
      <c r="M40" s="31" t="s">
        <v>11</v>
      </c>
      <c r="N40" s="32" t="s">
        <v>12</v>
      </c>
    </row>
    <row r="41" spans="1:14" x14ac:dyDescent="0.25">
      <c r="A41" s="11" t="s">
        <v>13</v>
      </c>
      <c r="B41" s="12">
        <v>25550</v>
      </c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35"/>
      <c r="N41" s="14">
        <f>SUM(B41:M41)</f>
        <v>25550</v>
      </c>
    </row>
    <row r="42" spans="1:14" x14ac:dyDescent="0.25">
      <c r="A42" s="8" t="s">
        <v>15</v>
      </c>
      <c r="B42" s="10">
        <v>350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36"/>
      <c r="N42" s="2">
        <f>SUM(B42:M42)</f>
        <v>350</v>
      </c>
    </row>
    <row r="43" spans="1:14" x14ac:dyDescent="0.25">
      <c r="A43" s="23" t="s">
        <v>16</v>
      </c>
      <c r="B43" s="24">
        <v>3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37"/>
      <c r="N43" s="26">
        <f>AVERAGE(B43:M43)</f>
        <v>3</v>
      </c>
    </row>
    <row r="44" spans="1:14" x14ac:dyDescent="0.25">
      <c r="A44" s="27" t="s">
        <v>17</v>
      </c>
      <c r="B44" s="33">
        <f>B41/B42</f>
        <v>73</v>
      </c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9"/>
      <c r="N44" s="34">
        <f>N41/N42</f>
        <v>73</v>
      </c>
    </row>
    <row r="45" spans="1:14" ht="15.75" thickBot="1" x14ac:dyDescent="0.3">
      <c r="A45" s="22" t="s">
        <v>18</v>
      </c>
      <c r="B45" s="16">
        <f>B41/B43</f>
        <v>8516.6666666666661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17"/>
      <c r="N45" s="9">
        <f>N41/N43</f>
        <v>8516.6666666666661</v>
      </c>
    </row>
    <row r="46" spans="1:14" s="6" customFormat="1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14" s="4" customFormat="1" ht="27" thickBot="1" x14ac:dyDescent="0.45">
      <c r="A47" s="3" t="s">
        <v>26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 ht="19.5" thickBot="1" x14ac:dyDescent="0.3">
      <c r="A48" s="19" t="s">
        <v>19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1"/>
    </row>
    <row r="49" spans="1:14" x14ac:dyDescent="0.25">
      <c r="A49" s="15"/>
      <c r="B49" s="30" t="s">
        <v>0</v>
      </c>
      <c r="C49" s="31" t="s">
        <v>1</v>
      </c>
      <c r="D49" s="31" t="s">
        <v>2</v>
      </c>
      <c r="E49" s="31" t="s">
        <v>3</v>
      </c>
      <c r="F49" s="31" t="s">
        <v>4</v>
      </c>
      <c r="G49" s="31" t="s">
        <v>5</v>
      </c>
      <c r="H49" s="31" t="s">
        <v>6</v>
      </c>
      <c r="I49" s="31" t="s">
        <v>7</v>
      </c>
      <c r="J49" s="31" t="s">
        <v>8</v>
      </c>
      <c r="K49" s="31" t="s">
        <v>9</v>
      </c>
      <c r="L49" s="31" t="s">
        <v>10</v>
      </c>
      <c r="M49" s="31" t="s">
        <v>11</v>
      </c>
      <c r="N49" s="32" t="s">
        <v>12</v>
      </c>
    </row>
    <row r="50" spans="1:14" x14ac:dyDescent="0.25">
      <c r="A50" s="11" t="s">
        <v>13</v>
      </c>
      <c r="B50" s="12">
        <v>25550</v>
      </c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35"/>
      <c r="N50" s="14">
        <f>SUM(B50:M50)</f>
        <v>25550</v>
      </c>
    </row>
    <row r="51" spans="1:14" x14ac:dyDescent="0.25">
      <c r="A51" s="8" t="s">
        <v>15</v>
      </c>
      <c r="B51" s="10">
        <v>350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36"/>
      <c r="N51" s="2">
        <f>SUM(B51:M51)</f>
        <v>350</v>
      </c>
    </row>
    <row r="52" spans="1:14" x14ac:dyDescent="0.25">
      <c r="A52" s="23" t="s">
        <v>16</v>
      </c>
      <c r="B52" s="24">
        <v>3</v>
      </c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37"/>
      <c r="N52" s="26">
        <f>AVERAGE(B52:M52)</f>
        <v>3</v>
      </c>
    </row>
    <row r="53" spans="1:14" x14ac:dyDescent="0.25">
      <c r="A53" s="27" t="s">
        <v>17</v>
      </c>
      <c r="B53" s="33">
        <f>B50/B51</f>
        <v>73</v>
      </c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9"/>
      <c r="N53" s="34">
        <f>N50/N51</f>
        <v>73</v>
      </c>
    </row>
    <row r="54" spans="1:14" ht="15.75" thickBot="1" x14ac:dyDescent="0.3">
      <c r="A54" s="22" t="s">
        <v>18</v>
      </c>
      <c r="B54" s="16">
        <f>B50/B52</f>
        <v>8516.6666666666661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17"/>
      <c r="N54" s="9">
        <f>N50/N52</f>
        <v>8516.6666666666661</v>
      </c>
    </row>
    <row r="55" spans="1:14" s="6" customFormat="1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s="4" customFormat="1" ht="27" thickBot="1" x14ac:dyDescent="0.45">
      <c r="A56" s="3" t="s">
        <v>24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 ht="19.5" thickBot="1" x14ac:dyDescent="0.3">
      <c r="A57" s="19" t="s">
        <v>19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1"/>
    </row>
    <row r="58" spans="1:14" x14ac:dyDescent="0.25">
      <c r="A58" s="15"/>
      <c r="B58" s="30" t="s">
        <v>0</v>
      </c>
      <c r="C58" s="31" t="s">
        <v>1</v>
      </c>
      <c r="D58" s="31" t="s">
        <v>2</v>
      </c>
      <c r="E58" s="31" t="s">
        <v>3</v>
      </c>
      <c r="F58" s="31" t="s">
        <v>4</v>
      </c>
      <c r="G58" s="31" t="s">
        <v>5</v>
      </c>
      <c r="H58" s="31" t="s">
        <v>6</v>
      </c>
      <c r="I58" s="31" t="s">
        <v>7</v>
      </c>
      <c r="J58" s="31" t="s">
        <v>8</v>
      </c>
      <c r="K58" s="31" t="s">
        <v>9</v>
      </c>
      <c r="L58" s="31" t="s">
        <v>10</v>
      </c>
      <c r="M58" s="31" t="s">
        <v>11</v>
      </c>
      <c r="N58" s="32" t="s">
        <v>12</v>
      </c>
    </row>
    <row r="59" spans="1:14" x14ac:dyDescent="0.25">
      <c r="A59" s="11" t="s">
        <v>13</v>
      </c>
      <c r="B59" s="12">
        <v>25550</v>
      </c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35"/>
      <c r="N59" s="14">
        <f>SUM(B59:M59)</f>
        <v>25550</v>
      </c>
    </row>
    <row r="60" spans="1:14" x14ac:dyDescent="0.25">
      <c r="A60" s="8" t="s">
        <v>15</v>
      </c>
      <c r="B60" s="10">
        <v>350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36"/>
      <c r="N60" s="2">
        <f>SUM(B60:M60)</f>
        <v>350</v>
      </c>
    </row>
    <row r="61" spans="1:14" x14ac:dyDescent="0.25">
      <c r="A61" s="23" t="s">
        <v>16</v>
      </c>
      <c r="B61" s="24">
        <v>3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37"/>
      <c r="N61" s="26">
        <f>AVERAGE(B61:M61)</f>
        <v>3</v>
      </c>
    </row>
    <row r="62" spans="1:14" x14ac:dyDescent="0.25">
      <c r="A62" s="27" t="s">
        <v>17</v>
      </c>
      <c r="B62" s="33">
        <f>B59/B60</f>
        <v>73</v>
      </c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9"/>
      <c r="N62" s="34">
        <f>N59/N60</f>
        <v>73</v>
      </c>
    </row>
    <row r="63" spans="1:14" ht="15.75" thickBot="1" x14ac:dyDescent="0.3">
      <c r="A63" s="22" t="s">
        <v>18</v>
      </c>
      <c r="B63" s="16">
        <f>B59/B61</f>
        <v>8516.6666666666661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17"/>
      <c r="N63" s="9">
        <f>N59/N61</f>
        <v>8516.6666666666661</v>
      </c>
    </row>
    <row r="64" spans="1:14" s="6" customFormat="1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s="4" customFormat="1" ht="27" thickBot="1" x14ac:dyDescent="0.45">
      <c r="A65" s="3" t="s">
        <v>25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4" ht="19.5" thickBot="1" x14ac:dyDescent="0.3">
      <c r="A66" s="19" t="s">
        <v>19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1"/>
    </row>
    <row r="67" spans="1:14" x14ac:dyDescent="0.25">
      <c r="A67" s="15"/>
      <c r="B67" s="30" t="s">
        <v>0</v>
      </c>
      <c r="C67" s="31" t="s">
        <v>1</v>
      </c>
      <c r="D67" s="31" t="s">
        <v>2</v>
      </c>
      <c r="E67" s="31" t="s">
        <v>3</v>
      </c>
      <c r="F67" s="31" t="s">
        <v>4</v>
      </c>
      <c r="G67" s="31" t="s">
        <v>5</v>
      </c>
      <c r="H67" s="31" t="s">
        <v>6</v>
      </c>
      <c r="I67" s="31" t="s">
        <v>7</v>
      </c>
      <c r="J67" s="31" t="s">
        <v>8</v>
      </c>
      <c r="K67" s="31" t="s">
        <v>9</v>
      </c>
      <c r="L67" s="31" t="s">
        <v>10</v>
      </c>
      <c r="M67" s="31" t="s">
        <v>11</v>
      </c>
      <c r="N67" s="32" t="s">
        <v>12</v>
      </c>
    </row>
    <row r="68" spans="1:14" x14ac:dyDescent="0.25">
      <c r="A68" s="11" t="s">
        <v>13</v>
      </c>
      <c r="B68" s="12">
        <v>25550</v>
      </c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35"/>
      <c r="N68" s="14">
        <f>SUM(B68:M68)</f>
        <v>25550</v>
      </c>
    </row>
    <row r="69" spans="1:14" x14ac:dyDescent="0.25">
      <c r="A69" s="8" t="s">
        <v>15</v>
      </c>
      <c r="B69" s="10">
        <v>350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36"/>
      <c r="N69" s="2">
        <f>SUM(B69:M69)</f>
        <v>350</v>
      </c>
    </row>
    <row r="70" spans="1:14" x14ac:dyDescent="0.25">
      <c r="A70" s="23" t="s">
        <v>16</v>
      </c>
      <c r="B70" s="24">
        <v>3</v>
      </c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37"/>
      <c r="N70" s="26">
        <f>AVERAGE(B70:M70)</f>
        <v>3</v>
      </c>
    </row>
    <row r="71" spans="1:14" x14ac:dyDescent="0.25">
      <c r="A71" s="27" t="s">
        <v>17</v>
      </c>
      <c r="B71" s="33">
        <f>B68/B69</f>
        <v>73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9"/>
      <c r="N71" s="34">
        <f>N68/N69</f>
        <v>73</v>
      </c>
    </row>
    <row r="72" spans="1:14" ht="15.75" thickBot="1" x14ac:dyDescent="0.3">
      <c r="A72" s="22" t="s">
        <v>18</v>
      </c>
      <c r="B72" s="16">
        <f>B68/B70</f>
        <v>8516.6666666666661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17"/>
      <c r="N72" s="9">
        <f>N68/N70</f>
        <v>8516.6666666666661</v>
      </c>
    </row>
  </sheetData>
  <mergeCells count="24">
    <mergeCell ref="A55:N55"/>
    <mergeCell ref="A56:N56"/>
    <mergeCell ref="A57:N57"/>
    <mergeCell ref="A64:N64"/>
    <mergeCell ref="A65:N65"/>
    <mergeCell ref="A66:N66"/>
    <mergeCell ref="A37:N37"/>
    <mergeCell ref="A38:N38"/>
    <mergeCell ref="A39:N39"/>
    <mergeCell ref="A46:N46"/>
    <mergeCell ref="A47:N47"/>
    <mergeCell ref="A48:N48"/>
    <mergeCell ref="A30:N30"/>
    <mergeCell ref="A12:N12"/>
    <mergeCell ref="A2:N2"/>
    <mergeCell ref="A11:N11"/>
    <mergeCell ref="A19:N19"/>
    <mergeCell ref="A20:N20"/>
    <mergeCell ref="A21:N21"/>
    <mergeCell ref="A28:N28"/>
    <mergeCell ref="A29:N29"/>
    <mergeCell ref="A1:N1"/>
    <mergeCell ref="A3:N3"/>
    <mergeCell ref="A10:N10"/>
  </mergeCells>
  <pageMargins left="0.51181102362204722" right="0.51181102362204722" top="0.78740157480314965" bottom="0.78740157480314965" header="0.31496062992125984" footer="0.31496062992125984"/>
  <pageSetup paperSize="9" scale="89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Custos de Manutenção</vt:lpstr>
      <vt:lpstr>'Custos de Manutenção'!Area_de_impressao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GOMES</dc:creator>
  <cp:lastModifiedBy>LEANDRO GOMES</cp:lastModifiedBy>
  <cp:lastPrinted>2022-12-23T12:49:17Z</cp:lastPrinted>
  <dcterms:created xsi:type="dcterms:W3CDTF">2022-12-23T12:14:00Z</dcterms:created>
  <dcterms:modified xsi:type="dcterms:W3CDTF">2022-12-23T12:53:28Z</dcterms:modified>
</cp:coreProperties>
</file>