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manutenção\"/>
    </mc:Choice>
  </mc:AlternateContent>
  <bookViews>
    <workbookView xWindow="0" yWindow="0" windowWidth="28800" windowHeight="11715" activeTab="2"/>
  </bookViews>
  <sheets>
    <sheet name="PLANILHA" sheetId="1" r:id="rId1"/>
    <sheet name="DISPONIBILIDADE" sheetId="5" r:id="rId2"/>
    <sheet name="AGUARDANDO PEÇAS" sheetId="6" r:id="rId3"/>
    <sheet name="LISTAS" sheetId="2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1" i="6" l="1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B161" i="6"/>
</calcChain>
</file>

<file path=xl/sharedStrings.xml><?xml version="1.0" encoding="utf-8"?>
<sst xmlns="http://schemas.openxmlformats.org/spreadsheetml/2006/main" count="1041" uniqueCount="249">
  <si>
    <t>FILIAL</t>
  </si>
  <si>
    <t>CENTRO DE CUSTO</t>
  </si>
  <si>
    <t>ATIVIDADE</t>
  </si>
  <si>
    <t>BEM MNT</t>
  </si>
  <si>
    <t>DATA</t>
  </si>
  <si>
    <t>DISPONIBILIDADE</t>
  </si>
  <si>
    <t>DISPONÍVEL</t>
  </si>
  <si>
    <t>AGUARDANDO PEÇAS</t>
  </si>
  <si>
    <t>SERVIÇO EXTERNO</t>
  </si>
  <si>
    <t>PENDÊNCIA</t>
  </si>
  <si>
    <t>LISTA PENDÊNCIA</t>
  </si>
  <si>
    <t>S/N</t>
  </si>
  <si>
    <t>SUPRIMENTOS</t>
  </si>
  <si>
    <t>MANUTENÇÃO</t>
  </si>
  <si>
    <t>ALMOXARIFADO</t>
  </si>
  <si>
    <t>GERÊNCIA</t>
  </si>
  <si>
    <t>DIRETORIA</t>
  </si>
  <si>
    <t>SEGURANÇA</t>
  </si>
  <si>
    <t>TI</t>
  </si>
  <si>
    <t>OPERAÇÃO</t>
  </si>
  <si>
    <t>LHM 400</t>
  </si>
  <si>
    <t>CC</t>
  </si>
  <si>
    <t>ATIVIDADES</t>
  </si>
  <si>
    <t>CM</t>
  </si>
  <si>
    <t>SR</t>
  </si>
  <si>
    <t>GD</t>
  </si>
  <si>
    <t>MP</t>
  </si>
  <si>
    <t>ML</t>
  </si>
  <si>
    <t>MA</t>
  </si>
  <si>
    <t>CM1000</t>
  </si>
  <si>
    <t>CM1001</t>
  </si>
  <si>
    <t>CM1002</t>
  </si>
  <si>
    <t>CM1003</t>
  </si>
  <si>
    <t>CM1004</t>
  </si>
  <si>
    <t>CM1005</t>
  </si>
  <si>
    <t>CM1006</t>
  </si>
  <si>
    <t>CM1007</t>
  </si>
  <si>
    <t>CM1008</t>
  </si>
  <si>
    <t>CM1009</t>
  </si>
  <si>
    <t>CM1010</t>
  </si>
  <si>
    <t>CM1011</t>
  </si>
  <si>
    <t>CM1012</t>
  </si>
  <si>
    <t>CM1013</t>
  </si>
  <si>
    <t>CM1014</t>
  </si>
  <si>
    <t>CM1015</t>
  </si>
  <si>
    <t>CM1016</t>
  </si>
  <si>
    <t>CM1017</t>
  </si>
  <si>
    <t>CM1018</t>
  </si>
  <si>
    <t>CM1019</t>
  </si>
  <si>
    <t>CM1020</t>
  </si>
  <si>
    <t>CM1021</t>
  </si>
  <si>
    <t>CM1022</t>
  </si>
  <si>
    <t>CM1023</t>
  </si>
  <si>
    <t>CM1024</t>
  </si>
  <si>
    <t>CM1025</t>
  </si>
  <si>
    <t>CM1026</t>
  </si>
  <si>
    <t>CM1027</t>
  </si>
  <si>
    <t>CM2000</t>
  </si>
  <si>
    <t>CM2001</t>
  </si>
  <si>
    <t>CM2002</t>
  </si>
  <si>
    <t>CM2003</t>
  </si>
  <si>
    <t>CM2004</t>
  </si>
  <si>
    <t>CM2005</t>
  </si>
  <si>
    <t>CM3000</t>
  </si>
  <si>
    <t>CM3001</t>
  </si>
  <si>
    <t>CM3002</t>
  </si>
  <si>
    <t>CM3003</t>
  </si>
  <si>
    <t>CM3004</t>
  </si>
  <si>
    <t>CM3005</t>
  </si>
  <si>
    <t>CM3006</t>
  </si>
  <si>
    <t>CM3007</t>
  </si>
  <si>
    <t>CM3008</t>
  </si>
  <si>
    <t>CM3009</t>
  </si>
  <si>
    <t>CM3010</t>
  </si>
  <si>
    <t>CM3011</t>
  </si>
  <si>
    <t>CM3012</t>
  </si>
  <si>
    <t>CM3013</t>
  </si>
  <si>
    <t>CM3014</t>
  </si>
  <si>
    <t>CM3015</t>
  </si>
  <si>
    <t>CM4000</t>
  </si>
  <si>
    <t>CM4001</t>
  </si>
  <si>
    <t>CM4002</t>
  </si>
  <si>
    <t>CM4003</t>
  </si>
  <si>
    <t>CM4004</t>
  </si>
  <si>
    <t>CM5000</t>
  </si>
  <si>
    <t>CM5001</t>
  </si>
  <si>
    <t>CM5002</t>
  </si>
  <si>
    <t>CM5003</t>
  </si>
  <si>
    <t>CM5004</t>
  </si>
  <si>
    <t>CM5005</t>
  </si>
  <si>
    <t>CM5006</t>
  </si>
  <si>
    <t>CM5007</t>
  </si>
  <si>
    <t>CM5008</t>
  </si>
  <si>
    <t>CM5009</t>
  </si>
  <si>
    <t>CM5010</t>
  </si>
  <si>
    <t>CM5011</t>
  </si>
  <si>
    <t>CM5012</t>
  </si>
  <si>
    <t>CM5013</t>
  </si>
  <si>
    <t>CM5014</t>
  </si>
  <si>
    <t>CM5015</t>
  </si>
  <si>
    <t>CM5016</t>
  </si>
  <si>
    <t>CM5017</t>
  </si>
  <si>
    <t>CM5018</t>
  </si>
  <si>
    <t>CM5019</t>
  </si>
  <si>
    <t>CM5020</t>
  </si>
  <si>
    <t>CM5021</t>
  </si>
  <si>
    <t>CM5022</t>
  </si>
  <si>
    <t>CM5023</t>
  </si>
  <si>
    <t>CM5024</t>
  </si>
  <si>
    <t>CM5025</t>
  </si>
  <si>
    <t>CM5026</t>
  </si>
  <si>
    <t>CM5027</t>
  </si>
  <si>
    <t>CM5028</t>
  </si>
  <si>
    <t>CM5029</t>
  </si>
  <si>
    <t>CM5030</t>
  </si>
  <si>
    <t>CM5031</t>
  </si>
  <si>
    <t>CM5032</t>
  </si>
  <si>
    <t>CM5033</t>
  </si>
  <si>
    <t>CM5034</t>
  </si>
  <si>
    <t>CM5035</t>
  </si>
  <si>
    <t>CM6000</t>
  </si>
  <si>
    <t>CM6001</t>
  </si>
  <si>
    <t>CM6002</t>
  </si>
  <si>
    <t>CM6003</t>
  </si>
  <si>
    <t>CM6004</t>
  </si>
  <si>
    <t>CM6005</t>
  </si>
  <si>
    <t>CN 01 BARDELLA</t>
  </si>
  <si>
    <t>GHMK6407B</t>
  </si>
  <si>
    <t>GMK4100</t>
  </si>
  <si>
    <t>H01</t>
  </si>
  <si>
    <t>H02</t>
  </si>
  <si>
    <t>H03</t>
  </si>
  <si>
    <t>KAL02</t>
  </si>
  <si>
    <t>KAL03</t>
  </si>
  <si>
    <t>KAL04</t>
  </si>
  <si>
    <t>KAL05</t>
  </si>
  <si>
    <t>KAL06</t>
  </si>
  <si>
    <t>KAL07</t>
  </si>
  <si>
    <t>KAL08</t>
  </si>
  <si>
    <t>RS10</t>
  </si>
  <si>
    <t>RS11</t>
  </si>
  <si>
    <t>RS12</t>
  </si>
  <si>
    <t>RS14</t>
  </si>
  <si>
    <t>RS15</t>
  </si>
  <si>
    <t>RS16</t>
  </si>
  <si>
    <t>RS17</t>
  </si>
  <si>
    <t>BOBCAT01</t>
  </si>
  <si>
    <t>EP03</t>
  </si>
  <si>
    <t>EP05</t>
  </si>
  <si>
    <t>EP08</t>
  </si>
  <si>
    <t>EP09</t>
  </si>
  <si>
    <t>EP11</t>
  </si>
  <si>
    <t>EP12</t>
  </si>
  <si>
    <t>EP13</t>
  </si>
  <si>
    <t>EP14</t>
  </si>
  <si>
    <t>EP15</t>
  </si>
  <si>
    <t>EP16</t>
  </si>
  <si>
    <t>EP17</t>
  </si>
  <si>
    <t>EP18</t>
  </si>
  <si>
    <t>PA01</t>
  </si>
  <si>
    <t>CP01</t>
  </si>
  <si>
    <t>CP02</t>
  </si>
  <si>
    <t>CP03</t>
  </si>
  <si>
    <t>CP04</t>
  </si>
  <si>
    <t>CP07</t>
  </si>
  <si>
    <t>CP09</t>
  </si>
  <si>
    <t>CP10</t>
  </si>
  <si>
    <t>CP11</t>
  </si>
  <si>
    <t>CP12</t>
  </si>
  <si>
    <t>GER0060</t>
  </si>
  <si>
    <t>GER0061</t>
  </si>
  <si>
    <t>GER0100</t>
  </si>
  <si>
    <t>GER0200</t>
  </si>
  <si>
    <t>GR01</t>
  </si>
  <si>
    <t>GR02</t>
  </si>
  <si>
    <t>GR03</t>
  </si>
  <si>
    <t>GR04</t>
  </si>
  <si>
    <t>GRAB 02</t>
  </si>
  <si>
    <t>GRAB01</t>
  </si>
  <si>
    <t>GRAB02</t>
  </si>
  <si>
    <t>GRAB03</t>
  </si>
  <si>
    <t>GRAB04</t>
  </si>
  <si>
    <t>GRAB05</t>
  </si>
  <si>
    <t>MOG01</t>
  </si>
  <si>
    <t>MOG02</t>
  </si>
  <si>
    <t>MOG04</t>
  </si>
  <si>
    <t>GMK4100 GD</t>
  </si>
  <si>
    <t>GERAL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</si>
  <si>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</si>
  <si>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</si>
  <si>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</si>
  <si>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</si>
  <si>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</si>
  <si>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</si>
  <si>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</si>
  <si>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</si>
  <si>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</si>
  <si>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</si>
  <si>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</si>
  <si>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</si>
  <si>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</si>
  <si>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</si>
  <si>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</si>
  <si>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</si>
  <si>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</si>
  <si>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</si>
  <si>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</si>
  <si>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</si>
  <si>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</si>
  <si>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</si>
  <si>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</si>
  <si>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</si>
  <si>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</si>
  <si>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</si>
  <si>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</si>
  <si>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</si>
  <si>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</si>
  <si>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</si>
  <si>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</si>
  <si>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</si>
  <si>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</si>
  <si>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Colunas16</t>
  </si>
  <si>
    <t>Colunas17</t>
  </si>
  <si>
    <t>Colunas18</t>
  </si>
  <si>
    <t>Colunas19</t>
  </si>
  <si>
    <t>Colunas20</t>
  </si>
  <si>
    <t>Colunas21</t>
  </si>
  <si>
    <t>Colunas22</t>
  </si>
  <si>
    <t>Colunas23</t>
  </si>
  <si>
    <t>Colunas24</t>
  </si>
  <si>
    <t>Colunas25</t>
  </si>
  <si>
    <t>Colunas26</t>
  </si>
  <si>
    <t>Colunas27</t>
  </si>
  <si>
    <t>Colunas28</t>
  </si>
  <si>
    <t>Colunas29</t>
  </si>
  <si>
    <t>Colunas30</t>
  </si>
  <si>
    <t>Colunas31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</si>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</sst>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6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0" fillId="4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14" fontId="0" fillId="0" borderId="0" xfId="0" applyNumberFormat="1"/>
    <xf numFmtId="14" fontId="2" fillId="5" borderId="0" xfId="0" applyNumberFormat="1" applyFont="1" applyFill="1"/>
    <xf numFmtId="14" fontId="2" fillId="0" borderId="0" xfId="0" applyNumberFormat="1" applyFont="1"/>
    <xf numFmtId="0" fontId="0" fillId="0" borderId="0" xfId="0" applyFill="1"/>
  </cellXfs>
  <cellStyles count="2">
    <cellStyle name="Normal" xfId="0" builtinId="0"/>
    <cellStyle name="Normal 2" xfId="1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1" displayName="Tabela1" ref="A1:J3001" totalsRowShown="0" headerRowDxfId="9">
  <autoFilter ref="A1:J3001"/>
  <tableColumns count="10">
    <tableColumn id="1" name="FILIAL"/>
    <tableColumn id="2" name="CENTRO DE CUSTO"/>
    <tableColumn id="3" name="ATIVIDADE"/>
    <tableColumn id="4" name="BEM MNT"/>
    <tableColumn id="5" name="DATA"/>
    <tableColumn id="6" name="DISPONIBILIDADE"/>
    <tableColumn id="7" name="DISPONÍVEL"/>
    <tableColumn id="8" name="AGUARDANDO PEÇAS"/>
    <tableColumn id="9" name="SERVIÇO EXTERNO"/>
    <tableColumn id="10" name="PENDÊNCIA"/>
  </tableColumns>
  <tableStyleInfo name="TableStyleLight4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A1:AE159" totalsRowShown="0" headerRowCellStyle="Normal" dataCellStyle="Normal">
  <autoFilter ref="A1:AE159"/>
  <tableColumns count="31">
    <tableColumn id="1" name="BEM MNT" dataCellStyle="Normal"/>
    <tableColumn id="2" name="01/06/2023" dataCellStyle="Normal"/>
    <tableColumn id="3" name="02/06/2023" dataCellStyle="Normal"/>
    <tableColumn id="4" name="03/06/2023" dataCellStyle="Normal"/>
    <tableColumn id="5" name="04/06/2023" dataCellStyle="Normal"/>
    <tableColumn id="6" name="05/06/2023" dataCellStyle="Normal"/>
    <tableColumn id="7" name="06/06/2023" dataCellStyle="Normal"/>
    <tableColumn id="8" name="07/06/2023" dataCellStyle="Normal"/>
    <tableColumn id="9" name="08/06/2023" dataCellStyle="Normal"/>
    <tableColumn id="10" name="09/06/2023" dataCellStyle="Normal"/>
    <tableColumn id="11" name="10/06/2023" dataCellStyle="Normal"/>
    <tableColumn id="12" name="11/06/2023" dataCellStyle="Normal"/>
    <tableColumn id="13" name="12/06/2023" dataCellStyle="Normal"/>
    <tableColumn id="14" name="13/06/2023" dataCellStyle="Normal"/>
    <tableColumn id="15" name="14/06/2023" dataCellStyle="Normal"/>
    <tableColumn id="16" name="15/06/2023" dataCellStyle="Normal"/>
    <tableColumn id="17" name="16/06/2023" dataCellStyle="Normal"/>
    <tableColumn id="18" name="17/06/2023" dataCellStyle="Normal"/>
    <tableColumn id="19" name="18/06/2023" dataCellStyle="Normal"/>
    <tableColumn id="20" name="19/06/2023" dataCellStyle="Normal"/>
    <tableColumn id="21" name="20/06/2023" dataCellStyle="Normal"/>
    <tableColumn id="22" name="21/06/2023" dataCellStyle="Normal"/>
    <tableColumn id="23" name="22/06/2023" dataCellStyle="Normal"/>
    <tableColumn id="24" name="23/06/2023" dataCellStyle="Normal"/>
    <tableColumn id="25" name="24/06/2023" dataCellStyle="Normal"/>
    <tableColumn id="26" name="25/06/2023" dataCellStyle="Normal"/>
    <tableColumn id="27" name="26/06/2023" dataCellStyle="Normal"/>
    <tableColumn id="28" name="27/06/2023" dataCellStyle="Normal"/>
    <tableColumn id="29" name="28/06/2023" dataCellStyle="Normal"/>
    <tableColumn id="30" name="29/06/2023" dataCellStyle="Normal"/>
    <tableColumn id="31" name="30/06/2023" dataCellStyle="Norm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id="3" name="Tabela24" displayName="Tabela24" ref="A1:AF159" totalsRowShown="0" headerRowCellStyle="Normal" dataCellStyle="Normal">
  <autoFilter ref="A1:AF159"/>
  <tableColumns count="32">
    <tableColumn id="1" name="BEM MNT" dataCellStyle="Normal"/>
    <tableColumn id="2" name="01/07/2023" dataCellStyle="Normal"/>
    <tableColumn id="3" name="02/07/2023" dataCellStyle="Normal"/>
    <tableColumn id="4" name="03/07/2023" dataCellStyle="Normal"/>
    <tableColumn id="5" name="04/07/2023" dataCellStyle="Normal"/>
    <tableColumn id="6" name="05/07/2023" dataCellStyle="Normal"/>
    <tableColumn id="7" name="06/07/2023" dataCellStyle="Normal"/>
    <tableColumn id="8" name="07/07/2023" dataCellStyle="Normal"/>
    <tableColumn id="9" name="08/07/2023" dataCellStyle="Normal"/>
    <tableColumn id="10" name="09/07/2023" dataCellStyle="Normal"/>
    <tableColumn id="11" name="10/07/2023" dataCellStyle="Normal"/>
    <tableColumn id="12" name="11/07/2023" dataCellStyle="Normal"/>
    <tableColumn id="13" name="12/07/2023" dataCellStyle="Normal"/>
    <tableColumn id="14" name="13/07/2023" dataCellStyle="Normal"/>
    <tableColumn id="15" name="14/07/2023" dataCellStyle="Normal"/>
    <tableColumn id="16" name="15/07/2023" dataCellStyle="Normal"/>
    <tableColumn id="17" name="Colunas16" dataCellStyle="Normal"/>
    <tableColumn id="18" name="Colunas17" dataCellStyle="Normal"/>
    <tableColumn id="19" name="Colunas18" dataCellStyle="Normal"/>
    <tableColumn id="20" name="Colunas19" dataCellStyle="Normal"/>
    <tableColumn id="21" name="Colunas20" dataCellStyle="Normal"/>
    <tableColumn id="22" name="Colunas21" dataCellStyle="Normal"/>
    <tableColumn id="23" name="Colunas22" dataCellStyle="Normal"/>
    <tableColumn id="24" name="Colunas23" dataCellStyle="Normal"/>
    <tableColumn id="25" name="Colunas24" dataCellStyle="Normal"/>
    <tableColumn id="26" name="Colunas25" dataCellStyle="Normal"/>
    <tableColumn id="27" name="Colunas26" dataCellStyle="Normal"/>
    <tableColumn id="28" name="Colunas27" dataCellStyle="Normal"/>
    <tableColumn id="29" name="Colunas28" dataCellStyle="Normal"/>
    <tableColumn id="30" name="Colunas29" dataCellStyle="Normal"/>
    <tableColumn id="31" name="Colunas30" dataCellStyle="Normal"/>
    <tableColumn id="32" name="Colunas31" dataCellStyle="Normal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7"/>
  <sheetViews>
    <sheetView topLeftCell="A124" zoomScaleNormal="100" workbookViewId="0">
      <selection activeCell="G159" sqref="G159"/>
    </sheetView>
  </sheetViews>
  <sheetFormatPr defaultRowHeight="15" x14ac:dyDescent="0.25"/>
  <cols>
    <col min="1" max="1" width="8.28515625" customWidth="1"/>
    <col min="2" max="2" width="19.42578125" customWidth="1"/>
    <col min="3" max="3" width="12.7109375" customWidth="1"/>
    <col min="4" max="4" width="11.85546875" customWidth="1"/>
    <col min="5" max="5" width="11.28515625" bestFit="1" customWidth="1"/>
    <col min="6" max="6" width="18.5703125" customWidth="1"/>
    <col min="7" max="7" width="13.7109375" customWidth="1"/>
    <col min="8" max="8" width="22.42578125" customWidth="1"/>
    <col min="9" max="9" width="19.28515625" customWidth="1"/>
    <col min="10" max="10" width="13.42578125" customWidth="1"/>
    <col min="27" max="27" width="16.57031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x14ac:dyDescent="0.25">
      <c r="D2" t="s">
        <v>129</v>
      </c>
      <c r="E2" s="4">
        <v>45078</v>
      </c>
      <c r="F2">
        <v>1</v>
      </c>
      <c r="G2">
        <v>1</v>
      </c>
      <c r="H2">
        <v>0</v>
      </c>
    </row>
    <row r="3" spans="1:10" x14ac:dyDescent="0.25">
      <c r="D3" t="s">
        <v>130</v>
      </c>
      <c r="E3" s="4">
        <v>45078</v>
      </c>
      <c r="F3">
        <v>1</v>
      </c>
      <c r="G3">
        <v>1</v>
      </c>
      <c r="H3">
        <v>0</v>
      </c>
    </row>
    <row r="4" spans="1:10" x14ac:dyDescent="0.25">
      <c r="D4" t="s">
        <v>131</v>
      </c>
      <c r="E4" s="4">
        <v>45078</v>
      </c>
      <c r="F4">
        <v>1</v>
      </c>
      <c r="G4">
        <v>1</v>
      </c>
      <c r="H4">
        <v>1</v>
      </c>
    </row>
    <row r="5" spans="1:10" x14ac:dyDescent="0.25">
      <c r="D5" t="s">
        <v>132</v>
      </c>
      <c r="E5" s="4">
        <v>45078</v>
      </c>
      <c r="F5">
        <v>1</v>
      </c>
      <c r="G5">
        <v>1</v>
      </c>
      <c r="H5">
        <v>0</v>
      </c>
    </row>
    <row r="6" spans="1:10" x14ac:dyDescent="0.25">
      <c r="D6" t="s">
        <v>133</v>
      </c>
      <c r="E6" s="4">
        <v>45078</v>
      </c>
      <c r="F6">
        <v>1</v>
      </c>
      <c r="G6">
        <v>1</v>
      </c>
      <c r="H6">
        <v>0</v>
      </c>
    </row>
    <row r="7" spans="1:10" x14ac:dyDescent="0.25">
      <c r="D7" t="s">
        <v>134</v>
      </c>
      <c r="E7" s="4">
        <v>45078</v>
      </c>
      <c r="F7">
        <v>1</v>
      </c>
      <c r="G7">
        <v>1</v>
      </c>
      <c r="H7">
        <v>0</v>
      </c>
    </row>
    <row r="8" spans="1:10" x14ac:dyDescent="0.25">
      <c r="D8" t="s">
        <v>135</v>
      </c>
      <c r="E8" s="4">
        <v>45078</v>
      </c>
      <c r="F8">
        <v>1</v>
      </c>
      <c r="G8">
        <v>1</v>
      </c>
      <c r="H8">
        <v>1</v>
      </c>
    </row>
    <row r="9" spans="1:10" x14ac:dyDescent="0.25">
      <c r="D9" t="s">
        <v>136</v>
      </c>
      <c r="E9" s="4">
        <v>45078</v>
      </c>
      <c r="F9">
        <v>1</v>
      </c>
      <c r="G9">
        <v>1</v>
      </c>
      <c r="H9">
        <v>1</v>
      </c>
    </row>
    <row r="10" spans="1:10" x14ac:dyDescent="0.25">
      <c r="D10" t="s">
        <v>137</v>
      </c>
      <c r="E10" s="4">
        <v>45078</v>
      </c>
      <c r="F10">
        <v>1</v>
      </c>
      <c r="G10">
        <v>1</v>
      </c>
      <c r="H10">
        <v>1</v>
      </c>
    </row>
    <row r="11" spans="1:10" x14ac:dyDescent="0.25">
      <c r="D11" t="s">
        <v>138</v>
      </c>
      <c r="E11" s="4">
        <v>45078</v>
      </c>
      <c r="F11">
        <v>1</v>
      </c>
      <c r="G11">
        <v>1</v>
      </c>
      <c r="H11">
        <v>1</v>
      </c>
    </row>
    <row r="12" spans="1:10" x14ac:dyDescent="0.25">
      <c r="D12" t="s">
        <v>139</v>
      </c>
      <c r="E12" s="4">
        <v>45078</v>
      </c>
      <c r="F12">
        <v>1</v>
      </c>
      <c r="G12">
        <v>1</v>
      </c>
      <c r="H12">
        <v>1</v>
      </c>
    </row>
    <row r="13" spans="1:10" x14ac:dyDescent="0.25">
      <c r="D13" t="s">
        <v>140</v>
      </c>
      <c r="E13" s="4">
        <v>45078</v>
      </c>
      <c r="F13">
        <v>1</v>
      </c>
      <c r="G13">
        <v>0</v>
      </c>
      <c r="H13">
        <v>0</v>
      </c>
    </row>
    <row r="14" spans="1:10" x14ac:dyDescent="0.25">
      <c r="D14" t="s">
        <v>141</v>
      </c>
      <c r="E14" s="4">
        <v>45078</v>
      </c>
      <c r="F14">
        <v>1</v>
      </c>
      <c r="G14">
        <v>1</v>
      </c>
      <c r="H14">
        <v>0</v>
      </c>
    </row>
    <row r="15" spans="1:10" x14ac:dyDescent="0.25">
      <c r="D15" t="s">
        <v>142</v>
      </c>
      <c r="E15" s="4">
        <v>45078</v>
      </c>
      <c r="F15">
        <v>1</v>
      </c>
      <c r="G15">
        <v>1</v>
      </c>
      <c r="H15">
        <v>0</v>
      </c>
    </row>
    <row r="16" spans="1:10" x14ac:dyDescent="0.25">
      <c r="D16" t="s">
        <v>143</v>
      </c>
      <c r="E16" s="4">
        <v>45078</v>
      </c>
      <c r="F16">
        <v>1</v>
      </c>
      <c r="G16">
        <v>1</v>
      </c>
      <c r="H16">
        <v>0</v>
      </c>
    </row>
    <row r="17" spans="4:8" x14ac:dyDescent="0.25">
      <c r="D17" t="s">
        <v>144</v>
      </c>
      <c r="E17" s="4">
        <v>45078</v>
      </c>
      <c r="F17">
        <v>1</v>
      </c>
      <c r="G17">
        <v>1</v>
      </c>
      <c r="H17">
        <v>0</v>
      </c>
    </row>
    <row r="18" spans="4:8" x14ac:dyDescent="0.25">
      <c r="D18" t="s">
        <v>145</v>
      </c>
      <c r="E18" s="4">
        <v>45078</v>
      </c>
      <c r="F18">
        <v>1</v>
      </c>
      <c r="G18">
        <v>1</v>
      </c>
      <c r="H18">
        <v>0</v>
      </c>
    </row>
    <row r="19" spans="4:8" x14ac:dyDescent="0.25">
      <c r="D19" t="s">
        <v>146</v>
      </c>
      <c r="E19" s="4">
        <v>45078</v>
      </c>
      <c r="F19">
        <v>0</v>
      </c>
      <c r="G19">
        <v>1</v>
      </c>
      <c r="H19">
        <v>1</v>
      </c>
    </row>
    <row r="20" spans="4:8" x14ac:dyDescent="0.25">
      <c r="D20" t="s">
        <v>147</v>
      </c>
      <c r="E20" s="4">
        <v>45078</v>
      </c>
      <c r="F20">
        <v>0</v>
      </c>
      <c r="G20">
        <v>0</v>
      </c>
      <c r="H20">
        <v>0</v>
      </c>
    </row>
    <row r="21" spans="4:8" x14ac:dyDescent="0.25">
      <c r="D21" t="s">
        <v>148</v>
      </c>
      <c r="E21" s="4">
        <v>45078</v>
      </c>
      <c r="F21">
        <v>0</v>
      </c>
      <c r="G21">
        <v>1</v>
      </c>
      <c r="H21">
        <v>1</v>
      </c>
    </row>
    <row r="22" spans="4:8" x14ac:dyDescent="0.25">
      <c r="D22" t="s">
        <v>149</v>
      </c>
      <c r="E22" s="4">
        <v>45078</v>
      </c>
      <c r="F22">
        <v>0</v>
      </c>
      <c r="G22">
        <v>0</v>
      </c>
      <c r="H22">
        <v>0</v>
      </c>
    </row>
    <row r="23" spans="4:8" x14ac:dyDescent="0.25">
      <c r="D23" t="s">
        <v>150</v>
      </c>
      <c r="E23" s="4">
        <v>45078</v>
      </c>
      <c r="F23">
        <v>0</v>
      </c>
      <c r="G23">
        <v>1</v>
      </c>
      <c r="H23">
        <v>1</v>
      </c>
    </row>
    <row r="24" spans="4:8" x14ac:dyDescent="0.25">
      <c r="D24" t="s">
        <v>151</v>
      </c>
      <c r="E24" s="4">
        <v>45078</v>
      </c>
      <c r="F24">
        <v>0</v>
      </c>
      <c r="G24">
        <v>1</v>
      </c>
      <c r="H24">
        <v>1</v>
      </c>
    </row>
    <row r="25" spans="4:8" x14ac:dyDescent="0.25">
      <c r="D25" t="s">
        <v>152</v>
      </c>
      <c r="E25" s="4">
        <v>45078</v>
      </c>
      <c r="F25">
        <v>0</v>
      </c>
      <c r="G25">
        <v>0</v>
      </c>
      <c r="H25">
        <v>0</v>
      </c>
    </row>
    <row r="26" spans="4:8" x14ac:dyDescent="0.25">
      <c r="D26" t="s">
        <v>153</v>
      </c>
      <c r="E26" s="4">
        <v>45078</v>
      </c>
      <c r="F26">
        <v>0</v>
      </c>
      <c r="G26">
        <v>1</v>
      </c>
      <c r="H26">
        <v>1</v>
      </c>
    </row>
    <row r="27" spans="4:8" x14ac:dyDescent="0.25">
      <c r="D27" t="s">
        <v>154</v>
      </c>
      <c r="E27" s="4">
        <v>45078</v>
      </c>
      <c r="F27">
        <v>0</v>
      </c>
      <c r="G27">
        <v>0</v>
      </c>
      <c r="H27">
        <v>0</v>
      </c>
    </row>
    <row r="28" spans="4:8" x14ac:dyDescent="0.25">
      <c r="D28" t="s">
        <v>155</v>
      </c>
      <c r="E28" s="4">
        <v>45078</v>
      </c>
      <c r="F28">
        <v>0</v>
      </c>
      <c r="G28">
        <v>1</v>
      </c>
      <c r="H28">
        <v>1</v>
      </c>
    </row>
    <row r="29" spans="4:8" x14ac:dyDescent="0.25">
      <c r="D29" t="s">
        <v>156</v>
      </c>
      <c r="E29" s="4">
        <v>45078</v>
      </c>
      <c r="F29">
        <v>0</v>
      </c>
      <c r="G29">
        <v>0</v>
      </c>
      <c r="H29">
        <v>0</v>
      </c>
    </row>
    <row r="30" spans="4:8" x14ac:dyDescent="0.25">
      <c r="D30" t="s">
        <v>157</v>
      </c>
      <c r="E30" s="4">
        <v>45078</v>
      </c>
      <c r="F30">
        <v>0</v>
      </c>
      <c r="G30">
        <v>1</v>
      </c>
      <c r="H30">
        <v>1</v>
      </c>
    </row>
    <row r="31" spans="4:8" x14ac:dyDescent="0.25">
      <c r="D31" t="s">
        <v>158</v>
      </c>
      <c r="E31" s="4">
        <v>45078</v>
      </c>
      <c r="F31">
        <v>0</v>
      </c>
      <c r="G31">
        <v>1</v>
      </c>
      <c r="H31">
        <v>1</v>
      </c>
    </row>
    <row r="32" spans="4:8" x14ac:dyDescent="0.25">
      <c r="D32" t="s">
        <v>159</v>
      </c>
      <c r="E32" s="4">
        <v>45078</v>
      </c>
      <c r="F32">
        <v>0</v>
      </c>
      <c r="G32">
        <v>0</v>
      </c>
      <c r="H32">
        <v>0</v>
      </c>
    </row>
    <row r="33" spans="4:8" x14ac:dyDescent="0.25">
      <c r="D33" t="s">
        <v>160</v>
      </c>
      <c r="E33" s="4">
        <v>45078</v>
      </c>
      <c r="F33">
        <v>0</v>
      </c>
      <c r="G33">
        <v>1</v>
      </c>
      <c r="H33">
        <v>0</v>
      </c>
    </row>
    <row r="34" spans="4:8" x14ac:dyDescent="0.25">
      <c r="D34" t="s">
        <v>161</v>
      </c>
      <c r="E34" s="4">
        <v>45078</v>
      </c>
      <c r="F34">
        <v>0</v>
      </c>
      <c r="G34">
        <v>0</v>
      </c>
      <c r="H34">
        <v>0</v>
      </c>
    </row>
    <row r="35" spans="4:8" x14ac:dyDescent="0.25">
      <c r="D35" t="s">
        <v>162</v>
      </c>
      <c r="E35" s="4">
        <v>45078</v>
      </c>
      <c r="F35">
        <v>0</v>
      </c>
      <c r="G35">
        <v>1</v>
      </c>
      <c r="H35">
        <v>0</v>
      </c>
    </row>
    <row r="36" spans="4:8" x14ac:dyDescent="0.25">
      <c r="D36" t="s">
        <v>163</v>
      </c>
      <c r="E36" s="4">
        <v>45078</v>
      </c>
      <c r="F36">
        <v>0</v>
      </c>
      <c r="G36">
        <v>0</v>
      </c>
      <c r="H36">
        <v>0</v>
      </c>
    </row>
    <row r="37" spans="4:8" x14ac:dyDescent="0.25">
      <c r="D37" t="s">
        <v>164</v>
      </c>
      <c r="E37" s="4">
        <v>45078</v>
      </c>
      <c r="F37">
        <v>0</v>
      </c>
      <c r="G37">
        <v>1</v>
      </c>
      <c r="H37">
        <v>1</v>
      </c>
    </row>
    <row r="38" spans="4:8" x14ac:dyDescent="0.25">
      <c r="D38" t="s">
        <v>165</v>
      </c>
      <c r="E38" s="4">
        <v>45078</v>
      </c>
      <c r="F38">
        <v>0</v>
      </c>
      <c r="G38">
        <v>0</v>
      </c>
      <c r="H38">
        <v>0</v>
      </c>
    </row>
    <row r="39" spans="4:8" x14ac:dyDescent="0.25">
      <c r="D39" t="s">
        <v>166</v>
      </c>
      <c r="E39" s="4">
        <v>45078</v>
      </c>
      <c r="F39">
        <v>0</v>
      </c>
      <c r="G39">
        <v>1</v>
      </c>
      <c r="H39">
        <v>0</v>
      </c>
    </row>
    <row r="40" spans="4:8" x14ac:dyDescent="0.25">
      <c r="D40" t="s">
        <v>167</v>
      </c>
      <c r="E40" s="4">
        <v>45078</v>
      </c>
      <c r="F40">
        <v>0</v>
      </c>
      <c r="G40">
        <v>0</v>
      </c>
      <c r="H40">
        <v>0</v>
      </c>
    </row>
    <row r="41" spans="4:8" x14ac:dyDescent="0.25">
      <c r="D41" t="s">
        <v>168</v>
      </c>
      <c r="E41" s="4">
        <v>45078</v>
      </c>
      <c r="F41">
        <v>0</v>
      </c>
      <c r="G41">
        <v>1</v>
      </c>
      <c r="H41">
        <v>0</v>
      </c>
    </row>
    <row r="42" spans="4:8" x14ac:dyDescent="0.25">
      <c r="D42" t="s">
        <v>169</v>
      </c>
      <c r="E42" s="4">
        <v>45078</v>
      </c>
      <c r="F42">
        <v>0</v>
      </c>
      <c r="G42">
        <v>0</v>
      </c>
      <c r="H42">
        <v>0</v>
      </c>
    </row>
    <row r="43" spans="4:8" x14ac:dyDescent="0.25">
      <c r="D43" t="s">
        <v>170</v>
      </c>
      <c r="E43" s="4">
        <v>45078</v>
      </c>
      <c r="F43">
        <v>0</v>
      </c>
      <c r="G43">
        <v>1</v>
      </c>
      <c r="H43">
        <v>1</v>
      </c>
    </row>
    <row r="44" spans="4:8" x14ac:dyDescent="0.25">
      <c r="D44" t="s">
        <v>171</v>
      </c>
      <c r="E44" s="4">
        <v>45078</v>
      </c>
      <c r="F44">
        <v>0</v>
      </c>
      <c r="G44">
        <v>0</v>
      </c>
      <c r="H44">
        <v>0</v>
      </c>
    </row>
    <row r="45" spans="4:8" x14ac:dyDescent="0.25">
      <c r="D45" t="s">
        <v>172</v>
      </c>
      <c r="E45" s="4">
        <v>45078</v>
      </c>
      <c r="F45">
        <v>0</v>
      </c>
      <c r="G45">
        <v>1</v>
      </c>
      <c r="H45">
        <v>0</v>
      </c>
    </row>
    <row r="46" spans="4:8" x14ac:dyDescent="0.25">
      <c r="D46" t="s">
        <v>173</v>
      </c>
      <c r="E46" s="4">
        <v>45078</v>
      </c>
      <c r="F46">
        <v>0</v>
      </c>
      <c r="G46">
        <v>0</v>
      </c>
      <c r="H46">
        <v>0</v>
      </c>
    </row>
    <row r="47" spans="4:8" x14ac:dyDescent="0.25">
      <c r="D47" t="s">
        <v>174</v>
      </c>
      <c r="E47" s="4">
        <v>45078</v>
      </c>
      <c r="F47">
        <v>0</v>
      </c>
      <c r="G47">
        <v>0</v>
      </c>
      <c r="H47">
        <v>1</v>
      </c>
    </row>
    <row r="48" spans="4:8" x14ac:dyDescent="0.25">
      <c r="D48" t="s">
        <v>175</v>
      </c>
      <c r="E48" s="4">
        <v>45078</v>
      </c>
      <c r="F48">
        <v>0</v>
      </c>
      <c r="G48">
        <v>1</v>
      </c>
      <c r="H48">
        <v>1</v>
      </c>
    </row>
    <row r="49" spans="4:8" x14ac:dyDescent="0.25">
      <c r="D49" t="s">
        <v>176</v>
      </c>
      <c r="E49" s="4">
        <v>45078</v>
      </c>
      <c r="F49">
        <v>0</v>
      </c>
      <c r="G49">
        <v>1</v>
      </c>
      <c r="H49">
        <v>0</v>
      </c>
    </row>
    <row r="50" spans="4:8" x14ac:dyDescent="0.25">
      <c r="D50" t="s">
        <v>177</v>
      </c>
      <c r="E50" s="4">
        <v>45078</v>
      </c>
      <c r="F50">
        <v>0</v>
      </c>
      <c r="G50">
        <v>0</v>
      </c>
      <c r="H50">
        <v>0</v>
      </c>
    </row>
    <row r="51" spans="4:8" x14ac:dyDescent="0.25">
      <c r="D51" t="s">
        <v>178</v>
      </c>
      <c r="E51" s="4">
        <v>45078</v>
      </c>
      <c r="F51">
        <v>0</v>
      </c>
      <c r="G51">
        <v>0</v>
      </c>
      <c r="H51">
        <v>0</v>
      </c>
    </row>
    <row r="52" spans="4:8" x14ac:dyDescent="0.25">
      <c r="D52" t="s">
        <v>179</v>
      </c>
      <c r="E52" s="4">
        <v>45078</v>
      </c>
      <c r="F52">
        <v>0</v>
      </c>
      <c r="G52">
        <v>0</v>
      </c>
      <c r="H52">
        <v>1</v>
      </c>
    </row>
    <row r="53" spans="4:8" x14ac:dyDescent="0.25">
      <c r="D53" t="s">
        <v>180</v>
      </c>
      <c r="E53" s="4">
        <v>45078</v>
      </c>
      <c r="F53">
        <v>0</v>
      </c>
      <c r="G53">
        <v>1</v>
      </c>
      <c r="H53">
        <v>1</v>
      </c>
    </row>
    <row r="54" spans="4:8" x14ac:dyDescent="0.25">
      <c r="D54" t="s">
        <v>181</v>
      </c>
      <c r="E54" s="4">
        <v>45078</v>
      </c>
      <c r="F54">
        <v>0</v>
      </c>
      <c r="G54">
        <v>0</v>
      </c>
      <c r="H54">
        <v>0</v>
      </c>
    </row>
    <row r="55" spans="4:8" x14ac:dyDescent="0.25">
      <c r="D55" t="s">
        <v>182</v>
      </c>
      <c r="E55" s="4">
        <v>45078</v>
      </c>
      <c r="F55">
        <v>0</v>
      </c>
      <c r="G55">
        <v>1</v>
      </c>
      <c r="H55">
        <v>0</v>
      </c>
    </row>
    <row r="56" spans="4:8" x14ac:dyDescent="0.25">
      <c r="D56" t="s">
        <v>183</v>
      </c>
      <c r="E56" s="4">
        <v>45078</v>
      </c>
      <c r="F56">
        <v>0</v>
      </c>
      <c r="G56">
        <v>0</v>
      </c>
      <c r="H56">
        <v>0</v>
      </c>
    </row>
    <row r="57" spans="4:8" x14ac:dyDescent="0.25">
      <c r="D57" t="s">
        <v>184</v>
      </c>
      <c r="E57" s="4">
        <v>45078</v>
      </c>
      <c r="F57">
        <v>0</v>
      </c>
      <c r="G57">
        <v>0</v>
      </c>
      <c r="H57">
        <v>0</v>
      </c>
    </row>
    <row r="58" spans="4:8" x14ac:dyDescent="0.25">
      <c r="D58" t="s">
        <v>185</v>
      </c>
      <c r="E58" s="4">
        <v>45078</v>
      </c>
      <c r="F58">
        <v>0</v>
      </c>
      <c r="G58">
        <v>1</v>
      </c>
      <c r="H58">
        <v>0</v>
      </c>
    </row>
    <row r="59" spans="4:8" x14ac:dyDescent="0.25">
      <c r="D59" t="s">
        <v>126</v>
      </c>
      <c r="E59" s="4">
        <v>45078</v>
      </c>
      <c r="F59">
        <v>1</v>
      </c>
      <c r="G59">
        <v>1</v>
      </c>
      <c r="H59">
        <v>0</v>
      </c>
    </row>
    <row r="60" spans="4:8" x14ac:dyDescent="0.25">
      <c r="D60" t="s">
        <v>127</v>
      </c>
      <c r="E60" s="4">
        <v>45078</v>
      </c>
      <c r="F60">
        <v>1</v>
      </c>
      <c r="G60">
        <v>1</v>
      </c>
      <c r="H60">
        <v>0</v>
      </c>
    </row>
    <row r="61" spans="4:8" x14ac:dyDescent="0.25">
      <c r="D61" t="s">
        <v>128</v>
      </c>
      <c r="E61" s="4">
        <v>45078</v>
      </c>
      <c r="F61">
        <v>1</v>
      </c>
      <c r="G61">
        <v>1</v>
      </c>
      <c r="H61">
        <v>0</v>
      </c>
    </row>
    <row r="62" spans="4:8" x14ac:dyDescent="0.25">
      <c r="D62" t="s">
        <v>20</v>
      </c>
      <c r="E62" s="4">
        <v>45078</v>
      </c>
      <c r="F62">
        <v>1</v>
      </c>
      <c r="G62">
        <v>0</v>
      </c>
      <c r="H62">
        <v>0</v>
      </c>
    </row>
    <row r="63" spans="4:8" x14ac:dyDescent="0.25">
      <c r="D63" t="s">
        <v>29</v>
      </c>
      <c r="E63" s="4">
        <v>45078</v>
      </c>
      <c r="F63">
        <v>1</v>
      </c>
      <c r="G63">
        <v>0</v>
      </c>
      <c r="H63">
        <v>0</v>
      </c>
    </row>
    <row r="64" spans="4:8" x14ac:dyDescent="0.25">
      <c r="D64" t="s">
        <v>30</v>
      </c>
      <c r="E64" s="4">
        <v>45078</v>
      </c>
      <c r="F64">
        <v>1</v>
      </c>
      <c r="G64">
        <v>1</v>
      </c>
      <c r="H64">
        <v>0</v>
      </c>
    </row>
    <row r="65" spans="4:8" x14ac:dyDescent="0.25">
      <c r="D65" t="s">
        <v>31</v>
      </c>
      <c r="E65" s="4">
        <v>45078</v>
      </c>
      <c r="F65">
        <v>1</v>
      </c>
      <c r="G65">
        <v>1</v>
      </c>
      <c r="H65">
        <v>0</v>
      </c>
    </row>
    <row r="66" spans="4:8" x14ac:dyDescent="0.25">
      <c r="D66" t="s">
        <v>32</v>
      </c>
      <c r="E66" s="4">
        <v>45078</v>
      </c>
      <c r="F66">
        <v>1</v>
      </c>
      <c r="G66">
        <v>0</v>
      </c>
      <c r="H66">
        <v>1</v>
      </c>
    </row>
    <row r="67" spans="4:8" x14ac:dyDescent="0.25">
      <c r="D67" t="s">
        <v>33</v>
      </c>
      <c r="E67" s="4">
        <v>45078</v>
      </c>
      <c r="F67">
        <v>1</v>
      </c>
      <c r="G67">
        <v>1</v>
      </c>
      <c r="H67">
        <v>0</v>
      </c>
    </row>
    <row r="68" spans="4:8" x14ac:dyDescent="0.25">
      <c r="D68" t="s">
        <v>34</v>
      </c>
      <c r="E68" s="4">
        <v>45078</v>
      </c>
      <c r="F68">
        <v>1</v>
      </c>
      <c r="G68">
        <v>1</v>
      </c>
      <c r="H68">
        <v>0</v>
      </c>
    </row>
    <row r="69" spans="4:8" x14ac:dyDescent="0.25">
      <c r="D69" t="s">
        <v>35</v>
      </c>
      <c r="E69" s="4">
        <v>45078</v>
      </c>
      <c r="F69">
        <v>1</v>
      </c>
      <c r="G69">
        <v>1</v>
      </c>
      <c r="H69">
        <v>1</v>
      </c>
    </row>
    <row r="70" spans="4:8" x14ac:dyDescent="0.25">
      <c r="D70" t="s">
        <v>36</v>
      </c>
      <c r="E70" s="4">
        <v>45078</v>
      </c>
      <c r="F70">
        <v>1</v>
      </c>
      <c r="G70">
        <v>0</v>
      </c>
      <c r="H70">
        <v>1</v>
      </c>
    </row>
    <row r="71" spans="4:8" x14ac:dyDescent="0.25">
      <c r="D71" t="s">
        <v>37</v>
      </c>
      <c r="E71" s="4">
        <v>45078</v>
      </c>
      <c r="F71">
        <v>1</v>
      </c>
      <c r="G71">
        <v>1</v>
      </c>
      <c r="H71">
        <v>0</v>
      </c>
    </row>
    <row r="72" spans="4:8" x14ac:dyDescent="0.25">
      <c r="D72" t="s">
        <v>38</v>
      </c>
      <c r="E72" s="4">
        <v>45078</v>
      </c>
      <c r="F72">
        <v>1</v>
      </c>
      <c r="G72">
        <v>1</v>
      </c>
      <c r="H72">
        <v>0</v>
      </c>
    </row>
    <row r="73" spans="4:8" x14ac:dyDescent="0.25">
      <c r="D73" t="s">
        <v>39</v>
      </c>
      <c r="E73" s="4">
        <v>45078</v>
      </c>
      <c r="F73">
        <v>1</v>
      </c>
      <c r="G73">
        <v>1</v>
      </c>
      <c r="H73">
        <v>0</v>
      </c>
    </row>
    <row r="74" spans="4:8" x14ac:dyDescent="0.25">
      <c r="D74" t="s">
        <v>40</v>
      </c>
      <c r="E74" s="4">
        <v>45078</v>
      </c>
      <c r="F74">
        <v>1</v>
      </c>
      <c r="G74">
        <v>0</v>
      </c>
      <c r="H74">
        <v>0</v>
      </c>
    </row>
    <row r="75" spans="4:8" x14ac:dyDescent="0.25">
      <c r="D75" t="s">
        <v>41</v>
      </c>
      <c r="E75" s="4">
        <v>45078</v>
      </c>
      <c r="F75">
        <v>1</v>
      </c>
      <c r="G75">
        <v>1</v>
      </c>
      <c r="H75">
        <v>0</v>
      </c>
    </row>
    <row r="76" spans="4:8" x14ac:dyDescent="0.25">
      <c r="D76" t="s">
        <v>42</v>
      </c>
      <c r="E76" s="4">
        <v>45078</v>
      </c>
      <c r="F76">
        <v>1</v>
      </c>
      <c r="G76">
        <v>1</v>
      </c>
      <c r="H76">
        <v>0</v>
      </c>
    </row>
    <row r="77" spans="4:8" x14ac:dyDescent="0.25">
      <c r="D77" t="s">
        <v>43</v>
      </c>
      <c r="E77" s="4">
        <v>45078</v>
      </c>
      <c r="F77">
        <v>1</v>
      </c>
      <c r="G77">
        <v>1</v>
      </c>
      <c r="H77">
        <v>0</v>
      </c>
    </row>
    <row r="78" spans="4:8" x14ac:dyDescent="0.25">
      <c r="D78" t="s">
        <v>44</v>
      </c>
      <c r="E78" s="4">
        <v>45078</v>
      </c>
      <c r="F78">
        <v>1</v>
      </c>
      <c r="G78">
        <v>1</v>
      </c>
      <c r="H78">
        <v>0</v>
      </c>
    </row>
    <row r="79" spans="4:8" x14ac:dyDescent="0.25">
      <c r="D79" t="s">
        <v>45</v>
      </c>
      <c r="E79" s="4">
        <v>45078</v>
      </c>
      <c r="F79">
        <v>1</v>
      </c>
      <c r="G79">
        <v>1</v>
      </c>
      <c r="H79">
        <v>0</v>
      </c>
    </row>
    <row r="80" spans="4:8" x14ac:dyDescent="0.25">
      <c r="D80" t="s">
        <v>46</v>
      </c>
      <c r="E80" s="4">
        <v>45078</v>
      </c>
      <c r="F80">
        <v>1</v>
      </c>
      <c r="G80">
        <v>1</v>
      </c>
      <c r="H80">
        <v>0</v>
      </c>
    </row>
    <row r="81" spans="4:8" x14ac:dyDescent="0.25">
      <c r="D81" t="s">
        <v>47</v>
      </c>
      <c r="E81" s="4">
        <v>45078</v>
      </c>
      <c r="F81">
        <v>1</v>
      </c>
      <c r="G81">
        <v>0</v>
      </c>
      <c r="H81">
        <v>0</v>
      </c>
    </row>
    <row r="82" spans="4:8" x14ac:dyDescent="0.25">
      <c r="D82" t="s">
        <v>48</v>
      </c>
      <c r="E82" s="4">
        <v>45078</v>
      </c>
      <c r="F82">
        <v>1</v>
      </c>
      <c r="G82">
        <v>1</v>
      </c>
      <c r="H82">
        <v>0</v>
      </c>
    </row>
    <row r="83" spans="4:8" x14ac:dyDescent="0.25">
      <c r="D83" t="s">
        <v>49</v>
      </c>
      <c r="E83" s="4">
        <v>45078</v>
      </c>
      <c r="F83">
        <v>1</v>
      </c>
      <c r="G83">
        <v>0</v>
      </c>
      <c r="H83">
        <v>0</v>
      </c>
    </row>
    <row r="84" spans="4:8" x14ac:dyDescent="0.25">
      <c r="D84" t="s">
        <v>50</v>
      </c>
      <c r="E84" s="4">
        <v>45078</v>
      </c>
      <c r="F84">
        <v>1</v>
      </c>
      <c r="G84">
        <v>1</v>
      </c>
      <c r="H84">
        <v>0</v>
      </c>
    </row>
    <row r="85" spans="4:8" x14ac:dyDescent="0.25">
      <c r="D85" t="s">
        <v>51</v>
      </c>
      <c r="E85" s="4">
        <v>45078</v>
      </c>
      <c r="F85">
        <v>1</v>
      </c>
      <c r="G85">
        <v>1</v>
      </c>
      <c r="H85">
        <v>0</v>
      </c>
    </row>
    <row r="86" spans="4:8" x14ac:dyDescent="0.25">
      <c r="D86" t="s">
        <v>52</v>
      </c>
      <c r="E86" s="4">
        <v>45078</v>
      </c>
      <c r="F86">
        <v>1</v>
      </c>
      <c r="G86">
        <v>0</v>
      </c>
      <c r="H86">
        <v>0</v>
      </c>
    </row>
    <row r="87" spans="4:8" x14ac:dyDescent="0.25">
      <c r="D87" t="s">
        <v>53</v>
      </c>
      <c r="E87" s="4">
        <v>45078</v>
      </c>
      <c r="F87">
        <v>1</v>
      </c>
      <c r="G87">
        <v>1</v>
      </c>
      <c r="H87">
        <v>0</v>
      </c>
    </row>
    <row r="88" spans="4:8" x14ac:dyDescent="0.25">
      <c r="D88" t="s">
        <v>54</v>
      </c>
      <c r="E88" s="4">
        <v>45078</v>
      </c>
      <c r="F88">
        <v>1</v>
      </c>
      <c r="G88">
        <v>0</v>
      </c>
      <c r="H88">
        <v>0</v>
      </c>
    </row>
    <row r="89" spans="4:8" x14ac:dyDescent="0.25">
      <c r="D89" t="s">
        <v>55</v>
      </c>
      <c r="E89" s="4">
        <v>45078</v>
      </c>
      <c r="F89">
        <v>1</v>
      </c>
      <c r="G89">
        <v>1</v>
      </c>
      <c r="H89">
        <v>0</v>
      </c>
    </row>
    <row r="90" spans="4:8" x14ac:dyDescent="0.25">
      <c r="D90" t="s">
        <v>56</v>
      </c>
      <c r="E90" s="4">
        <v>45078</v>
      </c>
      <c r="F90">
        <v>1</v>
      </c>
      <c r="G90">
        <v>0</v>
      </c>
      <c r="H90">
        <v>0</v>
      </c>
    </row>
    <row r="91" spans="4:8" x14ac:dyDescent="0.25">
      <c r="D91" t="s">
        <v>57</v>
      </c>
      <c r="E91" s="4">
        <v>45078</v>
      </c>
      <c r="F91">
        <v>0</v>
      </c>
      <c r="G91">
        <v>1</v>
      </c>
      <c r="H91">
        <v>1</v>
      </c>
    </row>
    <row r="92" spans="4:8" x14ac:dyDescent="0.25">
      <c r="D92" t="s">
        <v>58</v>
      </c>
      <c r="E92" s="4">
        <v>45078</v>
      </c>
      <c r="F92">
        <v>0</v>
      </c>
      <c r="G92">
        <v>1</v>
      </c>
      <c r="H92">
        <v>0</v>
      </c>
    </row>
    <row r="93" spans="4:8" x14ac:dyDescent="0.25">
      <c r="D93" t="s">
        <v>59</v>
      </c>
      <c r="E93" s="4">
        <v>45078</v>
      </c>
      <c r="F93">
        <v>0</v>
      </c>
      <c r="G93">
        <v>0</v>
      </c>
      <c r="H93">
        <v>0</v>
      </c>
    </row>
    <row r="94" spans="4:8" x14ac:dyDescent="0.25">
      <c r="D94" t="s">
        <v>60</v>
      </c>
      <c r="E94" s="4">
        <v>45078</v>
      </c>
      <c r="F94">
        <v>0</v>
      </c>
      <c r="G94">
        <v>1</v>
      </c>
      <c r="H94">
        <v>0</v>
      </c>
    </row>
    <row r="95" spans="4:8" x14ac:dyDescent="0.25">
      <c r="D95" t="s">
        <v>61</v>
      </c>
      <c r="E95" s="4">
        <v>45078</v>
      </c>
      <c r="F95">
        <v>0</v>
      </c>
      <c r="G95">
        <v>0</v>
      </c>
      <c r="H95">
        <v>0</v>
      </c>
    </row>
    <row r="96" spans="4:8" x14ac:dyDescent="0.25">
      <c r="D96" t="s">
        <v>62</v>
      </c>
      <c r="E96" s="4">
        <v>45078</v>
      </c>
      <c r="F96">
        <v>0</v>
      </c>
      <c r="G96">
        <v>1</v>
      </c>
      <c r="H96">
        <v>0</v>
      </c>
    </row>
    <row r="97" spans="4:8" x14ac:dyDescent="0.25">
      <c r="D97" t="s">
        <v>63</v>
      </c>
      <c r="E97" s="4">
        <v>45078</v>
      </c>
      <c r="F97">
        <v>0</v>
      </c>
      <c r="G97">
        <v>0</v>
      </c>
      <c r="H97">
        <v>0</v>
      </c>
    </row>
    <row r="98" spans="4:8" x14ac:dyDescent="0.25">
      <c r="D98" t="s">
        <v>64</v>
      </c>
      <c r="E98" s="4">
        <v>45078</v>
      </c>
      <c r="F98">
        <v>0</v>
      </c>
      <c r="G98">
        <v>1</v>
      </c>
      <c r="H98">
        <v>0</v>
      </c>
    </row>
    <row r="99" spans="4:8" x14ac:dyDescent="0.25">
      <c r="D99" t="s">
        <v>65</v>
      </c>
      <c r="E99" s="4">
        <v>45078</v>
      </c>
      <c r="F99">
        <v>0</v>
      </c>
      <c r="G99">
        <v>0</v>
      </c>
      <c r="H99">
        <v>0</v>
      </c>
    </row>
    <row r="100" spans="4:8" x14ac:dyDescent="0.25">
      <c r="D100" t="s">
        <v>66</v>
      </c>
      <c r="E100" s="4">
        <v>45078</v>
      </c>
      <c r="F100">
        <v>0</v>
      </c>
      <c r="G100">
        <v>1</v>
      </c>
      <c r="H100">
        <v>0</v>
      </c>
    </row>
    <row r="101" spans="4:8" x14ac:dyDescent="0.25">
      <c r="D101" t="s">
        <v>67</v>
      </c>
      <c r="E101" s="4">
        <v>45078</v>
      </c>
      <c r="F101">
        <v>0</v>
      </c>
      <c r="G101">
        <v>0</v>
      </c>
      <c r="H101">
        <v>0</v>
      </c>
    </row>
    <row r="102" spans="4:8" x14ac:dyDescent="0.25">
      <c r="D102" t="s">
        <v>68</v>
      </c>
      <c r="E102" s="4">
        <v>45078</v>
      </c>
      <c r="F102">
        <v>0</v>
      </c>
      <c r="G102">
        <v>1</v>
      </c>
      <c r="H102">
        <v>0</v>
      </c>
    </row>
    <row r="103" spans="4:8" x14ac:dyDescent="0.25">
      <c r="D103" t="s">
        <v>69</v>
      </c>
      <c r="E103" s="4">
        <v>45078</v>
      </c>
      <c r="F103">
        <v>0</v>
      </c>
      <c r="G103">
        <v>0</v>
      </c>
      <c r="H103">
        <v>1</v>
      </c>
    </row>
    <row r="104" spans="4:8" x14ac:dyDescent="0.25">
      <c r="D104" t="s">
        <v>70</v>
      </c>
      <c r="E104" s="4">
        <v>45078</v>
      </c>
      <c r="F104">
        <v>0</v>
      </c>
      <c r="G104">
        <v>1</v>
      </c>
      <c r="H104">
        <v>1</v>
      </c>
    </row>
    <row r="105" spans="4:8" x14ac:dyDescent="0.25">
      <c r="D105" t="s">
        <v>71</v>
      </c>
      <c r="E105" s="4">
        <v>45078</v>
      </c>
      <c r="F105">
        <v>0</v>
      </c>
      <c r="G105">
        <v>0</v>
      </c>
      <c r="H105">
        <v>1</v>
      </c>
    </row>
    <row r="106" spans="4:8" x14ac:dyDescent="0.25">
      <c r="D106" t="s">
        <v>72</v>
      </c>
      <c r="E106" s="4">
        <v>45078</v>
      </c>
      <c r="F106">
        <v>0</v>
      </c>
      <c r="G106">
        <v>1</v>
      </c>
      <c r="H106">
        <v>0</v>
      </c>
    </row>
    <row r="107" spans="4:8" x14ac:dyDescent="0.25">
      <c r="D107" t="s">
        <v>73</v>
      </c>
      <c r="E107" s="4">
        <v>45078</v>
      </c>
      <c r="F107">
        <v>0</v>
      </c>
      <c r="G107">
        <v>0</v>
      </c>
      <c r="H107">
        <v>0</v>
      </c>
    </row>
    <row r="108" spans="4:8" x14ac:dyDescent="0.25">
      <c r="D108" t="s">
        <v>74</v>
      </c>
      <c r="E108" s="4">
        <v>45078</v>
      </c>
      <c r="F108">
        <v>0</v>
      </c>
      <c r="G108">
        <v>0</v>
      </c>
      <c r="H108">
        <v>0</v>
      </c>
    </row>
    <row r="109" spans="4:8" x14ac:dyDescent="0.25">
      <c r="D109" t="s">
        <v>75</v>
      </c>
      <c r="E109" s="4">
        <v>45078</v>
      </c>
      <c r="F109">
        <v>0</v>
      </c>
      <c r="G109">
        <v>1</v>
      </c>
      <c r="H109">
        <v>0</v>
      </c>
    </row>
    <row r="110" spans="4:8" x14ac:dyDescent="0.25">
      <c r="D110" t="s">
        <v>76</v>
      </c>
      <c r="E110" s="4">
        <v>45078</v>
      </c>
      <c r="F110">
        <v>0</v>
      </c>
      <c r="G110">
        <v>1</v>
      </c>
      <c r="H110">
        <v>0</v>
      </c>
    </row>
    <row r="111" spans="4:8" x14ac:dyDescent="0.25">
      <c r="D111" t="s">
        <v>77</v>
      </c>
      <c r="E111" s="4">
        <v>45078</v>
      </c>
      <c r="F111">
        <v>0</v>
      </c>
      <c r="G111">
        <v>0</v>
      </c>
      <c r="H111">
        <v>0</v>
      </c>
    </row>
    <row r="112" spans="4:8" x14ac:dyDescent="0.25">
      <c r="D112" t="s">
        <v>78</v>
      </c>
      <c r="E112" s="4">
        <v>45078</v>
      </c>
      <c r="F112">
        <v>0</v>
      </c>
      <c r="G112">
        <v>0</v>
      </c>
      <c r="H112">
        <v>0</v>
      </c>
    </row>
    <row r="113" spans="4:8" x14ac:dyDescent="0.25">
      <c r="D113" t="s">
        <v>79</v>
      </c>
      <c r="E113" s="4">
        <v>45078</v>
      </c>
      <c r="F113">
        <v>0</v>
      </c>
      <c r="G113">
        <v>0</v>
      </c>
      <c r="H113">
        <v>0</v>
      </c>
    </row>
    <row r="114" spans="4:8" x14ac:dyDescent="0.25">
      <c r="D114" t="s">
        <v>80</v>
      </c>
      <c r="E114" s="4">
        <v>45078</v>
      </c>
      <c r="F114">
        <v>0</v>
      </c>
      <c r="G114">
        <v>1</v>
      </c>
      <c r="H114">
        <v>0</v>
      </c>
    </row>
    <row r="115" spans="4:8" x14ac:dyDescent="0.25">
      <c r="D115" t="s">
        <v>81</v>
      </c>
      <c r="E115" s="4">
        <v>45078</v>
      </c>
      <c r="F115">
        <v>0</v>
      </c>
      <c r="G115">
        <v>0</v>
      </c>
      <c r="H115">
        <v>1</v>
      </c>
    </row>
    <row r="116" spans="4:8" x14ac:dyDescent="0.25">
      <c r="D116" t="s">
        <v>82</v>
      </c>
      <c r="E116" s="4">
        <v>45078</v>
      </c>
      <c r="F116">
        <v>0</v>
      </c>
      <c r="G116">
        <v>1</v>
      </c>
      <c r="H116">
        <v>0</v>
      </c>
    </row>
    <row r="117" spans="4:8" x14ac:dyDescent="0.25">
      <c r="D117" t="s">
        <v>83</v>
      </c>
      <c r="E117" s="4">
        <v>45078</v>
      </c>
      <c r="F117">
        <v>0</v>
      </c>
      <c r="G117">
        <v>0</v>
      </c>
      <c r="H117">
        <v>0</v>
      </c>
    </row>
    <row r="118" spans="4:8" x14ac:dyDescent="0.25">
      <c r="D118" t="s">
        <v>84</v>
      </c>
      <c r="E118" s="4">
        <v>45078</v>
      </c>
      <c r="F118">
        <v>0</v>
      </c>
      <c r="G118">
        <v>0</v>
      </c>
      <c r="H118">
        <v>0</v>
      </c>
    </row>
    <row r="119" spans="4:8" x14ac:dyDescent="0.25">
      <c r="D119" t="s">
        <v>85</v>
      </c>
      <c r="E119" s="4">
        <v>45078</v>
      </c>
      <c r="F119">
        <v>0</v>
      </c>
      <c r="G119">
        <v>1</v>
      </c>
      <c r="H119">
        <v>0</v>
      </c>
    </row>
    <row r="120" spans="4:8" x14ac:dyDescent="0.25">
      <c r="D120" t="s">
        <v>86</v>
      </c>
      <c r="E120" s="4">
        <v>45078</v>
      </c>
      <c r="F120">
        <v>0</v>
      </c>
      <c r="G120">
        <v>1</v>
      </c>
      <c r="H120">
        <v>1</v>
      </c>
    </row>
    <row r="121" spans="4:8" x14ac:dyDescent="0.25">
      <c r="D121" t="s">
        <v>87</v>
      </c>
      <c r="E121" s="4">
        <v>45078</v>
      </c>
      <c r="F121">
        <v>0</v>
      </c>
      <c r="G121">
        <v>1</v>
      </c>
      <c r="H121">
        <v>0</v>
      </c>
    </row>
    <row r="122" spans="4:8" x14ac:dyDescent="0.25">
      <c r="D122" t="s">
        <v>88</v>
      </c>
      <c r="E122" s="4">
        <v>45078</v>
      </c>
      <c r="F122">
        <v>0</v>
      </c>
      <c r="G122">
        <v>0</v>
      </c>
      <c r="H122">
        <v>0</v>
      </c>
    </row>
    <row r="123" spans="4:8" x14ac:dyDescent="0.25">
      <c r="D123" t="s">
        <v>89</v>
      </c>
      <c r="E123" s="4">
        <v>45078</v>
      </c>
      <c r="F123">
        <v>0</v>
      </c>
      <c r="G123">
        <v>0</v>
      </c>
      <c r="H123">
        <v>0</v>
      </c>
    </row>
    <row r="124" spans="4:8" x14ac:dyDescent="0.25">
      <c r="D124" t="s">
        <v>90</v>
      </c>
      <c r="E124" s="4">
        <v>45078</v>
      </c>
      <c r="F124">
        <v>0</v>
      </c>
      <c r="G124">
        <v>1</v>
      </c>
      <c r="H124">
        <v>0</v>
      </c>
    </row>
    <row r="125" spans="4:8" x14ac:dyDescent="0.25">
      <c r="D125" t="s">
        <v>91</v>
      </c>
      <c r="E125" s="4">
        <v>45078</v>
      </c>
      <c r="F125">
        <v>0</v>
      </c>
      <c r="G125">
        <v>1</v>
      </c>
      <c r="H125">
        <v>1</v>
      </c>
    </row>
    <row r="126" spans="4:8" x14ac:dyDescent="0.25">
      <c r="D126" t="s">
        <v>92</v>
      </c>
      <c r="E126" s="4">
        <v>45078</v>
      </c>
      <c r="F126">
        <v>0</v>
      </c>
      <c r="G126">
        <v>1</v>
      </c>
      <c r="H126">
        <v>0</v>
      </c>
    </row>
    <row r="127" spans="4:8" x14ac:dyDescent="0.25">
      <c r="D127" t="s">
        <v>93</v>
      </c>
      <c r="E127" s="4">
        <v>45078</v>
      </c>
      <c r="F127">
        <v>0</v>
      </c>
      <c r="G127">
        <v>1</v>
      </c>
      <c r="H127">
        <v>0</v>
      </c>
    </row>
    <row r="128" spans="4:8" x14ac:dyDescent="0.25">
      <c r="D128" t="s">
        <v>94</v>
      </c>
      <c r="E128" s="4">
        <v>45078</v>
      </c>
      <c r="F128">
        <v>0</v>
      </c>
      <c r="G128">
        <v>1</v>
      </c>
      <c r="H128">
        <v>0</v>
      </c>
    </row>
    <row r="129" spans="4:8" x14ac:dyDescent="0.25">
      <c r="D129" t="s">
        <v>95</v>
      </c>
      <c r="E129" s="4">
        <v>45078</v>
      </c>
      <c r="F129">
        <v>0</v>
      </c>
      <c r="G129">
        <v>1</v>
      </c>
      <c r="H129">
        <v>0</v>
      </c>
    </row>
    <row r="130" spans="4:8" x14ac:dyDescent="0.25">
      <c r="D130" t="s">
        <v>96</v>
      </c>
      <c r="E130" s="4">
        <v>45078</v>
      </c>
      <c r="F130">
        <v>0</v>
      </c>
      <c r="G130">
        <v>1</v>
      </c>
      <c r="H130">
        <v>0</v>
      </c>
    </row>
    <row r="131" spans="4:8" x14ac:dyDescent="0.25">
      <c r="D131" t="s">
        <v>97</v>
      </c>
      <c r="E131" s="4">
        <v>45078</v>
      </c>
      <c r="F131">
        <v>0</v>
      </c>
      <c r="G131">
        <v>1</v>
      </c>
      <c r="H131">
        <v>0</v>
      </c>
    </row>
    <row r="132" spans="4:8" x14ac:dyDescent="0.25">
      <c r="D132" t="s">
        <v>98</v>
      </c>
      <c r="E132" s="4">
        <v>45078</v>
      </c>
      <c r="F132">
        <v>0</v>
      </c>
      <c r="G132">
        <v>1</v>
      </c>
      <c r="H132">
        <v>0</v>
      </c>
    </row>
    <row r="133" spans="4:8" x14ac:dyDescent="0.25">
      <c r="D133" t="s">
        <v>99</v>
      </c>
      <c r="E133" s="4">
        <v>45078</v>
      </c>
      <c r="F133">
        <v>0</v>
      </c>
      <c r="G133">
        <v>1</v>
      </c>
      <c r="H133">
        <v>0</v>
      </c>
    </row>
    <row r="134" spans="4:8" x14ac:dyDescent="0.25">
      <c r="D134" t="s">
        <v>100</v>
      </c>
      <c r="E134" s="4">
        <v>45078</v>
      </c>
      <c r="F134">
        <v>0</v>
      </c>
      <c r="G134">
        <v>1</v>
      </c>
      <c r="H134">
        <v>0</v>
      </c>
    </row>
    <row r="135" spans="4:8" x14ac:dyDescent="0.25">
      <c r="D135" t="s">
        <v>101</v>
      </c>
      <c r="E135" s="4">
        <v>45078</v>
      </c>
      <c r="F135">
        <v>0</v>
      </c>
      <c r="G135">
        <v>0</v>
      </c>
      <c r="H135">
        <v>0</v>
      </c>
    </row>
    <row r="136" spans="4:8" x14ac:dyDescent="0.25">
      <c r="D136" t="s">
        <v>102</v>
      </c>
      <c r="E136" s="4">
        <v>45078</v>
      </c>
      <c r="F136">
        <v>0</v>
      </c>
      <c r="G136">
        <v>1</v>
      </c>
      <c r="H136">
        <v>0</v>
      </c>
    </row>
    <row r="137" spans="4:8" x14ac:dyDescent="0.25">
      <c r="D137" t="s">
        <v>103</v>
      </c>
      <c r="E137" s="4">
        <v>45078</v>
      </c>
      <c r="F137">
        <v>0</v>
      </c>
      <c r="G137">
        <v>1</v>
      </c>
      <c r="H137">
        <v>0</v>
      </c>
    </row>
    <row r="138" spans="4:8" x14ac:dyDescent="0.25">
      <c r="D138" t="s">
        <v>104</v>
      </c>
      <c r="E138" s="4">
        <v>45078</v>
      </c>
      <c r="F138">
        <v>0</v>
      </c>
      <c r="G138">
        <v>1</v>
      </c>
      <c r="H138">
        <v>0</v>
      </c>
    </row>
    <row r="139" spans="4:8" x14ac:dyDescent="0.25">
      <c r="D139" t="s">
        <v>105</v>
      </c>
      <c r="E139" s="4">
        <v>45078</v>
      </c>
      <c r="F139">
        <v>0</v>
      </c>
      <c r="G139">
        <v>1</v>
      </c>
      <c r="H139">
        <v>0</v>
      </c>
    </row>
    <row r="140" spans="4:8" x14ac:dyDescent="0.25">
      <c r="D140" t="s">
        <v>106</v>
      </c>
      <c r="E140" s="4">
        <v>45078</v>
      </c>
      <c r="F140">
        <v>0</v>
      </c>
      <c r="G140">
        <v>1</v>
      </c>
      <c r="H140">
        <v>0</v>
      </c>
    </row>
    <row r="141" spans="4:8" x14ac:dyDescent="0.25">
      <c r="D141" t="s">
        <v>107</v>
      </c>
      <c r="E141" s="4">
        <v>45078</v>
      </c>
      <c r="F141">
        <v>0</v>
      </c>
      <c r="G141">
        <v>1</v>
      </c>
      <c r="H141">
        <v>0</v>
      </c>
    </row>
    <row r="142" spans="4:8" x14ac:dyDescent="0.25">
      <c r="D142" t="s">
        <v>108</v>
      </c>
      <c r="E142" s="4">
        <v>45078</v>
      </c>
      <c r="F142">
        <v>0</v>
      </c>
      <c r="G142">
        <v>0</v>
      </c>
      <c r="H142">
        <v>0</v>
      </c>
    </row>
    <row r="143" spans="4:8" x14ac:dyDescent="0.25">
      <c r="D143" t="s">
        <v>109</v>
      </c>
      <c r="E143" s="4">
        <v>45078</v>
      </c>
      <c r="F143">
        <v>0</v>
      </c>
      <c r="G143">
        <v>1</v>
      </c>
      <c r="H143">
        <v>0</v>
      </c>
    </row>
    <row r="144" spans="4:8" x14ac:dyDescent="0.25">
      <c r="D144" t="s">
        <v>110</v>
      </c>
      <c r="E144" s="4">
        <v>45078</v>
      </c>
      <c r="F144">
        <v>0</v>
      </c>
      <c r="G144">
        <v>0</v>
      </c>
      <c r="H144">
        <v>0</v>
      </c>
    </row>
    <row r="145" spans="4:8" x14ac:dyDescent="0.25">
      <c r="D145" t="s">
        <v>111</v>
      </c>
      <c r="E145" s="4">
        <v>45078</v>
      </c>
      <c r="F145">
        <v>0</v>
      </c>
      <c r="G145">
        <v>1</v>
      </c>
      <c r="H145">
        <v>0</v>
      </c>
    </row>
    <row r="146" spans="4:8" x14ac:dyDescent="0.25">
      <c r="D146" t="s">
        <v>112</v>
      </c>
      <c r="E146" s="4">
        <v>45078</v>
      </c>
      <c r="F146">
        <v>0</v>
      </c>
      <c r="G146">
        <v>1</v>
      </c>
      <c r="H146">
        <v>0</v>
      </c>
    </row>
    <row r="147" spans="4:8" x14ac:dyDescent="0.25">
      <c r="D147" t="s">
        <v>113</v>
      </c>
      <c r="E147" s="4">
        <v>45078</v>
      </c>
      <c r="F147">
        <v>0</v>
      </c>
      <c r="G147">
        <v>0</v>
      </c>
      <c r="H147">
        <v>0</v>
      </c>
    </row>
    <row r="148" spans="4:8" x14ac:dyDescent="0.25">
      <c r="D148" t="s">
        <v>114</v>
      </c>
      <c r="E148" s="4">
        <v>45078</v>
      </c>
      <c r="F148">
        <v>0</v>
      </c>
      <c r="G148">
        <v>1</v>
      </c>
      <c r="H148">
        <v>0</v>
      </c>
    </row>
    <row r="149" spans="4:8" x14ac:dyDescent="0.25">
      <c r="D149" t="s">
        <v>115</v>
      </c>
      <c r="E149" s="4">
        <v>45078</v>
      </c>
      <c r="F149">
        <v>0</v>
      </c>
      <c r="G149">
        <v>0</v>
      </c>
      <c r="H149">
        <v>0</v>
      </c>
    </row>
    <row r="150" spans="4:8" x14ac:dyDescent="0.25">
      <c r="D150" t="s">
        <v>116</v>
      </c>
      <c r="E150" s="4">
        <v>45078</v>
      </c>
      <c r="F150">
        <v>0</v>
      </c>
      <c r="G150">
        <v>1</v>
      </c>
      <c r="H150">
        <v>0</v>
      </c>
    </row>
    <row r="151" spans="4:8" x14ac:dyDescent="0.25">
      <c r="D151" t="s">
        <v>117</v>
      </c>
      <c r="E151" s="4">
        <v>45078</v>
      </c>
      <c r="F151">
        <v>0</v>
      </c>
      <c r="G151">
        <v>0</v>
      </c>
      <c r="H151">
        <v>1</v>
      </c>
    </row>
    <row r="152" spans="4:8" x14ac:dyDescent="0.25">
      <c r="D152" t="s">
        <v>118</v>
      </c>
      <c r="E152" s="4">
        <v>45078</v>
      </c>
      <c r="F152">
        <v>0</v>
      </c>
      <c r="G152">
        <v>1</v>
      </c>
      <c r="H152">
        <v>0</v>
      </c>
    </row>
    <row r="153" spans="4:8" x14ac:dyDescent="0.25">
      <c r="D153" t="s">
        <v>119</v>
      </c>
      <c r="E153" s="4">
        <v>45078</v>
      </c>
      <c r="F153">
        <v>0</v>
      </c>
      <c r="G153">
        <v>1</v>
      </c>
      <c r="H153">
        <v>0</v>
      </c>
    </row>
    <row r="154" spans="4:8" x14ac:dyDescent="0.25">
      <c r="D154" t="s">
        <v>120</v>
      </c>
      <c r="E154" s="4">
        <v>45078</v>
      </c>
      <c r="F154">
        <v>0</v>
      </c>
      <c r="G154">
        <v>0</v>
      </c>
      <c r="H154">
        <v>0</v>
      </c>
    </row>
    <row r="155" spans="4:8" x14ac:dyDescent="0.25">
      <c r="D155" t="s">
        <v>121</v>
      </c>
      <c r="E155" s="4">
        <v>45078</v>
      </c>
      <c r="F155">
        <v>0</v>
      </c>
      <c r="G155">
        <v>1</v>
      </c>
      <c r="H155">
        <v>1</v>
      </c>
    </row>
    <row r="156" spans="4:8" x14ac:dyDescent="0.25">
      <c r="D156" t="s">
        <v>122</v>
      </c>
      <c r="E156" s="4">
        <v>45078</v>
      </c>
      <c r="F156">
        <v>0</v>
      </c>
      <c r="G156">
        <v>0</v>
      </c>
      <c r="H156">
        <v>1</v>
      </c>
    </row>
    <row r="157" spans="4:8" x14ac:dyDescent="0.25">
      <c r="D157" t="s">
        <v>123</v>
      </c>
      <c r="E157" s="4">
        <v>45078</v>
      </c>
      <c r="F157">
        <v>0</v>
      </c>
      <c r="G157">
        <v>1</v>
      </c>
      <c r="H157">
        <v>1</v>
      </c>
    </row>
    <row r="158" spans="4:8" x14ac:dyDescent="0.25">
      <c r="D158" t="s">
        <v>124</v>
      </c>
      <c r="E158" s="4">
        <v>45078</v>
      </c>
      <c r="F158">
        <v>0</v>
      </c>
      <c r="G158">
        <v>0</v>
      </c>
      <c r="H158">
        <v>0</v>
      </c>
    </row>
    <row r="159" spans="4:8" x14ac:dyDescent="0.25">
      <c r="D159" t="s">
        <v>125</v>
      </c>
      <c r="E159" s="4">
        <v>45078</v>
      </c>
      <c r="F159">
        <v>0</v>
      </c>
      <c r="G159">
        <v>1</v>
      </c>
      <c r="H159">
        <v>1</v>
      </c>
    </row>
    <row r="160" spans="4:8" x14ac:dyDescent="0.25">
      <c r="D160" t="s">
        <v>129</v>
      </c>
      <c r="E160" s="4">
        <v>45079</v>
      </c>
    </row>
    <row r="161" spans="4:5" x14ac:dyDescent="0.25">
      <c r="D161" t="s">
        <v>130</v>
      </c>
      <c r="E161" s="4">
        <v>45079</v>
      </c>
    </row>
    <row r="162" spans="4:5" x14ac:dyDescent="0.25">
      <c r="D162" t="s">
        <v>131</v>
      </c>
      <c r="E162" s="4">
        <v>45079</v>
      </c>
    </row>
    <row r="163" spans="4:5" x14ac:dyDescent="0.25">
      <c r="D163" t="s">
        <v>132</v>
      </c>
      <c r="E163" s="4">
        <v>45079</v>
      </c>
    </row>
    <row r="164" spans="4:5" x14ac:dyDescent="0.25">
      <c r="D164" t="s">
        <v>133</v>
      </c>
      <c r="E164" s="4">
        <v>45079</v>
      </c>
    </row>
    <row r="165" spans="4:5" x14ac:dyDescent="0.25">
      <c r="D165" t="s">
        <v>134</v>
      </c>
      <c r="E165" s="4">
        <v>45079</v>
      </c>
    </row>
    <row r="166" spans="4:5" x14ac:dyDescent="0.25">
      <c r="D166" t="s">
        <v>135</v>
      </c>
      <c r="E166" s="4">
        <v>45079</v>
      </c>
    </row>
    <row r="167" spans="4:5" x14ac:dyDescent="0.25">
      <c r="D167" t="s">
        <v>136</v>
      </c>
      <c r="E167" s="4">
        <v>45079</v>
      </c>
    </row>
    <row r="168" spans="4:5" x14ac:dyDescent="0.25">
      <c r="D168" t="s">
        <v>137</v>
      </c>
      <c r="E168" s="4">
        <v>45079</v>
      </c>
    </row>
    <row r="169" spans="4:5" x14ac:dyDescent="0.25">
      <c r="D169" t="s">
        <v>138</v>
      </c>
      <c r="E169" s="4">
        <v>45079</v>
      </c>
    </row>
    <row r="170" spans="4:5" x14ac:dyDescent="0.25">
      <c r="D170" t="s">
        <v>139</v>
      </c>
      <c r="E170" s="4">
        <v>45079</v>
      </c>
    </row>
    <row r="171" spans="4:5" x14ac:dyDescent="0.25">
      <c r="D171" t="s">
        <v>140</v>
      </c>
      <c r="E171" s="4">
        <v>45079</v>
      </c>
    </row>
    <row r="172" spans="4:5" x14ac:dyDescent="0.25">
      <c r="D172" t="s">
        <v>141</v>
      </c>
      <c r="E172" s="4">
        <v>45079</v>
      </c>
    </row>
    <row r="173" spans="4:5" x14ac:dyDescent="0.25">
      <c r="D173" t="s">
        <v>142</v>
      </c>
      <c r="E173" s="4">
        <v>45079</v>
      </c>
    </row>
    <row r="174" spans="4:5" x14ac:dyDescent="0.25">
      <c r="D174" t="s">
        <v>143</v>
      </c>
      <c r="E174" s="4">
        <v>45079</v>
      </c>
    </row>
    <row r="175" spans="4:5" x14ac:dyDescent="0.25">
      <c r="D175" t="s">
        <v>144</v>
      </c>
      <c r="E175" s="4">
        <v>45079</v>
      </c>
    </row>
    <row r="176" spans="4:5" x14ac:dyDescent="0.25">
      <c r="D176" t="s">
        <v>145</v>
      </c>
      <c r="E176" s="4">
        <v>45079</v>
      </c>
    </row>
    <row r="177" spans="4:5" x14ac:dyDescent="0.25">
      <c r="D177" t="s">
        <v>146</v>
      </c>
      <c r="E177" s="4">
        <v>45079</v>
      </c>
    </row>
    <row r="178" spans="4:5" x14ac:dyDescent="0.25">
      <c r="D178" t="s">
        <v>147</v>
      </c>
      <c r="E178" s="4">
        <v>45079</v>
      </c>
    </row>
    <row r="179" spans="4:5" x14ac:dyDescent="0.25">
      <c r="D179" t="s">
        <v>148</v>
      </c>
      <c r="E179" s="4">
        <v>45079</v>
      </c>
    </row>
    <row r="180" spans="4:5" x14ac:dyDescent="0.25">
      <c r="D180" t="s">
        <v>149</v>
      </c>
      <c r="E180" s="4">
        <v>45079</v>
      </c>
    </row>
    <row r="181" spans="4:5" x14ac:dyDescent="0.25">
      <c r="D181" t="s">
        <v>150</v>
      </c>
      <c r="E181" s="4">
        <v>45079</v>
      </c>
    </row>
    <row r="182" spans="4:5" x14ac:dyDescent="0.25">
      <c r="D182" t="s">
        <v>151</v>
      </c>
      <c r="E182" s="4">
        <v>45079</v>
      </c>
    </row>
    <row r="183" spans="4:5" x14ac:dyDescent="0.25">
      <c r="D183" t="s">
        <v>152</v>
      </c>
      <c r="E183" s="4">
        <v>45079</v>
      </c>
    </row>
    <row r="184" spans="4:5" x14ac:dyDescent="0.25">
      <c r="D184" t="s">
        <v>153</v>
      </c>
      <c r="E184" s="4">
        <v>45079</v>
      </c>
    </row>
    <row r="185" spans="4:5" x14ac:dyDescent="0.25">
      <c r="D185" t="s">
        <v>154</v>
      </c>
      <c r="E185" s="4">
        <v>45079</v>
      </c>
    </row>
    <row r="186" spans="4:5" x14ac:dyDescent="0.25">
      <c r="D186" t="s">
        <v>155</v>
      </c>
      <c r="E186" s="4">
        <v>45079</v>
      </c>
    </row>
    <row r="187" spans="4:5" x14ac:dyDescent="0.25">
      <c r="D187" t="s">
        <v>156</v>
      </c>
      <c r="E187" s="4">
        <v>45079</v>
      </c>
    </row>
    <row r="188" spans="4:5" x14ac:dyDescent="0.25">
      <c r="D188" t="s">
        <v>157</v>
      </c>
      <c r="E188" s="4">
        <v>45079</v>
      </c>
    </row>
    <row r="189" spans="4:5" x14ac:dyDescent="0.25">
      <c r="D189" t="s">
        <v>158</v>
      </c>
      <c r="E189" s="4">
        <v>45079</v>
      </c>
    </row>
    <row r="190" spans="4:5" x14ac:dyDescent="0.25">
      <c r="D190" t="s">
        <v>159</v>
      </c>
      <c r="E190" s="4">
        <v>45079</v>
      </c>
    </row>
    <row r="191" spans="4:5" x14ac:dyDescent="0.25">
      <c r="D191" t="s">
        <v>160</v>
      </c>
      <c r="E191" s="4">
        <v>45079</v>
      </c>
    </row>
    <row r="192" spans="4:5" x14ac:dyDescent="0.25">
      <c r="D192" t="s">
        <v>161</v>
      </c>
      <c r="E192" s="4">
        <v>45079</v>
      </c>
    </row>
    <row r="193" spans="4:5" x14ac:dyDescent="0.25">
      <c r="D193" t="s">
        <v>162</v>
      </c>
      <c r="E193" s="4">
        <v>45079</v>
      </c>
    </row>
    <row r="194" spans="4:5" x14ac:dyDescent="0.25">
      <c r="D194" t="s">
        <v>163</v>
      </c>
      <c r="E194" s="4">
        <v>45079</v>
      </c>
    </row>
    <row r="195" spans="4:5" x14ac:dyDescent="0.25">
      <c r="D195" t="s">
        <v>164</v>
      </c>
      <c r="E195" s="4">
        <v>45079</v>
      </c>
    </row>
    <row r="196" spans="4:5" x14ac:dyDescent="0.25">
      <c r="D196" t="s">
        <v>165</v>
      </c>
      <c r="E196" s="4">
        <v>45079</v>
      </c>
    </row>
    <row r="197" spans="4:5" x14ac:dyDescent="0.25">
      <c r="D197" t="s">
        <v>166</v>
      </c>
      <c r="E197" s="4">
        <v>45079</v>
      </c>
    </row>
    <row r="198" spans="4:5" x14ac:dyDescent="0.25">
      <c r="D198" t="s">
        <v>167</v>
      </c>
      <c r="E198" s="4">
        <v>45079</v>
      </c>
    </row>
    <row r="199" spans="4:5" x14ac:dyDescent="0.25">
      <c r="D199" t="s">
        <v>168</v>
      </c>
      <c r="E199" s="4">
        <v>45079</v>
      </c>
    </row>
    <row r="200" spans="4:5" x14ac:dyDescent="0.25">
      <c r="D200" t="s">
        <v>169</v>
      </c>
      <c r="E200" s="4">
        <v>45079</v>
      </c>
    </row>
    <row r="201" spans="4:5" x14ac:dyDescent="0.25">
      <c r="D201" t="s">
        <v>170</v>
      </c>
      <c r="E201" s="4">
        <v>45079</v>
      </c>
    </row>
    <row r="202" spans="4:5" x14ac:dyDescent="0.25">
      <c r="D202" t="s">
        <v>171</v>
      </c>
      <c r="E202" s="4">
        <v>45079</v>
      </c>
    </row>
    <row r="203" spans="4:5" x14ac:dyDescent="0.25">
      <c r="D203" t="s">
        <v>172</v>
      </c>
      <c r="E203" s="4">
        <v>45079</v>
      </c>
    </row>
    <row r="204" spans="4:5" x14ac:dyDescent="0.25">
      <c r="D204" t="s">
        <v>173</v>
      </c>
      <c r="E204" s="4">
        <v>45079</v>
      </c>
    </row>
    <row r="205" spans="4:5" x14ac:dyDescent="0.25">
      <c r="D205" t="s">
        <v>174</v>
      </c>
      <c r="E205" s="4">
        <v>45079</v>
      </c>
    </row>
    <row r="206" spans="4:5" x14ac:dyDescent="0.25">
      <c r="D206" t="s">
        <v>175</v>
      </c>
      <c r="E206" s="4">
        <v>45079</v>
      </c>
    </row>
    <row r="207" spans="4:5" x14ac:dyDescent="0.25">
      <c r="D207" t="s">
        <v>176</v>
      </c>
      <c r="E207" s="4">
        <v>45079</v>
      </c>
    </row>
    <row r="208" spans="4:5" x14ac:dyDescent="0.25">
      <c r="D208" t="s">
        <v>177</v>
      </c>
      <c r="E208" s="4">
        <v>45079</v>
      </c>
    </row>
    <row r="209" spans="4:5" x14ac:dyDescent="0.25">
      <c r="D209" t="s">
        <v>178</v>
      </c>
      <c r="E209" s="4">
        <v>45079</v>
      </c>
    </row>
    <row r="210" spans="4:5" x14ac:dyDescent="0.25">
      <c r="D210" t="s">
        <v>179</v>
      </c>
      <c r="E210" s="4">
        <v>45079</v>
      </c>
    </row>
    <row r="211" spans="4:5" x14ac:dyDescent="0.25">
      <c r="D211" t="s">
        <v>180</v>
      </c>
      <c r="E211" s="4">
        <v>45079</v>
      </c>
    </row>
    <row r="212" spans="4:5" x14ac:dyDescent="0.25">
      <c r="D212" t="s">
        <v>181</v>
      </c>
      <c r="E212" s="4">
        <v>45079</v>
      </c>
    </row>
    <row r="213" spans="4:5" x14ac:dyDescent="0.25">
      <c r="D213" t="s">
        <v>182</v>
      </c>
      <c r="E213" s="4">
        <v>45079</v>
      </c>
    </row>
    <row r="214" spans="4:5" x14ac:dyDescent="0.25">
      <c r="D214" t="s">
        <v>183</v>
      </c>
      <c r="E214" s="4">
        <v>45079</v>
      </c>
    </row>
    <row r="215" spans="4:5" x14ac:dyDescent="0.25">
      <c r="D215" t="s">
        <v>184</v>
      </c>
      <c r="E215" s="4">
        <v>45079</v>
      </c>
    </row>
    <row r="216" spans="4:5" x14ac:dyDescent="0.25">
      <c r="D216" t="s">
        <v>185</v>
      </c>
      <c r="E216" s="4">
        <v>45079</v>
      </c>
    </row>
    <row r="217" spans="4:5" x14ac:dyDescent="0.25">
      <c r="D217" t="s">
        <v>126</v>
      </c>
      <c r="E217" s="4">
        <v>45079</v>
      </c>
    </row>
    <row r="218" spans="4:5" x14ac:dyDescent="0.25">
      <c r="D218" t="s">
        <v>127</v>
      </c>
      <c r="E218" s="4">
        <v>45079</v>
      </c>
    </row>
    <row r="219" spans="4:5" x14ac:dyDescent="0.25">
      <c r="D219" t="s">
        <v>128</v>
      </c>
      <c r="E219" s="4">
        <v>45079</v>
      </c>
    </row>
    <row r="220" spans="4:5" x14ac:dyDescent="0.25">
      <c r="D220" t="s">
        <v>20</v>
      </c>
      <c r="E220" s="4">
        <v>45079</v>
      </c>
    </row>
    <row r="221" spans="4:5" x14ac:dyDescent="0.25">
      <c r="D221" t="s">
        <v>29</v>
      </c>
      <c r="E221" s="4">
        <v>45079</v>
      </c>
    </row>
    <row r="222" spans="4:5" x14ac:dyDescent="0.25">
      <c r="D222" t="s">
        <v>30</v>
      </c>
      <c r="E222" s="4">
        <v>45079</v>
      </c>
    </row>
    <row r="223" spans="4:5" x14ac:dyDescent="0.25">
      <c r="D223" t="s">
        <v>31</v>
      </c>
      <c r="E223" s="4">
        <v>45079</v>
      </c>
    </row>
    <row r="224" spans="4:5" x14ac:dyDescent="0.25">
      <c r="D224" t="s">
        <v>32</v>
      </c>
      <c r="E224" s="4">
        <v>45079</v>
      </c>
    </row>
    <row r="225" spans="4:5" x14ac:dyDescent="0.25">
      <c r="D225" t="s">
        <v>33</v>
      </c>
      <c r="E225" s="4">
        <v>45079</v>
      </c>
    </row>
    <row r="226" spans="4:5" x14ac:dyDescent="0.25">
      <c r="D226" t="s">
        <v>34</v>
      </c>
      <c r="E226" s="4">
        <v>45079</v>
      </c>
    </row>
    <row r="227" spans="4:5" x14ac:dyDescent="0.25">
      <c r="D227" t="s">
        <v>35</v>
      </c>
      <c r="E227" s="4">
        <v>45079</v>
      </c>
    </row>
    <row r="228" spans="4:5" x14ac:dyDescent="0.25">
      <c r="D228" t="s">
        <v>36</v>
      </c>
      <c r="E228" s="4">
        <v>45079</v>
      </c>
    </row>
    <row r="229" spans="4:5" x14ac:dyDescent="0.25">
      <c r="D229" t="s">
        <v>37</v>
      </c>
      <c r="E229" s="4">
        <v>45079</v>
      </c>
    </row>
    <row r="230" spans="4:5" x14ac:dyDescent="0.25">
      <c r="D230" t="s">
        <v>38</v>
      </c>
      <c r="E230" s="4">
        <v>45079</v>
      </c>
    </row>
    <row r="231" spans="4:5" x14ac:dyDescent="0.25">
      <c r="D231" t="s">
        <v>39</v>
      </c>
      <c r="E231" s="4">
        <v>45079</v>
      </c>
    </row>
    <row r="232" spans="4:5" x14ac:dyDescent="0.25">
      <c r="D232" t="s">
        <v>40</v>
      </c>
      <c r="E232" s="4">
        <v>45079</v>
      </c>
    </row>
    <row r="233" spans="4:5" x14ac:dyDescent="0.25">
      <c r="D233" t="s">
        <v>41</v>
      </c>
      <c r="E233" s="4">
        <v>45079</v>
      </c>
    </row>
    <row r="234" spans="4:5" x14ac:dyDescent="0.25">
      <c r="D234" t="s">
        <v>42</v>
      </c>
      <c r="E234" s="4">
        <v>45079</v>
      </c>
    </row>
    <row r="235" spans="4:5" x14ac:dyDescent="0.25">
      <c r="D235" t="s">
        <v>43</v>
      </c>
      <c r="E235" s="4">
        <v>45079</v>
      </c>
    </row>
    <row r="236" spans="4:5" x14ac:dyDescent="0.25">
      <c r="D236" t="s">
        <v>44</v>
      </c>
      <c r="E236" s="4">
        <v>45079</v>
      </c>
    </row>
    <row r="237" spans="4:5" x14ac:dyDescent="0.25">
      <c r="D237" t="s">
        <v>45</v>
      </c>
      <c r="E237" s="4">
        <v>45079</v>
      </c>
    </row>
    <row r="238" spans="4:5" x14ac:dyDescent="0.25">
      <c r="D238" t="s">
        <v>46</v>
      </c>
      <c r="E238" s="4">
        <v>45079</v>
      </c>
    </row>
    <row r="239" spans="4:5" x14ac:dyDescent="0.25">
      <c r="D239" t="s">
        <v>47</v>
      </c>
      <c r="E239" s="4">
        <v>45079</v>
      </c>
    </row>
    <row r="240" spans="4:5" x14ac:dyDescent="0.25">
      <c r="D240" t="s">
        <v>48</v>
      </c>
      <c r="E240" s="4">
        <v>45079</v>
      </c>
    </row>
    <row r="241" spans="4:5" x14ac:dyDescent="0.25">
      <c r="D241" t="s">
        <v>49</v>
      </c>
      <c r="E241" s="4">
        <v>45079</v>
      </c>
    </row>
    <row r="242" spans="4:5" x14ac:dyDescent="0.25">
      <c r="D242" t="s">
        <v>50</v>
      </c>
      <c r="E242" s="4">
        <v>45079</v>
      </c>
    </row>
    <row r="243" spans="4:5" x14ac:dyDescent="0.25">
      <c r="D243" t="s">
        <v>51</v>
      </c>
      <c r="E243" s="4">
        <v>45079</v>
      </c>
    </row>
    <row r="244" spans="4:5" x14ac:dyDescent="0.25">
      <c r="D244" t="s">
        <v>52</v>
      </c>
      <c r="E244" s="4">
        <v>45079</v>
      </c>
    </row>
    <row r="245" spans="4:5" x14ac:dyDescent="0.25">
      <c r="D245" t="s">
        <v>53</v>
      </c>
      <c r="E245" s="4">
        <v>45079</v>
      </c>
    </row>
    <row r="246" spans="4:5" x14ac:dyDescent="0.25">
      <c r="D246" t="s">
        <v>54</v>
      </c>
      <c r="E246" s="4">
        <v>45079</v>
      </c>
    </row>
    <row r="247" spans="4:5" x14ac:dyDescent="0.25">
      <c r="D247" t="s">
        <v>55</v>
      </c>
      <c r="E247" s="4">
        <v>45079</v>
      </c>
    </row>
    <row r="248" spans="4:5" x14ac:dyDescent="0.25">
      <c r="D248" t="s">
        <v>56</v>
      </c>
      <c r="E248" s="4">
        <v>45079</v>
      </c>
    </row>
    <row r="249" spans="4:5" x14ac:dyDescent="0.25">
      <c r="D249" t="s">
        <v>57</v>
      </c>
      <c r="E249" s="4">
        <v>45079</v>
      </c>
    </row>
    <row r="250" spans="4:5" x14ac:dyDescent="0.25">
      <c r="D250" t="s">
        <v>58</v>
      </c>
      <c r="E250" s="4">
        <v>45079</v>
      </c>
    </row>
    <row r="251" spans="4:5" x14ac:dyDescent="0.25">
      <c r="D251" t="s">
        <v>59</v>
      </c>
      <c r="E251" s="4">
        <v>45079</v>
      </c>
    </row>
    <row r="252" spans="4:5" x14ac:dyDescent="0.25">
      <c r="D252" t="s">
        <v>60</v>
      </c>
      <c r="E252" s="4">
        <v>45079</v>
      </c>
    </row>
    <row r="253" spans="4:5" x14ac:dyDescent="0.25">
      <c r="D253" t="s">
        <v>61</v>
      </c>
      <c r="E253" s="4">
        <v>45079</v>
      </c>
    </row>
    <row r="254" spans="4:5" x14ac:dyDescent="0.25">
      <c r="D254" t="s">
        <v>62</v>
      </c>
      <c r="E254" s="4">
        <v>45079</v>
      </c>
    </row>
    <row r="255" spans="4:5" x14ac:dyDescent="0.25">
      <c r="D255" t="s">
        <v>63</v>
      </c>
      <c r="E255" s="4">
        <v>45079</v>
      </c>
    </row>
    <row r="256" spans="4:5" x14ac:dyDescent="0.25">
      <c r="D256" t="s">
        <v>64</v>
      </c>
      <c r="E256" s="4">
        <v>45079</v>
      </c>
    </row>
    <row r="257" spans="4:5" x14ac:dyDescent="0.25">
      <c r="D257" t="s">
        <v>65</v>
      </c>
      <c r="E257" s="4">
        <v>45079</v>
      </c>
    </row>
    <row r="258" spans="4:5" x14ac:dyDescent="0.25">
      <c r="D258" t="s">
        <v>66</v>
      </c>
      <c r="E258" s="4">
        <v>45079</v>
      </c>
    </row>
    <row r="259" spans="4:5" x14ac:dyDescent="0.25">
      <c r="D259" t="s">
        <v>67</v>
      </c>
      <c r="E259" s="4">
        <v>45079</v>
      </c>
    </row>
    <row r="260" spans="4:5" x14ac:dyDescent="0.25">
      <c r="D260" t="s">
        <v>68</v>
      </c>
      <c r="E260" s="4">
        <v>45079</v>
      </c>
    </row>
    <row r="261" spans="4:5" x14ac:dyDescent="0.25">
      <c r="D261" t="s">
        <v>69</v>
      </c>
      <c r="E261" s="4">
        <v>45079</v>
      </c>
    </row>
    <row r="262" spans="4:5" x14ac:dyDescent="0.25">
      <c r="D262" t="s">
        <v>70</v>
      </c>
      <c r="E262" s="4">
        <v>45079</v>
      </c>
    </row>
    <row r="263" spans="4:5" x14ac:dyDescent="0.25">
      <c r="D263" t="s">
        <v>71</v>
      </c>
      <c r="E263" s="4">
        <v>45079</v>
      </c>
    </row>
    <row r="264" spans="4:5" x14ac:dyDescent="0.25">
      <c r="D264" t="s">
        <v>72</v>
      </c>
      <c r="E264" s="4">
        <v>45079</v>
      </c>
    </row>
    <row r="265" spans="4:5" x14ac:dyDescent="0.25">
      <c r="D265" t="s">
        <v>73</v>
      </c>
      <c r="E265" s="4">
        <v>45079</v>
      </c>
    </row>
    <row r="266" spans="4:5" x14ac:dyDescent="0.25">
      <c r="D266" t="s">
        <v>74</v>
      </c>
      <c r="E266" s="4">
        <v>45079</v>
      </c>
    </row>
    <row r="267" spans="4:5" x14ac:dyDescent="0.25">
      <c r="D267" t="s">
        <v>75</v>
      </c>
      <c r="E267" s="4">
        <v>45079</v>
      </c>
    </row>
    <row r="268" spans="4:5" x14ac:dyDescent="0.25">
      <c r="D268" t="s">
        <v>76</v>
      </c>
      <c r="E268" s="4">
        <v>45079</v>
      </c>
    </row>
    <row r="269" spans="4:5" x14ac:dyDescent="0.25">
      <c r="D269" t="s">
        <v>77</v>
      </c>
      <c r="E269" s="4">
        <v>45079</v>
      </c>
    </row>
    <row r="270" spans="4:5" x14ac:dyDescent="0.25">
      <c r="D270" t="s">
        <v>78</v>
      </c>
      <c r="E270" s="4">
        <v>45079</v>
      </c>
    </row>
    <row r="271" spans="4:5" x14ac:dyDescent="0.25">
      <c r="D271" t="s">
        <v>79</v>
      </c>
      <c r="E271" s="4">
        <v>45079</v>
      </c>
    </row>
    <row r="272" spans="4:5" x14ac:dyDescent="0.25">
      <c r="D272" t="s">
        <v>80</v>
      </c>
      <c r="E272" s="4">
        <v>45079</v>
      </c>
    </row>
    <row r="273" spans="4:5" x14ac:dyDescent="0.25">
      <c r="D273" t="s">
        <v>81</v>
      </c>
      <c r="E273" s="4">
        <v>45079</v>
      </c>
    </row>
    <row r="274" spans="4:5" x14ac:dyDescent="0.25">
      <c r="D274" t="s">
        <v>82</v>
      </c>
      <c r="E274" s="4">
        <v>45079</v>
      </c>
    </row>
    <row r="275" spans="4:5" x14ac:dyDescent="0.25">
      <c r="D275" t="s">
        <v>83</v>
      </c>
      <c r="E275" s="4">
        <v>45079</v>
      </c>
    </row>
    <row r="276" spans="4:5" x14ac:dyDescent="0.25">
      <c r="D276" t="s">
        <v>84</v>
      </c>
      <c r="E276" s="4">
        <v>45079</v>
      </c>
    </row>
    <row r="277" spans="4:5" x14ac:dyDescent="0.25">
      <c r="D277" t="s">
        <v>85</v>
      </c>
      <c r="E277" s="4">
        <v>45079</v>
      </c>
    </row>
    <row r="278" spans="4:5" x14ac:dyDescent="0.25">
      <c r="D278" t="s">
        <v>86</v>
      </c>
      <c r="E278" s="4">
        <v>45079</v>
      </c>
    </row>
    <row r="279" spans="4:5" x14ac:dyDescent="0.25">
      <c r="D279" t="s">
        <v>87</v>
      </c>
      <c r="E279" s="4">
        <v>45079</v>
      </c>
    </row>
    <row r="280" spans="4:5" x14ac:dyDescent="0.25">
      <c r="D280" t="s">
        <v>88</v>
      </c>
      <c r="E280" s="4">
        <v>45079</v>
      </c>
    </row>
    <row r="281" spans="4:5" x14ac:dyDescent="0.25">
      <c r="D281" t="s">
        <v>89</v>
      </c>
      <c r="E281" s="4">
        <v>45079</v>
      </c>
    </row>
    <row r="282" spans="4:5" x14ac:dyDescent="0.25">
      <c r="D282" t="s">
        <v>90</v>
      </c>
      <c r="E282" s="4">
        <v>45079</v>
      </c>
    </row>
    <row r="283" spans="4:5" x14ac:dyDescent="0.25">
      <c r="D283" t="s">
        <v>91</v>
      </c>
      <c r="E283" s="4">
        <v>45079</v>
      </c>
    </row>
    <row r="284" spans="4:5" x14ac:dyDescent="0.25">
      <c r="D284" t="s">
        <v>92</v>
      </c>
      <c r="E284" s="4">
        <v>45079</v>
      </c>
    </row>
    <row r="285" spans="4:5" x14ac:dyDescent="0.25">
      <c r="D285" t="s">
        <v>93</v>
      </c>
      <c r="E285" s="4">
        <v>45079</v>
      </c>
    </row>
    <row r="286" spans="4:5" x14ac:dyDescent="0.25">
      <c r="D286" t="s">
        <v>94</v>
      </c>
      <c r="E286" s="4">
        <v>45079</v>
      </c>
    </row>
    <row r="287" spans="4:5" x14ac:dyDescent="0.25">
      <c r="D287" t="s">
        <v>95</v>
      </c>
      <c r="E287" s="4">
        <v>45079</v>
      </c>
    </row>
    <row r="288" spans="4:5" x14ac:dyDescent="0.25">
      <c r="D288" t="s">
        <v>96</v>
      </c>
      <c r="E288" s="4">
        <v>45079</v>
      </c>
    </row>
    <row r="289" spans="4:5" x14ac:dyDescent="0.25">
      <c r="D289" t="s">
        <v>97</v>
      </c>
      <c r="E289" s="4">
        <v>45079</v>
      </c>
    </row>
    <row r="290" spans="4:5" x14ac:dyDescent="0.25">
      <c r="D290" t="s">
        <v>98</v>
      </c>
      <c r="E290" s="4">
        <v>45079</v>
      </c>
    </row>
    <row r="291" spans="4:5" x14ac:dyDescent="0.25">
      <c r="D291" t="s">
        <v>99</v>
      </c>
      <c r="E291" s="4">
        <v>45079</v>
      </c>
    </row>
    <row r="292" spans="4:5" x14ac:dyDescent="0.25">
      <c r="D292" t="s">
        <v>100</v>
      </c>
      <c r="E292" s="4">
        <v>45079</v>
      </c>
    </row>
    <row r="293" spans="4:5" x14ac:dyDescent="0.25">
      <c r="D293" t="s">
        <v>101</v>
      </c>
      <c r="E293" s="4">
        <v>45079</v>
      </c>
    </row>
    <row r="294" spans="4:5" x14ac:dyDescent="0.25">
      <c r="D294" t="s">
        <v>102</v>
      </c>
      <c r="E294" s="4">
        <v>45079</v>
      </c>
    </row>
    <row r="295" spans="4:5" x14ac:dyDescent="0.25">
      <c r="D295" t="s">
        <v>103</v>
      </c>
      <c r="E295" s="4">
        <v>45079</v>
      </c>
    </row>
    <row r="296" spans="4:5" x14ac:dyDescent="0.25">
      <c r="D296" t="s">
        <v>104</v>
      </c>
      <c r="E296" s="4">
        <v>45079</v>
      </c>
    </row>
    <row r="297" spans="4:5" x14ac:dyDescent="0.25">
      <c r="D297" t="s">
        <v>105</v>
      </c>
      <c r="E297" s="4">
        <v>45079</v>
      </c>
    </row>
    <row r="298" spans="4:5" x14ac:dyDescent="0.25">
      <c r="D298" t="s">
        <v>106</v>
      </c>
      <c r="E298" s="4">
        <v>45079</v>
      </c>
    </row>
    <row r="299" spans="4:5" x14ac:dyDescent="0.25">
      <c r="D299" t="s">
        <v>107</v>
      </c>
      <c r="E299" s="4">
        <v>45079</v>
      </c>
    </row>
    <row r="300" spans="4:5" x14ac:dyDescent="0.25">
      <c r="D300" t="s">
        <v>108</v>
      </c>
      <c r="E300" s="4">
        <v>45079</v>
      </c>
    </row>
    <row r="301" spans="4:5" x14ac:dyDescent="0.25">
      <c r="D301" t="s">
        <v>109</v>
      </c>
      <c r="E301" s="4">
        <v>45079</v>
      </c>
    </row>
    <row r="302" spans="4:5" x14ac:dyDescent="0.25">
      <c r="D302" t="s">
        <v>110</v>
      </c>
      <c r="E302" s="4">
        <v>45079</v>
      </c>
    </row>
    <row r="303" spans="4:5" x14ac:dyDescent="0.25">
      <c r="D303" t="s">
        <v>111</v>
      </c>
      <c r="E303" s="4">
        <v>45079</v>
      </c>
    </row>
    <row r="304" spans="4:5" x14ac:dyDescent="0.25">
      <c r="D304" t="s">
        <v>112</v>
      </c>
      <c r="E304" s="4">
        <v>45079</v>
      </c>
    </row>
    <row r="305" spans="4:5" x14ac:dyDescent="0.25">
      <c r="D305" t="s">
        <v>113</v>
      </c>
      <c r="E305" s="4">
        <v>45079</v>
      </c>
    </row>
    <row r="306" spans="4:5" x14ac:dyDescent="0.25">
      <c r="D306" t="s">
        <v>114</v>
      </c>
      <c r="E306" s="4">
        <v>45079</v>
      </c>
    </row>
    <row r="307" spans="4:5" x14ac:dyDescent="0.25">
      <c r="D307" t="s">
        <v>115</v>
      </c>
      <c r="E307" s="4">
        <v>45079</v>
      </c>
    </row>
    <row r="308" spans="4:5" x14ac:dyDescent="0.25">
      <c r="D308" t="s">
        <v>116</v>
      </c>
      <c r="E308" s="4">
        <v>45079</v>
      </c>
    </row>
    <row r="309" spans="4:5" x14ac:dyDescent="0.25">
      <c r="D309" t="s">
        <v>117</v>
      </c>
      <c r="E309" s="4">
        <v>45079</v>
      </c>
    </row>
    <row r="310" spans="4:5" x14ac:dyDescent="0.25">
      <c r="D310" t="s">
        <v>118</v>
      </c>
      <c r="E310" s="4">
        <v>45079</v>
      </c>
    </row>
    <row r="311" spans="4:5" x14ac:dyDescent="0.25">
      <c r="D311" t="s">
        <v>119</v>
      </c>
      <c r="E311" s="4">
        <v>45079</v>
      </c>
    </row>
    <row r="312" spans="4:5" x14ac:dyDescent="0.25">
      <c r="D312" t="s">
        <v>120</v>
      </c>
      <c r="E312" s="4">
        <v>45079</v>
      </c>
    </row>
    <row r="313" spans="4:5" x14ac:dyDescent="0.25">
      <c r="D313" t="s">
        <v>121</v>
      </c>
      <c r="E313" s="4">
        <v>45079</v>
      </c>
    </row>
    <row r="314" spans="4:5" x14ac:dyDescent="0.25">
      <c r="D314" t="s">
        <v>122</v>
      </c>
      <c r="E314" s="4">
        <v>45079</v>
      </c>
    </row>
    <row r="315" spans="4:5" x14ac:dyDescent="0.25">
      <c r="D315" t="s">
        <v>123</v>
      </c>
      <c r="E315" s="4">
        <v>45079</v>
      </c>
    </row>
    <row r="316" spans="4:5" x14ac:dyDescent="0.25">
      <c r="D316" t="s">
        <v>124</v>
      </c>
      <c r="E316" s="4">
        <v>45079</v>
      </c>
    </row>
    <row r="317" spans="4:5" x14ac:dyDescent="0.25">
      <c r="D317" t="s">
        <v>125</v>
      </c>
      <c r="E317" s="4">
        <v>45079</v>
      </c>
    </row>
  </sheetData>
  <sortState ref="AA2:AA9">
    <sortCondition ref="AA9"/>
  </sortState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>
          <x14:formula1>
            <xm:f>LISTAS!$B$2:$B$3</xm:f>
          </x14:formula1>
          <xm:sqref>F2:F3001</xm:sqref>
        </x14:dataValidation>
        <x14:dataValidation type="list" showInputMessage="1" showErrorMessage="1">
          <x14:formula1>
            <xm:f>LISTAS!$A$2:$A$9</xm:f>
          </x14:formula1>
          <xm:sqref>J2:J3001</xm:sqref>
        </x14:dataValidation>
        <x14:dataValidation type="list" showInputMessage="1" showErrorMessage="1">
          <x14:formula1>
            <xm:f>LISTAS!$E$2:$E$160</xm:f>
          </x14:formula1>
          <xm:sqref>D2:D3001</xm:sqref>
        </x14:dataValidation>
        <x14:dataValidation type="list" showInputMessage="1" showErrorMessage="1">
          <x14:formula1>
            <xm:f>LISTAS!$B$2:$B$4</xm:f>
          </x14:formula1>
          <xm:sqref>G2:I3001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C159"/>
  <sheetViews>
    <sheetView zoomScaleNormal="100" workbookViewId="0">
      <selection activeCell="C1" sqref="C1"/>
    </sheetView>
  </sheetViews>
  <sheetFormatPr defaultRowHeight="15" x14ac:dyDescent="0.25"/>
  <cols>
    <col min="1" max="1" width="15.42578125" bestFit="1" customWidth="1"/>
    <col min="2" max="31" width="12.85546875" customWidth="1"/>
    <col min="32" max="159" width="10.7109375" bestFit="1" customWidth="1"/>
  </cols>
  <sheetData>
    <row r="1" spans="1:159" x14ac:dyDescent="0.25">
      <c r="A1" t="s">
        <v>3</v>
      </c>
      <c r="B1" t="s">
        <v>188</v>
      </c>
      <c r="C1" t="s">
        <v>189</v>
      </c>
      <c r="D1" t="s">
        <v>190</v>
      </c>
      <c r="E1" t="s">
        <v>191</v>
      </c>
      <c r="F1" t="s">
        <v>192</v>
      </c>
      <c r="G1" t="s">
        <v>193</v>
      </c>
      <c r="H1" t="s">
        <v>194</v>
      </c>
      <c r="I1" t="s">
        <v>195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202</v>
      </c>
      <c r="Q1" t="s">
        <v>203</v>
      </c>
      <c r="R1" t="s">
        <v>204</v>
      </c>
      <c r="S1" t="s">
        <v>205</v>
      </c>
      <c r="T1" t="s">
        <v>206</v>
      </c>
      <c r="U1" t="s">
        <v>207</v>
      </c>
      <c r="V1" t="s">
        <v>208</v>
      </c>
      <c r="W1" t="s">
        <v>209</v>
      </c>
      <c r="X1" t="s">
        <v>210</v>
      </c>
      <c r="Y1" t="s">
        <v>211</v>
      </c>
      <c r="Z1" t="s">
        <v>212</v>
      </c>
      <c r="AA1" t="s">
        <v>213</v>
      </c>
      <c r="AB1" t="s">
        <v>214</v>
      </c>
      <c r="AC1" t="s">
        <v>215</v>
      </c>
      <c r="AD1" t="s">
        <v>216</v>
      </c>
      <c r="AE1" t="s">
        <v>217</v>
      </c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5"/>
      <c r="AS1" s="6"/>
      <c r="AT1" s="5"/>
      <c r="AU1" s="6"/>
      <c r="AV1" s="5"/>
      <c r="AW1" s="6"/>
      <c r="AX1" s="5"/>
      <c r="AY1" s="6"/>
      <c r="AZ1" s="5"/>
      <c r="BA1" s="6"/>
      <c r="BB1" s="5"/>
      <c r="BC1" s="6"/>
      <c r="BD1" s="5"/>
      <c r="BE1" s="6"/>
      <c r="BF1" s="5"/>
      <c r="BG1" s="6"/>
      <c r="BH1" s="5"/>
      <c r="BI1" s="6"/>
      <c r="BJ1" s="5"/>
      <c r="BK1" s="6"/>
      <c r="BL1" s="5"/>
      <c r="BM1" s="6"/>
      <c r="BN1" s="5"/>
      <c r="BO1" s="6"/>
      <c r="BP1" s="5"/>
      <c r="BQ1" s="6"/>
      <c r="BR1" s="5"/>
      <c r="BS1" s="6"/>
      <c r="BT1" s="5"/>
      <c r="BU1" s="6"/>
      <c r="BV1" s="5"/>
      <c r="BW1" s="6"/>
      <c r="BX1" s="5"/>
      <c r="BY1" s="6"/>
      <c r="BZ1" s="5"/>
      <c r="CA1" s="6"/>
      <c r="CB1" s="5"/>
      <c r="CC1" s="6"/>
      <c r="CD1" s="5"/>
      <c r="CE1" s="6"/>
      <c r="CF1" s="5"/>
      <c r="CG1" s="6"/>
      <c r="CH1" s="5"/>
      <c r="CI1" s="6"/>
      <c r="CJ1" s="5"/>
      <c r="CK1" s="6"/>
      <c r="CL1" s="5"/>
      <c r="CM1" s="6"/>
      <c r="CN1" s="5"/>
      <c r="CO1" s="6"/>
      <c r="CP1" s="5"/>
      <c r="CQ1" s="6"/>
      <c r="CR1" s="5"/>
      <c r="CS1" s="6"/>
      <c r="CT1" s="5"/>
      <c r="CU1" s="6"/>
      <c r="CV1" s="5"/>
      <c r="CW1" s="6"/>
      <c r="CX1" s="5"/>
      <c r="CY1" s="6"/>
      <c r="CZ1" s="5"/>
      <c r="DA1" s="6"/>
      <c r="DB1" s="5"/>
      <c r="DC1" s="6"/>
      <c r="DD1" s="5"/>
      <c r="DE1" s="6"/>
      <c r="DF1" s="5"/>
      <c r="DG1" s="6"/>
      <c r="DH1" s="5"/>
      <c r="DI1" s="6"/>
      <c r="DJ1" s="5"/>
      <c r="DK1" s="6"/>
      <c r="DL1" s="5"/>
      <c r="DM1" s="6"/>
      <c r="DN1" s="5"/>
      <c r="DO1" s="6"/>
      <c r="DP1" s="5"/>
      <c r="DQ1" s="6"/>
      <c r="DR1" s="5"/>
      <c r="DS1" s="6"/>
      <c r="DT1" s="5"/>
      <c r="DU1" s="6"/>
      <c r="DV1" s="5"/>
      <c r="DW1" s="6"/>
      <c r="DX1" s="5"/>
      <c r="DY1" s="6"/>
      <c r="DZ1" s="5"/>
      <c r="EA1" s="6"/>
      <c r="EB1" s="5"/>
      <c r="EC1" s="6"/>
      <c r="ED1" s="5"/>
      <c r="EE1" s="6"/>
      <c r="EF1" s="5"/>
      <c r="EG1" s="6"/>
      <c r="EH1" s="5"/>
      <c r="EI1" s="6"/>
      <c r="EJ1" s="5"/>
      <c r="EK1" s="6"/>
      <c r="EL1" s="5"/>
      <c r="EM1" s="6"/>
      <c r="EN1" s="5"/>
      <c r="EO1" s="6"/>
      <c r="EP1" s="5"/>
      <c r="EQ1" s="6"/>
      <c r="ER1" s="5"/>
      <c r="ES1" s="6"/>
      <c r="ET1" s="5"/>
      <c r="EU1" s="6"/>
      <c r="EV1" s="5"/>
      <c r="EW1" s="6"/>
      <c r="EX1" s="5"/>
      <c r="EY1" s="6"/>
      <c r="EZ1" s="5"/>
      <c r="FA1" s="6"/>
      <c r="FB1" s="5"/>
      <c r="FC1" s="6"/>
    </row>
    <row r="2" spans="1:159" x14ac:dyDescent="0.25">
      <c r="A2" t="s">
        <v>129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159" x14ac:dyDescent="0.25">
      <c r="A3" t="s">
        <v>130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159" x14ac:dyDescent="0.25">
      <c r="A4" t="s">
        <v>131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159" x14ac:dyDescent="0.25">
      <c r="A5" t="s">
        <v>132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159" x14ac:dyDescent="0.25">
      <c r="A6" t="s">
        <v>133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159" x14ac:dyDescent="0.25">
      <c r="A7" t="s">
        <v>134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159" x14ac:dyDescent="0.25">
      <c r="A8" t="s">
        <v>135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159" x14ac:dyDescent="0.25">
      <c r="A9" t="s">
        <v>136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159" x14ac:dyDescent="0.25">
      <c r="A10" t="s">
        <v>137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159" x14ac:dyDescent="0.25">
      <c r="A11" t="s">
        <v>138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159" x14ac:dyDescent="0.25">
      <c r="A12" t="s">
        <v>139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159" x14ac:dyDescent="0.25">
      <c r="A13" t="s">
        <v>140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159" x14ac:dyDescent="0.25">
      <c r="A14" t="s">
        <v>141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159" x14ac:dyDescent="0.25">
      <c r="A15" t="s">
        <v>142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159" x14ac:dyDescent="0.25">
      <c r="A16" t="s">
        <v>143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148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149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150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151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152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25">
      <c r="A26" t="s">
        <v>153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 x14ac:dyDescent="0.25">
      <c r="A27" t="s">
        <v>154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5">
      <c r="A28" t="s">
        <v>155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 x14ac:dyDescent="0.25">
      <c r="A29" t="s">
        <v>156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1" x14ac:dyDescent="0.25">
      <c r="A30" t="s">
        <v>157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 x14ac:dyDescent="0.25">
      <c r="A31" t="s">
        <v>158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</row>
    <row r="32" spans="1:31" x14ac:dyDescent="0.25">
      <c r="A32" t="s">
        <v>159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</row>
    <row r="33" spans="1:31" x14ac:dyDescent="0.25">
      <c r="A33" t="s">
        <v>160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</row>
    <row r="34" spans="1:31" x14ac:dyDescent="0.25">
      <c r="A34" t="s">
        <v>161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</row>
    <row r="35" spans="1:31" x14ac:dyDescent="0.25">
      <c r="A35" t="s">
        <v>162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</row>
    <row r="36" spans="1:31" x14ac:dyDescent="0.25">
      <c r="A36" t="s">
        <v>163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</row>
    <row r="37" spans="1:31" x14ac:dyDescent="0.25">
      <c r="A37" t="s">
        <v>164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</row>
    <row r="38" spans="1:31" x14ac:dyDescent="0.25">
      <c r="A38" t="s">
        <v>165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</row>
    <row r="39" spans="1:31" x14ac:dyDescent="0.25">
      <c r="A39" t="s">
        <v>166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 x14ac:dyDescent="0.25">
      <c r="A40" t="s">
        <v>167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25">
      <c r="A41" t="s">
        <v>168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</row>
    <row r="42" spans="1:31" x14ac:dyDescent="0.25">
      <c r="A42" t="s">
        <v>169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</row>
    <row r="43" spans="1:31" x14ac:dyDescent="0.25">
      <c r="A43" t="s">
        <v>170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1:31" x14ac:dyDescent="0.25">
      <c r="A44" t="s">
        <v>171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 x14ac:dyDescent="0.25">
      <c r="A45" t="s">
        <v>172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5">
      <c r="A46" t="s">
        <v>173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5">
      <c r="A47" t="s">
        <v>174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5">
      <c r="A48" t="s">
        <v>175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5">
      <c r="A49" t="s">
        <v>176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5">
      <c r="A50" t="s">
        <v>177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5">
      <c r="A51" t="s">
        <v>178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25">
      <c r="A52" t="s">
        <v>179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</row>
    <row r="53" spans="1:31" x14ac:dyDescent="0.25">
      <c r="A53" t="s">
        <v>180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 x14ac:dyDescent="0.25">
      <c r="A54" t="s">
        <v>181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 x14ac:dyDescent="0.25">
      <c r="A55" t="s">
        <v>182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</row>
    <row r="56" spans="1:31" x14ac:dyDescent="0.25">
      <c r="A56" t="s">
        <v>183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 x14ac:dyDescent="0.25">
      <c r="A57" t="s">
        <v>184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</row>
    <row r="58" spans="1:31" x14ac:dyDescent="0.25">
      <c r="A58" t="s">
        <v>185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</row>
    <row r="59" spans="1:31" x14ac:dyDescent="0.25">
      <c r="A59" t="s">
        <v>126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</row>
    <row r="60" spans="1:31" x14ac:dyDescent="0.25">
      <c r="A60" t="s">
        <v>127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</row>
    <row r="61" spans="1:31" x14ac:dyDescent="0.25">
      <c r="A61" t="s">
        <v>128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</row>
    <row r="62" spans="1:31" x14ac:dyDescent="0.25">
      <c r="A62" t="s">
        <v>20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</row>
    <row r="63" spans="1:31" x14ac:dyDescent="0.25">
      <c r="A63" t="s">
        <v>29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</row>
    <row r="64" spans="1:31" x14ac:dyDescent="0.25">
      <c r="A64" t="s">
        <v>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</row>
    <row r="65" spans="1:31" x14ac:dyDescent="0.25">
      <c r="A65" t="s">
        <v>31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</row>
    <row r="66" spans="1:31" x14ac:dyDescent="0.25">
      <c r="A66" t="s">
        <v>32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33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34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</row>
    <row r="69" spans="1:31" x14ac:dyDescent="0.25">
      <c r="A69" t="s">
        <v>35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</row>
    <row r="70" spans="1:31" x14ac:dyDescent="0.25">
      <c r="A70" t="s">
        <v>36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</row>
    <row r="71" spans="1:31" x14ac:dyDescent="0.25">
      <c r="A71" t="s">
        <v>37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x14ac:dyDescent="0.25">
      <c r="A72" t="s">
        <v>38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</row>
    <row r="73" spans="1:31" x14ac:dyDescent="0.25">
      <c r="A73" t="s">
        <v>39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 x14ac:dyDescent="0.25">
      <c r="A74" t="s">
        <v>40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</row>
    <row r="75" spans="1:31" x14ac:dyDescent="0.25">
      <c r="A75" t="s">
        <v>41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5">
      <c r="A76" t="s">
        <v>42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43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</row>
    <row r="78" spans="1:31" x14ac:dyDescent="0.25">
      <c r="A78" t="s">
        <v>44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5">
      <c r="A79" t="s">
        <v>45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46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47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</row>
    <row r="82" spans="1:31" x14ac:dyDescent="0.25">
      <c r="A82" t="s">
        <v>48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</row>
    <row r="83" spans="1:31" x14ac:dyDescent="0.25">
      <c r="A83" t="s">
        <v>49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</row>
    <row r="84" spans="1:31" x14ac:dyDescent="0.25">
      <c r="A84" t="s">
        <v>50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</row>
    <row r="85" spans="1:31" x14ac:dyDescent="0.25">
      <c r="A85" t="s">
        <v>51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</row>
    <row r="86" spans="1:31" x14ac:dyDescent="0.25">
      <c r="A86" t="s">
        <v>52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</row>
    <row r="87" spans="1:31" x14ac:dyDescent="0.25">
      <c r="A87" t="s">
        <v>53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</row>
    <row r="88" spans="1:31" x14ac:dyDescent="0.25">
      <c r="A88" t="s">
        <v>54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</row>
    <row r="89" spans="1:31" x14ac:dyDescent="0.25">
      <c r="A89" t="s">
        <v>55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25">
      <c r="A90" t="s">
        <v>56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</row>
    <row r="91" spans="1:31" x14ac:dyDescent="0.25">
      <c r="A91" t="s">
        <v>57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</row>
    <row r="92" spans="1:31" x14ac:dyDescent="0.25">
      <c r="A92" t="s">
        <v>58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</row>
    <row r="93" spans="1:31" x14ac:dyDescent="0.25">
      <c r="A93" t="s">
        <v>59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</row>
    <row r="94" spans="1:31" x14ac:dyDescent="0.25">
      <c r="A94" t="s">
        <v>60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</row>
    <row r="95" spans="1:31" x14ac:dyDescent="0.25">
      <c r="A95" t="s">
        <v>61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</row>
    <row r="96" spans="1:31" x14ac:dyDescent="0.25">
      <c r="A96" t="s">
        <v>62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</row>
    <row r="97" spans="1:31" x14ac:dyDescent="0.25">
      <c r="A97" t="s">
        <v>63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</row>
    <row r="98" spans="1:31" x14ac:dyDescent="0.25">
      <c r="A98" t="s">
        <v>64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65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</row>
    <row r="100" spans="1:31" x14ac:dyDescent="0.25">
      <c r="A100" t="s">
        <v>66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</row>
    <row r="101" spans="1:31" x14ac:dyDescent="0.25">
      <c r="A101" t="s">
        <v>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</row>
    <row r="102" spans="1:31" x14ac:dyDescent="0.25">
      <c r="A102" t="s">
        <v>68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</row>
    <row r="103" spans="1:31" x14ac:dyDescent="0.25">
      <c r="A103" t="s">
        <v>69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</row>
    <row r="104" spans="1:31" x14ac:dyDescent="0.25">
      <c r="A104" t="s">
        <v>70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31" x14ac:dyDescent="0.25">
      <c r="A105" t="s">
        <v>71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</row>
    <row r="106" spans="1:31" x14ac:dyDescent="0.25">
      <c r="A106" t="s">
        <v>72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31" x14ac:dyDescent="0.25">
      <c r="A107" t="s">
        <v>73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31" x14ac:dyDescent="0.25">
      <c r="A108" t="s">
        <v>74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</row>
    <row r="109" spans="1:31" x14ac:dyDescent="0.25">
      <c r="A109" t="s">
        <v>75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76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31" x14ac:dyDescent="0.25">
      <c r="A111" t="s">
        <v>77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25">
      <c r="A112" t="s">
        <v>78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</row>
    <row r="113" spans="1:31" x14ac:dyDescent="0.25">
      <c r="A113" t="s">
        <v>79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</row>
    <row r="114" spans="1:31" x14ac:dyDescent="0.25">
      <c r="A114" t="s">
        <v>80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</row>
    <row r="115" spans="1:31" x14ac:dyDescent="0.25">
      <c r="A115" t="s">
        <v>81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</row>
    <row r="116" spans="1:31" x14ac:dyDescent="0.25">
      <c r="A116" t="s">
        <v>82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</row>
    <row r="117" spans="1:31" x14ac:dyDescent="0.25">
      <c r="A117" t="s">
        <v>83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</row>
    <row r="118" spans="1:31" x14ac:dyDescent="0.25">
      <c r="A118" t="s">
        <v>84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</row>
    <row r="119" spans="1:31" x14ac:dyDescent="0.25">
      <c r="A119" t="s">
        <v>85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</row>
    <row r="120" spans="1:31" x14ac:dyDescent="0.25">
      <c r="A120" t="s">
        <v>86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31" x14ac:dyDescent="0.25">
      <c r="A121" t="s">
        <v>87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</row>
    <row r="122" spans="1:31" x14ac:dyDescent="0.25">
      <c r="A122" t="s">
        <v>88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</row>
    <row r="123" spans="1:31" x14ac:dyDescent="0.25">
      <c r="A123" t="s">
        <v>89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</row>
    <row r="124" spans="1:31" x14ac:dyDescent="0.25">
      <c r="A124" t="s">
        <v>90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</row>
    <row r="125" spans="1:31" x14ac:dyDescent="0.25">
      <c r="A125" t="s">
        <v>91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25">
      <c r="A126" t="s">
        <v>92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</row>
    <row r="127" spans="1:31" x14ac:dyDescent="0.25">
      <c r="A127" t="s">
        <v>93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25">
      <c r="A128" t="s">
        <v>94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</row>
    <row r="129" spans="1:31" x14ac:dyDescent="0.25">
      <c r="A129" t="s">
        <v>95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96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25">
      <c r="A131" t="s">
        <v>97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</row>
    <row r="132" spans="1:31" x14ac:dyDescent="0.25">
      <c r="A132" t="s">
        <v>98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</row>
    <row r="133" spans="1:31" x14ac:dyDescent="0.25">
      <c r="A133" t="s">
        <v>99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</row>
    <row r="134" spans="1:31" x14ac:dyDescent="0.25">
      <c r="A134" t="s">
        <v>100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25">
      <c r="A135" t="s">
        <v>101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t="s">
        <v>102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25">
      <c r="A137" t="s">
        <v>103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25">
      <c r="A138" t="s">
        <v>104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t="s">
        <v>105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106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25">
      <c r="A141" t="s">
        <v>107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x14ac:dyDescent="0.25">
      <c r="A142" t="s">
        <v>108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25">
      <c r="A143" t="s">
        <v>109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</row>
    <row r="144" spans="1:31" x14ac:dyDescent="0.25">
      <c r="A144" t="s">
        <v>110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</row>
    <row r="145" spans="1:31" x14ac:dyDescent="0.25">
      <c r="A145" t="s">
        <v>111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</row>
    <row r="146" spans="1:31" x14ac:dyDescent="0.25">
      <c r="A146" t="s">
        <v>112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</row>
    <row r="147" spans="1:31" x14ac:dyDescent="0.25">
      <c r="A147" t="s">
        <v>113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</row>
    <row r="148" spans="1:31" x14ac:dyDescent="0.25">
      <c r="A148" t="s">
        <v>114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</row>
    <row r="149" spans="1:31" x14ac:dyDescent="0.25">
      <c r="A149" t="s">
        <v>115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</row>
    <row r="150" spans="1:31" x14ac:dyDescent="0.25">
      <c r="A150" t="s">
        <v>116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</row>
    <row r="151" spans="1:31" x14ac:dyDescent="0.25">
      <c r="A151" t="s">
        <v>117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</row>
    <row r="152" spans="1:31" x14ac:dyDescent="0.25">
      <c r="A152" t="s">
        <v>118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</row>
    <row r="153" spans="1:31" x14ac:dyDescent="0.25">
      <c r="A153" t="s">
        <v>119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</row>
    <row r="154" spans="1:31" x14ac:dyDescent="0.25">
      <c r="A154" t="s">
        <v>120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</row>
    <row r="155" spans="1:31" x14ac:dyDescent="0.25">
      <c r="A155" t="s">
        <v>121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</row>
    <row r="156" spans="1:31" x14ac:dyDescent="0.25">
      <c r="A156" t="s">
        <v>122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</row>
    <row r="157" spans="1:31" x14ac:dyDescent="0.25">
      <c r="A157" t="s">
        <v>123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</row>
    <row r="158" spans="1:31" x14ac:dyDescent="0.25">
      <c r="A158" t="s">
        <v>124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</row>
    <row r="159" spans="1:31" x14ac:dyDescent="0.25">
      <c r="A159" t="s">
        <v>125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>
          <x14:formula1>
            <xm:f>LISTAS!$E$2:$E$160</xm:f>
          </x14:formula1>
          <xm:sqref>A2:A159</xm:sqref>
        </x14:dataValidation>
        <x14:dataValidation type="list" showInputMessage="1" showErrorMessage="1">
          <x14:formula1>
            <xm:f>LISTAS!$B$2:$B$4</xm:f>
          </x14:formula1>
          <xm:sqref>B2:AE159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C161"/>
  <sheetViews>
    <sheetView tabSelected="1" zoomScaleNormal="100" workbookViewId="0">
      <selection activeCell="G11" sqref="G11"/>
    </sheetView>
  </sheetViews>
  <sheetFormatPr defaultRowHeight="15" x14ac:dyDescent="0.25"/>
  <cols>
    <col min="1" max="1" width="15.42578125" bestFit="1" customWidth="1"/>
    <col min="2" max="31" width="12.85546875" customWidth="1"/>
    <col min="32" max="159" width="10.7109375" bestFit="1" customWidth="1"/>
  </cols>
  <sheetData>
    <row r="1" spans="1:159" x14ac:dyDescent="0.25">
      <c r="A1" t="s">
        <v>3</v>
      </c>
      <c r="B1" s="4" t="s">
        <v>218</v>
      </c>
      <c r="C1" s="4" t="s">
        <v>219</v>
      </c>
      <c r="D1" s="4" t="s">
        <v>220</v>
      </c>
      <c r="E1" s="4" t="s">
        <v>237</v>
      </c>
      <c r="F1" s="4" t="s">
        <v>238</v>
      </c>
      <c r="G1" s="4" t="s">
        <v>239</v>
      </c>
      <c r="H1" s="4" t="s">
        <v>240</v>
      </c>
      <c r="I1" s="4" t="s">
        <v>241</v>
      </c>
      <c r="J1" s="4" t="s">
        <v>242</v>
      </c>
      <c r="K1" s="4" t="s">
        <v>243</v>
      </c>
      <c r="L1" s="4" t="s">
        <v>244</v>
      </c>
      <c r="M1" s="4" t="s">
        <v>245</v>
      </c>
      <c r="N1" s="4" t="s">
        <v>246</v>
      </c>
      <c r="O1" s="4" t="s">
        <v>247</v>
      </c>
      <c r="P1" s="4" t="s">
        <v>248</v>
      </c>
      <c r="Q1" s="4" t="s">
        <v>221</v>
      </c>
      <c r="R1" s="4" t="s">
        <v>222</v>
      </c>
      <c r="S1" s="4" t="s">
        <v>223</v>
      </c>
      <c r="T1" s="4" t="s">
        <v>224</v>
      </c>
      <c r="U1" s="4" t="s">
        <v>225</v>
      </c>
      <c r="V1" s="4" t="s">
        <v>226</v>
      </c>
      <c r="W1" s="4" t="s">
        <v>227</v>
      </c>
      <c r="X1" s="4" t="s">
        <v>228</v>
      </c>
      <c r="Y1" s="4" t="s">
        <v>229</v>
      </c>
      <c r="Z1" s="4" t="s">
        <v>230</v>
      </c>
      <c r="AA1" s="4" t="s">
        <v>231</v>
      </c>
      <c r="AB1" s="4" t="s">
        <v>232</v>
      </c>
      <c r="AC1" s="4" t="s">
        <v>233</v>
      </c>
      <c r="AD1" s="4" t="s">
        <v>234</v>
      </c>
      <c r="AE1" s="4" t="s">
        <v>235</v>
      </c>
      <c r="AF1" s="7" t="s">
        <v>236</v>
      </c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5"/>
      <c r="AS1" s="6"/>
      <c r="AT1" s="5"/>
      <c r="AU1" s="6"/>
      <c r="AV1" s="5"/>
      <c r="AW1" s="6"/>
      <c r="AX1" s="5"/>
      <c r="AY1" s="6"/>
      <c r="AZ1" s="5"/>
      <c r="BA1" s="6"/>
      <c r="BB1" s="5"/>
      <c r="BC1" s="6"/>
      <c r="BD1" s="5"/>
      <c r="BE1" s="6"/>
      <c r="BF1" s="5"/>
      <c r="BG1" s="6"/>
      <c r="BH1" s="5"/>
      <c r="BI1" s="6"/>
      <c r="BJ1" s="5"/>
      <c r="BK1" s="6"/>
      <c r="BL1" s="5"/>
      <c r="BM1" s="6"/>
      <c r="BN1" s="5"/>
      <c r="BO1" s="6"/>
      <c r="BP1" s="5"/>
      <c r="BQ1" s="6"/>
      <c r="BR1" s="5"/>
      <c r="BS1" s="6"/>
      <c r="BT1" s="5"/>
      <c r="BU1" s="6"/>
      <c r="BV1" s="5"/>
      <c r="BW1" s="6"/>
      <c r="BX1" s="5"/>
      <c r="BY1" s="6"/>
      <c r="BZ1" s="5"/>
      <c r="CA1" s="6"/>
      <c r="CB1" s="5"/>
      <c r="CC1" s="6"/>
      <c r="CD1" s="5"/>
      <c r="CE1" s="6"/>
      <c r="CF1" s="5"/>
      <c r="CG1" s="6"/>
      <c r="CH1" s="5"/>
      <c r="CI1" s="6"/>
      <c r="CJ1" s="5"/>
      <c r="CK1" s="6"/>
      <c r="CL1" s="5"/>
      <c r="CM1" s="6"/>
      <c r="CN1" s="5"/>
      <c r="CO1" s="6"/>
      <c r="CP1" s="5"/>
      <c r="CQ1" s="6"/>
      <c r="CR1" s="5"/>
      <c r="CS1" s="6"/>
      <c r="CT1" s="5"/>
      <c r="CU1" s="6"/>
      <c r="CV1" s="5"/>
      <c r="CW1" s="6"/>
      <c r="CX1" s="5"/>
      <c r="CY1" s="6"/>
      <c r="CZ1" s="5"/>
      <c r="DA1" s="6"/>
      <c r="DB1" s="5"/>
      <c r="DC1" s="6"/>
      <c r="DD1" s="5"/>
      <c r="DE1" s="6"/>
      <c r="DF1" s="5"/>
      <c r="DG1" s="6"/>
      <c r="DH1" s="5"/>
      <c r="DI1" s="6"/>
      <c r="DJ1" s="5"/>
      <c r="DK1" s="6"/>
      <c r="DL1" s="5"/>
      <c r="DM1" s="6"/>
      <c r="DN1" s="5"/>
      <c r="DO1" s="6"/>
      <c r="DP1" s="5"/>
      <c r="DQ1" s="6"/>
      <c r="DR1" s="5"/>
      <c r="DS1" s="6"/>
      <c r="DT1" s="5"/>
      <c r="DU1" s="6"/>
      <c r="DV1" s="5"/>
      <c r="DW1" s="6"/>
      <c r="DX1" s="5"/>
      <c r="DY1" s="6"/>
      <c r="DZ1" s="5"/>
      <c r="EA1" s="6"/>
      <c r="EB1" s="5"/>
      <c r="EC1" s="6"/>
      <c r="ED1" s="5"/>
      <c r="EE1" s="6"/>
      <c r="EF1" s="5"/>
      <c r="EG1" s="6"/>
      <c r="EH1" s="5"/>
      <c r="EI1" s="6"/>
      <c r="EJ1" s="5"/>
      <c r="EK1" s="6"/>
      <c r="EL1" s="5"/>
      <c r="EM1" s="6"/>
      <c r="EN1" s="5"/>
      <c r="EO1" s="6"/>
      <c r="EP1" s="5"/>
      <c r="EQ1" s="6"/>
      <c r="ER1" s="5"/>
      <c r="ES1" s="6"/>
      <c r="ET1" s="5"/>
      <c r="EU1" s="6"/>
      <c r="EV1" s="5"/>
      <c r="EW1" s="6"/>
      <c r="EX1" s="5"/>
      <c r="EY1" s="6"/>
      <c r="EZ1" s="5"/>
      <c r="FA1" s="6"/>
      <c r="FB1" s="5"/>
      <c r="FC1" s="6"/>
    </row>
    <row r="2" spans="1:159" x14ac:dyDescent="0.25">
      <c r="A2" t="s">
        <v>129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7"/>
    </row>
    <row r="3" spans="1:159" x14ac:dyDescent="0.25">
      <c r="A3" t="s">
        <v>130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7"/>
    </row>
    <row r="4" spans="1:159" x14ac:dyDescent="0.25">
      <c r="A4" t="s">
        <v>131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7"/>
    </row>
    <row r="5" spans="1:159" x14ac:dyDescent="0.25">
      <c r="A5" t="s">
        <v>132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7"/>
    </row>
    <row r="6" spans="1:159" x14ac:dyDescent="0.25">
      <c r="A6" t="s">
        <v>133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7"/>
    </row>
    <row r="7" spans="1:159" x14ac:dyDescent="0.25">
      <c r="A7" t="s">
        <v>134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7"/>
    </row>
    <row r="8" spans="1:159" x14ac:dyDescent="0.25">
      <c r="A8" t="s">
        <v>135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7"/>
    </row>
    <row r="9" spans="1:159" x14ac:dyDescent="0.25">
      <c r="A9" t="s">
        <v>136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7"/>
    </row>
    <row r="10" spans="1:159" x14ac:dyDescent="0.25">
      <c r="A10" t="s">
        <v>137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7"/>
    </row>
    <row r="11" spans="1:159" x14ac:dyDescent="0.25">
      <c r="A11" t="s">
        <v>138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7"/>
    </row>
    <row r="12" spans="1:159" x14ac:dyDescent="0.25">
      <c r="A12" t="s">
        <v>139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s="7"/>
    </row>
    <row r="13" spans="1:159" x14ac:dyDescent="0.25">
      <c r="A13" t="s">
        <v>140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 s="7"/>
    </row>
    <row r="14" spans="1:159" x14ac:dyDescent="0.25">
      <c r="A14" t="s">
        <v>141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7"/>
    </row>
    <row r="15" spans="1:159" x14ac:dyDescent="0.25">
      <c r="A15" t="s">
        <v>142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 s="7"/>
    </row>
    <row r="16" spans="1:159" x14ac:dyDescent="0.25">
      <c r="A16" t="s">
        <v>143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s="7"/>
    </row>
    <row r="17" spans="1:32" x14ac:dyDescent="0.25">
      <c r="A17" t="s">
        <v>144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7"/>
    </row>
    <row r="18" spans="1:32" x14ac:dyDescent="0.25">
      <c r="A18" t="s">
        <v>145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7"/>
    </row>
    <row r="19" spans="1:32" x14ac:dyDescent="0.25">
      <c r="A19" t="s">
        <v>146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7"/>
    </row>
    <row r="20" spans="1:32" x14ac:dyDescent="0.25">
      <c r="A20" t="s">
        <v>147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 s="7"/>
    </row>
    <row r="21" spans="1:32" x14ac:dyDescent="0.25">
      <c r="A21" t="s">
        <v>148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s="7"/>
    </row>
    <row r="22" spans="1:32" x14ac:dyDescent="0.25">
      <c r="A22" t="s">
        <v>149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s="7"/>
    </row>
    <row r="23" spans="1:32" x14ac:dyDescent="0.25">
      <c r="A23" t="s">
        <v>150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s="7"/>
    </row>
    <row r="24" spans="1:32" x14ac:dyDescent="0.25">
      <c r="A24" t="s">
        <v>151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 s="7"/>
    </row>
    <row r="25" spans="1:32" x14ac:dyDescent="0.25">
      <c r="A25" t="s">
        <v>152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 s="7"/>
    </row>
    <row r="26" spans="1:32" x14ac:dyDescent="0.25">
      <c r="A26" t="s">
        <v>153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s="7"/>
    </row>
    <row r="27" spans="1:32" x14ac:dyDescent="0.25">
      <c r="A27" t="s">
        <v>154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s="7"/>
    </row>
    <row r="28" spans="1:32" x14ac:dyDescent="0.25">
      <c r="A28" t="s">
        <v>155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s="7"/>
    </row>
    <row r="29" spans="1:32" x14ac:dyDescent="0.25">
      <c r="A29" t="s">
        <v>156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s="7"/>
    </row>
    <row r="30" spans="1:32" x14ac:dyDescent="0.25">
      <c r="A30" t="s">
        <v>157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s="7"/>
    </row>
    <row r="31" spans="1:32" x14ac:dyDescent="0.25">
      <c r="A31" t="s">
        <v>158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 s="7"/>
    </row>
    <row r="32" spans="1:32" x14ac:dyDescent="0.25">
      <c r="A32" t="s">
        <v>159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 s="7"/>
    </row>
    <row r="33" spans="1:32" x14ac:dyDescent="0.25">
      <c r="A33" t="s">
        <v>160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 s="7"/>
    </row>
    <row r="34" spans="1:32" x14ac:dyDescent="0.25">
      <c r="A34" t="s">
        <v>161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 s="7"/>
    </row>
    <row r="35" spans="1:32" x14ac:dyDescent="0.25">
      <c r="A35" t="s">
        <v>162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 s="7"/>
    </row>
    <row r="36" spans="1:32" x14ac:dyDescent="0.25">
      <c r="A36" t="s">
        <v>163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 s="7"/>
    </row>
    <row r="37" spans="1:32" x14ac:dyDescent="0.25">
      <c r="A37" t="s">
        <v>164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 s="7"/>
    </row>
    <row r="38" spans="1:32" x14ac:dyDescent="0.25">
      <c r="A38" t="s">
        <v>165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 s="7"/>
    </row>
    <row r="39" spans="1:32" x14ac:dyDescent="0.25">
      <c r="A39" t="s">
        <v>166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 s="7"/>
    </row>
    <row r="40" spans="1:32" x14ac:dyDescent="0.25">
      <c r="A40" t="s">
        <v>167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 s="7"/>
    </row>
    <row r="41" spans="1:32" x14ac:dyDescent="0.25">
      <c r="A41" t="s">
        <v>168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 s="7"/>
    </row>
    <row r="42" spans="1:32" x14ac:dyDescent="0.25">
      <c r="A42" t="s">
        <v>169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 s="7"/>
    </row>
    <row r="43" spans="1:32" x14ac:dyDescent="0.25">
      <c r="A43" t="s">
        <v>170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s="7"/>
    </row>
    <row r="44" spans="1:32" x14ac:dyDescent="0.25">
      <c r="A44" t="s">
        <v>171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 s="7"/>
    </row>
    <row r="45" spans="1:32" x14ac:dyDescent="0.25">
      <c r="A45" t="s">
        <v>172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 s="7"/>
    </row>
    <row r="46" spans="1:32" x14ac:dyDescent="0.25">
      <c r="A46" t="s">
        <v>173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 s="7"/>
    </row>
    <row r="47" spans="1:32" x14ac:dyDescent="0.25">
      <c r="A47" t="s">
        <v>174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 s="7"/>
    </row>
    <row r="48" spans="1:32" x14ac:dyDescent="0.25">
      <c r="A48" t="s">
        <v>175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 s="7"/>
    </row>
    <row r="49" spans="1:32" x14ac:dyDescent="0.25">
      <c r="A49" t="s">
        <v>176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 s="7"/>
    </row>
    <row r="50" spans="1:32" x14ac:dyDescent="0.25">
      <c r="A50" t="s">
        <v>177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 s="7"/>
    </row>
    <row r="51" spans="1:32" x14ac:dyDescent="0.25">
      <c r="A51" t="s">
        <v>178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 s="7"/>
    </row>
    <row r="52" spans="1:32" x14ac:dyDescent="0.25">
      <c r="A52" t="s">
        <v>179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 s="7"/>
    </row>
    <row r="53" spans="1:32" x14ac:dyDescent="0.25">
      <c r="A53" t="s">
        <v>180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 s="7"/>
    </row>
    <row r="54" spans="1:32" x14ac:dyDescent="0.25">
      <c r="A54" t="s">
        <v>181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 s="7"/>
    </row>
    <row r="55" spans="1:32" x14ac:dyDescent="0.25">
      <c r="A55" t="s">
        <v>182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 s="7"/>
    </row>
    <row r="56" spans="1:32" x14ac:dyDescent="0.25">
      <c r="A56" t="s">
        <v>183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 s="7"/>
    </row>
    <row r="57" spans="1:32" x14ac:dyDescent="0.25">
      <c r="A57" t="s">
        <v>184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 s="7"/>
    </row>
    <row r="58" spans="1:32" x14ac:dyDescent="0.25">
      <c r="A58" t="s">
        <v>185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 s="7"/>
    </row>
    <row r="59" spans="1:32" x14ac:dyDescent="0.25">
      <c r="A59" t="s">
        <v>126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 s="7"/>
    </row>
    <row r="60" spans="1:32" x14ac:dyDescent="0.25">
      <c r="A60" t="s">
        <v>127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 s="7"/>
    </row>
    <row r="61" spans="1:32" x14ac:dyDescent="0.25">
      <c r="A61" t="s">
        <v>128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 s="7"/>
    </row>
    <row r="62" spans="1:32" x14ac:dyDescent="0.25">
      <c r="A62" t="s">
        <v>20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 s="7"/>
    </row>
    <row r="63" spans="1:32" x14ac:dyDescent="0.25">
      <c r="A63" t="s">
        <v>29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 s="7"/>
    </row>
    <row r="64" spans="1:32" x14ac:dyDescent="0.25">
      <c r="A64" t="s">
        <v>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 s="7"/>
    </row>
    <row r="65" spans="1:32" x14ac:dyDescent="0.25">
      <c r="A65" t="s">
        <v>31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 s="7"/>
    </row>
    <row r="66" spans="1:32" x14ac:dyDescent="0.25">
      <c r="A66" t="s">
        <v>32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 s="7"/>
    </row>
    <row r="67" spans="1:32" x14ac:dyDescent="0.25">
      <c r="A67" t="s">
        <v>33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 s="7"/>
    </row>
    <row r="68" spans="1:32" x14ac:dyDescent="0.25">
      <c r="A68" t="s">
        <v>34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 s="7"/>
    </row>
    <row r="69" spans="1:32" x14ac:dyDescent="0.25">
      <c r="A69" t="s">
        <v>35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 s="7"/>
    </row>
    <row r="70" spans="1:32" x14ac:dyDescent="0.25">
      <c r="A70" t="s">
        <v>36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 s="7"/>
    </row>
    <row r="71" spans="1:32" x14ac:dyDescent="0.25">
      <c r="A71" t="s">
        <v>37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 s="7"/>
    </row>
    <row r="72" spans="1:32" x14ac:dyDescent="0.25">
      <c r="A72" t="s">
        <v>38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 s="7"/>
    </row>
    <row r="73" spans="1:32" x14ac:dyDescent="0.25">
      <c r="A73" t="s">
        <v>39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 s="7"/>
    </row>
    <row r="74" spans="1:32" x14ac:dyDescent="0.25">
      <c r="A74" t="s">
        <v>40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 s="7"/>
    </row>
    <row r="75" spans="1:32" x14ac:dyDescent="0.25">
      <c r="A75" t="s">
        <v>41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 s="7"/>
    </row>
    <row r="76" spans="1:32" x14ac:dyDescent="0.25">
      <c r="A76" t="s">
        <v>42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 s="7"/>
    </row>
    <row r="77" spans="1:32" x14ac:dyDescent="0.25">
      <c r="A77" t="s">
        <v>43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 s="7"/>
    </row>
    <row r="78" spans="1:32" x14ac:dyDescent="0.25">
      <c r="A78" t="s">
        <v>44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 s="7"/>
    </row>
    <row r="79" spans="1:32" x14ac:dyDescent="0.25">
      <c r="A79" t="s">
        <v>45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 s="7"/>
    </row>
    <row r="80" spans="1:32" x14ac:dyDescent="0.25">
      <c r="A80" t="s">
        <v>46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 s="7"/>
    </row>
    <row r="81" spans="1:32" x14ac:dyDescent="0.25">
      <c r="A81" t="s">
        <v>47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 s="7"/>
    </row>
    <row r="82" spans="1:32" x14ac:dyDescent="0.25">
      <c r="A82" t="s">
        <v>48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 s="7"/>
    </row>
    <row r="83" spans="1:32" x14ac:dyDescent="0.25">
      <c r="A83" t="s">
        <v>49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 s="7"/>
    </row>
    <row r="84" spans="1:32" x14ac:dyDescent="0.25">
      <c r="A84" t="s">
        <v>50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 s="7"/>
    </row>
    <row r="85" spans="1:32" x14ac:dyDescent="0.25">
      <c r="A85" t="s">
        <v>51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 s="7"/>
    </row>
    <row r="86" spans="1:32" x14ac:dyDescent="0.25">
      <c r="A86" t="s">
        <v>52</v>
      </c>
      <c r="B86">
        <v>1</v>
      </c>
      <c r="C86">
        <v>1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  <c r="M86">
        <v>1</v>
      </c>
      <c r="N86">
        <v>1</v>
      </c>
      <c r="O86">
        <v>1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 s="7"/>
    </row>
    <row r="87" spans="1:32" x14ac:dyDescent="0.25">
      <c r="A87" t="s">
        <v>53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 s="7"/>
    </row>
    <row r="88" spans="1:32" x14ac:dyDescent="0.25">
      <c r="A88" t="s">
        <v>54</v>
      </c>
      <c r="B88">
        <v>1</v>
      </c>
      <c r="C88">
        <v>1</v>
      </c>
      <c r="D88">
        <v>1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 s="7"/>
    </row>
    <row r="89" spans="1:32" x14ac:dyDescent="0.25">
      <c r="A89" t="s">
        <v>55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 s="7"/>
    </row>
    <row r="90" spans="1:32" x14ac:dyDescent="0.25">
      <c r="A90" t="s">
        <v>56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 s="7"/>
    </row>
    <row r="91" spans="1:32" x14ac:dyDescent="0.25">
      <c r="A91" t="s">
        <v>57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 s="7"/>
    </row>
    <row r="92" spans="1:32" x14ac:dyDescent="0.25">
      <c r="A92" t="s">
        <v>58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 s="7"/>
    </row>
    <row r="93" spans="1:32" x14ac:dyDescent="0.25">
      <c r="A93" t="s">
        <v>59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 s="7"/>
    </row>
    <row r="94" spans="1:32" x14ac:dyDescent="0.25">
      <c r="A94" t="s">
        <v>60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 s="7"/>
    </row>
    <row r="95" spans="1:32" x14ac:dyDescent="0.25">
      <c r="A95" t="s">
        <v>61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 s="7"/>
    </row>
    <row r="96" spans="1:32" x14ac:dyDescent="0.25">
      <c r="A96" t="s">
        <v>62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 s="7"/>
    </row>
    <row r="97" spans="1:32" x14ac:dyDescent="0.25">
      <c r="A97" t="s">
        <v>63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 s="7"/>
    </row>
    <row r="98" spans="1:32" x14ac:dyDescent="0.25">
      <c r="A98" t="s">
        <v>64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 s="7"/>
    </row>
    <row r="99" spans="1:32" x14ac:dyDescent="0.25">
      <c r="A99" t="s">
        <v>65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0</v>
      </c>
      <c r="O99">
        <v>1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 s="7"/>
    </row>
    <row r="100" spans="1:32" x14ac:dyDescent="0.25">
      <c r="A100" t="s">
        <v>66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 s="7"/>
    </row>
    <row r="101" spans="1:32" x14ac:dyDescent="0.25">
      <c r="A101" t="s">
        <v>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 s="7"/>
    </row>
    <row r="102" spans="1:32" x14ac:dyDescent="0.25">
      <c r="A102" t="s">
        <v>68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 s="7"/>
    </row>
    <row r="103" spans="1:32" x14ac:dyDescent="0.25">
      <c r="A103" t="s">
        <v>69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 s="7"/>
    </row>
    <row r="104" spans="1:32" x14ac:dyDescent="0.25">
      <c r="A104" t="s">
        <v>70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 s="7"/>
    </row>
    <row r="105" spans="1:32" x14ac:dyDescent="0.25">
      <c r="A105" t="s">
        <v>71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 s="7"/>
    </row>
    <row r="106" spans="1:32" x14ac:dyDescent="0.25">
      <c r="A106" t="s">
        <v>72</v>
      </c>
      <c r="B106">
        <v>1</v>
      </c>
      <c r="C106">
        <v>1</v>
      </c>
      <c r="D106">
        <v>1</v>
      </c>
      <c r="E106">
        <v>1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 s="7"/>
    </row>
    <row r="107" spans="1:32" x14ac:dyDescent="0.25">
      <c r="A107" t="s">
        <v>73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 s="7"/>
    </row>
    <row r="108" spans="1:32" x14ac:dyDescent="0.25">
      <c r="A108" t="s">
        <v>74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 s="7"/>
    </row>
    <row r="109" spans="1:32" x14ac:dyDescent="0.25">
      <c r="A109" t="s">
        <v>75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 s="7"/>
    </row>
    <row r="110" spans="1:32" x14ac:dyDescent="0.25">
      <c r="A110" t="s">
        <v>76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 s="7"/>
    </row>
    <row r="111" spans="1:32" x14ac:dyDescent="0.25">
      <c r="A111" t="s">
        <v>77</v>
      </c>
      <c r="B111">
        <v>1</v>
      </c>
      <c r="C111">
        <v>1</v>
      </c>
      <c r="D111">
        <v>1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 s="7"/>
    </row>
    <row r="112" spans="1:32" x14ac:dyDescent="0.25">
      <c r="A112" t="s">
        <v>78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 s="7"/>
    </row>
    <row r="113" spans="1:32" x14ac:dyDescent="0.25">
      <c r="A113" t="s">
        <v>79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 s="7"/>
    </row>
    <row r="114" spans="1:32" x14ac:dyDescent="0.25">
      <c r="A114" t="s">
        <v>80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 s="7"/>
    </row>
    <row r="115" spans="1:32" x14ac:dyDescent="0.25">
      <c r="A115" t="s">
        <v>81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 s="7"/>
    </row>
    <row r="116" spans="1:32" x14ac:dyDescent="0.25">
      <c r="A116" t="s">
        <v>82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 s="7"/>
    </row>
    <row r="117" spans="1:32" x14ac:dyDescent="0.25">
      <c r="A117" t="s">
        <v>83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 s="7"/>
    </row>
    <row r="118" spans="1:32" x14ac:dyDescent="0.25">
      <c r="A118" t="s">
        <v>84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 s="7"/>
    </row>
    <row r="119" spans="1:32" x14ac:dyDescent="0.25">
      <c r="A119" t="s">
        <v>85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 s="7"/>
    </row>
    <row r="120" spans="1:32" x14ac:dyDescent="0.25">
      <c r="A120" t="s">
        <v>86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 s="7"/>
    </row>
    <row r="121" spans="1:32" x14ac:dyDescent="0.25">
      <c r="A121" t="s">
        <v>87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 s="7"/>
    </row>
    <row r="122" spans="1:32" x14ac:dyDescent="0.25">
      <c r="A122" t="s">
        <v>88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 s="7"/>
    </row>
    <row r="123" spans="1:32" x14ac:dyDescent="0.25">
      <c r="A123" t="s">
        <v>89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 s="7"/>
    </row>
    <row r="124" spans="1:32" x14ac:dyDescent="0.25">
      <c r="A124" t="s">
        <v>90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 s="7"/>
    </row>
    <row r="125" spans="1:32" x14ac:dyDescent="0.25">
      <c r="A125" t="s">
        <v>91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 s="7"/>
    </row>
    <row r="126" spans="1:32" x14ac:dyDescent="0.25">
      <c r="A126" t="s">
        <v>92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 s="7"/>
    </row>
    <row r="127" spans="1:32" x14ac:dyDescent="0.25">
      <c r="A127" t="s">
        <v>93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 s="7"/>
    </row>
    <row r="128" spans="1:32" x14ac:dyDescent="0.25">
      <c r="A128" t="s">
        <v>94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 s="7"/>
    </row>
    <row r="129" spans="1:32" x14ac:dyDescent="0.25">
      <c r="A129" t="s">
        <v>95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 s="7"/>
    </row>
    <row r="130" spans="1:32" x14ac:dyDescent="0.25">
      <c r="A130" t="s">
        <v>96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 s="7"/>
    </row>
    <row r="131" spans="1:32" x14ac:dyDescent="0.25">
      <c r="A131" t="s">
        <v>97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 s="7"/>
    </row>
    <row r="132" spans="1:32" x14ac:dyDescent="0.25">
      <c r="A132" t="s">
        <v>98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 s="7"/>
    </row>
    <row r="133" spans="1:32" x14ac:dyDescent="0.25">
      <c r="A133" t="s">
        <v>99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 s="7"/>
    </row>
    <row r="134" spans="1:32" x14ac:dyDescent="0.25">
      <c r="A134" t="s">
        <v>100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 s="7"/>
    </row>
    <row r="135" spans="1:32" x14ac:dyDescent="0.25">
      <c r="A135" t="s">
        <v>101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 s="7"/>
    </row>
    <row r="136" spans="1:32" x14ac:dyDescent="0.25">
      <c r="A136" t="s">
        <v>102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 s="7"/>
    </row>
    <row r="137" spans="1:32" x14ac:dyDescent="0.25">
      <c r="A137" t="s">
        <v>103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 s="7"/>
    </row>
    <row r="138" spans="1:32" x14ac:dyDescent="0.25">
      <c r="A138" t="s">
        <v>104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 s="7"/>
    </row>
    <row r="139" spans="1:32" x14ac:dyDescent="0.25">
      <c r="A139" t="s">
        <v>105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 s="7"/>
    </row>
    <row r="140" spans="1:32" x14ac:dyDescent="0.25">
      <c r="A140" t="s">
        <v>106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0</v>
      </c>
      <c r="I140">
        <v>0</v>
      </c>
      <c r="J140">
        <v>0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 s="7"/>
    </row>
    <row r="141" spans="1:32" x14ac:dyDescent="0.25">
      <c r="A141" t="s">
        <v>107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 s="7"/>
    </row>
    <row r="142" spans="1:32" x14ac:dyDescent="0.25">
      <c r="A142" t="s">
        <v>108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 s="7"/>
    </row>
    <row r="143" spans="1:32" x14ac:dyDescent="0.25">
      <c r="A143" t="s">
        <v>109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 s="7"/>
    </row>
    <row r="144" spans="1:32" x14ac:dyDescent="0.25">
      <c r="A144" t="s">
        <v>110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 s="7"/>
    </row>
    <row r="145" spans="1:32" x14ac:dyDescent="0.25">
      <c r="A145" t="s">
        <v>111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 s="7"/>
    </row>
    <row r="146" spans="1:32" x14ac:dyDescent="0.25">
      <c r="A146" t="s">
        <v>112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 s="7"/>
    </row>
    <row r="147" spans="1:32" x14ac:dyDescent="0.25">
      <c r="A147" t="s">
        <v>113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 s="7"/>
    </row>
    <row r="148" spans="1:32" x14ac:dyDescent="0.25">
      <c r="A148" t="s">
        <v>114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 s="7"/>
    </row>
    <row r="149" spans="1:32" x14ac:dyDescent="0.25">
      <c r="A149" t="s">
        <v>115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 s="7"/>
    </row>
    <row r="150" spans="1:32" x14ac:dyDescent="0.25">
      <c r="A150" t="s">
        <v>116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 s="7"/>
    </row>
    <row r="151" spans="1:32" x14ac:dyDescent="0.25">
      <c r="A151" t="s">
        <v>117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 s="7"/>
    </row>
    <row r="152" spans="1:32" x14ac:dyDescent="0.25">
      <c r="A152" t="s">
        <v>118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 s="7"/>
    </row>
    <row r="153" spans="1:32" x14ac:dyDescent="0.25">
      <c r="A153" t="s">
        <v>119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 s="7"/>
    </row>
    <row r="154" spans="1:32" x14ac:dyDescent="0.25">
      <c r="A154" t="s">
        <v>120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 s="7"/>
    </row>
    <row r="155" spans="1:32" x14ac:dyDescent="0.25">
      <c r="A155" t="s">
        <v>121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 s="7"/>
    </row>
    <row r="156" spans="1:32" x14ac:dyDescent="0.25">
      <c r="A156" t="s">
        <v>122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 s="7"/>
    </row>
    <row r="157" spans="1:32" x14ac:dyDescent="0.25">
      <c r="A157" t="s">
        <v>123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 s="7"/>
    </row>
    <row r="158" spans="1:32" x14ac:dyDescent="0.25">
      <c r="A158" t="s">
        <v>124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 s="7"/>
    </row>
    <row r="159" spans="1:32" x14ac:dyDescent="0.25">
      <c r="A159" t="s">
        <v>125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 s="7"/>
    </row>
    <row r="161" spans="2:16" x14ac:dyDescent="0.25">
      <c r="B161">
        <f>SUM(Tabela24[01/07/2023])</f>
        <v>7</v>
      </c>
      <c r="C161">
        <f>SUM(Tabela24[02/07/2023])</f>
        <v>7</v>
      </c>
      <c r="D161">
        <f>SUM(Tabela24[03/07/2023])</f>
        <v>7</v>
      </c>
      <c r="E161">
        <f>SUM(Tabela24[04/07/2023])</f>
        <v>7</v>
      </c>
      <c r="F161">
        <f>SUM(Tabela24[05/07/2023])</f>
        <v>4</v>
      </c>
      <c r="G161">
        <f>SUM(Tabela24[06/07/2023])</f>
        <v>4</v>
      </c>
      <c r="H161">
        <f>SUM(Tabela24[07/07/2023])</f>
        <v>3</v>
      </c>
      <c r="I161">
        <f>SUM(Tabela24[08/07/2023])</f>
        <v>3</v>
      </c>
      <c r="J161">
        <f>SUM(Tabela24[09/07/2023])</f>
        <v>3</v>
      </c>
      <c r="K161">
        <f>SUM(Tabela24[10/07/2023])</f>
        <v>2</v>
      </c>
      <c r="L161">
        <f>SUM(Tabela24[11/07/2023])</f>
        <v>3</v>
      </c>
      <c r="M161">
        <f>SUM(Tabela24[12/07/2023])</f>
        <v>2</v>
      </c>
      <c r="N161">
        <f>SUM(Tabela24[13/07/2023])</f>
        <v>1</v>
      </c>
      <c r="O161">
        <f>SUM(Tabela24[14/07/2023])</f>
        <v>2</v>
      </c>
      <c r="P161">
        <f>SUM(Tabela24[15/07/2023])</f>
        <v>2</v>
      </c>
    </row>
  </sheetData>
  <conditionalFormatting sqref="B2:AE159">
    <cfRule type="cellIs" dxfId="8" priority="1" operator="equal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>
          <x14:formula1>
            <xm:f>LISTAS!$B$2:$B$4</xm:f>
          </x14:formula1>
          <xm:sqref>B2:AE159</xm:sqref>
        </x14:dataValidation>
        <x14:dataValidation type="list" showInputMessage="1" showErrorMessage="1">
          <x14:formula1>
            <xm:f>LISTAS!$E$2:$E$160</xm:f>
          </x14:formula1>
          <xm:sqref>A2:A159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0"/>
  <sheetViews>
    <sheetView workbookViewId="0">
      <selection activeCell="B4" sqref="B4"/>
    </sheetView>
  </sheetViews>
  <sheetFormatPr defaultRowHeight="15" x14ac:dyDescent="0.25"/>
  <cols>
    <col min="1" max="1" width="16.5703125" bestFit="1" customWidth="1"/>
    <col min="2" max="2" width="4.28515625" bestFit="1" customWidth="1"/>
    <col min="4" max="4" width="11.5703125" bestFit="1" customWidth="1"/>
    <col min="5" max="5" width="11.5703125" customWidth="1"/>
    <col min="8" max="8" width="15.42578125" bestFit="1" customWidth="1"/>
  </cols>
  <sheetData>
    <row r="1" spans="1:11" x14ac:dyDescent="0.25">
      <c r="A1" t="s">
        <v>10</v>
      </c>
      <c r="B1" t="s">
        <v>11</v>
      </c>
      <c r="C1" t="s">
        <v>21</v>
      </c>
      <c r="D1" t="s">
        <v>22</v>
      </c>
      <c r="E1" t="s">
        <v>187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</row>
    <row r="2" spans="1:11" x14ac:dyDescent="0.25">
      <c r="A2" t="s">
        <v>14</v>
      </c>
      <c r="B2">
        <v>0</v>
      </c>
      <c r="C2">
        <v>303</v>
      </c>
      <c r="D2">
        <v>21</v>
      </c>
      <c r="E2" t="s">
        <v>129</v>
      </c>
      <c r="F2" t="s">
        <v>29</v>
      </c>
      <c r="H2" t="s">
        <v>126</v>
      </c>
      <c r="I2" t="s">
        <v>129</v>
      </c>
      <c r="J2" t="s">
        <v>146</v>
      </c>
      <c r="K2" t="s">
        <v>160</v>
      </c>
    </row>
    <row r="3" spans="1:11" x14ac:dyDescent="0.25">
      <c r="A3" t="s">
        <v>16</v>
      </c>
      <c r="B3">
        <v>1</v>
      </c>
      <c r="C3">
        <v>305</v>
      </c>
      <c r="D3">
        <v>31</v>
      </c>
      <c r="E3" t="s">
        <v>130</v>
      </c>
      <c r="F3" t="s">
        <v>30</v>
      </c>
      <c r="H3" t="s">
        <v>127</v>
      </c>
      <c r="I3" t="s">
        <v>130</v>
      </c>
      <c r="J3" t="s">
        <v>147</v>
      </c>
      <c r="K3" t="s">
        <v>161</v>
      </c>
    </row>
    <row r="4" spans="1:11" x14ac:dyDescent="0.25">
      <c r="A4" t="s">
        <v>15</v>
      </c>
      <c r="B4">
        <v>2</v>
      </c>
      <c r="C4">
        <v>306</v>
      </c>
      <c r="D4">
        <v>32</v>
      </c>
      <c r="E4" t="s">
        <v>131</v>
      </c>
      <c r="F4" t="s">
        <v>31</v>
      </c>
      <c r="H4" t="s">
        <v>128</v>
      </c>
      <c r="I4" t="s">
        <v>131</v>
      </c>
      <c r="J4" t="s">
        <v>148</v>
      </c>
      <c r="K4" t="s">
        <v>162</v>
      </c>
    </row>
    <row r="5" spans="1:11" x14ac:dyDescent="0.25">
      <c r="A5" t="s">
        <v>13</v>
      </c>
      <c r="D5">
        <v>33</v>
      </c>
      <c r="E5" t="s">
        <v>132</v>
      </c>
      <c r="F5" t="s">
        <v>32</v>
      </c>
      <c r="H5" t="s">
        <v>20</v>
      </c>
      <c r="I5" t="s">
        <v>132</v>
      </c>
      <c r="J5" t="s">
        <v>149</v>
      </c>
      <c r="K5" t="s">
        <v>163</v>
      </c>
    </row>
    <row r="6" spans="1:11" x14ac:dyDescent="0.25">
      <c r="A6" t="s">
        <v>19</v>
      </c>
      <c r="E6" t="s">
        <v>133</v>
      </c>
      <c r="F6" t="s">
        <v>33</v>
      </c>
      <c r="I6" t="s">
        <v>133</v>
      </c>
      <c r="J6" t="s">
        <v>150</v>
      </c>
      <c r="K6" t="s">
        <v>164</v>
      </c>
    </row>
    <row r="7" spans="1:11" x14ac:dyDescent="0.25">
      <c r="A7" t="s">
        <v>17</v>
      </c>
      <c r="E7" t="s">
        <v>134</v>
      </c>
      <c r="F7" t="s">
        <v>34</v>
      </c>
      <c r="I7" t="s">
        <v>134</v>
      </c>
      <c r="J7" t="s">
        <v>151</v>
      </c>
      <c r="K7" t="s">
        <v>165</v>
      </c>
    </row>
    <row r="8" spans="1:11" x14ac:dyDescent="0.25">
      <c r="A8" t="s">
        <v>12</v>
      </c>
      <c r="E8" t="s">
        <v>135</v>
      </c>
      <c r="F8" t="s">
        <v>35</v>
      </c>
      <c r="I8" t="s">
        <v>135</v>
      </c>
      <c r="J8" t="s">
        <v>152</v>
      </c>
      <c r="K8" t="s">
        <v>166</v>
      </c>
    </row>
    <row r="9" spans="1:11" x14ac:dyDescent="0.25">
      <c r="A9" t="s">
        <v>18</v>
      </c>
      <c r="E9" t="s">
        <v>136</v>
      </c>
      <c r="F9" t="s">
        <v>36</v>
      </c>
      <c r="I9" t="s">
        <v>136</v>
      </c>
      <c r="J9" t="s">
        <v>153</v>
      </c>
      <c r="K9" t="s">
        <v>167</v>
      </c>
    </row>
    <row r="10" spans="1:11" x14ac:dyDescent="0.25">
      <c r="E10" t="s">
        <v>137</v>
      </c>
      <c r="F10" t="s">
        <v>37</v>
      </c>
      <c r="I10" t="s">
        <v>137</v>
      </c>
      <c r="J10" t="s">
        <v>154</v>
      </c>
      <c r="K10" t="s">
        <v>168</v>
      </c>
    </row>
    <row r="11" spans="1:11" x14ac:dyDescent="0.25">
      <c r="E11" t="s">
        <v>138</v>
      </c>
      <c r="F11" t="s">
        <v>38</v>
      </c>
      <c r="I11" t="s">
        <v>138</v>
      </c>
      <c r="J11" t="s">
        <v>155</v>
      </c>
      <c r="K11" t="s">
        <v>169</v>
      </c>
    </row>
    <row r="12" spans="1:11" x14ac:dyDescent="0.25">
      <c r="E12" t="s">
        <v>139</v>
      </c>
      <c r="F12" t="s">
        <v>39</v>
      </c>
      <c r="I12" t="s">
        <v>139</v>
      </c>
      <c r="J12" t="s">
        <v>156</v>
      </c>
      <c r="K12" t="s">
        <v>170</v>
      </c>
    </row>
    <row r="13" spans="1:11" x14ac:dyDescent="0.25">
      <c r="E13" t="s">
        <v>140</v>
      </c>
      <c r="F13" t="s">
        <v>40</v>
      </c>
      <c r="I13" t="s">
        <v>140</v>
      </c>
      <c r="J13" t="s">
        <v>157</v>
      </c>
      <c r="K13" t="s">
        <v>171</v>
      </c>
    </row>
    <row r="14" spans="1:11" x14ac:dyDescent="0.25">
      <c r="E14" t="s">
        <v>141</v>
      </c>
      <c r="F14" t="s">
        <v>41</v>
      </c>
      <c r="I14" t="s">
        <v>141</v>
      </c>
      <c r="J14" t="s">
        <v>158</v>
      </c>
      <c r="K14" t="s">
        <v>172</v>
      </c>
    </row>
    <row r="15" spans="1:11" x14ac:dyDescent="0.25">
      <c r="E15" t="s">
        <v>142</v>
      </c>
      <c r="F15" t="s">
        <v>42</v>
      </c>
      <c r="I15" t="s">
        <v>142</v>
      </c>
      <c r="J15" t="s">
        <v>159</v>
      </c>
      <c r="K15" t="s">
        <v>173</v>
      </c>
    </row>
    <row r="16" spans="1:11" x14ac:dyDescent="0.25">
      <c r="E16" t="s">
        <v>143</v>
      </c>
      <c r="F16" t="s">
        <v>43</v>
      </c>
      <c r="I16" t="s">
        <v>143</v>
      </c>
      <c r="K16" t="s">
        <v>174</v>
      </c>
    </row>
    <row r="17" spans="5:11" x14ac:dyDescent="0.25">
      <c r="E17" t="s">
        <v>144</v>
      </c>
      <c r="F17" t="s">
        <v>44</v>
      </c>
      <c r="I17" t="s">
        <v>144</v>
      </c>
      <c r="K17" t="s">
        <v>175</v>
      </c>
    </row>
    <row r="18" spans="5:11" x14ac:dyDescent="0.25">
      <c r="E18" t="s">
        <v>145</v>
      </c>
      <c r="F18" t="s">
        <v>45</v>
      </c>
      <c r="I18" t="s">
        <v>145</v>
      </c>
      <c r="K18" t="s">
        <v>176</v>
      </c>
    </row>
    <row r="19" spans="5:11" x14ac:dyDescent="0.25">
      <c r="E19" t="s">
        <v>146</v>
      </c>
      <c r="F19" t="s">
        <v>46</v>
      </c>
      <c r="K19" t="s">
        <v>177</v>
      </c>
    </row>
    <row r="20" spans="5:11" x14ac:dyDescent="0.25">
      <c r="E20" t="s">
        <v>147</v>
      </c>
      <c r="F20" t="s">
        <v>47</v>
      </c>
      <c r="K20" t="s">
        <v>178</v>
      </c>
    </row>
    <row r="21" spans="5:11" x14ac:dyDescent="0.25">
      <c r="E21" t="s">
        <v>148</v>
      </c>
      <c r="F21" t="s">
        <v>48</v>
      </c>
      <c r="K21" t="s">
        <v>179</v>
      </c>
    </row>
    <row r="22" spans="5:11" x14ac:dyDescent="0.25">
      <c r="E22" t="s">
        <v>149</v>
      </c>
      <c r="F22" t="s">
        <v>49</v>
      </c>
      <c r="K22" t="s">
        <v>180</v>
      </c>
    </row>
    <row r="23" spans="5:11" x14ac:dyDescent="0.25">
      <c r="E23" t="s">
        <v>150</v>
      </c>
      <c r="F23" t="s">
        <v>50</v>
      </c>
      <c r="K23" t="s">
        <v>181</v>
      </c>
    </row>
    <row r="24" spans="5:11" x14ac:dyDescent="0.25">
      <c r="E24" t="s">
        <v>151</v>
      </c>
      <c r="F24" t="s">
        <v>51</v>
      </c>
      <c r="K24" t="s">
        <v>182</v>
      </c>
    </row>
    <row r="25" spans="5:11" x14ac:dyDescent="0.25">
      <c r="E25" t="s">
        <v>152</v>
      </c>
      <c r="F25" t="s">
        <v>52</v>
      </c>
      <c r="K25" t="s">
        <v>183</v>
      </c>
    </row>
    <row r="26" spans="5:11" x14ac:dyDescent="0.25">
      <c r="E26" t="s">
        <v>153</v>
      </c>
      <c r="F26" t="s">
        <v>53</v>
      </c>
      <c r="K26" t="s">
        <v>184</v>
      </c>
    </row>
    <row r="27" spans="5:11" x14ac:dyDescent="0.25">
      <c r="E27" t="s">
        <v>154</v>
      </c>
      <c r="F27" t="s">
        <v>54</v>
      </c>
      <c r="K27" t="s">
        <v>185</v>
      </c>
    </row>
    <row r="28" spans="5:11" x14ac:dyDescent="0.25">
      <c r="E28" t="s">
        <v>155</v>
      </c>
      <c r="F28" t="s">
        <v>55</v>
      </c>
    </row>
    <row r="29" spans="5:11" x14ac:dyDescent="0.25">
      <c r="E29" t="s">
        <v>156</v>
      </c>
      <c r="F29" t="s">
        <v>56</v>
      </c>
    </row>
    <row r="30" spans="5:11" x14ac:dyDescent="0.25">
      <c r="E30" t="s">
        <v>157</v>
      </c>
      <c r="F30" t="s">
        <v>57</v>
      </c>
    </row>
    <row r="31" spans="5:11" x14ac:dyDescent="0.25">
      <c r="E31" t="s">
        <v>158</v>
      </c>
      <c r="F31" t="s">
        <v>58</v>
      </c>
    </row>
    <row r="32" spans="5:11" x14ac:dyDescent="0.25">
      <c r="E32" t="s">
        <v>159</v>
      </c>
      <c r="F32" t="s">
        <v>59</v>
      </c>
    </row>
    <row r="33" spans="5:6" x14ac:dyDescent="0.25">
      <c r="E33" t="s">
        <v>160</v>
      </c>
      <c r="F33" t="s">
        <v>60</v>
      </c>
    </row>
    <row r="34" spans="5:6" x14ac:dyDescent="0.25">
      <c r="E34" t="s">
        <v>161</v>
      </c>
      <c r="F34" t="s">
        <v>61</v>
      </c>
    </row>
    <row r="35" spans="5:6" x14ac:dyDescent="0.25">
      <c r="E35" t="s">
        <v>162</v>
      </c>
      <c r="F35" t="s">
        <v>62</v>
      </c>
    </row>
    <row r="36" spans="5:6" x14ac:dyDescent="0.25">
      <c r="E36" t="s">
        <v>163</v>
      </c>
      <c r="F36" t="s">
        <v>63</v>
      </c>
    </row>
    <row r="37" spans="5:6" x14ac:dyDescent="0.25">
      <c r="E37" t="s">
        <v>164</v>
      </c>
      <c r="F37" t="s">
        <v>64</v>
      </c>
    </row>
    <row r="38" spans="5:6" x14ac:dyDescent="0.25">
      <c r="E38" t="s">
        <v>165</v>
      </c>
      <c r="F38" t="s">
        <v>65</v>
      </c>
    </row>
    <row r="39" spans="5:6" x14ac:dyDescent="0.25">
      <c r="E39" t="s">
        <v>166</v>
      </c>
      <c r="F39" t="s">
        <v>66</v>
      </c>
    </row>
    <row r="40" spans="5:6" x14ac:dyDescent="0.25">
      <c r="E40" t="s">
        <v>167</v>
      </c>
      <c r="F40" t="s">
        <v>67</v>
      </c>
    </row>
    <row r="41" spans="5:6" x14ac:dyDescent="0.25">
      <c r="E41" t="s">
        <v>168</v>
      </c>
      <c r="F41" t="s">
        <v>68</v>
      </c>
    </row>
    <row r="42" spans="5:6" x14ac:dyDescent="0.25">
      <c r="E42" t="s">
        <v>169</v>
      </c>
      <c r="F42" t="s">
        <v>69</v>
      </c>
    </row>
    <row r="43" spans="5:6" x14ac:dyDescent="0.25">
      <c r="E43" t="s">
        <v>170</v>
      </c>
      <c r="F43" t="s">
        <v>70</v>
      </c>
    </row>
    <row r="44" spans="5:6" x14ac:dyDescent="0.25">
      <c r="E44" t="s">
        <v>171</v>
      </c>
      <c r="F44" t="s">
        <v>71</v>
      </c>
    </row>
    <row r="45" spans="5:6" x14ac:dyDescent="0.25">
      <c r="E45" t="s">
        <v>172</v>
      </c>
      <c r="F45" t="s">
        <v>72</v>
      </c>
    </row>
    <row r="46" spans="5:6" x14ac:dyDescent="0.25">
      <c r="E46" t="s">
        <v>173</v>
      </c>
      <c r="F46" t="s">
        <v>73</v>
      </c>
    </row>
    <row r="47" spans="5:6" x14ac:dyDescent="0.25">
      <c r="E47" t="s">
        <v>174</v>
      </c>
      <c r="F47" t="s">
        <v>74</v>
      </c>
    </row>
    <row r="48" spans="5:6" x14ac:dyDescent="0.25">
      <c r="E48" t="s">
        <v>175</v>
      </c>
      <c r="F48" t="s">
        <v>75</v>
      </c>
    </row>
    <row r="49" spans="5:6" x14ac:dyDescent="0.25">
      <c r="E49" t="s">
        <v>176</v>
      </c>
      <c r="F49" t="s">
        <v>76</v>
      </c>
    </row>
    <row r="50" spans="5:6" x14ac:dyDescent="0.25">
      <c r="E50" t="s">
        <v>177</v>
      </c>
      <c r="F50" t="s">
        <v>77</v>
      </c>
    </row>
    <row r="51" spans="5:6" x14ac:dyDescent="0.25">
      <c r="E51" t="s">
        <v>178</v>
      </c>
      <c r="F51" t="s">
        <v>78</v>
      </c>
    </row>
    <row r="52" spans="5:6" x14ac:dyDescent="0.25">
      <c r="E52" t="s">
        <v>179</v>
      </c>
      <c r="F52" t="s">
        <v>79</v>
      </c>
    </row>
    <row r="53" spans="5:6" x14ac:dyDescent="0.25">
      <c r="E53" t="s">
        <v>180</v>
      </c>
      <c r="F53" t="s">
        <v>80</v>
      </c>
    </row>
    <row r="54" spans="5:6" x14ac:dyDescent="0.25">
      <c r="E54" t="s">
        <v>181</v>
      </c>
      <c r="F54" t="s">
        <v>81</v>
      </c>
    </row>
    <row r="55" spans="5:6" x14ac:dyDescent="0.25">
      <c r="E55" t="s">
        <v>182</v>
      </c>
      <c r="F55" t="s">
        <v>82</v>
      </c>
    </row>
    <row r="56" spans="5:6" x14ac:dyDescent="0.25">
      <c r="E56" t="s">
        <v>183</v>
      </c>
      <c r="F56" t="s">
        <v>83</v>
      </c>
    </row>
    <row r="57" spans="5:6" x14ac:dyDescent="0.25">
      <c r="E57" t="s">
        <v>184</v>
      </c>
      <c r="F57" t="s">
        <v>84</v>
      </c>
    </row>
    <row r="58" spans="5:6" x14ac:dyDescent="0.25">
      <c r="E58" t="s">
        <v>185</v>
      </c>
      <c r="F58" t="s">
        <v>85</v>
      </c>
    </row>
    <row r="59" spans="5:6" x14ac:dyDescent="0.25">
      <c r="E59" t="s">
        <v>186</v>
      </c>
      <c r="F59" t="s">
        <v>86</v>
      </c>
    </row>
    <row r="60" spans="5:6" x14ac:dyDescent="0.25">
      <c r="E60" t="s">
        <v>126</v>
      </c>
      <c r="F60" t="s">
        <v>87</v>
      </c>
    </row>
    <row r="61" spans="5:6" x14ac:dyDescent="0.25">
      <c r="E61" t="s">
        <v>127</v>
      </c>
      <c r="F61" t="s">
        <v>88</v>
      </c>
    </row>
    <row r="62" spans="5:6" x14ac:dyDescent="0.25">
      <c r="E62" t="s">
        <v>128</v>
      </c>
      <c r="F62" t="s">
        <v>89</v>
      </c>
    </row>
    <row r="63" spans="5:6" x14ac:dyDescent="0.25">
      <c r="E63" t="s">
        <v>20</v>
      </c>
      <c r="F63" t="s">
        <v>90</v>
      </c>
    </row>
    <row r="64" spans="5:6" x14ac:dyDescent="0.25">
      <c r="E64" t="s">
        <v>29</v>
      </c>
      <c r="F64" t="s">
        <v>91</v>
      </c>
    </row>
    <row r="65" spans="5:6" x14ac:dyDescent="0.25">
      <c r="E65" t="s">
        <v>30</v>
      </c>
      <c r="F65" t="s">
        <v>92</v>
      </c>
    </row>
    <row r="66" spans="5:6" x14ac:dyDescent="0.25">
      <c r="E66" t="s">
        <v>31</v>
      </c>
      <c r="F66" t="s">
        <v>93</v>
      </c>
    </row>
    <row r="67" spans="5:6" x14ac:dyDescent="0.25">
      <c r="E67" t="s">
        <v>32</v>
      </c>
      <c r="F67" t="s">
        <v>94</v>
      </c>
    </row>
    <row r="68" spans="5:6" x14ac:dyDescent="0.25">
      <c r="E68" t="s">
        <v>33</v>
      </c>
      <c r="F68" t="s">
        <v>95</v>
      </c>
    </row>
    <row r="69" spans="5:6" x14ac:dyDescent="0.25">
      <c r="E69" t="s">
        <v>34</v>
      </c>
      <c r="F69" t="s">
        <v>96</v>
      </c>
    </row>
    <row r="70" spans="5:6" x14ac:dyDescent="0.25">
      <c r="E70" t="s">
        <v>35</v>
      </c>
      <c r="F70" t="s">
        <v>97</v>
      </c>
    </row>
    <row r="71" spans="5:6" x14ac:dyDescent="0.25">
      <c r="E71" t="s">
        <v>36</v>
      </c>
      <c r="F71" t="s">
        <v>98</v>
      </c>
    </row>
    <row r="72" spans="5:6" x14ac:dyDescent="0.25">
      <c r="E72" t="s">
        <v>37</v>
      </c>
      <c r="F72" t="s">
        <v>99</v>
      </c>
    </row>
    <row r="73" spans="5:6" x14ac:dyDescent="0.25">
      <c r="E73" t="s">
        <v>38</v>
      </c>
      <c r="F73" t="s">
        <v>100</v>
      </c>
    </row>
    <row r="74" spans="5:6" x14ac:dyDescent="0.25">
      <c r="E74" t="s">
        <v>39</v>
      </c>
      <c r="F74" t="s">
        <v>101</v>
      </c>
    </row>
    <row r="75" spans="5:6" x14ac:dyDescent="0.25">
      <c r="E75" t="s">
        <v>40</v>
      </c>
      <c r="F75" t="s">
        <v>102</v>
      </c>
    </row>
    <row r="76" spans="5:6" x14ac:dyDescent="0.25">
      <c r="E76" t="s">
        <v>41</v>
      </c>
      <c r="F76" t="s">
        <v>103</v>
      </c>
    </row>
    <row r="77" spans="5:6" x14ac:dyDescent="0.25">
      <c r="E77" t="s">
        <v>42</v>
      </c>
      <c r="F77" t="s">
        <v>104</v>
      </c>
    </row>
    <row r="78" spans="5:6" x14ac:dyDescent="0.25">
      <c r="E78" t="s">
        <v>43</v>
      </c>
      <c r="F78" t="s">
        <v>105</v>
      </c>
    </row>
    <row r="79" spans="5:6" x14ac:dyDescent="0.25">
      <c r="E79" t="s">
        <v>44</v>
      </c>
      <c r="F79" t="s">
        <v>106</v>
      </c>
    </row>
    <row r="80" spans="5:6" x14ac:dyDescent="0.25">
      <c r="E80" t="s">
        <v>45</v>
      </c>
      <c r="F80" t="s">
        <v>107</v>
      </c>
    </row>
    <row r="81" spans="5:6" x14ac:dyDescent="0.25">
      <c r="E81" t="s">
        <v>46</v>
      </c>
      <c r="F81" t="s">
        <v>108</v>
      </c>
    </row>
    <row r="82" spans="5:6" x14ac:dyDescent="0.25">
      <c r="E82" t="s">
        <v>47</v>
      </c>
      <c r="F82" t="s">
        <v>109</v>
      </c>
    </row>
    <row r="83" spans="5:6" x14ac:dyDescent="0.25">
      <c r="E83" t="s">
        <v>48</v>
      </c>
      <c r="F83" t="s">
        <v>110</v>
      </c>
    </row>
    <row r="84" spans="5:6" x14ac:dyDescent="0.25">
      <c r="E84" t="s">
        <v>49</v>
      </c>
      <c r="F84" t="s">
        <v>111</v>
      </c>
    </row>
    <row r="85" spans="5:6" x14ac:dyDescent="0.25">
      <c r="E85" t="s">
        <v>50</v>
      </c>
      <c r="F85" t="s">
        <v>112</v>
      </c>
    </row>
    <row r="86" spans="5:6" x14ac:dyDescent="0.25">
      <c r="E86" t="s">
        <v>51</v>
      </c>
      <c r="F86" t="s">
        <v>113</v>
      </c>
    </row>
    <row r="87" spans="5:6" x14ac:dyDescent="0.25">
      <c r="E87" t="s">
        <v>52</v>
      </c>
      <c r="F87" t="s">
        <v>114</v>
      </c>
    </row>
    <row r="88" spans="5:6" x14ac:dyDescent="0.25">
      <c r="E88" t="s">
        <v>53</v>
      </c>
      <c r="F88" t="s">
        <v>115</v>
      </c>
    </row>
    <row r="89" spans="5:6" x14ac:dyDescent="0.25">
      <c r="E89" t="s">
        <v>54</v>
      </c>
      <c r="F89" t="s">
        <v>116</v>
      </c>
    </row>
    <row r="90" spans="5:6" x14ac:dyDescent="0.25">
      <c r="E90" t="s">
        <v>55</v>
      </c>
      <c r="F90" t="s">
        <v>117</v>
      </c>
    </row>
    <row r="91" spans="5:6" x14ac:dyDescent="0.25">
      <c r="E91" t="s">
        <v>56</v>
      </c>
      <c r="F91" t="s">
        <v>118</v>
      </c>
    </row>
    <row r="92" spans="5:6" x14ac:dyDescent="0.25">
      <c r="E92" t="s">
        <v>57</v>
      </c>
      <c r="F92" t="s">
        <v>119</v>
      </c>
    </row>
    <row r="93" spans="5:6" x14ac:dyDescent="0.25">
      <c r="E93" t="s">
        <v>58</v>
      </c>
      <c r="F93" t="s">
        <v>120</v>
      </c>
    </row>
    <row r="94" spans="5:6" x14ac:dyDescent="0.25">
      <c r="E94" t="s">
        <v>59</v>
      </c>
      <c r="F94" t="s">
        <v>121</v>
      </c>
    </row>
    <row r="95" spans="5:6" x14ac:dyDescent="0.25">
      <c r="E95" t="s">
        <v>60</v>
      </c>
      <c r="F95" t="s">
        <v>122</v>
      </c>
    </row>
    <row r="96" spans="5:6" x14ac:dyDescent="0.25">
      <c r="E96" t="s">
        <v>61</v>
      </c>
      <c r="F96" t="s">
        <v>123</v>
      </c>
    </row>
    <row r="97" spans="5:6" x14ac:dyDescent="0.25">
      <c r="E97" t="s">
        <v>62</v>
      </c>
      <c r="F97" t="s">
        <v>124</v>
      </c>
    </row>
    <row r="98" spans="5:6" x14ac:dyDescent="0.25">
      <c r="E98" t="s">
        <v>63</v>
      </c>
      <c r="F98" t="s">
        <v>125</v>
      </c>
    </row>
    <row r="99" spans="5:6" x14ac:dyDescent="0.25">
      <c r="E99" t="s">
        <v>64</v>
      </c>
    </row>
    <row r="100" spans="5:6" x14ac:dyDescent="0.25">
      <c r="E100" t="s">
        <v>65</v>
      </c>
    </row>
    <row r="101" spans="5:6" x14ac:dyDescent="0.25">
      <c r="E101" t="s">
        <v>66</v>
      </c>
    </row>
    <row r="102" spans="5:6" x14ac:dyDescent="0.25">
      <c r="E102" t="s">
        <v>67</v>
      </c>
    </row>
    <row r="103" spans="5:6" x14ac:dyDescent="0.25">
      <c r="E103" t="s">
        <v>68</v>
      </c>
    </row>
    <row r="104" spans="5:6" x14ac:dyDescent="0.25">
      <c r="E104" t="s">
        <v>69</v>
      </c>
    </row>
    <row r="105" spans="5:6" x14ac:dyDescent="0.25">
      <c r="E105" t="s">
        <v>70</v>
      </c>
    </row>
    <row r="106" spans="5:6" x14ac:dyDescent="0.25">
      <c r="E106" t="s">
        <v>71</v>
      </c>
    </row>
    <row r="107" spans="5:6" x14ac:dyDescent="0.25">
      <c r="E107" t="s">
        <v>72</v>
      </c>
    </row>
    <row r="108" spans="5:6" x14ac:dyDescent="0.25">
      <c r="E108" t="s">
        <v>73</v>
      </c>
    </row>
    <row r="109" spans="5:6" x14ac:dyDescent="0.25">
      <c r="E109" t="s">
        <v>74</v>
      </c>
    </row>
    <row r="110" spans="5:6" x14ac:dyDescent="0.25">
      <c r="E110" t="s">
        <v>75</v>
      </c>
    </row>
    <row r="111" spans="5:6" x14ac:dyDescent="0.25">
      <c r="E111" t="s">
        <v>76</v>
      </c>
    </row>
    <row r="112" spans="5:6" x14ac:dyDescent="0.25">
      <c r="E112" t="s">
        <v>77</v>
      </c>
    </row>
    <row r="113" spans="5:5" x14ac:dyDescent="0.25">
      <c r="E113" t="s">
        <v>78</v>
      </c>
    </row>
    <row r="114" spans="5:5" x14ac:dyDescent="0.25">
      <c r="E114" t="s">
        <v>79</v>
      </c>
    </row>
    <row r="115" spans="5:5" x14ac:dyDescent="0.25">
      <c r="E115" t="s">
        <v>80</v>
      </c>
    </row>
    <row r="116" spans="5:5" x14ac:dyDescent="0.25">
      <c r="E116" t="s">
        <v>81</v>
      </c>
    </row>
    <row r="117" spans="5:5" x14ac:dyDescent="0.25">
      <c r="E117" t="s">
        <v>82</v>
      </c>
    </row>
    <row r="118" spans="5:5" x14ac:dyDescent="0.25">
      <c r="E118" t="s">
        <v>83</v>
      </c>
    </row>
    <row r="119" spans="5:5" x14ac:dyDescent="0.25">
      <c r="E119" t="s">
        <v>84</v>
      </c>
    </row>
    <row r="120" spans="5:5" x14ac:dyDescent="0.25">
      <c r="E120" t="s">
        <v>85</v>
      </c>
    </row>
    <row r="121" spans="5:5" x14ac:dyDescent="0.25">
      <c r="E121" t="s">
        <v>86</v>
      </c>
    </row>
    <row r="122" spans="5:5" x14ac:dyDescent="0.25">
      <c r="E122" t="s">
        <v>87</v>
      </c>
    </row>
    <row r="123" spans="5:5" x14ac:dyDescent="0.25">
      <c r="E123" t="s">
        <v>88</v>
      </c>
    </row>
    <row r="124" spans="5:5" x14ac:dyDescent="0.25">
      <c r="E124" t="s">
        <v>89</v>
      </c>
    </row>
    <row r="125" spans="5:5" x14ac:dyDescent="0.25">
      <c r="E125" t="s">
        <v>90</v>
      </c>
    </row>
    <row r="126" spans="5:5" x14ac:dyDescent="0.25">
      <c r="E126" t="s">
        <v>91</v>
      </c>
    </row>
    <row r="127" spans="5:5" x14ac:dyDescent="0.25">
      <c r="E127" t="s">
        <v>92</v>
      </c>
    </row>
    <row r="128" spans="5:5" x14ac:dyDescent="0.25">
      <c r="E128" t="s">
        <v>93</v>
      </c>
    </row>
    <row r="129" spans="5:5" x14ac:dyDescent="0.25">
      <c r="E129" t="s">
        <v>94</v>
      </c>
    </row>
    <row r="130" spans="5:5" x14ac:dyDescent="0.25">
      <c r="E130" t="s">
        <v>95</v>
      </c>
    </row>
    <row r="131" spans="5:5" x14ac:dyDescent="0.25">
      <c r="E131" t="s">
        <v>96</v>
      </c>
    </row>
    <row r="132" spans="5:5" x14ac:dyDescent="0.25">
      <c r="E132" t="s">
        <v>97</v>
      </c>
    </row>
    <row r="133" spans="5:5" x14ac:dyDescent="0.25">
      <c r="E133" t="s">
        <v>98</v>
      </c>
    </row>
    <row r="134" spans="5:5" x14ac:dyDescent="0.25">
      <c r="E134" t="s">
        <v>99</v>
      </c>
    </row>
    <row r="135" spans="5:5" x14ac:dyDescent="0.25">
      <c r="E135" t="s">
        <v>100</v>
      </c>
    </row>
    <row r="136" spans="5:5" x14ac:dyDescent="0.25">
      <c r="E136" t="s">
        <v>101</v>
      </c>
    </row>
    <row r="137" spans="5:5" x14ac:dyDescent="0.25">
      <c r="E137" t="s">
        <v>102</v>
      </c>
    </row>
    <row r="138" spans="5:5" x14ac:dyDescent="0.25">
      <c r="E138" t="s">
        <v>103</v>
      </c>
    </row>
    <row r="139" spans="5:5" x14ac:dyDescent="0.25">
      <c r="E139" t="s">
        <v>104</v>
      </c>
    </row>
    <row r="140" spans="5:5" x14ac:dyDescent="0.25">
      <c r="E140" t="s">
        <v>105</v>
      </c>
    </row>
    <row r="141" spans="5:5" x14ac:dyDescent="0.25">
      <c r="E141" t="s">
        <v>106</v>
      </c>
    </row>
    <row r="142" spans="5:5" x14ac:dyDescent="0.25">
      <c r="E142" t="s">
        <v>107</v>
      </c>
    </row>
    <row r="143" spans="5:5" x14ac:dyDescent="0.25">
      <c r="E143" t="s">
        <v>108</v>
      </c>
    </row>
    <row r="144" spans="5:5" x14ac:dyDescent="0.25">
      <c r="E144" t="s">
        <v>109</v>
      </c>
    </row>
    <row r="145" spans="5:5" x14ac:dyDescent="0.25">
      <c r="E145" t="s">
        <v>110</v>
      </c>
    </row>
    <row r="146" spans="5:5" x14ac:dyDescent="0.25">
      <c r="E146" t="s">
        <v>111</v>
      </c>
    </row>
    <row r="147" spans="5:5" x14ac:dyDescent="0.25">
      <c r="E147" t="s">
        <v>112</v>
      </c>
    </row>
    <row r="148" spans="5:5" x14ac:dyDescent="0.25">
      <c r="E148" t="s">
        <v>113</v>
      </c>
    </row>
    <row r="149" spans="5:5" x14ac:dyDescent="0.25">
      <c r="E149" t="s">
        <v>114</v>
      </c>
    </row>
    <row r="150" spans="5:5" x14ac:dyDescent="0.25">
      <c r="E150" t="s">
        <v>115</v>
      </c>
    </row>
    <row r="151" spans="5:5" x14ac:dyDescent="0.25">
      <c r="E151" t="s">
        <v>116</v>
      </c>
    </row>
    <row r="152" spans="5:5" x14ac:dyDescent="0.25">
      <c r="E152" t="s">
        <v>117</v>
      </c>
    </row>
    <row r="153" spans="5:5" x14ac:dyDescent="0.25">
      <c r="E153" t="s">
        <v>118</v>
      </c>
    </row>
    <row r="154" spans="5:5" x14ac:dyDescent="0.25">
      <c r="E154" t="s">
        <v>119</v>
      </c>
    </row>
    <row r="155" spans="5:5" x14ac:dyDescent="0.25">
      <c r="E155" t="s">
        <v>120</v>
      </c>
    </row>
    <row r="156" spans="5:5" x14ac:dyDescent="0.25">
      <c r="E156" t="s">
        <v>121</v>
      </c>
    </row>
    <row r="157" spans="5:5" x14ac:dyDescent="0.25">
      <c r="E157" t="s">
        <v>122</v>
      </c>
    </row>
    <row r="158" spans="5:5" x14ac:dyDescent="0.25">
      <c r="E158" t="s">
        <v>123</v>
      </c>
    </row>
    <row r="159" spans="5:5" x14ac:dyDescent="0.25">
      <c r="E159" t="s">
        <v>124</v>
      </c>
    </row>
    <row r="160" spans="5:5" x14ac:dyDescent="0.25">
      <c r="E160" t="s">
        <v>125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</vt:lpstr>
      <vt:lpstr>DISPONIBILIDADE</vt:lpstr>
      <vt:lpstr>AGUARDANDO PEÇAS</vt:lpstr>
      <vt:lpstr>LISTAS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2023-06-27T12:32:03Z</dcterms:created>
  <dcterms:modified xsi:type="dcterms:W3CDTF">2023-07-19T16:27:55Z</dcterms:modified>
</cp:coreProperties>
</file>