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manutenção\"/>
    </mc:Choice>
  </mc:AlternateContent>
  <bookViews>
    <workbookView xWindow="0" yWindow="0" windowWidth="28800" windowHeight="11715" activeTab="1"/>
  </bookViews>
  <sheets>
    <sheet name="PLANILHA" sheetId="1" r:id="rId1"/>
    <sheet name="ATA" sheetId="4" r:id="rId2"/>
    <sheet name="LISTAS" sheetId="2" r:id="rId3"/>
  </sheets>
  <externalReferences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4" l="1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2" i="4"/>
  <c r="N2" i="4"/>
  <c r="O2" i="4"/>
  <c r="F4" i="4" l="1"/>
  <c r="G4" i="4" s="1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3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" i="4"/>
  <c r="V33" i="4"/>
  <c r="P33" i="4"/>
  <c r="G32" i="4"/>
  <c r="G31" i="4"/>
  <c r="G30" i="4"/>
  <c r="G29" i="4"/>
  <c r="I1" i="4"/>
  <c r="G24" i="4" l="1"/>
  <c r="G16" i="4"/>
  <c r="G6" i="4"/>
  <c r="G13" i="4"/>
  <c r="G5" i="4"/>
  <c r="G28" i="4"/>
  <c r="G12" i="4"/>
  <c r="G19" i="4"/>
  <c r="G11" i="4"/>
  <c r="G7" i="4"/>
  <c r="G15" i="4"/>
  <c r="G8" i="4"/>
  <c r="G14" i="4"/>
  <c r="G21" i="4"/>
  <c r="G27" i="4"/>
  <c r="G25" i="4"/>
  <c r="G17" i="4"/>
  <c r="G9" i="4"/>
  <c r="G3" i="4"/>
  <c r="G23" i="4"/>
  <c r="G22" i="4"/>
  <c r="G20" i="4"/>
  <c r="G26" i="4"/>
  <c r="G18" i="4"/>
  <c r="G10" i="4"/>
  <c r="F33" i="4"/>
  <c r="G2" i="4"/>
  <c r="E33" i="4"/>
  <c r="G33" i="4" l="1"/>
</calcChain>
</file>

<file path=xl/sharedStrings.xml><?xml version="1.0" encoding="utf-8"?>
<sst xmlns="http://schemas.openxmlformats.org/spreadsheetml/2006/main" count="537" uniqueCount="207">
  <si>
    <t>FILIAL</t>
  </si>
  <si>
    <t>CENTRO DE CUSTO</t>
  </si>
  <si>
    <t>ATIVIDADE</t>
  </si>
  <si>
    <t>BEM MNT</t>
  </si>
  <si>
    <t>DATA</t>
  </si>
  <si>
    <t>DISPONIBILIDADE</t>
  </si>
  <si>
    <t>DISPONÍVEL</t>
  </si>
  <si>
    <t>AGUARDANDO PEÇAS</t>
  </si>
  <si>
    <t>SERVIÇO EXTERNO</t>
  </si>
  <si>
    <t>PENDÊNCIA</t>
  </si>
  <si>
    <t>LISTA PENDÊNCIA</t>
  </si>
  <si>
    <t>S/N</t>
  </si>
  <si>
    <t>SUPRIMENTOS</t>
  </si>
  <si>
    <t>MANUTENÇÃO</t>
  </si>
  <si>
    <t>ALMOXARIFADO</t>
  </si>
  <si>
    <t>GERÊNCIA</t>
  </si>
  <si>
    <t>DIRETORIA</t>
  </si>
  <si>
    <t>SEGURANÇA</t>
  </si>
  <si>
    <t>TI</t>
  </si>
  <si>
    <t>OPERAÇÃO</t>
  </si>
  <si>
    <t>LHM 400</t>
  </si>
  <si>
    <t>CC</t>
  </si>
  <si>
    <t>ATIVIDADES</t>
  </si>
  <si>
    <t>CM</t>
  </si>
  <si>
    <t>SR</t>
  </si>
  <si>
    <t>GD</t>
  </si>
  <si>
    <t>MP</t>
  </si>
  <si>
    <t>ML</t>
  </si>
  <si>
    <t>MA</t>
  </si>
  <si>
    <t>TOTAL DE MAQUINAS PESADA DIARIA</t>
  </si>
  <si>
    <t xml:space="preserve">TOTAL </t>
  </si>
  <si>
    <t>DISPONIVEL</t>
  </si>
  <si>
    <t>%</t>
  </si>
  <si>
    <t>FROTA</t>
  </si>
  <si>
    <t>TOTAL DE VEICULO PESADA DIARIA</t>
  </si>
  <si>
    <t xml:space="preserve">MAQUINA/VEICULOS PARADOS AGUARDANDO PEÇAS </t>
  </si>
  <si>
    <t>🚚 1001</t>
  </si>
  <si>
    <t>COMPRAS</t>
  </si>
  <si>
    <t>🚚 1004</t>
  </si>
  <si>
    <t>🚚 1011</t>
  </si>
  <si>
    <t>🚚 3002</t>
  </si>
  <si>
    <t>🚚 3011</t>
  </si>
  <si>
    <t>🚚 5001</t>
  </si>
  <si>
    <t>🚚 5000</t>
  </si>
  <si>
    <t>🚚 5015</t>
  </si>
  <si>
    <t>FROTA PARADA NO PORTO</t>
  </si>
  <si>
    <t>FROTA PARADA FORA DO PORTO</t>
  </si>
  <si>
    <t>CM1000</t>
  </si>
  <si>
    <t>CM1001</t>
  </si>
  <si>
    <t>CM1002</t>
  </si>
  <si>
    <t>CM1003</t>
  </si>
  <si>
    <t>CM1004</t>
  </si>
  <si>
    <t>CM1005</t>
  </si>
  <si>
    <t>CM1006</t>
  </si>
  <si>
    <t>CM1007</t>
  </si>
  <si>
    <t>CM1008</t>
  </si>
  <si>
    <t>CM1009</t>
  </si>
  <si>
    <t>CM1010</t>
  </si>
  <si>
    <t>CM1011</t>
  </si>
  <si>
    <t>CM1012</t>
  </si>
  <si>
    <t>CM1013</t>
  </si>
  <si>
    <t>CM1014</t>
  </si>
  <si>
    <t>CM1015</t>
  </si>
  <si>
    <t>CM1016</t>
  </si>
  <si>
    <t>CM1017</t>
  </si>
  <si>
    <t>CM1018</t>
  </si>
  <si>
    <t>CM1019</t>
  </si>
  <si>
    <t>CM1020</t>
  </si>
  <si>
    <t>CM1021</t>
  </si>
  <si>
    <t>CM1022</t>
  </si>
  <si>
    <t>CM1023</t>
  </si>
  <si>
    <t>CM1024</t>
  </si>
  <si>
    <t>CM1025</t>
  </si>
  <si>
    <t>CM1026</t>
  </si>
  <si>
    <t>CM1027</t>
  </si>
  <si>
    <t>CM2000</t>
  </si>
  <si>
    <t>CM2001</t>
  </si>
  <si>
    <t>CM2002</t>
  </si>
  <si>
    <t>CM2003</t>
  </si>
  <si>
    <t>CM2004</t>
  </si>
  <si>
    <t>CM2005</t>
  </si>
  <si>
    <t>CM3000</t>
  </si>
  <si>
    <t>CM3001</t>
  </si>
  <si>
    <t>CM3002</t>
  </si>
  <si>
    <t>CM3003</t>
  </si>
  <si>
    <t>CM3004</t>
  </si>
  <si>
    <t>CM3005</t>
  </si>
  <si>
    <t>CM3006</t>
  </si>
  <si>
    <t>CM3007</t>
  </si>
  <si>
    <t>CM3008</t>
  </si>
  <si>
    <t>CM3009</t>
  </si>
  <si>
    <t>CM3010</t>
  </si>
  <si>
    <t>CM3011</t>
  </si>
  <si>
    <t>CM3012</t>
  </si>
  <si>
    <t>CM3013</t>
  </si>
  <si>
    <t>CM3014</t>
  </si>
  <si>
    <t>CM3015</t>
  </si>
  <si>
    <t>CM4000</t>
  </si>
  <si>
    <t>CM4001</t>
  </si>
  <si>
    <t>CM4002</t>
  </si>
  <si>
    <t>CM4003</t>
  </si>
  <si>
    <t>CM4004</t>
  </si>
  <si>
    <t>CM5000</t>
  </si>
  <si>
    <t>CM5001</t>
  </si>
  <si>
    <t>CM5002</t>
  </si>
  <si>
    <t>CM5003</t>
  </si>
  <si>
    <t>CM5004</t>
  </si>
  <si>
    <t>CM5005</t>
  </si>
  <si>
    <t>CM5006</t>
  </si>
  <si>
    <t>CM5007</t>
  </si>
  <si>
    <t>CM5008</t>
  </si>
  <si>
    <t>CM5009</t>
  </si>
  <si>
    <t>CM5010</t>
  </si>
  <si>
    <t>CM5011</t>
  </si>
  <si>
    <t>CM5012</t>
  </si>
  <si>
    <t>CM5013</t>
  </si>
  <si>
    <t>CM5014</t>
  </si>
  <si>
    <t>CM5015</t>
  </si>
  <si>
    <t>CM5016</t>
  </si>
  <si>
    <t>CM5017</t>
  </si>
  <si>
    <t>CM5018</t>
  </si>
  <si>
    <t>CM5019</t>
  </si>
  <si>
    <t>CM5020</t>
  </si>
  <si>
    <t>CM5021</t>
  </si>
  <si>
    <t>CM5022</t>
  </si>
  <si>
    <t>CM5023</t>
  </si>
  <si>
    <t>CM5024</t>
  </si>
  <si>
    <t>CM5025</t>
  </si>
  <si>
    <t>CM5026</t>
  </si>
  <si>
    <t>CM5027</t>
  </si>
  <si>
    <t>CM5028</t>
  </si>
  <si>
    <t>CM5029</t>
  </si>
  <si>
    <t>CM5030</t>
  </si>
  <si>
    <t>CM5031</t>
  </si>
  <si>
    <t>CM5032</t>
  </si>
  <si>
    <t>CM5033</t>
  </si>
  <si>
    <t>CM5034</t>
  </si>
  <si>
    <t>CM5035</t>
  </si>
  <si>
    <t>CM6000</t>
  </si>
  <si>
    <t>CM6001</t>
  </si>
  <si>
    <t>CM6002</t>
  </si>
  <si>
    <t>CM6003</t>
  </si>
  <si>
    <t>CM6004</t>
  </si>
  <si>
    <t>CM6005</t>
  </si>
  <si>
    <t>CN 01 BARDELLA</t>
  </si>
  <si>
    <t>GHMK6407B</t>
  </si>
  <si>
    <t>GMK4100</t>
  </si>
  <si>
    <t>H01</t>
  </si>
  <si>
    <t>H02</t>
  </si>
  <si>
    <t>H03</t>
  </si>
  <si>
    <t>KAL02</t>
  </si>
  <si>
    <t>KAL03</t>
  </si>
  <si>
    <t>KAL04</t>
  </si>
  <si>
    <t>KAL05</t>
  </si>
  <si>
    <t>KAL06</t>
  </si>
  <si>
    <t>KAL07</t>
  </si>
  <si>
    <t>KAL08</t>
  </si>
  <si>
    <t>RS10</t>
  </si>
  <si>
    <t>RS11</t>
  </si>
  <si>
    <t>RS12</t>
  </si>
  <si>
    <t>RS14</t>
  </si>
  <si>
    <t>RS15</t>
  </si>
  <si>
    <t>RS16</t>
  </si>
  <si>
    <t>RS17</t>
  </si>
  <si>
    <t>BOBCAT01</t>
  </si>
  <si>
    <t>EP03</t>
  </si>
  <si>
    <t>EP05</t>
  </si>
  <si>
    <t>EP08</t>
  </si>
  <si>
    <t>EP09</t>
  </si>
  <si>
    <t>EP11</t>
  </si>
  <si>
    <t>EP12</t>
  </si>
  <si>
    <t>EP13</t>
  </si>
  <si>
    <t>EP14</t>
  </si>
  <si>
    <t>EP15</t>
  </si>
  <si>
    <t>EP16</t>
  </si>
  <si>
    <t>EP17</t>
  </si>
  <si>
    <t>EP18</t>
  </si>
  <si>
    <t>PA01</t>
  </si>
  <si>
    <t>CP01</t>
  </si>
  <si>
    <t>CP02</t>
  </si>
  <si>
    <t>CP03</t>
  </si>
  <si>
    <t>CP04</t>
  </si>
  <si>
    <t>CP07</t>
  </si>
  <si>
    <t>CP09</t>
  </si>
  <si>
    <t>CP10</t>
  </si>
  <si>
    <t>CP11</t>
  </si>
  <si>
    <t>CP12</t>
  </si>
  <si>
    <t>GER0060</t>
  </si>
  <si>
    <t>GER0061</t>
  </si>
  <si>
    <t>GER0100</t>
  </si>
  <si>
    <t>GER0200</t>
  </si>
  <si>
    <t>GR01</t>
  </si>
  <si>
    <t>GR02</t>
  </si>
  <si>
    <t>GR03</t>
  </si>
  <si>
    <t>GR04</t>
  </si>
  <si>
    <t>GRAB 02</t>
  </si>
  <si>
    <t>GRAB01</t>
  </si>
  <si>
    <t>GRAB02</t>
  </si>
  <si>
    <t>GRAB03</t>
  </si>
  <si>
    <t>GRAB04</t>
  </si>
  <si>
    <t>GRAB05</t>
  </si>
  <si>
    <t>MOG01</t>
  </si>
  <si>
    <t>MOG02</t>
  </si>
  <si>
    <t>MOG04</t>
  </si>
  <si>
    <t>GMK4100 GD</t>
  </si>
  <si>
    <t>GERAL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</si>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</sst>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0" fillId="4" borderId="0" xfId="0" applyFill="1"/>
    <xf numFmtId="0" fontId="0" fillId="5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2" fillId="6" borderId="0" xfId="1" applyFont="1" applyFill="1" applyBorder="1" applyAlignment="1">
      <alignment vertical="center"/>
    </xf>
    <xf numFmtId="0" fontId="2" fillId="6" borderId="0" xfId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2" fillId="6" borderId="0" xfId="1" applyNumberFormat="1" applyFont="1" applyFill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 vertical="center"/>
    </xf>
    <xf numFmtId="0" fontId="3" fillId="4" borderId="0" xfId="0" applyFont="1" applyFill="1"/>
    <xf numFmtId="10" fontId="0" fillId="0" borderId="0" xfId="0" applyNumberFormat="1"/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5" borderId="0" xfId="0" applyFill="1" applyAlignment="1">
      <alignment horizontal="left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6" borderId="0" xfId="1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1">
    <dxf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noel/Downloads/Ata%20de%20reuni&#227;o%20di&#225;ria%20manuten&#231;&#227;o%20PECEM%2027.06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A REUNIÃO PCM 27.06"/>
      <sheetName val="BASE DE DADOS"/>
      <sheetName val="GRAFICO PREVENTIVA "/>
    </sheetNames>
    <sheetDataSet>
      <sheetData sheetId="0">
        <row r="3">
          <cell r="P3">
            <v>45104</v>
          </cell>
        </row>
      </sheetData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a1" displayName="Tabela1" ref="A1:J3001" totalsRowShown="0" headerRowDxfId="0">
  <autoFilter ref="A1:J3001"/>
  <tableColumns count="10">
    <tableColumn id="1" name="FILIAL"/>
    <tableColumn id="2" name="CENTRO DE CUSTO"/>
    <tableColumn id="3" name="ATIVIDADE"/>
    <tableColumn id="4" name="BEM MNT"/>
    <tableColumn id="5" name="DATA"/>
    <tableColumn id="6" name="DISPONIBILIDADE"/>
    <tableColumn id="7" name="DISPONÍVEL"/>
    <tableColumn id="8" name="AGUARDANDO PEÇAS"/>
    <tableColumn id="9" name="SERVIÇO EXTERNO"/>
    <tableColumn id="10" name="PENDÊNCIA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9"/>
  <sheetViews>
    <sheetView workbookViewId="0">
      <selection activeCell="E12" sqref="E12"/>
    </sheetView>
  </sheetViews>
  <sheetFormatPr defaultRowHeight="15" x14ac:dyDescent="0.25"/>
  <cols>
    <col min="1" max="1" width="8.28515625" customWidth="1"/>
    <col min="2" max="2" width="19.42578125" customWidth="1"/>
    <col min="3" max="3" width="12.7109375" customWidth="1"/>
    <col min="4" max="4" width="11.85546875" customWidth="1"/>
    <col min="5" max="5" width="10.7109375" bestFit="1" customWidth="1"/>
    <col min="6" max="6" width="18.5703125" customWidth="1"/>
    <col min="7" max="7" width="13.7109375" customWidth="1"/>
    <col min="8" max="8" width="22.42578125" customWidth="1"/>
    <col min="9" max="9" width="19.28515625" customWidth="1"/>
    <col min="10" max="10" width="13.42578125" customWidth="1"/>
    <col min="27" max="27" width="16.5703125" bestFit="1" customWidth="1"/>
  </cols>
  <sheetData>
    <row r="1" spans="1:10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25">
      <c r="D2" t="s">
        <v>147</v>
      </c>
      <c r="E2" s="24">
        <v>45078</v>
      </c>
      <c r="F2">
        <v>1</v>
      </c>
      <c r="G2">
        <v>1</v>
      </c>
      <c r="H2">
        <v>0</v>
      </c>
    </row>
    <row r="3" spans="1:10" x14ac:dyDescent="0.25">
      <c r="D3" t="s">
        <v>148</v>
      </c>
      <c r="E3" s="24">
        <v>45078</v>
      </c>
      <c r="F3">
        <v>1</v>
      </c>
      <c r="G3">
        <v>1</v>
      </c>
      <c r="H3">
        <v>0</v>
      </c>
    </row>
    <row r="4" spans="1:10" x14ac:dyDescent="0.25">
      <c r="D4" t="s">
        <v>149</v>
      </c>
      <c r="E4" s="24">
        <v>45078</v>
      </c>
      <c r="F4">
        <v>1</v>
      </c>
      <c r="G4">
        <v>1</v>
      </c>
      <c r="H4">
        <v>1</v>
      </c>
    </row>
    <row r="5" spans="1:10" x14ac:dyDescent="0.25">
      <c r="D5" t="s">
        <v>150</v>
      </c>
      <c r="E5" s="24">
        <v>45078</v>
      </c>
      <c r="F5">
        <v>1</v>
      </c>
      <c r="G5">
        <v>1</v>
      </c>
      <c r="H5">
        <v>0</v>
      </c>
    </row>
    <row r="6" spans="1:10" x14ac:dyDescent="0.25">
      <c r="D6" t="s">
        <v>151</v>
      </c>
      <c r="E6" s="24">
        <v>45078</v>
      </c>
      <c r="F6">
        <v>1</v>
      </c>
      <c r="G6">
        <v>1</v>
      </c>
      <c r="H6">
        <v>0</v>
      </c>
    </row>
    <row r="7" spans="1:10" x14ac:dyDescent="0.25">
      <c r="D7" t="s">
        <v>152</v>
      </c>
      <c r="E7" s="24">
        <v>45078</v>
      </c>
      <c r="F7">
        <v>1</v>
      </c>
      <c r="G7">
        <v>1</v>
      </c>
      <c r="H7">
        <v>0</v>
      </c>
    </row>
    <row r="8" spans="1:10" x14ac:dyDescent="0.25">
      <c r="D8" t="s">
        <v>153</v>
      </c>
      <c r="E8" s="24">
        <v>45078</v>
      </c>
      <c r="F8">
        <v>1</v>
      </c>
      <c r="G8">
        <v>1</v>
      </c>
      <c r="H8">
        <v>1</v>
      </c>
    </row>
    <row r="9" spans="1:10" x14ac:dyDescent="0.25">
      <c r="D9" t="s">
        <v>154</v>
      </c>
      <c r="E9" s="24">
        <v>45078</v>
      </c>
      <c r="F9">
        <v>1</v>
      </c>
      <c r="G9">
        <v>1</v>
      </c>
      <c r="H9">
        <v>1</v>
      </c>
    </row>
    <row r="10" spans="1:10" x14ac:dyDescent="0.25">
      <c r="D10" t="s">
        <v>155</v>
      </c>
      <c r="E10" s="24">
        <v>45078</v>
      </c>
      <c r="F10">
        <v>1</v>
      </c>
      <c r="G10">
        <v>1</v>
      </c>
      <c r="H10">
        <v>1</v>
      </c>
    </row>
    <row r="11" spans="1:10" x14ac:dyDescent="0.25">
      <c r="D11" t="s">
        <v>156</v>
      </c>
      <c r="E11" s="24">
        <v>45078</v>
      </c>
      <c r="F11">
        <v>1</v>
      </c>
      <c r="G11">
        <v>1</v>
      </c>
      <c r="H11">
        <v>1</v>
      </c>
    </row>
    <row r="12" spans="1:10" x14ac:dyDescent="0.25">
      <c r="D12" t="s">
        <v>157</v>
      </c>
      <c r="E12" s="24">
        <v>45078</v>
      </c>
      <c r="F12">
        <v>1</v>
      </c>
      <c r="G12">
        <v>1</v>
      </c>
      <c r="H12">
        <v>1</v>
      </c>
    </row>
    <row r="13" spans="1:10" x14ac:dyDescent="0.25">
      <c r="D13" t="s">
        <v>158</v>
      </c>
      <c r="E13" s="24">
        <v>45078</v>
      </c>
      <c r="F13">
        <v>1</v>
      </c>
      <c r="G13">
        <v>0</v>
      </c>
      <c r="H13">
        <v>0</v>
      </c>
    </row>
    <row r="14" spans="1:10" x14ac:dyDescent="0.25">
      <c r="D14" t="s">
        <v>159</v>
      </c>
      <c r="E14" s="24">
        <v>45078</v>
      </c>
      <c r="F14">
        <v>1</v>
      </c>
      <c r="G14">
        <v>1</v>
      </c>
      <c r="H14">
        <v>0</v>
      </c>
    </row>
    <row r="15" spans="1:10" x14ac:dyDescent="0.25">
      <c r="D15" t="s">
        <v>160</v>
      </c>
      <c r="E15" s="24">
        <v>45078</v>
      </c>
      <c r="F15">
        <v>1</v>
      </c>
      <c r="G15">
        <v>1</v>
      </c>
      <c r="H15">
        <v>0</v>
      </c>
    </row>
    <row r="16" spans="1:10" x14ac:dyDescent="0.25">
      <c r="D16" t="s">
        <v>161</v>
      </c>
      <c r="E16" s="24">
        <v>45078</v>
      </c>
      <c r="F16">
        <v>1</v>
      </c>
      <c r="G16">
        <v>1</v>
      </c>
      <c r="H16">
        <v>0</v>
      </c>
    </row>
    <row r="17" spans="4:8" x14ac:dyDescent="0.25">
      <c r="D17" t="s">
        <v>162</v>
      </c>
      <c r="E17" s="24">
        <v>45078</v>
      </c>
      <c r="F17">
        <v>1</v>
      </c>
      <c r="G17">
        <v>1</v>
      </c>
      <c r="H17">
        <v>0</v>
      </c>
    </row>
    <row r="18" spans="4:8" x14ac:dyDescent="0.25">
      <c r="D18" t="s">
        <v>163</v>
      </c>
      <c r="E18" s="24">
        <v>45078</v>
      </c>
      <c r="F18">
        <v>1</v>
      </c>
      <c r="G18">
        <v>1</v>
      </c>
      <c r="H18">
        <v>0</v>
      </c>
    </row>
    <row r="19" spans="4:8" x14ac:dyDescent="0.25">
      <c r="D19" t="s">
        <v>164</v>
      </c>
      <c r="E19" s="24">
        <v>45078</v>
      </c>
      <c r="F19">
        <v>0</v>
      </c>
      <c r="G19">
        <v>1</v>
      </c>
      <c r="H19">
        <v>1</v>
      </c>
    </row>
    <row r="20" spans="4:8" x14ac:dyDescent="0.25">
      <c r="D20" t="s">
        <v>165</v>
      </c>
      <c r="E20" s="24">
        <v>45078</v>
      </c>
      <c r="F20">
        <v>0</v>
      </c>
      <c r="G20">
        <v>0</v>
      </c>
      <c r="H20">
        <v>0</v>
      </c>
    </row>
    <row r="21" spans="4:8" x14ac:dyDescent="0.25">
      <c r="D21" t="s">
        <v>166</v>
      </c>
      <c r="E21" s="24">
        <v>45078</v>
      </c>
      <c r="F21">
        <v>0</v>
      </c>
      <c r="G21">
        <v>1</v>
      </c>
      <c r="H21">
        <v>1</v>
      </c>
    </row>
    <row r="22" spans="4:8" x14ac:dyDescent="0.25">
      <c r="D22" t="s">
        <v>167</v>
      </c>
      <c r="E22" s="24">
        <v>45078</v>
      </c>
      <c r="F22">
        <v>0</v>
      </c>
      <c r="G22">
        <v>0</v>
      </c>
      <c r="H22">
        <v>0</v>
      </c>
    </row>
    <row r="23" spans="4:8" x14ac:dyDescent="0.25">
      <c r="D23" t="s">
        <v>168</v>
      </c>
      <c r="E23" s="24">
        <v>45078</v>
      </c>
      <c r="F23">
        <v>0</v>
      </c>
      <c r="G23">
        <v>1</v>
      </c>
      <c r="H23">
        <v>1</v>
      </c>
    </row>
    <row r="24" spans="4:8" x14ac:dyDescent="0.25">
      <c r="D24" t="s">
        <v>169</v>
      </c>
      <c r="E24" s="24">
        <v>45078</v>
      </c>
      <c r="F24">
        <v>0</v>
      </c>
      <c r="G24">
        <v>1</v>
      </c>
      <c r="H24">
        <v>1</v>
      </c>
    </row>
    <row r="25" spans="4:8" x14ac:dyDescent="0.25">
      <c r="D25" t="s">
        <v>170</v>
      </c>
      <c r="E25" s="24">
        <v>45078</v>
      </c>
      <c r="F25">
        <v>0</v>
      </c>
      <c r="G25">
        <v>0</v>
      </c>
      <c r="H25">
        <v>0</v>
      </c>
    </row>
    <row r="26" spans="4:8" x14ac:dyDescent="0.25">
      <c r="D26" t="s">
        <v>171</v>
      </c>
      <c r="E26" s="24">
        <v>45078</v>
      </c>
      <c r="F26">
        <v>0</v>
      </c>
      <c r="G26">
        <v>1</v>
      </c>
      <c r="H26">
        <v>1</v>
      </c>
    </row>
    <row r="27" spans="4:8" x14ac:dyDescent="0.25">
      <c r="D27" t="s">
        <v>172</v>
      </c>
      <c r="E27" s="24">
        <v>45078</v>
      </c>
      <c r="F27">
        <v>0</v>
      </c>
      <c r="G27">
        <v>0</v>
      </c>
      <c r="H27">
        <v>0</v>
      </c>
    </row>
    <row r="28" spans="4:8" x14ac:dyDescent="0.25">
      <c r="D28" t="s">
        <v>173</v>
      </c>
      <c r="E28" s="24">
        <v>45078</v>
      </c>
      <c r="F28">
        <v>0</v>
      </c>
      <c r="G28">
        <v>1</v>
      </c>
      <c r="H28">
        <v>1</v>
      </c>
    </row>
    <row r="29" spans="4:8" x14ac:dyDescent="0.25">
      <c r="D29" t="s">
        <v>174</v>
      </c>
      <c r="E29" s="24">
        <v>45078</v>
      </c>
      <c r="F29">
        <v>0</v>
      </c>
      <c r="G29">
        <v>0</v>
      </c>
      <c r="H29">
        <v>0</v>
      </c>
    </row>
    <row r="30" spans="4:8" x14ac:dyDescent="0.25">
      <c r="D30" t="s">
        <v>175</v>
      </c>
      <c r="E30" s="24">
        <v>45078</v>
      </c>
      <c r="F30">
        <v>0</v>
      </c>
      <c r="G30">
        <v>1</v>
      </c>
      <c r="H30">
        <v>1</v>
      </c>
    </row>
    <row r="31" spans="4:8" x14ac:dyDescent="0.25">
      <c r="D31" t="s">
        <v>176</v>
      </c>
      <c r="E31" s="24">
        <v>45078</v>
      </c>
      <c r="F31">
        <v>0</v>
      </c>
      <c r="G31">
        <v>1</v>
      </c>
      <c r="H31">
        <v>1</v>
      </c>
    </row>
    <row r="32" spans="4:8" x14ac:dyDescent="0.25">
      <c r="D32" t="s">
        <v>177</v>
      </c>
      <c r="E32" s="24">
        <v>45078</v>
      </c>
      <c r="F32">
        <v>0</v>
      </c>
      <c r="G32">
        <v>0</v>
      </c>
      <c r="H32">
        <v>0</v>
      </c>
    </row>
    <row r="33" spans="4:8" x14ac:dyDescent="0.25">
      <c r="D33" t="s">
        <v>178</v>
      </c>
      <c r="E33" s="24">
        <v>45078</v>
      </c>
      <c r="F33">
        <v>0</v>
      </c>
      <c r="G33">
        <v>1</v>
      </c>
      <c r="H33">
        <v>0</v>
      </c>
    </row>
    <row r="34" spans="4:8" x14ac:dyDescent="0.25">
      <c r="D34" t="s">
        <v>179</v>
      </c>
      <c r="E34" s="24">
        <v>45078</v>
      </c>
      <c r="F34">
        <v>0</v>
      </c>
      <c r="G34">
        <v>0</v>
      </c>
      <c r="H34">
        <v>0</v>
      </c>
    </row>
    <row r="35" spans="4:8" x14ac:dyDescent="0.25">
      <c r="D35" t="s">
        <v>180</v>
      </c>
      <c r="E35" s="24">
        <v>45078</v>
      </c>
      <c r="F35">
        <v>0</v>
      </c>
      <c r="G35">
        <v>1</v>
      </c>
      <c r="H35">
        <v>0</v>
      </c>
    </row>
    <row r="36" spans="4:8" x14ac:dyDescent="0.25">
      <c r="D36" t="s">
        <v>181</v>
      </c>
      <c r="E36" s="24">
        <v>45078</v>
      </c>
      <c r="F36">
        <v>0</v>
      </c>
      <c r="G36">
        <v>0</v>
      </c>
      <c r="H36">
        <v>0</v>
      </c>
    </row>
    <row r="37" spans="4:8" x14ac:dyDescent="0.25">
      <c r="D37" t="s">
        <v>182</v>
      </c>
      <c r="E37" s="24">
        <v>45078</v>
      </c>
      <c r="F37">
        <v>0</v>
      </c>
      <c r="G37">
        <v>1</v>
      </c>
      <c r="H37">
        <v>1</v>
      </c>
    </row>
    <row r="38" spans="4:8" x14ac:dyDescent="0.25">
      <c r="D38" t="s">
        <v>183</v>
      </c>
      <c r="E38" s="24">
        <v>45078</v>
      </c>
      <c r="F38">
        <v>0</v>
      </c>
      <c r="G38">
        <v>0</v>
      </c>
      <c r="H38">
        <v>0</v>
      </c>
    </row>
    <row r="39" spans="4:8" x14ac:dyDescent="0.25">
      <c r="D39" t="s">
        <v>184</v>
      </c>
      <c r="E39" s="24">
        <v>45078</v>
      </c>
      <c r="F39">
        <v>0</v>
      </c>
      <c r="G39">
        <v>1</v>
      </c>
      <c r="H39">
        <v>0</v>
      </c>
    </row>
    <row r="40" spans="4:8" x14ac:dyDescent="0.25">
      <c r="D40" t="s">
        <v>185</v>
      </c>
      <c r="E40" s="24">
        <v>45078</v>
      </c>
      <c r="F40">
        <v>0</v>
      </c>
      <c r="G40">
        <v>0</v>
      </c>
      <c r="H40">
        <v>0</v>
      </c>
    </row>
    <row r="41" spans="4:8" x14ac:dyDescent="0.25">
      <c r="D41" t="s">
        <v>186</v>
      </c>
      <c r="E41" s="24">
        <v>45078</v>
      </c>
      <c r="F41">
        <v>0</v>
      </c>
      <c r="G41">
        <v>1</v>
      </c>
      <c r="H41">
        <v>0</v>
      </c>
    </row>
    <row r="42" spans="4:8" x14ac:dyDescent="0.25">
      <c r="D42" t="s">
        <v>187</v>
      </c>
      <c r="E42" s="24">
        <v>45078</v>
      </c>
      <c r="F42">
        <v>0</v>
      </c>
      <c r="G42">
        <v>0</v>
      </c>
      <c r="H42">
        <v>0</v>
      </c>
    </row>
    <row r="43" spans="4:8" x14ac:dyDescent="0.25">
      <c r="D43" t="s">
        <v>188</v>
      </c>
      <c r="E43" s="24">
        <v>45078</v>
      </c>
      <c r="F43">
        <v>0</v>
      </c>
      <c r="G43">
        <v>1</v>
      </c>
      <c r="H43">
        <v>1</v>
      </c>
    </row>
    <row r="44" spans="4:8" x14ac:dyDescent="0.25">
      <c r="D44" t="s">
        <v>189</v>
      </c>
      <c r="E44" s="24">
        <v>45078</v>
      </c>
      <c r="F44">
        <v>0</v>
      </c>
      <c r="G44">
        <v>0</v>
      </c>
      <c r="H44">
        <v>0</v>
      </c>
    </row>
    <row r="45" spans="4:8" x14ac:dyDescent="0.25">
      <c r="D45" t="s">
        <v>190</v>
      </c>
      <c r="E45" s="24">
        <v>45078</v>
      </c>
      <c r="F45">
        <v>0</v>
      </c>
      <c r="G45">
        <v>1</v>
      </c>
      <c r="H45">
        <v>0</v>
      </c>
    </row>
    <row r="46" spans="4:8" x14ac:dyDescent="0.25">
      <c r="D46" t="s">
        <v>191</v>
      </c>
      <c r="E46" s="24">
        <v>45078</v>
      </c>
      <c r="F46">
        <v>0</v>
      </c>
      <c r="G46">
        <v>0</v>
      </c>
      <c r="H46">
        <v>0</v>
      </c>
    </row>
    <row r="47" spans="4:8" x14ac:dyDescent="0.25">
      <c r="D47" t="s">
        <v>192</v>
      </c>
      <c r="E47" s="24">
        <v>45078</v>
      </c>
      <c r="F47">
        <v>0</v>
      </c>
      <c r="G47">
        <v>0</v>
      </c>
      <c r="H47">
        <v>1</v>
      </c>
    </row>
    <row r="48" spans="4:8" x14ac:dyDescent="0.25">
      <c r="D48" t="s">
        <v>193</v>
      </c>
      <c r="E48" s="24">
        <v>45078</v>
      </c>
      <c r="F48">
        <v>0</v>
      </c>
      <c r="G48">
        <v>1</v>
      </c>
      <c r="H48">
        <v>1</v>
      </c>
    </row>
    <row r="49" spans="4:8" x14ac:dyDescent="0.25">
      <c r="D49" t="s">
        <v>194</v>
      </c>
      <c r="E49" s="24">
        <v>45078</v>
      </c>
      <c r="F49">
        <v>0</v>
      </c>
      <c r="G49">
        <v>1</v>
      </c>
      <c r="H49">
        <v>0</v>
      </c>
    </row>
    <row r="50" spans="4:8" x14ac:dyDescent="0.25">
      <c r="D50" t="s">
        <v>195</v>
      </c>
      <c r="E50" s="24">
        <v>45078</v>
      </c>
      <c r="F50">
        <v>0</v>
      </c>
      <c r="G50">
        <v>0</v>
      </c>
      <c r="H50">
        <v>0</v>
      </c>
    </row>
    <row r="51" spans="4:8" x14ac:dyDescent="0.25">
      <c r="D51" t="s">
        <v>196</v>
      </c>
      <c r="E51" s="24">
        <v>45078</v>
      </c>
      <c r="F51">
        <v>0</v>
      </c>
      <c r="G51">
        <v>0</v>
      </c>
      <c r="H51">
        <v>0</v>
      </c>
    </row>
    <row r="52" spans="4:8" x14ac:dyDescent="0.25">
      <c r="D52" t="s">
        <v>197</v>
      </c>
      <c r="E52" s="24">
        <v>45078</v>
      </c>
      <c r="F52">
        <v>0</v>
      </c>
      <c r="G52">
        <v>0</v>
      </c>
      <c r="H52">
        <v>1</v>
      </c>
    </row>
    <row r="53" spans="4:8" x14ac:dyDescent="0.25">
      <c r="D53" t="s">
        <v>198</v>
      </c>
      <c r="E53" s="24">
        <v>45078</v>
      </c>
      <c r="F53">
        <v>0</v>
      </c>
      <c r="G53">
        <v>1</v>
      </c>
      <c r="H53">
        <v>1</v>
      </c>
    </row>
    <row r="54" spans="4:8" x14ac:dyDescent="0.25">
      <c r="D54" t="s">
        <v>199</v>
      </c>
      <c r="E54" s="24">
        <v>45078</v>
      </c>
      <c r="F54">
        <v>0</v>
      </c>
      <c r="G54">
        <v>0</v>
      </c>
      <c r="H54">
        <v>0</v>
      </c>
    </row>
    <row r="55" spans="4:8" x14ac:dyDescent="0.25">
      <c r="D55" t="s">
        <v>200</v>
      </c>
      <c r="E55" s="24">
        <v>45078</v>
      </c>
      <c r="F55">
        <v>0</v>
      </c>
      <c r="G55">
        <v>1</v>
      </c>
      <c r="H55">
        <v>0</v>
      </c>
    </row>
    <row r="56" spans="4:8" x14ac:dyDescent="0.25">
      <c r="D56" t="s">
        <v>201</v>
      </c>
      <c r="E56" s="24">
        <v>45078</v>
      </c>
      <c r="F56">
        <v>0</v>
      </c>
      <c r="G56">
        <v>0</v>
      </c>
      <c r="H56">
        <v>0</v>
      </c>
    </row>
    <row r="57" spans="4:8" x14ac:dyDescent="0.25">
      <c r="D57" t="s">
        <v>202</v>
      </c>
      <c r="E57" s="24">
        <v>45078</v>
      </c>
      <c r="F57">
        <v>0</v>
      </c>
      <c r="G57">
        <v>0</v>
      </c>
      <c r="H57">
        <v>0</v>
      </c>
    </row>
    <row r="58" spans="4:8" x14ac:dyDescent="0.25">
      <c r="D58" t="s">
        <v>203</v>
      </c>
      <c r="E58" s="24">
        <v>45078</v>
      </c>
      <c r="F58">
        <v>0</v>
      </c>
      <c r="G58">
        <v>1</v>
      </c>
      <c r="H58">
        <v>0</v>
      </c>
    </row>
    <row r="59" spans="4:8" x14ac:dyDescent="0.25">
      <c r="D59" t="s">
        <v>144</v>
      </c>
      <c r="E59" s="24">
        <v>45078</v>
      </c>
      <c r="F59">
        <v>1</v>
      </c>
      <c r="G59">
        <v>1</v>
      </c>
      <c r="H59">
        <v>0</v>
      </c>
    </row>
    <row r="60" spans="4:8" x14ac:dyDescent="0.25">
      <c r="D60" t="s">
        <v>145</v>
      </c>
      <c r="E60" s="24">
        <v>45078</v>
      </c>
      <c r="F60">
        <v>1</v>
      </c>
      <c r="G60">
        <v>1</v>
      </c>
      <c r="H60">
        <v>0</v>
      </c>
    </row>
    <row r="61" spans="4:8" x14ac:dyDescent="0.25">
      <c r="D61" t="s">
        <v>146</v>
      </c>
      <c r="E61" s="24">
        <v>45078</v>
      </c>
      <c r="F61">
        <v>1</v>
      </c>
      <c r="G61">
        <v>1</v>
      </c>
      <c r="H61">
        <v>0</v>
      </c>
    </row>
    <row r="62" spans="4:8" x14ac:dyDescent="0.25">
      <c r="D62" t="s">
        <v>20</v>
      </c>
      <c r="E62" s="24">
        <v>45078</v>
      </c>
      <c r="F62">
        <v>1</v>
      </c>
      <c r="G62">
        <v>0</v>
      </c>
      <c r="H62">
        <v>0</v>
      </c>
    </row>
    <row r="63" spans="4:8" x14ac:dyDescent="0.25">
      <c r="D63" t="s">
        <v>47</v>
      </c>
      <c r="E63" s="24">
        <v>45078</v>
      </c>
      <c r="F63">
        <v>1</v>
      </c>
      <c r="G63">
        <v>0</v>
      </c>
      <c r="H63">
        <v>0</v>
      </c>
    </row>
    <row r="64" spans="4:8" x14ac:dyDescent="0.25">
      <c r="D64" t="s">
        <v>48</v>
      </c>
      <c r="E64" s="24">
        <v>45078</v>
      </c>
      <c r="F64">
        <v>1</v>
      </c>
      <c r="G64">
        <v>1</v>
      </c>
      <c r="H64">
        <v>0</v>
      </c>
    </row>
    <row r="65" spans="4:8" x14ac:dyDescent="0.25">
      <c r="D65" t="s">
        <v>49</v>
      </c>
      <c r="E65" s="24">
        <v>45078</v>
      </c>
      <c r="F65">
        <v>1</v>
      </c>
      <c r="G65">
        <v>1</v>
      </c>
      <c r="H65">
        <v>0</v>
      </c>
    </row>
    <row r="66" spans="4:8" x14ac:dyDescent="0.25">
      <c r="D66" t="s">
        <v>50</v>
      </c>
      <c r="E66" s="24">
        <v>45078</v>
      </c>
      <c r="F66">
        <v>1</v>
      </c>
      <c r="G66">
        <v>0</v>
      </c>
      <c r="H66">
        <v>1</v>
      </c>
    </row>
    <row r="67" spans="4:8" x14ac:dyDescent="0.25">
      <c r="D67" t="s">
        <v>51</v>
      </c>
      <c r="E67" s="24">
        <v>45078</v>
      </c>
      <c r="F67">
        <v>1</v>
      </c>
      <c r="G67">
        <v>1</v>
      </c>
      <c r="H67">
        <v>0</v>
      </c>
    </row>
    <row r="68" spans="4:8" x14ac:dyDescent="0.25">
      <c r="D68" t="s">
        <v>52</v>
      </c>
      <c r="E68" s="24">
        <v>45078</v>
      </c>
      <c r="F68">
        <v>1</v>
      </c>
      <c r="G68">
        <v>1</v>
      </c>
      <c r="H68">
        <v>0</v>
      </c>
    </row>
    <row r="69" spans="4:8" x14ac:dyDescent="0.25">
      <c r="D69" t="s">
        <v>53</v>
      </c>
      <c r="E69" s="24">
        <v>45078</v>
      </c>
      <c r="F69">
        <v>1</v>
      </c>
      <c r="G69">
        <v>1</v>
      </c>
      <c r="H69">
        <v>1</v>
      </c>
    </row>
    <row r="70" spans="4:8" x14ac:dyDescent="0.25">
      <c r="D70" t="s">
        <v>54</v>
      </c>
      <c r="E70" s="24">
        <v>45078</v>
      </c>
      <c r="F70">
        <v>1</v>
      </c>
      <c r="G70">
        <v>0</v>
      </c>
      <c r="H70">
        <v>1</v>
      </c>
    </row>
    <row r="71" spans="4:8" x14ac:dyDescent="0.25">
      <c r="D71" t="s">
        <v>55</v>
      </c>
      <c r="E71" s="24">
        <v>45078</v>
      </c>
      <c r="F71">
        <v>1</v>
      </c>
      <c r="G71">
        <v>1</v>
      </c>
      <c r="H71">
        <v>0</v>
      </c>
    </row>
    <row r="72" spans="4:8" x14ac:dyDescent="0.25">
      <c r="D72" t="s">
        <v>56</v>
      </c>
      <c r="E72" s="24">
        <v>45078</v>
      </c>
      <c r="F72">
        <v>1</v>
      </c>
      <c r="G72">
        <v>1</v>
      </c>
      <c r="H72">
        <v>0</v>
      </c>
    </row>
    <row r="73" spans="4:8" x14ac:dyDescent="0.25">
      <c r="D73" t="s">
        <v>57</v>
      </c>
      <c r="E73" s="24">
        <v>45078</v>
      </c>
      <c r="F73">
        <v>1</v>
      </c>
      <c r="G73">
        <v>1</v>
      </c>
      <c r="H73">
        <v>0</v>
      </c>
    </row>
    <row r="74" spans="4:8" x14ac:dyDescent="0.25">
      <c r="D74" t="s">
        <v>58</v>
      </c>
      <c r="E74" s="24">
        <v>45078</v>
      </c>
      <c r="F74">
        <v>1</v>
      </c>
      <c r="G74">
        <v>0</v>
      </c>
      <c r="H74">
        <v>0</v>
      </c>
    </row>
    <row r="75" spans="4:8" x14ac:dyDescent="0.25">
      <c r="D75" t="s">
        <v>59</v>
      </c>
      <c r="E75" s="24">
        <v>45078</v>
      </c>
      <c r="F75">
        <v>1</v>
      </c>
      <c r="G75">
        <v>1</v>
      </c>
      <c r="H75">
        <v>0</v>
      </c>
    </row>
    <row r="76" spans="4:8" x14ac:dyDescent="0.25">
      <c r="D76" t="s">
        <v>60</v>
      </c>
      <c r="E76" s="24">
        <v>45078</v>
      </c>
      <c r="F76">
        <v>1</v>
      </c>
      <c r="G76">
        <v>1</v>
      </c>
      <c r="H76">
        <v>0</v>
      </c>
    </row>
    <row r="77" spans="4:8" x14ac:dyDescent="0.25">
      <c r="D77" t="s">
        <v>61</v>
      </c>
      <c r="E77" s="24">
        <v>45078</v>
      </c>
      <c r="F77">
        <v>1</v>
      </c>
      <c r="G77">
        <v>1</v>
      </c>
      <c r="H77">
        <v>0</v>
      </c>
    </row>
    <row r="78" spans="4:8" x14ac:dyDescent="0.25">
      <c r="D78" t="s">
        <v>62</v>
      </c>
      <c r="E78" s="24">
        <v>45078</v>
      </c>
      <c r="F78">
        <v>1</v>
      </c>
      <c r="G78">
        <v>1</v>
      </c>
      <c r="H78">
        <v>0</v>
      </c>
    </row>
    <row r="79" spans="4:8" x14ac:dyDescent="0.25">
      <c r="D79" t="s">
        <v>63</v>
      </c>
      <c r="E79" s="24">
        <v>45078</v>
      </c>
      <c r="F79">
        <v>1</v>
      </c>
      <c r="G79">
        <v>1</v>
      </c>
      <c r="H79">
        <v>0</v>
      </c>
    </row>
    <row r="80" spans="4:8" x14ac:dyDescent="0.25">
      <c r="D80" t="s">
        <v>64</v>
      </c>
      <c r="E80" s="24">
        <v>45078</v>
      </c>
      <c r="F80">
        <v>1</v>
      </c>
      <c r="G80">
        <v>1</v>
      </c>
      <c r="H80">
        <v>0</v>
      </c>
    </row>
    <row r="81" spans="4:8" x14ac:dyDescent="0.25">
      <c r="D81" t="s">
        <v>65</v>
      </c>
      <c r="E81" s="24">
        <v>45078</v>
      </c>
      <c r="F81">
        <v>1</v>
      </c>
      <c r="G81">
        <v>0</v>
      </c>
      <c r="H81">
        <v>0</v>
      </c>
    </row>
    <row r="82" spans="4:8" x14ac:dyDescent="0.25">
      <c r="D82" t="s">
        <v>66</v>
      </c>
      <c r="E82" s="24">
        <v>45078</v>
      </c>
      <c r="F82">
        <v>1</v>
      </c>
      <c r="G82">
        <v>1</v>
      </c>
      <c r="H82">
        <v>0</v>
      </c>
    </row>
    <row r="83" spans="4:8" x14ac:dyDescent="0.25">
      <c r="D83" t="s">
        <v>67</v>
      </c>
      <c r="E83" s="24">
        <v>45078</v>
      </c>
      <c r="F83">
        <v>1</v>
      </c>
      <c r="G83">
        <v>0</v>
      </c>
      <c r="H83">
        <v>0</v>
      </c>
    </row>
    <row r="84" spans="4:8" x14ac:dyDescent="0.25">
      <c r="D84" t="s">
        <v>68</v>
      </c>
      <c r="E84" s="24">
        <v>45078</v>
      </c>
      <c r="F84">
        <v>1</v>
      </c>
      <c r="G84">
        <v>1</v>
      </c>
      <c r="H84">
        <v>0</v>
      </c>
    </row>
    <row r="85" spans="4:8" x14ac:dyDescent="0.25">
      <c r="D85" t="s">
        <v>69</v>
      </c>
      <c r="E85" s="24">
        <v>45078</v>
      </c>
      <c r="F85">
        <v>1</v>
      </c>
      <c r="G85">
        <v>1</v>
      </c>
      <c r="H85">
        <v>0</v>
      </c>
    </row>
    <row r="86" spans="4:8" x14ac:dyDescent="0.25">
      <c r="D86" t="s">
        <v>70</v>
      </c>
      <c r="E86" s="24">
        <v>45078</v>
      </c>
      <c r="F86">
        <v>1</v>
      </c>
      <c r="G86">
        <v>0</v>
      </c>
      <c r="H86">
        <v>0</v>
      </c>
    </row>
    <row r="87" spans="4:8" x14ac:dyDescent="0.25">
      <c r="D87" t="s">
        <v>71</v>
      </c>
      <c r="E87" s="24">
        <v>45078</v>
      </c>
      <c r="F87">
        <v>1</v>
      </c>
      <c r="G87">
        <v>1</v>
      </c>
      <c r="H87">
        <v>0</v>
      </c>
    </row>
    <row r="88" spans="4:8" x14ac:dyDescent="0.25">
      <c r="D88" t="s">
        <v>72</v>
      </c>
      <c r="E88" s="24">
        <v>45078</v>
      </c>
      <c r="F88">
        <v>1</v>
      </c>
      <c r="G88">
        <v>0</v>
      </c>
      <c r="H88">
        <v>0</v>
      </c>
    </row>
    <row r="89" spans="4:8" x14ac:dyDescent="0.25">
      <c r="D89" t="s">
        <v>73</v>
      </c>
      <c r="E89" s="24">
        <v>45078</v>
      </c>
      <c r="F89">
        <v>1</v>
      </c>
      <c r="G89">
        <v>1</v>
      </c>
      <c r="H89">
        <v>0</v>
      </c>
    </row>
    <row r="90" spans="4:8" x14ac:dyDescent="0.25">
      <c r="D90" t="s">
        <v>74</v>
      </c>
      <c r="E90" s="24">
        <v>45078</v>
      </c>
      <c r="F90">
        <v>1</v>
      </c>
      <c r="G90">
        <v>0</v>
      </c>
      <c r="H90">
        <v>0</v>
      </c>
    </row>
    <row r="91" spans="4:8" x14ac:dyDescent="0.25">
      <c r="D91" t="s">
        <v>75</v>
      </c>
      <c r="E91" s="24">
        <v>45078</v>
      </c>
      <c r="F91">
        <v>0</v>
      </c>
      <c r="G91">
        <v>1</v>
      </c>
      <c r="H91">
        <v>1</v>
      </c>
    </row>
    <row r="92" spans="4:8" x14ac:dyDescent="0.25">
      <c r="D92" t="s">
        <v>76</v>
      </c>
      <c r="E92" s="24">
        <v>45078</v>
      </c>
      <c r="F92">
        <v>0</v>
      </c>
      <c r="G92">
        <v>1</v>
      </c>
      <c r="H92">
        <v>0</v>
      </c>
    </row>
    <row r="93" spans="4:8" x14ac:dyDescent="0.25">
      <c r="D93" t="s">
        <v>77</v>
      </c>
      <c r="E93" s="24">
        <v>45078</v>
      </c>
      <c r="F93">
        <v>0</v>
      </c>
      <c r="G93">
        <v>0</v>
      </c>
      <c r="H93">
        <v>0</v>
      </c>
    </row>
    <row r="94" spans="4:8" x14ac:dyDescent="0.25">
      <c r="D94" t="s">
        <v>78</v>
      </c>
      <c r="E94" s="24">
        <v>45078</v>
      </c>
      <c r="F94">
        <v>0</v>
      </c>
      <c r="G94">
        <v>1</v>
      </c>
      <c r="H94">
        <v>0</v>
      </c>
    </row>
    <row r="95" spans="4:8" x14ac:dyDescent="0.25">
      <c r="D95" t="s">
        <v>79</v>
      </c>
      <c r="E95" s="24">
        <v>45078</v>
      </c>
      <c r="F95">
        <v>0</v>
      </c>
      <c r="G95">
        <v>0</v>
      </c>
      <c r="H95">
        <v>0</v>
      </c>
    </row>
    <row r="96" spans="4:8" x14ac:dyDescent="0.25">
      <c r="D96" t="s">
        <v>80</v>
      </c>
      <c r="E96" s="24">
        <v>45078</v>
      </c>
      <c r="F96">
        <v>0</v>
      </c>
      <c r="G96">
        <v>1</v>
      </c>
      <c r="H96">
        <v>0</v>
      </c>
    </row>
    <row r="97" spans="4:8" x14ac:dyDescent="0.25">
      <c r="D97" t="s">
        <v>81</v>
      </c>
      <c r="E97" s="24">
        <v>45078</v>
      </c>
      <c r="F97">
        <v>0</v>
      </c>
      <c r="G97">
        <v>0</v>
      </c>
      <c r="H97">
        <v>0</v>
      </c>
    </row>
    <row r="98" spans="4:8" x14ac:dyDescent="0.25">
      <c r="D98" t="s">
        <v>82</v>
      </c>
      <c r="E98" s="24">
        <v>45078</v>
      </c>
      <c r="F98">
        <v>0</v>
      </c>
      <c r="G98">
        <v>1</v>
      </c>
      <c r="H98">
        <v>0</v>
      </c>
    </row>
    <row r="99" spans="4:8" x14ac:dyDescent="0.25">
      <c r="D99" t="s">
        <v>83</v>
      </c>
      <c r="E99" s="24">
        <v>45078</v>
      </c>
      <c r="F99">
        <v>0</v>
      </c>
      <c r="G99">
        <v>0</v>
      </c>
      <c r="H99">
        <v>0</v>
      </c>
    </row>
    <row r="100" spans="4:8" x14ac:dyDescent="0.25">
      <c r="D100" t="s">
        <v>84</v>
      </c>
      <c r="E100" s="24">
        <v>45078</v>
      </c>
      <c r="F100">
        <v>0</v>
      </c>
      <c r="G100">
        <v>1</v>
      </c>
      <c r="H100">
        <v>0</v>
      </c>
    </row>
    <row r="101" spans="4:8" x14ac:dyDescent="0.25">
      <c r="D101" t="s">
        <v>85</v>
      </c>
      <c r="E101" s="24">
        <v>45078</v>
      </c>
      <c r="F101">
        <v>0</v>
      </c>
      <c r="G101">
        <v>0</v>
      </c>
      <c r="H101">
        <v>0</v>
      </c>
    </row>
    <row r="102" spans="4:8" x14ac:dyDescent="0.25">
      <c r="D102" t="s">
        <v>86</v>
      </c>
      <c r="E102" s="24">
        <v>45078</v>
      </c>
      <c r="F102">
        <v>0</v>
      </c>
      <c r="G102">
        <v>1</v>
      </c>
      <c r="H102">
        <v>0</v>
      </c>
    </row>
    <row r="103" spans="4:8" x14ac:dyDescent="0.25">
      <c r="D103" t="s">
        <v>87</v>
      </c>
      <c r="E103" s="24">
        <v>45078</v>
      </c>
      <c r="F103">
        <v>0</v>
      </c>
      <c r="G103">
        <v>0</v>
      </c>
      <c r="H103">
        <v>1</v>
      </c>
    </row>
    <row r="104" spans="4:8" x14ac:dyDescent="0.25">
      <c r="D104" t="s">
        <v>88</v>
      </c>
      <c r="E104" s="24">
        <v>45078</v>
      </c>
      <c r="F104">
        <v>0</v>
      </c>
      <c r="G104">
        <v>1</v>
      </c>
      <c r="H104">
        <v>1</v>
      </c>
    </row>
    <row r="105" spans="4:8" x14ac:dyDescent="0.25">
      <c r="D105" t="s">
        <v>89</v>
      </c>
      <c r="E105" s="24">
        <v>45078</v>
      </c>
      <c r="F105">
        <v>0</v>
      </c>
      <c r="G105">
        <v>0</v>
      </c>
      <c r="H105">
        <v>1</v>
      </c>
    </row>
    <row r="106" spans="4:8" x14ac:dyDescent="0.25">
      <c r="D106" t="s">
        <v>90</v>
      </c>
      <c r="E106" s="24">
        <v>45078</v>
      </c>
      <c r="F106">
        <v>0</v>
      </c>
      <c r="G106">
        <v>1</v>
      </c>
      <c r="H106">
        <v>0</v>
      </c>
    </row>
    <row r="107" spans="4:8" x14ac:dyDescent="0.25">
      <c r="D107" t="s">
        <v>91</v>
      </c>
      <c r="E107" s="24">
        <v>45078</v>
      </c>
      <c r="F107">
        <v>0</v>
      </c>
      <c r="G107">
        <v>0</v>
      </c>
      <c r="H107">
        <v>0</v>
      </c>
    </row>
    <row r="108" spans="4:8" x14ac:dyDescent="0.25">
      <c r="D108" t="s">
        <v>92</v>
      </c>
      <c r="E108" s="24">
        <v>45078</v>
      </c>
      <c r="F108">
        <v>0</v>
      </c>
      <c r="G108">
        <v>0</v>
      </c>
      <c r="H108">
        <v>0</v>
      </c>
    </row>
    <row r="109" spans="4:8" x14ac:dyDescent="0.25">
      <c r="D109" t="s">
        <v>93</v>
      </c>
      <c r="E109" s="24">
        <v>45078</v>
      </c>
      <c r="F109">
        <v>0</v>
      </c>
      <c r="G109">
        <v>1</v>
      </c>
      <c r="H109">
        <v>0</v>
      </c>
    </row>
    <row r="110" spans="4:8" x14ac:dyDescent="0.25">
      <c r="D110" t="s">
        <v>94</v>
      </c>
      <c r="E110" s="24">
        <v>45078</v>
      </c>
      <c r="F110">
        <v>0</v>
      </c>
      <c r="G110">
        <v>1</v>
      </c>
      <c r="H110">
        <v>0</v>
      </c>
    </row>
    <row r="111" spans="4:8" x14ac:dyDescent="0.25">
      <c r="D111" t="s">
        <v>95</v>
      </c>
      <c r="E111" s="24">
        <v>45078</v>
      </c>
      <c r="F111">
        <v>0</v>
      </c>
      <c r="G111">
        <v>0</v>
      </c>
      <c r="H111">
        <v>0</v>
      </c>
    </row>
    <row r="112" spans="4:8" x14ac:dyDescent="0.25">
      <c r="D112" t="s">
        <v>96</v>
      </c>
      <c r="E112" s="24">
        <v>45078</v>
      </c>
      <c r="F112">
        <v>0</v>
      </c>
      <c r="G112">
        <v>0</v>
      </c>
      <c r="H112">
        <v>0</v>
      </c>
    </row>
    <row r="113" spans="4:8" x14ac:dyDescent="0.25">
      <c r="D113" t="s">
        <v>97</v>
      </c>
      <c r="E113" s="24">
        <v>45078</v>
      </c>
      <c r="F113">
        <v>0</v>
      </c>
      <c r="G113">
        <v>0</v>
      </c>
      <c r="H113">
        <v>0</v>
      </c>
    </row>
    <row r="114" spans="4:8" x14ac:dyDescent="0.25">
      <c r="D114" t="s">
        <v>98</v>
      </c>
      <c r="E114" s="24">
        <v>45078</v>
      </c>
      <c r="F114">
        <v>0</v>
      </c>
      <c r="G114">
        <v>1</v>
      </c>
      <c r="H114">
        <v>0</v>
      </c>
    </row>
    <row r="115" spans="4:8" x14ac:dyDescent="0.25">
      <c r="D115" t="s">
        <v>99</v>
      </c>
      <c r="E115" s="24">
        <v>45078</v>
      </c>
      <c r="F115">
        <v>0</v>
      </c>
      <c r="G115">
        <v>0</v>
      </c>
      <c r="H115">
        <v>1</v>
      </c>
    </row>
    <row r="116" spans="4:8" x14ac:dyDescent="0.25">
      <c r="D116" t="s">
        <v>100</v>
      </c>
      <c r="E116" s="24">
        <v>45078</v>
      </c>
      <c r="F116">
        <v>0</v>
      </c>
      <c r="G116">
        <v>1</v>
      </c>
      <c r="H116">
        <v>0</v>
      </c>
    </row>
    <row r="117" spans="4:8" x14ac:dyDescent="0.25">
      <c r="D117" t="s">
        <v>101</v>
      </c>
      <c r="E117" s="24">
        <v>45078</v>
      </c>
      <c r="F117">
        <v>0</v>
      </c>
      <c r="G117">
        <v>0</v>
      </c>
      <c r="H117">
        <v>0</v>
      </c>
    </row>
    <row r="118" spans="4:8" x14ac:dyDescent="0.25">
      <c r="D118" t="s">
        <v>102</v>
      </c>
      <c r="E118" s="24">
        <v>45078</v>
      </c>
      <c r="F118">
        <v>0</v>
      </c>
      <c r="G118">
        <v>0</v>
      </c>
      <c r="H118">
        <v>0</v>
      </c>
    </row>
    <row r="119" spans="4:8" x14ac:dyDescent="0.25">
      <c r="D119" t="s">
        <v>103</v>
      </c>
      <c r="E119" s="24">
        <v>45078</v>
      </c>
      <c r="F119">
        <v>0</v>
      </c>
      <c r="G119">
        <v>1</v>
      </c>
      <c r="H119">
        <v>0</v>
      </c>
    </row>
    <row r="120" spans="4:8" x14ac:dyDescent="0.25">
      <c r="D120" t="s">
        <v>104</v>
      </c>
      <c r="E120" s="24">
        <v>45078</v>
      </c>
      <c r="F120">
        <v>0</v>
      </c>
      <c r="G120">
        <v>1</v>
      </c>
      <c r="H120">
        <v>1</v>
      </c>
    </row>
    <row r="121" spans="4:8" x14ac:dyDescent="0.25">
      <c r="D121" t="s">
        <v>105</v>
      </c>
      <c r="E121" s="24">
        <v>45078</v>
      </c>
      <c r="F121">
        <v>0</v>
      </c>
      <c r="G121">
        <v>1</v>
      </c>
      <c r="H121">
        <v>0</v>
      </c>
    </row>
    <row r="122" spans="4:8" x14ac:dyDescent="0.25">
      <c r="D122" t="s">
        <v>106</v>
      </c>
      <c r="E122" s="24">
        <v>45078</v>
      </c>
      <c r="F122">
        <v>0</v>
      </c>
      <c r="G122">
        <v>0</v>
      </c>
      <c r="H122">
        <v>0</v>
      </c>
    </row>
    <row r="123" spans="4:8" x14ac:dyDescent="0.25">
      <c r="D123" t="s">
        <v>107</v>
      </c>
      <c r="E123" s="24">
        <v>45078</v>
      </c>
      <c r="F123">
        <v>0</v>
      </c>
      <c r="G123">
        <v>0</v>
      </c>
      <c r="H123">
        <v>0</v>
      </c>
    </row>
    <row r="124" spans="4:8" x14ac:dyDescent="0.25">
      <c r="D124" t="s">
        <v>108</v>
      </c>
      <c r="E124" s="24">
        <v>45078</v>
      </c>
      <c r="F124">
        <v>0</v>
      </c>
      <c r="G124">
        <v>1</v>
      </c>
      <c r="H124">
        <v>0</v>
      </c>
    </row>
    <row r="125" spans="4:8" x14ac:dyDescent="0.25">
      <c r="D125" t="s">
        <v>109</v>
      </c>
      <c r="E125" s="24">
        <v>45078</v>
      </c>
      <c r="F125">
        <v>0</v>
      </c>
      <c r="G125">
        <v>1</v>
      </c>
      <c r="H125">
        <v>1</v>
      </c>
    </row>
    <row r="126" spans="4:8" x14ac:dyDescent="0.25">
      <c r="D126" t="s">
        <v>110</v>
      </c>
      <c r="E126" s="24">
        <v>45078</v>
      </c>
      <c r="F126">
        <v>0</v>
      </c>
      <c r="G126">
        <v>1</v>
      </c>
      <c r="H126">
        <v>0</v>
      </c>
    </row>
    <row r="127" spans="4:8" x14ac:dyDescent="0.25">
      <c r="D127" t="s">
        <v>111</v>
      </c>
      <c r="E127" s="24">
        <v>45078</v>
      </c>
      <c r="F127">
        <v>0</v>
      </c>
      <c r="G127">
        <v>1</v>
      </c>
      <c r="H127">
        <v>0</v>
      </c>
    </row>
    <row r="128" spans="4:8" x14ac:dyDescent="0.25">
      <c r="D128" t="s">
        <v>112</v>
      </c>
      <c r="E128" s="24">
        <v>45078</v>
      </c>
      <c r="F128">
        <v>0</v>
      </c>
      <c r="G128">
        <v>1</v>
      </c>
      <c r="H128">
        <v>0</v>
      </c>
    </row>
    <row r="129" spans="4:8" x14ac:dyDescent="0.25">
      <c r="D129" t="s">
        <v>113</v>
      </c>
      <c r="E129" s="24">
        <v>45078</v>
      </c>
      <c r="F129">
        <v>0</v>
      </c>
      <c r="G129">
        <v>1</v>
      </c>
      <c r="H129">
        <v>0</v>
      </c>
    </row>
    <row r="130" spans="4:8" x14ac:dyDescent="0.25">
      <c r="D130" t="s">
        <v>114</v>
      </c>
      <c r="E130" s="24">
        <v>45078</v>
      </c>
      <c r="F130">
        <v>0</v>
      </c>
      <c r="G130">
        <v>1</v>
      </c>
      <c r="H130">
        <v>0</v>
      </c>
    </row>
    <row r="131" spans="4:8" x14ac:dyDescent="0.25">
      <c r="D131" t="s">
        <v>115</v>
      </c>
      <c r="E131" s="24">
        <v>45078</v>
      </c>
      <c r="F131">
        <v>0</v>
      </c>
      <c r="G131">
        <v>1</v>
      </c>
      <c r="H131">
        <v>0</v>
      </c>
    </row>
    <row r="132" spans="4:8" x14ac:dyDescent="0.25">
      <c r="D132" t="s">
        <v>116</v>
      </c>
      <c r="E132" s="24">
        <v>45078</v>
      </c>
      <c r="F132">
        <v>0</v>
      </c>
      <c r="G132">
        <v>1</v>
      </c>
      <c r="H132">
        <v>0</v>
      </c>
    </row>
    <row r="133" spans="4:8" x14ac:dyDescent="0.25">
      <c r="D133" t="s">
        <v>117</v>
      </c>
      <c r="E133" s="24">
        <v>45078</v>
      </c>
      <c r="F133">
        <v>0</v>
      </c>
      <c r="G133">
        <v>1</v>
      </c>
      <c r="H133">
        <v>0</v>
      </c>
    </row>
    <row r="134" spans="4:8" x14ac:dyDescent="0.25">
      <c r="D134" t="s">
        <v>118</v>
      </c>
      <c r="E134" s="24">
        <v>45078</v>
      </c>
      <c r="F134">
        <v>0</v>
      </c>
      <c r="G134">
        <v>1</v>
      </c>
      <c r="H134">
        <v>0</v>
      </c>
    </row>
    <row r="135" spans="4:8" x14ac:dyDescent="0.25">
      <c r="D135" t="s">
        <v>119</v>
      </c>
      <c r="E135" s="24">
        <v>45078</v>
      </c>
      <c r="F135">
        <v>0</v>
      </c>
      <c r="G135">
        <v>0</v>
      </c>
      <c r="H135">
        <v>0</v>
      </c>
    </row>
    <row r="136" spans="4:8" x14ac:dyDescent="0.25">
      <c r="D136" t="s">
        <v>120</v>
      </c>
      <c r="E136" s="24">
        <v>45078</v>
      </c>
      <c r="F136">
        <v>0</v>
      </c>
      <c r="G136">
        <v>1</v>
      </c>
      <c r="H136">
        <v>0</v>
      </c>
    </row>
    <row r="137" spans="4:8" x14ac:dyDescent="0.25">
      <c r="D137" t="s">
        <v>121</v>
      </c>
      <c r="E137" s="24">
        <v>45078</v>
      </c>
      <c r="F137">
        <v>0</v>
      </c>
      <c r="G137">
        <v>1</v>
      </c>
      <c r="H137">
        <v>0</v>
      </c>
    </row>
    <row r="138" spans="4:8" x14ac:dyDescent="0.25">
      <c r="D138" t="s">
        <v>122</v>
      </c>
      <c r="E138" s="24">
        <v>45078</v>
      </c>
      <c r="F138">
        <v>0</v>
      </c>
      <c r="G138">
        <v>1</v>
      </c>
      <c r="H138">
        <v>0</v>
      </c>
    </row>
    <row r="139" spans="4:8" x14ac:dyDescent="0.25">
      <c r="D139" t="s">
        <v>123</v>
      </c>
      <c r="E139" s="24">
        <v>45078</v>
      </c>
      <c r="F139">
        <v>0</v>
      </c>
      <c r="G139">
        <v>1</v>
      </c>
      <c r="H139">
        <v>0</v>
      </c>
    </row>
    <row r="140" spans="4:8" x14ac:dyDescent="0.25">
      <c r="D140" t="s">
        <v>124</v>
      </c>
      <c r="E140" s="24">
        <v>45078</v>
      </c>
      <c r="F140">
        <v>0</v>
      </c>
      <c r="G140">
        <v>1</v>
      </c>
      <c r="H140">
        <v>0</v>
      </c>
    </row>
    <row r="141" spans="4:8" x14ac:dyDescent="0.25">
      <c r="D141" t="s">
        <v>125</v>
      </c>
      <c r="E141" s="24">
        <v>45078</v>
      </c>
      <c r="F141">
        <v>0</v>
      </c>
      <c r="G141">
        <v>1</v>
      </c>
      <c r="H141">
        <v>0</v>
      </c>
    </row>
    <row r="142" spans="4:8" x14ac:dyDescent="0.25">
      <c r="D142" t="s">
        <v>126</v>
      </c>
      <c r="E142" s="24">
        <v>45078</v>
      </c>
      <c r="F142">
        <v>0</v>
      </c>
      <c r="G142">
        <v>0</v>
      </c>
      <c r="H142">
        <v>0</v>
      </c>
    </row>
    <row r="143" spans="4:8" x14ac:dyDescent="0.25">
      <c r="D143" t="s">
        <v>127</v>
      </c>
      <c r="E143" s="24">
        <v>45078</v>
      </c>
      <c r="F143">
        <v>0</v>
      </c>
      <c r="G143">
        <v>1</v>
      </c>
      <c r="H143">
        <v>0</v>
      </c>
    </row>
    <row r="144" spans="4:8" x14ac:dyDescent="0.25">
      <c r="D144" t="s">
        <v>128</v>
      </c>
      <c r="E144" s="24">
        <v>45078</v>
      </c>
      <c r="F144">
        <v>0</v>
      </c>
      <c r="G144">
        <v>0</v>
      </c>
      <c r="H144">
        <v>0</v>
      </c>
    </row>
    <row r="145" spans="4:8" x14ac:dyDescent="0.25">
      <c r="D145" t="s">
        <v>129</v>
      </c>
      <c r="E145" s="24">
        <v>45078</v>
      </c>
      <c r="F145">
        <v>0</v>
      </c>
      <c r="G145">
        <v>1</v>
      </c>
      <c r="H145">
        <v>0</v>
      </c>
    </row>
    <row r="146" spans="4:8" x14ac:dyDescent="0.25">
      <c r="D146" t="s">
        <v>130</v>
      </c>
      <c r="E146" s="24">
        <v>45078</v>
      </c>
      <c r="F146">
        <v>0</v>
      </c>
      <c r="G146">
        <v>1</v>
      </c>
      <c r="H146">
        <v>0</v>
      </c>
    </row>
    <row r="147" spans="4:8" x14ac:dyDescent="0.25">
      <c r="D147" t="s">
        <v>131</v>
      </c>
      <c r="E147" s="24">
        <v>45078</v>
      </c>
      <c r="F147">
        <v>0</v>
      </c>
      <c r="G147">
        <v>0</v>
      </c>
      <c r="H147">
        <v>0</v>
      </c>
    </row>
    <row r="148" spans="4:8" x14ac:dyDescent="0.25">
      <c r="D148" t="s">
        <v>132</v>
      </c>
      <c r="E148" s="24">
        <v>45078</v>
      </c>
      <c r="F148">
        <v>0</v>
      </c>
      <c r="G148">
        <v>1</v>
      </c>
      <c r="H148">
        <v>0</v>
      </c>
    </row>
    <row r="149" spans="4:8" x14ac:dyDescent="0.25">
      <c r="D149" t="s">
        <v>133</v>
      </c>
      <c r="E149" s="24">
        <v>45078</v>
      </c>
      <c r="F149">
        <v>0</v>
      </c>
      <c r="G149">
        <v>0</v>
      </c>
      <c r="H149">
        <v>0</v>
      </c>
    </row>
    <row r="150" spans="4:8" x14ac:dyDescent="0.25">
      <c r="D150" t="s">
        <v>134</v>
      </c>
      <c r="E150" s="24">
        <v>45078</v>
      </c>
      <c r="F150">
        <v>0</v>
      </c>
      <c r="G150">
        <v>1</v>
      </c>
      <c r="H150">
        <v>0</v>
      </c>
    </row>
    <row r="151" spans="4:8" x14ac:dyDescent="0.25">
      <c r="D151" t="s">
        <v>135</v>
      </c>
      <c r="E151" s="24">
        <v>45078</v>
      </c>
      <c r="F151">
        <v>0</v>
      </c>
      <c r="G151">
        <v>0</v>
      </c>
      <c r="H151">
        <v>1</v>
      </c>
    </row>
    <row r="152" spans="4:8" x14ac:dyDescent="0.25">
      <c r="D152" t="s">
        <v>136</v>
      </c>
      <c r="E152" s="24">
        <v>45078</v>
      </c>
      <c r="F152">
        <v>0</v>
      </c>
      <c r="G152">
        <v>1</v>
      </c>
      <c r="H152">
        <v>0</v>
      </c>
    </row>
    <row r="153" spans="4:8" x14ac:dyDescent="0.25">
      <c r="D153" t="s">
        <v>137</v>
      </c>
      <c r="E153" s="24">
        <v>45078</v>
      </c>
      <c r="F153">
        <v>0</v>
      </c>
      <c r="G153">
        <v>1</v>
      </c>
      <c r="H153">
        <v>0</v>
      </c>
    </row>
    <row r="154" spans="4:8" x14ac:dyDescent="0.25">
      <c r="D154" t="s">
        <v>138</v>
      </c>
      <c r="E154" s="24">
        <v>45078</v>
      </c>
      <c r="F154">
        <v>0</v>
      </c>
      <c r="G154">
        <v>0</v>
      </c>
      <c r="H154">
        <v>0</v>
      </c>
    </row>
    <row r="155" spans="4:8" x14ac:dyDescent="0.25">
      <c r="D155" t="s">
        <v>139</v>
      </c>
      <c r="E155" s="24">
        <v>45078</v>
      </c>
      <c r="F155">
        <v>0</v>
      </c>
      <c r="G155">
        <v>1</v>
      </c>
      <c r="H155">
        <v>1</v>
      </c>
    </row>
    <row r="156" spans="4:8" x14ac:dyDescent="0.25">
      <c r="D156" t="s">
        <v>140</v>
      </c>
      <c r="E156" s="24">
        <v>45078</v>
      </c>
      <c r="F156">
        <v>0</v>
      </c>
      <c r="G156">
        <v>0</v>
      </c>
      <c r="H156">
        <v>1</v>
      </c>
    </row>
    <row r="157" spans="4:8" x14ac:dyDescent="0.25">
      <c r="D157" t="s">
        <v>141</v>
      </c>
      <c r="E157" s="24">
        <v>45078</v>
      </c>
      <c r="F157">
        <v>0</v>
      </c>
      <c r="G157">
        <v>1</v>
      </c>
      <c r="H157">
        <v>1</v>
      </c>
    </row>
    <row r="158" spans="4:8" x14ac:dyDescent="0.25">
      <c r="D158" t="s">
        <v>142</v>
      </c>
      <c r="E158" s="24">
        <v>45078</v>
      </c>
      <c r="F158">
        <v>0</v>
      </c>
      <c r="G158">
        <v>0</v>
      </c>
      <c r="H158">
        <v>0</v>
      </c>
    </row>
    <row r="159" spans="4:8" x14ac:dyDescent="0.25">
      <c r="D159" t="s">
        <v>143</v>
      </c>
      <c r="E159" s="24">
        <v>45078</v>
      </c>
      <c r="F159">
        <v>0</v>
      </c>
      <c r="G159">
        <v>1</v>
      </c>
      <c r="H159">
        <v>1</v>
      </c>
    </row>
  </sheetData>
  <sortState ref="AA2:AA9">
    <sortCondition ref="AA9"/>
  </sortState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LISTAS!$B$2:$B$3</xm:f>
          </x14:formula1>
          <xm:sqref>F2:I3001</xm:sqref>
        </x14:dataValidation>
        <x14:dataValidation type="list" showInputMessage="1" showErrorMessage="1">
          <x14:formula1>
            <xm:f>LISTAS!$A$2:$A$9</xm:f>
          </x14:formula1>
          <xm:sqref>J2:J3001</xm:sqref>
        </x14:dataValidation>
        <x14:dataValidation type="list" showInputMessage="1" showErrorMessage="1">
          <x14:formula1>
            <xm:f>LISTAS!$E$2:$E$160</xm:f>
          </x14:formula1>
          <xm:sqref>D2:D3001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4"/>
  <sheetViews>
    <sheetView tabSelected="1" zoomScaleNormal="100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5" max="5" width="10.7109375" bestFit="1" customWidth="1"/>
    <col min="6" max="6" width="10.85546875" style="12" bestFit="1" customWidth="1"/>
    <col min="7" max="8" width="9.7109375" style="12" customWidth="1"/>
    <col min="9" max="9" width="14.140625" style="12" bestFit="1" customWidth="1"/>
    <col min="15" max="15" width="10.85546875" bestFit="1" customWidth="1"/>
    <col min="16" max="16" width="9.7109375" customWidth="1"/>
    <col min="17" max="17" width="13.140625" customWidth="1"/>
    <col min="18" max="18" width="10.5703125" customWidth="1"/>
    <col min="20" max="21" width="12.42578125" customWidth="1"/>
    <col min="22" max="22" width="9.140625" bestFit="1" customWidth="1"/>
    <col min="25" max="25" width="10.7109375" bestFit="1" customWidth="1"/>
  </cols>
  <sheetData>
    <row r="1" spans="1:29" x14ac:dyDescent="0.25">
      <c r="A1" s="27" t="s">
        <v>29</v>
      </c>
      <c r="B1" s="28"/>
      <c r="C1" s="28"/>
      <c r="D1" s="28"/>
      <c r="E1" s="5" t="s">
        <v>30</v>
      </c>
      <c r="F1" s="6" t="s">
        <v>31</v>
      </c>
      <c r="G1" s="7" t="s">
        <v>32</v>
      </c>
      <c r="H1" s="6" t="s">
        <v>33</v>
      </c>
      <c r="I1" s="8">
        <f>'[1]ATA REUNIÃO PCM 27.06'!P3</f>
        <v>45104</v>
      </c>
      <c r="J1" s="27" t="s">
        <v>34</v>
      </c>
      <c r="K1" s="28"/>
      <c r="L1" s="28"/>
      <c r="M1" s="28"/>
      <c r="N1" s="5" t="s">
        <v>30</v>
      </c>
      <c r="O1" s="6" t="s">
        <v>31</v>
      </c>
      <c r="P1" s="7" t="s">
        <v>32</v>
      </c>
      <c r="Q1" s="27" t="s">
        <v>35</v>
      </c>
      <c r="R1" s="28"/>
      <c r="S1" s="28"/>
      <c r="T1" s="28"/>
      <c r="U1" s="6" t="s">
        <v>206</v>
      </c>
      <c r="V1" s="7" t="s">
        <v>32</v>
      </c>
      <c r="W1" s="9"/>
      <c r="X1" s="9"/>
      <c r="Y1" s="9"/>
      <c r="Z1" s="9"/>
      <c r="AA1" s="9"/>
      <c r="AB1" s="9"/>
      <c r="AC1" s="9"/>
    </row>
    <row r="2" spans="1:29" x14ac:dyDescent="0.25">
      <c r="A2" s="25">
        <v>45078</v>
      </c>
      <c r="B2" s="25"/>
      <c r="C2" s="25"/>
      <c r="D2" s="25"/>
      <c r="E2" s="11">
        <f>COUNTA(LISTAS!$H$2:$H$10,LISTAS!$I$2:$I$30)</f>
        <v>21</v>
      </c>
      <c r="F2" s="12">
        <f>SUMIFS(Tabela1[DISPONÍVEL],Tabela1[[DATA]:[DATA]],VLOOKUP(A2,Tabela1[[DATA]:[DATA]],1),Tabela1[[DISPONIBILIDADE]:[DISPONIBILIDADE]],1,Tabela1[[BEM MNT]:[BEM MNT]],LISTAS!$H$2:$H$10)+SUMIFS(Tabela1[DISPONÍVEL],Tabela1[[DATA]:[DATA]],VLOOKUP(A2,Tabela1[[DATA]:[DATA]],1),Tabela1[[DISPONIBILIDADE]:[DISPONIBILIDADE]],1,Tabela1[[BEM MNT]:[BEM MNT]],LISTAS!$I$2:$I$30)</f>
        <v>2</v>
      </c>
      <c r="G2" s="13">
        <f>F2/E2</f>
        <v>9.5238095238095233E-2</v>
      </c>
      <c r="H2" s="1" t="s">
        <v>36</v>
      </c>
      <c r="I2" s="14" t="s">
        <v>37</v>
      </c>
      <c r="J2" s="25">
        <v>45078</v>
      </c>
      <c r="K2" s="25"/>
      <c r="L2" s="25"/>
      <c r="M2" s="25"/>
      <c r="N2" s="21" t="e">
        <f>SUMIFS(Tabela1[DISPONIBILIDADE],Tabela1[[DATA]:[DATA]],VLOOKUP(J2,Tabela1[[DATA]:[DATA]],1),Tabela1[[DISPONIBILIDADE]:[DISPONIBILIDADE]],1,LISTAS!F2:F120,"CM*")</f>
        <v>#VALUE!</v>
      </c>
      <c r="O2" s="21">
        <f>SUMIFS(Tabela1[DISPONÍVEL],Tabela1[[DATA]:[DATA]],VLOOKUP(J2,Tabela1[[DATA]:[DATA]],1),Tabela1[[DISPONIBILIDADE]:[DISPONIBILIDADE]],1)</f>
        <v>38</v>
      </c>
      <c r="P2" s="15">
        <v>0.64</v>
      </c>
      <c r="Q2" s="25">
        <v>45078</v>
      </c>
      <c r="R2" s="25"/>
      <c r="S2" s="25"/>
      <c r="T2" s="25"/>
      <c r="U2" s="21">
        <f>SUMIFS(Tabela1[DISPONÍVEL],Tabela1[[DATA]:[DATA]],VLOOKUP(Q2,Tabela1[[DATA]:[DATA]],1),Tabela1[[AGUARDANDO PEÇAS]:[AGUARDANDO PEÇAS]],1)</f>
        <v>26</v>
      </c>
      <c r="V2" s="16">
        <v>10</v>
      </c>
      <c r="Y2" s="24"/>
    </row>
    <row r="3" spans="1:29" x14ac:dyDescent="0.25">
      <c r="A3" s="25">
        <v>45079</v>
      </c>
      <c r="B3" s="25"/>
      <c r="C3" s="25"/>
      <c r="D3" s="25"/>
      <c r="E3" s="11">
        <f>COUNTA(LISTAS!$H$2:$H$10,LISTAS!$I$2:$I$30)</f>
        <v>21</v>
      </c>
      <c r="F3" s="12">
        <f>SUMIFS(Tabela1[DISPONÍVEL],Tabela1[[DATA]:[DATA]],VLOOKUP(A3,Tabela1[[DATA]:[DATA]],1),Tabela1[[DISPONIBILIDADE]:[DISPONIBILIDADE]],1)</f>
        <v>38</v>
      </c>
      <c r="G3" s="17">
        <f t="shared" ref="G3" si="0">F3/E3</f>
        <v>1.8095238095238095</v>
      </c>
      <c r="H3" s="1" t="s">
        <v>38</v>
      </c>
      <c r="I3" s="14" t="s">
        <v>13</v>
      </c>
      <c r="J3" s="25">
        <v>45079</v>
      </c>
      <c r="K3" s="25"/>
      <c r="L3" s="25"/>
      <c r="M3" s="25"/>
      <c r="N3" s="10"/>
      <c r="O3" s="10"/>
      <c r="P3" s="15">
        <v>0.79</v>
      </c>
      <c r="Q3" s="25">
        <v>45079</v>
      </c>
      <c r="R3" s="25"/>
      <c r="S3" s="25"/>
      <c r="T3" s="25"/>
      <c r="U3" s="21">
        <f>SUMIFS(Tabela1[DISPONÍVEL],Tabela1[[DATA]:[DATA]],VLOOKUP(Q3,Tabela1[[DATA]:[DATA]],1),Tabela1[[AGUARDANDO PEÇAS]:[AGUARDANDO PEÇAS]],1)</f>
        <v>26</v>
      </c>
      <c r="V3" s="16">
        <v>8</v>
      </c>
    </row>
    <row r="4" spans="1:29" x14ac:dyDescent="0.25">
      <c r="A4" s="25">
        <v>45080</v>
      </c>
      <c r="B4" s="25"/>
      <c r="C4" s="25"/>
      <c r="D4" s="25"/>
      <c r="E4" s="11">
        <f>COUNTA(LISTAS!$H$2:$H$10,LISTAS!$I$2:$I$30)</f>
        <v>21</v>
      </c>
      <c r="F4" s="12">
        <f>SUMIFS(Tabela1[DISPONÍVEL],Tabela1[[DATA]:[DATA]],VLOOKUP(A4,Tabela1[[DATA]:[DATA]],1),Tabela1[[DISPONIBILIDADE]:[DISPONIBILIDADE]],1)</f>
        <v>38</v>
      </c>
      <c r="G4" s="17">
        <f>F4/E4</f>
        <v>1.8095238095238095</v>
      </c>
      <c r="H4" s="1" t="s">
        <v>39</v>
      </c>
      <c r="I4" s="14" t="s">
        <v>37</v>
      </c>
      <c r="J4" s="25">
        <v>45080</v>
      </c>
      <c r="K4" s="25"/>
      <c r="L4" s="25"/>
      <c r="M4" s="25"/>
      <c r="N4" s="10"/>
      <c r="O4" s="10"/>
      <c r="P4" s="15">
        <v>0.79</v>
      </c>
      <c r="Q4" s="25">
        <v>45080</v>
      </c>
      <c r="R4" s="25"/>
      <c r="S4" s="25"/>
      <c r="T4" s="25"/>
      <c r="U4" s="21">
        <f>SUMIFS(Tabela1[DISPONÍVEL],Tabela1[[DATA]:[DATA]],VLOOKUP(Q4,Tabela1[[DATA]:[DATA]],1),Tabela1[[AGUARDANDO PEÇAS]:[AGUARDANDO PEÇAS]],1)</f>
        <v>26</v>
      </c>
      <c r="V4" s="16">
        <v>8</v>
      </c>
    </row>
    <row r="5" spans="1:29" x14ac:dyDescent="0.25">
      <c r="A5" s="25">
        <v>45081</v>
      </c>
      <c r="B5" s="25"/>
      <c r="C5" s="25"/>
      <c r="D5" s="25"/>
      <c r="E5" s="11">
        <f>COUNTA(LISTAS!$H$2:$H$10,LISTAS!$I$2:$I$30)</f>
        <v>21</v>
      </c>
      <c r="F5" s="12">
        <f>SUMIFS(Tabela1[DISPONÍVEL],Tabela1[[DATA]:[DATA]],VLOOKUP(A5,Tabela1[[DATA]:[DATA]],1),Tabela1[[DISPONIBILIDADE]:[DISPONIBILIDADE]],1)</f>
        <v>38</v>
      </c>
      <c r="G5" s="17">
        <f t="shared" ref="G5:G32" si="1">F5/E5</f>
        <v>1.8095238095238095</v>
      </c>
      <c r="H5" s="18" t="s">
        <v>40</v>
      </c>
      <c r="I5" s="18" t="s">
        <v>13</v>
      </c>
      <c r="J5" s="25">
        <v>45081</v>
      </c>
      <c r="K5" s="25"/>
      <c r="L5" s="25"/>
      <c r="M5" s="25"/>
      <c r="N5" s="10"/>
      <c r="O5" s="10"/>
      <c r="P5" s="15">
        <v>0.79</v>
      </c>
      <c r="Q5" s="25">
        <v>45081</v>
      </c>
      <c r="R5" s="25"/>
      <c r="S5" s="25"/>
      <c r="T5" s="25"/>
      <c r="U5" s="21">
        <f>SUMIFS(Tabela1[DISPONÍVEL],Tabela1[[DATA]:[DATA]],VLOOKUP(Q5,Tabela1[[DATA]:[DATA]],1),Tabela1[[AGUARDANDO PEÇAS]:[AGUARDANDO PEÇAS]],1)</f>
        <v>26</v>
      </c>
      <c r="V5" s="16">
        <v>8</v>
      </c>
    </row>
    <row r="6" spans="1:29" x14ac:dyDescent="0.25">
      <c r="A6" s="25">
        <v>45082</v>
      </c>
      <c r="B6" s="25"/>
      <c r="C6" s="25"/>
      <c r="D6" s="25"/>
      <c r="E6" s="11">
        <f>COUNTA(LISTAS!$H$2:$H$10,LISTAS!$I$2:$I$30)</f>
        <v>21</v>
      </c>
      <c r="F6" s="12">
        <f>SUMIFS(Tabela1[DISPONÍVEL],Tabela1[[DATA]:[DATA]],VLOOKUP(A6,Tabela1[[DATA]:[DATA]],1),Tabela1[[DISPONIBILIDADE]:[DISPONIBILIDADE]],1)</f>
        <v>38</v>
      </c>
      <c r="G6" s="17">
        <f t="shared" si="1"/>
        <v>1.8095238095238095</v>
      </c>
      <c r="H6" s="1" t="s">
        <v>41</v>
      </c>
      <c r="I6" s="14" t="s">
        <v>13</v>
      </c>
      <c r="J6" s="25">
        <v>45082</v>
      </c>
      <c r="K6" s="25"/>
      <c r="L6" s="25"/>
      <c r="M6" s="25"/>
      <c r="N6" s="10"/>
      <c r="O6" s="10"/>
      <c r="P6" s="15">
        <v>0.71</v>
      </c>
      <c r="Q6" s="25">
        <v>45082</v>
      </c>
      <c r="R6" s="25"/>
      <c r="S6" s="25"/>
      <c r="T6" s="25"/>
      <c r="U6" s="21">
        <f>SUMIFS(Tabela1[DISPONÍVEL],Tabela1[[DATA]:[DATA]],VLOOKUP(Q6,Tabela1[[DATA]:[DATA]],1),Tabela1[[AGUARDANDO PEÇAS]:[AGUARDANDO PEÇAS]],1)</f>
        <v>26</v>
      </c>
      <c r="V6" s="16">
        <v>8</v>
      </c>
    </row>
    <row r="7" spans="1:29" x14ac:dyDescent="0.25">
      <c r="A7" s="25">
        <v>45083</v>
      </c>
      <c r="B7" s="25"/>
      <c r="C7" s="25"/>
      <c r="D7" s="25"/>
      <c r="E7" s="11">
        <f>COUNTA(LISTAS!$H$2:$H$10,LISTAS!$I$2:$I$30)</f>
        <v>21</v>
      </c>
      <c r="F7" s="12">
        <f>SUMIFS(Tabela1[DISPONÍVEL],Tabela1[[DATA]:[DATA]],VLOOKUP(A7,Tabela1[[DATA]:[DATA]],1),Tabela1[[DISPONIBILIDADE]:[DISPONIBILIDADE]],1)</f>
        <v>38</v>
      </c>
      <c r="G7" s="17">
        <f t="shared" si="1"/>
        <v>1.8095238095238095</v>
      </c>
      <c r="H7" s="14" t="s">
        <v>42</v>
      </c>
      <c r="I7" s="14" t="s">
        <v>13</v>
      </c>
      <c r="J7" s="25">
        <v>45083</v>
      </c>
      <c r="K7" s="25"/>
      <c r="L7" s="25"/>
      <c r="M7" s="25"/>
      <c r="N7" s="10"/>
      <c r="O7" s="10"/>
      <c r="P7" s="15">
        <v>0.74</v>
      </c>
      <c r="Q7" s="25">
        <v>45083</v>
      </c>
      <c r="R7" s="25"/>
      <c r="S7" s="25"/>
      <c r="T7" s="25"/>
      <c r="U7" s="21">
        <f>SUMIFS(Tabela1[DISPONÍVEL],Tabela1[[DATA]:[DATA]],VLOOKUP(Q7,Tabela1[[DATA]:[DATA]],1),Tabela1[[AGUARDANDO PEÇAS]:[AGUARDANDO PEÇAS]],1)</f>
        <v>26</v>
      </c>
      <c r="V7" s="16">
        <v>8</v>
      </c>
    </row>
    <row r="8" spans="1:29" x14ac:dyDescent="0.25">
      <c r="A8" s="25">
        <v>45084</v>
      </c>
      <c r="B8" s="25"/>
      <c r="C8" s="25"/>
      <c r="D8" s="25"/>
      <c r="E8" s="11">
        <f>COUNTA(LISTAS!$H$2:$H$10,LISTAS!$I$2:$I$30)</f>
        <v>21</v>
      </c>
      <c r="F8" s="12">
        <f>SUMIFS(Tabela1[DISPONÍVEL],Tabela1[[DATA]:[DATA]],VLOOKUP(A8,Tabela1[[DATA]:[DATA]],1),Tabela1[[DISPONIBILIDADE]:[DISPONIBILIDADE]],1)</f>
        <v>38</v>
      </c>
      <c r="G8" s="17">
        <f t="shared" si="1"/>
        <v>1.8095238095238095</v>
      </c>
      <c r="H8" s="1" t="s">
        <v>43</v>
      </c>
      <c r="I8" s="14" t="s">
        <v>37</v>
      </c>
      <c r="J8" s="25">
        <v>45084</v>
      </c>
      <c r="K8" s="25"/>
      <c r="L8" s="25"/>
      <c r="M8" s="25"/>
      <c r="N8" s="10"/>
      <c r="O8" s="10"/>
      <c r="P8" s="15">
        <v>0.7</v>
      </c>
      <c r="Q8" s="25">
        <v>45084</v>
      </c>
      <c r="R8" s="25"/>
      <c r="S8" s="25"/>
      <c r="T8" s="25"/>
      <c r="U8" s="21">
        <f>SUMIFS(Tabela1[DISPONÍVEL],Tabela1[[DATA]:[DATA]],VLOOKUP(Q8,Tabela1[[DATA]:[DATA]],1),Tabela1[[AGUARDANDO PEÇAS]:[AGUARDANDO PEÇAS]],1)</f>
        <v>26</v>
      </c>
      <c r="V8" s="16">
        <v>7</v>
      </c>
    </row>
    <row r="9" spans="1:29" x14ac:dyDescent="0.25">
      <c r="A9" s="25">
        <v>45085</v>
      </c>
      <c r="B9" s="25"/>
      <c r="C9" s="25"/>
      <c r="D9" s="25"/>
      <c r="E9" s="11">
        <f>COUNTA(LISTAS!$H$2:$H$10,LISTAS!$I$2:$I$30)</f>
        <v>21</v>
      </c>
      <c r="F9" s="12">
        <f>SUMIFS(Tabela1[DISPONÍVEL],Tabela1[[DATA]:[DATA]],VLOOKUP(A9,Tabela1[[DATA]:[DATA]],1),Tabela1[[DISPONIBILIDADE]:[DISPONIBILIDADE]],1)</f>
        <v>38</v>
      </c>
      <c r="G9" s="17">
        <f t="shared" si="1"/>
        <v>1.8095238095238095</v>
      </c>
      <c r="H9" s="18" t="s">
        <v>44</v>
      </c>
      <c r="I9" s="18" t="s">
        <v>13</v>
      </c>
      <c r="J9" s="25">
        <v>45085</v>
      </c>
      <c r="K9" s="25"/>
      <c r="L9" s="25"/>
      <c r="M9" s="25"/>
      <c r="N9" s="10"/>
      <c r="O9" s="10"/>
      <c r="P9" s="15">
        <v>0.73</v>
      </c>
      <c r="Q9" s="25">
        <v>45085</v>
      </c>
      <c r="R9" s="25"/>
      <c r="S9" s="25"/>
      <c r="T9" s="25"/>
      <c r="U9" s="21">
        <f>SUMIFS(Tabela1[DISPONÍVEL],Tabela1[[DATA]:[DATA]],VLOOKUP(Q9,Tabela1[[DATA]:[DATA]],1),Tabela1[[AGUARDANDO PEÇAS]:[AGUARDANDO PEÇAS]],1)</f>
        <v>26</v>
      </c>
      <c r="V9" s="16">
        <v>5</v>
      </c>
    </row>
    <row r="10" spans="1:29" x14ac:dyDescent="0.25">
      <c r="A10" s="25">
        <v>45086</v>
      </c>
      <c r="B10" s="25"/>
      <c r="C10" s="25"/>
      <c r="D10" s="25"/>
      <c r="E10" s="11">
        <f>COUNTA(LISTAS!$H$2:$H$10,LISTAS!$I$2:$I$30)</f>
        <v>21</v>
      </c>
      <c r="F10" s="12">
        <f>SUMIFS(Tabela1[DISPONÍVEL],Tabela1[[DATA]:[DATA]],VLOOKUP(A10,Tabela1[[DATA]:[DATA]],1),Tabela1[[DISPONIBILIDADE]:[DISPONIBILIDADE]],1)</f>
        <v>38</v>
      </c>
      <c r="G10" s="17">
        <f t="shared" si="1"/>
        <v>1.8095238095238095</v>
      </c>
      <c r="H10"/>
      <c r="I10"/>
      <c r="J10" s="25">
        <v>45086</v>
      </c>
      <c r="K10" s="25"/>
      <c r="L10" s="25"/>
      <c r="M10" s="25"/>
      <c r="N10" s="10"/>
      <c r="O10" s="10"/>
      <c r="P10" s="15">
        <v>0.73</v>
      </c>
      <c r="Q10" s="25">
        <v>45086</v>
      </c>
      <c r="R10" s="25"/>
      <c r="S10" s="25"/>
      <c r="T10" s="25"/>
      <c r="U10" s="21">
        <f>SUMIFS(Tabela1[DISPONÍVEL],Tabela1[[DATA]:[DATA]],VLOOKUP(Q10,Tabela1[[DATA]:[DATA]],1),Tabela1[[AGUARDANDO PEÇAS]:[AGUARDANDO PEÇAS]],1)</f>
        <v>26</v>
      </c>
      <c r="V10" s="16">
        <v>5</v>
      </c>
    </row>
    <row r="11" spans="1:29" x14ac:dyDescent="0.25">
      <c r="A11" s="25">
        <v>45087</v>
      </c>
      <c r="B11" s="25"/>
      <c r="C11" s="25"/>
      <c r="D11" s="25"/>
      <c r="E11" s="11">
        <f>COUNTA(LISTAS!$H$2:$H$10,LISTAS!$I$2:$I$30)</f>
        <v>21</v>
      </c>
      <c r="F11" s="12">
        <f>SUMIFS(Tabela1[DISPONÍVEL],Tabela1[[DATA]:[DATA]],VLOOKUP(A11,Tabela1[[DATA]:[DATA]],1),Tabela1[[DISPONIBILIDADE]:[DISPONIBILIDADE]],1)</f>
        <v>38</v>
      </c>
      <c r="G11" s="17">
        <f t="shared" si="1"/>
        <v>1.8095238095238095</v>
      </c>
      <c r="H11"/>
      <c r="I11"/>
      <c r="J11" s="25">
        <v>45087</v>
      </c>
      <c r="K11" s="25"/>
      <c r="L11" s="25"/>
      <c r="M11" s="25"/>
      <c r="N11" s="10"/>
      <c r="O11" s="10"/>
      <c r="P11" s="15">
        <v>0.73</v>
      </c>
      <c r="Q11" s="25">
        <v>45087</v>
      </c>
      <c r="R11" s="25"/>
      <c r="S11" s="25"/>
      <c r="T11" s="25"/>
      <c r="U11" s="21">
        <f>SUMIFS(Tabela1[DISPONÍVEL],Tabela1[[DATA]:[DATA]],VLOOKUP(Q11,Tabela1[[DATA]:[DATA]],1),Tabela1[[AGUARDANDO PEÇAS]:[AGUARDANDO PEÇAS]],1)</f>
        <v>26</v>
      </c>
      <c r="V11" s="16">
        <v>5</v>
      </c>
    </row>
    <row r="12" spans="1:29" x14ac:dyDescent="0.25">
      <c r="A12" s="25">
        <v>45088</v>
      </c>
      <c r="B12" s="25"/>
      <c r="C12" s="25"/>
      <c r="D12" s="25"/>
      <c r="E12" s="11">
        <f>COUNTA(LISTAS!$H$2:$H$10,LISTAS!$I$2:$I$30)</f>
        <v>21</v>
      </c>
      <c r="F12" s="12">
        <f>SUMIFS(Tabela1[DISPONÍVEL],Tabela1[[DATA]:[DATA]],VLOOKUP(A12,Tabela1[[DATA]:[DATA]],1),Tabela1[[DISPONIBILIDADE]:[DISPONIBILIDADE]],1)</f>
        <v>38</v>
      </c>
      <c r="G12" s="17">
        <f t="shared" si="1"/>
        <v>1.8095238095238095</v>
      </c>
      <c r="H12"/>
      <c r="I12"/>
      <c r="J12" s="25">
        <v>45088</v>
      </c>
      <c r="K12" s="25"/>
      <c r="L12" s="25"/>
      <c r="M12" s="25"/>
      <c r="N12" s="10"/>
      <c r="O12" s="10"/>
      <c r="P12" s="15">
        <v>0.86</v>
      </c>
      <c r="Q12" s="25">
        <v>45088</v>
      </c>
      <c r="R12" s="25"/>
      <c r="S12" s="25"/>
      <c r="T12" s="25"/>
      <c r="U12" s="21">
        <f>SUMIFS(Tabela1[DISPONÍVEL],Tabela1[[DATA]:[DATA]],VLOOKUP(Q12,Tabela1[[DATA]:[DATA]],1),Tabela1[[AGUARDANDO PEÇAS]:[AGUARDANDO PEÇAS]],1)</f>
        <v>26</v>
      </c>
      <c r="V12" s="16">
        <v>5</v>
      </c>
    </row>
    <row r="13" spans="1:29" x14ac:dyDescent="0.25">
      <c r="A13" s="25">
        <v>45089</v>
      </c>
      <c r="B13" s="25"/>
      <c r="C13" s="25"/>
      <c r="D13" s="25"/>
      <c r="E13" s="11">
        <f>COUNTA(LISTAS!$H$2:$H$10,LISTAS!$I$2:$I$30)</f>
        <v>21</v>
      </c>
      <c r="F13" s="12">
        <f>SUMIFS(Tabela1[DISPONÍVEL],Tabela1[[DATA]:[DATA]],VLOOKUP(A13,Tabela1[[DATA]:[DATA]],1),Tabela1[[DISPONIBILIDADE]:[DISPONIBILIDADE]],1)</f>
        <v>38</v>
      </c>
      <c r="G13" s="17">
        <f t="shared" si="1"/>
        <v>1.8095238095238095</v>
      </c>
      <c r="H13"/>
      <c r="I13"/>
      <c r="J13" s="25">
        <v>45089</v>
      </c>
      <c r="K13" s="25"/>
      <c r="L13" s="25"/>
      <c r="M13" s="25"/>
      <c r="N13" s="10"/>
      <c r="O13" s="10"/>
      <c r="P13" s="15">
        <v>0.86</v>
      </c>
      <c r="Q13" s="25">
        <v>45089</v>
      </c>
      <c r="R13" s="25"/>
      <c r="S13" s="25"/>
      <c r="T13" s="25"/>
      <c r="U13" s="21">
        <f>SUMIFS(Tabela1[DISPONÍVEL],Tabela1[[DATA]:[DATA]],VLOOKUP(Q13,Tabela1[[DATA]:[DATA]],1),Tabela1[[AGUARDANDO PEÇAS]:[AGUARDANDO PEÇAS]],1)</f>
        <v>26</v>
      </c>
      <c r="V13" s="16">
        <v>5</v>
      </c>
    </row>
    <row r="14" spans="1:29" x14ac:dyDescent="0.25">
      <c r="A14" s="25">
        <v>45090</v>
      </c>
      <c r="B14" s="25"/>
      <c r="C14" s="25"/>
      <c r="D14" s="25"/>
      <c r="E14" s="11">
        <f>COUNTA(LISTAS!$H$2:$H$10,LISTAS!$I$2:$I$30)</f>
        <v>21</v>
      </c>
      <c r="F14" s="12">
        <f>SUMIFS(Tabela1[DISPONÍVEL],Tabela1[[DATA]:[DATA]],VLOOKUP(A14,Tabela1[[DATA]:[DATA]],1),Tabela1[[DISPONIBILIDADE]:[DISPONIBILIDADE]],1)</f>
        <v>38</v>
      </c>
      <c r="G14" s="17">
        <f t="shared" si="1"/>
        <v>1.8095238095238095</v>
      </c>
      <c r="H14"/>
      <c r="I14"/>
      <c r="J14" s="25">
        <v>45090</v>
      </c>
      <c r="K14" s="25"/>
      <c r="L14" s="25"/>
      <c r="M14" s="25"/>
      <c r="N14" s="10"/>
      <c r="O14" s="10"/>
      <c r="P14" s="15">
        <v>0.77</v>
      </c>
      <c r="Q14" s="25">
        <v>45090</v>
      </c>
      <c r="R14" s="25"/>
      <c r="S14" s="25"/>
      <c r="T14" s="25"/>
      <c r="U14" s="21">
        <f>SUMIFS(Tabela1[DISPONÍVEL],Tabela1[[DATA]:[DATA]],VLOOKUP(Q14,Tabela1[[DATA]:[DATA]],1),Tabela1[[AGUARDANDO PEÇAS]:[AGUARDANDO PEÇAS]],1)</f>
        <v>26</v>
      </c>
      <c r="V14" s="16">
        <v>5</v>
      </c>
    </row>
    <row r="15" spans="1:29" x14ac:dyDescent="0.25">
      <c r="A15" s="25">
        <v>45091</v>
      </c>
      <c r="B15" s="25"/>
      <c r="C15" s="25"/>
      <c r="D15" s="25"/>
      <c r="E15" s="11">
        <f>COUNTA(LISTAS!$H$2:$H$10,LISTAS!$I$2:$I$30)</f>
        <v>21</v>
      </c>
      <c r="F15" s="12">
        <f>SUMIFS(Tabela1[DISPONÍVEL],Tabela1[[DATA]:[DATA]],VLOOKUP(A15,Tabela1[[DATA]:[DATA]],1),Tabela1[[DISPONIBILIDADE]:[DISPONIBILIDADE]],1)</f>
        <v>38</v>
      </c>
      <c r="G15" s="17">
        <f t="shared" si="1"/>
        <v>1.8095238095238095</v>
      </c>
      <c r="J15" s="25">
        <v>45091</v>
      </c>
      <c r="K15" s="25"/>
      <c r="L15" s="25"/>
      <c r="M15" s="25"/>
      <c r="N15" s="10"/>
      <c r="O15" s="10"/>
      <c r="P15" s="15">
        <v>0.77</v>
      </c>
      <c r="Q15" s="25">
        <v>45091</v>
      </c>
      <c r="R15" s="25"/>
      <c r="S15" s="25"/>
      <c r="T15" s="25"/>
      <c r="U15" s="21">
        <f>SUMIFS(Tabela1[DISPONÍVEL],Tabela1[[DATA]:[DATA]],VLOOKUP(Q15,Tabela1[[DATA]:[DATA]],1),Tabela1[[AGUARDANDO PEÇAS]:[AGUARDANDO PEÇAS]],1)</f>
        <v>26</v>
      </c>
      <c r="V15" s="16">
        <v>5</v>
      </c>
    </row>
    <row r="16" spans="1:29" x14ac:dyDescent="0.25">
      <c r="A16" s="25">
        <v>45092</v>
      </c>
      <c r="B16" s="25"/>
      <c r="C16" s="25"/>
      <c r="D16" s="25"/>
      <c r="E16" s="11">
        <f>COUNTA(LISTAS!$H$2:$H$10,LISTAS!$I$2:$I$30)</f>
        <v>21</v>
      </c>
      <c r="F16" s="12">
        <f>SUMIFS(Tabela1[DISPONÍVEL],Tabela1[[DATA]:[DATA]],VLOOKUP(A16,Tabela1[[DATA]:[DATA]],1),Tabela1[[DISPONIBILIDADE]:[DISPONIBILIDADE]],1)</f>
        <v>38</v>
      </c>
      <c r="G16" s="17">
        <f t="shared" si="1"/>
        <v>1.8095238095238095</v>
      </c>
      <c r="H16"/>
      <c r="I16"/>
      <c r="J16" s="25">
        <v>45092</v>
      </c>
      <c r="K16" s="25"/>
      <c r="L16" s="25"/>
      <c r="M16" s="25"/>
      <c r="N16" s="10"/>
      <c r="O16" s="10"/>
      <c r="P16" s="15">
        <v>0.82</v>
      </c>
      <c r="Q16" s="25">
        <v>45092</v>
      </c>
      <c r="R16" s="25"/>
      <c r="S16" s="25"/>
      <c r="T16" s="25"/>
      <c r="U16" s="21">
        <f>SUMIFS(Tabela1[DISPONÍVEL],Tabela1[[DATA]:[DATA]],VLOOKUP(Q16,Tabela1[[DATA]:[DATA]],1),Tabela1[[AGUARDANDO PEÇAS]:[AGUARDANDO PEÇAS]],1)</f>
        <v>26</v>
      </c>
      <c r="V16" s="16">
        <v>5</v>
      </c>
    </row>
    <row r="17" spans="1:22" x14ac:dyDescent="0.25">
      <c r="A17" s="25">
        <v>45093</v>
      </c>
      <c r="B17" s="25"/>
      <c r="C17" s="25"/>
      <c r="D17" s="25"/>
      <c r="E17" s="11">
        <f>COUNTA(LISTAS!$H$2:$H$10,LISTAS!$I$2:$I$30)</f>
        <v>21</v>
      </c>
      <c r="F17" s="12">
        <f>SUMIFS(Tabela1[DISPONÍVEL],Tabela1[[DATA]:[DATA]],VLOOKUP(A17,Tabela1[[DATA]:[DATA]],1),Tabela1[[DISPONIBILIDADE]:[DISPONIBILIDADE]],1)</f>
        <v>38</v>
      </c>
      <c r="G17" s="17">
        <f t="shared" si="1"/>
        <v>1.8095238095238095</v>
      </c>
      <c r="H17"/>
      <c r="I17"/>
      <c r="J17" s="25">
        <v>45093</v>
      </c>
      <c r="K17" s="25"/>
      <c r="L17" s="25"/>
      <c r="M17" s="25"/>
      <c r="N17" s="10"/>
      <c r="O17" s="10"/>
      <c r="P17" s="15">
        <v>0.82</v>
      </c>
      <c r="Q17" s="25">
        <v>45093</v>
      </c>
      <c r="R17" s="25"/>
      <c r="S17" s="25"/>
      <c r="T17" s="25"/>
      <c r="U17" s="21">
        <f>SUMIFS(Tabela1[DISPONÍVEL],Tabela1[[DATA]:[DATA]],VLOOKUP(Q17,Tabela1[[DATA]:[DATA]],1),Tabela1[[AGUARDANDO PEÇAS]:[AGUARDANDO PEÇAS]],1)</f>
        <v>26</v>
      </c>
      <c r="V17" s="16">
        <v>5</v>
      </c>
    </row>
    <row r="18" spans="1:22" x14ac:dyDescent="0.25">
      <c r="A18" s="25">
        <v>45094</v>
      </c>
      <c r="B18" s="25"/>
      <c r="C18" s="25"/>
      <c r="D18" s="25"/>
      <c r="E18" s="11">
        <f>COUNTA(LISTAS!$H$2:$H$10,LISTAS!$I$2:$I$30)</f>
        <v>21</v>
      </c>
      <c r="F18" s="12">
        <f>SUMIFS(Tabela1[DISPONÍVEL],Tabela1[[DATA]:[DATA]],VLOOKUP(A18,Tabela1[[DATA]:[DATA]],1),Tabela1[[DISPONIBILIDADE]:[DISPONIBILIDADE]],1)</f>
        <v>38</v>
      </c>
      <c r="G18" s="17">
        <f t="shared" si="1"/>
        <v>1.8095238095238095</v>
      </c>
      <c r="H18"/>
      <c r="I18"/>
      <c r="J18" s="25">
        <v>45094</v>
      </c>
      <c r="K18" s="25"/>
      <c r="L18" s="25"/>
      <c r="M18" s="25"/>
      <c r="N18" s="10"/>
      <c r="O18" s="10"/>
      <c r="P18" s="15">
        <v>0.86</v>
      </c>
      <c r="Q18" s="25">
        <v>45094</v>
      </c>
      <c r="R18" s="25"/>
      <c r="S18" s="25"/>
      <c r="T18" s="25"/>
      <c r="U18" s="21">
        <f>SUMIFS(Tabela1[DISPONÍVEL],Tabela1[[DATA]:[DATA]],VLOOKUP(Q18,Tabela1[[DATA]:[DATA]],1),Tabela1[[AGUARDANDO PEÇAS]:[AGUARDANDO PEÇAS]],1)</f>
        <v>26</v>
      </c>
      <c r="V18" s="16">
        <v>5</v>
      </c>
    </row>
    <row r="19" spans="1:22" x14ac:dyDescent="0.25">
      <c r="A19" s="25">
        <v>45095</v>
      </c>
      <c r="B19" s="25"/>
      <c r="C19" s="25"/>
      <c r="D19" s="25"/>
      <c r="E19" s="11">
        <f>COUNTA(LISTAS!$H$2:$H$10,LISTAS!$I$2:$I$30)</f>
        <v>21</v>
      </c>
      <c r="F19" s="12">
        <f>SUMIFS(Tabela1[DISPONÍVEL],Tabela1[[DATA]:[DATA]],VLOOKUP(A19,Tabela1[[DATA]:[DATA]],1),Tabela1[[DISPONIBILIDADE]:[DISPONIBILIDADE]],1)</f>
        <v>38</v>
      </c>
      <c r="G19" s="17">
        <f t="shared" si="1"/>
        <v>1.8095238095238095</v>
      </c>
      <c r="H19"/>
      <c r="I19"/>
      <c r="J19" s="25">
        <v>45095</v>
      </c>
      <c r="K19" s="25"/>
      <c r="L19" s="25"/>
      <c r="M19" s="25"/>
      <c r="N19" s="10"/>
      <c r="O19" s="10"/>
      <c r="P19" s="15">
        <v>0.86</v>
      </c>
      <c r="Q19" s="25">
        <v>45095</v>
      </c>
      <c r="R19" s="25"/>
      <c r="S19" s="25"/>
      <c r="T19" s="25"/>
      <c r="U19" s="21">
        <f>SUMIFS(Tabela1[DISPONÍVEL],Tabela1[[DATA]:[DATA]],VLOOKUP(Q19,Tabela1[[DATA]:[DATA]],1),Tabela1[[AGUARDANDO PEÇAS]:[AGUARDANDO PEÇAS]],1)</f>
        <v>26</v>
      </c>
      <c r="V19" s="16">
        <v>5</v>
      </c>
    </row>
    <row r="20" spans="1:22" x14ac:dyDescent="0.25">
      <c r="A20" s="25">
        <v>45096</v>
      </c>
      <c r="B20" s="25"/>
      <c r="C20" s="25"/>
      <c r="D20" s="25"/>
      <c r="E20" s="11">
        <f>COUNTA(LISTAS!$H$2:$H$10,LISTAS!$I$2:$I$30)</f>
        <v>21</v>
      </c>
      <c r="F20" s="12">
        <f>SUMIFS(Tabela1[DISPONÍVEL],Tabela1[[DATA]:[DATA]],VLOOKUP(A20,Tabela1[[DATA]:[DATA]],1),Tabela1[[DISPONIBILIDADE]:[DISPONIBILIDADE]],1)</f>
        <v>38</v>
      </c>
      <c r="G20" s="17">
        <f t="shared" si="1"/>
        <v>1.8095238095238095</v>
      </c>
      <c r="H20"/>
      <c r="I20"/>
      <c r="J20" s="25">
        <v>45096</v>
      </c>
      <c r="K20" s="25"/>
      <c r="L20" s="25"/>
      <c r="M20" s="25"/>
      <c r="N20" s="10"/>
      <c r="O20" s="10"/>
      <c r="P20" s="15">
        <v>0.82</v>
      </c>
      <c r="Q20" s="25">
        <v>45096</v>
      </c>
      <c r="R20" s="25"/>
      <c r="S20" s="25"/>
      <c r="T20" s="25"/>
      <c r="U20" s="21">
        <f>SUMIFS(Tabela1[DISPONÍVEL],Tabela1[[DATA]:[DATA]],VLOOKUP(Q20,Tabela1[[DATA]:[DATA]],1),Tabela1[[AGUARDANDO PEÇAS]:[AGUARDANDO PEÇAS]],1)</f>
        <v>26</v>
      </c>
      <c r="V20" s="16">
        <v>5</v>
      </c>
    </row>
    <row r="21" spans="1:22" x14ac:dyDescent="0.25">
      <c r="A21" s="25">
        <v>45097</v>
      </c>
      <c r="B21" s="25"/>
      <c r="C21" s="25"/>
      <c r="D21" s="25"/>
      <c r="E21" s="11">
        <f>COUNTA(LISTAS!$H$2:$H$10,LISTAS!$I$2:$I$30)</f>
        <v>21</v>
      </c>
      <c r="F21" s="12">
        <f>SUMIFS(Tabela1[DISPONÍVEL],Tabela1[[DATA]:[DATA]],VLOOKUP(A21,Tabela1[[DATA]:[DATA]],1),Tabela1[[DISPONIBILIDADE]:[DISPONIBILIDADE]],1)</f>
        <v>38</v>
      </c>
      <c r="G21" s="17">
        <f t="shared" si="1"/>
        <v>1.8095238095238095</v>
      </c>
      <c r="H21"/>
      <c r="I21"/>
      <c r="J21" s="25">
        <v>45097</v>
      </c>
      <c r="K21" s="25"/>
      <c r="L21" s="25"/>
      <c r="M21" s="25"/>
      <c r="N21" s="10"/>
      <c r="O21" s="10"/>
      <c r="P21" s="15">
        <v>0.77</v>
      </c>
      <c r="Q21" s="25">
        <v>45097</v>
      </c>
      <c r="R21" s="25"/>
      <c r="S21" s="25"/>
      <c r="T21" s="25"/>
      <c r="U21" s="21">
        <f>SUMIFS(Tabela1[DISPONÍVEL],Tabela1[[DATA]:[DATA]],VLOOKUP(Q21,Tabela1[[DATA]:[DATA]],1),Tabela1[[AGUARDANDO PEÇAS]:[AGUARDANDO PEÇAS]],1)</f>
        <v>26</v>
      </c>
      <c r="V21" s="16">
        <v>5</v>
      </c>
    </row>
    <row r="22" spans="1:22" x14ac:dyDescent="0.25">
      <c r="A22" s="25">
        <v>45098</v>
      </c>
      <c r="B22" s="25"/>
      <c r="C22" s="25"/>
      <c r="D22" s="25"/>
      <c r="E22" s="11">
        <f>COUNTA(LISTAS!$H$2:$H$10,LISTAS!$I$2:$I$30)</f>
        <v>21</v>
      </c>
      <c r="F22" s="12">
        <f>SUMIFS(Tabela1[DISPONÍVEL],Tabela1[[DATA]:[DATA]],VLOOKUP(A22,Tabela1[[DATA]:[DATA]],1),Tabela1[[DISPONIBILIDADE]:[DISPONIBILIDADE]],1)</f>
        <v>38</v>
      </c>
      <c r="G22" s="17">
        <f t="shared" si="1"/>
        <v>1.8095238095238095</v>
      </c>
      <c r="H22"/>
      <c r="I22"/>
      <c r="J22" s="25">
        <v>45098</v>
      </c>
      <c r="K22" s="25"/>
      <c r="L22" s="25"/>
      <c r="M22" s="25"/>
      <c r="N22" s="10"/>
      <c r="O22" s="10"/>
      <c r="P22" s="15">
        <v>0.82</v>
      </c>
      <c r="Q22" s="25">
        <v>45098</v>
      </c>
      <c r="R22" s="25"/>
      <c r="S22" s="25"/>
      <c r="T22" s="25"/>
      <c r="U22" s="21">
        <f>SUMIFS(Tabela1[DISPONÍVEL],Tabela1[[DATA]:[DATA]],VLOOKUP(Q22,Tabela1[[DATA]:[DATA]],1),Tabela1[[AGUARDANDO PEÇAS]:[AGUARDANDO PEÇAS]],1)</f>
        <v>26</v>
      </c>
      <c r="V22" s="16">
        <v>5</v>
      </c>
    </row>
    <row r="23" spans="1:22" x14ac:dyDescent="0.25">
      <c r="A23" s="25">
        <v>45099</v>
      </c>
      <c r="B23" s="25"/>
      <c r="C23" s="25"/>
      <c r="D23" s="25"/>
      <c r="E23" s="11">
        <f>COUNTA(LISTAS!$H$2:$H$10,LISTAS!$I$2:$I$30)</f>
        <v>21</v>
      </c>
      <c r="F23" s="12">
        <f>SUMIFS(Tabela1[DISPONÍVEL],Tabela1[[DATA]:[DATA]],VLOOKUP(A23,Tabela1[[DATA]:[DATA]],1),Tabela1[[DISPONIBILIDADE]:[DISPONIBILIDADE]],1)</f>
        <v>38</v>
      </c>
      <c r="G23" s="17">
        <f t="shared" si="1"/>
        <v>1.8095238095238095</v>
      </c>
      <c r="H23"/>
      <c r="I23"/>
      <c r="J23" s="25">
        <v>45099</v>
      </c>
      <c r="K23" s="25"/>
      <c r="L23" s="25"/>
      <c r="M23" s="25"/>
      <c r="N23" s="10"/>
      <c r="O23" s="10"/>
      <c r="P23" s="15">
        <v>0.78</v>
      </c>
      <c r="Q23" s="25">
        <v>45099</v>
      </c>
      <c r="R23" s="25"/>
      <c r="S23" s="25"/>
      <c r="T23" s="25"/>
      <c r="U23" s="21">
        <f>SUMIFS(Tabela1[DISPONÍVEL],Tabela1[[DATA]:[DATA]],VLOOKUP(Q23,Tabela1[[DATA]:[DATA]],1),Tabela1[[AGUARDANDO PEÇAS]:[AGUARDANDO PEÇAS]],1)</f>
        <v>26</v>
      </c>
      <c r="V23" s="16">
        <v>6</v>
      </c>
    </row>
    <row r="24" spans="1:22" x14ac:dyDescent="0.25">
      <c r="A24" s="25">
        <v>45100</v>
      </c>
      <c r="B24" s="25"/>
      <c r="C24" s="25"/>
      <c r="D24" s="25"/>
      <c r="E24" s="11">
        <f>COUNTA(LISTAS!$H$2:$H$10,LISTAS!$I$2:$I$30)</f>
        <v>21</v>
      </c>
      <c r="F24" s="12">
        <f>SUMIFS(Tabela1[DISPONÍVEL],Tabela1[[DATA]:[DATA]],VLOOKUP(A24,Tabela1[[DATA]:[DATA]],1),Tabela1[[DISPONIBILIDADE]:[DISPONIBILIDADE]],1)</f>
        <v>38</v>
      </c>
      <c r="G24" s="17">
        <f t="shared" si="1"/>
        <v>1.8095238095238095</v>
      </c>
      <c r="H24" s="17"/>
      <c r="I24" s="17"/>
      <c r="J24" s="25">
        <v>45100</v>
      </c>
      <c r="K24" s="25"/>
      <c r="L24" s="25"/>
      <c r="M24" s="25"/>
      <c r="N24" s="10"/>
      <c r="O24" s="10"/>
      <c r="P24" s="15">
        <v>0.81</v>
      </c>
      <c r="Q24" s="25">
        <v>45100</v>
      </c>
      <c r="R24" s="25"/>
      <c r="S24" s="25"/>
      <c r="T24" s="25"/>
      <c r="U24" s="21">
        <f>SUMIFS(Tabela1[DISPONÍVEL],Tabela1[[DATA]:[DATA]],VLOOKUP(Q24,Tabela1[[DATA]:[DATA]],1),Tabela1[[AGUARDANDO PEÇAS]:[AGUARDANDO PEÇAS]],1)</f>
        <v>26</v>
      </c>
      <c r="V24" s="16">
        <v>6</v>
      </c>
    </row>
    <row r="25" spans="1:22" x14ac:dyDescent="0.25">
      <c r="A25" s="25">
        <v>45101</v>
      </c>
      <c r="B25" s="25"/>
      <c r="C25" s="25"/>
      <c r="D25" s="25"/>
      <c r="E25" s="11">
        <f>COUNTA(LISTAS!$H$2:$H$10,LISTAS!$I$2:$I$30)</f>
        <v>21</v>
      </c>
      <c r="F25" s="12">
        <f>SUMIFS(Tabela1[DISPONÍVEL],Tabela1[[DATA]:[DATA]],VLOOKUP(A25,Tabela1[[DATA]:[DATA]],1),Tabela1[[DISPONIBILIDADE]:[DISPONIBILIDADE]],1)</f>
        <v>38</v>
      </c>
      <c r="G25" s="17">
        <f t="shared" si="1"/>
        <v>1.8095238095238095</v>
      </c>
      <c r="H25" s="17"/>
      <c r="I25" s="17"/>
      <c r="J25" s="25">
        <v>45101</v>
      </c>
      <c r="K25" s="25"/>
      <c r="L25" s="25"/>
      <c r="M25" s="25"/>
      <c r="N25" s="10"/>
      <c r="O25" s="10"/>
      <c r="P25" s="15">
        <v>0.79</v>
      </c>
      <c r="Q25" s="25">
        <v>45101</v>
      </c>
      <c r="R25" s="25"/>
      <c r="S25" s="25"/>
      <c r="T25" s="25"/>
      <c r="U25" s="21">
        <f>SUMIFS(Tabela1[DISPONÍVEL],Tabela1[[DATA]:[DATA]],VLOOKUP(Q25,Tabela1[[DATA]:[DATA]],1),Tabela1[[AGUARDANDO PEÇAS]:[AGUARDANDO PEÇAS]],1)</f>
        <v>26</v>
      </c>
      <c r="V25" s="16">
        <v>6</v>
      </c>
    </row>
    <row r="26" spans="1:22" x14ac:dyDescent="0.25">
      <c r="A26" s="25">
        <v>45102</v>
      </c>
      <c r="B26" s="25"/>
      <c r="C26" s="25"/>
      <c r="D26" s="25"/>
      <c r="E26" s="11">
        <f>COUNTA(LISTAS!$H$2:$H$10,LISTAS!$I$2:$I$30)</f>
        <v>21</v>
      </c>
      <c r="F26" s="12">
        <f>SUMIFS(Tabela1[DISPONÍVEL],Tabela1[[DATA]:[DATA]],VLOOKUP(A26,Tabela1[[DATA]:[DATA]],1),Tabela1[[DISPONIBILIDADE]:[DISPONIBILIDADE]],1)</f>
        <v>38</v>
      </c>
      <c r="G26" s="17">
        <f t="shared" si="1"/>
        <v>1.8095238095238095</v>
      </c>
      <c r="H26" s="17"/>
      <c r="I26" s="17"/>
      <c r="J26" s="25">
        <v>45102</v>
      </c>
      <c r="K26" s="25"/>
      <c r="L26" s="25"/>
      <c r="M26" s="25"/>
      <c r="N26" s="10"/>
      <c r="O26" s="10"/>
      <c r="P26" s="15">
        <v>0.79</v>
      </c>
      <c r="Q26" s="25">
        <v>45102</v>
      </c>
      <c r="R26" s="25"/>
      <c r="S26" s="25"/>
      <c r="T26" s="25"/>
      <c r="U26" s="21">
        <f>SUMIFS(Tabela1[DISPONÍVEL],Tabela1[[DATA]:[DATA]],VLOOKUP(Q26,Tabela1[[DATA]:[DATA]],1),Tabela1[[AGUARDANDO PEÇAS]:[AGUARDANDO PEÇAS]],1)</f>
        <v>26</v>
      </c>
      <c r="V26" s="16">
        <v>6</v>
      </c>
    </row>
    <row r="27" spans="1:22" x14ac:dyDescent="0.25">
      <c r="A27" s="25">
        <v>45103</v>
      </c>
      <c r="B27" s="25"/>
      <c r="C27" s="25"/>
      <c r="D27" s="25"/>
      <c r="E27" s="11">
        <f>COUNTA(LISTAS!$H$2:$H$10,LISTAS!$I$2:$I$30)</f>
        <v>21</v>
      </c>
      <c r="F27" s="12">
        <f>SUMIFS(Tabela1[DISPONÍVEL],Tabela1[[DATA]:[DATA]],VLOOKUP(A27,Tabela1[[DATA]:[DATA]],1),Tabela1[[DISPONIBILIDADE]:[DISPONIBILIDADE]],1)</f>
        <v>38</v>
      </c>
      <c r="G27" s="17">
        <f t="shared" si="1"/>
        <v>1.8095238095238095</v>
      </c>
      <c r="H27" s="17"/>
      <c r="I27" s="17"/>
      <c r="J27" s="25">
        <v>45103</v>
      </c>
      <c r="K27" s="25"/>
      <c r="L27" s="25"/>
      <c r="M27" s="25"/>
      <c r="N27" s="10"/>
      <c r="O27" s="10"/>
      <c r="P27" s="15">
        <v>0.9</v>
      </c>
      <c r="Q27" s="25">
        <v>45103</v>
      </c>
      <c r="R27" s="25"/>
      <c r="S27" s="25"/>
      <c r="T27" s="25"/>
      <c r="U27" s="21">
        <f>SUMIFS(Tabela1[DISPONÍVEL],Tabela1[[DATA]:[DATA]],VLOOKUP(Q27,Tabela1[[DATA]:[DATA]],1),Tabela1[[AGUARDANDO PEÇAS]:[AGUARDANDO PEÇAS]],1)</f>
        <v>26</v>
      </c>
      <c r="V27" s="16">
        <v>6</v>
      </c>
    </row>
    <row r="28" spans="1:22" x14ac:dyDescent="0.25">
      <c r="A28" s="25">
        <v>45104</v>
      </c>
      <c r="B28" s="25"/>
      <c r="C28" s="25"/>
      <c r="D28" s="25"/>
      <c r="E28" s="11">
        <f>COUNTA(LISTAS!$H$2:$H$10,LISTAS!$I$2:$I$30)</f>
        <v>21</v>
      </c>
      <c r="F28" s="12">
        <f>SUMIFS(Tabela1[DISPONÍVEL],Tabela1[[DATA]:[DATA]],VLOOKUP(A28,Tabela1[[DATA]:[DATA]],1),Tabela1[[DISPONIBILIDADE]:[DISPONIBILIDADE]],1)</f>
        <v>38</v>
      </c>
      <c r="G28" s="17">
        <f t="shared" si="1"/>
        <v>1.8095238095238095</v>
      </c>
      <c r="H28" s="17"/>
      <c r="I28" s="17"/>
      <c r="J28" s="25">
        <v>45104</v>
      </c>
      <c r="K28" s="25"/>
      <c r="L28" s="25"/>
      <c r="M28" s="25"/>
      <c r="N28" s="10"/>
      <c r="O28" s="10"/>
      <c r="P28" s="15">
        <v>0.79</v>
      </c>
      <c r="Q28" s="25">
        <v>45104</v>
      </c>
      <c r="R28" s="25"/>
      <c r="S28" s="25"/>
      <c r="T28" s="25"/>
      <c r="U28" s="21">
        <f>SUMIFS(Tabela1[DISPONÍVEL],Tabela1[[DATA]:[DATA]],VLOOKUP(Q28,Tabela1[[DATA]:[DATA]],1),Tabela1[[AGUARDANDO PEÇAS]:[AGUARDANDO PEÇAS]],1)</f>
        <v>26</v>
      </c>
      <c r="V28" s="16">
        <v>6</v>
      </c>
    </row>
    <row r="29" spans="1:22" x14ac:dyDescent="0.25">
      <c r="A29" s="25">
        <v>45105</v>
      </c>
      <c r="B29" s="25"/>
      <c r="C29" s="25"/>
      <c r="D29" s="25"/>
      <c r="E29" s="11"/>
      <c r="G29" s="17" t="e">
        <f t="shared" si="1"/>
        <v>#DIV/0!</v>
      </c>
      <c r="H29" s="17"/>
      <c r="I29" s="17"/>
      <c r="J29" s="25">
        <v>45105</v>
      </c>
      <c r="K29" s="25"/>
      <c r="L29" s="25"/>
      <c r="M29" s="25"/>
      <c r="N29" s="10"/>
      <c r="O29" s="10"/>
      <c r="P29" s="15"/>
      <c r="Q29" s="25">
        <v>45105</v>
      </c>
      <c r="R29" s="25"/>
      <c r="S29" s="25"/>
      <c r="T29" s="25"/>
      <c r="U29" s="21">
        <f>SUMIFS(Tabela1[DISPONÍVEL],Tabela1[[DATA]:[DATA]],VLOOKUP(Q29,Tabela1[[DATA]:[DATA]],1),Tabela1[[AGUARDANDO PEÇAS]:[AGUARDANDO PEÇAS]],1)</f>
        <v>26</v>
      </c>
      <c r="V29" s="16"/>
    </row>
    <row r="30" spans="1:22" x14ac:dyDescent="0.25">
      <c r="A30" s="25">
        <v>45106</v>
      </c>
      <c r="B30" s="25"/>
      <c r="C30" s="25"/>
      <c r="D30" s="25"/>
      <c r="E30" s="11"/>
      <c r="G30" s="17" t="e">
        <f t="shared" si="1"/>
        <v>#DIV/0!</v>
      </c>
      <c r="H30" s="17"/>
      <c r="I30" s="17"/>
      <c r="J30" s="25">
        <v>45106</v>
      </c>
      <c r="K30" s="25"/>
      <c r="L30" s="25"/>
      <c r="M30" s="25"/>
      <c r="N30" s="10"/>
      <c r="O30" s="10"/>
      <c r="P30" s="15"/>
      <c r="Q30" s="25">
        <v>45106</v>
      </c>
      <c r="R30" s="25"/>
      <c r="S30" s="25"/>
      <c r="T30" s="25"/>
      <c r="U30" s="21">
        <f>SUMIFS(Tabela1[DISPONÍVEL],Tabela1[[DATA]:[DATA]],VLOOKUP(Q30,Tabela1[[DATA]:[DATA]],1),Tabela1[[AGUARDANDO PEÇAS]:[AGUARDANDO PEÇAS]],1)</f>
        <v>26</v>
      </c>
      <c r="V30" s="16"/>
    </row>
    <row r="31" spans="1:22" x14ac:dyDescent="0.25">
      <c r="A31" s="25">
        <v>45107</v>
      </c>
      <c r="B31" s="25"/>
      <c r="C31" s="25"/>
      <c r="D31" s="25"/>
      <c r="E31" s="11"/>
      <c r="G31" s="17" t="e">
        <f t="shared" si="1"/>
        <v>#DIV/0!</v>
      </c>
      <c r="H31" s="17"/>
      <c r="I31" s="17"/>
      <c r="J31" s="25">
        <v>45107</v>
      </c>
      <c r="K31" s="25"/>
      <c r="L31" s="25"/>
      <c r="M31" s="25"/>
      <c r="N31" s="10"/>
      <c r="O31" s="10"/>
      <c r="P31" s="15"/>
      <c r="Q31" s="25">
        <v>45107</v>
      </c>
      <c r="R31" s="25"/>
      <c r="S31" s="25"/>
      <c r="T31" s="25"/>
      <c r="U31" s="21">
        <f>SUMIFS(Tabela1[DISPONÍVEL],Tabela1[[DATA]:[DATA]],VLOOKUP(Q31,Tabela1[[DATA]:[DATA]],1),Tabela1[[AGUARDANDO PEÇAS]:[AGUARDANDO PEÇAS]],1)</f>
        <v>26</v>
      </c>
      <c r="V31" s="16"/>
    </row>
    <row r="32" spans="1:22" x14ac:dyDescent="0.25">
      <c r="A32" s="25"/>
      <c r="B32" s="25"/>
      <c r="C32" s="25"/>
      <c r="D32" s="25"/>
      <c r="E32" s="11"/>
      <c r="G32" s="17" t="e">
        <f t="shared" si="1"/>
        <v>#DIV/0!</v>
      </c>
      <c r="H32" s="17"/>
      <c r="I32" s="17"/>
      <c r="J32" s="25"/>
      <c r="K32" s="25"/>
      <c r="L32" s="25"/>
      <c r="M32" s="25"/>
      <c r="N32" s="10"/>
      <c r="O32" s="10"/>
      <c r="P32" s="15"/>
      <c r="Q32" s="25"/>
      <c r="R32" s="25"/>
      <c r="S32" s="25"/>
      <c r="T32" s="25"/>
      <c r="U32" s="21"/>
      <c r="V32" s="16"/>
    </row>
    <row r="33" spans="1:22" x14ac:dyDescent="0.25">
      <c r="A33" s="25" t="s">
        <v>30</v>
      </c>
      <c r="B33" s="25"/>
      <c r="C33" s="25"/>
      <c r="D33" s="25"/>
      <c r="E33" s="19">
        <f>SUM(E2:E32)</f>
        <v>567</v>
      </c>
      <c r="F33" s="20">
        <f>SUM(F2:F32)</f>
        <v>990</v>
      </c>
      <c r="G33" s="17">
        <f>F33/E33</f>
        <v>1.746031746031746</v>
      </c>
      <c r="H33" s="17"/>
      <c r="I33" s="17"/>
      <c r="J33" s="25" t="s">
        <v>30</v>
      </c>
      <c r="K33" s="25"/>
      <c r="L33" s="25"/>
      <c r="M33" s="25"/>
      <c r="N33" s="10"/>
      <c r="O33" s="10"/>
      <c r="P33" s="15">
        <f>SUM($P$2:$P$32)/COUNTA($P$2:$P$32)</f>
        <v>0.78666666666666651</v>
      </c>
      <c r="Q33" s="25" t="s">
        <v>30</v>
      </c>
      <c r="R33" s="25"/>
      <c r="S33" s="25"/>
      <c r="T33" s="25"/>
      <c r="U33" s="10"/>
      <c r="V33" s="16">
        <f>SUM($V$2:$V$32)/COUNTA($V$2:$V$32)</f>
        <v>6.0370370370370372</v>
      </c>
    </row>
    <row r="34" spans="1:22" x14ac:dyDescent="0.25">
      <c r="A34" s="25"/>
      <c r="B34" s="26"/>
      <c r="C34" s="26"/>
      <c r="D34" s="26"/>
      <c r="E34" s="26"/>
      <c r="F34" s="26"/>
      <c r="J34" s="25"/>
      <c r="K34" s="26"/>
      <c r="L34" s="26"/>
      <c r="M34" s="26"/>
      <c r="N34" s="21"/>
      <c r="O34" s="21"/>
      <c r="Q34" s="26"/>
      <c r="R34" s="26"/>
      <c r="S34" s="26"/>
      <c r="T34" s="26"/>
      <c r="U34" s="26"/>
      <c r="V34" s="26"/>
    </row>
    <row r="35" spans="1:22" x14ac:dyDescent="0.25">
      <c r="A35" s="25"/>
      <c r="B35" s="26"/>
      <c r="C35" s="26"/>
      <c r="D35" s="26"/>
      <c r="E35" s="26"/>
      <c r="F35" s="26"/>
      <c r="J35" s="25"/>
      <c r="K35" s="26"/>
      <c r="L35" s="26"/>
      <c r="M35" s="26"/>
      <c r="N35" s="21"/>
      <c r="O35" s="21"/>
    </row>
    <row r="36" spans="1:22" x14ac:dyDescent="0.25">
      <c r="A36" s="25"/>
      <c r="B36" s="26"/>
      <c r="C36" s="26"/>
      <c r="D36" s="26"/>
      <c r="E36" s="26"/>
      <c r="F36" s="26"/>
      <c r="H36" s="22"/>
      <c r="I36" s="22"/>
      <c r="J36" s="25" t="s">
        <v>45</v>
      </c>
      <c r="K36" s="26"/>
      <c r="L36" s="26"/>
      <c r="M36" s="26"/>
      <c r="N36" s="21"/>
      <c r="O36" s="21"/>
    </row>
    <row r="37" spans="1:22" x14ac:dyDescent="0.25">
      <c r="A37" s="25"/>
      <c r="B37" s="26"/>
      <c r="C37" s="26"/>
      <c r="D37" s="26"/>
      <c r="E37" s="26"/>
      <c r="F37" s="26"/>
      <c r="H37" s="23"/>
      <c r="I37" s="23"/>
      <c r="J37" s="25" t="s">
        <v>46</v>
      </c>
      <c r="K37" s="26"/>
      <c r="L37" s="26"/>
      <c r="M37" s="26"/>
      <c r="N37" s="21"/>
      <c r="O37" s="21"/>
    </row>
    <row r="38" spans="1:22" x14ac:dyDescent="0.25">
      <c r="A38" s="25"/>
      <c r="B38" s="26"/>
      <c r="C38" s="26"/>
      <c r="D38" s="26"/>
      <c r="E38" s="26"/>
      <c r="F38" s="26"/>
      <c r="J38" s="25"/>
      <c r="K38" s="26"/>
      <c r="L38" s="26"/>
      <c r="M38" s="26"/>
      <c r="N38" s="21"/>
      <c r="O38" s="21"/>
    </row>
    <row r="39" spans="1:22" x14ac:dyDescent="0.25">
      <c r="A39" s="25"/>
      <c r="B39" s="26"/>
      <c r="C39" s="26"/>
      <c r="D39" s="26"/>
      <c r="E39" s="26"/>
      <c r="F39" s="26"/>
      <c r="J39" s="25"/>
      <c r="K39" s="26"/>
      <c r="L39" s="26"/>
      <c r="M39" s="26"/>
      <c r="N39" s="21"/>
      <c r="O39" s="21"/>
    </row>
    <row r="40" spans="1:22" x14ac:dyDescent="0.25">
      <c r="A40" s="25"/>
      <c r="B40" s="26"/>
      <c r="C40" s="26"/>
      <c r="D40" s="26"/>
      <c r="E40" s="26"/>
      <c r="F40" s="26"/>
      <c r="J40" s="25"/>
      <c r="K40" s="26"/>
      <c r="L40" s="26"/>
      <c r="M40" s="26"/>
      <c r="N40" s="21"/>
      <c r="O40" s="21"/>
    </row>
    <row r="41" spans="1:22" x14ac:dyDescent="0.25">
      <c r="A41" s="25"/>
      <c r="B41" s="26"/>
      <c r="C41" s="26"/>
      <c r="D41" s="26"/>
      <c r="E41" s="26"/>
      <c r="F41" s="26"/>
      <c r="J41" s="25"/>
      <c r="K41" s="26"/>
      <c r="L41" s="26"/>
      <c r="M41" s="26"/>
      <c r="N41" s="21"/>
      <c r="O41" s="21"/>
    </row>
    <row r="42" spans="1:22" x14ac:dyDescent="0.25">
      <c r="A42" s="25"/>
      <c r="B42" s="26"/>
      <c r="C42" s="26"/>
      <c r="D42" s="26"/>
      <c r="E42" s="26"/>
      <c r="F42" s="26"/>
      <c r="J42" s="25"/>
      <c r="K42" s="26"/>
      <c r="L42" s="26"/>
      <c r="M42" s="26"/>
      <c r="N42" s="21"/>
      <c r="O42" s="21"/>
    </row>
    <row r="43" spans="1:22" x14ac:dyDescent="0.25">
      <c r="A43" s="25"/>
      <c r="B43" s="26"/>
      <c r="C43" s="26"/>
      <c r="D43" s="26"/>
      <c r="E43" s="26"/>
      <c r="F43" s="26"/>
      <c r="J43" s="25"/>
      <c r="K43" s="26"/>
      <c r="L43" s="26"/>
      <c r="M43" s="26"/>
      <c r="N43" s="21"/>
      <c r="O43" s="21"/>
    </row>
    <row r="44" spans="1:22" x14ac:dyDescent="0.25">
      <c r="A44" s="25"/>
      <c r="B44" s="26"/>
      <c r="C44" s="26"/>
      <c r="D44" s="26"/>
      <c r="E44" s="26"/>
      <c r="F44" s="26"/>
      <c r="J44" s="25"/>
      <c r="K44" s="26"/>
      <c r="L44" s="26"/>
      <c r="M44" s="26"/>
      <c r="N44" s="21"/>
      <c r="O44" s="21"/>
    </row>
    <row r="45" spans="1:22" x14ac:dyDescent="0.25">
      <c r="A45" s="25"/>
      <c r="B45" s="26"/>
      <c r="C45" s="26"/>
      <c r="D45" s="26"/>
      <c r="E45" s="26"/>
      <c r="F45" s="26"/>
      <c r="J45" s="25"/>
      <c r="K45" s="26"/>
      <c r="L45" s="26"/>
      <c r="M45" s="26"/>
      <c r="N45" s="21"/>
      <c r="O45" s="21"/>
    </row>
    <row r="46" spans="1:22" x14ac:dyDescent="0.25">
      <c r="A46" s="25"/>
      <c r="B46" s="26"/>
      <c r="C46" s="26"/>
      <c r="D46" s="26"/>
      <c r="E46" s="26"/>
      <c r="F46" s="26"/>
      <c r="J46" s="25"/>
      <c r="K46" s="26"/>
      <c r="L46" s="26"/>
      <c r="M46" s="26"/>
      <c r="N46" s="21"/>
      <c r="O46" s="21"/>
    </row>
    <row r="47" spans="1:22" x14ac:dyDescent="0.25">
      <c r="A47" s="25"/>
      <c r="B47" s="26"/>
      <c r="C47" s="26"/>
      <c r="D47" s="26"/>
      <c r="E47" s="26"/>
      <c r="F47" s="26"/>
      <c r="J47" s="25"/>
      <c r="K47" s="26"/>
      <c r="L47" s="26"/>
      <c r="M47" s="26"/>
      <c r="N47" s="21"/>
      <c r="O47" s="21"/>
    </row>
    <row r="48" spans="1:22" x14ac:dyDescent="0.25">
      <c r="A48" s="25"/>
      <c r="B48" s="26"/>
      <c r="C48" s="26"/>
      <c r="D48" s="26"/>
      <c r="E48" s="26"/>
      <c r="F48" s="26"/>
      <c r="J48" s="25"/>
      <c r="K48" s="26"/>
      <c r="L48" s="26"/>
      <c r="M48" s="26"/>
      <c r="N48" s="21"/>
      <c r="O48" s="21"/>
    </row>
    <row r="49" spans="1:15" x14ac:dyDescent="0.25">
      <c r="A49" s="25"/>
      <c r="B49" s="26"/>
      <c r="C49" s="26"/>
      <c r="D49" s="26"/>
      <c r="E49" s="26"/>
      <c r="F49" s="26"/>
      <c r="J49" s="25"/>
      <c r="K49" s="26"/>
      <c r="L49" s="26"/>
      <c r="M49" s="26"/>
      <c r="N49" s="21"/>
      <c r="O49" s="21"/>
    </row>
    <row r="50" spans="1:15" x14ac:dyDescent="0.25">
      <c r="A50" s="25"/>
      <c r="B50" s="26"/>
      <c r="C50" s="26"/>
      <c r="D50" s="26"/>
      <c r="E50" s="26"/>
      <c r="F50" s="26"/>
      <c r="J50" s="25"/>
      <c r="K50" s="26"/>
      <c r="L50" s="26"/>
      <c r="M50" s="26"/>
      <c r="N50" s="21"/>
      <c r="O50" s="21"/>
    </row>
    <row r="51" spans="1:15" x14ac:dyDescent="0.25">
      <c r="A51" s="25"/>
      <c r="B51" s="26"/>
      <c r="C51" s="26"/>
      <c r="D51" s="26"/>
      <c r="E51" s="26"/>
      <c r="F51" s="26"/>
      <c r="J51" s="25"/>
      <c r="K51" s="26"/>
      <c r="L51" s="26"/>
      <c r="M51" s="26"/>
      <c r="N51" s="21"/>
      <c r="O51" s="21"/>
    </row>
    <row r="52" spans="1:15" x14ac:dyDescent="0.25">
      <c r="A52" s="25"/>
      <c r="B52" s="26"/>
      <c r="C52" s="26"/>
      <c r="D52" s="26"/>
      <c r="E52" s="26"/>
      <c r="F52" s="26"/>
      <c r="J52" s="25"/>
      <c r="K52" s="26"/>
      <c r="L52" s="26"/>
      <c r="M52" s="26"/>
      <c r="N52" s="21"/>
      <c r="O52" s="21"/>
    </row>
    <row r="53" spans="1:15" x14ac:dyDescent="0.25">
      <c r="A53" s="25"/>
      <c r="B53" s="26"/>
      <c r="C53" s="26"/>
      <c r="D53" s="26"/>
      <c r="E53" s="26"/>
      <c r="F53" s="26"/>
      <c r="J53" s="25"/>
      <c r="K53" s="26"/>
      <c r="L53" s="26"/>
      <c r="M53" s="26"/>
      <c r="N53" s="21"/>
      <c r="O53" s="21"/>
    </row>
    <row r="54" spans="1:15" x14ac:dyDescent="0.25">
      <c r="A54" s="25"/>
      <c r="B54" s="26"/>
      <c r="C54" s="26"/>
      <c r="D54" s="26"/>
      <c r="E54" s="26"/>
      <c r="F54" s="26"/>
      <c r="J54" s="25"/>
      <c r="K54" s="26"/>
      <c r="L54" s="26"/>
      <c r="M54" s="26"/>
      <c r="N54" s="21"/>
      <c r="O54" s="21"/>
    </row>
    <row r="55" spans="1:15" x14ac:dyDescent="0.25">
      <c r="A55" s="25"/>
      <c r="B55" s="26"/>
      <c r="C55" s="26"/>
      <c r="D55" s="26"/>
      <c r="E55" s="26"/>
      <c r="F55" s="26"/>
      <c r="J55" s="25"/>
      <c r="K55" s="26"/>
      <c r="L55" s="26"/>
      <c r="M55" s="26"/>
      <c r="N55" s="21"/>
      <c r="O55" s="21"/>
    </row>
    <row r="56" spans="1:15" x14ac:dyDescent="0.25">
      <c r="A56" s="25"/>
      <c r="B56" s="26"/>
      <c r="C56" s="26"/>
      <c r="D56" s="26"/>
      <c r="E56" s="26"/>
      <c r="F56" s="26"/>
      <c r="J56" s="25"/>
      <c r="K56" s="26"/>
      <c r="L56" s="26"/>
      <c r="M56" s="26"/>
      <c r="N56" s="21"/>
      <c r="O56" s="21"/>
    </row>
    <row r="57" spans="1:15" x14ac:dyDescent="0.25">
      <c r="A57" s="25"/>
      <c r="B57" s="26"/>
      <c r="C57" s="26"/>
      <c r="D57" s="26"/>
      <c r="E57" s="26"/>
      <c r="F57" s="26"/>
      <c r="J57" s="25"/>
      <c r="K57" s="26"/>
      <c r="L57" s="26"/>
      <c r="M57" s="26"/>
      <c r="N57" s="21"/>
      <c r="O57" s="21"/>
    </row>
    <row r="58" spans="1:15" x14ac:dyDescent="0.25">
      <c r="A58" s="25"/>
      <c r="B58" s="26"/>
      <c r="C58" s="26"/>
      <c r="D58" s="26"/>
      <c r="E58" s="26"/>
      <c r="F58" s="26"/>
      <c r="J58" s="25"/>
      <c r="K58" s="26"/>
      <c r="L58" s="26"/>
      <c r="M58" s="26"/>
      <c r="N58" s="21"/>
      <c r="O58" s="21"/>
    </row>
    <row r="59" spans="1:15" x14ac:dyDescent="0.25">
      <c r="A59" s="25"/>
      <c r="B59" s="26"/>
      <c r="C59" s="26"/>
      <c r="D59" s="26"/>
      <c r="E59" s="26"/>
      <c r="F59" s="26"/>
      <c r="J59" s="25"/>
      <c r="K59" s="26"/>
      <c r="L59" s="26"/>
      <c r="M59" s="26"/>
      <c r="N59" s="21"/>
      <c r="O59" s="21"/>
    </row>
    <row r="60" spans="1:15" x14ac:dyDescent="0.25">
      <c r="A60" s="25"/>
      <c r="B60" s="26"/>
      <c r="C60" s="26"/>
      <c r="D60" s="26"/>
      <c r="E60" s="26"/>
      <c r="F60" s="26"/>
      <c r="J60" s="25"/>
      <c r="K60" s="26"/>
      <c r="L60" s="26"/>
      <c r="M60" s="26"/>
      <c r="N60" s="21"/>
      <c r="O60" s="21"/>
    </row>
    <row r="61" spans="1:15" x14ac:dyDescent="0.25">
      <c r="A61" s="25"/>
      <c r="B61" s="26"/>
      <c r="C61" s="26"/>
      <c r="D61" s="26"/>
      <c r="E61" s="26"/>
      <c r="F61" s="26"/>
      <c r="J61" s="25"/>
      <c r="K61" s="26"/>
      <c r="L61" s="26"/>
      <c r="M61" s="26"/>
      <c r="N61" s="21"/>
      <c r="O61" s="21"/>
    </row>
    <row r="62" spans="1:15" x14ac:dyDescent="0.25">
      <c r="A62" s="25"/>
      <c r="B62" s="26"/>
      <c r="C62" s="26"/>
      <c r="D62" s="26"/>
      <c r="E62" s="26"/>
      <c r="F62" s="26"/>
      <c r="J62" s="25"/>
      <c r="K62" s="26"/>
      <c r="L62" s="26"/>
      <c r="M62" s="26"/>
      <c r="N62" s="21"/>
      <c r="O62" s="21"/>
    </row>
    <row r="63" spans="1:15" x14ac:dyDescent="0.25">
      <c r="A63" s="25"/>
      <c r="B63" s="26"/>
      <c r="C63" s="26"/>
      <c r="D63" s="26"/>
      <c r="E63" s="26"/>
      <c r="F63" s="26"/>
      <c r="J63" s="25"/>
      <c r="K63" s="26"/>
      <c r="L63" s="26"/>
      <c r="M63" s="26"/>
      <c r="N63" s="21"/>
      <c r="O63" s="21"/>
    </row>
    <row r="64" spans="1:15" x14ac:dyDescent="0.25">
      <c r="A64" s="25"/>
      <c r="B64" s="26"/>
      <c r="C64" s="26"/>
      <c r="D64" s="26"/>
      <c r="E64" s="26"/>
      <c r="F64" s="26"/>
      <c r="J64" s="25"/>
      <c r="K64" s="26"/>
      <c r="L64" s="26"/>
      <c r="M64" s="26"/>
      <c r="N64" s="21"/>
      <c r="O64" s="21"/>
    </row>
    <row r="65" spans="1:15" x14ac:dyDescent="0.25">
      <c r="A65" s="25"/>
      <c r="B65" s="26"/>
      <c r="C65" s="26"/>
      <c r="D65" s="26"/>
      <c r="E65" s="26"/>
      <c r="F65" s="26"/>
      <c r="J65" s="25"/>
      <c r="K65" s="26"/>
      <c r="L65" s="26"/>
      <c r="M65" s="26"/>
      <c r="N65" s="21"/>
      <c r="O65" s="21"/>
    </row>
    <row r="66" spans="1:15" x14ac:dyDescent="0.25">
      <c r="A66" s="25"/>
      <c r="B66" s="26"/>
      <c r="C66" s="26"/>
      <c r="D66" s="26"/>
      <c r="E66" s="26"/>
      <c r="F66" s="26"/>
      <c r="J66" s="25"/>
      <c r="K66" s="26"/>
      <c r="L66" s="26"/>
      <c r="M66" s="26"/>
      <c r="N66" s="21"/>
      <c r="O66" s="21"/>
    </row>
    <row r="67" spans="1:15" x14ac:dyDescent="0.25">
      <c r="A67" s="25"/>
      <c r="B67" s="26"/>
      <c r="C67" s="26"/>
      <c r="D67" s="26"/>
      <c r="E67" s="26"/>
      <c r="F67" s="26"/>
      <c r="J67" s="25"/>
      <c r="K67" s="26"/>
      <c r="L67" s="26"/>
      <c r="M67" s="26"/>
      <c r="N67" s="21"/>
      <c r="O67" s="21"/>
    </row>
    <row r="68" spans="1:15" x14ac:dyDescent="0.25">
      <c r="A68" s="25"/>
      <c r="B68" s="26"/>
      <c r="C68" s="26"/>
      <c r="D68" s="26"/>
      <c r="E68" s="26"/>
      <c r="F68" s="26"/>
      <c r="J68" s="25"/>
      <c r="K68" s="26"/>
      <c r="L68" s="26"/>
      <c r="M68" s="26"/>
      <c r="N68" s="21"/>
      <c r="O68" s="21"/>
    </row>
    <row r="69" spans="1:15" x14ac:dyDescent="0.25">
      <c r="A69" s="25"/>
      <c r="B69" s="26"/>
      <c r="C69" s="26"/>
      <c r="D69" s="26"/>
      <c r="E69" s="26"/>
      <c r="F69" s="26"/>
      <c r="J69" s="25"/>
      <c r="K69" s="26"/>
      <c r="L69" s="26"/>
      <c r="M69" s="26"/>
      <c r="N69" s="21"/>
      <c r="O69" s="21"/>
    </row>
    <row r="70" spans="1:15" x14ac:dyDescent="0.25">
      <c r="A70" s="25"/>
      <c r="B70" s="26"/>
      <c r="C70" s="26"/>
      <c r="D70" s="26"/>
      <c r="E70" s="26"/>
      <c r="F70" s="26"/>
      <c r="J70" s="25"/>
      <c r="K70" s="26"/>
      <c r="L70" s="26"/>
      <c r="M70" s="26"/>
      <c r="N70" s="21"/>
      <c r="O70" s="21"/>
    </row>
    <row r="71" spans="1:15" x14ac:dyDescent="0.25">
      <c r="A71" s="25"/>
      <c r="B71" s="26"/>
      <c r="C71" s="26"/>
      <c r="D71" s="26"/>
      <c r="E71" s="26"/>
      <c r="F71" s="26"/>
      <c r="J71" s="25"/>
      <c r="K71" s="26"/>
      <c r="L71" s="26"/>
      <c r="M71" s="26"/>
      <c r="N71" s="21"/>
      <c r="O71" s="21"/>
    </row>
    <row r="72" spans="1:15" x14ac:dyDescent="0.25">
      <c r="A72" s="25"/>
      <c r="B72" s="26"/>
      <c r="C72" s="26"/>
      <c r="D72" s="26"/>
      <c r="E72" s="26"/>
      <c r="F72" s="26"/>
      <c r="J72" s="25"/>
      <c r="K72" s="26"/>
      <c r="L72" s="26"/>
      <c r="M72" s="26"/>
      <c r="N72" s="21"/>
      <c r="O72" s="21"/>
    </row>
    <row r="73" spans="1:15" x14ac:dyDescent="0.25">
      <c r="A73" s="25"/>
      <c r="B73" s="26"/>
      <c r="C73" s="26"/>
      <c r="D73" s="26"/>
      <c r="E73" s="26"/>
      <c r="F73" s="26"/>
      <c r="J73" s="25"/>
      <c r="K73" s="26"/>
      <c r="L73" s="26"/>
      <c r="M73" s="26"/>
      <c r="N73" s="21"/>
      <c r="O73" s="21"/>
    </row>
    <row r="74" spans="1:15" x14ac:dyDescent="0.25">
      <c r="A74" s="25"/>
      <c r="B74" s="26"/>
      <c r="C74" s="26"/>
      <c r="D74" s="26"/>
      <c r="E74" s="26"/>
      <c r="F74" s="26"/>
      <c r="J74" s="25"/>
      <c r="K74" s="26"/>
      <c r="L74" s="26"/>
      <c r="M74" s="26"/>
      <c r="N74" s="21"/>
      <c r="O74" s="21"/>
    </row>
    <row r="75" spans="1:15" x14ac:dyDescent="0.25">
      <c r="A75" s="25"/>
      <c r="B75" s="26"/>
      <c r="C75" s="26"/>
      <c r="D75" s="26"/>
      <c r="E75" s="26"/>
      <c r="F75" s="26"/>
      <c r="J75" s="25"/>
      <c r="K75" s="26"/>
      <c r="L75" s="26"/>
      <c r="M75" s="26"/>
      <c r="N75" s="21"/>
      <c r="O75" s="21"/>
    </row>
    <row r="76" spans="1:15" x14ac:dyDescent="0.25">
      <c r="A76" s="25"/>
      <c r="B76" s="26"/>
      <c r="C76" s="26"/>
      <c r="D76" s="26"/>
      <c r="E76" s="26"/>
      <c r="F76" s="26"/>
      <c r="J76" s="25"/>
      <c r="K76" s="26"/>
      <c r="L76" s="26"/>
      <c r="M76" s="26"/>
      <c r="N76" s="21"/>
      <c r="O76" s="21"/>
    </row>
    <row r="77" spans="1:15" x14ac:dyDescent="0.25">
      <c r="A77" s="25"/>
      <c r="B77" s="26"/>
      <c r="C77" s="26"/>
      <c r="D77" s="26"/>
      <c r="E77" s="26"/>
      <c r="F77" s="26"/>
      <c r="J77" s="25"/>
      <c r="K77" s="26"/>
      <c r="L77" s="26"/>
      <c r="M77" s="26"/>
      <c r="N77" s="21"/>
      <c r="O77" s="21"/>
    </row>
    <row r="78" spans="1:15" x14ac:dyDescent="0.25">
      <c r="A78" s="25"/>
      <c r="B78" s="26"/>
      <c r="C78" s="26"/>
      <c r="D78" s="26"/>
      <c r="E78" s="26"/>
      <c r="F78" s="26"/>
      <c r="J78" s="25"/>
      <c r="K78" s="26"/>
      <c r="L78" s="26"/>
      <c r="M78" s="26"/>
      <c r="N78" s="21"/>
      <c r="O78" s="21"/>
    </row>
    <row r="79" spans="1:15" x14ac:dyDescent="0.25">
      <c r="A79" s="25"/>
      <c r="B79" s="26"/>
      <c r="C79" s="26"/>
      <c r="D79" s="26"/>
      <c r="E79" s="26"/>
      <c r="F79" s="26"/>
      <c r="J79" s="25"/>
      <c r="K79" s="26"/>
      <c r="L79" s="26"/>
      <c r="M79" s="26"/>
      <c r="N79" s="21"/>
      <c r="O79" s="21"/>
    </row>
    <row r="80" spans="1:15" x14ac:dyDescent="0.25">
      <c r="A80" s="25"/>
      <c r="B80" s="26"/>
      <c r="C80" s="26"/>
      <c r="D80" s="26"/>
      <c r="E80" s="26"/>
      <c r="F80" s="26"/>
      <c r="J80" s="25"/>
      <c r="K80" s="26"/>
      <c r="L80" s="26"/>
      <c r="M80" s="26"/>
      <c r="N80" s="21"/>
      <c r="O80" s="21"/>
    </row>
    <row r="81" spans="1:15" x14ac:dyDescent="0.25">
      <c r="A81" s="25"/>
      <c r="B81" s="26"/>
      <c r="C81" s="26"/>
      <c r="D81" s="26"/>
      <c r="E81" s="26"/>
      <c r="F81" s="26"/>
      <c r="J81" s="25"/>
      <c r="K81" s="26"/>
      <c r="L81" s="26"/>
      <c r="M81" s="26"/>
      <c r="N81" s="21"/>
      <c r="O81" s="21"/>
    </row>
    <row r="82" spans="1:15" x14ac:dyDescent="0.25">
      <c r="A82" s="25"/>
      <c r="B82" s="26"/>
      <c r="C82" s="26"/>
      <c r="D82" s="26"/>
      <c r="E82" s="26"/>
      <c r="F82" s="26"/>
      <c r="J82" s="25"/>
      <c r="K82" s="26"/>
      <c r="L82" s="26"/>
      <c r="M82" s="26"/>
      <c r="N82" s="21"/>
      <c r="O82" s="21"/>
    </row>
    <row r="83" spans="1:15" x14ac:dyDescent="0.25">
      <c r="A83" s="25"/>
      <c r="B83" s="26"/>
      <c r="C83" s="26"/>
      <c r="D83" s="26"/>
      <c r="E83" s="26"/>
      <c r="F83" s="26"/>
      <c r="J83" s="25"/>
      <c r="K83" s="26"/>
      <c r="L83" s="26"/>
      <c r="M83" s="26"/>
      <c r="N83" s="21"/>
      <c r="O83" s="21"/>
    </row>
    <row r="84" spans="1:15" x14ac:dyDescent="0.25">
      <c r="A84" s="25"/>
      <c r="B84" s="26"/>
      <c r="C84" s="26"/>
      <c r="D84" s="26"/>
      <c r="E84" s="26"/>
      <c r="F84" s="26"/>
      <c r="J84" s="25"/>
      <c r="K84" s="26"/>
      <c r="L84" s="26"/>
      <c r="M84" s="26"/>
      <c r="N84" s="21"/>
      <c r="O84" s="21"/>
    </row>
  </sheetData>
  <mergeCells count="202">
    <mergeCell ref="A3:D3"/>
    <mergeCell ref="J3:M3"/>
    <mergeCell ref="Q3:T3"/>
    <mergeCell ref="A4:D4"/>
    <mergeCell ref="J4:M4"/>
    <mergeCell ref="Q4:T4"/>
    <mergeCell ref="A1:D1"/>
    <mergeCell ref="J1:M1"/>
    <mergeCell ref="Q1:T1"/>
    <mergeCell ref="A2:D2"/>
    <mergeCell ref="J2:M2"/>
    <mergeCell ref="Q2:T2"/>
    <mergeCell ref="A7:D7"/>
    <mergeCell ref="J7:M7"/>
    <mergeCell ref="Q7:T7"/>
    <mergeCell ref="A8:D8"/>
    <mergeCell ref="J8:M8"/>
    <mergeCell ref="Q8:T8"/>
    <mergeCell ref="A5:D5"/>
    <mergeCell ref="J5:M5"/>
    <mergeCell ref="Q5:T5"/>
    <mergeCell ref="A6:D6"/>
    <mergeCell ref="J6:M6"/>
    <mergeCell ref="Q6:T6"/>
    <mergeCell ref="A11:D11"/>
    <mergeCell ref="J11:M11"/>
    <mergeCell ref="Q11:T11"/>
    <mergeCell ref="A12:D12"/>
    <mergeCell ref="J12:M12"/>
    <mergeCell ref="Q12:T12"/>
    <mergeCell ref="A9:D9"/>
    <mergeCell ref="J9:M9"/>
    <mergeCell ref="Q9:T9"/>
    <mergeCell ref="A10:D10"/>
    <mergeCell ref="J10:M10"/>
    <mergeCell ref="Q10:T10"/>
    <mergeCell ref="A15:D15"/>
    <mergeCell ref="J15:M15"/>
    <mergeCell ref="Q15:T15"/>
    <mergeCell ref="A16:D16"/>
    <mergeCell ref="J16:M16"/>
    <mergeCell ref="Q16:T16"/>
    <mergeCell ref="A13:D13"/>
    <mergeCell ref="J13:M13"/>
    <mergeCell ref="Q13:T13"/>
    <mergeCell ref="A14:D14"/>
    <mergeCell ref="J14:M14"/>
    <mergeCell ref="Q14:T14"/>
    <mergeCell ref="A19:D19"/>
    <mergeCell ref="J19:M19"/>
    <mergeCell ref="Q19:T19"/>
    <mergeCell ref="A20:D20"/>
    <mergeCell ref="J20:M20"/>
    <mergeCell ref="Q20:T20"/>
    <mergeCell ref="A17:D17"/>
    <mergeCell ref="J17:M17"/>
    <mergeCell ref="Q17:T17"/>
    <mergeCell ref="A18:D18"/>
    <mergeCell ref="J18:M18"/>
    <mergeCell ref="Q18:T18"/>
    <mergeCell ref="A23:D23"/>
    <mergeCell ref="J23:M23"/>
    <mergeCell ref="Q23:T23"/>
    <mergeCell ref="A24:D24"/>
    <mergeCell ref="J24:M24"/>
    <mergeCell ref="Q24:T24"/>
    <mergeCell ref="A21:D21"/>
    <mergeCell ref="J21:M21"/>
    <mergeCell ref="Q21:T21"/>
    <mergeCell ref="A22:D22"/>
    <mergeCell ref="J22:M22"/>
    <mergeCell ref="Q22:T22"/>
    <mergeCell ref="A27:D27"/>
    <mergeCell ref="J27:M27"/>
    <mergeCell ref="Q27:T27"/>
    <mergeCell ref="A28:D28"/>
    <mergeCell ref="J28:M28"/>
    <mergeCell ref="Q28:T28"/>
    <mergeCell ref="A25:D25"/>
    <mergeCell ref="J25:M25"/>
    <mergeCell ref="Q25:T25"/>
    <mergeCell ref="A26:D26"/>
    <mergeCell ref="J26:M26"/>
    <mergeCell ref="Q26:T26"/>
    <mergeCell ref="A31:D31"/>
    <mergeCell ref="J31:M31"/>
    <mergeCell ref="Q31:T31"/>
    <mergeCell ref="A32:D32"/>
    <mergeCell ref="J32:M32"/>
    <mergeCell ref="Q32:T32"/>
    <mergeCell ref="A29:D29"/>
    <mergeCell ref="J29:M29"/>
    <mergeCell ref="Q29:T29"/>
    <mergeCell ref="A30:D30"/>
    <mergeCell ref="J30:M30"/>
    <mergeCell ref="Q30:T30"/>
    <mergeCell ref="A35:F35"/>
    <mergeCell ref="J35:M35"/>
    <mergeCell ref="A36:F36"/>
    <mergeCell ref="J36:M36"/>
    <mergeCell ref="A37:F37"/>
    <mergeCell ref="J37:M37"/>
    <mergeCell ref="A33:D33"/>
    <mergeCell ref="J33:M33"/>
    <mergeCell ref="Q33:T33"/>
    <mergeCell ref="A34:F34"/>
    <mergeCell ref="J34:M34"/>
    <mergeCell ref="Q34:V34"/>
    <mergeCell ref="A41:F41"/>
    <mergeCell ref="J41:M41"/>
    <mergeCell ref="A42:F42"/>
    <mergeCell ref="J42:M42"/>
    <mergeCell ref="A43:F43"/>
    <mergeCell ref="J43:M43"/>
    <mergeCell ref="A38:F38"/>
    <mergeCell ref="J38:M38"/>
    <mergeCell ref="A39:F39"/>
    <mergeCell ref="J39:M39"/>
    <mergeCell ref="A40:F40"/>
    <mergeCell ref="J40:M40"/>
    <mergeCell ref="A47:F47"/>
    <mergeCell ref="J47:M47"/>
    <mergeCell ref="A48:F48"/>
    <mergeCell ref="J48:M48"/>
    <mergeCell ref="A49:F49"/>
    <mergeCell ref="J49:M49"/>
    <mergeCell ref="A44:F44"/>
    <mergeCell ref="J44:M44"/>
    <mergeCell ref="A45:F45"/>
    <mergeCell ref="J45:M45"/>
    <mergeCell ref="A46:F46"/>
    <mergeCell ref="J46:M46"/>
    <mergeCell ref="A53:F53"/>
    <mergeCell ref="J53:M53"/>
    <mergeCell ref="A54:F54"/>
    <mergeCell ref="J54:M54"/>
    <mergeCell ref="A55:F55"/>
    <mergeCell ref="J55:M55"/>
    <mergeCell ref="A50:F50"/>
    <mergeCell ref="J50:M50"/>
    <mergeCell ref="A51:F51"/>
    <mergeCell ref="J51:M51"/>
    <mergeCell ref="A52:F52"/>
    <mergeCell ref="J52:M52"/>
    <mergeCell ref="A59:F59"/>
    <mergeCell ref="J59:M59"/>
    <mergeCell ref="A60:F60"/>
    <mergeCell ref="J60:M60"/>
    <mergeCell ref="A61:F61"/>
    <mergeCell ref="J61:M61"/>
    <mergeCell ref="A56:F56"/>
    <mergeCell ref="J56:M56"/>
    <mergeCell ref="A57:F57"/>
    <mergeCell ref="J57:M57"/>
    <mergeCell ref="A58:F58"/>
    <mergeCell ref="J58:M58"/>
    <mergeCell ref="A65:F65"/>
    <mergeCell ref="J65:M65"/>
    <mergeCell ref="A66:F66"/>
    <mergeCell ref="J66:M66"/>
    <mergeCell ref="A67:F67"/>
    <mergeCell ref="J67:M67"/>
    <mergeCell ref="A62:F62"/>
    <mergeCell ref="J62:M62"/>
    <mergeCell ref="A63:F63"/>
    <mergeCell ref="J63:M63"/>
    <mergeCell ref="A64:F64"/>
    <mergeCell ref="J64:M64"/>
    <mergeCell ref="A71:F71"/>
    <mergeCell ref="J71:M71"/>
    <mergeCell ref="A72:F72"/>
    <mergeCell ref="J72:M72"/>
    <mergeCell ref="A73:F73"/>
    <mergeCell ref="J73:M73"/>
    <mergeCell ref="A68:F68"/>
    <mergeCell ref="J68:M68"/>
    <mergeCell ref="A69:F69"/>
    <mergeCell ref="J69:M69"/>
    <mergeCell ref="A70:F70"/>
    <mergeCell ref="J70:M70"/>
    <mergeCell ref="A77:F77"/>
    <mergeCell ref="J77:M77"/>
    <mergeCell ref="A78:F78"/>
    <mergeCell ref="J78:M78"/>
    <mergeCell ref="A79:F79"/>
    <mergeCell ref="J79:M79"/>
    <mergeCell ref="A74:F74"/>
    <mergeCell ref="J74:M74"/>
    <mergeCell ref="A75:F75"/>
    <mergeCell ref="J75:M75"/>
    <mergeCell ref="A76:F76"/>
    <mergeCell ref="J76:M76"/>
    <mergeCell ref="A83:F83"/>
    <mergeCell ref="J83:M83"/>
    <mergeCell ref="A84:F84"/>
    <mergeCell ref="J84:M84"/>
    <mergeCell ref="A80:F80"/>
    <mergeCell ref="J80:M80"/>
    <mergeCell ref="A81:F81"/>
    <mergeCell ref="J81:M81"/>
    <mergeCell ref="A82:F82"/>
    <mergeCell ref="J82:M8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0"/>
  <sheetViews>
    <sheetView workbookViewId="0">
      <selection activeCell="F1" sqref="F1"/>
    </sheetView>
  </sheetViews>
  <sheetFormatPr defaultRowHeight="15" x14ac:dyDescent="0.25"/>
  <cols>
    <col min="1" max="1" width="16.5703125" bestFit="1" customWidth="1"/>
    <col min="2" max="2" width="4.28515625" bestFit="1" customWidth="1"/>
    <col min="4" max="4" width="11.5703125" bestFit="1" customWidth="1"/>
    <col min="5" max="5" width="11.5703125" customWidth="1"/>
    <col min="8" max="8" width="15.42578125" bestFit="1" customWidth="1"/>
  </cols>
  <sheetData>
    <row r="1" spans="1:11" x14ac:dyDescent="0.25">
      <c r="A1" t="s">
        <v>10</v>
      </c>
      <c r="B1" t="s">
        <v>11</v>
      </c>
      <c r="C1" t="s">
        <v>21</v>
      </c>
      <c r="D1" t="s">
        <v>22</v>
      </c>
      <c r="E1" t="s">
        <v>205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</row>
    <row r="2" spans="1:11" x14ac:dyDescent="0.25">
      <c r="A2" t="s">
        <v>14</v>
      </c>
      <c r="B2">
        <v>0</v>
      </c>
      <c r="C2">
        <v>303</v>
      </c>
      <c r="D2">
        <v>21</v>
      </c>
      <c r="E2" t="s">
        <v>147</v>
      </c>
      <c r="F2" t="s">
        <v>47</v>
      </c>
      <c r="H2" t="s">
        <v>144</v>
      </c>
      <c r="I2" t="s">
        <v>147</v>
      </c>
      <c r="J2" t="s">
        <v>164</v>
      </c>
      <c r="K2" t="s">
        <v>178</v>
      </c>
    </row>
    <row r="3" spans="1:11" x14ac:dyDescent="0.25">
      <c r="A3" t="s">
        <v>16</v>
      </c>
      <c r="B3">
        <v>1</v>
      </c>
      <c r="C3">
        <v>305</v>
      </c>
      <c r="D3">
        <v>31</v>
      </c>
      <c r="E3" t="s">
        <v>148</v>
      </c>
      <c r="F3" t="s">
        <v>48</v>
      </c>
      <c r="H3" t="s">
        <v>145</v>
      </c>
      <c r="I3" t="s">
        <v>148</v>
      </c>
      <c r="J3" t="s">
        <v>165</v>
      </c>
      <c r="K3" t="s">
        <v>179</v>
      </c>
    </row>
    <row r="4" spans="1:11" x14ac:dyDescent="0.25">
      <c r="A4" t="s">
        <v>15</v>
      </c>
      <c r="C4">
        <v>306</v>
      </c>
      <c r="D4">
        <v>32</v>
      </c>
      <c r="E4" t="s">
        <v>149</v>
      </c>
      <c r="F4" t="s">
        <v>49</v>
      </c>
      <c r="H4" t="s">
        <v>146</v>
      </c>
      <c r="I4" t="s">
        <v>149</v>
      </c>
      <c r="J4" t="s">
        <v>166</v>
      </c>
      <c r="K4" t="s">
        <v>180</v>
      </c>
    </row>
    <row r="5" spans="1:11" x14ac:dyDescent="0.25">
      <c r="A5" t="s">
        <v>13</v>
      </c>
      <c r="D5">
        <v>33</v>
      </c>
      <c r="E5" t="s">
        <v>150</v>
      </c>
      <c r="F5" t="s">
        <v>50</v>
      </c>
      <c r="H5" t="s">
        <v>20</v>
      </c>
      <c r="I5" t="s">
        <v>150</v>
      </c>
      <c r="J5" t="s">
        <v>167</v>
      </c>
      <c r="K5" t="s">
        <v>181</v>
      </c>
    </row>
    <row r="6" spans="1:11" x14ac:dyDescent="0.25">
      <c r="A6" t="s">
        <v>19</v>
      </c>
      <c r="E6" t="s">
        <v>151</v>
      </c>
      <c r="F6" t="s">
        <v>51</v>
      </c>
      <c r="I6" t="s">
        <v>151</v>
      </c>
      <c r="J6" t="s">
        <v>168</v>
      </c>
      <c r="K6" t="s">
        <v>182</v>
      </c>
    </row>
    <row r="7" spans="1:11" x14ac:dyDescent="0.25">
      <c r="A7" t="s">
        <v>17</v>
      </c>
      <c r="E7" t="s">
        <v>152</v>
      </c>
      <c r="F7" t="s">
        <v>52</v>
      </c>
      <c r="I7" t="s">
        <v>152</v>
      </c>
      <c r="J7" t="s">
        <v>169</v>
      </c>
      <c r="K7" t="s">
        <v>183</v>
      </c>
    </row>
    <row r="8" spans="1:11" x14ac:dyDescent="0.25">
      <c r="A8" t="s">
        <v>12</v>
      </c>
      <c r="E8" t="s">
        <v>153</v>
      </c>
      <c r="F8" t="s">
        <v>53</v>
      </c>
      <c r="I8" t="s">
        <v>153</v>
      </c>
      <c r="J8" t="s">
        <v>170</v>
      </c>
      <c r="K8" t="s">
        <v>184</v>
      </c>
    </row>
    <row r="9" spans="1:11" x14ac:dyDescent="0.25">
      <c r="A9" t="s">
        <v>18</v>
      </c>
      <c r="E9" t="s">
        <v>154</v>
      </c>
      <c r="F9" t="s">
        <v>54</v>
      </c>
      <c r="I9" t="s">
        <v>154</v>
      </c>
      <c r="J9" t="s">
        <v>171</v>
      </c>
      <c r="K9" t="s">
        <v>185</v>
      </c>
    </row>
    <row r="10" spans="1:11" x14ac:dyDescent="0.25">
      <c r="E10" t="s">
        <v>155</v>
      </c>
      <c r="F10" t="s">
        <v>55</v>
      </c>
      <c r="I10" t="s">
        <v>155</v>
      </c>
      <c r="J10" t="s">
        <v>172</v>
      </c>
      <c r="K10" t="s">
        <v>186</v>
      </c>
    </row>
    <row r="11" spans="1:11" x14ac:dyDescent="0.25">
      <c r="E11" t="s">
        <v>156</v>
      </c>
      <c r="F11" t="s">
        <v>56</v>
      </c>
      <c r="I11" t="s">
        <v>156</v>
      </c>
      <c r="J11" t="s">
        <v>173</v>
      </c>
      <c r="K11" t="s">
        <v>187</v>
      </c>
    </row>
    <row r="12" spans="1:11" x14ac:dyDescent="0.25">
      <c r="E12" t="s">
        <v>157</v>
      </c>
      <c r="F12" t="s">
        <v>57</v>
      </c>
      <c r="I12" t="s">
        <v>157</v>
      </c>
      <c r="J12" t="s">
        <v>174</v>
      </c>
      <c r="K12" t="s">
        <v>188</v>
      </c>
    </row>
    <row r="13" spans="1:11" x14ac:dyDescent="0.25">
      <c r="E13" t="s">
        <v>158</v>
      </c>
      <c r="F13" t="s">
        <v>58</v>
      </c>
      <c r="I13" t="s">
        <v>158</v>
      </c>
      <c r="J13" t="s">
        <v>175</v>
      </c>
      <c r="K13" t="s">
        <v>189</v>
      </c>
    </row>
    <row r="14" spans="1:11" x14ac:dyDescent="0.25">
      <c r="E14" t="s">
        <v>159</v>
      </c>
      <c r="F14" t="s">
        <v>59</v>
      </c>
      <c r="I14" t="s">
        <v>159</v>
      </c>
      <c r="J14" t="s">
        <v>176</v>
      </c>
      <c r="K14" t="s">
        <v>190</v>
      </c>
    </row>
    <row r="15" spans="1:11" x14ac:dyDescent="0.25">
      <c r="E15" t="s">
        <v>160</v>
      </c>
      <c r="F15" t="s">
        <v>60</v>
      </c>
      <c r="I15" t="s">
        <v>160</v>
      </c>
      <c r="J15" t="s">
        <v>177</v>
      </c>
      <c r="K15" t="s">
        <v>191</v>
      </c>
    </row>
    <row r="16" spans="1:11" x14ac:dyDescent="0.25">
      <c r="E16" t="s">
        <v>161</v>
      </c>
      <c r="F16" t="s">
        <v>61</v>
      </c>
      <c r="I16" t="s">
        <v>161</v>
      </c>
      <c r="K16" t="s">
        <v>192</v>
      </c>
    </row>
    <row r="17" spans="5:11" x14ac:dyDescent="0.25">
      <c r="E17" t="s">
        <v>162</v>
      </c>
      <c r="F17" t="s">
        <v>62</v>
      </c>
      <c r="I17" t="s">
        <v>162</v>
      </c>
      <c r="K17" t="s">
        <v>193</v>
      </c>
    </row>
    <row r="18" spans="5:11" x14ac:dyDescent="0.25">
      <c r="E18" t="s">
        <v>163</v>
      </c>
      <c r="F18" t="s">
        <v>63</v>
      </c>
      <c r="I18" t="s">
        <v>163</v>
      </c>
      <c r="K18" t="s">
        <v>194</v>
      </c>
    </row>
    <row r="19" spans="5:11" x14ac:dyDescent="0.25">
      <c r="E19" t="s">
        <v>164</v>
      </c>
      <c r="F19" t="s">
        <v>64</v>
      </c>
      <c r="K19" t="s">
        <v>195</v>
      </c>
    </row>
    <row r="20" spans="5:11" x14ac:dyDescent="0.25">
      <c r="E20" t="s">
        <v>165</v>
      </c>
      <c r="F20" t="s">
        <v>65</v>
      </c>
      <c r="K20" t="s">
        <v>196</v>
      </c>
    </row>
    <row r="21" spans="5:11" x14ac:dyDescent="0.25">
      <c r="E21" t="s">
        <v>166</v>
      </c>
      <c r="F21" t="s">
        <v>66</v>
      </c>
      <c r="K21" t="s">
        <v>197</v>
      </c>
    </row>
    <row r="22" spans="5:11" x14ac:dyDescent="0.25">
      <c r="E22" t="s">
        <v>167</v>
      </c>
      <c r="F22" t="s">
        <v>67</v>
      </c>
      <c r="K22" t="s">
        <v>198</v>
      </c>
    </row>
    <row r="23" spans="5:11" x14ac:dyDescent="0.25">
      <c r="E23" t="s">
        <v>168</v>
      </c>
      <c r="F23" t="s">
        <v>68</v>
      </c>
      <c r="K23" t="s">
        <v>199</v>
      </c>
    </row>
    <row r="24" spans="5:11" x14ac:dyDescent="0.25">
      <c r="E24" t="s">
        <v>169</v>
      </c>
      <c r="F24" t="s">
        <v>69</v>
      </c>
      <c r="K24" t="s">
        <v>200</v>
      </c>
    </row>
    <row r="25" spans="5:11" x14ac:dyDescent="0.25">
      <c r="E25" t="s">
        <v>170</v>
      </c>
      <c r="F25" t="s">
        <v>70</v>
      </c>
      <c r="K25" t="s">
        <v>201</v>
      </c>
    </row>
    <row r="26" spans="5:11" x14ac:dyDescent="0.25">
      <c r="E26" t="s">
        <v>171</v>
      </c>
      <c r="F26" t="s">
        <v>71</v>
      </c>
      <c r="K26" t="s">
        <v>202</v>
      </c>
    </row>
    <row r="27" spans="5:11" x14ac:dyDescent="0.25">
      <c r="E27" t="s">
        <v>172</v>
      </c>
      <c r="F27" t="s">
        <v>72</v>
      </c>
      <c r="K27" t="s">
        <v>203</v>
      </c>
    </row>
    <row r="28" spans="5:11" x14ac:dyDescent="0.25">
      <c r="E28" t="s">
        <v>173</v>
      </c>
      <c r="F28" t="s">
        <v>73</v>
      </c>
    </row>
    <row r="29" spans="5:11" x14ac:dyDescent="0.25">
      <c r="E29" t="s">
        <v>174</v>
      </c>
      <c r="F29" t="s">
        <v>74</v>
      </c>
    </row>
    <row r="30" spans="5:11" x14ac:dyDescent="0.25">
      <c r="E30" t="s">
        <v>175</v>
      </c>
      <c r="F30" t="s">
        <v>75</v>
      </c>
    </row>
    <row r="31" spans="5:11" x14ac:dyDescent="0.25">
      <c r="E31" t="s">
        <v>176</v>
      </c>
      <c r="F31" t="s">
        <v>76</v>
      </c>
    </row>
    <row r="32" spans="5:11" x14ac:dyDescent="0.25">
      <c r="E32" t="s">
        <v>177</v>
      </c>
      <c r="F32" t="s">
        <v>77</v>
      </c>
    </row>
    <row r="33" spans="5:6" x14ac:dyDescent="0.25">
      <c r="E33" t="s">
        <v>178</v>
      </c>
      <c r="F33" t="s">
        <v>78</v>
      </c>
    </row>
    <row r="34" spans="5:6" x14ac:dyDescent="0.25">
      <c r="E34" t="s">
        <v>179</v>
      </c>
      <c r="F34" t="s">
        <v>79</v>
      </c>
    </row>
    <row r="35" spans="5:6" x14ac:dyDescent="0.25">
      <c r="E35" t="s">
        <v>180</v>
      </c>
      <c r="F35" t="s">
        <v>80</v>
      </c>
    </row>
    <row r="36" spans="5:6" x14ac:dyDescent="0.25">
      <c r="E36" t="s">
        <v>181</v>
      </c>
      <c r="F36" t="s">
        <v>81</v>
      </c>
    </row>
    <row r="37" spans="5:6" x14ac:dyDescent="0.25">
      <c r="E37" t="s">
        <v>182</v>
      </c>
      <c r="F37" t="s">
        <v>82</v>
      </c>
    </row>
    <row r="38" spans="5:6" x14ac:dyDescent="0.25">
      <c r="E38" t="s">
        <v>183</v>
      </c>
      <c r="F38" t="s">
        <v>83</v>
      </c>
    </row>
    <row r="39" spans="5:6" x14ac:dyDescent="0.25">
      <c r="E39" t="s">
        <v>184</v>
      </c>
      <c r="F39" t="s">
        <v>84</v>
      </c>
    </row>
    <row r="40" spans="5:6" x14ac:dyDescent="0.25">
      <c r="E40" t="s">
        <v>185</v>
      </c>
      <c r="F40" t="s">
        <v>85</v>
      </c>
    </row>
    <row r="41" spans="5:6" x14ac:dyDescent="0.25">
      <c r="E41" t="s">
        <v>186</v>
      </c>
      <c r="F41" t="s">
        <v>86</v>
      </c>
    </row>
    <row r="42" spans="5:6" x14ac:dyDescent="0.25">
      <c r="E42" t="s">
        <v>187</v>
      </c>
      <c r="F42" t="s">
        <v>87</v>
      </c>
    </row>
    <row r="43" spans="5:6" x14ac:dyDescent="0.25">
      <c r="E43" t="s">
        <v>188</v>
      </c>
      <c r="F43" t="s">
        <v>88</v>
      </c>
    </row>
    <row r="44" spans="5:6" x14ac:dyDescent="0.25">
      <c r="E44" t="s">
        <v>189</v>
      </c>
      <c r="F44" t="s">
        <v>89</v>
      </c>
    </row>
    <row r="45" spans="5:6" x14ac:dyDescent="0.25">
      <c r="E45" t="s">
        <v>190</v>
      </c>
      <c r="F45" t="s">
        <v>90</v>
      </c>
    </row>
    <row r="46" spans="5:6" x14ac:dyDescent="0.25">
      <c r="E46" t="s">
        <v>191</v>
      </c>
      <c r="F46" t="s">
        <v>91</v>
      </c>
    </row>
    <row r="47" spans="5:6" x14ac:dyDescent="0.25">
      <c r="E47" t="s">
        <v>192</v>
      </c>
      <c r="F47" t="s">
        <v>92</v>
      </c>
    </row>
    <row r="48" spans="5:6" x14ac:dyDescent="0.25">
      <c r="E48" t="s">
        <v>193</v>
      </c>
      <c r="F48" t="s">
        <v>93</v>
      </c>
    </row>
    <row r="49" spans="5:6" x14ac:dyDescent="0.25">
      <c r="E49" t="s">
        <v>194</v>
      </c>
      <c r="F49" t="s">
        <v>94</v>
      </c>
    </row>
    <row r="50" spans="5:6" x14ac:dyDescent="0.25">
      <c r="E50" t="s">
        <v>195</v>
      </c>
      <c r="F50" t="s">
        <v>95</v>
      </c>
    </row>
    <row r="51" spans="5:6" x14ac:dyDescent="0.25">
      <c r="E51" t="s">
        <v>196</v>
      </c>
      <c r="F51" t="s">
        <v>96</v>
      </c>
    </row>
    <row r="52" spans="5:6" x14ac:dyDescent="0.25">
      <c r="E52" t="s">
        <v>197</v>
      </c>
      <c r="F52" t="s">
        <v>97</v>
      </c>
    </row>
    <row r="53" spans="5:6" x14ac:dyDescent="0.25">
      <c r="E53" t="s">
        <v>198</v>
      </c>
      <c r="F53" t="s">
        <v>98</v>
      </c>
    </row>
    <row r="54" spans="5:6" x14ac:dyDescent="0.25">
      <c r="E54" t="s">
        <v>199</v>
      </c>
      <c r="F54" t="s">
        <v>99</v>
      </c>
    </row>
    <row r="55" spans="5:6" x14ac:dyDescent="0.25">
      <c r="E55" t="s">
        <v>200</v>
      </c>
      <c r="F55" t="s">
        <v>100</v>
      </c>
    </row>
    <row r="56" spans="5:6" x14ac:dyDescent="0.25">
      <c r="E56" t="s">
        <v>201</v>
      </c>
      <c r="F56" t="s">
        <v>101</v>
      </c>
    </row>
    <row r="57" spans="5:6" x14ac:dyDescent="0.25">
      <c r="E57" t="s">
        <v>202</v>
      </c>
      <c r="F57" t="s">
        <v>102</v>
      </c>
    </row>
    <row r="58" spans="5:6" x14ac:dyDescent="0.25">
      <c r="E58" t="s">
        <v>203</v>
      </c>
      <c r="F58" t="s">
        <v>103</v>
      </c>
    </row>
    <row r="59" spans="5:6" x14ac:dyDescent="0.25">
      <c r="E59" t="s">
        <v>204</v>
      </c>
      <c r="F59" t="s">
        <v>104</v>
      </c>
    </row>
    <row r="60" spans="5:6" x14ac:dyDescent="0.25">
      <c r="E60" t="s">
        <v>144</v>
      </c>
      <c r="F60" t="s">
        <v>105</v>
      </c>
    </row>
    <row r="61" spans="5:6" x14ac:dyDescent="0.25">
      <c r="E61" t="s">
        <v>145</v>
      </c>
      <c r="F61" t="s">
        <v>106</v>
      </c>
    </row>
    <row r="62" spans="5:6" x14ac:dyDescent="0.25">
      <c r="E62" t="s">
        <v>146</v>
      </c>
      <c r="F62" t="s">
        <v>107</v>
      </c>
    </row>
    <row r="63" spans="5:6" x14ac:dyDescent="0.25">
      <c r="E63" t="s">
        <v>20</v>
      </c>
      <c r="F63" t="s">
        <v>108</v>
      </c>
    </row>
    <row r="64" spans="5:6" x14ac:dyDescent="0.25">
      <c r="E64" t="s">
        <v>47</v>
      </c>
      <c r="F64" t="s">
        <v>109</v>
      </c>
    </row>
    <row r="65" spans="5:6" x14ac:dyDescent="0.25">
      <c r="E65" t="s">
        <v>48</v>
      </c>
      <c r="F65" t="s">
        <v>110</v>
      </c>
    </row>
    <row r="66" spans="5:6" x14ac:dyDescent="0.25">
      <c r="E66" t="s">
        <v>49</v>
      </c>
      <c r="F66" t="s">
        <v>111</v>
      </c>
    </row>
    <row r="67" spans="5:6" x14ac:dyDescent="0.25">
      <c r="E67" t="s">
        <v>50</v>
      </c>
      <c r="F67" t="s">
        <v>112</v>
      </c>
    </row>
    <row r="68" spans="5:6" x14ac:dyDescent="0.25">
      <c r="E68" t="s">
        <v>51</v>
      </c>
      <c r="F68" t="s">
        <v>113</v>
      </c>
    </row>
    <row r="69" spans="5:6" x14ac:dyDescent="0.25">
      <c r="E69" t="s">
        <v>52</v>
      </c>
      <c r="F69" t="s">
        <v>114</v>
      </c>
    </row>
    <row r="70" spans="5:6" x14ac:dyDescent="0.25">
      <c r="E70" t="s">
        <v>53</v>
      </c>
      <c r="F70" t="s">
        <v>115</v>
      </c>
    </row>
    <row r="71" spans="5:6" x14ac:dyDescent="0.25">
      <c r="E71" t="s">
        <v>54</v>
      </c>
      <c r="F71" t="s">
        <v>116</v>
      </c>
    </row>
    <row r="72" spans="5:6" x14ac:dyDescent="0.25">
      <c r="E72" t="s">
        <v>55</v>
      </c>
      <c r="F72" t="s">
        <v>117</v>
      </c>
    </row>
    <row r="73" spans="5:6" x14ac:dyDescent="0.25">
      <c r="E73" t="s">
        <v>56</v>
      </c>
      <c r="F73" t="s">
        <v>118</v>
      </c>
    </row>
    <row r="74" spans="5:6" x14ac:dyDescent="0.25">
      <c r="E74" t="s">
        <v>57</v>
      </c>
      <c r="F74" t="s">
        <v>119</v>
      </c>
    </row>
    <row r="75" spans="5:6" x14ac:dyDescent="0.25">
      <c r="E75" t="s">
        <v>58</v>
      </c>
      <c r="F75" t="s">
        <v>120</v>
      </c>
    </row>
    <row r="76" spans="5:6" x14ac:dyDescent="0.25">
      <c r="E76" t="s">
        <v>59</v>
      </c>
      <c r="F76" t="s">
        <v>121</v>
      </c>
    </row>
    <row r="77" spans="5:6" x14ac:dyDescent="0.25">
      <c r="E77" t="s">
        <v>60</v>
      </c>
      <c r="F77" t="s">
        <v>122</v>
      </c>
    </row>
    <row r="78" spans="5:6" x14ac:dyDescent="0.25">
      <c r="E78" t="s">
        <v>61</v>
      </c>
      <c r="F78" t="s">
        <v>123</v>
      </c>
    </row>
    <row r="79" spans="5:6" x14ac:dyDescent="0.25">
      <c r="E79" t="s">
        <v>62</v>
      </c>
      <c r="F79" t="s">
        <v>124</v>
      </c>
    </row>
    <row r="80" spans="5:6" x14ac:dyDescent="0.25">
      <c r="E80" t="s">
        <v>63</v>
      </c>
      <c r="F80" t="s">
        <v>125</v>
      </c>
    </row>
    <row r="81" spans="5:6" x14ac:dyDescent="0.25">
      <c r="E81" t="s">
        <v>64</v>
      </c>
      <c r="F81" t="s">
        <v>126</v>
      </c>
    </row>
    <row r="82" spans="5:6" x14ac:dyDescent="0.25">
      <c r="E82" t="s">
        <v>65</v>
      </c>
      <c r="F82" t="s">
        <v>127</v>
      </c>
    </row>
    <row r="83" spans="5:6" x14ac:dyDescent="0.25">
      <c r="E83" t="s">
        <v>66</v>
      </c>
      <c r="F83" t="s">
        <v>128</v>
      </c>
    </row>
    <row r="84" spans="5:6" x14ac:dyDescent="0.25">
      <c r="E84" t="s">
        <v>67</v>
      </c>
      <c r="F84" t="s">
        <v>129</v>
      </c>
    </row>
    <row r="85" spans="5:6" x14ac:dyDescent="0.25">
      <c r="E85" t="s">
        <v>68</v>
      </c>
      <c r="F85" t="s">
        <v>130</v>
      </c>
    </row>
    <row r="86" spans="5:6" x14ac:dyDescent="0.25">
      <c r="E86" t="s">
        <v>69</v>
      </c>
      <c r="F86" t="s">
        <v>131</v>
      </c>
    </row>
    <row r="87" spans="5:6" x14ac:dyDescent="0.25">
      <c r="E87" t="s">
        <v>70</v>
      </c>
      <c r="F87" t="s">
        <v>132</v>
      </c>
    </row>
    <row r="88" spans="5:6" x14ac:dyDescent="0.25">
      <c r="E88" t="s">
        <v>71</v>
      </c>
      <c r="F88" t="s">
        <v>133</v>
      </c>
    </row>
    <row r="89" spans="5:6" x14ac:dyDescent="0.25">
      <c r="E89" t="s">
        <v>72</v>
      </c>
      <c r="F89" t="s">
        <v>134</v>
      </c>
    </row>
    <row r="90" spans="5:6" x14ac:dyDescent="0.25">
      <c r="E90" t="s">
        <v>73</v>
      </c>
      <c r="F90" t="s">
        <v>135</v>
      </c>
    </row>
    <row r="91" spans="5:6" x14ac:dyDescent="0.25">
      <c r="E91" t="s">
        <v>74</v>
      </c>
      <c r="F91" t="s">
        <v>136</v>
      </c>
    </row>
    <row r="92" spans="5:6" x14ac:dyDescent="0.25">
      <c r="E92" t="s">
        <v>75</v>
      </c>
      <c r="F92" t="s">
        <v>137</v>
      </c>
    </row>
    <row r="93" spans="5:6" x14ac:dyDescent="0.25">
      <c r="E93" t="s">
        <v>76</v>
      </c>
      <c r="F93" t="s">
        <v>138</v>
      </c>
    </row>
    <row r="94" spans="5:6" x14ac:dyDescent="0.25">
      <c r="E94" t="s">
        <v>77</v>
      </c>
      <c r="F94" t="s">
        <v>139</v>
      </c>
    </row>
    <row r="95" spans="5:6" x14ac:dyDescent="0.25">
      <c r="E95" t="s">
        <v>78</v>
      </c>
      <c r="F95" t="s">
        <v>140</v>
      </c>
    </row>
    <row r="96" spans="5:6" x14ac:dyDescent="0.25">
      <c r="E96" t="s">
        <v>79</v>
      </c>
      <c r="F96" t="s">
        <v>141</v>
      </c>
    </row>
    <row r="97" spans="5:6" x14ac:dyDescent="0.25">
      <c r="E97" t="s">
        <v>80</v>
      </c>
      <c r="F97" t="s">
        <v>142</v>
      </c>
    </row>
    <row r="98" spans="5:6" x14ac:dyDescent="0.25">
      <c r="E98" t="s">
        <v>81</v>
      </c>
      <c r="F98" t="s">
        <v>143</v>
      </c>
    </row>
    <row r="99" spans="5:6" x14ac:dyDescent="0.25">
      <c r="E99" t="s">
        <v>82</v>
      </c>
    </row>
    <row r="100" spans="5:6" x14ac:dyDescent="0.25">
      <c r="E100" t="s">
        <v>83</v>
      </c>
    </row>
    <row r="101" spans="5:6" x14ac:dyDescent="0.25">
      <c r="E101" t="s">
        <v>84</v>
      </c>
    </row>
    <row r="102" spans="5:6" x14ac:dyDescent="0.25">
      <c r="E102" t="s">
        <v>85</v>
      </c>
    </row>
    <row r="103" spans="5:6" x14ac:dyDescent="0.25">
      <c r="E103" t="s">
        <v>86</v>
      </c>
    </row>
    <row r="104" spans="5:6" x14ac:dyDescent="0.25">
      <c r="E104" t="s">
        <v>87</v>
      </c>
    </row>
    <row r="105" spans="5:6" x14ac:dyDescent="0.25">
      <c r="E105" t="s">
        <v>88</v>
      </c>
    </row>
    <row r="106" spans="5:6" x14ac:dyDescent="0.25">
      <c r="E106" t="s">
        <v>89</v>
      </c>
    </row>
    <row r="107" spans="5:6" x14ac:dyDescent="0.25">
      <c r="E107" t="s">
        <v>90</v>
      </c>
    </row>
    <row r="108" spans="5:6" x14ac:dyDescent="0.25">
      <c r="E108" t="s">
        <v>91</v>
      </c>
    </row>
    <row r="109" spans="5:6" x14ac:dyDescent="0.25">
      <c r="E109" t="s">
        <v>92</v>
      </c>
    </row>
    <row r="110" spans="5:6" x14ac:dyDescent="0.25">
      <c r="E110" t="s">
        <v>93</v>
      </c>
    </row>
    <row r="111" spans="5:6" x14ac:dyDescent="0.25">
      <c r="E111" t="s">
        <v>94</v>
      </c>
    </row>
    <row r="112" spans="5:6" x14ac:dyDescent="0.25">
      <c r="E112" t="s">
        <v>95</v>
      </c>
    </row>
    <row r="113" spans="5:5" x14ac:dyDescent="0.25">
      <c r="E113" t="s">
        <v>96</v>
      </c>
    </row>
    <row r="114" spans="5:5" x14ac:dyDescent="0.25">
      <c r="E114" t="s">
        <v>97</v>
      </c>
    </row>
    <row r="115" spans="5:5" x14ac:dyDescent="0.25">
      <c r="E115" t="s">
        <v>98</v>
      </c>
    </row>
    <row r="116" spans="5:5" x14ac:dyDescent="0.25">
      <c r="E116" t="s">
        <v>99</v>
      </c>
    </row>
    <row r="117" spans="5:5" x14ac:dyDescent="0.25">
      <c r="E117" t="s">
        <v>100</v>
      </c>
    </row>
    <row r="118" spans="5:5" x14ac:dyDescent="0.25">
      <c r="E118" t="s">
        <v>101</v>
      </c>
    </row>
    <row r="119" spans="5:5" x14ac:dyDescent="0.25">
      <c r="E119" t="s">
        <v>102</v>
      </c>
    </row>
    <row r="120" spans="5:5" x14ac:dyDescent="0.25">
      <c r="E120" t="s">
        <v>103</v>
      </c>
    </row>
    <row r="121" spans="5:5" x14ac:dyDescent="0.25">
      <c r="E121" t="s">
        <v>104</v>
      </c>
    </row>
    <row r="122" spans="5:5" x14ac:dyDescent="0.25">
      <c r="E122" t="s">
        <v>105</v>
      </c>
    </row>
    <row r="123" spans="5:5" x14ac:dyDescent="0.25">
      <c r="E123" t="s">
        <v>106</v>
      </c>
    </row>
    <row r="124" spans="5:5" x14ac:dyDescent="0.25">
      <c r="E124" t="s">
        <v>107</v>
      </c>
    </row>
    <row r="125" spans="5:5" x14ac:dyDescent="0.25">
      <c r="E125" t="s">
        <v>108</v>
      </c>
    </row>
    <row r="126" spans="5:5" x14ac:dyDescent="0.25">
      <c r="E126" t="s">
        <v>109</v>
      </c>
    </row>
    <row r="127" spans="5:5" x14ac:dyDescent="0.25">
      <c r="E127" t="s">
        <v>110</v>
      </c>
    </row>
    <row r="128" spans="5:5" x14ac:dyDescent="0.25">
      <c r="E128" t="s">
        <v>111</v>
      </c>
    </row>
    <row r="129" spans="5:5" x14ac:dyDescent="0.25">
      <c r="E129" t="s">
        <v>112</v>
      </c>
    </row>
    <row r="130" spans="5:5" x14ac:dyDescent="0.25">
      <c r="E130" t="s">
        <v>113</v>
      </c>
    </row>
    <row r="131" spans="5:5" x14ac:dyDescent="0.25">
      <c r="E131" t="s">
        <v>114</v>
      </c>
    </row>
    <row r="132" spans="5:5" x14ac:dyDescent="0.25">
      <c r="E132" t="s">
        <v>115</v>
      </c>
    </row>
    <row r="133" spans="5:5" x14ac:dyDescent="0.25">
      <c r="E133" t="s">
        <v>116</v>
      </c>
    </row>
    <row r="134" spans="5:5" x14ac:dyDescent="0.25">
      <c r="E134" t="s">
        <v>117</v>
      </c>
    </row>
    <row r="135" spans="5:5" x14ac:dyDescent="0.25">
      <c r="E135" t="s">
        <v>118</v>
      </c>
    </row>
    <row r="136" spans="5:5" x14ac:dyDescent="0.25">
      <c r="E136" t="s">
        <v>119</v>
      </c>
    </row>
    <row r="137" spans="5:5" x14ac:dyDescent="0.25">
      <c r="E137" t="s">
        <v>120</v>
      </c>
    </row>
    <row r="138" spans="5:5" x14ac:dyDescent="0.25">
      <c r="E138" t="s">
        <v>121</v>
      </c>
    </row>
    <row r="139" spans="5:5" x14ac:dyDescent="0.25">
      <c r="E139" t="s">
        <v>122</v>
      </c>
    </row>
    <row r="140" spans="5:5" x14ac:dyDescent="0.25">
      <c r="E140" t="s">
        <v>123</v>
      </c>
    </row>
    <row r="141" spans="5:5" x14ac:dyDescent="0.25">
      <c r="E141" t="s">
        <v>124</v>
      </c>
    </row>
    <row r="142" spans="5:5" x14ac:dyDescent="0.25">
      <c r="E142" t="s">
        <v>125</v>
      </c>
    </row>
    <row r="143" spans="5:5" x14ac:dyDescent="0.25">
      <c r="E143" t="s">
        <v>126</v>
      </c>
    </row>
    <row r="144" spans="5:5" x14ac:dyDescent="0.25">
      <c r="E144" t="s">
        <v>127</v>
      </c>
    </row>
    <row r="145" spans="5:5" x14ac:dyDescent="0.25">
      <c r="E145" t="s">
        <v>128</v>
      </c>
    </row>
    <row r="146" spans="5:5" x14ac:dyDescent="0.25">
      <c r="E146" t="s">
        <v>129</v>
      </c>
    </row>
    <row r="147" spans="5:5" x14ac:dyDescent="0.25">
      <c r="E147" t="s">
        <v>130</v>
      </c>
    </row>
    <row r="148" spans="5:5" x14ac:dyDescent="0.25">
      <c r="E148" t="s">
        <v>131</v>
      </c>
    </row>
    <row r="149" spans="5:5" x14ac:dyDescent="0.25">
      <c r="E149" t="s">
        <v>132</v>
      </c>
    </row>
    <row r="150" spans="5:5" x14ac:dyDescent="0.25">
      <c r="E150" t="s">
        <v>133</v>
      </c>
    </row>
    <row r="151" spans="5:5" x14ac:dyDescent="0.25">
      <c r="E151" t="s">
        <v>134</v>
      </c>
    </row>
    <row r="152" spans="5:5" x14ac:dyDescent="0.25">
      <c r="E152" t="s">
        <v>135</v>
      </c>
    </row>
    <row r="153" spans="5:5" x14ac:dyDescent="0.25">
      <c r="E153" t="s">
        <v>136</v>
      </c>
    </row>
    <row r="154" spans="5:5" x14ac:dyDescent="0.25">
      <c r="E154" t="s">
        <v>137</v>
      </c>
    </row>
    <row r="155" spans="5:5" x14ac:dyDescent="0.25">
      <c r="E155" t="s">
        <v>138</v>
      </c>
    </row>
    <row r="156" spans="5:5" x14ac:dyDescent="0.25">
      <c r="E156" t="s">
        <v>139</v>
      </c>
    </row>
    <row r="157" spans="5:5" x14ac:dyDescent="0.25">
      <c r="E157" t="s">
        <v>140</v>
      </c>
    </row>
    <row r="158" spans="5:5" x14ac:dyDescent="0.25">
      <c r="E158" t="s">
        <v>141</v>
      </c>
    </row>
    <row r="159" spans="5:5" x14ac:dyDescent="0.25">
      <c r="E159" t="s">
        <v>142</v>
      </c>
    </row>
    <row r="160" spans="5:5" x14ac:dyDescent="0.25">
      <c r="E160" t="s">
        <v>143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</vt:lpstr>
      <vt:lpstr>ATA</vt:lpstr>
      <vt:lpstr>LISTAS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2023-06-27T12:32:03Z</dcterms:created>
  <dcterms:modified xsi:type="dcterms:W3CDTF">2023-06-27T18:52:11Z</dcterms:modified>
</cp:coreProperties>
</file>